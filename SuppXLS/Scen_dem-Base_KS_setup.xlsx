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KiNESYS_BattCircularity-main\SuppXLS\"/>
    </mc:Choice>
  </mc:AlternateContent>
  <xr:revisionPtr revIDLastSave="0" documentId="13_ncr:1_{A1D0F9B6-0781-49DD-9279-881D32F36389}" xr6:coauthVersionLast="47" xr6:coauthVersionMax="47" xr10:uidLastSave="{00000000-0000-0000-0000-000000000000}"/>
  <bookViews>
    <workbookView xWindow="-98" yWindow="-98" windowWidth="28996" windowHeight="17475" activeTab="7" xr2:uid="{00000000-000D-0000-FFFF-FFFF00000000}"/>
  </bookViews>
  <sheets>
    <sheet name="Constants" sheetId="12" r:id="rId1"/>
    <sheet name="bio_car" sheetId="38" r:id="rId2"/>
    <sheet name="DEF topology" sheetId="35" r:id="rId3"/>
    <sheet name="agg cap UC" sheetId="36" r:id="rId4"/>
    <sheet name="nuclear" sheetId="24" r:id="rId5"/>
    <sheet name="CHP and Losses" sheetId="32" r:id="rId6"/>
    <sheet name="Thermal UF" sheetId="33" r:id="rId7"/>
    <sheet name="Build Rates" sheetId="34" r:id="rId8"/>
    <sheet name="Trade growth" sheetId="37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37" l="1"/>
  <c r="C7" i="37"/>
  <c r="F6" i="37"/>
  <c r="C6" i="37"/>
  <c r="F5" i="37"/>
  <c r="C5" i="37"/>
  <c r="AP42" i="33"/>
  <c r="AO42" i="33"/>
  <c r="AM42" i="33"/>
  <c r="AL42" i="33"/>
  <c r="AK42" i="33"/>
  <c r="AJ42" i="33"/>
  <c r="AI42" i="33"/>
  <c r="AH42" i="33"/>
  <c r="AG42" i="33"/>
  <c r="AF42" i="33"/>
  <c r="AE42" i="33"/>
  <c r="AD42" i="33"/>
  <c r="AC42" i="33"/>
  <c r="AB42" i="33"/>
  <c r="AA42" i="33"/>
  <c r="Z42" i="33"/>
  <c r="Y42" i="33"/>
  <c r="X42" i="33"/>
  <c r="W42" i="33"/>
  <c r="V42" i="33"/>
  <c r="U42" i="33"/>
  <c r="T42" i="33"/>
  <c r="S42" i="33"/>
  <c r="R42" i="33"/>
  <c r="Q42" i="33"/>
  <c r="P42" i="33"/>
  <c r="O42" i="33"/>
  <c r="N42" i="33"/>
  <c r="M42" i="33"/>
  <c r="L42" i="33"/>
  <c r="K42" i="33"/>
  <c r="J42" i="33"/>
  <c r="I42" i="33"/>
  <c r="H42" i="33"/>
  <c r="G42" i="33"/>
  <c r="F42" i="33"/>
  <c r="E42" i="33"/>
  <c r="D42" i="33"/>
  <c r="C42" i="33"/>
  <c r="B42" i="33"/>
  <c r="AP41" i="33"/>
  <c r="AO41" i="33"/>
  <c r="AM41" i="33"/>
  <c r="AL41" i="33"/>
  <c r="AK41" i="33"/>
  <c r="AJ41" i="33"/>
  <c r="AI41" i="33"/>
  <c r="AH41" i="33"/>
  <c r="AG41" i="33"/>
  <c r="AF41" i="33"/>
  <c r="AE41" i="33"/>
  <c r="AD41" i="33"/>
  <c r="AC41" i="33"/>
  <c r="AB41" i="33"/>
  <c r="AA41" i="33"/>
  <c r="Z41" i="33"/>
  <c r="Y41" i="33"/>
  <c r="X41" i="33"/>
  <c r="W41" i="33"/>
  <c r="V41" i="33"/>
  <c r="U41" i="33"/>
  <c r="T41" i="33"/>
  <c r="S41" i="33"/>
  <c r="R41" i="33"/>
  <c r="Q41" i="33"/>
  <c r="P41" i="33"/>
  <c r="O41" i="33"/>
  <c r="N41" i="33"/>
  <c r="M41" i="33"/>
  <c r="L41" i="33"/>
  <c r="K41" i="33"/>
  <c r="J41" i="33"/>
  <c r="I41" i="33"/>
  <c r="H41" i="33"/>
  <c r="G41" i="33"/>
  <c r="F41" i="33"/>
  <c r="E41" i="33"/>
  <c r="D41" i="33"/>
  <c r="C41" i="33"/>
  <c r="B41" i="33"/>
  <c r="AP40" i="33"/>
  <c r="AO40" i="33"/>
  <c r="AM40" i="33"/>
  <c r="AL40" i="33"/>
  <c r="AK40" i="33"/>
  <c r="AJ40" i="33"/>
  <c r="AI40" i="33"/>
  <c r="AH40" i="33"/>
  <c r="AG40" i="33"/>
  <c r="AF40" i="33"/>
  <c r="AE40" i="33"/>
  <c r="AD40" i="33"/>
  <c r="AC40" i="33"/>
  <c r="AB40" i="33"/>
  <c r="AA40" i="33"/>
  <c r="Z40" i="33"/>
  <c r="Y40" i="33"/>
  <c r="X40" i="33"/>
  <c r="W40" i="33"/>
  <c r="V40" i="33"/>
  <c r="U40" i="33"/>
  <c r="T40" i="33"/>
  <c r="S40" i="33"/>
  <c r="R40" i="33"/>
  <c r="Q40" i="33"/>
  <c r="P40" i="33"/>
  <c r="O40" i="33"/>
  <c r="N40" i="33"/>
  <c r="M40" i="33"/>
  <c r="L40" i="33"/>
  <c r="K40" i="33"/>
  <c r="J40" i="33"/>
  <c r="I40" i="33"/>
  <c r="H40" i="33"/>
  <c r="G40" i="33"/>
  <c r="F40" i="33"/>
  <c r="E40" i="33"/>
  <c r="D40" i="33"/>
  <c r="C40" i="33"/>
  <c r="B40" i="33"/>
  <c r="AP39" i="33"/>
  <c r="AO39" i="33"/>
  <c r="AM39" i="33"/>
  <c r="AL39" i="33"/>
  <c r="AK39" i="33"/>
  <c r="AJ39" i="33"/>
  <c r="AI39" i="33"/>
  <c r="AH39" i="33"/>
  <c r="AG39" i="33"/>
  <c r="AF39" i="33"/>
  <c r="AE39" i="33"/>
  <c r="AD39" i="33"/>
  <c r="AC39" i="33"/>
  <c r="AB39" i="33"/>
  <c r="AA39" i="33"/>
  <c r="Z39" i="33"/>
  <c r="Y39" i="33"/>
  <c r="X39" i="33"/>
  <c r="W39" i="33"/>
  <c r="V39" i="33"/>
  <c r="U39" i="33"/>
  <c r="T39" i="33"/>
  <c r="S39" i="33"/>
  <c r="R39" i="33"/>
  <c r="Q39" i="33"/>
  <c r="P39" i="33"/>
  <c r="O39" i="33"/>
  <c r="N39" i="33"/>
  <c r="M39" i="33"/>
  <c r="L39" i="33"/>
  <c r="K39" i="33"/>
  <c r="J39" i="33"/>
  <c r="I39" i="33"/>
  <c r="H39" i="33"/>
  <c r="G39" i="33"/>
  <c r="F39" i="33"/>
  <c r="E39" i="33"/>
  <c r="D39" i="33"/>
  <c r="C39" i="33"/>
  <c r="B39" i="33"/>
  <c r="AP38" i="33"/>
  <c r="AO38" i="33"/>
  <c r="AM38" i="33"/>
  <c r="AL38" i="33"/>
  <c r="AK38" i="33"/>
  <c r="AJ38" i="33"/>
  <c r="AI38" i="33"/>
  <c r="AH38" i="33"/>
  <c r="AG38" i="33"/>
  <c r="AF38" i="33"/>
  <c r="AE38" i="33"/>
  <c r="AD38" i="33"/>
  <c r="AC38" i="33"/>
  <c r="AB38" i="33"/>
  <c r="AA38" i="33"/>
  <c r="Z38" i="33"/>
  <c r="Y38" i="33"/>
  <c r="X38" i="33"/>
  <c r="W38" i="33"/>
  <c r="V38" i="33"/>
  <c r="U38" i="33"/>
  <c r="T38" i="33"/>
  <c r="S38" i="33"/>
  <c r="R38" i="33"/>
  <c r="Q38" i="33"/>
  <c r="P38" i="33"/>
  <c r="O38" i="33"/>
  <c r="N38" i="33"/>
  <c r="M38" i="33"/>
  <c r="L38" i="33"/>
  <c r="K38" i="33"/>
  <c r="J38" i="33"/>
  <c r="I38" i="33"/>
  <c r="H38" i="33"/>
  <c r="G38" i="33"/>
  <c r="F38" i="33"/>
  <c r="E38" i="33"/>
  <c r="D38" i="33"/>
  <c r="C38" i="33"/>
  <c r="B38" i="33"/>
  <c r="AP37" i="33"/>
  <c r="AO37" i="33"/>
  <c r="AM37" i="33"/>
  <c r="AL37" i="33"/>
  <c r="AK37" i="33"/>
  <c r="AJ37" i="33"/>
  <c r="AI37" i="33"/>
  <c r="AH37" i="33"/>
  <c r="AG37" i="33"/>
  <c r="AF37" i="33"/>
  <c r="AE37" i="33"/>
  <c r="AD37" i="33"/>
  <c r="AC37" i="33"/>
  <c r="AB37" i="33"/>
  <c r="AA37" i="33"/>
  <c r="Z37" i="33"/>
  <c r="Y37" i="33"/>
  <c r="X37" i="33"/>
  <c r="W37" i="33"/>
  <c r="V37" i="33"/>
  <c r="U37" i="33"/>
  <c r="T37" i="33"/>
  <c r="S37" i="33"/>
  <c r="R37" i="33"/>
  <c r="Q37" i="33"/>
  <c r="P37" i="33"/>
  <c r="O37" i="33"/>
  <c r="N37" i="33"/>
  <c r="M37" i="33"/>
  <c r="L37" i="33"/>
  <c r="K37" i="33"/>
  <c r="J37" i="33"/>
  <c r="I37" i="33"/>
  <c r="H37" i="33"/>
  <c r="G37" i="33"/>
  <c r="F37" i="33"/>
  <c r="E37" i="33"/>
  <c r="D37" i="33"/>
  <c r="C37" i="33"/>
  <c r="B37" i="33"/>
  <c r="AP36" i="33"/>
  <c r="AO36" i="33"/>
  <c r="AM36" i="33"/>
  <c r="AL36" i="33"/>
  <c r="AK36" i="33"/>
  <c r="AJ36" i="33"/>
  <c r="AI36" i="33"/>
  <c r="AH36" i="33"/>
  <c r="AG36" i="33"/>
  <c r="AF36" i="33"/>
  <c r="AE36" i="33"/>
  <c r="AD36" i="33"/>
  <c r="AC36" i="33"/>
  <c r="AB36" i="33"/>
  <c r="AA36" i="33"/>
  <c r="Z36" i="33"/>
  <c r="Y36" i="33"/>
  <c r="X36" i="33"/>
  <c r="W36" i="33"/>
  <c r="V36" i="33"/>
  <c r="U36" i="33"/>
  <c r="T36" i="33"/>
  <c r="S36" i="33"/>
  <c r="R36" i="33"/>
  <c r="Q36" i="33"/>
  <c r="P36" i="33"/>
  <c r="O36" i="33"/>
  <c r="N36" i="33"/>
  <c r="M36" i="33"/>
  <c r="L36" i="33"/>
  <c r="K36" i="33"/>
  <c r="J36" i="33"/>
  <c r="I36" i="33"/>
  <c r="H36" i="33"/>
  <c r="G36" i="33"/>
  <c r="F36" i="33"/>
  <c r="E36" i="33"/>
  <c r="D36" i="33"/>
  <c r="C36" i="33"/>
  <c r="B36" i="33"/>
  <c r="AP35" i="33"/>
  <c r="AO35" i="33"/>
  <c r="AM35" i="33"/>
  <c r="AL35" i="33"/>
  <c r="AK35" i="33"/>
  <c r="AJ35" i="33"/>
  <c r="AI35" i="33"/>
  <c r="AH35" i="33"/>
  <c r="AG35" i="33"/>
  <c r="AF35" i="33"/>
  <c r="AE35" i="33"/>
  <c r="AD35" i="33"/>
  <c r="AC35" i="33"/>
  <c r="AB35" i="33"/>
  <c r="AA35" i="33"/>
  <c r="Z35" i="33"/>
  <c r="Y35" i="33"/>
  <c r="X35" i="33"/>
  <c r="W35" i="33"/>
  <c r="V35" i="33"/>
  <c r="U35" i="33"/>
  <c r="T35" i="33"/>
  <c r="S35" i="33"/>
  <c r="R35" i="33"/>
  <c r="Q35" i="33"/>
  <c r="P35" i="33"/>
  <c r="O35" i="33"/>
  <c r="N35" i="33"/>
  <c r="M35" i="33"/>
  <c r="L35" i="33"/>
  <c r="K35" i="33"/>
  <c r="J35" i="33"/>
  <c r="I35" i="33"/>
  <c r="H35" i="33"/>
  <c r="G35" i="33"/>
  <c r="F35" i="33"/>
  <c r="E35" i="33"/>
  <c r="D35" i="33"/>
  <c r="C35" i="33"/>
  <c r="B35" i="33"/>
  <c r="AP34" i="33"/>
  <c r="AO34" i="33"/>
  <c r="AM34" i="33"/>
  <c r="AL34" i="33"/>
  <c r="AK34" i="33"/>
  <c r="AJ34" i="33"/>
  <c r="AI34" i="33"/>
  <c r="AH34" i="33"/>
  <c r="AG34" i="33"/>
  <c r="AF34" i="33"/>
  <c r="AE34" i="33"/>
  <c r="AD34" i="33"/>
  <c r="AC34" i="33"/>
  <c r="AB34" i="33"/>
  <c r="AA34" i="33"/>
  <c r="Z34" i="33"/>
  <c r="Y34" i="33"/>
  <c r="X34" i="33"/>
  <c r="W34" i="33"/>
  <c r="V34" i="33"/>
  <c r="U34" i="33"/>
  <c r="T34" i="33"/>
  <c r="S34" i="33"/>
  <c r="R34" i="33"/>
  <c r="Q34" i="33"/>
  <c r="P34" i="33"/>
  <c r="O34" i="33"/>
  <c r="N34" i="33"/>
  <c r="M34" i="33"/>
  <c r="L34" i="33"/>
  <c r="K34" i="33"/>
  <c r="J34" i="33"/>
  <c r="I34" i="33"/>
  <c r="H34" i="33"/>
  <c r="G34" i="33"/>
  <c r="F34" i="33"/>
  <c r="E34" i="33"/>
  <c r="D34" i="33"/>
  <c r="C34" i="33"/>
  <c r="B34" i="33"/>
  <c r="AP33" i="33"/>
  <c r="AO33" i="33"/>
  <c r="AM33" i="33"/>
  <c r="AL33" i="33"/>
  <c r="AK33" i="33"/>
  <c r="AJ33" i="33"/>
  <c r="AI33" i="33"/>
  <c r="AH33" i="33"/>
  <c r="AG33" i="33"/>
  <c r="AF33" i="33"/>
  <c r="AE33" i="33"/>
  <c r="AD33" i="33"/>
  <c r="AC33" i="33"/>
  <c r="AB33" i="33"/>
  <c r="AA33" i="33"/>
  <c r="Z33" i="33"/>
  <c r="Y33" i="33"/>
  <c r="X33" i="33"/>
  <c r="W33" i="33"/>
  <c r="V33" i="33"/>
  <c r="U33" i="33"/>
  <c r="T33" i="33"/>
  <c r="S33" i="33"/>
  <c r="R33" i="33"/>
  <c r="Q33" i="33"/>
  <c r="P33" i="33"/>
  <c r="O33" i="33"/>
  <c r="N33" i="33"/>
  <c r="M33" i="33"/>
  <c r="L33" i="33"/>
  <c r="K33" i="33"/>
  <c r="J33" i="33"/>
  <c r="I33" i="33"/>
  <c r="H33" i="33"/>
  <c r="G33" i="33"/>
  <c r="F33" i="33"/>
  <c r="E33" i="33"/>
  <c r="D33" i="33"/>
  <c r="C33" i="33"/>
  <c r="B33" i="33"/>
  <c r="AP31" i="33"/>
  <c r="AN31" i="33"/>
  <c r="AM31" i="33"/>
  <c r="AL31" i="33"/>
  <c r="AK31" i="33"/>
  <c r="AJ31" i="33"/>
  <c r="AI31" i="33"/>
  <c r="AH31" i="33"/>
  <c r="AG31" i="33"/>
  <c r="AF31" i="33"/>
  <c r="AE31" i="33"/>
  <c r="AD31" i="33"/>
  <c r="AC31" i="33"/>
  <c r="AB31" i="33"/>
  <c r="AA31" i="33"/>
  <c r="Z31" i="33"/>
  <c r="Y31" i="33"/>
  <c r="X31" i="33"/>
  <c r="W31" i="33"/>
  <c r="V31" i="33"/>
  <c r="U31" i="33"/>
  <c r="T31" i="33"/>
  <c r="S31" i="33"/>
  <c r="R31" i="33"/>
  <c r="Q31" i="33"/>
  <c r="P31" i="33"/>
  <c r="O31" i="33"/>
  <c r="N31" i="33"/>
  <c r="M31" i="33"/>
  <c r="L31" i="33"/>
  <c r="K31" i="33"/>
  <c r="J31" i="33"/>
  <c r="I31" i="33"/>
  <c r="H31" i="33"/>
  <c r="G31" i="33"/>
  <c r="F31" i="33"/>
  <c r="E31" i="33"/>
  <c r="D31" i="33"/>
  <c r="B31" i="33"/>
  <c r="AP30" i="33"/>
  <c r="AN30" i="33"/>
  <c r="AM30" i="33"/>
  <c r="AL30" i="33"/>
  <c r="AK30" i="33"/>
  <c r="AJ30" i="33"/>
  <c r="AI30" i="33"/>
  <c r="AH30" i="33"/>
  <c r="AG30" i="33"/>
  <c r="AF30" i="33"/>
  <c r="AE30" i="33"/>
  <c r="AD30" i="33"/>
  <c r="AC30" i="33"/>
  <c r="AB30" i="33"/>
  <c r="AA30" i="33"/>
  <c r="Z30" i="33"/>
  <c r="Y30" i="33"/>
  <c r="X30" i="33"/>
  <c r="W30" i="33"/>
  <c r="V30" i="33"/>
  <c r="U30" i="33"/>
  <c r="T30" i="33"/>
  <c r="S30" i="33"/>
  <c r="R30" i="33"/>
  <c r="Q30" i="33"/>
  <c r="P30" i="33"/>
  <c r="O30" i="33"/>
  <c r="N30" i="33"/>
  <c r="M30" i="33"/>
  <c r="L30" i="33"/>
  <c r="K30" i="33"/>
  <c r="J30" i="33"/>
  <c r="I30" i="33"/>
  <c r="H30" i="33"/>
  <c r="G30" i="33"/>
  <c r="F30" i="33"/>
  <c r="E30" i="33"/>
  <c r="D30" i="33"/>
  <c r="B30" i="33"/>
  <c r="AP29" i="33"/>
  <c r="AN29" i="33"/>
  <c r="AM29" i="33"/>
  <c r="AL29" i="33"/>
  <c r="AK29" i="33"/>
  <c r="AJ29" i="33"/>
  <c r="AI29" i="33"/>
  <c r="AH29" i="33"/>
  <c r="AG29" i="33"/>
  <c r="AF29" i="33"/>
  <c r="AE29" i="33"/>
  <c r="AD29" i="33"/>
  <c r="AC29" i="33"/>
  <c r="AB29" i="33"/>
  <c r="AA29" i="33"/>
  <c r="Z29" i="33"/>
  <c r="Y29" i="33"/>
  <c r="X29" i="33"/>
  <c r="W29" i="33"/>
  <c r="V29" i="33"/>
  <c r="U29" i="33"/>
  <c r="T29" i="33"/>
  <c r="S29" i="33"/>
  <c r="R29" i="33"/>
  <c r="Q29" i="33"/>
  <c r="P29" i="33"/>
  <c r="O29" i="33"/>
  <c r="N29" i="33"/>
  <c r="M29" i="33"/>
  <c r="L29" i="33"/>
  <c r="K29" i="33"/>
  <c r="J29" i="33"/>
  <c r="I29" i="33"/>
  <c r="H29" i="33"/>
  <c r="G29" i="33"/>
  <c r="F29" i="33"/>
  <c r="E29" i="33"/>
  <c r="D29" i="33"/>
  <c r="B29" i="33"/>
  <c r="AP28" i="33"/>
  <c r="AN28" i="33"/>
  <c r="AM28" i="33"/>
  <c r="AL28" i="33"/>
  <c r="AK28" i="33"/>
  <c r="AJ28" i="33"/>
  <c r="AI28" i="33"/>
  <c r="AH28" i="33"/>
  <c r="AG28" i="33"/>
  <c r="AF28" i="33"/>
  <c r="AE28" i="33"/>
  <c r="AD28" i="33"/>
  <c r="AC28" i="33"/>
  <c r="AB28" i="33"/>
  <c r="AA28" i="33"/>
  <c r="Z28" i="33"/>
  <c r="Y28" i="33"/>
  <c r="X28" i="33"/>
  <c r="W28" i="33"/>
  <c r="V28" i="33"/>
  <c r="U28" i="33"/>
  <c r="T28" i="33"/>
  <c r="S28" i="33"/>
  <c r="R28" i="33"/>
  <c r="Q28" i="33"/>
  <c r="P28" i="33"/>
  <c r="O28" i="33"/>
  <c r="N28" i="33"/>
  <c r="M28" i="33"/>
  <c r="L28" i="33"/>
  <c r="K28" i="33"/>
  <c r="J28" i="33"/>
  <c r="I28" i="33"/>
  <c r="H28" i="33"/>
  <c r="G28" i="33"/>
  <c r="F28" i="33"/>
  <c r="E28" i="33"/>
  <c r="D28" i="33"/>
  <c r="B28" i="33"/>
  <c r="AP27" i="33"/>
  <c r="AN27" i="33"/>
  <c r="AM27" i="33"/>
  <c r="AL27" i="33"/>
  <c r="AK27" i="33"/>
  <c r="AJ27" i="33"/>
  <c r="AI27" i="33"/>
  <c r="AH27" i="33"/>
  <c r="AG27" i="33"/>
  <c r="AF27" i="33"/>
  <c r="AE27" i="33"/>
  <c r="AD27" i="33"/>
  <c r="AC27" i="33"/>
  <c r="AB27" i="33"/>
  <c r="AA27" i="33"/>
  <c r="Z27" i="33"/>
  <c r="Y27" i="33"/>
  <c r="X27" i="33"/>
  <c r="W27" i="33"/>
  <c r="V27" i="33"/>
  <c r="U27" i="33"/>
  <c r="T27" i="33"/>
  <c r="S27" i="33"/>
  <c r="R27" i="33"/>
  <c r="Q27" i="33"/>
  <c r="P27" i="33"/>
  <c r="O27" i="33"/>
  <c r="N27" i="33"/>
  <c r="M27" i="33"/>
  <c r="L27" i="33"/>
  <c r="K27" i="33"/>
  <c r="J27" i="33"/>
  <c r="I27" i="33"/>
  <c r="H27" i="33"/>
  <c r="G27" i="33"/>
  <c r="F27" i="33"/>
  <c r="E27" i="33"/>
  <c r="D27" i="33"/>
  <c r="B27" i="33"/>
  <c r="AP26" i="33"/>
  <c r="AN26" i="33"/>
  <c r="AM26" i="33"/>
  <c r="AL26" i="33"/>
  <c r="AK26" i="33"/>
  <c r="AJ26" i="33"/>
  <c r="AI26" i="33"/>
  <c r="AH26" i="33"/>
  <c r="AG26" i="33"/>
  <c r="AF26" i="33"/>
  <c r="AE26" i="33"/>
  <c r="AD26" i="33"/>
  <c r="AC26" i="33"/>
  <c r="AB26" i="33"/>
  <c r="AA26" i="33"/>
  <c r="Z26" i="33"/>
  <c r="Y26" i="33"/>
  <c r="X26" i="33"/>
  <c r="W26" i="33"/>
  <c r="V26" i="33"/>
  <c r="U26" i="33"/>
  <c r="T26" i="33"/>
  <c r="S26" i="33"/>
  <c r="R26" i="33"/>
  <c r="Q26" i="33"/>
  <c r="P26" i="33"/>
  <c r="O26" i="33"/>
  <c r="N26" i="33"/>
  <c r="M26" i="33"/>
  <c r="L26" i="33"/>
  <c r="K26" i="33"/>
  <c r="J26" i="33"/>
  <c r="I26" i="33"/>
  <c r="H26" i="33"/>
  <c r="G26" i="33"/>
  <c r="F26" i="33"/>
  <c r="E26" i="33"/>
  <c r="D26" i="33"/>
  <c r="B26" i="33"/>
  <c r="AP25" i="33"/>
  <c r="AN25" i="33"/>
  <c r="AM25" i="33"/>
  <c r="AL25" i="33"/>
  <c r="AK25" i="33"/>
  <c r="AJ25" i="33"/>
  <c r="AI25" i="33"/>
  <c r="AH25" i="33"/>
  <c r="AG25" i="33"/>
  <c r="AF25" i="33"/>
  <c r="AE25" i="33"/>
  <c r="AD25" i="33"/>
  <c r="AC25" i="33"/>
  <c r="AB25" i="33"/>
  <c r="AA25" i="33"/>
  <c r="Z25" i="33"/>
  <c r="Y25" i="33"/>
  <c r="X25" i="33"/>
  <c r="W25" i="33"/>
  <c r="V25" i="33"/>
  <c r="U25" i="33"/>
  <c r="T25" i="33"/>
  <c r="S25" i="33"/>
  <c r="R25" i="33"/>
  <c r="Q25" i="33"/>
  <c r="P25" i="33"/>
  <c r="O25" i="33"/>
  <c r="N25" i="33"/>
  <c r="M25" i="33"/>
  <c r="L25" i="33"/>
  <c r="K25" i="33"/>
  <c r="J25" i="33"/>
  <c r="I25" i="33"/>
  <c r="H25" i="33"/>
  <c r="G25" i="33"/>
  <c r="F25" i="33"/>
  <c r="E25" i="33"/>
  <c r="D25" i="33"/>
  <c r="B25" i="33"/>
  <c r="AP24" i="33"/>
  <c r="AN24" i="33"/>
  <c r="AM24" i="33"/>
  <c r="AL24" i="33"/>
  <c r="AK24" i="33"/>
  <c r="AJ24" i="33"/>
  <c r="AI24" i="33"/>
  <c r="AH24" i="33"/>
  <c r="AG24" i="33"/>
  <c r="AF24" i="33"/>
  <c r="AE24" i="33"/>
  <c r="AD24" i="33"/>
  <c r="AC24" i="33"/>
  <c r="AB24" i="33"/>
  <c r="AA24" i="33"/>
  <c r="Z24" i="33"/>
  <c r="Y24" i="33"/>
  <c r="X24" i="33"/>
  <c r="W24" i="33"/>
  <c r="V24" i="33"/>
  <c r="U24" i="33"/>
  <c r="T24" i="33"/>
  <c r="S24" i="33"/>
  <c r="R24" i="33"/>
  <c r="Q24" i="33"/>
  <c r="P24" i="33"/>
  <c r="O24" i="33"/>
  <c r="N24" i="33"/>
  <c r="M24" i="33"/>
  <c r="L24" i="33"/>
  <c r="K24" i="33"/>
  <c r="J24" i="33"/>
  <c r="I24" i="33"/>
  <c r="H24" i="33"/>
  <c r="G24" i="33"/>
  <c r="F24" i="33"/>
  <c r="E24" i="33"/>
  <c r="D24" i="33"/>
  <c r="B24" i="33"/>
  <c r="AP23" i="33"/>
  <c r="AN23" i="33"/>
  <c r="AM23" i="33"/>
  <c r="AL23" i="33"/>
  <c r="AK23" i="33"/>
  <c r="AJ23" i="33"/>
  <c r="AI23" i="33"/>
  <c r="AH23" i="33"/>
  <c r="AG23" i="33"/>
  <c r="AF23" i="33"/>
  <c r="AE23" i="33"/>
  <c r="AD23" i="33"/>
  <c r="AC23" i="33"/>
  <c r="AB23" i="33"/>
  <c r="AA23" i="33"/>
  <c r="Z23" i="33"/>
  <c r="Y23" i="33"/>
  <c r="X23" i="33"/>
  <c r="W23" i="33"/>
  <c r="V23" i="33"/>
  <c r="U23" i="33"/>
  <c r="T23" i="33"/>
  <c r="S23" i="33"/>
  <c r="R23" i="33"/>
  <c r="Q23" i="33"/>
  <c r="P23" i="33"/>
  <c r="O23" i="33"/>
  <c r="N23" i="33"/>
  <c r="M23" i="33"/>
  <c r="L23" i="33"/>
  <c r="K23" i="33"/>
  <c r="J23" i="33"/>
  <c r="I23" i="33"/>
  <c r="H23" i="33"/>
  <c r="G23" i="33"/>
  <c r="F23" i="33"/>
  <c r="E23" i="33"/>
  <c r="D23" i="33"/>
  <c r="B23" i="33"/>
  <c r="AP22" i="33"/>
  <c r="AN22" i="33"/>
  <c r="AM22" i="33"/>
  <c r="AL22" i="33"/>
  <c r="AK22" i="33"/>
  <c r="AJ22" i="33"/>
  <c r="AI22" i="33"/>
  <c r="AH22" i="33"/>
  <c r="AG22" i="33"/>
  <c r="AF22" i="33"/>
  <c r="AE22" i="33"/>
  <c r="AD22" i="33"/>
  <c r="AC22" i="33"/>
  <c r="AB22" i="33"/>
  <c r="AA22" i="33"/>
  <c r="Z22" i="33"/>
  <c r="Y22" i="33"/>
  <c r="X22" i="33"/>
  <c r="W22" i="33"/>
  <c r="V22" i="33"/>
  <c r="U22" i="33"/>
  <c r="T22" i="33"/>
  <c r="S22" i="33"/>
  <c r="R22" i="33"/>
  <c r="Q22" i="33"/>
  <c r="P22" i="33"/>
  <c r="O22" i="33"/>
  <c r="N22" i="33"/>
  <c r="M22" i="33"/>
  <c r="L22" i="33"/>
  <c r="K22" i="33"/>
  <c r="J22" i="33"/>
  <c r="I22" i="33"/>
  <c r="H22" i="33"/>
  <c r="G22" i="33"/>
  <c r="F22" i="33"/>
  <c r="E22" i="33"/>
  <c r="B22" i="33"/>
  <c r="AM21" i="33"/>
  <c r="AL21" i="33"/>
  <c r="AK21" i="33"/>
  <c r="AJ21" i="33"/>
  <c r="AI21" i="33"/>
  <c r="AH21" i="33"/>
  <c r="AG21" i="33"/>
  <c r="AF21" i="33"/>
  <c r="AE21" i="33"/>
  <c r="AD21" i="33"/>
  <c r="AC21" i="33"/>
  <c r="AB21" i="33"/>
  <c r="AA21" i="33"/>
  <c r="Z21" i="33"/>
  <c r="Y21" i="33"/>
  <c r="X21" i="33"/>
  <c r="W21" i="33"/>
  <c r="V21" i="33"/>
  <c r="U21" i="33"/>
  <c r="T21" i="33"/>
  <c r="S21" i="33"/>
  <c r="R21" i="33"/>
  <c r="Q21" i="33"/>
  <c r="P21" i="33"/>
  <c r="O21" i="33"/>
  <c r="N21" i="33"/>
  <c r="M21" i="33"/>
  <c r="L21" i="33"/>
  <c r="K21" i="33"/>
  <c r="J21" i="33"/>
  <c r="I21" i="33"/>
  <c r="H21" i="33"/>
  <c r="G21" i="33"/>
  <c r="F21" i="33"/>
  <c r="E21" i="33"/>
  <c r="B16" i="33"/>
  <c r="B15" i="33"/>
  <c r="B14" i="33"/>
  <c r="B13" i="33"/>
  <c r="B12" i="33"/>
  <c r="B11" i="33"/>
  <c r="B10" i="33"/>
  <c r="B9" i="33"/>
  <c r="B8" i="33"/>
  <c r="B7" i="33"/>
  <c r="AK42" i="32"/>
  <c r="AJ42" i="32"/>
  <c r="AI42" i="32"/>
  <c r="AH42" i="32"/>
  <c r="AG42" i="32"/>
  <c r="AF42" i="32"/>
  <c r="AE42" i="32"/>
  <c r="AD42" i="32"/>
  <c r="AC42" i="32"/>
  <c r="AB42" i="32"/>
  <c r="AA42" i="32"/>
  <c r="Z42" i="32"/>
  <c r="Y42" i="32"/>
  <c r="X42" i="32"/>
  <c r="W42" i="32"/>
  <c r="V42" i="32"/>
  <c r="U42" i="32"/>
  <c r="T42" i="32"/>
  <c r="S42" i="32"/>
  <c r="R42" i="32"/>
  <c r="Q42" i="32"/>
  <c r="P42" i="32"/>
  <c r="O42" i="32"/>
  <c r="N42" i="32"/>
  <c r="M42" i="32"/>
  <c r="L42" i="32"/>
  <c r="K42" i="32"/>
  <c r="J42" i="32"/>
  <c r="I42" i="32"/>
  <c r="H42" i="32"/>
  <c r="G42" i="32"/>
  <c r="F42" i="32"/>
  <c r="E42" i="32"/>
  <c r="D42" i="32"/>
  <c r="C42" i="32"/>
  <c r="AK41" i="32"/>
  <c r="AJ41" i="32"/>
  <c r="AI41" i="32"/>
  <c r="AH41" i="32"/>
  <c r="AG41" i="32"/>
  <c r="AF41" i="32"/>
  <c r="AE41" i="32"/>
  <c r="AD41" i="32"/>
  <c r="AC41" i="32"/>
  <c r="AB41" i="32"/>
  <c r="AA41" i="32"/>
  <c r="Z41" i="32"/>
  <c r="Y41" i="32"/>
  <c r="X41" i="32"/>
  <c r="W41" i="32"/>
  <c r="V41" i="32"/>
  <c r="U41" i="32"/>
  <c r="T41" i="32"/>
  <c r="S41" i="32"/>
  <c r="R41" i="32"/>
  <c r="Q41" i="32"/>
  <c r="P41" i="32"/>
  <c r="O41" i="32"/>
  <c r="N41" i="32"/>
  <c r="M41" i="32"/>
  <c r="L41" i="32"/>
  <c r="K41" i="32"/>
  <c r="J41" i="32"/>
  <c r="I41" i="32"/>
  <c r="H41" i="32"/>
  <c r="G41" i="32"/>
  <c r="F41" i="32"/>
  <c r="E41" i="32"/>
  <c r="D41" i="32"/>
  <c r="C41" i="32"/>
  <c r="AK39" i="32"/>
  <c r="AJ39" i="32"/>
  <c r="AI39" i="32"/>
  <c r="AH39" i="32"/>
  <c r="AG39" i="32"/>
  <c r="AF39" i="32"/>
  <c r="AE39" i="32"/>
  <c r="AD39" i="32"/>
  <c r="AC39" i="32"/>
  <c r="AB39" i="32"/>
  <c r="AA39" i="32"/>
  <c r="Z39" i="32"/>
  <c r="Y39" i="32"/>
  <c r="X39" i="32"/>
  <c r="W39" i="32"/>
  <c r="V39" i="32"/>
  <c r="U39" i="32"/>
  <c r="T39" i="32"/>
  <c r="S39" i="32"/>
  <c r="R39" i="32"/>
  <c r="Q39" i="32"/>
  <c r="P39" i="32"/>
  <c r="O39" i="32"/>
  <c r="N39" i="32"/>
  <c r="M39" i="32"/>
  <c r="L39" i="32"/>
  <c r="K39" i="32"/>
  <c r="J39" i="32"/>
  <c r="I39" i="32"/>
  <c r="H39" i="32"/>
  <c r="G39" i="32"/>
  <c r="F39" i="32"/>
  <c r="E39" i="32"/>
  <c r="D39" i="32"/>
  <c r="C39" i="32"/>
  <c r="AK38" i="32"/>
  <c r="AJ38" i="32"/>
  <c r="AI38" i="32"/>
  <c r="AH38" i="32"/>
  <c r="AG38" i="32"/>
  <c r="AF38" i="32"/>
  <c r="AE38" i="32"/>
  <c r="AD38" i="32"/>
  <c r="AC38" i="32"/>
  <c r="AB38" i="32"/>
  <c r="AA38" i="32"/>
  <c r="Z38" i="32"/>
  <c r="Y38" i="32"/>
  <c r="X38" i="32"/>
  <c r="W38" i="32"/>
  <c r="V38" i="32"/>
  <c r="U38" i="32"/>
  <c r="T38" i="32"/>
  <c r="S38" i="32"/>
  <c r="R38" i="32"/>
  <c r="Q38" i="32"/>
  <c r="P38" i="32"/>
  <c r="O38" i="32"/>
  <c r="N38" i="32"/>
  <c r="M38" i="32"/>
  <c r="L38" i="32"/>
  <c r="K38" i="32"/>
  <c r="J38" i="32"/>
  <c r="I38" i="32"/>
  <c r="H38" i="32"/>
  <c r="G38" i="32"/>
  <c r="F38" i="32"/>
  <c r="E38" i="32"/>
  <c r="D38" i="32"/>
  <c r="C38" i="32"/>
  <c r="AK37" i="32"/>
  <c r="AJ37" i="32"/>
  <c r="AI37" i="32"/>
  <c r="AH37" i="32"/>
  <c r="AG37" i="32"/>
  <c r="AF37" i="32"/>
  <c r="AE37" i="32"/>
  <c r="AD37" i="32"/>
  <c r="AC37" i="32"/>
  <c r="AB37" i="32"/>
  <c r="AA37" i="32"/>
  <c r="Z37" i="32"/>
  <c r="Y37" i="32"/>
  <c r="X37" i="32"/>
  <c r="W37" i="32"/>
  <c r="V37" i="32"/>
  <c r="U37" i="32"/>
  <c r="T37" i="32"/>
  <c r="S37" i="32"/>
  <c r="R37" i="32"/>
  <c r="Q37" i="32"/>
  <c r="P37" i="32"/>
  <c r="O37" i="32"/>
  <c r="N37" i="32"/>
  <c r="M37" i="32"/>
  <c r="L37" i="32"/>
  <c r="K37" i="32"/>
  <c r="J37" i="32"/>
  <c r="I37" i="32"/>
  <c r="H37" i="32"/>
  <c r="G37" i="32"/>
  <c r="F37" i="32"/>
  <c r="E37" i="32"/>
  <c r="D37" i="32"/>
  <c r="C37" i="32"/>
  <c r="N32" i="24"/>
  <c r="M32" i="24"/>
  <c r="U28" i="24"/>
  <c r="T28" i="24"/>
  <c r="N28" i="24"/>
  <c r="M28" i="24"/>
  <c r="L28" i="24"/>
  <c r="U27" i="24"/>
  <c r="T27" i="24"/>
  <c r="N27" i="24"/>
  <c r="M27" i="24"/>
  <c r="L27" i="24"/>
  <c r="U26" i="24"/>
  <c r="T26" i="24"/>
  <c r="N26" i="24"/>
  <c r="M26" i="24"/>
  <c r="L26" i="24"/>
  <c r="U25" i="24"/>
  <c r="T25" i="24"/>
  <c r="N25" i="24"/>
  <c r="M25" i="24"/>
  <c r="L25" i="24"/>
  <c r="U24" i="24"/>
  <c r="T24" i="24"/>
  <c r="N24" i="24"/>
  <c r="M24" i="24"/>
  <c r="L24" i="24"/>
  <c r="U23" i="24"/>
  <c r="T23" i="24"/>
  <c r="N23" i="24"/>
  <c r="M23" i="24"/>
  <c r="L23" i="24"/>
  <c r="U22" i="24"/>
  <c r="T22" i="24"/>
  <c r="N22" i="24"/>
  <c r="M22" i="24"/>
  <c r="L22" i="24"/>
  <c r="U21" i="24"/>
  <c r="T21" i="24"/>
  <c r="N21" i="24"/>
  <c r="M21" i="24"/>
  <c r="L21" i="24"/>
  <c r="U20" i="24"/>
  <c r="T20" i="24"/>
  <c r="N20" i="24"/>
  <c r="M20" i="24"/>
  <c r="L20" i="24"/>
  <c r="U19" i="24"/>
  <c r="T19" i="24"/>
  <c r="N19" i="24"/>
  <c r="M19" i="24"/>
  <c r="L19" i="24"/>
  <c r="U18" i="24"/>
  <c r="T18" i="24"/>
  <c r="N18" i="24"/>
  <c r="M18" i="24"/>
  <c r="L18" i="24"/>
  <c r="U17" i="24"/>
  <c r="T17" i="24"/>
  <c r="N17" i="24"/>
  <c r="M17" i="24"/>
  <c r="L17" i="24"/>
  <c r="U16" i="24"/>
  <c r="T16" i="24"/>
  <c r="N16" i="24"/>
  <c r="M16" i="24"/>
  <c r="L16" i="24"/>
  <c r="U15" i="24"/>
  <c r="T15" i="24"/>
  <c r="N15" i="24"/>
  <c r="M15" i="24"/>
  <c r="L15" i="24"/>
  <c r="U14" i="24"/>
  <c r="T14" i="24"/>
  <c r="N14" i="24"/>
  <c r="M14" i="24"/>
  <c r="L14" i="24"/>
  <c r="U13" i="24"/>
  <c r="T13" i="24"/>
  <c r="N13" i="24"/>
  <c r="M13" i="24"/>
  <c r="L13" i="24"/>
  <c r="U12" i="24"/>
  <c r="T12" i="24"/>
  <c r="N12" i="24"/>
  <c r="M12" i="24"/>
  <c r="L12" i="24"/>
  <c r="U11" i="24"/>
  <c r="T11" i="24"/>
  <c r="N11" i="24"/>
  <c r="M11" i="24"/>
  <c r="L11" i="24"/>
  <c r="U10" i="24"/>
  <c r="T10" i="24"/>
  <c r="N10" i="24"/>
  <c r="M10" i="24"/>
  <c r="L10" i="24"/>
  <c r="U9" i="24"/>
  <c r="T9" i="24"/>
  <c r="N9" i="24"/>
  <c r="M9" i="24"/>
  <c r="L9" i="24"/>
  <c r="U8" i="24"/>
  <c r="T8" i="24"/>
  <c r="N8" i="24"/>
  <c r="M8" i="24"/>
  <c r="L8" i="24"/>
  <c r="U7" i="24"/>
  <c r="T7" i="24"/>
  <c r="N7" i="24"/>
  <c r="M7" i="24"/>
  <c r="L7" i="24"/>
  <c r="U6" i="24"/>
  <c r="T6" i="24"/>
  <c r="N6" i="24"/>
  <c r="M6" i="24"/>
  <c r="L6" i="24"/>
  <c r="T5" i="24"/>
  <c r="R162" i="36"/>
  <c r="Q162" i="36"/>
  <c r="M162" i="36"/>
  <c r="L162" i="36"/>
  <c r="R161" i="36"/>
  <c r="Q161" i="36"/>
  <c r="M161" i="36"/>
  <c r="L161" i="36"/>
  <c r="R160" i="36"/>
  <c r="Q160" i="36"/>
  <c r="M160" i="36"/>
  <c r="L160" i="36"/>
  <c r="H160" i="36"/>
  <c r="G160" i="36"/>
  <c r="C160" i="36"/>
  <c r="B160" i="36"/>
  <c r="R159" i="36"/>
  <c r="Q159" i="36"/>
  <c r="M159" i="36"/>
  <c r="L159" i="36"/>
  <c r="H159" i="36"/>
  <c r="G159" i="36"/>
  <c r="C159" i="36"/>
  <c r="B159" i="36"/>
  <c r="R158" i="36"/>
  <c r="Q158" i="36"/>
  <c r="M158" i="36"/>
  <c r="L158" i="36"/>
  <c r="H158" i="36"/>
  <c r="G158" i="36"/>
  <c r="C158" i="36"/>
  <c r="B158" i="36"/>
  <c r="R157" i="36"/>
  <c r="Q157" i="36"/>
  <c r="M157" i="36"/>
  <c r="L157" i="36"/>
  <c r="H157" i="36"/>
  <c r="G157" i="36"/>
  <c r="C157" i="36"/>
  <c r="B157" i="36"/>
  <c r="R156" i="36"/>
  <c r="Q156" i="36"/>
  <c r="M156" i="36"/>
  <c r="L156" i="36"/>
  <c r="H156" i="36"/>
  <c r="G156" i="36"/>
  <c r="C156" i="36"/>
  <c r="B156" i="36"/>
  <c r="R155" i="36"/>
  <c r="Q155" i="36"/>
  <c r="M155" i="36"/>
  <c r="L155" i="36"/>
  <c r="H155" i="36"/>
  <c r="G155" i="36"/>
  <c r="C155" i="36"/>
  <c r="B155" i="36"/>
  <c r="R154" i="36"/>
  <c r="Q154" i="36"/>
  <c r="M154" i="36"/>
  <c r="L154" i="36"/>
  <c r="H154" i="36"/>
  <c r="G154" i="36"/>
  <c r="C154" i="36"/>
  <c r="B154" i="36"/>
  <c r="R153" i="36"/>
  <c r="Q153" i="36"/>
  <c r="M153" i="36"/>
  <c r="L153" i="36"/>
  <c r="H153" i="36"/>
  <c r="G153" i="36"/>
  <c r="C153" i="36"/>
  <c r="B153" i="36"/>
  <c r="R152" i="36"/>
  <c r="Q152" i="36"/>
  <c r="M152" i="36"/>
  <c r="L152" i="36"/>
  <c r="H152" i="36"/>
  <c r="G152" i="36"/>
  <c r="C152" i="36"/>
  <c r="B152" i="36"/>
  <c r="R151" i="36"/>
  <c r="Q151" i="36"/>
  <c r="M151" i="36"/>
  <c r="L151" i="36"/>
  <c r="H151" i="36"/>
  <c r="G151" i="36"/>
  <c r="C151" i="36"/>
  <c r="B151" i="36"/>
  <c r="R150" i="36"/>
  <c r="Q150" i="36"/>
  <c r="M150" i="36"/>
  <c r="L150" i="36"/>
  <c r="H150" i="36"/>
  <c r="G150" i="36"/>
  <c r="C150" i="36"/>
  <c r="B150" i="36"/>
  <c r="R149" i="36"/>
  <c r="Q149" i="36"/>
  <c r="M149" i="36"/>
  <c r="L149" i="36"/>
  <c r="H149" i="36"/>
  <c r="G149" i="36"/>
  <c r="C149" i="36"/>
  <c r="B149" i="36"/>
  <c r="R148" i="36"/>
  <c r="Q148" i="36"/>
  <c r="M148" i="36"/>
  <c r="L148" i="36"/>
  <c r="H148" i="36"/>
  <c r="G148" i="36"/>
  <c r="C148" i="36"/>
  <c r="B148" i="36"/>
  <c r="R147" i="36"/>
  <c r="Q147" i="36"/>
  <c r="M147" i="36"/>
  <c r="L147" i="36"/>
  <c r="H147" i="36"/>
  <c r="G147" i="36"/>
  <c r="C147" i="36"/>
  <c r="B147" i="36"/>
  <c r="R146" i="36"/>
  <c r="Q146" i="36"/>
  <c r="M146" i="36"/>
  <c r="L146" i="36"/>
  <c r="H146" i="36"/>
  <c r="G146" i="36"/>
  <c r="C146" i="36"/>
  <c r="B146" i="36"/>
  <c r="R145" i="36"/>
  <c r="Q145" i="36"/>
  <c r="M145" i="36"/>
  <c r="L145" i="36"/>
  <c r="H145" i="36"/>
  <c r="G145" i="36"/>
  <c r="C145" i="36"/>
  <c r="B145" i="36"/>
  <c r="R144" i="36"/>
  <c r="Q144" i="36"/>
  <c r="M144" i="36"/>
  <c r="L144" i="36"/>
  <c r="H144" i="36"/>
  <c r="G144" i="36"/>
  <c r="C144" i="36"/>
  <c r="B144" i="36"/>
  <c r="R143" i="36"/>
  <c r="Q143" i="36"/>
  <c r="M143" i="36"/>
  <c r="L143" i="36"/>
  <c r="H143" i="36"/>
  <c r="G143" i="36"/>
  <c r="C143" i="36"/>
  <c r="B143" i="36"/>
  <c r="R142" i="36"/>
  <c r="Q142" i="36"/>
  <c r="M142" i="36"/>
  <c r="L142" i="36"/>
  <c r="H142" i="36"/>
  <c r="G142" i="36"/>
  <c r="C142" i="36"/>
  <c r="B142" i="36"/>
  <c r="R141" i="36"/>
  <c r="Q141" i="36"/>
  <c r="M141" i="36"/>
  <c r="L141" i="36"/>
  <c r="H141" i="36"/>
  <c r="G141" i="36"/>
  <c r="C141" i="36"/>
  <c r="B141" i="36"/>
  <c r="R140" i="36"/>
  <c r="Q140" i="36"/>
  <c r="M140" i="36"/>
  <c r="L140" i="36"/>
  <c r="H140" i="36"/>
  <c r="G140" i="36"/>
  <c r="C140" i="36"/>
  <c r="B140" i="36"/>
  <c r="R139" i="36"/>
  <c r="Q139" i="36"/>
  <c r="M139" i="36"/>
  <c r="L139" i="36"/>
  <c r="H139" i="36"/>
  <c r="G139" i="36"/>
  <c r="C139" i="36"/>
  <c r="B139" i="36"/>
  <c r="R138" i="36"/>
  <c r="Q138" i="36"/>
  <c r="M138" i="36"/>
  <c r="L138" i="36"/>
  <c r="H138" i="36"/>
  <c r="G138" i="36"/>
  <c r="C138" i="36"/>
  <c r="B138" i="36"/>
  <c r="R137" i="36"/>
  <c r="Q137" i="36"/>
  <c r="M137" i="36"/>
  <c r="L137" i="36"/>
  <c r="H137" i="36"/>
  <c r="G137" i="36"/>
  <c r="C137" i="36"/>
  <c r="B137" i="36"/>
  <c r="R136" i="36"/>
  <c r="Q136" i="36"/>
  <c r="M136" i="36"/>
  <c r="L136" i="36"/>
  <c r="H136" i="36"/>
  <c r="G136" i="36"/>
  <c r="C136" i="36"/>
  <c r="B136" i="36"/>
  <c r="R135" i="36"/>
  <c r="Q135" i="36"/>
  <c r="M135" i="36"/>
  <c r="L135" i="36"/>
  <c r="H135" i="36"/>
  <c r="G135" i="36"/>
  <c r="C135" i="36"/>
  <c r="B135" i="36"/>
  <c r="R134" i="36"/>
  <c r="Q134" i="36"/>
  <c r="M134" i="36"/>
  <c r="L134" i="36"/>
  <c r="H134" i="36"/>
  <c r="G134" i="36"/>
  <c r="C134" i="36"/>
  <c r="B134" i="36"/>
  <c r="R133" i="36"/>
  <c r="Q133" i="36"/>
  <c r="M133" i="36"/>
  <c r="L133" i="36"/>
  <c r="H133" i="36"/>
  <c r="G133" i="36"/>
  <c r="C133" i="36"/>
  <c r="B133" i="36"/>
  <c r="R132" i="36"/>
  <c r="Q132" i="36"/>
  <c r="M132" i="36"/>
  <c r="L132" i="36"/>
  <c r="H132" i="36"/>
  <c r="G132" i="36"/>
  <c r="C132" i="36"/>
  <c r="B132" i="36"/>
  <c r="R131" i="36"/>
  <c r="Q131" i="36"/>
  <c r="M131" i="36"/>
  <c r="L131" i="36"/>
  <c r="H131" i="36"/>
  <c r="G131" i="36"/>
  <c r="C131" i="36"/>
  <c r="B131" i="36"/>
  <c r="R130" i="36"/>
  <c r="Q130" i="36"/>
  <c r="M130" i="36"/>
  <c r="L130" i="36"/>
  <c r="H130" i="36"/>
  <c r="G130" i="36"/>
  <c r="C130" i="36"/>
  <c r="B130" i="36"/>
  <c r="R129" i="36"/>
  <c r="Q129" i="36"/>
  <c r="M129" i="36"/>
  <c r="L129" i="36"/>
  <c r="H129" i="36"/>
  <c r="G129" i="36"/>
  <c r="C129" i="36"/>
  <c r="B129" i="36"/>
  <c r="R128" i="36"/>
  <c r="Q128" i="36"/>
  <c r="M128" i="36"/>
  <c r="L128" i="36"/>
  <c r="H128" i="36"/>
  <c r="G128" i="36"/>
  <c r="C128" i="36"/>
  <c r="B128" i="36"/>
  <c r="R127" i="36"/>
  <c r="Q127" i="36"/>
  <c r="M127" i="36"/>
  <c r="L127" i="36"/>
  <c r="H127" i="36"/>
  <c r="G127" i="36"/>
  <c r="C127" i="36"/>
  <c r="B127" i="36"/>
  <c r="R126" i="36"/>
  <c r="Q126" i="36"/>
  <c r="M126" i="36"/>
  <c r="L126" i="36"/>
  <c r="H126" i="36"/>
  <c r="G126" i="36"/>
  <c r="C126" i="36"/>
  <c r="B126" i="36"/>
  <c r="R125" i="36"/>
  <c r="Q125" i="36"/>
  <c r="M125" i="36"/>
  <c r="L125" i="36"/>
  <c r="H125" i="36"/>
  <c r="G125" i="36"/>
  <c r="C125" i="36"/>
  <c r="B125" i="36"/>
  <c r="R124" i="36"/>
  <c r="Q124" i="36"/>
  <c r="M124" i="36"/>
  <c r="L124" i="36"/>
  <c r="H124" i="36"/>
  <c r="G124" i="36"/>
  <c r="C124" i="36"/>
  <c r="B124" i="36"/>
  <c r="R123" i="36"/>
  <c r="Q123" i="36"/>
  <c r="M123" i="36"/>
  <c r="L123" i="36"/>
  <c r="H123" i="36"/>
  <c r="G123" i="36"/>
  <c r="C123" i="36"/>
  <c r="B123" i="36"/>
  <c r="R122" i="36"/>
  <c r="Q122" i="36"/>
  <c r="M122" i="36"/>
  <c r="L122" i="36"/>
  <c r="H122" i="36"/>
  <c r="G122" i="36"/>
  <c r="C122" i="36"/>
  <c r="B122" i="36"/>
  <c r="R121" i="36"/>
  <c r="Q121" i="36"/>
  <c r="M121" i="36"/>
  <c r="L121" i="36"/>
  <c r="H121" i="36"/>
  <c r="G121" i="36"/>
  <c r="C121" i="36"/>
  <c r="B121" i="36"/>
  <c r="AC120" i="36"/>
  <c r="AB120" i="36"/>
  <c r="X120" i="36"/>
  <c r="W120" i="36"/>
  <c r="R120" i="36"/>
  <c r="Q120" i="36"/>
  <c r="M120" i="36"/>
  <c r="L120" i="36"/>
  <c r="H120" i="36"/>
  <c r="G120" i="36"/>
  <c r="C120" i="36"/>
  <c r="B120" i="36"/>
  <c r="AC119" i="36"/>
  <c r="AB119" i="36"/>
  <c r="X119" i="36"/>
  <c r="W119" i="36"/>
  <c r="R119" i="36"/>
  <c r="Q119" i="36"/>
  <c r="M119" i="36"/>
  <c r="L119" i="36"/>
  <c r="H119" i="36"/>
  <c r="G119" i="36"/>
  <c r="C119" i="36"/>
  <c r="B119" i="36"/>
  <c r="AC118" i="36"/>
  <c r="AB118" i="36"/>
  <c r="X118" i="36"/>
  <c r="W118" i="36"/>
  <c r="R118" i="36"/>
  <c r="Q118" i="36"/>
  <c r="M118" i="36"/>
  <c r="L118" i="36"/>
  <c r="H118" i="36"/>
  <c r="G118" i="36"/>
  <c r="C118" i="36"/>
  <c r="B118" i="36"/>
  <c r="AC117" i="36"/>
  <c r="AB117" i="36"/>
  <c r="X117" i="36"/>
  <c r="W117" i="36"/>
  <c r="R117" i="36"/>
  <c r="Q117" i="36"/>
  <c r="M117" i="36"/>
  <c r="L117" i="36"/>
  <c r="H117" i="36"/>
  <c r="G117" i="36"/>
  <c r="C117" i="36"/>
  <c r="B117" i="36"/>
  <c r="AC116" i="36"/>
  <c r="AB116" i="36"/>
  <c r="X116" i="36"/>
  <c r="W116" i="36"/>
  <c r="R116" i="36"/>
  <c r="Q116" i="36"/>
  <c r="M116" i="36"/>
  <c r="L116" i="36"/>
  <c r="H116" i="36"/>
  <c r="G116" i="36"/>
  <c r="C116" i="36"/>
  <c r="B116" i="36"/>
  <c r="AC115" i="36"/>
  <c r="AB115" i="36"/>
  <c r="X115" i="36"/>
  <c r="W115" i="36"/>
  <c r="R115" i="36"/>
  <c r="Q115" i="36"/>
  <c r="M115" i="36"/>
  <c r="L115" i="36"/>
  <c r="H115" i="36"/>
  <c r="G115" i="36"/>
  <c r="C115" i="36"/>
  <c r="B115" i="36"/>
  <c r="AC114" i="36"/>
  <c r="AB114" i="36"/>
  <c r="X114" i="36"/>
  <c r="W114" i="36"/>
  <c r="R114" i="36"/>
  <c r="Q114" i="36"/>
  <c r="M114" i="36"/>
  <c r="L114" i="36"/>
  <c r="H114" i="36"/>
  <c r="G114" i="36"/>
  <c r="C114" i="36"/>
  <c r="B114" i="36"/>
  <c r="AC113" i="36"/>
  <c r="AB113" i="36"/>
  <c r="X113" i="36"/>
  <c r="W113" i="36"/>
  <c r="R113" i="36"/>
  <c r="Q113" i="36"/>
  <c r="M113" i="36"/>
  <c r="L113" i="36"/>
  <c r="H113" i="36"/>
  <c r="G113" i="36"/>
  <c r="C113" i="36"/>
  <c r="B113" i="36"/>
  <c r="AC112" i="36"/>
  <c r="AB112" i="36"/>
  <c r="X112" i="36"/>
  <c r="W112" i="36"/>
  <c r="R112" i="36"/>
  <c r="Q112" i="36"/>
  <c r="M112" i="36"/>
  <c r="L112" i="36"/>
  <c r="H112" i="36"/>
  <c r="G112" i="36"/>
  <c r="C112" i="36"/>
  <c r="B112" i="36"/>
  <c r="AC111" i="36"/>
  <c r="AB111" i="36"/>
  <c r="X111" i="36"/>
  <c r="W111" i="36"/>
  <c r="R111" i="36"/>
  <c r="Q111" i="36"/>
  <c r="M111" i="36"/>
  <c r="L111" i="36"/>
  <c r="H111" i="36"/>
  <c r="G111" i="36"/>
  <c r="C111" i="36"/>
  <c r="B111" i="36"/>
  <c r="AC110" i="36"/>
  <c r="AB110" i="36"/>
  <c r="X110" i="36"/>
  <c r="W110" i="36"/>
  <c r="R110" i="36"/>
  <c r="Q110" i="36"/>
  <c r="M110" i="36"/>
  <c r="L110" i="36"/>
  <c r="H110" i="36"/>
  <c r="G110" i="36"/>
  <c r="C110" i="36"/>
  <c r="B110" i="36"/>
  <c r="AC109" i="36"/>
  <c r="AB109" i="36"/>
  <c r="X109" i="36"/>
  <c r="W109" i="36"/>
  <c r="R109" i="36"/>
  <c r="Q109" i="36"/>
  <c r="M109" i="36"/>
  <c r="L109" i="36"/>
  <c r="H109" i="36"/>
  <c r="G109" i="36"/>
  <c r="C109" i="36"/>
  <c r="B109" i="36"/>
  <c r="AC108" i="36"/>
  <c r="AB108" i="36"/>
  <c r="X108" i="36"/>
  <c r="W108" i="36"/>
  <c r="R108" i="36"/>
  <c r="Q108" i="36"/>
  <c r="M108" i="36"/>
  <c r="L108" i="36"/>
  <c r="H108" i="36"/>
  <c r="G108" i="36"/>
  <c r="C108" i="36"/>
  <c r="B108" i="36"/>
  <c r="AC107" i="36"/>
  <c r="AB107" i="36"/>
  <c r="X107" i="36"/>
  <c r="W107" i="36"/>
  <c r="R107" i="36"/>
  <c r="Q107" i="36"/>
  <c r="M107" i="36"/>
  <c r="L107" i="36"/>
  <c r="H107" i="36"/>
  <c r="G107" i="36"/>
  <c r="C107" i="36"/>
  <c r="B107" i="36"/>
  <c r="AC106" i="36"/>
  <c r="AB106" i="36"/>
  <c r="X106" i="36"/>
  <c r="W106" i="36"/>
  <c r="R106" i="36"/>
  <c r="Q106" i="36"/>
  <c r="M106" i="36"/>
  <c r="L106" i="36"/>
  <c r="H106" i="36"/>
  <c r="G106" i="36"/>
  <c r="C106" i="36"/>
  <c r="B106" i="36"/>
  <c r="AC105" i="36"/>
  <c r="AB105" i="36"/>
  <c r="X105" i="36"/>
  <c r="W105" i="36"/>
  <c r="R105" i="36"/>
  <c r="Q105" i="36"/>
  <c r="M105" i="36"/>
  <c r="L105" i="36"/>
  <c r="H105" i="36"/>
  <c r="G105" i="36"/>
  <c r="C105" i="36"/>
  <c r="B105" i="36"/>
  <c r="AC104" i="36"/>
  <c r="AB104" i="36"/>
  <c r="X104" i="36"/>
  <c r="W104" i="36"/>
  <c r="R104" i="36"/>
  <c r="Q104" i="36"/>
  <c r="M104" i="36"/>
  <c r="L104" i="36"/>
  <c r="H104" i="36"/>
  <c r="G104" i="36"/>
  <c r="C104" i="36"/>
  <c r="B104" i="36"/>
  <c r="AC103" i="36"/>
  <c r="AB103" i="36"/>
  <c r="X103" i="36"/>
  <c r="W103" i="36"/>
  <c r="R103" i="36"/>
  <c r="Q103" i="36"/>
  <c r="M103" i="36"/>
  <c r="L103" i="36"/>
  <c r="H103" i="36"/>
  <c r="G103" i="36"/>
  <c r="C103" i="36"/>
  <c r="B103" i="36"/>
  <c r="AC102" i="36"/>
  <c r="AB102" i="36"/>
  <c r="X102" i="36"/>
  <c r="W102" i="36"/>
  <c r="R102" i="36"/>
  <c r="Q102" i="36"/>
  <c r="M102" i="36"/>
  <c r="L102" i="36"/>
  <c r="H102" i="36"/>
  <c r="G102" i="36"/>
  <c r="C102" i="36"/>
  <c r="B102" i="36"/>
  <c r="AC101" i="36"/>
  <c r="AB101" i="36"/>
  <c r="X101" i="36"/>
  <c r="W101" i="36"/>
  <c r="R101" i="36"/>
  <c r="Q101" i="36"/>
  <c r="M101" i="36"/>
  <c r="L101" i="36"/>
  <c r="H101" i="36"/>
  <c r="G101" i="36"/>
  <c r="C101" i="36"/>
  <c r="B101" i="36"/>
  <c r="AC100" i="36"/>
  <c r="AB100" i="36"/>
  <c r="X100" i="36"/>
  <c r="W100" i="36"/>
  <c r="R100" i="36"/>
  <c r="Q100" i="36"/>
  <c r="M100" i="36"/>
  <c r="L100" i="36"/>
  <c r="H100" i="36"/>
  <c r="G100" i="36"/>
  <c r="C100" i="36"/>
  <c r="B100" i="36"/>
  <c r="AC99" i="36"/>
  <c r="AB99" i="36"/>
  <c r="X99" i="36"/>
  <c r="W99" i="36"/>
  <c r="R99" i="36"/>
  <c r="Q99" i="36"/>
  <c r="M99" i="36"/>
  <c r="L99" i="36"/>
  <c r="H99" i="36"/>
  <c r="G99" i="36"/>
  <c r="C99" i="36"/>
  <c r="B99" i="36"/>
  <c r="AC98" i="36"/>
  <c r="AB98" i="36"/>
  <c r="X98" i="36"/>
  <c r="W98" i="36"/>
  <c r="R98" i="36"/>
  <c r="Q98" i="36"/>
  <c r="M98" i="36"/>
  <c r="L98" i="36"/>
  <c r="H98" i="36"/>
  <c r="G98" i="36"/>
  <c r="C98" i="36"/>
  <c r="B98" i="36"/>
  <c r="AC97" i="36"/>
  <c r="AB97" i="36"/>
  <c r="X97" i="36"/>
  <c r="W97" i="36"/>
  <c r="R97" i="36"/>
  <c r="Q97" i="36"/>
  <c r="M97" i="36"/>
  <c r="L97" i="36"/>
  <c r="H97" i="36"/>
  <c r="G97" i="36"/>
  <c r="C97" i="36"/>
  <c r="B97" i="36"/>
  <c r="AC96" i="36"/>
  <c r="AB96" i="36"/>
  <c r="X96" i="36"/>
  <c r="W96" i="36"/>
  <c r="R96" i="36"/>
  <c r="Q96" i="36"/>
  <c r="M96" i="36"/>
  <c r="L96" i="36"/>
  <c r="H96" i="36"/>
  <c r="G96" i="36"/>
  <c r="C96" i="36"/>
  <c r="B96" i="36"/>
  <c r="AC95" i="36"/>
  <c r="AB95" i="36"/>
  <c r="X95" i="36"/>
  <c r="W95" i="36"/>
  <c r="R95" i="36"/>
  <c r="Q95" i="36"/>
  <c r="M95" i="36"/>
  <c r="L95" i="36"/>
  <c r="H95" i="36"/>
  <c r="G95" i="36"/>
  <c r="C95" i="36"/>
  <c r="B95" i="36"/>
  <c r="AC94" i="36"/>
  <c r="AB94" i="36"/>
  <c r="X94" i="36"/>
  <c r="W94" i="36"/>
  <c r="R94" i="36"/>
  <c r="Q94" i="36"/>
  <c r="M94" i="36"/>
  <c r="L94" i="36"/>
  <c r="H94" i="36"/>
  <c r="G94" i="36"/>
  <c r="C94" i="36"/>
  <c r="B94" i="36"/>
  <c r="AC93" i="36"/>
  <c r="AB93" i="36"/>
  <c r="X93" i="36"/>
  <c r="W93" i="36"/>
  <c r="R93" i="36"/>
  <c r="Q93" i="36"/>
  <c r="M93" i="36"/>
  <c r="L93" i="36"/>
  <c r="H93" i="36"/>
  <c r="G93" i="36"/>
  <c r="C93" i="36"/>
  <c r="B93" i="36"/>
  <c r="AC92" i="36"/>
  <c r="AB92" i="36"/>
  <c r="X92" i="36"/>
  <c r="W92" i="36"/>
  <c r="R92" i="36"/>
  <c r="Q92" i="36"/>
  <c r="M92" i="36"/>
  <c r="L92" i="36"/>
  <c r="H92" i="36"/>
  <c r="G92" i="36"/>
  <c r="C92" i="36"/>
  <c r="B92" i="36"/>
  <c r="AC91" i="36"/>
  <c r="AB91" i="36"/>
  <c r="X91" i="36"/>
  <c r="W91" i="36"/>
  <c r="R91" i="36"/>
  <c r="Q91" i="36"/>
  <c r="M91" i="36"/>
  <c r="L91" i="36"/>
  <c r="H91" i="36"/>
  <c r="G91" i="36"/>
  <c r="C91" i="36"/>
  <c r="B91" i="36"/>
  <c r="AC90" i="36"/>
  <c r="AB90" i="36"/>
  <c r="X90" i="36"/>
  <c r="W90" i="36"/>
  <c r="R90" i="36"/>
  <c r="Q90" i="36"/>
  <c r="M90" i="36"/>
  <c r="L90" i="36"/>
  <c r="H90" i="36"/>
  <c r="G90" i="36"/>
  <c r="C90" i="36"/>
  <c r="B90" i="36"/>
  <c r="AC89" i="36"/>
  <c r="AB89" i="36"/>
  <c r="X89" i="36"/>
  <c r="W89" i="36"/>
  <c r="R89" i="36"/>
  <c r="Q89" i="36"/>
  <c r="M89" i="36"/>
  <c r="L89" i="36"/>
  <c r="H89" i="36"/>
  <c r="G89" i="36"/>
  <c r="C89" i="36"/>
  <c r="B89" i="36"/>
  <c r="AC88" i="36"/>
  <c r="AB88" i="36"/>
  <c r="X88" i="36"/>
  <c r="W88" i="36"/>
  <c r="R88" i="36"/>
  <c r="Q88" i="36"/>
  <c r="M88" i="36"/>
  <c r="L88" i="36"/>
  <c r="H88" i="36"/>
  <c r="G88" i="36"/>
  <c r="C88" i="36"/>
  <c r="B88" i="36"/>
  <c r="AC87" i="36"/>
  <c r="AB87" i="36"/>
  <c r="X87" i="36"/>
  <c r="W87" i="36"/>
  <c r="R87" i="36"/>
  <c r="Q87" i="36"/>
  <c r="M87" i="36"/>
  <c r="L87" i="36"/>
  <c r="H87" i="36"/>
  <c r="G87" i="36"/>
  <c r="C87" i="36"/>
  <c r="B87" i="36"/>
  <c r="AC86" i="36"/>
  <c r="AB86" i="36"/>
  <c r="X86" i="36"/>
  <c r="W86" i="36"/>
  <c r="R86" i="36"/>
  <c r="Q86" i="36"/>
  <c r="M86" i="36"/>
  <c r="L86" i="36"/>
  <c r="H86" i="36"/>
  <c r="G86" i="36"/>
  <c r="C86" i="36"/>
  <c r="B86" i="36"/>
  <c r="AC85" i="36"/>
  <c r="AB85" i="36"/>
  <c r="X85" i="36"/>
  <c r="W85" i="36"/>
  <c r="R85" i="36"/>
  <c r="Q85" i="36"/>
  <c r="M85" i="36"/>
  <c r="L85" i="36"/>
  <c r="H85" i="36"/>
  <c r="G85" i="36"/>
  <c r="C85" i="36"/>
  <c r="B85" i="36"/>
  <c r="AC84" i="36"/>
  <c r="AB84" i="36"/>
  <c r="X84" i="36"/>
  <c r="W84" i="36"/>
  <c r="R84" i="36"/>
  <c r="Q84" i="36"/>
  <c r="M84" i="36"/>
  <c r="L84" i="36"/>
  <c r="H84" i="36"/>
  <c r="G84" i="36"/>
  <c r="C84" i="36"/>
  <c r="B84" i="36"/>
  <c r="AC83" i="36"/>
  <c r="AB83" i="36"/>
  <c r="X83" i="36"/>
  <c r="W83" i="36"/>
  <c r="R83" i="36"/>
  <c r="Q83" i="36"/>
  <c r="M83" i="36"/>
  <c r="L83" i="36"/>
  <c r="H83" i="36"/>
  <c r="G83" i="36"/>
  <c r="C83" i="36"/>
  <c r="B83" i="36"/>
  <c r="AC82" i="36"/>
  <c r="AB82" i="36"/>
  <c r="X82" i="36"/>
  <c r="W82" i="36"/>
  <c r="R82" i="36"/>
  <c r="Q82" i="36"/>
  <c r="M82" i="36"/>
  <c r="L82" i="36"/>
  <c r="H82" i="36"/>
  <c r="G82" i="36"/>
  <c r="C82" i="36"/>
  <c r="B82" i="36"/>
  <c r="AC81" i="36"/>
  <c r="AB81" i="36"/>
  <c r="X81" i="36"/>
  <c r="W81" i="36"/>
  <c r="R81" i="36"/>
  <c r="Q81" i="36"/>
  <c r="M81" i="36"/>
  <c r="L81" i="36"/>
  <c r="H81" i="36"/>
  <c r="G81" i="36"/>
  <c r="C81" i="36"/>
  <c r="B81" i="36"/>
  <c r="AC80" i="36"/>
  <c r="AB80" i="36"/>
  <c r="X80" i="36"/>
  <c r="W80" i="36"/>
  <c r="R80" i="36"/>
  <c r="Q80" i="36"/>
  <c r="M80" i="36"/>
  <c r="L80" i="36"/>
  <c r="H80" i="36"/>
  <c r="G80" i="36"/>
  <c r="C80" i="36"/>
  <c r="B80" i="36"/>
  <c r="AC79" i="36"/>
  <c r="AB79" i="36"/>
  <c r="X79" i="36"/>
  <c r="W79" i="36"/>
  <c r="R79" i="36"/>
  <c r="Q79" i="36"/>
  <c r="M79" i="36"/>
  <c r="L79" i="36"/>
  <c r="H79" i="36"/>
  <c r="G79" i="36"/>
  <c r="C79" i="36"/>
  <c r="B79" i="36"/>
  <c r="AC78" i="36"/>
  <c r="AB78" i="36"/>
  <c r="X78" i="36"/>
  <c r="W78" i="36"/>
  <c r="R78" i="36"/>
  <c r="Q78" i="36"/>
  <c r="M78" i="36"/>
  <c r="L78" i="36"/>
  <c r="H78" i="36"/>
  <c r="G78" i="36"/>
  <c r="C78" i="36"/>
  <c r="B78" i="36"/>
  <c r="AC77" i="36"/>
  <c r="AB77" i="36"/>
  <c r="X77" i="36"/>
  <c r="W77" i="36"/>
  <c r="R77" i="36"/>
  <c r="Q77" i="36"/>
  <c r="M77" i="36"/>
  <c r="L77" i="36"/>
  <c r="H77" i="36"/>
  <c r="G77" i="36"/>
  <c r="C77" i="36"/>
  <c r="B77" i="36"/>
  <c r="AC76" i="36"/>
  <c r="AB76" i="36"/>
  <c r="X76" i="36"/>
  <c r="W76" i="36"/>
  <c r="R76" i="36"/>
  <c r="Q76" i="36"/>
  <c r="M76" i="36"/>
  <c r="L76" i="36"/>
  <c r="H76" i="36"/>
  <c r="G76" i="36"/>
  <c r="C76" i="36"/>
  <c r="B76" i="36"/>
  <c r="AC75" i="36"/>
  <c r="AB75" i="36"/>
  <c r="X75" i="36"/>
  <c r="W75" i="36"/>
  <c r="R75" i="36"/>
  <c r="Q75" i="36"/>
  <c r="M75" i="36"/>
  <c r="L75" i="36"/>
  <c r="H75" i="36"/>
  <c r="G75" i="36"/>
  <c r="C75" i="36"/>
  <c r="B75" i="36"/>
  <c r="AC74" i="36"/>
  <c r="AB74" i="36"/>
  <c r="X74" i="36"/>
  <c r="W74" i="36"/>
  <c r="R74" i="36"/>
  <c r="Q74" i="36"/>
  <c r="M74" i="36"/>
  <c r="L74" i="36"/>
  <c r="H74" i="36"/>
  <c r="G74" i="36"/>
  <c r="C74" i="36"/>
  <c r="B74" i="36"/>
  <c r="AC73" i="36"/>
  <c r="AB73" i="36"/>
  <c r="X73" i="36"/>
  <c r="W73" i="36"/>
  <c r="R73" i="36"/>
  <c r="Q73" i="36"/>
  <c r="M73" i="36"/>
  <c r="L73" i="36"/>
  <c r="H73" i="36"/>
  <c r="G73" i="36"/>
  <c r="C73" i="36"/>
  <c r="B73" i="36"/>
  <c r="AC72" i="36"/>
  <c r="AB72" i="36"/>
  <c r="X72" i="36"/>
  <c r="W72" i="36"/>
  <c r="R72" i="36"/>
  <c r="Q72" i="36"/>
  <c r="M72" i="36"/>
  <c r="L72" i="36"/>
  <c r="H72" i="36"/>
  <c r="G72" i="36"/>
  <c r="C72" i="36"/>
  <c r="B72" i="36"/>
  <c r="AC71" i="36"/>
  <c r="AB71" i="36"/>
  <c r="X71" i="36"/>
  <c r="W71" i="36"/>
  <c r="R71" i="36"/>
  <c r="Q71" i="36"/>
  <c r="M71" i="36"/>
  <c r="L71" i="36"/>
  <c r="H71" i="36"/>
  <c r="G71" i="36"/>
  <c r="C71" i="36"/>
  <c r="B71" i="36"/>
  <c r="AC70" i="36"/>
  <c r="AB70" i="36"/>
  <c r="X70" i="36"/>
  <c r="W70" i="36"/>
  <c r="R70" i="36"/>
  <c r="Q70" i="36"/>
  <c r="M70" i="36"/>
  <c r="L70" i="36"/>
  <c r="H70" i="36"/>
  <c r="G70" i="36"/>
  <c r="C70" i="36"/>
  <c r="B70" i="36"/>
  <c r="AC69" i="36"/>
  <c r="AB69" i="36"/>
  <c r="X69" i="36"/>
  <c r="W69" i="36"/>
  <c r="R69" i="36"/>
  <c r="Q69" i="36"/>
  <c r="M69" i="36"/>
  <c r="L69" i="36"/>
  <c r="H69" i="36"/>
  <c r="G69" i="36"/>
  <c r="C69" i="36"/>
  <c r="B69" i="36"/>
  <c r="AC68" i="36"/>
  <c r="AB68" i="36"/>
  <c r="X68" i="36"/>
  <c r="W68" i="36"/>
  <c r="R68" i="36"/>
  <c r="Q68" i="36"/>
  <c r="M68" i="36"/>
  <c r="L68" i="36"/>
  <c r="H68" i="36"/>
  <c r="G68" i="36"/>
  <c r="C68" i="36"/>
  <c r="B68" i="36"/>
  <c r="AC67" i="36"/>
  <c r="AB67" i="36"/>
  <c r="X67" i="36"/>
  <c r="W67" i="36"/>
  <c r="R67" i="36"/>
  <c r="Q67" i="36"/>
  <c r="M67" i="36"/>
  <c r="L67" i="36"/>
  <c r="H67" i="36"/>
  <c r="G67" i="36"/>
  <c r="C67" i="36"/>
  <c r="B67" i="36"/>
  <c r="AC66" i="36"/>
  <c r="AB66" i="36"/>
  <c r="X66" i="36"/>
  <c r="W66" i="36"/>
  <c r="R66" i="36"/>
  <c r="Q66" i="36"/>
  <c r="M66" i="36"/>
  <c r="L66" i="36"/>
  <c r="H66" i="36"/>
  <c r="G66" i="36"/>
  <c r="C66" i="36"/>
  <c r="B66" i="36"/>
  <c r="AC65" i="36"/>
  <c r="AB65" i="36"/>
  <c r="X65" i="36"/>
  <c r="W65" i="36"/>
  <c r="R65" i="36"/>
  <c r="Q65" i="36"/>
  <c r="M65" i="36"/>
  <c r="L65" i="36"/>
  <c r="H65" i="36"/>
  <c r="G65" i="36"/>
  <c r="C65" i="36"/>
  <c r="B65" i="36"/>
  <c r="AC64" i="36"/>
  <c r="AB64" i="36"/>
  <c r="X64" i="36"/>
  <c r="W64" i="36"/>
  <c r="R64" i="36"/>
  <c r="Q64" i="36"/>
  <c r="M64" i="36"/>
  <c r="L64" i="36"/>
  <c r="H64" i="36"/>
  <c r="G64" i="36"/>
  <c r="C64" i="36"/>
  <c r="B64" i="36"/>
  <c r="AC63" i="36"/>
  <c r="AB63" i="36"/>
  <c r="X63" i="36"/>
  <c r="W63" i="36"/>
  <c r="R63" i="36"/>
  <c r="Q63" i="36"/>
  <c r="M63" i="36"/>
  <c r="L63" i="36"/>
  <c r="H63" i="36"/>
  <c r="G63" i="36"/>
  <c r="C63" i="36"/>
  <c r="B63" i="36"/>
  <c r="AC62" i="36"/>
  <c r="AB62" i="36"/>
  <c r="X62" i="36"/>
  <c r="W62" i="36"/>
  <c r="R62" i="36"/>
  <c r="Q62" i="36"/>
  <c r="M62" i="36"/>
  <c r="L62" i="36"/>
  <c r="H62" i="36"/>
  <c r="G62" i="36"/>
  <c r="C62" i="36"/>
  <c r="B62" i="36"/>
  <c r="AC61" i="36"/>
  <c r="AB61" i="36"/>
  <c r="X61" i="36"/>
  <c r="W61" i="36"/>
  <c r="R61" i="36"/>
  <c r="Q61" i="36"/>
  <c r="M61" i="36"/>
  <c r="L61" i="36"/>
  <c r="H61" i="36"/>
  <c r="G61" i="36"/>
  <c r="C61" i="36"/>
  <c r="B61" i="36"/>
  <c r="AC60" i="36"/>
  <c r="AB60" i="36"/>
  <c r="X60" i="36"/>
  <c r="W60" i="36"/>
  <c r="R60" i="36"/>
  <c r="Q60" i="36"/>
  <c r="M60" i="36"/>
  <c r="L60" i="36"/>
  <c r="H60" i="36"/>
  <c r="G60" i="36"/>
  <c r="C60" i="36"/>
  <c r="B60" i="36"/>
  <c r="AC59" i="36"/>
  <c r="AB59" i="36"/>
  <c r="X59" i="36"/>
  <c r="W59" i="36"/>
  <c r="R59" i="36"/>
  <c r="Q59" i="36"/>
  <c r="M59" i="36"/>
  <c r="L59" i="36"/>
  <c r="H59" i="36"/>
  <c r="G59" i="36"/>
  <c r="C59" i="36"/>
  <c r="B59" i="36"/>
  <c r="AC58" i="36"/>
  <c r="AB58" i="36"/>
  <c r="X58" i="36"/>
  <c r="W58" i="36"/>
  <c r="R58" i="36"/>
  <c r="Q58" i="36"/>
  <c r="M58" i="36"/>
  <c r="L58" i="36"/>
  <c r="H58" i="36"/>
  <c r="G58" i="36"/>
  <c r="C58" i="36"/>
  <c r="B58" i="36"/>
  <c r="AC57" i="36"/>
  <c r="AB57" i="36"/>
  <c r="X57" i="36"/>
  <c r="W57" i="36"/>
  <c r="R57" i="36"/>
  <c r="Q57" i="36"/>
  <c r="M57" i="36"/>
  <c r="L57" i="36"/>
  <c r="H57" i="36"/>
  <c r="G57" i="36"/>
  <c r="C57" i="36"/>
  <c r="B57" i="36"/>
  <c r="AC56" i="36"/>
  <c r="AB56" i="36"/>
  <c r="X56" i="36"/>
  <c r="W56" i="36"/>
  <c r="R56" i="36"/>
  <c r="Q56" i="36"/>
  <c r="M56" i="36"/>
  <c r="L56" i="36"/>
  <c r="H56" i="36"/>
  <c r="G56" i="36"/>
  <c r="C56" i="36"/>
  <c r="B56" i="36"/>
  <c r="AC55" i="36"/>
  <c r="AB55" i="36"/>
  <c r="X55" i="36"/>
  <c r="W55" i="36"/>
  <c r="R55" i="36"/>
  <c r="Q55" i="36"/>
  <c r="M55" i="36"/>
  <c r="L55" i="36"/>
  <c r="H55" i="36"/>
  <c r="G55" i="36"/>
  <c r="C55" i="36"/>
  <c r="B55" i="36"/>
  <c r="AC54" i="36"/>
  <c r="AB54" i="36"/>
  <c r="X54" i="36"/>
  <c r="W54" i="36"/>
  <c r="R54" i="36"/>
  <c r="Q54" i="36"/>
  <c r="M54" i="36"/>
  <c r="L54" i="36"/>
  <c r="H54" i="36"/>
  <c r="G54" i="36"/>
  <c r="C54" i="36"/>
  <c r="B54" i="36"/>
  <c r="AC53" i="36"/>
  <c r="AB53" i="36"/>
  <c r="X53" i="36"/>
  <c r="W53" i="36"/>
  <c r="R53" i="36"/>
  <c r="Q53" i="36"/>
  <c r="M53" i="36"/>
  <c r="L53" i="36"/>
  <c r="H53" i="36"/>
  <c r="G53" i="36"/>
  <c r="C53" i="36"/>
  <c r="B53" i="36"/>
  <c r="AC52" i="36"/>
  <c r="AB52" i="36"/>
  <c r="X52" i="36"/>
  <c r="W52" i="36"/>
  <c r="R52" i="36"/>
  <c r="Q52" i="36"/>
  <c r="M52" i="36"/>
  <c r="L52" i="36"/>
  <c r="H52" i="36"/>
  <c r="G52" i="36"/>
  <c r="C52" i="36"/>
  <c r="B52" i="36"/>
  <c r="AC51" i="36"/>
  <c r="AB51" i="36"/>
  <c r="X51" i="36"/>
  <c r="W51" i="36"/>
  <c r="R51" i="36"/>
  <c r="Q51" i="36"/>
  <c r="M51" i="36"/>
  <c r="L51" i="36"/>
  <c r="H51" i="36"/>
  <c r="G51" i="36"/>
  <c r="C51" i="36"/>
  <c r="B51" i="36"/>
  <c r="AC50" i="36"/>
  <c r="AB50" i="36"/>
  <c r="X50" i="36"/>
  <c r="W50" i="36"/>
  <c r="R50" i="36"/>
  <c r="Q50" i="36"/>
  <c r="M50" i="36"/>
  <c r="L50" i="36"/>
  <c r="H50" i="36"/>
  <c r="G50" i="36"/>
  <c r="C50" i="36"/>
  <c r="B50" i="36"/>
  <c r="AC49" i="36"/>
  <c r="AB49" i="36"/>
  <c r="X49" i="36"/>
  <c r="W49" i="36"/>
  <c r="R49" i="36"/>
  <c r="Q49" i="36"/>
  <c r="M49" i="36"/>
  <c r="L49" i="36"/>
  <c r="H49" i="36"/>
  <c r="G49" i="36"/>
  <c r="C49" i="36"/>
  <c r="B49" i="36"/>
  <c r="AC48" i="36"/>
  <c r="AB48" i="36"/>
  <c r="X48" i="36"/>
  <c r="W48" i="36"/>
  <c r="R48" i="36"/>
  <c r="Q48" i="36"/>
  <c r="M48" i="36"/>
  <c r="L48" i="36"/>
  <c r="H48" i="36"/>
  <c r="G48" i="36"/>
  <c r="C48" i="36"/>
  <c r="B48" i="36"/>
  <c r="AC47" i="36"/>
  <c r="AB47" i="36"/>
  <c r="X47" i="36"/>
  <c r="W47" i="36"/>
  <c r="R47" i="36"/>
  <c r="Q47" i="36"/>
  <c r="M47" i="36"/>
  <c r="L47" i="36"/>
  <c r="H47" i="36"/>
  <c r="G47" i="36"/>
  <c r="C47" i="36"/>
  <c r="B47" i="36"/>
  <c r="AC46" i="36"/>
  <c r="AB46" i="36"/>
  <c r="X46" i="36"/>
  <c r="W46" i="36"/>
  <c r="R46" i="36"/>
  <c r="Q46" i="36"/>
  <c r="M46" i="36"/>
  <c r="L46" i="36"/>
  <c r="H46" i="36"/>
  <c r="G46" i="36"/>
  <c r="C46" i="36"/>
  <c r="B46" i="36"/>
  <c r="AC45" i="36"/>
  <c r="AB45" i="36"/>
  <c r="X45" i="36"/>
  <c r="W45" i="36"/>
  <c r="R45" i="36"/>
  <c r="Q45" i="36"/>
  <c r="M45" i="36"/>
  <c r="L45" i="36"/>
  <c r="H45" i="36"/>
  <c r="G45" i="36"/>
  <c r="C45" i="36"/>
  <c r="B45" i="36"/>
  <c r="AC44" i="36"/>
  <c r="AB44" i="36"/>
  <c r="X44" i="36"/>
  <c r="W44" i="36"/>
  <c r="R44" i="36"/>
  <c r="Q44" i="36"/>
  <c r="M44" i="36"/>
  <c r="L44" i="36"/>
  <c r="H44" i="36"/>
  <c r="G44" i="36"/>
  <c r="C44" i="36"/>
  <c r="B44" i="36"/>
  <c r="AC43" i="36"/>
  <c r="AB43" i="36"/>
  <c r="X43" i="36"/>
  <c r="W43" i="36"/>
  <c r="R43" i="36"/>
  <c r="Q43" i="36"/>
  <c r="M43" i="36"/>
  <c r="L43" i="36"/>
  <c r="H43" i="36"/>
  <c r="G43" i="36"/>
  <c r="C43" i="36"/>
  <c r="B43" i="36"/>
  <c r="AC42" i="36"/>
  <c r="AB42" i="36"/>
  <c r="X42" i="36"/>
  <c r="W42" i="36"/>
  <c r="R42" i="36"/>
  <c r="Q42" i="36"/>
  <c r="M42" i="36"/>
  <c r="L42" i="36"/>
  <c r="H42" i="36"/>
  <c r="G42" i="36"/>
  <c r="C42" i="36"/>
  <c r="B42" i="36"/>
  <c r="AC41" i="36"/>
  <c r="AB41" i="36"/>
  <c r="X41" i="36"/>
  <c r="W41" i="36"/>
  <c r="R41" i="36"/>
  <c r="Q41" i="36"/>
  <c r="M41" i="36"/>
  <c r="L41" i="36"/>
  <c r="H41" i="36"/>
  <c r="G41" i="36"/>
  <c r="C41" i="36"/>
  <c r="B41" i="36"/>
  <c r="AC40" i="36"/>
  <c r="AB40" i="36"/>
  <c r="X40" i="36"/>
  <c r="W40" i="36"/>
  <c r="R40" i="36"/>
  <c r="Q40" i="36"/>
  <c r="M40" i="36"/>
  <c r="L40" i="36"/>
  <c r="H40" i="36"/>
  <c r="G40" i="36"/>
  <c r="C40" i="36"/>
  <c r="B40" i="36"/>
  <c r="AC39" i="36"/>
  <c r="AB39" i="36"/>
  <c r="X39" i="36"/>
  <c r="W39" i="36"/>
  <c r="R39" i="36"/>
  <c r="Q39" i="36"/>
  <c r="M39" i="36"/>
  <c r="L39" i="36"/>
  <c r="H39" i="36"/>
  <c r="G39" i="36"/>
  <c r="C39" i="36"/>
  <c r="B39" i="36"/>
  <c r="AC38" i="36"/>
  <c r="AB38" i="36"/>
  <c r="X38" i="36"/>
  <c r="W38" i="36"/>
  <c r="R38" i="36"/>
  <c r="Q38" i="36"/>
  <c r="M38" i="36"/>
  <c r="L38" i="36"/>
  <c r="H38" i="36"/>
  <c r="G38" i="36"/>
  <c r="C38" i="36"/>
  <c r="B38" i="36"/>
  <c r="AC37" i="36"/>
  <c r="AB37" i="36"/>
  <c r="X37" i="36"/>
  <c r="W37" i="36"/>
  <c r="R37" i="36"/>
  <c r="Q37" i="36"/>
  <c r="M37" i="36"/>
  <c r="L37" i="36"/>
  <c r="H37" i="36"/>
  <c r="G37" i="36"/>
  <c r="C37" i="36"/>
  <c r="B37" i="36"/>
  <c r="AC36" i="36"/>
  <c r="AB36" i="36"/>
  <c r="X36" i="36"/>
  <c r="W36" i="36"/>
  <c r="R36" i="36"/>
  <c r="Q36" i="36"/>
  <c r="M36" i="36"/>
  <c r="L36" i="36"/>
  <c r="H36" i="36"/>
  <c r="G36" i="36"/>
  <c r="C36" i="36"/>
  <c r="B36" i="36"/>
  <c r="AC35" i="36"/>
  <c r="AB35" i="36"/>
  <c r="X35" i="36"/>
  <c r="W35" i="36"/>
  <c r="R35" i="36"/>
  <c r="Q35" i="36"/>
  <c r="M35" i="36"/>
  <c r="L35" i="36"/>
  <c r="H35" i="36"/>
  <c r="G35" i="36"/>
  <c r="C35" i="36"/>
  <c r="B35" i="36"/>
  <c r="AC34" i="36"/>
  <c r="AB34" i="36"/>
  <c r="X34" i="36"/>
  <c r="W34" i="36"/>
  <c r="R34" i="36"/>
  <c r="Q34" i="36"/>
  <c r="M34" i="36"/>
  <c r="L34" i="36"/>
  <c r="H34" i="36"/>
  <c r="G34" i="36"/>
  <c r="C34" i="36"/>
  <c r="B34" i="36"/>
  <c r="AC33" i="36"/>
  <c r="AB33" i="36"/>
  <c r="X33" i="36"/>
  <c r="W33" i="36"/>
  <c r="R33" i="36"/>
  <c r="Q33" i="36"/>
  <c r="M33" i="36"/>
  <c r="L33" i="36"/>
  <c r="H33" i="36"/>
  <c r="G33" i="36"/>
  <c r="C33" i="36"/>
  <c r="B33" i="36"/>
  <c r="AC32" i="36"/>
  <c r="AB32" i="36"/>
  <c r="X32" i="36"/>
  <c r="W32" i="36"/>
  <c r="R32" i="36"/>
  <c r="Q32" i="36"/>
  <c r="M32" i="36"/>
  <c r="L32" i="36"/>
  <c r="H32" i="36"/>
  <c r="G32" i="36"/>
  <c r="C32" i="36"/>
  <c r="B32" i="36"/>
  <c r="AC31" i="36"/>
  <c r="AB31" i="36"/>
  <c r="X31" i="36"/>
  <c r="W31" i="36"/>
  <c r="R31" i="36"/>
  <c r="Q31" i="36"/>
  <c r="M31" i="36"/>
  <c r="L31" i="36"/>
  <c r="H31" i="36"/>
  <c r="G31" i="36"/>
  <c r="C31" i="36"/>
  <c r="B31" i="36"/>
  <c r="AC30" i="36"/>
  <c r="AB30" i="36"/>
  <c r="X30" i="36"/>
  <c r="W30" i="36"/>
  <c r="R30" i="36"/>
  <c r="Q30" i="36"/>
  <c r="M30" i="36"/>
  <c r="L30" i="36"/>
  <c r="H30" i="36"/>
  <c r="G30" i="36"/>
  <c r="C30" i="36"/>
  <c r="B30" i="36"/>
  <c r="AC29" i="36"/>
  <c r="AB29" i="36"/>
  <c r="X29" i="36"/>
  <c r="W29" i="36"/>
  <c r="R29" i="36"/>
  <c r="Q29" i="36"/>
  <c r="M29" i="36"/>
  <c r="L29" i="36"/>
  <c r="H29" i="36"/>
  <c r="G29" i="36"/>
  <c r="C29" i="36"/>
  <c r="B29" i="36"/>
  <c r="AC28" i="36"/>
  <c r="AB28" i="36"/>
  <c r="X28" i="36"/>
  <c r="W28" i="36"/>
  <c r="R28" i="36"/>
  <c r="Q28" i="36"/>
  <c r="M28" i="36"/>
  <c r="L28" i="36"/>
  <c r="H28" i="36"/>
  <c r="G28" i="36"/>
  <c r="C28" i="36"/>
  <c r="B28" i="36"/>
  <c r="AC27" i="36"/>
  <c r="AB27" i="36"/>
  <c r="X27" i="36"/>
  <c r="W27" i="36"/>
  <c r="R27" i="36"/>
  <c r="Q27" i="36"/>
  <c r="M27" i="36"/>
  <c r="L27" i="36"/>
  <c r="H27" i="36"/>
  <c r="G27" i="36"/>
  <c r="C27" i="36"/>
  <c r="B27" i="36"/>
  <c r="AC26" i="36"/>
  <c r="AB26" i="36"/>
  <c r="X26" i="36"/>
  <c r="W26" i="36"/>
  <c r="R26" i="36"/>
  <c r="Q26" i="36"/>
  <c r="M26" i="36"/>
  <c r="L26" i="36"/>
  <c r="H26" i="36"/>
  <c r="G26" i="36"/>
  <c r="C26" i="36"/>
  <c r="B26" i="36"/>
  <c r="AC25" i="36"/>
  <c r="AB25" i="36"/>
  <c r="X25" i="36"/>
  <c r="W25" i="36"/>
  <c r="R25" i="36"/>
  <c r="Q25" i="36"/>
  <c r="M25" i="36"/>
  <c r="L25" i="36"/>
  <c r="H25" i="36"/>
  <c r="G25" i="36"/>
  <c r="C25" i="36"/>
  <c r="B25" i="36"/>
  <c r="AC24" i="36"/>
  <c r="AB24" i="36"/>
  <c r="X24" i="36"/>
  <c r="W24" i="36"/>
  <c r="R24" i="36"/>
  <c r="Q24" i="36"/>
  <c r="M24" i="36"/>
  <c r="L24" i="36"/>
  <c r="H24" i="36"/>
  <c r="G24" i="36"/>
  <c r="C24" i="36"/>
  <c r="B24" i="36"/>
  <c r="AC23" i="36"/>
  <c r="AB23" i="36"/>
  <c r="X23" i="36"/>
  <c r="W23" i="36"/>
  <c r="R23" i="36"/>
  <c r="Q23" i="36"/>
  <c r="M23" i="36"/>
  <c r="L23" i="36"/>
  <c r="H23" i="36"/>
  <c r="G23" i="36"/>
  <c r="C23" i="36"/>
  <c r="B23" i="36"/>
  <c r="AC22" i="36"/>
  <c r="AB22" i="36"/>
  <c r="X22" i="36"/>
  <c r="W22" i="36"/>
  <c r="R22" i="36"/>
  <c r="Q22" i="36"/>
  <c r="M22" i="36"/>
  <c r="L22" i="36"/>
  <c r="H22" i="36"/>
  <c r="G22" i="36"/>
  <c r="C22" i="36"/>
  <c r="B22" i="36"/>
  <c r="AC21" i="36"/>
  <c r="AB21" i="36"/>
  <c r="X21" i="36"/>
  <c r="W21" i="36"/>
  <c r="R21" i="36"/>
  <c r="Q21" i="36"/>
  <c r="M21" i="36"/>
  <c r="L21" i="36"/>
  <c r="H21" i="36"/>
  <c r="G21" i="36"/>
  <c r="C21" i="36"/>
  <c r="B21" i="36"/>
  <c r="AC20" i="36"/>
  <c r="AB20" i="36"/>
  <c r="X20" i="36"/>
  <c r="W20" i="36"/>
  <c r="R20" i="36"/>
  <c r="Q20" i="36"/>
  <c r="M20" i="36"/>
  <c r="L20" i="36"/>
  <c r="H20" i="36"/>
  <c r="G20" i="36"/>
  <c r="C20" i="36"/>
  <c r="B20" i="36"/>
  <c r="AC19" i="36"/>
  <c r="AB19" i="36"/>
  <c r="X19" i="36"/>
  <c r="W19" i="36"/>
  <c r="R19" i="36"/>
  <c r="Q19" i="36"/>
  <c r="M19" i="36"/>
  <c r="L19" i="36"/>
  <c r="H19" i="36"/>
  <c r="G19" i="36"/>
  <c r="C19" i="36"/>
  <c r="B19" i="36"/>
  <c r="AC18" i="36"/>
  <c r="AB18" i="36"/>
  <c r="X18" i="36"/>
  <c r="W18" i="36"/>
  <c r="R18" i="36"/>
  <c r="Q18" i="36"/>
  <c r="M18" i="36"/>
  <c r="L18" i="36"/>
  <c r="H18" i="36"/>
  <c r="G18" i="36"/>
  <c r="C18" i="36"/>
  <c r="B18" i="36"/>
  <c r="AC17" i="36"/>
  <c r="AB17" i="36"/>
  <c r="X17" i="36"/>
  <c r="W17" i="36"/>
  <c r="R17" i="36"/>
  <c r="Q17" i="36"/>
  <c r="M17" i="36"/>
  <c r="L17" i="36"/>
  <c r="H17" i="36"/>
  <c r="G17" i="36"/>
  <c r="C17" i="36"/>
  <c r="B17" i="36"/>
  <c r="AC16" i="36"/>
  <c r="AB16" i="36"/>
  <c r="X16" i="36"/>
  <c r="W16" i="36"/>
  <c r="R16" i="36"/>
  <c r="Q16" i="36"/>
  <c r="M16" i="36"/>
  <c r="L16" i="36"/>
  <c r="H16" i="36"/>
  <c r="G16" i="36"/>
  <c r="C16" i="36"/>
  <c r="B16" i="36"/>
  <c r="AC15" i="36"/>
  <c r="AB15" i="36"/>
  <c r="X15" i="36"/>
  <c r="W15" i="36"/>
  <c r="R15" i="36"/>
  <c r="Q15" i="36"/>
  <c r="M15" i="36"/>
  <c r="L15" i="36"/>
  <c r="H15" i="36"/>
  <c r="G15" i="36"/>
  <c r="C15" i="36"/>
  <c r="B15" i="36"/>
  <c r="AC14" i="36"/>
  <c r="AB14" i="36"/>
  <c r="X14" i="36"/>
  <c r="W14" i="36"/>
  <c r="R14" i="36"/>
  <c r="Q14" i="36"/>
  <c r="M14" i="36"/>
  <c r="L14" i="36"/>
  <c r="H14" i="36"/>
  <c r="G14" i="36"/>
  <c r="C14" i="36"/>
  <c r="B14" i="36"/>
  <c r="AC13" i="36"/>
  <c r="AB13" i="36"/>
  <c r="X13" i="36"/>
  <c r="W13" i="36"/>
  <c r="R13" i="36"/>
  <c r="Q13" i="36"/>
  <c r="M13" i="36"/>
  <c r="L13" i="36"/>
  <c r="H13" i="36"/>
  <c r="G13" i="36"/>
  <c r="C13" i="36"/>
  <c r="B13" i="36"/>
  <c r="AC12" i="36"/>
  <c r="AB12" i="36"/>
  <c r="X12" i="36"/>
  <c r="W12" i="36"/>
  <c r="R12" i="36"/>
  <c r="Q12" i="36"/>
  <c r="M12" i="36"/>
  <c r="L12" i="36"/>
  <c r="H12" i="36"/>
  <c r="G12" i="36"/>
  <c r="C12" i="36"/>
  <c r="B12" i="36"/>
  <c r="AC11" i="36"/>
  <c r="AB11" i="36"/>
  <c r="X11" i="36"/>
  <c r="W11" i="36"/>
  <c r="R11" i="36"/>
  <c r="Q11" i="36"/>
  <c r="M11" i="36"/>
  <c r="L11" i="36"/>
  <c r="H11" i="36"/>
  <c r="G11" i="36"/>
  <c r="C11" i="36"/>
  <c r="B11" i="36"/>
  <c r="AC10" i="36"/>
  <c r="AB10" i="36"/>
  <c r="X10" i="36"/>
  <c r="W10" i="36"/>
  <c r="R10" i="36"/>
  <c r="Q10" i="36"/>
  <c r="M10" i="36"/>
  <c r="L10" i="36"/>
  <c r="H10" i="36"/>
  <c r="G10" i="36"/>
  <c r="C10" i="36"/>
  <c r="B10" i="36"/>
  <c r="AC9" i="36"/>
  <c r="AB9" i="36"/>
  <c r="X9" i="36"/>
  <c r="W9" i="36"/>
  <c r="R9" i="36"/>
  <c r="Q9" i="36"/>
  <c r="M9" i="36"/>
  <c r="L9" i="36"/>
  <c r="H9" i="36"/>
  <c r="G9" i="36"/>
  <c r="C9" i="36"/>
  <c r="B9" i="36"/>
  <c r="AC8" i="36"/>
  <c r="AB8" i="36"/>
  <c r="X8" i="36"/>
  <c r="W8" i="36"/>
  <c r="R8" i="36"/>
  <c r="Q8" i="36"/>
  <c r="M8" i="36"/>
  <c r="L8" i="36"/>
  <c r="H8" i="36"/>
  <c r="G8" i="36"/>
  <c r="C8" i="36"/>
  <c r="B8" i="36"/>
  <c r="AC7" i="36"/>
  <c r="AB7" i="36"/>
  <c r="X7" i="36"/>
  <c r="W7" i="36"/>
  <c r="R7" i="36"/>
  <c r="Q7" i="36"/>
  <c r="M7" i="36"/>
  <c r="L7" i="36"/>
  <c r="H7" i="36"/>
  <c r="G7" i="36"/>
  <c r="C7" i="36"/>
  <c r="B7" i="36"/>
  <c r="AC6" i="36"/>
  <c r="AB6" i="36"/>
  <c r="X6" i="36"/>
  <c r="W6" i="36"/>
  <c r="R6" i="36"/>
  <c r="Q6" i="36"/>
  <c r="M6" i="36"/>
  <c r="L6" i="36"/>
  <c r="H6" i="36"/>
  <c r="G6" i="36"/>
  <c r="C6" i="36"/>
  <c r="B6" i="36"/>
  <c r="AC5" i="36"/>
  <c r="AB5" i="36"/>
  <c r="X5" i="36"/>
  <c r="W5" i="36"/>
  <c r="R5" i="36"/>
  <c r="Q5" i="36"/>
  <c r="M5" i="36"/>
  <c r="L5" i="36"/>
  <c r="H5" i="36"/>
  <c r="G5" i="36"/>
  <c r="C5" i="36"/>
  <c r="B5" i="36"/>
  <c r="AD4" i="36"/>
  <c r="AC4" i="36"/>
  <c r="AB4" i="36"/>
  <c r="S4" i="36"/>
  <c r="R4" i="36"/>
  <c r="Q4" i="36"/>
  <c r="I4" i="36"/>
  <c r="H4" i="36"/>
  <c r="G4" i="36"/>
  <c r="H11" i="38"/>
  <c r="F11" i="38"/>
  <c r="H10" i="38"/>
  <c r="F10" i="38"/>
  <c r="H92" i="12"/>
  <c r="G92" i="12"/>
  <c r="H91" i="12"/>
  <c r="G91" i="12"/>
  <c r="H90" i="12"/>
  <c r="G90" i="12"/>
  <c r="H89" i="12"/>
  <c r="G89" i="12"/>
  <c r="H88" i="12"/>
  <c r="G88" i="12"/>
  <c r="H87" i="12"/>
  <c r="G87" i="12"/>
  <c r="H86" i="12"/>
  <c r="G86" i="12"/>
  <c r="H85" i="12"/>
  <c r="G85" i="12"/>
  <c r="H84" i="12"/>
  <c r="G84" i="12"/>
  <c r="H83" i="12"/>
  <c r="G83" i="12"/>
  <c r="H82" i="12"/>
  <c r="G82" i="12"/>
  <c r="H81" i="12"/>
  <c r="G81" i="12"/>
  <c r="H80" i="12"/>
  <c r="G80" i="12"/>
  <c r="H79" i="12"/>
  <c r="G79" i="12"/>
  <c r="H78" i="12"/>
  <c r="G78" i="12"/>
  <c r="H77" i="12"/>
  <c r="G77" i="12"/>
  <c r="H76" i="12"/>
  <c r="G76" i="12"/>
  <c r="H75" i="12"/>
  <c r="G75" i="12"/>
  <c r="H74" i="12"/>
  <c r="G74" i="12"/>
  <c r="H73" i="12"/>
  <c r="G73" i="12"/>
  <c r="H72" i="12"/>
  <c r="G72" i="12"/>
  <c r="H71" i="12"/>
  <c r="G71" i="12"/>
  <c r="H70" i="12"/>
  <c r="G70" i="12"/>
  <c r="H69" i="12"/>
  <c r="G69" i="12"/>
  <c r="H68" i="12"/>
  <c r="G68" i="12"/>
  <c r="H67" i="12"/>
  <c r="G67" i="12"/>
  <c r="H66" i="12"/>
  <c r="G66" i="12"/>
  <c r="H65" i="12"/>
  <c r="G65" i="12"/>
  <c r="H64" i="12"/>
  <c r="G64" i="12"/>
  <c r="H63" i="12"/>
  <c r="G63" i="12"/>
  <c r="H62" i="12"/>
  <c r="G62" i="12"/>
  <c r="H61" i="12"/>
  <c r="G61" i="12"/>
  <c r="H60" i="12"/>
  <c r="G60" i="12"/>
  <c r="H59" i="12"/>
  <c r="G59" i="12"/>
  <c r="H58" i="12"/>
  <c r="G58" i="12"/>
  <c r="H57" i="12"/>
  <c r="G57" i="12"/>
  <c r="H56" i="12"/>
  <c r="G56" i="12"/>
  <c r="H55" i="12"/>
  <c r="G55" i="12"/>
  <c r="H54" i="12"/>
  <c r="G54" i="12"/>
  <c r="H53" i="12"/>
  <c r="G53" i="12"/>
  <c r="H52" i="12"/>
  <c r="G52" i="12"/>
  <c r="P51" i="12"/>
  <c r="H51" i="12"/>
  <c r="G51" i="12"/>
  <c r="P50" i="12"/>
  <c r="H50" i="12"/>
  <c r="G50" i="12"/>
  <c r="P49" i="12"/>
  <c r="H49" i="12"/>
  <c r="G49" i="12"/>
  <c r="D49" i="12"/>
  <c r="P48" i="12"/>
  <c r="H48" i="12"/>
  <c r="G48" i="12"/>
  <c r="D48" i="12"/>
  <c r="P47" i="12"/>
  <c r="H47" i="12"/>
  <c r="G47" i="12"/>
  <c r="D47" i="12"/>
  <c r="P46" i="12"/>
  <c r="H46" i="12"/>
  <c r="G46" i="12"/>
  <c r="D46" i="12"/>
  <c r="P45" i="12"/>
  <c r="H45" i="12"/>
  <c r="G45" i="12"/>
  <c r="D45" i="12"/>
  <c r="P44" i="12"/>
  <c r="H44" i="12"/>
  <c r="G44" i="12"/>
  <c r="D44" i="12"/>
  <c r="P43" i="12"/>
  <c r="H43" i="12"/>
  <c r="G43" i="12"/>
  <c r="D43" i="12"/>
  <c r="P42" i="12"/>
  <c r="H42" i="12"/>
  <c r="G42" i="12"/>
  <c r="D42" i="12"/>
  <c r="P41" i="12"/>
  <c r="H41" i="12"/>
  <c r="G41" i="12"/>
  <c r="D41" i="12"/>
  <c r="P40" i="12"/>
  <c r="H40" i="12"/>
  <c r="G40" i="12"/>
  <c r="D40" i="12"/>
  <c r="P39" i="12"/>
  <c r="H39" i="12"/>
  <c r="G39" i="12"/>
  <c r="D39" i="12"/>
  <c r="P38" i="12"/>
  <c r="H38" i="12"/>
  <c r="G38" i="12"/>
  <c r="D38" i="12"/>
  <c r="P37" i="12"/>
  <c r="H37" i="12"/>
  <c r="G37" i="12"/>
  <c r="D37" i="12"/>
  <c r="P36" i="12"/>
  <c r="H36" i="12"/>
  <c r="G36" i="12"/>
  <c r="D36" i="12"/>
  <c r="P35" i="12"/>
  <c r="H35" i="12"/>
  <c r="G35" i="12"/>
  <c r="D35" i="12"/>
  <c r="P34" i="12"/>
  <c r="H34" i="12"/>
  <c r="G34" i="12"/>
  <c r="D34" i="12"/>
  <c r="P33" i="12"/>
  <c r="H33" i="12"/>
  <c r="G33" i="12"/>
  <c r="D33" i="12"/>
  <c r="P32" i="12"/>
  <c r="H32" i="12"/>
  <c r="G32" i="12"/>
  <c r="D32" i="12"/>
  <c r="P31" i="12"/>
  <c r="H31" i="12"/>
  <c r="G31" i="12"/>
  <c r="D31" i="12"/>
  <c r="P30" i="12"/>
  <c r="H30" i="12"/>
  <c r="G30" i="12"/>
  <c r="D30" i="12"/>
  <c r="P29" i="12"/>
  <c r="H29" i="12"/>
  <c r="G29" i="12"/>
  <c r="D29" i="12"/>
  <c r="P28" i="12"/>
  <c r="H28" i="12"/>
  <c r="G28" i="12"/>
  <c r="D28" i="12"/>
  <c r="P27" i="12"/>
  <c r="H27" i="12"/>
  <c r="G27" i="12"/>
  <c r="D27" i="12"/>
  <c r="P26" i="12"/>
  <c r="H26" i="12"/>
  <c r="G26" i="12"/>
  <c r="D26" i="12"/>
  <c r="P25" i="12"/>
  <c r="H25" i="12"/>
  <c r="G25" i="12"/>
  <c r="D25" i="12"/>
  <c r="P24" i="12"/>
  <c r="H24" i="12"/>
  <c r="G24" i="12"/>
  <c r="D24" i="12"/>
  <c r="P23" i="12"/>
  <c r="H23" i="12"/>
  <c r="G23" i="12"/>
  <c r="D23" i="12"/>
  <c r="P22" i="12"/>
  <c r="H22" i="12"/>
  <c r="G22" i="12"/>
  <c r="D22" i="12"/>
  <c r="P21" i="12"/>
  <c r="H21" i="12"/>
  <c r="G21" i="12"/>
  <c r="D21" i="12"/>
  <c r="P20" i="12"/>
  <c r="H20" i="12"/>
  <c r="G20" i="12"/>
  <c r="D20" i="12"/>
  <c r="P19" i="12"/>
  <c r="H19" i="12"/>
  <c r="G19" i="12"/>
  <c r="D19" i="12"/>
  <c r="P18" i="12"/>
  <c r="H18" i="12"/>
  <c r="G18" i="12"/>
  <c r="D18" i="12"/>
  <c r="P17" i="12"/>
  <c r="H17" i="12"/>
  <c r="G17" i="12"/>
  <c r="D17" i="12"/>
  <c r="P16" i="12"/>
  <c r="H16" i="12"/>
  <c r="G16" i="12"/>
  <c r="D16" i="12"/>
  <c r="P15" i="12"/>
  <c r="H15" i="12"/>
  <c r="G15" i="12"/>
  <c r="D15" i="12"/>
  <c r="P14" i="12"/>
  <c r="H14" i="12"/>
  <c r="G14" i="12"/>
  <c r="D14" i="12"/>
  <c r="P13" i="12"/>
  <c r="H13" i="12"/>
  <c r="G13" i="12"/>
  <c r="D13" i="12"/>
  <c r="P12" i="12"/>
  <c r="H12" i="12"/>
  <c r="G12" i="12"/>
  <c r="D12" i="12"/>
  <c r="P11" i="12"/>
  <c r="H11" i="12"/>
  <c r="G11" i="12"/>
  <c r="D11" i="12"/>
  <c r="P10" i="12"/>
  <c r="H10" i="12"/>
  <c r="G10" i="12"/>
  <c r="D10" i="12"/>
  <c r="P9" i="12"/>
  <c r="H9" i="12"/>
  <c r="G9" i="12"/>
  <c r="D9" i="12"/>
  <c r="H8" i="12"/>
  <c r="G8" i="12"/>
  <c r="D8" i="12"/>
  <c r="AE7" i="12"/>
  <c r="H7" i="12"/>
  <c r="G7" i="12"/>
  <c r="D7" i="12"/>
  <c r="AE6" i="12"/>
  <c r="AE5" i="12"/>
  <c r="AE4" i="12"/>
  <c r="AN44" i="34"/>
  <c r="AM44" i="34"/>
  <c r="AL44" i="34"/>
  <c r="AK44" i="34"/>
  <c r="AJ44" i="34"/>
  <c r="AI44" i="34"/>
  <c r="AH44" i="34"/>
  <c r="AG44" i="34"/>
  <c r="AF44" i="34"/>
  <c r="AE44" i="34"/>
  <c r="AD44" i="34"/>
  <c r="AC44" i="34"/>
  <c r="AB44" i="34"/>
  <c r="AA44" i="34"/>
  <c r="Z44" i="34"/>
  <c r="Y44" i="34"/>
  <c r="X44" i="34"/>
  <c r="W44" i="34"/>
  <c r="V44" i="34"/>
  <c r="U44" i="34"/>
  <c r="T44" i="34"/>
  <c r="S44" i="34"/>
  <c r="R44" i="34"/>
  <c r="Q44" i="34"/>
  <c r="P44" i="34"/>
  <c r="O44" i="34"/>
  <c r="N44" i="34"/>
  <c r="M44" i="34"/>
  <c r="L44" i="34"/>
  <c r="K44" i="34"/>
  <c r="J44" i="34"/>
  <c r="I44" i="34"/>
  <c r="H44" i="34"/>
  <c r="G44" i="34"/>
  <c r="F44" i="34"/>
  <c r="AN43" i="34"/>
  <c r="AM43" i="34"/>
  <c r="AL43" i="34"/>
  <c r="AK43" i="34"/>
  <c r="AJ43" i="34"/>
  <c r="AI43" i="34"/>
  <c r="AH43" i="34"/>
  <c r="AG43" i="34"/>
  <c r="AF43" i="34"/>
  <c r="AE43" i="34"/>
  <c r="AD43" i="34"/>
  <c r="AC43" i="34"/>
  <c r="AB43" i="34"/>
  <c r="AA43" i="34"/>
  <c r="Z43" i="34"/>
  <c r="Y43" i="34"/>
  <c r="X43" i="34"/>
  <c r="W43" i="34"/>
  <c r="V43" i="34"/>
  <c r="U43" i="34"/>
  <c r="T43" i="34"/>
  <c r="S43" i="34"/>
  <c r="R43" i="34"/>
  <c r="Q43" i="34"/>
  <c r="P43" i="34"/>
  <c r="O43" i="34"/>
  <c r="N43" i="34"/>
  <c r="M43" i="34"/>
  <c r="L43" i="34"/>
  <c r="K43" i="34"/>
  <c r="J43" i="34"/>
  <c r="I43" i="34"/>
  <c r="H43" i="34"/>
  <c r="G43" i="34"/>
  <c r="F43" i="34"/>
  <c r="AN42" i="34"/>
  <c r="AM42" i="34"/>
  <c r="AL42" i="34"/>
  <c r="AK42" i="34"/>
  <c r="AJ42" i="34"/>
  <c r="AI42" i="34"/>
  <c r="AH42" i="34"/>
  <c r="AG42" i="34"/>
  <c r="AF42" i="34"/>
  <c r="AE42" i="34"/>
  <c r="AD42" i="34"/>
  <c r="AC42" i="34"/>
  <c r="AB42" i="34"/>
  <c r="AA42" i="34"/>
  <c r="Z42" i="34"/>
  <c r="Y42" i="34"/>
  <c r="X42" i="34"/>
  <c r="W42" i="34"/>
  <c r="V42" i="34"/>
  <c r="U42" i="34"/>
  <c r="T42" i="34"/>
  <c r="S42" i="34"/>
  <c r="R42" i="34"/>
  <c r="Q42" i="34"/>
  <c r="P42" i="34"/>
  <c r="O42" i="34"/>
  <c r="N42" i="34"/>
  <c r="M42" i="34"/>
  <c r="L42" i="34"/>
  <c r="K42" i="34"/>
  <c r="J42" i="34"/>
  <c r="I42" i="34"/>
  <c r="H42" i="34"/>
  <c r="G42" i="34"/>
  <c r="F42" i="34"/>
  <c r="AN37" i="34"/>
  <c r="AN41" i="34" s="1"/>
  <c r="AM37" i="34"/>
  <c r="AM41" i="34" s="1"/>
  <c r="AL37" i="34"/>
  <c r="AL41" i="34" s="1"/>
  <c r="AK37" i="34"/>
  <c r="AK41" i="34" s="1"/>
  <c r="AJ37" i="34"/>
  <c r="AJ41" i="34" s="1"/>
  <c r="AI37" i="34"/>
  <c r="AI41" i="34" s="1"/>
  <c r="AH37" i="34"/>
  <c r="AH41" i="34" s="1"/>
  <c r="AG37" i="34"/>
  <c r="AG41" i="34" s="1"/>
  <c r="AF37" i="34"/>
  <c r="AF41" i="34" s="1"/>
  <c r="AE37" i="34"/>
  <c r="AE41" i="34" s="1"/>
  <c r="AD37" i="34"/>
  <c r="AD41" i="34" s="1"/>
  <c r="AC37" i="34"/>
  <c r="AC41" i="34" s="1"/>
  <c r="AB37" i="34"/>
  <c r="AB41" i="34" s="1"/>
  <c r="AA37" i="34"/>
  <c r="AA41" i="34" s="1"/>
  <c r="Z37" i="34"/>
  <c r="Z41" i="34" s="1"/>
  <c r="Y37" i="34"/>
  <c r="Y41" i="34" s="1"/>
  <c r="X37" i="34"/>
  <c r="X41" i="34" s="1"/>
  <c r="W37" i="34"/>
  <c r="W41" i="34" s="1"/>
  <c r="V37" i="34"/>
  <c r="V41" i="34" s="1"/>
  <c r="U37" i="34"/>
  <c r="U41" i="34" s="1"/>
  <c r="T37" i="34"/>
  <c r="T41" i="34" s="1"/>
  <c r="S37" i="34"/>
  <c r="S41" i="34" s="1"/>
  <c r="R37" i="34"/>
  <c r="R41" i="34" s="1"/>
  <c r="Q37" i="34"/>
  <c r="Q41" i="34" s="1"/>
  <c r="P37" i="34"/>
  <c r="P41" i="34" s="1"/>
  <c r="O37" i="34"/>
  <c r="O41" i="34" s="1"/>
  <c r="N37" i="34"/>
  <c r="N41" i="34" s="1"/>
  <c r="M37" i="34"/>
  <c r="M41" i="34" s="1"/>
  <c r="L37" i="34"/>
  <c r="L41" i="34" s="1"/>
  <c r="K37" i="34"/>
  <c r="K41" i="34" s="1"/>
  <c r="J37" i="34"/>
  <c r="J41" i="34" s="1"/>
  <c r="I37" i="34"/>
  <c r="I41" i="34" s="1"/>
  <c r="H37" i="34"/>
  <c r="H41" i="34" s="1"/>
  <c r="G37" i="34"/>
  <c r="G41" i="34" s="1"/>
  <c r="F37" i="34"/>
  <c r="F41" i="34" s="1"/>
  <c r="AK23" i="34"/>
  <c r="AJ23" i="34"/>
  <c r="AI23" i="34"/>
  <c r="AH23" i="34"/>
  <c r="AG23" i="34"/>
  <c r="AF23" i="34"/>
  <c r="AE23" i="34"/>
  <c r="AD23" i="34"/>
  <c r="AC23" i="34"/>
  <c r="AB23" i="34"/>
  <c r="AA23" i="34"/>
  <c r="Z23" i="34"/>
  <c r="Y23" i="34"/>
  <c r="X23" i="34"/>
  <c r="W23" i="34"/>
  <c r="V23" i="34"/>
  <c r="U23" i="34"/>
  <c r="T23" i="34"/>
  <c r="S23" i="34"/>
  <c r="R23" i="34"/>
  <c r="Q23" i="34"/>
  <c r="P23" i="34"/>
  <c r="O23" i="34"/>
  <c r="N23" i="34"/>
  <c r="M23" i="34"/>
  <c r="L23" i="34"/>
  <c r="K23" i="34"/>
  <c r="J23" i="34"/>
  <c r="I23" i="34"/>
  <c r="H23" i="34"/>
  <c r="G23" i="34"/>
  <c r="F23" i="34"/>
  <c r="E23" i="34"/>
  <c r="A23" i="34"/>
  <c r="AK22" i="34"/>
  <c r="AJ22" i="34"/>
  <c r="AI22" i="34"/>
  <c r="AH22" i="34"/>
  <c r="AG22" i="34"/>
  <c r="AF22" i="34"/>
  <c r="AE22" i="34"/>
  <c r="AD22" i="34"/>
  <c r="AC22" i="34"/>
  <c r="AB22" i="34"/>
  <c r="AA22" i="34"/>
  <c r="Z22" i="34"/>
  <c r="Y22" i="34"/>
  <c r="X22" i="34"/>
  <c r="W22" i="34"/>
  <c r="V22" i="34"/>
  <c r="U22" i="34"/>
  <c r="T22" i="34"/>
  <c r="S22" i="34"/>
  <c r="R22" i="34"/>
  <c r="Q22" i="34"/>
  <c r="P22" i="34"/>
  <c r="O22" i="34"/>
  <c r="N22" i="34"/>
  <c r="M22" i="34"/>
  <c r="L22" i="34"/>
  <c r="K22" i="34"/>
  <c r="J22" i="34"/>
  <c r="I22" i="34"/>
  <c r="H22" i="34"/>
  <c r="G22" i="34"/>
  <c r="F22" i="34"/>
  <c r="E22" i="34"/>
  <c r="A22" i="34"/>
  <c r="AK21" i="34"/>
  <c r="AJ21" i="34"/>
  <c r="AI21" i="34"/>
  <c r="AH21" i="34"/>
  <c r="AG21" i="34"/>
  <c r="AF21" i="34"/>
  <c r="AE21" i="34"/>
  <c r="AD21" i="34"/>
  <c r="AC21" i="34"/>
  <c r="AB21" i="34"/>
  <c r="AA21" i="34"/>
  <c r="Z21" i="34"/>
  <c r="Y21" i="34"/>
  <c r="X21" i="34"/>
  <c r="W21" i="34"/>
  <c r="V21" i="34"/>
  <c r="U21" i="34"/>
  <c r="T21" i="34"/>
  <c r="S21" i="34"/>
  <c r="R21" i="34"/>
  <c r="Q21" i="34"/>
  <c r="P21" i="34"/>
  <c r="O21" i="34"/>
  <c r="N21" i="34"/>
  <c r="M21" i="34"/>
  <c r="L21" i="34"/>
  <c r="K21" i="34"/>
  <c r="J21" i="34"/>
  <c r="I21" i="34"/>
  <c r="H21" i="34"/>
  <c r="G21" i="34"/>
  <c r="F21" i="34"/>
  <c r="E21" i="34"/>
  <c r="A21" i="34"/>
  <c r="AK20" i="34"/>
  <c r="AJ20" i="34"/>
  <c r="AI20" i="34"/>
  <c r="AH20" i="34"/>
  <c r="AG20" i="34"/>
  <c r="AF20" i="34"/>
  <c r="AE20" i="34"/>
  <c r="AD20" i="34"/>
  <c r="AC20" i="34"/>
  <c r="AB20" i="34"/>
  <c r="AA20" i="34"/>
  <c r="Z20" i="34"/>
  <c r="Y20" i="34"/>
  <c r="X20" i="34"/>
  <c r="W20" i="34"/>
  <c r="V20" i="34"/>
  <c r="U20" i="34"/>
  <c r="T20" i="34"/>
  <c r="S20" i="34"/>
  <c r="R20" i="34"/>
  <c r="Q20" i="34"/>
  <c r="P20" i="34"/>
  <c r="O20" i="34"/>
  <c r="N20" i="34"/>
  <c r="M20" i="34"/>
  <c r="L20" i="34"/>
  <c r="K20" i="34"/>
  <c r="J20" i="34"/>
  <c r="I20" i="34"/>
  <c r="H20" i="34"/>
  <c r="G20" i="34"/>
  <c r="F20" i="34"/>
  <c r="E20" i="34"/>
  <c r="A20" i="34"/>
  <c r="AK19" i="34"/>
  <c r="AJ19" i="34"/>
  <c r="AI19" i="34"/>
  <c r="AH19" i="34"/>
  <c r="AG19" i="34"/>
  <c r="AF19" i="34"/>
  <c r="AE19" i="34"/>
  <c r="AD19" i="34"/>
  <c r="AC19" i="34"/>
  <c r="AB19" i="34"/>
  <c r="AA19" i="34"/>
  <c r="Z19" i="34"/>
  <c r="Y19" i="34"/>
  <c r="X19" i="34"/>
  <c r="W19" i="34"/>
  <c r="V19" i="34"/>
  <c r="U19" i="34"/>
  <c r="T19" i="34"/>
  <c r="S19" i="34"/>
  <c r="R19" i="34"/>
  <c r="Q19" i="34"/>
  <c r="P19" i="34"/>
  <c r="O19" i="34"/>
  <c r="N19" i="34"/>
  <c r="M19" i="34"/>
  <c r="L19" i="34"/>
  <c r="K19" i="34"/>
  <c r="J19" i="34"/>
  <c r="I19" i="34"/>
  <c r="H19" i="34"/>
  <c r="G19" i="34"/>
  <c r="F19" i="34"/>
  <c r="E19" i="34"/>
  <c r="AK18" i="34"/>
  <c r="AJ18" i="34"/>
  <c r="AI18" i="34"/>
  <c r="AH18" i="34"/>
  <c r="AG18" i="34"/>
  <c r="AF18" i="34"/>
  <c r="AE18" i="34"/>
  <c r="AD18" i="34"/>
  <c r="AC18" i="34"/>
  <c r="AB18" i="34"/>
  <c r="AA18" i="34"/>
  <c r="Z18" i="34"/>
  <c r="Y18" i="34"/>
  <c r="X18" i="34"/>
  <c r="W18" i="34"/>
  <c r="V18" i="34"/>
  <c r="U18" i="34"/>
  <c r="T18" i="34"/>
  <c r="S18" i="34"/>
  <c r="R18" i="34"/>
  <c r="Q18" i="34"/>
  <c r="P18" i="34"/>
  <c r="O18" i="34"/>
  <c r="N18" i="34"/>
  <c r="M18" i="34"/>
  <c r="L18" i="34"/>
  <c r="K18" i="34"/>
  <c r="J18" i="34"/>
  <c r="I18" i="34"/>
  <c r="H18" i="34"/>
  <c r="G18" i="34"/>
  <c r="F18" i="34"/>
  <c r="E18" i="34"/>
  <c r="AK17" i="34"/>
  <c r="AJ17" i="34"/>
  <c r="AI17" i="34"/>
  <c r="AH17" i="34"/>
  <c r="AG17" i="34"/>
  <c r="AF17" i="34"/>
  <c r="AE17" i="34"/>
  <c r="AD17" i="34"/>
  <c r="AC17" i="34"/>
  <c r="AB17" i="34"/>
  <c r="AA17" i="34"/>
  <c r="Z17" i="34"/>
  <c r="Y17" i="34"/>
  <c r="X17" i="34"/>
  <c r="W17" i="34"/>
  <c r="V17" i="34"/>
  <c r="U17" i="34"/>
  <c r="T17" i="34"/>
  <c r="S17" i="34"/>
  <c r="R17" i="34"/>
  <c r="Q17" i="34"/>
  <c r="P17" i="34"/>
  <c r="O17" i="34"/>
  <c r="N17" i="34"/>
  <c r="M17" i="34"/>
  <c r="L17" i="34"/>
  <c r="K17" i="34"/>
  <c r="J17" i="34"/>
  <c r="I17" i="34"/>
  <c r="H17" i="34"/>
  <c r="G17" i="34"/>
  <c r="F17" i="34"/>
  <c r="E17" i="34"/>
  <c r="AK16" i="34"/>
  <c r="AJ16" i="34"/>
  <c r="AI16" i="34"/>
  <c r="AH16" i="34"/>
  <c r="AG16" i="34"/>
  <c r="AF16" i="34"/>
  <c r="AE16" i="34"/>
  <c r="AD16" i="34"/>
  <c r="AC16" i="34"/>
  <c r="AB16" i="34"/>
  <c r="AA16" i="34"/>
  <c r="Z16" i="34"/>
  <c r="Y16" i="34"/>
  <c r="X16" i="34"/>
  <c r="W16" i="34"/>
  <c r="V16" i="34"/>
  <c r="U16" i="34"/>
  <c r="T16" i="34"/>
  <c r="S16" i="34"/>
  <c r="R16" i="34"/>
  <c r="Q16" i="34"/>
  <c r="P16" i="34"/>
  <c r="O16" i="34"/>
  <c r="N16" i="34"/>
  <c r="M16" i="34"/>
  <c r="L16" i="34"/>
  <c r="K16" i="34"/>
  <c r="J16" i="34"/>
  <c r="I16" i="34"/>
  <c r="H16" i="34"/>
  <c r="G16" i="34"/>
  <c r="F16" i="34"/>
  <c r="E16" i="34"/>
  <c r="AK15" i="34"/>
  <c r="AJ15" i="34"/>
  <c r="AI15" i="34"/>
  <c r="AH15" i="34"/>
  <c r="AG15" i="34"/>
  <c r="AF15" i="34"/>
  <c r="AE15" i="34"/>
  <c r="AD15" i="34"/>
  <c r="AC15" i="34"/>
  <c r="AB15" i="34"/>
  <c r="AA15" i="34"/>
  <c r="Z15" i="34"/>
  <c r="Y15" i="34"/>
  <c r="X15" i="34"/>
  <c r="W15" i="34"/>
  <c r="V15" i="34"/>
  <c r="U15" i="34"/>
  <c r="T15" i="34"/>
  <c r="S15" i="34"/>
  <c r="R15" i="34"/>
  <c r="Q15" i="34"/>
  <c r="P15" i="34"/>
  <c r="O15" i="34"/>
  <c r="N15" i="34"/>
  <c r="M15" i="34"/>
  <c r="L15" i="34"/>
  <c r="K15" i="34"/>
  <c r="J15" i="34"/>
  <c r="I15" i="34"/>
  <c r="H15" i="34"/>
  <c r="G15" i="34"/>
  <c r="F15" i="34"/>
  <c r="E15" i="3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xli9</author>
  </authors>
  <commentList>
    <comment ref="V30" authorId="0" shapeId="0" xr:uid="{00000000-0006-0000-0400-000001000000}">
      <text>
        <r>
          <rPr>
            <b/>
            <sz val="9"/>
            <rFont val="Times New Roman"/>
          </rPr>
          <t>xli9:You have already set PAST-INV so meaningless to set start time as 2030, besides, even new capacity should start from 2020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xli9</author>
  </authors>
  <commentList>
    <comment ref="C35" authorId="0" shapeId="0" xr:uid="{00000000-0006-0000-0700-000001000000}">
      <text>
        <r>
          <rPr>
            <b/>
            <sz val="9"/>
            <rFont val="Times New Roman"/>
          </rPr>
          <t>xli9:</t>
        </r>
        <r>
          <rPr>
            <sz val="9"/>
            <rFont val="Times New Roman"/>
          </rPr>
          <t xml:space="preserve">
Have to remove or all things seem infeasible</t>
        </r>
      </text>
    </comment>
  </commentList>
</comments>
</file>

<file path=xl/sharedStrings.xml><?xml version="1.0" encoding="utf-8"?>
<sst xmlns="http://schemas.openxmlformats.org/spreadsheetml/2006/main" count="1394" uniqueCount="392">
  <si>
    <t>~TFM_INS</t>
  </si>
  <si>
    <t>TimeSlice</t>
  </si>
  <si>
    <t>LimType</t>
  </si>
  <si>
    <t>Attribute</t>
  </si>
  <si>
    <t>Year</t>
  </si>
  <si>
    <t>Other_Indexes</t>
  </si>
  <si>
    <t>Curr</t>
  </si>
  <si>
    <t>AllRegions</t>
  </si>
  <si>
    <t>Cset_CN</t>
  </si>
  <si>
    <t>COM_PKRSV</t>
  </si>
  <si>
    <t>ELC</t>
  </si>
  <si>
    <t>varbl</t>
  </si>
  <si>
    <t>region</t>
  </si>
  <si>
    <t>year</t>
  </si>
  <si>
    <t>value</t>
  </si>
  <si>
    <t>G_CUREX</t>
  </si>
  <si>
    <t>USD20</t>
  </si>
  <si>
    <t>EUR15</t>
  </si>
  <si>
    <t>G_Dyear</t>
  </si>
  <si>
    <t>hmacgdpd</t>
  </si>
  <si>
    <t>USA</t>
  </si>
  <si>
    <t>G_DRATE</t>
  </si>
  <si>
    <t>G_OFFTHD</t>
  </si>
  <si>
    <t>Discount Rate</t>
  </si>
  <si>
    <t>USD21_alt</t>
  </si>
  <si>
    <t>Deflator</t>
  </si>
  <si>
    <t>~TFM_INS: limtype=UP</t>
  </si>
  <si>
    <t>attribute</t>
  </si>
  <si>
    <t>pset_set</t>
  </si>
  <si>
    <t>pset_pn</t>
  </si>
  <si>
    <t>cset_cn</t>
  </si>
  <si>
    <t>allregions</t>
  </si>
  <si>
    <t>Share-I</t>
  </si>
  <si>
    <t>DMD</t>
  </si>
  <si>
    <t>Trd*</t>
  </si>
  <si>
    <t>TRABDS</t>
  </si>
  <si>
    <t>TRABGS</t>
  </si>
  <si>
    <t>TRABSL</t>
  </si>
  <si>
    <t>~TFM_TOPINS</t>
  </si>
  <si>
    <t>process</t>
  </si>
  <si>
    <t>commodity</t>
  </si>
  <si>
    <t>io</t>
  </si>
  <si>
    <t>en_battery_8h</t>
  </si>
  <si>
    <t>IN</t>
  </si>
  <si>
    <t>EN_STG_4hBatt*</t>
  </si>
  <si>
    <t>ELC4H,ELC</t>
  </si>
  <si>
    <t>elcagg[_]???[_]???</t>
  </si>
  <si>
    <t>OUT</t>
  </si>
  <si>
    <t>~TFM_INS-AT</t>
  </si>
  <si>
    <t>pset_ci</t>
  </si>
  <si>
    <t>START</t>
  </si>
  <si>
    <t>-elc*</t>
  </si>
  <si>
    <t>~UC_Sets: R_E: AllRegions</t>
  </si>
  <si>
    <t>~UC_T: LO</t>
  </si>
  <si>
    <t>UC_N</t>
  </si>
  <si>
    <t>PSET_SET</t>
  </si>
  <si>
    <t>PSET_PN</t>
  </si>
  <si>
    <t>Pset_CI</t>
  </si>
  <si>
    <t>PSET_CO</t>
  </si>
  <si>
    <t>UC_CAP</t>
  </si>
  <si>
    <t>UC_COMPRD</t>
  </si>
  <si>
    <t>UC_RHSRT</t>
  </si>
  <si>
    <t>UC_RHSRT~0</t>
  </si>
  <si>
    <t>UC_Desc</t>
  </si>
  <si>
    <t>UCE_Min-DispatchableCAP</t>
  </si>
  <si>
    <t>ELE,CHP</t>
  </si>
  <si>
    <t>E*</t>
  </si>
  <si>
    <t>*,-ELCSOL,-ELCWIN,-ELC,-ELCSPV,-elc[_]???[_]*</t>
  </si>
  <si>
    <t>Min dispatchable capacity for VRE portfolio</t>
  </si>
  <si>
    <t>DEF_C</t>
  </si>
  <si>
    <t>spv</t>
  </si>
  <si>
    <t>~UC_Sets: R_S: Allregions</t>
  </si>
  <si>
    <t>won</t>
  </si>
  <si>
    <t>wof</t>
  </si>
  <si>
    <t>~UC_T: FX</t>
  </si>
  <si>
    <t>~UC_T</t>
  </si>
  <si>
    <t>*</t>
  </si>
  <si>
    <t>uc_n</t>
  </si>
  <si>
    <t>uc_cap</t>
  </si>
  <si>
    <t>uc_rhst~0</t>
  </si>
  <si>
    <t>AFG</t>
  </si>
  <si>
    <t>AGO</t>
  </si>
  <si>
    <t>ALB</t>
  </si>
  <si>
    <t>ARE</t>
  </si>
  <si>
    <t>ARG</t>
  </si>
  <si>
    <t>AUS</t>
  </si>
  <si>
    <t>ARM</t>
  </si>
  <si>
    <t>AZE</t>
  </si>
  <si>
    <t>BEN</t>
  </si>
  <si>
    <t>AUT</t>
  </si>
  <si>
    <t>BGD</t>
  </si>
  <si>
    <t>BGR</t>
  </si>
  <si>
    <t>BDI</t>
  </si>
  <si>
    <t>BRA</t>
  </si>
  <si>
    <t>BEL</t>
  </si>
  <si>
    <t>CAN</t>
  </si>
  <si>
    <t>CHL</t>
  </si>
  <si>
    <t>BFA</t>
  </si>
  <si>
    <t>CHN</t>
  </si>
  <si>
    <t>CIV</t>
  </si>
  <si>
    <t>COD</t>
  </si>
  <si>
    <t>BIH</t>
  </si>
  <si>
    <t>COG</t>
  </si>
  <si>
    <t>BLR</t>
  </si>
  <si>
    <t>COL</t>
  </si>
  <si>
    <t>BOL</t>
  </si>
  <si>
    <t>CRI</t>
  </si>
  <si>
    <t>CUB</t>
  </si>
  <si>
    <t>BWA</t>
  </si>
  <si>
    <t>CYP</t>
  </si>
  <si>
    <t>CAF</t>
  </si>
  <si>
    <t>DEU</t>
  </si>
  <si>
    <t>DJI</t>
  </si>
  <si>
    <t>CHE</t>
  </si>
  <si>
    <t>DNK</t>
  </si>
  <si>
    <t>DOM</t>
  </si>
  <si>
    <t>DZA</t>
  </si>
  <si>
    <t>ECU</t>
  </si>
  <si>
    <t>CMR</t>
  </si>
  <si>
    <t>EGY</t>
  </si>
  <si>
    <t>ERI</t>
  </si>
  <si>
    <t>ESP</t>
  </si>
  <si>
    <t>EST</t>
  </si>
  <si>
    <t>FIN</t>
  </si>
  <si>
    <t>FRA</t>
  </si>
  <si>
    <t>CZE</t>
  </si>
  <si>
    <t>GAB</t>
  </si>
  <si>
    <t>GBR</t>
  </si>
  <si>
    <t>GEO</t>
  </si>
  <si>
    <t>GHA</t>
  </si>
  <si>
    <t>GIN</t>
  </si>
  <si>
    <t>GNB</t>
  </si>
  <si>
    <t>GNQ</t>
  </si>
  <si>
    <t>GRC</t>
  </si>
  <si>
    <t>GTM</t>
  </si>
  <si>
    <t>GUY</t>
  </si>
  <si>
    <t>HND</t>
  </si>
  <si>
    <t>ETH</t>
  </si>
  <si>
    <t>HRV</t>
  </si>
  <si>
    <t>HTI</t>
  </si>
  <si>
    <t>IDN</t>
  </si>
  <si>
    <t>IND</t>
  </si>
  <si>
    <t>IRL</t>
  </si>
  <si>
    <t>IRN</t>
  </si>
  <si>
    <t>ITA</t>
  </si>
  <si>
    <t>JAM</t>
  </si>
  <si>
    <t>JPN</t>
  </si>
  <si>
    <t>KAZ</t>
  </si>
  <si>
    <t>KEN</t>
  </si>
  <si>
    <t>KHM</t>
  </si>
  <si>
    <t>HKG</t>
  </si>
  <si>
    <t>KOR</t>
  </si>
  <si>
    <t>KWT</t>
  </si>
  <si>
    <t>LBN</t>
  </si>
  <si>
    <t>LBR</t>
  </si>
  <si>
    <t>HUN</t>
  </si>
  <si>
    <t>LBY</t>
  </si>
  <si>
    <t>LKA</t>
  </si>
  <si>
    <t>LTU</t>
  </si>
  <si>
    <t>LVA</t>
  </si>
  <si>
    <t>MAR</t>
  </si>
  <si>
    <t>IRQ</t>
  </si>
  <si>
    <t>MDG</t>
  </si>
  <si>
    <t>ISR</t>
  </si>
  <si>
    <t>MEX</t>
  </si>
  <si>
    <t>MLT</t>
  </si>
  <si>
    <t>MMR</t>
  </si>
  <si>
    <t>JOR</t>
  </si>
  <si>
    <t>MNE</t>
  </si>
  <si>
    <t>MOZ</t>
  </si>
  <si>
    <t>MRT</t>
  </si>
  <si>
    <t>MYS</t>
  </si>
  <si>
    <t>KGZ</t>
  </si>
  <si>
    <t>NAM</t>
  </si>
  <si>
    <t>NCL</t>
  </si>
  <si>
    <t>NGA</t>
  </si>
  <si>
    <t>NIC</t>
  </si>
  <si>
    <t>LAO</t>
  </si>
  <si>
    <t>NLD</t>
  </si>
  <si>
    <t>NOR</t>
  </si>
  <si>
    <t>NZL</t>
  </si>
  <si>
    <t>OMN</t>
  </si>
  <si>
    <t>PAK</t>
  </si>
  <si>
    <t>LSO</t>
  </si>
  <si>
    <t>PAN</t>
  </si>
  <si>
    <t>PER</t>
  </si>
  <si>
    <t>LUX</t>
  </si>
  <si>
    <t>PHL</t>
  </si>
  <si>
    <t>PNG</t>
  </si>
  <si>
    <t>POL</t>
  </si>
  <si>
    <t>MDA</t>
  </si>
  <si>
    <t>PRI</t>
  </si>
  <si>
    <t>PRK</t>
  </si>
  <si>
    <t>PRT</t>
  </si>
  <si>
    <t>MKD</t>
  </si>
  <si>
    <t>QAT</t>
  </si>
  <si>
    <t>MLI</t>
  </si>
  <si>
    <t>RUS</t>
  </si>
  <si>
    <t>SAU</t>
  </si>
  <si>
    <t>SDN</t>
  </si>
  <si>
    <t>MNG</t>
  </si>
  <si>
    <t>SEN</t>
  </si>
  <si>
    <t>SGP</t>
  </si>
  <si>
    <t>SLE</t>
  </si>
  <si>
    <t>MWI</t>
  </si>
  <si>
    <t>SLV</t>
  </si>
  <si>
    <t>SOM</t>
  </si>
  <si>
    <t>SUR</t>
  </si>
  <si>
    <t>SWE</t>
  </si>
  <si>
    <t>NER</t>
  </si>
  <si>
    <t>SYR</t>
  </si>
  <si>
    <t>TGO</t>
  </si>
  <si>
    <t>THA</t>
  </si>
  <si>
    <t>TKM</t>
  </si>
  <si>
    <t>TTO</t>
  </si>
  <si>
    <t>NPL</t>
  </si>
  <si>
    <t>TUN</t>
  </si>
  <si>
    <t>TUR</t>
  </si>
  <si>
    <t>TWN</t>
  </si>
  <si>
    <t>TZA</t>
  </si>
  <si>
    <t>UKR</t>
  </si>
  <si>
    <t>URY</t>
  </si>
  <si>
    <t>VEN</t>
  </si>
  <si>
    <t>VNM</t>
  </si>
  <si>
    <t>YEM</t>
  </si>
  <si>
    <t>ZAF</t>
  </si>
  <si>
    <t>PRY</t>
  </si>
  <si>
    <t>ROU</t>
  </si>
  <si>
    <t>RWA</t>
  </si>
  <si>
    <t>SRB</t>
  </si>
  <si>
    <t>SSD</t>
  </si>
  <si>
    <t>SVK</t>
  </si>
  <si>
    <t>SVN</t>
  </si>
  <si>
    <t>TCD</t>
  </si>
  <si>
    <t>TJK</t>
  </si>
  <si>
    <t>UGA</t>
  </si>
  <si>
    <t>UZB</t>
  </si>
  <si>
    <t>ZMB</t>
  </si>
  <si>
    <t>ZWE</t>
  </si>
  <si>
    <t>Current capacities</t>
  </si>
  <si>
    <t>~UC_SETS: R_E: AllRegions</t>
  </si>
  <si>
    <t>Region</t>
  </si>
  <si>
    <t>GW (2022)</t>
  </si>
  <si>
    <t>GW (after 2022)</t>
  </si>
  <si>
    <t>~UC_T: UC_RHSRT~UP</t>
  </si>
  <si>
    <t>Africa_North</t>
  </si>
  <si>
    <t>*2018</t>
  </si>
  <si>
    <t>BeNeLux</t>
  </si>
  <si>
    <t>Africa_Other</t>
  </si>
  <si>
    <t>UCE_NucLimit</t>
  </si>
  <si>
    <t>E_Nuclear</t>
  </si>
  <si>
    <t>Brazil</t>
  </si>
  <si>
    <t>Australia</t>
  </si>
  <si>
    <t>China</t>
  </si>
  <si>
    <t>Austria</t>
  </si>
  <si>
    <t>CroSloven</t>
  </si>
  <si>
    <t>Baltics</t>
  </si>
  <si>
    <t>CzechSlovak</t>
  </si>
  <si>
    <t>France</t>
  </si>
  <si>
    <t>Germany</t>
  </si>
  <si>
    <t>HunRomBul</t>
  </si>
  <si>
    <t>India</t>
  </si>
  <si>
    <t>Japan</t>
  </si>
  <si>
    <t>LatAm</t>
  </si>
  <si>
    <t>MidEast</t>
  </si>
  <si>
    <t>GreeceCyp</t>
  </si>
  <si>
    <t>NorthAm</t>
  </si>
  <si>
    <t>ROW</t>
  </si>
  <si>
    <t>Russia</t>
  </si>
  <si>
    <t>Ireland</t>
  </si>
  <si>
    <t>SouthAfrica</t>
  </si>
  <si>
    <t>ItalyMal</t>
  </si>
  <si>
    <t>SpainPor</t>
  </si>
  <si>
    <t>SweFinDen</t>
  </si>
  <si>
    <t>Switzerland</t>
  </si>
  <si>
    <t>Turkey</t>
  </si>
  <si>
    <t>UK</t>
  </si>
  <si>
    <t>Norway</t>
  </si>
  <si>
    <t>Ukraine</t>
  </si>
  <si>
    <t>Poland</t>
  </si>
  <si>
    <t>SaudiArabia</t>
  </si>
  <si>
    <t>EFF</t>
  </si>
  <si>
    <t>WestBalkans</t>
  </si>
  <si>
    <t>TABLE 1: CHP HEAT-TO-POWER RATIO (2022, aggregated by KiNESYS_CEA)</t>
  </si>
  <si>
    <t>Metric</t>
  </si>
  <si>
    <t>Iceland</t>
  </si>
  <si>
    <t>Main CHP Electricity Output (PJ)</t>
  </si>
  <si>
    <t>Auto CHP Electricity Output (PJ)</t>
  </si>
  <si>
    <t>Total CHP Electricity Output (PJ)</t>
  </si>
  <si>
    <t>Main CHP Heat Output (PJ)</t>
  </si>
  <si>
    <t>Auto CHP Heat Output (PJ)</t>
  </si>
  <si>
    <t>Total CHP Heat Output (PJ)</t>
  </si>
  <si>
    <t>Heat-to-Power Ratio (Main CHP)</t>
  </si>
  <si>
    <t>Heat-to-Power Ratio (Auto CHP)</t>
  </si>
  <si>
    <t>Heat-to-Power Ratio (All CHP)</t>
  </si>
  <si>
    <t>CHP Share of Total Electricity (%)</t>
  </si>
  <si>
    <t>Total Electricity Generation (PJ)</t>
  </si>
  <si>
    <t>TABLE 2: DISTRIBUTION LOSS + OWN CONSUMPTION (2022, aggregated by KiNESYS_CEA)</t>
  </si>
  <si>
    <t>Electricity T&amp;D Losses (PJ)</t>
  </si>
  <si>
    <t>Electricity Own Use in Power Plants (PJ)</t>
  </si>
  <si>
    <t>Electricity Total Losses (PJ)</t>
  </si>
  <si>
    <t>Electricity T&amp;D Loss Ratio (%)</t>
  </si>
  <si>
    <t>Electricity Own Use Ratio (%)</t>
  </si>
  <si>
    <t>Electricity Total Loss Ratio (%)</t>
  </si>
  <si>
    <t>Heat Distribution Losses (PJ)</t>
  </si>
  <si>
    <t>Heat Own Use in Heat Plants (PJ)</t>
  </si>
  <si>
    <t>Heat Total Losses (PJ)</t>
  </si>
  <si>
    <t>Total Heat Production (PJ)</t>
  </si>
  <si>
    <t>Heat Total Loss Ratio (%)</t>
  </si>
  <si>
    <t>~tfm_ins: pset_set=CHP</t>
  </si>
  <si>
    <t>ncap_chpr</t>
  </si>
  <si>
    <t>EA*</t>
  </si>
  <si>
    <t>com_ie</t>
  </si>
  <si>
    <t>fuel</t>
  </si>
  <si>
    <t>metric</t>
  </si>
  <si>
    <t>elcbsl,indbio</t>
  </si>
  <si>
    <t>bioenergy</t>
  </si>
  <si>
    <t>Latest</t>
  </si>
  <si>
    <t>???coa,elccob</t>
  </si>
  <si>
    <t>coal</t>
  </si>
  <si>
    <t>???nga</t>
  </si>
  <si>
    <t>gas</t>
  </si>
  <si>
    <t>???nuc</t>
  </si>
  <si>
    <t>nuclear</t>
  </si>
  <si>
    <t>???oil*</t>
  </si>
  <si>
    <t>oil</t>
  </si>
  <si>
    <t>Min_10yr</t>
  </si>
  <si>
    <t>Max_10yr</t>
  </si>
  <si>
    <t>~UC_T: UC_CAP</t>
  </si>
  <si>
    <t>limtype</t>
  </si>
  <si>
    <t>UC_ACT</t>
  </si>
  <si>
    <t>PSET_CI</t>
  </si>
  <si>
    <t>pset_co</t>
  </si>
  <si>
    <t>t_neg_andor</t>
  </si>
  <si>
    <t>LO</t>
  </si>
  <si>
    <t>-CO2Cap*</t>
  </si>
  <si>
    <t>-*turbine</t>
  </si>
  <si>
    <t>OR</t>
  </si>
  <si>
    <t>\I: LO</t>
  </si>
  <si>
    <t>UP</t>
  </si>
  <si>
    <t>bound</t>
  </si>
  <si>
    <t>tech</t>
  </si>
  <si>
    <t>Low</t>
  </si>
  <si>
    <t>Hydro</t>
  </si>
  <si>
    <t>Nuclear</t>
  </si>
  <si>
    <t>Solar</t>
  </si>
  <si>
    <t>Wind</t>
  </si>
  <si>
    <t>High</t>
  </si>
  <si>
    <t>~UC_T: uc_rhsrt</t>
  </si>
  <si>
    <t>uc_ncap</t>
  </si>
  <si>
    <t>uc_attr</t>
  </si>
  <si>
    <t>uce_buildrate_hydro</t>
  </si>
  <si>
    <t>ELCHYD</t>
  </si>
  <si>
    <t>ncap,buildup</t>
  </si>
  <si>
    <t>uce_buildrate_nuclear</t>
  </si>
  <si>
    <t>ELCNUC</t>
  </si>
  <si>
    <t>uce_buildrate_solar</t>
  </si>
  <si>
    <t>ELCSPV</t>
  </si>
  <si>
    <t>uce_buildrate_wind</t>
  </si>
  <si>
    <t>ELCWIN</t>
  </si>
  <si>
    <t>uce_buildrate_NG</t>
  </si>
  <si>
    <t>ELCNGA</t>
  </si>
  <si>
    <t>uce_buildrate_coal</t>
  </si>
  <si>
    <t>ELCCOA</t>
  </si>
  <si>
    <t>uce_CAPBND_bio</t>
  </si>
  <si>
    <t>ELCBSL</t>
  </si>
  <si>
    <t>en_biomass_ccs</t>
  </si>
  <si>
    <t>uce_CAPBND_gas</t>
  </si>
  <si>
    <t>ELCHH2, ELCNGA</t>
  </si>
  <si>
    <t>en_gas_ccs</t>
  </si>
  <si>
    <t>uce_CAPBND_coal</t>
  </si>
  <si>
    <t>en_coal_ccs</t>
  </si>
  <si>
    <t>uce_CAPBND_coal2</t>
  </si>
  <si>
    <t>en_coal_igcc_ccs</t>
  </si>
  <si>
    <t>~UC_SETS: R_S: AllRegions</t>
  </si>
  <si>
    <t>UC_RHST~0</t>
  </si>
  <si>
    <t>UC_ATTR</t>
  </si>
  <si>
    <t>UC_ACT~RHS</t>
  </si>
  <si>
    <t>IRE</t>
  </si>
  <si>
    <t>OILCRD</t>
  </si>
  <si>
    <t>T?_*,Glb*,Exo*</t>
  </si>
  <si>
    <t>ACT,GROWTH</t>
  </si>
  <si>
    <t>GASNGA,GASLNG</t>
  </si>
  <si>
    <t>COAHCO,COACOK</t>
  </si>
  <si>
    <t>STG</t>
  </si>
  <si>
    <t>AuxStoOUT</t>
  </si>
  <si>
    <t>ELC4H,ELC8H,ELCnH</t>
  </si>
  <si>
    <t>ELC4H,ELC8H,ELC,ELCnH</t>
  </si>
  <si>
    <t>UC_NCAP</t>
  </si>
  <si>
    <t>UCS_co2storage_buildrate</t>
  </si>
  <si>
    <t>CO2ForStorage</t>
  </si>
  <si>
    <t>NCAP,BUILDUP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</si>
</sst>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sz val="11"/>
      <color rgb="FF9C65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8"/>
      <color rgb="FF000000"/>
      <name val="Segoe UI"/>
      <charset val="134"/>
    </font>
    <font>
      <sz val="11"/>
      <name val="Carlito"/>
      <charset val="134"/>
    </font>
    <font>
      <sz val="10.199999999999999"/>
      <color rgb="FF212529"/>
      <name val="Segoe UI"/>
      <charset val="134"/>
    </font>
    <font>
      <b/>
      <sz val="10"/>
      <color theme="1"/>
      <name val="Calibri"/>
      <charset val="134"/>
      <scheme val="minor"/>
    </font>
    <font>
      <b/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0"/>
      <name val="Arial"/>
      <charset val="134"/>
    </font>
    <font>
      <sz val="10"/>
      <name val="Arial"/>
      <charset val="134"/>
    </font>
    <font>
      <b/>
      <sz val="10"/>
      <color indexed="12"/>
      <name val="Arial"/>
      <charset val="134"/>
    </font>
    <font>
      <b/>
      <sz val="11"/>
      <name val="Calibri"/>
      <charset val="134"/>
      <scheme val="minor"/>
    </font>
    <font>
      <b/>
      <sz val="11"/>
      <color indexed="8"/>
      <name val="Calibri"/>
      <charset val="134"/>
    </font>
    <font>
      <sz val="11"/>
      <color indexed="8"/>
      <name val="Calibri"/>
      <charset val="134"/>
    </font>
    <font>
      <b/>
      <sz val="9"/>
      <name val="Times New Roman"/>
    </font>
    <font>
      <sz val="9"/>
      <name val="Times New Roman"/>
    </font>
    <font>
      <sz val="11"/>
      <color theme="1"/>
      <name val="Calibri"/>
      <charset val="134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13"/>
        <bgColor indexed="64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4506668294322"/>
      </bottom>
      <diagonal/>
    </border>
  </borders>
  <cellStyleXfs count="14">
    <xf numFmtId="0" fontId="0" fillId="0" borderId="0"/>
    <xf numFmtId="9" fontId="21" fillId="0" borderId="0" applyFont="0" applyFill="0" applyBorder="0" applyAlignment="0" applyProtection="0"/>
    <xf numFmtId="0" fontId="10" fillId="0" borderId="2" applyNumberFormat="0" applyFill="0" applyAlignment="0" applyProtection="0"/>
    <xf numFmtId="0" fontId="11" fillId="0" borderId="3" applyNumberFormat="0" applyFill="0" applyAlignment="0" applyProtection="0"/>
    <xf numFmtId="0" fontId="1" fillId="2" borderId="1" applyNumberFormat="0" applyAlignment="0" applyProtection="0"/>
    <xf numFmtId="0" fontId="2" fillId="3" borderId="0" applyNumberFormat="0" applyBorder="0" applyAlignment="0" applyProtection="0"/>
    <xf numFmtId="0" fontId="1" fillId="2" borderId="1" applyNumberFormat="0" applyAlignment="0" applyProtection="0"/>
    <xf numFmtId="0" fontId="3" fillId="3" borderId="0" applyNumberFormat="0" applyBorder="0" applyAlignment="0" applyProtection="0"/>
    <xf numFmtId="0" fontId="14" fillId="0" borderId="0"/>
    <xf numFmtId="0" fontId="14" fillId="0" borderId="0"/>
    <xf numFmtId="0" fontId="14" fillId="0" borderId="0"/>
    <xf numFmtId="0" fontId="18" fillId="0" borderId="0"/>
    <xf numFmtId="0" fontId="21" fillId="0" borderId="0"/>
    <xf numFmtId="0" fontId="21" fillId="0" borderId="0"/>
  </cellStyleXfs>
  <cellXfs count="41">
    <xf numFmtId="0" fontId="0" fillId="0" borderId="0" xfId="0"/>
    <xf numFmtId="0" fontId="2" fillId="3" borderId="0" xfId="5"/>
    <xf numFmtId="0" fontId="0" fillId="4" borderId="0" xfId="0" applyFill="1"/>
    <xf numFmtId="0" fontId="0" fillId="5" borderId="0" xfId="0" applyFill="1"/>
    <xf numFmtId="0" fontId="0" fillId="5" borderId="0" xfId="0" applyFill="1" applyAlignment="1">
      <alignment vertical="center"/>
    </xf>
    <xf numFmtId="0" fontId="4" fillId="5" borderId="0" xfId="0" applyFont="1" applyFill="1"/>
    <xf numFmtId="0" fontId="0" fillId="0" borderId="0" xfId="0" applyAlignment="1">
      <alignment vertical="center"/>
    </xf>
    <xf numFmtId="0" fontId="4" fillId="0" borderId="0" xfId="0" applyFont="1"/>
    <xf numFmtId="0" fontId="5" fillId="0" borderId="0" xfId="0" applyFont="1" applyAlignment="1">
      <alignment horizontal="center"/>
    </xf>
    <xf numFmtId="0" fontId="6" fillId="0" borderId="0" xfId="0" applyFont="1" applyAlignment="1">
      <alignment vertical="center" wrapText="1"/>
    </xf>
    <xf numFmtId="0" fontId="6" fillId="0" borderId="0" xfId="0" applyFont="1"/>
    <xf numFmtId="0" fontId="7" fillId="6" borderId="0" xfId="0" applyFont="1" applyFill="1"/>
    <xf numFmtId="9" fontId="0" fillId="0" borderId="0" xfId="0" applyNumberFormat="1"/>
    <xf numFmtId="9" fontId="0" fillId="0" borderId="0" xfId="0" applyNumberFormat="1" applyAlignment="1">
      <alignment horizontal="right" vertical="center"/>
    </xf>
    <xf numFmtId="0" fontId="1" fillId="2" borderId="1" xfId="6"/>
    <xf numFmtId="0" fontId="0" fillId="0" borderId="0" xfId="0" applyAlignment="1">
      <alignment horizontal="right" vertical="center"/>
    </xf>
    <xf numFmtId="2" fontId="0" fillId="0" borderId="0" xfId="0" applyNumberFormat="1"/>
    <xf numFmtId="0" fontId="8" fillId="2" borderId="1" xfId="6" applyFont="1"/>
    <xf numFmtId="0" fontId="1" fillId="2" borderId="0" xfId="6" applyBorder="1"/>
    <xf numFmtId="2" fontId="9" fillId="0" borderId="0" xfId="0" applyNumberFormat="1" applyFont="1"/>
    <xf numFmtId="0" fontId="10" fillId="0" borderId="2" xfId="2"/>
    <xf numFmtId="0" fontId="11" fillId="0" borderId="3" xfId="3"/>
    <xf numFmtId="9" fontId="0" fillId="0" borderId="0" xfId="1" applyFont="1"/>
    <xf numFmtId="0" fontId="0" fillId="7" borderId="0" xfId="0" applyFill="1"/>
    <xf numFmtId="0" fontId="12" fillId="0" borderId="0" xfId="0" applyFont="1"/>
    <xf numFmtId="0" fontId="13" fillId="0" borderId="0" xfId="0" applyFont="1" applyAlignment="1">
      <alignment horizontal="center"/>
    </xf>
    <xf numFmtId="0" fontId="13" fillId="0" borderId="0" xfId="0" applyFont="1"/>
    <xf numFmtId="0" fontId="14" fillId="0" borderId="0" xfId="0" applyFont="1"/>
    <xf numFmtId="0" fontId="21" fillId="0" borderId="0" xfId="12"/>
    <xf numFmtId="0" fontId="15" fillId="0" borderId="0" xfId="13" applyFont="1" applyAlignment="1">
      <alignment horizontal="left"/>
    </xf>
    <xf numFmtId="0" fontId="16" fillId="0" borderId="0" xfId="12" applyFont="1" applyAlignment="1">
      <alignment vertical="center"/>
    </xf>
    <xf numFmtId="0" fontId="13" fillId="0" borderId="0" xfId="13" applyFont="1" applyAlignment="1">
      <alignment horizontal="left" vertical="center"/>
    </xf>
    <xf numFmtId="0" fontId="14" fillId="0" borderId="0" xfId="9"/>
    <xf numFmtId="0" fontId="17" fillId="8" borderId="0" xfId="9" applyFont="1" applyFill="1"/>
    <xf numFmtId="0" fontId="17" fillId="9" borderId="0" xfId="9" applyFont="1" applyFill="1"/>
    <xf numFmtId="0" fontId="14" fillId="0" borderId="0" xfId="10"/>
    <xf numFmtId="0" fontId="8" fillId="2" borderId="1" xfId="4" applyFont="1"/>
    <xf numFmtId="2" fontId="14" fillId="0" borderId="0" xfId="10" applyNumberFormat="1"/>
    <xf numFmtId="2" fontId="14" fillId="0" borderId="0" xfId="9" applyNumberFormat="1"/>
    <xf numFmtId="2" fontId="2" fillId="3" borderId="0" xfId="5" applyNumberFormat="1"/>
    <xf numFmtId="0" fontId="0" fillId="0" borderId="0" xfId="0" quotePrefix="1"/>
  </cellXfs>
  <cellStyles count="14">
    <cellStyle name="Heading 2" xfId="2" builtinId="17"/>
    <cellStyle name="Heading 3" xfId="3" builtinId="18"/>
    <cellStyle name="Input" xfId="4" builtinId="20"/>
    <cellStyle name="Input 2" xfId="6" xr:uid="{00000000-0005-0000-0000-000031000000}"/>
    <cellStyle name="Neutral" xfId="5" builtinId="28"/>
    <cellStyle name="Neutral 2" xfId="7" xr:uid="{00000000-0005-0000-0000-000032000000}"/>
    <cellStyle name="Normal" xfId="0" builtinId="0"/>
    <cellStyle name="Normal 10" xfId="8" xr:uid="{00000000-0005-0000-0000-000033000000}"/>
    <cellStyle name="Normal 11 2 2" xfId="12" xr:uid="{00000000-0005-0000-0000-000037000000}"/>
    <cellStyle name="Normal 2" xfId="9" xr:uid="{00000000-0005-0000-0000-000034000000}"/>
    <cellStyle name="Normal 2 2" xfId="10" xr:uid="{00000000-0005-0000-0000-000035000000}"/>
    <cellStyle name="Normal 4" xfId="13" xr:uid="{00000000-0005-0000-0000-000038000000}"/>
    <cellStyle name="Normale_Scen_UC_IND-StrucConst" xfId="11" xr:uid="{00000000-0005-0000-0000-000036000000}"/>
    <cellStyle name="Percent" xfId="1" builtinId="5"/>
  </cellStyles>
  <dxfs count="0"/>
  <tableStyles count="0" defaultTableStyle="TableStyleMedium9" defaultPivotStyle="PivotStyleLight16"/>
  <colors>
    <mruColors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E92"/>
  <sheetViews>
    <sheetView zoomScale="82" zoomScaleNormal="82" workbookViewId="0"/>
  </sheetViews>
  <sheetFormatPr defaultColWidth="9.1328125" defaultRowHeight="12.75"/>
  <cols>
    <col min="1" max="1" width="9.1328125" style="32" customWidth="1"/>
    <col min="2" max="2" width="9.86328125" style="32" customWidth="1"/>
    <col min="3" max="3" width="8.46484375" style="32" customWidth="1"/>
    <col min="4" max="4" width="12.796875" style="32" customWidth="1"/>
    <col min="5" max="5" width="5" style="32" customWidth="1"/>
    <col min="6" max="6" width="14.19921875" style="32" customWidth="1"/>
    <col min="7" max="7" width="6.86328125" style="32" customWidth="1"/>
    <col min="8" max="8" width="10.46484375" style="32" customWidth="1"/>
    <col min="9" max="9" width="8.46484375" style="32" customWidth="1"/>
    <col min="10" max="10" width="5.1328125" style="32" customWidth="1"/>
    <col min="11" max="12" width="5" style="32" customWidth="1"/>
    <col min="13" max="256" width="11.46484375" style="32" customWidth="1"/>
    <col min="257" max="16384" width="9.1328125" style="32"/>
  </cols>
  <sheetData>
    <row r="2" spans="2:31">
      <c r="B2" s="32" t="s">
        <v>0</v>
      </c>
      <c r="Y2" s="32" t="s">
        <v>0</v>
      </c>
    </row>
    <row r="3" spans="2:31" ht="14.25">
      <c r="B3" s="33" t="s">
        <v>1</v>
      </c>
      <c r="C3" s="33" t="s">
        <v>2</v>
      </c>
      <c r="D3" s="33" t="s">
        <v>3</v>
      </c>
      <c r="E3" s="33" t="s">
        <v>4</v>
      </c>
      <c r="F3" s="33" t="s">
        <v>5</v>
      </c>
      <c r="G3" s="34" t="s">
        <v>6</v>
      </c>
      <c r="H3" s="34" t="s">
        <v>7</v>
      </c>
      <c r="I3" s="33" t="s">
        <v>8</v>
      </c>
      <c r="J3"/>
      <c r="K3"/>
      <c r="L3"/>
      <c r="Y3" s="32" t="s">
        <v>1</v>
      </c>
      <c r="Z3" s="32" t="s">
        <v>2</v>
      </c>
      <c r="AA3" s="32" t="s">
        <v>3</v>
      </c>
      <c r="AB3" s="32" t="s">
        <v>4</v>
      </c>
      <c r="AC3" s="32" t="s">
        <v>5</v>
      </c>
      <c r="AD3" s="32" t="s">
        <v>6</v>
      </c>
      <c r="AE3" s="32" t="s">
        <v>7</v>
      </c>
    </row>
    <row r="4" spans="2:31" ht="14.25">
      <c r="D4" s="32" t="s">
        <v>9</v>
      </c>
      <c r="H4">
        <v>0.1</v>
      </c>
      <c r="I4" s="32" t="s">
        <v>10</v>
      </c>
      <c r="J4"/>
      <c r="K4"/>
      <c r="L4"/>
      <c r="T4" s="35" t="s">
        <v>11</v>
      </c>
      <c r="U4" s="35" t="s">
        <v>12</v>
      </c>
      <c r="V4" s="35" t="s">
        <v>13</v>
      </c>
      <c r="W4" s="35" t="s">
        <v>14</v>
      </c>
      <c r="AA4" s="32" t="s">
        <v>15</v>
      </c>
      <c r="AC4" s="32" t="s">
        <v>16</v>
      </c>
      <c r="AD4" s="32" t="s">
        <v>17</v>
      </c>
      <c r="AE4" s="32">
        <f>1.10926234054354*H39</f>
        <v>1.20144204104271</v>
      </c>
    </row>
    <row r="5" spans="2:31" ht="14.25">
      <c r="D5" s="32" t="s">
        <v>18</v>
      </c>
      <c r="H5" s="32">
        <v>2020</v>
      </c>
      <c r="J5"/>
      <c r="K5"/>
      <c r="L5"/>
      <c r="T5" s="35" t="s">
        <v>19</v>
      </c>
      <c r="U5" s="35" t="s">
        <v>20</v>
      </c>
      <c r="V5" s="35">
        <v>2001</v>
      </c>
      <c r="W5" s="35">
        <v>0.76282751560211204</v>
      </c>
      <c r="AA5" s="32" t="s">
        <v>21</v>
      </c>
      <c r="AD5" s="32" t="s">
        <v>17</v>
      </c>
      <c r="AE5" s="32">
        <f>O6</f>
        <v>7.0000000000000007E-2</v>
      </c>
    </row>
    <row r="6" spans="2:31" ht="14.25">
      <c r="D6" s="32" t="s">
        <v>22</v>
      </c>
      <c r="H6" s="32">
        <v>1</v>
      </c>
      <c r="J6"/>
      <c r="K6"/>
      <c r="L6"/>
      <c r="O6" s="36">
        <v>7.0000000000000007E-2</v>
      </c>
      <c r="P6" s="32" t="s">
        <v>23</v>
      </c>
      <c r="T6" s="35" t="s">
        <v>19</v>
      </c>
      <c r="U6" s="35" t="s">
        <v>20</v>
      </c>
      <c r="V6" s="35">
        <v>2002</v>
      </c>
      <c r="W6" s="35">
        <v>0.77446031570434604</v>
      </c>
      <c r="AA6" s="35" t="s">
        <v>15</v>
      </c>
      <c r="AB6"/>
      <c r="AC6" s="35" t="s">
        <v>16</v>
      </c>
      <c r="AD6" s="35" t="s">
        <v>24</v>
      </c>
      <c r="AE6" s="37">
        <f>H45</f>
        <v>0.98960000000000004</v>
      </c>
    </row>
    <row r="7" spans="2:31" ht="14.25">
      <c r="D7" s="32" t="str">
        <f>IF(F7=G7,"*","")&amp;"G_CUREX"</f>
        <v>G_CUREX</v>
      </c>
      <c r="F7" s="32" t="s">
        <v>16</v>
      </c>
      <c r="G7" s="32" t="str">
        <f>"USD"&amp;RIGHT(O9,2)</f>
        <v>USD83</v>
      </c>
      <c r="H7" s="38">
        <f>ROUND($P$46/P9,4)</f>
        <v>2.2201</v>
      </c>
      <c r="T7" s="35" t="s">
        <v>19</v>
      </c>
      <c r="U7" s="35" t="s">
        <v>20</v>
      </c>
      <c r="V7" s="35">
        <v>2003</v>
      </c>
      <c r="W7" s="35">
        <v>0.789065361022949</v>
      </c>
      <c r="AA7" s="35" t="s">
        <v>21</v>
      </c>
      <c r="AB7"/>
      <c r="AC7"/>
      <c r="AD7" s="35" t="s">
        <v>24</v>
      </c>
      <c r="AE7" s="35">
        <f>AE5</f>
        <v>7.0000000000000007E-2</v>
      </c>
    </row>
    <row r="8" spans="2:31" ht="14.25">
      <c r="D8" s="32" t="str">
        <f t="shared" ref="D8:D42" si="0">IF(F8=G8,"*","")&amp;"G_CUREX"</f>
        <v>G_CUREX</v>
      </c>
      <c r="F8" s="32" t="s">
        <v>16</v>
      </c>
      <c r="G8" s="32" t="str">
        <f t="shared" ref="G8:G42" si="1">"USD"&amp;RIGHT(O10,2)</f>
        <v>USD84</v>
      </c>
      <c r="H8" s="38">
        <f t="shared" ref="H8:H49" si="2">ROUND($P$46/P10,4)</f>
        <v>2.1427</v>
      </c>
      <c r="O8" s="1"/>
      <c r="P8" s="1" t="s">
        <v>25</v>
      </c>
      <c r="T8" s="35" t="s">
        <v>19</v>
      </c>
      <c r="U8" s="35" t="s">
        <v>20</v>
      </c>
      <c r="V8" s="35">
        <v>2004</v>
      </c>
      <c r="W8" s="35">
        <v>0.81019747257232699</v>
      </c>
    </row>
    <row r="9" spans="2:31" ht="14.25">
      <c r="D9" s="32" t="str">
        <f t="shared" si="0"/>
        <v>G_CUREX</v>
      </c>
      <c r="F9" s="32" t="s">
        <v>16</v>
      </c>
      <c r="G9" s="32" t="str">
        <f t="shared" si="1"/>
        <v>USD85</v>
      </c>
      <c r="H9" s="38">
        <f t="shared" si="2"/>
        <v>2.077</v>
      </c>
      <c r="O9" s="1">
        <v>1983</v>
      </c>
      <c r="P9" s="39">
        <f>VLOOKUP(O9,$V$5:$W$99,2,FALSE)</f>
        <v>0.48787263035774198</v>
      </c>
      <c r="T9" s="35" t="s">
        <v>19</v>
      </c>
      <c r="U9" s="35" t="s">
        <v>20</v>
      </c>
      <c r="V9" s="35">
        <v>2005</v>
      </c>
      <c r="W9" s="35">
        <v>0.83531957864761397</v>
      </c>
    </row>
    <row r="10" spans="2:31" ht="14.25">
      <c r="D10" s="32" t="str">
        <f t="shared" si="0"/>
        <v>G_CUREX</v>
      </c>
      <c r="F10" s="32" t="s">
        <v>16</v>
      </c>
      <c r="G10" s="32" t="str">
        <f t="shared" si="1"/>
        <v>USD86</v>
      </c>
      <c r="H10" s="38">
        <f t="shared" si="2"/>
        <v>2.0358000000000001</v>
      </c>
      <c r="O10" s="1">
        <v>1984</v>
      </c>
      <c r="P10" s="39">
        <f t="shared" ref="P10:P51" si="3">VLOOKUP(O10,$V$5:$W$99,2,FALSE)</f>
        <v>0.50549513101577803</v>
      </c>
      <c r="T10" s="35" t="s">
        <v>19</v>
      </c>
      <c r="U10" s="35" t="s">
        <v>20</v>
      </c>
      <c r="V10" s="35">
        <v>2006</v>
      </c>
      <c r="W10" s="35">
        <v>0.86080724000930797</v>
      </c>
    </row>
    <row r="11" spans="2:31" ht="14.25">
      <c r="D11" s="32" t="str">
        <f t="shared" si="0"/>
        <v>G_CUREX</v>
      </c>
      <c r="F11" s="32" t="s">
        <v>16</v>
      </c>
      <c r="G11" s="32" t="str">
        <f t="shared" si="1"/>
        <v>USD87</v>
      </c>
      <c r="H11" s="38">
        <f t="shared" si="2"/>
        <v>1.9870000000000001</v>
      </c>
      <c r="O11" s="1">
        <v>1985</v>
      </c>
      <c r="P11" s="39">
        <f t="shared" si="3"/>
        <v>0.52148580551147505</v>
      </c>
      <c r="T11" s="35" t="s">
        <v>19</v>
      </c>
      <c r="U11" s="35" t="s">
        <v>20</v>
      </c>
      <c r="V11" s="35">
        <v>2007</v>
      </c>
      <c r="W11" s="35">
        <v>0.88397014141082797</v>
      </c>
    </row>
    <row r="12" spans="2:31" ht="14.25">
      <c r="D12" s="32" t="str">
        <f t="shared" si="0"/>
        <v>G_CUREX</v>
      </c>
      <c r="F12" s="32" t="s">
        <v>16</v>
      </c>
      <c r="G12" s="32" t="str">
        <f t="shared" si="1"/>
        <v>USD88</v>
      </c>
      <c r="H12" s="38">
        <f t="shared" si="2"/>
        <v>1.9192</v>
      </c>
      <c r="O12" s="1">
        <v>1986</v>
      </c>
      <c r="P12" s="39">
        <f t="shared" si="3"/>
        <v>0.53205072879791304</v>
      </c>
      <c r="T12" s="35" t="s">
        <v>19</v>
      </c>
      <c r="U12" s="35" t="s">
        <v>20</v>
      </c>
      <c r="V12" s="35">
        <v>2008</v>
      </c>
      <c r="W12" s="35">
        <v>0.90084481239318803</v>
      </c>
    </row>
    <row r="13" spans="2:31" ht="14.25">
      <c r="D13" s="32" t="str">
        <f t="shared" si="0"/>
        <v>G_CUREX</v>
      </c>
      <c r="F13" s="32" t="s">
        <v>16</v>
      </c>
      <c r="G13" s="32" t="str">
        <f t="shared" si="1"/>
        <v>USD89</v>
      </c>
      <c r="H13" s="38">
        <f t="shared" si="2"/>
        <v>1.8468</v>
      </c>
      <c r="O13" s="1">
        <v>1987</v>
      </c>
      <c r="P13" s="39">
        <f t="shared" si="3"/>
        <v>0.54511946439742998</v>
      </c>
      <c r="T13" s="35" t="s">
        <v>19</v>
      </c>
      <c r="U13" s="35" t="s">
        <v>20</v>
      </c>
      <c r="V13" s="35">
        <v>2009</v>
      </c>
      <c r="W13" s="35">
        <v>0.90787374973297097</v>
      </c>
    </row>
    <row r="14" spans="2:31" ht="14.25">
      <c r="D14" s="32" t="str">
        <f t="shared" si="0"/>
        <v>G_CUREX</v>
      </c>
      <c r="F14" s="32" t="s">
        <v>16</v>
      </c>
      <c r="G14" s="32" t="str">
        <f t="shared" si="1"/>
        <v>USD90</v>
      </c>
      <c r="H14" s="38">
        <f t="shared" si="2"/>
        <v>1.7799</v>
      </c>
      <c r="O14" s="1">
        <v>1988</v>
      </c>
      <c r="P14" s="39">
        <f t="shared" si="3"/>
        <v>0.56437134742736805</v>
      </c>
      <c r="T14" s="35" t="s">
        <v>19</v>
      </c>
      <c r="U14" s="35" t="s">
        <v>20</v>
      </c>
      <c r="V14" s="35">
        <v>2010</v>
      </c>
      <c r="W14" s="35">
        <v>0.918479204177856</v>
      </c>
    </row>
    <row r="15" spans="2:31" ht="14.25">
      <c r="D15" s="32" t="str">
        <f t="shared" si="0"/>
        <v>G_CUREX</v>
      </c>
      <c r="F15" s="32" t="s">
        <v>16</v>
      </c>
      <c r="G15" s="32" t="str">
        <f t="shared" si="1"/>
        <v>USD91</v>
      </c>
      <c r="H15" s="38">
        <f t="shared" si="2"/>
        <v>1.722</v>
      </c>
      <c r="O15" s="1">
        <v>1989</v>
      </c>
      <c r="P15" s="39">
        <f t="shared" si="3"/>
        <v>0.58649742603302002</v>
      </c>
      <c r="T15" s="35" t="s">
        <v>19</v>
      </c>
      <c r="U15" s="35" t="s">
        <v>20</v>
      </c>
      <c r="V15" s="35">
        <v>2011</v>
      </c>
      <c r="W15" s="35">
        <v>0.93761897087097201</v>
      </c>
    </row>
    <row r="16" spans="2:31" ht="14.25">
      <c r="D16" s="32" t="str">
        <f t="shared" si="0"/>
        <v>G_CUREX</v>
      </c>
      <c r="F16" s="32" t="s">
        <v>16</v>
      </c>
      <c r="G16" s="32" t="str">
        <f t="shared" si="1"/>
        <v>USD92</v>
      </c>
      <c r="H16" s="38">
        <f t="shared" si="2"/>
        <v>1.6836</v>
      </c>
      <c r="O16" s="1">
        <v>1990</v>
      </c>
      <c r="P16" s="39">
        <f t="shared" si="3"/>
        <v>0.60853272676467896</v>
      </c>
      <c r="T16" s="35" t="s">
        <v>19</v>
      </c>
      <c r="U16" s="35" t="s">
        <v>20</v>
      </c>
      <c r="V16" s="35">
        <v>2012</v>
      </c>
      <c r="W16" s="35">
        <v>0.95566660165786699</v>
      </c>
    </row>
    <row r="17" spans="4:23" ht="14.25">
      <c r="D17" s="32" t="str">
        <f t="shared" si="0"/>
        <v>G_CUREX</v>
      </c>
      <c r="F17" s="32" t="s">
        <v>16</v>
      </c>
      <c r="G17" s="32" t="str">
        <f t="shared" si="1"/>
        <v>USD93</v>
      </c>
      <c r="H17" s="38">
        <f t="shared" si="2"/>
        <v>1.6446000000000001</v>
      </c>
      <c r="O17" s="1">
        <v>1991</v>
      </c>
      <c r="P17" s="39">
        <f t="shared" si="3"/>
        <v>0.62901258468627896</v>
      </c>
      <c r="T17" s="35" t="s">
        <v>19</v>
      </c>
      <c r="U17" s="35" t="s">
        <v>20</v>
      </c>
      <c r="V17" s="35">
        <v>2013</v>
      </c>
      <c r="W17" s="35">
        <v>0.97260576486587502</v>
      </c>
    </row>
    <row r="18" spans="4:23" ht="14.25">
      <c r="D18" s="32" t="str">
        <f t="shared" si="0"/>
        <v>G_CUREX</v>
      </c>
      <c r="F18" s="32" t="s">
        <v>16</v>
      </c>
      <c r="G18" s="32" t="str">
        <f t="shared" si="1"/>
        <v>USD94</v>
      </c>
      <c r="H18" s="38">
        <f t="shared" si="2"/>
        <v>1.6102000000000001</v>
      </c>
      <c r="O18" s="1">
        <v>1992</v>
      </c>
      <c r="P18" s="39">
        <f t="shared" si="3"/>
        <v>0.64336210489273105</v>
      </c>
      <c r="T18" s="35" t="s">
        <v>19</v>
      </c>
      <c r="U18" s="35" t="s">
        <v>20</v>
      </c>
      <c r="V18" s="35">
        <v>2014</v>
      </c>
      <c r="W18" s="35">
        <v>0.990517318248749</v>
      </c>
    </row>
    <row r="19" spans="4:23" ht="14.25">
      <c r="D19" s="32" t="str">
        <f t="shared" si="0"/>
        <v>G_CUREX</v>
      </c>
      <c r="F19" s="32" t="s">
        <v>16</v>
      </c>
      <c r="G19" s="32" t="str">
        <f t="shared" si="1"/>
        <v>USD95</v>
      </c>
      <c r="H19" s="38">
        <f t="shared" si="2"/>
        <v>1.5770999999999999</v>
      </c>
      <c r="O19" s="1">
        <v>1993</v>
      </c>
      <c r="P19" s="39">
        <f t="shared" si="3"/>
        <v>0.658619225025177</v>
      </c>
      <c r="T19" s="35" t="s">
        <v>19</v>
      </c>
      <c r="U19" s="35" t="s">
        <v>20</v>
      </c>
      <c r="V19" s="35">
        <v>2015</v>
      </c>
      <c r="W19" s="35">
        <v>1</v>
      </c>
    </row>
    <row r="20" spans="4:23" ht="14.25">
      <c r="D20" s="32" t="str">
        <f t="shared" si="0"/>
        <v>G_CUREX</v>
      </c>
      <c r="F20" s="32" t="s">
        <v>16</v>
      </c>
      <c r="G20" s="32" t="str">
        <f t="shared" si="1"/>
        <v>USD96</v>
      </c>
      <c r="H20" s="38">
        <f t="shared" si="2"/>
        <v>1.5488</v>
      </c>
      <c r="O20" s="1">
        <v>1994</v>
      </c>
      <c r="P20" s="39">
        <f t="shared" si="3"/>
        <v>0.67265796661376998</v>
      </c>
      <c r="T20" s="35" t="s">
        <v>19</v>
      </c>
      <c r="U20" s="35" t="s">
        <v>20</v>
      </c>
      <c r="V20" s="35">
        <v>2016</v>
      </c>
      <c r="W20" s="35">
        <v>1.0104837417602499</v>
      </c>
    </row>
    <row r="21" spans="4:23" ht="14.25">
      <c r="D21" s="32" t="str">
        <f t="shared" si="0"/>
        <v>G_CUREX</v>
      </c>
      <c r="F21" s="32" t="s">
        <v>16</v>
      </c>
      <c r="G21" s="32" t="str">
        <f t="shared" si="1"/>
        <v>USD97</v>
      </c>
      <c r="H21" s="38">
        <f t="shared" si="2"/>
        <v>1.5224</v>
      </c>
      <c r="O21" s="1">
        <v>1995</v>
      </c>
      <c r="P21" s="39">
        <f t="shared" si="3"/>
        <v>0.68678039312362704</v>
      </c>
      <c r="T21" s="35" t="s">
        <v>19</v>
      </c>
      <c r="U21" s="35" t="s">
        <v>20</v>
      </c>
      <c r="V21" s="35">
        <v>2017</v>
      </c>
      <c r="W21" s="35">
        <v>1.02974033355713</v>
      </c>
    </row>
    <row r="22" spans="4:23" ht="14.25">
      <c r="D22" s="32" t="str">
        <f t="shared" si="0"/>
        <v>G_CUREX</v>
      </c>
      <c r="F22" s="32" t="s">
        <v>16</v>
      </c>
      <c r="G22" s="32" t="str">
        <f t="shared" si="1"/>
        <v>USD98</v>
      </c>
      <c r="H22" s="38">
        <f t="shared" si="2"/>
        <v>1.5058</v>
      </c>
      <c r="O22" s="1">
        <v>1996</v>
      </c>
      <c r="P22" s="39">
        <f t="shared" si="3"/>
        <v>0.699335396289825</v>
      </c>
      <c r="T22" s="35" t="s">
        <v>19</v>
      </c>
      <c r="U22" s="35" t="s">
        <v>20</v>
      </c>
      <c r="V22" s="35">
        <v>2018</v>
      </c>
      <c r="W22" s="35">
        <v>1.0543080568313601</v>
      </c>
    </row>
    <row r="23" spans="4:23" ht="14.25">
      <c r="D23" s="32" t="str">
        <f t="shared" si="0"/>
        <v>G_CUREX</v>
      </c>
      <c r="F23" s="32" t="s">
        <v>16</v>
      </c>
      <c r="G23" s="32" t="str">
        <f t="shared" si="1"/>
        <v>USD99</v>
      </c>
      <c r="H23" s="38">
        <f t="shared" si="2"/>
        <v>1.4844999999999999</v>
      </c>
      <c r="O23" s="1">
        <v>1997</v>
      </c>
      <c r="P23" s="39">
        <f t="shared" si="3"/>
        <v>0.71145087480545</v>
      </c>
      <c r="T23" s="35" t="s">
        <v>19</v>
      </c>
      <c r="U23" s="35" t="s">
        <v>20</v>
      </c>
      <c r="V23" s="35">
        <v>2019</v>
      </c>
      <c r="W23" s="35">
        <v>1.0733783245086701</v>
      </c>
    </row>
    <row r="24" spans="4:23" ht="14.25">
      <c r="D24" s="32" t="str">
        <f t="shared" si="0"/>
        <v>G_CUREX</v>
      </c>
      <c r="F24" s="32" t="s">
        <v>16</v>
      </c>
      <c r="G24" s="32" t="str">
        <f t="shared" si="1"/>
        <v>USD00</v>
      </c>
      <c r="H24" s="38">
        <f t="shared" si="2"/>
        <v>1.4518</v>
      </c>
      <c r="O24" s="1">
        <v>1998</v>
      </c>
      <c r="P24" s="39">
        <f t="shared" si="3"/>
        <v>0.71929687261581399</v>
      </c>
      <c r="T24" s="35" t="s">
        <v>19</v>
      </c>
      <c r="U24" s="35" t="s">
        <v>20</v>
      </c>
      <c r="V24" s="35">
        <v>2020</v>
      </c>
      <c r="W24" s="35">
        <v>1.08314538002014</v>
      </c>
    </row>
    <row r="25" spans="4:23" ht="14.25">
      <c r="D25" s="32" t="str">
        <f t="shared" si="0"/>
        <v>G_CUREX</v>
      </c>
      <c r="F25" s="32" t="s">
        <v>16</v>
      </c>
      <c r="G25" s="32" t="str">
        <f t="shared" si="1"/>
        <v>USD01</v>
      </c>
      <c r="H25" s="38">
        <f t="shared" si="2"/>
        <v>1.4198999999999999</v>
      </c>
      <c r="O25" s="1">
        <v>1999</v>
      </c>
      <c r="P25" s="39">
        <f t="shared" si="3"/>
        <v>0.72961330413818404</v>
      </c>
      <c r="T25" s="35" t="s">
        <v>19</v>
      </c>
      <c r="U25" s="35" t="s">
        <v>20</v>
      </c>
      <c r="V25" s="35">
        <v>2021</v>
      </c>
      <c r="W25" s="35">
        <v>1.0945699214935301</v>
      </c>
    </row>
    <row r="26" spans="4:23" ht="14.25">
      <c r="D26" s="32" t="str">
        <f t="shared" si="0"/>
        <v>G_CUREX</v>
      </c>
      <c r="F26" s="32" t="s">
        <v>16</v>
      </c>
      <c r="G26" s="32" t="str">
        <f t="shared" si="1"/>
        <v>USD02</v>
      </c>
      <c r="H26" s="38">
        <f t="shared" si="2"/>
        <v>1.3986000000000001</v>
      </c>
      <c r="O26" s="1">
        <v>2000</v>
      </c>
      <c r="P26" s="39">
        <f t="shared" si="3"/>
        <v>0.74607461690902699</v>
      </c>
      <c r="T26" s="35" t="s">
        <v>19</v>
      </c>
      <c r="U26" s="35" t="s">
        <v>20</v>
      </c>
      <c r="V26" s="35">
        <v>2022</v>
      </c>
      <c r="W26" s="35">
        <v>1.1073887348175</v>
      </c>
    </row>
    <row r="27" spans="4:23" ht="14.25">
      <c r="D27" s="32" t="str">
        <f t="shared" si="0"/>
        <v>G_CUREX</v>
      </c>
      <c r="F27" s="32" t="s">
        <v>16</v>
      </c>
      <c r="G27" s="32" t="str">
        <f t="shared" si="1"/>
        <v>USD03</v>
      </c>
      <c r="H27" s="38">
        <f t="shared" si="2"/>
        <v>1.3727</v>
      </c>
      <c r="O27" s="1">
        <v>2001</v>
      </c>
      <c r="P27" s="39">
        <f t="shared" si="3"/>
        <v>0.76282751560211204</v>
      </c>
      <c r="T27" s="35" t="s">
        <v>19</v>
      </c>
      <c r="U27" s="35" t="s">
        <v>20</v>
      </c>
      <c r="V27" s="35">
        <v>2023</v>
      </c>
      <c r="W27" s="35">
        <v>1.1224308013916</v>
      </c>
    </row>
    <row r="28" spans="4:23" ht="14.25">
      <c r="D28" s="32" t="str">
        <f t="shared" si="0"/>
        <v>G_CUREX</v>
      </c>
      <c r="F28" s="32" t="s">
        <v>16</v>
      </c>
      <c r="G28" s="32" t="str">
        <f t="shared" si="1"/>
        <v>USD04</v>
      </c>
      <c r="H28" s="38">
        <f t="shared" si="2"/>
        <v>1.3369</v>
      </c>
      <c r="O28" s="1">
        <v>2002</v>
      </c>
      <c r="P28" s="39">
        <f t="shared" si="3"/>
        <v>0.77446031570434604</v>
      </c>
      <c r="T28" s="35" t="s">
        <v>19</v>
      </c>
      <c r="U28" s="35" t="s">
        <v>20</v>
      </c>
      <c r="V28" s="35">
        <v>2024</v>
      </c>
      <c r="W28" s="35">
        <v>1.1412873268127399</v>
      </c>
    </row>
    <row r="29" spans="4:23" ht="14.25">
      <c r="D29" s="32" t="str">
        <f t="shared" si="0"/>
        <v>G_CUREX</v>
      </c>
      <c r="F29" s="32" t="s">
        <v>16</v>
      </c>
      <c r="G29" s="32" t="str">
        <f t="shared" si="1"/>
        <v>USD05</v>
      </c>
      <c r="H29" s="38">
        <f t="shared" si="2"/>
        <v>1.2967</v>
      </c>
      <c r="O29" s="1">
        <v>2003</v>
      </c>
      <c r="P29" s="39">
        <f t="shared" si="3"/>
        <v>0.789065361022949</v>
      </c>
      <c r="T29" s="35" t="s">
        <v>19</v>
      </c>
      <c r="U29" s="35" t="s">
        <v>20</v>
      </c>
      <c r="V29" s="35">
        <v>2025</v>
      </c>
      <c r="W29" s="35">
        <v>1.1650648117065401</v>
      </c>
    </row>
    <row r="30" spans="4:23" ht="14.25">
      <c r="D30" s="32" t="str">
        <f t="shared" si="0"/>
        <v>G_CUREX</v>
      </c>
      <c r="F30" s="32" t="s">
        <v>16</v>
      </c>
      <c r="G30" s="32" t="str">
        <f t="shared" si="1"/>
        <v>USD06</v>
      </c>
      <c r="H30" s="38">
        <f t="shared" si="2"/>
        <v>1.2583</v>
      </c>
      <c r="O30" s="1">
        <v>2004</v>
      </c>
      <c r="P30" s="39">
        <f t="shared" si="3"/>
        <v>0.81019747257232699</v>
      </c>
      <c r="T30" s="35" t="s">
        <v>19</v>
      </c>
      <c r="U30" s="35" t="s">
        <v>20</v>
      </c>
      <c r="V30" s="35">
        <v>2026</v>
      </c>
      <c r="W30" s="35">
        <v>1.1928025484085101</v>
      </c>
    </row>
    <row r="31" spans="4:23" ht="14.25">
      <c r="D31" s="32" t="str">
        <f t="shared" si="0"/>
        <v>G_CUREX</v>
      </c>
      <c r="F31" s="32" t="s">
        <v>16</v>
      </c>
      <c r="G31" s="32" t="str">
        <f t="shared" si="1"/>
        <v>USD07</v>
      </c>
      <c r="H31" s="38">
        <f t="shared" si="2"/>
        <v>1.2253000000000001</v>
      </c>
      <c r="O31" s="1">
        <v>2005</v>
      </c>
      <c r="P31" s="39">
        <f t="shared" si="3"/>
        <v>0.83531957864761397</v>
      </c>
      <c r="T31" s="35" t="s">
        <v>19</v>
      </c>
      <c r="U31" s="35" t="s">
        <v>20</v>
      </c>
      <c r="V31" s="35">
        <v>2027</v>
      </c>
      <c r="W31" s="35">
        <v>1.2230976819992101</v>
      </c>
    </row>
    <row r="32" spans="4:23" ht="14.25">
      <c r="D32" s="32" t="str">
        <f t="shared" si="0"/>
        <v>G_CUREX</v>
      </c>
      <c r="F32" s="32" t="s">
        <v>16</v>
      </c>
      <c r="G32" s="32" t="str">
        <f t="shared" si="1"/>
        <v>USD08</v>
      </c>
      <c r="H32" s="38">
        <f t="shared" si="2"/>
        <v>1.2023999999999999</v>
      </c>
      <c r="O32" s="1">
        <v>2006</v>
      </c>
      <c r="P32" s="39">
        <f t="shared" si="3"/>
        <v>0.86080724000930797</v>
      </c>
      <c r="T32" s="35" t="s">
        <v>19</v>
      </c>
      <c r="U32" s="35" t="s">
        <v>20</v>
      </c>
      <c r="V32" s="35">
        <v>2028</v>
      </c>
      <c r="W32" s="35">
        <v>1.2553139925003101</v>
      </c>
    </row>
    <row r="33" spans="4:23" ht="14.25">
      <c r="D33" s="32" t="str">
        <f t="shared" si="0"/>
        <v>G_CUREX</v>
      </c>
      <c r="F33" s="32" t="s">
        <v>16</v>
      </c>
      <c r="G33" s="32" t="str">
        <f t="shared" si="1"/>
        <v>USD09</v>
      </c>
      <c r="H33" s="38">
        <f t="shared" si="2"/>
        <v>1.1931</v>
      </c>
      <c r="O33" s="1">
        <v>2007</v>
      </c>
      <c r="P33" s="39">
        <f t="shared" si="3"/>
        <v>0.88397014141082797</v>
      </c>
      <c r="T33" s="35" t="s">
        <v>19</v>
      </c>
      <c r="U33" s="35" t="s">
        <v>20</v>
      </c>
      <c r="V33" s="35">
        <v>2029</v>
      </c>
      <c r="W33" s="35">
        <v>1.28839552402496</v>
      </c>
    </row>
    <row r="34" spans="4:23" ht="14.25">
      <c r="D34" s="32" t="str">
        <f t="shared" si="0"/>
        <v>G_CUREX</v>
      </c>
      <c r="F34" s="32" t="s">
        <v>16</v>
      </c>
      <c r="G34" s="32" t="str">
        <f t="shared" si="1"/>
        <v>USD10</v>
      </c>
      <c r="H34" s="38">
        <f t="shared" si="2"/>
        <v>1.1793</v>
      </c>
      <c r="O34" s="1">
        <v>2008</v>
      </c>
      <c r="P34" s="39">
        <f t="shared" si="3"/>
        <v>0.90084481239318803</v>
      </c>
      <c r="T34" s="35" t="s">
        <v>19</v>
      </c>
      <c r="U34" s="35" t="s">
        <v>20</v>
      </c>
      <c r="V34" s="35">
        <v>2030</v>
      </c>
      <c r="W34" s="35">
        <v>1.3217517137527499</v>
      </c>
    </row>
    <row r="35" spans="4:23" ht="14.25">
      <c r="D35" s="32" t="str">
        <f t="shared" si="0"/>
        <v>G_CUREX</v>
      </c>
      <c r="F35" s="32" t="s">
        <v>16</v>
      </c>
      <c r="G35" s="32" t="str">
        <f t="shared" si="1"/>
        <v>USD11</v>
      </c>
      <c r="H35" s="38">
        <f t="shared" si="2"/>
        <v>1.1552</v>
      </c>
      <c r="O35" s="1">
        <v>2009</v>
      </c>
      <c r="P35" s="39">
        <f t="shared" si="3"/>
        <v>0.90787374973297097</v>
      </c>
      <c r="T35" s="35" t="s">
        <v>19</v>
      </c>
      <c r="U35" s="35" t="s">
        <v>20</v>
      </c>
      <c r="V35" s="35">
        <v>1980</v>
      </c>
      <c r="W35" s="35">
        <v>0.40403914451599099</v>
      </c>
    </row>
    <row r="36" spans="4:23" ht="14.25">
      <c r="D36" s="32" t="str">
        <f t="shared" si="0"/>
        <v>G_CUREX</v>
      </c>
      <c r="F36" s="32" t="s">
        <v>16</v>
      </c>
      <c r="G36" s="32" t="str">
        <f t="shared" si="1"/>
        <v>USD12</v>
      </c>
      <c r="H36" s="38">
        <f t="shared" si="2"/>
        <v>1.1334</v>
      </c>
      <c r="O36" s="1">
        <v>2010</v>
      </c>
      <c r="P36" s="39">
        <f t="shared" si="3"/>
        <v>0.918479204177856</v>
      </c>
      <c r="T36" s="35" t="s">
        <v>19</v>
      </c>
      <c r="U36" s="35" t="s">
        <v>20</v>
      </c>
      <c r="V36" s="35">
        <v>1981</v>
      </c>
      <c r="W36" s="35">
        <v>0.44217979907989502</v>
      </c>
    </row>
    <row r="37" spans="4:23" ht="14.25">
      <c r="D37" s="32" t="str">
        <f t="shared" si="0"/>
        <v>G_CUREX</v>
      </c>
      <c r="F37" s="32" t="s">
        <v>16</v>
      </c>
      <c r="G37" s="32" t="str">
        <f t="shared" si="1"/>
        <v>USD13</v>
      </c>
      <c r="H37" s="38">
        <f t="shared" si="2"/>
        <v>1.1136999999999999</v>
      </c>
      <c r="O37" s="1">
        <v>2011</v>
      </c>
      <c r="P37" s="39">
        <f t="shared" si="3"/>
        <v>0.93761897087097201</v>
      </c>
      <c r="T37" s="35" t="s">
        <v>19</v>
      </c>
      <c r="U37" s="35" t="s">
        <v>20</v>
      </c>
      <c r="V37" s="35">
        <v>1982</v>
      </c>
      <c r="W37" s="35">
        <v>0.46952143311500499</v>
      </c>
    </row>
    <row r="38" spans="4:23" ht="14.25">
      <c r="D38" s="32" t="str">
        <f t="shared" si="0"/>
        <v>G_CUREX</v>
      </c>
      <c r="F38" s="32" t="s">
        <v>16</v>
      </c>
      <c r="G38" s="32" t="str">
        <f t="shared" si="1"/>
        <v>USD14</v>
      </c>
      <c r="H38" s="38">
        <f t="shared" si="2"/>
        <v>1.0934999999999999</v>
      </c>
      <c r="O38" s="1">
        <v>2012</v>
      </c>
      <c r="P38" s="39">
        <f t="shared" si="3"/>
        <v>0.95566660165786699</v>
      </c>
      <c r="T38" s="35" t="s">
        <v>19</v>
      </c>
      <c r="U38" s="35" t="s">
        <v>20</v>
      </c>
      <c r="V38" s="35">
        <v>1983</v>
      </c>
      <c r="W38" s="35">
        <v>0.48787263035774198</v>
      </c>
    </row>
    <row r="39" spans="4:23" ht="14.25">
      <c r="D39" s="32" t="str">
        <f t="shared" si="0"/>
        <v>G_CUREX</v>
      </c>
      <c r="F39" s="32" t="s">
        <v>16</v>
      </c>
      <c r="G39" s="32" t="str">
        <f t="shared" si="1"/>
        <v>USD15</v>
      </c>
      <c r="H39" s="38">
        <f t="shared" si="2"/>
        <v>1.0831</v>
      </c>
      <c r="O39" s="1">
        <v>2013</v>
      </c>
      <c r="P39" s="39">
        <f t="shared" si="3"/>
        <v>0.97260576486587502</v>
      </c>
      <c r="T39" s="35" t="s">
        <v>19</v>
      </c>
      <c r="U39" s="35" t="s">
        <v>20</v>
      </c>
      <c r="V39" s="35">
        <v>1984</v>
      </c>
      <c r="W39" s="35">
        <v>0.50549513101577803</v>
      </c>
    </row>
    <row r="40" spans="4:23" ht="14.25">
      <c r="D40" s="32" t="str">
        <f t="shared" si="0"/>
        <v>G_CUREX</v>
      </c>
      <c r="F40" s="32" t="s">
        <v>16</v>
      </c>
      <c r="G40" s="32" t="str">
        <f t="shared" si="1"/>
        <v>USD16</v>
      </c>
      <c r="H40" s="38">
        <f t="shared" si="2"/>
        <v>1.0719000000000001</v>
      </c>
      <c r="O40" s="1">
        <v>2014</v>
      </c>
      <c r="P40" s="39">
        <f t="shared" si="3"/>
        <v>0.990517318248749</v>
      </c>
      <c r="T40" s="35" t="s">
        <v>19</v>
      </c>
      <c r="U40" s="35" t="s">
        <v>20</v>
      </c>
      <c r="V40" s="35">
        <v>1985</v>
      </c>
      <c r="W40" s="35">
        <v>0.52148580551147505</v>
      </c>
    </row>
    <row r="41" spans="4:23" ht="14.25">
      <c r="D41" s="32" t="str">
        <f t="shared" si="0"/>
        <v>G_CUREX</v>
      </c>
      <c r="F41" s="32" t="s">
        <v>16</v>
      </c>
      <c r="G41" s="32" t="str">
        <f t="shared" si="1"/>
        <v>USD17</v>
      </c>
      <c r="H41" s="38">
        <f t="shared" si="2"/>
        <v>1.0519000000000001</v>
      </c>
      <c r="O41" s="1">
        <v>2015</v>
      </c>
      <c r="P41" s="39">
        <f t="shared" si="3"/>
        <v>1</v>
      </c>
      <c r="T41" s="35" t="s">
        <v>19</v>
      </c>
      <c r="U41" s="35" t="s">
        <v>20</v>
      </c>
      <c r="V41" s="35">
        <v>1986</v>
      </c>
      <c r="W41" s="35">
        <v>0.53205072879791304</v>
      </c>
    </row>
    <row r="42" spans="4:23" ht="14.25">
      <c r="D42" s="32" t="str">
        <f t="shared" si="0"/>
        <v>G_CUREX</v>
      </c>
      <c r="F42" s="32" t="s">
        <v>16</v>
      </c>
      <c r="G42" s="32" t="str">
        <f t="shared" si="1"/>
        <v>USD18</v>
      </c>
      <c r="H42" s="38">
        <f t="shared" si="2"/>
        <v>1.0274000000000001</v>
      </c>
      <c r="O42" s="1">
        <v>2016</v>
      </c>
      <c r="P42" s="39">
        <f t="shared" si="3"/>
        <v>1.0104837417602499</v>
      </c>
      <c r="T42" s="35" t="s">
        <v>19</v>
      </c>
      <c r="U42" s="35" t="s">
        <v>20</v>
      </c>
      <c r="V42" s="35">
        <v>1987</v>
      </c>
      <c r="W42" s="35">
        <v>0.54511946439742998</v>
      </c>
    </row>
    <row r="43" spans="4:23" ht="14.25">
      <c r="D43" s="32" t="str">
        <f t="shared" ref="D43:D49" si="4">IF(F43=G43,"*","")&amp;"G_CUREX"</f>
        <v>G_CUREX</v>
      </c>
      <c r="F43" s="32" t="s">
        <v>16</v>
      </c>
      <c r="G43" s="32" t="str">
        <f t="shared" ref="G43:G49" si="5">"USD"&amp;RIGHT(O45,2)</f>
        <v>USD19</v>
      </c>
      <c r="H43" s="38">
        <f t="shared" si="2"/>
        <v>1.0091000000000001</v>
      </c>
      <c r="O43" s="1">
        <v>2017</v>
      </c>
      <c r="P43" s="39">
        <f t="shared" si="3"/>
        <v>1.02974033355713</v>
      </c>
      <c r="T43" s="35" t="s">
        <v>19</v>
      </c>
      <c r="U43" s="35" t="s">
        <v>20</v>
      </c>
      <c r="V43" s="35">
        <v>1988</v>
      </c>
      <c r="W43" s="35">
        <v>0.56437134742736805</v>
      </c>
    </row>
    <row r="44" spans="4:23" ht="14.25">
      <c r="D44" s="32" t="str">
        <f t="shared" si="4"/>
        <v>*G_CUREX</v>
      </c>
      <c r="F44" s="32" t="s">
        <v>16</v>
      </c>
      <c r="G44" s="32" t="str">
        <f t="shared" si="5"/>
        <v>USD20</v>
      </c>
      <c r="H44" s="38">
        <f t="shared" si="2"/>
        <v>1</v>
      </c>
      <c r="O44" s="1">
        <v>2018</v>
      </c>
      <c r="P44" s="39">
        <f t="shared" si="3"/>
        <v>1.0543080568313601</v>
      </c>
      <c r="T44" s="35" t="s">
        <v>19</v>
      </c>
      <c r="U44" s="35" t="s">
        <v>20</v>
      </c>
      <c r="V44" s="35">
        <v>1989</v>
      </c>
      <c r="W44" s="35">
        <v>0.58649742603302002</v>
      </c>
    </row>
    <row r="45" spans="4:23" ht="14.25">
      <c r="D45" s="32" t="str">
        <f t="shared" si="4"/>
        <v>G_CUREX</v>
      </c>
      <c r="F45" s="32" t="s">
        <v>16</v>
      </c>
      <c r="G45" s="32" t="str">
        <f t="shared" si="5"/>
        <v>USD21</v>
      </c>
      <c r="H45" s="38">
        <f t="shared" si="2"/>
        <v>0.98960000000000004</v>
      </c>
      <c r="O45" s="1">
        <v>2019</v>
      </c>
      <c r="P45" s="39">
        <f t="shared" si="3"/>
        <v>1.0733783245086701</v>
      </c>
      <c r="T45" s="35" t="s">
        <v>19</v>
      </c>
      <c r="U45" s="35" t="s">
        <v>20</v>
      </c>
      <c r="V45" s="35">
        <v>1990</v>
      </c>
      <c r="W45" s="35">
        <v>0.60853272676467896</v>
      </c>
    </row>
    <row r="46" spans="4:23" ht="14.25">
      <c r="D46" s="32" t="str">
        <f t="shared" si="4"/>
        <v>G_CUREX</v>
      </c>
      <c r="F46" s="32" t="s">
        <v>16</v>
      </c>
      <c r="G46" s="32" t="str">
        <f t="shared" si="5"/>
        <v>USD22</v>
      </c>
      <c r="H46" s="38">
        <f t="shared" si="2"/>
        <v>0.97809999999999997</v>
      </c>
      <c r="O46" s="1">
        <v>2020</v>
      </c>
      <c r="P46" s="39">
        <f t="shared" si="3"/>
        <v>1.08314538002014</v>
      </c>
      <c r="T46" s="35" t="s">
        <v>19</v>
      </c>
      <c r="U46" s="35" t="s">
        <v>20</v>
      </c>
      <c r="V46" s="35">
        <v>1991</v>
      </c>
      <c r="W46" s="35">
        <v>0.62901258468627896</v>
      </c>
    </row>
    <row r="47" spans="4:23" ht="14.25">
      <c r="D47" s="32" t="str">
        <f t="shared" si="4"/>
        <v>G_CUREX</v>
      </c>
      <c r="F47" s="32" t="s">
        <v>16</v>
      </c>
      <c r="G47" s="32" t="str">
        <f t="shared" si="5"/>
        <v>USD23</v>
      </c>
      <c r="H47" s="38">
        <f t="shared" si="2"/>
        <v>0.96499999999999997</v>
      </c>
      <c r="O47" s="1">
        <v>2021</v>
      </c>
      <c r="P47" s="39">
        <f t="shared" si="3"/>
        <v>1.0945699214935301</v>
      </c>
      <c r="T47" s="35" t="s">
        <v>19</v>
      </c>
      <c r="U47" s="35" t="s">
        <v>20</v>
      </c>
      <c r="V47" s="35">
        <v>1992</v>
      </c>
      <c r="W47" s="35">
        <v>0.64336210489273105</v>
      </c>
    </row>
    <row r="48" spans="4:23" ht="14.25">
      <c r="D48" s="32" t="str">
        <f t="shared" si="4"/>
        <v>G_CUREX</v>
      </c>
      <c r="F48" s="32" t="s">
        <v>16</v>
      </c>
      <c r="G48" s="32" t="str">
        <f t="shared" si="5"/>
        <v>USD24</v>
      </c>
      <c r="H48" s="38">
        <f t="shared" si="2"/>
        <v>0.94910000000000005</v>
      </c>
      <c r="O48" s="1">
        <v>2022</v>
      </c>
      <c r="P48" s="39">
        <f t="shared" si="3"/>
        <v>1.1073887348175</v>
      </c>
      <c r="T48" s="35" t="s">
        <v>19</v>
      </c>
      <c r="U48" s="35" t="s">
        <v>20</v>
      </c>
      <c r="V48" s="35">
        <v>1993</v>
      </c>
      <c r="W48" s="35">
        <v>0.658619225025177</v>
      </c>
    </row>
    <row r="49" spans="4:23" ht="14.25">
      <c r="D49" s="32" t="str">
        <f t="shared" si="4"/>
        <v>G_CUREX</v>
      </c>
      <c r="F49" s="32" t="s">
        <v>16</v>
      </c>
      <c r="G49" s="32" t="str">
        <f t="shared" si="5"/>
        <v>USD25</v>
      </c>
      <c r="H49" s="38">
        <f t="shared" si="2"/>
        <v>0.92969999999999997</v>
      </c>
      <c r="O49" s="1">
        <v>2023</v>
      </c>
      <c r="P49" s="39">
        <f t="shared" si="3"/>
        <v>1.1224308013916</v>
      </c>
      <c r="T49" s="35" t="s">
        <v>19</v>
      </c>
      <c r="U49" s="35" t="s">
        <v>20</v>
      </c>
      <c r="V49" s="35">
        <v>1994</v>
      </c>
      <c r="W49" s="35">
        <v>0.67265796661376998</v>
      </c>
    </row>
    <row r="50" spans="4:23" ht="14.25">
      <c r="D50" s="32" t="s">
        <v>21</v>
      </c>
      <c r="G50" s="32" t="str">
        <f t="shared" ref="G50:G85" si="6">G7</f>
        <v>USD83</v>
      </c>
      <c r="H50" s="38">
        <f>$O$6</f>
        <v>7.0000000000000007E-2</v>
      </c>
      <c r="O50" s="1">
        <v>2024</v>
      </c>
      <c r="P50" s="39">
        <f t="shared" si="3"/>
        <v>1.1412873268127399</v>
      </c>
      <c r="T50" s="35" t="s">
        <v>19</v>
      </c>
      <c r="U50" s="35" t="s">
        <v>20</v>
      </c>
      <c r="V50" s="35">
        <v>1995</v>
      </c>
      <c r="W50" s="35">
        <v>0.68678039312362704</v>
      </c>
    </row>
    <row r="51" spans="4:23" ht="14.25">
      <c r="D51" s="32" t="s">
        <v>21</v>
      </c>
      <c r="G51" s="32" t="str">
        <f t="shared" si="6"/>
        <v>USD84</v>
      </c>
      <c r="H51" s="38">
        <f t="shared" ref="H51:H92" si="7">$O$6</f>
        <v>7.0000000000000007E-2</v>
      </c>
      <c r="O51" s="1">
        <v>2025</v>
      </c>
      <c r="P51" s="39">
        <f t="shared" si="3"/>
        <v>1.1650648117065401</v>
      </c>
      <c r="T51" s="35" t="s">
        <v>19</v>
      </c>
      <c r="U51" s="35" t="s">
        <v>20</v>
      </c>
      <c r="V51" s="35">
        <v>1996</v>
      </c>
      <c r="W51" s="35">
        <v>0.699335396289825</v>
      </c>
    </row>
    <row r="52" spans="4:23">
      <c r="D52" s="32" t="s">
        <v>21</v>
      </c>
      <c r="G52" s="32" t="str">
        <f t="shared" si="6"/>
        <v>USD85</v>
      </c>
      <c r="H52" s="38">
        <f t="shared" si="7"/>
        <v>7.0000000000000007E-2</v>
      </c>
      <c r="T52" s="35" t="s">
        <v>19</v>
      </c>
      <c r="U52" s="35" t="s">
        <v>20</v>
      </c>
      <c r="V52" s="35">
        <v>1997</v>
      </c>
      <c r="W52" s="35">
        <v>0.71145087480545</v>
      </c>
    </row>
    <row r="53" spans="4:23">
      <c r="D53" s="32" t="s">
        <v>21</v>
      </c>
      <c r="G53" s="32" t="str">
        <f t="shared" si="6"/>
        <v>USD86</v>
      </c>
      <c r="H53" s="38">
        <f t="shared" si="7"/>
        <v>7.0000000000000007E-2</v>
      </c>
      <c r="T53" s="35" t="s">
        <v>19</v>
      </c>
      <c r="U53" s="35" t="s">
        <v>20</v>
      </c>
      <c r="V53" s="35">
        <v>1998</v>
      </c>
      <c r="W53" s="35">
        <v>0.71929687261581399</v>
      </c>
    </row>
    <row r="54" spans="4:23">
      <c r="D54" s="32" t="s">
        <v>21</v>
      </c>
      <c r="G54" s="32" t="str">
        <f t="shared" si="6"/>
        <v>USD87</v>
      </c>
      <c r="H54" s="38">
        <f t="shared" si="7"/>
        <v>7.0000000000000007E-2</v>
      </c>
      <c r="T54" s="35" t="s">
        <v>19</v>
      </c>
      <c r="U54" s="35" t="s">
        <v>20</v>
      </c>
      <c r="V54" s="35">
        <v>1999</v>
      </c>
      <c r="W54" s="35">
        <v>0.72961330413818404</v>
      </c>
    </row>
    <row r="55" spans="4:23">
      <c r="D55" s="32" t="s">
        <v>21</v>
      </c>
      <c r="G55" s="32" t="str">
        <f t="shared" si="6"/>
        <v>USD88</v>
      </c>
      <c r="H55" s="38">
        <f t="shared" si="7"/>
        <v>7.0000000000000007E-2</v>
      </c>
      <c r="T55" s="35" t="s">
        <v>19</v>
      </c>
      <c r="U55" s="35" t="s">
        <v>20</v>
      </c>
      <c r="V55" s="35">
        <v>2000</v>
      </c>
      <c r="W55" s="35">
        <v>0.74607461690902699</v>
      </c>
    </row>
    <row r="56" spans="4:23">
      <c r="D56" s="32" t="s">
        <v>21</v>
      </c>
      <c r="G56" s="32" t="str">
        <f t="shared" si="6"/>
        <v>USD89</v>
      </c>
      <c r="H56" s="38">
        <f t="shared" si="7"/>
        <v>7.0000000000000007E-2</v>
      </c>
    </row>
    <row r="57" spans="4:23">
      <c r="D57" s="32" t="s">
        <v>21</v>
      </c>
      <c r="G57" s="32" t="str">
        <f t="shared" si="6"/>
        <v>USD90</v>
      </c>
      <c r="H57" s="38">
        <f t="shared" si="7"/>
        <v>7.0000000000000007E-2</v>
      </c>
    </row>
    <row r="58" spans="4:23">
      <c r="D58" s="32" t="s">
        <v>21</v>
      </c>
      <c r="G58" s="32" t="str">
        <f t="shared" si="6"/>
        <v>USD91</v>
      </c>
      <c r="H58" s="38">
        <f t="shared" si="7"/>
        <v>7.0000000000000007E-2</v>
      </c>
    </row>
    <row r="59" spans="4:23">
      <c r="D59" s="32" t="s">
        <v>21</v>
      </c>
      <c r="G59" s="32" t="str">
        <f t="shared" si="6"/>
        <v>USD92</v>
      </c>
      <c r="H59" s="38">
        <f t="shared" si="7"/>
        <v>7.0000000000000007E-2</v>
      </c>
    </row>
    <row r="60" spans="4:23">
      <c r="D60" s="32" t="s">
        <v>21</v>
      </c>
      <c r="G60" s="32" t="str">
        <f t="shared" si="6"/>
        <v>USD93</v>
      </c>
      <c r="H60" s="38">
        <f t="shared" si="7"/>
        <v>7.0000000000000007E-2</v>
      </c>
    </row>
    <row r="61" spans="4:23">
      <c r="D61" s="32" t="s">
        <v>21</v>
      </c>
      <c r="G61" s="32" t="str">
        <f t="shared" si="6"/>
        <v>USD94</v>
      </c>
      <c r="H61" s="38">
        <f t="shared" si="7"/>
        <v>7.0000000000000007E-2</v>
      </c>
    </row>
    <row r="62" spans="4:23">
      <c r="D62" s="32" t="s">
        <v>21</v>
      </c>
      <c r="G62" s="32" t="str">
        <f t="shared" si="6"/>
        <v>USD95</v>
      </c>
      <c r="H62" s="38">
        <f t="shared" si="7"/>
        <v>7.0000000000000007E-2</v>
      </c>
    </row>
    <row r="63" spans="4:23">
      <c r="D63" s="32" t="s">
        <v>21</v>
      </c>
      <c r="G63" s="32" t="str">
        <f t="shared" si="6"/>
        <v>USD96</v>
      </c>
      <c r="H63" s="38">
        <f t="shared" si="7"/>
        <v>7.0000000000000007E-2</v>
      </c>
    </row>
    <row r="64" spans="4:23">
      <c r="D64" s="32" t="s">
        <v>21</v>
      </c>
      <c r="G64" s="32" t="str">
        <f t="shared" si="6"/>
        <v>USD97</v>
      </c>
      <c r="H64" s="38">
        <f t="shared" si="7"/>
        <v>7.0000000000000007E-2</v>
      </c>
    </row>
    <row r="65" spans="4:8">
      <c r="D65" s="32" t="s">
        <v>21</v>
      </c>
      <c r="G65" s="32" t="str">
        <f t="shared" si="6"/>
        <v>USD98</v>
      </c>
      <c r="H65" s="38">
        <f t="shared" si="7"/>
        <v>7.0000000000000007E-2</v>
      </c>
    </row>
    <row r="66" spans="4:8">
      <c r="D66" s="32" t="s">
        <v>21</v>
      </c>
      <c r="G66" s="32" t="str">
        <f t="shared" si="6"/>
        <v>USD99</v>
      </c>
      <c r="H66" s="38">
        <f t="shared" si="7"/>
        <v>7.0000000000000007E-2</v>
      </c>
    </row>
    <row r="67" spans="4:8">
      <c r="D67" s="32" t="s">
        <v>21</v>
      </c>
      <c r="G67" s="32" t="str">
        <f t="shared" si="6"/>
        <v>USD00</v>
      </c>
      <c r="H67" s="38">
        <f t="shared" si="7"/>
        <v>7.0000000000000007E-2</v>
      </c>
    </row>
    <row r="68" spans="4:8">
      <c r="D68" s="32" t="s">
        <v>21</v>
      </c>
      <c r="G68" s="32" t="str">
        <f t="shared" si="6"/>
        <v>USD01</v>
      </c>
      <c r="H68" s="38">
        <f t="shared" si="7"/>
        <v>7.0000000000000007E-2</v>
      </c>
    </row>
    <row r="69" spans="4:8">
      <c r="D69" s="32" t="s">
        <v>21</v>
      </c>
      <c r="G69" s="32" t="str">
        <f t="shared" si="6"/>
        <v>USD02</v>
      </c>
      <c r="H69" s="38">
        <f t="shared" si="7"/>
        <v>7.0000000000000007E-2</v>
      </c>
    </row>
    <row r="70" spans="4:8">
      <c r="D70" s="32" t="s">
        <v>21</v>
      </c>
      <c r="G70" s="32" t="str">
        <f t="shared" si="6"/>
        <v>USD03</v>
      </c>
      <c r="H70" s="38">
        <f t="shared" si="7"/>
        <v>7.0000000000000007E-2</v>
      </c>
    </row>
    <row r="71" spans="4:8">
      <c r="D71" s="32" t="s">
        <v>21</v>
      </c>
      <c r="G71" s="32" t="str">
        <f t="shared" si="6"/>
        <v>USD04</v>
      </c>
      <c r="H71" s="38">
        <f t="shared" si="7"/>
        <v>7.0000000000000007E-2</v>
      </c>
    </row>
    <row r="72" spans="4:8">
      <c r="D72" s="32" t="s">
        <v>21</v>
      </c>
      <c r="G72" s="32" t="str">
        <f t="shared" si="6"/>
        <v>USD05</v>
      </c>
      <c r="H72" s="38">
        <f t="shared" si="7"/>
        <v>7.0000000000000007E-2</v>
      </c>
    </row>
    <row r="73" spans="4:8">
      <c r="D73" s="32" t="s">
        <v>21</v>
      </c>
      <c r="G73" s="32" t="str">
        <f t="shared" si="6"/>
        <v>USD06</v>
      </c>
      <c r="H73" s="38">
        <f t="shared" si="7"/>
        <v>7.0000000000000007E-2</v>
      </c>
    </row>
    <row r="74" spans="4:8">
      <c r="D74" s="32" t="s">
        <v>21</v>
      </c>
      <c r="G74" s="32" t="str">
        <f t="shared" si="6"/>
        <v>USD07</v>
      </c>
      <c r="H74" s="38">
        <f t="shared" si="7"/>
        <v>7.0000000000000007E-2</v>
      </c>
    </row>
    <row r="75" spans="4:8">
      <c r="D75" s="32" t="s">
        <v>21</v>
      </c>
      <c r="G75" s="32" t="str">
        <f t="shared" si="6"/>
        <v>USD08</v>
      </c>
      <c r="H75" s="38">
        <f t="shared" si="7"/>
        <v>7.0000000000000007E-2</v>
      </c>
    </row>
    <row r="76" spans="4:8">
      <c r="D76" s="32" t="s">
        <v>21</v>
      </c>
      <c r="G76" s="32" t="str">
        <f t="shared" si="6"/>
        <v>USD09</v>
      </c>
      <c r="H76" s="38">
        <f t="shared" si="7"/>
        <v>7.0000000000000007E-2</v>
      </c>
    </row>
    <row r="77" spans="4:8">
      <c r="D77" s="32" t="s">
        <v>21</v>
      </c>
      <c r="G77" s="32" t="str">
        <f t="shared" si="6"/>
        <v>USD10</v>
      </c>
      <c r="H77" s="38">
        <f t="shared" si="7"/>
        <v>7.0000000000000007E-2</v>
      </c>
    </row>
    <row r="78" spans="4:8">
      <c r="D78" s="32" t="s">
        <v>21</v>
      </c>
      <c r="G78" s="32" t="str">
        <f t="shared" si="6"/>
        <v>USD11</v>
      </c>
      <c r="H78" s="38">
        <f t="shared" si="7"/>
        <v>7.0000000000000007E-2</v>
      </c>
    </row>
    <row r="79" spans="4:8">
      <c r="D79" s="32" t="s">
        <v>21</v>
      </c>
      <c r="G79" s="32" t="str">
        <f t="shared" si="6"/>
        <v>USD12</v>
      </c>
      <c r="H79" s="38">
        <f t="shared" si="7"/>
        <v>7.0000000000000007E-2</v>
      </c>
    </row>
    <row r="80" spans="4:8">
      <c r="D80" s="32" t="s">
        <v>21</v>
      </c>
      <c r="G80" s="32" t="str">
        <f t="shared" si="6"/>
        <v>USD13</v>
      </c>
      <c r="H80" s="38">
        <f t="shared" si="7"/>
        <v>7.0000000000000007E-2</v>
      </c>
    </row>
    <row r="81" spans="4:8">
      <c r="D81" s="32" t="s">
        <v>21</v>
      </c>
      <c r="G81" s="32" t="str">
        <f t="shared" si="6"/>
        <v>USD14</v>
      </c>
      <c r="H81" s="38">
        <f t="shared" si="7"/>
        <v>7.0000000000000007E-2</v>
      </c>
    </row>
    <row r="82" spans="4:8">
      <c r="D82" s="32" t="s">
        <v>21</v>
      </c>
      <c r="G82" s="32" t="str">
        <f t="shared" si="6"/>
        <v>USD15</v>
      </c>
      <c r="H82" s="38">
        <f t="shared" si="7"/>
        <v>7.0000000000000007E-2</v>
      </c>
    </row>
    <row r="83" spans="4:8">
      <c r="D83" s="32" t="s">
        <v>21</v>
      </c>
      <c r="G83" s="32" t="str">
        <f t="shared" si="6"/>
        <v>USD16</v>
      </c>
      <c r="H83" s="38">
        <f t="shared" si="7"/>
        <v>7.0000000000000007E-2</v>
      </c>
    </row>
    <row r="84" spans="4:8">
      <c r="D84" s="32" t="s">
        <v>21</v>
      </c>
      <c r="G84" s="32" t="str">
        <f t="shared" si="6"/>
        <v>USD17</v>
      </c>
      <c r="H84" s="38">
        <f t="shared" si="7"/>
        <v>7.0000000000000007E-2</v>
      </c>
    </row>
    <row r="85" spans="4:8">
      <c r="D85" s="32" t="s">
        <v>21</v>
      </c>
      <c r="G85" s="32" t="str">
        <f t="shared" si="6"/>
        <v>USD18</v>
      </c>
      <c r="H85" s="38">
        <f t="shared" si="7"/>
        <v>7.0000000000000007E-2</v>
      </c>
    </row>
    <row r="86" spans="4:8">
      <c r="D86" s="32" t="s">
        <v>21</v>
      </c>
      <c r="G86" s="32" t="str">
        <f t="shared" ref="G86:G92" si="8">G43</f>
        <v>USD19</v>
      </c>
      <c r="H86" s="38">
        <f t="shared" si="7"/>
        <v>7.0000000000000007E-2</v>
      </c>
    </row>
    <row r="87" spans="4:8">
      <c r="D87" s="32" t="s">
        <v>21</v>
      </c>
      <c r="G87" s="32" t="str">
        <f t="shared" si="8"/>
        <v>USD20</v>
      </c>
      <c r="H87" s="38">
        <f t="shared" si="7"/>
        <v>7.0000000000000007E-2</v>
      </c>
    </row>
    <row r="88" spans="4:8">
      <c r="D88" s="32" t="s">
        <v>21</v>
      </c>
      <c r="G88" s="32" t="str">
        <f t="shared" si="8"/>
        <v>USD21</v>
      </c>
      <c r="H88" s="38">
        <f t="shared" si="7"/>
        <v>7.0000000000000007E-2</v>
      </c>
    </row>
    <row r="89" spans="4:8">
      <c r="D89" s="32" t="s">
        <v>21</v>
      </c>
      <c r="G89" s="32" t="str">
        <f t="shared" si="8"/>
        <v>USD22</v>
      </c>
      <c r="H89" s="38">
        <f t="shared" si="7"/>
        <v>7.0000000000000007E-2</v>
      </c>
    </row>
    <row r="90" spans="4:8">
      <c r="D90" s="32" t="s">
        <v>21</v>
      </c>
      <c r="G90" s="32" t="str">
        <f t="shared" si="8"/>
        <v>USD23</v>
      </c>
      <c r="H90" s="38">
        <f t="shared" si="7"/>
        <v>7.0000000000000007E-2</v>
      </c>
    </row>
    <row r="91" spans="4:8">
      <c r="D91" s="32" t="s">
        <v>21</v>
      </c>
      <c r="G91" s="32" t="str">
        <f t="shared" si="8"/>
        <v>USD24</v>
      </c>
      <c r="H91" s="38">
        <f t="shared" si="7"/>
        <v>7.0000000000000007E-2</v>
      </c>
    </row>
    <row r="92" spans="4:8">
      <c r="D92" s="32" t="s">
        <v>21</v>
      </c>
      <c r="G92" s="32" t="str">
        <f t="shared" si="8"/>
        <v>USD25</v>
      </c>
      <c r="H92" s="38">
        <f t="shared" si="7"/>
        <v>7.0000000000000007E-2</v>
      </c>
    </row>
  </sheetData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D7:J18"/>
  <sheetViews>
    <sheetView zoomScale="37" zoomScaleNormal="37" workbookViewId="0"/>
  </sheetViews>
  <sheetFormatPr defaultColWidth="8.73046875" defaultRowHeight="14.25"/>
  <cols>
    <col min="4" max="4" width="21.265625" customWidth="1"/>
    <col min="6" max="6" width="16.265625" customWidth="1"/>
  </cols>
  <sheetData>
    <row r="7" spans="4:8">
      <c r="D7" t="s">
        <v>26</v>
      </c>
    </row>
    <row r="8" spans="4:8">
      <c r="D8" t="s">
        <v>27</v>
      </c>
      <c r="E8" t="s">
        <v>28</v>
      </c>
      <c r="F8" t="s">
        <v>29</v>
      </c>
      <c r="G8" t="s">
        <v>30</v>
      </c>
      <c r="H8" t="s">
        <v>31</v>
      </c>
    </row>
    <row r="9" spans="4:8">
      <c r="D9" t="s">
        <v>32</v>
      </c>
      <c r="E9" t="s">
        <v>33</v>
      </c>
      <c r="F9" t="s">
        <v>34</v>
      </c>
      <c r="G9" t="s">
        <v>35</v>
      </c>
      <c r="H9" s="12">
        <v>0.1</v>
      </c>
    </row>
    <row r="10" spans="4:8">
      <c r="D10" t="s">
        <v>32</v>
      </c>
      <c r="E10" t="s">
        <v>33</v>
      </c>
      <c r="F10" t="str">
        <f>F9</f>
        <v>Trd*</v>
      </c>
      <c r="G10" t="s">
        <v>36</v>
      </c>
      <c r="H10" s="12">
        <f>H9</f>
        <v>0.1</v>
      </c>
    </row>
    <row r="11" spans="4:8" ht="15.75">
      <c r="D11" t="s">
        <v>32</v>
      </c>
      <c r="E11" t="s">
        <v>33</v>
      </c>
      <c r="F11" s="24" t="str">
        <f>F10</f>
        <v>Trd*</v>
      </c>
      <c r="G11" s="24" t="s">
        <v>37</v>
      </c>
      <c r="H11" s="12">
        <f>H10</f>
        <v>0.1</v>
      </c>
    </row>
    <row r="12" spans="4:8">
      <c r="G12" s="25"/>
    </row>
    <row r="13" spans="4:8">
      <c r="D13" s="26"/>
      <c r="E13" s="26"/>
      <c r="F13" s="26"/>
      <c r="G13" s="27"/>
    </row>
    <row r="14" spans="4:8">
      <c r="G14" s="28"/>
    </row>
    <row r="17" spans="6:10">
      <c r="H17" s="29"/>
    </row>
    <row r="18" spans="6:10">
      <c r="F18" s="30"/>
      <c r="G18" s="30"/>
      <c r="H18" s="6"/>
      <c r="I18" s="30"/>
      <c r="J18" s="31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3:M24"/>
  <sheetViews>
    <sheetView workbookViewId="0">
      <selection activeCell="C5" sqref="C5"/>
    </sheetView>
  </sheetViews>
  <sheetFormatPr defaultColWidth="9" defaultRowHeight="14.25"/>
  <cols>
    <col min="2" max="2" width="25.53125" customWidth="1"/>
    <col min="3" max="3" width="16.46484375" customWidth="1"/>
    <col min="4" max="4" width="4.796875" customWidth="1"/>
    <col min="5" max="5" width="43.73046875" customWidth="1"/>
  </cols>
  <sheetData>
    <row r="3" spans="2:4">
      <c r="B3" s="23" t="s">
        <v>38</v>
      </c>
    </row>
    <row r="4" spans="2:4">
      <c r="B4" t="s">
        <v>39</v>
      </c>
      <c r="C4" t="s">
        <v>40</v>
      </c>
      <c r="D4" t="s">
        <v>41</v>
      </c>
    </row>
    <row r="5" spans="2:4">
      <c r="B5" t="s">
        <v>42</v>
      </c>
      <c r="C5" t="s">
        <v>387</v>
      </c>
      <c r="D5" t="s">
        <v>43</v>
      </c>
    </row>
    <row r="6" spans="2:4">
      <c r="B6" t="s">
        <v>44</v>
      </c>
      <c r="C6" t="s">
        <v>45</v>
      </c>
      <c r="D6" t="s">
        <v>43</v>
      </c>
    </row>
    <row r="7" spans="2:4">
      <c r="B7" t="s">
        <v>46</v>
      </c>
      <c r="C7" t="s">
        <v>386</v>
      </c>
      <c r="D7" t="s">
        <v>47</v>
      </c>
    </row>
    <row r="11" spans="2:4">
      <c r="B11" s="23" t="s">
        <v>48</v>
      </c>
    </row>
    <row r="12" spans="2:4">
      <c r="B12" t="s">
        <v>39</v>
      </c>
      <c r="C12" t="s">
        <v>49</v>
      </c>
      <c r="D12" t="s">
        <v>50</v>
      </c>
    </row>
    <row r="13" spans="2:4">
      <c r="B13" t="s">
        <v>46</v>
      </c>
      <c r="C13" s="40" t="s">
        <v>51</v>
      </c>
      <c r="D13" s="2">
        <v>2150</v>
      </c>
    </row>
    <row r="17" spans="2:13">
      <c r="B17" t="s">
        <v>52</v>
      </c>
    </row>
    <row r="20" spans="2:13">
      <c r="H20" s="23" t="s">
        <v>53</v>
      </c>
    </row>
    <row r="21" spans="2:13">
      <c r="B21" t="s">
        <v>54</v>
      </c>
      <c r="C21" t="s">
        <v>55</v>
      </c>
      <c r="D21" t="s">
        <v>56</v>
      </c>
      <c r="E21" t="s">
        <v>57</v>
      </c>
      <c r="F21" t="s">
        <v>58</v>
      </c>
      <c r="G21" t="s">
        <v>8</v>
      </c>
      <c r="H21" t="s">
        <v>1</v>
      </c>
      <c r="I21" t="s">
        <v>59</v>
      </c>
      <c r="J21" t="s">
        <v>60</v>
      </c>
      <c r="K21" t="s">
        <v>61</v>
      </c>
      <c r="L21" t="s">
        <v>62</v>
      </c>
      <c r="M21" t="s">
        <v>63</v>
      </c>
    </row>
    <row r="22" spans="2:13">
      <c r="B22" t="s">
        <v>64</v>
      </c>
      <c r="C22" t="s">
        <v>65</v>
      </c>
      <c r="D22" t="s">
        <v>66</v>
      </c>
      <c r="E22" t="s">
        <v>67</v>
      </c>
      <c r="F22" t="s">
        <v>10</v>
      </c>
      <c r="G22" t="s">
        <v>10</v>
      </c>
      <c r="I22">
        <v>1</v>
      </c>
      <c r="K22">
        <v>0</v>
      </c>
      <c r="L22">
        <v>5</v>
      </c>
      <c r="M22" t="s">
        <v>68</v>
      </c>
    </row>
    <row r="23" spans="2:13">
      <c r="G23" t="s">
        <v>69</v>
      </c>
      <c r="J23">
        <v>-1</v>
      </c>
    </row>
    <row r="24" spans="2:13">
      <c r="C24" t="s">
        <v>384</v>
      </c>
      <c r="F24" t="s">
        <v>385</v>
      </c>
      <c r="I24">
        <v>0.5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162"/>
  <sheetViews>
    <sheetView zoomScale="62" zoomScaleNormal="62" workbookViewId="0"/>
  </sheetViews>
  <sheetFormatPr defaultColWidth="9" defaultRowHeight="14.25"/>
  <cols>
    <col min="1" max="1" width="5.1328125" customWidth="1"/>
    <col min="2" max="2" width="21.86328125" customWidth="1"/>
    <col min="3" max="3" width="20.86328125" customWidth="1"/>
    <col min="4" max="4" width="6.19921875" customWidth="1"/>
    <col min="5" max="5" width="8.46484375" customWidth="1"/>
    <col min="7" max="7" width="21.86328125" customWidth="1"/>
    <col min="8" max="8" width="14.6640625" customWidth="1"/>
    <col min="9" max="9" width="6.19921875" customWidth="1"/>
    <col min="11" max="11" width="5.1328125" customWidth="1"/>
    <col min="12" max="12" width="22.6640625" customWidth="1"/>
    <col min="13" max="13" width="13.19921875" customWidth="1"/>
    <col min="14" max="14" width="6.19921875" customWidth="1"/>
    <col min="15" max="15" width="8.46484375" customWidth="1"/>
    <col min="17" max="17" width="22.6640625" customWidth="1"/>
    <col min="18" max="18" width="15.46484375" customWidth="1"/>
    <col min="19" max="19" width="6.19921875" customWidth="1"/>
    <col min="22" max="22" width="5.1328125" customWidth="1"/>
    <col min="23" max="23" width="22.19921875" customWidth="1"/>
    <col min="24" max="24" width="12.796875" customWidth="1"/>
    <col min="25" max="25" width="6.19921875" customWidth="1"/>
    <col min="26" max="26" width="8.46484375" customWidth="1"/>
    <col min="28" max="28" width="22.19921875" customWidth="1"/>
    <col min="29" max="29" width="15.1328125" customWidth="1"/>
    <col min="30" max="30" width="6.19921875" customWidth="1"/>
  </cols>
  <sheetData>
    <row r="1" spans="1:30">
      <c r="A1" t="s">
        <v>70</v>
      </c>
      <c r="C1" t="s">
        <v>71</v>
      </c>
      <c r="K1" t="s">
        <v>72</v>
      </c>
      <c r="V1" t="s">
        <v>73</v>
      </c>
    </row>
    <row r="3" spans="1:30">
      <c r="C3" t="s">
        <v>74</v>
      </c>
      <c r="G3" t="s">
        <v>75</v>
      </c>
      <c r="M3" t="s">
        <v>74</v>
      </c>
      <c r="Q3" t="s">
        <v>75</v>
      </c>
      <c r="X3" t="s">
        <v>74</v>
      </c>
      <c r="AB3" t="s">
        <v>75</v>
      </c>
    </row>
    <row r="4" spans="1:30">
      <c r="A4" t="s">
        <v>76</v>
      </c>
      <c r="B4" t="s">
        <v>77</v>
      </c>
      <c r="C4" t="s">
        <v>39</v>
      </c>
      <c r="D4" t="s">
        <v>78</v>
      </c>
      <c r="E4" t="s">
        <v>79</v>
      </c>
      <c r="G4" t="str">
        <f>B4</f>
        <v>uc_n</v>
      </c>
      <c r="H4" t="str">
        <f t="shared" ref="H4:I4" si="0">C4</f>
        <v>process</v>
      </c>
      <c r="I4" t="str">
        <f t="shared" si="0"/>
        <v>uc_cap</v>
      </c>
      <c r="K4" t="s">
        <v>76</v>
      </c>
      <c r="L4" t="s">
        <v>77</v>
      </c>
      <c r="M4" t="s">
        <v>39</v>
      </c>
      <c r="N4" t="s">
        <v>78</v>
      </c>
      <c r="O4" t="s">
        <v>79</v>
      </c>
      <c r="Q4" t="str">
        <f>L4</f>
        <v>uc_n</v>
      </c>
      <c r="R4" t="str">
        <f t="shared" ref="R4:S4" si="1">M4</f>
        <v>process</v>
      </c>
      <c r="S4" t="str">
        <f t="shared" si="1"/>
        <v>uc_cap</v>
      </c>
      <c r="V4" t="s">
        <v>76</v>
      </c>
      <c r="W4" t="s">
        <v>77</v>
      </c>
      <c r="X4" t="s">
        <v>39</v>
      </c>
      <c r="Y4" t="s">
        <v>78</v>
      </c>
      <c r="Z4" t="s">
        <v>79</v>
      </c>
      <c r="AB4" t="str">
        <f>W4</f>
        <v>uc_n</v>
      </c>
      <c r="AC4" t="str">
        <f t="shared" ref="AC4:AD4" si="2">X4</f>
        <v>process</v>
      </c>
      <c r="AD4" t="str">
        <f t="shared" si="2"/>
        <v>uc_cap</v>
      </c>
    </row>
    <row r="5" spans="1:30">
      <c r="A5" t="s">
        <v>80</v>
      </c>
      <c r="B5" t="str">
        <f>"UCE_elcaggCap_"&amp;A$1&amp;"_"&amp;A5</f>
        <v>UCE_elcaggCap_spv_AFG</v>
      </c>
      <c r="C5" t="str">
        <f t="shared" ref="C5:C68" si="3">"e?_spv_"&amp;$A5&amp;"*"</f>
        <v>e?_spv_AFG*</v>
      </c>
      <c r="D5">
        <v>1</v>
      </c>
      <c r="E5">
        <v>2</v>
      </c>
      <c r="G5" t="str">
        <f>B5</f>
        <v>UCE_elcaggCap_spv_AFG</v>
      </c>
      <c r="H5" t="str">
        <f>"elcagg_spv_"&amp;$A5</f>
        <v>elcagg_spv_AFG</v>
      </c>
      <c r="I5">
        <v>-1</v>
      </c>
      <c r="K5" t="s">
        <v>80</v>
      </c>
      <c r="L5" t="str">
        <f>"UCE_elcaggCap_"&amp;K$1&amp;"_"&amp;K5</f>
        <v>UCE_elcaggCap_won_AFG</v>
      </c>
      <c r="M5" t="str">
        <f t="shared" ref="M5:M68" si="4">"e?_won_"&amp;$K5&amp;"*"</f>
        <v>e?_won_AFG*</v>
      </c>
      <c r="N5">
        <v>1</v>
      </c>
      <c r="O5">
        <v>2</v>
      </c>
      <c r="Q5" t="str">
        <f>L5</f>
        <v>UCE_elcaggCap_won_AFG</v>
      </c>
      <c r="R5" t="str">
        <f>"elcagg_won_"&amp;$K5</f>
        <v>elcagg_won_AFG</v>
      </c>
      <c r="S5">
        <v>-1</v>
      </c>
      <c r="V5" t="s">
        <v>81</v>
      </c>
      <c r="W5" t="str">
        <f>"UCE_elcaggCap_"&amp;V$1&amp;"_"&amp;V5</f>
        <v>UCE_elcaggCap_wof_AGO</v>
      </c>
      <c r="X5" t="str">
        <f t="shared" ref="X5:X68" si="5">"e?_wof_"&amp;$V5&amp;"*"</f>
        <v>e?_wof_AGO*</v>
      </c>
      <c r="Y5">
        <v>1</v>
      </c>
      <c r="Z5">
        <v>2</v>
      </c>
      <c r="AB5" t="str">
        <f>W5</f>
        <v>UCE_elcaggCap_wof_AGO</v>
      </c>
      <c r="AC5" t="str">
        <f t="shared" ref="AC5:AC68" si="6">"elcagg_wof_"&amp;$V5</f>
        <v>elcagg_wof_AGO</v>
      </c>
      <c r="AD5">
        <v>-1</v>
      </c>
    </row>
    <row r="6" spans="1:30">
      <c r="A6" t="s">
        <v>81</v>
      </c>
      <c r="B6" t="str">
        <f t="shared" ref="B6:B69" si="7">"UCE_elcaggCap_"&amp;A$1&amp;"_"&amp;A6</f>
        <v>UCE_elcaggCap_spv_AGO</v>
      </c>
      <c r="C6" t="str">
        <f t="shared" si="3"/>
        <v>e?_spv_AGO*</v>
      </c>
      <c r="D6">
        <v>1</v>
      </c>
      <c r="E6">
        <v>2</v>
      </c>
      <c r="G6" t="str">
        <f t="shared" ref="G6:G69" si="8">B6</f>
        <v>UCE_elcaggCap_spv_AGO</v>
      </c>
      <c r="H6" t="str">
        <f t="shared" ref="H6:H69" si="9">"elcagg_spv_"&amp;$A6</f>
        <v>elcagg_spv_AGO</v>
      </c>
      <c r="I6">
        <v>-1</v>
      </c>
      <c r="K6" t="s">
        <v>81</v>
      </c>
      <c r="L6" t="str">
        <f t="shared" ref="L6:L69" si="10">"UCE_elcaggCap_"&amp;K$1&amp;"_"&amp;K6</f>
        <v>UCE_elcaggCap_won_AGO</v>
      </c>
      <c r="M6" t="str">
        <f t="shared" si="4"/>
        <v>e?_won_AGO*</v>
      </c>
      <c r="N6">
        <v>1</v>
      </c>
      <c r="O6">
        <v>2</v>
      </c>
      <c r="Q6" t="str">
        <f t="shared" ref="Q6:Q69" si="11">L6</f>
        <v>UCE_elcaggCap_won_AGO</v>
      </c>
      <c r="R6" t="str">
        <f t="shared" ref="R6:R69" si="12">"elcagg_won_"&amp;$K6</f>
        <v>elcagg_won_AGO</v>
      </c>
      <c r="S6">
        <v>-1</v>
      </c>
      <c r="V6" t="s">
        <v>82</v>
      </c>
      <c r="W6" t="str">
        <f t="shared" ref="W6:W69" si="13">"UCE_elcaggCap_"&amp;V$1&amp;"_"&amp;V6</f>
        <v>UCE_elcaggCap_wof_ALB</v>
      </c>
      <c r="X6" t="str">
        <f t="shared" si="5"/>
        <v>e?_wof_ALB*</v>
      </c>
      <c r="Y6">
        <v>1</v>
      </c>
      <c r="Z6">
        <v>2</v>
      </c>
      <c r="AB6" t="str">
        <f t="shared" ref="AB6:AB69" si="14">W6</f>
        <v>UCE_elcaggCap_wof_ALB</v>
      </c>
      <c r="AC6" t="str">
        <f t="shared" si="6"/>
        <v>elcagg_wof_ALB</v>
      </c>
      <c r="AD6">
        <v>-1</v>
      </c>
    </row>
    <row r="7" spans="1:30">
      <c r="A7" t="s">
        <v>82</v>
      </c>
      <c r="B7" t="str">
        <f t="shared" si="7"/>
        <v>UCE_elcaggCap_spv_ALB</v>
      </c>
      <c r="C7" t="str">
        <f t="shared" si="3"/>
        <v>e?_spv_ALB*</v>
      </c>
      <c r="D7">
        <v>1</v>
      </c>
      <c r="E7">
        <v>2</v>
      </c>
      <c r="G7" t="str">
        <f t="shared" si="8"/>
        <v>UCE_elcaggCap_spv_ALB</v>
      </c>
      <c r="H7" t="str">
        <f t="shared" si="9"/>
        <v>elcagg_spv_ALB</v>
      </c>
      <c r="I7">
        <v>-1</v>
      </c>
      <c r="K7" t="s">
        <v>82</v>
      </c>
      <c r="L7" t="str">
        <f t="shared" si="10"/>
        <v>UCE_elcaggCap_won_ALB</v>
      </c>
      <c r="M7" t="str">
        <f t="shared" si="4"/>
        <v>e?_won_ALB*</v>
      </c>
      <c r="N7">
        <v>1</v>
      </c>
      <c r="O7">
        <v>2</v>
      </c>
      <c r="Q7" t="str">
        <f t="shared" si="11"/>
        <v>UCE_elcaggCap_won_ALB</v>
      </c>
      <c r="R7" t="str">
        <f t="shared" si="12"/>
        <v>elcagg_won_ALB</v>
      </c>
      <c r="S7">
        <v>-1</v>
      </c>
      <c r="V7" t="s">
        <v>83</v>
      </c>
      <c r="W7" t="str">
        <f t="shared" si="13"/>
        <v>UCE_elcaggCap_wof_ARE</v>
      </c>
      <c r="X7" t="str">
        <f t="shared" si="5"/>
        <v>e?_wof_ARE*</v>
      </c>
      <c r="Y7">
        <v>1</v>
      </c>
      <c r="Z7">
        <v>2</v>
      </c>
      <c r="AB7" t="str">
        <f t="shared" si="14"/>
        <v>UCE_elcaggCap_wof_ARE</v>
      </c>
      <c r="AC7" t="str">
        <f t="shared" si="6"/>
        <v>elcagg_wof_ARE</v>
      </c>
      <c r="AD7">
        <v>-1</v>
      </c>
    </row>
    <row r="8" spans="1:30">
      <c r="A8" t="s">
        <v>83</v>
      </c>
      <c r="B8" t="str">
        <f t="shared" si="7"/>
        <v>UCE_elcaggCap_spv_ARE</v>
      </c>
      <c r="C8" t="str">
        <f t="shared" si="3"/>
        <v>e?_spv_ARE*</v>
      </c>
      <c r="D8">
        <v>1</v>
      </c>
      <c r="E8">
        <v>2</v>
      </c>
      <c r="G8" t="str">
        <f t="shared" si="8"/>
        <v>UCE_elcaggCap_spv_ARE</v>
      </c>
      <c r="H8" t="str">
        <f t="shared" si="9"/>
        <v>elcagg_spv_ARE</v>
      </c>
      <c r="I8">
        <v>-1</v>
      </c>
      <c r="K8" t="s">
        <v>83</v>
      </c>
      <c r="L8" t="str">
        <f t="shared" si="10"/>
        <v>UCE_elcaggCap_won_ARE</v>
      </c>
      <c r="M8" t="str">
        <f t="shared" si="4"/>
        <v>e?_won_ARE*</v>
      </c>
      <c r="N8">
        <v>1</v>
      </c>
      <c r="O8">
        <v>2</v>
      </c>
      <c r="Q8" t="str">
        <f t="shared" si="11"/>
        <v>UCE_elcaggCap_won_ARE</v>
      </c>
      <c r="R8" t="str">
        <f t="shared" si="12"/>
        <v>elcagg_won_ARE</v>
      </c>
      <c r="S8">
        <v>-1</v>
      </c>
      <c r="V8" t="s">
        <v>84</v>
      </c>
      <c r="W8" t="str">
        <f t="shared" si="13"/>
        <v>UCE_elcaggCap_wof_ARG</v>
      </c>
      <c r="X8" t="str">
        <f t="shared" si="5"/>
        <v>e?_wof_ARG*</v>
      </c>
      <c r="Y8">
        <v>1</v>
      </c>
      <c r="Z8">
        <v>2</v>
      </c>
      <c r="AB8" t="str">
        <f t="shared" si="14"/>
        <v>UCE_elcaggCap_wof_ARG</v>
      </c>
      <c r="AC8" t="str">
        <f t="shared" si="6"/>
        <v>elcagg_wof_ARG</v>
      </c>
      <c r="AD8">
        <v>-1</v>
      </c>
    </row>
    <row r="9" spans="1:30">
      <c r="A9" t="s">
        <v>84</v>
      </c>
      <c r="B9" t="str">
        <f t="shared" si="7"/>
        <v>UCE_elcaggCap_spv_ARG</v>
      </c>
      <c r="C9" t="str">
        <f t="shared" si="3"/>
        <v>e?_spv_ARG*</v>
      </c>
      <c r="D9">
        <v>1</v>
      </c>
      <c r="E9">
        <v>2</v>
      </c>
      <c r="G9" t="str">
        <f t="shared" si="8"/>
        <v>UCE_elcaggCap_spv_ARG</v>
      </c>
      <c r="H9" t="str">
        <f t="shared" si="9"/>
        <v>elcagg_spv_ARG</v>
      </c>
      <c r="I9">
        <v>-1</v>
      </c>
      <c r="K9" t="s">
        <v>84</v>
      </c>
      <c r="L9" t="str">
        <f t="shared" si="10"/>
        <v>UCE_elcaggCap_won_ARG</v>
      </c>
      <c r="M9" t="str">
        <f t="shared" si="4"/>
        <v>e?_won_ARG*</v>
      </c>
      <c r="N9">
        <v>1</v>
      </c>
      <c r="O9">
        <v>2</v>
      </c>
      <c r="Q9" t="str">
        <f t="shared" si="11"/>
        <v>UCE_elcaggCap_won_ARG</v>
      </c>
      <c r="R9" t="str">
        <f t="shared" si="12"/>
        <v>elcagg_won_ARG</v>
      </c>
      <c r="S9">
        <v>-1</v>
      </c>
      <c r="V9" t="s">
        <v>85</v>
      </c>
      <c r="W9" t="str">
        <f t="shared" si="13"/>
        <v>UCE_elcaggCap_wof_AUS</v>
      </c>
      <c r="X9" t="str">
        <f t="shared" si="5"/>
        <v>e?_wof_AUS*</v>
      </c>
      <c r="Y9">
        <v>1</v>
      </c>
      <c r="Z9">
        <v>2</v>
      </c>
      <c r="AB9" t="str">
        <f t="shared" si="14"/>
        <v>UCE_elcaggCap_wof_AUS</v>
      </c>
      <c r="AC9" t="str">
        <f t="shared" si="6"/>
        <v>elcagg_wof_AUS</v>
      </c>
      <c r="AD9">
        <v>-1</v>
      </c>
    </row>
    <row r="10" spans="1:30">
      <c r="A10" t="s">
        <v>86</v>
      </c>
      <c r="B10" t="str">
        <f t="shared" si="7"/>
        <v>UCE_elcaggCap_spv_ARM</v>
      </c>
      <c r="C10" t="str">
        <f t="shared" si="3"/>
        <v>e?_spv_ARM*</v>
      </c>
      <c r="D10">
        <v>1</v>
      </c>
      <c r="E10">
        <v>2</v>
      </c>
      <c r="G10" t="str">
        <f t="shared" si="8"/>
        <v>UCE_elcaggCap_spv_ARM</v>
      </c>
      <c r="H10" t="str">
        <f t="shared" si="9"/>
        <v>elcagg_spv_ARM</v>
      </c>
      <c r="I10">
        <v>-1</v>
      </c>
      <c r="K10" t="s">
        <v>86</v>
      </c>
      <c r="L10" t="str">
        <f t="shared" si="10"/>
        <v>UCE_elcaggCap_won_ARM</v>
      </c>
      <c r="M10" t="str">
        <f t="shared" si="4"/>
        <v>e?_won_ARM*</v>
      </c>
      <c r="N10">
        <v>1</v>
      </c>
      <c r="O10">
        <v>2</v>
      </c>
      <c r="Q10" t="str">
        <f t="shared" si="11"/>
        <v>UCE_elcaggCap_won_ARM</v>
      </c>
      <c r="R10" t="str">
        <f t="shared" si="12"/>
        <v>elcagg_won_ARM</v>
      </c>
      <c r="S10">
        <v>-1</v>
      </c>
      <c r="V10" t="s">
        <v>87</v>
      </c>
      <c r="W10" t="str">
        <f t="shared" si="13"/>
        <v>UCE_elcaggCap_wof_AZE</v>
      </c>
      <c r="X10" t="str">
        <f t="shared" si="5"/>
        <v>e?_wof_AZE*</v>
      </c>
      <c r="Y10">
        <v>1</v>
      </c>
      <c r="Z10">
        <v>2</v>
      </c>
      <c r="AB10" t="str">
        <f t="shared" si="14"/>
        <v>UCE_elcaggCap_wof_AZE</v>
      </c>
      <c r="AC10" t="str">
        <f t="shared" si="6"/>
        <v>elcagg_wof_AZE</v>
      </c>
      <c r="AD10">
        <v>-1</v>
      </c>
    </row>
    <row r="11" spans="1:30">
      <c r="A11" t="s">
        <v>85</v>
      </c>
      <c r="B11" t="str">
        <f t="shared" si="7"/>
        <v>UCE_elcaggCap_spv_AUS</v>
      </c>
      <c r="C11" t="str">
        <f t="shared" si="3"/>
        <v>e?_spv_AUS*</v>
      </c>
      <c r="D11">
        <v>1</v>
      </c>
      <c r="E11">
        <v>2</v>
      </c>
      <c r="G11" t="str">
        <f t="shared" si="8"/>
        <v>UCE_elcaggCap_spv_AUS</v>
      </c>
      <c r="H11" t="str">
        <f t="shared" si="9"/>
        <v>elcagg_spv_AUS</v>
      </c>
      <c r="I11">
        <v>-1</v>
      </c>
      <c r="K11" t="s">
        <v>85</v>
      </c>
      <c r="L11" t="str">
        <f t="shared" si="10"/>
        <v>UCE_elcaggCap_won_AUS</v>
      </c>
      <c r="M11" t="str">
        <f t="shared" si="4"/>
        <v>e?_won_AUS*</v>
      </c>
      <c r="N11">
        <v>1</v>
      </c>
      <c r="O11">
        <v>2</v>
      </c>
      <c r="Q11" t="str">
        <f t="shared" si="11"/>
        <v>UCE_elcaggCap_won_AUS</v>
      </c>
      <c r="R11" t="str">
        <f t="shared" si="12"/>
        <v>elcagg_won_AUS</v>
      </c>
      <c r="S11">
        <v>-1</v>
      </c>
      <c r="V11" t="s">
        <v>88</v>
      </c>
      <c r="W11" t="str">
        <f t="shared" si="13"/>
        <v>UCE_elcaggCap_wof_BEN</v>
      </c>
      <c r="X11" t="str">
        <f t="shared" si="5"/>
        <v>e?_wof_BEN*</v>
      </c>
      <c r="Y11">
        <v>1</v>
      </c>
      <c r="Z11">
        <v>2</v>
      </c>
      <c r="AB11" t="str">
        <f t="shared" si="14"/>
        <v>UCE_elcaggCap_wof_BEN</v>
      </c>
      <c r="AC11" t="str">
        <f t="shared" si="6"/>
        <v>elcagg_wof_BEN</v>
      </c>
      <c r="AD11">
        <v>-1</v>
      </c>
    </row>
    <row r="12" spans="1:30">
      <c r="A12" t="s">
        <v>89</v>
      </c>
      <c r="B12" t="str">
        <f t="shared" si="7"/>
        <v>UCE_elcaggCap_spv_AUT</v>
      </c>
      <c r="C12" t="str">
        <f t="shared" si="3"/>
        <v>e?_spv_AUT*</v>
      </c>
      <c r="D12">
        <v>1</v>
      </c>
      <c r="E12">
        <v>2</v>
      </c>
      <c r="G12" t="str">
        <f t="shared" si="8"/>
        <v>UCE_elcaggCap_spv_AUT</v>
      </c>
      <c r="H12" t="str">
        <f t="shared" si="9"/>
        <v>elcagg_spv_AUT</v>
      </c>
      <c r="I12">
        <v>-1</v>
      </c>
      <c r="K12" t="s">
        <v>89</v>
      </c>
      <c r="L12" t="str">
        <f t="shared" si="10"/>
        <v>UCE_elcaggCap_won_AUT</v>
      </c>
      <c r="M12" t="str">
        <f t="shared" si="4"/>
        <v>e?_won_AUT*</v>
      </c>
      <c r="N12">
        <v>1</v>
      </c>
      <c r="O12">
        <v>2</v>
      </c>
      <c r="Q12" t="str">
        <f t="shared" si="11"/>
        <v>UCE_elcaggCap_won_AUT</v>
      </c>
      <c r="R12" t="str">
        <f t="shared" si="12"/>
        <v>elcagg_won_AUT</v>
      </c>
      <c r="S12">
        <v>-1</v>
      </c>
      <c r="V12" t="s">
        <v>90</v>
      </c>
      <c r="W12" t="str">
        <f t="shared" si="13"/>
        <v>UCE_elcaggCap_wof_BGD</v>
      </c>
      <c r="X12" t="str">
        <f t="shared" si="5"/>
        <v>e?_wof_BGD*</v>
      </c>
      <c r="Y12">
        <v>1</v>
      </c>
      <c r="Z12">
        <v>2</v>
      </c>
      <c r="AB12" t="str">
        <f t="shared" si="14"/>
        <v>UCE_elcaggCap_wof_BGD</v>
      </c>
      <c r="AC12" t="str">
        <f t="shared" si="6"/>
        <v>elcagg_wof_BGD</v>
      </c>
      <c r="AD12">
        <v>-1</v>
      </c>
    </row>
    <row r="13" spans="1:30">
      <c r="A13" t="s">
        <v>87</v>
      </c>
      <c r="B13" t="str">
        <f t="shared" si="7"/>
        <v>UCE_elcaggCap_spv_AZE</v>
      </c>
      <c r="C13" t="str">
        <f t="shared" si="3"/>
        <v>e?_spv_AZE*</v>
      </c>
      <c r="D13">
        <v>1</v>
      </c>
      <c r="E13">
        <v>2</v>
      </c>
      <c r="G13" t="str">
        <f t="shared" si="8"/>
        <v>UCE_elcaggCap_spv_AZE</v>
      </c>
      <c r="H13" t="str">
        <f t="shared" si="9"/>
        <v>elcagg_spv_AZE</v>
      </c>
      <c r="I13">
        <v>-1</v>
      </c>
      <c r="K13" t="s">
        <v>87</v>
      </c>
      <c r="L13" t="str">
        <f t="shared" si="10"/>
        <v>UCE_elcaggCap_won_AZE</v>
      </c>
      <c r="M13" t="str">
        <f t="shared" si="4"/>
        <v>e?_won_AZE*</v>
      </c>
      <c r="N13">
        <v>1</v>
      </c>
      <c r="O13">
        <v>2</v>
      </c>
      <c r="Q13" t="str">
        <f t="shared" si="11"/>
        <v>UCE_elcaggCap_won_AZE</v>
      </c>
      <c r="R13" t="str">
        <f t="shared" si="12"/>
        <v>elcagg_won_AZE</v>
      </c>
      <c r="S13">
        <v>-1</v>
      </c>
      <c r="V13" t="s">
        <v>91</v>
      </c>
      <c r="W13" t="str">
        <f t="shared" si="13"/>
        <v>UCE_elcaggCap_wof_BGR</v>
      </c>
      <c r="X13" t="str">
        <f t="shared" si="5"/>
        <v>e?_wof_BGR*</v>
      </c>
      <c r="Y13">
        <v>1</v>
      </c>
      <c r="Z13">
        <v>2</v>
      </c>
      <c r="AB13" t="str">
        <f t="shared" si="14"/>
        <v>UCE_elcaggCap_wof_BGR</v>
      </c>
      <c r="AC13" t="str">
        <f t="shared" si="6"/>
        <v>elcagg_wof_BGR</v>
      </c>
      <c r="AD13">
        <v>-1</v>
      </c>
    </row>
    <row r="14" spans="1:30">
      <c r="A14" t="s">
        <v>92</v>
      </c>
      <c r="B14" t="str">
        <f t="shared" si="7"/>
        <v>UCE_elcaggCap_spv_BDI</v>
      </c>
      <c r="C14" t="str">
        <f t="shared" si="3"/>
        <v>e?_spv_BDI*</v>
      </c>
      <c r="D14">
        <v>1</v>
      </c>
      <c r="E14">
        <v>2</v>
      </c>
      <c r="G14" t="str">
        <f t="shared" si="8"/>
        <v>UCE_elcaggCap_spv_BDI</v>
      </c>
      <c r="H14" t="str">
        <f t="shared" si="9"/>
        <v>elcagg_spv_BDI</v>
      </c>
      <c r="I14">
        <v>-1</v>
      </c>
      <c r="K14" t="s">
        <v>92</v>
      </c>
      <c r="L14" t="str">
        <f t="shared" si="10"/>
        <v>UCE_elcaggCap_won_BDI</v>
      </c>
      <c r="M14" t="str">
        <f t="shared" si="4"/>
        <v>e?_won_BDI*</v>
      </c>
      <c r="N14">
        <v>1</v>
      </c>
      <c r="O14">
        <v>2</v>
      </c>
      <c r="Q14" t="str">
        <f t="shared" si="11"/>
        <v>UCE_elcaggCap_won_BDI</v>
      </c>
      <c r="R14" t="str">
        <f t="shared" si="12"/>
        <v>elcagg_won_BDI</v>
      </c>
      <c r="S14">
        <v>-1</v>
      </c>
      <c r="V14" t="s">
        <v>93</v>
      </c>
      <c r="W14" t="str">
        <f t="shared" si="13"/>
        <v>UCE_elcaggCap_wof_BRA</v>
      </c>
      <c r="X14" t="str">
        <f t="shared" si="5"/>
        <v>e?_wof_BRA*</v>
      </c>
      <c r="Y14">
        <v>1</v>
      </c>
      <c r="Z14">
        <v>2</v>
      </c>
      <c r="AB14" t="str">
        <f t="shared" si="14"/>
        <v>UCE_elcaggCap_wof_BRA</v>
      </c>
      <c r="AC14" t="str">
        <f t="shared" si="6"/>
        <v>elcagg_wof_BRA</v>
      </c>
      <c r="AD14">
        <v>-1</v>
      </c>
    </row>
    <row r="15" spans="1:30">
      <c r="A15" t="s">
        <v>94</v>
      </c>
      <c r="B15" t="str">
        <f t="shared" si="7"/>
        <v>UCE_elcaggCap_spv_BEL</v>
      </c>
      <c r="C15" t="str">
        <f t="shared" si="3"/>
        <v>e?_spv_BEL*</v>
      </c>
      <c r="D15">
        <v>1</v>
      </c>
      <c r="E15">
        <v>2</v>
      </c>
      <c r="G15" t="str">
        <f t="shared" si="8"/>
        <v>UCE_elcaggCap_spv_BEL</v>
      </c>
      <c r="H15" t="str">
        <f t="shared" si="9"/>
        <v>elcagg_spv_BEL</v>
      </c>
      <c r="I15">
        <v>-1</v>
      </c>
      <c r="K15" t="s">
        <v>94</v>
      </c>
      <c r="L15" t="str">
        <f t="shared" si="10"/>
        <v>UCE_elcaggCap_won_BEL</v>
      </c>
      <c r="M15" t="str">
        <f t="shared" si="4"/>
        <v>e?_won_BEL*</v>
      </c>
      <c r="N15">
        <v>1</v>
      </c>
      <c r="O15">
        <v>2</v>
      </c>
      <c r="Q15" t="str">
        <f t="shared" si="11"/>
        <v>UCE_elcaggCap_won_BEL</v>
      </c>
      <c r="R15" t="str">
        <f t="shared" si="12"/>
        <v>elcagg_won_BEL</v>
      </c>
      <c r="S15">
        <v>-1</v>
      </c>
      <c r="V15" t="s">
        <v>95</v>
      </c>
      <c r="W15" t="str">
        <f t="shared" si="13"/>
        <v>UCE_elcaggCap_wof_CAN</v>
      </c>
      <c r="X15" t="str">
        <f t="shared" si="5"/>
        <v>e?_wof_CAN*</v>
      </c>
      <c r="Y15">
        <v>1</v>
      </c>
      <c r="Z15">
        <v>2</v>
      </c>
      <c r="AB15" t="str">
        <f t="shared" si="14"/>
        <v>UCE_elcaggCap_wof_CAN</v>
      </c>
      <c r="AC15" t="str">
        <f t="shared" si="6"/>
        <v>elcagg_wof_CAN</v>
      </c>
      <c r="AD15">
        <v>-1</v>
      </c>
    </row>
    <row r="16" spans="1:30">
      <c r="A16" t="s">
        <v>88</v>
      </c>
      <c r="B16" t="str">
        <f t="shared" si="7"/>
        <v>UCE_elcaggCap_spv_BEN</v>
      </c>
      <c r="C16" t="str">
        <f t="shared" si="3"/>
        <v>e?_spv_BEN*</v>
      </c>
      <c r="D16">
        <v>1</v>
      </c>
      <c r="E16">
        <v>2</v>
      </c>
      <c r="G16" t="str">
        <f t="shared" si="8"/>
        <v>UCE_elcaggCap_spv_BEN</v>
      </c>
      <c r="H16" t="str">
        <f t="shared" si="9"/>
        <v>elcagg_spv_BEN</v>
      </c>
      <c r="I16">
        <v>-1</v>
      </c>
      <c r="K16" t="s">
        <v>88</v>
      </c>
      <c r="L16" t="str">
        <f t="shared" si="10"/>
        <v>UCE_elcaggCap_won_BEN</v>
      </c>
      <c r="M16" t="str">
        <f t="shared" si="4"/>
        <v>e?_won_BEN*</v>
      </c>
      <c r="N16">
        <v>1</v>
      </c>
      <c r="O16">
        <v>2</v>
      </c>
      <c r="Q16" t="str">
        <f t="shared" si="11"/>
        <v>UCE_elcaggCap_won_BEN</v>
      </c>
      <c r="R16" t="str">
        <f t="shared" si="12"/>
        <v>elcagg_won_BEN</v>
      </c>
      <c r="S16">
        <v>-1</v>
      </c>
      <c r="V16" t="s">
        <v>96</v>
      </c>
      <c r="W16" t="str">
        <f t="shared" si="13"/>
        <v>UCE_elcaggCap_wof_CHL</v>
      </c>
      <c r="X16" t="str">
        <f t="shared" si="5"/>
        <v>e?_wof_CHL*</v>
      </c>
      <c r="Y16">
        <v>1</v>
      </c>
      <c r="Z16">
        <v>2</v>
      </c>
      <c r="AB16" t="str">
        <f t="shared" si="14"/>
        <v>UCE_elcaggCap_wof_CHL</v>
      </c>
      <c r="AC16" t="str">
        <f t="shared" si="6"/>
        <v>elcagg_wof_CHL</v>
      </c>
      <c r="AD16">
        <v>-1</v>
      </c>
    </row>
    <row r="17" spans="1:30">
      <c r="A17" t="s">
        <v>97</v>
      </c>
      <c r="B17" t="str">
        <f t="shared" si="7"/>
        <v>UCE_elcaggCap_spv_BFA</v>
      </c>
      <c r="C17" t="str">
        <f t="shared" si="3"/>
        <v>e?_spv_BFA*</v>
      </c>
      <c r="D17">
        <v>1</v>
      </c>
      <c r="E17">
        <v>2</v>
      </c>
      <c r="G17" t="str">
        <f t="shared" si="8"/>
        <v>UCE_elcaggCap_spv_BFA</v>
      </c>
      <c r="H17" t="str">
        <f t="shared" si="9"/>
        <v>elcagg_spv_BFA</v>
      </c>
      <c r="I17">
        <v>-1</v>
      </c>
      <c r="K17" t="s">
        <v>97</v>
      </c>
      <c r="L17" t="str">
        <f t="shared" si="10"/>
        <v>UCE_elcaggCap_won_BFA</v>
      </c>
      <c r="M17" t="str">
        <f t="shared" si="4"/>
        <v>e?_won_BFA*</v>
      </c>
      <c r="N17">
        <v>1</v>
      </c>
      <c r="O17">
        <v>2</v>
      </c>
      <c r="Q17" t="str">
        <f t="shared" si="11"/>
        <v>UCE_elcaggCap_won_BFA</v>
      </c>
      <c r="R17" t="str">
        <f t="shared" si="12"/>
        <v>elcagg_won_BFA</v>
      </c>
      <c r="S17">
        <v>-1</v>
      </c>
      <c r="V17" t="s">
        <v>98</v>
      </c>
      <c r="W17" t="str">
        <f t="shared" si="13"/>
        <v>UCE_elcaggCap_wof_CHN</v>
      </c>
      <c r="X17" t="str">
        <f t="shared" si="5"/>
        <v>e?_wof_CHN*</v>
      </c>
      <c r="Y17">
        <v>1</v>
      </c>
      <c r="Z17">
        <v>2</v>
      </c>
      <c r="AB17" t="str">
        <f t="shared" si="14"/>
        <v>UCE_elcaggCap_wof_CHN</v>
      </c>
      <c r="AC17" t="str">
        <f t="shared" si="6"/>
        <v>elcagg_wof_CHN</v>
      </c>
      <c r="AD17">
        <v>-1</v>
      </c>
    </row>
    <row r="18" spans="1:30">
      <c r="A18" t="s">
        <v>90</v>
      </c>
      <c r="B18" t="str">
        <f t="shared" si="7"/>
        <v>UCE_elcaggCap_spv_BGD</v>
      </c>
      <c r="C18" t="str">
        <f t="shared" si="3"/>
        <v>e?_spv_BGD*</v>
      </c>
      <c r="D18">
        <v>1</v>
      </c>
      <c r="E18">
        <v>2</v>
      </c>
      <c r="G18" t="str">
        <f t="shared" si="8"/>
        <v>UCE_elcaggCap_spv_BGD</v>
      </c>
      <c r="H18" t="str">
        <f t="shared" si="9"/>
        <v>elcagg_spv_BGD</v>
      </c>
      <c r="I18">
        <v>-1</v>
      </c>
      <c r="K18" t="s">
        <v>90</v>
      </c>
      <c r="L18" t="str">
        <f t="shared" si="10"/>
        <v>UCE_elcaggCap_won_BGD</v>
      </c>
      <c r="M18" t="str">
        <f t="shared" si="4"/>
        <v>e?_won_BGD*</v>
      </c>
      <c r="N18">
        <v>1</v>
      </c>
      <c r="O18">
        <v>2</v>
      </c>
      <c r="Q18" t="str">
        <f t="shared" si="11"/>
        <v>UCE_elcaggCap_won_BGD</v>
      </c>
      <c r="R18" t="str">
        <f t="shared" si="12"/>
        <v>elcagg_won_BGD</v>
      </c>
      <c r="S18">
        <v>-1</v>
      </c>
      <c r="V18" t="s">
        <v>99</v>
      </c>
      <c r="W18" t="str">
        <f t="shared" si="13"/>
        <v>UCE_elcaggCap_wof_CIV</v>
      </c>
      <c r="X18" t="str">
        <f t="shared" si="5"/>
        <v>e?_wof_CIV*</v>
      </c>
      <c r="Y18">
        <v>1</v>
      </c>
      <c r="Z18">
        <v>2</v>
      </c>
      <c r="AB18" t="str">
        <f t="shared" si="14"/>
        <v>UCE_elcaggCap_wof_CIV</v>
      </c>
      <c r="AC18" t="str">
        <f t="shared" si="6"/>
        <v>elcagg_wof_CIV</v>
      </c>
      <c r="AD18">
        <v>-1</v>
      </c>
    </row>
    <row r="19" spans="1:30">
      <c r="A19" t="s">
        <v>91</v>
      </c>
      <c r="B19" t="str">
        <f t="shared" si="7"/>
        <v>UCE_elcaggCap_spv_BGR</v>
      </c>
      <c r="C19" t="str">
        <f t="shared" si="3"/>
        <v>e?_spv_BGR*</v>
      </c>
      <c r="D19">
        <v>1</v>
      </c>
      <c r="E19">
        <v>2</v>
      </c>
      <c r="G19" t="str">
        <f t="shared" si="8"/>
        <v>UCE_elcaggCap_spv_BGR</v>
      </c>
      <c r="H19" t="str">
        <f t="shared" si="9"/>
        <v>elcagg_spv_BGR</v>
      </c>
      <c r="I19">
        <v>-1</v>
      </c>
      <c r="K19" t="s">
        <v>91</v>
      </c>
      <c r="L19" t="str">
        <f t="shared" si="10"/>
        <v>UCE_elcaggCap_won_BGR</v>
      </c>
      <c r="M19" t="str">
        <f t="shared" si="4"/>
        <v>e?_won_BGR*</v>
      </c>
      <c r="N19">
        <v>1</v>
      </c>
      <c r="O19">
        <v>2</v>
      </c>
      <c r="Q19" t="str">
        <f t="shared" si="11"/>
        <v>UCE_elcaggCap_won_BGR</v>
      </c>
      <c r="R19" t="str">
        <f t="shared" si="12"/>
        <v>elcagg_won_BGR</v>
      </c>
      <c r="S19">
        <v>-1</v>
      </c>
      <c r="V19" t="s">
        <v>100</v>
      </c>
      <c r="W19" t="str">
        <f t="shared" si="13"/>
        <v>UCE_elcaggCap_wof_COD</v>
      </c>
      <c r="X19" t="str">
        <f t="shared" si="5"/>
        <v>e?_wof_COD*</v>
      </c>
      <c r="Y19">
        <v>1</v>
      </c>
      <c r="Z19">
        <v>2</v>
      </c>
      <c r="AB19" t="str">
        <f t="shared" si="14"/>
        <v>UCE_elcaggCap_wof_COD</v>
      </c>
      <c r="AC19" t="str">
        <f t="shared" si="6"/>
        <v>elcagg_wof_COD</v>
      </c>
      <c r="AD19">
        <v>-1</v>
      </c>
    </row>
    <row r="20" spans="1:30">
      <c r="A20" t="s">
        <v>101</v>
      </c>
      <c r="B20" t="str">
        <f t="shared" si="7"/>
        <v>UCE_elcaggCap_spv_BIH</v>
      </c>
      <c r="C20" t="str">
        <f t="shared" si="3"/>
        <v>e?_spv_BIH*</v>
      </c>
      <c r="D20">
        <v>1</v>
      </c>
      <c r="E20">
        <v>2</v>
      </c>
      <c r="G20" t="str">
        <f t="shared" si="8"/>
        <v>UCE_elcaggCap_spv_BIH</v>
      </c>
      <c r="H20" t="str">
        <f t="shared" si="9"/>
        <v>elcagg_spv_BIH</v>
      </c>
      <c r="I20">
        <v>-1</v>
      </c>
      <c r="K20" t="s">
        <v>101</v>
      </c>
      <c r="L20" t="str">
        <f t="shared" si="10"/>
        <v>UCE_elcaggCap_won_BIH</v>
      </c>
      <c r="M20" t="str">
        <f t="shared" si="4"/>
        <v>e?_won_BIH*</v>
      </c>
      <c r="N20">
        <v>1</v>
      </c>
      <c r="O20">
        <v>2</v>
      </c>
      <c r="Q20" t="str">
        <f t="shared" si="11"/>
        <v>UCE_elcaggCap_won_BIH</v>
      </c>
      <c r="R20" t="str">
        <f t="shared" si="12"/>
        <v>elcagg_won_BIH</v>
      </c>
      <c r="S20">
        <v>-1</v>
      </c>
      <c r="V20" t="s">
        <v>102</v>
      </c>
      <c r="W20" t="str">
        <f t="shared" si="13"/>
        <v>UCE_elcaggCap_wof_COG</v>
      </c>
      <c r="X20" t="str">
        <f t="shared" si="5"/>
        <v>e?_wof_COG*</v>
      </c>
      <c r="Y20">
        <v>1</v>
      </c>
      <c r="Z20">
        <v>2</v>
      </c>
      <c r="AB20" t="str">
        <f t="shared" si="14"/>
        <v>UCE_elcaggCap_wof_COG</v>
      </c>
      <c r="AC20" t="str">
        <f t="shared" si="6"/>
        <v>elcagg_wof_COG</v>
      </c>
      <c r="AD20">
        <v>-1</v>
      </c>
    </row>
    <row r="21" spans="1:30">
      <c r="A21" t="s">
        <v>103</v>
      </c>
      <c r="B21" t="str">
        <f t="shared" si="7"/>
        <v>UCE_elcaggCap_spv_BLR</v>
      </c>
      <c r="C21" t="str">
        <f t="shared" si="3"/>
        <v>e?_spv_BLR*</v>
      </c>
      <c r="D21">
        <v>1</v>
      </c>
      <c r="E21">
        <v>2</v>
      </c>
      <c r="G21" t="str">
        <f t="shared" si="8"/>
        <v>UCE_elcaggCap_spv_BLR</v>
      </c>
      <c r="H21" t="str">
        <f t="shared" si="9"/>
        <v>elcagg_spv_BLR</v>
      </c>
      <c r="I21">
        <v>-1</v>
      </c>
      <c r="K21" t="s">
        <v>103</v>
      </c>
      <c r="L21" t="str">
        <f t="shared" si="10"/>
        <v>UCE_elcaggCap_won_BLR</v>
      </c>
      <c r="M21" t="str">
        <f t="shared" si="4"/>
        <v>e?_won_BLR*</v>
      </c>
      <c r="N21">
        <v>1</v>
      </c>
      <c r="O21">
        <v>2</v>
      </c>
      <c r="Q21" t="str">
        <f t="shared" si="11"/>
        <v>UCE_elcaggCap_won_BLR</v>
      </c>
      <c r="R21" t="str">
        <f t="shared" si="12"/>
        <v>elcagg_won_BLR</v>
      </c>
      <c r="S21">
        <v>-1</v>
      </c>
      <c r="V21" t="s">
        <v>104</v>
      </c>
      <c r="W21" t="str">
        <f t="shared" si="13"/>
        <v>UCE_elcaggCap_wof_COL</v>
      </c>
      <c r="X21" t="str">
        <f t="shared" si="5"/>
        <v>e?_wof_COL*</v>
      </c>
      <c r="Y21">
        <v>1</v>
      </c>
      <c r="Z21">
        <v>2</v>
      </c>
      <c r="AB21" t="str">
        <f t="shared" si="14"/>
        <v>UCE_elcaggCap_wof_COL</v>
      </c>
      <c r="AC21" t="str">
        <f t="shared" si="6"/>
        <v>elcagg_wof_COL</v>
      </c>
      <c r="AD21">
        <v>-1</v>
      </c>
    </row>
    <row r="22" spans="1:30">
      <c r="A22" t="s">
        <v>105</v>
      </c>
      <c r="B22" t="str">
        <f t="shared" si="7"/>
        <v>UCE_elcaggCap_spv_BOL</v>
      </c>
      <c r="C22" t="str">
        <f t="shared" si="3"/>
        <v>e?_spv_BOL*</v>
      </c>
      <c r="D22">
        <v>1</v>
      </c>
      <c r="E22">
        <v>2</v>
      </c>
      <c r="G22" t="str">
        <f t="shared" si="8"/>
        <v>UCE_elcaggCap_spv_BOL</v>
      </c>
      <c r="H22" t="str">
        <f t="shared" si="9"/>
        <v>elcagg_spv_BOL</v>
      </c>
      <c r="I22">
        <v>-1</v>
      </c>
      <c r="K22" t="s">
        <v>105</v>
      </c>
      <c r="L22" t="str">
        <f t="shared" si="10"/>
        <v>UCE_elcaggCap_won_BOL</v>
      </c>
      <c r="M22" t="str">
        <f t="shared" si="4"/>
        <v>e?_won_BOL*</v>
      </c>
      <c r="N22">
        <v>1</v>
      </c>
      <c r="O22">
        <v>2</v>
      </c>
      <c r="Q22" t="str">
        <f t="shared" si="11"/>
        <v>UCE_elcaggCap_won_BOL</v>
      </c>
      <c r="R22" t="str">
        <f t="shared" si="12"/>
        <v>elcagg_won_BOL</v>
      </c>
      <c r="S22">
        <v>-1</v>
      </c>
      <c r="V22" t="s">
        <v>106</v>
      </c>
      <c r="W22" t="str">
        <f t="shared" si="13"/>
        <v>UCE_elcaggCap_wof_CRI</v>
      </c>
      <c r="X22" t="str">
        <f t="shared" si="5"/>
        <v>e?_wof_CRI*</v>
      </c>
      <c r="Y22">
        <v>1</v>
      </c>
      <c r="Z22">
        <v>2</v>
      </c>
      <c r="AB22" t="str">
        <f t="shared" si="14"/>
        <v>UCE_elcaggCap_wof_CRI</v>
      </c>
      <c r="AC22" t="str">
        <f t="shared" si="6"/>
        <v>elcagg_wof_CRI</v>
      </c>
      <c r="AD22">
        <v>-1</v>
      </c>
    </row>
    <row r="23" spans="1:30">
      <c r="A23" t="s">
        <v>93</v>
      </c>
      <c r="B23" t="str">
        <f t="shared" si="7"/>
        <v>UCE_elcaggCap_spv_BRA</v>
      </c>
      <c r="C23" t="str">
        <f t="shared" si="3"/>
        <v>e?_spv_BRA*</v>
      </c>
      <c r="D23">
        <v>1</v>
      </c>
      <c r="E23">
        <v>2</v>
      </c>
      <c r="G23" t="str">
        <f t="shared" si="8"/>
        <v>UCE_elcaggCap_spv_BRA</v>
      </c>
      <c r="H23" t="str">
        <f t="shared" si="9"/>
        <v>elcagg_spv_BRA</v>
      </c>
      <c r="I23">
        <v>-1</v>
      </c>
      <c r="K23" t="s">
        <v>93</v>
      </c>
      <c r="L23" t="str">
        <f t="shared" si="10"/>
        <v>UCE_elcaggCap_won_BRA</v>
      </c>
      <c r="M23" t="str">
        <f t="shared" si="4"/>
        <v>e?_won_BRA*</v>
      </c>
      <c r="N23">
        <v>1</v>
      </c>
      <c r="O23">
        <v>2</v>
      </c>
      <c r="Q23" t="str">
        <f t="shared" si="11"/>
        <v>UCE_elcaggCap_won_BRA</v>
      </c>
      <c r="R23" t="str">
        <f t="shared" si="12"/>
        <v>elcagg_won_BRA</v>
      </c>
      <c r="S23">
        <v>-1</v>
      </c>
      <c r="V23" t="s">
        <v>107</v>
      </c>
      <c r="W23" t="str">
        <f t="shared" si="13"/>
        <v>UCE_elcaggCap_wof_CUB</v>
      </c>
      <c r="X23" t="str">
        <f t="shared" si="5"/>
        <v>e?_wof_CUB*</v>
      </c>
      <c r="Y23">
        <v>1</v>
      </c>
      <c r="Z23">
        <v>2</v>
      </c>
      <c r="AB23" t="str">
        <f t="shared" si="14"/>
        <v>UCE_elcaggCap_wof_CUB</v>
      </c>
      <c r="AC23" t="str">
        <f t="shared" si="6"/>
        <v>elcagg_wof_CUB</v>
      </c>
      <c r="AD23">
        <v>-1</v>
      </c>
    </row>
    <row r="24" spans="1:30">
      <c r="A24" t="s">
        <v>108</v>
      </c>
      <c r="B24" t="str">
        <f t="shared" si="7"/>
        <v>UCE_elcaggCap_spv_BWA</v>
      </c>
      <c r="C24" t="str">
        <f t="shared" si="3"/>
        <v>e?_spv_BWA*</v>
      </c>
      <c r="D24">
        <v>1</v>
      </c>
      <c r="E24">
        <v>2</v>
      </c>
      <c r="G24" t="str">
        <f t="shared" si="8"/>
        <v>UCE_elcaggCap_spv_BWA</v>
      </c>
      <c r="H24" t="str">
        <f t="shared" si="9"/>
        <v>elcagg_spv_BWA</v>
      </c>
      <c r="I24">
        <v>-1</v>
      </c>
      <c r="K24" t="s">
        <v>108</v>
      </c>
      <c r="L24" t="str">
        <f t="shared" si="10"/>
        <v>UCE_elcaggCap_won_BWA</v>
      </c>
      <c r="M24" t="str">
        <f t="shared" si="4"/>
        <v>e?_won_BWA*</v>
      </c>
      <c r="N24">
        <v>1</v>
      </c>
      <c r="O24">
        <v>2</v>
      </c>
      <c r="Q24" t="str">
        <f t="shared" si="11"/>
        <v>UCE_elcaggCap_won_BWA</v>
      </c>
      <c r="R24" t="str">
        <f t="shared" si="12"/>
        <v>elcagg_won_BWA</v>
      </c>
      <c r="S24">
        <v>-1</v>
      </c>
      <c r="V24" t="s">
        <v>109</v>
      </c>
      <c r="W24" t="str">
        <f t="shared" si="13"/>
        <v>UCE_elcaggCap_wof_CYP</v>
      </c>
      <c r="X24" t="str">
        <f t="shared" si="5"/>
        <v>e?_wof_CYP*</v>
      </c>
      <c r="Y24">
        <v>1</v>
      </c>
      <c r="Z24">
        <v>2</v>
      </c>
      <c r="AB24" t="str">
        <f t="shared" si="14"/>
        <v>UCE_elcaggCap_wof_CYP</v>
      </c>
      <c r="AC24" t="str">
        <f t="shared" si="6"/>
        <v>elcagg_wof_CYP</v>
      </c>
      <c r="AD24">
        <v>-1</v>
      </c>
    </row>
    <row r="25" spans="1:30">
      <c r="A25" t="s">
        <v>110</v>
      </c>
      <c r="B25" t="str">
        <f t="shared" si="7"/>
        <v>UCE_elcaggCap_spv_CAF</v>
      </c>
      <c r="C25" t="str">
        <f t="shared" si="3"/>
        <v>e?_spv_CAF*</v>
      </c>
      <c r="D25">
        <v>1</v>
      </c>
      <c r="E25">
        <v>2</v>
      </c>
      <c r="G25" t="str">
        <f t="shared" si="8"/>
        <v>UCE_elcaggCap_spv_CAF</v>
      </c>
      <c r="H25" t="str">
        <f t="shared" si="9"/>
        <v>elcagg_spv_CAF</v>
      </c>
      <c r="I25">
        <v>-1</v>
      </c>
      <c r="K25" t="s">
        <v>110</v>
      </c>
      <c r="L25" t="str">
        <f t="shared" si="10"/>
        <v>UCE_elcaggCap_won_CAF</v>
      </c>
      <c r="M25" t="str">
        <f t="shared" si="4"/>
        <v>e?_won_CAF*</v>
      </c>
      <c r="N25">
        <v>1</v>
      </c>
      <c r="O25">
        <v>2</v>
      </c>
      <c r="Q25" t="str">
        <f t="shared" si="11"/>
        <v>UCE_elcaggCap_won_CAF</v>
      </c>
      <c r="R25" t="str">
        <f t="shared" si="12"/>
        <v>elcagg_won_CAF</v>
      </c>
      <c r="S25">
        <v>-1</v>
      </c>
      <c r="V25" t="s">
        <v>111</v>
      </c>
      <c r="W25" t="str">
        <f t="shared" si="13"/>
        <v>UCE_elcaggCap_wof_DEU</v>
      </c>
      <c r="X25" t="str">
        <f t="shared" si="5"/>
        <v>e?_wof_DEU*</v>
      </c>
      <c r="Y25">
        <v>1</v>
      </c>
      <c r="Z25">
        <v>2</v>
      </c>
      <c r="AB25" t="str">
        <f t="shared" si="14"/>
        <v>UCE_elcaggCap_wof_DEU</v>
      </c>
      <c r="AC25" t="str">
        <f t="shared" si="6"/>
        <v>elcagg_wof_DEU</v>
      </c>
      <c r="AD25">
        <v>-1</v>
      </c>
    </row>
    <row r="26" spans="1:30">
      <c r="A26" t="s">
        <v>95</v>
      </c>
      <c r="B26" t="str">
        <f t="shared" si="7"/>
        <v>UCE_elcaggCap_spv_CAN</v>
      </c>
      <c r="C26" t="str">
        <f t="shared" si="3"/>
        <v>e?_spv_CAN*</v>
      </c>
      <c r="D26">
        <v>1</v>
      </c>
      <c r="E26">
        <v>2</v>
      </c>
      <c r="G26" t="str">
        <f t="shared" si="8"/>
        <v>UCE_elcaggCap_spv_CAN</v>
      </c>
      <c r="H26" t="str">
        <f t="shared" si="9"/>
        <v>elcagg_spv_CAN</v>
      </c>
      <c r="I26">
        <v>-1</v>
      </c>
      <c r="K26" t="s">
        <v>95</v>
      </c>
      <c r="L26" t="str">
        <f t="shared" si="10"/>
        <v>UCE_elcaggCap_won_CAN</v>
      </c>
      <c r="M26" t="str">
        <f t="shared" si="4"/>
        <v>e?_won_CAN*</v>
      </c>
      <c r="N26">
        <v>1</v>
      </c>
      <c r="O26">
        <v>2</v>
      </c>
      <c r="Q26" t="str">
        <f t="shared" si="11"/>
        <v>UCE_elcaggCap_won_CAN</v>
      </c>
      <c r="R26" t="str">
        <f t="shared" si="12"/>
        <v>elcagg_won_CAN</v>
      </c>
      <c r="S26">
        <v>-1</v>
      </c>
      <c r="V26" t="s">
        <v>112</v>
      </c>
      <c r="W26" t="str">
        <f t="shared" si="13"/>
        <v>UCE_elcaggCap_wof_DJI</v>
      </c>
      <c r="X26" t="str">
        <f t="shared" si="5"/>
        <v>e?_wof_DJI*</v>
      </c>
      <c r="Y26">
        <v>1</v>
      </c>
      <c r="Z26">
        <v>2</v>
      </c>
      <c r="AB26" t="str">
        <f t="shared" si="14"/>
        <v>UCE_elcaggCap_wof_DJI</v>
      </c>
      <c r="AC26" t="str">
        <f t="shared" si="6"/>
        <v>elcagg_wof_DJI</v>
      </c>
      <c r="AD26">
        <v>-1</v>
      </c>
    </row>
    <row r="27" spans="1:30">
      <c r="A27" t="s">
        <v>113</v>
      </c>
      <c r="B27" t="str">
        <f t="shared" si="7"/>
        <v>UCE_elcaggCap_spv_CHE</v>
      </c>
      <c r="C27" t="str">
        <f t="shared" si="3"/>
        <v>e?_spv_CHE*</v>
      </c>
      <c r="D27">
        <v>1</v>
      </c>
      <c r="E27">
        <v>2</v>
      </c>
      <c r="G27" t="str">
        <f t="shared" si="8"/>
        <v>UCE_elcaggCap_spv_CHE</v>
      </c>
      <c r="H27" t="str">
        <f t="shared" si="9"/>
        <v>elcagg_spv_CHE</v>
      </c>
      <c r="I27">
        <v>-1</v>
      </c>
      <c r="K27" t="s">
        <v>113</v>
      </c>
      <c r="L27" t="str">
        <f t="shared" si="10"/>
        <v>UCE_elcaggCap_won_CHE</v>
      </c>
      <c r="M27" t="str">
        <f t="shared" si="4"/>
        <v>e?_won_CHE*</v>
      </c>
      <c r="N27">
        <v>1</v>
      </c>
      <c r="O27">
        <v>2</v>
      </c>
      <c r="Q27" t="str">
        <f t="shared" si="11"/>
        <v>UCE_elcaggCap_won_CHE</v>
      </c>
      <c r="R27" t="str">
        <f t="shared" si="12"/>
        <v>elcagg_won_CHE</v>
      </c>
      <c r="S27">
        <v>-1</v>
      </c>
      <c r="V27" t="s">
        <v>114</v>
      </c>
      <c r="W27" t="str">
        <f t="shared" si="13"/>
        <v>UCE_elcaggCap_wof_DNK</v>
      </c>
      <c r="X27" t="str">
        <f t="shared" si="5"/>
        <v>e?_wof_DNK*</v>
      </c>
      <c r="Y27">
        <v>1</v>
      </c>
      <c r="Z27">
        <v>2</v>
      </c>
      <c r="AB27" t="str">
        <f t="shared" si="14"/>
        <v>UCE_elcaggCap_wof_DNK</v>
      </c>
      <c r="AC27" t="str">
        <f t="shared" si="6"/>
        <v>elcagg_wof_DNK</v>
      </c>
      <c r="AD27">
        <v>-1</v>
      </c>
    </row>
    <row r="28" spans="1:30">
      <c r="A28" t="s">
        <v>96</v>
      </c>
      <c r="B28" t="str">
        <f t="shared" si="7"/>
        <v>UCE_elcaggCap_spv_CHL</v>
      </c>
      <c r="C28" t="str">
        <f t="shared" si="3"/>
        <v>e?_spv_CHL*</v>
      </c>
      <c r="D28">
        <v>1</v>
      </c>
      <c r="E28">
        <v>2</v>
      </c>
      <c r="G28" t="str">
        <f t="shared" si="8"/>
        <v>UCE_elcaggCap_spv_CHL</v>
      </c>
      <c r="H28" t="str">
        <f t="shared" si="9"/>
        <v>elcagg_spv_CHL</v>
      </c>
      <c r="I28">
        <v>-1</v>
      </c>
      <c r="K28" t="s">
        <v>96</v>
      </c>
      <c r="L28" t="str">
        <f t="shared" si="10"/>
        <v>UCE_elcaggCap_won_CHL</v>
      </c>
      <c r="M28" t="str">
        <f t="shared" si="4"/>
        <v>e?_won_CHL*</v>
      </c>
      <c r="N28">
        <v>1</v>
      </c>
      <c r="O28">
        <v>2</v>
      </c>
      <c r="Q28" t="str">
        <f t="shared" si="11"/>
        <v>UCE_elcaggCap_won_CHL</v>
      </c>
      <c r="R28" t="str">
        <f t="shared" si="12"/>
        <v>elcagg_won_CHL</v>
      </c>
      <c r="S28">
        <v>-1</v>
      </c>
      <c r="V28" t="s">
        <v>115</v>
      </c>
      <c r="W28" t="str">
        <f t="shared" si="13"/>
        <v>UCE_elcaggCap_wof_DOM</v>
      </c>
      <c r="X28" t="str">
        <f t="shared" si="5"/>
        <v>e?_wof_DOM*</v>
      </c>
      <c r="Y28">
        <v>1</v>
      </c>
      <c r="Z28">
        <v>2</v>
      </c>
      <c r="AB28" t="str">
        <f t="shared" si="14"/>
        <v>UCE_elcaggCap_wof_DOM</v>
      </c>
      <c r="AC28" t="str">
        <f t="shared" si="6"/>
        <v>elcagg_wof_DOM</v>
      </c>
      <c r="AD28">
        <v>-1</v>
      </c>
    </row>
    <row r="29" spans="1:30">
      <c r="A29" t="s">
        <v>98</v>
      </c>
      <c r="B29" t="str">
        <f t="shared" si="7"/>
        <v>UCE_elcaggCap_spv_CHN</v>
      </c>
      <c r="C29" t="str">
        <f t="shared" si="3"/>
        <v>e?_spv_CHN*</v>
      </c>
      <c r="D29">
        <v>1</v>
      </c>
      <c r="E29">
        <v>2</v>
      </c>
      <c r="G29" t="str">
        <f t="shared" si="8"/>
        <v>UCE_elcaggCap_spv_CHN</v>
      </c>
      <c r="H29" t="str">
        <f t="shared" si="9"/>
        <v>elcagg_spv_CHN</v>
      </c>
      <c r="I29">
        <v>-1</v>
      </c>
      <c r="K29" t="s">
        <v>98</v>
      </c>
      <c r="L29" t="str">
        <f t="shared" si="10"/>
        <v>UCE_elcaggCap_won_CHN</v>
      </c>
      <c r="M29" t="str">
        <f t="shared" si="4"/>
        <v>e?_won_CHN*</v>
      </c>
      <c r="N29">
        <v>1</v>
      </c>
      <c r="O29">
        <v>2</v>
      </c>
      <c r="Q29" t="str">
        <f t="shared" si="11"/>
        <v>UCE_elcaggCap_won_CHN</v>
      </c>
      <c r="R29" t="str">
        <f t="shared" si="12"/>
        <v>elcagg_won_CHN</v>
      </c>
      <c r="S29">
        <v>-1</v>
      </c>
      <c r="V29" t="s">
        <v>116</v>
      </c>
      <c r="W29" t="str">
        <f t="shared" si="13"/>
        <v>UCE_elcaggCap_wof_DZA</v>
      </c>
      <c r="X29" t="str">
        <f t="shared" si="5"/>
        <v>e?_wof_DZA*</v>
      </c>
      <c r="Y29">
        <v>1</v>
      </c>
      <c r="Z29">
        <v>2</v>
      </c>
      <c r="AB29" t="str">
        <f t="shared" si="14"/>
        <v>UCE_elcaggCap_wof_DZA</v>
      </c>
      <c r="AC29" t="str">
        <f t="shared" si="6"/>
        <v>elcagg_wof_DZA</v>
      </c>
      <c r="AD29">
        <v>-1</v>
      </c>
    </row>
    <row r="30" spans="1:30">
      <c r="A30" t="s">
        <v>99</v>
      </c>
      <c r="B30" t="str">
        <f t="shared" si="7"/>
        <v>UCE_elcaggCap_spv_CIV</v>
      </c>
      <c r="C30" t="str">
        <f t="shared" si="3"/>
        <v>e?_spv_CIV*</v>
      </c>
      <c r="D30">
        <v>1</v>
      </c>
      <c r="E30">
        <v>2</v>
      </c>
      <c r="G30" t="str">
        <f t="shared" si="8"/>
        <v>UCE_elcaggCap_spv_CIV</v>
      </c>
      <c r="H30" t="str">
        <f t="shared" si="9"/>
        <v>elcagg_spv_CIV</v>
      </c>
      <c r="I30">
        <v>-1</v>
      </c>
      <c r="K30" t="s">
        <v>99</v>
      </c>
      <c r="L30" t="str">
        <f t="shared" si="10"/>
        <v>UCE_elcaggCap_won_CIV</v>
      </c>
      <c r="M30" t="str">
        <f t="shared" si="4"/>
        <v>e?_won_CIV*</v>
      </c>
      <c r="N30">
        <v>1</v>
      </c>
      <c r="O30">
        <v>2</v>
      </c>
      <c r="Q30" t="str">
        <f t="shared" si="11"/>
        <v>UCE_elcaggCap_won_CIV</v>
      </c>
      <c r="R30" t="str">
        <f t="shared" si="12"/>
        <v>elcagg_won_CIV</v>
      </c>
      <c r="S30">
        <v>-1</v>
      </c>
      <c r="V30" t="s">
        <v>117</v>
      </c>
      <c r="W30" t="str">
        <f t="shared" si="13"/>
        <v>UCE_elcaggCap_wof_ECU</v>
      </c>
      <c r="X30" t="str">
        <f t="shared" si="5"/>
        <v>e?_wof_ECU*</v>
      </c>
      <c r="Y30">
        <v>1</v>
      </c>
      <c r="Z30">
        <v>2</v>
      </c>
      <c r="AB30" t="str">
        <f t="shared" si="14"/>
        <v>UCE_elcaggCap_wof_ECU</v>
      </c>
      <c r="AC30" t="str">
        <f t="shared" si="6"/>
        <v>elcagg_wof_ECU</v>
      </c>
      <c r="AD30">
        <v>-1</v>
      </c>
    </row>
    <row r="31" spans="1:30">
      <c r="A31" t="s">
        <v>118</v>
      </c>
      <c r="B31" t="str">
        <f t="shared" si="7"/>
        <v>UCE_elcaggCap_spv_CMR</v>
      </c>
      <c r="C31" t="str">
        <f t="shared" si="3"/>
        <v>e?_spv_CMR*</v>
      </c>
      <c r="D31">
        <v>1</v>
      </c>
      <c r="E31">
        <v>2</v>
      </c>
      <c r="G31" t="str">
        <f t="shared" si="8"/>
        <v>UCE_elcaggCap_spv_CMR</v>
      </c>
      <c r="H31" t="str">
        <f t="shared" si="9"/>
        <v>elcagg_spv_CMR</v>
      </c>
      <c r="I31">
        <v>-1</v>
      </c>
      <c r="K31" t="s">
        <v>118</v>
      </c>
      <c r="L31" t="str">
        <f t="shared" si="10"/>
        <v>UCE_elcaggCap_won_CMR</v>
      </c>
      <c r="M31" t="str">
        <f t="shared" si="4"/>
        <v>e?_won_CMR*</v>
      </c>
      <c r="N31">
        <v>1</v>
      </c>
      <c r="O31">
        <v>2</v>
      </c>
      <c r="Q31" t="str">
        <f t="shared" si="11"/>
        <v>UCE_elcaggCap_won_CMR</v>
      </c>
      <c r="R31" t="str">
        <f t="shared" si="12"/>
        <v>elcagg_won_CMR</v>
      </c>
      <c r="S31">
        <v>-1</v>
      </c>
      <c r="V31" t="s">
        <v>119</v>
      </c>
      <c r="W31" t="str">
        <f t="shared" si="13"/>
        <v>UCE_elcaggCap_wof_EGY</v>
      </c>
      <c r="X31" t="str">
        <f t="shared" si="5"/>
        <v>e?_wof_EGY*</v>
      </c>
      <c r="Y31">
        <v>1</v>
      </c>
      <c r="Z31">
        <v>2</v>
      </c>
      <c r="AB31" t="str">
        <f t="shared" si="14"/>
        <v>UCE_elcaggCap_wof_EGY</v>
      </c>
      <c r="AC31" t="str">
        <f t="shared" si="6"/>
        <v>elcagg_wof_EGY</v>
      </c>
      <c r="AD31">
        <v>-1</v>
      </c>
    </row>
    <row r="32" spans="1:30">
      <c r="A32" t="s">
        <v>100</v>
      </c>
      <c r="B32" t="str">
        <f t="shared" si="7"/>
        <v>UCE_elcaggCap_spv_COD</v>
      </c>
      <c r="C32" t="str">
        <f t="shared" si="3"/>
        <v>e?_spv_COD*</v>
      </c>
      <c r="D32">
        <v>1</v>
      </c>
      <c r="E32">
        <v>2</v>
      </c>
      <c r="G32" t="str">
        <f t="shared" si="8"/>
        <v>UCE_elcaggCap_spv_COD</v>
      </c>
      <c r="H32" t="str">
        <f t="shared" si="9"/>
        <v>elcagg_spv_COD</v>
      </c>
      <c r="I32">
        <v>-1</v>
      </c>
      <c r="K32" t="s">
        <v>100</v>
      </c>
      <c r="L32" t="str">
        <f t="shared" si="10"/>
        <v>UCE_elcaggCap_won_COD</v>
      </c>
      <c r="M32" t="str">
        <f t="shared" si="4"/>
        <v>e?_won_COD*</v>
      </c>
      <c r="N32">
        <v>1</v>
      </c>
      <c r="O32">
        <v>2</v>
      </c>
      <c r="Q32" t="str">
        <f t="shared" si="11"/>
        <v>UCE_elcaggCap_won_COD</v>
      </c>
      <c r="R32" t="str">
        <f t="shared" si="12"/>
        <v>elcagg_won_COD</v>
      </c>
      <c r="S32">
        <v>-1</v>
      </c>
      <c r="V32" t="s">
        <v>120</v>
      </c>
      <c r="W32" t="str">
        <f t="shared" si="13"/>
        <v>UCE_elcaggCap_wof_ERI</v>
      </c>
      <c r="X32" t="str">
        <f t="shared" si="5"/>
        <v>e?_wof_ERI*</v>
      </c>
      <c r="Y32">
        <v>1</v>
      </c>
      <c r="Z32">
        <v>2</v>
      </c>
      <c r="AB32" t="str">
        <f t="shared" si="14"/>
        <v>UCE_elcaggCap_wof_ERI</v>
      </c>
      <c r="AC32" t="str">
        <f t="shared" si="6"/>
        <v>elcagg_wof_ERI</v>
      </c>
      <c r="AD32">
        <v>-1</v>
      </c>
    </row>
    <row r="33" spans="1:30">
      <c r="A33" t="s">
        <v>102</v>
      </c>
      <c r="B33" t="str">
        <f t="shared" si="7"/>
        <v>UCE_elcaggCap_spv_COG</v>
      </c>
      <c r="C33" t="str">
        <f t="shared" si="3"/>
        <v>e?_spv_COG*</v>
      </c>
      <c r="D33">
        <v>1</v>
      </c>
      <c r="E33">
        <v>2</v>
      </c>
      <c r="G33" t="str">
        <f t="shared" si="8"/>
        <v>UCE_elcaggCap_spv_COG</v>
      </c>
      <c r="H33" t="str">
        <f t="shared" si="9"/>
        <v>elcagg_spv_COG</v>
      </c>
      <c r="I33">
        <v>-1</v>
      </c>
      <c r="K33" t="s">
        <v>102</v>
      </c>
      <c r="L33" t="str">
        <f t="shared" si="10"/>
        <v>UCE_elcaggCap_won_COG</v>
      </c>
      <c r="M33" t="str">
        <f t="shared" si="4"/>
        <v>e?_won_COG*</v>
      </c>
      <c r="N33">
        <v>1</v>
      </c>
      <c r="O33">
        <v>2</v>
      </c>
      <c r="Q33" t="str">
        <f t="shared" si="11"/>
        <v>UCE_elcaggCap_won_COG</v>
      </c>
      <c r="R33" t="str">
        <f t="shared" si="12"/>
        <v>elcagg_won_COG</v>
      </c>
      <c r="S33">
        <v>-1</v>
      </c>
      <c r="V33" t="s">
        <v>121</v>
      </c>
      <c r="W33" t="str">
        <f t="shared" si="13"/>
        <v>UCE_elcaggCap_wof_ESP</v>
      </c>
      <c r="X33" t="str">
        <f t="shared" si="5"/>
        <v>e?_wof_ESP*</v>
      </c>
      <c r="Y33">
        <v>1</v>
      </c>
      <c r="Z33">
        <v>2</v>
      </c>
      <c r="AB33" t="str">
        <f t="shared" si="14"/>
        <v>UCE_elcaggCap_wof_ESP</v>
      </c>
      <c r="AC33" t="str">
        <f t="shared" si="6"/>
        <v>elcagg_wof_ESP</v>
      </c>
      <c r="AD33">
        <v>-1</v>
      </c>
    </row>
    <row r="34" spans="1:30">
      <c r="A34" t="s">
        <v>104</v>
      </c>
      <c r="B34" t="str">
        <f t="shared" si="7"/>
        <v>UCE_elcaggCap_spv_COL</v>
      </c>
      <c r="C34" t="str">
        <f t="shared" si="3"/>
        <v>e?_spv_COL*</v>
      </c>
      <c r="D34">
        <v>1</v>
      </c>
      <c r="E34">
        <v>2</v>
      </c>
      <c r="G34" t="str">
        <f t="shared" si="8"/>
        <v>UCE_elcaggCap_spv_COL</v>
      </c>
      <c r="H34" t="str">
        <f t="shared" si="9"/>
        <v>elcagg_spv_COL</v>
      </c>
      <c r="I34">
        <v>-1</v>
      </c>
      <c r="K34" t="s">
        <v>104</v>
      </c>
      <c r="L34" t="str">
        <f t="shared" si="10"/>
        <v>UCE_elcaggCap_won_COL</v>
      </c>
      <c r="M34" t="str">
        <f t="shared" si="4"/>
        <v>e?_won_COL*</v>
      </c>
      <c r="N34">
        <v>1</v>
      </c>
      <c r="O34">
        <v>2</v>
      </c>
      <c r="Q34" t="str">
        <f t="shared" si="11"/>
        <v>UCE_elcaggCap_won_COL</v>
      </c>
      <c r="R34" t="str">
        <f t="shared" si="12"/>
        <v>elcagg_won_COL</v>
      </c>
      <c r="S34">
        <v>-1</v>
      </c>
      <c r="V34" t="s">
        <v>122</v>
      </c>
      <c r="W34" t="str">
        <f t="shared" si="13"/>
        <v>UCE_elcaggCap_wof_EST</v>
      </c>
      <c r="X34" t="str">
        <f t="shared" si="5"/>
        <v>e?_wof_EST*</v>
      </c>
      <c r="Y34">
        <v>1</v>
      </c>
      <c r="Z34">
        <v>2</v>
      </c>
      <c r="AB34" t="str">
        <f t="shared" si="14"/>
        <v>UCE_elcaggCap_wof_EST</v>
      </c>
      <c r="AC34" t="str">
        <f t="shared" si="6"/>
        <v>elcagg_wof_EST</v>
      </c>
      <c r="AD34">
        <v>-1</v>
      </c>
    </row>
    <row r="35" spans="1:30">
      <c r="A35" t="s">
        <v>106</v>
      </c>
      <c r="B35" t="str">
        <f t="shared" si="7"/>
        <v>UCE_elcaggCap_spv_CRI</v>
      </c>
      <c r="C35" t="str">
        <f t="shared" si="3"/>
        <v>e?_spv_CRI*</v>
      </c>
      <c r="D35">
        <v>1</v>
      </c>
      <c r="E35">
        <v>2</v>
      </c>
      <c r="G35" t="str">
        <f t="shared" si="8"/>
        <v>UCE_elcaggCap_spv_CRI</v>
      </c>
      <c r="H35" t="str">
        <f t="shared" si="9"/>
        <v>elcagg_spv_CRI</v>
      </c>
      <c r="I35">
        <v>-1</v>
      </c>
      <c r="K35" t="s">
        <v>106</v>
      </c>
      <c r="L35" t="str">
        <f t="shared" si="10"/>
        <v>UCE_elcaggCap_won_CRI</v>
      </c>
      <c r="M35" t="str">
        <f t="shared" si="4"/>
        <v>e?_won_CRI*</v>
      </c>
      <c r="N35">
        <v>1</v>
      </c>
      <c r="O35">
        <v>2</v>
      </c>
      <c r="Q35" t="str">
        <f t="shared" si="11"/>
        <v>UCE_elcaggCap_won_CRI</v>
      </c>
      <c r="R35" t="str">
        <f t="shared" si="12"/>
        <v>elcagg_won_CRI</v>
      </c>
      <c r="S35">
        <v>-1</v>
      </c>
      <c r="V35" t="s">
        <v>123</v>
      </c>
      <c r="W35" t="str">
        <f t="shared" si="13"/>
        <v>UCE_elcaggCap_wof_FIN</v>
      </c>
      <c r="X35" t="str">
        <f t="shared" si="5"/>
        <v>e?_wof_FIN*</v>
      </c>
      <c r="Y35">
        <v>1</v>
      </c>
      <c r="Z35">
        <v>2</v>
      </c>
      <c r="AB35" t="str">
        <f t="shared" si="14"/>
        <v>UCE_elcaggCap_wof_FIN</v>
      </c>
      <c r="AC35" t="str">
        <f t="shared" si="6"/>
        <v>elcagg_wof_FIN</v>
      </c>
      <c r="AD35">
        <v>-1</v>
      </c>
    </row>
    <row r="36" spans="1:30">
      <c r="A36" t="s">
        <v>107</v>
      </c>
      <c r="B36" t="str">
        <f t="shared" si="7"/>
        <v>UCE_elcaggCap_spv_CUB</v>
      </c>
      <c r="C36" t="str">
        <f t="shared" si="3"/>
        <v>e?_spv_CUB*</v>
      </c>
      <c r="D36">
        <v>1</v>
      </c>
      <c r="E36">
        <v>2</v>
      </c>
      <c r="G36" t="str">
        <f t="shared" si="8"/>
        <v>UCE_elcaggCap_spv_CUB</v>
      </c>
      <c r="H36" t="str">
        <f t="shared" si="9"/>
        <v>elcagg_spv_CUB</v>
      </c>
      <c r="I36">
        <v>-1</v>
      </c>
      <c r="K36" t="s">
        <v>107</v>
      </c>
      <c r="L36" t="str">
        <f t="shared" si="10"/>
        <v>UCE_elcaggCap_won_CUB</v>
      </c>
      <c r="M36" t="str">
        <f t="shared" si="4"/>
        <v>e?_won_CUB*</v>
      </c>
      <c r="N36">
        <v>1</v>
      </c>
      <c r="O36">
        <v>2</v>
      </c>
      <c r="Q36" t="str">
        <f t="shared" si="11"/>
        <v>UCE_elcaggCap_won_CUB</v>
      </c>
      <c r="R36" t="str">
        <f t="shared" si="12"/>
        <v>elcagg_won_CUB</v>
      </c>
      <c r="S36">
        <v>-1</v>
      </c>
      <c r="V36" t="s">
        <v>124</v>
      </c>
      <c r="W36" t="str">
        <f t="shared" si="13"/>
        <v>UCE_elcaggCap_wof_FRA</v>
      </c>
      <c r="X36" t="str">
        <f t="shared" si="5"/>
        <v>e?_wof_FRA*</v>
      </c>
      <c r="Y36">
        <v>1</v>
      </c>
      <c r="Z36">
        <v>2</v>
      </c>
      <c r="AB36" t="str">
        <f t="shared" si="14"/>
        <v>UCE_elcaggCap_wof_FRA</v>
      </c>
      <c r="AC36" t="str">
        <f t="shared" si="6"/>
        <v>elcagg_wof_FRA</v>
      </c>
      <c r="AD36">
        <v>-1</v>
      </c>
    </row>
    <row r="37" spans="1:30">
      <c r="A37" t="s">
        <v>125</v>
      </c>
      <c r="B37" t="str">
        <f t="shared" si="7"/>
        <v>UCE_elcaggCap_spv_CZE</v>
      </c>
      <c r="C37" t="str">
        <f t="shared" si="3"/>
        <v>e?_spv_CZE*</v>
      </c>
      <c r="D37">
        <v>1</v>
      </c>
      <c r="E37">
        <v>2</v>
      </c>
      <c r="G37" t="str">
        <f t="shared" si="8"/>
        <v>UCE_elcaggCap_spv_CZE</v>
      </c>
      <c r="H37" t="str">
        <f t="shared" si="9"/>
        <v>elcagg_spv_CZE</v>
      </c>
      <c r="I37">
        <v>-1</v>
      </c>
      <c r="K37" t="s">
        <v>125</v>
      </c>
      <c r="L37" t="str">
        <f t="shared" si="10"/>
        <v>UCE_elcaggCap_won_CZE</v>
      </c>
      <c r="M37" t="str">
        <f t="shared" si="4"/>
        <v>e?_won_CZE*</v>
      </c>
      <c r="N37">
        <v>1</v>
      </c>
      <c r="O37">
        <v>2</v>
      </c>
      <c r="Q37" t="str">
        <f t="shared" si="11"/>
        <v>UCE_elcaggCap_won_CZE</v>
      </c>
      <c r="R37" t="str">
        <f t="shared" si="12"/>
        <v>elcagg_won_CZE</v>
      </c>
      <c r="S37">
        <v>-1</v>
      </c>
      <c r="V37" t="s">
        <v>126</v>
      </c>
      <c r="W37" t="str">
        <f t="shared" si="13"/>
        <v>UCE_elcaggCap_wof_GAB</v>
      </c>
      <c r="X37" t="str">
        <f t="shared" si="5"/>
        <v>e?_wof_GAB*</v>
      </c>
      <c r="Y37">
        <v>1</v>
      </c>
      <c r="Z37">
        <v>2</v>
      </c>
      <c r="AB37" t="str">
        <f t="shared" si="14"/>
        <v>UCE_elcaggCap_wof_GAB</v>
      </c>
      <c r="AC37" t="str">
        <f t="shared" si="6"/>
        <v>elcagg_wof_GAB</v>
      </c>
      <c r="AD37">
        <v>-1</v>
      </c>
    </row>
    <row r="38" spans="1:30">
      <c r="A38" t="s">
        <v>111</v>
      </c>
      <c r="B38" t="str">
        <f t="shared" si="7"/>
        <v>UCE_elcaggCap_spv_DEU</v>
      </c>
      <c r="C38" t="str">
        <f t="shared" si="3"/>
        <v>e?_spv_DEU*</v>
      </c>
      <c r="D38">
        <v>1</v>
      </c>
      <c r="E38">
        <v>2</v>
      </c>
      <c r="G38" t="str">
        <f t="shared" si="8"/>
        <v>UCE_elcaggCap_spv_DEU</v>
      </c>
      <c r="H38" t="str">
        <f t="shared" si="9"/>
        <v>elcagg_spv_DEU</v>
      </c>
      <c r="I38">
        <v>-1</v>
      </c>
      <c r="K38" t="s">
        <v>111</v>
      </c>
      <c r="L38" t="str">
        <f t="shared" si="10"/>
        <v>UCE_elcaggCap_won_DEU</v>
      </c>
      <c r="M38" t="str">
        <f t="shared" si="4"/>
        <v>e?_won_DEU*</v>
      </c>
      <c r="N38">
        <v>1</v>
      </c>
      <c r="O38">
        <v>2</v>
      </c>
      <c r="Q38" t="str">
        <f t="shared" si="11"/>
        <v>UCE_elcaggCap_won_DEU</v>
      </c>
      <c r="R38" t="str">
        <f t="shared" si="12"/>
        <v>elcagg_won_DEU</v>
      </c>
      <c r="S38">
        <v>-1</v>
      </c>
      <c r="V38" t="s">
        <v>127</v>
      </c>
      <c r="W38" t="str">
        <f t="shared" si="13"/>
        <v>UCE_elcaggCap_wof_GBR</v>
      </c>
      <c r="X38" t="str">
        <f t="shared" si="5"/>
        <v>e?_wof_GBR*</v>
      </c>
      <c r="Y38">
        <v>1</v>
      </c>
      <c r="Z38">
        <v>2</v>
      </c>
      <c r="AB38" t="str">
        <f t="shared" si="14"/>
        <v>UCE_elcaggCap_wof_GBR</v>
      </c>
      <c r="AC38" t="str">
        <f t="shared" si="6"/>
        <v>elcagg_wof_GBR</v>
      </c>
      <c r="AD38">
        <v>-1</v>
      </c>
    </row>
    <row r="39" spans="1:30">
      <c r="A39" t="s">
        <v>112</v>
      </c>
      <c r="B39" t="str">
        <f t="shared" si="7"/>
        <v>UCE_elcaggCap_spv_DJI</v>
      </c>
      <c r="C39" t="str">
        <f t="shared" si="3"/>
        <v>e?_spv_DJI*</v>
      </c>
      <c r="D39">
        <v>1</v>
      </c>
      <c r="E39">
        <v>2</v>
      </c>
      <c r="G39" t="str">
        <f t="shared" si="8"/>
        <v>UCE_elcaggCap_spv_DJI</v>
      </c>
      <c r="H39" t="str">
        <f t="shared" si="9"/>
        <v>elcagg_spv_DJI</v>
      </c>
      <c r="I39">
        <v>-1</v>
      </c>
      <c r="K39" t="s">
        <v>112</v>
      </c>
      <c r="L39" t="str">
        <f t="shared" si="10"/>
        <v>UCE_elcaggCap_won_DJI</v>
      </c>
      <c r="M39" t="str">
        <f t="shared" si="4"/>
        <v>e?_won_DJI*</v>
      </c>
      <c r="N39">
        <v>1</v>
      </c>
      <c r="O39">
        <v>2</v>
      </c>
      <c r="Q39" t="str">
        <f t="shared" si="11"/>
        <v>UCE_elcaggCap_won_DJI</v>
      </c>
      <c r="R39" t="str">
        <f t="shared" si="12"/>
        <v>elcagg_won_DJI</v>
      </c>
      <c r="S39">
        <v>-1</v>
      </c>
      <c r="V39" t="s">
        <v>128</v>
      </c>
      <c r="W39" t="str">
        <f t="shared" si="13"/>
        <v>UCE_elcaggCap_wof_GEO</v>
      </c>
      <c r="X39" t="str">
        <f t="shared" si="5"/>
        <v>e?_wof_GEO*</v>
      </c>
      <c r="Y39">
        <v>1</v>
      </c>
      <c r="Z39">
        <v>2</v>
      </c>
      <c r="AB39" t="str">
        <f t="shared" si="14"/>
        <v>UCE_elcaggCap_wof_GEO</v>
      </c>
      <c r="AC39" t="str">
        <f t="shared" si="6"/>
        <v>elcagg_wof_GEO</v>
      </c>
      <c r="AD39">
        <v>-1</v>
      </c>
    </row>
    <row r="40" spans="1:30">
      <c r="A40" t="s">
        <v>114</v>
      </c>
      <c r="B40" t="str">
        <f t="shared" si="7"/>
        <v>UCE_elcaggCap_spv_DNK</v>
      </c>
      <c r="C40" t="str">
        <f t="shared" si="3"/>
        <v>e?_spv_DNK*</v>
      </c>
      <c r="D40">
        <v>1</v>
      </c>
      <c r="E40">
        <v>2</v>
      </c>
      <c r="G40" t="str">
        <f t="shared" si="8"/>
        <v>UCE_elcaggCap_spv_DNK</v>
      </c>
      <c r="H40" t="str">
        <f t="shared" si="9"/>
        <v>elcagg_spv_DNK</v>
      </c>
      <c r="I40">
        <v>-1</v>
      </c>
      <c r="K40" t="s">
        <v>114</v>
      </c>
      <c r="L40" t="str">
        <f t="shared" si="10"/>
        <v>UCE_elcaggCap_won_DNK</v>
      </c>
      <c r="M40" t="str">
        <f t="shared" si="4"/>
        <v>e?_won_DNK*</v>
      </c>
      <c r="N40">
        <v>1</v>
      </c>
      <c r="O40">
        <v>2</v>
      </c>
      <c r="Q40" t="str">
        <f t="shared" si="11"/>
        <v>UCE_elcaggCap_won_DNK</v>
      </c>
      <c r="R40" t="str">
        <f t="shared" si="12"/>
        <v>elcagg_won_DNK</v>
      </c>
      <c r="S40">
        <v>-1</v>
      </c>
      <c r="V40" t="s">
        <v>129</v>
      </c>
      <c r="W40" t="str">
        <f t="shared" si="13"/>
        <v>UCE_elcaggCap_wof_GHA</v>
      </c>
      <c r="X40" t="str">
        <f t="shared" si="5"/>
        <v>e?_wof_GHA*</v>
      </c>
      <c r="Y40">
        <v>1</v>
      </c>
      <c r="Z40">
        <v>2</v>
      </c>
      <c r="AB40" t="str">
        <f t="shared" si="14"/>
        <v>UCE_elcaggCap_wof_GHA</v>
      </c>
      <c r="AC40" t="str">
        <f t="shared" si="6"/>
        <v>elcagg_wof_GHA</v>
      </c>
      <c r="AD40">
        <v>-1</v>
      </c>
    </row>
    <row r="41" spans="1:30">
      <c r="A41" t="s">
        <v>115</v>
      </c>
      <c r="B41" t="str">
        <f t="shared" si="7"/>
        <v>UCE_elcaggCap_spv_DOM</v>
      </c>
      <c r="C41" t="str">
        <f t="shared" si="3"/>
        <v>e?_spv_DOM*</v>
      </c>
      <c r="D41">
        <v>1</v>
      </c>
      <c r="E41">
        <v>2</v>
      </c>
      <c r="G41" t="str">
        <f t="shared" si="8"/>
        <v>UCE_elcaggCap_spv_DOM</v>
      </c>
      <c r="H41" t="str">
        <f t="shared" si="9"/>
        <v>elcagg_spv_DOM</v>
      </c>
      <c r="I41">
        <v>-1</v>
      </c>
      <c r="K41" t="s">
        <v>115</v>
      </c>
      <c r="L41" t="str">
        <f t="shared" si="10"/>
        <v>UCE_elcaggCap_won_DOM</v>
      </c>
      <c r="M41" t="str">
        <f t="shared" si="4"/>
        <v>e?_won_DOM*</v>
      </c>
      <c r="N41">
        <v>1</v>
      </c>
      <c r="O41">
        <v>2</v>
      </c>
      <c r="Q41" t="str">
        <f t="shared" si="11"/>
        <v>UCE_elcaggCap_won_DOM</v>
      </c>
      <c r="R41" t="str">
        <f t="shared" si="12"/>
        <v>elcagg_won_DOM</v>
      </c>
      <c r="S41">
        <v>-1</v>
      </c>
      <c r="V41" t="s">
        <v>130</v>
      </c>
      <c r="W41" t="str">
        <f t="shared" si="13"/>
        <v>UCE_elcaggCap_wof_GIN</v>
      </c>
      <c r="X41" t="str">
        <f t="shared" si="5"/>
        <v>e?_wof_GIN*</v>
      </c>
      <c r="Y41">
        <v>1</v>
      </c>
      <c r="Z41">
        <v>2</v>
      </c>
      <c r="AB41" t="str">
        <f t="shared" si="14"/>
        <v>UCE_elcaggCap_wof_GIN</v>
      </c>
      <c r="AC41" t="str">
        <f t="shared" si="6"/>
        <v>elcagg_wof_GIN</v>
      </c>
      <c r="AD41">
        <v>-1</v>
      </c>
    </row>
    <row r="42" spans="1:30">
      <c r="A42" t="s">
        <v>116</v>
      </c>
      <c r="B42" t="str">
        <f t="shared" si="7"/>
        <v>UCE_elcaggCap_spv_DZA</v>
      </c>
      <c r="C42" t="str">
        <f t="shared" si="3"/>
        <v>e?_spv_DZA*</v>
      </c>
      <c r="D42">
        <v>1</v>
      </c>
      <c r="E42">
        <v>2</v>
      </c>
      <c r="G42" t="str">
        <f t="shared" si="8"/>
        <v>UCE_elcaggCap_spv_DZA</v>
      </c>
      <c r="H42" t="str">
        <f t="shared" si="9"/>
        <v>elcagg_spv_DZA</v>
      </c>
      <c r="I42">
        <v>-1</v>
      </c>
      <c r="K42" t="s">
        <v>116</v>
      </c>
      <c r="L42" t="str">
        <f t="shared" si="10"/>
        <v>UCE_elcaggCap_won_DZA</v>
      </c>
      <c r="M42" t="str">
        <f t="shared" si="4"/>
        <v>e?_won_DZA*</v>
      </c>
      <c r="N42">
        <v>1</v>
      </c>
      <c r="O42">
        <v>2</v>
      </c>
      <c r="Q42" t="str">
        <f t="shared" si="11"/>
        <v>UCE_elcaggCap_won_DZA</v>
      </c>
      <c r="R42" t="str">
        <f t="shared" si="12"/>
        <v>elcagg_won_DZA</v>
      </c>
      <c r="S42">
        <v>-1</v>
      </c>
      <c r="V42" t="s">
        <v>131</v>
      </c>
      <c r="W42" t="str">
        <f t="shared" si="13"/>
        <v>UCE_elcaggCap_wof_GNB</v>
      </c>
      <c r="X42" t="str">
        <f t="shared" si="5"/>
        <v>e?_wof_GNB*</v>
      </c>
      <c r="Y42">
        <v>1</v>
      </c>
      <c r="Z42">
        <v>2</v>
      </c>
      <c r="AB42" t="str">
        <f t="shared" si="14"/>
        <v>UCE_elcaggCap_wof_GNB</v>
      </c>
      <c r="AC42" t="str">
        <f t="shared" si="6"/>
        <v>elcagg_wof_GNB</v>
      </c>
      <c r="AD42">
        <v>-1</v>
      </c>
    </row>
    <row r="43" spans="1:30">
      <c r="A43" t="s">
        <v>117</v>
      </c>
      <c r="B43" t="str">
        <f t="shared" si="7"/>
        <v>UCE_elcaggCap_spv_ECU</v>
      </c>
      <c r="C43" t="str">
        <f t="shared" si="3"/>
        <v>e?_spv_ECU*</v>
      </c>
      <c r="D43">
        <v>1</v>
      </c>
      <c r="E43">
        <v>2</v>
      </c>
      <c r="G43" t="str">
        <f t="shared" si="8"/>
        <v>UCE_elcaggCap_spv_ECU</v>
      </c>
      <c r="H43" t="str">
        <f t="shared" si="9"/>
        <v>elcagg_spv_ECU</v>
      </c>
      <c r="I43">
        <v>-1</v>
      </c>
      <c r="K43" t="s">
        <v>117</v>
      </c>
      <c r="L43" t="str">
        <f t="shared" si="10"/>
        <v>UCE_elcaggCap_won_ECU</v>
      </c>
      <c r="M43" t="str">
        <f t="shared" si="4"/>
        <v>e?_won_ECU*</v>
      </c>
      <c r="N43">
        <v>1</v>
      </c>
      <c r="O43">
        <v>2</v>
      </c>
      <c r="Q43" t="str">
        <f t="shared" si="11"/>
        <v>UCE_elcaggCap_won_ECU</v>
      </c>
      <c r="R43" t="str">
        <f t="shared" si="12"/>
        <v>elcagg_won_ECU</v>
      </c>
      <c r="S43">
        <v>-1</v>
      </c>
      <c r="V43" t="s">
        <v>132</v>
      </c>
      <c r="W43" t="str">
        <f t="shared" si="13"/>
        <v>UCE_elcaggCap_wof_GNQ</v>
      </c>
      <c r="X43" t="str">
        <f t="shared" si="5"/>
        <v>e?_wof_GNQ*</v>
      </c>
      <c r="Y43">
        <v>1</v>
      </c>
      <c r="Z43">
        <v>2</v>
      </c>
      <c r="AB43" t="str">
        <f t="shared" si="14"/>
        <v>UCE_elcaggCap_wof_GNQ</v>
      </c>
      <c r="AC43" t="str">
        <f t="shared" si="6"/>
        <v>elcagg_wof_GNQ</v>
      </c>
      <c r="AD43">
        <v>-1</v>
      </c>
    </row>
    <row r="44" spans="1:30">
      <c r="A44" t="s">
        <v>119</v>
      </c>
      <c r="B44" t="str">
        <f t="shared" si="7"/>
        <v>UCE_elcaggCap_spv_EGY</v>
      </c>
      <c r="C44" t="str">
        <f t="shared" si="3"/>
        <v>e?_spv_EGY*</v>
      </c>
      <c r="D44">
        <v>1</v>
      </c>
      <c r="E44">
        <v>2</v>
      </c>
      <c r="G44" t="str">
        <f t="shared" si="8"/>
        <v>UCE_elcaggCap_spv_EGY</v>
      </c>
      <c r="H44" t="str">
        <f t="shared" si="9"/>
        <v>elcagg_spv_EGY</v>
      </c>
      <c r="I44">
        <v>-1</v>
      </c>
      <c r="K44" t="s">
        <v>119</v>
      </c>
      <c r="L44" t="str">
        <f t="shared" si="10"/>
        <v>UCE_elcaggCap_won_EGY</v>
      </c>
      <c r="M44" t="str">
        <f t="shared" si="4"/>
        <v>e?_won_EGY*</v>
      </c>
      <c r="N44">
        <v>1</v>
      </c>
      <c r="O44">
        <v>2</v>
      </c>
      <c r="Q44" t="str">
        <f t="shared" si="11"/>
        <v>UCE_elcaggCap_won_EGY</v>
      </c>
      <c r="R44" t="str">
        <f t="shared" si="12"/>
        <v>elcagg_won_EGY</v>
      </c>
      <c r="S44">
        <v>-1</v>
      </c>
      <c r="V44" t="s">
        <v>133</v>
      </c>
      <c r="W44" t="str">
        <f t="shared" si="13"/>
        <v>UCE_elcaggCap_wof_GRC</v>
      </c>
      <c r="X44" t="str">
        <f t="shared" si="5"/>
        <v>e?_wof_GRC*</v>
      </c>
      <c r="Y44">
        <v>1</v>
      </c>
      <c r="Z44">
        <v>2</v>
      </c>
      <c r="AB44" t="str">
        <f t="shared" si="14"/>
        <v>UCE_elcaggCap_wof_GRC</v>
      </c>
      <c r="AC44" t="str">
        <f t="shared" si="6"/>
        <v>elcagg_wof_GRC</v>
      </c>
      <c r="AD44">
        <v>-1</v>
      </c>
    </row>
    <row r="45" spans="1:30">
      <c r="A45" t="s">
        <v>120</v>
      </c>
      <c r="B45" t="str">
        <f t="shared" si="7"/>
        <v>UCE_elcaggCap_spv_ERI</v>
      </c>
      <c r="C45" t="str">
        <f t="shared" si="3"/>
        <v>e?_spv_ERI*</v>
      </c>
      <c r="D45">
        <v>1</v>
      </c>
      <c r="E45">
        <v>2</v>
      </c>
      <c r="G45" t="str">
        <f t="shared" si="8"/>
        <v>UCE_elcaggCap_spv_ERI</v>
      </c>
      <c r="H45" t="str">
        <f t="shared" si="9"/>
        <v>elcagg_spv_ERI</v>
      </c>
      <c r="I45">
        <v>-1</v>
      </c>
      <c r="K45" t="s">
        <v>120</v>
      </c>
      <c r="L45" t="str">
        <f t="shared" si="10"/>
        <v>UCE_elcaggCap_won_ERI</v>
      </c>
      <c r="M45" t="str">
        <f t="shared" si="4"/>
        <v>e?_won_ERI*</v>
      </c>
      <c r="N45">
        <v>1</v>
      </c>
      <c r="O45">
        <v>2</v>
      </c>
      <c r="Q45" t="str">
        <f t="shared" si="11"/>
        <v>UCE_elcaggCap_won_ERI</v>
      </c>
      <c r="R45" t="str">
        <f t="shared" si="12"/>
        <v>elcagg_won_ERI</v>
      </c>
      <c r="S45">
        <v>-1</v>
      </c>
      <c r="V45" t="s">
        <v>134</v>
      </c>
      <c r="W45" t="str">
        <f t="shared" si="13"/>
        <v>UCE_elcaggCap_wof_GTM</v>
      </c>
      <c r="X45" t="str">
        <f t="shared" si="5"/>
        <v>e?_wof_GTM*</v>
      </c>
      <c r="Y45">
        <v>1</v>
      </c>
      <c r="Z45">
        <v>2</v>
      </c>
      <c r="AB45" t="str">
        <f t="shared" si="14"/>
        <v>UCE_elcaggCap_wof_GTM</v>
      </c>
      <c r="AC45" t="str">
        <f t="shared" si="6"/>
        <v>elcagg_wof_GTM</v>
      </c>
      <c r="AD45">
        <v>-1</v>
      </c>
    </row>
    <row r="46" spans="1:30">
      <c r="A46" t="s">
        <v>121</v>
      </c>
      <c r="B46" t="str">
        <f t="shared" si="7"/>
        <v>UCE_elcaggCap_spv_ESP</v>
      </c>
      <c r="C46" t="str">
        <f t="shared" si="3"/>
        <v>e?_spv_ESP*</v>
      </c>
      <c r="D46">
        <v>1</v>
      </c>
      <c r="E46">
        <v>2</v>
      </c>
      <c r="G46" t="str">
        <f t="shared" si="8"/>
        <v>UCE_elcaggCap_spv_ESP</v>
      </c>
      <c r="H46" t="str">
        <f t="shared" si="9"/>
        <v>elcagg_spv_ESP</v>
      </c>
      <c r="I46">
        <v>-1</v>
      </c>
      <c r="K46" t="s">
        <v>121</v>
      </c>
      <c r="L46" t="str">
        <f t="shared" si="10"/>
        <v>UCE_elcaggCap_won_ESP</v>
      </c>
      <c r="M46" t="str">
        <f t="shared" si="4"/>
        <v>e?_won_ESP*</v>
      </c>
      <c r="N46">
        <v>1</v>
      </c>
      <c r="O46">
        <v>2</v>
      </c>
      <c r="Q46" t="str">
        <f t="shared" si="11"/>
        <v>UCE_elcaggCap_won_ESP</v>
      </c>
      <c r="R46" t="str">
        <f t="shared" si="12"/>
        <v>elcagg_won_ESP</v>
      </c>
      <c r="S46">
        <v>-1</v>
      </c>
      <c r="V46" t="s">
        <v>135</v>
      </c>
      <c r="W46" t="str">
        <f t="shared" si="13"/>
        <v>UCE_elcaggCap_wof_GUY</v>
      </c>
      <c r="X46" t="str">
        <f t="shared" si="5"/>
        <v>e?_wof_GUY*</v>
      </c>
      <c r="Y46">
        <v>1</v>
      </c>
      <c r="Z46">
        <v>2</v>
      </c>
      <c r="AB46" t="str">
        <f t="shared" si="14"/>
        <v>UCE_elcaggCap_wof_GUY</v>
      </c>
      <c r="AC46" t="str">
        <f t="shared" si="6"/>
        <v>elcagg_wof_GUY</v>
      </c>
      <c r="AD46">
        <v>-1</v>
      </c>
    </row>
    <row r="47" spans="1:30">
      <c r="A47" t="s">
        <v>122</v>
      </c>
      <c r="B47" t="str">
        <f t="shared" si="7"/>
        <v>UCE_elcaggCap_spv_EST</v>
      </c>
      <c r="C47" t="str">
        <f t="shared" si="3"/>
        <v>e?_spv_EST*</v>
      </c>
      <c r="D47">
        <v>1</v>
      </c>
      <c r="E47">
        <v>2</v>
      </c>
      <c r="G47" t="str">
        <f t="shared" si="8"/>
        <v>UCE_elcaggCap_spv_EST</v>
      </c>
      <c r="H47" t="str">
        <f t="shared" si="9"/>
        <v>elcagg_spv_EST</v>
      </c>
      <c r="I47">
        <v>-1</v>
      </c>
      <c r="K47" t="s">
        <v>122</v>
      </c>
      <c r="L47" t="str">
        <f t="shared" si="10"/>
        <v>UCE_elcaggCap_won_EST</v>
      </c>
      <c r="M47" t="str">
        <f t="shared" si="4"/>
        <v>e?_won_EST*</v>
      </c>
      <c r="N47">
        <v>1</v>
      </c>
      <c r="O47">
        <v>2</v>
      </c>
      <c r="Q47" t="str">
        <f t="shared" si="11"/>
        <v>UCE_elcaggCap_won_EST</v>
      </c>
      <c r="R47" t="str">
        <f t="shared" si="12"/>
        <v>elcagg_won_EST</v>
      </c>
      <c r="S47">
        <v>-1</v>
      </c>
      <c r="V47" t="s">
        <v>136</v>
      </c>
      <c r="W47" t="str">
        <f t="shared" si="13"/>
        <v>UCE_elcaggCap_wof_HND</v>
      </c>
      <c r="X47" t="str">
        <f t="shared" si="5"/>
        <v>e?_wof_HND*</v>
      </c>
      <c r="Y47">
        <v>1</v>
      </c>
      <c r="Z47">
        <v>2</v>
      </c>
      <c r="AB47" t="str">
        <f t="shared" si="14"/>
        <v>UCE_elcaggCap_wof_HND</v>
      </c>
      <c r="AC47" t="str">
        <f t="shared" si="6"/>
        <v>elcagg_wof_HND</v>
      </c>
      <c r="AD47">
        <v>-1</v>
      </c>
    </row>
    <row r="48" spans="1:30">
      <c r="A48" t="s">
        <v>137</v>
      </c>
      <c r="B48" t="str">
        <f t="shared" si="7"/>
        <v>UCE_elcaggCap_spv_ETH</v>
      </c>
      <c r="C48" t="str">
        <f t="shared" si="3"/>
        <v>e?_spv_ETH*</v>
      </c>
      <c r="D48">
        <v>1</v>
      </c>
      <c r="E48">
        <v>2</v>
      </c>
      <c r="G48" t="str">
        <f t="shared" si="8"/>
        <v>UCE_elcaggCap_spv_ETH</v>
      </c>
      <c r="H48" t="str">
        <f t="shared" si="9"/>
        <v>elcagg_spv_ETH</v>
      </c>
      <c r="I48">
        <v>-1</v>
      </c>
      <c r="K48" t="s">
        <v>137</v>
      </c>
      <c r="L48" t="str">
        <f t="shared" si="10"/>
        <v>UCE_elcaggCap_won_ETH</v>
      </c>
      <c r="M48" t="str">
        <f t="shared" si="4"/>
        <v>e?_won_ETH*</v>
      </c>
      <c r="N48">
        <v>1</v>
      </c>
      <c r="O48">
        <v>2</v>
      </c>
      <c r="Q48" t="str">
        <f t="shared" si="11"/>
        <v>UCE_elcaggCap_won_ETH</v>
      </c>
      <c r="R48" t="str">
        <f t="shared" si="12"/>
        <v>elcagg_won_ETH</v>
      </c>
      <c r="S48">
        <v>-1</v>
      </c>
      <c r="V48" t="s">
        <v>138</v>
      </c>
      <c r="W48" t="str">
        <f t="shared" si="13"/>
        <v>UCE_elcaggCap_wof_HRV</v>
      </c>
      <c r="X48" t="str">
        <f t="shared" si="5"/>
        <v>e?_wof_HRV*</v>
      </c>
      <c r="Y48">
        <v>1</v>
      </c>
      <c r="Z48">
        <v>2</v>
      </c>
      <c r="AB48" t="str">
        <f t="shared" si="14"/>
        <v>UCE_elcaggCap_wof_HRV</v>
      </c>
      <c r="AC48" t="str">
        <f t="shared" si="6"/>
        <v>elcagg_wof_HRV</v>
      </c>
      <c r="AD48">
        <v>-1</v>
      </c>
    </row>
    <row r="49" spans="1:30">
      <c r="A49" t="s">
        <v>124</v>
      </c>
      <c r="B49" t="str">
        <f t="shared" si="7"/>
        <v>UCE_elcaggCap_spv_FRA</v>
      </c>
      <c r="C49" t="str">
        <f t="shared" si="3"/>
        <v>e?_spv_FRA*</v>
      </c>
      <c r="D49">
        <v>1</v>
      </c>
      <c r="E49">
        <v>2</v>
      </c>
      <c r="G49" t="str">
        <f t="shared" si="8"/>
        <v>UCE_elcaggCap_spv_FRA</v>
      </c>
      <c r="H49" t="str">
        <f t="shared" si="9"/>
        <v>elcagg_spv_FRA</v>
      </c>
      <c r="I49">
        <v>-1</v>
      </c>
      <c r="K49" t="s">
        <v>123</v>
      </c>
      <c r="L49" t="str">
        <f t="shared" si="10"/>
        <v>UCE_elcaggCap_won_FIN</v>
      </c>
      <c r="M49" t="str">
        <f t="shared" si="4"/>
        <v>e?_won_FIN*</v>
      </c>
      <c r="N49">
        <v>1</v>
      </c>
      <c r="O49">
        <v>2</v>
      </c>
      <c r="Q49" t="str">
        <f t="shared" si="11"/>
        <v>UCE_elcaggCap_won_FIN</v>
      </c>
      <c r="R49" t="str">
        <f t="shared" si="12"/>
        <v>elcagg_won_FIN</v>
      </c>
      <c r="S49">
        <v>-1</v>
      </c>
      <c r="V49" t="s">
        <v>139</v>
      </c>
      <c r="W49" t="str">
        <f t="shared" si="13"/>
        <v>UCE_elcaggCap_wof_HTI</v>
      </c>
      <c r="X49" t="str">
        <f t="shared" si="5"/>
        <v>e?_wof_HTI*</v>
      </c>
      <c r="Y49">
        <v>1</v>
      </c>
      <c r="Z49">
        <v>2</v>
      </c>
      <c r="AB49" t="str">
        <f t="shared" si="14"/>
        <v>UCE_elcaggCap_wof_HTI</v>
      </c>
      <c r="AC49" t="str">
        <f t="shared" si="6"/>
        <v>elcagg_wof_HTI</v>
      </c>
      <c r="AD49">
        <v>-1</v>
      </c>
    </row>
    <row r="50" spans="1:30">
      <c r="A50" t="s">
        <v>126</v>
      </c>
      <c r="B50" t="str">
        <f t="shared" si="7"/>
        <v>UCE_elcaggCap_spv_GAB</v>
      </c>
      <c r="C50" t="str">
        <f t="shared" si="3"/>
        <v>e?_spv_GAB*</v>
      </c>
      <c r="D50">
        <v>1</v>
      </c>
      <c r="E50">
        <v>2</v>
      </c>
      <c r="G50" t="str">
        <f t="shared" si="8"/>
        <v>UCE_elcaggCap_spv_GAB</v>
      </c>
      <c r="H50" t="str">
        <f t="shared" si="9"/>
        <v>elcagg_spv_GAB</v>
      </c>
      <c r="I50">
        <v>-1</v>
      </c>
      <c r="K50" t="s">
        <v>124</v>
      </c>
      <c r="L50" t="str">
        <f t="shared" si="10"/>
        <v>UCE_elcaggCap_won_FRA</v>
      </c>
      <c r="M50" t="str">
        <f t="shared" si="4"/>
        <v>e?_won_FRA*</v>
      </c>
      <c r="N50">
        <v>1</v>
      </c>
      <c r="O50">
        <v>2</v>
      </c>
      <c r="Q50" t="str">
        <f t="shared" si="11"/>
        <v>UCE_elcaggCap_won_FRA</v>
      </c>
      <c r="R50" t="str">
        <f t="shared" si="12"/>
        <v>elcagg_won_FRA</v>
      </c>
      <c r="S50">
        <v>-1</v>
      </c>
      <c r="V50" t="s">
        <v>140</v>
      </c>
      <c r="W50" t="str">
        <f t="shared" si="13"/>
        <v>UCE_elcaggCap_wof_IDN</v>
      </c>
      <c r="X50" t="str">
        <f t="shared" si="5"/>
        <v>e?_wof_IDN*</v>
      </c>
      <c r="Y50">
        <v>1</v>
      </c>
      <c r="Z50">
        <v>2</v>
      </c>
      <c r="AB50" t="str">
        <f t="shared" si="14"/>
        <v>UCE_elcaggCap_wof_IDN</v>
      </c>
      <c r="AC50" t="str">
        <f t="shared" si="6"/>
        <v>elcagg_wof_IDN</v>
      </c>
      <c r="AD50">
        <v>-1</v>
      </c>
    </row>
    <row r="51" spans="1:30">
      <c r="A51" t="s">
        <v>127</v>
      </c>
      <c r="B51" t="str">
        <f t="shared" si="7"/>
        <v>UCE_elcaggCap_spv_GBR</v>
      </c>
      <c r="C51" t="str">
        <f t="shared" si="3"/>
        <v>e?_spv_GBR*</v>
      </c>
      <c r="D51">
        <v>1</v>
      </c>
      <c r="E51">
        <v>2</v>
      </c>
      <c r="G51" t="str">
        <f t="shared" si="8"/>
        <v>UCE_elcaggCap_spv_GBR</v>
      </c>
      <c r="H51" t="str">
        <f t="shared" si="9"/>
        <v>elcagg_spv_GBR</v>
      </c>
      <c r="I51">
        <v>-1</v>
      </c>
      <c r="K51" t="s">
        <v>126</v>
      </c>
      <c r="L51" t="str">
        <f t="shared" si="10"/>
        <v>UCE_elcaggCap_won_GAB</v>
      </c>
      <c r="M51" t="str">
        <f t="shared" si="4"/>
        <v>e?_won_GAB*</v>
      </c>
      <c r="N51">
        <v>1</v>
      </c>
      <c r="O51">
        <v>2</v>
      </c>
      <c r="Q51" t="str">
        <f t="shared" si="11"/>
        <v>UCE_elcaggCap_won_GAB</v>
      </c>
      <c r="R51" t="str">
        <f t="shared" si="12"/>
        <v>elcagg_won_GAB</v>
      </c>
      <c r="S51">
        <v>-1</v>
      </c>
      <c r="V51" t="s">
        <v>141</v>
      </c>
      <c r="W51" t="str">
        <f t="shared" si="13"/>
        <v>UCE_elcaggCap_wof_IND</v>
      </c>
      <c r="X51" t="str">
        <f t="shared" si="5"/>
        <v>e?_wof_IND*</v>
      </c>
      <c r="Y51">
        <v>1</v>
      </c>
      <c r="Z51">
        <v>2</v>
      </c>
      <c r="AB51" t="str">
        <f t="shared" si="14"/>
        <v>UCE_elcaggCap_wof_IND</v>
      </c>
      <c r="AC51" t="str">
        <f t="shared" si="6"/>
        <v>elcagg_wof_IND</v>
      </c>
      <c r="AD51">
        <v>-1</v>
      </c>
    </row>
    <row r="52" spans="1:30">
      <c r="A52" t="s">
        <v>128</v>
      </c>
      <c r="B52" t="str">
        <f t="shared" si="7"/>
        <v>UCE_elcaggCap_spv_GEO</v>
      </c>
      <c r="C52" t="str">
        <f t="shared" si="3"/>
        <v>e?_spv_GEO*</v>
      </c>
      <c r="D52">
        <v>1</v>
      </c>
      <c r="E52">
        <v>2</v>
      </c>
      <c r="G52" t="str">
        <f t="shared" si="8"/>
        <v>UCE_elcaggCap_spv_GEO</v>
      </c>
      <c r="H52" t="str">
        <f t="shared" si="9"/>
        <v>elcagg_spv_GEO</v>
      </c>
      <c r="I52">
        <v>-1</v>
      </c>
      <c r="K52" t="s">
        <v>127</v>
      </c>
      <c r="L52" t="str">
        <f t="shared" si="10"/>
        <v>UCE_elcaggCap_won_GBR</v>
      </c>
      <c r="M52" t="str">
        <f t="shared" si="4"/>
        <v>e?_won_GBR*</v>
      </c>
      <c r="N52">
        <v>1</v>
      </c>
      <c r="O52">
        <v>2</v>
      </c>
      <c r="Q52" t="str">
        <f t="shared" si="11"/>
        <v>UCE_elcaggCap_won_GBR</v>
      </c>
      <c r="R52" t="str">
        <f t="shared" si="12"/>
        <v>elcagg_won_GBR</v>
      </c>
      <c r="S52">
        <v>-1</v>
      </c>
      <c r="V52" t="s">
        <v>142</v>
      </c>
      <c r="W52" t="str">
        <f t="shared" si="13"/>
        <v>UCE_elcaggCap_wof_IRL</v>
      </c>
      <c r="X52" t="str">
        <f t="shared" si="5"/>
        <v>e?_wof_IRL*</v>
      </c>
      <c r="Y52">
        <v>1</v>
      </c>
      <c r="Z52">
        <v>2</v>
      </c>
      <c r="AB52" t="str">
        <f t="shared" si="14"/>
        <v>UCE_elcaggCap_wof_IRL</v>
      </c>
      <c r="AC52" t="str">
        <f t="shared" si="6"/>
        <v>elcagg_wof_IRL</v>
      </c>
      <c r="AD52">
        <v>-1</v>
      </c>
    </row>
    <row r="53" spans="1:30">
      <c r="A53" t="s">
        <v>129</v>
      </c>
      <c r="B53" t="str">
        <f t="shared" si="7"/>
        <v>UCE_elcaggCap_spv_GHA</v>
      </c>
      <c r="C53" t="str">
        <f t="shared" si="3"/>
        <v>e?_spv_GHA*</v>
      </c>
      <c r="D53">
        <v>1</v>
      </c>
      <c r="E53">
        <v>2</v>
      </c>
      <c r="G53" t="str">
        <f t="shared" si="8"/>
        <v>UCE_elcaggCap_spv_GHA</v>
      </c>
      <c r="H53" t="str">
        <f t="shared" si="9"/>
        <v>elcagg_spv_GHA</v>
      </c>
      <c r="I53">
        <v>-1</v>
      </c>
      <c r="K53" t="s">
        <v>128</v>
      </c>
      <c r="L53" t="str">
        <f t="shared" si="10"/>
        <v>UCE_elcaggCap_won_GEO</v>
      </c>
      <c r="M53" t="str">
        <f t="shared" si="4"/>
        <v>e?_won_GEO*</v>
      </c>
      <c r="N53">
        <v>1</v>
      </c>
      <c r="O53">
        <v>2</v>
      </c>
      <c r="Q53" t="str">
        <f t="shared" si="11"/>
        <v>UCE_elcaggCap_won_GEO</v>
      </c>
      <c r="R53" t="str">
        <f t="shared" si="12"/>
        <v>elcagg_won_GEO</v>
      </c>
      <c r="S53">
        <v>-1</v>
      </c>
      <c r="V53" t="s">
        <v>143</v>
      </c>
      <c r="W53" t="str">
        <f t="shared" si="13"/>
        <v>UCE_elcaggCap_wof_IRN</v>
      </c>
      <c r="X53" t="str">
        <f t="shared" si="5"/>
        <v>e?_wof_IRN*</v>
      </c>
      <c r="Y53">
        <v>1</v>
      </c>
      <c r="Z53">
        <v>2</v>
      </c>
      <c r="AB53" t="str">
        <f t="shared" si="14"/>
        <v>UCE_elcaggCap_wof_IRN</v>
      </c>
      <c r="AC53" t="str">
        <f t="shared" si="6"/>
        <v>elcagg_wof_IRN</v>
      </c>
      <c r="AD53">
        <v>-1</v>
      </c>
    </row>
    <row r="54" spans="1:30">
      <c r="A54" t="s">
        <v>130</v>
      </c>
      <c r="B54" t="str">
        <f t="shared" si="7"/>
        <v>UCE_elcaggCap_spv_GIN</v>
      </c>
      <c r="C54" t="str">
        <f t="shared" si="3"/>
        <v>e?_spv_GIN*</v>
      </c>
      <c r="D54">
        <v>1</v>
      </c>
      <c r="E54">
        <v>2</v>
      </c>
      <c r="G54" t="str">
        <f t="shared" si="8"/>
        <v>UCE_elcaggCap_spv_GIN</v>
      </c>
      <c r="H54" t="str">
        <f t="shared" si="9"/>
        <v>elcagg_spv_GIN</v>
      </c>
      <c r="I54">
        <v>-1</v>
      </c>
      <c r="K54" t="s">
        <v>129</v>
      </c>
      <c r="L54" t="str">
        <f t="shared" si="10"/>
        <v>UCE_elcaggCap_won_GHA</v>
      </c>
      <c r="M54" t="str">
        <f t="shared" si="4"/>
        <v>e?_won_GHA*</v>
      </c>
      <c r="N54">
        <v>1</v>
      </c>
      <c r="O54">
        <v>2</v>
      </c>
      <c r="Q54" t="str">
        <f t="shared" si="11"/>
        <v>UCE_elcaggCap_won_GHA</v>
      </c>
      <c r="R54" t="str">
        <f t="shared" si="12"/>
        <v>elcagg_won_GHA</v>
      </c>
      <c r="S54">
        <v>-1</v>
      </c>
      <c r="V54" t="s">
        <v>144</v>
      </c>
      <c r="W54" t="str">
        <f t="shared" si="13"/>
        <v>UCE_elcaggCap_wof_ITA</v>
      </c>
      <c r="X54" t="str">
        <f t="shared" si="5"/>
        <v>e?_wof_ITA*</v>
      </c>
      <c r="Y54">
        <v>1</v>
      </c>
      <c r="Z54">
        <v>2</v>
      </c>
      <c r="AB54" t="str">
        <f t="shared" si="14"/>
        <v>UCE_elcaggCap_wof_ITA</v>
      </c>
      <c r="AC54" t="str">
        <f t="shared" si="6"/>
        <v>elcagg_wof_ITA</v>
      </c>
      <c r="AD54">
        <v>-1</v>
      </c>
    </row>
    <row r="55" spans="1:30">
      <c r="A55" t="s">
        <v>131</v>
      </c>
      <c r="B55" t="str">
        <f t="shared" si="7"/>
        <v>UCE_elcaggCap_spv_GNB</v>
      </c>
      <c r="C55" t="str">
        <f t="shared" si="3"/>
        <v>e?_spv_GNB*</v>
      </c>
      <c r="D55">
        <v>1</v>
      </c>
      <c r="E55">
        <v>2</v>
      </c>
      <c r="G55" t="str">
        <f t="shared" si="8"/>
        <v>UCE_elcaggCap_spv_GNB</v>
      </c>
      <c r="H55" t="str">
        <f t="shared" si="9"/>
        <v>elcagg_spv_GNB</v>
      </c>
      <c r="I55">
        <v>-1</v>
      </c>
      <c r="K55" t="s">
        <v>130</v>
      </c>
      <c r="L55" t="str">
        <f t="shared" si="10"/>
        <v>UCE_elcaggCap_won_GIN</v>
      </c>
      <c r="M55" t="str">
        <f t="shared" si="4"/>
        <v>e?_won_GIN*</v>
      </c>
      <c r="N55">
        <v>1</v>
      </c>
      <c r="O55">
        <v>2</v>
      </c>
      <c r="Q55" t="str">
        <f t="shared" si="11"/>
        <v>UCE_elcaggCap_won_GIN</v>
      </c>
      <c r="R55" t="str">
        <f t="shared" si="12"/>
        <v>elcagg_won_GIN</v>
      </c>
      <c r="S55">
        <v>-1</v>
      </c>
      <c r="V55" t="s">
        <v>145</v>
      </c>
      <c r="W55" t="str">
        <f t="shared" si="13"/>
        <v>UCE_elcaggCap_wof_JAM</v>
      </c>
      <c r="X55" t="str">
        <f t="shared" si="5"/>
        <v>e?_wof_JAM*</v>
      </c>
      <c r="Y55">
        <v>1</v>
      </c>
      <c r="Z55">
        <v>2</v>
      </c>
      <c r="AB55" t="str">
        <f t="shared" si="14"/>
        <v>UCE_elcaggCap_wof_JAM</v>
      </c>
      <c r="AC55" t="str">
        <f t="shared" si="6"/>
        <v>elcagg_wof_JAM</v>
      </c>
      <c r="AD55">
        <v>-1</v>
      </c>
    </row>
    <row r="56" spans="1:30">
      <c r="A56" t="s">
        <v>132</v>
      </c>
      <c r="B56" t="str">
        <f t="shared" si="7"/>
        <v>UCE_elcaggCap_spv_GNQ</v>
      </c>
      <c r="C56" t="str">
        <f t="shared" si="3"/>
        <v>e?_spv_GNQ*</v>
      </c>
      <c r="D56">
        <v>1</v>
      </c>
      <c r="E56">
        <v>2</v>
      </c>
      <c r="G56" t="str">
        <f t="shared" si="8"/>
        <v>UCE_elcaggCap_spv_GNQ</v>
      </c>
      <c r="H56" t="str">
        <f t="shared" si="9"/>
        <v>elcagg_spv_GNQ</v>
      </c>
      <c r="I56">
        <v>-1</v>
      </c>
      <c r="K56" t="s">
        <v>131</v>
      </c>
      <c r="L56" t="str">
        <f t="shared" si="10"/>
        <v>UCE_elcaggCap_won_GNB</v>
      </c>
      <c r="M56" t="str">
        <f t="shared" si="4"/>
        <v>e?_won_GNB*</v>
      </c>
      <c r="N56">
        <v>1</v>
      </c>
      <c r="O56">
        <v>2</v>
      </c>
      <c r="Q56" t="str">
        <f t="shared" si="11"/>
        <v>UCE_elcaggCap_won_GNB</v>
      </c>
      <c r="R56" t="str">
        <f t="shared" si="12"/>
        <v>elcagg_won_GNB</v>
      </c>
      <c r="S56">
        <v>-1</v>
      </c>
      <c r="V56" t="s">
        <v>146</v>
      </c>
      <c r="W56" t="str">
        <f t="shared" si="13"/>
        <v>UCE_elcaggCap_wof_JPN</v>
      </c>
      <c r="X56" t="str">
        <f t="shared" si="5"/>
        <v>e?_wof_JPN*</v>
      </c>
      <c r="Y56">
        <v>1</v>
      </c>
      <c r="Z56">
        <v>2</v>
      </c>
      <c r="AB56" t="str">
        <f t="shared" si="14"/>
        <v>UCE_elcaggCap_wof_JPN</v>
      </c>
      <c r="AC56" t="str">
        <f t="shared" si="6"/>
        <v>elcagg_wof_JPN</v>
      </c>
      <c r="AD56">
        <v>-1</v>
      </c>
    </row>
    <row r="57" spans="1:30">
      <c r="A57" t="s">
        <v>133</v>
      </c>
      <c r="B57" t="str">
        <f t="shared" si="7"/>
        <v>UCE_elcaggCap_spv_GRC</v>
      </c>
      <c r="C57" t="str">
        <f t="shared" si="3"/>
        <v>e?_spv_GRC*</v>
      </c>
      <c r="D57">
        <v>1</v>
      </c>
      <c r="E57">
        <v>2</v>
      </c>
      <c r="G57" t="str">
        <f t="shared" si="8"/>
        <v>UCE_elcaggCap_spv_GRC</v>
      </c>
      <c r="H57" t="str">
        <f t="shared" si="9"/>
        <v>elcagg_spv_GRC</v>
      </c>
      <c r="I57">
        <v>-1</v>
      </c>
      <c r="K57" t="s">
        <v>132</v>
      </c>
      <c r="L57" t="str">
        <f t="shared" si="10"/>
        <v>UCE_elcaggCap_won_GNQ</v>
      </c>
      <c r="M57" t="str">
        <f t="shared" si="4"/>
        <v>e?_won_GNQ*</v>
      </c>
      <c r="N57">
        <v>1</v>
      </c>
      <c r="O57">
        <v>2</v>
      </c>
      <c r="Q57" t="str">
        <f t="shared" si="11"/>
        <v>UCE_elcaggCap_won_GNQ</v>
      </c>
      <c r="R57" t="str">
        <f t="shared" si="12"/>
        <v>elcagg_won_GNQ</v>
      </c>
      <c r="S57">
        <v>-1</v>
      </c>
      <c r="V57" t="s">
        <v>147</v>
      </c>
      <c r="W57" t="str">
        <f t="shared" si="13"/>
        <v>UCE_elcaggCap_wof_KAZ</v>
      </c>
      <c r="X57" t="str">
        <f t="shared" si="5"/>
        <v>e?_wof_KAZ*</v>
      </c>
      <c r="Y57">
        <v>1</v>
      </c>
      <c r="Z57">
        <v>2</v>
      </c>
      <c r="AB57" t="str">
        <f t="shared" si="14"/>
        <v>UCE_elcaggCap_wof_KAZ</v>
      </c>
      <c r="AC57" t="str">
        <f t="shared" si="6"/>
        <v>elcagg_wof_KAZ</v>
      </c>
      <c r="AD57">
        <v>-1</v>
      </c>
    </row>
    <row r="58" spans="1:30">
      <c r="A58" t="s">
        <v>134</v>
      </c>
      <c r="B58" t="str">
        <f t="shared" si="7"/>
        <v>UCE_elcaggCap_spv_GTM</v>
      </c>
      <c r="C58" t="str">
        <f t="shared" si="3"/>
        <v>e?_spv_GTM*</v>
      </c>
      <c r="D58">
        <v>1</v>
      </c>
      <c r="E58">
        <v>2</v>
      </c>
      <c r="G58" t="str">
        <f t="shared" si="8"/>
        <v>UCE_elcaggCap_spv_GTM</v>
      </c>
      <c r="H58" t="str">
        <f t="shared" si="9"/>
        <v>elcagg_spv_GTM</v>
      </c>
      <c r="I58">
        <v>-1</v>
      </c>
      <c r="K58" t="s">
        <v>133</v>
      </c>
      <c r="L58" t="str">
        <f t="shared" si="10"/>
        <v>UCE_elcaggCap_won_GRC</v>
      </c>
      <c r="M58" t="str">
        <f t="shared" si="4"/>
        <v>e?_won_GRC*</v>
      </c>
      <c r="N58">
        <v>1</v>
      </c>
      <c r="O58">
        <v>2</v>
      </c>
      <c r="Q58" t="str">
        <f t="shared" si="11"/>
        <v>UCE_elcaggCap_won_GRC</v>
      </c>
      <c r="R58" t="str">
        <f t="shared" si="12"/>
        <v>elcagg_won_GRC</v>
      </c>
      <c r="S58">
        <v>-1</v>
      </c>
      <c r="V58" t="s">
        <v>148</v>
      </c>
      <c r="W58" t="str">
        <f t="shared" si="13"/>
        <v>UCE_elcaggCap_wof_KEN</v>
      </c>
      <c r="X58" t="str">
        <f t="shared" si="5"/>
        <v>e?_wof_KEN*</v>
      </c>
      <c r="Y58">
        <v>1</v>
      </c>
      <c r="Z58">
        <v>2</v>
      </c>
      <c r="AB58" t="str">
        <f t="shared" si="14"/>
        <v>UCE_elcaggCap_wof_KEN</v>
      </c>
      <c r="AC58" t="str">
        <f t="shared" si="6"/>
        <v>elcagg_wof_KEN</v>
      </c>
      <c r="AD58">
        <v>-1</v>
      </c>
    </row>
    <row r="59" spans="1:30">
      <c r="A59" t="s">
        <v>135</v>
      </c>
      <c r="B59" t="str">
        <f t="shared" si="7"/>
        <v>UCE_elcaggCap_spv_GUY</v>
      </c>
      <c r="C59" t="str">
        <f t="shared" si="3"/>
        <v>e?_spv_GUY*</v>
      </c>
      <c r="D59">
        <v>1</v>
      </c>
      <c r="E59">
        <v>2</v>
      </c>
      <c r="G59" t="str">
        <f t="shared" si="8"/>
        <v>UCE_elcaggCap_spv_GUY</v>
      </c>
      <c r="H59" t="str">
        <f t="shared" si="9"/>
        <v>elcagg_spv_GUY</v>
      </c>
      <c r="I59">
        <v>-1</v>
      </c>
      <c r="K59" t="s">
        <v>134</v>
      </c>
      <c r="L59" t="str">
        <f t="shared" si="10"/>
        <v>UCE_elcaggCap_won_GTM</v>
      </c>
      <c r="M59" t="str">
        <f t="shared" si="4"/>
        <v>e?_won_GTM*</v>
      </c>
      <c r="N59">
        <v>1</v>
      </c>
      <c r="O59">
        <v>2</v>
      </c>
      <c r="Q59" t="str">
        <f t="shared" si="11"/>
        <v>UCE_elcaggCap_won_GTM</v>
      </c>
      <c r="R59" t="str">
        <f t="shared" si="12"/>
        <v>elcagg_won_GTM</v>
      </c>
      <c r="S59">
        <v>-1</v>
      </c>
      <c r="V59" t="s">
        <v>149</v>
      </c>
      <c r="W59" t="str">
        <f t="shared" si="13"/>
        <v>UCE_elcaggCap_wof_KHM</v>
      </c>
      <c r="X59" t="str">
        <f t="shared" si="5"/>
        <v>e?_wof_KHM*</v>
      </c>
      <c r="Y59">
        <v>1</v>
      </c>
      <c r="Z59">
        <v>2</v>
      </c>
      <c r="AB59" t="str">
        <f t="shared" si="14"/>
        <v>UCE_elcaggCap_wof_KHM</v>
      </c>
      <c r="AC59" t="str">
        <f t="shared" si="6"/>
        <v>elcagg_wof_KHM</v>
      </c>
      <c r="AD59">
        <v>-1</v>
      </c>
    </row>
    <row r="60" spans="1:30">
      <c r="A60" t="s">
        <v>150</v>
      </c>
      <c r="B60" t="str">
        <f t="shared" si="7"/>
        <v>UCE_elcaggCap_spv_HKG</v>
      </c>
      <c r="C60" t="str">
        <f t="shared" si="3"/>
        <v>e?_spv_HKG*</v>
      </c>
      <c r="D60">
        <v>1</v>
      </c>
      <c r="E60">
        <v>2</v>
      </c>
      <c r="G60" t="str">
        <f t="shared" si="8"/>
        <v>UCE_elcaggCap_spv_HKG</v>
      </c>
      <c r="H60" t="str">
        <f t="shared" si="9"/>
        <v>elcagg_spv_HKG</v>
      </c>
      <c r="I60">
        <v>-1</v>
      </c>
      <c r="K60" t="s">
        <v>135</v>
      </c>
      <c r="L60" t="str">
        <f t="shared" si="10"/>
        <v>UCE_elcaggCap_won_GUY</v>
      </c>
      <c r="M60" t="str">
        <f t="shared" si="4"/>
        <v>e?_won_GUY*</v>
      </c>
      <c r="N60">
        <v>1</v>
      </c>
      <c r="O60">
        <v>2</v>
      </c>
      <c r="Q60" t="str">
        <f t="shared" si="11"/>
        <v>UCE_elcaggCap_won_GUY</v>
      </c>
      <c r="R60" t="str">
        <f t="shared" si="12"/>
        <v>elcagg_won_GUY</v>
      </c>
      <c r="S60">
        <v>-1</v>
      </c>
      <c r="V60" t="s">
        <v>151</v>
      </c>
      <c r="W60" t="str">
        <f t="shared" si="13"/>
        <v>UCE_elcaggCap_wof_KOR</v>
      </c>
      <c r="X60" t="str">
        <f t="shared" si="5"/>
        <v>e?_wof_KOR*</v>
      </c>
      <c r="Y60">
        <v>1</v>
      </c>
      <c r="Z60">
        <v>2</v>
      </c>
      <c r="AB60" t="str">
        <f t="shared" si="14"/>
        <v>UCE_elcaggCap_wof_KOR</v>
      </c>
      <c r="AC60" t="str">
        <f t="shared" si="6"/>
        <v>elcagg_wof_KOR</v>
      </c>
      <c r="AD60">
        <v>-1</v>
      </c>
    </row>
    <row r="61" spans="1:30">
      <c r="A61" t="s">
        <v>136</v>
      </c>
      <c r="B61" t="str">
        <f t="shared" si="7"/>
        <v>UCE_elcaggCap_spv_HND</v>
      </c>
      <c r="C61" t="str">
        <f t="shared" si="3"/>
        <v>e?_spv_HND*</v>
      </c>
      <c r="D61">
        <v>1</v>
      </c>
      <c r="E61">
        <v>2</v>
      </c>
      <c r="G61" t="str">
        <f t="shared" si="8"/>
        <v>UCE_elcaggCap_spv_HND</v>
      </c>
      <c r="H61" t="str">
        <f t="shared" si="9"/>
        <v>elcagg_spv_HND</v>
      </c>
      <c r="I61">
        <v>-1</v>
      </c>
      <c r="K61" t="s">
        <v>150</v>
      </c>
      <c r="L61" t="str">
        <f t="shared" si="10"/>
        <v>UCE_elcaggCap_won_HKG</v>
      </c>
      <c r="M61" t="str">
        <f t="shared" si="4"/>
        <v>e?_won_HKG*</v>
      </c>
      <c r="N61">
        <v>1</v>
      </c>
      <c r="O61">
        <v>2</v>
      </c>
      <c r="Q61" t="str">
        <f t="shared" si="11"/>
        <v>UCE_elcaggCap_won_HKG</v>
      </c>
      <c r="R61" t="str">
        <f t="shared" si="12"/>
        <v>elcagg_won_HKG</v>
      </c>
      <c r="S61">
        <v>-1</v>
      </c>
      <c r="V61" t="s">
        <v>152</v>
      </c>
      <c r="W61" t="str">
        <f t="shared" si="13"/>
        <v>UCE_elcaggCap_wof_KWT</v>
      </c>
      <c r="X61" t="str">
        <f t="shared" si="5"/>
        <v>e?_wof_KWT*</v>
      </c>
      <c r="Y61">
        <v>1</v>
      </c>
      <c r="Z61">
        <v>2</v>
      </c>
      <c r="AB61" t="str">
        <f t="shared" si="14"/>
        <v>UCE_elcaggCap_wof_KWT</v>
      </c>
      <c r="AC61" t="str">
        <f t="shared" si="6"/>
        <v>elcagg_wof_KWT</v>
      </c>
      <c r="AD61">
        <v>-1</v>
      </c>
    </row>
    <row r="62" spans="1:30">
      <c r="A62" t="s">
        <v>138</v>
      </c>
      <c r="B62" t="str">
        <f t="shared" si="7"/>
        <v>UCE_elcaggCap_spv_HRV</v>
      </c>
      <c r="C62" t="str">
        <f t="shared" si="3"/>
        <v>e?_spv_HRV*</v>
      </c>
      <c r="D62">
        <v>1</v>
      </c>
      <c r="E62">
        <v>2</v>
      </c>
      <c r="G62" t="str">
        <f t="shared" si="8"/>
        <v>UCE_elcaggCap_spv_HRV</v>
      </c>
      <c r="H62" t="str">
        <f t="shared" si="9"/>
        <v>elcagg_spv_HRV</v>
      </c>
      <c r="I62">
        <v>-1</v>
      </c>
      <c r="K62" t="s">
        <v>136</v>
      </c>
      <c r="L62" t="str">
        <f t="shared" si="10"/>
        <v>UCE_elcaggCap_won_HND</v>
      </c>
      <c r="M62" t="str">
        <f t="shared" si="4"/>
        <v>e?_won_HND*</v>
      </c>
      <c r="N62">
        <v>1</v>
      </c>
      <c r="O62">
        <v>2</v>
      </c>
      <c r="Q62" t="str">
        <f t="shared" si="11"/>
        <v>UCE_elcaggCap_won_HND</v>
      </c>
      <c r="R62" t="str">
        <f t="shared" si="12"/>
        <v>elcagg_won_HND</v>
      </c>
      <c r="S62">
        <v>-1</v>
      </c>
      <c r="V62" t="s">
        <v>153</v>
      </c>
      <c r="W62" t="str">
        <f t="shared" si="13"/>
        <v>UCE_elcaggCap_wof_LBN</v>
      </c>
      <c r="X62" t="str">
        <f t="shared" si="5"/>
        <v>e?_wof_LBN*</v>
      </c>
      <c r="Y62">
        <v>1</v>
      </c>
      <c r="Z62">
        <v>2</v>
      </c>
      <c r="AB62" t="str">
        <f t="shared" si="14"/>
        <v>UCE_elcaggCap_wof_LBN</v>
      </c>
      <c r="AC62" t="str">
        <f t="shared" si="6"/>
        <v>elcagg_wof_LBN</v>
      </c>
      <c r="AD62">
        <v>-1</v>
      </c>
    </row>
    <row r="63" spans="1:30">
      <c r="A63" t="s">
        <v>139</v>
      </c>
      <c r="B63" t="str">
        <f t="shared" si="7"/>
        <v>UCE_elcaggCap_spv_HTI</v>
      </c>
      <c r="C63" t="str">
        <f t="shared" si="3"/>
        <v>e?_spv_HTI*</v>
      </c>
      <c r="D63">
        <v>1</v>
      </c>
      <c r="E63">
        <v>2</v>
      </c>
      <c r="G63" t="str">
        <f t="shared" si="8"/>
        <v>UCE_elcaggCap_spv_HTI</v>
      </c>
      <c r="H63" t="str">
        <f t="shared" si="9"/>
        <v>elcagg_spv_HTI</v>
      </c>
      <c r="I63">
        <v>-1</v>
      </c>
      <c r="K63" t="s">
        <v>138</v>
      </c>
      <c r="L63" t="str">
        <f t="shared" si="10"/>
        <v>UCE_elcaggCap_won_HRV</v>
      </c>
      <c r="M63" t="str">
        <f t="shared" si="4"/>
        <v>e?_won_HRV*</v>
      </c>
      <c r="N63">
        <v>1</v>
      </c>
      <c r="O63">
        <v>2</v>
      </c>
      <c r="Q63" t="str">
        <f t="shared" si="11"/>
        <v>UCE_elcaggCap_won_HRV</v>
      </c>
      <c r="R63" t="str">
        <f t="shared" si="12"/>
        <v>elcagg_won_HRV</v>
      </c>
      <c r="S63">
        <v>-1</v>
      </c>
      <c r="V63" t="s">
        <v>154</v>
      </c>
      <c r="W63" t="str">
        <f t="shared" si="13"/>
        <v>UCE_elcaggCap_wof_LBR</v>
      </c>
      <c r="X63" t="str">
        <f t="shared" si="5"/>
        <v>e?_wof_LBR*</v>
      </c>
      <c r="Y63">
        <v>1</v>
      </c>
      <c r="Z63">
        <v>2</v>
      </c>
      <c r="AB63" t="str">
        <f t="shared" si="14"/>
        <v>UCE_elcaggCap_wof_LBR</v>
      </c>
      <c r="AC63" t="str">
        <f t="shared" si="6"/>
        <v>elcagg_wof_LBR</v>
      </c>
      <c r="AD63">
        <v>-1</v>
      </c>
    </row>
    <row r="64" spans="1:30">
      <c r="A64" t="s">
        <v>155</v>
      </c>
      <c r="B64" t="str">
        <f t="shared" si="7"/>
        <v>UCE_elcaggCap_spv_HUN</v>
      </c>
      <c r="C64" t="str">
        <f t="shared" si="3"/>
        <v>e?_spv_HUN*</v>
      </c>
      <c r="D64">
        <v>1</v>
      </c>
      <c r="E64">
        <v>2</v>
      </c>
      <c r="G64" t="str">
        <f t="shared" si="8"/>
        <v>UCE_elcaggCap_spv_HUN</v>
      </c>
      <c r="H64" t="str">
        <f t="shared" si="9"/>
        <v>elcagg_spv_HUN</v>
      </c>
      <c r="I64">
        <v>-1</v>
      </c>
      <c r="K64" t="s">
        <v>139</v>
      </c>
      <c r="L64" t="str">
        <f t="shared" si="10"/>
        <v>UCE_elcaggCap_won_HTI</v>
      </c>
      <c r="M64" t="str">
        <f t="shared" si="4"/>
        <v>e?_won_HTI*</v>
      </c>
      <c r="N64">
        <v>1</v>
      </c>
      <c r="O64">
        <v>2</v>
      </c>
      <c r="Q64" t="str">
        <f t="shared" si="11"/>
        <v>UCE_elcaggCap_won_HTI</v>
      </c>
      <c r="R64" t="str">
        <f t="shared" si="12"/>
        <v>elcagg_won_HTI</v>
      </c>
      <c r="S64">
        <v>-1</v>
      </c>
      <c r="V64" t="s">
        <v>156</v>
      </c>
      <c r="W64" t="str">
        <f t="shared" si="13"/>
        <v>UCE_elcaggCap_wof_LBY</v>
      </c>
      <c r="X64" t="str">
        <f t="shared" si="5"/>
        <v>e?_wof_LBY*</v>
      </c>
      <c r="Y64">
        <v>1</v>
      </c>
      <c r="Z64">
        <v>2</v>
      </c>
      <c r="AB64" t="str">
        <f t="shared" si="14"/>
        <v>UCE_elcaggCap_wof_LBY</v>
      </c>
      <c r="AC64" t="str">
        <f t="shared" si="6"/>
        <v>elcagg_wof_LBY</v>
      </c>
      <c r="AD64">
        <v>-1</v>
      </c>
    </row>
    <row r="65" spans="1:30">
      <c r="A65" t="s">
        <v>140</v>
      </c>
      <c r="B65" t="str">
        <f t="shared" si="7"/>
        <v>UCE_elcaggCap_spv_IDN</v>
      </c>
      <c r="C65" t="str">
        <f t="shared" si="3"/>
        <v>e?_spv_IDN*</v>
      </c>
      <c r="D65">
        <v>1</v>
      </c>
      <c r="E65">
        <v>2</v>
      </c>
      <c r="G65" t="str">
        <f t="shared" si="8"/>
        <v>UCE_elcaggCap_spv_IDN</v>
      </c>
      <c r="H65" t="str">
        <f t="shared" si="9"/>
        <v>elcagg_spv_IDN</v>
      </c>
      <c r="I65">
        <v>-1</v>
      </c>
      <c r="K65" t="s">
        <v>155</v>
      </c>
      <c r="L65" t="str">
        <f t="shared" si="10"/>
        <v>UCE_elcaggCap_won_HUN</v>
      </c>
      <c r="M65" t="str">
        <f t="shared" si="4"/>
        <v>e?_won_HUN*</v>
      </c>
      <c r="N65">
        <v>1</v>
      </c>
      <c r="O65">
        <v>2</v>
      </c>
      <c r="Q65" t="str">
        <f t="shared" si="11"/>
        <v>UCE_elcaggCap_won_HUN</v>
      </c>
      <c r="R65" t="str">
        <f t="shared" si="12"/>
        <v>elcagg_won_HUN</v>
      </c>
      <c r="S65">
        <v>-1</v>
      </c>
      <c r="V65" t="s">
        <v>157</v>
      </c>
      <c r="W65" t="str">
        <f t="shared" si="13"/>
        <v>UCE_elcaggCap_wof_LKA</v>
      </c>
      <c r="X65" t="str">
        <f t="shared" si="5"/>
        <v>e?_wof_LKA*</v>
      </c>
      <c r="Y65">
        <v>1</v>
      </c>
      <c r="Z65">
        <v>2</v>
      </c>
      <c r="AB65" t="str">
        <f t="shared" si="14"/>
        <v>UCE_elcaggCap_wof_LKA</v>
      </c>
      <c r="AC65" t="str">
        <f t="shared" si="6"/>
        <v>elcagg_wof_LKA</v>
      </c>
      <c r="AD65">
        <v>-1</v>
      </c>
    </row>
    <row r="66" spans="1:30">
      <c r="A66" t="s">
        <v>141</v>
      </c>
      <c r="B66" t="str">
        <f t="shared" si="7"/>
        <v>UCE_elcaggCap_spv_IND</v>
      </c>
      <c r="C66" t="str">
        <f t="shared" si="3"/>
        <v>e?_spv_IND*</v>
      </c>
      <c r="D66">
        <v>1</v>
      </c>
      <c r="E66">
        <v>2</v>
      </c>
      <c r="G66" t="str">
        <f t="shared" si="8"/>
        <v>UCE_elcaggCap_spv_IND</v>
      </c>
      <c r="H66" t="str">
        <f t="shared" si="9"/>
        <v>elcagg_spv_IND</v>
      </c>
      <c r="I66">
        <v>-1</v>
      </c>
      <c r="K66" t="s">
        <v>140</v>
      </c>
      <c r="L66" t="str">
        <f t="shared" si="10"/>
        <v>UCE_elcaggCap_won_IDN</v>
      </c>
      <c r="M66" t="str">
        <f t="shared" si="4"/>
        <v>e?_won_IDN*</v>
      </c>
      <c r="N66">
        <v>1</v>
      </c>
      <c r="O66">
        <v>2</v>
      </c>
      <c r="Q66" t="str">
        <f t="shared" si="11"/>
        <v>UCE_elcaggCap_won_IDN</v>
      </c>
      <c r="R66" t="str">
        <f t="shared" si="12"/>
        <v>elcagg_won_IDN</v>
      </c>
      <c r="S66">
        <v>-1</v>
      </c>
      <c r="V66" t="s">
        <v>158</v>
      </c>
      <c r="W66" t="str">
        <f t="shared" si="13"/>
        <v>UCE_elcaggCap_wof_LTU</v>
      </c>
      <c r="X66" t="str">
        <f t="shared" si="5"/>
        <v>e?_wof_LTU*</v>
      </c>
      <c r="Y66">
        <v>1</v>
      </c>
      <c r="Z66">
        <v>2</v>
      </c>
      <c r="AB66" t="str">
        <f t="shared" si="14"/>
        <v>UCE_elcaggCap_wof_LTU</v>
      </c>
      <c r="AC66" t="str">
        <f t="shared" si="6"/>
        <v>elcagg_wof_LTU</v>
      </c>
      <c r="AD66">
        <v>-1</v>
      </c>
    </row>
    <row r="67" spans="1:30">
      <c r="A67" t="s">
        <v>142</v>
      </c>
      <c r="B67" t="str">
        <f t="shared" si="7"/>
        <v>UCE_elcaggCap_spv_IRL</v>
      </c>
      <c r="C67" t="str">
        <f t="shared" si="3"/>
        <v>e?_spv_IRL*</v>
      </c>
      <c r="D67">
        <v>1</v>
      </c>
      <c r="E67">
        <v>2</v>
      </c>
      <c r="G67" t="str">
        <f t="shared" si="8"/>
        <v>UCE_elcaggCap_spv_IRL</v>
      </c>
      <c r="H67" t="str">
        <f t="shared" si="9"/>
        <v>elcagg_spv_IRL</v>
      </c>
      <c r="I67">
        <v>-1</v>
      </c>
      <c r="K67" t="s">
        <v>141</v>
      </c>
      <c r="L67" t="str">
        <f t="shared" si="10"/>
        <v>UCE_elcaggCap_won_IND</v>
      </c>
      <c r="M67" t="str">
        <f t="shared" si="4"/>
        <v>e?_won_IND*</v>
      </c>
      <c r="N67">
        <v>1</v>
      </c>
      <c r="O67">
        <v>2</v>
      </c>
      <c r="Q67" t="str">
        <f t="shared" si="11"/>
        <v>UCE_elcaggCap_won_IND</v>
      </c>
      <c r="R67" t="str">
        <f t="shared" si="12"/>
        <v>elcagg_won_IND</v>
      </c>
      <c r="S67">
        <v>-1</v>
      </c>
      <c r="V67" t="s">
        <v>159</v>
      </c>
      <c r="W67" t="str">
        <f t="shared" si="13"/>
        <v>UCE_elcaggCap_wof_LVA</v>
      </c>
      <c r="X67" t="str">
        <f t="shared" si="5"/>
        <v>e?_wof_LVA*</v>
      </c>
      <c r="Y67">
        <v>1</v>
      </c>
      <c r="Z67">
        <v>2</v>
      </c>
      <c r="AB67" t="str">
        <f t="shared" si="14"/>
        <v>UCE_elcaggCap_wof_LVA</v>
      </c>
      <c r="AC67" t="str">
        <f t="shared" si="6"/>
        <v>elcagg_wof_LVA</v>
      </c>
      <c r="AD67">
        <v>-1</v>
      </c>
    </row>
    <row r="68" spans="1:30">
      <c r="A68" t="s">
        <v>143</v>
      </c>
      <c r="B68" t="str">
        <f t="shared" si="7"/>
        <v>UCE_elcaggCap_spv_IRN</v>
      </c>
      <c r="C68" t="str">
        <f t="shared" si="3"/>
        <v>e?_spv_IRN*</v>
      </c>
      <c r="D68">
        <v>1</v>
      </c>
      <c r="E68">
        <v>2</v>
      </c>
      <c r="G68" t="str">
        <f t="shared" si="8"/>
        <v>UCE_elcaggCap_spv_IRN</v>
      </c>
      <c r="H68" t="str">
        <f t="shared" si="9"/>
        <v>elcagg_spv_IRN</v>
      </c>
      <c r="I68">
        <v>-1</v>
      </c>
      <c r="K68" t="s">
        <v>142</v>
      </c>
      <c r="L68" t="str">
        <f t="shared" si="10"/>
        <v>UCE_elcaggCap_won_IRL</v>
      </c>
      <c r="M68" t="str">
        <f t="shared" si="4"/>
        <v>e?_won_IRL*</v>
      </c>
      <c r="N68">
        <v>1</v>
      </c>
      <c r="O68">
        <v>2</v>
      </c>
      <c r="Q68" t="str">
        <f t="shared" si="11"/>
        <v>UCE_elcaggCap_won_IRL</v>
      </c>
      <c r="R68" t="str">
        <f t="shared" si="12"/>
        <v>elcagg_won_IRL</v>
      </c>
      <c r="S68">
        <v>-1</v>
      </c>
      <c r="V68" t="s">
        <v>160</v>
      </c>
      <c r="W68" t="str">
        <f t="shared" si="13"/>
        <v>UCE_elcaggCap_wof_MAR</v>
      </c>
      <c r="X68" t="str">
        <f t="shared" si="5"/>
        <v>e?_wof_MAR*</v>
      </c>
      <c r="Y68">
        <v>1</v>
      </c>
      <c r="Z68">
        <v>2</v>
      </c>
      <c r="AB68" t="str">
        <f t="shared" si="14"/>
        <v>UCE_elcaggCap_wof_MAR</v>
      </c>
      <c r="AC68" t="str">
        <f t="shared" si="6"/>
        <v>elcagg_wof_MAR</v>
      </c>
      <c r="AD68">
        <v>-1</v>
      </c>
    </row>
    <row r="69" spans="1:30">
      <c r="A69" t="s">
        <v>161</v>
      </c>
      <c r="B69" t="str">
        <f t="shared" si="7"/>
        <v>UCE_elcaggCap_spv_IRQ</v>
      </c>
      <c r="C69" t="str">
        <f t="shared" ref="C69:C132" si="15">"e?_spv_"&amp;$A69&amp;"*"</f>
        <v>e?_spv_IRQ*</v>
      </c>
      <c r="D69">
        <v>1</v>
      </c>
      <c r="E69">
        <v>2</v>
      </c>
      <c r="G69" t="str">
        <f t="shared" si="8"/>
        <v>UCE_elcaggCap_spv_IRQ</v>
      </c>
      <c r="H69" t="str">
        <f t="shared" si="9"/>
        <v>elcagg_spv_IRQ</v>
      </c>
      <c r="I69">
        <v>-1</v>
      </c>
      <c r="K69" t="s">
        <v>143</v>
      </c>
      <c r="L69" t="str">
        <f t="shared" si="10"/>
        <v>UCE_elcaggCap_won_IRN</v>
      </c>
      <c r="M69" t="str">
        <f t="shared" ref="M69:M132" si="16">"e?_won_"&amp;$K69&amp;"*"</f>
        <v>e?_won_IRN*</v>
      </c>
      <c r="N69">
        <v>1</v>
      </c>
      <c r="O69">
        <v>2</v>
      </c>
      <c r="Q69" t="str">
        <f t="shared" si="11"/>
        <v>UCE_elcaggCap_won_IRN</v>
      </c>
      <c r="R69" t="str">
        <f t="shared" si="12"/>
        <v>elcagg_won_IRN</v>
      </c>
      <c r="S69">
        <v>-1</v>
      </c>
      <c r="V69" t="s">
        <v>162</v>
      </c>
      <c r="W69" t="str">
        <f t="shared" si="13"/>
        <v>UCE_elcaggCap_wof_MDG</v>
      </c>
      <c r="X69" t="str">
        <f t="shared" ref="X69:X120" si="17">"e?_wof_"&amp;$V69&amp;"*"</f>
        <v>e?_wof_MDG*</v>
      </c>
      <c r="Y69">
        <v>1</v>
      </c>
      <c r="Z69">
        <v>2</v>
      </c>
      <c r="AB69" t="str">
        <f t="shared" si="14"/>
        <v>UCE_elcaggCap_wof_MDG</v>
      </c>
      <c r="AC69" t="str">
        <f t="shared" ref="AC69:AC120" si="18">"elcagg_wof_"&amp;$V69</f>
        <v>elcagg_wof_MDG</v>
      </c>
      <c r="AD69">
        <v>-1</v>
      </c>
    </row>
    <row r="70" spans="1:30">
      <c r="A70" t="s">
        <v>163</v>
      </c>
      <c r="B70" t="str">
        <f t="shared" ref="B70:B133" si="19">"UCE_elcaggCap_"&amp;A$1&amp;"_"&amp;A70</f>
        <v>UCE_elcaggCap_spv_ISR</v>
      </c>
      <c r="C70" t="str">
        <f t="shared" si="15"/>
        <v>e?_spv_ISR*</v>
      </c>
      <c r="D70">
        <v>1</v>
      </c>
      <c r="E70">
        <v>2</v>
      </c>
      <c r="G70" t="str">
        <f t="shared" ref="G70:G133" si="20">B70</f>
        <v>UCE_elcaggCap_spv_ISR</v>
      </c>
      <c r="H70" t="str">
        <f t="shared" ref="H70:H133" si="21">"elcagg_spv_"&amp;$A70</f>
        <v>elcagg_spv_ISR</v>
      </c>
      <c r="I70">
        <v>-1</v>
      </c>
      <c r="K70" t="s">
        <v>161</v>
      </c>
      <c r="L70" t="str">
        <f t="shared" ref="L70:L133" si="22">"UCE_elcaggCap_"&amp;K$1&amp;"_"&amp;K70</f>
        <v>UCE_elcaggCap_won_IRQ</v>
      </c>
      <c r="M70" t="str">
        <f t="shared" si="16"/>
        <v>e?_won_IRQ*</v>
      </c>
      <c r="N70">
        <v>1</v>
      </c>
      <c r="O70">
        <v>2</v>
      </c>
      <c r="Q70" t="str">
        <f t="shared" ref="Q70:Q133" si="23">L70</f>
        <v>UCE_elcaggCap_won_IRQ</v>
      </c>
      <c r="R70" t="str">
        <f t="shared" ref="R70:R133" si="24">"elcagg_won_"&amp;$K70</f>
        <v>elcagg_won_IRQ</v>
      </c>
      <c r="S70">
        <v>-1</v>
      </c>
      <c r="V70" t="s">
        <v>164</v>
      </c>
      <c r="W70" t="str">
        <f t="shared" ref="W70:W120" si="25">"UCE_elcaggCap_"&amp;V$1&amp;"_"&amp;V70</f>
        <v>UCE_elcaggCap_wof_MEX</v>
      </c>
      <c r="X70" t="str">
        <f t="shared" si="17"/>
        <v>e?_wof_MEX*</v>
      </c>
      <c r="Y70">
        <v>1</v>
      </c>
      <c r="Z70">
        <v>2</v>
      </c>
      <c r="AB70" t="str">
        <f t="shared" ref="AB70:AB120" si="26">W70</f>
        <v>UCE_elcaggCap_wof_MEX</v>
      </c>
      <c r="AC70" t="str">
        <f t="shared" si="18"/>
        <v>elcagg_wof_MEX</v>
      </c>
      <c r="AD70">
        <v>-1</v>
      </c>
    </row>
    <row r="71" spans="1:30">
      <c r="A71" t="s">
        <v>144</v>
      </c>
      <c r="B71" t="str">
        <f t="shared" si="19"/>
        <v>UCE_elcaggCap_spv_ITA</v>
      </c>
      <c r="C71" t="str">
        <f t="shared" si="15"/>
        <v>e?_spv_ITA*</v>
      </c>
      <c r="D71">
        <v>1</v>
      </c>
      <c r="E71">
        <v>2</v>
      </c>
      <c r="G71" t="str">
        <f t="shared" si="20"/>
        <v>UCE_elcaggCap_spv_ITA</v>
      </c>
      <c r="H71" t="str">
        <f t="shared" si="21"/>
        <v>elcagg_spv_ITA</v>
      </c>
      <c r="I71">
        <v>-1</v>
      </c>
      <c r="K71" t="s">
        <v>163</v>
      </c>
      <c r="L71" t="str">
        <f t="shared" si="22"/>
        <v>UCE_elcaggCap_won_ISR</v>
      </c>
      <c r="M71" t="str">
        <f t="shared" si="16"/>
        <v>e?_won_ISR*</v>
      </c>
      <c r="N71">
        <v>1</v>
      </c>
      <c r="O71">
        <v>2</v>
      </c>
      <c r="Q71" t="str">
        <f t="shared" si="23"/>
        <v>UCE_elcaggCap_won_ISR</v>
      </c>
      <c r="R71" t="str">
        <f t="shared" si="24"/>
        <v>elcagg_won_ISR</v>
      </c>
      <c r="S71">
        <v>-1</v>
      </c>
      <c r="V71" t="s">
        <v>165</v>
      </c>
      <c r="W71" t="str">
        <f t="shared" si="25"/>
        <v>UCE_elcaggCap_wof_MLT</v>
      </c>
      <c r="X71" t="str">
        <f t="shared" si="17"/>
        <v>e?_wof_MLT*</v>
      </c>
      <c r="Y71">
        <v>1</v>
      </c>
      <c r="Z71">
        <v>2</v>
      </c>
      <c r="AB71" t="str">
        <f t="shared" si="26"/>
        <v>UCE_elcaggCap_wof_MLT</v>
      </c>
      <c r="AC71" t="str">
        <f t="shared" si="18"/>
        <v>elcagg_wof_MLT</v>
      </c>
      <c r="AD71">
        <v>-1</v>
      </c>
    </row>
    <row r="72" spans="1:30">
      <c r="A72" t="s">
        <v>145</v>
      </c>
      <c r="B72" t="str">
        <f t="shared" si="19"/>
        <v>UCE_elcaggCap_spv_JAM</v>
      </c>
      <c r="C72" t="str">
        <f t="shared" si="15"/>
        <v>e?_spv_JAM*</v>
      </c>
      <c r="D72">
        <v>1</v>
      </c>
      <c r="E72">
        <v>2</v>
      </c>
      <c r="G72" t="str">
        <f t="shared" si="20"/>
        <v>UCE_elcaggCap_spv_JAM</v>
      </c>
      <c r="H72" t="str">
        <f t="shared" si="21"/>
        <v>elcagg_spv_JAM</v>
      </c>
      <c r="I72">
        <v>-1</v>
      </c>
      <c r="K72" t="s">
        <v>144</v>
      </c>
      <c r="L72" t="str">
        <f t="shared" si="22"/>
        <v>UCE_elcaggCap_won_ITA</v>
      </c>
      <c r="M72" t="str">
        <f t="shared" si="16"/>
        <v>e?_won_ITA*</v>
      </c>
      <c r="N72">
        <v>1</v>
      </c>
      <c r="O72">
        <v>2</v>
      </c>
      <c r="Q72" t="str">
        <f t="shared" si="23"/>
        <v>UCE_elcaggCap_won_ITA</v>
      </c>
      <c r="R72" t="str">
        <f t="shared" si="24"/>
        <v>elcagg_won_ITA</v>
      </c>
      <c r="S72">
        <v>-1</v>
      </c>
      <c r="V72" t="s">
        <v>166</v>
      </c>
      <c r="W72" t="str">
        <f t="shared" si="25"/>
        <v>UCE_elcaggCap_wof_MMR</v>
      </c>
      <c r="X72" t="str">
        <f t="shared" si="17"/>
        <v>e?_wof_MMR*</v>
      </c>
      <c r="Y72">
        <v>1</v>
      </c>
      <c r="Z72">
        <v>2</v>
      </c>
      <c r="AB72" t="str">
        <f t="shared" si="26"/>
        <v>UCE_elcaggCap_wof_MMR</v>
      </c>
      <c r="AC72" t="str">
        <f t="shared" si="18"/>
        <v>elcagg_wof_MMR</v>
      </c>
      <c r="AD72">
        <v>-1</v>
      </c>
    </row>
    <row r="73" spans="1:30">
      <c r="A73" t="s">
        <v>167</v>
      </c>
      <c r="B73" t="str">
        <f t="shared" si="19"/>
        <v>UCE_elcaggCap_spv_JOR</v>
      </c>
      <c r="C73" t="str">
        <f t="shared" si="15"/>
        <v>e?_spv_JOR*</v>
      </c>
      <c r="D73">
        <v>1</v>
      </c>
      <c r="E73">
        <v>2</v>
      </c>
      <c r="G73" t="str">
        <f t="shared" si="20"/>
        <v>UCE_elcaggCap_spv_JOR</v>
      </c>
      <c r="H73" t="str">
        <f t="shared" si="21"/>
        <v>elcagg_spv_JOR</v>
      </c>
      <c r="I73">
        <v>-1</v>
      </c>
      <c r="K73" t="s">
        <v>145</v>
      </c>
      <c r="L73" t="str">
        <f t="shared" si="22"/>
        <v>UCE_elcaggCap_won_JAM</v>
      </c>
      <c r="M73" t="str">
        <f t="shared" si="16"/>
        <v>e?_won_JAM*</v>
      </c>
      <c r="N73">
        <v>1</v>
      </c>
      <c r="O73">
        <v>2</v>
      </c>
      <c r="Q73" t="str">
        <f t="shared" si="23"/>
        <v>UCE_elcaggCap_won_JAM</v>
      </c>
      <c r="R73" t="str">
        <f t="shared" si="24"/>
        <v>elcagg_won_JAM</v>
      </c>
      <c r="S73">
        <v>-1</v>
      </c>
      <c r="V73" t="s">
        <v>168</v>
      </c>
      <c r="W73" t="str">
        <f t="shared" si="25"/>
        <v>UCE_elcaggCap_wof_MNE</v>
      </c>
      <c r="X73" t="str">
        <f t="shared" si="17"/>
        <v>e?_wof_MNE*</v>
      </c>
      <c r="Y73">
        <v>1</v>
      </c>
      <c r="Z73">
        <v>2</v>
      </c>
      <c r="AB73" t="str">
        <f t="shared" si="26"/>
        <v>UCE_elcaggCap_wof_MNE</v>
      </c>
      <c r="AC73" t="str">
        <f t="shared" si="18"/>
        <v>elcagg_wof_MNE</v>
      </c>
      <c r="AD73">
        <v>-1</v>
      </c>
    </row>
    <row r="74" spans="1:30">
      <c r="A74" t="s">
        <v>146</v>
      </c>
      <c r="B74" t="str">
        <f t="shared" si="19"/>
        <v>UCE_elcaggCap_spv_JPN</v>
      </c>
      <c r="C74" t="str">
        <f t="shared" si="15"/>
        <v>e?_spv_JPN*</v>
      </c>
      <c r="D74">
        <v>1</v>
      </c>
      <c r="E74">
        <v>2</v>
      </c>
      <c r="G74" t="str">
        <f t="shared" si="20"/>
        <v>UCE_elcaggCap_spv_JPN</v>
      </c>
      <c r="H74" t="str">
        <f t="shared" si="21"/>
        <v>elcagg_spv_JPN</v>
      </c>
      <c r="I74">
        <v>-1</v>
      </c>
      <c r="K74" t="s">
        <v>167</v>
      </c>
      <c r="L74" t="str">
        <f t="shared" si="22"/>
        <v>UCE_elcaggCap_won_JOR</v>
      </c>
      <c r="M74" t="str">
        <f t="shared" si="16"/>
        <v>e?_won_JOR*</v>
      </c>
      <c r="N74">
        <v>1</v>
      </c>
      <c r="O74">
        <v>2</v>
      </c>
      <c r="Q74" t="str">
        <f t="shared" si="23"/>
        <v>UCE_elcaggCap_won_JOR</v>
      </c>
      <c r="R74" t="str">
        <f t="shared" si="24"/>
        <v>elcagg_won_JOR</v>
      </c>
      <c r="S74">
        <v>-1</v>
      </c>
      <c r="V74" t="s">
        <v>169</v>
      </c>
      <c r="W74" t="str">
        <f t="shared" si="25"/>
        <v>UCE_elcaggCap_wof_MOZ</v>
      </c>
      <c r="X74" t="str">
        <f t="shared" si="17"/>
        <v>e?_wof_MOZ*</v>
      </c>
      <c r="Y74">
        <v>1</v>
      </c>
      <c r="Z74">
        <v>2</v>
      </c>
      <c r="AB74" t="str">
        <f t="shared" si="26"/>
        <v>UCE_elcaggCap_wof_MOZ</v>
      </c>
      <c r="AC74" t="str">
        <f t="shared" si="18"/>
        <v>elcagg_wof_MOZ</v>
      </c>
      <c r="AD74">
        <v>-1</v>
      </c>
    </row>
    <row r="75" spans="1:30">
      <c r="A75" t="s">
        <v>147</v>
      </c>
      <c r="B75" t="str">
        <f t="shared" si="19"/>
        <v>UCE_elcaggCap_spv_KAZ</v>
      </c>
      <c r="C75" t="str">
        <f t="shared" si="15"/>
        <v>e?_spv_KAZ*</v>
      </c>
      <c r="D75">
        <v>1</v>
      </c>
      <c r="E75">
        <v>2</v>
      </c>
      <c r="G75" t="str">
        <f t="shared" si="20"/>
        <v>UCE_elcaggCap_spv_KAZ</v>
      </c>
      <c r="H75" t="str">
        <f t="shared" si="21"/>
        <v>elcagg_spv_KAZ</v>
      </c>
      <c r="I75">
        <v>-1</v>
      </c>
      <c r="K75" t="s">
        <v>146</v>
      </c>
      <c r="L75" t="str">
        <f t="shared" si="22"/>
        <v>UCE_elcaggCap_won_JPN</v>
      </c>
      <c r="M75" t="str">
        <f t="shared" si="16"/>
        <v>e?_won_JPN*</v>
      </c>
      <c r="N75">
        <v>1</v>
      </c>
      <c r="O75">
        <v>2</v>
      </c>
      <c r="Q75" t="str">
        <f t="shared" si="23"/>
        <v>UCE_elcaggCap_won_JPN</v>
      </c>
      <c r="R75" t="str">
        <f t="shared" si="24"/>
        <v>elcagg_won_JPN</v>
      </c>
      <c r="S75">
        <v>-1</v>
      </c>
      <c r="V75" t="s">
        <v>170</v>
      </c>
      <c r="W75" t="str">
        <f t="shared" si="25"/>
        <v>UCE_elcaggCap_wof_MRT</v>
      </c>
      <c r="X75" t="str">
        <f t="shared" si="17"/>
        <v>e?_wof_MRT*</v>
      </c>
      <c r="Y75">
        <v>1</v>
      </c>
      <c r="Z75">
        <v>2</v>
      </c>
      <c r="AB75" t="str">
        <f t="shared" si="26"/>
        <v>UCE_elcaggCap_wof_MRT</v>
      </c>
      <c r="AC75" t="str">
        <f t="shared" si="18"/>
        <v>elcagg_wof_MRT</v>
      </c>
      <c r="AD75">
        <v>-1</v>
      </c>
    </row>
    <row r="76" spans="1:30">
      <c r="A76" t="s">
        <v>148</v>
      </c>
      <c r="B76" t="str">
        <f t="shared" si="19"/>
        <v>UCE_elcaggCap_spv_KEN</v>
      </c>
      <c r="C76" t="str">
        <f t="shared" si="15"/>
        <v>e?_spv_KEN*</v>
      </c>
      <c r="D76">
        <v>1</v>
      </c>
      <c r="E76">
        <v>2</v>
      </c>
      <c r="G76" t="str">
        <f t="shared" si="20"/>
        <v>UCE_elcaggCap_spv_KEN</v>
      </c>
      <c r="H76" t="str">
        <f t="shared" si="21"/>
        <v>elcagg_spv_KEN</v>
      </c>
      <c r="I76">
        <v>-1</v>
      </c>
      <c r="K76" t="s">
        <v>147</v>
      </c>
      <c r="L76" t="str">
        <f t="shared" si="22"/>
        <v>UCE_elcaggCap_won_KAZ</v>
      </c>
      <c r="M76" t="str">
        <f t="shared" si="16"/>
        <v>e?_won_KAZ*</v>
      </c>
      <c r="N76">
        <v>1</v>
      </c>
      <c r="O76">
        <v>2</v>
      </c>
      <c r="Q76" t="str">
        <f t="shared" si="23"/>
        <v>UCE_elcaggCap_won_KAZ</v>
      </c>
      <c r="R76" t="str">
        <f t="shared" si="24"/>
        <v>elcagg_won_KAZ</v>
      </c>
      <c r="S76">
        <v>-1</v>
      </c>
      <c r="V76" t="s">
        <v>171</v>
      </c>
      <c r="W76" t="str">
        <f t="shared" si="25"/>
        <v>UCE_elcaggCap_wof_MYS</v>
      </c>
      <c r="X76" t="str">
        <f t="shared" si="17"/>
        <v>e?_wof_MYS*</v>
      </c>
      <c r="Y76">
        <v>1</v>
      </c>
      <c r="Z76">
        <v>2</v>
      </c>
      <c r="AB76" t="str">
        <f t="shared" si="26"/>
        <v>UCE_elcaggCap_wof_MYS</v>
      </c>
      <c r="AC76" t="str">
        <f t="shared" si="18"/>
        <v>elcagg_wof_MYS</v>
      </c>
      <c r="AD76">
        <v>-1</v>
      </c>
    </row>
    <row r="77" spans="1:30">
      <c r="A77" t="s">
        <v>172</v>
      </c>
      <c r="B77" t="str">
        <f t="shared" si="19"/>
        <v>UCE_elcaggCap_spv_KGZ</v>
      </c>
      <c r="C77" t="str">
        <f t="shared" si="15"/>
        <v>e?_spv_KGZ*</v>
      </c>
      <c r="D77">
        <v>1</v>
      </c>
      <c r="E77">
        <v>2</v>
      </c>
      <c r="G77" t="str">
        <f t="shared" si="20"/>
        <v>UCE_elcaggCap_spv_KGZ</v>
      </c>
      <c r="H77" t="str">
        <f t="shared" si="21"/>
        <v>elcagg_spv_KGZ</v>
      </c>
      <c r="I77">
        <v>-1</v>
      </c>
      <c r="K77" t="s">
        <v>148</v>
      </c>
      <c r="L77" t="str">
        <f t="shared" si="22"/>
        <v>UCE_elcaggCap_won_KEN</v>
      </c>
      <c r="M77" t="str">
        <f t="shared" si="16"/>
        <v>e?_won_KEN*</v>
      </c>
      <c r="N77">
        <v>1</v>
      </c>
      <c r="O77">
        <v>2</v>
      </c>
      <c r="Q77" t="str">
        <f t="shared" si="23"/>
        <v>UCE_elcaggCap_won_KEN</v>
      </c>
      <c r="R77" t="str">
        <f t="shared" si="24"/>
        <v>elcagg_won_KEN</v>
      </c>
      <c r="S77">
        <v>-1</v>
      </c>
      <c r="V77" t="s">
        <v>173</v>
      </c>
      <c r="W77" t="str">
        <f t="shared" si="25"/>
        <v>UCE_elcaggCap_wof_NAM</v>
      </c>
      <c r="X77" t="str">
        <f t="shared" si="17"/>
        <v>e?_wof_NAM*</v>
      </c>
      <c r="Y77">
        <v>1</v>
      </c>
      <c r="Z77">
        <v>2</v>
      </c>
      <c r="AB77" t="str">
        <f t="shared" si="26"/>
        <v>UCE_elcaggCap_wof_NAM</v>
      </c>
      <c r="AC77" t="str">
        <f t="shared" si="18"/>
        <v>elcagg_wof_NAM</v>
      </c>
      <c r="AD77">
        <v>-1</v>
      </c>
    </row>
    <row r="78" spans="1:30">
      <c r="A78" t="s">
        <v>149</v>
      </c>
      <c r="B78" t="str">
        <f t="shared" si="19"/>
        <v>UCE_elcaggCap_spv_KHM</v>
      </c>
      <c r="C78" t="str">
        <f t="shared" si="15"/>
        <v>e?_spv_KHM*</v>
      </c>
      <c r="D78">
        <v>1</v>
      </c>
      <c r="E78">
        <v>2</v>
      </c>
      <c r="G78" t="str">
        <f t="shared" si="20"/>
        <v>UCE_elcaggCap_spv_KHM</v>
      </c>
      <c r="H78" t="str">
        <f t="shared" si="21"/>
        <v>elcagg_spv_KHM</v>
      </c>
      <c r="I78">
        <v>-1</v>
      </c>
      <c r="K78" t="s">
        <v>172</v>
      </c>
      <c r="L78" t="str">
        <f t="shared" si="22"/>
        <v>UCE_elcaggCap_won_KGZ</v>
      </c>
      <c r="M78" t="str">
        <f t="shared" si="16"/>
        <v>e?_won_KGZ*</v>
      </c>
      <c r="N78">
        <v>1</v>
      </c>
      <c r="O78">
        <v>2</v>
      </c>
      <c r="Q78" t="str">
        <f t="shared" si="23"/>
        <v>UCE_elcaggCap_won_KGZ</v>
      </c>
      <c r="R78" t="str">
        <f t="shared" si="24"/>
        <v>elcagg_won_KGZ</v>
      </c>
      <c r="S78">
        <v>-1</v>
      </c>
      <c r="V78" t="s">
        <v>174</v>
      </c>
      <c r="W78" t="str">
        <f t="shared" si="25"/>
        <v>UCE_elcaggCap_wof_NCL</v>
      </c>
      <c r="X78" t="str">
        <f t="shared" si="17"/>
        <v>e?_wof_NCL*</v>
      </c>
      <c r="Y78">
        <v>1</v>
      </c>
      <c r="Z78">
        <v>2</v>
      </c>
      <c r="AB78" t="str">
        <f t="shared" si="26"/>
        <v>UCE_elcaggCap_wof_NCL</v>
      </c>
      <c r="AC78" t="str">
        <f t="shared" si="18"/>
        <v>elcagg_wof_NCL</v>
      </c>
      <c r="AD78">
        <v>-1</v>
      </c>
    </row>
    <row r="79" spans="1:30">
      <c r="A79" t="s">
        <v>151</v>
      </c>
      <c r="B79" t="str">
        <f t="shared" si="19"/>
        <v>UCE_elcaggCap_spv_KOR</v>
      </c>
      <c r="C79" t="str">
        <f t="shared" si="15"/>
        <v>e?_spv_KOR*</v>
      </c>
      <c r="D79">
        <v>1</v>
      </c>
      <c r="E79">
        <v>2</v>
      </c>
      <c r="G79" t="str">
        <f t="shared" si="20"/>
        <v>UCE_elcaggCap_spv_KOR</v>
      </c>
      <c r="H79" t="str">
        <f t="shared" si="21"/>
        <v>elcagg_spv_KOR</v>
      </c>
      <c r="I79">
        <v>-1</v>
      </c>
      <c r="K79" t="s">
        <v>149</v>
      </c>
      <c r="L79" t="str">
        <f t="shared" si="22"/>
        <v>UCE_elcaggCap_won_KHM</v>
      </c>
      <c r="M79" t="str">
        <f t="shared" si="16"/>
        <v>e?_won_KHM*</v>
      </c>
      <c r="N79">
        <v>1</v>
      </c>
      <c r="O79">
        <v>2</v>
      </c>
      <c r="Q79" t="str">
        <f t="shared" si="23"/>
        <v>UCE_elcaggCap_won_KHM</v>
      </c>
      <c r="R79" t="str">
        <f t="shared" si="24"/>
        <v>elcagg_won_KHM</v>
      </c>
      <c r="S79">
        <v>-1</v>
      </c>
      <c r="V79" t="s">
        <v>175</v>
      </c>
      <c r="W79" t="str">
        <f t="shared" si="25"/>
        <v>UCE_elcaggCap_wof_NGA</v>
      </c>
      <c r="X79" t="str">
        <f t="shared" si="17"/>
        <v>e?_wof_NGA*</v>
      </c>
      <c r="Y79">
        <v>1</v>
      </c>
      <c r="Z79">
        <v>2</v>
      </c>
      <c r="AB79" t="str">
        <f t="shared" si="26"/>
        <v>UCE_elcaggCap_wof_NGA</v>
      </c>
      <c r="AC79" t="str">
        <f t="shared" si="18"/>
        <v>elcagg_wof_NGA</v>
      </c>
      <c r="AD79">
        <v>-1</v>
      </c>
    </row>
    <row r="80" spans="1:30">
      <c r="A80" t="s">
        <v>152</v>
      </c>
      <c r="B80" t="str">
        <f t="shared" si="19"/>
        <v>UCE_elcaggCap_spv_KWT</v>
      </c>
      <c r="C80" t="str">
        <f t="shared" si="15"/>
        <v>e?_spv_KWT*</v>
      </c>
      <c r="D80">
        <v>1</v>
      </c>
      <c r="E80">
        <v>2</v>
      </c>
      <c r="G80" t="str">
        <f t="shared" si="20"/>
        <v>UCE_elcaggCap_spv_KWT</v>
      </c>
      <c r="H80" t="str">
        <f t="shared" si="21"/>
        <v>elcagg_spv_KWT</v>
      </c>
      <c r="I80">
        <v>-1</v>
      </c>
      <c r="K80" t="s">
        <v>151</v>
      </c>
      <c r="L80" t="str">
        <f t="shared" si="22"/>
        <v>UCE_elcaggCap_won_KOR</v>
      </c>
      <c r="M80" t="str">
        <f t="shared" si="16"/>
        <v>e?_won_KOR*</v>
      </c>
      <c r="N80">
        <v>1</v>
      </c>
      <c r="O80">
        <v>2</v>
      </c>
      <c r="Q80" t="str">
        <f t="shared" si="23"/>
        <v>UCE_elcaggCap_won_KOR</v>
      </c>
      <c r="R80" t="str">
        <f t="shared" si="24"/>
        <v>elcagg_won_KOR</v>
      </c>
      <c r="S80">
        <v>-1</v>
      </c>
      <c r="V80" t="s">
        <v>176</v>
      </c>
      <c r="W80" t="str">
        <f t="shared" si="25"/>
        <v>UCE_elcaggCap_wof_NIC</v>
      </c>
      <c r="X80" t="str">
        <f t="shared" si="17"/>
        <v>e?_wof_NIC*</v>
      </c>
      <c r="Y80">
        <v>1</v>
      </c>
      <c r="Z80">
        <v>2</v>
      </c>
      <c r="AB80" t="str">
        <f t="shared" si="26"/>
        <v>UCE_elcaggCap_wof_NIC</v>
      </c>
      <c r="AC80" t="str">
        <f t="shared" si="18"/>
        <v>elcagg_wof_NIC</v>
      </c>
      <c r="AD80">
        <v>-1</v>
      </c>
    </row>
    <row r="81" spans="1:30">
      <c r="A81" t="s">
        <v>177</v>
      </c>
      <c r="B81" t="str">
        <f t="shared" si="19"/>
        <v>UCE_elcaggCap_spv_LAO</v>
      </c>
      <c r="C81" t="str">
        <f t="shared" si="15"/>
        <v>e?_spv_LAO*</v>
      </c>
      <c r="D81">
        <v>1</v>
      </c>
      <c r="E81">
        <v>2</v>
      </c>
      <c r="G81" t="str">
        <f t="shared" si="20"/>
        <v>UCE_elcaggCap_spv_LAO</v>
      </c>
      <c r="H81" t="str">
        <f t="shared" si="21"/>
        <v>elcagg_spv_LAO</v>
      </c>
      <c r="I81">
        <v>-1</v>
      </c>
      <c r="K81" t="s">
        <v>152</v>
      </c>
      <c r="L81" t="str">
        <f t="shared" si="22"/>
        <v>UCE_elcaggCap_won_KWT</v>
      </c>
      <c r="M81" t="str">
        <f t="shared" si="16"/>
        <v>e?_won_KWT*</v>
      </c>
      <c r="N81">
        <v>1</v>
      </c>
      <c r="O81">
        <v>2</v>
      </c>
      <c r="Q81" t="str">
        <f t="shared" si="23"/>
        <v>UCE_elcaggCap_won_KWT</v>
      </c>
      <c r="R81" t="str">
        <f t="shared" si="24"/>
        <v>elcagg_won_KWT</v>
      </c>
      <c r="S81">
        <v>-1</v>
      </c>
      <c r="V81" t="s">
        <v>178</v>
      </c>
      <c r="W81" t="str">
        <f t="shared" si="25"/>
        <v>UCE_elcaggCap_wof_NLD</v>
      </c>
      <c r="X81" t="str">
        <f t="shared" si="17"/>
        <v>e?_wof_NLD*</v>
      </c>
      <c r="Y81">
        <v>1</v>
      </c>
      <c r="Z81">
        <v>2</v>
      </c>
      <c r="AB81" t="str">
        <f t="shared" si="26"/>
        <v>UCE_elcaggCap_wof_NLD</v>
      </c>
      <c r="AC81" t="str">
        <f t="shared" si="18"/>
        <v>elcagg_wof_NLD</v>
      </c>
      <c r="AD81">
        <v>-1</v>
      </c>
    </row>
    <row r="82" spans="1:30">
      <c r="A82" t="s">
        <v>153</v>
      </c>
      <c r="B82" t="str">
        <f t="shared" si="19"/>
        <v>UCE_elcaggCap_spv_LBN</v>
      </c>
      <c r="C82" t="str">
        <f t="shared" si="15"/>
        <v>e?_spv_LBN*</v>
      </c>
      <c r="D82">
        <v>1</v>
      </c>
      <c r="E82">
        <v>2</v>
      </c>
      <c r="G82" t="str">
        <f t="shared" si="20"/>
        <v>UCE_elcaggCap_spv_LBN</v>
      </c>
      <c r="H82" t="str">
        <f t="shared" si="21"/>
        <v>elcagg_spv_LBN</v>
      </c>
      <c r="I82">
        <v>-1</v>
      </c>
      <c r="K82" t="s">
        <v>177</v>
      </c>
      <c r="L82" t="str">
        <f t="shared" si="22"/>
        <v>UCE_elcaggCap_won_LAO</v>
      </c>
      <c r="M82" t="str">
        <f t="shared" si="16"/>
        <v>e?_won_LAO*</v>
      </c>
      <c r="N82">
        <v>1</v>
      </c>
      <c r="O82">
        <v>2</v>
      </c>
      <c r="Q82" t="str">
        <f t="shared" si="23"/>
        <v>UCE_elcaggCap_won_LAO</v>
      </c>
      <c r="R82" t="str">
        <f t="shared" si="24"/>
        <v>elcagg_won_LAO</v>
      </c>
      <c r="S82">
        <v>-1</v>
      </c>
      <c r="V82" t="s">
        <v>179</v>
      </c>
      <c r="W82" t="str">
        <f t="shared" si="25"/>
        <v>UCE_elcaggCap_wof_NOR</v>
      </c>
      <c r="X82" t="str">
        <f t="shared" si="17"/>
        <v>e?_wof_NOR*</v>
      </c>
      <c r="Y82">
        <v>1</v>
      </c>
      <c r="Z82">
        <v>2</v>
      </c>
      <c r="AB82" t="str">
        <f t="shared" si="26"/>
        <v>UCE_elcaggCap_wof_NOR</v>
      </c>
      <c r="AC82" t="str">
        <f t="shared" si="18"/>
        <v>elcagg_wof_NOR</v>
      </c>
      <c r="AD82">
        <v>-1</v>
      </c>
    </row>
    <row r="83" spans="1:30">
      <c r="A83" t="s">
        <v>154</v>
      </c>
      <c r="B83" t="str">
        <f t="shared" si="19"/>
        <v>UCE_elcaggCap_spv_LBR</v>
      </c>
      <c r="C83" t="str">
        <f t="shared" si="15"/>
        <v>e?_spv_LBR*</v>
      </c>
      <c r="D83">
        <v>1</v>
      </c>
      <c r="E83">
        <v>2</v>
      </c>
      <c r="G83" t="str">
        <f t="shared" si="20"/>
        <v>UCE_elcaggCap_spv_LBR</v>
      </c>
      <c r="H83" t="str">
        <f t="shared" si="21"/>
        <v>elcagg_spv_LBR</v>
      </c>
      <c r="I83">
        <v>-1</v>
      </c>
      <c r="K83" t="s">
        <v>153</v>
      </c>
      <c r="L83" t="str">
        <f t="shared" si="22"/>
        <v>UCE_elcaggCap_won_LBN</v>
      </c>
      <c r="M83" t="str">
        <f t="shared" si="16"/>
        <v>e?_won_LBN*</v>
      </c>
      <c r="N83">
        <v>1</v>
      </c>
      <c r="O83">
        <v>2</v>
      </c>
      <c r="Q83" t="str">
        <f t="shared" si="23"/>
        <v>UCE_elcaggCap_won_LBN</v>
      </c>
      <c r="R83" t="str">
        <f t="shared" si="24"/>
        <v>elcagg_won_LBN</v>
      </c>
      <c r="S83">
        <v>-1</v>
      </c>
      <c r="V83" t="s">
        <v>180</v>
      </c>
      <c r="W83" t="str">
        <f t="shared" si="25"/>
        <v>UCE_elcaggCap_wof_NZL</v>
      </c>
      <c r="X83" t="str">
        <f t="shared" si="17"/>
        <v>e?_wof_NZL*</v>
      </c>
      <c r="Y83">
        <v>1</v>
      </c>
      <c r="Z83">
        <v>2</v>
      </c>
      <c r="AB83" t="str">
        <f t="shared" si="26"/>
        <v>UCE_elcaggCap_wof_NZL</v>
      </c>
      <c r="AC83" t="str">
        <f t="shared" si="18"/>
        <v>elcagg_wof_NZL</v>
      </c>
      <c r="AD83">
        <v>-1</v>
      </c>
    </row>
    <row r="84" spans="1:30">
      <c r="A84" t="s">
        <v>156</v>
      </c>
      <c r="B84" t="str">
        <f t="shared" si="19"/>
        <v>UCE_elcaggCap_spv_LBY</v>
      </c>
      <c r="C84" t="str">
        <f t="shared" si="15"/>
        <v>e?_spv_LBY*</v>
      </c>
      <c r="D84">
        <v>1</v>
      </c>
      <c r="E84">
        <v>2</v>
      </c>
      <c r="G84" t="str">
        <f t="shared" si="20"/>
        <v>UCE_elcaggCap_spv_LBY</v>
      </c>
      <c r="H84" t="str">
        <f t="shared" si="21"/>
        <v>elcagg_spv_LBY</v>
      </c>
      <c r="I84">
        <v>-1</v>
      </c>
      <c r="K84" t="s">
        <v>154</v>
      </c>
      <c r="L84" t="str">
        <f t="shared" si="22"/>
        <v>UCE_elcaggCap_won_LBR</v>
      </c>
      <c r="M84" t="str">
        <f t="shared" si="16"/>
        <v>e?_won_LBR*</v>
      </c>
      <c r="N84">
        <v>1</v>
      </c>
      <c r="O84">
        <v>2</v>
      </c>
      <c r="Q84" t="str">
        <f t="shared" si="23"/>
        <v>UCE_elcaggCap_won_LBR</v>
      </c>
      <c r="R84" t="str">
        <f t="shared" si="24"/>
        <v>elcagg_won_LBR</v>
      </c>
      <c r="S84">
        <v>-1</v>
      </c>
      <c r="V84" t="s">
        <v>181</v>
      </c>
      <c r="W84" t="str">
        <f t="shared" si="25"/>
        <v>UCE_elcaggCap_wof_OMN</v>
      </c>
      <c r="X84" t="str">
        <f t="shared" si="17"/>
        <v>e?_wof_OMN*</v>
      </c>
      <c r="Y84">
        <v>1</v>
      </c>
      <c r="Z84">
        <v>2</v>
      </c>
      <c r="AB84" t="str">
        <f t="shared" si="26"/>
        <v>UCE_elcaggCap_wof_OMN</v>
      </c>
      <c r="AC84" t="str">
        <f t="shared" si="18"/>
        <v>elcagg_wof_OMN</v>
      </c>
      <c r="AD84">
        <v>-1</v>
      </c>
    </row>
    <row r="85" spans="1:30">
      <c r="A85" t="s">
        <v>157</v>
      </c>
      <c r="B85" t="str">
        <f t="shared" si="19"/>
        <v>UCE_elcaggCap_spv_LKA</v>
      </c>
      <c r="C85" t="str">
        <f t="shared" si="15"/>
        <v>e?_spv_LKA*</v>
      </c>
      <c r="D85">
        <v>1</v>
      </c>
      <c r="E85">
        <v>2</v>
      </c>
      <c r="G85" t="str">
        <f t="shared" si="20"/>
        <v>UCE_elcaggCap_spv_LKA</v>
      </c>
      <c r="H85" t="str">
        <f t="shared" si="21"/>
        <v>elcagg_spv_LKA</v>
      </c>
      <c r="I85">
        <v>-1</v>
      </c>
      <c r="K85" t="s">
        <v>156</v>
      </c>
      <c r="L85" t="str">
        <f t="shared" si="22"/>
        <v>UCE_elcaggCap_won_LBY</v>
      </c>
      <c r="M85" t="str">
        <f t="shared" si="16"/>
        <v>e?_won_LBY*</v>
      </c>
      <c r="N85">
        <v>1</v>
      </c>
      <c r="O85">
        <v>2</v>
      </c>
      <c r="Q85" t="str">
        <f t="shared" si="23"/>
        <v>UCE_elcaggCap_won_LBY</v>
      </c>
      <c r="R85" t="str">
        <f t="shared" si="24"/>
        <v>elcagg_won_LBY</v>
      </c>
      <c r="S85">
        <v>-1</v>
      </c>
      <c r="V85" t="s">
        <v>182</v>
      </c>
      <c r="W85" t="str">
        <f t="shared" si="25"/>
        <v>UCE_elcaggCap_wof_PAK</v>
      </c>
      <c r="X85" t="str">
        <f t="shared" si="17"/>
        <v>e?_wof_PAK*</v>
      </c>
      <c r="Y85">
        <v>1</v>
      </c>
      <c r="Z85">
        <v>2</v>
      </c>
      <c r="AB85" t="str">
        <f t="shared" si="26"/>
        <v>UCE_elcaggCap_wof_PAK</v>
      </c>
      <c r="AC85" t="str">
        <f t="shared" si="18"/>
        <v>elcagg_wof_PAK</v>
      </c>
      <c r="AD85">
        <v>-1</v>
      </c>
    </row>
    <row r="86" spans="1:30">
      <c r="A86" t="s">
        <v>183</v>
      </c>
      <c r="B86" t="str">
        <f t="shared" si="19"/>
        <v>UCE_elcaggCap_spv_LSO</v>
      </c>
      <c r="C86" t="str">
        <f t="shared" si="15"/>
        <v>e?_spv_LSO*</v>
      </c>
      <c r="D86">
        <v>1</v>
      </c>
      <c r="E86">
        <v>2</v>
      </c>
      <c r="G86" t="str">
        <f t="shared" si="20"/>
        <v>UCE_elcaggCap_spv_LSO</v>
      </c>
      <c r="H86" t="str">
        <f t="shared" si="21"/>
        <v>elcagg_spv_LSO</v>
      </c>
      <c r="I86">
        <v>-1</v>
      </c>
      <c r="K86" t="s">
        <v>157</v>
      </c>
      <c r="L86" t="str">
        <f t="shared" si="22"/>
        <v>UCE_elcaggCap_won_LKA</v>
      </c>
      <c r="M86" t="str">
        <f t="shared" si="16"/>
        <v>e?_won_LKA*</v>
      </c>
      <c r="N86">
        <v>1</v>
      </c>
      <c r="O86">
        <v>2</v>
      </c>
      <c r="Q86" t="str">
        <f t="shared" si="23"/>
        <v>UCE_elcaggCap_won_LKA</v>
      </c>
      <c r="R86" t="str">
        <f t="shared" si="24"/>
        <v>elcagg_won_LKA</v>
      </c>
      <c r="S86">
        <v>-1</v>
      </c>
      <c r="V86" t="s">
        <v>184</v>
      </c>
      <c r="W86" t="str">
        <f t="shared" si="25"/>
        <v>UCE_elcaggCap_wof_PAN</v>
      </c>
      <c r="X86" t="str">
        <f t="shared" si="17"/>
        <v>e?_wof_PAN*</v>
      </c>
      <c r="Y86">
        <v>1</v>
      </c>
      <c r="Z86">
        <v>2</v>
      </c>
      <c r="AB86" t="str">
        <f t="shared" si="26"/>
        <v>UCE_elcaggCap_wof_PAN</v>
      </c>
      <c r="AC86" t="str">
        <f t="shared" si="18"/>
        <v>elcagg_wof_PAN</v>
      </c>
      <c r="AD86">
        <v>-1</v>
      </c>
    </row>
    <row r="87" spans="1:30">
      <c r="A87" t="s">
        <v>158</v>
      </c>
      <c r="B87" t="str">
        <f t="shared" si="19"/>
        <v>UCE_elcaggCap_spv_LTU</v>
      </c>
      <c r="C87" t="str">
        <f t="shared" si="15"/>
        <v>e?_spv_LTU*</v>
      </c>
      <c r="D87">
        <v>1</v>
      </c>
      <c r="E87">
        <v>2</v>
      </c>
      <c r="G87" t="str">
        <f t="shared" si="20"/>
        <v>UCE_elcaggCap_spv_LTU</v>
      </c>
      <c r="H87" t="str">
        <f t="shared" si="21"/>
        <v>elcagg_spv_LTU</v>
      </c>
      <c r="I87">
        <v>-1</v>
      </c>
      <c r="K87" t="s">
        <v>183</v>
      </c>
      <c r="L87" t="str">
        <f t="shared" si="22"/>
        <v>UCE_elcaggCap_won_LSO</v>
      </c>
      <c r="M87" t="str">
        <f t="shared" si="16"/>
        <v>e?_won_LSO*</v>
      </c>
      <c r="N87">
        <v>1</v>
      </c>
      <c r="O87">
        <v>2</v>
      </c>
      <c r="Q87" t="str">
        <f t="shared" si="23"/>
        <v>UCE_elcaggCap_won_LSO</v>
      </c>
      <c r="R87" t="str">
        <f t="shared" si="24"/>
        <v>elcagg_won_LSO</v>
      </c>
      <c r="S87">
        <v>-1</v>
      </c>
      <c r="V87" t="s">
        <v>185</v>
      </c>
      <c r="W87" t="str">
        <f t="shared" si="25"/>
        <v>UCE_elcaggCap_wof_PER</v>
      </c>
      <c r="X87" t="str">
        <f t="shared" si="17"/>
        <v>e?_wof_PER*</v>
      </c>
      <c r="Y87">
        <v>1</v>
      </c>
      <c r="Z87">
        <v>2</v>
      </c>
      <c r="AB87" t="str">
        <f t="shared" si="26"/>
        <v>UCE_elcaggCap_wof_PER</v>
      </c>
      <c r="AC87" t="str">
        <f t="shared" si="18"/>
        <v>elcagg_wof_PER</v>
      </c>
      <c r="AD87">
        <v>-1</v>
      </c>
    </row>
    <row r="88" spans="1:30">
      <c r="A88" t="s">
        <v>186</v>
      </c>
      <c r="B88" t="str">
        <f t="shared" si="19"/>
        <v>UCE_elcaggCap_spv_LUX</v>
      </c>
      <c r="C88" t="str">
        <f t="shared" si="15"/>
        <v>e?_spv_LUX*</v>
      </c>
      <c r="D88">
        <v>1</v>
      </c>
      <c r="E88">
        <v>2</v>
      </c>
      <c r="G88" t="str">
        <f t="shared" si="20"/>
        <v>UCE_elcaggCap_spv_LUX</v>
      </c>
      <c r="H88" t="str">
        <f t="shared" si="21"/>
        <v>elcagg_spv_LUX</v>
      </c>
      <c r="I88">
        <v>-1</v>
      </c>
      <c r="K88" t="s">
        <v>158</v>
      </c>
      <c r="L88" t="str">
        <f t="shared" si="22"/>
        <v>UCE_elcaggCap_won_LTU</v>
      </c>
      <c r="M88" t="str">
        <f t="shared" si="16"/>
        <v>e?_won_LTU*</v>
      </c>
      <c r="N88">
        <v>1</v>
      </c>
      <c r="O88">
        <v>2</v>
      </c>
      <c r="Q88" t="str">
        <f t="shared" si="23"/>
        <v>UCE_elcaggCap_won_LTU</v>
      </c>
      <c r="R88" t="str">
        <f t="shared" si="24"/>
        <v>elcagg_won_LTU</v>
      </c>
      <c r="S88">
        <v>-1</v>
      </c>
      <c r="V88" t="s">
        <v>187</v>
      </c>
      <c r="W88" t="str">
        <f t="shared" si="25"/>
        <v>UCE_elcaggCap_wof_PHL</v>
      </c>
      <c r="X88" t="str">
        <f t="shared" si="17"/>
        <v>e?_wof_PHL*</v>
      </c>
      <c r="Y88">
        <v>1</v>
      </c>
      <c r="Z88">
        <v>2</v>
      </c>
      <c r="AB88" t="str">
        <f t="shared" si="26"/>
        <v>UCE_elcaggCap_wof_PHL</v>
      </c>
      <c r="AC88" t="str">
        <f t="shared" si="18"/>
        <v>elcagg_wof_PHL</v>
      </c>
      <c r="AD88">
        <v>-1</v>
      </c>
    </row>
    <row r="89" spans="1:30">
      <c r="A89" t="s">
        <v>159</v>
      </c>
      <c r="B89" t="str">
        <f t="shared" si="19"/>
        <v>UCE_elcaggCap_spv_LVA</v>
      </c>
      <c r="C89" t="str">
        <f t="shared" si="15"/>
        <v>e?_spv_LVA*</v>
      </c>
      <c r="D89">
        <v>1</v>
      </c>
      <c r="E89">
        <v>2</v>
      </c>
      <c r="G89" t="str">
        <f t="shared" si="20"/>
        <v>UCE_elcaggCap_spv_LVA</v>
      </c>
      <c r="H89" t="str">
        <f t="shared" si="21"/>
        <v>elcagg_spv_LVA</v>
      </c>
      <c r="I89">
        <v>-1</v>
      </c>
      <c r="K89" t="s">
        <v>186</v>
      </c>
      <c r="L89" t="str">
        <f t="shared" si="22"/>
        <v>UCE_elcaggCap_won_LUX</v>
      </c>
      <c r="M89" t="str">
        <f t="shared" si="16"/>
        <v>e?_won_LUX*</v>
      </c>
      <c r="N89">
        <v>1</v>
      </c>
      <c r="O89">
        <v>2</v>
      </c>
      <c r="Q89" t="str">
        <f t="shared" si="23"/>
        <v>UCE_elcaggCap_won_LUX</v>
      </c>
      <c r="R89" t="str">
        <f t="shared" si="24"/>
        <v>elcagg_won_LUX</v>
      </c>
      <c r="S89">
        <v>-1</v>
      </c>
      <c r="V89" t="s">
        <v>188</v>
      </c>
      <c r="W89" t="str">
        <f t="shared" si="25"/>
        <v>UCE_elcaggCap_wof_PNG</v>
      </c>
      <c r="X89" t="str">
        <f t="shared" si="17"/>
        <v>e?_wof_PNG*</v>
      </c>
      <c r="Y89">
        <v>1</v>
      </c>
      <c r="Z89">
        <v>2</v>
      </c>
      <c r="AB89" t="str">
        <f t="shared" si="26"/>
        <v>UCE_elcaggCap_wof_PNG</v>
      </c>
      <c r="AC89" t="str">
        <f t="shared" si="18"/>
        <v>elcagg_wof_PNG</v>
      </c>
      <c r="AD89">
        <v>-1</v>
      </c>
    </row>
    <row r="90" spans="1:30">
      <c r="A90" t="s">
        <v>160</v>
      </c>
      <c r="B90" t="str">
        <f t="shared" si="19"/>
        <v>UCE_elcaggCap_spv_MAR</v>
      </c>
      <c r="C90" t="str">
        <f t="shared" si="15"/>
        <v>e?_spv_MAR*</v>
      </c>
      <c r="D90">
        <v>1</v>
      </c>
      <c r="E90">
        <v>2</v>
      </c>
      <c r="G90" t="str">
        <f t="shared" si="20"/>
        <v>UCE_elcaggCap_spv_MAR</v>
      </c>
      <c r="H90" t="str">
        <f t="shared" si="21"/>
        <v>elcagg_spv_MAR</v>
      </c>
      <c r="I90">
        <v>-1</v>
      </c>
      <c r="K90" t="s">
        <v>159</v>
      </c>
      <c r="L90" t="str">
        <f t="shared" si="22"/>
        <v>UCE_elcaggCap_won_LVA</v>
      </c>
      <c r="M90" t="str">
        <f t="shared" si="16"/>
        <v>e?_won_LVA*</v>
      </c>
      <c r="N90">
        <v>1</v>
      </c>
      <c r="O90">
        <v>2</v>
      </c>
      <c r="Q90" t="str">
        <f t="shared" si="23"/>
        <v>UCE_elcaggCap_won_LVA</v>
      </c>
      <c r="R90" t="str">
        <f t="shared" si="24"/>
        <v>elcagg_won_LVA</v>
      </c>
      <c r="S90">
        <v>-1</v>
      </c>
      <c r="V90" t="s">
        <v>189</v>
      </c>
      <c r="W90" t="str">
        <f t="shared" si="25"/>
        <v>UCE_elcaggCap_wof_POL</v>
      </c>
      <c r="X90" t="str">
        <f t="shared" si="17"/>
        <v>e?_wof_POL*</v>
      </c>
      <c r="Y90">
        <v>1</v>
      </c>
      <c r="Z90">
        <v>2</v>
      </c>
      <c r="AB90" t="str">
        <f t="shared" si="26"/>
        <v>UCE_elcaggCap_wof_POL</v>
      </c>
      <c r="AC90" t="str">
        <f t="shared" si="18"/>
        <v>elcagg_wof_POL</v>
      </c>
      <c r="AD90">
        <v>-1</v>
      </c>
    </row>
    <row r="91" spans="1:30">
      <c r="A91" t="s">
        <v>190</v>
      </c>
      <c r="B91" t="str">
        <f t="shared" si="19"/>
        <v>UCE_elcaggCap_spv_MDA</v>
      </c>
      <c r="C91" t="str">
        <f t="shared" si="15"/>
        <v>e?_spv_MDA*</v>
      </c>
      <c r="D91">
        <v>1</v>
      </c>
      <c r="E91">
        <v>2</v>
      </c>
      <c r="G91" t="str">
        <f t="shared" si="20"/>
        <v>UCE_elcaggCap_spv_MDA</v>
      </c>
      <c r="H91" t="str">
        <f t="shared" si="21"/>
        <v>elcagg_spv_MDA</v>
      </c>
      <c r="I91">
        <v>-1</v>
      </c>
      <c r="K91" t="s">
        <v>160</v>
      </c>
      <c r="L91" t="str">
        <f t="shared" si="22"/>
        <v>UCE_elcaggCap_won_MAR</v>
      </c>
      <c r="M91" t="str">
        <f t="shared" si="16"/>
        <v>e?_won_MAR*</v>
      </c>
      <c r="N91">
        <v>1</v>
      </c>
      <c r="O91">
        <v>2</v>
      </c>
      <c r="Q91" t="str">
        <f t="shared" si="23"/>
        <v>UCE_elcaggCap_won_MAR</v>
      </c>
      <c r="R91" t="str">
        <f t="shared" si="24"/>
        <v>elcagg_won_MAR</v>
      </c>
      <c r="S91">
        <v>-1</v>
      </c>
      <c r="V91" t="s">
        <v>191</v>
      </c>
      <c r="W91" t="str">
        <f t="shared" si="25"/>
        <v>UCE_elcaggCap_wof_PRI</v>
      </c>
      <c r="X91" t="str">
        <f t="shared" si="17"/>
        <v>e?_wof_PRI*</v>
      </c>
      <c r="Y91">
        <v>1</v>
      </c>
      <c r="Z91">
        <v>2</v>
      </c>
      <c r="AB91" t="str">
        <f t="shared" si="26"/>
        <v>UCE_elcaggCap_wof_PRI</v>
      </c>
      <c r="AC91" t="str">
        <f t="shared" si="18"/>
        <v>elcagg_wof_PRI</v>
      </c>
      <c r="AD91">
        <v>-1</v>
      </c>
    </row>
    <row r="92" spans="1:30">
      <c r="A92" t="s">
        <v>162</v>
      </c>
      <c r="B92" t="str">
        <f t="shared" si="19"/>
        <v>UCE_elcaggCap_spv_MDG</v>
      </c>
      <c r="C92" t="str">
        <f t="shared" si="15"/>
        <v>e?_spv_MDG*</v>
      </c>
      <c r="D92">
        <v>1</v>
      </c>
      <c r="E92">
        <v>2</v>
      </c>
      <c r="G92" t="str">
        <f t="shared" si="20"/>
        <v>UCE_elcaggCap_spv_MDG</v>
      </c>
      <c r="H92" t="str">
        <f t="shared" si="21"/>
        <v>elcagg_spv_MDG</v>
      </c>
      <c r="I92">
        <v>-1</v>
      </c>
      <c r="K92" t="s">
        <v>190</v>
      </c>
      <c r="L92" t="str">
        <f t="shared" si="22"/>
        <v>UCE_elcaggCap_won_MDA</v>
      </c>
      <c r="M92" t="str">
        <f t="shared" si="16"/>
        <v>e?_won_MDA*</v>
      </c>
      <c r="N92">
        <v>1</v>
      </c>
      <c r="O92">
        <v>2</v>
      </c>
      <c r="Q92" t="str">
        <f t="shared" si="23"/>
        <v>UCE_elcaggCap_won_MDA</v>
      </c>
      <c r="R92" t="str">
        <f t="shared" si="24"/>
        <v>elcagg_won_MDA</v>
      </c>
      <c r="S92">
        <v>-1</v>
      </c>
      <c r="V92" t="s">
        <v>192</v>
      </c>
      <c r="W92" t="str">
        <f t="shared" si="25"/>
        <v>UCE_elcaggCap_wof_PRK</v>
      </c>
      <c r="X92" t="str">
        <f t="shared" si="17"/>
        <v>e?_wof_PRK*</v>
      </c>
      <c r="Y92">
        <v>1</v>
      </c>
      <c r="Z92">
        <v>2</v>
      </c>
      <c r="AB92" t="str">
        <f t="shared" si="26"/>
        <v>UCE_elcaggCap_wof_PRK</v>
      </c>
      <c r="AC92" t="str">
        <f t="shared" si="18"/>
        <v>elcagg_wof_PRK</v>
      </c>
      <c r="AD92">
        <v>-1</v>
      </c>
    </row>
    <row r="93" spans="1:30">
      <c r="A93" t="s">
        <v>164</v>
      </c>
      <c r="B93" t="str">
        <f t="shared" si="19"/>
        <v>UCE_elcaggCap_spv_MEX</v>
      </c>
      <c r="C93" t="str">
        <f t="shared" si="15"/>
        <v>e?_spv_MEX*</v>
      </c>
      <c r="D93">
        <v>1</v>
      </c>
      <c r="E93">
        <v>2</v>
      </c>
      <c r="G93" t="str">
        <f t="shared" si="20"/>
        <v>UCE_elcaggCap_spv_MEX</v>
      </c>
      <c r="H93" t="str">
        <f t="shared" si="21"/>
        <v>elcagg_spv_MEX</v>
      </c>
      <c r="I93">
        <v>-1</v>
      </c>
      <c r="K93" t="s">
        <v>162</v>
      </c>
      <c r="L93" t="str">
        <f t="shared" si="22"/>
        <v>UCE_elcaggCap_won_MDG</v>
      </c>
      <c r="M93" t="str">
        <f t="shared" si="16"/>
        <v>e?_won_MDG*</v>
      </c>
      <c r="N93">
        <v>1</v>
      </c>
      <c r="O93">
        <v>2</v>
      </c>
      <c r="Q93" t="str">
        <f t="shared" si="23"/>
        <v>UCE_elcaggCap_won_MDG</v>
      </c>
      <c r="R93" t="str">
        <f t="shared" si="24"/>
        <v>elcagg_won_MDG</v>
      </c>
      <c r="S93">
        <v>-1</v>
      </c>
      <c r="V93" t="s">
        <v>193</v>
      </c>
      <c r="W93" t="str">
        <f t="shared" si="25"/>
        <v>UCE_elcaggCap_wof_PRT</v>
      </c>
      <c r="X93" t="str">
        <f t="shared" si="17"/>
        <v>e?_wof_PRT*</v>
      </c>
      <c r="Y93">
        <v>1</v>
      </c>
      <c r="Z93">
        <v>2</v>
      </c>
      <c r="AB93" t="str">
        <f t="shared" si="26"/>
        <v>UCE_elcaggCap_wof_PRT</v>
      </c>
      <c r="AC93" t="str">
        <f t="shared" si="18"/>
        <v>elcagg_wof_PRT</v>
      </c>
      <c r="AD93">
        <v>-1</v>
      </c>
    </row>
    <row r="94" spans="1:30">
      <c r="A94" t="s">
        <v>194</v>
      </c>
      <c r="B94" t="str">
        <f t="shared" si="19"/>
        <v>UCE_elcaggCap_spv_MKD</v>
      </c>
      <c r="C94" t="str">
        <f t="shared" si="15"/>
        <v>e?_spv_MKD*</v>
      </c>
      <c r="D94">
        <v>1</v>
      </c>
      <c r="E94">
        <v>2</v>
      </c>
      <c r="G94" t="str">
        <f t="shared" si="20"/>
        <v>UCE_elcaggCap_spv_MKD</v>
      </c>
      <c r="H94" t="str">
        <f t="shared" si="21"/>
        <v>elcagg_spv_MKD</v>
      </c>
      <c r="I94">
        <v>-1</v>
      </c>
      <c r="K94" t="s">
        <v>164</v>
      </c>
      <c r="L94" t="str">
        <f t="shared" si="22"/>
        <v>UCE_elcaggCap_won_MEX</v>
      </c>
      <c r="M94" t="str">
        <f t="shared" si="16"/>
        <v>e?_won_MEX*</v>
      </c>
      <c r="N94">
        <v>1</v>
      </c>
      <c r="O94">
        <v>2</v>
      </c>
      <c r="Q94" t="str">
        <f t="shared" si="23"/>
        <v>UCE_elcaggCap_won_MEX</v>
      </c>
      <c r="R94" t="str">
        <f t="shared" si="24"/>
        <v>elcagg_won_MEX</v>
      </c>
      <c r="S94">
        <v>-1</v>
      </c>
      <c r="V94" t="s">
        <v>195</v>
      </c>
      <c r="W94" t="str">
        <f t="shared" si="25"/>
        <v>UCE_elcaggCap_wof_QAT</v>
      </c>
      <c r="X94" t="str">
        <f t="shared" si="17"/>
        <v>e?_wof_QAT*</v>
      </c>
      <c r="Y94">
        <v>1</v>
      </c>
      <c r="Z94">
        <v>2</v>
      </c>
      <c r="AB94" t="str">
        <f t="shared" si="26"/>
        <v>UCE_elcaggCap_wof_QAT</v>
      </c>
      <c r="AC94" t="str">
        <f t="shared" si="18"/>
        <v>elcagg_wof_QAT</v>
      </c>
      <c r="AD94">
        <v>-1</v>
      </c>
    </row>
    <row r="95" spans="1:30">
      <c r="A95" t="s">
        <v>196</v>
      </c>
      <c r="B95" t="str">
        <f t="shared" si="19"/>
        <v>UCE_elcaggCap_spv_MLI</v>
      </c>
      <c r="C95" t="str">
        <f t="shared" si="15"/>
        <v>e?_spv_MLI*</v>
      </c>
      <c r="D95">
        <v>1</v>
      </c>
      <c r="E95">
        <v>2</v>
      </c>
      <c r="G95" t="str">
        <f t="shared" si="20"/>
        <v>UCE_elcaggCap_spv_MLI</v>
      </c>
      <c r="H95" t="str">
        <f t="shared" si="21"/>
        <v>elcagg_spv_MLI</v>
      </c>
      <c r="I95">
        <v>-1</v>
      </c>
      <c r="K95" t="s">
        <v>194</v>
      </c>
      <c r="L95" t="str">
        <f t="shared" si="22"/>
        <v>UCE_elcaggCap_won_MKD</v>
      </c>
      <c r="M95" t="str">
        <f t="shared" si="16"/>
        <v>e?_won_MKD*</v>
      </c>
      <c r="N95">
        <v>1</v>
      </c>
      <c r="O95">
        <v>2</v>
      </c>
      <c r="Q95" t="str">
        <f t="shared" si="23"/>
        <v>UCE_elcaggCap_won_MKD</v>
      </c>
      <c r="R95" t="str">
        <f t="shared" si="24"/>
        <v>elcagg_won_MKD</v>
      </c>
      <c r="S95">
        <v>-1</v>
      </c>
      <c r="V95" t="s">
        <v>197</v>
      </c>
      <c r="W95" t="str">
        <f t="shared" si="25"/>
        <v>UCE_elcaggCap_wof_RUS</v>
      </c>
      <c r="X95" t="str">
        <f t="shared" si="17"/>
        <v>e?_wof_RUS*</v>
      </c>
      <c r="Y95">
        <v>1</v>
      </c>
      <c r="Z95">
        <v>2</v>
      </c>
      <c r="AB95" t="str">
        <f t="shared" si="26"/>
        <v>UCE_elcaggCap_wof_RUS</v>
      </c>
      <c r="AC95" t="str">
        <f t="shared" si="18"/>
        <v>elcagg_wof_RUS</v>
      </c>
      <c r="AD95">
        <v>-1</v>
      </c>
    </row>
    <row r="96" spans="1:30">
      <c r="A96" t="s">
        <v>166</v>
      </c>
      <c r="B96" t="str">
        <f t="shared" si="19"/>
        <v>UCE_elcaggCap_spv_MMR</v>
      </c>
      <c r="C96" t="str">
        <f t="shared" si="15"/>
        <v>e?_spv_MMR*</v>
      </c>
      <c r="D96">
        <v>1</v>
      </c>
      <c r="E96">
        <v>2</v>
      </c>
      <c r="G96" t="str">
        <f t="shared" si="20"/>
        <v>UCE_elcaggCap_spv_MMR</v>
      </c>
      <c r="H96" t="str">
        <f t="shared" si="21"/>
        <v>elcagg_spv_MMR</v>
      </c>
      <c r="I96">
        <v>-1</v>
      </c>
      <c r="K96" t="s">
        <v>196</v>
      </c>
      <c r="L96" t="str">
        <f t="shared" si="22"/>
        <v>UCE_elcaggCap_won_MLI</v>
      </c>
      <c r="M96" t="str">
        <f t="shared" si="16"/>
        <v>e?_won_MLI*</v>
      </c>
      <c r="N96">
        <v>1</v>
      </c>
      <c r="O96">
        <v>2</v>
      </c>
      <c r="Q96" t="str">
        <f t="shared" si="23"/>
        <v>UCE_elcaggCap_won_MLI</v>
      </c>
      <c r="R96" t="str">
        <f t="shared" si="24"/>
        <v>elcagg_won_MLI</v>
      </c>
      <c r="S96">
        <v>-1</v>
      </c>
      <c r="V96" t="s">
        <v>198</v>
      </c>
      <c r="W96" t="str">
        <f t="shared" si="25"/>
        <v>UCE_elcaggCap_wof_SAU</v>
      </c>
      <c r="X96" t="str">
        <f t="shared" si="17"/>
        <v>e?_wof_SAU*</v>
      </c>
      <c r="Y96">
        <v>1</v>
      </c>
      <c r="Z96">
        <v>2</v>
      </c>
      <c r="AB96" t="str">
        <f t="shared" si="26"/>
        <v>UCE_elcaggCap_wof_SAU</v>
      </c>
      <c r="AC96" t="str">
        <f t="shared" si="18"/>
        <v>elcagg_wof_SAU</v>
      </c>
      <c r="AD96">
        <v>-1</v>
      </c>
    </row>
    <row r="97" spans="1:30">
      <c r="A97" t="s">
        <v>168</v>
      </c>
      <c r="B97" t="str">
        <f t="shared" si="19"/>
        <v>UCE_elcaggCap_spv_MNE</v>
      </c>
      <c r="C97" t="str">
        <f t="shared" si="15"/>
        <v>e?_spv_MNE*</v>
      </c>
      <c r="D97">
        <v>1</v>
      </c>
      <c r="E97">
        <v>2</v>
      </c>
      <c r="G97" t="str">
        <f t="shared" si="20"/>
        <v>UCE_elcaggCap_spv_MNE</v>
      </c>
      <c r="H97" t="str">
        <f t="shared" si="21"/>
        <v>elcagg_spv_MNE</v>
      </c>
      <c r="I97">
        <v>-1</v>
      </c>
      <c r="K97" t="s">
        <v>166</v>
      </c>
      <c r="L97" t="str">
        <f t="shared" si="22"/>
        <v>UCE_elcaggCap_won_MMR</v>
      </c>
      <c r="M97" t="str">
        <f t="shared" si="16"/>
        <v>e?_won_MMR*</v>
      </c>
      <c r="N97">
        <v>1</v>
      </c>
      <c r="O97">
        <v>2</v>
      </c>
      <c r="Q97" t="str">
        <f t="shared" si="23"/>
        <v>UCE_elcaggCap_won_MMR</v>
      </c>
      <c r="R97" t="str">
        <f t="shared" si="24"/>
        <v>elcagg_won_MMR</v>
      </c>
      <c r="S97">
        <v>-1</v>
      </c>
      <c r="V97" t="s">
        <v>199</v>
      </c>
      <c r="W97" t="str">
        <f t="shared" si="25"/>
        <v>UCE_elcaggCap_wof_SDN</v>
      </c>
      <c r="X97" t="str">
        <f t="shared" si="17"/>
        <v>e?_wof_SDN*</v>
      </c>
      <c r="Y97">
        <v>1</v>
      </c>
      <c r="Z97">
        <v>2</v>
      </c>
      <c r="AB97" t="str">
        <f t="shared" si="26"/>
        <v>UCE_elcaggCap_wof_SDN</v>
      </c>
      <c r="AC97" t="str">
        <f t="shared" si="18"/>
        <v>elcagg_wof_SDN</v>
      </c>
      <c r="AD97">
        <v>-1</v>
      </c>
    </row>
    <row r="98" spans="1:30">
      <c r="A98" t="s">
        <v>200</v>
      </c>
      <c r="B98" t="str">
        <f t="shared" si="19"/>
        <v>UCE_elcaggCap_spv_MNG</v>
      </c>
      <c r="C98" t="str">
        <f t="shared" si="15"/>
        <v>e?_spv_MNG*</v>
      </c>
      <c r="D98">
        <v>1</v>
      </c>
      <c r="E98">
        <v>2</v>
      </c>
      <c r="G98" t="str">
        <f t="shared" si="20"/>
        <v>UCE_elcaggCap_spv_MNG</v>
      </c>
      <c r="H98" t="str">
        <f t="shared" si="21"/>
        <v>elcagg_spv_MNG</v>
      </c>
      <c r="I98">
        <v>-1</v>
      </c>
      <c r="K98" t="s">
        <v>168</v>
      </c>
      <c r="L98" t="str">
        <f t="shared" si="22"/>
        <v>UCE_elcaggCap_won_MNE</v>
      </c>
      <c r="M98" t="str">
        <f t="shared" si="16"/>
        <v>e?_won_MNE*</v>
      </c>
      <c r="N98">
        <v>1</v>
      </c>
      <c r="O98">
        <v>2</v>
      </c>
      <c r="Q98" t="str">
        <f t="shared" si="23"/>
        <v>UCE_elcaggCap_won_MNE</v>
      </c>
      <c r="R98" t="str">
        <f t="shared" si="24"/>
        <v>elcagg_won_MNE</v>
      </c>
      <c r="S98">
        <v>-1</v>
      </c>
      <c r="V98" t="s">
        <v>201</v>
      </c>
      <c r="W98" t="str">
        <f t="shared" si="25"/>
        <v>UCE_elcaggCap_wof_SEN</v>
      </c>
      <c r="X98" t="str">
        <f t="shared" si="17"/>
        <v>e?_wof_SEN*</v>
      </c>
      <c r="Y98">
        <v>1</v>
      </c>
      <c r="Z98">
        <v>2</v>
      </c>
      <c r="AB98" t="str">
        <f t="shared" si="26"/>
        <v>UCE_elcaggCap_wof_SEN</v>
      </c>
      <c r="AC98" t="str">
        <f t="shared" si="18"/>
        <v>elcagg_wof_SEN</v>
      </c>
      <c r="AD98">
        <v>-1</v>
      </c>
    </row>
    <row r="99" spans="1:30">
      <c r="A99" t="s">
        <v>169</v>
      </c>
      <c r="B99" t="str">
        <f t="shared" si="19"/>
        <v>UCE_elcaggCap_spv_MOZ</v>
      </c>
      <c r="C99" t="str">
        <f t="shared" si="15"/>
        <v>e?_spv_MOZ*</v>
      </c>
      <c r="D99">
        <v>1</v>
      </c>
      <c r="E99">
        <v>2</v>
      </c>
      <c r="G99" t="str">
        <f t="shared" si="20"/>
        <v>UCE_elcaggCap_spv_MOZ</v>
      </c>
      <c r="H99" t="str">
        <f t="shared" si="21"/>
        <v>elcagg_spv_MOZ</v>
      </c>
      <c r="I99">
        <v>-1</v>
      </c>
      <c r="K99" t="s">
        <v>200</v>
      </c>
      <c r="L99" t="str">
        <f t="shared" si="22"/>
        <v>UCE_elcaggCap_won_MNG</v>
      </c>
      <c r="M99" t="str">
        <f t="shared" si="16"/>
        <v>e?_won_MNG*</v>
      </c>
      <c r="N99">
        <v>1</v>
      </c>
      <c r="O99">
        <v>2</v>
      </c>
      <c r="Q99" t="str">
        <f t="shared" si="23"/>
        <v>UCE_elcaggCap_won_MNG</v>
      </c>
      <c r="R99" t="str">
        <f t="shared" si="24"/>
        <v>elcagg_won_MNG</v>
      </c>
      <c r="S99">
        <v>-1</v>
      </c>
      <c r="V99" t="s">
        <v>202</v>
      </c>
      <c r="W99" t="str">
        <f t="shared" si="25"/>
        <v>UCE_elcaggCap_wof_SGP</v>
      </c>
      <c r="X99" t="str">
        <f t="shared" si="17"/>
        <v>e?_wof_SGP*</v>
      </c>
      <c r="Y99">
        <v>1</v>
      </c>
      <c r="Z99">
        <v>2</v>
      </c>
      <c r="AB99" t="str">
        <f t="shared" si="26"/>
        <v>UCE_elcaggCap_wof_SGP</v>
      </c>
      <c r="AC99" t="str">
        <f t="shared" si="18"/>
        <v>elcagg_wof_SGP</v>
      </c>
      <c r="AD99">
        <v>-1</v>
      </c>
    </row>
    <row r="100" spans="1:30">
      <c r="A100" t="s">
        <v>170</v>
      </c>
      <c r="B100" t="str">
        <f t="shared" si="19"/>
        <v>UCE_elcaggCap_spv_MRT</v>
      </c>
      <c r="C100" t="str">
        <f t="shared" si="15"/>
        <v>e?_spv_MRT*</v>
      </c>
      <c r="D100">
        <v>1</v>
      </c>
      <c r="E100">
        <v>2</v>
      </c>
      <c r="G100" t="str">
        <f t="shared" si="20"/>
        <v>UCE_elcaggCap_spv_MRT</v>
      </c>
      <c r="H100" t="str">
        <f t="shared" si="21"/>
        <v>elcagg_spv_MRT</v>
      </c>
      <c r="I100">
        <v>-1</v>
      </c>
      <c r="K100" t="s">
        <v>169</v>
      </c>
      <c r="L100" t="str">
        <f t="shared" si="22"/>
        <v>UCE_elcaggCap_won_MOZ</v>
      </c>
      <c r="M100" t="str">
        <f t="shared" si="16"/>
        <v>e?_won_MOZ*</v>
      </c>
      <c r="N100">
        <v>1</v>
      </c>
      <c r="O100">
        <v>2</v>
      </c>
      <c r="Q100" t="str">
        <f t="shared" si="23"/>
        <v>UCE_elcaggCap_won_MOZ</v>
      </c>
      <c r="R100" t="str">
        <f t="shared" si="24"/>
        <v>elcagg_won_MOZ</v>
      </c>
      <c r="S100">
        <v>-1</v>
      </c>
      <c r="V100" t="s">
        <v>203</v>
      </c>
      <c r="W100" t="str">
        <f t="shared" si="25"/>
        <v>UCE_elcaggCap_wof_SLE</v>
      </c>
      <c r="X100" t="str">
        <f t="shared" si="17"/>
        <v>e?_wof_SLE*</v>
      </c>
      <c r="Y100">
        <v>1</v>
      </c>
      <c r="Z100">
        <v>2</v>
      </c>
      <c r="AB100" t="str">
        <f t="shared" si="26"/>
        <v>UCE_elcaggCap_wof_SLE</v>
      </c>
      <c r="AC100" t="str">
        <f t="shared" si="18"/>
        <v>elcagg_wof_SLE</v>
      </c>
      <c r="AD100">
        <v>-1</v>
      </c>
    </row>
    <row r="101" spans="1:30">
      <c r="A101" t="s">
        <v>204</v>
      </c>
      <c r="B101" t="str">
        <f t="shared" si="19"/>
        <v>UCE_elcaggCap_spv_MWI</v>
      </c>
      <c r="C101" t="str">
        <f t="shared" si="15"/>
        <v>e?_spv_MWI*</v>
      </c>
      <c r="D101">
        <v>1</v>
      </c>
      <c r="E101">
        <v>2</v>
      </c>
      <c r="G101" t="str">
        <f t="shared" si="20"/>
        <v>UCE_elcaggCap_spv_MWI</v>
      </c>
      <c r="H101" t="str">
        <f t="shared" si="21"/>
        <v>elcagg_spv_MWI</v>
      </c>
      <c r="I101">
        <v>-1</v>
      </c>
      <c r="K101" t="s">
        <v>170</v>
      </c>
      <c r="L101" t="str">
        <f t="shared" si="22"/>
        <v>UCE_elcaggCap_won_MRT</v>
      </c>
      <c r="M101" t="str">
        <f t="shared" si="16"/>
        <v>e?_won_MRT*</v>
      </c>
      <c r="N101">
        <v>1</v>
      </c>
      <c r="O101">
        <v>2</v>
      </c>
      <c r="Q101" t="str">
        <f t="shared" si="23"/>
        <v>UCE_elcaggCap_won_MRT</v>
      </c>
      <c r="R101" t="str">
        <f t="shared" si="24"/>
        <v>elcagg_won_MRT</v>
      </c>
      <c r="S101">
        <v>-1</v>
      </c>
      <c r="V101" t="s">
        <v>205</v>
      </c>
      <c r="W101" t="str">
        <f t="shared" si="25"/>
        <v>UCE_elcaggCap_wof_SLV</v>
      </c>
      <c r="X101" t="str">
        <f t="shared" si="17"/>
        <v>e?_wof_SLV*</v>
      </c>
      <c r="Y101">
        <v>1</v>
      </c>
      <c r="Z101">
        <v>2</v>
      </c>
      <c r="AB101" t="str">
        <f t="shared" si="26"/>
        <v>UCE_elcaggCap_wof_SLV</v>
      </c>
      <c r="AC101" t="str">
        <f t="shared" si="18"/>
        <v>elcagg_wof_SLV</v>
      </c>
      <c r="AD101">
        <v>-1</v>
      </c>
    </row>
    <row r="102" spans="1:30">
      <c r="A102" t="s">
        <v>171</v>
      </c>
      <c r="B102" t="str">
        <f t="shared" si="19"/>
        <v>UCE_elcaggCap_spv_MYS</v>
      </c>
      <c r="C102" t="str">
        <f t="shared" si="15"/>
        <v>e?_spv_MYS*</v>
      </c>
      <c r="D102">
        <v>1</v>
      </c>
      <c r="E102">
        <v>2</v>
      </c>
      <c r="G102" t="str">
        <f t="shared" si="20"/>
        <v>UCE_elcaggCap_spv_MYS</v>
      </c>
      <c r="H102" t="str">
        <f t="shared" si="21"/>
        <v>elcagg_spv_MYS</v>
      </c>
      <c r="I102">
        <v>-1</v>
      </c>
      <c r="K102" t="s">
        <v>204</v>
      </c>
      <c r="L102" t="str">
        <f t="shared" si="22"/>
        <v>UCE_elcaggCap_won_MWI</v>
      </c>
      <c r="M102" t="str">
        <f t="shared" si="16"/>
        <v>e?_won_MWI*</v>
      </c>
      <c r="N102">
        <v>1</v>
      </c>
      <c r="O102">
        <v>2</v>
      </c>
      <c r="Q102" t="str">
        <f t="shared" si="23"/>
        <v>UCE_elcaggCap_won_MWI</v>
      </c>
      <c r="R102" t="str">
        <f t="shared" si="24"/>
        <v>elcagg_won_MWI</v>
      </c>
      <c r="S102">
        <v>-1</v>
      </c>
      <c r="V102" t="s">
        <v>206</v>
      </c>
      <c r="W102" t="str">
        <f t="shared" si="25"/>
        <v>UCE_elcaggCap_wof_SOM</v>
      </c>
      <c r="X102" t="str">
        <f t="shared" si="17"/>
        <v>e?_wof_SOM*</v>
      </c>
      <c r="Y102">
        <v>1</v>
      </c>
      <c r="Z102">
        <v>2</v>
      </c>
      <c r="AB102" t="str">
        <f t="shared" si="26"/>
        <v>UCE_elcaggCap_wof_SOM</v>
      </c>
      <c r="AC102" t="str">
        <f t="shared" si="18"/>
        <v>elcagg_wof_SOM</v>
      </c>
      <c r="AD102">
        <v>-1</v>
      </c>
    </row>
    <row r="103" spans="1:30">
      <c r="A103" t="s">
        <v>173</v>
      </c>
      <c r="B103" t="str">
        <f t="shared" si="19"/>
        <v>UCE_elcaggCap_spv_NAM</v>
      </c>
      <c r="C103" t="str">
        <f t="shared" si="15"/>
        <v>e?_spv_NAM*</v>
      </c>
      <c r="D103">
        <v>1</v>
      </c>
      <c r="E103">
        <v>2</v>
      </c>
      <c r="G103" t="str">
        <f t="shared" si="20"/>
        <v>UCE_elcaggCap_spv_NAM</v>
      </c>
      <c r="H103" t="str">
        <f t="shared" si="21"/>
        <v>elcagg_spv_NAM</v>
      </c>
      <c r="I103">
        <v>-1</v>
      </c>
      <c r="K103" t="s">
        <v>171</v>
      </c>
      <c r="L103" t="str">
        <f t="shared" si="22"/>
        <v>UCE_elcaggCap_won_MYS</v>
      </c>
      <c r="M103" t="str">
        <f t="shared" si="16"/>
        <v>e?_won_MYS*</v>
      </c>
      <c r="N103">
        <v>1</v>
      </c>
      <c r="O103">
        <v>2</v>
      </c>
      <c r="Q103" t="str">
        <f t="shared" si="23"/>
        <v>UCE_elcaggCap_won_MYS</v>
      </c>
      <c r="R103" t="str">
        <f t="shared" si="24"/>
        <v>elcagg_won_MYS</v>
      </c>
      <c r="S103">
        <v>-1</v>
      </c>
      <c r="V103" t="s">
        <v>207</v>
      </c>
      <c r="W103" t="str">
        <f t="shared" si="25"/>
        <v>UCE_elcaggCap_wof_SUR</v>
      </c>
      <c r="X103" t="str">
        <f t="shared" si="17"/>
        <v>e?_wof_SUR*</v>
      </c>
      <c r="Y103">
        <v>1</v>
      </c>
      <c r="Z103">
        <v>2</v>
      </c>
      <c r="AB103" t="str">
        <f t="shared" si="26"/>
        <v>UCE_elcaggCap_wof_SUR</v>
      </c>
      <c r="AC103" t="str">
        <f t="shared" si="18"/>
        <v>elcagg_wof_SUR</v>
      </c>
      <c r="AD103">
        <v>-1</v>
      </c>
    </row>
    <row r="104" spans="1:30">
      <c r="A104" t="s">
        <v>174</v>
      </c>
      <c r="B104" t="str">
        <f t="shared" si="19"/>
        <v>UCE_elcaggCap_spv_NCL</v>
      </c>
      <c r="C104" t="str">
        <f t="shared" si="15"/>
        <v>e?_spv_NCL*</v>
      </c>
      <c r="D104">
        <v>1</v>
      </c>
      <c r="E104">
        <v>2</v>
      </c>
      <c r="G104" t="str">
        <f t="shared" si="20"/>
        <v>UCE_elcaggCap_spv_NCL</v>
      </c>
      <c r="H104" t="str">
        <f t="shared" si="21"/>
        <v>elcagg_spv_NCL</v>
      </c>
      <c r="I104">
        <v>-1</v>
      </c>
      <c r="K104" t="s">
        <v>173</v>
      </c>
      <c r="L104" t="str">
        <f t="shared" si="22"/>
        <v>UCE_elcaggCap_won_NAM</v>
      </c>
      <c r="M104" t="str">
        <f t="shared" si="16"/>
        <v>e?_won_NAM*</v>
      </c>
      <c r="N104">
        <v>1</v>
      </c>
      <c r="O104">
        <v>2</v>
      </c>
      <c r="Q104" t="str">
        <f t="shared" si="23"/>
        <v>UCE_elcaggCap_won_NAM</v>
      </c>
      <c r="R104" t="str">
        <f t="shared" si="24"/>
        <v>elcagg_won_NAM</v>
      </c>
      <c r="S104">
        <v>-1</v>
      </c>
      <c r="V104" t="s">
        <v>208</v>
      </c>
      <c r="W104" t="str">
        <f t="shared" si="25"/>
        <v>UCE_elcaggCap_wof_SWE</v>
      </c>
      <c r="X104" t="str">
        <f t="shared" si="17"/>
        <v>e?_wof_SWE*</v>
      </c>
      <c r="Y104">
        <v>1</v>
      </c>
      <c r="Z104">
        <v>2</v>
      </c>
      <c r="AB104" t="str">
        <f t="shared" si="26"/>
        <v>UCE_elcaggCap_wof_SWE</v>
      </c>
      <c r="AC104" t="str">
        <f t="shared" si="18"/>
        <v>elcagg_wof_SWE</v>
      </c>
      <c r="AD104">
        <v>-1</v>
      </c>
    </row>
    <row r="105" spans="1:30">
      <c r="A105" t="s">
        <v>209</v>
      </c>
      <c r="B105" t="str">
        <f t="shared" si="19"/>
        <v>UCE_elcaggCap_spv_NER</v>
      </c>
      <c r="C105" t="str">
        <f t="shared" si="15"/>
        <v>e?_spv_NER*</v>
      </c>
      <c r="D105">
        <v>1</v>
      </c>
      <c r="E105">
        <v>2</v>
      </c>
      <c r="G105" t="str">
        <f t="shared" si="20"/>
        <v>UCE_elcaggCap_spv_NER</v>
      </c>
      <c r="H105" t="str">
        <f t="shared" si="21"/>
        <v>elcagg_spv_NER</v>
      </c>
      <c r="I105">
        <v>-1</v>
      </c>
      <c r="K105" t="s">
        <v>174</v>
      </c>
      <c r="L105" t="str">
        <f t="shared" si="22"/>
        <v>UCE_elcaggCap_won_NCL</v>
      </c>
      <c r="M105" t="str">
        <f t="shared" si="16"/>
        <v>e?_won_NCL*</v>
      </c>
      <c r="N105">
        <v>1</v>
      </c>
      <c r="O105">
        <v>2</v>
      </c>
      <c r="Q105" t="str">
        <f t="shared" si="23"/>
        <v>UCE_elcaggCap_won_NCL</v>
      </c>
      <c r="R105" t="str">
        <f t="shared" si="24"/>
        <v>elcagg_won_NCL</v>
      </c>
      <c r="S105">
        <v>-1</v>
      </c>
      <c r="V105" t="s">
        <v>210</v>
      </c>
      <c r="W105" t="str">
        <f t="shared" si="25"/>
        <v>UCE_elcaggCap_wof_SYR</v>
      </c>
      <c r="X105" t="str">
        <f t="shared" si="17"/>
        <v>e?_wof_SYR*</v>
      </c>
      <c r="Y105">
        <v>1</v>
      </c>
      <c r="Z105">
        <v>2</v>
      </c>
      <c r="AB105" t="str">
        <f t="shared" si="26"/>
        <v>UCE_elcaggCap_wof_SYR</v>
      </c>
      <c r="AC105" t="str">
        <f t="shared" si="18"/>
        <v>elcagg_wof_SYR</v>
      </c>
      <c r="AD105">
        <v>-1</v>
      </c>
    </row>
    <row r="106" spans="1:30">
      <c r="A106" t="s">
        <v>175</v>
      </c>
      <c r="B106" t="str">
        <f t="shared" si="19"/>
        <v>UCE_elcaggCap_spv_NGA</v>
      </c>
      <c r="C106" t="str">
        <f t="shared" si="15"/>
        <v>e?_spv_NGA*</v>
      </c>
      <c r="D106">
        <v>1</v>
      </c>
      <c r="E106">
        <v>2</v>
      </c>
      <c r="G106" t="str">
        <f t="shared" si="20"/>
        <v>UCE_elcaggCap_spv_NGA</v>
      </c>
      <c r="H106" t="str">
        <f t="shared" si="21"/>
        <v>elcagg_spv_NGA</v>
      </c>
      <c r="I106">
        <v>-1</v>
      </c>
      <c r="K106" t="s">
        <v>209</v>
      </c>
      <c r="L106" t="str">
        <f t="shared" si="22"/>
        <v>UCE_elcaggCap_won_NER</v>
      </c>
      <c r="M106" t="str">
        <f t="shared" si="16"/>
        <v>e?_won_NER*</v>
      </c>
      <c r="N106">
        <v>1</v>
      </c>
      <c r="O106">
        <v>2</v>
      </c>
      <c r="Q106" t="str">
        <f t="shared" si="23"/>
        <v>UCE_elcaggCap_won_NER</v>
      </c>
      <c r="R106" t="str">
        <f t="shared" si="24"/>
        <v>elcagg_won_NER</v>
      </c>
      <c r="S106">
        <v>-1</v>
      </c>
      <c r="V106" t="s">
        <v>211</v>
      </c>
      <c r="W106" t="str">
        <f t="shared" si="25"/>
        <v>UCE_elcaggCap_wof_TGO</v>
      </c>
      <c r="X106" t="str">
        <f t="shared" si="17"/>
        <v>e?_wof_TGO*</v>
      </c>
      <c r="Y106">
        <v>1</v>
      </c>
      <c r="Z106">
        <v>2</v>
      </c>
      <c r="AB106" t="str">
        <f t="shared" si="26"/>
        <v>UCE_elcaggCap_wof_TGO</v>
      </c>
      <c r="AC106" t="str">
        <f t="shared" si="18"/>
        <v>elcagg_wof_TGO</v>
      </c>
      <c r="AD106">
        <v>-1</v>
      </c>
    </row>
    <row r="107" spans="1:30">
      <c r="A107" t="s">
        <v>176</v>
      </c>
      <c r="B107" t="str">
        <f t="shared" si="19"/>
        <v>UCE_elcaggCap_spv_NIC</v>
      </c>
      <c r="C107" t="str">
        <f t="shared" si="15"/>
        <v>e?_spv_NIC*</v>
      </c>
      <c r="D107">
        <v>1</v>
      </c>
      <c r="E107">
        <v>2</v>
      </c>
      <c r="G107" t="str">
        <f t="shared" si="20"/>
        <v>UCE_elcaggCap_spv_NIC</v>
      </c>
      <c r="H107" t="str">
        <f t="shared" si="21"/>
        <v>elcagg_spv_NIC</v>
      </c>
      <c r="I107">
        <v>-1</v>
      </c>
      <c r="K107" t="s">
        <v>175</v>
      </c>
      <c r="L107" t="str">
        <f t="shared" si="22"/>
        <v>UCE_elcaggCap_won_NGA</v>
      </c>
      <c r="M107" t="str">
        <f t="shared" si="16"/>
        <v>e?_won_NGA*</v>
      </c>
      <c r="N107">
        <v>1</v>
      </c>
      <c r="O107">
        <v>2</v>
      </c>
      <c r="Q107" t="str">
        <f t="shared" si="23"/>
        <v>UCE_elcaggCap_won_NGA</v>
      </c>
      <c r="R107" t="str">
        <f t="shared" si="24"/>
        <v>elcagg_won_NGA</v>
      </c>
      <c r="S107">
        <v>-1</v>
      </c>
      <c r="V107" t="s">
        <v>212</v>
      </c>
      <c r="W107" t="str">
        <f t="shared" si="25"/>
        <v>UCE_elcaggCap_wof_THA</v>
      </c>
      <c r="X107" t="str">
        <f t="shared" si="17"/>
        <v>e?_wof_THA*</v>
      </c>
      <c r="Y107">
        <v>1</v>
      </c>
      <c r="Z107">
        <v>2</v>
      </c>
      <c r="AB107" t="str">
        <f t="shared" si="26"/>
        <v>UCE_elcaggCap_wof_THA</v>
      </c>
      <c r="AC107" t="str">
        <f t="shared" si="18"/>
        <v>elcagg_wof_THA</v>
      </c>
      <c r="AD107">
        <v>-1</v>
      </c>
    </row>
    <row r="108" spans="1:30">
      <c r="A108" t="s">
        <v>178</v>
      </c>
      <c r="B108" t="str">
        <f t="shared" si="19"/>
        <v>UCE_elcaggCap_spv_NLD</v>
      </c>
      <c r="C108" t="str">
        <f t="shared" si="15"/>
        <v>e?_spv_NLD*</v>
      </c>
      <c r="D108">
        <v>1</v>
      </c>
      <c r="E108">
        <v>2</v>
      </c>
      <c r="G108" t="str">
        <f t="shared" si="20"/>
        <v>UCE_elcaggCap_spv_NLD</v>
      </c>
      <c r="H108" t="str">
        <f t="shared" si="21"/>
        <v>elcagg_spv_NLD</v>
      </c>
      <c r="I108">
        <v>-1</v>
      </c>
      <c r="K108" t="s">
        <v>176</v>
      </c>
      <c r="L108" t="str">
        <f t="shared" si="22"/>
        <v>UCE_elcaggCap_won_NIC</v>
      </c>
      <c r="M108" t="str">
        <f t="shared" si="16"/>
        <v>e?_won_NIC*</v>
      </c>
      <c r="N108">
        <v>1</v>
      </c>
      <c r="O108">
        <v>2</v>
      </c>
      <c r="Q108" t="str">
        <f t="shared" si="23"/>
        <v>UCE_elcaggCap_won_NIC</v>
      </c>
      <c r="R108" t="str">
        <f t="shared" si="24"/>
        <v>elcagg_won_NIC</v>
      </c>
      <c r="S108">
        <v>-1</v>
      </c>
      <c r="V108" t="s">
        <v>213</v>
      </c>
      <c r="W108" t="str">
        <f t="shared" si="25"/>
        <v>UCE_elcaggCap_wof_TKM</v>
      </c>
      <c r="X108" t="str">
        <f t="shared" si="17"/>
        <v>e?_wof_TKM*</v>
      </c>
      <c r="Y108">
        <v>1</v>
      </c>
      <c r="Z108">
        <v>2</v>
      </c>
      <c r="AB108" t="str">
        <f t="shared" si="26"/>
        <v>UCE_elcaggCap_wof_TKM</v>
      </c>
      <c r="AC108" t="str">
        <f t="shared" si="18"/>
        <v>elcagg_wof_TKM</v>
      </c>
      <c r="AD108">
        <v>-1</v>
      </c>
    </row>
    <row r="109" spans="1:30">
      <c r="A109" t="s">
        <v>179</v>
      </c>
      <c r="B109" t="str">
        <f t="shared" si="19"/>
        <v>UCE_elcaggCap_spv_NOR</v>
      </c>
      <c r="C109" t="str">
        <f t="shared" si="15"/>
        <v>e?_spv_NOR*</v>
      </c>
      <c r="D109">
        <v>1</v>
      </c>
      <c r="E109">
        <v>2</v>
      </c>
      <c r="G109" t="str">
        <f t="shared" si="20"/>
        <v>UCE_elcaggCap_spv_NOR</v>
      </c>
      <c r="H109" t="str">
        <f t="shared" si="21"/>
        <v>elcagg_spv_NOR</v>
      </c>
      <c r="I109">
        <v>-1</v>
      </c>
      <c r="K109" t="s">
        <v>178</v>
      </c>
      <c r="L109" t="str">
        <f t="shared" si="22"/>
        <v>UCE_elcaggCap_won_NLD</v>
      </c>
      <c r="M109" t="str">
        <f t="shared" si="16"/>
        <v>e?_won_NLD*</v>
      </c>
      <c r="N109">
        <v>1</v>
      </c>
      <c r="O109">
        <v>2</v>
      </c>
      <c r="Q109" t="str">
        <f t="shared" si="23"/>
        <v>UCE_elcaggCap_won_NLD</v>
      </c>
      <c r="R109" t="str">
        <f t="shared" si="24"/>
        <v>elcagg_won_NLD</v>
      </c>
      <c r="S109">
        <v>-1</v>
      </c>
      <c r="V109" t="s">
        <v>214</v>
      </c>
      <c r="W109" t="str">
        <f t="shared" si="25"/>
        <v>UCE_elcaggCap_wof_TTO</v>
      </c>
      <c r="X109" t="str">
        <f t="shared" si="17"/>
        <v>e?_wof_TTO*</v>
      </c>
      <c r="Y109">
        <v>1</v>
      </c>
      <c r="Z109">
        <v>2</v>
      </c>
      <c r="AB109" t="str">
        <f t="shared" si="26"/>
        <v>UCE_elcaggCap_wof_TTO</v>
      </c>
      <c r="AC109" t="str">
        <f t="shared" si="18"/>
        <v>elcagg_wof_TTO</v>
      </c>
      <c r="AD109">
        <v>-1</v>
      </c>
    </row>
    <row r="110" spans="1:30">
      <c r="A110" t="s">
        <v>215</v>
      </c>
      <c r="B110" t="str">
        <f t="shared" si="19"/>
        <v>UCE_elcaggCap_spv_NPL</v>
      </c>
      <c r="C110" t="str">
        <f t="shared" si="15"/>
        <v>e?_spv_NPL*</v>
      </c>
      <c r="D110">
        <v>1</v>
      </c>
      <c r="E110">
        <v>2</v>
      </c>
      <c r="G110" t="str">
        <f t="shared" si="20"/>
        <v>UCE_elcaggCap_spv_NPL</v>
      </c>
      <c r="H110" t="str">
        <f t="shared" si="21"/>
        <v>elcagg_spv_NPL</v>
      </c>
      <c r="I110">
        <v>-1</v>
      </c>
      <c r="K110" t="s">
        <v>179</v>
      </c>
      <c r="L110" t="str">
        <f t="shared" si="22"/>
        <v>UCE_elcaggCap_won_NOR</v>
      </c>
      <c r="M110" t="str">
        <f t="shared" si="16"/>
        <v>e?_won_NOR*</v>
      </c>
      <c r="N110">
        <v>1</v>
      </c>
      <c r="O110">
        <v>2</v>
      </c>
      <c r="Q110" t="str">
        <f t="shared" si="23"/>
        <v>UCE_elcaggCap_won_NOR</v>
      </c>
      <c r="R110" t="str">
        <f t="shared" si="24"/>
        <v>elcagg_won_NOR</v>
      </c>
      <c r="S110">
        <v>-1</v>
      </c>
      <c r="V110" t="s">
        <v>216</v>
      </c>
      <c r="W110" t="str">
        <f t="shared" si="25"/>
        <v>UCE_elcaggCap_wof_TUN</v>
      </c>
      <c r="X110" t="str">
        <f t="shared" si="17"/>
        <v>e?_wof_TUN*</v>
      </c>
      <c r="Y110">
        <v>1</v>
      </c>
      <c r="Z110">
        <v>2</v>
      </c>
      <c r="AB110" t="str">
        <f t="shared" si="26"/>
        <v>UCE_elcaggCap_wof_TUN</v>
      </c>
      <c r="AC110" t="str">
        <f t="shared" si="18"/>
        <v>elcagg_wof_TUN</v>
      </c>
      <c r="AD110">
        <v>-1</v>
      </c>
    </row>
    <row r="111" spans="1:30">
      <c r="A111" t="s">
        <v>180</v>
      </c>
      <c r="B111" t="str">
        <f t="shared" si="19"/>
        <v>UCE_elcaggCap_spv_NZL</v>
      </c>
      <c r="C111" t="str">
        <f t="shared" si="15"/>
        <v>e?_spv_NZL*</v>
      </c>
      <c r="D111">
        <v>1</v>
      </c>
      <c r="E111">
        <v>2</v>
      </c>
      <c r="G111" t="str">
        <f t="shared" si="20"/>
        <v>UCE_elcaggCap_spv_NZL</v>
      </c>
      <c r="H111" t="str">
        <f t="shared" si="21"/>
        <v>elcagg_spv_NZL</v>
      </c>
      <c r="I111">
        <v>-1</v>
      </c>
      <c r="K111" t="s">
        <v>215</v>
      </c>
      <c r="L111" t="str">
        <f t="shared" si="22"/>
        <v>UCE_elcaggCap_won_NPL</v>
      </c>
      <c r="M111" t="str">
        <f t="shared" si="16"/>
        <v>e?_won_NPL*</v>
      </c>
      <c r="N111">
        <v>1</v>
      </c>
      <c r="O111">
        <v>2</v>
      </c>
      <c r="Q111" t="str">
        <f t="shared" si="23"/>
        <v>UCE_elcaggCap_won_NPL</v>
      </c>
      <c r="R111" t="str">
        <f t="shared" si="24"/>
        <v>elcagg_won_NPL</v>
      </c>
      <c r="S111">
        <v>-1</v>
      </c>
      <c r="V111" t="s">
        <v>217</v>
      </c>
      <c r="W111" t="str">
        <f t="shared" si="25"/>
        <v>UCE_elcaggCap_wof_TUR</v>
      </c>
      <c r="X111" t="str">
        <f t="shared" si="17"/>
        <v>e?_wof_TUR*</v>
      </c>
      <c r="Y111">
        <v>1</v>
      </c>
      <c r="Z111">
        <v>2</v>
      </c>
      <c r="AB111" t="str">
        <f t="shared" si="26"/>
        <v>UCE_elcaggCap_wof_TUR</v>
      </c>
      <c r="AC111" t="str">
        <f t="shared" si="18"/>
        <v>elcagg_wof_TUR</v>
      </c>
      <c r="AD111">
        <v>-1</v>
      </c>
    </row>
    <row r="112" spans="1:30">
      <c r="A112" t="s">
        <v>181</v>
      </c>
      <c r="B112" t="str">
        <f t="shared" si="19"/>
        <v>UCE_elcaggCap_spv_OMN</v>
      </c>
      <c r="C112" t="str">
        <f t="shared" si="15"/>
        <v>e?_spv_OMN*</v>
      </c>
      <c r="D112">
        <v>1</v>
      </c>
      <c r="E112">
        <v>2</v>
      </c>
      <c r="G112" t="str">
        <f t="shared" si="20"/>
        <v>UCE_elcaggCap_spv_OMN</v>
      </c>
      <c r="H112" t="str">
        <f t="shared" si="21"/>
        <v>elcagg_spv_OMN</v>
      </c>
      <c r="I112">
        <v>-1</v>
      </c>
      <c r="K112" t="s">
        <v>180</v>
      </c>
      <c r="L112" t="str">
        <f t="shared" si="22"/>
        <v>UCE_elcaggCap_won_NZL</v>
      </c>
      <c r="M112" t="str">
        <f t="shared" si="16"/>
        <v>e?_won_NZL*</v>
      </c>
      <c r="N112">
        <v>1</v>
      </c>
      <c r="O112">
        <v>2</v>
      </c>
      <c r="Q112" t="str">
        <f t="shared" si="23"/>
        <v>UCE_elcaggCap_won_NZL</v>
      </c>
      <c r="R112" t="str">
        <f t="shared" si="24"/>
        <v>elcagg_won_NZL</v>
      </c>
      <c r="S112">
        <v>-1</v>
      </c>
      <c r="V112" t="s">
        <v>218</v>
      </c>
      <c r="W112" t="str">
        <f t="shared" si="25"/>
        <v>UCE_elcaggCap_wof_TWN</v>
      </c>
      <c r="X112" t="str">
        <f t="shared" si="17"/>
        <v>e?_wof_TWN*</v>
      </c>
      <c r="Y112">
        <v>1</v>
      </c>
      <c r="Z112">
        <v>2</v>
      </c>
      <c r="AB112" t="str">
        <f t="shared" si="26"/>
        <v>UCE_elcaggCap_wof_TWN</v>
      </c>
      <c r="AC112" t="str">
        <f t="shared" si="18"/>
        <v>elcagg_wof_TWN</v>
      </c>
      <c r="AD112">
        <v>-1</v>
      </c>
    </row>
    <row r="113" spans="1:30">
      <c r="A113" t="s">
        <v>182</v>
      </c>
      <c r="B113" t="str">
        <f t="shared" si="19"/>
        <v>UCE_elcaggCap_spv_PAK</v>
      </c>
      <c r="C113" t="str">
        <f t="shared" si="15"/>
        <v>e?_spv_PAK*</v>
      </c>
      <c r="D113">
        <v>1</v>
      </c>
      <c r="E113">
        <v>2</v>
      </c>
      <c r="G113" t="str">
        <f t="shared" si="20"/>
        <v>UCE_elcaggCap_spv_PAK</v>
      </c>
      <c r="H113" t="str">
        <f t="shared" si="21"/>
        <v>elcagg_spv_PAK</v>
      </c>
      <c r="I113">
        <v>-1</v>
      </c>
      <c r="K113" t="s">
        <v>181</v>
      </c>
      <c r="L113" t="str">
        <f t="shared" si="22"/>
        <v>UCE_elcaggCap_won_OMN</v>
      </c>
      <c r="M113" t="str">
        <f t="shared" si="16"/>
        <v>e?_won_OMN*</v>
      </c>
      <c r="N113">
        <v>1</v>
      </c>
      <c r="O113">
        <v>2</v>
      </c>
      <c r="Q113" t="str">
        <f t="shared" si="23"/>
        <v>UCE_elcaggCap_won_OMN</v>
      </c>
      <c r="R113" t="str">
        <f t="shared" si="24"/>
        <v>elcagg_won_OMN</v>
      </c>
      <c r="S113">
        <v>-1</v>
      </c>
      <c r="V113" t="s">
        <v>219</v>
      </c>
      <c r="W113" t="str">
        <f t="shared" si="25"/>
        <v>UCE_elcaggCap_wof_TZA</v>
      </c>
      <c r="X113" t="str">
        <f t="shared" si="17"/>
        <v>e?_wof_TZA*</v>
      </c>
      <c r="Y113">
        <v>1</v>
      </c>
      <c r="Z113">
        <v>2</v>
      </c>
      <c r="AB113" t="str">
        <f t="shared" si="26"/>
        <v>UCE_elcaggCap_wof_TZA</v>
      </c>
      <c r="AC113" t="str">
        <f t="shared" si="18"/>
        <v>elcagg_wof_TZA</v>
      </c>
      <c r="AD113">
        <v>-1</v>
      </c>
    </row>
    <row r="114" spans="1:30">
      <c r="A114" t="s">
        <v>184</v>
      </c>
      <c r="B114" t="str">
        <f t="shared" si="19"/>
        <v>UCE_elcaggCap_spv_PAN</v>
      </c>
      <c r="C114" t="str">
        <f t="shared" si="15"/>
        <v>e?_spv_PAN*</v>
      </c>
      <c r="D114">
        <v>1</v>
      </c>
      <c r="E114">
        <v>2</v>
      </c>
      <c r="G114" t="str">
        <f t="shared" si="20"/>
        <v>UCE_elcaggCap_spv_PAN</v>
      </c>
      <c r="H114" t="str">
        <f t="shared" si="21"/>
        <v>elcagg_spv_PAN</v>
      </c>
      <c r="I114">
        <v>-1</v>
      </c>
      <c r="K114" t="s">
        <v>182</v>
      </c>
      <c r="L114" t="str">
        <f t="shared" si="22"/>
        <v>UCE_elcaggCap_won_PAK</v>
      </c>
      <c r="M114" t="str">
        <f t="shared" si="16"/>
        <v>e?_won_PAK*</v>
      </c>
      <c r="N114">
        <v>1</v>
      </c>
      <c r="O114">
        <v>2</v>
      </c>
      <c r="Q114" t="str">
        <f t="shared" si="23"/>
        <v>UCE_elcaggCap_won_PAK</v>
      </c>
      <c r="R114" t="str">
        <f t="shared" si="24"/>
        <v>elcagg_won_PAK</v>
      </c>
      <c r="S114">
        <v>-1</v>
      </c>
      <c r="V114" t="s">
        <v>220</v>
      </c>
      <c r="W114" t="str">
        <f t="shared" si="25"/>
        <v>UCE_elcaggCap_wof_UKR</v>
      </c>
      <c r="X114" t="str">
        <f t="shared" si="17"/>
        <v>e?_wof_UKR*</v>
      </c>
      <c r="Y114">
        <v>1</v>
      </c>
      <c r="Z114">
        <v>2</v>
      </c>
      <c r="AB114" t="str">
        <f t="shared" si="26"/>
        <v>UCE_elcaggCap_wof_UKR</v>
      </c>
      <c r="AC114" t="str">
        <f t="shared" si="18"/>
        <v>elcagg_wof_UKR</v>
      </c>
      <c r="AD114">
        <v>-1</v>
      </c>
    </row>
    <row r="115" spans="1:30">
      <c r="A115" t="s">
        <v>185</v>
      </c>
      <c r="B115" t="str">
        <f t="shared" si="19"/>
        <v>UCE_elcaggCap_spv_PER</v>
      </c>
      <c r="C115" t="str">
        <f t="shared" si="15"/>
        <v>e?_spv_PER*</v>
      </c>
      <c r="D115">
        <v>1</v>
      </c>
      <c r="E115">
        <v>2</v>
      </c>
      <c r="G115" t="str">
        <f t="shared" si="20"/>
        <v>UCE_elcaggCap_spv_PER</v>
      </c>
      <c r="H115" t="str">
        <f t="shared" si="21"/>
        <v>elcagg_spv_PER</v>
      </c>
      <c r="I115">
        <v>-1</v>
      </c>
      <c r="K115" t="s">
        <v>184</v>
      </c>
      <c r="L115" t="str">
        <f t="shared" si="22"/>
        <v>UCE_elcaggCap_won_PAN</v>
      </c>
      <c r="M115" t="str">
        <f t="shared" si="16"/>
        <v>e?_won_PAN*</v>
      </c>
      <c r="N115">
        <v>1</v>
      </c>
      <c r="O115">
        <v>2</v>
      </c>
      <c r="Q115" t="str">
        <f t="shared" si="23"/>
        <v>UCE_elcaggCap_won_PAN</v>
      </c>
      <c r="R115" t="str">
        <f t="shared" si="24"/>
        <v>elcagg_won_PAN</v>
      </c>
      <c r="S115">
        <v>-1</v>
      </c>
      <c r="V115" t="s">
        <v>221</v>
      </c>
      <c r="W115" t="str">
        <f t="shared" si="25"/>
        <v>UCE_elcaggCap_wof_URY</v>
      </c>
      <c r="X115" t="str">
        <f t="shared" si="17"/>
        <v>e?_wof_URY*</v>
      </c>
      <c r="Y115">
        <v>1</v>
      </c>
      <c r="Z115">
        <v>2</v>
      </c>
      <c r="AB115" t="str">
        <f t="shared" si="26"/>
        <v>UCE_elcaggCap_wof_URY</v>
      </c>
      <c r="AC115" t="str">
        <f t="shared" si="18"/>
        <v>elcagg_wof_URY</v>
      </c>
      <c r="AD115">
        <v>-1</v>
      </c>
    </row>
    <row r="116" spans="1:30">
      <c r="A116" t="s">
        <v>187</v>
      </c>
      <c r="B116" t="str">
        <f t="shared" si="19"/>
        <v>UCE_elcaggCap_spv_PHL</v>
      </c>
      <c r="C116" t="str">
        <f t="shared" si="15"/>
        <v>e?_spv_PHL*</v>
      </c>
      <c r="D116">
        <v>1</v>
      </c>
      <c r="E116">
        <v>2</v>
      </c>
      <c r="G116" t="str">
        <f t="shared" si="20"/>
        <v>UCE_elcaggCap_spv_PHL</v>
      </c>
      <c r="H116" t="str">
        <f t="shared" si="21"/>
        <v>elcagg_spv_PHL</v>
      </c>
      <c r="I116">
        <v>-1</v>
      </c>
      <c r="K116" t="s">
        <v>185</v>
      </c>
      <c r="L116" t="str">
        <f t="shared" si="22"/>
        <v>UCE_elcaggCap_won_PER</v>
      </c>
      <c r="M116" t="str">
        <f t="shared" si="16"/>
        <v>e?_won_PER*</v>
      </c>
      <c r="N116">
        <v>1</v>
      </c>
      <c r="O116">
        <v>2</v>
      </c>
      <c r="Q116" t="str">
        <f t="shared" si="23"/>
        <v>UCE_elcaggCap_won_PER</v>
      </c>
      <c r="R116" t="str">
        <f t="shared" si="24"/>
        <v>elcagg_won_PER</v>
      </c>
      <c r="S116">
        <v>-1</v>
      </c>
      <c r="V116" t="s">
        <v>20</v>
      </c>
      <c r="W116" t="str">
        <f t="shared" si="25"/>
        <v>UCE_elcaggCap_wof_USA</v>
      </c>
      <c r="X116" t="str">
        <f t="shared" si="17"/>
        <v>e?_wof_USA*</v>
      </c>
      <c r="Y116">
        <v>1</v>
      </c>
      <c r="Z116">
        <v>2</v>
      </c>
      <c r="AB116" t="str">
        <f t="shared" si="26"/>
        <v>UCE_elcaggCap_wof_USA</v>
      </c>
      <c r="AC116" t="str">
        <f t="shared" si="18"/>
        <v>elcagg_wof_USA</v>
      </c>
      <c r="AD116">
        <v>-1</v>
      </c>
    </row>
    <row r="117" spans="1:30">
      <c r="A117" t="s">
        <v>188</v>
      </c>
      <c r="B117" t="str">
        <f t="shared" si="19"/>
        <v>UCE_elcaggCap_spv_PNG</v>
      </c>
      <c r="C117" t="str">
        <f t="shared" si="15"/>
        <v>e?_spv_PNG*</v>
      </c>
      <c r="D117">
        <v>1</v>
      </c>
      <c r="E117">
        <v>2</v>
      </c>
      <c r="G117" t="str">
        <f t="shared" si="20"/>
        <v>UCE_elcaggCap_spv_PNG</v>
      </c>
      <c r="H117" t="str">
        <f t="shared" si="21"/>
        <v>elcagg_spv_PNG</v>
      </c>
      <c r="I117">
        <v>-1</v>
      </c>
      <c r="K117" t="s">
        <v>187</v>
      </c>
      <c r="L117" t="str">
        <f t="shared" si="22"/>
        <v>UCE_elcaggCap_won_PHL</v>
      </c>
      <c r="M117" t="str">
        <f t="shared" si="16"/>
        <v>e?_won_PHL*</v>
      </c>
      <c r="N117">
        <v>1</v>
      </c>
      <c r="O117">
        <v>2</v>
      </c>
      <c r="Q117" t="str">
        <f t="shared" si="23"/>
        <v>UCE_elcaggCap_won_PHL</v>
      </c>
      <c r="R117" t="str">
        <f t="shared" si="24"/>
        <v>elcagg_won_PHL</v>
      </c>
      <c r="S117">
        <v>-1</v>
      </c>
      <c r="V117" t="s">
        <v>222</v>
      </c>
      <c r="W117" t="str">
        <f t="shared" si="25"/>
        <v>UCE_elcaggCap_wof_VEN</v>
      </c>
      <c r="X117" t="str">
        <f t="shared" si="17"/>
        <v>e?_wof_VEN*</v>
      </c>
      <c r="Y117">
        <v>1</v>
      </c>
      <c r="Z117">
        <v>2</v>
      </c>
      <c r="AB117" t="str">
        <f t="shared" si="26"/>
        <v>UCE_elcaggCap_wof_VEN</v>
      </c>
      <c r="AC117" t="str">
        <f t="shared" si="18"/>
        <v>elcagg_wof_VEN</v>
      </c>
      <c r="AD117">
        <v>-1</v>
      </c>
    </row>
    <row r="118" spans="1:30">
      <c r="A118" t="s">
        <v>189</v>
      </c>
      <c r="B118" t="str">
        <f t="shared" si="19"/>
        <v>UCE_elcaggCap_spv_POL</v>
      </c>
      <c r="C118" t="str">
        <f t="shared" si="15"/>
        <v>e?_spv_POL*</v>
      </c>
      <c r="D118">
        <v>1</v>
      </c>
      <c r="E118">
        <v>2</v>
      </c>
      <c r="G118" t="str">
        <f t="shared" si="20"/>
        <v>UCE_elcaggCap_spv_POL</v>
      </c>
      <c r="H118" t="str">
        <f t="shared" si="21"/>
        <v>elcagg_spv_POL</v>
      </c>
      <c r="I118">
        <v>-1</v>
      </c>
      <c r="K118" t="s">
        <v>188</v>
      </c>
      <c r="L118" t="str">
        <f t="shared" si="22"/>
        <v>UCE_elcaggCap_won_PNG</v>
      </c>
      <c r="M118" t="str">
        <f t="shared" si="16"/>
        <v>e?_won_PNG*</v>
      </c>
      <c r="N118">
        <v>1</v>
      </c>
      <c r="O118">
        <v>2</v>
      </c>
      <c r="Q118" t="str">
        <f t="shared" si="23"/>
        <v>UCE_elcaggCap_won_PNG</v>
      </c>
      <c r="R118" t="str">
        <f t="shared" si="24"/>
        <v>elcagg_won_PNG</v>
      </c>
      <c r="S118">
        <v>-1</v>
      </c>
      <c r="V118" t="s">
        <v>223</v>
      </c>
      <c r="W118" t="str">
        <f t="shared" si="25"/>
        <v>UCE_elcaggCap_wof_VNM</v>
      </c>
      <c r="X118" t="str">
        <f t="shared" si="17"/>
        <v>e?_wof_VNM*</v>
      </c>
      <c r="Y118">
        <v>1</v>
      </c>
      <c r="Z118">
        <v>2</v>
      </c>
      <c r="AB118" t="str">
        <f t="shared" si="26"/>
        <v>UCE_elcaggCap_wof_VNM</v>
      </c>
      <c r="AC118" t="str">
        <f t="shared" si="18"/>
        <v>elcagg_wof_VNM</v>
      </c>
      <c r="AD118">
        <v>-1</v>
      </c>
    </row>
    <row r="119" spans="1:30">
      <c r="A119" t="s">
        <v>191</v>
      </c>
      <c r="B119" t="str">
        <f t="shared" si="19"/>
        <v>UCE_elcaggCap_spv_PRI</v>
      </c>
      <c r="C119" t="str">
        <f t="shared" si="15"/>
        <v>e?_spv_PRI*</v>
      </c>
      <c r="D119">
        <v>1</v>
      </c>
      <c r="E119">
        <v>2</v>
      </c>
      <c r="G119" t="str">
        <f t="shared" si="20"/>
        <v>UCE_elcaggCap_spv_PRI</v>
      </c>
      <c r="H119" t="str">
        <f t="shared" si="21"/>
        <v>elcagg_spv_PRI</v>
      </c>
      <c r="I119">
        <v>-1</v>
      </c>
      <c r="K119" t="s">
        <v>189</v>
      </c>
      <c r="L119" t="str">
        <f t="shared" si="22"/>
        <v>UCE_elcaggCap_won_POL</v>
      </c>
      <c r="M119" t="str">
        <f t="shared" si="16"/>
        <v>e?_won_POL*</v>
      </c>
      <c r="N119">
        <v>1</v>
      </c>
      <c r="O119">
        <v>2</v>
      </c>
      <c r="Q119" t="str">
        <f t="shared" si="23"/>
        <v>UCE_elcaggCap_won_POL</v>
      </c>
      <c r="R119" t="str">
        <f t="shared" si="24"/>
        <v>elcagg_won_POL</v>
      </c>
      <c r="S119">
        <v>-1</v>
      </c>
      <c r="V119" t="s">
        <v>224</v>
      </c>
      <c r="W119" t="str">
        <f t="shared" si="25"/>
        <v>UCE_elcaggCap_wof_YEM</v>
      </c>
      <c r="X119" t="str">
        <f t="shared" si="17"/>
        <v>e?_wof_YEM*</v>
      </c>
      <c r="Y119">
        <v>1</v>
      </c>
      <c r="Z119">
        <v>2</v>
      </c>
      <c r="AB119" t="str">
        <f t="shared" si="26"/>
        <v>UCE_elcaggCap_wof_YEM</v>
      </c>
      <c r="AC119" t="str">
        <f t="shared" si="18"/>
        <v>elcagg_wof_YEM</v>
      </c>
      <c r="AD119">
        <v>-1</v>
      </c>
    </row>
    <row r="120" spans="1:30">
      <c r="A120" t="s">
        <v>192</v>
      </c>
      <c r="B120" t="str">
        <f t="shared" si="19"/>
        <v>UCE_elcaggCap_spv_PRK</v>
      </c>
      <c r="C120" t="str">
        <f t="shared" si="15"/>
        <v>e?_spv_PRK*</v>
      </c>
      <c r="D120">
        <v>1</v>
      </c>
      <c r="E120">
        <v>2</v>
      </c>
      <c r="G120" t="str">
        <f t="shared" si="20"/>
        <v>UCE_elcaggCap_spv_PRK</v>
      </c>
      <c r="H120" t="str">
        <f t="shared" si="21"/>
        <v>elcagg_spv_PRK</v>
      </c>
      <c r="I120">
        <v>-1</v>
      </c>
      <c r="K120" t="s">
        <v>191</v>
      </c>
      <c r="L120" t="str">
        <f t="shared" si="22"/>
        <v>UCE_elcaggCap_won_PRI</v>
      </c>
      <c r="M120" t="str">
        <f t="shared" si="16"/>
        <v>e?_won_PRI*</v>
      </c>
      <c r="N120">
        <v>1</v>
      </c>
      <c r="O120">
        <v>2</v>
      </c>
      <c r="Q120" t="str">
        <f t="shared" si="23"/>
        <v>UCE_elcaggCap_won_PRI</v>
      </c>
      <c r="R120" t="str">
        <f t="shared" si="24"/>
        <v>elcagg_won_PRI</v>
      </c>
      <c r="S120">
        <v>-1</v>
      </c>
      <c r="V120" t="s">
        <v>225</v>
      </c>
      <c r="W120" t="str">
        <f t="shared" si="25"/>
        <v>UCE_elcaggCap_wof_ZAF</v>
      </c>
      <c r="X120" t="str">
        <f t="shared" si="17"/>
        <v>e?_wof_ZAF*</v>
      </c>
      <c r="Y120">
        <v>1</v>
      </c>
      <c r="Z120">
        <v>2</v>
      </c>
      <c r="AB120" t="str">
        <f t="shared" si="26"/>
        <v>UCE_elcaggCap_wof_ZAF</v>
      </c>
      <c r="AC120" t="str">
        <f t="shared" si="18"/>
        <v>elcagg_wof_ZAF</v>
      </c>
      <c r="AD120">
        <v>-1</v>
      </c>
    </row>
    <row r="121" spans="1:30">
      <c r="A121" t="s">
        <v>193</v>
      </c>
      <c r="B121" t="str">
        <f t="shared" si="19"/>
        <v>UCE_elcaggCap_spv_PRT</v>
      </c>
      <c r="C121" t="str">
        <f t="shared" si="15"/>
        <v>e?_spv_PRT*</v>
      </c>
      <c r="D121">
        <v>1</v>
      </c>
      <c r="E121">
        <v>2</v>
      </c>
      <c r="G121" t="str">
        <f t="shared" si="20"/>
        <v>UCE_elcaggCap_spv_PRT</v>
      </c>
      <c r="H121" t="str">
        <f t="shared" si="21"/>
        <v>elcagg_spv_PRT</v>
      </c>
      <c r="I121">
        <v>-1</v>
      </c>
      <c r="K121" t="s">
        <v>192</v>
      </c>
      <c r="L121" t="str">
        <f t="shared" si="22"/>
        <v>UCE_elcaggCap_won_PRK</v>
      </c>
      <c r="M121" t="str">
        <f t="shared" si="16"/>
        <v>e?_won_PRK*</v>
      </c>
      <c r="N121">
        <v>1</v>
      </c>
      <c r="O121">
        <v>2</v>
      </c>
      <c r="Q121" t="str">
        <f t="shared" si="23"/>
        <v>UCE_elcaggCap_won_PRK</v>
      </c>
      <c r="R121" t="str">
        <f t="shared" si="24"/>
        <v>elcagg_won_PRK</v>
      </c>
      <c r="S121">
        <v>-1</v>
      </c>
    </row>
    <row r="122" spans="1:30">
      <c r="A122" t="s">
        <v>226</v>
      </c>
      <c r="B122" t="str">
        <f t="shared" si="19"/>
        <v>UCE_elcaggCap_spv_PRY</v>
      </c>
      <c r="C122" t="str">
        <f t="shared" si="15"/>
        <v>e?_spv_PRY*</v>
      </c>
      <c r="D122">
        <v>1</v>
      </c>
      <c r="E122">
        <v>2</v>
      </c>
      <c r="G122" t="str">
        <f t="shared" si="20"/>
        <v>UCE_elcaggCap_spv_PRY</v>
      </c>
      <c r="H122" t="str">
        <f t="shared" si="21"/>
        <v>elcagg_spv_PRY</v>
      </c>
      <c r="I122">
        <v>-1</v>
      </c>
      <c r="K122" t="s">
        <v>193</v>
      </c>
      <c r="L122" t="str">
        <f t="shared" si="22"/>
        <v>UCE_elcaggCap_won_PRT</v>
      </c>
      <c r="M122" t="str">
        <f t="shared" si="16"/>
        <v>e?_won_PRT*</v>
      </c>
      <c r="N122">
        <v>1</v>
      </c>
      <c r="O122">
        <v>2</v>
      </c>
      <c r="Q122" t="str">
        <f t="shared" si="23"/>
        <v>UCE_elcaggCap_won_PRT</v>
      </c>
      <c r="R122" t="str">
        <f t="shared" si="24"/>
        <v>elcagg_won_PRT</v>
      </c>
      <c r="S122">
        <v>-1</v>
      </c>
    </row>
    <row r="123" spans="1:30">
      <c r="A123" t="s">
        <v>195</v>
      </c>
      <c r="B123" t="str">
        <f t="shared" si="19"/>
        <v>UCE_elcaggCap_spv_QAT</v>
      </c>
      <c r="C123" t="str">
        <f t="shared" si="15"/>
        <v>e?_spv_QAT*</v>
      </c>
      <c r="D123">
        <v>1</v>
      </c>
      <c r="E123">
        <v>2</v>
      </c>
      <c r="G123" t="str">
        <f t="shared" si="20"/>
        <v>UCE_elcaggCap_spv_QAT</v>
      </c>
      <c r="H123" t="str">
        <f t="shared" si="21"/>
        <v>elcagg_spv_QAT</v>
      </c>
      <c r="I123">
        <v>-1</v>
      </c>
      <c r="K123" t="s">
        <v>226</v>
      </c>
      <c r="L123" t="str">
        <f t="shared" si="22"/>
        <v>UCE_elcaggCap_won_PRY</v>
      </c>
      <c r="M123" t="str">
        <f t="shared" si="16"/>
        <v>e?_won_PRY*</v>
      </c>
      <c r="N123">
        <v>1</v>
      </c>
      <c r="O123">
        <v>2</v>
      </c>
      <c r="Q123" t="str">
        <f t="shared" si="23"/>
        <v>UCE_elcaggCap_won_PRY</v>
      </c>
      <c r="R123" t="str">
        <f t="shared" si="24"/>
        <v>elcagg_won_PRY</v>
      </c>
      <c r="S123">
        <v>-1</v>
      </c>
    </row>
    <row r="124" spans="1:30">
      <c r="A124" t="s">
        <v>227</v>
      </c>
      <c r="B124" t="str">
        <f t="shared" si="19"/>
        <v>UCE_elcaggCap_spv_ROU</v>
      </c>
      <c r="C124" t="str">
        <f t="shared" si="15"/>
        <v>e?_spv_ROU*</v>
      </c>
      <c r="D124">
        <v>1</v>
      </c>
      <c r="E124">
        <v>2</v>
      </c>
      <c r="G124" t="str">
        <f t="shared" si="20"/>
        <v>UCE_elcaggCap_spv_ROU</v>
      </c>
      <c r="H124" t="str">
        <f t="shared" si="21"/>
        <v>elcagg_spv_ROU</v>
      </c>
      <c r="I124">
        <v>-1</v>
      </c>
      <c r="K124" t="s">
        <v>195</v>
      </c>
      <c r="L124" t="str">
        <f t="shared" si="22"/>
        <v>UCE_elcaggCap_won_QAT</v>
      </c>
      <c r="M124" t="str">
        <f t="shared" si="16"/>
        <v>e?_won_QAT*</v>
      </c>
      <c r="N124">
        <v>1</v>
      </c>
      <c r="O124">
        <v>2</v>
      </c>
      <c r="Q124" t="str">
        <f t="shared" si="23"/>
        <v>UCE_elcaggCap_won_QAT</v>
      </c>
      <c r="R124" t="str">
        <f t="shared" si="24"/>
        <v>elcagg_won_QAT</v>
      </c>
      <c r="S124">
        <v>-1</v>
      </c>
    </row>
    <row r="125" spans="1:30">
      <c r="A125" t="s">
        <v>197</v>
      </c>
      <c r="B125" t="str">
        <f t="shared" si="19"/>
        <v>UCE_elcaggCap_spv_RUS</v>
      </c>
      <c r="C125" t="str">
        <f t="shared" si="15"/>
        <v>e?_spv_RUS*</v>
      </c>
      <c r="D125">
        <v>1</v>
      </c>
      <c r="E125">
        <v>2</v>
      </c>
      <c r="G125" t="str">
        <f t="shared" si="20"/>
        <v>UCE_elcaggCap_spv_RUS</v>
      </c>
      <c r="H125" t="str">
        <f t="shared" si="21"/>
        <v>elcagg_spv_RUS</v>
      </c>
      <c r="I125">
        <v>-1</v>
      </c>
      <c r="K125" t="s">
        <v>227</v>
      </c>
      <c r="L125" t="str">
        <f t="shared" si="22"/>
        <v>UCE_elcaggCap_won_ROU</v>
      </c>
      <c r="M125" t="str">
        <f t="shared" si="16"/>
        <v>e?_won_ROU*</v>
      </c>
      <c r="N125">
        <v>1</v>
      </c>
      <c r="O125">
        <v>2</v>
      </c>
      <c r="Q125" t="str">
        <f t="shared" si="23"/>
        <v>UCE_elcaggCap_won_ROU</v>
      </c>
      <c r="R125" t="str">
        <f t="shared" si="24"/>
        <v>elcagg_won_ROU</v>
      </c>
      <c r="S125">
        <v>-1</v>
      </c>
    </row>
    <row r="126" spans="1:30">
      <c r="A126" t="s">
        <v>228</v>
      </c>
      <c r="B126" t="str">
        <f t="shared" si="19"/>
        <v>UCE_elcaggCap_spv_RWA</v>
      </c>
      <c r="C126" t="str">
        <f t="shared" si="15"/>
        <v>e?_spv_RWA*</v>
      </c>
      <c r="D126">
        <v>1</v>
      </c>
      <c r="E126">
        <v>2</v>
      </c>
      <c r="G126" t="str">
        <f t="shared" si="20"/>
        <v>UCE_elcaggCap_spv_RWA</v>
      </c>
      <c r="H126" t="str">
        <f t="shared" si="21"/>
        <v>elcagg_spv_RWA</v>
      </c>
      <c r="I126">
        <v>-1</v>
      </c>
      <c r="K126" t="s">
        <v>197</v>
      </c>
      <c r="L126" t="str">
        <f t="shared" si="22"/>
        <v>UCE_elcaggCap_won_RUS</v>
      </c>
      <c r="M126" t="str">
        <f t="shared" si="16"/>
        <v>e?_won_RUS*</v>
      </c>
      <c r="N126">
        <v>1</v>
      </c>
      <c r="O126">
        <v>2</v>
      </c>
      <c r="Q126" t="str">
        <f t="shared" si="23"/>
        <v>UCE_elcaggCap_won_RUS</v>
      </c>
      <c r="R126" t="str">
        <f t="shared" si="24"/>
        <v>elcagg_won_RUS</v>
      </c>
      <c r="S126">
        <v>-1</v>
      </c>
    </row>
    <row r="127" spans="1:30">
      <c r="A127" t="s">
        <v>198</v>
      </c>
      <c r="B127" t="str">
        <f t="shared" si="19"/>
        <v>UCE_elcaggCap_spv_SAU</v>
      </c>
      <c r="C127" t="str">
        <f t="shared" si="15"/>
        <v>e?_spv_SAU*</v>
      </c>
      <c r="D127">
        <v>1</v>
      </c>
      <c r="E127">
        <v>2</v>
      </c>
      <c r="G127" t="str">
        <f t="shared" si="20"/>
        <v>UCE_elcaggCap_spv_SAU</v>
      </c>
      <c r="H127" t="str">
        <f t="shared" si="21"/>
        <v>elcagg_spv_SAU</v>
      </c>
      <c r="I127">
        <v>-1</v>
      </c>
      <c r="K127" t="s">
        <v>228</v>
      </c>
      <c r="L127" t="str">
        <f t="shared" si="22"/>
        <v>UCE_elcaggCap_won_RWA</v>
      </c>
      <c r="M127" t="str">
        <f t="shared" si="16"/>
        <v>e?_won_RWA*</v>
      </c>
      <c r="N127">
        <v>1</v>
      </c>
      <c r="O127">
        <v>2</v>
      </c>
      <c r="Q127" t="str">
        <f t="shared" si="23"/>
        <v>UCE_elcaggCap_won_RWA</v>
      </c>
      <c r="R127" t="str">
        <f t="shared" si="24"/>
        <v>elcagg_won_RWA</v>
      </c>
      <c r="S127">
        <v>-1</v>
      </c>
    </row>
    <row r="128" spans="1:30">
      <c r="A128" t="s">
        <v>199</v>
      </c>
      <c r="B128" t="str">
        <f t="shared" si="19"/>
        <v>UCE_elcaggCap_spv_SDN</v>
      </c>
      <c r="C128" t="str">
        <f t="shared" si="15"/>
        <v>e?_spv_SDN*</v>
      </c>
      <c r="D128">
        <v>1</v>
      </c>
      <c r="E128">
        <v>2</v>
      </c>
      <c r="G128" t="str">
        <f t="shared" si="20"/>
        <v>UCE_elcaggCap_spv_SDN</v>
      </c>
      <c r="H128" t="str">
        <f t="shared" si="21"/>
        <v>elcagg_spv_SDN</v>
      </c>
      <c r="I128">
        <v>-1</v>
      </c>
      <c r="K128" t="s">
        <v>198</v>
      </c>
      <c r="L128" t="str">
        <f t="shared" si="22"/>
        <v>UCE_elcaggCap_won_SAU</v>
      </c>
      <c r="M128" t="str">
        <f t="shared" si="16"/>
        <v>e?_won_SAU*</v>
      </c>
      <c r="N128">
        <v>1</v>
      </c>
      <c r="O128">
        <v>2</v>
      </c>
      <c r="Q128" t="str">
        <f t="shared" si="23"/>
        <v>UCE_elcaggCap_won_SAU</v>
      </c>
      <c r="R128" t="str">
        <f t="shared" si="24"/>
        <v>elcagg_won_SAU</v>
      </c>
      <c r="S128">
        <v>-1</v>
      </c>
    </row>
    <row r="129" spans="1:19">
      <c r="A129" t="s">
        <v>201</v>
      </c>
      <c r="B129" t="str">
        <f t="shared" si="19"/>
        <v>UCE_elcaggCap_spv_SEN</v>
      </c>
      <c r="C129" t="str">
        <f t="shared" si="15"/>
        <v>e?_spv_SEN*</v>
      </c>
      <c r="D129">
        <v>1</v>
      </c>
      <c r="E129">
        <v>2</v>
      </c>
      <c r="G129" t="str">
        <f t="shared" si="20"/>
        <v>UCE_elcaggCap_spv_SEN</v>
      </c>
      <c r="H129" t="str">
        <f t="shared" si="21"/>
        <v>elcagg_spv_SEN</v>
      </c>
      <c r="I129">
        <v>-1</v>
      </c>
      <c r="K129" t="s">
        <v>199</v>
      </c>
      <c r="L129" t="str">
        <f t="shared" si="22"/>
        <v>UCE_elcaggCap_won_SDN</v>
      </c>
      <c r="M129" t="str">
        <f t="shared" si="16"/>
        <v>e?_won_SDN*</v>
      </c>
      <c r="N129">
        <v>1</v>
      </c>
      <c r="O129">
        <v>2</v>
      </c>
      <c r="Q129" t="str">
        <f t="shared" si="23"/>
        <v>UCE_elcaggCap_won_SDN</v>
      </c>
      <c r="R129" t="str">
        <f t="shared" si="24"/>
        <v>elcagg_won_SDN</v>
      </c>
      <c r="S129">
        <v>-1</v>
      </c>
    </row>
    <row r="130" spans="1:19">
      <c r="A130" t="s">
        <v>202</v>
      </c>
      <c r="B130" t="str">
        <f t="shared" si="19"/>
        <v>UCE_elcaggCap_spv_SGP</v>
      </c>
      <c r="C130" t="str">
        <f t="shared" si="15"/>
        <v>e?_spv_SGP*</v>
      </c>
      <c r="D130">
        <v>1</v>
      </c>
      <c r="E130">
        <v>2</v>
      </c>
      <c r="G130" t="str">
        <f t="shared" si="20"/>
        <v>UCE_elcaggCap_spv_SGP</v>
      </c>
      <c r="H130" t="str">
        <f t="shared" si="21"/>
        <v>elcagg_spv_SGP</v>
      </c>
      <c r="I130">
        <v>-1</v>
      </c>
      <c r="K130" t="s">
        <v>201</v>
      </c>
      <c r="L130" t="str">
        <f t="shared" si="22"/>
        <v>UCE_elcaggCap_won_SEN</v>
      </c>
      <c r="M130" t="str">
        <f t="shared" si="16"/>
        <v>e?_won_SEN*</v>
      </c>
      <c r="N130">
        <v>1</v>
      </c>
      <c r="O130">
        <v>2</v>
      </c>
      <c r="Q130" t="str">
        <f t="shared" si="23"/>
        <v>UCE_elcaggCap_won_SEN</v>
      </c>
      <c r="R130" t="str">
        <f t="shared" si="24"/>
        <v>elcagg_won_SEN</v>
      </c>
      <c r="S130">
        <v>-1</v>
      </c>
    </row>
    <row r="131" spans="1:19">
      <c r="A131" t="s">
        <v>203</v>
      </c>
      <c r="B131" t="str">
        <f t="shared" si="19"/>
        <v>UCE_elcaggCap_spv_SLE</v>
      </c>
      <c r="C131" t="str">
        <f t="shared" si="15"/>
        <v>e?_spv_SLE*</v>
      </c>
      <c r="D131">
        <v>1</v>
      </c>
      <c r="E131">
        <v>2</v>
      </c>
      <c r="G131" t="str">
        <f t="shared" si="20"/>
        <v>UCE_elcaggCap_spv_SLE</v>
      </c>
      <c r="H131" t="str">
        <f t="shared" si="21"/>
        <v>elcagg_spv_SLE</v>
      </c>
      <c r="I131">
        <v>-1</v>
      </c>
      <c r="K131" t="s">
        <v>202</v>
      </c>
      <c r="L131" t="str">
        <f t="shared" si="22"/>
        <v>UCE_elcaggCap_won_SGP</v>
      </c>
      <c r="M131" t="str">
        <f t="shared" si="16"/>
        <v>e?_won_SGP*</v>
      </c>
      <c r="N131">
        <v>1</v>
      </c>
      <c r="O131">
        <v>2</v>
      </c>
      <c r="Q131" t="str">
        <f t="shared" si="23"/>
        <v>UCE_elcaggCap_won_SGP</v>
      </c>
      <c r="R131" t="str">
        <f t="shared" si="24"/>
        <v>elcagg_won_SGP</v>
      </c>
      <c r="S131">
        <v>-1</v>
      </c>
    </row>
    <row r="132" spans="1:19">
      <c r="A132" t="s">
        <v>205</v>
      </c>
      <c r="B132" t="str">
        <f t="shared" si="19"/>
        <v>UCE_elcaggCap_spv_SLV</v>
      </c>
      <c r="C132" t="str">
        <f t="shared" si="15"/>
        <v>e?_spv_SLV*</v>
      </c>
      <c r="D132">
        <v>1</v>
      </c>
      <c r="E132">
        <v>2</v>
      </c>
      <c r="G132" t="str">
        <f t="shared" si="20"/>
        <v>UCE_elcaggCap_spv_SLV</v>
      </c>
      <c r="H132" t="str">
        <f t="shared" si="21"/>
        <v>elcagg_spv_SLV</v>
      </c>
      <c r="I132">
        <v>-1</v>
      </c>
      <c r="K132" t="s">
        <v>203</v>
      </c>
      <c r="L132" t="str">
        <f t="shared" si="22"/>
        <v>UCE_elcaggCap_won_SLE</v>
      </c>
      <c r="M132" t="str">
        <f t="shared" si="16"/>
        <v>e?_won_SLE*</v>
      </c>
      <c r="N132">
        <v>1</v>
      </c>
      <c r="O132">
        <v>2</v>
      </c>
      <c r="Q132" t="str">
        <f t="shared" si="23"/>
        <v>UCE_elcaggCap_won_SLE</v>
      </c>
      <c r="R132" t="str">
        <f t="shared" si="24"/>
        <v>elcagg_won_SLE</v>
      </c>
      <c r="S132">
        <v>-1</v>
      </c>
    </row>
    <row r="133" spans="1:19">
      <c r="A133" t="s">
        <v>206</v>
      </c>
      <c r="B133" t="str">
        <f t="shared" si="19"/>
        <v>UCE_elcaggCap_spv_SOM</v>
      </c>
      <c r="C133" t="str">
        <f t="shared" ref="C133:C160" si="27">"e?_spv_"&amp;$A133&amp;"*"</f>
        <v>e?_spv_SOM*</v>
      </c>
      <c r="D133">
        <v>1</v>
      </c>
      <c r="E133">
        <v>2</v>
      </c>
      <c r="G133" t="str">
        <f t="shared" si="20"/>
        <v>UCE_elcaggCap_spv_SOM</v>
      </c>
      <c r="H133" t="str">
        <f t="shared" si="21"/>
        <v>elcagg_spv_SOM</v>
      </c>
      <c r="I133">
        <v>-1</v>
      </c>
      <c r="K133" t="s">
        <v>205</v>
      </c>
      <c r="L133" t="str">
        <f t="shared" si="22"/>
        <v>UCE_elcaggCap_won_SLV</v>
      </c>
      <c r="M133" t="str">
        <f t="shared" ref="M133:M162" si="28">"e?_won_"&amp;$K133&amp;"*"</f>
        <v>e?_won_SLV*</v>
      </c>
      <c r="N133">
        <v>1</v>
      </c>
      <c r="O133">
        <v>2</v>
      </c>
      <c r="Q133" t="str">
        <f t="shared" si="23"/>
        <v>UCE_elcaggCap_won_SLV</v>
      </c>
      <c r="R133" t="str">
        <f t="shared" si="24"/>
        <v>elcagg_won_SLV</v>
      </c>
      <c r="S133">
        <v>-1</v>
      </c>
    </row>
    <row r="134" spans="1:19">
      <c r="A134" t="s">
        <v>229</v>
      </c>
      <c r="B134" t="str">
        <f t="shared" ref="B134:B160" si="29">"UCE_elcaggCap_"&amp;A$1&amp;"_"&amp;A134</f>
        <v>UCE_elcaggCap_spv_SRB</v>
      </c>
      <c r="C134" t="str">
        <f t="shared" si="27"/>
        <v>e?_spv_SRB*</v>
      </c>
      <c r="D134">
        <v>1</v>
      </c>
      <c r="E134">
        <v>2</v>
      </c>
      <c r="G134" t="str">
        <f t="shared" ref="G134:G160" si="30">B134</f>
        <v>UCE_elcaggCap_spv_SRB</v>
      </c>
      <c r="H134" t="str">
        <f t="shared" ref="H134:H160" si="31">"elcagg_spv_"&amp;$A134</f>
        <v>elcagg_spv_SRB</v>
      </c>
      <c r="I134">
        <v>-1</v>
      </c>
      <c r="K134" t="s">
        <v>206</v>
      </c>
      <c r="L134" t="str">
        <f t="shared" ref="L134:L162" si="32">"UCE_elcaggCap_"&amp;K$1&amp;"_"&amp;K134</f>
        <v>UCE_elcaggCap_won_SOM</v>
      </c>
      <c r="M134" t="str">
        <f t="shared" si="28"/>
        <v>e?_won_SOM*</v>
      </c>
      <c r="N134">
        <v>1</v>
      </c>
      <c r="O134">
        <v>2</v>
      </c>
      <c r="Q134" t="str">
        <f t="shared" ref="Q134:Q162" si="33">L134</f>
        <v>UCE_elcaggCap_won_SOM</v>
      </c>
      <c r="R134" t="str">
        <f t="shared" ref="R134:R162" si="34">"elcagg_won_"&amp;$K134</f>
        <v>elcagg_won_SOM</v>
      </c>
      <c r="S134">
        <v>-1</v>
      </c>
    </row>
    <row r="135" spans="1:19">
      <c r="A135" t="s">
        <v>230</v>
      </c>
      <c r="B135" t="str">
        <f t="shared" si="29"/>
        <v>UCE_elcaggCap_spv_SSD</v>
      </c>
      <c r="C135" t="str">
        <f t="shared" si="27"/>
        <v>e?_spv_SSD*</v>
      </c>
      <c r="D135">
        <v>1</v>
      </c>
      <c r="E135">
        <v>2</v>
      </c>
      <c r="G135" t="str">
        <f t="shared" si="30"/>
        <v>UCE_elcaggCap_spv_SSD</v>
      </c>
      <c r="H135" t="str">
        <f t="shared" si="31"/>
        <v>elcagg_spv_SSD</v>
      </c>
      <c r="I135">
        <v>-1</v>
      </c>
      <c r="K135" t="s">
        <v>229</v>
      </c>
      <c r="L135" t="str">
        <f t="shared" si="32"/>
        <v>UCE_elcaggCap_won_SRB</v>
      </c>
      <c r="M135" t="str">
        <f t="shared" si="28"/>
        <v>e?_won_SRB*</v>
      </c>
      <c r="N135">
        <v>1</v>
      </c>
      <c r="O135">
        <v>2</v>
      </c>
      <c r="Q135" t="str">
        <f t="shared" si="33"/>
        <v>UCE_elcaggCap_won_SRB</v>
      </c>
      <c r="R135" t="str">
        <f t="shared" si="34"/>
        <v>elcagg_won_SRB</v>
      </c>
      <c r="S135">
        <v>-1</v>
      </c>
    </row>
    <row r="136" spans="1:19">
      <c r="A136" t="s">
        <v>207</v>
      </c>
      <c r="B136" t="str">
        <f t="shared" si="29"/>
        <v>UCE_elcaggCap_spv_SUR</v>
      </c>
      <c r="C136" t="str">
        <f t="shared" si="27"/>
        <v>e?_spv_SUR*</v>
      </c>
      <c r="D136">
        <v>1</v>
      </c>
      <c r="E136">
        <v>2</v>
      </c>
      <c r="G136" t="str">
        <f t="shared" si="30"/>
        <v>UCE_elcaggCap_spv_SUR</v>
      </c>
      <c r="H136" t="str">
        <f t="shared" si="31"/>
        <v>elcagg_spv_SUR</v>
      </c>
      <c r="I136">
        <v>-1</v>
      </c>
      <c r="K136" t="s">
        <v>230</v>
      </c>
      <c r="L136" t="str">
        <f t="shared" si="32"/>
        <v>UCE_elcaggCap_won_SSD</v>
      </c>
      <c r="M136" t="str">
        <f t="shared" si="28"/>
        <v>e?_won_SSD*</v>
      </c>
      <c r="N136">
        <v>1</v>
      </c>
      <c r="O136">
        <v>2</v>
      </c>
      <c r="Q136" t="str">
        <f t="shared" si="33"/>
        <v>UCE_elcaggCap_won_SSD</v>
      </c>
      <c r="R136" t="str">
        <f t="shared" si="34"/>
        <v>elcagg_won_SSD</v>
      </c>
      <c r="S136">
        <v>-1</v>
      </c>
    </row>
    <row r="137" spans="1:19">
      <c r="A137" t="s">
        <v>231</v>
      </c>
      <c r="B137" t="str">
        <f t="shared" si="29"/>
        <v>UCE_elcaggCap_spv_SVK</v>
      </c>
      <c r="C137" t="str">
        <f t="shared" si="27"/>
        <v>e?_spv_SVK*</v>
      </c>
      <c r="D137">
        <v>1</v>
      </c>
      <c r="E137">
        <v>2</v>
      </c>
      <c r="G137" t="str">
        <f t="shared" si="30"/>
        <v>UCE_elcaggCap_spv_SVK</v>
      </c>
      <c r="H137" t="str">
        <f t="shared" si="31"/>
        <v>elcagg_spv_SVK</v>
      </c>
      <c r="I137">
        <v>-1</v>
      </c>
      <c r="K137" t="s">
        <v>207</v>
      </c>
      <c r="L137" t="str">
        <f t="shared" si="32"/>
        <v>UCE_elcaggCap_won_SUR</v>
      </c>
      <c r="M137" t="str">
        <f t="shared" si="28"/>
        <v>e?_won_SUR*</v>
      </c>
      <c r="N137">
        <v>1</v>
      </c>
      <c r="O137">
        <v>2</v>
      </c>
      <c r="Q137" t="str">
        <f t="shared" si="33"/>
        <v>UCE_elcaggCap_won_SUR</v>
      </c>
      <c r="R137" t="str">
        <f t="shared" si="34"/>
        <v>elcagg_won_SUR</v>
      </c>
      <c r="S137">
        <v>-1</v>
      </c>
    </row>
    <row r="138" spans="1:19">
      <c r="A138" t="s">
        <v>232</v>
      </c>
      <c r="B138" t="str">
        <f t="shared" si="29"/>
        <v>UCE_elcaggCap_spv_SVN</v>
      </c>
      <c r="C138" t="str">
        <f t="shared" si="27"/>
        <v>e?_spv_SVN*</v>
      </c>
      <c r="D138">
        <v>1</v>
      </c>
      <c r="E138">
        <v>2</v>
      </c>
      <c r="G138" t="str">
        <f t="shared" si="30"/>
        <v>UCE_elcaggCap_spv_SVN</v>
      </c>
      <c r="H138" t="str">
        <f t="shared" si="31"/>
        <v>elcagg_spv_SVN</v>
      </c>
      <c r="I138">
        <v>-1</v>
      </c>
      <c r="K138" t="s">
        <v>231</v>
      </c>
      <c r="L138" t="str">
        <f t="shared" si="32"/>
        <v>UCE_elcaggCap_won_SVK</v>
      </c>
      <c r="M138" t="str">
        <f t="shared" si="28"/>
        <v>e?_won_SVK*</v>
      </c>
      <c r="N138">
        <v>1</v>
      </c>
      <c r="O138">
        <v>2</v>
      </c>
      <c r="Q138" t="str">
        <f t="shared" si="33"/>
        <v>UCE_elcaggCap_won_SVK</v>
      </c>
      <c r="R138" t="str">
        <f t="shared" si="34"/>
        <v>elcagg_won_SVK</v>
      </c>
      <c r="S138">
        <v>-1</v>
      </c>
    </row>
    <row r="139" spans="1:19">
      <c r="A139" t="s">
        <v>208</v>
      </c>
      <c r="B139" t="str">
        <f t="shared" si="29"/>
        <v>UCE_elcaggCap_spv_SWE</v>
      </c>
      <c r="C139" t="str">
        <f t="shared" si="27"/>
        <v>e?_spv_SWE*</v>
      </c>
      <c r="D139">
        <v>1</v>
      </c>
      <c r="E139">
        <v>2</v>
      </c>
      <c r="G139" t="str">
        <f t="shared" si="30"/>
        <v>UCE_elcaggCap_spv_SWE</v>
      </c>
      <c r="H139" t="str">
        <f t="shared" si="31"/>
        <v>elcagg_spv_SWE</v>
      </c>
      <c r="I139">
        <v>-1</v>
      </c>
      <c r="K139" t="s">
        <v>232</v>
      </c>
      <c r="L139" t="str">
        <f t="shared" si="32"/>
        <v>UCE_elcaggCap_won_SVN</v>
      </c>
      <c r="M139" t="str">
        <f t="shared" si="28"/>
        <v>e?_won_SVN*</v>
      </c>
      <c r="N139">
        <v>1</v>
      </c>
      <c r="O139">
        <v>2</v>
      </c>
      <c r="Q139" t="str">
        <f t="shared" si="33"/>
        <v>UCE_elcaggCap_won_SVN</v>
      </c>
      <c r="R139" t="str">
        <f t="shared" si="34"/>
        <v>elcagg_won_SVN</v>
      </c>
      <c r="S139">
        <v>-1</v>
      </c>
    </row>
    <row r="140" spans="1:19">
      <c r="A140" t="s">
        <v>210</v>
      </c>
      <c r="B140" t="str">
        <f t="shared" si="29"/>
        <v>UCE_elcaggCap_spv_SYR</v>
      </c>
      <c r="C140" t="str">
        <f t="shared" si="27"/>
        <v>e?_spv_SYR*</v>
      </c>
      <c r="D140">
        <v>1</v>
      </c>
      <c r="E140">
        <v>2</v>
      </c>
      <c r="G140" t="str">
        <f t="shared" si="30"/>
        <v>UCE_elcaggCap_spv_SYR</v>
      </c>
      <c r="H140" t="str">
        <f t="shared" si="31"/>
        <v>elcagg_spv_SYR</v>
      </c>
      <c r="I140">
        <v>-1</v>
      </c>
      <c r="K140" t="s">
        <v>208</v>
      </c>
      <c r="L140" t="str">
        <f t="shared" si="32"/>
        <v>UCE_elcaggCap_won_SWE</v>
      </c>
      <c r="M140" t="str">
        <f t="shared" si="28"/>
        <v>e?_won_SWE*</v>
      </c>
      <c r="N140">
        <v>1</v>
      </c>
      <c r="O140">
        <v>2</v>
      </c>
      <c r="Q140" t="str">
        <f t="shared" si="33"/>
        <v>UCE_elcaggCap_won_SWE</v>
      </c>
      <c r="R140" t="str">
        <f t="shared" si="34"/>
        <v>elcagg_won_SWE</v>
      </c>
      <c r="S140">
        <v>-1</v>
      </c>
    </row>
    <row r="141" spans="1:19">
      <c r="A141" t="s">
        <v>233</v>
      </c>
      <c r="B141" t="str">
        <f t="shared" si="29"/>
        <v>UCE_elcaggCap_spv_TCD</v>
      </c>
      <c r="C141" t="str">
        <f t="shared" si="27"/>
        <v>e?_spv_TCD*</v>
      </c>
      <c r="D141">
        <v>1</v>
      </c>
      <c r="E141">
        <v>2</v>
      </c>
      <c r="G141" t="str">
        <f t="shared" si="30"/>
        <v>UCE_elcaggCap_spv_TCD</v>
      </c>
      <c r="H141" t="str">
        <f t="shared" si="31"/>
        <v>elcagg_spv_TCD</v>
      </c>
      <c r="I141">
        <v>-1</v>
      </c>
      <c r="K141" t="s">
        <v>210</v>
      </c>
      <c r="L141" t="str">
        <f t="shared" si="32"/>
        <v>UCE_elcaggCap_won_SYR</v>
      </c>
      <c r="M141" t="str">
        <f t="shared" si="28"/>
        <v>e?_won_SYR*</v>
      </c>
      <c r="N141">
        <v>1</v>
      </c>
      <c r="O141">
        <v>2</v>
      </c>
      <c r="Q141" t="str">
        <f t="shared" si="33"/>
        <v>UCE_elcaggCap_won_SYR</v>
      </c>
      <c r="R141" t="str">
        <f t="shared" si="34"/>
        <v>elcagg_won_SYR</v>
      </c>
      <c r="S141">
        <v>-1</v>
      </c>
    </row>
    <row r="142" spans="1:19">
      <c r="A142" t="s">
        <v>211</v>
      </c>
      <c r="B142" t="str">
        <f t="shared" si="29"/>
        <v>UCE_elcaggCap_spv_TGO</v>
      </c>
      <c r="C142" t="str">
        <f t="shared" si="27"/>
        <v>e?_spv_TGO*</v>
      </c>
      <c r="D142">
        <v>1</v>
      </c>
      <c r="E142">
        <v>2</v>
      </c>
      <c r="G142" t="str">
        <f t="shared" si="30"/>
        <v>UCE_elcaggCap_spv_TGO</v>
      </c>
      <c r="H142" t="str">
        <f t="shared" si="31"/>
        <v>elcagg_spv_TGO</v>
      </c>
      <c r="I142">
        <v>-1</v>
      </c>
      <c r="K142" t="s">
        <v>233</v>
      </c>
      <c r="L142" t="str">
        <f t="shared" si="32"/>
        <v>UCE_elcaggCap_won_TCD</v>
      </c>
      <c r="M142" t="str">
        <f t="shared" si="28"/>
        <v>e?_won_TCD*</v>
      </c>
      <c r="N142">
        <v>1</v>
      </c>
      <c r="O142">
        <v>2</v>
      </c>
      <c r="Q142" t="str">
        <f t="shared" si="33"/>
        <v>UCE_elcaggCap_won_TCD</v>
      </c>
      <c r="R142" t="str">
        <f t="shared" si="34"/>
        <v>elcagg_won_TCD</v>
      </c>
      <c r="S142">
        <v>-1</v>
      </c>
    </row>
    <row r="143" spans="1:19">
      <c r="A143" t="s">
        <v>212</v>
      </c>
      <c r="B143" t="str">
        <f t="shared" si="29"/>
        <v>UCE_elcaggCap_spv_THA</v>
      </c>
      <c r="C143" t="str">
        <f t="shared" si="27"/>
        <v>e?_spv_THA*</v>
      </c>
      <c r="D143">
        <v>1</v>
      </c>
      <c r="E143">
        <v>2</v>
      </c>
      <c r="G143" t="str">
        <f t="shared" si="30"/>
        <v>UCE_elcaggCap_spv_THA</v>
      </c>
      <c r="H143" t="str">
        <f t="shared" si="31"/>
        <v>elcagg_spv_THA</v>
      </c>
      <c r="I143">
        <v>-1</v>
      </c>
      <c r="K143" t="s">
        <v>211</v>
      </c>
      <c r="L143" t="str">
        <f t="shared" si="32"/>
        <v>UCE_elcaggCap_won_TGO</v>
      </c>
      <c r="M143" t="str">
        <f t="shared" si="28"/>
        <v>e?_won_TGO*</v>
      </c>
      <c r="N143">
        <v>1</v>
      </c>
      <c r="O143">
        <v>2</v>
      </c>
      <c r="Q143" t="str">
        <f t="shared" si="33"/>
        <v>UCE_elcaggCap_won_TGO</v>
      </c>
      <c r="R143" t="str">
        <f t="shared" si="34"/>
        <v>elcagg_won_TGO</v>
      </c>
      <c r="S143">
        <v>-1</v>
      </c>
    </row>
    <row r="144" spans="1:19">
      <c r="A144" t="s">
        <v>234</v>
      </c>
      <c r="B144" t="str">
        <f t="shared" si="29"/>
        <v>UCE_elcaggCap_spv_TJK</v>
      </c>
      <c r="C144" t="str">
        <f t="shared" si="27"/>
        <v>e?_spv_TJK*</v>
      </c>
      <c r="D144">
        <v>1</v>
      </c>
      <c r="E144">
        <v>2</v>
      </c>
      <c r="G144" t="str">
        <f t="shared" si="30"/>
        <v>UCE_elcaggCap_spv_TJK</v>
      </c>
      <c r="H144" t="str">
        <f t="shared" si="31"/>
        <v>elcagg_spv_TJK</v>
      </c>
      <c r="I144">
        <v>-1</v>
      </c>
      <c r="K144" t="s">
        <v>212</v>
      </c>
      <c r="L144" t="str">
        <f t="shared" si="32"/>
        <v>UCE_elcaggCap_won_THA</v>
      </c>
      <c r="M144" t="str">
        <f t="shared" si="28"/>
        <v>e?_won_THA*</v>
      </c>
      <c r="N144">
        <v>1</v>
      </c>
      <c r="O144">
        <v>2</v>
      </c>
      <c r="Q144" t="str">
        <f t="shared" si="33"/>
        <v>UCE_elcaggCap_won_THA</v>
      </c>
      <c r="R144" t="str">
        <f t="shared" si="34"/>
        <v>elcagg_won_THA</v>
      </c>
      <c r="S144">
        <v>-1</v>
      </c>
    </row>
    <row r="145" spans="1:19">
      <c r="A145" t="s">
        <v>213</v>
      </c>
      <c r="B145" t="str">
        <f t="shared" si="29"/>
        <v>UCE_elcaggCap_spv_TKM</v>
      </c>
      <c r="C145" t="str">
        <f t="shared" si="27"/>
        <v>e?_spv_TKM*</v>
      </c>
      <c r="D145">
        <v>1</v>
      </c>
      <c r="E145">
        <v>2</v>
      </c>
      <c r="G145" t="str">
        <f t="shared" si="30"/>
        <v>UCE_elcaggCap_spv_TKM</v>
      </c>
      <c r="H145" t="str">
        <f t="shared" si="31"/>
        <v>elcagg_spv_TKM</v>
      </c>
      <c r="I145">
        <v>-1</v>
      </c>
      <c r="K145" t="s">
        <v>234</v>
      </c>
      <c r="L145" t="str">
        <f t="shared" si="32"/>
        <v>UCE_elcaggCap_won_TJK</v>
      </c>
      <c r="M145" t="str">
        <f t="shared" si="28"/>
        <v>e?_won_TJK*</v>
      </c>
      <c r="N145">
        <v>1</v>
      </c>
      <c r="O145">
        <v>2</v>
      </c>
      <c r="Q145" t="str">
        <f t="shared" si="33"/>
        <v>UCE_elcaggCap_won_TJK</v>
      </c>
      <c r="R145" t="str">
        <f t="shared" si="34"/>
        <v>elcagg_won_TJK</v>
      </c>
      <c r="S145">
        <v>-1</v>
      </c>
    </row>
    <row r="146" spans="1:19">
      <c r="A146" t="s">
        <v>216</v>
      </c>
      <c r="B146" t="str">
        <f t="shared" si="29"/>
        <v>UCE_elcaggCap_spv_TUN</v>
      </c>
      <c r="C146" t="str">
        <f t="shared" si="27"/>
        <v>e?_spv_TUN*</v>
      </c>
      <c r="D146">
        <v>1</v>
      </c>
      <c r="E146">
        <v>2</v>
      </c>
      <c r="G146" t="str">
        <f t="shared" si="30"/>
        <v>UCE_elcaggCap_spv_TUN</v>
      </c>
      <c r="H146" t="str">
        <f t="shared" si="31"/>
        <v>elcagg_spv_TUN</v>
      </c>
      <c r="I146">
        <v>-1</v>
      </c>
      <c r="K146" t="s">
        <v>213</v>
      </c>
      <c r="L146" t="str">
        <f t="shared" si="32"/>
        <v>UCE_elcaggCap_won_TKM</v>
      </c>
      <c r="M146" t="str">
        <f t="shared" si="28"/>
        <v>e?_won_TKM*</v>
      </c>
      <c r="N146">
        <v>1</v>
      </c>
      <c r="O146">
        <v>2</v>
      </c>
      <c r="Q146" t="str">
        <f t="shared" si="33"/>
        <v>UCE_elcaggCap_won_TKM</v>
      </c>
      <c r="R146" t="str">
        <f t="shared" si="34"/>
        <v>elcagg_won_TKM</v>
      </c>
      <c r="S146">
        <v>-1</v>
      </c>
    </row>
    <row r="147" spans="1:19">
      <c r="A147" t="s">
        <v>217</v>
      </c>
      <c r="B147" t="str">
        <f t="shared" si="29"/>
        <v>UCE_elcaggCap_spv_TUR</v>
      </c>
      <c r="C147" t="str">
        <f t="shared" si="27"/>
        <v>e?_spv_TUR*</v>
      </c>
      <c r="D147">
        <v>1</v>
      </c>
      <c r="E147">
        <v>2</v>
      </c>
      <c r="G147" t="str">
        <f t="shared" si="30"/>
        <v>UCE_elcaggCap_spv_TUR</v>
      </c>
      <c r="H147" t="str">
        <f t="shared" si="31"/>
        <v>elcagg_spv_TUR</v>
      </c>
      <c r="I147">
        <v>-1</v>
      </c>
      <c r="K147" t="s">
        <v>214</v>
      </c>
      <c r="L147" t="str">
        <f t="shared" si="32"/>
        <v>UCE_elcaggCap_won_TTO</v>
      </c>
      <c r="M147" t="str">
        <f t="shared" si="28"/>
        <v>e?_won_TTO*</v>
      </c>
      <c r="N147">
        <v>1</v>
      </c>
      <c r="O147">
        <v>2</v>
      </c>
      <c r="Q147" t="str">
        <f t="shared" si="33"/>
        <v>UCE_elcaggCap_won_TTO</v>
      </c>
      <c r="R147" t="str">
        <f t="shared" si="34"/>
        <v>elcagg_won_TTO</v>
      </c>
      <c r="S147">
        <v>-1</v>
      </c>
    </row>
    <row r="148" spans="1:19">
      <c r="A148" t="s">
        <v>218</v>
      </c>
      <c r="B148" t="str">
        <f t="shared" si="29"/>
        <v>UCE_elcaggCap_spv_TWN</v>
      </c>
      <c r="C148" t="str">
        <f t="shared" si="27"/>
        <v>e?_spv_TWN*</v>
      </c>
      <c r="D148">
        <v>1</v>
      </c>
      <c r="E148">
        <v>2</v>
      </c>
      <c r="G148" t="str">
        <f t="shared" si="30"/>
        <v>UCE_elcaggCap_spv_TWN</v>
      </c>
      <c r="H148" t="str">
        <f t="shared" si="31"/>
        <v>elcagg_spv_TWN</v>
      </c>
      <c r="I148">
        <v>-1</v>
      </c>
      <c r="K148" t="s">
        <v>216</v>
      </c>
      <c r="L148" t="str">
        <f t="shared" si="32"/>
        <v>UCE_elcaggCap_won_TUN</v>
      </c>
      <c r="M148" t="str">
        <f t="shared" si="28"/>
        <v>e?_won_TUN*</v>
      </c>
      <c r="N148">
        <v>1</v>
      </c>
      <c r="O148">
        <v>2</v>
      </c>
      <c r="Q148" t="str">
        <f t="shared" si="33"/>
        <v>UCE_elcaggCap_won_TUN</v>
      </c>
      <c r="R148" t="str">
        <f t="shared" si="34"/>
        <v>elcagg_won_TUN</v>
      </c>
      <c r="S148">
        <v>-1</v>
      </c>
    </row>
    <row r="149" spans="1:19">
      <c r="A149" t="s">
        <v>219</v>
      </c>
      <c r="B149" t="str">
        <f t="shared" si="29"/>
        <v>UCE_elcaggCap_spv_TZA</v>
      </c>
      <c r="C149" t="str">
        <f t="shared" si="27"/>
        <v>e?_spv_TZA*</v>
      </c>
      <c r="D149">
        <v>1</v>
      </c>
      <c r="E149">
        <v>2</v>
      </c>
      <c r="G149" t="str">
        <f t="shared" si="30"/>
        <v>UCE_elcaggCap_spv_TZA</v>
      </c>
      <c r="H149" t="str">
        <f t="shared" si="31"/>
        <v>elcagg_spv_TZA</v>
      </c>
      <c r="I149">
        <v>-1</v>
      </c>
      <c r="K149" t="s">
        <v>217</v>
      </c>
      <c r="L149" t="str">
        <f t="shared" si="32"/>
        <v>UCE_elcaggCap_won_TUR</v>
      </c>
      <c r="M149" t="str">
        <f t="shared" si="28"/>
        <v>e?_won_TUR*</v>
      </c>
      <c r="N149">
        <v>1</v>
      </c>
      <c r="O149">
        <v>2</v>
      </c>
      <c r="Q149" t="str">
        <f t="shared" si="33"/>
        <v>UCE_elcaggCap_won_TUR</v>
      </c>
      <c r="R149" t="str">
        <f t="shared" si="34"/>
        <v>elcagg_won_TUR</v>
      </c>
      <c r="S149">
        <v>-1</v>
      </c>
    </row>
    <row r="150" spans="1:19">
      <c r="A150" t="s">
        <v>235</v>
      </c>
      <c r="B150" t="str">
        <f t="shared" si="29"/>
        <v>UCE_elcaggCap_spv_UGA</v>
      </c>
      <c r="C150" t="str">
        <f t="shared" si="27"/>
        <v>e?_spv_UGA*</v>
      </c>
      <c r="D150">
        <v>1</v>
      </c>
      <c r="E150">
        <v>2</v>
      </c>
      <c r="G150" t="str">
        <f t="shared" si="30"/>
        <v>UCE_elcaggCap_spv_UGA</v>
      </c>
      <c r="H150" t="str">
        <f t="shared" si="31"/>
        <v>elcagg_spv_UGA</v>
      </c>
      <c r="I150">
        <v>-1</v>
      </c>
      <c r="K150" t="s">
        <v>218</v>
      </c>
      <c r="L150" t="str">
        <f t="shared" si="32"/>
        <v>UCE_elcaggCap_won_TWN</v>
      </c>
      <c r="M150" t="str">
        <f t="shared" si="28"/>
        <v>e?_won_TWN*</v>
      </c>
      <c r="N150">
        <v>1</v>
      </c>
      <c r="O150">
        <v>2</v>
      </c>
      <c r="Q150" t="str">
        <f t="shared" si="33"/>
        <v>UCE_elcaggCap_won_TWN</v>
      </c>
      <c r="R150" t="str">
        <f t="shared" si="34"/>
        <v>elcagg_won_TWN</v>
      </c>
      <c r="S150">
        <v>-1</v>
      </c>
    </row>
    <row r="151" spans="1:19">
      <c r="A151" t="s">
        <v>220</v>
      </c>
      <c r="B151" t="str">
        <f t="shared" si="29"/>
        <v>UCE_elcaggCap_spv_UKR</v>
      </c>
      <c r="C151" t="str">
        <f t="shared" si="27"/>
        <v>e?_spv_UKR*</v>
      </c>
      <c r="D151">
        <v>1</v>
      </c>
      <c r="E151">
        <v>2</v>
      </c>
      <c r="G151" t="str">
        <f t="shared" si="30"/>
        <v>UCE_elcaggCap_spv_UKR</v>
      </c>
      <c r="H151" t="str">
        <f t="shared" si="31"/>
        <v>elcagg_spv_UKR</v>
      </c>
      <c r="I151">
        <v>-1</v>
      </c>
      <c r="K151" t="s">
        <v>219</v>
      </c>
      <c r="L151" t="str">
        <f t="shared" si="32"/>
        <v>UCE_elcaggCap_won_TZA</v>
      </c>
      <c r="M151" t="str">
        <f t="shared" si="28"/>
        <v>e?_won_TZA*</v>
      </c>
      <c r="N151">
        <v>1</v>
      </c>
      <c r="O151">
        <v>2</v>
      </c>
      <c r="Q151" t="str">
        <f t="shared" si="33"/>
        <v>UCE_elcaggCap_won_TZA</v>
      </c>
      <c r="R151" t="str">
        <f t="shared" si="34"/>
        <v>elcagg_won_TZA</v>
      </c>
      <c r="S151">
        <v>-1</v>
      </c>
    </row>
    <row r="152" spans="1:19">
      <c r="A152" t="s">
        <v>221</v>
      </c>
      <c r="B152" t="str">
        <f t="shared" si="29"/>
        <v>UCE_elcaggCap_spv_URY</v>
      </c>
      <c r="C152" t="str">
        <f t="shared" si="27"/>
        <v>e?_spv_URY*</v>
      </c>
      <c r="D152">
        <v>1</v>
      </c>
      <c r="E152">
        <v>2</v>
      </c>
      <c r="G152" t="str">
        <f t="shared" si="30"/>
        <v>UCE_elcaggCap_spv_URY</v>
      </c>
      <c r="H152" t="str">
        <f t="shared" si="31"/>
        <v>elcagg_spv_URY</v>
      </c>
      <c r="I152">
        <v>-1</v>
      </c>
      <c r="K152" t="s">
        <v>235</v>
      </c>
      <c r="L152" t="str">
        <f t="shared" si="32"/>
        <v>UCE_elcaggCap_won_UGA</v>
      </c>
      <c r="M152" t="str">
        <f t="shared" si="28"/>
        <v>e?_won_UGA*</v>
      </c>
      <c r="N152">
        <v>1</v>
      </c>
      <c r="O152">
        <v>2</v>
      </c>
      <c r="Q152" t="str">
        <f t="shared" si="33"/>
        <v>UCE_elcaggCap_won_UGA</v>
      </c>
      <c r="R152" t="str">
        <f t="shared" si="34"/>
        <v>elcagg_won_UGA</v>
      </c>
      <c r="S152">
        <v>-1</v>
      </c>
    </row>
    <row r="153" spans="1:19">
      <c r="A153" t="s">
        <v>20</v>
      </c>
      <c r="B153" t="str">
        <f t="shared" si="29"/>
        <v>UCE_elcaggCap_spv_USA</v>
      </c>
      <c r="C153" t="str">
        <f t="shared" si="27"/>
        <v>e?_spv_USA*</v>
      </c>
      <c r="D153">
        <v>1</v>
      </c>
      <c r="E153">
        <v>2</v>
      </c>
      <c r="G153" t="str">
        <f t="shared" si="30"/>
        <v>UCE_elcaggCap_spv_USA</v>
      </c>
      <c r="H153" t="str">
        <f t="shared" si="31"/>
        <v>elcagg_spv_USA</v>
      </c>
      <c r="I153">
        <v>-1</v>
      </c>
      <c r="K153" t="s">
        <v>220</v>
      </c>
      <c r="L153" t="str">
        <f t="shared" si="32"/>
        <v>UCE_elcaggCap_won_UKR</v>
      </c>
      <c r="M153" t="str">
        <f t="shared" si="28"/>
        <v>e?_won_UKR*</v>
      </c>
      <c r="N153">
        <v>1</v>
      </c>
      <c r="O153">
        <v>2</v>
      </c>
      <c r="Q153" t="str">
        <f t="shared" si="33"/>
        <v>UCE_elcaggCap_won_UKR</v>
      </c>
      <c r="R153" t="str">
        <f t="shared" si="34"/>
        <v>elcagg_won_UKR</v>
      </c>
      <c r="S153">
        <v>-1</v>
      </c>
    </row>
    <row r="154" spans="1:19">
      <c r="A154" t="s">
        <v>236</v>
      </c>
      <c r="B154" t="str">
        <f t="shared" si="29"/>
        <v>UCE_elcaggCap_spv_UZB</v>
      </c>
      <c r="C154" t="str">
        <f t="shared" si="27"/>
        <v>e?_spv_UZB*</v>
      </c>
      <c r="D154">
        <v>1</v>
      </c>
      <c r="E154">
        <v>2</v>
      </c>
      <c r="G154" t="str">
        <f t="shared" si="30"/>
        <v>UCE_elcaggCap_spv_UZB</v>
      </c>
      <c r="H154" t="str">
        <f t="shared" si="31"/>
        <v>elcagg_spv_UZB</v>
      </c>
      <c r="I154">
        <v>-1</v>
      </c>
      <c r="K154" t="s">
        <v>221</v>
      </c>
      <c r="L154" t="str">
        <f t="shared" si="32"/>
        <v>UCE_elcaggCap_won_URY</v>
      </c>
      <c r="M154" t="str">
        <f t="shared" si="28"/>
        <v>e?_won_URY*</v>
      </c>
      <c r="N154">
        <v>1</v>
      </c>
      <c r="O154">
        <v>2</v>
      </c>
      <c r="Q154" t="str">
        <f t="shared" si="33"/>
        <v>UCE_elcaggCap_won_URY</v>
      </c>
      <c r="R154" t="str">
        <f t="shared" si="34"/>
        <v>elcagg_won_URY</v>
      </c>
      <c r="S154">
        <v>-1</v>
      </c>
    </row>
    <row r="155" spans="1:19">
      <c r="A155" t="s">
        <v>222</v>
      </c>
      <c r="B155" t="str">
        <f t="shared" si="29"/>
        <v>UCE_elcaggCap_spv_VEN</v>
      </c>
      <c r="C155" t="str">
        <f t="shared" si="27"/>
        <v>e?_spv_VEN*</v>
      </c>
      <c r="D155">
        <v>1</v>
      </c>
      <c r="E155">
        <v>2</v>
      </c>
      <c r="G155" t="str">
        <f t="shared" si="30"/>
        <v>UCE_elcaggCap_spv_VEN</v>
      </c>
      <c r="H155" t="str">
        <f t="shared" si="31"/>
        <v>elcagg_spv_VEN</v>
      </c>
      <c r="I155">
        <v>-1</v>
      </c>
      <c r="K155" t="s">
        <v>20</v>
      </c>
      <c r="L155" t="str">
        <f t="shared" si="32"/>
        <v>UCE_elcaggCap_won_USA</v>
      </c>
      <c r="M155" t="str">
        <f t="shared" si="28"/>
        <v>e?_won_USA*</v>
      </c>
      <c r="N155">
        <v>1</v>
      </c>
      <c r="O155">
        <v>2</v>
      </c>
      <c r="Q155" t="str">
        <f t="shared" si="33"/>
        <v>UCE_elcaggCap_won_USA</v>
      </c>
      <c r="R155" t="str">
        <f t="shared" si="34"/>
        <v>elcagg_won_USA</v>
      </c>
      <c r="S155">
        <v>-1</v>
      </c>
    </row>
    <row r="156" spans="1:19">
      <c r="A156" t="s">
        <v>223</v>
      </c>
      <c r="B156" t="str">
        <f t="shared" si="29"/>
        <v>UCE_elcaggCap_spv_VNM</v>
      </c>
      <c r="C156" t="str">
        <f t="shared" si="27"/>
        <v>e?_spv_VNM*</v>
      </c>
      <c r="D156">
        <v>1</v>
      </c>
      <c r="E156">
        <v>2</v>
      </c>
      <c r="G156" t="str">
        <f t="shared" si="30"/>
        <v>UCE_elcaggCap_spv_VNM</v>
      </c>
      <c r="H156" t="str">
        <f t="shared" si="31"/>
        <v>elcagg_spv_VNM</v>
      </c>
      <c r="I156">
        <v>-1</v>
      </c>
      <c r="K156" t="s">
        <v>236</v>
      </c>
      <c r="L156" t="str">
        <f t="shared" si="32"/>
        <v>UCE_elcaggCap_won_UZB</v>
      </c>
      <c r="M156" t="str">
        <f t="shared" si="28"/>
        <v>e?_won_UZB*</v>
      </c>
      <c r="N156">
        <v>1</v>
      </c>
      <c r="O156">
        <v>2</v>
      </c>
      <c r="Q156" t="str">
        <f t="shared" si="33"/>
        <v>UCE_elcaggCap_won_UZB</v>
      </c>
      <c r="R156" t="str">
        <f t="shared" si="34"/>
        <v>elcagg_won_UZB</v>
      </c>
      <c r="S156">
        <v>-1</v>
      </c>
    </row>
    <row r="157" spans="1:19">
      <c r="A157" t="s">
        <v>224</v>
      </c>
      <c r="B157" t="str">
        <f t="shared" si="29"/>
        <v>UCE_elcaggCap_spv_YEM</v>
      </c>
      <c r="C157" t="str">
        <f t="shared" si="27"/>
        <v>e?_spv_YEM*</v>
      </c>
      <c r="D157">
        <v>1</v>
      </c>
      <c r="E157">
        <v>2</v>
      </c>
      <c r="G157" t="str">
        <f t="shared" si="30"/>
        <v>UCE_elcaggCap_spv_YEM</v>
      </c>
      <c r="H157" t="str">
        <f t="shared" si="31"/>
        <v>elcagg_spv_YEM</v>
      </c>
      <c r="I157">
        <v>-1</v>
      </c>
      <c r="K157" t="s">
        <v>222</v>
      </c>
      <c r="L157" t="str">
        <f t="shared" si="32"/>
        <v>UCE_elcaggCap_won_VEN</v>
      </c>
      <c r="M157" t="str">
        <f t="shared" si="28"/>
        <v>e?_won_VEN*</v>
      </c>
      <c r="N157">
        <v>1</v>
      </c>
      <c r="O157">
        <v>2</v>
      </c>
      <c r="Q157" t="str">
        <f t="shared" si="33"/>
        <v>UCE_elcaggCap_won_VEN</v>
      </c>
      <c r="R157" t="str">
        <f t="shared" si="34"/>
        <v>elcagg_won_VEN</v>
      </c>
      <c r="S157">
        <v>-1</v>
      </c>
    </row>
    <row r="158" spans="1:19">
      <c r="A158" t="s">
        <v>225</v>
      </c>
      <c r="B158" t="str">
        <f t="shared" si="29"/>
        <v>UCE_elcaggCap_spv_ZAF</v>
      </c>
      <c r="C158" t="str">
        <f t="shared" si="27"/>
        <v>e?_spv_ZAF*</v>
      </c>
      <c r="D158">
        <v>1</v>
      </c>
      <c r="E158">
        <v>2</v>
      </c>
      <c r="G158" t="str">
        <f t="shared" si="30"/>
        <v>UCE_elcaggCap_spv_ZAF</v>
      </c>
      <c r="H158" t="str">
        <f t="shared" si="31"/>
        <v>elcagg_spv_ZAF</v>
      </c>
      <c r="I158">
        <v>-1</v>
      </c>
      <c r="K158" t="s">
        <v>223</v>
      </c>
      <c r="L158" t="str">
        <f t="shared" si="32"/>
        <v>UCE_elcaggCap_won_VNM</v>
      </c>
      <c r="M158" t="str">
        <f t="shared" si="28"/>
        <v>e?_won_VNM*</v>
      </c>
      <c r="N158">
        <v>1</v>
      </c>
      <c r="O158">
        <v>2</v>
      </c>
      <c r="Q158" t="str">
        <f t="shared" si="33"/>
        <v>UCE_elcaggCap_won_VNM</v>
      </c>
      <c r="R158" t="str">
        <f t="shared" si="34"/>
        <v>elcagg_won_VNM</v>
      </c>
      <c r="S158">
        <v>-1</v>
      </c>
    </row>
    <row r="159" spans="1:19">
      <c r="A159" t="s">
        <v>237</v>
      </c>
      <c r="B159" t="str">
        <f t="shared" si="29"/>
        <v>UCE_elcaggCap_spv_ZMB</v>
      </c>
      <c r="C159" t="str">
        <f t="shared" si="27"/>
        <v>e?_spv_ZMB*</v>
      </c>
      <c r="D159">
        <v>1</v>
      </c>
      <c r="E159">
        <v>2</v>
      </c>
      <c r="G159" t="str">
        <f t="shared" si="30"/>
        <v>UCE_elcaggCap_spv_ZMB</v>
      </c>
      <c r="H159" t="str">
        <f t="shared" si="31"/>
        <v>elcagg_spv_ZMB</v>
      </c>
      <c r="I159">
        <v>-1</v>
      </c>
      <c r="K159" t="s">
        <v>224</v>
      </c>
      <c r="L159" t="str">
        <f t="shared" si="32"/>
        <v>UCE_elcaggCap_won_YEM</v>
      </c>
      <c r="M159" t="str">
        <f t="shared" si="28"/>
        <v>e?_won_YEM*</v>
      </c>
      <c r="N159">
        <v>1</v>
      </c>
      <c r="O159">
        <v>2</v>
      </c>
      <c r="Q159" t="str">
        <f t="shared" si="33"/>
        <v>UCE_elcaggCap_won_YEM</v>
      </c>
      <c r="R159" t="str">
        <f t="shared" si="34"/>
        <v>elcagg_won_YEM</v>
      </c>
      <c r="S159">
        <v>-1</v>
      </c>
    </row>
    <row r="160" spans="1:19">
      <c r="A160" t="s">
        <v>238</v>
      </c>
      <c r="B160" t="str">
        <f t="shared" si="29"/>
        <v>UCE_elcaggCap_spv_ZWE</v>
      </c>
      <c r="C160" t="str">
        <f t="shared" si="27"/>
        <v>e?_spv_ZWE*</v>
      </c>
      <c r="D160">
        <v>1</v>
      </c>
      <c r="E160">
        <v>2</v>
      </c>
      <c r="G160" t="str">
        <f t="shared" si="30"/>
        <v>UCE_elcaggCap_spv_ZWE</v>
      </c>
      <c r="H160" t="str">
        <f t="shared" si="31"/>
        <v>elcagg_spv_ZWE</v>
      </c>
      <c r="I160">
        <v>-1</v>
      </c>
      <c r="K160" t="s">
        <v>225</v>
      </c>
      <c r="L160" t="str">
        <f t="shared" si="32"/>
        <v>UCE_elcaggCap_won_ZAF</v>
      </c>
      <c r="M160" t="str">
        <f t="shared" si="28"/>
        <v>e?_won_ZAF*</v>
      </c>
      <c r="N160">
        <v>1</v>
      </c>
      <c r="O160">
        <v>2</v>
      </c>
      <c r="Q160" t="str">
        <f t="shared" si="33"/>
        <v>UCE_elcaggCap_won_ZAF</v>
      </c>
      <c r="R160" t="str">
        <f t="shared" si="34"/>
        <v>elcagg_won_ZAF</v>
      </c>
      <c r="S160">
        <v>-1</v>
      </c>
    </row>
    <row r="161" spans="11:19">
      <c r="K161" t="s">
        <v>237</v>
      </c>
      <c r="L161" t="str">
        <f t="shared" si="32"/>
        <v>UCE_elcaggCap_won_ZMB</v>
      </c>
      <c r="M161" t="str">
        <f t="shared" si="28"/>
        <v>e?_won_ZMB*</v>
      </c>
      <c r="N161">
        <v>1</v>
      </c>
      <c r="O161">
        <v>2</v>
      </c>
      <c r="Q161" t="str">
        <f t="shared" si="33"/>
        <v>UCE_elcaggCap_won_ZMB</v>
      </c>
      <c r="R161" t="str">
        <f t="shared" si="34"/>
        <v>elcagg_won_ZMB</v>
      </c>
      <c r="S161">
        <v>-1</v>
      </c>
    </row>
    <row r="162" spans="11:19">
      <c r="K162" t="s">
        <v>238</v>
      </c>
      <c r="L162" t="str">
        <f t="shared" si="32"/>
        <v>UCE_elcaggCap_won_ZWE</v>
      </c>
      <c r="M162" t="str">
        <f t="shared" si="28"/>
        <v>e?_won_ZWE*</v>
      </c>
      <c r="N162">
        <v>1</v>
      </c>
      <c r="O162">
        <v>2</v>
      </c>
      <c r="Q162" t="str">
        <f t="shared" si="33"/>
        <v>UCE_elcaggCap_won_ZWE</v>
      </c>
      <c r="R162" t="str">
        <f t="shared" si="34"/>
        <v>elcagg_won_ZWE</v>
      </c>
      <c r="S162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51"/>
  <sheetViews>
    <sheetView zoomScale="84" zoomScaleNormal="84" workbookViewId="0"/>
  </sheetViews>
  <sheetFormatPr defaultColWidth="9" defaultRowHeight="14.25"/>
  <cols>
    <col min="1" max="1" width="14.46484375" customWidth="1"/>
    <col min="2" max="3" width="6.53125" customWidth="1"/>
    <col min="10" max="10" width="14.53125" customWidth="1"/>
    <col min="11" max="11" width="8.53125" customWidth="1"/>
    <col min="12" max="12" width="14.53125" customWidth="1"/>
    <col min="13" max="13" width="6.53125" customWidth="1"/>
    <col min="14" max="14" width="7.53125" customWidth="1"/>
    <col min="15" max="15" width="2" customWidth="1"/>
    <col min="16" max="16" width="8" customWidth="1"/>
    <col min="18" max="18" width="4.86328125" customWidth="1"/>
    <col min="19" max="19" width="9.796875" customWidth="1"/>
    <col min="20" max="20" width="9.86328125" customWidth="1"/>
    <col min="21" max="21" width="12.46484375" customWidth="1"/>
  </cols>
  <sheetData>
    <row r="1" spans="1:23">
      <c r="A1" t="s">
        <v>239</v>
      </c>
      <c r="J1" t="s">
        <v>240</v>
      </c>
    </row>
    <row r="3" spans="1:23">
      <c r="A3" t="s">
        <v>241</v>
      </c>
      <c r="B3" t="s">
        <v>242</v>
      </c>
      <c r="C3" t="s">
        <v>243</v>
      </c>
      <c r="E3" t="s">
        <v>241</v>
      </c>
      <c r="F3" s="12">
        <v>0.5</v>
      </c>
      <c r="G3" s="12">
        <v>0.25</v>
      </c>
      <c r="H3" s="12">
        <v>0.1</v>
      </c>
      <c r="L3" t="s">
        <v>244</v>
      </c>
      <c r="S3" t="s">
        <v>0</v>
      </c>
    </row>
    <row r="4" spans="1:23">
      <c r="A4" t="s">
        <v>245</v>
      </c>
      <c r="B4">
        <v>0</v>
      </c>
      <c r="C4">
        <v>4.8</v>
      </c>
      <c r="E4" t="s">
        <v>245</v>
      </c>
      <c r="F4">
        <v>82.6</v>
      </c>
      <c r="G4">
        <v>41.3</v>
      </c>
      <c r="H4">
        <v>16.5</v>
      </c>
      <c r="J4" t="s">
        <v>54</v>
      </c>
      <c r="K4" t="s">
        <v>28</v>
      </c>
      <c r="L4" t="s">
        <v>241</v>
      </c>
      <c r="M4" t="s">
        <v>246</v>
      </c>
      <c r="N4">
        <v>2020</v>
      </c>
      <c r="O4">
        <v>0</v>
      </c>
      <c r="P4" t="s">
        <v>59</v>
      </c>
      <c r="S4" t="s">
        <v>27</v>
      </c>
      <c r="T4" t="s">
        <v>28</v>
      </c>
      <c r="U4" t="s">
        <v>241</v>
      </c>
      <c r="V4" t="s">
        <v>14</v>
      </c>
      <c r="W4" t="s">
        <v>29</v>
      </c>
    </row>
    <row r="5" spans="1:23">
      <c r="A5" t="s">
        <v>247</v>
      </c>
      <c r="B5">
        <v>5.35</v>
      </c>
      <c r="C5">
        <v>0</v>
      </c>
      <c r="E5" t="s">
        <v>248</v>
      </c>
      <c r="F5">
        <v>132.5</v>
      </c>
      <c r="G5">
        <v>66.2</v>
      </c>
      <c r="H5">
        <v>26.5</v>
      </c>
      <c r="J5" t="s">
        <v>249</v>
      </c>
      <c r="K5" t="s">
        <v>250</v>
      </c>
      <c r="N5">
        <v>0</v>
      </c>
      <c r="O5">
        <v>3</v>
      </c>
      <c r="P5">
        <v>1</v>
      </c>
      <c r="S5" t="s">
        <v>50</v>
      </c>
      <c r="T5" t="str">
        <f>K5</f>
        <v>E_Nuclear</v>
      </c>
    </row>
    <row r="6" spans="1:23">
      <c r="A6" t="s">
        <v>251</v>
      </c>
      <c r="B6">
        <v>1.99</v>
      </c>
      <c r="C6">
        <v>1.4</v>
      </c>
      <c r="E6" t="s">
        <v>252</v>
      </c>
      <c r="F6">
        <v>22</v>
      </c>
      <c r="G6">
        <v>11</v>
      </c>
      <c r="H6">
        <v>4.4000000000000004</v>
      </c>
      <c r="L6" t="str">
        <f>IF(A4="","\I:",A4)</f>
        <v>Africa_North</v>
      </c>
      <c r="M6" s="16">
        <f>B4*1.1</f>
        <v>0</v>
      </c>
      <c r="N6" s="16">
        <f>MAX(VLOOKUP(L6,$E$4:$G$40,3,FALSE),M6*1.5)</f>
        <v>41.3</v>
      </c>
      <c r="S6" t="s">
        <v>50</v>
      </c>
      <c r="T6" t="str">
        <f>T5</f>
        <v>E_Nuclear</v>
      </c>
      <c r="U6" t="str">
        <f t="shared" ref="U6:U28" si="0">L6</f>
        <v>Africa_North</v>
      </c>
      <c r="V6" s="2"/>
    </row>
    <row r="7" spans="1:23">
      <c r="A7" t="s">
        <v>253</v>
      </c>
      <c r="B7">
        <v>55.53</v>
      </c>
      <c r="C7">
        <v>29.16</v>
      </c>
      <c r="E7" t="s">
        <v>254</v>
      </c>
      <c r="F7">
        <v>6</v>
      </c>
      <c r="G7">
        <v>3</v>
      </c>
      <c r="H7">
        <v>1.2</v>
      </c>
      <c r="L7" t="str">
        <f t="shared" ref="L7:L27" si="1">IF(A5="","\I:",A5)</f>
        <v>BeNeLux</v>
      </c>
      <c r="M7" s="16">
        <f t="shared" ref="M7:M27" si="2">B5*1.1</f>
        <v>5.8849999999999998</v>
      </c>
      <c r="N7" s="16">
        <f t="shared" ref="N7:N27" si="3">MAX(VLOOKUP(L7,$E$4:$G$40,3,FALSE),M7*1.5)</f>
        <v>8.8275000000000006</v>
      </c>
      <c r="S7" t="s">
        <v>50</v>
      </c>
      <c r="T7" t="str">
        <f t="shared" ref="T7:T28" si="4">T6</f>
        <v>E_Nuclear</v>
      </c>
      <c r="U7" t="str">
        <f t="shared" si="0"/>
        <v>BeNeLux</v>
      </c>
      <c r="V7" s="2"/>
    </row>
    <row r="8" spans="1:23">
      <c r="A8" t="s">
        <v>255</v>
      </c>
      <c r="B8">
        <v>0.69</v>
      </c>
      <c r="C8">
        <v>0</v>
      </c>
      <c r="E8" t="s">
        <v>256</v>
      </c>
      <c r="F8">
        <v>2.2999999999999998</v>
      </c>
      <c r="G8">
        <v>1.1000000000000001</v>
      </c>
      <c r="H8">
        <v>0.5</v>
      </c>
      <c r="L8" t="str">
        <f t="shared" si="1"/>
        <v>Brazil</v>
      </c>
      <c r="M8" s="16">
        <f t="shared" si="2"/>
        <v>2.1890000000000001</v>
      </c>
      <c r="N8" s="16">
        <f t="shared" si="3"/>
        <v>29.2</v>
      </c>
      <c r="S8" t="s">
        <v>50</v>
      </c>
      <c r="T8" t="str">
        <f t="shared" si="4"/>
        <v>E_Nuclear</v>
      </c>
      <c r="U8" t="str">
        <f t="shared" si="0"/>
        <v>Brazil</v>
      </c>
      <c r="V8" s="2"/>
    </row>
    <row r="9" spans="1:23">
      <c r="A9" t="s">
        <v>257</v>
      </c>
      <c r="B9">
        <v>6.29</v>
      </c>
      <c r="C9">
        <v>0.94</v>
      </c>
      <c r="E9" t="s">
        <v>247</v>
      </c>
      <c r="F9">
        <v>16.3</v>
      </c>
      <c r="G9">
        <v>8.1</v>
      </c>
      <c r="H9">
        <v>3.3</v>
      </c>
      <c r="L9" t="str">
        <f t="shared" si="1"/>
        <v>China</v>
      </c>
      <c r="M9" s="16">
        <f t="shared" si="2"/>
        <v>61.082999999999998</v>
      </c>
      <c r="N9" s="16">
        <f t="shared" si="3"/>
        <v>628.9</v>
      </c>
      <c r="S9" t="s">
        <v>50</v>
      </c>
      <c r="T9" t="str">
        <f t="shared" si="4"/>
        <v>E_Nuclear</v>
      </c>
      <c r="U9" t="str">
        <f t="shared" si="0"/>
        <v>China</v>
      </c>
      <c r="V9" s="2"/>
    </row>
    <row r="10" spans="1:23">
      <c r="A10" t="s">
        <v>258</v>
      </c>
      <c r="B10">
        <v>61.4</v>
      </c>
      <c r="C10">
        <v>1.65</v>
      </c>
      <c r="E10" t="s">
        <v>251</v>
      </c>
      <c r="F10">
        <v>58.4</v>
      </c>
      <c r="G10">
        <v>29.2</v>
      </c>
      <c r="H10">
        <v>11.7</v>
      </c>
      <c r="L10" t="str">
        <f t="shared" si="1"/>
        <v>CroSloven</v>
      </c>
      <c r="M10" s="16">
        <f t="shared" si="2"/>
        <v>0.75900000000000001</v>
      </c>
      <c r="N10" s="16">
        <f t="shared" si="3"/>
        <v>1.1385000000000001</v>
      </c>
      <c r="S10" t="s">
        <v>50</v>
      </c>
      <c r="T10" t="str">
        <f t="shared" si="4"/>
        <v>E_Nuclear</v>
      </c>
      <c r="U10" t="str">
        <f t="shared" si="0"/>
        <v>CroSloven</v>
      </c>
      <c r="V10" s="2"/>
    </row>
    <row r="11" spans="1:23">
      <c r="A11" t="s">
        <v>259</v>
      </c>
      <c r="B11">
        <v>4.2</v>
      </c>
      <c r="C11">
        <v>0</v>
      </c>
      <c r="E11" t="s">
        <v>253</v>
      </c>
      <c r="F11">
        <v>1257.8</v>
      </c>
      <c r="G11">
        <v>628.9</v>
      </c>
      <c r="H11">
        <v>251.6</v>
      </c>
      <c r="L11" t="str">
        <f t="shared" si="1"/>
        <v>CzechSlovak</v>
      </c>
      <c r="M11" s="16">
        <f t="shared" si="2"/>
        <v>6.9189999999999996</v>
      </c>
      <c r="N11" s="16">
        <f t="shared" si="3"/>
        <v>10.378500000000001</v>
      </c>
      <c r="S11" t="s">
        <v>50</v>
      </c>
      <c r="T11" t="str">
        <f t="shared" si="4"/>
        <v>E_Nuclear</v>
      </c>
      <c r="U11" t="str">
        <f t="shared" si="0"/>
        <v>CzechSlovak</v>
      </c>
      <c r="V11" s="2"/>
    </row>
    <row r="12" spans="1:23">
      <c r="A12" t="s">
        <v>260</v>
      </c>
      <c r="B12">
        <v>5.34</v>
      </c>
      <c r="C12">
        <v>0</v>
      </c>
      <c r="E12" t="s">
        <v>255</v>
      </c>
      <c r="F12">
        <v>2</v>
      </c>
      <c r="G12">
        <v>1</v>
      </c>
      <c r="H12">
        <v>0.4</v>
      </c>
      <c r="L12" t="str">
        <f t="shared" si="1"/>
        <v>France</v>
      </c>
      <c r="M12" s="16">
        <f t="shared" si="2"/>
        <v>67.540000000000006</v>
      </c>
      <c r="N12" s="16">
        <f t="shared" si="3"/>
        <v>101.31</v>
      </c>
      <c r="S12" t="s">
        <v>50</v>
      </c>
      <c r="T12" t="str">
        <f t="shared" si="4"/>
        <v>E_Nuclear</v>
      </c>
      <c r="U12" t="str">
        <f t="shared" si="0"/>
        <v>France</v>
      </c>
      <c r="V12" s="2"/>
    </row>
    <row r="13" spans="1:23">
      <c r="A13" t="s">
        <v>261</v>
      </c>
      <c r="B13">
        <v>6.78</v>
      </c>
      <c r="C13">
        <v>7.3</v>
      </c>
      <c r="E13" t="s">
        <v>257</v>
      </c>
      <c r="F13">
        <v>6.1</v>
      </c>
      <c r="G13">
        <v>3</v>
      </c>
      <c r="H13">
        <v>1.2</v>
      </c>
      <c r="L13" t="str">
        <f t="shared" si="1"/>
        <v>Germany</v>
      </c>
      <c r="M13" s="16">
        <f t="shared" si="2"/>
        <v>4.62</v>
      </c>
      <c r="N13" s="16">
        <f t="shared" si="3"/>
        <v>19.3</v>
      </c>
      <c r="S13" t="s">
        <v>50</v>
      </c>
      <c r="T13" t="str">
        <f t="shared" si="4"/>
        <v>E_Nuclear</v>
      </c>
      <c r="U13" t="str">
        <f t="shared" si="0"/>
        <v>Germany</v>
      </c>
      <c r="V13" s="2"/>
    </row>
    <row r="14" spans="1:23">
      <c r="A14" t="s">
        <v>262</v>
      </c>
      <c r="B14">
        <v>33.08</v>
      </c>
      <c r="C14">
        <v>6.84</v>
      </c>
      <c r="E14" t="s">
        <v>258</v>
      </c>
      <c r="F14">
        <v>34</v>
      </c>
      <c r="G14">
        <v>17</v>
      </c>
      <c r="H14">
        <v>6.8</v>
      </c>
      <c r="L14" t="str">
        <f t="shared" si="1"/>
        <v>HunRomBul</v>
      </c>
      <c r="M14" s="16">
        <f t="shared" si="2"/>
        <v>5.8739999999999997</v>
      </c>
      <c r="N14" s="16">
        <f t="shared" si="3"/>
        <v>8.8109999999999999</v>
      </c>
      <c r="S14" t="s">
        <v>50</v>
      </c>
      <c r="T14" t="str">
        <f t="shared" si="4"/>
        <v>E_Nuclear</v>
      </c>
      <c r="U14" t="str">
        <f t="shared" si="0"/>
        <v>HunRomBul</v>
      </c>
      <c r="V14" s="2"/>
    </row>
    <row r="15" spans="1:23">
      <c r="A15" t="s">
        <v>263</v>
      </c>
      <c r="B15">
        <v>1.75</v>
      </c>
      <c r="C15">
        <v>0</v>
      </c>
      <c r="E15" t="s">
        <v>259</v>
      </c>
      <c r="F15">
        <v>38.5</v>
      </c>
      <c r="G15">
        <v>19.3</v>
      </c>
      <c r="H15">
        <v>7.7</v>
      </c>
      <c r="L15" t="str">
        <f t="shared" si="1"/>
        <v>India</v>
      </c>
      <c r="M15" s="16">
        <f t="shared" si="2"/>
        <v>7.4580000000000002</v>
      </c>
      <c r="N15" s="16">
        <f t="shared" si="3"/>
        <v>196</v>
      </c>
      <c r="S15" t="s">
        <v>50</v>
      </c>
      <c r="T15" t="str">
        <f t="shared" si="4"/>
        <v>E_Nuclear</v>
      </c>
      <c r="U15" t="str">
        <f t="shared" si="0"/>
        <v>India</v>
      </c>
      <c r="V15" s="2"/>
    </row>
    <row r="16" spans="1:23">
      <c r="A16" t="s">
        <v>264</v>
      </c>
      <c r="B16">
        <v>3.8</v>
      </c>
      <c r="C16">
        <v>4.1900000000000004</v>
      </c>
      <c r="E16" t="s">
        <v>265</v>
      </c>
      <c r="F16">
        <v>4.4000000000000004</v>
      </c>
      <c r="G16">
        <v>2.2000000000000002</v>
      </c>
      <c r="H16">
        <v>0.9</v>
      </c>
      <c r="L16" t="str">
        <f t="shared" si="1"/>
        <v>Japan</v>
      </c>
      <c r="M16" s="16">
        <f t="shared" si="2"/>
        <v>36.387999999999998</v>
      </c>
      <c r="N16" s="16">
        <f t="shared" si="3"/>
        <v>54.582000000000001</v>
      </c>
      <c r="S16" t="s">
        <v>50</v>
      </c>
      <c r="T16" t="str">
        <f t="shared" si="4"/>
        <v>E_Nuclear</v>
      </c>
      <c r="U16" t="str">
        <f t="shared" si="0"/>
        <v>Japan</v>
      </c>
      <c r="V16" s="2"/>
    </row>
    <row r="17" spans="1:22">
      <c r="A17" t="s">
        <v>266</v>
      </c>
      <c r="B17">
        <v>109.61</v>
      </c>
      <c r="C17">
        <v>2.9</v>
      </c>
      <c r="E17" t="s">
        <v>260</v>
      </c>
      <c r="F17">
        <v>7.4</v>
      </c>
      <c r="G17">
        <v>3.7</v>
      </c>
      <c r="H17">
        <v>1.5</v>
      </c>
      <c r="L17" t="str">
        <f t="shared" si="1"/>
        <v>LatAm</v>
      </c>
      <c r="M17" s="16">
        <f t="shared" si="2"/>
        <v>1.925</v>
      </c>
      <c r="N17" s="16">
        <f t="shared" si="3"/>
        <v>46.1</v>
      </c>
      <c r="S17" t="s">
        <v>50</v>
      </c>
      <c r="T17" t="str">
        <f t="shared" si="4"/>
        <v>E_Nuclear</v>
      </c>
      <c r="U17" t="str">
        <f t="shared" si="0"/>
        <v>LatAm</v>
      </c>
      <c r="V17" s="2"/>
    </row>
    <row r="18" spans="1:22">
      <c r="A18" t="s">
        <v>267</v>
      </c>
      <c r="B18">
        <v>31.61</v>
      </c>
      <c r="C18">
        <v>6.6</v>
      </c>
      <c r="E18" t="s">
        <v>261</v>
      </c>
      <c r="F18">
        <v>391.9</v>
      </c>
      <c r="G18">
        <v>196</v>
      </c>
      <c r="H18">
        <v>78.400000000000006</v>
      </c>
      <c r="L18" t="str">
        <f t="shared" si="1"/>
        <v>MidEast</v>
      </c>
      <c r="M18" s="16">
        <f t="shared" si="2"/>
        <v>4.18</v>
      </c>
      <c r="N18" s="16">
        <f t="shared" si="3"/>
        <v>51.6</v>
      </c>
      <c r="S18" t="s">
        <v>50</v>
      </c>
      <c r="T18" t="str">
        <f t="shared" si="4"/>
        <v>E_Nuclear</v>
      </c>
      <c r="U18" t="str">
        <f t="shared" si="0"/>
        <v>MidEast</v>
      </c>
      <c r="V18" s="2"/>
    </row>
    <row r="19" spans="1:22">
      <c r="A19" t="s">
        <v>268</v>
      </c>
      <c r="B19">
        <v>30.71</v>
      </c>
      <c r="C19">
        <v>6.58</v>
      </c>
      <c r="E19" t="s">
        <v>269</v>
      </c>
      <c r="F19">
        <v>2.2999999999999998</v>
      </c>
      <c r="G19">
        <v>1.2</v>
      </c>
      <c r="H19">
        <v>0.5</v>
      </c>
      <c r="L19" t="str">
        <f t="shared" si="1"/>
        <v>NorthAm</v>
      </c>
      <c r="M19" s="16">
        <f t="shared" si="2"/>
        <v>120.571</v>
      </c>
      <c r="N19" s="16">
        <f t="shared" si="3"/>
        <v>201.3</v>
      </c>
      <c r="S19" t="s">
        <v>50</v>
      </c>
      <c r="T19" t="str">
        <f t="shared" si="4"/>
        <v>E_Nuclear</v>
      </c>
      <c r="U19" t="str">
        <f t="shared" si="0"/>
        <v>NorthAm</v>
      </c>
      <c r="V19" s="2"/>
    </row>
    <row r="20" spans="1:22">
      <c r="A20" t="s">
        <v>270</v>
      </c>
      <c r="B20">
        <v>1.94</v>
      </c>
      <c r="C20">
        <v>0</v>
      </c>
      <c r="E20" t="s">
        <v>271</v>
      </c>
      <c r="F20">
        <v>20.5</v>
      </c>
      <c r="G20">
        <v>10.199999999999999</v>
      </c>
      <c r="H20">
        <v>4.0999999999999996</v>
      </c>
      <c r="L20" t="str">
        <f t="shared" si="1"/>
        <v>ROW</v>
      </c>
      <c r="M20" s="16">
        <f t="shared" si="2"/>
        <v>34.771000000000001</v>
      </c>
      <c r="N20" s="16">
        <f t="shared" si="3"/>
        <v>160.1</v>
      </c>
      <c r="S20" t="s">
        <v>50</v>
      </c>
      <c r="T20" t="str">
        <f t="shared" si="4"/>
        <v>E_Nuclear</v>
      </c>
      <c r="U20" t="str">
        <f t="shared" si="0"/>
        <v>ROW</v>
      </c>
      <c r="V20" s="2"/>
    </row>
    <row r="21" spans="1:22">
      <c r="A21" t="s">
        <v>272</v>
      </c>
      <c r="B21">
        <v>7.12</v>
      </c>
      <c r="C21">
        <v>0</v>
      </c>
      <c r="E21" t="s">
        <v>262</v>
      </c>
      <c r="F21">
        <v>59.6</v>
      </c>
      <c r="G21">
        <v>29.8</v>
      </c>
      <c r="H21">
        <v>11.9</v>
      </c>
      <c r="L21" t="str">
        <f t="shared" si="1"/>
        <v>Russia</v>
      </c>
      <c r="M21" s="16">
        <f t="shared" si="2"/>
        <v>33.780999999999999</v>
      </c>
      <c r="N21" s="16">
        <f t="shared" si="3"/>
        <v>50.671500000000002</v>
      </c>
      <c r="S21" t="s">
        <v>50</v>
      </c>
      <c r="T21" t="str">
        <f t="shared" si="4"/>
        <v>E_Nuclear</v>
      </c>
      <c r="U21" t="str">
        <f t="shared" si="0"/>
        <v>Russia</v>
      </c>
      <c r="V21" s="2"/>
    </row>
    <row r="22" spans="1:22">
      <c r="A22" t="s">
        <v>273</v>
      </c>
      <c r="B22">
        <v>9.69</v>
      </c>
      <c r="C22">
        <v>0</v>
      </c>
      <c r="E22" t="s">
        <v>263</v>
      </c>
      <c r="F22">
        <v>92.1</v>
      </c>
      <c r="G22">
        <v>46.1</v>
      </c>
      <c r="H22">
        <v>18.399999999999999</v>
      </c>
      <c r="L22" t="str">
        <f t="shared" si="1"/>
        <v>SouthAfrica</v>
      </c>
      <c r="M22" s="16">
        <f t="shared" si="2"/>
        <v>2.1339999999999999</v>
      </c>
      <c r="N22" s="16">
        <f t="shared" si="3"/>
        <v>10.3</v>
      </c>
      <c r="S22" t="s">
        <v>50</v>
      </c>
      <c r="T22" t="str">
        <f t="shared" si="4"/>
        <v>E_Nuclear</v>
      </c>
      <c r="U22" t="str">
        <f t="shared" si="0"/>
        <v>SouthAfrica</v>
      </c>
      <c r="V22" s="2"/>
    </row>
    <row r="23" spans="1:22">
      <c r="A23" t="s">
        <v>274</v>
      </c>
      <c r="B23">
        <v>2.96</v>
      </c>
      <c r="C23">
        <v>0</v>
      </c>
      <c r="E23" t="s">
        <v>264</v>
      </c>
      <c r="F23">
        <v>103.1</v>
      </c>
      <c r="G23">
        <v>51.6</v>
      </c>
      <c r="H23">
        <v>20.6</v>
      </c>
      <c r="L23" t="str">
        <f t="shared" si="1"/>
        <v>SpainPor</v>
      </c>
      <c r="M23" s="16">
        <f t="shared" si="2"/>
        <v>7.8319999999999999</v>
      </c>
      <c r="N23" s="16">
        <f t="shared" si="3"/>
        <v>11.747999999999999</v>
      </c>
      <c r="S23" t="s">
        <v>50</v>
      </c>
      <c r="T23" t="str">
        <f t="shared" si="4"/>
        <v>E_Nuclear</v>
      </c>
      <c r="U23" t="str">
        <f t="shared" si="0"/>
        <v>SpainPor</v>
      </c>
      <c r="V23" s="2"/>
    </row>
    <row r="24" spans="1:22">
      <c r="A24" t="s">
        <v>275</v>
      </c>
      <c r="B24">
        <v>0</v>
      </c>
      <c r="C24">
        <v>4.8</v>
      </c>
      <c r="E24" t="s">
        <v>266</v>
      </c>
      <c r="F24">
        <v>402.5</v>
      </c>
      <c r="G24">
        <v>201.3</v>
      </c>
      <c r="H24">
        <v>80.5</v>
      </c>
      <c r="L24" t="str">
        <f t="shared" si="1"/>
        <v>SweFinDen</v>
      </c>
      <c r="M24" s="16">
        <f t="shared" si="2"/>
        <v>10.659000000000001</v>
      </c>
      <c r="N24" s="16">
        <f t="shared" si="3"/>
        <v>15.9885</v>
      </c>
      <c r="S24" t="s">
        <v>50</v>
      </c>
      <c r="T24" t="str">
        <f t="shared" si="4"/>
        <v>E_Nuclear</v>
      </c>
      <c r="U24" t="str">
        <f t="shared" si="0"/>
        <v>SweFinDen</v>
      </c>
      <c r="V24" s="2"/>
    </row>
    <row r="25" spans="1:22">
      <c r="A25" t="s">
        <v>276</v>
      </c>
      <c r="B25">
        <v>7.83</v>
      </c>
      <c r="C25">
        <v>3.44</v>
      </c>
      <c r="E25" t="s">
        <v>277</v>
      </c>
      <c r="F25">
        <v>9.3000000000000007</v>
      </c>
      <c r="G25">
        <v>4.7</v>
      </c>
      <c r="H25">
        <v>1.9</v>
      </c>
      <c r="L25" t="str">
        <f t="shared" si="1"/>
        <v>Switzerland</v>
      </c>
      <c r="M25" s="16">
        <f t="shared" si="2"/>
        <v>3.2559999999999998</v>
      </c>
      <c r="N25" s="16">
        <f t="shared" si="3"/>
        <v>4.8840000000000003</v>
      </c>
      <c r="S25" t="s">
        <v>50</v>
      </c>
      <c r="T25" t="str">
        <f t="shared" si="4"/>
        <v>E_Nuclear</v>
      </c>
      <c r="U25" t="str">
        <f t="shared" si="0"/>
        <v>Switzerland</v>
      </c>
      <c r="V25" s="2"/>
    </row>
    <row r="26" spans="1:22">
      <c r="A26" t="s">
        <v>278</v>
      </c>
      <c r="B26">
        <v>13.84</v>
      </c>
      <c r="C26">
        <v>0</v>
      </c>
      <c r="E26" t="s">
        <v>279</v>
      </c>
      <c r="F26">
        <v>10.6</v>
      </c>
      <c r="G26">
        <v>5.3</v>
      </c>
      <c r="H26">
        <v>2.1</v>
      </c>
      <c r="L26" t="str">
        <f t="shared" si="1"/>
        <v>Turkey</v>
      </c>
      <c r="M26" s="16">
        <f t="shared" si="2"/>
        <v>0</v>
      </c>
      <c r="N26" s="16">
        <f t="shared" si="3"/>
        <v>16.399999999999999</v>
      </c>
      <c r="S26" t="s">
        <v>50</v>
      </c>
      <c r="T26" t="str">
        <f t="shared" si="4"/>
        <v>E_Nuclear</v>
      </c>
      <c r="U26" t="str">
        <f t="shared" si="0"/>
        <v>Turkey</v>
      </c>
      <c r="V26" s="2"/>
    </row>
    <row r="27" spans="1:22">
      <c r="E27" t="s">
        <v>267</v>
      </c>
      <c r="F27">
        <v>320.2</v>
      </c>
      <c r="G27">
        <v>160.1</v>
      </c>
      <c r="H27">
        <v>64</v>
      </c>
      <c r="L27" t="str">
        <f t="shared" si="1"/>
        <v>UK</v>
      </c>
      <c r="M27" s="16">
        <f t="shared" si="2"/>
        <v>8.6129999999999995</v>
      </c>
      <c r="N27" s="16">
        <f t="shared" si="3"/>
        <v>13.2</v>
      </c>
      <c r="S27" t="s">
        <v>50</v>
      </c>
      <c r="T27" t="str">
        <f t="shared" si="4"/>
        <v>E_Nuclear</v>
      </c>
      <c r="U27" t="str">
        <f t="shared" si="0"/>
        <v>UK</v>
      </c>
      <c r="V27" s="2"/>
    </row>
    <row r="28" spans="1:22">
      <c r="E28" t="s">
        <v>268</v>
      </c>
      <c r="F28">
        <v>78.5</v>
      </c>
      <c r="G28">
        <v>39.299999999999997</v>
      </c>
      <c r="H28">
        <v>15.7</v>
      </c>
      <c r="L28" t="str">
        <f t="shared" ref="L28" si="5">IF(A26="","\I:",A26)</f>
        <v>Ukraine</v>
      </c>
      <c r="M28" s="16">
        <f t="shared" ref="M28" si="6">B26*1.1</f>
        <v>15.224</v>
      </c>
      <c r="N28" s="16">
        <f t="shared" ref="N28" si="7">MAX(VLOOKUP(L28,$E$4:$G$40,3,FALSE),M28*1.5)</f>
        <v>22.835999999999999</v>
      </c>
      <c r="S28" t="s">
        <v>50</v>
      </c>
      <c r="T28" t="str">
        <f t="shared" si="4"/>
        <v>E_Nuclear</v>
      </c>
      <c r="U28" t="str">
        <f t="shared" si="0"/>
        <v>Ukraine</v>
      </c>
      <c r="V28" s="2"/>
    </row>
    <row r="29" spans="1:22">
      <c r="E29" t="s">
        <v>280</v>
      </c>
      <c r="F29">
        <v>46.5</v>
      </c>
      <c r="G29">
        <v>23.3</v>
      </c>
      <c r="H29">
        <v>9.3000000000000007</v>
      </c>
      <c r="M29" s="16"/>
      <c r="N29" s="16"/>
      <c r="S29" t="s">
        <v>281</v>
      </c>
      <c r="T29" t="s">
        <v>250</v>
      </c>
      <c r="U29" t="s">
        <v>245</v>
      </c>
      <c r="V29" s="2">
        <v>0.33</v>
      </c>
    </row>
    <row r="30" spans="1:22">
      <c r="E30" t="s">
        <v>270</v>
      </c>
      <c r="F30">
        <v>20.6</v>
      </c>
      <c r="G30">
        <v>10.3</v>
      </c>
      <c r="H30">
        <v>4.0999999999999996</v>
      </c>
      <c r="S30" t="s">
        <v>281</v>
      </c>
      <c r="T30" t="s">
        <v>250</v>
      </c>
      <c r="U30" t="s">
        <v>247</v>
      </c>
      <c r="V30" s="2">
        <v>0.33</v>
      </c>
    </row>
    <row r="31" spans="1:22">
      <c r="E31" t="s">
        <v>272</v>
      </c>
      <c r="F31">
        <v>22.1</v>
      </c>
      <c r="G31">
        <v>11</v>
      </c>
      <c r="H31">
        <v>4.4000000000000004</v>
      </c>
      <c r="S31" t="s">
        <v>281</v>
      </c>
      <c r="T31" t="s">
        <v>250</v>
      </c>
      <c r="U31" t="s">
        <v>251</v>
      </c>
      <c r="V31">
        <v>0.33</v>
      </c>
    </row>
    <row r="32" spans="1:22">
      <c r="E32" t="s">
        <v>273</v>
      </c>
      <c r="F32">
        <v>18.899999999999999</v>
      </c>
      <c r="G32">
        <v>9.5</v>
      </c>
      <c r="H32">
        <v>3.8</v>
      </c>
      <c r="M32" s="16">
        <f>SUM(M6:M29)</f>
        <v>441.661</v>
      </c>
      <c r="N32" s="16">
        <f>SUM(N6:N29)</f>
        <v>1704.8755000000001</v>
      </c>
      <c r="S32" t="s">
        <v>281</v>
      </c>
      <c r="T32" t="s">
        <v>250</v>
      </c>
      <c r="U32" t="s">
        <v>253</v>
      </c>
      <c r="V32">
        <v>0.33</v>
      </c>
    </row>
    <row r="33" spans="5:22">
      <c r="E33" t="s">
        <v>274</v>
      </c>
      <c r="F33">
        <v>5.0999999999999996</v>
      </c>
      <c r="G33">
        <v>2.6</v>
      </c>
      <c r="H33">
        <v>1</v>
      </c>
      <c r="S33" t="s">
        <v>281</v>
      </c>
      <c r="T33" t="s">
        <v>250</v>
      </c>
      <c r="U33" t="s">
        <v>255</v>
      </c>
      <c r="V33">
        <v>0.33</v>
      </c>
    </row>
    <row r="34" spans="5:22">
      <c r="E34" t="s">
        <v>275</v>
      </c>
      <c r="F34">
        <v>32.9</v>
      </c>
      <c r="G34">
        <v>16.399999999999999</v>
      </c>
      <c r="H34">
        <v>6.6</v>
      </c>
      <c r="S34" t="s">
        <v>281</v>
      </c>
      <c r="T34" t="s">
        <v>250</v>
      </c>
      <c r="U34" t="s">
        <v>257</v>
      </c>
      <c r="V34">
        <v>0.33</v>
      </c>
    </row>
    <row r="35" spans="5:22">
      <c r="E35" t="s">
        <v>276</v>
      </c>
      <c r="F35">
        <v>26.4</v>
      </c>
      <c r="G35">
        <v>13.2</v>
      </c>
      <c r="H35">
        <v>5.3</v>
      </c>
      <c r="S35" t="s">
        <v>281</v>
      </c>
      <c r="T35" t="s">
        <v>250</v>
      </c>
      <c r="U35" t="s">
        <v>258</v>
      </c>
      <c r="V35">
        <v>0.33</v>
      </c>
    </row>
    <row r="36" spans="5:22">
      <c r="E36" t="s">
        <v>278</v>
      </c>
      <c r="F36">
        <v>8.8000000000000007</v>
      </c>
      <c r="G36">
        <v>4.4000000000000004</v>
      </c>
      <c r="H36">
        <v>1.8</v>
      </c>
      <c r="S36" t="s">
        <v>281</v>
      </c>
      <c r="T36" t="s">
        <v>250</v>
      </c>
      <c r="U36" t="s">
        <v>259</v>
      </c>
      <c r="V36">
        <v>0.33</v>
      </c>
    </row>
    <row r="37" spans="5:22">
      <c r="E37" t="s">
        <v>282</v>
      </c>
      <c r="F37">
        <v>6.1</v>
      </c>
      <c r="G37">
        <v>3.1</v>
      </c>
      <c r="H37">
        <v>1.2</v>
      </c>
      <c r="S37" t="s">
        <v>281</v>
      </c>
      <c r="T37" t="s">
        <v>250</v>
      </c>
      <c r="U37" t="s">
        <v>260</v>
      </c>
      <c r="V37">
        <v>0.33</v>
      </c>
    </row>
    <row r="38" spans="5:22">
      <c r="S38" t="s">
        <v>281</v>
      </c>
      <c r="T38" t="s">
        <v>250</v>
      </c>
      <c r="U38" t="s">
        <v>261</v>
      </c>
      <c r="V38">
        <v>0.33</v>
      </c>
    </row>
    <row r="39" spans="5:22">
      <c r="S39" t="s">
        <v>281</v>
      </c>
      <c r="T39" t="s">
        <v>250</v>
      </c>
      <c r="U39" t="s">
        <v>262</v>
      </c>
      <c r="V39">
        <v>0.33</v>
      </c>
    </row>
    <row r="40" spans="5:22">
      <c r="S40" t="s">
        <v>281</v>
      </c>
      <c r="T40" t="s">
        <v>250</v>
      </c>
      <c r="U40" t="s">
        <v>263</v>
      </c>
      <c r="V40">
        <v>0.33</v>
      </c>
    </row>
    <row r="41" spans="5:22">
      <c r="S41" t="s">
        <v>281</v>
      </c>
      <c r="T41" t="s">
        <v>250</v>
      </c>
      <c r="U41" t="s">
        <v>264</v>
      </c>
      <c r="V41">
        <v>0.33</v>
      </c>
    </row>
    <row r="42" spans="5:22">
      <c r="S42" t="s">
        <v>281</v>
      </c>
      <c r="T42" t="s">
        <v>250</v>
      </c>
      <c r="U42" t="s">
        <v>266</v>
      </c>
      <c r="V42">
        <v>0.33</v>
      </c>
    </row>
    <row r="43" spans="5:22">
      <c r="S43" t="s">
        <v>281</v>
      </c>
      <c r="T43" t="s">
        <v>250</v>
      </c>
      <c r="U43" t="s">
        <v>267</v>
      </c>
      <c r="V43">
        <v>0.33</v>
      </c>
    </row>
    <row r="44" spans="5:22">
      <c r="S44" t="s">
        <v>281</v>
      </c>
      <c r="T44" t="s">
        <v>250</v>
      </c>
      <c r="U44" t="s">
        <v>268</v>
      </c>
      <c r="V44">
        <v>0.33</v>
      </c>
    </row>
    <row r="45" spans="5:22">
      <c r="S45" t="s">
        <v>281</v>
      </c>
      <c r="T45" t="s">
        <v>250</v>
      </c>
      <c r="U45" t="s">
        <v>270</v>
      </c>
      <c r="V45">
        <v>0.33</v>
      </c>
    </row>
    <row r="46" spans="5:22">
      <c r="S46" t="s">
        <v>281</v>
      </c>
      <c r="T46" t="s">
        <v>250</v>
      </c>
      <c r="U46" t="s">
        <v>272</v>
      </c>
      <c r="V46">
        <v>0.33</v>
      </c>
    </row>
    <row r="47" spans="5:22">
      <c r="S47" t="s">
        <v>281</v>
      </c>
      <c r="T47" t="s">
        <v>250</v>
      </c>
      <c r="U47" t="s">
        <v>273</v>
      </c>
      <c r="V47">
        <v>0.33</v>
      </c>
    </row>
    <row r="48" spans="5:22">
      <c r="S48" t="s">
        <v>281</v>
      </c>
      <c r="T48" t="s">
        <v>250</v>
      </c>
      <c r="U48" t="s">
        <v>274</v>
      </c>
      <c r="V48">
        <v>0.33</v>
      </c>
    </row>
    <row r="49" spans="19:22">
      <c r="S49" t="s">
        <v>281</v>
      </c>
      <c r="T49" t="s">
        <v>250</v>
      </c>
      <c r="U49" t="s">
        <v>275</v>
      </c>
      <c r="V49">
        <v>0.33</v>
      </c>
    </row>
    <row r="50" spans="19:22">
      <c r="S50" t="s">
        <v>281</v>
      </c>
      <c r="T50" t="s">
        <v>250</v>
      </c>
      <c r="U50" t="s">
        <v>276</v>
      </c>
      <c r="V50">
        <v>0.33</v>
      </c>
    </row>
    <row r="51" spans="19:22">
      <c r="S51" t="s">
        <v>281</v>
      </c>
      <c r="T51" t="s">
        <v>250</v>
      </c>
      <c r="U51" t="s">
        <v>278</v>
      </c>
      <c r="V51">
        <v>0.33</v>
      </c>
    </row>
  </sheetData>
  <pageMargins left="0.7" right="0.7" top="0.75" bottom="0.75" header="0.3" footer="0.3"/>
  <pageSetup orientation="portrait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N42"/>
  <sheetViews>
    <sheetView zoomScale="37" zoomScaleNormal="37" workbookViewId="0"/>
  </sheetViews>
  <sheetFormatPr defaultColWidth="9" defaultRowHeight="14.25"/>
  <cols>
    <col min="1" max="1" width="71.19921875" customWidth="1"/>
    <col min="2" max="3" width="10.46484375" customWidth="1"/>
    <col min="4" max="4" width="10.53125" customWidth="1"/>
    <col min="5" max="5" width="10" customWidth="1"/>
    <col min="6" max="6" width="7.86328125" customWidth="1"/>
    <col min="7" max="7" width="7.796875" customWidth="1"/>
    <col min="8" max="8" width="7.33203125" customWidth="1"/>
    <col min="9" max="9" width="7.53125" customWidth="1"/>
    <col min="10" max="10" width="9.796875" customWidth="1"/>
    <col min="11" max="11" width="7.1328125" customWidth="1"/>
    <col min="12" max="13" width="7.796875" customWidth="1"/>
    <col min="14" max="14" width="8.796875" customWidth="1"/>
    <col min="15" max="15" width="7.796875" customWidth="1"/>
    <col min="16" max="16" width="7.1328125" customWidth="1"/>
    <col min="17" max="19" width="7.796875" customWidth="1"/>
    <col min="20" max="20" width="8.46484375" customWidth="1"/>
    <col min="21" max="21" width="6.796875" customWidth="1"/>
    <col min="22" max="22" width="7.796875" customWidth="1"/>
    <col min="23" max="23" width="7.53125" customWidth="1"/>
    <col min="24" max="25" width="7.796875" customWidth="1"/>
    <col min="26" max="26" width="10.33203125" customWidth="1"/>
    <col min="27" max="27" width="6.796875" customWidth="1"/>
    <col min="28" max="28" width="9.46484375" customWidth="1"/>
    <col min="29" max="29" width="6.796875" customWidth="1"/>
    <col min="30" max="30" width="7.796875" customWidth="1"/>
    <col min="31" max="31" width="10.1328125" customWidth="1"/>
    <col min="32" max="32" width="9.796875" customWidth="1"/>
    <col min="33" max="33" width="7.796875" customWidth="1"/>
    <col min="34" max="34" width="7.46484375" customWidth="1"/>
    <col min="35" max="35" width="6.796875" customWidth="1"/>
    <col min="36" max="36" width="7.796875" customWidth="1"/>
    <col min="37" max="37" width="8.796875" customWidth="1"/>
    <col min="40" max="40" width="4.796875" customWidth="1"/>
  </cols>
  <sheetData>
    <row r="1" spans="1:36">
      <c r="A1" t="s">
        <v>283</v>
      </c>
    </row>
    <row r="2" spans="1:36">
      <c r="A2" t="s">
        <v>284</v>
      </c>
      <c r="B2" t="s">
        <v>245</v>
      </c>
      <c r="C2" t="s">
        <v>248</v>
      </c>
      <c r="D2" t="s">
        <v>252</v>
      </c>
      <c r="E2" t="s">
        <v>254</v>
      </c>
      <c r="F2" t="s">
        <v>256</v>
      </c>
      <c r="G2" t="s">
        <v>247</v>
      </c>
      <c r="H2" t="s">
        <v>251</v>
      </c>
      <c r="I2" t="s">
        <v>253</v>
      </c>
      <c r="J2" t="s">
        <v>255</v>
      </c>
      <c r="K2" t="s">
        <v>257</v>
      </c>
      <c r="L2" t="s">
        <v>258</v>
      </c>
      <c r="M2" t="s">
        <v>259</v>
      </c>
      <c r="N2" t="s">
        <v>265</v>
      </c>
      <c r="O2" t="s">
        <v>260</v>
      </c>
      <c r="P2" t="s">
        <v>285</v>
      </c>
      <c r="Q2" t="s">
        <v>261</v>
      </c>
      <c r="R2" t="s">
        <v>269</v>
      </c>
      <c r="S2" t="s">
        <v>271</v>
      </c>
      <c r="T2" t="s">
        <v>262</v>
      </c>
      <c r="U2" t="s">
        <v>263</v>
      </c>
      <c r="V2" t="s">
        <v>264</v>
      </c>
      <c r="W2" t="s">
        <v>266</v>
      </c>
      <c r="X2" t="s">
        <v>277</v>
      </c>
      <c r="Y2" t="s">
        <v>279</v>
      </c>
      <c r="Z2" t="s">
        <v>267</v>
      </c>
      <c r="AA2" t="s">
        <v>268</v>
      </c>
      <c r="AB2" t="s">
        <v>280</v>
      </c>
      <c r="AC2" t="s">
        <v>270</v>
      </c>
      <c r="AD2" t="s">
        <v>272</v>
      </c>
      <c r="AE2" t="s">
        <v>273</v>
      </c>
      <c r="AF2" t="s">
        <v>274</v>
      </c>
      <c r="AG2" t="s">
        <v>275</v>
      </c>
      <c r="AH2" t="s">
        <v>276</v>
      </c>
      <c r="AI2" t="s">
        <v>278</v>
      </c>
      <c r="AJ2" t="s">
        <v>282</v>
      </c>
    </row>
    <row r="3" spans="1:36">
      <c r="A3" t="s">
        <v>286</v>
      </c>
      <c r="D3">
        <v>8.42</v>
      </c>
      <c r="E3">
        <v>22.28</v>
      </c>
      <c r="F3">
        <v>15.65</v>
      </c>
      <c r="G3">
        <v>93.81</v>
      </c>
      <c r="I3">
        <v>8197.59</v>
      </c>
      <c r="J3">
        <v>28.9</v>
      </c>
      <c r="K3">
        <v>43.71</v>
      </c>
      <c r="L3">
        <v>49.07</v>
      </c>
      <c r="M3">
        <v>291.13</v>
      </c>
      <c r="N3">
        <v>12.5</v>
      </c>
      <c r="O3">
        <v>66.02</v>
      </c>
      <c r="P3">
        <v>16.78</v>
      </c>
      <c r="S3">
        <v>237.38</v>
      </c>
      <c r="U3">
        <v>1.27</v>
      </c>
      <c r="V3">
        <v>10.27</v>
      </c>
      <c r="W3">
        <v>538.85</v>
      </c>
      <c r="X3">
        <v>1.7</v>
      </c>
      <c r="Y3">
        <v>462.11</v>
      </c>
      <c r="Z3">
        <v>730.98</v>
      </c>
      <c r="AA3">
        <v>2357.0100000000002</v>
      </c>
      <c r="AD3">
        <v>0.76</v>
      </c>
      <c r="AE3">
        <v>117.72</v>
      </c>
      <c r="AF3">
        <v>2.5299999999999998</v>
      </c>
      <c r="AG3">
        <v>13.26</v>
      </c>
      <c r="AI3">
        <v>36.85</v>
      </c>
      <c r="AJ3">
        <v>19.04</v>
      </c>
    </row>
    <row r="4" spans="1:36">
      <c r="A4" t="s">
        <v>287</v>
      </c>
      <c r="B4">
        <v>2.76</v>
      </c>
      <c r="C4">
        <v>0.09</v>
      </c>
      <c r="D4">
        <v>46.99</v>
      </c>
      <c r="E4">
        <v>16.55</v>
      </c>
      <c r="F4">
        <v>3.2</v>
      </c>
      <c r="G4">
        <v>112.19</v>
      </c>
      <c r="H4">
        <v>302.07</v>
      </c>
      <c r="J4">
        <v>1.83</v>
      </c>
      <c r="K4">
        <v>32.65</v>
      </c>
      <c r="L4">
        <v>36.479999999999997</v>
      </c>
      <c r="M4">
        <v>116.8</v>
      </c>
      <c r="N4">
        <v>10.61</v>
      </c>
      <c r="O4">
        <v>12.77</v>
      </c>
      <c r="Q4">
        <v>145.16999999999999</v>
      </c>
      <c r="R4">
        <v>7.46</v>
      </c>
      <c r="S4">
        <v>142.24</v>
      </c>
      <c r="U4">
        <v>40.880000000000003</v>
      </c>
      <c r="V4">
        <v>11.95</v>
      </c>
      <c r="W4">
        <v>610.03</v>
      </c>
      <c r="X4">
        <v>4.7699999999999996</v>
      </c>
      <c r="Y4">
        <v>50.12</v>
      </c>
      <c r="Z4">
        <v>218.17</v>
      </c>
      <c r="AA4">
        <v>225.82</v>
      </c>
      <c r="AC4">
        <v>0.22</v>
      </c>
      <c r="AD4">
        <v>100.25</v>
      </c>
      <c r="AE4">
        <v>61.97</v>
      </c>
      <c r="AF4">
        <v>10.63</v>
      </c>
      <c r="AG4">
        <v>30.7</v>
      </c>
      <c r="AH4">
        <v>125.56</v>
      </c>
      <c r="AI4">
        <v>7.19</v>
      </c>
      <c r="AJ4">
        <v>1.95</v>
      </c>
    </row>
    <row r="5" spans="1:36">
      <c r="A5" t="s">
        <v>288</v>
      </c>
      <c r="B5">
        <v>2.76</v>
      </c>
      <c r="C5">
        <v>0.09</v>
      </c>
      <c r="D5">
        <v>55.41</v>
      </c>
      <c r="E5">
        <v>38.83</v>
      </c>
      <c r="F5">
        <v>18.84</v>
      </c>
      <c r="G5">
        <v>206</v>
      </c>
      <c r="H5">
        <v>302.07</v>
      </c>
      <c r="I5">
        <v>8197.59</v>
      </c>
      <c r="J5">
        <v>30.73</v>
      </c>
      <c r="K5">
        <v>76.37</v>
      </c>
      <c r="L5">
        <v>85.54</v>
      </c>
      <c r="M5">
        <v>407.93</v>
      </c>
      <c r="N5">
        <v>23.11</v>
      </c>
      <c r="O5">
        <v>78.790000000000006</v>
      </c>
      <c r="P5">
        <v>16.78</v>
      </c>
      <c r="Q5">
        <v>145.16999999999999</v>
      </c>
      <c r="R5">
        <v>7.46</v>
      </c>
      <c r="S5">
        <v>379.62</v>
      </c>
      <c r="U5">
        <v>42.15</v>
      </c>
      <c r="V5">
        <v>22.21</v>
      </c>
      <c r="W5">
        <v>1148.8800000000001</v>
      </c>
      <c r="X5">
        <v>6.47</v>
      </c>
      <c r="Y5">
        <v>512.23</v>
      </c>
      <c r="Z5">
        <v>949.15</v>
      </c>
      <c r="AA5">
        <v>2582.8200000000002</v>
      </c>
      <c r="AC5">
        <v>0.22</v>
      </c>
      <c r="AD5">
        <v>101.01</v>
      </c>
      <c r="AE5">
        <v>179.69</v>
      </c>
      <c r="AF5">
        <v>13.16</v>
      </c>
      <c r="AG5">
        <v>43.96</v>
      </c>
      <c r="AH5">
        <v>125.56</v>
      </c>
      <c r="AI5">
        <v>44.04</v>
      </c>
      <c r="AJ5">
        <v>20.99</v>
      </c>
    </row>
    <row r="6" spans="1:36">
      <c r="A6" t="s">
        <v>289</v>
      </c>
      <c r="D6">
        <v>0</v>
      </c>
      <c r="E6">
        <v>38.39</v>
      </c>
      <c r="F6">
        <v>36.270000000000003</v>
      </c>
      <c r="G6">
        <v>59.34</v>
      </c>
      <c r="I6">
        <v>7418.86</v>
      </c>
      <c r="J6">
        <v>19.600000000000001</v>
      </c>
      <c r="K6">
        <v>91.89</v>
      </c>
      <c r="L6">
        <v>84.07</v>
      </c>
      <c r="M6">
        <v>318.83</v>
      </c>
      <c r="N6">
        <v>1.22</v>
      </c>
      <c r="O6">
        <v>83.51</v>
      </c>
      <c r="P6">
        <v>2.87</v>
      </c>
      <c r="S6">
        <v>57.14</v>
      </c>
      <c r="V6">
        <v>0</v>
      </c>
      <c r="W6">
        <v>437.62</v>
      </c>
      <c r="X6">
        <v>7.71</v>
      </c>
      <c r="Y6">
        <v>163.53</v>
      </c>
      <c r="Z6">
        <v>410.1</v>
      </c>
      <c r="AA6">
        <v>2612.31</v>
      </c>
      <c r="AD6">
        <v>0.04</v>
      </c>
      <c r="AE6">
        <v>269.77999999999997</v>
      </c>
      <c r="AF6">
        <v>5.77</v>
      </c>
      <c r="AG6">
        <v>18.09</v>
      </c>
      <c r="AI6">
        <v>54.8</v>
      </c>
      <c r="AJ6">
        <v>6.28</v>
      </c>
    </row>
    <row r="7" spans="1:36">
      <c r="A7" t="s">
        <v>290</v>
      </c>
      <c r="D7">
        <v>0</v>
      </c>
      <c r="E7">
        <v>9.86</v>
      </c>
      <c r="F7">
        <v>1.4</v>
      </c>
      <c r="G7">
        <v>37.01</v>
      </c>
      <c r="J7">
        <v>0.08</v>
      </c>
      <c r="K7">
        <v>8.49</v>
      </c>
      <c r="L7">
        <v>25.29</v>
      </c>
      <c r="N7">
        <v>0.32</v>
      </c>
      <c r="O7">
        <v>1.06</v>
      </c>
      <c r="S7">
        <v>13.59</v>
      </c>
      <c r="V7">
        <v>0</v>
      </c>
      <c r="W7">
        <v>0.1</v>
      </c>
      <c r="Y7">
        <v>17.64</v>
      </c>
      <c r="Z7">
        <v>284.39999999999998</v>
      </c>
      <c r="AA7">
        <v>542.6</v>
      </c>
      <c r="AD7">
        <v>11.5</v>
      </c>
      <c r="AE7">
        <v>53.39</v>
      </c>
      <c r="AF7">
        <v>14.54</v>
      </c>
      <c r="AG7">
        <v>21.24</v>
      </c>
      <c r="AI7">
        <v>34.75</v>
      </c>
      <c r="AJ7">
        <v>6.86</v>
      </c>
    </row>
    <row r="8" spans="1:36">
      <c r="A8" t="s">
        <v>291</v>
      </c>
      <c r="D8">
        <v>0</v>
      </c>
      <c r="E8">
        <v>48.25</v>
      </c>
      <c r="F8">
        <v>37.67</v>
      </c>
      <c r="G8">
        <v>96.35</v>
      </c>
      <c r="I8">
        <v>7418.86</v>
      </c>
      <c r="J8">
        <v>19.68</v>
      </c>
      <c r="K8">
        <v>100.38</v>
      </c>
      <c r="L8">
        <v>109.36</v>
      </c>
      <c r="M8">
        <v>318.83</v>
      </c>
      <c r="N8">
        <v>1.55</v>
      </c>
      <c r="O8">
        <v>84.56</v>
      </c>
      <c r="P8">
        <v>2.87</v>
      </c>
      <c r="S8">
        <v>70.73</v>
      </c>
      <c r="V8">
        <v>0</v>
      </c>
      <c r="W8">
        <v>437.72</v>
      </c>
      <c r="X8">
        <v>7.71</v>
      </c>
      <c r="Y8">
        <v>181.17</v>
      </c>
      <c r="Z8">
        <v>694.5</v>
      </c>
      <c r="AA8">
        <v>3154.91</v>
      </c>
      <c r="AD8">
        <v>11.54</v>
      </c>
      <c r="AE8">
        <v>323.17</v>
      </c>
      <c r="AF8">
        <v>20.309999999999999</v>
      </c>
      <c r="AG8">
        <v>39.33</v>
      </c>
      <c r="AI8">
        <v>89.55</v>
      </c>
      <c r="AJ8">
        <v>13.14</v>
      </c>
    </row>
    <row r="9" spans="1:36">
      <c r="A9" t="s">
        <v>292</v>
      </c>
      <c r="D9">
        <v>0</v>
      </c>
      <c r="E9">
        <v>1.72</v>
      </c>
      <c r="F9">
        <v>2.3199999999999998</v>
      </c>
      <c r="G9">
        <v>0.63</v>
      </c>
      <c r="I9">
        <v>0.91</v>
      </c>
      <c r="J9">
        <v>0.68</v>
      </c>
      <c r="K9">
        <v>2.1</v>
      </c>
      <c r="L9">
        <v>1.71</v>
      </c>
      <c r="M9">
        <v>1.1000000000000001</v>
      </c>
      <c r="N9">
        <v>0.1</v>
      </c>
      <c r="O9">
        <v>1.26</v>
      </c>
      <c r="P9">
        <v>0.17</v>
      </c>
      <c r="S9">
        <v>0.24</v>
      </c>
      <c r="V9">
        <v>0</v>
      </c>
      <c r="W9">
        <v>0.81</v>
      </c>
      <c r="X9">
        <v>4.53</v>
      </c>
      <c r="Y9">
        <v>0.35</v>
      </c>
      <c r="Z9">
        <v>0.56000000000000005</v>
      </c>
      <c r="AA9">
        <v>1.1100000000000001</v>
      </c>
      <c r="AD9">
        <v>0.05</v>
      </c>
      <c r="AE9">
        <v>2.29</v>
      </c>
      <c r="AF9">
        <v>2.2799999999999998</v>
      </c>
      <c r="AG9">
        <v>1.36</v>
      </c>
      <c r="AI9">
        <v>1.49</v>
      </c>
      <c r="AJ9">
        <v>0.33</v>
      </c>
    </row>
    <row r="10" spans="1:36">
      <c r="A10" t="s">
        <v>293</v>
      </c>
      <c r="D10">
        <v>0</v>
      </c>
      <c r="E10">
        <v>0.6</v>
      </c>
      <c r="F10">
        <v>0.44</v>
      </c>
      <c r="G10">
        <v>0.33</v>
      </c>
      <c r="J10">
        <v>0.04</v>
      </c>
      <c r="K10">
        <v>0.26</v>
      </c>
      <c r="L10">
        <v>0.69</v>
      </c>
      <c r="N10">
        <v>0.03</v>
      </c>
      <c r="O10">
        <v>0.08</v>
      </c>
      <c r="S10">
        <v>0.1</v>
      </c>
      <c r="V10">
        <v>0</v>
      </c>
      <c r="W10">
        <v>0</v>
      </c>
      <c r="Y10">
        <v>0.35</v>
      </c>
      <c r="Z10">
        <v>1.3</v>
      </c>
      <c r="AA10">
        <v>2.4</v>
      </c>
      <c r="AD10">
        <v>0.11</v>
      </c>
      <c r="AE10">
        <v>0.86</v>
      </c>
      <c r="AF10">
        <v>1.37</v>
      </c>
      <c r="AG10">
        <v>0.69</v>
      </c>
      <c r="AI10">
        <v>4.83</v>
      </c>
      <c r="AJ10">
        <v>3.52</v>
      </c>
    </row>
    <row r="11" spans="1:36">
      <c r="A11" t="s">
        <v>294</v>
      </c>
      <c r="D11">
        <v>0</v>
      </c>
      <c r="E11">
        <v>1.24</v>
      </c>
      <c r="F11">
        <v>2</v>
      </c>
      <c r="G11">
        <v>0.47</v>
      </c>
      <c r="I11">
        <v>0.91</v>
      </c>
      <c r="J11">
        <v>0.64</v>
      </c>
      <c r="K11">
        <v>1.31</v>
      </c>
      <c r="L11">
        <v>1.28</v>
      </c>
      <c r="M11">
        <v>0.78</v>
      </c>
      <c r="N11">
        <v>7.0000000000000007E-2</v>
      </c>
      <c r="O11">
        <v>1.07</v>
      </c>
      <c r="P11">
        <v>0.17</v>
      </c>
      <c r="S11">
        <v>0.19</v>
      </c>
      <c r="V11">
        <v>0</v>
      </c>
      <c r="W11">
        <v>0.38</v>
      </c>
      <c r="X11">
        <v>1.19</v>
      </c>
      <c r="Y11">
        <v>0.35</v>
      </c>
      <c r="Z11">
        <v>0.73</v>
      </c>
      <c r="AA11">
        <v>1.22</v>
      </c>
      <c r="AD11">
        <v>0.11</v>
      </c>
      <c r="AE11">
        <v>1.8</v>
      </c>
      <c r="AF11">
        <v>1.54</v>
      </c>
      <c r="AG11">
        <v>0.89</v>
      </c>
      <c r="AI11">
        <v>2.0299999999999998</v>
      </c>
      <c r="AJ11">
        <v>0.63</v>
      </c>
    </row>
    <row r="12" spans="1:36">
      <c r="A12" t="s">
        <v>295</v>
      </c>
      <c r="B12">
        <v>0.19</v>
      </c>
      <c r="C12">
        <v>0</v>
      </c>
      <c r="D12">
        <v>5.68</v>
      </c>
      <c r="E12">
        <v>16.68</v>
      </c>
      <c r="F12">
        <v>28.87</v>
      </c>
      <c r="G12">
        <v>26.38</v>
      </c>
      <c r="H12">
        <v>12.4</v>
      </c>
      <c r="I12">
        <v>25.58</v>
      </c>
      <c r="J12">
        <v>31.07</v>
      </c>
      <c r="K12">
        <v>19.22</v>
      </c>
      <c r="L12">
        <v>5.08</v>
      </c>
      <c r="M12">
        <v>19.78</v>
      </c>
      <c r="N12">
        <v>11.11</v>
      </c>
      <c r="O12">
        <v>15.43</v>
      </c>
      <c r="P12">
        <v>23.17</v>
      </c>
      <c r="Q12">
        <v>2.21</v>
      </c>
      <c r="R12">
        <v>6.13</v>
      </c>
      <c r="S12">
        <v>37.08</v>
      </c>
      <c r="U12">
        <v>1.4</v>
      </c>
      <c r="V12">
        <v>0.61</v>
      </c>
      <c r="W12">
        <v>5.81</v>
      </c>
      <c r="X12">
        <v>1.24</v>
      </c>
      <c r="Y12">
        <v>79.650000000000006</v>
      </c>
      <c r="Z12">
        <v>8.08</v>
      </c>
      <c r="AA12">
        <v>60.36</v>
      </c>
      <c r="AC12">
        <v>0.03</v>
      </c>
      <c r="AD12">
        <v>8.39</v>
      </c>
      <c r="AE12">
        <v>17.82</v>
      </c>
      <c r="AF12">
        <v>5.92</v>
      </c>
      <c r="AG12">
        <v>3.72</v>
      </c>
      <c r="AH12">
        <v>10.78</v>
      </c>
      <c r="AI12">
        <v>10.54</v>
      </c>
      <c r="AJ12">
        <v>8.5</v>
      </c>
    </row>
    <row r="13" spans="1:36">
      <c r="A13" t="s">
        <v>296</v>
      </c>
      <c r="B13">
        <v>1432.93</v>
      </c>
      <c r="C13">
        <v>2330.8000000000002</v>
      </c>
      <c r="D13">
        <v>974.94</v>
      </c>
      <c r="E13">
        <v>232.8</v>
      </c>
      <c r="F13">
        <v>65.27</v>
      </c>
      <c r="G13">
        <v>781.03</v>
      </c>
      <c r="H13">
        <v>2436.83</v>
      </c>
      <c r="I13">
        <v>32042.76</v>
      </c>
      <c r="J13">
        <v>98.89</v>
      </c>
      <c r="K13">
        <v>397.33</v>
      </c>
      <c r="L13">
        <v>1685.32</v>
      </c>
      <c r="M13">
        <v>2062.79</v>
      </c>
      <c r="N13">
        <v>208.06</v>
      </c>
      <c r="O13">
        <v>510.71</v>
      </c>
      <c r="P13">
        <v>72.430000000000007</v>
      </c>
      <c r="Q13">
        <v>6558.72</v>
      </c>
      <c r="R13">
        <v>121.67</v>
      </c>
      <c r="S13">
        <v>1023.7</v>
      </c>
      <c r="T13">
        <v>3631.3</v>
      </c>
      <c r="U13">
        <v>3005.89</v>
      </c>
      <c r="V13">
        <v>3625.06</v>
      </c>
      <c r="W13">
        <v>19785.88</v>
      </c>
      <c r="X13">
        <v>522.5</v>
      </c>
      <c r="Y13">
        <v>643.09</v>
      </c>
      <c r="Z13">
        <v>11745.45</v>
      </c>
      <c r="AA13">
        <v>4278.75</v>
      </c>
      <c r="AB13">
        <v>1508.46</v>
      </c>
      <c r="AC13">
        <v>839.13</v>
      </c>
      <c r="AD13">
        <v>1204.01</v>
      </c>
      <c r="AE13">
        <v>1008.51</v>
      </c>
      <c r="AF13">
        <v>222.21</v>
      </c>
      <c r="AG13">
        <v>1182.17</v>
      </c>
      <c r="AH13">
        <v>1164.78</v>
      </c>
      <c r="AI13">
        <v>417.73</v>
      </c>
      <c r="AJ13">
        <v>246.83</v>
      </c>
    </row>
    <row r="17" spans="1:36">
      <c r="A17" t="s">
        <v>297</v>
      </c>
    </row>
    <row r="18" spans="1:36">
      <c r="A18" t="s">
        <v>284</v>
      </c>
      <c r="B18" t="s">
        <v>245</v>
      </c>
      <c r="C18" t="s">
        <v>248</v>
      </c>
      <c r="D18" t="s">
        <v>252</v>
      </c>
      <c r="E18" t="s">
        <v>254</v>
      </c>
      <c r="F18" t="s">
        <v>256</v>
      </c>
      <c r="G18" t="s">
        <v>247</v>
      </c>
      <c r="H18" t="s">
        <v>251</v>
      </c>
      <c r="I18" t="s">
        <v>253</v>
      </c>
      <c r="J18" t="s">
        <v>255</v>
      </c>
      <c r="K18" t="s">
        <v>257</v>
      </c>
      <c r="L18" t="s">
        <v>258</v>
      </c>
      <c r="M18" t="s">
        <v>259</v>
      </c>
      <c r="N18" t="s">
        <v>265</v>
      </c>
      <c r="O18" t="s">
        <v>260</v>
      </c>
      <c r="P18" t="s">
        <v>285</v>
      </c>
      <c r="Q18" t="s">
        <v>261</v>
      </c>
      <c r="R18" t="s">
        <v>269</v>
      </c>
      <c r="S18" t="s">
        <v>271</v>
      </c>
      <c r="T18" t="s">
        <v>262</v>
      </c>
      <c r="U18" t="s">
        <v>263</v>
      </c>
      <c r="V18" t="s">
        <v>264</v>
      </c>
      <c r="W18" t="s">
        <v>266</v>
      </c>
      <c r="X18" t="s">
        <v>277</v>
      </c>
      <c r="Y18" t="s">
        <v>279</v>
      </c>
      <c r="Z18" t="s">
        <v>267</v>
      </c>
      <c r="AA18" t="s">
        <v>268</v>
      </c>
      <c r="AB18" t="s">
        <v>280</v>
      </c>
      <c r="AC18" t="s">
        <v>270</v>
      </c>
      <c r="AD18" t="s">
        <v>272</v>
      </c>
      <c r="AE18" t="s">
        <v>273</v>
      </c>
      <c r="AF18" t="s">
        <v>274</v>
      </c>
      <c r="AG18" t="s">
        <v>275</v>
      </c>
      <c r="AH18" t="s">
        <v>276</v>
      </c>
      <c r="AI18" t="s">
        <v>278</v>
      </c>
      <c r="AJ18" t="s">
        <v>282</v>
      </c>
    </row>
    <row r="19" spans="1:36">
      <c r="A19" t="s">
        <v>298</v>
      </c>
      <c r="B19">
        <v>251.01</v>
      </c>
      <c r="C19">
        <v>380.17</v>
      </c>
      <c r="D19">
        <v>48.01</v>
      </c>
      <c r="E19">
        <v>11.68</v>
      </c>
      <c r="F19">
        <v>8.77</v>
      </c>
      <c r="G19">
        <v>30.15</v>
      </c>
      <c r="H19">
        <v>374.38</v>
      </c>
      <c r="I19">
        <v>1102.6400000000001</v>
      </c>
      <c r="J19">
        <v>9.02</v>
      </c>
      <c r="K19">
        <v>17.05</v>
      </c>
      <c r="L19">
        <v>126.83</v>
      </c>
      <c r="M19">
        <v>94.75</v>
      </c>
      <c r="N19">
        <v>21.15</v>
      </c>
      <c r="O19">
        <v>38.71</v>
      </c>
      <c r="P19">
        <v>1.94</v>
      </c>
      <c r="Q19">
        <v>977.62</v>
      </c>
      <c r="R19">
        <v>8.86</v>
      </c>
      <c r="S19">
        <v>69.61</v>
      </c>
      <c r="T19">
        <v>150.1</v>
      </c>
      <c r="U19">
        <v>397.59</v>
      </c>
      <c r="V19">
        <v>551.53</v>
      </c>
      <c r="W19">
        <v>981.03</v>
      </c>
      <c r="X19">
        <v>23.97</v>
      </c>
      <c r="Y19">
        <v>37.54</v>
      </c>
      <c r="Z19">
        <v>761.13</v>
      </c>
      <c r="AA19">
        <v>364.29</v>
      </c>
      <c r="AB19">
        <v>136.79</v>
      </c>
      <c r="AC19">
        <v>85.96</v>
      </c>
      <c r="AD19">
        <v>108.47</v>
      </c>
      <c r="AE19">
        <v>52.18</v>
      </c>
      <c r="AF19">
        <v>17.600000000000001</v>
      </c>
      <c r="AG19">
        <v>104.64</v>
      </c>
      <c r="AH19">
        <v>99.95</v>
      </c>
      <c r="AI19">
        <v>42.48</v>
      </c>
      <c r="AJ19">
        <v>27.91</v>
      </c>
    </row>
    <row r="20" spans="1:36">
      <c r="A20" t="s">
        <v>299</v>
      </c>
      <c r="B20">
        <v>62.73</v>
      </c>
      <c r="C20">
        <v>81.77</v>
      </c>
      <c r="D20">
        <v>48.31</v>
      </c>
      <c r="E20">
        <v>7.95</v>
      </c>
      <c r="F20">
        <v>6.94</v>
      </c>
      <c r="G20">
        <v>28.56</v>
      </c>
      <c r="H20">
        <v>20.84</v>
      </c>
      <c r="I20">
        <v>2090.08</v>
      </c>
      <c r="J20">
        <v>4.8600000000000003</v>
      </c>
      <c r="K20">
        <v>33.11</v>
      </c>
      <c r="L20">
        <v>75.06</v>
      </c>
      <c r="M20">
        <v>103.71</v>
      </c>
      <c r="N20">
        <v>4.74</v>
      </c>
      <c r="O20">
        <v>41.51</v>
      </c>
      <c r="P20">
        <v>1.45</v>
      </c>
      <c r="Q20">
        <v>509.64</v>
      </c>
      <c r="R20">
        <v>3.63</v>
      </c>
      <c r="S20">
        <v>33.83</v>
      </c>
      <c r="T20">
        <v>150.27000000000001</v>
      </c>
      <c r="U20">
        <v>77.09</v>
      </c>
      <c r="V20">
        <v>132.55000000000001</v>
      </c>
      <c r="W20">
        <v>766.87</v>
      </c>
      <c r="X20">
        <v>2.35</v>
      </c>
      <c r="Y20">
        <v>45.56</v>
      </c>
      <c r="Z20">
        <v>471.58</v>
      </c>
      <c r="AA20">
        <v>268.67</v>
      </c>
      <c r="AB20">
        <v>66.989999999999995</v>
      </c>
      <c r="AC20">
        <v>44.96</v>
      </c>
      <c r="AD20">
        <v>35.74</v>
      </c>
      <c r="AE20">
        <v>26</v>
      </c>
      <c r="AF20">
        <v>5.61</v>
      </c>
      <c r="AG20">
        <v>55.66</v>
      </c>
      <c r="AH20">
        <v>17.28</v>
      </c>
      <c r="AI20">
        <v>29.78</v>
      </c>
      <c r="AJ20">
        <v>16.57</v>
      </c>
    </row>
    <row r="21" spans="1:36">
      <c r="A21" t="s">
        <v>300</v>
      </c>
      <c r="B21">
        <v>313.75</v>
      </c>
      <c r="C21">
        <v>461.95</v>
      </c>
      <c r="D21">
        <v>96.32</v>
      </c>
      <c r="E21">
        <v>19.63</v>
      </c>
      <c r="F21">
        <v>15.71</v>
      </c>
      <c r="G21">
        <v>58.7</v>
      </c>
      <c r="H21">
        <v>395.22</v>
      </c>
      <c r="I21">
        <v>3192.72</v>
      </c>
      <c r="J21">
        <v>13.88</v>
      </c>
      <c r="K21">
        <v>50.16</v>
      </c>
      <c r="L21">
        <v>201.89</v>
      </c>
      <c r="M21">
        <v>198.46</v>
      </c>
      <c r="N21">
        <v>25.88</v>
      </c>
      <c r="O21">
        <v>80.22</v>
      </c>
      <c r="P21">
        <v>3.39</v>
      </c>
      <c r="Q21">
        <v>1487.26</v>
      </c>
      <c r="R21">
        <v>12.49</v>
      </c>
      <c r="S21">
        <v>103.44</v>
      </c>
      <c r="T21">
        <v>300.37</v>
      </c>
      <c r="U21">
        <v>474.67</v>
      </c>
      <c r="V21">
        <v>684.09</v>
      </c>
      <c r="W21">
        <v>1747.89</v>
      </c>
      <c r="X21">
        <v>26.32</v>
      </c>
      <c r="Y21">
        <v>83.1</v>
      </c>
      <c r="Z21">
        <v>1232.71</v>
      </c>
      <c r="AA21">
        <v>632.96</v>
      </c>
      <c r="AB21">
        <v>203.78</v>
      </c>
      <c r="AC21">
        <v>130.91999999999999</v>
      </c>
      <c r="AD21">
        <v>144.21</v>
      </c>
      <c r="AE21">
        <v>78.180000000000007</v>
      </c>
      <c r="AF21">
        <v>23.21</v>
      </c>
      <c r="AG21">
        <v>160.30000000000001</v>
      </c>
      <c r="AH21">
        <v>117.22</v>
      </c>
      <c r="AI21">
        <v>72.260000000000005</v>
      </c>
      <c r="AJ21">
        <v>44.48</v>
      </c>
    </row>
    <row r="22" spans="1:36">
      <c r="A22" t="s">
        <v>296</v>
      </c>
      <c r="B22">
        <v>1432.93</v>
      </c>
      <c r="C22">
        <v>2330.8000000000002</v>
      </c>
      <c r="D22">
        <v>974.94</v>
      </c>
      <c r="E22">
        <v>232.8</v>
      </c>
      <c r="F22">
        <v>65.27</v>
      </c>
      <c r="G22">
        <v>781.03</v>
      </c>
      <c r="H22">
        <v>2436.83</v>
      </c>
      <c r="I22">
        <v>32042.76</v>
      </c>
      <c r="J22">
        <v>98.89</v>
      </c>
      <c r="K22">
        <v>397.33</v>
      </c>
      <c r="L22">
        <v>1685.32</v>
      </c>
      <c r="M22">
        <v>2062.79</v>
      </c>
      <c r="N22">
        <v>208.06</v>
      </c>
      <c r="O22">
        <v>510.71</v>
      </c>
      <c r="P22">
        <v>72.430000000000007</v>
      </c>
      <c r="Q22">
        <v>6558.72</v>
      </c>
      <c r="R22">
        <v>121.67</v>
      </c>
      <c r="S22">
        <v>1023.7</v>
      </c>
      <c r="T22">
        <v>3631.3</v>
      </c>
      <c r="U22">
        <v>3005.89</v>
      </c>
      <c r="V22">
        <v>3625.06</v>
      </c>
      <c r="W22">
        <v>19785.88</v>
      </c>
      <c r="X22">
        <v>522.5</v>
      </c>
      <c r="Y22">
        <v>643.09</v>
      </c>
      <c r="Z22">
        <v>11745.45</v>
      </c>
      <c r="AA22">
        <v>4278.75</v>
      </c>
      <c r="AB22">
        <v>1508.46</v>
      </c>
      <c r="AC22">
        <v>839.13</v>
      </c>
      <c r="AD22">
        <v>1204.01</v>
      </c>
      <c r="AE22">
        <v>1008.51</v>
      </c>
      <c r="AF22">
        <v>222.21</v>
      </c>
      <c r="AG22">
        <v>1182.17</v>
      </c>
      <c r="AH22">
        <v>1164.78</v>
      </c>
      <c r="AI22">
        <v>417.73</v>
      </c>
      <c r="AJ22">
        <v>246.83</v>
      </c>
    </row>
    <row r="23" spans="1:36">
      <c r="A23" t="s">
        <v>301</v>
      </c>
      <c r="B23">
        <v>17.52</v>
      </c>
      <c r="C23">
        <v>16.309999999999999</v>
      </c>
      <c r="D23">
        <v>4.92</v>
      </c>
      <c r="E23">
        <v>5.0199999999999996</v>
      </c>
      <c r="F23">
        <v>13.43</v>
      </c>
      <c r="G23">
        <v>3.86</v>
      </c>
      <c r="H23">
        <v>15.36</v>
      </c>
      <c r="I23">
        <v>3.44</v>
      </c>
      <c r="J23">
        <v>9.1199999999999992</v>
      </c>
      <c r="K23">
        <v>4.29</v>
      </c>
      <c r="L23">
        <v>7.53</v>
      </c>
      <c r="M23">
        <v>4.59</v>
      </c>
      <c r="N23">
        <v>10.16</v>
      </c>
      <c r="O23">
        <v>7.58</v>
      </c>
      <c r="P23">
        <v>2.68</v>
      </c>
      <c r="Q23">
        <v>14.91</v>
      </c>
      <c r="R23">
        <v>7.29</v>
      </c>
      <c r="S23">
        <v>6.8</v>
      </c>
      <c r="T23">
        <v>4.13</v>
      </c>
      <c r="U23">
        <v>13.23</v>
      </c>
      <c r="V23">
        <v>15.21</v>
      </c>
      <c r="W23">
        <v>4.96</v>
      </c>
      <c r="X23">
        <v>4.59</v>
      </c>
      <c r="Y23">
        <v>5.84</v>
      </c>
      <c r="Z23">
        <v>6.48</v>
      </c>
      <c r="AA23">
        <v>8.51</v>
      </c>
      <c r="AB23">
        <v>9.07</v>
      </c>
      <c r="AC23">
        <v>10.24</v>
      </c>
      <c r="AD23">
        <v>9.01</v>
      </c>
      <c r="AE23">
        <v>5.17</v>
      </c>
      <c r="AF23">
        <v>7.92</v>
      </c>
      <c r="AG23">
        <v>8.85</v>
      </c>
      <c r="AH23">
        <v>8.58</v>
      </c>
      <c r="AI23">
        <v>10.17</v>
      </c>
      <c r="AJ23">
        <v>11.31</v>
      </c>
    </row>
    <row r="24" spans="1:36">
      <c r="A24" t="s">
        <v>302</v>
      </c>
      <c r="B24">
        <v>4.38</v>
      </c>
      <c r="C24">
        <v>3.51</v>
      </c>
      <c r="D24">
        <v>4.96</v>
      </c>
      <c r="E24">
        <v>3.42</v>
      </c>
      <c r="F24">
        <v>10.64</v>
      </c>
      <c r="G24">
        <v>3.66</v>
      </c>
      <c r="H24">
        <v>0.86</v>
      </c>
      <c r="I24">
        <v>6.52</v>
      </c>
      <c r="J24">
        <v>4.91</v>
      </c>
      <c r="K24">
        <v>8.33</v>
      </c>
      <c r="L24">
        <v>4.45</v>
      </c>
      <c r="M24">
        <v>5.03</v>
      </c>
      <c r="N24">
        <v>2.2799999999999998</v>
      </c>
      <c r="O24">
        <v>8.1300000000000008</v>
      </c>
      <c r="P24">
        <v>2</v>
      </c>
      <c r="Q24">
        <v>7.77</v>
      </c>
      <c r="R24">
        <v>2.98</v>
      </c>
      <c r="S24">
        <v>3.3</v>
      </c>
      <c r="T24">
        <v>4.1399999999999997</v>
      </c>
      <c r="U24">
        <v>2.56</v>
      </c>
      <c r="V24">
        <v>3.66</v>
      </c>
      <c r="W24">
        <v>3.88</v>
      </c>
      <c r="X24">
        <v>0.45</v>
      </c>
      <c r="Y24">
        <v>7.08</v>
      </c>
      <c r="Z24">
        <v>4.01</v>
      </c>
      <c r="AA24">
        <v>6.28</v>
      </c>
      <c r="AB24">
        <v>4.4400000000000004</v>
      </c>
      <c r="AC24">
        <v>5.36</v>
      </c>
      <c r="AD24">
        <v>2.97</v>
      </c>
      <c r="AE24">
        <v>2.58</v>
      </c>
      <c r="AF24">
        <v>2.52</v>
      </c>
      <c r="AG24">
        <v>4.71</v>
      </c>
      <c r="AH24">
        <v>1.48</v>
      </c>
      <c r="AI24">
        <v>7.13</v>
      </c>
      <c r="AJ24">
        <v>6.71</v>
      </c>
    </row>
    <row r="25" spans="1:36">
      <c r="A25" t="s">
        <v>303</v>
      </c>
      <c r="B25">
        <v>21.9</v>
      </c>
      <c r="C25">
        <v>19.82</v>
      </c>
      <c r="D25">
        <v>9.8800000000000008</v>
      </c>
      <c r="E25">
        <v>8.43</v>
      </c>
      <c r="F25">
        <v>24.07</v>
      </c>
      <c r="G25">
        <v>7.52</v>
      </c>
      <c r="H25">
        <v>16.22</v>
      </c>
      <c r="I25">
        <v>9.9600000000000009</v>
      </c>
      <c r="J25">
        <v>14.03</v>
      </c>
      <c r="K25">
        <v>12.62</v>
      </c>
      <c r="L25">
        <v>11.98</v>
      </c>
      <c r="M25">
        <v>9.6199999999999992</v>
      </c>
      <c r="N25">
        <v>12.44</v>
      </c>
      <c r="O25">
        <v>15.71</v>
      </c>
      <c r="P25">
        <v>4.68</v>
      </c>
      <c r="Q25">
        <v>22.68</v>
      </c>
      <c r="R25">
        <v>10.27</v>
      </c>
      <c r="S25">
        <v>10.1</v>
      </c>
      <c r="T25">
        <v>8.27</v>
      </c>
      <c r="U25">
        <v>15.79</v>
      </c>
      <c r="V25">
        <v>18.87</v>
      </c>
      <c r="W25">
        <v>8.83</v>
      </c>
      <c r="X25">
        <v>5.04</v>
      </c>
      <c r="Y25">
        <v>12.92</v>
      </c>
      <c r="Z25">
        <v>10.5</v>
      </c>
      <c r="AA25">
        <v>14.79</v>
      </c>
      <c r="AB25">
        <v>13.51</v>
      </c>
      <c r="AC25">
        <v>15.6</v>
      </c>
      <c r="AD25">
        <v>11.98</v>
      </c>
      <c r="AE25">
        <v>7.75</v>
      </c>
      <c r="AF25">
        <v>10.44</v>
      </c>
      <c r="AG25">
        <v>13.56</v>
      </c>
      <c r="AH25">
        <v>10.06</v>
      </c>
      <c r="AI25">
        <v>17.3</v>
      </c>
      <c r="AJ25">
        <v>18.02</v>
      </c>
    </row>
    <row r="27" spans="1:36">
      <c r="A27" t="s">
        <v>304</v>
      </c>
      <c r="D27">
        <v>0</v>
      </c>
      <c r="E27">
        <v>12.04</v>
      </c>
      <c r="F27">
        <v>9.8800000000000008</v>
      </c>
      <c r="G27">
        <v>9.83</v>
      </c>
      <c r="I27">
        <v>61.81</v>
      </c>
      <c r="J27">
        <v>2.9</v>
      </c>
      <c r="K27">
        <v>8.8800000000000008</v>
      </c>
      <c r="L27">
        <v>17.41</v>
      </c>
      <c r="M27">
        <v>43.43</v>
      </c>
      <c r="N27">
        <v>0.36</v>
      </c>
      <c r="O27">
        <v>19.239999999999998</v>
      </c>
      <c r="P27">
        <v>3.41</v>
      </c>
      <c r="S27">
        <v>8.16</v>
      </c>
      <c r="W27">
        <v>50.27</v>
      </c>
      <c r="X27">
        <v>2.77</v>
      </c>
      <c r="Y27">
        <v>26.62</v>
      </c>
      <c r="Z27">
        <v>57.54</v>
      </c>
      <c r="AA27">
        <v>563.99</v>
      </c>
      <c r="AE27">
        <v>63.58</v>
      </c>
      <c r="AF27">
        <v>2.35</v>
      </c>
      <c r="AI27">
        <v>29.97</v>
      </c>
      <c r="AJ27">
        <v>3.32</v>
      </c>
    </row>
    <row r="28" spans="1:36">
      <c r="A28" t="s">
        <v>305</v>
      </c>
      <c r="D28">
        <v>0</v>
      </c>
      <c r="F28">
        <v>1.4</v>
      </c>
      <c r="G28">
        <v>0</v>
      </c>
      <c r="I28">
        <v>102.25</v>
      </c>
      <c r="J28">
        <v>2.5299999999999998</v>
      </c>
      <c r="K28">
        <v>20.13</v>
      </c>
      <c r="O28">
        <v>9.94</v>
      </c>
      <c r="S28">
        <v>0.21</v>
      </c>
      <c r="W28">
        <v>83.78</v>
      </c>
      <c r="X28">
        <v>0.53</v>
      </c>
      <c r="Y28">
        <v>5.25</v>
      </c>
      <c r="Z28">
        <v>39.700000000000003</v>
      </c>
      <c r="AE28">
        <v>0.91</v>
      </c>
      <c r="AI28">
        <v>17.239999999999998</v>
      </c>
      <c r="AJ28">
        <v>1.44</v>
      </c>
    </row>
    <row r="29" spans="1:36">
      <c r="A29" t="s">
        <v>306</v>
      </c>
      <c r="D29">
        <v>0</v>
      </c>
      <c r="E29">
        <v>12.04</v>
      </c>
      <c r="F29">
        <v>11.28</v>
      </c>
      <c r="G29">
        <v>9.83</v>
      </c>
      <c r="I29">
        <v>164.05</v>
      </c>
      <c r="J29">
        <v>5.43</v>
      </c>
      <c r="K29">
        <v>29.01</v>
      </c>
      <c r="L29">
        <v>17.41</v>
      </c>
      <c r="M29">
        <v>43.43</v>
      </c>
      <c r="N29">
        <v>0.36</v>
      </c>
      <c r="O29">
        <v>29.18</v>
      </c>
      <c r="P29">
        <v>3.41</v>
      </c>
      <c r="S29">
        <v>8.3800000000000008</v>
      </c>
      <c r="W29">
        <v>134.05000000000001</v>
      </c>
      <c r="X29">
        <v>3.31</v>
      </c>
      <c r="Y29">
        <v>31.88</v>
      </c>
      <c r="Z29">
        <v>97.23</v>
      </c>
      <c r="AA29">
        <v>563.99</v>
      </c>
      <c r="AE29">
        <v>64.489999999999995</v>
      </c>
      <c r="AF29">
        <v>2.35</v>
      </c>
      <c r="AI29">
        <v>47.21</v>
      </c>
      <c r="AJ29">
        <v>4.75</v>
      </c>
    </row>
    <row r="30" spans="1:36">
      <c r="A30" t="s">
        <v>307</v>
      </c>
      <c r="B30">
        <v>3.14</v>
      </c>
      <c r="C30">
        <v>0.39</v>
      </c>
      <c r="D30">
        <v>0</v>
      </c>
      <c r="E30">
        <v>82.28</v>
      </c>
      <c r="F30">
        <v>80.739999999999995</v>
      </c>
      <c r="G30">
        <v>95.4</v>
      </c>
      <c r="H30">
        <v>4.04</v>
      </c>
      <c r="I30">
        <v>8329.6200000000008</v>
      </c>
      <c r="J30">
        <v>23.36</v>
      </c>
      <c r="K30">
        <v>137.38</v>
      </c>
      <c r="L30">
        <v>178.46</v>
      </c>
      <c r="M30">
        <v>428.91</v>
      </c>
      <c r="N30">
        <v>1.55</v>
      </c>
      <c r="O30">
        <v>129.46</v>
      </c>
      <c r="P30">
        <v>35.81</v>
      </c>
      <c r="S30">
        <v>85.74</v>
      </c>
      <c r="T30">
        <v>21.54</v>
      </c>
      <c r="V30">
        <v>0</v>
      </c>
      <c r="W30">
        <v>443.9</v>
      </c>
      <c r="X30">
        <v>13.74</v>
      </c>
      <c r="Y30">
        <v>285.36</v>
      </c>
      <c r="Z30">
        <v>966.43</v>
      </c>
      <c r="AA30">
        <v>5742.94</v>
      </c>
      <c r="AD30">
        <v>11.54</v>
      </c>
      <c r="AE30">
        <v>465.2</v>
      </c>
      <c r="AF30">
        <v>24</v>
      </c>
      <c r="AG30">
        <v>60.29</v>
      </c>
      <c r="AH30">
        <v>64.91</v>
      </c>
      <c r="AI30">
        <v>270.13</v>
      </c>
      <c r="AJ30">
        <v>39.25</v>
      </c>
    </row>
    <row r="31" spans="1:36">
      <c r="A31" t="s">
        <v>308</v>
      </c>
      <c r="E31">
        <v>14.63</v>
      </c>
      <c r="F31">
        <v>13.98</v>
      </c>
      <c r="G31">
        <v>10.31</v>
      </c>
      <c r="I31">
        <v>1.97</v>
      </c>
      <c r="J31">
        <v>23.25</v>
      </c>
      <c r="K31">
        <v>21.12</v>
      </c>
      <c r="L31">
        <v>9.76</v>
      </c>
      <c r="M31">
        <v>10.130000000000001</v>
      </c>
      <c r="N31">
        <v>23.32</v>
      </c>
      <c r="O31">
        <v>22.54</v>
      </c>
      <c r="P31">
        <v>9.51</v>
      </c>
      <c r="S31">
        <v>9.77</v>
      </c>
      <c r="W31">
        <v>30.2</v>
      </c>
      <c r="X31">
        <v>24.09</v>
      </c>
      <c r="Y31">
        <v>11.17</v>
      </c>
      <c r="Z31">
        <v>10.06</v>
      </c>
      <c r="AA31">
        <v>9.82</v>
      </c>
      <c r="AE31">
        <v>13.86</v>
      </c>
      <c r="AF31">
        <v>9.7899999999999991</v>
      </c>
      <c r="AI31">
        <v>17.48</v>
      </c>
      <c r="AJ31">
        <v>12.11</v>
      </c>
    </row>
    <row r="36" spans="1:40" ht="16.899999999999999">
      <c r="A36" s="20" t="s">
        <v>309</v>
      </c>
    </row>
    <row r="37" spans="1:40">
      <c r="A37" s="21" t="s">
        <v>27</v>
      </c>
      <c r="B37" s="21" t="s">
        <v>31</v>
      </c>
      <c r="C37" s="21" t="str">
        <f t="shared" ref="C37:AK37" si="0">B18</f>
        <v>Africa_North</v>
      </c>
      <c r="D37" s="21" t="str">
        <f t="shared" si="0"/>
        <v>Africa_Other</v>
      </c>
      <c r="E37" s="21" t="str">
        <f t="shared" si="0"/>
        <v>Australia</v>
      </c>
      <c r="F37" s="21" t="str">
        <f t="shared" si="0"/>
        <v>Austria</v>
      </c>
      <c r="G37" s="21" t="str">
        <f t="shared" si="0"/>
        <v>Baltics</v>
      </c>
      <c r="H37" s="21" t="str">
        <f t="shared" si="0"/>
        <v>BeNeLux</v>
      </c>
      <c r="I37" s="21" t="str">
        <f t="shared" si="0"/>
        <v>Brazil</v>
      </c>
      <c r="J37" s="21" t="str">
        <f t="shared" si="0"/>
        <v>China</v>
      </c>
      <c r="K37" s="21" t="str">
        <f t="shared" si="0"/>
        <v>CroSloven</v>
      </c>
      <c r="L37" s="21" t="str">
        <f t="shared" si="0"/>
        <v>CzechSlovak</v>
      </c>
      <c r="M37" s="21" t="str">
        <f t="shared" si="0"/>
        <v>France</v>
      </c>
      <c r="N37" s="21" t="str">
        <f t="shared" si="0"/>
        <v>Germany</v>
      </c>
      <c r="O37" s="21" t="str">
        <f t="shared" si="0"/>
        <v>GreeceCyp</v>
      </c>
      <c r="P37" s="21" t="str">
        <f t="shared" si="0"/>
        <v>HunRomBul</v>
      </c>
      <c r="Q37" s="21" t="str">
        <f t="shared" si="0"/>
        <v>Iceland</v>
      </c>
      <c r="R37" s="21" t="str">
        <f t="shared" si="0"/>
        <v>India</v>
      </c>
      <c r="S37" s="21" t="str">
        <f t="shared" si="0"/>
        <v>Ireland</v>
      </c>
      <c r="T37" s="21" t="str">
        <f t="shared" si="0"/>
        <v>ItalyMal</v>
      </c>
      <c r="U37" s="21" t="str">
        <f t="shared" si="0"/>
        <v>Japan</v>
      </c>
      <c r="V37" s="21" t="str">
        <f t="shared" si="0"/>
        <v>LatAm</v>
      </c>
      <c r="W37" s="21" t="str">
        <f t="shared" si="0"/>
        <v>MidEast</v>
      </c>
      <c r="X37" s="21" t="str">
        <f t="shared" si="0"/>
        <v>NorthAm</v>
      </c>
      <c r="Y37" s="21" t="str">
        <f t="shared" si="0"/>
        <v>Norway</v>
      </c>
      <c r="Z37" s="21" t="str">
        <f t="shared" si="0"/>
        <v>Poland</v>
      </c>
      <c r="AA37" s="21" t="str">
        <f t="shared" si="0"/>
        <v>ROW</v>
      </c>
      <c r="AB37" s="21" t="str">
        <f t="shared" si="0"/>
        <v>Russia</v>
      </c>
      <c r="AC37" s="21" t="str">
        <f t="shared" si="0"/>
        <v>SaudiArabia</v>
      </c>
      <c r="AD37" s="21" t="str">
        <f t="shared" si="0"/>
        <v>SouthAfrica</v>
      </c>
      <c r="AE37" s="21" t="str">
        <f t="shared" si="0"/>
        <v>SpainPor</v>
      </c>
      <c r="AF37" s="21" t="str">
        <f t="shared" si="0"/>
        <v>SweFinDen</v>
      </c>
      <c r="AG37" s="21" t="str">
        <f t="shared" si="0"/>
        <v>Switzerland</v>
      </c>
      <c r="AH37" s="21" t="str">
        <f t="shared" si="0"/>
        <v>Turkey</v>
      </c>
      <c r="AI37" s="21" t="str">
        <f t="shared" si="0"/>
        <v>UK</v>
      </c>
      <c r="AJ37" s="21" t="str">
        <f t="shared" si="0"/>
        <v>Ukraine</v>
      </c>
      <c r="AK37" s="21" t="str">
        <f t="shared" si="0"/>
        <v>WestBalkans</v>
      </c>
      <c r="AL37" s="21" t="s">
        <v>39</v>
      </c>
      <c r="AM37" s="21" t="s">
        <v>40</v>
      </c>
      <c r="AN37" s="21" t="s">
        <v>13</v>
      </c>
    </row>
    <row r="38" spans="1:40">
      <c r="A38" t="s">
        <v>310</v>
      </c>
      <c r="B38">
        <v>0.5</v>
      </c>
      <c r="C38" t="str">
        <f>IF(B9&gt;0,B9,"")</f>
        <v/>
      </c>
      <c r="D38" t="str">
        <f t="shared" ref="D38:S39" si="1">IF(C9&gt;0,C9,"")</f>
        <v/>
      </c>
      <c r="E38" t="str">
        <f t="shared" si="1"/>
        <v/>
      </c>
      <c r="F38">
        <f t="shared" si="1"/>
        <v>1.72</v>
      </c>
      <c r="G38">
        <f t="shared" si="1"/>
        <v>2.3199999999999998</v>
      </c>
      <c r="H38">
        <f t="shared" si="1"/>
        <v>0.63</v>
      </c>
      <c r="I38" t="str">
        <f t="shared" si="1"/>
        <v/>
      </c>
      <c r="J38">
        <f t="shared" si="1"/>
        <v>0.91</v>
      </c>
      <c r="K38">
        <f t="shared" si="1"/>
        <v>0.68</v>
      </c>
      <c r="L38">
        <f t="shared" si="1"/>
        <v>2.1</v>
      </c>
      <c r="M38">
        <f t="shared" si="1"/>
        <v>1.71</v>
      </c>
      <c r="N38">
        <f t="shared" si="1"/>
        <v>1.1000000000000001</v>
      </c>
      <c r="O38">
        <f t="shared" si="1"/>
        <v>0.1</v>
      </c>
      <c r="P38">
        <f t="shared" si="1"/>
        <v>1.26</v>
      </c>
      <c r="Q38">
        <f t="shared" si="1"/>
        <v>0.17</v>
      </c>
      <c r="R38" t="str">
        <f t="shared" si="1"/>
        <v/>
      </c>
      <c r="S38" t="str">
        <f t="shared" si="1"/>
        <v/>
      </c>
      <c r="T38">
        <f t="shared" ref="T38:AI39" si="2">IF(S9&gt;0,S9,"")</f>
        <v>0.24</v>
      </c>
      <c r="U38" t="str">
        <f t="shared" si="2"/>
        <v/>
      </c>
      <c r="V38" t="str">
        <f t="shared" si="2"/>
        <v/>
      </c>
      <c r="W38" t="str">
        <f t="shared" si="2"/>
        <v/>
      </c>
      <c r="X38">
        <f t="shared" si="2"/>
        <v>0.81</v>
      </c>
      <c r="Y38">
        <f t="shared" si="2"/>
        <v>4.53</v>
      </c>
      <c r="Z38">
        <f t="shared" si="2"/>
        <v>0.35</v>
      </c>
      <c r="AA38">
        <f t="shared" si="2"/>
        <v>0.56000000000000005</v>
      </c>
      <c r="AB38">
        <f t="shared" si="2"/>
        <v>1.1100000000000001</v>
      </c>
      <c r="AC38" t="str">
        <f t="shared" si="2"/>
        <v/>
      </c>
      <c r="AD38" t="str">
        <f t="shared" si="2"/>
        <v/>
      </c>
      <c r="AE38">
        <f t="shared" si="2"/>
        <v>0.05</v>
      </c>
      <c r="AF38">
        <f t="shared" si="2"/>
        <v>2.29</v>
      </c>
      <c r="AG38">
        <f t="shared" si="2"/>
        <v>2.2799999999999998</v>
      </c>
      <c r="AH38">
        <f t="shared" si="2"/>
        <v>1.36</v>
      </c>
      <c r="AI38" t="str">
        <f t="shared" si="2"/>
        <v/>
      </c>
      <c r="AJ38">
        <f t="shared" ref="AJ38:AK39" si="3">IF(AI9&gt;0,AI9,"")</f>
        <v>1.49</v>
      </c>
      <c r="AK38">
        <f t="shared" si="3"/>
        <v>0.33</v>
      </c>
    </row>
    <row r="39" spans="1:40">
      <c r="A39" t="s">
        <v>310</v>
      </c>
      <c r="B39">
        <v>0.5</v>
      </c>
      <c r="C39" t="str">
        <f>IF(B10&gt;0,B10,"")</f>
        <v/>
      </c>
      <c r="D39" t="str">
        <f t="shared" si="1"/>
        <v/>
      </c>
      <c r="E39" t="str">
        <f t="shared" si="1"/>
        <v/>
      </c>
      <c r="F39">
        <f t="shared" si="1"/>
        <v>0.6</v>
      </c>
      <c r="G39">
        <f t="shared" si="1"/>
        <v>0.44</v>
      </c>
      <c r="H39">
        <f t="shared" si="1"/>
        <v>0.33</v>
      </c>
      <c r="I39" t="str">
        <f t="shared" si="1"/>
        <v/>
      </c>
      <c r="J39" t="str">
        <f t="shared" si="1"/>
        <v/>
      </c>
      <c r="K39">
        <f t="shared" si="1"/>
        <v>0.04</v>
      </c>
      <c r="L39">
        <f t="shared" si="1"/>
        <v>0.26</v>
      </c>
      <c r="M39">
        <f t="shared" si="1"/>
        <v>0.69</v>
      </c>
      <c r="N39" t="str">
        <f t="shared" si="1"/>
        <v/>
      </c>
      <c r="O39">
        <f t="shared" si="1"/>
        <v>0.03</v>
      </c>
      <c r="P39">
        <f t="shared" si="1"/>
        <v>0.08</v>
      </c>
      <c r="Q39" t="str">
        <f t="shared" si="1"/>
        <v/>
      </c>
      <c r="R39" t="str">
        <f t="shared" si="1"/>
        <v/>
      </c>
      <c r="S39" t="str">
        <f t="shared" si="1"/>
        <v/>
      </c>
      <c r="T39">
        <f t="shared" si="2"/>
        <v>0.1</v>
      </c>
      <c r="U39" t="str">
        <f t="shared" si="2"/>
        <v/>
      </c>
      <c r="V39" t="str">
        <f t="shared" si="2"/>
        <v/>
      </c>
      <c r="W39" t="str">
        <f t="shared" si="2"/>
        <v/>
      </c>
      <c r="X39" t="str">
        <f t="shared" si="2"/>
        <v/>
      </c>
      <c r="Y39" t="str">
        <f t="shared" si="2"/>
        <v/>
      </c>
      <c r="Z39">
        <f t="shared" si="2"/>
        <v>0.35</v>
      </c>
      <c r="AA39">
        <f t="shared" si="2"/>
        <v>1.3</v>
      </c>
      <c r="AB39">
        <f t="shared" si="2"/>
        <v>2.4</v>
      </c>
      <c r="AC39" t="str">
        <f t="shared" si="2"/>
        <v/>
      </c>
      <c r="AD39" t="str">
        <f t="shared" si="2"/>
        <v/>
      </c>
      <c r="AE39">
        <f t="shared" si="2"/>
        <v>0.11</v>
      </c>
      <c r="AF39">
        <f t="shared" si="2"/>
        <v>0.86</v>
      </c>
      <c r="AG39">
        <f t="shared" si="2"/>
        <v>1.37</v>
      </c>
      <c r="AH39">
        <f t="shared" si="2"/>
        <v>0.69</v>
      </c>
      <c r="AI39" t="str">
        <f t="shared" si="2"/>
        <v/>
      </c>
      <c r="AJ39">
        <f t="shared" si="3"/>
        <v>4.83</v>
      </c>
      <c r="AK39">
        <f t="shared" si="3"/>
        <v>3.52</v>
      </c>
      <c r="AL39" t="s">
        <v>311</v>
      </c>
    </row>
    <row r="40" spans="1:40">
      <c r="A40" t="s">
        <v>76</v>
      </c>
    </row>
    <row r="41" spans="1:40">
      <c r="A41" t="s">
        <v>312</v>
      </c>
      <c r="C41" s="22">
        <f>1-B25/100</f>
        <v>0.78100000000000003</v>
      </c>
      <c r="D41" s="22">
        <f t="shared" ref="D41:AK41" si="4">1-C25/100</f>
        <v>0.80179999999999996</v>
      </c>
      <c r="E41" s="22">
        <f t="shared" si="4"/>
        <v>0.9012</v>
      </c>
      <c r="F41" s="22">
        <f t="shared" si="4"/>
        <v>0.91569999999999996</v>
      </c>
      <c r="G41" s="22">
        <f t="shared" si="4"/>
        <v>0.75929999999999997</v>
      </c>
      <c r="H41" s="22">
        <f t="shared" si="4"/>
        <v>0.92479999999999996</v>
      </c>
      <c r="I41" s="22">
        <f t="shared" si="4"/>
        <v>0.83779999999999999</v>
      </c>
      <c r="J41" s="22">
        <f t="shared" si="4"/>
        <v>0.90039999999999998</v>
      </c>
      <c r="K41" s="22">
        <f t="shared" si="4"/>
        <v>0.85970000000000002</v>
      </c>
      <c r="L41" s="22">
        <f t="shared" si="4"/>
        <v>0.87380000000000002</v>
      </c>
      <c r="M41" s="22">
        <f t="shared" si="4"/>
        <v>0.88019999999999998</v>
      </c>
      <c r="N41" s="22">
        <f t="shared" si="4"/>
        <v>0.90380000000000005</v>
      </c>
      <c r="O41" s="22">
        <f t="shared" si="4"/>
        <v>0.87560000000000004</v>
      </c>
      <c r="P41" s="22">
        <f t="shared" si="4"/>
        <v>0.84289999999999998</v>
      </c>
      <c r="Q41" s="22">
        <f t="shared" si="4"/>
        <v>0.95320000000000005</v>
      </c>
      <c r="R41" s="22">
        <f t="shared" si="4"/>
        <v>0.7732</v>
      </c>
      <c r="S41" s="22">
        <f t="shared" si="4"/>
        <v>0.89729999999999999</v>
      </c>
      <c r="T41" s="22">
        <f t="shared" si="4"/>
        <v>0.89900000000000002</v>
      </c>
      <c r="U41" s="22">
        <f t="shared" si="4"/>
        <v>0.9173</v>
      </c>
      <c r="V41" s="22">
        <f t="shared" si="4"/>
        <v>0.84209999999999996</v>
      </c>
      <c r="W41" s="22">
        <f t="shared" si="4"/>
        <v>0.81130000000000002</v>
      </c>
      <c r="X41" s="22">
        <f t="shared" si="4"/>
        <v>0.91169999999999995</v>
      </c>
      <c r="Y41" s="22">
        <f t="shared" si="4"/>
        <v>0.9496</v>
      </c>
      <c r="Z41" s="22">
        <f t="shared" si="4"/>
        <v>0.87080000000000002</v>
      </c>
      <c r="AA41" s="22">
        <f t="shared" si="4"/>
        <v>0.89500000000000002</v>
      </c>
      <c r="AB41" s="22">
        <f t="shared" si="4"/>
        <v>0.85209999999999997</v>
      </c>
      <c r="AC41" s="22">
        <f t="shared" si="4"/>
        <v>0.8649</v>
      </c>
      <c r="AD41" s="22">
        <f t="shared" si="4"/>
        <v>0.84399999999999997</v>
      </c>
      <c r="AE41" s="22">
        <f t="shared" si="4"/>
        <v>0.88019999999999998</v>
      </c>
      <c r="AF41" s="22">
        <f t="shared" si="4"/>
        <v>0.92249999999999999</v>
      </c>
      <c r="AG41" s="22">
        <f t="shared" si="4"/>
        <v>0.89559999999999995</v>
      </c>
      <c r="AH41" s="22">
        <f t="shared" si="4"/>
        <v>0.86439999999999995</v>
      </c>
      <c r="AI41" s="22">
        <f t="shared" si="4"/>
        <v>0.89939999999999998</v>
      </c>
      <c r="AJ41" s="22">
        <f t="shared" si="4"/>
        <v>0.82699999999999996</v>
      </c>
      <c r="AK41" s="22">
        <f t="shared" si="4"/>
        <v>0.81979999999999997</v>
      </c>
      <c r="AM41" t="s">
        <v>10</v>
      </c>
      <c r="AN41">
        <v>2020</v>
      </c>
    </row>
    <row r="42" spans="1:40">
      <c r="A42" t="s">
        <v>312</v>
      </c>
      <c r="C42" s="12">
        <f t="shared" ref="C42:AK42" si="5">MAX($C$41:$AL$41)</f>
        <v>0.95320000000000005</v>
      </c>
      <c r="D42" s="12">
        <f t="shared" si="5"/>
        <v>0.95320000000000005</v>
      </c>
      <c r="E42" s="12">
        <f t="shared" si="5"/>
        <v>0.95320000000000005</v>
      </c>
      <c r="F42" s="12">
        <f t="shared" si="5"/>
        <v>0.95320000000000005</v>
      </c>
      <c r="G42" s="12">
        <f t="shared" si="5"/>
        <v>0.95320000000000005</v>
      </c>
      <c r="H42" s="12">
        <f t="shared" si="5"/>
        <v>0.95320000000000005</v>
      </c>
      <c r="I42" s="12">
        <f t="shared" si="5"/>
        <v>0.95320000000000005</v>
      </c>
      <c r="J42" s="12">
        <f t="shared" si="5"/>
        <v>0.95320000000000005</v>
      </c>
      <c r="K42" s="12">
        <f t="shared" si="5"/>
        <v>0.95320000000000005</v>
      </c>
      <c r="L42" s="12">
        <f t="shared" si="5"/>
        <v>0.95320000000000005</v>
      </c>
      <c r="M42" s="12">
        <f t="shared" si="5"/>
        <v>0.95320000000000005</v>
      </c>
      <c r="N42" s="12">
        <f t="shared" si="5"/>
        <v>0.95320000000000005</v>
      </c>
      <c r="O42" s="12">
        <f t="shared" si="5"/>
        <v>0.95320000000000005</v>
      </c>
      <c r="P42" s="12">
        <f t="shared" si="5"/>
        <v>0.95320000000000005</v>
      </c>
      <c r="Q42" s="12">
        <f t="shared" si="5"/>
        <v>0.95320000000000005</v>
      </c>
      <c r="R42" s="12">
        <f t="shared" si="5"/>
        <v>0.95320000000000005</v>
      </c>
      <c r="S42" s="12">
        <f t="shared" si="5"/>
        <v>0.95320000000000005</v>
      </c>
      <c r="T42" s="12">
        <f t="shared" si="5"/>
        <v>0.95320000000000005</v>
      </c>
      <c r="U42" s="12">
        <f t="shared" si="5"/>
        <v>0.95320000000000005</v>
      </c>
      <c r="V42" s="12">
        <f t="shared" si="5"/>
        <v>0.95320000000000005</v>
      </c>
      <c r="W42" s="12">
        <f t="shared" si="5"/>
        <v>0.95320000000000005</v>
      </c>
      <c r="X42" s="12">
        <f t="shared" si="5"/>
        <v>0.95320000000000005</v>
      </c>
      <c r="Y42" s="12">
        <f t="shared" si="5"/>
        <v>0.95320000000000005</v>
      </c>
      <c r="Z42" s="12">
        <f t="shared" si="5"/>
        <v>0.95320000000000005</v>
      </c>
      <c r="AA42" s="12">
        <f t="shared" si="5"/>
        <v>0.95320000000000005</v>
      </c>
      <c r="AB42" s="12">
        <f t="shared" si="5"/>
        <v>0.95320000000000005</v>
      </c>
      <c r="AC42" s="12">
        <f t="shared" si="5"/>
        <v>0.95320000000000005</v>
      </c>
      <c r="AD42" s="12">
        <f t="shared" si="5"/>
        <v>0.95320000000000005</v>
      </c>
      <c r="AE42" s="12">
        <f t="shared" si="5"/>
        <v>0.95320000000000005</v>
      </c>
      <c r="AF42" s="12">
        <f t="shared" si="5"/>
        <v>0.95320000000000005</v>
      </c>
      <c r="AG42" s="12">
        <f t="shared" si="5"/>
        <v>0.95320000000000005</v>
      </c>
      <c r="AH42" s="12">
        <f t="shared" si="5"/>
        <v>0.95320000000000005</v>
      </c>
      <c r="AI42" s="12">
        <f t="shared" si="5"/>
        <v>0.95320000000000005</v>
      </c>
      <c r="AJ42" s="12">
        <f t="shared" si="5"/>
        <v>0.95320000000000005</v>
      </c>
      <c r="AK42" s="12">
        <f t="shared" si="5"/>
        <v>0.95320000000000005</v>
      </c>
      <c r="AM42" t="s">
        <v>10</v>
      </c>
      <c r="AN42">
        <v>2070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T42"/>
  <sheetViews>
    <sheetView zoomScale="50" zoomScaleNormal="50" workbookViewId="0"/>
  </sheetViews>
  <sheetFormatPr defaultColWidth="8.53125" defaultRowHeight="14.25"/>
  <cols>
    <col min="2" max="2" width="24.86328125" customWidth="1"/>
    <col min="3" max="3" width="8.53125" customWidth="1"/>
    <col min="4" max="4" width="8.6640625" customWidth="1"/>
    <col min="5" max="5" width="10.86328125" customWidth="1"/>
    <col min="6" max="7" width="10.796875" customWidth="1"/>
    <col min="8" max="8" width="10.33203125" customWidth="1"/>
    <col min="9" max="10" width="7.86328125" customWidth="1"/>
    <col min="11" max="11" width="7.46484375" customWidth="1"/>
    <col min="12" max="12" width="7.796875" customWidth="1"/>
    <col min="13" max="13" width="9.796875" customWidth="1"/>
    <col min="14" max="14" width="7.1328125" customWidth="1"/>
    <col min="15" max="15" width="5.796875" customWidth="1"/>
    <col min="16" max="16" width="6.53125" customWidth="1"/>
    <col min="17" max="18" width="5.796875" customWidth="1"/>
    <col min="19" max="19" width="7.19921875" customWidth="1"/>
    <col min="20" max="20" width="6.796875" customWidth="1"/>
    <col min="21" max="21" width="7.86328125" customWidth="1"/>
    <col min="22" max="22" width="5.796875" customWidth="1"/>
    <col min="23" max="23" width="8.19921875" customWidth="1"/>
    <col min="24" max="25" width="5.796875" customWidth="1"/>
    <col min="26" max="26" width="7.796875" customWidth="1"/>
    <col min="27" max="27" width="6.46484375" customWidth="1"/>
    <col min="28" max="28" width="7.1328125" customWidth="1"/>
    <col min="29" max="29" width="10.33203125" customWidth="1"/>
    <col min="30" max="30" width="5.796875" customWidth="1"/>
    <col min="31" max="31" width="9.19921875" customWidth="1"/>
    <col min="32" max="33" width="5.796875" customWidth="1"/>
    <col min="34" max="34" width="10.1328125" customWidth="1"/>
    <col min="35" max="35" width="9.86328125" customWidth="1"/>
    <col min="36" max="36" width="6.46484375" customWidth="1"/>
    <col min="37" max="37" width="7.46484375" customWidth="1"/>
    <col min="38" max="39" width="5.796875" customWidth="1"/>
  </cols>
  <sheetData>
    <row r="1" spans="2:39">
      <c r="C1" t="s">
        <v>313</v>
      </c>
      <c r="D1" t="s">
        <v>314</v>
      </c>
      <c r="E1" t="s">
        <v>245</v>
      </c>
      <c r="F1" t="s">
        <v>248</v>
      </c>
      <c r="G1" t="s">
        <v>252</v>
      </c>
      <c r="H1" t="s">
        <v>254</v>
      </c>
      <c r="I1" t="s">
        <v>256</v>
      </c>
      <c r="J1" t="s">
        <v>247</v>
      </c>
      <c r="K1" t="s">
        <v>251</v>
      </c>
      <c r="L1" t="s">
        <v>253</v>
      </c>
      <c r="M1" t="s">
        <v>255</v>
      </c>
      <c r="N1" t="s">
        <v>257</v>
      </c>
      <c r="O1" t="s">
        <v>258</v>
      </c>
      <c r="P1" t="s">
        <v>259</v>
      </c>
      <c r="Q1" t="s">
        <v>265</v>
      </c>
      <c r="R1" t="s">
        <v>260</v>
      </c>
      <c r="S1" t="s">
        <v>285</v>
      </c>
      <c r="T1" t="s">
        <v>261</v>
      </c>
      <c r="U1" t="s">
        <v>269</v>
      </c>
      <c r="V1" t="s">
        <v>271</v>
      </c>
      <c r="W1" t="s">
        <v>262</v>
      </c>
      <c r="X1" t="s">
        <v>263</v>
      </c>
      <c r="Y1" t="s">
        <v>264</v>
      </c>
      <c r="Z1" t="s">
        <v>266</v>
      </c>
      <c r="AA1" t="s">
        <v>277</v>
      </c>
      <c r="AB1" t="s">
        <v>279</v>
      </c>
      <c r="AC1" t="s">
        <v>267</v>
      </c>
      <c r="AD1" t="s">
        <v>268</v>
      </c>
      <c r="AE1" t="s">
        <v>280</v>
      </c>
      <c r="AF1" t="s">
        <v>270</v>
      </c>
      <c r="AG1" t="s">
        <v>272</v>
      </c>
      <c r="AH1" t="s">
        <v>273</v>
      </c>
      <c r="AI1" t="s">
        <v>274</v>
      </c>
      <c r="AJ1" t="s">
        <v>275</v>
      </c>
      <c r="AK1" t="s">
        <v>276</v>
      </c>
      <c r="AL1" t="s">
        <v>278</v>
      </c>
      <c r="AM1" t="s">
        <v>282</v>
      </c>
    </row>
    <row r="2" spans="2:39">
      <c r="B2" t="s">
        <v>315</v>
      </c>
      <c r="C2" t="s">
        <v>316</v>
      </c>
      <c r="D2" t="s">
        <v>317</v>
      </c>
      <c r="E2">
        <v>3.3000000000000002E-2</v>
      </c>
      <c r="F2">
        <v>0.26600000000000001</v>
      </c>
      <c r="G2">
        <v>0.40600000000000003</v>
      </c>
      <c r="H2">
        <v>0.42899999999999999</v>
      </c>
      <c r="I2">
        <v>0.55600000000000005</v>
      </c>
      <c r="J2">
        <v>0.95</v>
      </c>
      <c r="K2">
        <v>0.36299999999999999</v>
      </c>
      <c r="L2">
        <v>0.95</v>
      </c>
      <c r="M2">
        <v>0.58799999999999997</v>
      </c>
      <c r="N2">
        <v>0.70199999999999996</v>
      </c>
      <c r="O2">
        <v>0.69499999999999995</v>
      </c>
      <c r="P2">
        <v>0.58899999999999997</v>
      </c>
      <c r="Q2">
        <v>0.51400000000000001</v>
      </c>
      <c r="R2">
        <v>0.67700000000000005</v>
      </c>
      <c r="T2">
        <v>0.40699999999999997</v>
      </c>
      <c r="U2">
        <v>0.95</v>
      </c>
      <c r="V2">
        <v>0.624</v>
      </c>
      <c r="W2">
        <v>0.89600000000000002</v>
      </c>
      <c r="X2">
        <v>0.46200000000000002</v>
      </c>
      <c r="Y2">
        <v>0.95</v>
      </c>
      <c r="Z2">
        <v>0.54700000000000004</v>
      </c>
      <c r="AA2">
        <v>0.91300000000000003</v>
      </c>
      <c r="AB2">
        <v>0.78</v>
      </c>
      <c r="AC2">
        <v>0.56399999999999995</v>
      </c>
      <c r="AD2">
        <v>7.0999999999999994E-2</v>
      </c>
      <c r="AF2">
        <v>0.18</v>
      </c>
      <c r="AG2">
        <v>0.60399999999999998</v>
      </c>
      <c r="AH2">
        <v>0.38500000000000001</v>
      </c>
      <c r="AI2">
        <v>0.95</v>
      </c>
      <c r="AJ2">
        <v>0.48099999999999998</v>
      </c>
      <c r="AK2">
        <v>0.57899999999999996</v>
      </c>
      <c r="AL2">
        <v>0.17100000000000001</v>
      </c>
      <c r="AM2">
        <v>0.63900000000000001</v>
      </c>
    </row>
    <row r="3" spans="2:39">
      <c r="B3" t="s">
        <v>318</v>
      </c>
      <c r="C3" t="s">
        <v>319</v>
      </c>
      <c r="D3" t="s">
        <v>317</v>
      </c>
      <c r="E3">
        <v>0.73299999999999998</v>
      </c>
      <c r="F3">
        <v>0</v>
      </c>
      <c r="G3">
        <v>0.627</v>
      </c>
      <c r="H3">
        <v>0.95</v>
      </c>
      <c r="J3">
        <v>0.27800000000000002</v>
      </c>
      <c r="K3">
        <v>0.50900000000000001</v>
      </c>
      <c r="L3">
        <v>0.57599999999999996</v>
      </c>
      <c r="M3">
        <v>0.36799999999999999</v>
      </c>
      <c r="N3">
        <v>0.45700000000000002</v>
      </c>
      <c r="O3">
        <v>9.8000000000000004E-2</v>
      </c>
      <c r="P3">
        <v>0.38200000000000001</v>
      </c>
      <c r="Q3">
        <v>0.187</v>
      </c>
      <c r="R3">
        <v>0.27700000000000002</v>
      </c>
      <c r="T3">
        <v>0.70699999999999996</v>
      </c>
      <c r="U3">
        <v>0.13200000000000001</v>
      </c>
      <c r="V3">
        <v>0.25700000000000001</v>
      </c>
      <c r="W3">
        <v>0.67400000000000004</v>
      </c>
      <c r="X3">
        <v>0.498</v>
      </c>
      <c r="Y3">
        <v>0.95</v>
      </c>
      <c r="Z3">
        <v>0.39500000000000002</v>
      </c>
      <c r="AA3">
        <v>0.95</v>
      </c>
      <c r="AB3">
        <v>0.41199999999999998</v>
      </c>
      <c r="AC3">
        <v>0.56499999999999995</v>
      </c>
      <c r="AD3">
        <v>0.63700000000000001</v>
      </c>
      <c r="AF3">
        <v>0.47399999999999998</v>
      </c>
      <c r="AG3">
        <v>0.151</v>
      </c>
      <c r="AH3">
        <v>0.16600000000000001</v>
      </c>
      <c r="AJ3">
        <v>0.64600000000000002</v>
      </c>
      <c r="AK3">
        <v>0.184</v>
      </c>
      <c r="AL3">
        <v>0</v>
      </c>
      <c r="AM3">
        <v>0.59</v>
      </c>
    </row>
    <row r="4" spans="2:39">
      <c r="B4" t="s">
        <v>320</v>
      </c>
      <c r="C4" t="s">
        <v>321</v>
      </c>
      <c r="D4" t="s">
        <v>317</v>
      </c>
      <c r="E4">
        <v>0.38700000000000001</v>
      </c>
      <c r="F4">
        <v>0.32700000000000001</v>
      </c>
      <c r="G4">
        <v>0.19700000000000001</v>
      </c>
      <c r="H4">
        <v>0.158</v>
      </c>
      <c r="I4">
        <v>7.6999999999999999E-2</v>
      </c>
      <c r="J4">
        <v>0.312</v>
      </c>
      <c r="K4">
        <v>0.23200000000000001</v>
      </c>
      <c r="L4">
        <v>0.25900000000000001</v>
      </c>
      <c r="M4">
        <v>0.68799999999999994</v>
      </c>
      <c r="N4">
        <v>0.14499999999999999</v>
      </c>
      <c r="O4">
        <v>0.19400000000000001</v>
      </c>
      <c r="P4">
        <v>0.26100000000000001</v>
      </c>
      <c r="Q4">
        <v>0.28299999999999997</v>
      </c>
      <c r="R4">
        <v>0.19900000000000001</v>
      </c>
      <c r="T4">
        <v>0.185</v>
      </c>
      <c r="U4">
        <v>0.41099999999999998</v>
      </c>
      <c r="V4">
        <v>0.23799999999999999</v>
      </c>
      <c r="W4">
        <v>0.46500000000000002</v>
      </c>
      <c r="X4">
        <v>0.4</v>
      </c>
      <c r="Y4">
        <v>0.437</v>
      </c>
      <c r="Z4">
        <v>0.39300000000000002</v>
      </c>
      <c r="AA4">
        <v>0.26300000000000001</v>
      </c>
      <c r="AB4">
        <v>0.48199999999999998</v>
      </c>
      <c r="AC4">
        <v>0.45700000000000002</v>
      </c>
      <c r="AD4">
        <v>0.53700000000000003</v>
      </c>
      <c r="AE4">
        <v>0.432</v>
      </c>
      <c r="AF4">
        <v>0</v>
      </c>
      <c r="AG4">
        <v>0.26900000000000002</v>
      </c>
      <c r="AH4">
        <v>4.8000000000000001E-2</v>
      </c>
      <c r="AI4">
        <v>0.248</v>
      </c>
      <c r="AJ4">
        <v>0.27500000000000002</v>
      </c>
      <c r="AK4">
        <v>0.30099999999999999</v>
      </c>
      <c r="AL4">
        <v>0.495</v>
      </c>
      <c r="AM4">
        <v>0.26200000000000001</v>
      </c>
    </row>
    <row r="5" spans="2:39">
      <c r="B5" t="s">
        <v>322</v>
      </c>
      <c r="C5" t="s">
        <v>323</v>
      </c>
      <c r="D5" t="s">
        <v>317</v>
      </c>
      <c r="J5">
        <v>0.95</v>
      </c>
      <c r="K5">
        <v>0.83199999999999996</v>
      </c>
      <c r="L5">
        <v>0.872</v>
      </c>
      <c r="M5">
        <v>0.93300000000000005</v>
      </c>
      <c r="N5">
        <v>0.88500000000000001</v>
      </c>
      <c r="O5">
        <v>0.624</v>
      </c>
      <c r="P5">
        <v>0.95</v>
      </c>
      <c r="R5">
        <v>0.92500000000000004</v>
      </c>
      <c r="T5">
        <v>0.73599999999999999</v>
      </c>
      <c r="W5">
        <v>0.26700000000000002</v>
      </c>
      <c r="X5">
        <v>0.58399999999999996</v>
      </c>
      <c r="Y5">
        <v>0.85599999999999998</v>
      </c>
      <c r="Z5">
        <v>0.90300000000000002</v>
      </c>
      <c r="AC5">
        <v>0.83499999999999996</v>
      </c>
      <c r="AD5">
        <v>0.84</v>
      </c>
      <c r="AF5">
        <v>0.52600000000000002</v>
      </c>
      <c r="AG5">
        <v>0.91100000000000003</v>
      </c>
      <c r="AH5">
        <v>0.83199999999999996</v>
      </c>
      <c r="AI5">
        <v>0.93300000000000005</v>
      </c>
      <c r="AK5">
        <v>0.79100000000000004</v>
      </c>
    </row>
    <row r="6" spans="2:39">
      <c r="B6" t="s">
        <v>324</v>
      </c>
      <c r="C6" t="s">
        <v>325</v>
      </c>
      <c r="D6" t="s">
        <v>317</v>
      </c>
      <c r="E6">
        <v>0.95</v>
      </c>
      <c r="F6">
        <v>0.14599999999999999</v>
      </c>
      <c r="G6">
        <v>0.26200000000000001</v>
      </c>
      <c r="H6">
        <v>0.57299999999999995</v>
      </c>
      <c r="I6">
        <v>0.36899999999999999</v>
      </c>
      <c r="J6">
        <v>0.95</v>
      </c>
      <c r="K6">
        <v>0.16600000000000001</v>
      </c>
      <c r="L6">
        <v>0.58199999999999996</v>
      </c>
      <c r="M6">
        <v>1.7000000000000001E-2</v>
      </c>
      <c r="N6">
        <v>0.95</v>
      </c>
      <c r="O6">
        <v>0.57099999999999995</v>
      </c>
      <c r="P6">
        <v>0.95</v>
      </c>
      <c r="Q6">
        <v>0.312</v>
      </c>
      <c r="R6">
        <v>8.7999999999999995E-2</v>
      </c>
      <c r="T6">
        <v>2.5999999999999999E-2</v>
      </c>
      <c r="U6">
        <v>0.111</v>
      </c>
      <c r="V6">
        <v>0.95</v>
      </c>
      <c r="W6">
        <v>0.19400000000000001</v>
      </c>
      <c r="X6">
        <v>0.221</v>
      </c>
      <c r="Y6">
        <v>0.89500000000000002</v>
      </c>
      <c r="Z6">
        <v>0.13500000000000001</v>
      </c>
      <c r="AA6">
        <v>0.72</v>
      </c>
      <c r="AB6">
        <v>0.95</v>
      </c>
      <c r="AC6">
        <v>0.2</v>
      </c>
      <c r="AD6">
        <v>0.95</v>
      </c>
      <c r="AE6">
        <v>0.64</v>
      </c>
      <c r="AF6">
        <v>0.23100000000000001</v>
      </c>
      <c r="AG6">
        <v>0.374</v>
      </c>
      <c r="AH6">
        <v>0.1</v>
      </c>
      <c r="AI6">
        <v>0.27900000000000003</v>
      </c>
      <c r="AJ6">
        <v>0.16300000000000001</v>
      </c>
      <c r="AK6">
        <v>0.42499999999999999</v>
      </c>
      <c r="AL6">
        <v>0.95</v>
      </c>
      <c r="AM6">
        <v>0.95</v>
      </c>
    </row>
    <row r="7" spans="2:39">
      <c r="B7" t="str">
        <f>B2</f>
        <v>elcbsl,indbio</v>
      </c>
      <c r="C7" t="s">
        <v>316</v>
      </c>
      <c r="D7" t="s">
        <v>326</v>
      </c>
      <c r="E7">
        <v>1.4E-2</v>
      </c>
      <c r="F7">
        <v>0.17499999999999999</v>
      </c>
      <c r="G7">
        <v>0.40600000000000003</v>
      </c>
      <c r="H7">
        <v>0.42899999999999999</v>
      </c>
      <c r="I7">
        <v>0.55600000000000005</v>
      </c>
      <c r="J7">
        <v>0.88500000000000001</v>
      </c>
      <c r="K7">
        <v>0.36299999999999999</v>
      </c>
      <c r="L7">
        <v>0.95</v>
      </c>
      <c r="M7">
        <v>0.55000000000000004</v>
      </c>
      <c r="N7">
        <v>0.70199999999999996</v>
      </c>
      <c r="O7">
        <v>0.69499999999999995</v>
      </c>
      <c r="P7">
        <v>0.58899999999999997</v>
      </c>
      <c r="Q7">
        <v>0.46899999999999997</v>
      </c>
      <c r="R7">
        <v>0.48899999999999999</v>
      </c>
      <c r="T7">
        <v>0.307</v>
      </c>
      <c r="U7">
        <v>0.91300000000000003</v>
      </c>
      <c r="V7">
        <v>0.624</v>
      </c>
      <c r="W7">
        <v>0.89600000000000002</v>
      </c>
      <c r="X7">
        <v>0.34799999999999998</v>
      </c>
      <c r="Y7">
        <v>0.29399999999999998</v>
      </c>
      <c r="Z7">
        <v>0.54700000000000004</v>
      </c>
      <c r="AA7">
        <v>0.28499999999999998</v>
      </c>
      <c r="AB7">
        <v>0.74399999999999999</v>
      </c>
      <c r="AC7">
        <v>0.41599999999999998</v>
      </c>
      <c r="AD7">
        <v>5.0999999999999997E-2</v>
      </c>
      <c r="AF7">
        <v>0.14499999999999999</v>
      </c>
      <c r="AG7">
        <v>0.60399999999999998</v>
      </c>
      <c r="AH7">
        <v>0.38500000000000001</v>
      </c>
      <c r="AI7">
        <v>0.95</v>
      </c>
      <c r="AJ7">
        <v>0.45</v>
      </c>
      <c r="AK7">
        <v>0.57899999999999996</v>
      </c>
      <c r="AL7">
        <v>0.17100000000000001</v>
      </c>
      <c r="AM7">
        <v>0.22800000000000001</v>
      </c>
    </row>
    <row r="8" spans="2:39">
      <c r="B8" t="str">
        <f t="shared" ref="B8:B16" si="0">B3</f>
        <v>???coa,elccob</v>
      </c>
      <c r="C8" t="s">
        <v>319</v>
      </c>
      <c r="D8" t="s">
        <v>326</v>
      </c>
      <c r="E8">
        <v>0.56999999999999995</v>
      </c>
      <c r="F8">
        <v>0</v>
      </c>
      <c r="G8">
        <v>0.60499999999999998</v>
      </c>
      <c r="H8">
        <v>0.27700000000000002</v>
      </c>
      <c r="I8">
        <v>0.95</v>
      </c>
      <c r="J8">
        <v>0.251</v>
      </c>
      <c r="K8">
        <v>0.50900000000000001</v>
      </c>
      <c r="L8">
        <v>0.51500000000000001</v>
      </c>
      <c r="M8">
        <v>0.36799999999999999</v>
      </c>
      <c r="N8">
        <v>0.42799999999999999</v>
      </c>
      <c r="O8">
        <v>9.4E-2</v>
      </c>
      <c r="P8">
        <v>0.32800000000000001</v>
      </c>
      <c r="Q8">
        <v>0.187</v>
      </c>
      <c r="R8">
        <v>0.26800000000000002</v>
      </c>
      <c r="T8">
        <v>0.57799999999999996</v>
      </c>
      <c r="U8">
        <v>6.3E-2</v>
      </c>
      <c r="V8">
        <v>0.19700000000000001</v>
      </c>
      <c r="W8">
        <v>0.67400000000000004</v>
      </c>
      <c r="X8">
        <v>0.498</v>
      </c>
      <c r="Y8">
        <v>0.38500000000000001</v>
      </c>
      <c r="Z8">
        <v>0.38400000000000001</v>
      </c>
      <c r="AA8">
        <v>0.95</v>
      </c>
      <c r="AB8">
        <v>0.41199999999999998</v>
      </c>
      <c r="AC8">
        <v>0.55700000000000005</v>
      </c>
      <c r="AD8">
        <v>0.42</v>
      </c>
      <c r="AF8">
        <v>0.47399999999999998</v>
      </c>
      <c r="AG8">
        <v>0.125</v>
      </c>
      <c r="AH8">
        <v>0.16600000000000001</v>
      </c>
      <c r="AJ8">
        <v>0.56799999999999995</v>
      </c>
      <c r="AK8">
        <v>8.2000000000000003E-2</v>
      </c>
      <c r="AL8">
        <v>0</v>
      </c>
      <c r="AM8">
        <v>0.59</v>
      </c>
    </row>
    <row r="9" spans="2:39">
      <c r="B9" t="str">
        <f t="shared" si="0"/>
        <v>???nga</v>
      </c>
      <c r="C9" t="s">
        <v>321</v>
      </c>
      <c r="D9" t="s">
        <v>326</v>
      </c>
      <c r="E9">
        <v>0.373</v>
      </c>
      <c r="F9">
        <v>0.318</v>
      </c>
      <c r="G9">
        <v>0.19700000000000001</v>
      </c>
      <c r="H9">
        <v>0.127</v>
      </c>
      <c r="I9">
        <v>6.3E-2</v>
      </c>
      <c r="J9">
        <v>0.312</v>
      </c>
      <c r="K9">
        <v>0.23200000000000001</v>
      </c>
      <c r="L9">
        <v>0.25900000000000001</v>
      </c>
      <c r="M9">
        <v>0.28999999999999998</v>
      </c>
      <c r="N9">
        <v>8.7999999999999995E-2</v>
      </c>
      <c r="O9">
        <v>6.3E-2</v>
      </c>
      <c r="P9">
        <v>0.254</v>
      </c>
      <c r="Q9">
        <v>0.154</v>
      </c>
      <c r="R9">
        <v>0.16400000000000001</v>
      </c>
      <c r="T9">
        <v>0.16500000000000001</v>
      </c>
      <c r="U9">
        <v>0.32200000000000001</v>
      </c>
      <c r="V9">
        <v>0.158</v>
      </c>
      <c r="W9">
        <v>0.46500000000000002</v>
      </c>
      <c r="X9">
        <v>0.35199999999999998</v>
      </c>
      <c r="Y9">
        <v>0.38900000000000001</v>
      </c>
      <c r="Z9">
        <v>0.314</v>
      </c>
      <c r="AA9">
        <v>4.5999999999999999E-2</v>
      </c>
      <c r="AB9">
        <v>0.372</v>
      </c>
      <c r="AC9">
        <v>0.45700000000000002</v>
      </c>
      <c r="AD9">
        <v>0.47499999999999998</v>
      </c>
      <c r="AE9">
        <v>0.38600000000000001</v>
      </c>
      <c r="AF9">
        <v>0</v>
      </c>
      <c r="AG9">
        <v>0.19500000000000001</v>
      </c>
      <c r="AH9">
        <v>4.8000000000000001E-2</v>
      </c>
      <c r="AI9">
        <v>0.23799999999999999</v>
      </c>
      <c r="AJ9">
        <v>0.22700000000000001</v>
      </c>
      <c r="AK9">
        <v>0.30099999999999999</v>
      </c>
      <c r="AL9">
        <v>0.14000000000000001</v>
      </c>
      <c r="AM9">
        <v>6.2E-2</v>
      </c>
    </row>
    <row r="10" spans="2:39">
      <c r="B10" t="str">
        <f t="shared" si="0"/>
        <v>???nuc</v>
      </c>
      <c r="C10" t="s">
        <v>323</v>
      </c>
      <c r="D10" t="s">
        <v>326</v>
      </c>
      <c r="J10">
        <v>0.53700000000000003</v>
      </c>
      <c r="K10">
        <v>0.80600000000000005</v>
      </c>
      <c r="L10">
        <v>0.72</v>
      </c>
      <c r="M10">
        <v>0.92800000000000005</v>
      </c>
      <c r="N10">
        <v>0.71199999999999997</v>
      </c>
      <c r="O10">
        <v>0.54800000000000004</v>
      </c>
      <c r="P10">
        <v>0.80300000000000005</v>
      </c>
      <c r="R10">
        <v>0.92500000000000004</v>
      </c>
      <c r="T10">
        <v>0.63</v>
      </c>
      <c r="W10">
        <v>0</v>
      </c>
      <c r="X10">
        <v>0.39700000000000002</v>
      </c>
      <c r="Y10">
        <v>0.377</v>
      </c>
      <c r="Z10">
        <v>0.90300000000000002</v>
      </c>
      <c r="AC10">
        <v>0.70499999999999996</v>
      </c>
      <c r="AD10">
        <v>0.78600000000000003</v>
      </c>
      <c r="AF10">
        <v>0.52600000000000002</v>
      </c>
      <c r="AG10">
        <v>0.88200000000000001</v>
      </c>
      <c r="AH10">
        <v>0.73</v>
      </c>
      <c r="AI10">
        <v>0.69899999999999995</v>
      </c>
      <c r="AK10">
        <v>0.62</v>
      </c>
      <c r="AL10">
        <v>0.51200000000000001</v>
      </c>
    </row>
    <row r="11" spans="2:39">
      <c r="B11" t="str">
        <f t="shared" si="0"/>
        <v>???oil*</v>
      </c>
      <c r="C11" t="s">
        <v>325</v>
      </c>
      <c r="D11" t="s">
        <v>326</v>
      </c>
      <c r="E11">
        <v>0.36699999999999999</v>
      </c>
      <c r="F11">
        <v>0.14599999999999999</v>
      </c>
      <c r="G11">
        <v>0.21</v>
      </c>
      <c r="H11">
        <v>0.46300000000000002</v>
      </c>
      <c r="I11">
        <v>0.21</v>
      </c>
      <c r="J11">
        <v>0.95</v>
      </c>
      <c r="K11">
        <v>0.16</v>
      </c>
      <c r="L11">
        <v>0.52</v>
      </c>
      <c r="M11">
        <v>3.0000000000000001E-3</v>
      </c>
      <c r="N11">
        <v>0.95</v>
      </c>
      <c r="O11">
        <v>0.57099999999999995</v>
      </c>
      <c r="P11">
        <v>0.95</v>
      </c>
      <c r="Q11">
        <v>0.30099999999999999</v>
      </c>
      <c r="R11">
        <v>7.0000000000000007E-2</v>
      </c>
      <c r="S11">
        <v>0</v>
      </c>
      <c r="T11">
        <v>2.1000000000000001E-2</v>
      </c>
      <c r="U11">
        <v>0.111</v>
      </c>
      <c r="V11">
        <v>0.78200000000000003</v>
      </c>
      <c r="W11">
        <v>8.8999999999999996E-2</v>
      </c>
      <c r="X11">
        <v>0.221</v>
      </c>
      <c r="Y11">
        <v>0.61599999999999999</v>
      </c>
      <c r="Z11">
        <v>0.11700000000000001</v>
      </c>
      <c r="AA11">
        <v>0.63200000000000001</v>
      </c>
      <c r="AB11">
        <v>0.95</v>
      </c>
      <c r="AC11">
        <v>0.2</v>
      </c>
      <c r="AD11">
        <v>0.95</v>
      </c>
      <c r="AE11">
        <v>0.629</v>
      </c>
      <c r="AF11">
        <v>1E-3</v>
      </c>
      <c r="AG11">
        <v>0.374</v>
      </c>
      <c r="AH11">
        <v>0.1</v>
      </c>
      <c r="AI11">
        <v>0.26</v>
      </c>
      <c r="AJ11">
        <v>5.8999999999999997E-2</v>
      </c>
      <c r="AK11">
        <v>0.22</v>
      </c>
      <c r="AL11">
        <v>0.95</v>
      </c>
      <c r="AM11">
        <v>0.10299999999999999</v>
      </c>
    </row>
    <row r="12" spans="2:39">
      <c r="B12" t="str">
        <f t="shared" si="0"/>
        <v>elcbsl,indbio</v>
      </c>
      <c r="C12" t="s">
        <v>316</v>
      </c>
      <c r="D12" t="s">
        <v>327</v>
      </c>
      <c r="E12">
        <v>5.7000000000000002E-2</v>
      </c>
      <c r="F12">
        <v>0.28699999999999998</v>
      </c>
      <c r="G12">
        <v>0.50600000000000001</v>
      </c>
      <c r="H12">
        <v>0.56399999999999995</v>
      </c>
      <c r="I12">
        <v>0.84199999999999997</v>
      </c>
      <c r="J12">
        <v>0.95</v>
      </c>
      <c r="K12">
        <v>0.436</v>
      </c>
      <c r="L12">
        <v>0.95</v>
      </c>
      <c r="M12">
        <v>0.71099999999999997</v>
      </c>
      <c r="N12">
        <v>0.77</v>
      </c>
      <c r="O12">
        <v>0.83399999999999996</v>
      </c>
      <c r="P12">
        <v>0.76900000000000002</v>
      </c>
      <c r="Q12">
        <v>0.58699999999999997</v>
      </c>
      <c r="R12">
        <v>0.879</v>
      </c>
      <c r="T12">
        <v>0.65500000000000003</v>
      </c>
      <c r="U12">
        <v>0.95</v>
      </c>
      <c r="V12">
        <v>0.751</v>
      </c>
      <c r="W12">
        <v>0.95</v>
      </c>
      <c r="X12">
        <v>0.46200000000000002</v>
      </c>
      <c r="Y12">
        <v>0.95</v>
      </c>
      <c r="Z12">
        <v>0.64400000000000002</v>
      </c>
      <c r="AA12">
        <v>0.95</v>
      </c>
      <c r="AB12">
        <v>0.95</v>
      </c>
      <c r="AC12">
        <v>0.56399999999999995</v>
      </c>
      <c r="AD12">
        <v>0.107</v>
      </c>
      <c r="AF12">
        <v>0.189</v>
      </c>
      <c r="AG12">
        <v>0.72699999999999998</v>
      </c>
      <c r="AH12">
        <v>0.47599999999999998</v>
      </c>
      <c r="AI12">
        <v>0.95</v>
      </c>
      <c r="AJ12">
        <v>0.56000000000000005</v>
      </c>
      <c r="AK12">
        <v>0.77</v>
      </c>
      <c r="AL12">
        <v>0.41</v>
      </c>
      <c r="AM12">
        <v>0.95</v>
      </c>
    </row>
    <row r="13" spans="2:39">
      <c r="B13" t="str">
        <f t="shared" si="0"/>
        <v>???coa,elccob</v>
      </c>
      <c r="C13" t="s">
        <v>319</v>
      </c>
      <c r="D13" t="s">
        <v>327</v>
      </c>
      <c r="E13">
        <v>0.77700000000000002</v>
      </c>
      <c r="F13">
        <v>0.47</v>
      </c>
      <c r="G13">
        <v>0.72399999999999998</v>
      </c>
      <c r="H13">
        <v>0.95</v>
      </c>
      <c r="I13">
        <v>0.95</v>
      </c>
      <c r="J13">
        <v>0.95</v>
      </c>
      <c r="K13">
        <v>0.92200000000000004</v>
      </c>
      <c r="L13">
        <v>0.58699999999999997</v>
      </c>
      <c r="M13">
        <v>0.57799999999999996</v>
      </c>
      <c r="N13">
        <v>0.54400000000000004</v>
      </c>
      <c r="O13">
        <v>0.39100000000000001</v>
      </c>
      <c r="P13">
        <v>0.625</v>
      </c>
      <c r="Q13">
        <v>0.59699999999999998</v>
      </c>
      <c r="R13">
        <v>0.43099999999999999</v>
      </c>
      <c r="T13">
        <v>0.70699999999999996</v>
      </c>
      <c r="U13">
        <v>0.60399999999999998</v>
      </c>
      <c r="V13">
        <v>0.50900000000000001</v>
      </c>
      <c r="W13">
        <v>0.9</v>
      </c>
      <c r="X13">
        <v>0.77700000000000002</v>
      </c>
      <c r="Y13">
        <v>0.95</v>
      </c>
      <c r="Z13">
        <v>0.56799999999999995</v>
      </c>
      <c r="AA13">
        <v>0.95</v>
      </c>
      <c r="AB13">
        <v>0.52200000000000002</v>
      </c>
      <c r="AC13">
        <v>0.7</v>
      </c>
      <c r="AD13">
        <v>0.63700000000000001</v>
      </c>
      <c r="AF13">
        <v>0.67100000000000004</v>
      </c>
      <c r="AG13">
        <v>0.57499999999999996</v>
      </c>
      <c r="AH13">
        <v>0.35099999999999998</v>
      </c>
      <c r="AJ13">
        <v>0.67900000000000005</v>
      </c>
      <c r="AK13">
        <v>0.53900000000000003</v>
      </c>
      <c r="AL13">
        <v>0.31900000000000001</v>
      </c>
      <c r="AM13">
        <v>0.69499999999999995</v>
      </c>
    </row>
    <row r="14" spans="2:39">
      <c r="B14" t="str">
        <f t="shared" si="0"/>
        <v>???nga</v>
      </c>
      <c r="C14" t="s">
        <v>321</v>
      </c>
      <c r="D14" t="s">
        <v>327</v>
      </c>
      <c r="E14">
        <v>0.505</v>
      </c>
      <c r="F14">
        <v>0.39900000000000002</v>
      </c>
      <c r="G14">
        <v>0.32400000000000001</v>
      </c>
      <c r="H14">
        <v>0.26800000000000002</v>
      </c>
      <c r="I14">
        <v>0.14899999999999999</v>
      </c>
      <c r="J14">
        <v>0.495</v>
      </c>
      <c r="K14">
        <v>0.67500000000000004</v>
      </c>
      <c r="L14">
        <v>0.32400000000000001</v>
      </c>
      <c r="M14">
        <v>0.78700000000000003</v>
      </c>
      <c r="N14">
        <v>0.35199999999999998</v>
      </c>
      <c r="O14">
        <v>0.29399999999999998</v>
      </c>
      <c r="P14">
        <v>0.35199999999999998</v>
      </c>
      <c r="Q14">
        <v>0.46800000000000003</v>
      </c>
      <c r="R14">
        <v>0.25600000000000001</v>
      </c>
      <c r="T14">
        <v>0.26700000000000002</v>
      </c>
      <c r="U14">
        <v>0.442</v>
      </c>
      <c r="V14">
        <v>0.29799999999999999</v>
      </c>
      <c r="W14">
        <v>0.66500000000000004</v>
      </c>
      <c r="X14">
        <v>0.47899999999999998</v>
      </c>
      <c r="Y14">
        <v>0.441</v>
      </c>
      <c r="Z14">
        <v>0.39300000000000002</v>
      </c>
      <c r="AA14">
        <v>0.26800000000000002</v>
      </c>
      <c r="AB14">
        <v>0.75700000000000001</v>
      </c>
      <c r="AC14">
        <v>0.53</v>
      </c>
      <c r="AD14">
        <v>0.57599999999999996</v>
      </c>
      <c r="AE14">
        <v>0.46700000000000003</v>
      </c>
      <c r="AF14">
        <v>0.95</v>
      </c>
      <c r="AG14">
        <v>0.375</v>
      </c>
      <c r="AH14">
        <v>0.22900000000000001</v>
      </c>
      <c r="AI14">
        <v>0.42699999999999999</v>
      </c>
      <c r="AJ14">
        <v>0.61699999999999999</v>
      </c>
      <c r="AK14">
        <v>0.46600000000000003</v>
      </c>
      <c r="AL14">
        <v>0.495</v>
      </c>
      <c r="AM14">
        <v>0.26600000000000001</v>
      </c>
    </row>
    <row r="15" spans="2:39">
      <c r="B15" t="str">
        <f t="shared" si="0"/>
        <v>???nuc</v>
      </c>
      <c r="C15" t="s">
        <v>323</v>
      </c>
      <c r="D15" t="s">
        <v>327</v>
      </c>
      <c r="J15">
        <v>0.95</v>
      </c>
      <c r="K15">
        <v>0.92500000000000004</v>
      </c>
      <c r="L15">
        <v>0.873</v>
      </c>
      <c r="M15">
        <v>0.95</v>
      </c>
      <c r="N15">
        <v>0.88500000000000001</v>
      </c>
      <c r="O15">
        <v>0.79100000000000004</v>
      </c>
      <c r="P15">
        <v>0.95</v>
      </c>
      <c r="R15">
        <v>0.94799999999999995</v>
      </c>
      <c r="T15">
        <v>0.77800000000000002</v>
      </c>
      <c r="W15">
        <v>0.26700000000000002</v>
      </c>
      <c r="X15">
        <v>0.66300000000000003</v>
      </c>
      <c r="Y15">
        <v>0.85599999999999998</v>
      </c>
      <c r="Z15">
        <v>0.93</v>
      </c>
      <c r="AC15">
        <v>0.86799999999999999</v>
      </c>
      <c r="AD15">
        <v>0.95</v>
      </c>
      <c r="AF15">
        <v>0.88400000000000001</v>
      </c>
      <c r="AG15">
        <v>0.93899999999999995</v>
      </c>
      <c r="AH15">
        <v>0.91100000000000003</v>
      </c>
      <c r="AI15">
        <v>0.95</v>
      </c>
      <c r="AK15">
        <v>0.88400000000000001</v>
      </c>
      <c r="AL15">
        <v>0.72899999999999998</v>
      </c>
    </row>
    <row r="16" spans="2:39">
      <c r="B16" t="str">
        <f t="shared" si="0"/>
        <v>???oil*</v>
      </c>
      <c r="C16" t="s">
        <v>325</v>
      </c>
      <c r="D16" t="s">
        <v>327</v>
      </c>
      <c r="E16">
        <v>0.95</v>
      </c>
      <c r="F16">
        <v>0.40200000000000002</v>
      </c>
      <c r="G16">
        <v>0.34399999999999997</v>
      </c>
      <c r="H16">
        <v>0.57399999999999995</v>
      </c>
      <c r="I16">
        <v>0.68899999999999995</v>
      </c>
      <c r="J16">
        <v>0.95</v>
      </c>
      <c r="K16">
        <v>0.45800000000000002</v>
      </c>
      <c r="L16">
        <v>0.95</v>
      </c>
      <c r="M16">
        <v>1.7000000000000001E-2</v>
      </c>
      <c r="N16">
        <v>0.95</v>
      </c>
      <c r="O16">
        <v>0.73199999999999998</v>
      </c>
      <c r="P16">
        <v>0.95</v>
      </c>
      <c r="Q16">
        <v>0.35899999999999999</v>
      </c>
      <c r="R16">
        <v>0.106</v>
      </c>
      <c r="S16">
        <v>0</v>
      </c>
      <c r="T16">
        <v>0.1</v>
      </c>
      <c r="U16">
        <v>0.40400000000000003</v>
      </c>
      <c r="V16">
        <v>0.95</v>
      </c>
      <c r="W16">
        <v>0.33200000000000002</v>
      </c>
      <c r="X16">
        <v>0.36399999999999999</v>
      </c>
      <c r="Y16">
        <v>0.90200000000000002</v>
      </c>
      <c r="Z16">
        <v>0.16</v>
      </c>
      <c r="AA16">
        <v>0.95</v>
      </c>
      <c r="AB16">
        <v>0.95</v>
      </c>
      <c r="AC16">
        <v>0.55700000000000005</v>
      </c>
      <c r="AD16">
        <v>0.95</v>
      </c>
      <c r="AE16">
        <v>0.95</v>
      </c>
      <c r="AF16">
        <v>0.23100000000000001</v>
      </c>
      <c r="AG16">
        <v>0.61599999999999999</v>
      </c>
      <c r="AH16">
        <v>0.182</v>
      </c>
      <c r="AI16">
        <v>0.311</v>
      </c>
      <c r="AJ16">
        <v>0.47399999999999998</v>
      </c>
      <c r="AK16">
        <v>0.64400000000000002</v>
      </c>
      <c r="AL16">
        <v>0.95</v>
      </c>
      <c r="AM16">
        <v>0.95</v>
      </c>
    </row>
    <row r="18" spans="1:46">
      <c r="A18" t="s">
        <v>240</v>
      </c>
    </row>
    <row r="20" spans="1:46">
      <c r="D20" s="11" t="s">
        <v>328</v>
      </c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</row>
    <row r="21" spans="1:46">
      <c r="A21" t="s">
        <v>76</v>
      </c>
      <c r="B21" t="s">
        <v>54</v>
      </c>
      <c r="C21" t="s">
        <v>329</v>
      </c>
      <c r="D21" s="13" t="s">
        <v>4</v>
      </c>
      <c r="E21" s="12" t="str">
        <f>E1</f>
        <v>Africa_North</v>
      </c>
      <c r="F21" s="12" t="str">
        <f t="shared" ref="F21:AM21" si="1">F1</f>
        <v>Africa_Other</v>
      </c>
      <c r="G21" s="12" t="str">
        <f t="shared" si="1"/>
        <v>Australia</v>
      </c>
      <c r="H21" s="12" t="str">
        <f t="shared" si="1"/>
        <v>Austria</v>
      </c>
      <c r="I21" s="12" t="str">
        <f t="shared" si="1"/>
        <v>Baltics</v>
      </c>
      <c r="J21" s="12" t="str">
        <f t="shared" si="1"/>
        <v>BeNeLux</v>
      </c>
      <c r="K21" s="12" t="str">
        <f t="shared" si="1"/>
        <v>Brazil</v>
      </c>
      <c r="L21" s="12" t="str">
        <f t="shared" si="1"/>
        <v>China</v>
      </c>
      <c r="M21" s="12" t="str">
        <f t="shared" si="1"/>
        <v>CroSloven</v>
      </c>
      <c r="N21" s="12" t="str">
        <f t="shared" si="1"/>
        <v>CzechSlovak</v>
      </c>
      <c r="O21" s="12" t="str">
        <f t="shared" si="1"/>
        <v>France</v>
      </c>
      <c r="P21" s="12" t="str">
        <f t="shared" si="1"/>
        <v>Germany</v>
      </c>
      <c r="Q21" s="12" t="str">
        <f t="shared" si="1"/>
        <v>GreeceCyp</v>
      </c>
      <c r="R21" s="12" t="str">
        <f t="shared" si="1"/>
        <v>HunRomBul</v>
      </c>
      <c r="S21" s="12" t="str">
        <f t="shared" si="1"/>
        <v>Iceland</v>
      </c>
      <c r="T21" s="12" t="str">
        <f t="shared" si="1"/>
        <v>India</v>
      </c>
      <c r="U21" s="12" t="str">
        <f t="shared" si="1"/>
        <v>Ireland</v>
      </c>
      <c r="V21" s="12" t="str">
        <f t="shared" si="1"/>
        <v>ItalyMal</v>
      </c>
      <c r="W21" s="12" t="str">
        <f t="shared" si="1"/>
        <v>Japan</v>
      </c>
      <c r="X21" s="12" t="str">
        <f t="shared" si="1"/>
        <v>LatAm</v>
      </c>
      <c r="Y21" s="12" t="str">
        <f t="shared" si="1"/>
        <v>MidEast</v>
      </c>
      <c r="Z21" s="12" t="str">
        <f t="shared" si="1"/>
        <v>NorthAm</v>
      </c>
      <c r="AA21" s="12" t="str">
        <f t="shared" si="1"/>
        <v>Norway</v>
      </c>
      <c r="AB21" s="12" t="str">
        <f t="shared" si="1"/>
        <v>Poland</v>
      </c>
      <c r="AC21" s="12" t="str">
        <f t="shared" si="1"/>
        <v>ROW</v>
      </c>
      <c r="AD21" s="12" t="str">
        <f t="shared" si="1"/>
        <v>Russia</v>
      </c>
      <c r="AE21" s="12" t="str">
        <f t="shared" si="1"/>
        <v>SaudiArabia</v>
      </c>
      <c r="AF21" s="12" t="str">
        <f t="shared" si="1"/>
        <v>SouthAfrica</v>
      </c>
      <c r="AG21" s="12" t="str">
        <f t="shared" si="1"/>
        <v>SpainPor</v>
      </c>
      <c r="AH21" s="12" t="str">
        <f t="shared" si="1"/>
        <v>SweFinDen</v>
      </c>
      <c r="AI21" s="12" t="str">
        <f t="shared" si="1"/>
        <v>Switzerland</v>
      </c>
      <c r="AJ21" s="12" t="str">
        <f t="shared" si="1"/>
        <v>Turkey</v>
      </c>
      <c r="AK21" s="12" t="str">
        <f t="shared" si="1"/>
        <v>UK</v>
      </c>
      <c r="AL21" s="12" t="str">
        <f t="shared" si="1"/>
        <v>Ukraine</v>
      </c>
      <c r="AM21" s="12" t="str">
        <f t="shared" si="1"/>
        <v>WestBalkans</v>
      </c>
      <c r="AN21" s="12" t="s">
        <v>330</v>
      </c>
      <c r="AO21" t="s">
        <v>55</v>
      </c>
      <c r="AP21" t="s">
        <v>331</v>
      </c>
      <c r="AQ21" s="12" t="s">
        <v>62</v>
      </c>
      <c r="AR21" s="12" t="s">
        <v>332</v>
      </c>
      <c r="AS21" s="12" t="s">
        <v>29</v>
      </c>
      <c r="AT21" s="12" t="s">
        <v>333</v>
      </c>
    </row>
    <row r="22" spans="1:46">
      <c r="A22" s="14">
        <v>0.95</v>
      </c>
      <c r="B22" t="str">
        <f>"UCE_utilization_"&amp;C2&amp;"_"&amp;C22</f>
        <v>UCE_utilization_bioenergy_LO</v>
      </c>
      <c r="C22" t="s">
        <v>334</v>
      </c>
      <c r="D22" s="15">
        <v>2023</v>
      </c>
      <c r="E22" s="12">
        <f>IF(E2="","",-MIN(E2,0.8)*$A22)</f>
        <v>-3.1350000000000003E-2</v>
      </c>
      <c r="F22" s="12">
        <f t="shared" ref="F22:AM26" si="2">IF(F2="","",-MIN(F2,0.8)*$A22)</f>
        <v>-0.25269999999999998</v>
      </c>
      <c r="G22" s="12">
        <f t="shared" si="2"/>
        <v>-0.38569999999999999</v>
      </c>
      <c r="H22" s="12">
        <f t="shared" si="2"/>
        <v>-0.40755000000000002</v>
      </c>
      <c r="I22" s="12">
        <f t="shared" si="2"/>
        <v>-0.5282</v>
      </c>
      <c r="J22" s="12">
        <f t="shared" si="2"/>
        <v>-0.76</v>
      </c>
      <c r="K22" s="12">
        <f t="shared" si="2"/>
        <v>-0.34484999999999999</v>
      </c>
      <c r="L22" s="12">
        <f t="shared" si="2"/>
        <v>-0.76</v>
      </c>
      <c r="M22" s="12">
        <f t="shared" si="2"/>
        <v>-0.55859999999999999</v>
      </c>
      <c r="N22" s="12">
        <f t="shared" si="2"/>
        <v>-0.66690000000000005</v>
      </c>
      <c r="O22" s="12">
        <f t="shared" si="2"/>
        <v>-0.66025</v>
      </c>
      <c r="P22" s="12">
        <f t="shared" si="2"/>
        <v>-0.55954999999999999</v>
      </c>
      <c r="Q22" s="12">
        <f t="shared" si="2"/>
        <v>-0.48830000000000001</v>
      </c>
      <c r="R22" s="12">
        <f t="shared" si="2"/>
        <v>-0.64315</v>
      </c>
      <c r="S22" s="12" t="str">
        <f t="shared" si="2"/>
        <v/>
      </c>
      <c r="T22" s="12">
        <f t="shared" si="2"/>
        <v>-0.38664999999999999</v>
      </c>
      <c r="U22" s="12">
        <f t="shared" si="2"/>
        <v>-0.76</v>
      </c>
      <c r="V22" s="12">
        <f t="shared" si="2"/>
        <v>-0.59279999999999999</v>
      </c>
      <c r="W22" s="12">
        <f t="shared" si="2"/>
        <v>-0.76</v>
      </c>
      <c r="X22" s="12">
        <f t="shared" si="2"/>
        <v>-0.43890000000000001</v>
      </c>
      <c r="Y22" s="12">
        <f t="shared" si="2"/>
        <v>-0.76</v>
      </c>
      <c r="Z22" s="12">
        <f t="shared" si="2"/>
        <v>-0.51964999999999995</v>
      </c>
      <c r="AA22" s="12">
        <f t="shared" si="2"/>
        <v>-0.76</v>
      </c>
      <c r="AB22" s="12">
        <f t="shared" si="2"/>
        <v>-0.74099999999999999</v>
      </c>
      <c r="AC22" s="12">
        <f t="shared" si="2"/>
        <v>-0.53580000000000005</v>
      </c>
      <c r="AD22" s="12">
        <f t="shared" si="2"/>
        <v>-6.7449999999999996E-2</v>
      </c>
      <c r="AE22" s="12" t="str">
        <f t="shared" si="2"/>
        <v/>
      </c>
      <c r="AF22" s="12">
        <f t="shared" si="2"/>
        <v>-0.17100000000000001</v>
      </c>
      <c r="AG22" s="12">
        <f t="shared" si="2"/>
        <v>-0.57379999999999998</v>
      </c>
      <c r="AH22" s="12">
        <f t="shared" si="2"/>
        <v>-0.36575000000000002</v>
      </c>
      <c r="AI22" s="12">
        <f t="shared" si="2"/>
        <v>-0.76</v>
      </c>
      <c r="AJ22" s="12">
        <f t="shared" si="2"/>
        <v>-0.45695000000000002</v>
      </c>
      <c r="AK22" s="12">
        <f t="shared" si="2"/>
        <v>-0.55005000000000004</v>
      </c>
      <c r="AL22" s="12">
        <f t="shared" si="2"/>
        <v>-0.16245000000000001</v>
      </c>
      <c r="AM22" s="12">
        <f t="shared" si="2"/>
        <v>-0.60704999999999998</v>
      </c>
      <c r="AN22" s="16">
        <f>1/31.536</f>
        <v>3.1709791983764599E-2</v>
      </c>
      <c r="AO22" t="s">
        <v>65</v>
      </c>
      <c r="AP22" t="str">
        <f>B2</f>
        <v>elcbsl,indbio</v>
      </c>
      <c r="AQ22">
        <v>2</v>
      </c>
      <c r="AR22" s="40" t="s">
        <v>335</v>
      </c>
    </row>
    <row r="23" spans="1:46">
      <c r="A23" s="17">
        <v>0.8</v>
      </c>
      <c r="B23" t="str">
        <f t="shared" ref="B23:B26" si="3">"UCE_utilization_"&amp;C3&amp;"_"&amp;C23</f>
        <v>UCE_utilization_coal_LO</v>
      </c>
      <c r="C23" t="s">
        <v>334</v>
      </c>
      <c r="D23" s="15">
        <f>D22</f>
        <v>2023</v>
      </c>
      <c r="E23" s="12">
        <f t="shared" ref="E23:T26" si="4">IF(E3="","",-MIN(E3,0.8)*$A23)</f>
        <v>-0.58640000000000003</v>
      </c>
      <c r="F23" s="12">
        <f t="shared" si="4"/>
        <v>0</v>
      </c>
      <c r="G23" s="12">
        <f t="shared" si="4"/>
        <v>-0.50160000000000005</v>
      </c>
      <c r="H23" s="12">
        <f t="shared" si="4"/>
        <v>-0.64</v>
      </c>
      <c r="I23" s="12" t="str">
        <f t="shared" si="4"/>
        <v/>
      </c>
      <c r="J23" s="12">
        <f t="shared" si="4"/>
        <v>-0.22239999999999999</v>
      </c>
      <c r="K23" s="12">
        <f t="shared" si="4"/>
        <v>-0.40720000000000001</v>
      </c>
      <c r="L23" s="12">
        <f t="shared" si="4"/>
        <v>-0.46079999999999999</v>
      </c>
      <c r="M23" s="12">
        <f t="shared" si="4"/>
        <v>-0.2944</v>
      </c>
      <c r="N23" s="12">
        <f t="shared" si="4"/>
        <v>-0.36559999999999998</v>
      </c>
      <c r="O23" s="12">
        <f t="shared" si="4"/>
        <v>-7.8399999999999997E-2</v>
      </c>
      <c r="P23" s="12">
        <f t="shared" si="4"/>
        <v>-0.30559999999999998</v>
      </c>
      <c r="Q23" s="12">
        <f t="shared" si="4"/>
        <v>-0.14960000000000001</v>
      </c>
      <c r="R23" s="12">
        <f t="shared" si="4"/>
        <v>-0.22159999999999999</v>
      </c>
      <c r="S23" s="12" t="str">
        <f t="shared" si="4"/>
        <v/>
      </c>
      <c r="T23" s="12">
        <f t="shared" si="4"/>
        <v>-0.56559999999999999</v>
      </c>
      <c r="U23" s="12">
        <f t="shared" si="2"/>
        <v>-0.1056</v>
      </c>
      <c r="V23" s="12">
        <f t="shared" si="2"/>
        <v>-0.2056</v>
      </c>
      <c r="W23" s="12">
        <f t="shared" si="2"/>
        <v>-0.53920000000000001</v>
      </c>
      <c r="X23" s="12">
        <f t="shared" si="2"/>
        <v>-0.39839999999999998</v>
      </c>
      <c r="Y23" s="12">
        <f t="shared" si="2"/>
        <v>-0.64</v>
      </c>
      <c r="Z23" s="12">
        <f t="shared" si="2"/>
        <v>-0.316</v>
      </c>
      <c r="AA23" s="12">
        <f t="shared" si="2"/>
        <v>-0.64</v>
      </c>
      <c r="AB23" s="12">
        <f t="shared" si="2"/>
        <v>-0.3296</v>
      </c>
      <c r="AC23" s="12">
        <f t="shared" si="2"/>
        <v>-0.45200000000000001</v>
      </c>
      <c r="AD23" s="12">
        <f t="shared" si="2"/>
        <v>-0.50960000000000005</v>
      </c>
      <c r="AE23" s="12" t="str">
        <f t="shared" si="2"/>
        <v/>
      </c>
      <c r="AF23" s="12">
        <f t="shared" si="2"/>
        <v>-0.37919999999999998</v>
      </c>
      <c r="AG23" s="12">
        <f t="shared" si="2"/>
        <v>-0.1208</v>
      </c>
      <c r="AH23" s="12">
        <f t="shared" si="2"/>
        <v>-0.1328</v>
      </c>
      <c r="AI23" s="12" t="str">
        <f t="shared" si="2"/>
        <v/>
      </c>
      <c r="AJ23" s="12">
        <f t="shared" si="2"/>
        <v>-0.51680000000000004</v>
      </c>
      <c r="AK23" s="12">
        <f t="shared" si="2"/>
        <v>-0.1472</v>
      </c>
      <c r="AL23" s="12">
        <f t="shared" si="2"/>
        <v>0</v>
      </c>
      <c r="AM23" s="12">
        <f t="shared" si="2"/>
        <v>-0.47199999999999998</v>
      </c>
      <c r="AN23" s="16">
        <f t="shared" ref="AN23:AN31" si="5">1/31.536</f>
        <v>3.1709791983764599E-2</v>
      </c>
      <c r="AO23" t="s">
        <v>65</v>
      </c>
      <c r="AP23" t="str">
        <f>B3</f>
        <v>???coa,elccob</v>
      </c>
      <c r="AQ23">
        <v>2</v>
      </c>
      <c r="AR23" s="40" t="s">
        <v>335</v>
      </c>
    </row>
    <row r="24" spans="1:46">
      <c r="A24" s="14">
        <v>0.95</v>
      </c>
      <c r="B24" t="str">
        <f t="shared" si="3"/>
        <v>UCE_utilization_gas_LO</v>
      </c>
      <c r="C24" t="s">
        <v>334</v>
      </c>
      <c r="D24" s="15">
        <f t="shared" ref="D24:D31" si="6">D23</f>
        <v>2023</v>
      </c>
      <c r="E24" s="12">
        <f t="shared" si="4"/>
        <v>-0.36764999999999998</v>
      </c>
      <c r="F24" s="12">
        <f t="shared" si="2"/>
        <v>-0.31064999999999998</v>
      </c>
      <c r="G24" s="12">
        <f t="shared" si="2"/>
        <v>-0.18715000000000001</v>
      </c>
      <c r="H24" s="12">
        <f t="shared" si="2"/>
        <v>-0.15010000000000001</v>
      </c>
      <c r="I24" s="12">
        <f t="shared" si="2"/>
        <v>-7.3150000000000007E-2</v>
      </c>
      <c r="J24" s="12">
        <f t="shared" si="2"/>
        <v>-0.2964</v>
      </c>
      <c r="K24" s="12">
        <f t="shared" si="2"/>
        <v>-0.22040000000000001</v>
      </c>
      <c r="L24" s="12">
        <f t="shared" si="2"/>
        <v>-0.24604999999999999</v>
      </c>
      <c r="M24" s="12">
        <f t="shared" si="2"/>
        <v>-0.65359999999999996</v>
      </c>
      <c r="N24" s="12">
        <f t="shared" si="2"/>
        <v>-0.13775000000000001</v>
      </c>
      <c r="O24" s="12">
        <f t="shared" si="2"/>
        <v>-0.18429999999999999</v>
      </c>
      <c r="P24" s="12">
        <f t="shared" si="2"/>
        <v>-0.24795</v>
      </c>
      <c r="Q24" s="12">
        <f t="shared" si="2"/>
        <v>-0.26884999999999998</v>
      </c>
      <c r="R24" s="12">
        <f t="shared" si="2"/>
        <v>-0.18905</v>
      </c>
      <c r="S24" s="12" t="str">
        <f t="shared" si="2"/>
        <v/>
      </c>
      <c r="T24" s="12">
        <f t="shared" si="2"/>
        <v>-0.17574999999999999</v>
      </c>
      <c r="U24" s="12">
        <f t="shared" si="2"/>
        <v>-0.39045000000000002</v>
      </c>
      <c r="V24" s="12">
        <f t="shared" si="2"/>
        <v>-0.2261</v>
      </c>
      <c r="W24" s="12">
        <f t="shared" si="2"/>
        <v>-0.44174999999999998</v>
      </c>
      <c r="X24" s="12">
        <f t="shared" si="2"/>
        <v>-0.38</v>
      </c>
      <c r="Y24" s="12">
        <f t="shared" si="2"/>
        <v>-0.41515000000000002</v>
      </c>
      <c r="Z24" s="12">
        <f t="shared" si="2"/>
        <v>-0.37335000000000002</v>
      </c>
      <c r="AA24" s="12">
        <f t="shared" si="2"/>
        <v>-0.24984999999999999</v>
      </c>
      <c r="AB24" s="12">
        <f t="shared" si="2"/>
        <v>-0.45789999999999997</v>
      </c>
      <c r="AC24" s="12">
        <f t="shared" si="2"/>
        <v>-0.43414999999999998</v>
      </c>
      <c r="AD24" s="12">
        <f t="shared" si="2"/>
        <v>-0.51014999999999999</v>
      </c>
      <c r="AE24" s="12">
        <f t="shared" si="2"/>
        <v>-0.41039999999999999</v>
      </c>
      <c r="AF24" s="12">
        <f t="shared" si="2"/>
        <v>0</v>
      </c>
      <c r="AG24" s="12">
        <f t="shared" si="2"/>
        <v>-0.25555</v>
      </c>
      <c r="AH24" s="12">
        <f t="shared" si="2"/>
        <v>-4.5600000000000002E-2</v>
      </c>
      <c r="AI24" s="12">
        <f t="shared" si="2"/>
        <v>-0.2356</v>
      </c>
      <c r="AJ24" s="12">
        <f t="shared" si="2"/>
        <v>-0.26124999999999998</v>
      </c>
      <c r="AK24" s="12">
        <f t="shared" si="2"/>
        <v>-0.28594999999999998</v>
      </c>
      <c r="AL24" s="12">
        <f t="shared" si="2"/>
        <v>-0.47025</v>
      </c>
      <c r="AM24" s="12">
        <f t="shared" si="2"/>
        <v>-0.24890000000000001</v>
      </c>
      <c r="AN24" s="16">
        <f t="shared" si="5"/>
        <v>3.1709791983764599E-2</v>
      </c>
      <c r="AO24" t="s">
        <v>65</v>
      </c>
      <c r="AP24" t="str">
        <f>B4</f>
        <v>???nga</v>
      </c>
      <c r="AQ24">
        <v>2</v>
      </c>
      <c r="AR24" s="40" t="s">
        <v>335</v>
      </c>
      <c r="AS24" s="40" t="s">
        <v>336</v>
      </c>
      <c r="AT24" t="s">
        <v>337</v>
      </c>
    </row>
    <row r="25" spans="1:46">
      <c r="A25" s="14">
        <v>0.95</v>
      </c>
      <c r="B25" t="str">
        <f t="shared" si="3"/>
        <v>UCE_utilization_nuclear_LO</v>
      </c>
      <c r="C25" t="s">
        <v>334</v>
      </c>
      <c r="D25" s="15">
        <f t="shared" si="6"/>
        <v>2023</v>
      </c>
      <c r="E25" s="12" t="str">
        <f t="shared" si="4"/>
        <v/>
      </c>
      <c r="F25" s="12" t="str">
        <f t="shared" si="2"/>
        <v/>
      </c>
      <c r="G25" s="12" t="str">
        <f t="shared" si="2"/>
        <v/>
      </c>
      <c r="H25" s="12" t="str">
        <f t="shared" si="2"/>
        <v/>
      </c>
      <c r="I25" s="12" t="str">
        <f t="shared" si="2"/>
        <v/>
      </c>
      <c r="J25" s="12">
        <f t="shared" si="2"/>
        <v>-0.76</v>
      </c>
      <c r="K25" s="12">
        <f t="shared" si="2"/>
        <v>-0.76</v>
      </c>
      <c r="L25" s="12">
        <f t="shared" si="2"/>
        <v>-0.76</v>
      </c>
      <c r="M25" s="12">
        <f t="shared" si="2"/>
        <v>-0.76</v>
      </c>
      <c r="N25" s="12">
        <f t="shared" si="2"/>
        <v>-0.76</v>
      </c>
      <c r="O25" s="12">
        <f t="shared" si="2"/>
        <v>-0.59279999999999999</v>
      </c>
      <c r="P25" s="12">
        <f t="shared" si="2"/>
        <v>-0.76</v>
      </c>
      <c r="Q25" s="12" t="str">
        <f t="shared" si="2"/>
        <v/>
      </c>
      <c r="R25" s="12">
        <f t="shared" si="2"/>
        <v>-0.76</v>
      </c>
      <c r="S25" s="12" t="str">
        <f t="shared" si="2"/>
        <v/>
      </c>
      <c r="T25" s="12">
        <f t="shared" si="2"/>
        <v>-0.69920000000000004</v>
      </c>
      <c r="U25" s="12" t="str">
        <f t="shared" si="2"/>
        <v/>
      </c>
      <c r="V25" s="12" t="str">
        <f t="shared" si="2"/>
        <v/>
      </c>
      <c r="W25" s="12">
        <f t="shared" si="2"/>
        <v>-0.25364999999999999</v>
      </c>
      <c r="X25" s="12">
        <f t="shared" si="2"/>
        <v>-0.55479999999999996</v>
      </c>
      <c r="Y25" s="12">
        <f t="shared" si="2"/>
        <v>-0.76</v>
      </c>
      <c r="Z25" s="12">
        <f t="shared" si="2"/>
        <v>-0.76</v>
      </c>
      <c r="AA25" s="12" t="str">
        <f t="shared" si="2"/>
        <v/>
      </c>
      <c r="AB25" s="12" t="str">
        <f t="shared" si="2"/>
        <v/>
      </c>
      <c r="AC25" s="12">
        <f t="shared" si="2"/>
        <v>-0.76</v>
      </c>
      <c r="AD25" s="12">
        <f t="shared" si="2"/>
        <v>-0.76</v>
      </c>
      <c r="AE25" s="12" t="str">
        <f t="shared" si="2"/>
        <v/>
      </c>
      <c r="AF25" s="12">
        <f t="shared" si="2"/>
        <v>-0.49969999999999998</v>
      </c>
      <c r="AG25" s="12">
        <f t="shared" si="2"/>
        <v>-0.76</v>
      </c>
      <c r="AH25" s="12">
        <f t="shared" si="2"/>
        <v>-0.76</v>
      </c>
      <c r="AI25" s="12">
        <f t="shared" si="2"/>
        <v>-0.76</v>
      </c>
      <c r="AJ25" s="12" t="str">
        <f t="shared" si="2"/>
        <v/>
      </c>
      <c r="AK25" s="12">
        <f t="shared" si="2"/>
        <v>-0.75144999999999995</v>
      </c>
      <c r="AL25" s="12" t="str">
        <f t="shared" si="2"/>
        <v/>
      </c>
      <c r="AM25" s="12" t="str">
        <f t="shared" si="2"/>
        <v/>
      </c>
      <c r="AN25" s="16">
        <f t="shared" si="5"/>
        <v>3.1709791983764599E-2</v>
      </c>
      <c r="AO25" t="s">
        <v>65</v>
      </c>
      <c r="AP25" t="str">
        <f>B5</f>
        <v>???nuc</v>
      </c>
      <c r="AQ25">
        <v>2</v>
      </c>
      <c r="AR25" s="40" t="s">
        <v>335</v>
      </c>
    </row>
    <row r="26" spans="1:46">
      <c r="A26" s="14">
        <v>0.95</v>
      </c>
      <c r="B26" t="str">
        <f t="shared" si="3"/>
        <v>UCE_utilization_oil_\I: LO</v>
      </c>
      <c r="C26" t="s">
        <v>338</v>
      </c>
      <c r="D26" s="15">
        <f t="shared" si="6"/>
        <v>2023</v>
      </c>
      <c r="E26" s="12">
        <f t="shared" si="4"/>
        <v>-0.76</v>
      </c>
      <c r="F26" s="12">
        <f t="shared" si="2"/>
        <v>-0.13869999999999999</v>
      </c>
      <c r="G26" s="12">
        <f t="shared" si="2"/>
        <v>-0.24890000000000001</v>
      </c>
      <c r="H26" s="12">
        <f t="shared" si="2"/>
        <v>-0.54435</v>
      </c>
      <c r="I26" s="12">
        <f t="shared" si="2"/>
        <v>-0.35054999999999997</v>
      </c>
      <c r="J26" s="12">
        <f t="shared" si="2"/>
        <v>-0.76</v>
      </c>
      <c r="K26" s="12">
        <f t="shared" si="2"/>
        <v>-0.15770000000000001</v>
      </c>
      <c r="L26" s="12">
        <f t="shared" si="2"/>
        <v>-0.55289999999999995</v>
      </c>
      <c r="M26" s="12">
        <f t="shared" si="2"/>
        <v>-1.6150000000000001E-2</v>
      </c>
      <c r="N26" s="12">
        <f t="shared" si="2"/>
        <v>-0.76</v>
      </c>
      <c r="O26" s="12">
        <f t="shared" si="2"/>
        <v>-0.54244999999999999</v>
      </c>
      <c r="P26" s="12">
        <f t="shared" si="2"/>
        <v>-0.76</v>
      </c>
      <c r="Q26" s="12">
        <f t="shared" si="2"/>
        <v>-0.2964</v>
      </c>
      <c r="R26" s="12">
        <f t="shared" si="2"/>
        <v>-8.3599999999999994E-2</v>
      </c>
      <c r="S26" s="12" t="str">
        <f t="shared" si="2"/>
        <v/>
      </c>
      <c r="T26" s="12">
        <f t="shared" ref="T26:AM26" si="7">IF(T6="","",-MIN(T6,0.8)*$A26)</f>
        <v>-2.47E-2</v>
      </c>
      <c r="U26" s="12">
        <f t="shared" si="7"/>
        <v>-0.10545</v>
      </c>
      <c r="V26" s="12">
        <f t="shared" si="7"/>
        <v>-0.76</v>
      </c>
      <c r="W26" s="12">
        <f t="shared" si="7"/>
        <v>-0.18429999999999999</v>
      </c>
      <c r="X26" s="12">
        <f t="shared" si="7"/>
        <v>-0.20995</v>
      </c>
      <c r="Y26" s="12">
        <f t="shared" si="7"/>
        <v>-0.76</v>
      </c>
      <c r="Z26" s="12">
        <f t="shared" si="7"/>
        <v>-0.12825</v>
      </c>
      <c r="AA26" s="12">
        <f t="shared" si="7"/>
        <v>-0.68400000000000005</v>
      </c>
      <c r="AB26" s="12">
        <f t="shared" si="7"/>
        <v>-0.76</v>
      </c>
      <c r="AC26" s="12">
        <f t="shared" si="7"/>
        <v>-0.19</v>
      </c>
      <c r="AD26" s="12">
        <f t="shared" si="7"/>
        <v>-0.76</v>
      </c>
      <c r="AE26" s="12">
        <f t="shared" si="7"/>
        <v>-0.60799999999999998</v>
      </c>
      <c r="AF26" s="12">
        <f t="shared" si="7"/>
        <v>-0.21945000000000001</v>
      </c>
      <c r="AG26" s="12">
        <f t="shared" si="7"/>
        <v>-0.3553</v>
      </c>
      <c r="AH26" s="12">
        <f t="shared" si="7"/>
        <v>-9.5000000000000001E-2</v>
      </c>
      <c r="AI26" s="12">
        <f t="shared" si="7"/>
        <v>-0.26505000000000001</v>
      </c>
      <c r="AJ26" s="12">
        <f t="shared" si="7"/>
        <v>-0.15484999999999999</v>
      </c>
      <c r="AK26" s="12">
        <f t="shared" si="7"/>
        <v>-0.40375</v>
      </c>
      <c r="AL26" s="12">
        <f t="shared" si="7"/>
        <v>-0.76</v>
      </c>
      <c r="AM26" s="12">
        <f t="shared" si="7"/>
        <v>-0.76</v>
      </c>
      <c r="AN26" s="16">
        <f t="shared" si="5"/>
        <v>3.1709791983764599E-2</v>
      </c>
      <c r="AO26" t="s">
        <v>65</v>
      </c>
      <c r="AP26" t="str">
        <f>B6</f>
        <v>???oil*</v>
      </c>
      <c r="AQ26">
        <v>2</v>
      </c>
      <c r="AR26" s="40" t="s">
        <v>335</v>
      </c>
    </row>
    <row r="27" spans="1:46">
      <c r="A27" s="14">
        <v>1.05</v>
      </c>
      <c r="B27" t="str">
        <f>"UCE_utilization_"&amp;C2&amp;"_"&amp;C27</f>
        <v>UCE_utilization_bioenergy_UP</v>
      </c>
      <c r="C27" t="s">
        <v>339</v>
      </c>
      <c r="D27" s="15">
        <f t="shared" si="6"/>
        <v>2023</v>
      </c>
      <c r="E27" s="12">
        <f>IF(E2="","",-E2*$A27)</f>
        <v>-3.465E-2</v>
      </c>
      <c r="F27" s="12">
        <f>IF(F2="","",-F2*$A27)</f>
        <v>-0.27929999999999999</v>
      </c>
      <c r="G27" s="12">
        <f t="shared" ref="G27:AM30" si="8">IF(G2="","",-G2*$A27)</f>
        <v>-0.42630000000000001</v>
      </c>
      <c r="H27" s="12">
        <f t="shared" si="8"/>
        <v>-0.45045000000000002</v>
      </c>
      <c r="I27" s="12">
        <f t="shared" si="8"/>
        <v>-0.58379999999999999</v>
      </c>
      <c r="J27" s="12">
        <f t="shared" si="8"/>
        <v>-0.99750000000000005</v>
      </c>
      <c r="K27" s="12">
        <f t="shared" si="8"/>
        <v>-0.38114999999999999</v>
      </c>
      <c r="L27" s="12">
        <f t="shared" si="8"/>
        <v>-0.99750000000000005</v>
      </c>
      <c r="M27" s="12">
        <f t="shared" si="8"/>
        <v>-0.61739999999999995</v>
      </c>
      <c r="N27" s="12">
        <f t="shared" si="8"/>
        <v>-0.73709999999999998</v>
      </c>
      <c r="O27" s="12">
        <f t="shared" si="8"/>
        <v>-0.72975000000000001</v>
      </c>
      <c r="P27" s="12">
        <f t="shared" si="8"/>
        <v>-0.61845000000000006</v>
      </c>
      <c r="Q27" s="12">
        <f t="shared" si="8"/>
        <v>-0.53969999999999996</v>
      </c>
      <c r="R27" s="12">
        <f t="shared" si="8"/>
        <v>-0.71084999999999998</v>
      </c>
      <c r="S27" s="12" t="str">
        <f t="shared" si="8"/>
        <v/>
      </c>
      <c r="T27" s="12">
        <f t="shared" si="8"/>
        <v>-0.42735000000000001</v>
      </c>
      <c r="U27" s="12">
        <f t="shared" si="8"/>
        <v>-0.99750000000000005</v>
      </c>
      <c r="V27" s="12">
        <f t="shared" si="8"/>
        <v>-0.6552</v>
      </c>
      <c r="W27" s="12">
        <f t="shared" si="8"/>
        <v>-0.94079999999999997</v>
      </c>
      <c r="X27" s="12">
        <f t="shared" si="8"/>
        <v>-0.48509999999999998</v>
      </c>
      <c r="Y27" s="12">
        <f t="shared" si="8"/>
        <v>-0.99750000000000005</v>
      </c>
      <c r="Z27" s="12">
        <f t="shared" si="8"/>
        <v>-0.57435000000000003</v>
      </c>
      <c r="AA27" s="12">
        <f t="shared" si="8"/>
        <v>-0.95865</v>
      </c>
      <c r="AB27" s="12">
        <f t="shared" si="8"/>
        <v>-0.81899999999999995</v>
      </c>
      <c r="AC27" s="12">
        <f t="shared" si="8"/>
        <v>-0.59219999999999995</v>
      </c>
      <c r="AD27" s="12">
        <f t="shared" si="8"/>
        <v>-7.4550000000000005E-2</v>
      </c>
      <c r="AE27" s="12" t="str">
        <f t="shared" si="8"/>
        <v/>
      </c>
      <c r="AF27" s="12">
        <f t="shared" si="8"/>
        <v>-0.189</v>
      </c>
      <c r="AG27" s="12">
        <f t="shared" si="8"/>
        <v>-0.63419999999999999</v>
      </c>
      <c r="AH27" s="12">
        <f t="shared" si="8"/>
        <v>-0.40425</v>
      </c>
      <c r="AI27" s="12">
        <f t="shared" si="8"/>
        <v>-0.99750000000000005</v>
      </c>
      <c r="AJ27" s="12">
        <f t="shared" si="8"/>
        <v>-0.50505</v>
      </c>
      <c r="AK27" s="12">
        <f t="shared" si="8"/>
        <v>-0.60794999999999999</v>
      </c>
      <c r="AL27" s="12">
        <f t="shared" si="8"/>
        <v>-0.17954999999999999</v>
      </c>
      <c r="AM27" s="12">
        <f t="shared" si="8"/>
        <v>-0.67095000000000005</v>
      </c>
      <c r="AN27" s="16">
        <f t="shared" si="5"/>
        <v>3.1709791983764599E-2</v>
      </c>
      <c r="AO27" t="s">
        <v>65</v>
      </c>
      <c r="AP27" t="str">
        <f>AP22</f>
        <v>elcbsl,indbio</v>
      </c>
      <c r="AQ27">
        <v>2</v>
      </c>
      <c r="AR27" s="40" t="s">
        <v>335</v>
      </c>
    </row>
    <row r="28" spans="1:46">
      <c r="A28" s="14">
        <v>1.05</v>
      </c>
      <c r="B28" t="str">
        <f t="shared" ref="B28:B31" si="9">"UCE_utilization_"&amp;C3&amp;"_"&amp;C28</f>
        <v>UCE_utilization_coal_UP</v>
      </c>
      <c r="C28" t="s">
        <v>339</v>
      </c>
      <c r="D28" s="15">
        <f t="shared" si="6"/>
        <v>2023</v>
      </c>
      <c r="E28" s="12">
        <f t="shared" ref="E28:T31" si="10">IF(E3="","",-E3*$A28)</f>
        <v>-0.76964999999999995</v>
      </c>
      <c r="F28" s="12">
        <f t="shared" si="10"/>
        <v>0</v>
      </c>
      <c r="G28" s="12">
        <f t="shared" si="8"/>
        <v>-0.65834999999999999</v>
      </c>
      <c r="H28" s="12">
        <f t="shared" si="8"/>
        <v>-0.99750000000000005</v>
      </c>
      <c r="I28" s="12" t="str">
        <f t="shared" si="8"/>
        <v/>
      </c>
      <c r="J28" s="12">
        <f t="shared" si="8"/>
        <v>-0.29189999999999999</v>
      </c>
      <c r="K28" s="12">
        <f t="shared" si="8"/>
        <v>-0.53444999999999998</v>
      </c>
      <c r="L28" s="12">
        <f t="shared" si="8"/>
        <v>-0.6048</v>
      </c>
      <c r="M28" s="12">
        <f t="shared" si="8"/>
        <v>-0.38640000000000002</v>
      </c>
      <c r="N28" s="12">
        <f t="shared" si="8"/>
        <v>-0.47985</v>
      </c>
      <c r="O28" s="12">
        <f t="shared" si="8"/>
        <v>-0.10290000000000001</v>
      </c>
      <c r="P28" s="12">
        <f t="shared" si="8"/>
        <v>-0.40110000000000001</v>
      </c>
      <c r="Q28" s="12">
        <f t="shared" si="8"/>
        <v>-0.19635</v>
      </c>
      <c r="R28" s="12">
        <f t="shared" si="8"/>
        <v>-0.29085</v>
      </c>
      <c r="S28" s="12" t="str">
        <f t="shared" si="8"/>
        <v/>
      </c>
      <c r="T28" s="12">
        <f t="shared" si="8"/>
        <v>-0.74234999999999995</v>
      </c>
      <c r="U28" s="12">
        <f t="shared" si="8"/>
        <v>-0.1386</v>
      </c>
      <c r="V28" s="12">
        <f t="shared" si="8"/>
        <v>-0.26984999999999998</v>
      </c>
      <c r="W28" s="12">
        <f t="shared" si="8"/>
        <v>-0.7077</v>
      </c>
      <c r="X28" s="12">
        <f t="shared" si="8"/>
        <v>-0.52290000000000003</v>
      </c>
      <c r="Y28" s="12">
        <f t="shared" si="8"/>
        <v>-0.99750000000000005</v>
      </c>
      <c r="Z28" s="12">
        <f t="shared" si="8"/>
        <v>-0.41475000000000001</v>
      </c>
      <c r="AA28" s="12">
        <f t="shared" si="8"/>
        <v>-0.99750000000000005</v>
      </c>
      <c r="AB28" s="12">
        <f t="shared" si="8"/>
        <v>-0.43259999999999998</v>
      </c>
      <c r="AC28" s="12">
        <f t="shared" si="8"/>
        <v>-0.59325000000000006</v>
      </c>
      <c r="AD28" s="12">
        <f t="shared" si="8"/>
        <v>-0.66884999999999994</v>
      </c>
      <c r="AE28" s="12" t="str">
        <f t="shared" si="8"/>
        <v/>
      </c>
      <c r="AF28" s="12">
        <f t="shared" si="8"/>
        <v>-0.49769999999999998</v>
      </c>
      <c r="AG28" s="12">
        <f t="shared" si="8"/>
        <v>-0.15855</v>
      </c>
      <c r="AH28" s="12">
        <f t="shared" si="8"/>
        <v>-0.17430000000000001</v>
      </c>
      <c r="AI28" s="12" t="str">
        <f t="shared" si="8"/>
        <v/>
      </c>
      <c r="AJ28" s="12">
        <f t="shared" si="8"/>
        <v>-0.67830000000000001</v>
      </c>
      <c r="AK28" s="12">
        <f t="shared" si="8"/>
        <v>-0.19320000000000001</v>
      </c>
      <c r="AL28" s="12">
        <f t="shared" si="8"/>
        <v>0</v>
      </c>
      <c r="AM28" s="12">
        <f t="shared" si="8"/>
        <v>-0.61950000000000005</v>
      </c>
      <c r="AN28" s="16">
        <f t="shared" si="5"/>
        <v>3.1709791983764599E-2</v>
      </c>
      <c r="AO28" t="s">
        <v>65</v>
      </c>
      <c r="AP28" t="str">
        <f t="shared" ref="AP28:AP31" si="11">AP23</f>
        <v>???coa,elccob</v>
      </c>
      <c r="AQ28">
        <v>2</v>
      </c>
      <c r="AR28" s="40" t="s">
        <v>335</v>
      </c>
    </row>
    <row r="29" spans="1:46">
      <c r="A29" s="14">
        <v>1.05</v>
      </c>
      <c r="B29" t="str">
        <f t="shared" si="9"/>
        <v>UCE_utilization_gas_UP</v>
      </c>
      <c r="C29" t="s">
        <v>339</v>
      </c>
      <c r="D29" s="15">
        <f t="shared" si="6"/>
        <v>2023</v>
      </c>
      <c r="E29" s="12">
        <f t="shared" si="10"/>
        <v>-0.40634999999999999</v>
      </c>
      <c r="F29" s="12">
        <f t="shared" si="10"/>
        <v>-0.34334999999999999</v>
      </c>
      <c r="G29" s="12">
        <f t="shared" si="8"/>
        <v>-0.20685000000000001</v>
      </c>
      <c r="H29" s="12">
        <f t="shared" si="8"/>
        <v>-0.16589999999999999</v>
      </c>
      <c r="I29" s="12">
        <f t="shared" si="8"/>
        <v>-8.0850000000000005E-2</v>
      </c>
      <c r="J29" s="12">
        <f t="shared" si="8"/>
        <v>-0.3276</v>
      </c>
      <c r="K29" s="12">
        <f t="shared" si="8"/>
        <v>-0.24360000000000001</v>
      </c>
      <c r="L29" s="12">
        <f t="shared" si="8"/>
        <v>-0.27195000000000003</v>
      </c>
      <c r="M29" s="12">
        <f t="shared" si="8"/>
        <v>-0.72240000000000004</v>
      </c>
      <c r="N29" s="12">
        <f t="shared" si="8"/>
        <v>-0.15225</v>
      </c>
      <c r="O29" s="12">
        <f t="shared" si="8"/>
        <v>-0.20369999999999999</v>
      </c>
      <c r="P29" s="12">
        <f t="shared" si="8"/>
        <v>-0.27405000000000002</v>
      </c>
      <c r="Q29" s="12">
        <f t="shared" si="8"/>
        <v>-0.29715000000000003</v>
      </c>
      <c r="R29" s="12">
        <f t="shared" si="8"/>
        <v>-0.20895</v>
      </c>
      <c r="S29" s="12" t="str">
        <f t="shared" si="8"/>
        <v/>
      </c>
      <c r="T29" s="12">
        <f t="shared" si="8"/>
        <v>-0.19425000000000001</v>
      </c>
      <c r="U29" s="12">
        <f t="shared" si="8"/>
        <v>-0.43154999999999999</v>
      </c>
      <c r="V29" s="12">
        <f t="shared" si="8"/>
        <v>-0.24990000000000001</v>
      </c>
      <c r="W29" s="12">
        <f t="shared" si="8"/>
        <v>-0.48825000000000002</v>
      </c>
      <c r="X29" s="12">
        <f t="shared" si="8"/>
        <v>-0.42</v>
      </c>
      <c r="Y29" s="12">
        <f t="shared" si="8"/>
        <v>-0.45884999999999998</v>
      </c>
      <c r="Z29" s="12">
        <f t="shared" si="8"/>
        <v>-0.41265000000000002</v>
      </c>
      <c r="AA29" s="12">
        <f t="shared" si="8"/>
        <v>-0.27615000000000001</v>
      </c>
      <c r="AB29" s="12">
        <f t="shared" si="8"/>
        <v>-0.50609999999999999</v>
      </c>
      <c r="AC29" s="12">
        <f t="shared" si="8"/>
        <v>-0.47985</v>
      </c>
      <c r="AD29" s="12">
        <f t="shared" si="8"/>
        <v>-0.56384999999999996</v>
      </c>
      <c r="AE29" s="12">
        <f t="shared" si="8"/>
        <v>-0.4536</v>
      </c>
      <c r="AF29" s="12">
        <f t="shared" si="8"/>
        <v>0</v>
      </c>
      <c r="AG29" s="12">
        <f t="shared" si="8"/>
        <v>-0.28244999999999998</v>
      </c>
      <c r="AH29" s="12">
        <f t="shared" si="8"/>
        <v>-5.04E-2</v>
      </c>
      <c r="AI29" s="12">
        <f t="shared" si="8"/>
        <v>-0.26040000000000002</v>
      </c>
      <c r="AJ29" s="12">
        <f t="shared" si="8"/>
        <v>-0.28875000000000001</v>
      </c>
      <c r="AK29" s="12">
        <f t="shared" si="8"/>
        <v>-0.31605</v>
      </c>
      <c r="AL29" s="12">
        <f t="shared" si="8"/>
        <v>-0.51975000000000005</v>
      </c>
      <c r="AM29" s="12">
        <f t="shared" si="8"/>
        <v>-0.27510000000000001</v>
      </c>
      <c r="AN29" s="16">
        <f t="shared" si="5"/>
        <v>3.1709791983764599E-2</v>
      </c>
      <c r="AO29" t="s">
        <v>65</v>
      </c>
      <c r="AP29" t="str">
        <f t="shared" si="11"/>
        <v>???nga</v>
      </c>
      <c r="AQ29">
        <v>2</v>
      </c>
      <c r="AR29" s="40" t="s">
        <v>335</v>
      </c>
    </row>
    <row r="30" spans="1:46">
      <c r="A30" s="14">
        <v>1.05</v>
      </c>
      <c r="B30" t="str">
        <f t="shared" si="9"/>
        <v>UCE_utilization_nuclear_UP</v>
      </c>
      <c r="C30" t="s">
        <v>339</v>
      </c>
      <c r="D30" s="15">
        <f t="shared" si="6"/>
        <v>2023</v>
      </c>
      <c r="E30" s="12" t="str">
        <f t="shared" si="10"/>
        <v/>
      </c>
      <c r="F30" s="12" t="str">
        <f t="shared" si="10"/>
        <v/>
      </c>
      <c r="G30" s="12" t="str">
        <f t="shared" si="8"/>
        <v/>
      </c>
      <c r="H30" s="12" t="str">
        <f t="shared" si="8"/>
        <v/>
      </c>
      <c r="I30" s="12" t="str">
        <f t="shared" si="8"/>
        <v/>
      </c>
      <c r="J30" s="12">
        <f t="shared" si="8"/>
        <v>-0.99750000000000005</v>
      </c>
      <c r="K30" s="12">
        <f t="shared" si="8"/>
        <v>-0.87360000000000004</v>
      </c>
      <c r="L30" s="12">
        <f t="shared" si="8"/>
        <v>-0.91559999999999997</v>
      </c>
      <c r="M30" s="12">
        <f t="shared" si="8"/>
        <v>-0.97965000000000002</v>
      </c>
      <c r="N30" s="12">
        <f t="shared" si="8"/>
        <v>-0.92925000000000002</v>
      </c>
      <c r="O30" s="12">
        <f t="shared" si="8"/>
        <v>-0.6552</v>
      </c>
      <c r="P30" s="12">
        <f t="shared" si="8"/>
        <v>-0.99750000000000005</v>
      </c>
      <c r="Q30" s="12" t="str">
        <f t="shared" si="8"/>
        <v/>
      </c>
      <c r="R30" s="12">
        <f t="shared" si="8"/>
        <v>-0.97124999999999995</v>
      </c>
      <c r="S30" s="12" t="str">
        <f t="shared" si="8"/>
        <v/>
      </c>
      <c r="T30" s="12">
        <f t="shared" si="8"/>
        <v>-0.77280000000000004</v>
      </c>
      <c r="U30" s="12" t="str">
        <f t="shared" si="8"/>
        <v/>
      </c>
      <c r="V30" s="12" t="str">
        <f t="shared" si="8"/>
        <v/>
      </c>
      <c r="W30" s="12">
        <f t="shared" si="8"/>
        <v>-0.28034999999999999</v>
      </c>
      <c r="X30" s="12">
        <f t="shared" si="8"/>
        <v>-0.61319999999999997</v>
      </c>
      <c r="Y30" s="12">
        <f t="shared" si="8"/>
        <v>-0.89880000000000004</v>
      </c>
      <c r="Z30" s="12">
        <f t="shared" si="8"/>
        <v>-0.94815000000000005</v>
      </c>
      <c r="AA30" s="12" t="str">
        <f t="shared" si="8"/>
        <v/>
      </c>
      <c r="AB30" s="12" t="str">
        <f t="shared" si="8"/>
        <v/>
      </c>
      <c r="AC30" s="12">
        <f t="shared" si="8"/>
        <v>-0.87675000000000003</v>
      </c>
      <c r="AD30" s="12">
        <f t="shared" si="8"/>
        <v>-0.88200000000000001</v>
      </c>
      <c r="AE30" s="12" t="str">
        <f t="shared" si="8"/>
        <v/>
      </c>
      <c r="AF30" s="12">
        <f t="shared" si="8"/>
        <v>-0.55230000000000001</v>
      </c>
      <c r="AG30" s="12">
        <f t="shared" si="8"/>
        <v>-0.95655000000000001</v>
      </c>
      <c r="AH30" s="12">
        <f t="shared" si="8"/>
        <v>-0.87360000000000004</v>
      </c>
      <c r="AI30" s="12">
        <f t="shared" si="8"/>
        <v>-0.97965000000000002</v>
      </c>
      <c r="AJ30" s="12" t="str">
        <f t="shared" si="8"/>
        <v/>
      </c>
      <c r="AK30" s="12">
        <f t="shared" si="8"/>
        <v>-0.83055000000000001</v>
      </c>
      <c r="AL30" s="12" t="str">
        <f t="shared" si="8"/>
        <v/>
      </c>
      <c r="AM30" s="12" t="str">
        <f t="shared" si="8"/>
        <v/>
      </c>
      <c r="AN30" s="16">
        <f t="shared" si="5"/>
        <v>3.1709791983764599E-2</v>
      </c>
      <c r="AO30" t="s">
        <v>65</v>
      </c>
      <c r="AP30" t="str">
        <f t="shared" si="11"/>
        <v>???nuc</v>
      </c>
      <c r="AQ30">
        <v>2</v>
      </c>
      <c r="AR30" s="40" t="s">
        <v>335</v>
      </c>
    </row>
    <row r="31" spans="1:46">
      <c r="A31" s="14">
        <v>1.05</v>
      </c>
      <c r="B31" t="str">
        <f t="shared" si="9"/>
        <v>UCE_utilization_oil_UP</v>
      </c>
      <c r="C31" t="s">
        <v>339</v>
      </c>
      <c r="D31" s="15">
        <f t="shared" si="6"/>
        <v>2023</v>
      </c>
      <c r="E31" s="12">
        <f t="shared" si="10"/>
        <v>-0.99750000000000005</v>
      </c>
      <c r="F31" s="12">
        <f t="shared" si="10"/>
        <v>-0.15329999999999999</v>
      </c>
      <c r="G31" s="12">
        <f t="shared" si="10"/>
        <v>-0.27510000000000001</v>
      </c>
      <c r="H31" s="12">
        <f t="shared" si="10"/>
        <v>-0.60165000000000002</v>
      </c>
      <c r="I31" s="12">
        <f t="shared" si="10"/>
        <v>-0.38745000000000002</v>
      </c>
      <c r="J31" s="12">
        <f t="shared" si="10"/>
        <v>-0.99750000000000005</v>
      </c>
      <c r="K31" s="12">
        <f t="shared" si="10"/>
        <v>-0.17430000000000001</v>
      </c>
      <c r="L31" s="12">
        <f t="shared" si="10"/>
        <v>-0.61109999999999998</v>
      </c>
      <c r="M31" s="12">
        <f t="shared" si="10"/>
        <v>-1.7850000000000001E-2</v>
      </c>
      <c r="N31" s="12">
        <f t="shared" si="10"/>
        <v>-0.99750000000000005</v>
      </c>
      <c r="O31" s="12">
        <f t="shared" si="10"/>
        <v>-0.59955000000000003</v>
      </c>
      <c r="P31" s="12">
        <f t="shared" si="10"/>
        <v>-0.99750000000000005</v>
      </c>
      <c r="Q31" s="12">
        <f t="shared" si="10"/>
        <v>-0.3276</v>
      </c>
      <c r="R31" s="12">
        <f t="shared" si="10"/>
        <v>-9.2399999999999996E-2</v>
      </c>
      <c r="S31" s="12" t="str">
        <f t="shared" si="10"/>
        <v/>
      </c>
      <c r="T31" s="12">
        <f t="shared" si="10"/>
        <v>-2.7300000000000001E-2</v>
      </c>
      <c r="U31" s="12">
        <f t="shared" ref="U31:AM31" si="12">IF(U6="","",-U6*$A31)</f>
        <v>-0.11655</v>
      </c>
      <c r="V31" s="12">
        <f t="shared" si="12"/>
        <v>-0.99750000000000005</v>
      </c>
      <c r="W31" s="12">
        <f t="shared" si="12"/>
        <v>-0.20369999999999999</v>
      </c>
      <c r="X31" s="12">
        <f t="shared" si="12"/>
        <v>-0.23205000000000001</v>
      </c>
      <c r="Y31" s="12">
        <f t="shared" si="12"/>
        <v>-0.93974999999999997</v>
      </c>
      <c r="Z31" s="12">
        <f t="shared" si="12"/>
        <v>-0.14174999999999999</v>
      </c>
      <c r="AA31" s="12">
        <f t="shared" si="12"/>
        <v>-0.75600000000000001</v>
      </c>
      <c r="AB31" s="12">
        <f t="shared" si="12"/>
        <v>-0.99750000000000005</v>
      </c>
      <c r="AC31" s="12">
        <f t="shared" si="12"/>
        <v>-0.21</v>
      </c>
      <c r="AD31" s="12">
        <f t="shared" si="12"/>
        <v>-0.99750000000000005</v>
      </c>
      <c r="AE31" s="12">
        <f t="shared" si="12"/>
        <v>-0.67200000000000004</v>
      </c>
      <c r="AF31" s="12">
        <f t="shared" si="12"/>
        <v>-0.24254999999999999</v>
      </c>
      <c r="AG31" s="12">
        <f t="shared" si="12"/>
        <v>-0.39269999999999999</v>
      </c>
      <c r="AH31" s="12">
        <f t="shared" si="12"/>
        <v>-0.105</v>
      </c>
      <c r="AI31" s="12">
        <f t="shared" si="12"/>
        <v>-0.29294999999999999</v>
      </c>
      <c r="AJ31" s="12">
        <f t="shared" si="12"/>
        <v>-0.17115</v>
      </c>
      <c r="AK31" s="12">
        <f t="shared" si="12"/>
        <v>-0.44624999999999998</v>
      </c>
      <c r="AL31" s="12">
        <f t="shared" si="12"/>
        <v>-0.99750000000000005</v>
      </c>
      <c r="AM31" s="12">
        <f t="shared" si="12"/>
        <v>-0.99750000000000005</v>
      </c>
      <c r="AN31" s="16">
        <f t="shared" si="5"/>
        <v>3.1709791983764599E-2</v>
      </c>
      <c r="AO31" t="s">
        <v>65</v>
      </c>
      <c r="AP31" t="str">
        <f t="shared" si="11"/>
        <v>???oil*</v>
      </c>
      <c r="AQ31">
        <v>2</v>
      </c>
      <c r="AR31" s="40" t="s">
        <v>335</v>
      </c>
    </row>
    <row r="32" spans="1:46">
      <c r="B32" t="s">
        <v>76</v>
      </c>
    </row>
    <row r="33" spans="1:46">
      <c r="A33" s="18">
        <v>0.3</v>
      </c>
      <c r="B33" t="str">
        <f>B22</f>
        <v>UCE_utilization_bioenergy_LO</v>
      </c>
      <c r="C33" t="str">
        <f>C22</f>
        <v>LO</v>
      </c>
      <c r="D33">
        <f>D22+7</f>
        <v>2030</v>
      </c>
      <c r="E33" s="16">
        <f>IF(E7="","",-MIN(E7,E2,0.8)*$A33)</f>
        <v>-4.1999999999999997E-3</v>
      </c>
      <c r="F33" s="16">
        <f t="shared" ref="F33:AM37" si="13">IF(F7="","",-MIN(F7,F2,0.8)*$A33)</f>
        <v>-5.2499999999999998E-2</v>
      </c>
      <c r="G33" s="16">
        <f t="shared" si="13"/>
        <v>-0.12180000000000001</v>
      </c>
      <c r="H33" s="16">
        <f t="shared" si="13"/>
        <v>-0.12870000000000001</v>
      </c>
      <c r="I33" s="16">
        <f t="shared" si="13"/>
        <v>-0.1668</v>
      </c>
      <c r="J33" s="16">
        <f t="shared" si="13"/>
        <v>-0.24</v>
      </c>
      <c r="K33" s="16">
        <f t="shared" si="13"/>
        <v>-0.1089</v>
      </c>
      <c r="L33" s="16">
        <f t="shared" si="13"/>
        <v>-0.24</v>
      </c>
      <c r="M33" s="16">
        <f t="shared" si="13"/>
        <v>-0.16500000000000001</v>
      </c>
      <c r="N33" s="16">
        <f t="shared" si="13"/>
        <v>-0.21060000000000001</v>
      </c>
      <c r="O33" s="16">
        <f t="shared" si="13"/>
        <v>-0.20849999999999999</v>
      </c>
      <c r="P33" s="16">
        <f t="shared" si="13"/>
        <v>-0.1767</v>
      </c>
      <c r="Q33" s="16">
        <f t="shared" si="13"/>
        <v>-0.14069999999999999</v>
      </c>
      <c r="R33" s="16">
        <f t="shared" si="13"/>
        <v>-0.1467</v>
      </c>
      <c r="S33" s="16" t="str">
        <f t="shared" si="13"/>
        <v/>
      </c>
      <c r="T33" s="16">
        <f t="shared" si="13"/>
        <v>-9.2100000000000001E-2</v>
      </c>
      <c r="U33" s="16">
        <f t="shared" si="13"/>
        <v>-0.24</v>
      </c>
      <c r="V33" s="16">
        <f t="shared" si="13"/>
        <v>-0.18720000000000001</v>
      </c>
      <c r="W33" s="16">
        <f t="shared" si="13"/>
        <v>-0.24</v>
      </c>
      <c r="X33" s="16">
        <f t="shared" si="13"/>
        <v>-0.10440000000000001</v>
      </c>
      <c r="Y33" s="16">
        <f t="shared" si="13"/>
        <v>-8.8200000000000001E-2</v>
      </c>
      <c r="Z33" s="16">
        <f t="shared" si="13"/>
        <v>-0.1641</v>
      </c>
      <c r="AA33" s="16">
        <f t="shared" si="13"/>
        <v>-8.5500000000000007E-2</v>
      </c>
      <c r="AB33" s="16">
        <f t="shared" si="13"/>
        <v>-0.22320000000000001</v>
      </c>
      <c r="AC33" s="16">
        <f t="shared" si="13"/>
        <v>-0.12479999999999999</v>
      </c>
      <c r="AD33" s="16">
        <f t="shared" si="13"/>
        <v>-1.5299999999999999E-2</v>
      </c>
      <c r="AE33" s="16" t="str">
        <f t="shared" si="13"/>
        <v/>
      </c>
      <c r="AF33" s="16">
        <f t="shared" si="13"/>
        <v>-4.3499999999999997E-2</v>
      </c>
      <c r="AG33" s="16">
        <f t="shared" si="13"/>
        <v>-0.1812</v>
      </c>
      <c r="AH33" s="16">
        <f t="shared" si="13"/>
        <v>-0.11550000000000001</v>
      </c>
      <c r="AI33" s="16">
        <f t="shared" si="13"/>
        <v>-0.24</v>
      </c>
      <c r="AJ33" s="16">
        <f t="shared" si="13"/>
        <v>-0.13500000000000001</v>
      </c>
      <c r="AK33" s="16">
        <f t="shared" si="13"/>
        <v>-0.17369999999999999</v>
      </c>
      <c r="AL33" s="16">
        <f t="shared" si="13"/>
        <v>-5.1299999999999998E-2</v>
      </c>
      <c r="AM33" s="16">
        <f t="shared" si="13"/>
        <v>-6.8400000000000002E-2</v>
      </c>
      <c r="AO33" s="16" t="str">
        <f>AO22</f>
        <v>ELE,CHP</v>
      </c>
      <c r="AP33" s="16" t="str">
        <f t="shared" ref="AP33:AP42" si="14">AP22</f>
        <v>elcbsl,indbio</v>
      </c>
      <c r="AR33" s="40" t="s">
        <v>335</v>
      </c>
    </row>
    <row r="34" spans="1:46">
      <c r="A34" s="18">
        <v>0.3</v>
      </c>
      <c r="B34" t="str">
        <f t="shared" ref="B34:C42" si="15">B23</f>
        <v>UCE_utilization_coal_LO</v>
      </c>
      <c r="C34" t="str">
        <f t="shared" si="15"/>
        <v>LO</v>
      </c>
      <c r="D34">
        <f t="shared" ref="D34:D42" si="16">D23+7</f>
        <v>2030</v>
      </c>
      <c r="E34" s="16">
        <f t="shared" ref="E34:AG37" si="17">IF(E8="","",-MIN(E8,E3,0.8)*$A34)</f>
        <v>-0.17100000000000001</v>
      </c>
      <c r="F34" s="16">
        <f t="shared" si="17"/>
        <v>0</v>
      </c>
      <c r="G34" s="16">
        <f t="shared" si="17"/>
        <v>-0.18149999999999999</v>
      </c>
      <c r="H34" s="16">
        <f t="shared" si="17"/>
        <v>-8.3099999999999993E-2</v>
      </c>
      <c r="I34" s="16">
        <f t="shared" si="17"/>
        <v>-0.24</v>
      </c>
      <c r="J34" s="16">
        <f t="shared" si="17"/>
        <v>-7.5300000000000006E-2</v>
      </c>
      <c r="K34" s="16">
        <f t="shared" si="17"/>
        <v>-0.1527</v>
      </c>
      <c r="L34" s="16">
        <f t="shared" si="17"/>
        <v>-0.1545</v>
      </c>
      <c r="M34" s="16">
        <f t="shared" si="17"/>
        <v>-0.1104</v>
      </c>
      <c r="N34" s="16">
        <f t="shared" si="17"/>
        <v>-0.12839999999999999</v>
      </c>
      <c r="O34" s="16">
        <f t="shared" si="17"/>
        <v>-2.8199999999999999E-2</v>
      </c>
      <c r="P34" s="16">
        <f t="shared" si="17"/>
        <v>-9.8400000000000001E-2</v>
      </c>
      <c r="Q34" s="16">
        <f t="shared" si="17"/>
        <v>-5.6099999999999997E-2</v>
      </c>
      <c r="R34" s="16">
        <f t="shared" si="17"/>
        <v>-8.0399999999999999E-2</v>
      </c>
      <c r="S34" s="16" t="str">
        <f t="shared" si="17"/>
        <v/>
      </c>
      <c r="T34" s="16">
        <f t="shared" si="17"/>
        <v>-0.1734</v>
      </c>
      <c r="U34" s="16">
        <f t="shared" si="17"/>
        <v>-1.89E-2</v>
      </c>
      <c r="V34" s="16">
        <f t="shared" si="17"/>
        <v>-5.91E-2</v>
      </c>
      <c r="W34" s="16">
        <f t="shared" si="17"/>
        <v>-0.20219999999999999</v>
      </c>
      <c r="X34" s="16">
        <f t="shared" si="17"/>
        <v>-0.14940000000000001</v>
      </c>
      <c r="Y34" s="16">
        <f t="shared" si="17"/>
        <v>-0.11550000000000001</v>
      </c>
      <c r="Z34" s="16">
        <f t="shared" si="17"/>
        <v>-0.1152</v>
      </c>
      <c r="AA34" s="16">
        <f t="shared" si="17"/>
        <v>-0.24</v>
      </c>
      <c r="AB34" s="16">
        <f t="shared" si="17"/>
        <v>-0.1236</v>
      </c>
      <c r="AC34" s="16">
        <f t="shared" si="17"/>
        <v>-0.1671</v>
      </c>
      <c r="AD34" s="16">
        <f t="shared" si="17"/>
        <v>-0.126</v>
      </c>
      <c r="AE34" s="16" t="str">
        <f t="shared" si="17"/>
        <v/>
      </c>
      <c r="AF34" s="16">
        <f t="shared" si="17"/>
        <v>-0.14219999999999999</v>
      </c>
      <c r="AG34" s="16">
        <f t="shared" si="17"/>
        <v>-3.7499999999999999E-2</v>
      </c>
      <c r="AH34" s="16">
        <f t="shared" si="13"/>
        <v>-4.9799999999999997E-2</v>
      </c>
      <c r="AI34" s="16" t="str">
        <f t="shared" si="13"/>
        <v/>
      </c>
      <c r="AJ34" s="16">
        <f t="shared" si="13"/>
        <v>-0.1704</v>
      </c>
      <c r="AK34" s="16">
        <f t="shared" si="13"/>
        <v>-2.46E-2</v>
      </c>
      <c r="AL34" s="16">
        <f t="shared" si="13"/>
        <v>0</v>
      </c>
      <c r="AM34" s="16">
        <f t="shared" si="13"/>
        <v>-0.17699999999999999</v>
      </c>
      <c r="AO34" s="16" t="str">
        <f t="shared" ref="AO34:AO42" si="18">AO23</f>
        <v>ELE,CHP</v>
      </c>
      <c r="AP34" s="16" t="str">
        <f t="shared" si="14"/>
        <v>???coa,elccob</v>
      </c>
      <c r="AR34" s="40" t="s">
        <v>335</v>
      </c>
    </row>
    <row r="35" spans="1:46">
      <c r="A35" s="18">
        <v>0.3</v>
      </c>
      <c r="B35" t="str">
        <f t="shared" si="15"/>
        <v>UCE_utilization_gas_LO</v>
      </c>
      <c r="C35" t="str">
        <f t="shared" si="15"/>
        <v>LO</v>
      </c>
      <c r="D35">
        <f t="shared" si="16"/>
        <v>2030</v>
      </c>
      <c r="E35" s="16">
        <f t="shared" si="17"/>
        <v>-0.1119</v>
      </c>
      <c r="F35" s="16">
        <f t="shared" si="17"/>
        <v>-9.5399999999999999E-2</v>
      </c>
      <c r="G35" s="16">
        <f t="shared" si="17"/>
        <v>-5.91E-2</v>
      </c>
      <c r="H35" s="16">
        <f t="shared" si="17"/>
        <v>-3.8100000000000002E-2</v>
      </c>
      <c r="I35" s="16">
        <f t="shared" si="17"/>
        <v>-1.89E-2</v>
      </c>
      <c r="J35" s="16">
        <f t="shared" si="17"/>
        <v>-9.3600000000000003E-2</v>
      </c>
      <c r="K35" s="16">
        <f t="shared" si="17"/>
        <v>-6.9599999999999995E-2</v>
      </c>
      <c r="L35" s="16">
        <f t="shared" si="17"/>
        <v>-7.7700000000000005E-2</v>
      </c>
      <c r="M35" s="16">
        <f t="shared" si="17"/>
        <v>-8.6999999999999994E-2</v>
      </c>
      <c r="N35" s="16">
        <f t="shared" si="17"/>
        <v>-2.64E-2</v>
      </c>
      <c r="O35" s="16">
        <f t="shared" si="17"/>
        <v>-1.89E-2</v>
      </c>
      <c r="P35" s="16">
        <f t="shared" si="17"/>
        <v>-7.6200000000000004E-2</v>
      </c>
      <c r="Q35" s="16">
        <f t="shared" si="17"/>
        <v>-4.6199999999999998E-2</v>
      </c>
      <c r="R35" s="16">
        <f t="shared" si="17"/>
        <v>-4.9200000000000001E-2</v>
      </c>
      <c r="S35" s="16" t="str">
        <f t="shared" si="17"/>
        <v/>
      </c>
      <c r="T35" s="16">
        <f t="shared" si="17"/>
        <v>-4.9500000000000002E-2</v>
      </c>
      <c r="U35" s="16">
        <f t="shared" si="17"/>
        <v>-9.6600000000000005E-2</v>
      </c>
      <c r="V35" s="16">
        <f t="shared" si="17"/>
        <v>-4.7399999999999998E-2</v>
      </c>
      <c r="W35" s="16">
        <f t="shared" si="17"/>
        <v>-0.13950000000000001</v>
      </c>
      <c r="X35" s="16">
        <f t="shared" si="17"/>
        <v>-0.1056</v>
      </c>
      <c r="Y35" s="16">
        <f t="shared" si="17"/>
        <v>-0.1167</v>
      </c>
      <c r="Z35" s="16">
        <f t="shared" si="17"/>
        <v>-9.4200000000000006E-2</v>
      </c>
      <c r="AA35" s="16">
        <f t="shared" si="17"/>
        <v>-1.38E-2</v>
      </c>
      <c r="AB35" s="16">
        <f t="shared" si="17"/>
        <v>-0.1116</v>
      </c>
      <c r="AC35" s="16">
        <f t="shared" si="17"/>
        <v>-0.1371</v>
      </c>
      <c r="AD35" s="16">
        <f t="shared" si="17"/>
        <v>-0.14249999999999999</v>
      </c>
      <c r="AE35" s="16">
        <f t="shared" si="17"/>
        <v>-0.1158</v>
      </c>
      <c r="AF35" s="16">
        <f t="shared" si="17"/>
        <v>0</v>
      </c>
      <c r="AG35" s="16">
        <f t="shared" si="17"/>
        <v>-5.8500000000000003E-2</v>
      </c>
      <c r="AH35" s="16">
        <f t="shared" si="13"/>
        <v>-1.44E-2</v>
      </c>
      <c r="AI35" s="16">
        <f t="shared" si="13"/>
        <v>-7.1400000000000005E-2</v>
      </c>
      <c r="AJ35" s="16">
        <f t="shared" si="13"/>
        <v>-6.8099999999999994E-2</v>
      </c>
      <c r="AK35" s="16">
        <f t="shared" si="13"/>
        <v>-9.0300000000000005E-2</v>
      </c>
      <c r="AL35" s="16">
        <f t="shared" si="13"/>
        <v>-4.2000000000000003E-2</v>
      </c>
      <c r="AM35" s="16">
        <f t="shared" si="13"/>
        <v>-1.8599999999999998E-2</v>
      </c>
      <c r="AO35" s="16" t="str">
        <f t="shared" si="18"/>
        <v>ELE,CHP</v>
      </c>
      <c r="AP35" s="16" t="str">
        <f t="shared" si="14"/>
        <v>???nga</v>
      </c>
      <c r="AR35" s="40" t="s">
        <v>335</v>
      </c>
      <c r="AS35" s="40" t="s">
        <v>336</v>
      </c>
      <c r="AT35" t="s">
        <v>337</v>
      </c>
    </row>
    <row r="36" spans="1:46">
      <c r="B36" t="str">
        <f t="shared" si="15"/>
        <v>UCE_utilization_nuclear_LO</v>
      </c>
      <c r="C36" t="str">
        <f t="shared" si="15"/>
        <v>LO</v>
      </c>
      <c r="D36">
        <f t="shared" si="16"/>
        <v>2030</v>
      </c>
      <c r="E36" s="16" t="str">
        <f t="shared" si="17"/>
        <v/>
      </c>
      <c r="F36" s="16" t="str">
        <f t="shared" si="17"/>
        <v/>
      </c>
      <c r="G36" s="16" t="str">
        <f t="shared" si="17"/>
        <v/>
      </c>
      <c r="H36" s="16" t="str">
        <f t="shared" si="17"/>
        <v/>
      </c>
      <c r="I36" s="16" t="str">
        <f t="shared" si="17"/>
        <v/>
      </c>
      <c r="J36" s="16">
        <f t="shared" si="17"/>
        <v>0</v>
      </c>
      <c r="K36" s="16">
        <f t="shared" si="17"/>
        <v>0</v>
      </c>
      <c r="L36" s="16">
        <f t="shared" si="17"/>
        <v>0</v>
      </c>
      <c r="M36" s="16">
        <f t="shared" si="17"/>
        <v>0</v>
      </c>
      <c r="N36" s="16">
        <f t="shared" si="17"/>
        <v>0</v>
      </c>
      <c r="O36" s="16">
        <f t="shared" si="17"/>
        <v>0</v>
      </c>
      <c r="P36" s="16">
        <f t="shared" si="17"/>
        <v>0</v>
      </c>
      <c r="Q36" s="16" t="str">
        <f t="shared" si="17"/>
        <v/>
      </c>
      <c r="R36" s="16">
        <f t="shared" si="17"/>
        <v>0</v>
      </c>
      <c r="S36" s="16" t="str">
        <f t="shared" si="17"/>
        <v/>
      </c>
      <c r="T36" s="16">
        <f t="shared" si="17"/>
        <v>0</v>
      </c>
      <c r="U36" s="16" t="str">
        <f t="shared" si="17"/>
        <v/>
      </c>
      <c r="V36" s="16" t="str">
        <f t="shared" si="17"/>
        <v/>
      </c>
      <c r="W36" s="16">
        <f t="shared" si="17"/>
        <v>0</v>
      </c>
      <c r="X36" s="16">
        <f t="shared" si="17"/>
        <v>0</v>
      </c>
      <c r="Y36" s="16">
        <f t="shared" si="17"/>
        <v>0</v>
      </c>
      <c r="Z36" s="16">
        <f t="shared" si="17"/>
        <v>0</v>
      </c>
      <c r="AA36" s="16" t="str">
        <f t="shared" si="17"/>
        <v/>
      </c>
      <c r="AB36" s="16" t="str">
        <f t="shared" si="17"/>
        <v/>
      </c>
      <c r="AC36" s="16">
        <f t="shared" si="17"/>
        <v>0</v>
      </c>
      <c r="AD36" s="16">
        <f t="shared" si="17"/>
        <v>0</v>
      </c>
      <c r="AE36" s="16" t="str">
        <f t="shared" si="17"/>
        <v/>
      </c>
      <c r="AF36" s="16">
        <f t="shared" si="17"/>
        <v>0</v>
      </c>
      <c r="AG36" s="16">
        <f t="shared" si="17"/>
        <v>0</v>
      </c>
      <c r="AH36" s="16">
        <f t="shared" si="13"/>
        <v>0</v>
      </c>
      <c r="AI36" s="16">
        <f t="shared" si="13"/>
        <v>0</v>
      </c>
      <c r="AJ36" s="16" t="str">
        <f t="shared" si="13"/>
        <v/>
      </c>
      <c r="AK36" s="16">
        <f t="shared" si="13"/>
        <v>0</v>
      </c>
      <c r="AL36" s="16">
        <f t="shared" si="13"/>
        <v>0</v>
      </c>
      <c r="AM36" s="16" t="str">
        <f t="shared" si="13"/>
        <v/>
      </c>
      <c r="AO36" s="16" t="str">
        <f t="shared" si="18"/>
        <v>ELE,CHP</v>
      </c>
      <c r="AP36" s="16" t="str">
        <f t="shared" si="14"/>
        <v>???nuc</v>
      </c>
      <c r="AR36" s="40" t="s">
        <v>335</v>
      </c>
    </row>
    <row r="37" spans="1:46">
      <c r="B37" t="str">
        <f t="shared" si="15"/>
        <v>UCE_utilization_oil_\I: LO</v>
      </c>
      <c r="C37" t="str">
        <f t="shared" si="15"/>
        <v>\I: LO</v>
      </c>
      <c r="D37">
        <f t="shared" si="16"/>
        <v>2030</v>
      </c>
      <c r="E37" s="16">
        <f t="shared" si="17"/>
        <v>0</v>
      </c>
      <c r="F37" s="16">
        <f t="shared" si="17"/>
        <v>0</v>
      </c>
      <c r="G37" s="16">
        <f t="shared" si="17"/>
        <v>0</v>
      </c>
      <c r="H37" s="16">
        <f t="shared" si="17"/>
        <v>0</v>
      </c>
      <c r="I37" s="16">
        <f t="shared" si="17"/>
        <v>0</v>
      </c>
      <c r="J37" s="16">
        <f t="shared" si="17"/>
        <v>0</v>
      </c>
      <c r="K37" s="16">
        <f t="shared" si="17"/>
        <v>0</v>
      </c>
      <c r="L37" s="16">
        <f t="shared" si="17"/>
        <v>0</v>
      </c>
      <c r="M37" s="16">
        <f t="shared" si="17"/>
        <v>0</v>
      </c>
      <c r="N37" s="16">
        <f t="shared" si="17"/>
        <v>0</v>
      </c>
      <c r="O37" s="16">
        <f t="shared" si="17"/>
        <v>0</v>
      </c>
      <c r="P37" s="16">
        <f t="shared" si="17"/>
        <v>0</v>
      </c>
      <c r="Q37" s="16">
        <f t="shared" si="17"/>
        <v>0</v>
      </c>
      <c r="R37" s="16">
        <f t="shared" si="17"/>
        <v>0</v>
      </c>
      <c r="S37" s="16">
        <f t="shared" si="17"/>
        <v>0</v>
      </c>
      <c r="T37" s="16">
        <f t="shared" si="17"/>
        <v>0</v>
      </c>
      <c r="U37" s="16">
        <f t="shared" si="17"/>
        <v>0</v>
      </c>
      <c r="V37" s="16">
        <f t="shared" si="17"/>
        <v>0</v>
      </c>
      <c r="W37" s="16">
        <f t="shared" si="17"/>
        <v>0</v>
      </c>
      <c r="X37" s="16">
        <f t="shared" si="17"/>
        <v>0</v>
      </c>
      <c r="Y37" s="16">
        <f t="shared" si="17"/>
        <v>0</v>
      </c>
      <c r="Z37" s="16">
        <f t="shared" si="17"/>
        <v>0</v>
      </c>
      <c r="AA37" s="16">
        <f t="shared" si="17"/>
        <v>0</v>
      </c>
      <c r="AB37" s="16">
        <f t="shared" si="17"/>
        <v>0</v>
      </c>
      <c r="AC37" s="16">
        <f t="shared" si="17"/>
        <v>0</v>
      </c>
      <c r="AD37" s="16">
        <f t="shared" si="17"/>
        <v>0</v>
      </c>
      <c r="AE37" s="16">
        <f t="shared" si="17"/>
        <v>0</v>
      </c>
      <c r="AF37" s="16">
        <f t="shared" si="17"/>
        <v>0</v>
      </c>
      <c r="AG37" s="16">
        <f t="shared" si="17"/>
        <v>0</v>
      </c>
      <c r="AH37" s="16">
        <f t="shared" si="13"/>
        <v>0</v>
      </c>
      <c r="AI37" s="16">
        <f t="shared" si="13"/>
        <v>0</v>
      </c>
      <c r="AJ37" s="16">
        <f t="shared" si="13"/>
        <v>0</v>
      </c>
      <c r="AK37" s="16">
        <f t="shared" si="13"/>
        <v>0</v>
      </c>
      <c r="AL37" s="16">
        <f t="shared" si="13"/>
        <v>0</v>
      </c>
      <c r="AM37" s="16">
        <f t="shared" si="13"/>
        <v>0</v>
      </c>
      <c r="AO37" s="16" t="str">
        <f t="shared" si="18"/>
        <v>ELE,CHP</v>
      </c>
      <c r="AP37" s="16" t="str">
        <f t="shared" si="14"/>
        <v>???oil*</v>
      </c>
      <c r="AR37" s="40" t="s">
        <v>335</v>
      </c>
    </row>
    <row r="38" spans="1:46">
      <c r="B38" t="str">
        <f t="shared" si="15"/>
        <v>UCE_utilization_bioenergy_UP</v>
      </c>
      <c r="C38" t="str">
        <f t="shared" si="15"/>
        <v>UP</v>
      </c>
      <c r="D38">
        <f t="shared" si="16"/>
        <v>2030</v>
      </c>
      <c r="E38" s="19">
        <f>IF(E12="","",-E12)</f>
        <v>-5.7000000000000002E-2</v>
      </c>
      <c r="F38" s="19">
        <f t="shared" ref="F38:AM39" si="19">IF(F12="","",-F12)</f>
        <v>-0.28699999999999998</v>
      </c>
      <c r="G38" s="19">
        <f t="shared" si="19"/>
        <v>-0.50600000000000001</v>
      </c>
      <c r="H38" s="19">
        <f t="shared" si="19"/>
        <v>-0.56399999999999995</v>
      </c>
      <c r="I38" s="19">
        <f t="shared" si="19"/>
        <v>-0.84199999999999997</v>
      </c>
      <c r="J38" s="19">
        <f t="shared" si="19"/>
        <v>-0.95</v>
      </c>
      <c r="K38" s="19">
        <f t="shared" si="19"/>
        <v>-0.436</v>
      </c>
      <c r="L38" s="19">
        <f t="shared" si="19"/>
        <v>-0.95</v>
      </c>
      <c r="M38" s="19">
        <f t="shared" si="19"/>
        <v>-0.71099999999999997</v>
      </c>
      <c r="N38" s="19">
        <f t="shared" si="19"/>
        <v>-0.77</v>
      </c>
      <c r="O38" s="19">
        <f t="shared" si="19"/>
        <v>-0.83399999999999996</v>
      </c>
      <c r="P38" s="19">
        <f t="shared" si="19"/>
        <v>-0.76900000000000002</v>
      </c>
      <c r="Q38" s="19">
        <f t="shared" si="19"/>
        <v>-0.58699999999999997</v>
      </c>
      <c r="R38" s="19">
        <f t="shared" si="19"/>
        <v>-0.879</v>
      </c>
      <c r="S38" s="19" t="str">
        <f t="shared" si="19"/>
        <v/>
      </c>
      <c r="T38" s="19">
        <f t="shared" si="19"/>
        <v>-0.65500000000000003</v>
      </c>
      <c r="U38" s="19">
        <f t="shared" si="19"/>
        <v>-0.95</v>
      </c>
      <c r="V38" s="19">
        <f t="shared" si="19"/>
        <v>-0.751</v>
      </c>
      <c r="W38" s="19">
        <f t="shared" si="19"/>
        <v>-0.95</v>
      </c>
      <c r="X38" s="19">
        <f t="shared" si="19"/>
        <v>-0.46200000000000002</v>
      </c>
      <c r="Y38" s="19">
        <f t="shared" si="19"/>
        <v>-0.95</v>
      </c>
      <c r="Z38" s="19">
        <f t="shared" si="19"/>
        <v>-0.64400000000000002</v>
      </c>
      <c r="AA38" s="19">
        <f t="shared" si="19"/>
        <v>-0.95</v>
      </c>
      <c r="AB38" s="19">
        <f t="shared" si="19"/>
        <v>-0.95</v>
      </c>
      <c r="AC38" s="19">
        <f t="shared" si="19"/>
        <v>-0.56399999999999995</v>
      </c>
      <c r="AD38" s="19">
        <f t="shared" si="19"/>
        <v>-0.107</v>
      </c>
      <c r="AE38" s="19" t="str">
        <f t="shared" si="19"/>
        <v/>
      </c>
      <c r="AF38" s="19">
        <f t="shared" si="19"/>
        <v>-0.189</v>
      </c>
      <c r="AG38" s="19">
        <f t="shared" si="19"/>
        <v>-0.72699999999999998</v>
      </c>
      <c r="AH38" s="19">
        <f t="shared" si="19"/>
        <v>-0.47599999999999998</v>
      </c>
      <c r="AI38" s="19">
        <f t="shared" si="19"/>
        <v>-0.95</v>
      </c>
      <c r="AJ38" s="19">
        <f t="shared" si="19"/>
        <v>-0.56000000000000005</v>
      </c>
      <c r="AK38" s="19">
        <f t="shared" si="19"/>
        <v>-0.77</v>
      </c>
      <c r="AL38" s="19">
        <f t="shared" si="19"/>
        <v>-0.41</v>
      </c>
      <c r="AM38" s="19">
        <f t="shared" si="19"/>
        <v>-0.95</v>
      </c>
      <c r="AO38" s="16" t="str">
        <f t="shared" si="18"/>
        <v>ELE,CHP</v>
      </c>
      <c r="AP38" s="16" t="str">
        <f t="shared" si="14"/>
        <v>elcbsl,indbio</v>
      </c>
      <c r="AR38" s="40" t="s">
        <v>335</v>
      </c>
    </row>
    <row r="39" spans="1:46">
      <c r="B39" t="str">
        <f t="shared" si="15"/>
        <v>UCE_utilization_coal_UP</v>
      </c>
      <c r="C39" t="str">
        <f t="shared" si="15"/>
        <v>UP</v>
      </c>
      <c r="D39">
        <f t="shared" si="16"/>
        <v>2030</v>
      </c>
      <c r="E39" s="19">
        <f t="shared" ref="E39:AG39" si="20">IF(E13="","",-E13)</f>
        <v>-0.77700000000000002</v>
      </c>
      <c r="F39" s="19">
        <f t="shared" si="20"/>
        <v>-0.47</v>
      </c>
      <c r="G39" s="19">
        <f t="shared" si="20"/>
        <v>-0.72399999999999998</v>
      </c>
      <c r="H39" s="19">
        <f t="shared" si="20"/>
        <v>-0.95</v>
      </c>
      <c r="I39" s="19">
        <f t="shared" si="20"/>
        <v>-0.95</v>
      </c>
      <c r="J39" s="19">
        <f t="shared" si="20"/>
        <v>-0.95</v>
      </c>
      <c r="K39" s="19">
        <f t="shared" si="20"/>
        <v>-0.92200000000000004</v>
      </c>
      <c r="L39" s="19">
        <f t="shared" si="20"/>
        <v>-0.58699999999999997</v>
      </c>
      <c r="M39" s="19">
        <f t="shared" si="20"/>
        <v>-0.57799999999999996</v>
      </c>
      <c r="N39" s="19">
        <f t="shared" si="20"/>
        <v>-0.54400000000000004</v>
      </c>
      <c r="O39" s="19">
        <f t="shared" si="20"/>
        <v>-0.39100000000000001</v>
      </c>
      <c r="P39" s="19">
        <f t="shared" si="20"/>
        <v>-0.625</v>
      </c>
      <c r="Q39" s="19">
        <f t="shared" si="20"/>
        <v>-0.59699999999999998</v>
      </c>
      <c r="R39" s="19">
        <f t="shared" si="20"/>
        <v>-0.43099999999999999</v>
      </c>
      <c r="S39" s="19" t="str">
        <f t="shared" si="20"/>
        <v/>
      </c>
      <c r="T39" s="19">
        <f t="shared" si="20"/>
        <v>-0.70699999999999996</v>
      </c>
      <c r="U39" s="19">
        <f t="shared" si="20"/>
        <v>-0.60399999999999998</v>
      </c>
      <c r="V39" s="19">
        <f t="shared" si="20"/>
        <v>-0.50900000000000001</v>
      </c>
      <c r="W39" s="19">
        <f t="shared" si="20"/>
        <v>-0.9</v>
      </c>
      <c r="X39" s="19">
        <f t="shared" si="20"/>
        <v>-0.77700000000000002</v>
      </c>
      <c r="Y39" s="19">
        <f t="shared" si="20"/>
        <v>-0.95</v>
      </c>
      <c r="Z39" s="19">
        <f t="shared" si="20"/>
        <v>-0.56799999999999995</v>
      </c>
      <c r="AA39" s="19">
        <f t="shared" si="20"/>
        <v>-0.95</v>
      </c>
      <c r="AB39" s="19">
        <f t="shared" si="20"/>
        <v>-0.52200000000000002</v>
      </c>
      <c r="AC39" s="19">
        <f t="shared" si="20"/>
        <v>-0.7</v>
      </c>
      <c r="AD39" s="19">
        <f t="shared" si="20"/>
        <v>-0.63700000000000001</v>
      </c>
      <c r="AE39" s="19" t="str">
        <f t="shared" si="20"/>
        <v/>
      </c>
      <c r="AF39" s="19">
        <f t="shared" si="20"/>
        <v>-0.67100000000000004</v>
      </c>
      <c r="AG39" s="19">
        <f t="shared" si="20"/>
        <v>-0.57499999999999996</v>
      </c>
      <c r="AH39" s="19">
        <f t="shared" si="19"/>
        <v>-0.35099999999999998</v>
      </c>
      <c r="AI39" s="19" t="str">
        <f t="shared" si="19"/>
        <v/>
      </c>
      <c r="AJ39" s="19">
        <f t="shared" si="19"/>
        <v>-0.67900000000000005</v>
      </c>
      <c r="AK39" s="19">
        <f t="shared" si="19"/>
        <v>-0.53900000000000003</v>
      </c>
      <c r="AL39" s="19">
        <f t="shared" si="19"/>
        <v>-0.31900000000000001</v>
      </c>
      <c r="AM39" s="19">
        <f t="shared" si="19"/>
        <v>-0.69499999999999995</v>
      </c>
      <c r="AO39" s="16" t="str">
        <f t="shared" si="18"/>
        <v>ELE,CHP</v>
      </c>
      <c r="AP39" s="16" t="str">
        <f t="shared" si="14"/>
        <v>???coa,elccob</v>
      </c>
      <c r="AR39" s="40" t="s">
        <v>335</v>
      </c>
    </row>
    <row r="40" spans="1:46">
      <c r="A40">
        <v>0.8</v>
      </c>
      <c r="B40" t="str">
        <f t="shared" si="15"/>
        <v>UCE_utilization_gas_UP</v>
      </c>
      <c r="C40" t="str">
        <f t="shared" si="15"/>
        <v>UP</v>
      </c>
      <c r="D40">
        <f t="shared" si="16"/>
        <v>2030</v>
      </c>
      <c r="E40">
        <f>-$A40</f>
        <v>-0.8</v>
      </c>
      <c r="F40">
        <f t="shared" ref="F40:U42" si="21">-$A40</f>
        <v>-0.8</v>
      </c>
      <c r="G40">
        <f t="shared" si="21"/>
        <v>-0.8</v>
      </c>
      <c r="H40">
        <f t="shared" si="21"/>
        <v>-0.8</v>
      </c>
      <c r="I40">
        <f t="shared" si="21"/>
        <v>-0.8</v>
      </c>
      <c r="J40">
        <f t="shared" si="21"/>
        <v>-0.8</v>
      </c>
      <c r="K40">
        <f t="shared" si="21"/>
        <v>-0.8</v>
      </c>
      <c r="L40">
        <f t="shared" si="21"/>
        <v>-0.8</v>
      </c>
      <c r="M40">
        <f t="shared" si="21"/>
        <v>-0.8</v>
      </c>
      <c r="N40">
        <f t="shared" si="21"/>
        <v>-0.8</v>
      </c>
      <c r="O40">
        <f t="shared" si="21"/>
        <v>-0.8</v>
      </c>
      <c r="P40">
        <f t="shared" si="21"/>
        <v>-0.8</v>
      </c>
      <c r="Q40">
        <f t="shared" si="21"/>
        <v>-0.8</v>
      </c>
      <c r="R40">
        <f t="shared" si="21"/>
        <v>-0.8</v>
      </c>
      <c r="S40">
        <f t="shared" si="21"/>
        <v>-0.8</v>
      </c>
      <c r="T40">
        <f t="shared" si="21"/>
        <v>-0.8</v>
      </c>
      <c r="U40">
        <f t="shared" si="21"/>
        <v>-0.8</v>
      </c>
      <c r="V40">
        <f t="shared" ref="V40:AK42" si="22">-$A40</f>
        <v>-0.8</v>
      </c>
      <c r="W40">
        <f t="shared" si="22"/>
        <v>-0.8</v>
      </c>
      <c r="X40">
        <f t="shared" si="22"/>
        <v>-0.8</v>
      </c>
      <c r="Y40">
        <f t="shared" si="22"/>
        <v>-0.8</v>
      </c>
      <c r="Z40">
        <f t="shared" si="22"/>
        <v>-0.8</v>
      </c>
      <c r="AA40">
        <f t="shared" si="22"/>
        <v>-0.8</v>
      </c>
      <c r="AB40">
        <f t="shared" si="22"/>
        <v>-0.8</v>
      </c>
      <c r="AC40">
        <f t="shared" si="22"/>
        <v>-0.8</v>
      </c>
      <c r="AD40">
        <f t="shared" si="22"/>
        <v>-0.8</v>
      </c>
      <c r="AE40">
        <f t="shared" si="22"/>
        <v>-0.8</v>
      </c>
      <c r="AF40">
        <f t="shared" si="22"/>
        <v>-0.8</v>
      </c>
      <c r="AG40">
        <f t="shared" si="22"/>
        <v>-0.8</v>
      </c>
      <c r="AH40">
        <f t="shared" si="22"/>
        <v>-0.8</v>
      </c>
      <c r="AI40">
        <f t="shared" si="22"/>
        <v>-0.8</v>
      </c>
      <c r="AJ40">
        <f t="shared" si="22"/>
        <v>-0.8</v>
      </c>
      <c r="AK40">
        <f t="shared" si="22"/>
        <v>-0.8</v>
      </c>
      <c r="AL40">
        <f t="shared" ref="AL40:AM42" si="23">-$A40</f>
        <v>-0.8</v>
      </c>
      <c r="AM40">
        <f t="shared" si="23"/>
        <v>-0.8</v>
      </c>
      <c r="AO40" s="16" t="str">
        <f t="shared" si="18"/>
        <v>ELE,CHP</v>
      </c>
      <c r="AP40" s="16" t="str">
        <f t="shared" si="14"/>
        <v>???nga</v>
      </c>
      <c r="AR40" s="40" t="s">
        <v>335</v>
      </c>
    </row>
    <row r="41" spans="1:46">
      <c r="A41">
        <v>0.95</v>
      </c>
      <c r="B41" t="str">
        <f t="shared" si="15"/>
        <v>UCE_utilization_nuclear_UP</v>
      </c>
      <c r="C41" t="str">
        <f t="shared" si="15"/>
        <v>UP</v>
      </c>
      <c r="D41">
        <f t="shared" si="16"/>
        <v>2030</v>
      </c>
      <c r="E41">
        <f t="shared" ref="E41:E42" si="24">-$A41</f>
        <v>-0.95</v>
      </c>
      <c r="F41">
        <f t="shared" si="21"/>
        <v>-0.95</v>
      </c>
      <c r="G41">
        <f t="shared" si="21"/>
        <v>-0.95</v>
      </c>
      <c r="H41">
        <f t="shared" si="21"/>
        <v>-0.95</v>
      </c>
      <c r="I41">
        <f t="shared" si="21"/>
        <v>-0.95</v>
      </c>
      <c r="J41">
        <f t="shared" si="21"/>
        <v>-0.95</v>
      </c>
      <c r="K41">
        <f t="shared" si="21"/>
        <v>-0.95</v>
      </c>
      <c r="L41">
        <f t="shared" si="21"/>
        <v>-0.95</v>
      </c>
      <c r="M41">
        <f t="shared" si="21"/>
        <v>-0.95</v>
      </c>
      <c r="N41">
        <f t="shared" si="21"/>
        <v>-0.95</v>
      </c>
      <c r="O41">
        <f t="shared" si="21"/>
        <v>-0.95</v>
      </c>
      <c r="P41">
        <f t="shared" si="21"/>
        <v>-0.95</v>
      </c>
      <c r="Q41">
        <f t="shared" si="21"/>
        <v>-0.95</v>
      </c>
      <c r="R41">
        <f t="shared" si="21"/>
        <v>-0.95</v>
      </c>
      <c r="S41">
        <f t="shared" si="21"/>
        <v>-0.95</v>
      </c>
      <c r="T41">
        <f t="shared" si="21"/>
        <v>-0.95</v>
      </c>
      <c r="U41">
        <f t="shared" si="21"/>
        <v>-0.95</v>
      </c>
      <c r="V41">
        <f t="shared" si="22"/>
        <v>-0.95</v>
      </c>
      <c r="W41">
        <f t="shared" si="22"/>
        <v>-0.95</v>
      </c>
      <c r="X41">
        <f t="shared" si="22"/>
        <v>-0.95</v>
      </c>
      <c r="Y41">
        <f t="shared" si="22"/>
        <v>-0.95</v>
      </c>
      <c r="Z41">
        <f t="shared" si="22"/>
        <v>-0.95</v>
      </c>
      <c r="AA41">
        <f t="shared" si="22"/>
        <v>-0.95</v>
      </c>
      <c r="AB41">
        <f t="shared" si="22"/>
        <v>-0.95</v>
      </c>
      <c r="AC41">
        <f t="shared" si="22"/>
        <v>-0.95</v>
      </c>
      <c r="AD41">
        <f t="shared" si="22"/>
        <v>-0.95</v>
      </c>
      <c r="AE41">
        <f t="shared" si="22"/>
        <v>-0.95</v>
      </c>
      <c r="AF41">
        <f t="shared" si="22"/>
        <v>-0.95</v>
      </c>
      <c r="AG41">
        <f t="shared" si="22"/>
        <v>-0.95</v>
      </c>
      <c r="AH41">
        <f t="shared" si="22"/>
        <v>-0.95</v>
      </c>
      <c r="AI41">
        <f t="shared" si="22"/>
        <v>-0.95</v>
      </c>
      <c r="AJ41">
        <f t="shared" si="22"/>
        <v>-0.95</v>
      </c>
      <c r="AK41">
        <f t="shared" si="22"/>
        <v>-0.95</v>
      </c>
      <c r="AL41">
        <f t="shared" si="23"/>
        <v>-0.95</v>
      </c>
      <c r="AM41">
        <f t="shared" si="23"/>
        <v>-0.95</v>
      </c>
      <c r="AO41" s="16" t="str">
        <f t="shared" si="18"/>
        <v>ELE,CHP</v>
      </c>
      <c r="AP41" s="16" t="str">
        <f t="shared" si="14"/>
        <v>???nuc</v>
      </c>
      <c r="AR41" s="40" t="s">
        <v>335</v>
      </c>
    </row>
    <row r="42" spans="1:46">
      <c r="A42">
        <v>0.8</v>
      </c>
      <c r="B42" t="str">
        <f t="shared" si="15"/>
        <v>UCE_utilization_oil_UP</v>
      </c>
      <c r="C42" t="str">
        <f t="shared" si="15"/>
        <v>UP</v>
      </c>
      <c r="D42">
        <f t="shared" si="16"/>
        <v>2030</v>
      </c>
      <c r="E42">
        <f t="shared" si="24"/>
        <v>-0.8</v>
      </c>
      <c r="F42">
        <f t="shared" si="21"/>
        <v>-0.8</v>
      </c>
      <c r="G42">
        <f t="shared" si="21"/>
        <v>-0.8</v>
      </c>
      <c r="H42">
        <f t="shared" si="21"/>
        <v>-0.8</v>
      </c>
      <c r="I42">
        <f t="shared" si="21"/>
        <v>-0.8</v>
      </c>
      <c r="J42">
        <f t="shared" si="21"/>
        <v>-0.8</v>
      </c>
      <c r="K42">
        <f t="shared" si="21"/>
        <v>-0.8</v>
      </c>
      <c r="L42">
        <f t="shared" si="21"/>
        <v>-0.8</v>
      </c>
      <c r="M42">
        <f t="shared" si="21"/>
        <v>-0.8</v>
      </c>
      <c r="N42">
        <f t="shared" si="21"/>
        <v>-0.8</v>
      </c>
      <c r="O42">
        <f t="shared" si="21"/>
        <v>-0.8</v>
      </c>
      <c r="P42">
        <f t="shared" si="21"/>
        <v>-0.8</v>
      </c>
      <c r="Q42">
        <f t="shared" si="21"/>
        <v>-0.8</v>
      </c>
      <c r="R42">
        <f t="shared" si="21"/>
        <v>-0.8</v>
      </c>
      <c r="S42">
        <f t="shared" si="21"/>
        <v>-0.8</v>
      </c>
      <c r="T42">
        <f t="shared" si="21"/>
        <v>-0.8</v>
      </c>
      <c r="U42">
        <f t="shared" si="21"/>
        <v>-0.8</v>
      </c>
      <c r="V42">
        <f t="shared" si="22"/>
        <v>-0.8</v>
      </c>
      <c r="W42">
        <f t="shared" si="22"/>
        <v>-0.8</v>
      </c>
      <c r="X42">
        <f t="shared" si="22"/>
        <v>-0.8</v>
      </c>
      <c r="Y42">
        <f t="shared" si="22"/>
        <v>-0.8</v>
      </c>
      <c r="Z42">
        <f t="shared" si="22"/>
        <v>-0.8</v>
      </c>
      <c r="AA42">
        <f t="shared" si="22"/>
        <v>-0.8</v>
      </c>
      <c r="AB42">
        <f t="shared" si="22"/>
        <v>-0.8</v>
      </c>
      <c r="AC42">
        <f t="shared" si="22"/>
        <v>-0.8</v>
      </c>
      <c r="AD42">
        <f t="shared" si="22"/>
        <v>-0.8</v>
      </c>
      <c r="AE42">
        <f t="shared" si="22"/>
        <v>-0.8</v>
      </c>
      <c r="AF42">
        <f t="shared" si="22"/>
        <v>-0.8</v>
      </c>
      <c r="AG42">
        <f t="shared" si="22"/>
        <v>-0.8</v>
      </c>
      <c r="AH42">
        <f t="shared" si="22"/>
        <v>-0.8</v>
      </c>
      <c r="AI42">
        <f t="shared" si="22"/>
        <v>-0.8</v>
      </c>
      <c r="AJ42">
        <f t="shared" si="22"/>
        <v>-0.8</v>
      </c>
      <c r="AK42">
        <f t="shared" si="22"/>
        <v>-0.8</v>
      </c>
      <c r="AL42">
        <f t="shared" si="23"/>
        <v>-0.8</v>
      </c>
      <c r="AM42">
        <f t="shared" si="23"/>
        <v>-0.8</v>
      </c>
      <c r="AO42" s="16" t="str">
        <f t="shared" si="18"/>
        <v>ELE,CHP</v>
      </c>
      <c r="AP42" s="16" t="str">
        <f t="shared" si="14"/>
        <v>???oil*</v>
      </c>
      <c r="AR42" s="40" t="s">
        <v>335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O62"/>
  <sheetViews>
    <sheetView tabSelected="1" topLeftCell="A23" zoomScale="98" zoomScaleNormal="98" workbookViewId="0">
      <selection activeCell="A52" sqref="A52"/>
    </sheetView>
  </sheetViews>
  <sheetFormatPr defaultColWidth="9" defaultRowHeight="14.25"/>
  <cols>
    <col min="1" max="1" width="21.46484375" customWidth="1"/>
    <col min="2" max="2" width="16.265625" customWidth="1"/>
    <col min="3" max="3" width="15.46484375" customWidth="1"/>
    <col min="4" max="4" width="6.86328125" customWidth="1"/>
    <col min="5" max="6" width="10.46484375" customWidth="1"/>
    <col min="7" max="7" width="10.53125" customWidth="1"/>
    <col min="8" max="8" width="10" customWidth="1"/>
    <col min="9" max="9" width="7.86328125" customWidth="1"/>
    <col min="10" max="10" width="7.796875" customWidth="1"/>
    <col min="11" max="11" width="7.33203125" customWidth="1"/>
    <col min="12" max="12" width="7.53125" customWidth="1"/>
    <col min="13" max="13" width="9.796875" customWidth="1"/>
    <col min="14" max="14" width="7.1328125" customWidth="1"/>
    <col min="15" max="15" width="5.1328125" customWidth="1"/>
    <col min="16" max="16" width="6.796875" customWidth="1"/>
    <col min="17" max="17" width="5.33203125" customWidth="1"/>
    <col min="18" max="18" width="5.796875" customWidth="1"/>
    <col min="19" max="19" width="7.1328125" customWidth="1"/>
    <col min="20" max="20" width="6.6640625" customWidth="1"/>
    <col min="21" max="21" width="7.796875" customWidth="1"/>
    <col min="22" max="22" width="4.53125" customWidth="1"/>
    <col min="23" max="23" width="8.46484375" customWidth="1"/>
    <col min="24" max="24" width="5.19921875" customWidth="1"/>
    <col min="25" max="25" width="5.6640625" customWidth="1"/>
    <col min="26" max="26" width="7.53125" customWidth="1"/>
    <col min="27" max="27" width="6.19921875" customWidth="1"/>
    <col min="28" max="28" width="7" customWidth="1"/>
    <col min="29" max="29" width="10.33203125" customWidth="1"/>
    <col min="30" max="30" width="5.46484375" customWidth="1"/>
    <col min="31" max="31" width="9.46484375" customWidth="1"/>
    <col min="32" max="32" width="5.1328125" customWidth="1"/>
    <col min="33" max="33" width="5.86328125" customWidth="1"/>
    <col min="34" max="34" width="10.1328125" customWidth="1"/>
    <col min="35" max="35" width="6.19921875" customWidth="1"/>
    <col min="36" max="36" width="7.46484375" customWidth="1"/>
    <col min="37" max="37" width="3.86328125" customWidth="1"/>
    <col min="38" max="38" width="12.73046875" customWidth="1"/>
    <col min="39" max="39" width="7.53125" customWidth="1"/>
    <col min="40" max="40" width="12.796875"/>
  </cols>
  <sheetData>
    <row r="1" spans="1:39">
      <c r="C1" t="s">
        <v>340</v>
      </c>
      <c r="D1" t="s">
        <v>341</v>
      </c>
      <c r="E1" t="s">
        <v>245</v>
      </c>
      <c r="F1" t="s">
        <v>248</v>
      </c>
      <c r="G1" t="s">
        <v>252</v>
      </c>
      <c r="H1" t="s">
        <v>254</v>
      </c>
      <c r="I1" t="s">
        <v>256</v>
      </c>
      <c r="J1" t="s">
        <v>247</v>
      </c>
      <c r="K1" t="s">
        <v>251</v>
      </c>
      <c r="L1" t="s">
        <v>253</v>
      </c>
      <c r="M1" t="s">
        <v>255</v>
      </c>
      <c r="N1" t="s">
        <v>257</v>
      </c>
      <c r="O1" t="s">
        <v>258</v>
      </c>
      <c r="P1" t="s">
        <v>259</v>
      </c>
      <c r="Q1" t="s">
        <v>265</v>
      </c>
      <c r="R1" t="s">
        <v>260</v>
      </c>
      <c r="S1" t="s">
        <v>261</v>
      </c>
      <c r="T1" t="s">
        <v>269</v>
      </c>
      <c r="U1" t="s">
        <v>271</v>
      </c>
      <c r="V1" t="s">
        <v>262</v>
      </c>
      <c r="W1" t="s">
        <v>263</v>
      </c>
      <c r="X1" t="s">
        <v>264</v>
      </c>
      <c r="Y1" t="s">
        <v>266</v>
      </c>
      <c r="Z1" t="s">
        <v>277</v>
      </c>
      <c r="AA1" t="s">
        <v>279</v>
      </c>
      <c r="AB1" t="s">
        <v>267</v>
      </c>
      <c r="AC1" t="s">
        <v>268</v>
      </c>
      <c r="AD1" t="s">
        <v>280</v>
      </c>
      <c r="AE1" t="s">
        <v>270</v>
      </c>
      <c r="AF1" t="s">
        <v>272</v>
      </c>
      <c r="AG1" t="s">
        <v>273</v>
      </c>
      <c r="AH1" t="s">
        <v>274</v>
      </c>
      <c r="AI1" t="s">
        <v>275</v>
      </c>
      <c r="AJ1" t="s">
        <v>276</v>
      </c>
      <c r="AK1" t="s">
        <v>282</v>
      </c>
    </row>
    <row r="2" spans="1:39">
      <c r="C2" t="s">
        <v>342</v>
      </c>
      <c r="D2" t="s">
        <v>343</v>
      </c>
      <c r="E2">
        <v>0.2</v>
      </c>
      <c r="F2">
        <v>4.2</v>
      </c>
      <c r="G2">
        <v>0.2</v>
      </c>
      <c r="H2">
        <v>0.1</v>
      </c>
      <c r="I2">
        <v>0</v>
      </c>
      <c r="J2">
        <v>0</v>
      </c>
      <c r="K2">
        <v>3</v>
      </c>
      <c r="L2">
        <v>8</v>
      </c>
      <c r="M2">
        <v>0.1</v>
      </c>
      <c r="N2">
        <v>0</v>
      </c>
      <c r="O2">
        <v>0.2</v>
      </c>
      <c r="P2">
        <v>0</v>
      </c>
      <c r="Q2">
        <v>0</v>
      </c>
      <c r="R2">
        <v>0.2</v>
      </c>
      <c r="S2">
        <v>3</v>
      </c>
      <c r="T2">
        <v>0</v>
      </c>
      <c r="U2">
        <v>0.1</v>
      </c>
      <c r="V2">
        <v>0.2</v>
      </c>
      <c r="W2">
        <v>3.2</v>
      </c>
      <c r="X2">
        <v>0.1</v>
      </c>
      <c r="Y2">
        <v>4.5</v>
      </c>
      <c r="Z2">
        <v>0.2</v>
      </c>
      <c r="AA2">
        <v>0</v>
      </c>
      <c r="AB2">
        <v>7.4</v>
      </c>
      <c r="AC2">
        <v>0.5</v>
      </c>
      <c r="AD2">
        <v>0</v>
      </c>
      <c r="AE2">
        <v>0</v>
      </c>
      <c r="AF2">
        <v>0.2</v>
      </c>
      <c r="AG2">
        <v>0.2</v>
      </c>
      <c r="AH2">
        <v>0.1</v>
      </c>
      <c r="AI2">
        <v>1.5</v>
      </c>
      <c r="AJ2">
        <v>0.1</v>
      </c>
      <c r="AK2">
        <v>0.1</v>
      </c>
    </row>
    <row r="3" spans="1:39">
      <c r="C3" t="s">
        <v>342</v>
      </c>
      <c r="D3" t="s">
        <v>344</v>
      </c>
      <c r="E3">
        <v>2</v>
      </c>
      <c r="F3">
        <v>0</v>
      </c>
      <c r="G3">
        <v>0</v>
      </c>
      <c r="H3">
        <v>0</v>
      </c>
      <c r="I3">
        <v>0</v>
      </c>
      <c r="J3">
        <v>0</v>
      </c>
      <c r="K3">
        <v>1</v>
      </c>
      <c r="L3">
        <v>10</v>
      </c>
      <c r="M3">
        <v>0</v>
      </c>
      <c r="N3">
        <v>2</v>
      </c>
      <c r="O3">
        <v>2</v>
      </c>
      <c r="P3">
        <v>0</v>
      </c>
      <c r="Q3">
        <v>0</v>
      </c>
      <c r="R3">
        <v>2</v>
      </c>
      <c r="S3">
        <v>3</v>
      </c>
      <c r="T3">
        <v>0</v>
      </c>
      <c r="U3">
        <v>0</v>
      </c>
      <c r="V3">
        <v>2</v>
      </c>
      <c r="W3">
        <v>1</v>
      </c>
      <c r="X3">
        <v>3</v>
      </c>
      <c r="Y3">
        <v>5</v>
      </c>
      <c r="Z3">
        <v>1</v>
      </c>
      <c r="AA3">
        <v>2</v>
      </c>
      <c r="AB3">
        <v>9</v>
      </c>
      <c r="AC3">
        <v>3</v>
      </c>
      <c r="AD3">
        <v>2</v>
      </c>
      <c r="AE3">
        <v>0</v>
      </c>
      <c r="AF3">
        <v>0</v>
      </c>
      <c r="AG3">
        <v>2</v>
      </c>
      <c r="AH3">
        <v>0</v>
      </c>
      <c r="AI3">
        <v>2</v>
      </c>
      <c r="AJ3">
        <v>2</v>
      </c>
      <c r="AK3">
        <v>0</v>
      </c>
    </row>
    <row r="4" spans="1:39">
      <c r="C4" t="s">
        <v>342</v>
      </c>
      <c r="D4" t="s">
        <v>345</v>
      </c>
      <c r="E4">
        <v>19</v>
      </c>
      <c r="F4">
        <v>27</v>
      </c>
      <c r="G4">
        <v>20</v>
      </c>
      <c r="H4">
        <v>3</v>
      </c>
      <c r="I4">
        <v>1</v>
      </c>
      <c r="J4">
        <v>7</v>
      </c>
      <c r="K4">
        <v>25</v>
      </c>
      <c r="L4">
        <v>120</v>
      </c>
      <c r="M4">
        <v>2</v>
      </c>
      <c r="N4">
        <v>5</v>
      </c>
      <c r="O4">
        <v>12</v>
      </c>
      <c r="P4">
        <v>15</v>
      </c>
      <c r="Q4">
        <v>3.6</v>
      </c>
      <c r="R4">
        <v>9</v>
      </c>
      <c r="S4">
        <v>80</v>
      </c>
      <c r="T4">
        <v>2</v>
      </c>
      <c r="U4">
        <v>10</v>
      </c>
      <c r="V4">
        <v>25</v>
      </c>
      <c r="W4">
        <v>31.8</v>
      </c>
      <c r="X4">
        <v>20.8</v>
      </c>
      <c r="Y4">
        <v>107</v>
      </c>
      <c r="Z4">
        <v>4</v>
      </c>
      <c r="AA4">
        <v>8</v>
      </c>
      <c r="AB4">
        <v>90</v>
      </c>
      <c r="AC4">
        <v>16</v>
      </c>
      <c r="AD4">
        <v>15</v>
      </c>
      <c r="AE4">
        <v>4</v>
      </c>
      <c r="AF4">
        <v>13</v>
      </c>
      <c r="AG4">
        <v>9</v>
      </c>
      <c r="AH4">
        <v>3</v>
      </c>
      <c r="AI4">
        <v>12</v>
      </c>
      <c r="AJ4">
        <v>10</v>
      </c>
      <c r="AK4">
        <v>1</v>
      </c>
    </row>
    <row r="5" spans="1:39">
      <c r="C5" t="s">
        <v>342</v>
      </c>
      <c r="D5" t="s">
        <v>346</v>
      </c>
      <c r="E5">
        <v>9.8000000000000007</v>
      </c>
      <c r="F5">
        <v>12.1</v>
      </c>
      <c r="G5">
        <v>12</v>
      </c>
      <c r="H5">
        <v>2</v>
      </c>
      <c r="I5">
        <v>1</v>
      </c>
      <c r="J5">
        <v>6</v>
      </c>
      <c r="K5">
        <v>15</v>
      </c>
      <c r="L5">
        <v>60</v>
      </c>
      <c r="M5">
        <v>1.5</v>
      </c>
      <c r="N5">
        <v>3</v>
      </c>
      <c r="O5">
        <v>8</v>
      </c>
      <c r="P5">
        <v>8</v>
      </c>
      <c r="Q5">
        <v>2.2999999999999998</v>
      </c>
      <c r="R5">
        <v>6</v>
      </c>
      <c r="S5">
        <v>30</v>
      </c>
      <c r="T5">
        <v>2</v>
      </c>
      <c r="U5">
        <v>6</v>
      </c>
      <c r="V5">
        <v>10</v>
      </c>
      <c r="W5">
        <v>17.8</v>
      </c>
      <c r="X5">
        <v>8.3000000000000007</v>
      </c>
      <c r="Y5">
        <v>48</v>
      </c>
      <c r="Z5">
        <v>4</v>
      </c>
      <c r="AA5">
        <v>5</v>
      </c>
      <c r="AB5">
        <v>42.6</v>
      </c>
      <c r="AC5">
        <v>8.8000000000000007</v>
      </c>
      <c r="AD5">
        <v>5</v>
      </c>
      <c r="AE5">
        <v>2</v>
      </c>
      <c r="AF5">
        <v>8</v>
      </c>
      <c r="AG5">
        <v>10</v>
      </c>
      <c r="AH5">
        <v>2</v>
      </c>
      <c r="AI5">
        <v>6</v>
      </c>
      <c r="AJ5">
        <v>8</v>
      </c>
      <c r="AK5">
        <v>0.8</v>
      </c>
    </row>
    <row r="6" spans="1:39">
      <c r="C6" t="s">
        <v>347</v>
      </c>
      <c r="D6" t="s">
        <v>343</v>
      </c>
      <c r="E6">
        <v>0.4</v>
      </c>
      <c r="F6">
        <v>7.3</v>
      </c>
      <c r="G6">
        <v>0.5</v>
      </c>
      <c r="H6">
        <v>0.2</v>
      </c>
      <c r="I6">
        <v>0</v>
      </c>
      <c r="J6">
        <v>0</v>
      </c>
      <c r="K6">
        <v>5</v>
      </c>
      <c r="L6">
        <v>15</v>
      </c>
      <c r="M6">
        <v>0.2</v>
      </c>
      <c r="N6">
        <v>0.1</v>
      </c>
      <c r="O6">
        <v>0.5</v>
      </c>
      <c r="P6">
        <v>0.1</v>
      </c>
      <c r="Q6">
        <v>0.1</v>
      </c>
      <c r="R6">
        <v>0.3</v>
      </c>
      <c r="S6">
        <v>6</v>
      </c>
      <c r="T6">
        <v>0</v>
      </c>
      <c r="U6">
        <v>0.3</v>
      </c>
      <c r="V6">
        <v>0.5</v>
      </c>
      <c r="W6">
        <v>6.2</v>
      </c>
      <c r="X6">
        <v>0.2</v>
      </c>
      <c r="Y6">
        <v>9</v>
      </c>
      <c r="Z6">
        <v>0.4</v>
      </c>
      <c r="AA6">
        <v>0.1</v>
      </c>
      <c r="AB6">
        <v>14.2</v>
      </c>
      <c r="AC6">
        <v>1.5</v>
      </c>
      <c r="AD6">
        <v>0</v>
      </c>
      <c r="AE6">
        <v>0.1</v>
      </c>
      <c r="AF6">
        <v>0.5</v>
      </c>
      <c r="AG6">
        <v>0.5</v>
      </c>
      <c r="AH6">
        <v>0.2</v>
      </c>
      <c r="AI6">
        <v>3</v>
      </c>
      <c r="AJ6">
        <v>0.3</v>
      </c>
      <c r="AK6">
        <v>0.2</v>
      </c>
    </row>
    <row r="7" spans="1:39">
      <c r="C7" t="s">
        <v>347</v>
      </c>
      <c r="D7" t="s">
        <v>344</v>
      </c>
      <c r="E7">
        <v>5</v>
      </c>
      <c r="F7">
        <v>1</v>
      </c>
      <c r="G7">
        <v>1</v>
      </c>
      <c r="H7">
        <v>0</v>
      </c>
      <c r="I7">
        <v>0</v>
      </c>
      <c r="J7">
        <v>2</v>
      </c>
      <c r="K7">
        <v>3</v>
      </c>
      <c r="L7">
        <v>20</v>
      </c>
      <c r="M7">
        <v>0</v>
      </c>
      <c r="N7">
        <v>4</v>
      </c>
      <c r="O7">
        <v>4</v>
      </c>
      <c r="P7">
        <v>0.5</v>
      </c>
      <c r="Q7">
        <v>0</v>
      </c>
      <c r="R7">
        <v>5</v>
      </c>
      <c r="S7">
        <v>6</v>
      </c>
      <c r="T7">
        <v>0</v>
      </c>
      <c r="U7">
        <v>0</v>
      </c>
      <c r="V7">
        <v>4</v>
      </c>
      <c r="W7">
        <v>2</v>
      </c>
      <c r="X7">
        <v>5</v>
      </c>
      <c r="Y7">
        <v>11</v>
      </c>
      <c r="Z7">
        <v>2</v>
      </c>
      <c r="AA7">
        <v>4</v>
      </c>
      <c r="AB7">
        <v>20</v>
      </c>
      <c r="AC7">
        <v>7</v>
      </c>
      <c r="AD7">
        <v>4</v>
      </c>
      <c r="AE7">
        <v>2</v>
      </c>
      <c r="AF7">
        <v>0</v>
      </c>
      <c r="AG7">
        <v>4</v>
      </c>
      <c r="AH7">
        <v>0</v>
      </c>
      <c r="AI7">
        <v>4</v>
      </c>
      <c r="AJ7">
        <v>4</v>
      </c>
      <c r="AK7">
        <v>0</v>
      </c>
    </row>
    <row r="8" spans="1:39">
      <c r="C8" t="s">
        <v>347</v>
      </c>
      <c r="D8" t="s">
        <v>345</v>
      </c>
      <c r="E8">
        <v>36</v>
      </c>
      <c r="F8">
        <v>48.5</v>
      </c>
      <c r="G8">
        <v>35</v>
      </c>
      <c r="H8">
        <v>5</v>
      </c>
      <c r="I8">
        <v>2</v>
      </c>
      <c r="J8">
        <v>14</v>
      </c>
      <c r="K8">
        <v>50</v>
      </c>
      <c r="L8">
        <v>250</v>
      </c>
      <c r="M8">
        <v>3.5</v>
      </c>
      <c r="N8">
        <v>9</v>
      </c>
      <c r="O8">
        <v>20</v>
      </c>
      <c r="P8">
        <v>25</v>
      </c>
      <c r="Q8">
        <v>7</v>
      </c>
      <c r="R8">
        <v>17</v>
      </c>
      <c r="S8">
        <v>150</v>
      </c>
      <c r="T8">
        <v>4</v>
      </c>
      <c r="U8">
        <v>18</v>
      </c>
      <c r="V8">
        <v>40</v>
      </c>
      <c r="W8">
        <v>60</v>
      </c>
      <c r="X8">
        <v>41.5</v>
      </c>
      <c r="Y8">
        <v>195</v>
      </c>
      <c r="Z8">
        <v>8</v>
      </c>
      <c r="AA8">
        <v>15</v>
      </c>
      <c r="AB8">
        <v>172</v>
      </c>
      <c r="AC8">
        <v>32</v>
      </c>
      <c r="AD8">
        <v>30</v>
      </c>
      <c r="AE8">
        <v>10</v>
      </c>
      <c r="AF8">
        <v>24</v>
      </c>
      <c r="AG8">
        <v>17</v>
      </c>
      <c r="AH8">
        <v>5</v>
      </c>
      <c r="AI8">
        <v>20</v>
      </c>
      <c r="AJ8">
        <v>18</v>
      </c>
      <c r="AK8">
        <v>2</v>
      </c>
    </row>
    <row r="9" spans="1:39">
      <c r="C9" t="s">
        <v>347</v>
      </c>
      <c r="D9" t="s">
        <v>346</v>
      </c>
      <c r="E9">
        <v>19.5</v>
      </c>
      <c r="F9">
        <v>22.1</v>
      </c>
      <c r="G9">
        <v>20</v>
      </c>
      <c r="H9">
        <v>3</v>
      </c>
      <c r="I9">
        <v>1.5</v>
      </c>
      <c r="J9">
        <v>12</v>
      </c>
      <c r="K9">
        <v>25</v>
      </c>
      <c r="L9">
        <v>100</v>
      </c>
      <c r="M9">
        <v>2.2999999999999998</v>
      </c>
      <c r="N9">
        <v>5</v>
      </c>
      <c r="O9">
        <v>12</v>
      </c>
      <c r="P9">
        <v>15</v>
      </c>
      <c r="Q9">
        <v>4.5</v>
      </c>
      <c r="R9">
        <v>10</v>
      </c>
      <c r="S9">
        <v>60</v>
      </c>
      <c r="T9">
        <v>4</v>
      </c>
      <c r="U9">
        <v>10</v>
      </c>
      <c r="V9">
        <v>18</v>
      </c>
      <c r="W9">
        <v>34.6</v>
      </c>
      <c r="X9">
        <v>16.5</v>
      </c>
      <c r="Y9">
        <v>90</v>
      </c>
      <c r="Z9">
        <v>8</v>
      </c>
      <c r="AA9">
        <v>10</v>
      </c>
      <c r="AB9">
        <v>82.3</v>
      </c>
      <c r="AC9">
        <v>16.5</v>
      </c>
      <c r="AD9">
        <v>10</v>
      </c>
      <c r="AE9">
        <v>5</v>
      </c>
      <c r="AF9">
        <v>14</v>
      </c>
      <c r="AG9">
        <v>19</v>
      </c>
      <c r="AH9">
        <v>3</v>
      </c>
      <c r="AI9">
        <v>10</v>
      </c>
      <c r="AJ9">
        <v>15</v>
      </c>
      <c r="AK9">
        <v>1.5</v>
      </c>
    </row>
    <row r="11" spans="1:39">
      <c r="A11" t="s">
        <v>52</v>
      </c>
    </row>
    <row r="14" spans="1:39">
      <c r="A14" t="s">
        <v>348</v>
      </c>
    </row>
    <row r="15" spans="1:39">
      <c r="A15" t="s">
        <v>77</v>
      </c>
      <c r="B15" t="s">
        <v>49</v>
      </c>
      <c r="C15" t="s">
        <v>13</v>
      </c>
      <c r="D15" t="s">
        <v>349</v>
      </c>
      <c r="E15" t="str">
        <f t="shared" ref="E15:AK19" si="0">E1</f>
        <v>Africa_North</v>
      </c>
      <c r="F15" t="str">
        <f t="shared" si="0"/>
        <v>Africa_Other</v>
      </c>
      <c r="G15" t="str">
        <f t="shared" si="0"/>
        <v>Australia</v>
      </c>
      <c r="H15" t="str">
        <f t="shared" si="0"/>
        <v>Austria</v>
      </c>
      <c r="I15" t="str">
        <f t="shared" si="0"/>
        <v>Baltics</v>
      </c>
      <c r="J15" t="str">
        <f t="shared" si="0"/>
        <v>BeNeLux</v>
      </c>
      <c r="K15" t="str">
        <f t="shared" si="0"/>
        <v>Brazil</v>
      </c>
      <c r="L15" t="str">
        <f t="shared" si="0"/>
        <v>China</v>
      </c>
      <c r="M15" t="str">
        <f t="shared" si="0"/>
        <v>CroSloven</v>
      </c>
      <c r="N15" t="str">
        <f t="shared" si="0"/>
        <v>CzechSlovak</v>
      </c>
      <c r="O15" t="str">
        <f t="shared" si="0"/>
        <v>France</v>
      </c>
      <c r="P15" t="str">
        <f t="shared" si="0"/>
        <v>Germany</v>
      </c>
      <c r="Q15" t="str">
        <f t="shared" si="0"/>
        <v>GreeceCyp</v>
      </c>
      <c r="R15" t="str">
        <f t="shared" si="0"/>
        <v>HunRomBul</v>
      </c>
      <c r="S15" t="str">
        <f t="shared" si="0"/>
        <v>India</v>
      </c>
      <c r="T15" t="str">
        <f t="shared" si="0"/>
        <v>Ireland</v>
      </c>
      <c r="U15" t="str">
        <f t="shared" si="0"/>
        <v>ItalyMal</v>
      </c>
      <c r="V15" t="str">
        <f t="shared" si="0"/>
        <v>Japan</v>
      </c>
      <c r="W15" t="str">
        <f t="shared" si="0"/>
        <v>LatAm</v>
      </c>
      <c r="X15" t="str">
        <f t="shared" si="0"/>
        <v>MidEast</v>
      </c>
      <c r="Y15" t="str">
        <f t="shared" si="0"/>
        <v>NorthAm</v>
      </c>
      <c r="Z15" t="str">
        <f t="shared" si="0"/>
        <v>Norway</v>
      </c>
      <c r="AA15" t="str">
        <f t="shared" si="0"/>
        <v>Poland</v>
      </c>
      <c r="AB15" t="str">
        <f t="shared" si="0"/>
        <v>ROW</v>
      </c>
      <c r="AC15" t="str">
        <f t="shared" si="0"/>
        <v>Russia</v>
      </c>
      <c r="AD15" t="str">
        <f t="shared" si="0"/>
        <v>SaudiArabia</v>
      </c>
      <c r="AE15" t="str">
        <f t="shared" si="0"/>
        <v>SouthAfrica</v>
      </c>
      <c r="AF15" t="str">
        <f t="shared" si="0"/>
        <v>SpainPor</v>
      </c>
      <c r="AG15" t="str">
        <f t="shared" si="0"/>
        <v>SweFinDen</v>
      </c>
      <c r="AH15" t="str">
        <f t="shared" si="0"/>
        <v>Switzerland</v>
      </c>
      <c r="AI15" t="str">
        <f t="shared" si="0"/>
        <v>Turkey</v>
      </c>
      <c r="AJ15" t="str">
        <f t="shared" si="0"/>
        <v>UK</v>
      </c>
      <c r="AK15" t="str">
        <f t="shared" si="0"/>
        <v>WestBalkans</v>
      </c>
      <c r="AL15" t="s">
        <v>350</v>
      </c>
      <c r="AM15">
        <v>0</v>
      </c>
    </row>
    <row r="16" spans="1:39">
      <c r="A16" t="s">
        <v>351</v>
      </c>
      <c r="B16" t="s">
        <v>352</v>
      </c>
      <c r="C16">
        <v>2025</v>
      </c>
      <c r="D16">
        <v>1</v>
      </c>
      <c r="E16">
        <f t="shared" si="0"/>
        <v>0.2</v>
      </c>
      <c r="F16">
        <f t="shared" si="0"/>
        <v>4.2</v>
      </c>
      <c r="G16">
        <f t="shared" si="0"/>
        <v>0.2</v>
      </c>
      <c r="H16">
        <f t="shared" si="0"/>
        <v>0.1</v>
      </c>
      <c r="I16">
        <f t="shared" si="0"/>
        <v>0</v>
      </c>
      <c r="J16">
        <f t="shared" si="0"/>
        <v>0</v>
      </c>
      <c r="K16">
        <f t="shared" si="0"/>
        <v>3</v>
      </c>
      <c r="L16">
        <f t="shared" si="0"/>
        <v>8</v>
      </c>
      <c r="M16">
        <f t="shared" si="0"/>
        <v>0.1</v>
      </c>
      <c r="N16">
        <f t="shared" si="0"/>
        <v>0</v>
      </c>
      <c r="O16">
        <f t="shared" si="0"/>
        <v>0.2</v>
      </c>
      <c r="P16">
        <f t="shared" si="0"/>
        <v>0</v>
      </c>
      <c r="Q16">
        <f t="shared" si="0"/>
        <v>0</v>
      </c>
      <c r="R16">
        <f t="shared" si="0"/>
        <v>0.2</v>
      </c>
      <c r="S16">
        <f t="shared" si="0"/>
        <v>3</v>
      </c>
      <c r="T16">
        <f t="shared" si="0"/>
        <v>0</v>
      </c>
      <c r="U16">
        <f t="shared" si="0"/>
        <v>0.1</v>
      </c>
      <c r="V16">
        <f t="shared" si="0"/>
        <v>0.2</v>
      </c>
      <c r="W16">
        <f t="shared" si="0"/>
        <v>3.2</v>
      </c>
      <c r="X16">
        <f t="shared" si="0"/>
        <v>0.1</v>
      </c>
      <c r="Y16">
        <f t="shared" si="0"/>
        <v>4.5</v>
      </c>
      <c r="Z16">
        <f t="shared" si="0"/>
        <v>0.2</v>
      </c>
      <c r="AA16">
        <f t="shared" si="0"/>
        <v>0</v>
      </c>
      <c r="AB16">
        <f t="shared" si="0"/>
        <v>7.4</v>
      </c>
      <c r="AC16">
        <f t="shared" si="0"/>
        <v>0.5</v>
      </c>
      <c r="AD16">
        <f t="shared" si="0"/>
        <v>0</v>
      </c>
      <c r="AE16">
        <f t="shared" si="0"/>
        <v>0</v>
      </c>
      <c r="AF16">
        <f t="shared" si="0"/>
        <v>0.2</v>
      </c>
      <c r="AG16">
        <f t="shared" si="0"/>
        <v>0.2</v>
      </c>
      <c r="AH16">
        <f t="shared" si="0"/>
        <v>0.1</v>
      </c>
      <c r="AI16">
        <f t="shared" si="0"/>
        <v>1.5</v>
      </c>
      <c r="AJ16">
        <f t="shared" si="0"/>
        <v>0.1</v>
      </c>
      <c r="AK16">
        <f t="shared" si="0"/>
        <v>0.1</v>
      </c>
      <c r="AL16" t="s">
        <v>353</v>
      </c>
      <c r="AM16">
        <v>3</v>
      </c>
    </row>
    <row r="17" spans="1:41">
      <c r="A17" t="s">
        <v>354</v>
      </c>
      <c r="B17" t="s">
        <v>355</v>
      </c>
      <c r="C17">
        <v>2025</v>
      </c>
      <c r="D17">
        <v>1</v>
      </c>
      <c r="E17">
        <f t="shared" si="0"/>
        <v>2</v>
      </c>
      <c r="F17">
        <f t="shared" si="0"/>
        <v>0</v>
      </c>
      <c r="G17">
        <f t="shared" si="0"/>
        <v>0</v>
      </c>
      <c r="H17">
        <f t="shared" si="0"/>
        <v>0</v>
      </c>
      <c r="I17">
        <f t="shared" si="0"/>
        <v>0</v>
      </c>
      <c r="J17">
        <f t="shared" si="0"/>
        <v>0</v>
      </c>
      <c r="K17">
        <f t="shared" si="0"/>
        <v>1</v>
      </c>
      <c r="L17">
        <f t="shared" si="0"/>
        <v>10</v>
      </c>
      <c r="M17">
        <f t="shared" si="0"/>
        <v>0</v>
      </c>
      <c r="N17">
        <f t="shared" si="0"/>
        <v>2</v>
      </c>
      <c r="O17">
        <f t="shared" si="0"/>
        <v>2</v>
      </c>
      <c r="P17">
        <f t="shared" si="0"/>
        <v>0</v>
      </c>
      <c r="Q17">
        <f t="shared" si="0"/>
        <v>0</v>
      </c>
      <c r="R17">
        <f t="shared" si="0"/>
        <v>2</v>
      </c>
      <c r="S17">
        <f t="shared" si="0"/>
        <v>3</v>
      </c>
      <c r="T17">
        <f t="shared" si="0"/>
        <v>0</v>
      </c>
      <c r="U17">
        <f t="shared" si="0"/>
        <v>0</v>
      </c>
      <c r="V17">
        <f t="shared" si="0"/>
        <v>2</v>
      </c>
      <c r="W17">
        <f t="shared" si="0"/>
        <v>1</v>
      </c>
      <c r="X17">
        <f t="shared" si="0"/>
        <v>3</v>
      </c>
      <c r="Y17">
        <f t="shared" si="0"/>
        <v>5</v>
      </c>
      <c r="Z17">
        <f t="shared" si="0"/>
        <v>1</v>
      </c>
      <c r="AA17">
        <f t="shared" si="0"/>
        <v>2</v>
      </c>
      <c r="AB17">
        <f t="shared" si="0"/>
        <v>9</v>
      </c>
      <c r="AC17">
        <f t="shared" si="0"/>
        <v>3</v>
      </c>
      <c r="AD17">
        <f t="shared" si="0"/>
        <v>2</v>
      </c>
      <c r="AE17">
        <f t="shared" si="0"/>
        <v>0</v>
      </c>
      <c r="AF17">
        <f t="shared" si="0"/>
        <v>0</v>
      </c>
      <c r="AG17">
        <f t="shared" si="0"/>
        <v>2</v>
      </c>
      <c r="AH17">
        <f t="shared" si="0"/>
        <v>0</v>
      </c>
      <c r="AI17">
        <f t="shared" si="0"/>
        <v>2</v>
      </c>
      <c r="AJ17">
        <f t="shared" si="0"/>
        <v>2</v>
      </c>
      <c r="AK17">
        <f t="shared" si="0"/>
        <v>0</v>
      </c>
      <c r="AL17" t="s">
        <v>353</v>
      </c>
      <c r="AM17">
        <v>3</v>
      </c>
    </row>
    <row r="18" spans="1:41">
      <c r="A18" t="s">
        <v>356</v>
      </c>
      <c r="B18" t="s">
        <v>357</v>
      </c>
      <c r="C18">
        <v>2025</v>
      </c>
      <c r="D18">
        <v>1</v>
      </c>
      <c r="E18">
        <f t="shared" si="0"/>
        <v>19</v>
      </c>
      <c r="F18">
        <f t="shared" si="0"/>
        <v>27</v>
      </c>
      <c r="G18">
        <f t="shared" si="0"/>
        <v>20</v>
      </c>
      <c r="H18">
        <f t="shared" si="0"/>
        <v>3</v>
      </c>
      <c r="I18">
        <f t="shared" si="0"/>
        <v>1</v>
      </c>
      <c r="J18">
        <f t="shared" si="0"/>
        <v>7</v>
      </c>
      <c r="K18">
        <f t="shared" si="0"/>
        <v>25</v>
      </c>
      <c r="L18">
        <f t="shared" si="0"/>
        <v>120</v>
      </c>
      <c r="M18">
        <f t="shared" si="0"/>
        <v>2</v>
      </c>
      <c r="N18">
        <f t="shared" si="0"/>
        <v>5</v>
      </c>
      <c r="O18">
        <f t="shared" si="0"/>
        <v>12</v>
      </c>
      <c r="P18">
        <f t="shared" si="0"/>
        <v>15</v>
      </c>
      <c r="Q18">
        <f t="shared" si="0"/>
        <v>3.6</v>
      </c>
      <c r="R18">
        <f t="shared" si="0"/>
        <v>9</v>
      </c>
      <c r="S18">
        <f t="shared" si="0"/>
        <v>80</v>
      </c>
      <c r="T18">
        <f t="shared" si="0"/>
        <v>2</v>
      </c>
      <c r="U18">
        <f t="shared" si="0"/>
        <v>10</v>
      </c>
      <c r="V18">
        <f t="shared" si="0"/>
        <v>25</v>
      </c>
      <c r="W18">
        <f t="shared" si="0"/>
        <v>31.8</v>
      </c>
      <c r="X18">
        <f t="shared" si="0"/>
        <v>20.8</v>
      </c>
      <c r="Y18">
        <f t="shared" si="0"/>
        <v>107</v>
      </c>
      <c r="Z18">
        <f t="shared" si="0"/>
        <v>4</v>
      </c>
      <c r="AA18">
        <f t="shared" si="0"/>
        <v>8</v>
      </c>
      <c r="AB18">
        <f t="shared" si="0"/>
        <v>90</v>
      </c>
      <c r="AC18">
        <f t="shared" si="0"/>
        <v>16</v>
      </c>
      <c r="AD18">
        <f t="shared" si="0"/>
        <v>15</v>
      </c>
      <c r="AE18">
        <f t="shared" si="0"/>
        <v>4</v>
      </c>
      <c r="AF18">
        <f t="shared" si="0"/>
        <v>13</v>
      </c>
      <c r="AG18">
        <f t="shared" si="0"/>
        <v>9</v>
      </c>
      <c r="AH18">
        <f t="shared" si="0"/>
        <v>3</v>
      </c>
      <c r="AI18">
        <f t="shared" si="0"/>
        <v>12</v>
      </c>
      <c r="AJ18">
        <f t="shared" si="0"/>
        <v>10</v>
      </c>
      <c r="AK18">
        <f t="shared" si="0"/>
        <v>1</v>
      </c>
      <c r="AL18" t="s">
        <v>353</v>
      </c>
      <c r="AM18">
        <v>3</v>
      </c>
    </row>
    <row r="19" spans="1:41">
      <c r="A19" t="s">
        <v>358</v>
      </c>
      <c r="B19" t="s">
        <v>359</v>
      </c>
      <c r="C19">
        <v>2025</v>
      </c>
      <c r="D19">
        <v>1</v>
      </c>
      <c r="E19">
        <f t="shared" si="0"/>
        <v>9.8000000000000007</v>
      </c>
      <c r="F19">
        <f t="shared" si="0"/>
        <v>12.1</v>
      </c>
      <c r="G19">
        <f t="shared" si="0"/>
        <v>12</v>
      </c>
      <c r="H19">
        <f t="shared" si="0"/>
        <v>2</v>
      </c>
      <c r="I19">
        <f t="shared" si="0"/>
        <v>1</v>
      </c>
      <c r="J19">
        <f t="shared" si="0"/>
        <v>6</v>
      </c>
      <c r="K19">
        <f t="shared" si="0"/>
        <v>15</v>
      </c>
      <c r="L19">
        <f t="shared" si="0"/>
        <v>60</v>
      </c>
      <c r="M19">
        <f t="shared" si="0"/>
        <v>1.5</v>
      </c>
      <c r="N19">
        <f t="shared" si="0"/>
        <v>3</v>
      </c>
      <c r="O19">
        <f t="shared" si="0"/>
        <v>8</v>
      </c>
      <c r="P19">
        <f t="shared" si="0"/>
        <v>8</v>
      </c>
      <c r="Q19">
        <f t="shared" si="0"/>
        <v>2.2999999999999998</v>
      </c>
      <c r="R19">
        <f t="shared" si="0"/>
        <v>6</v>
      </c>
      <c r="S19">
        <f t="shared" si="0"/>
        <v>30</v>
      </c>
      <c r="T19">
        <f t="shared" si="0"/>
        <v>2</v>
      </c>
      <c r="U19">
        <f t="shared" si="0"/>
        <v>6</v>
      </c>
      <c r="V19">
        <f t="shared" si="0"/>
        <v>10</v>
      </c>
      <c r="W19">
        <f t="shared" si="0"/>
        <v>17.8</v>
      </c>
      <c r="X19">
        <f t="shared" ref="X19:AK19" si="1">X5</f>
        <v>8.3000000000000007</v>
      </c>
      <c r="Y19">
        <f t="shared" si="1"/>
        <v>48</v>
      </c>
      <c r="Z19">
        <f t="shared" si="1"/>
        <v>4</v>
      </c>
      <c r="AA19">
        <f t="shared" si="1"/>
        <v>5</v>
      </c>
      <c r="AB19">
        <f t="shared" si="1"/>
        <v>42.6</v>
      </c>
      <c r="AC19">
        <f t="shared" si="1"/>
        <v>8.8000000000000007</v>
      </c>
      <c r="AD19">
        <f t="shared" si="1"/>
        <v>5</v>
      </c>
      <c r="AE19">
        <f t="shared" si="1"/>
        <v>2</v>
      </c>
      <c r="AF19">
        <f t="shared" si="1"/>
        <v>8</v>
      </c>
      <c r="AG19">
        <f t="shared" si="1"/>
        <v>10</v>
      </c>
      <c r="AH19">
        <f t="shared" si="1"/>
        <v>2</v>
      </c>
      <c r="AI19">
        <f t="shared" si="1"/>
        <v>6</v>
      </c>
      <c r="AJ19">
        <f t="shared" si="1"/>
        <v>8</v>
      </c>
      <c r="AK19">
        <f t="shared" si="1"/>
        <v>0.8</v>
      </c>
      <c r="AL19" t="s">
        <v>353</v>
      </c>
      <c r="AM19">
        <v>3</v>
      </c>
    </row>
    <row r="20" spans="1:41">
      <c r="A20" t="str">
        <f>A16</f>
        <v>uce_buildrate_hydro</v>
      </c>
      <c r="C20">
        <v>2050</v>
      </c>
      <c r="E20">
        <f t="shared" ref="E20:AJ23" si="2">E6</f>
        <v>0.4</v>
      </c>
      <c r="F20">
        <f t="shared" si="2"/>
        <v>7.3</v>
      </c>
      <c r="G20">
        <f t="shared" si="2"/>
        <v>0.5</v>
      </c>
      <c r="H20">
        <f t="shared" si="2"/>
        <v>0.2</v>
      </c>
      <c r="I20">
        <f t="shared" si="2"/>
        <v>0</v>
      </c>
      <c r="J20">
        <f t="shared" si="2"/>
        <v>0</v>
      </c>
      <c r="K20">
        <f t="shared" si="2"/>
        <v>5</v>
      </c>
      <c r="L20">
        <f t="shared" si="2"/>
        <v>15</v>
      </c>
      <c r="M20">
        <f t="shared" si="2"/>
        <v>0.2</v>
      </c>
      <c r="N20">
        <f t="shared" si="2"/>
        <v>0.1</v>
      </c>
      <c r="O20">
        <f t="shared" si="2"/>
        <v>0.5</v>
      </c>
      <c r="P20">
        <f t="shared" si="2"/>
        <v>0.1</v>
      </c>
      <c r="Q20">
        <f t="shared" si="2"/>
        <v>0.1</v>
      </c>
      <c r="R20">
        <f t="shared" si="2"/>
        <v>0.3</v>
      </c>
      <c r="S20">
        <f t="shared" si="2"/>
        <v>6</v>
      </c>
      <c r="T20">
        <f t="shared" si="2"/>
        <v>0</v>
      </c>
      <c r="U20">
        <f t="shared" si="2"/>
        <v>0.3</v>
      </c>
      <c r="V20">
        <f t="shared" si="2"/>
        <v>0.5</v>
      </c>
      <c r="W20">
        <f t="shared" si="2"/>
        <v>6.2</v>
      </c>
      <c r="X20">
        <f t="shared" si="2"/>
        <v>0.2</v>
      </c>
      <c r="Y20">
        <f t="shared" si="2"/>
        <v>9</v>
      </c>
      <c r="Z20">
        <f t="shared" si="2"/>
        <v>0.4</v>
      </c>
      <c r="AA20">
        <f t="shared" si="2"/>
        <v>0.1</v>
      </c>
      <c r="AB20">
        <f t="shared" si="2"/>
        <v>14.2</v>
      </c>
      <c r="AC20">
        <f t="shared" si="2"/>
        <v>1.5</v>
      </c>
      <c r="AD20">
        <f t="shared" si="2"/>
        <v>0</v>
      </c>
      <c r="AE20">
        <f t="shared" si="2"/>
        <v>0.1</v>
      </c>
      <c r="AF20">
        <f t="shared" si="2"/>
        <v>0.5</v>
      </c>
      <c r="AG20">
        <f t="shared" si="2"/>
        <v>0.5</v>
      </c>
      <c r="AH20">
        <f t="shared" si="2"/>
        <v>0.2</v>
      </c>
      <c r="AI20">
        <f t="shared" si="2"/>
        <v>3</v>
      </c>
      <c r="AJ20">
        <f t="shared" si="2"/>
        <v>0.3</v>
      </c>
      <c r="AK20">
        <f t="shared" ref="AK20:AK23" si="3">AK6</f>
        <v>0.2</v>
      </c>
    </row>
    <row r="21" spans="1:41">
      <c r="A21" t="str">
        <f t="shared" ref="A21:A23" si="4">A17</f>
        <v>uce_buildrate_nuclear</v>
      </c>
      <c r="C21">
        <v>2050</v>
      </c>
      <c r="E21">
        <f t="shared" si="2"/>
        <v>5</v>
      </c>
      <c r="F21">
        <f t="shared" si="2"/>
        <v>1</v>
      </c>
      <c r="G21">
        <f t="shared" si="2"/>
        <v>1</v>
      </c>
      <c r="H21">
        <f t="shared" si="2"/>
        <v>0</v>
      </c>
      <c r="I21">
        <f t="shared" si="2"/>
        <v>0</v>
      </c>
      <c r="J21">
        <f t="shared" si="2"/>
        <v>2</v>
      </c>
      <c r="K21">
        <f t="shared" si="2"/>
        <v>3</v>
      </c>
      <c r="L21">
        <f t="shared" si="2"/>
        <v>20</v>
      </c>
      <c r="M21">
        <f t="shared" si="2"/>
        <v>0</v>
      </c>
      <c r="N21">
        <f t="shared" si="2"/>
        <v>4</v>
      </c>
      <c r="O21">
        <f t="shared" si="2"/>
        <v>4</v>
      </c>
      <c r="P21">
        <f t="shared" si="2"/>
        <v>0.5</v>
      </c>
      <c r="Q21">
        <f t="shared" si="2"/>
        <v>0</v>
      </c>
      <c r="R21">
        <f t="shared" si="2"/>
        <v>5</v>
      </c>
      <c r="S21">
        <f t="shared" si="2"/>
        <v>6</v>
      </c>
      <c r="T21">
        <f t="shared" si="2"/>
        <v>0</v>
      </c>
      <c r="U21">
        <f t="shared" si="2"/>
        <v>0</v>
      </c>
      <c r="V21">
        <f t="shared" si="2"/>
        <v>4</v>
      </c>
      <c r="W21">
        <f t="shared" si="2"/>
        <v>2</v>
      </c>
      <c r="X21">
        <f t="shared" si="2"/>
        <v>5</v>
      </c>
      <c r="Y21">
        <f t="shared" si="2"/>
        <v>11</v>
      </c>
      <c r="Z21">
        <f t="shared" si="2"/>
        <v>2</v>
      </c>
      <c r="AA21">
        <f t="shared" si="2"/>
        <v>4</v>
      </c>
      <c r="AB21">
        <f t="shared" si="2"/>
        <v>20</v>
      </c>
      <c r="AC21">
        <f t="shared" si="2"/>
        <v>7</v>
      </c>
      <c r="AD21">
        <f t="shared" si="2"/>
        <v>4</v>
      </c>
      <c r="AE21">
        <f t="shared" si="2"/>
        <v>2</v>
      </c>
      <c r="AF21">
        <f t="shared" si="2"/>
        <v>0</v>
      </c>
      <c r="AG21">
        <f t="shared" si="2"/>
        <v>4</v>
      </c>
      <c r="AH21">
        <f t="shared" si="2"/>
        <v>0</v>
      </c>
      <c r="AI21">
        <f t="shared" si="2"/>
        <v>4</v>
      </c>
      <c r="AJ21">
        <f t="shared" si="2"/>
        <v>4</v>
      </c>
      <c r="AK21">
        <f t="shared" si="3"/>
        <v>0</v>
      </c>
    </row>
    <row r="22" spans="1:41">
      <c r="A22" t="str">
        <f t="shared" si="4"/>
        <v>uce_buildrate_solar</v>
      </c>
      <c r="C22">
        <v>2050</v>
      </c>
      <c r="E22">
        <f t="shared" si="2"/>
        <v>36</v>
      </c>
      <c r="F22">
        <f t="shared" si="2"/>
        <v>48.5</v>
      </c>
      <c r="G22">
        <f t="shared" si="2"/>
        <v>35</v>
      </c>
      <c r="H22">
        <f t="shared" si="2"/>
        <v>5</v>
      </c>
      <c r="I22">
        <f t="shared" si="2"/>
        <v>2</v>
      </c>
      <c r="J22">
        <f t="shared" si="2"/>
        <v>14</v>
      </c>
      <c r="K22">
        <f t="shared" si="2"/>
        <v>50</v>
      </c>
      <c r="L22">
        <f t="shared" si="2"/>
        <v>250</v>
      </c>
      <c r="M22">
        <f t="shared" si="2"/>
        <v>3.5</v>
      </c>
      <c r="N22">
        <f t="shared" si="2"/>
        <v>9</v>
      </c>
      <c r="O22">
        <f t="shared" si="2"/>
        <v>20</v>
      </c>
      <c r="P22">
        <f t="shared" si="2"/>
        <v>25</v>
      </c>
      <c r="Q22">
        <f t="shared" si="2"/>
        <v>7</v>
      </c>
      <c r="R22">
        <f t="shared" si="2"/>
        <v>17</v>
      </c>
      <c r="S22">
        <f t="shared" si="2"/>
        <v>150</v>
      </c>
      <c r="T22">
        <f t="shared" si="2"/>
        <v>4</v>
      </c>
      <c r="U22">
        <f t="shared" si="2"/>
        <v>18</v>
      </c>
      <c r="V22">
        <f t="shared" si="2"/>
        <v>40</v>
      </c>
      <c r="W22">
        <f t="shared" si="2"/>
        <v>60</v>
      </c>
      <c r="X22">
        <f t="shared" si="2"/>
        <v>41.5</v>
      </c>
      <c r="Y22">
        <f t="shared" si="2"/>
        <v>195</v>
      </c>
      <c r="Z22">
        <f t="shared" si="2"/>
        <v>8</v>
      </c>
      <c r="AA22">
        <f t="shared" si="2"/>
        <v>15</v>
      </c>
      <c r="AB22">
        <f t="shared" si="2"/>
        <v>172</v>
      </c>
      <c r="AC22">
        <f t="shared" si="2"/>
        <v>32</v>
      </c>
      <c r="AD22">
        <f t="shared" si="2"/>
        <v>30</v>
      </c>
      <c r="AE22">
        <f t="shared" si="2"/>
        <v>10</v>
      </c>
      <c r="AF22">
        <f t="shared" si="2"/>
        <v>24</v>
      </c>
      <c r="AG22">
        <f t="shared" si="2"/>
        <v>17</v>
      </c>
      <c r="AH22">
        <f t="shared" si="2"/>
        <v>5</v>
      </c>
      <c r="AI22">
        <f t="shared" si="2"/>
        <v>20</v>
      </c>
      <c r="AJ22">
        <f t="shared" si="2"/>
        <v>18</v>
      </c>
      <c r="AK22">
        <f t="shared" si="3"/>
        <v>2</v>
      </c>
    </row>
    <row r="23" spans="1:41">
      <c r="A23" t="str">
        <f t="shared" si="4"/>
        <v>uce_buildrate_wind</v>
      </c>
      <c r="C23">
        <v>2050</v>
      </c>
      <c r="E23">
        <f t="shared" si="2"/>
        <v>19.5</v>
      </c>
      <c r="F23">
        <f t="shared" si="2"/>
        <v>22.1</v>
      </c>
      <c r="G23">
        <f t="shared" si="2"/>
        <v>20</v>
      </c>
      <c r="H23">
        <f t="shared" si="2"/>
        <v>3</v>
      </c>
      <c r="I23">
        <f t="shared" si="2"/>
        <v>1.5</v>
      </c>
      <c r="J23">
        <f t="shared" si="2"/>
        <v>12</v>
      </c>
      <c r="K23">
        <f t="shared" si="2"/>
        <v>25</v>
      </c>
      <c r="L23">
        <f t="shared" si="2"/>
        <v>100</v>
      </c>
      <c r="M23">
        <f t="shared" si="2"/>
        <v>2.2999999999999998</v>
      </c>
      <c r="N23">
        <f t="shared" si="2"/>
        <v>5</v>
      </c>
      <c r="O23">
        <f t="shared" si="2"/>
        <v>12</v>
      </c>
      <c r="P23">
        <f t="shared" si="2"/>
        <v>15</v>
      </c>
      <c r="Q23">
        <f t="shared" si="2"/>
        <v>4.5</v>
      </c>
      <c r="R23">
        <f t="shared" si="2"/>
        <v>10</v>
      </c>
      <c r="S23">
        <f t="shared" si="2"/>
        <v>60</v>
      </c>
      <c r="T23">
        <f t="shared" si="2"/>
        <v>4</v>
      </c>
      <c r="U23">
        <f t="shared" si="2"/>
        <v>10</v>
      </c>
      <c r="V23">
        <f t="shared" si="2"/>
        <v>18</v>
      </c>
      <c r="W23">
        <f t="shared" si="2"/>
        <v>34.6</v>
      </c>
      <c r="X23">
        <f t="shared" si="2"/>
        <v>16.5</v>
      </c>
      <c r="Y23">
        <f t="shared" si="2"/>
        <v>90</v>
      </c>
      <c r="Z23">
        <f t="shared" si="2"/>
        <v>8</v>
      </c>
      <c r="AA23">
        <f t="shared" si="2"/>
        <v>10</v>
      </c>
      <c r="AB23">
        <f t="shared" si="2"/>
        <v>82.3</v>
      </c>
      <c r="AC23">
        <f t="shared" si="2"/>
        <v>16.5</v>
      </c>
      <c r="AD23">
        <f t="shared" si="2"/>
        <v>10</v>
      </c>
      <c r="AE23">
        <f t="shared" si="2"/>
        <v>5</v>
      </c>
      <c r="AF23">
        <f t="shared" si="2"/>
        <v>14</v>
      </c>
      <c r="AG23">
        <f t="shared" si="2"/>
        <v>19</v>
      </c>
      <c r="AH23">
        <f t="shared" si="2"/>
        <v>3</v>
      </c>
      <c r="AI23">
        <f t="shared" si="2"/>
        <v>10</v>
      </c>
      <c r="AJ23">
        <f t="shared" si="2"/>
        <v>15</v>
      </c>
      <c r="AK23">
        <f t="shared" si="3"/>
        <v>1.5</v>
      </c>
    </row>
    <row r="25" spans="1:41" s="3" customFormat="1">
      <c r="A25" s="4" t="s">
        <v>348</v>
      </c>
    </row>
    <row r="26" spans="1:41" s="3" customFormat="1"/>
    <row r="27" spans="1:41" s="3" customFormat="1"/>
    <row r="28" spans="1:41" s="3" customFormat="1"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</row>
    <row r="29" spans="1:41" s="3" customFormat="1" ht="14.65">
      <c r="A29" s="4" t="s">
        <v>77</v>
      </c>
      <c r="B29" s="4" t="s">
        <v>49</v>
      </c>
      <c r="C29" s="4" t="s">
        <v>13</v>
      </c>
      <c r="D29" s="4" t="s">
        <v>349</v>
      </c>
      <c r="E29" s="4" t="s">
        <v>245</v>
      </c>
      <c r="F29" s="4" t="s">
        <v>248</v>
      </c>
      <c r="G29" s="4" t="s">
        <v>252</v>
      </c>
      <c r="H29" s="4" t="s">
        <v>254</v>
      </c>
      <c r="I29" s="4" t="s">
        <v>256</v>
      </c>
      <c r="J29" s="4" t="s">
        <v>247</v>
      </c>
      <c r="K29" s="4" t="s">
        <v>251</v>
      </c>
      <c r="L29" s="4" t="s">
        <v>253</v>
      </c>
      <c r="M29" s="4" t="s">
        <v>255</v>
      </c>
      <c r="N29" s="4" t="s">
        <v>257</v>
      </c>
      <c r="O29" s="4" t="s">
        <v>258</v>
      </c>
      <c r="P29" s="4" t="s">
        <v>259</v>
      </c>
      <c r="Q29" s="4" t="s">
        <v>265</v>
      </c>
      <c r="R29" s="4" t="s">
        <v>260</v>
      </c>
      <c r="S29" s="4" t="s">
        <v>261</v>
      </c>
      <c r="T29" s="4" t="s">
        <v>269</v>
      </c>
      <c r="U29" s="4" t="s">
        <v>271</v>
      </c>
      <c r="V29" s="4" t="s">
        <v>262</v>
      </c>
      <c r="W29" s="4" t="s">
        <v>263</v>
      </c>
      <c r="X29" s="4" t="s">
        <v>264</v>
      </c>
      <c r="Y29" s="4" t="s">
        <v>266</v>
      </c>
      <c r="Z29" s="4" t="s">
        <v>277</v>
      </c>
      <c r="AA29" s="4" t="s">
        <v>279</v>
      </c>
      <c r="AB29" s="4" t="s">
        <v>267</v>
      </c>
      <c r="AC29" s="4" t="s">
        <v>268</v>
      </c>
      <c r="AD29" s="4" t="s">
        <v>280</v>
      </c>
      <c r="AE29" s="4" t="s">
        <v>270</v>
      </c>
      <c r="AF29" s="4" t="s">
        <v>272</v>
      </c>
      <c r="AG29" s="4" t="s">
        <v>273</v>
      </c>
      <c r="AH29" s="4" t="s">
        <v>274</v>
      </c>
      <c r="AI29" s="4" t="s">
        <v>275</v>
      </c>
      <c r="AJ29" s="4" t="s">
        <v>276</v>
      </c>
      <c r="AK29" s="4" t="s">
        <v>282</v>
      </c>
      <c r="AL29" s="5" t="s">
        <v>278</v>
      </c>
      <c r="AM29" s="3" t="s">
        <v>285</v>
      </c>
      <c r="AN29" s="4" t="s">
        <v>350</v>
      </c>
      <c r="AO29" s="3">
        <v>0</v>
      </c>
    </row>
    <row r="30" spans="1:41" s="3" customFormat="1">
      <c r="A30" s="3" t="s">
        <v>360</v>
      </c>
      <c r="B30" s="4" t="s">
        <v>361</v>
      </c>
      <c r="C30" s="4">
        <v>2030</v>
      </c>
      <c r="D30" s="4">
        <v>1</v>
      </c>
      <c r="E30" s="4">
        <v>3</v>
      </c>
      <c r="F30" s="4">
        <v>4</v>
      </c>
      <c r="G30" s="4">
        <v>1.5</v>
      </c>
      <c r="H30" s="4">
        <v>0.3</v>
      </c>
      <c r="I30" s="4">
        <v>0.2</v>
      </c>
      <c r="J30" s="4">
        <v>0.5</v>
      </c>
      <c r="K30" s="4">
        <v>2</v>
      </c>
      <c r="L30" s="4">
        <v>12</v>
      </c>
      <c r="M30" s="4">
        <v>0.2</v>
      </c>
      <c r="N30" s="4">
        <v>0.3</v>
      </c>
      <c r="O30" s="4">
        <v>1</v>
      </c>
      <c r="P30" s="4">
        <v>2</v>
      </c>
      <c r="Q30" s="4">
        <v>0.4</v>
      </c>
      <c r="R30" s="4">
        <v>0.6</v>
      </c>
      <c r="S30" s="4">
        <v>2</v>
      </c>
      <c r="T30" s="4">
        <v>0.3</v>
      </c>
      <c r="U30" s="4">
        <v>1.2</v>
      </c>
      <c r="V30" s="4">
        <v>2</v>
      </c>
      <c r="W30" s="4">
        <v>5</v>
      </c>
      <c r="X30" s="4">
        <v>8</v>
      </c>
      <c r="Y30" s="4">
        <v>10</v>
      </c>
      <c r="Z30" s="4">
        <v>0.1</v>
      </c>
      <c r="AA30" s="4">
        <v>0.8</v>
      </c>
      <c r="AB30" s="4">
        <v>10</v>
      </c>
      <c r="AC30" s="4">
        <v>4</v>
      </c>
      <c r="AD30" s="4">
        <v>3</v>
      </c>
      <c r="AE30" s="4">
        <v>1.5</v>
      </c>
      <c r="AF30" s="4">
        <v>1</v>
      </c>
      <c r="AG30" s="4">
        <v>0.4</v>
      </c>
      <c r="AH30" s="4">
        <v>0.1</v>
      </c>
      <c r="AI30" s="4">
        <v>2.5</v>
      </c>
      <c r="AJ30" s="4">
        <v>1.5</v>
      </c>
      <c r="AK30" s="4">
        <v>0.3</v>
      </c>
      <c r="AL30" s="3">
        <v>1.5</v>
      </c>
      <c r="AM30" s="3">
        <v>0</v>
      </c>
      <c r="AN30" s="3" t="s">
        <v>353</v>
      </c>
      <c r="AO30" s="3">
        <v>3</v>
      </c>
    </row>
    <row r="31" spans="1:41" s="3" customFormat="1">
      <c r="A31" s="3" t="s">
        <v>360</v>
      </c>
      <c r="B31" s="4" t="s">
        <v>361</v>
      </c>
      <c r="C31" s="4">
        <v>2040</v>
      </c>
      <c r="D31" s="4">
        <v>1</v>
      </c>
      <c r="E31" s="4">
        <v>2.4</v>
      </c>
      <c r="F31" s="4">
        <v>3.2</v>
      </c>
      <c r="G31" s="4">
        <v>1.2</v>
      </c>
      <c r="H31" s="4">
        <v>0.24</v>
      </c>
      <c r="I31" s="4">
        <v>0.16</v>
      </c>
      <c r="J31" s="4">
        <v>0.4</v>
      </c>
      <c r="K31" s="4">
        <v>1.6</v>
      </c>
      <c r="L31" s="4">
        <v>9.6</v>
      </c>
      <c r="M31" s="4">
        <v>0.16</v>
      </c>
      <c r="N31" s="4">
        <v>0.24</v>
      </c>
      <c r="O31" s="4">
        <v>0.8</v>
      </c>
      <c r="P31" s="4">
        <v>1.6</v>
      </c>
      <c r="Q31" s="4">
        <v>0.32</v>
      </c>
      <c r="R31" s="4">
        <v>0.48</v>
      </c>
      <c r="S31" s="4">
        <v>1.6</v>
      </c>
      <c r="T31" s="4">
        <v>0.24</v>
      </c>
      <c r="U31" s="4">
        <v>0.96</v>
      </c>
      <c r="V31" s="4">
        <v>1.6</v>
      </c>
      <c r="W31" s="4">
        <v>4</v>
      </c>
      <c r="X31" s="4">
        <v>6.4</v>
      </c>
      <c r="Y31" s="4">
        <v>8</v>
      </c>
      <c r="Z31" s="4">
        <v>0.08</v>
      </c>
      <c r="AA31" s="4">
        <v>0.64</v>
      </c>
      <c r="AB31" s="4">
        <v>8</v>
      </c>
      <c r="AC31" s="4">
        <v>3.2</v>
      </c>
      <c r="AD31" s="4">
        <v>2.4</v>
      </c>
      <c r="AE31" s="4">
        <v>1.2</v>
      </c>
      <c r="AF31" s="4">
        <v>0.8</v>
      </c>
      <c r="AG31" s="4">
        <v>0.32</v>
      </c>
      <c r="AH31" s="4">
        <v>0.08</v>
      </c>
      <c r="AI31" s="4">
        <v>2</v>
      </c>
      <c r="AJ31" s="4">
        <v>1.2</v>
      </c>
      <c r="AK31" s="4">
        <v>0.24</v>
      </c>
      <c r="AL31" s="3">
        <v>1.5</v>
      </c>
      <c r="AM31" s="3">
        <v>0</v>
      </c>
      <c r="AN31" s="3" t="s">
        <v>353</v>
      </c>
      <c r="AO31" s="3">
        <v>3</v>
      </c>
    </row>
    <row r="32" spans="1:41" s="3" customFormat="1">
      <c r="A32" s="3" t="s">
        <v>362</v>
      </c>
      <c r="B32" s="4" t="s">
        <v>363</v>
      </c>
      <c r="C32" s="4">
        <v>2030</v>
      </c>
      <c r="D32" s="4">
        <v>1</v>
      </c>
      <c r="E32" s="4">
        <v>0</v>
      </c>
      <c r="F32" s="4">
        <v>0</v>
      </c>
      <c r="G32" s="4">
        <v>0</v>
      </c>
      <c r="H32" s="4">
        <v>0</v>
      </c>
      <c r="I32" s="4">
        <v>0</v>
      </c>
      <c r="J32" s="4">
        <v>0</v>
      </c>
      <c r="K32" s="4">
        <v>0</v>
      </c>
      <c r="L32" s="4">
        <v>0</v>
      </c>
      <c r="M32" s="4">
        <v>0</v>
      </c>
      <c r="N32" s="4">
        <v>0</v>
      </c>
      <c r="O32" s="4">
        <v>0</v>
      </c>
      <c r="P32" s="4">
        <v>0</v>
      </c>
      <c r="Q32" s="4">
        <v>0</v>
      </c>
      <c r="R32" s="4">
        <v>0</v>
      </c>
      <c r="S32" s="4">
        <v>0</v>
      </c>
      <c r="T32" s="4">
        <v>0</v>
      </c>
      <c r="U32" s="4">
        <v>0</v>
      </c>
      <c r="V32" s="4">
        <v>0</v>
      </c>
      <c r="W32" s="4">
        <v>0</v>
      </c>
      <c r="X32" s="4">
        <v>0</v>
      </c>
      <c r="Y32" s="4">
        <v>0</v>
      </c>
      <c r="Z32" s="4">
        <v>0</v>
      </c>
      <c r="AA32" s="4">
        <v>0</v>
      </c>
      <c r="AB32" s="4">
        <v>0</v>
      </c>
      <c r="AC32" s="4">
        <v>0</v>
      </c>
      <c r="AD32" s="4">
        <v>0</v>
      </c>
      <c r="AE32" s="4">
        <v>0</v>
      </c>
      <c r="AF32" s="4">
        <v>0</v>
      </c>
      <c r="AG32" s="4">
        <v>0</v>
      </c>
      <c r="AH32" s="4">
        <v>0</v>
      </c>
      <c r="AI32" s="4">
        <v>0</v>
      </c>
      <c r="AJ32" s="4">
        <v>0</v>
      </c>
      <c r="AK32" s="4">
        <v>0</v>
      </c>
      <c r="AL32" s="3">
        <v>0</v>
      </c>
      <c r="AM32" s="3">
        <v>0</v>
      </c>
      <c r="AN32" s="3" t="s">
        <v>353</v>
      </c>
      <c r="AO32" s="3">
        <v>3</v>
      </c>
    </row>
    <row r="33" spans="1:41">
      <c r="A33" s="6"/>
      <c r="B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</row>
    <row r="34" spans="1:4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</row>
    <row r="35" spans="1:41">
      <c r="B35" s="6"/>
      <c r="C35" s="6" t="s">
        <v>348</v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</row>
    <row r="36" spans="1:41" ht="14.65">
      <c r="A36" s="6" t="s">
        <v>77</v>
      </c>
      <c r="B36" s="6" t="s">
        <v>49</v>
      </c>
      <c r="C36" t="s">
        <v>29</v>
      </c>
      <c r="D36" s="6" t="s">
        <v>13</v>
      </c>
      <c r="E36" s="6" t="s">
        <v>78</v>
      </c>
      <c r="F36" s="6" t="s">
        <v>245</v>
      </c>
      <c r="G36" s="6" t="s">
        <v>248</v>
      </c>
      <c r="H36" s="6" t="s">
        <v>252</v>
      </c>
      <c r="I36" s="6" t="s">
        <v>254</v>
      </c>
      <c r="J36" s="6" t="s">
        <v>256</v>
      </c>
      <c r="K36" s="6" t="s">
        <v>247</v>
      </c>
      <c r="L36" s="6" t="s">
        <v>251</v>
      </c>
      <c r="M36" s="6" t="s">
        <v>253</v>
      </c>
      <c r="N36" s="6" t="s">
        <v>255</v>
      </c>
      <c r="O36" s="6" t="s">
        <v>257</v>
      </c>
      <c r="P36" s="6" t="s">
        <v>258</v>
      </c>
      <c r="Q36" s="6" t="s">
        <v>259</v>
      </c>
      <c r="R36" s="6" t="s">
        <v>265</v>
      </c>
      <c r="S36" s="6" t="s">
        <v>260</v>
      </c>
      <c r="T36" s="6" t="s">
        <v>261</v>
      </c>
      <c r="U36" s="6" t="s">
        <v>269</v>
      </c>
      <c r="V36" s="6" t="s">
        <v>271</v>
      </c>
      <c r="W36" s="6" t="s">
        <v>262</v>
      </c>
      <c r="X36" s="6" t="s">
        <v>263</v>
      </c>
      <c r="Y36" s="6" t="s">
        <v>264</v>
      </c>
      <c r="Z36" s="6" t="s">
        <v>266</v>
      </c>
      <c r="AA36" s="6" t="s">
        <v>277</v>
      </c>
      <c r="AB36" s="6" t="s">
        <v>279</v>
      </c>
      <c r="AC36" s="6" t="s">
        <v>267</v>
      </c>
      <c r="AD36" s="6" t="s">
        <v>268</v>
      </c>
      <c r="AE36" s="6" t="s">
        <v>280</v>
      </c>
      <c r="AF36" s="6" t="s">
        <v>270</v>
      </c>
      <c r="AG36" s="6" t="s">
        <v>272</v>
      </c>
      <c r="AH36" s="6" t="s">
        <v>273</v>
      </c>
      <c r="AI36" s="6" t="s">
        <v>274</v>
      </c>
      <c r="AJ36" s="6" t="s">
        <v>275</v>
      </c>
      <c r="AK36" s="6" t="s">
        <v>276</v>
      </c>
      <c r="AL36" s="6" t="s">
        <v>282</v>
      </c>
      <c r="AM36" s="7" t="s">
        <v>278</v>
      </c>
      <c r="AN36" t="s">
        <v>285</v>
      </c>
      <c r="AO36">
        <v>0</v>
      </c>
    </row>
    <row r="37" spans="1:41" ht="15.4">
      <c r="A37" s="8" t="s">
        <v>364</v>
      </c>
      <c r="B37" s="8" t="s">
        <v>365</v>
      </c>
      <c r="C37" s="9" t="s">
        <v>366</v>
      </c>
      <c r="D37" s="8">
        <v>2030</v>
      </c>
      <c r="E37" s="8">
        <v>1</v>
      </c>
      <c r="F37">
        <f t="shared" ref="F37:AN37" si="5">F47/3</f>
        <v>1.6666666666666667</v>
      </c>
      <c r="G37">
        <f t="shared" si="5"/>
        <v>10</v>
      </c>
      <c r="H37">
        <f t="shared" si="5"/>
        <v>3.3333333333333335</v>
      </c>
      <c r="I37">
        <f t="shared" si="5"/>
        <v>1</v>
      </c>
      <c r="J37">
        <f t="shared" si="5"/>
        <v>1.3333333333333333</v>
      </c>
      <c r="K37">
        <f t="shared" si="5"/>
        <v>1.6666666666666667</v>
      </c>
      <c r="L37">
        <f t="shared" si="5"/>
        <v>16.666666666666668</v>
      </c>
      <c r="M37">
        <f t="shared" si="5"/>
        <v>50</v>
      </c>
      <c r="N37">
        <f t="shared" si="5"/>
        <v>1</v>
      </c>
      <c r="O37">
        <f t="shared" si="5"/>
        <v>1.6666666666666667</v>
      </c>
      <c r="P37">
        <f t="shared" si="5"/>
        <v>5</v>
      </c>
      <c r="Q37">
        <f t="shared" si="5"/>
        <v>8.3333333333333339</v>
      </c>
      <c r="R37">
        <f t="shared" si="5"/>
        <v>1</v>
      </c>
      <c r="S37">
        <f t="shared" si="5"/>
        <v>2.6666666666666665</v>
      </c>
      <c r="T37">
        <f t="shared" si="5"/>
        <v>26.666666666666668</v>
      </c>
      <c r="U37">
        <f t="shared" si="5"/>
        <v>0.66666666666666663</v>
      </c>
      <c r="V37">
        <f t="shared" si="5"/>
        <v>3.3333333333333335</v>
      </c>
      <c r="W37">
        <f t="shared" si="5"/>
        <v>5</v>
      </c>
      <c r="X37">
        <f t="shared" si="5"/>
        <v>10</v>
      </c>
      <c r="Y37">
        <f t="shared" si="5"/>
        <v>3.3333333333333335</v>
      </c>
      <c r="Z37">
        <f t="shared" si="5"/>
        <v>40</v>
      </c>
      <c r="AA37">
        <f t="shared" si="5"/>
        <v>1</v>
      </c>
      <c r="AB37">
        <f t="shared" si="5"/>
        <v>3.3333333333333335</v>
      </c>
      <c r="AC37">
        <f t="shared" si="5"/>
        <v>33.333333333333336</v>
      </c>
      <c r="AD37">
        <f t="shared" si="5"/>
        <v>8.3333333333333339</v>
      </c>
      <c r="AE37">
        <f t="shared" si="5"/>
        <v>1</v>
      </c>
      <c r="AF37">
        <f t="shared" si="5"/>
        <v>4</v>
      </c>
      <c r="AG37">
        <f t="shared" si="5"/>
        <v>4</v>
      </c>
      <c r="AH37">
        <f t="shared" si="5"/>
        <v>5</v>
      </c>
      <c r="AI37">
        <f t="shared" si="5"/>
        <v>0.66666666666666663</v>
      </c>
      <c r="AJ37">
        <f t="shared" si="5"/>
        <v>4</v>
      </c>
      <c r="AK37">
        <f t="shared" si="5"/>
        <v>5</v>
      </c>
      <c r="AL37">
        <f t="shared" si="5"/>
        <v>2.6666666666666665</v>
      </c>
      <c r="AM37">
        <f t="shared" si="5"/>
        <v>0.16666666666666666</v>
      </c>
      <c r="AN37">
        <f t="shared" si="5"/>
        <v>1.6666666666666667</v>
      </c>
      <c r="AO37" s="8">
        <v>3</v>
      </c>
    </row>
    <row r="38" spans="1:41" ht="14.65">
      <c r="A38" s="8" t="s">
        <v>367</v>
      </c>
      <c r="B38" t="s">
        <v>368</v>
      </c>
      <c r="C38" t="s">
        <v>369</v>
      </c>
      <c r="D38">
        <v>2030</v>
      </c>
      <c r="E38">
        <v>1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3</v>
      </c>
    </row>
    <row r="39" spans="1:41" ht="14.65">
      <c r="A39" s="8" t="s">
        <v>370</v>
      </c>
      <c r="B39" t="s">
        <v>363</v>
      </c>
      <c r="C39" t="s">
        <v>371</v>
      </c>
      <c r="D39">
        <v>2030</v>
      </c>
      <c r="E39">
        <v>1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3</v>
      </c>
    </row>
    <row r="40" spans="1:41" ht="15.4">
      <c r="A40" s="8" t="s">
        <v>372</v>
      </c>
      <c r="B40" t="s">
        <v>363</v>
      </c>
      <c r="C40" s="10" t="s">
        <v>373</v>
      </c>
      <c r="D40">
        <v>2030</v>
      </c>
      <c r="E40">
        <v>1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3</v>
      </c>
    </row>
    <row r="41" spans="1:41" ht="14.65">
      <c r="A41" s="8" t="s">
        <v>364</v>
      </c>
      <c r="D41">
        <v>2100</v>
      </c>
      <c r="F41">
        <f>F37</f>
        <v>1.6666666666666667</v>
      </c>
      <c r="G41">
        <f t="shared" ref="G41:AN41" si="6">G37</f>
        <v>10</v>
      </c>
      <c r="H41">
        <f t="shared" si="6"/>
        <v>3.3333333333333335</v>
      </c>
      <c r="I41">
        <f t="shared" si="6"/>
        <v>1</v>
      </c>
      <c r="J41">
        <f t="shared" si="6"/>
        <v>1.3333333333333333</v>
      </c>
      <c r="K41">
        <f t="shared" si="6"/>
        <v>1.6666666666666667</v>
      </c>
      <c r="L41">
        <f t="shared" si="6"/>
        <v>16.666666666666668</v>
      </c>
      <c r="M41">
        <f t="shared" si="6"/>
        <v>50</v>
      </c>
      <c r="N41">
        <f t="shared" si="6"/>
        <v>1</v>
      </c>
      <c r="O41">
        <f t="shared" si="6"/>
        <v>1.6666666666666667</v>
      </c>
      <c r="P41">
        <f t="shared" si="6"/>
        <v>5</v>
      </c>
      <c r="Q41">
        <f t="shared" si="6"/>
        <v>8.3333333333333339</v>
      </c>
      <c r="R41">
        <f t="shared" si="6"/>
        <v>1</v>
      </c>
      <c r="S41">
        <f t="shared" si="6"/>
        <v>2.6666666666666665</v>
      </c>
      <c r="T41">
        <f t="shared" si="6"/>
        <v>26.666666666666668</v>
      </c>
      <c r="U41">
        <f t="shared" si="6"/>
        <v>0.66666666666666663</v>
      </c>
      <c r="V41">
        <f t="shared" si="6"/>
        <v>3.3333333333333335</v>
      </c>
      <c r="W41">
        <f t="shared" si="6"/>
        <v>5</v>
      </c>
      <c r="X41">
        <f t="shared" si="6"/>
        <v>10</v>
      </c>
      <c r="Y41">
        <f t="shared" si="6"/>
        <v>3.3333333333333335</v>
      </c>
      <c r="Z41">
        <f t="shared" si="6"/>
        <v>40</v>
      </c>
      <c r="AA41">
        <f t="shared" si="6"/>
        <v>1</v>
      </c>
      <c r="AB41">
        <f t="shared" si="6"/>
        <v>3.3333333333333335</v>
      </c>
      <c r="AC41">
        <f t="shared" si="6"/>
        <v>33.333333333333336</v>
      </c>
      <c r="AD41">
        <f t="shared" si="6"/>
        <v>8.3333333333333339</v>
      </c>
      <c r="AE41">
        <f t="shared" si="6"/>
        <v>1</v>
      </c>
      <c r="AF41">
        <f t="shared" si="6"/>
        <v>4</v>
      </c>
      <c r="AG41">
        <f t="shared" si="6"/>
        <v>4</v>
      </c>
      <c r="AH41">
        <f t="shared" si="6"/>
        <v>5</v>
      </c>
      <c r="AI41">
        <f t="shared" si="6"/>
        <v>0.66666666666666663</v>
      </c>
      <c r="AJ41">
        <f t="shared" si="6"/>
        <v>4</v>
      </c>
      <c r="AK41">
        <f t="shared" si="6"/>
        <v>5</v>
      </c>
      <c r="AL41">
        <f t="shared" si="6"/>
        <v>2.6666666666666665</v>
      </c>
      <c r="AM41">
        <f t="shared" si="6"/>
        <v>0.16666666666666666</v>
      </c>
      <c r="AN41">
        <f t="shared" si="6"/>
        <v>1.6666666666666667</v>
      </c>
    </row>
    <row r="42" spans="1:41" ht="14.65">
      <c r="A42" s="8" t="s">
        <v>367</v>
      </c>
      <c r="D42">
        <v>2100</v>
      </c>
      <c r="F42">
        <f>F38</f>
        <v>0</v>
      </c>
      <c r="G42">
        <f t="shared" ref="G42:AN42" si="7">G38</f>
        <v>0</v>
      </c>
      <c r="H42">
        <f t="shared" si="7"/>
        <v>0</v>
      </c>
      <c r="I42">
        <f t="shared" si="7"/>
        <v>0</v>
      </c>
      <c r="J42">
        <f t="shared" si="7"/>
        <v>0</v>
      </c>
      <c r="K42">
        <f t="shared" si="7"/>
        <v>0</v>
      </c>
      <c r="L42">
        <f t="shared" si="7"/>
        <v>0</v>
      </c>
      <c r="M42">
        <f t="shared" si="7"/>
        <v>0</v>
      </c>
      <c r="N42">
        <f t="shared" si="7"/>
        <v>0</v>
      </c>
      <c r="O42">
        <f t="shared" si="7"/>
        <v>0</v>
      </c>
      <c r="P42">
        <f t="shared" si="7"/>
        <v>0</v>
      </c>
      <c r="Q42">
        <f t="shared" si="7"/>
        <v>0</v>
      </c>
      <c r="R42">
        <f t="shared" si="7"/>
        <v>0</v>
      </c>
      <c r="S42">
        <f t="shared" si="7"/>
        <v>0</v>
      </c>
      <c r="T42">
        <f t="shared" si="7"/>
        <v>0</v>
      </c>
      <c r="U42">
        <f t="shared" si="7"/>
        <v>0</v>
      </c>
      <c r="V42">
        <f t="shared" si="7"/>
        <v>0</v>
      </c>
      <c r="W42">
        <f t="shared" si="7"/>
        <v>0</v>
      </c>
      <c r="X42">
        <f t="shared" si="7"/>
        <v>0</v>
      </c>
      <c r="Y42">
        <f t="shared" si="7"/>
        <v>0</v>
      </c>
      <c r="Z42">
        <f t="shared" si="7"/>
        <v>0</v>
      </c>
      <c r="AA42">
        <f t="shared" si="7"/>
        <v>0</v>
      </c>
      <c r="AB42">
        <f t="shared" si="7"/>
        <v>0</v>
      </c>
      <c r="AC42">
        <f t="shared" si="7"/>
        <v>0</v>
      </c>
      <c r="AD42">
        <f t="shared" si="7"/>
        <v>0</v>
      </c>
      <c r="AE42">
        <f t="shared" si="7"/>
        <v>0</v>
      </c>
      <c r="AF42">
        <f t="shared" si="7"/>
        <v>0</v>
      </c>
      <c r="AG42">
        <f t="shared" si="7"/>
        <v>0</v>
      </c>
      <c r="AH42">
        <f t="shared" si="7"/>
        <v>0</v>
      </c>
      <c r="AI42">
        <f t="shared" si="7"/>
        <v>0</v>
      </c>
      <c r="AJ42">
        <f t="shared" si="7"/>
        <v>0</v>
      </c>
      <c r="AK42">
        <f t="shared" si="7"/>
        <v>0</v>
      </c>
      <c r="AL42">
        <f t="shared" si="7"/>
        <v>0</v>
      </c>
      <c r="AM42">
        <f t="shared" si="7"/>
        <v>0</v>
      </c>
      <c r="AN42">
        <f t="shared" si="7"/>
        <v>0</v>
      </c>
    </row>
    <row r="43" spans="1:41" ht="14.65">
      <c r="A43" s="8" t="s">
        <v>370</v>
      </c>
      <c r="D43">
        <v>2100</v>
      </c>
      <c r="F43">
        <f>F39</f>
        <v>0</v>
      </c>
      <c r="G43">
        <f t="shared" ref="G43:AN43" si="8">G39</f>
        <v>0</v>
      </c>
      <c r="H43">
        <f t="shared" si="8"/>
        <v>0</v>
      </c>
      <c r="I43">
        <f t="shared" si="8"/>
        <v>0</v>
      </c>
      <c r="J43">
        <f t="shared" si="8"/>
        <v>0</v>
      </c>
      <c r="K43">
        <f t="shared" si="8"/>
        <v>0</v>
      </c>
      <c r="L43">
        <f t="shared" si="8"/>
        <v>0</v>
      </c>
      <c r="M43">
        <f t="shared" si="8"/>
        <v>0</v>
      </c>
      <c r="N43">
        <f t="shared" si="8"/>
        <v>0</v>
      </c>
      <c r="O43">
        <f t="shared" si="8"/>
        <v>0</v>
      </c>
      <c r="P43">
        <f t="shared" si="8"/>
        <v>0</v>
      </c>
      <c r="Q43">
        <f t="shared" si="8"/>
        <v>0</v>
      </c>
      <c r="R43">
        <f t="shared" si="8"/>
        <v>0</v>
      </c>
      <c r="S43">
        <f t="shared" si="8"/>
        <v>0</v>
      </c>
      <c r="T43">
        <f t="shared" si="8"/>
        <v>0</v>
      </c>
      <c r="U43">
        <f t="shared" si="8"/>
        <v>0</v>
      </c>
      <c r="V43">
        <f t="shared" si="8"/>
        <v>0</v>
      </c>
      <c r="W43">
        <f t="shared" si="8"/>
        <v>0</v>
      </c>
      <c r="X43">
        <f t="shared" si="8"/>
        <v>0</v>
      </c>
      <c r="Y43">
        <f t="shared" si="8"/>
        <v>0</v>
      </c>
      <c r="Z43">
        <f t="shared" si="8"/>
        <v>0</v>
      </c>
      <c r="AA43">
        <f t="shared" si="8"/>
        <v>0</v>
      </c>
      <c r="AB43">
        <f t="shared" si="8"/>
        <v>0</v>
      </c>
      <c r="AC43">
        <f t="shared" si="8"/>
        <v>0</v>
      </c>
      <c r="AD43">
        <f t="shared" si="8"/>
        <v>0</v>
      </c>
      <c r="AE43">
        <f t="shared" si="8"/>
        <v>0</v>
      </c>
      <c r="AF43">
        <f t="shared" si="8"/>
        <v>0</v>
      </c>
      <c r="AG43">
        <f t="shared" si="8"/>
        <v>0</v>
      </c>
      <c r="AH43">
        <f t="shared" si="8"/>
        <v>0</v>
      </c>
      <c r="AI43">
        <f t="shared" si="8"/>
        <v>0</v>
      </c>
      <c r="AJ43">
        <f t="shared" si="8"/>
        <v>0</v>
      </c>
      <c r="AK43">
        <f t="shared" si="8"/>
        <v>0</v>
      </c>
      <c r="AL43">
        <f t="shared" si="8"/>
        <v>0</v>
      </c>
      <c r="AM43">
        <f t="shared" si="8"/>
        <v>0</v>
      </c>
      <c r="AN43">
        <f t="shared" si="8"/>
        <v>0</v>
      </c>
    </row>
    <row r="44" spans="1:41" ht="14.65">
      <c r="A44" s="8" t="s">
        <v>372</v>
      </c>
      <c r="D44">
        <v>2100</v>
      </c>
      <c r="F44">
        <f>F40</f>
        <v>0</v>
      </c>
      <c r="G44">
        <f t="shared" ref="G44:AN44" si="9">G40</f>
        <v>0</v>
      </c>
      <c r="H44">
        <f t="shared" si="9"/>
        <v>0</v>
      </c>
      <c r="I44">
        <f t="shared" si="9"/>
        <v>0</v>
      </c>
      <c r="J44">
        <f t="shared" si="9"/>
        <v>0</v>
      </c>
      <c r="K44">
        <f t="shared" si="9"/>
        <v>0</v>
      </c>
      <c r="L44">
        <f t="shared" si="9"/>
        <v>0</v>
      </c>
      <c r="M44">
        <f t="shared" si="9"/>
        <v>0</v>
      </c>
      <c r="N44">
        <f t="shared" si="9"/>
        <v>0</v>
      </c>
      <c r="O44">
        <f t="shared" si="9"/>
        <v>0</v>
      </c>
      <c r="P44">
        <f t="shared" si="9"/>
        <v>0</v>
      </c>
      <c r="Q44">
        <f t="shared" si="9"/>
        <v>0</v>
      </c>
      <c r="R44">
        <f t="shared" si="9"/>
        <v>0</v>
      </c>
      <c r="S44">
        <f t="shared" si="9"/>
        <v>0</v>
      </c>
      <c r="T44">
        <f t="shared" si="9"/>
        <v>0</v>
      </c>
      <c r="U44">
        <f t="shared" si="9"/>
        <v>0</v>
      </c>
      <c r="V44">
        <f t="shared" si="9"/>
        <v>0</v>
      </c>
      <c r="W44">
        <f t="shared" si="9"/>
        <v>0</v>
      </c>
      <c r="X44">
        <f t="shared" si="9"/>
        <v>0</v>
      </c>
      <c r="Y44">
        <f t="shared" si="9"/>
        <v>0</v>
      </c>
      <c r="Z44">
        <f t="shared" si="9"/>
        <v>0</v>
      </c>
      <c r="AA44">
        <f t="shared" si="9"/>
        <v>0</v>
      </c>
      <c r="AB44">
        <f t="shared" si="9"/>
        <v>0</v>
      </c>
      <c r="AC44">
        <f t="shared" si="9"/>
        <v>0</v>
      </c>
      <c r="AD44">
        <f t="shared" si="9"/>
        <v>0</v>
      </c>
      <c r="AE44">
        <f t="shared" si="9"/>
        <v>0</v>
      </c>
      <c r="AF44">
        <f t="shared" si="9"/>
        <v>0</v>
      </c>
      <c r="AG44">
        <f t="shared" si="9"/>
        <v>0</v>
      </c>
      <c r="AH44">
        <f t="shared" si="9"/>
        <v>0</v>
      </c>
      <c r="AI44">
        <f t="shared" si="9"/>
        <v>0</v>
      </c>
      <c r="AJ44">
        <f t="shared" si="9"/>
        <v>0</v>
      </c>
      <c r="AK44">
        <f t="shared" si="9"/>
        <v>0</v>
      </c>
      <c r="AL44">
        <f t="shared" si="9"/>
        <v>0</v>
      </c>
      <c r="AM44">
        <f t="shared" si="9"/>
        <v>0</v>
      </c>
      <c r="AN44">
        <f t="shared" si="9"/>
        <v>0</v>
      </c>
    </row>
    <row r="47" spans="1:41" ht="14.65">
      <c r="F47" s="8">
        <v>5</v>
      </c>
      <c r="G47" s="8">
        <v>30</v>
      </c>
      <c r="H47" s="8">
        <v>10</v>
      </c>
      <c r="I47" s="8">
        <v>3</v>
      </c>
      <c r="J47" s="8">
        <v>4</v>
      </c>
      <c r="K47" s="8">
        <v>5</v>
      </c>
      <c r="L47" s="8">
        <v>50</v>
      </c>
      <c r="M47" s="8">
        <v>150</v>
      </c>
      <c r="N47" s="8">
        <v>3</v>
      </c>
      <c r="O47" s="8">
        <v>5</v>
      </c>
      <c r="P47" s="8">
        <v>15</v>
      </c>
      <c r="Q47" s="8">
        <v>25</v>
      </c>
      <c r="R47" s="8">
        <v>3</v>
      </c>
      <c r="S47" s="8">
        <v>8</v>
      </c>
      <c r="T47" s="8">
        <v>80</v>
      </c>
      <c r="U47" s="8">
        <v>2</v>
      </c>
      <c r="V47" s="8">
        <v>10</v>
      </c>
      <c r="W47" s="8">
        <v>15</v>
      </c>
      <c r="X47" s="8">
        <v>30</v>
      </c>
      <c r="Y47" s="8">
        <v>10</v>
      </c>
      <c r="Z47" s="8">
        <v>120</v>
      </c>
      <c r="AA47" s="8">
        <v>3</v>
      </c>
      <c r="AB47" s="8">
        <v>10</v>
      </c>
      <c r="AC47" s="8">
        <v>100</v>
      </c>
      <c r="AD47" s="8">
        <v>25</v>
      </c>
      <c r="AE47" s="8">
        <v>3</v>
      </c>
      <c r="AF47" s="8">
        <v>12</v>
      </c>
      <c r="AG47" s="8">
        <v>12</v>
      </c>
      <c r="AH47" s="8">
        <v>15</v>
      </c>
      <c r="AI47" s="8">
        <v>2</v>
      </c>
      <c r="AJ47" s="8">
        <v>12</v>
      </c>
      <c r="AK47" s="8">
        <v>15</v>
      </c>
      <c r="AL47" s="8">
        <v>8</v>
      </c>
      <c r="AM47" s="8">
        <v>0.5</v>
      </c>
      <c r="AN47" s="8">
        <v>5</v>
      </c>
    </row>
    <row r="50" spans="1:41">
      <c r="F50" t="s">
        <v>348</v>
      </c>
    </row>
    <row r="51" spans="1:41">
      <c r="A51" t="s">
        <v>77</v>
      </c>
      <c r="B51" t="s">
        <v>49</v>
      </c>
      <c r="C51" t="s">
        <v>376</v>
      </c>
      <c r="D51" t="s">
        <v>388</v>
      </c>
      <c r="E51">
        <v>0</v>
      </c>
      <c r="F51" t="s">
        <v>13</v>
      </c>
      <c r="G51" t="s">
        <v>245</v>
      </c>
      <c r="H51" t="s">
        <v>248</v>
      </c>
      <c r="I51" t="s">
        <v>252</v>
      </c>
      <c r="J51" t="s">
        <v>254</v>
      </c>
      <c r="K51" t="s">
        <v>256</v>
      </c>
      <c r="L51" t="s">
        <v>247</v>
      </c>
      <c r="M51" t="s">
        <v>251</v>
      </c>
      <c r="N51" t="s">
        <v>253</v>
      </c>
      <c r="O51" t="s">
        <v>255</v>
      </c>
      <c r="P51" t="s">
        <v>257</v>
      </c>
      <c r="Q51" t="s">
        <v>258</v>
      </c>
      <c r="R51" t="s">
        <v>259</v>
      </c>
      <c r="S51" t="s">
        <v>265</v>
      </c>
      <c r="T51" t="s">
        <v>260</v>
      </c>
      <c r="U51" t="s">
        <v>285</v>
      </c>
      <c r="V51" t="s">
        <v>261</v>
      </c>
      <c r="W51" t="s">
        <v>269</v>
      </c>
      <c r="X51" t="s">
        <v>271</v>
      </c>
      <c r="Y51" t="s">
        <v>262</v>
      </c>
      <c r="Z51" t="s">
        <v>263</v>
      </c>
      <c r="AA51" t="s">
        <v>264</v>
      </c>
      <c r="AB51" t="s">
        <v>266</v>
      </c>
      <c r="AC51" t="s">
        <v>277</v>
      </c>
      <c r="AD51" t="s">
        <v>279</v>
      </c>
      <c r="AE51" t="s">
        <v>267</v>
      </c>
      <c r="AF51" t="s">
        <v>268</v>
      </c>
      <c r="AG51" t="s">
        <v>280</v>
      </c>
      <c r="AH51" t="s">
        <v>270</v>
      </c>
      <c r="AI51" t="s">
        <v>272</v>
      </c>
      <c r="AJ51" t="s">
        <v>273</v>
      </c>
      <c r="AK51" t="s">
        <v>274</v>
      </c>
      <c r="AL51" t="s">
        <v>275</v>
      </c>
      <c r="AM51" t="s">
        <v>276</v>
      </c>
      <c r="AN51" t="s">
        <v>278</v>
      </c>
      <c r="AO51" t="s">
        <v>282</v>
      </c>
    </row>
    <row r="52" spans="1:41">
      <c r="A52" t="s">
        <v>389</v>
      </c>
      <c r="B52" t="s">
        <v>390</v>
      </c>
      <c r="C52" t="s">
        <v>391</v>
      </c>
      <c r="D52">
        <v>1</v>
      </c>
      <c r="E52">
        <v>3</v>
      </c>
    </row>
    <row r="53" spans="1:41">
      <c r="F53">
        <v>2030</v>
      </c>
      <c r="G53">
        <v>160</v>
      </c>
      <c r="H53">
        <v>100.9</v>
      </c>
      <c r="I53">
        <v>5450</v>
      </c>
      <c r="J53">
        <v>0</v>
      </c>
      <c r="K53">
        <v>0</v>
      </c>
      <c r="L53">
        <v>4405</v>
      </c>
      <c r="M53">
        <v>12822.3</v>
      </c>
      <c r="N53">
        <v>9193</v>
      </c>
      <c r="O53">
        <v>0</v>
      </c>
      <c r="P53">
        <v>0</v>
      </c>
      <c r="Q53">
        <v>230</v>
      </c>
      <c r="R53">
        <v>0</v>
      </c>
      <c r="S53">
        <v>280</v>
      </c>
      <c r="T53">
        <v>734</v>
      </c>
      <c r="U53">
        <v>181.2</v>
      </c>
      <c r="V53">
        <v>70</v>
      </c>
      <c r="W53">
        <v>0</v>
      </c>
      <c r="X53">
        <v>400</v>
      </c>
      <c r="Y53">
        <v>1685</v>
      </c>
      <c r="Z53">
        <v>0</v>
      </c>
      <c r="AA53">
        <v>11508.4</v>
      </c>
      <c r="AB53">
        <v>80587.5</v>
      </c>
      <c r="AC53">
        <v>1262.0999999999999</v>
      </c>
      <c r="AD53">
        <v>0</v>
      </c>
      <c r="AE53">
        <v>8024</v>
      </c>
      <c r="AF53">
        <v>0</v>
      </c>
      <c r="AG53">
        <v>8820</v>
      </c>
      <c r="AH53">
        <v>0</v>
      </c>
      <c r="AI53">
        <v>110</v>
      </c>
      <c r="AJ53">
        <v>3488.2</v>
      </c>
      <c r="AK53">
        <v>0</v>
      </c>
      <c r="AL53">
        <v>0</v>
      </c>
      <c r="AM53">
        <v>11610</v>
      </c>
      <c r="AN53">
        <v>0</v>
      </c>
      <c r="AO53">
        <v>0</v>
      </c>
    </row>
    <row r="54" spans="1:41">
      <c r="F54">
        <v>2035</v>
      </c>
      <c r="G54">
        <v>235.1</v>
      </c>
      <c r="H54">
        <v>148.30000000000001</v>
      </c>
      <c r="I54">
        <v>8007.8</v>
      </c>
      <c r="J54">
        <v>0</v>
      </c>
      <c r="K54">
        <v>0</v>
      </c>
      <c r="L54">
        <v>6472.4</v>
      </c>
      <c r="M54">
        <v>18840.2</v>
      </c>
      <c r="N54">
        <v>13507.5</v>
      </c>
      <c r="O54">
        <v>0</v>
      </c>
      <c r="P54">
        <v>0</v>
      </c>
      <c r="Q54">
        <v>337.9</v>
      </c>
      <c r="R54">
        <v>0</v>
      </c>
      <c r="S54">
        <v>411.4</v>
      </c>
      <c r="T54">
        <v>1078.5</v>
      </c>
      <c r="U54">
        <v>181.2</v>
      </c>
      <c r="V54">
        <v>102.9</v>
      </c>
      <c r="W54">
        <v>0</v>
      </c>
      <c r="X54">
        <v>587.70000000000005</v>
      </c>
      <c r="Y54">
        <v>2475.8000000000002</v>
      </c>
      <c r="Z54">
        <v>0</v>
      </c>
      <c r="AA54">
        <v>16909.599999999999</v>
      </c>
      <c r="AB54">
        <v>118409.5</v>
      </c>
      <c r="AC54">
        <v>1323.3</v>
      </c>
      <c r="AD54">
        <v>0</v>
      </c>
      <c r="AE54">
        <v>11743</v>
      </c>
      <c r="AF54">
        <v>0</v>
      </c>
      <c r="AG54">
        <v>12959.5</v>
      </c>
      <c r="AH54">
        <v>0</v>
      </c>
      <c r="AI54">
        <v>161.6</v>
      </c>
      <c r="AJ54">
        <v>3746.5</v>
      </c>
      <c r="AK54">
        <v>0</v>
      </c>
      <c r="AL54">
        <v>0</v>
      </c>
      <c r="AM54">
        <v>17058.900000000001</v>
      </c>
      <c r="AN54">
        <v>0</v>
      </c>
      <c r="AO54">
        <v>0</v>
      </c>
    </row>
    <row r="55" spans="1:41">
      <c r="F55">
        <v>2040</v>
      </c>
      <c r="G55">
        <v>2936.1</v>
      </c>
      <c r="H55">
        <v>12174.2</v>
      </c>
      <c r="I55">
        <v>11766.1</v>
      </c>
      <c r="J55">
        <v>647.70000000000005</v>
      </c>
      <c r="K55">
        <v>1295.4000000000001</v>
      </c>
      <c r="L55">
        <v>10805.4</v>
      </c>
      <c r="M55">
        <v>27682.400000000001</v>
      </c>
      <c r="N55">
        <v>19847</v>
      </c>
      <c r="O55">
        <v>1295.4000000000001</v>
      </c>
      <c r="P55">
        <v>1295.4000000000001</v>
      </c>
      <c r="Q55">
        <v>496.6</v>
      </c>
      <c r="R55">
        <v>647.70000000000005</v>
      </c>
      <c r="S55">
        <v>1252.2</v>
      </c>
      <c r="T55">
        <v>1584.7</v>
      </c>
      <c r="U55">
        <v>181.2</v>
      </c>
      <c r="V55">
        <v>151.1</v>
      </c>
      <c r="W55">
        <v>647.70000000000005</v>
      </c>
      <c r="X55">
        <v>1053.0999999999999</v>
      </c>
      <c r="Y55">
        <v>3637.8</v>
      </c>
      <c r="Z55">
        <v>11364.8</v>
      </c>
      <c r="AA55">
        <v>28585.5</v>
      </c>
      <c r="AB55">
        <v>166264.79999999999</v>
      </c>
      <c r="AC55">
        <v>1397.3</v>
      </c>
      <c r="AD55">
        <v>647.70000000000005</v>
      </c>
      <c r="AE55">
        <v>32380.6</v>
      </c>
      <c r="AF55">
        <v>1295.4000000000001</v>
      </c>
      <c r="AG55">
        <v>19041.7</v>
      </c>
      <c r="AH55">
        <v>647.70000000000005</v>
      </c>
      <c r="AI55">
        <v>885.2</v>
      </c>
      <c r="AJ55">
        <v>4757.2</v>
      </c>
      <c r="AK55">
        <v>647.70000000000005</v>
      </c>
      <c r="AL55">
        <v>647.70000000000005</v>
      </c>
      <c r="AM55">
        <v>25065.1</v>
      </c>
      <c r="AN55">
        <v>1295.4000000000001</v>
      </c>
      <c r="AO55">
        <v>2590.6999999999998</v>
      </c>
    </row>
    <row r="56" spans="1:41">
      <c r="F56">
        <v>2045</v>
      </c>
      <c r="G56">
        <v>4314.1000000000004</v>
      </c>
      <c r="H56">
        <v>17793.900000000001</v>
      </c>
      <c r="I56">
        <v>17288.3</v>
      </c>
      <c r="J56">
        <v>951.7</v>
      </c>
      <c r="K56">
        <v>1903.3</v>
      </c>
      <c r="L56">
        <v>15876.7</v>
      </c>
      <c r="M56">
        <v>40674.5</v>
      </c>
      <c r="N56">
        <v>29161.8</v>
      </c>
      <c r="O56">
        <v>1903.3</v>
      </c>
      <c r="P56">
        <v>1903.3</v>
      </c>
      <c r="Q56">
        <v>729.6</v>
      </c>
      <c r="R56">
        <v>951.7</v>
      </c>
      <c r="S56">
        <v>1839.9</v>
      </c>
      <c r="T56">
        <v>2328.4</v>
      </c>
      <c r="U56">
        <v>181.2</v>
      </c>
      <c r="V56">
        <v>222.1</v>
      </c>
      <c r="W56">
        <v>951.7</v>
      </c>
      <c r="X56">
        <v>1481</v>
      </c>
      <c r="Y56">
        <v>5345.1</v>
      </c>
      <c r="Z56">
        <v>16353</v>
      </c>
      <c r="AA56">
        <v>35200.400000000001</v>
      </c>
      <c r="AB56">
        <v>226156</v>
      </c>
      <c r="AC56">
        <v>1476.3</v>
      </c>
      <c r="AD56">
        <v>951.7</v>
      </c>
      <c r="AE56">
        <v>47153.5</v>
      </c>
      <c r="AF56">
        <v>1903.3</v>
      </c>
      <c r="AG56">
        <v>27978.5</v>
      </c>
      <c r="AH56">
        <v>951.7</v>
      </c>
      <c r="AI56">
        <v>1300.5999999999999</v>
      </c>
      <c r="AJ56">
        <v>5514.6</v>
      </c>
      <c r="AK56">
        <v>951.7</v>
      </c>
      <c r="AL56">
        <v>951.7</v>
      </c>
      <c r="AM56">
        <v>36828.9</v>
      </c>
      <c r="AN56">
        <v>1903.3</v>
      </c>
      <c r="AO56">
        <v>3806.6</v>
      </c>
    </row>
    <row r="57" spans="1:41">
      <c r="F57">
        <v>2050</v>
      </c>
      <c r="G57">
        <v>6338.9</v>
      </c>
      <c r="H57">
        <v>25770.1</v>
      </c>
      <c r="I57">
        <v>25402.2</v>
      </c>
      <c r="J57">
        <v>1398.3</v>
      </c>
      <c r="K57">
        <v>2796.6</v>
      </c>
      <c r="L57">
        <v>23328.1</v>
      </c>
      <c r="M57">
        <v>59764.2</v>
      </c>
      <c r="N57">
        <v>42848.2</v>
      </c>
      <c r="O57">
        <v>2796.6</v>
      </c>
      <c r="P57">
        <v>2796.6</v>
      </c>
      <c r="Q57">
        <v>1072</v>
      </c>
      <c r="R57">
        <v>1398.3</v>
      </c>
      <c r="S57">
        <v>2703.4</v>
      </c>
      <c r="T57">
        <v>3421.1</v>
      </c>
      <c r="U57">
        <v>181.2</v>
      </c>
      <c r="V57">
        <v>326.3</v>
      </c>
      <c r="W57">
        <v>1398.3</v>
      </c>
      <c r="X57">
        <v>2097.6999999999998</v>
      </c>
      <c r="Y57">
        <v>7853.7</v>
      </c>
      <c r="Z57">
        <v>23102.5</v>
      </c>
      <c r="AA57">
        <v>45229.1</v>
      </c>
      <c r="AB57">
        <v>313454.09999999998</v>
      </c>
      <c r="AC57">
        <v>1578.3</v>
      </c>
      <c r="AD57">
        <v>1398.3</v>
      </c>
      <c r="AE57">
        <v>68833.2</v>
      </c>
      <c r="AF57">
        <v>2796.6</v>
      </c>
      <c r="AG57">
        <v>41109.599999999999</v>
      </c>
      <c r="AH57">
        <v>1398.3</v>
      </c>
      <c r="AI57">
        <v>1911</v>
      </c>
      <c r="AJ57">
        <v>6493</v>
      </c>
      <c r="AK57">
        <v>1398.3</v>
      </c>
      <c r="AL57">
        <v>1398.3</v>
      </c>
      <c r="AM57">
        <v>50299</v>
      </c>
      <c r="AN57">
        <v>2796.6</v>
      </c>
      <c r="AO57">
        <v>5593.1</v>
      </c>
    </row>
    <row r="58" spans="1:41">
      <c r="F58">
        <v>2060</v>
      </c>
      <c r="G58">
        <v>13685.2</v>
      </c>
      <c r="H58">
        <v>52826.2</v>
      </c>
      <c r="I58">
        <v>54841.5</v>
      </c>
      <c r="J58">
        <v>3018.8</v>
      </c>
      <c r="K58">
        <v>4163.3999999999996</v>
      </c>
      <c r="L58">
        <v>37057.5</v>
      </c>
      <c r="M58">
        <v>129026.4</v>
      </c>
      <c r="N58">
        <v>92506</v>
      </c>
      <c r="O58">
        <v>5204.3</v>
      </c>
      <c r="P58">
        <v>6037.6</v>
      </c>
      <c r="Q58">
        <v>2314.4</v>
      </c>
      <c r="R58">
        <v>3018.8</v>
      </c>
      <c r="S58">
        <v>5079.7</v>
      </c>
      <c r="T58">
        <v>7386</v>
      </c>
      <c r="U58">
        <v>181.2</v>
      </c>
      <c r="V58">
        <v>704.4</v>
      </c>
      <c r="W58">
        <v>3018.8</v>
      </c>
      <c r="X58">
        <v>4287.8</v>
      </c>
      <c r="Y58">
        <v>16955.599999999999</v>
      </c>
      <c r="Z58">
        <v>41963.6</v>
      </c>
      <c r="AA58">
        <v>83248.5</v>
      </c>
      <c r="AB58">
        <v>627281.6</v>
      </c>
      <c r="AC58">
        <v>1797.6</v>
      </c>
      <c r="AD58">
        <v>3018.8</v>
      </c>
      <c r="AE58">
        <v>145491</v>
      </c>
      <c r="AF58">
        <v>6037.6</v>
      </c>
      <c r="AG58">
        <v>88752.6</v>
      </c>
      <c r="AH58">
        <v>3018.8</v>
      </c>
      <c r="AI58">
        <v>4125.7</v>
      </c>
      <c r="AJ58">
        <v>9181.9</v>
      </c>
      <c r="AK58">
        <v>3018.8</v>
      </c>
      <c r="AL58">
        <v>3018.8</v>
      </c>
      <c r="AM58">
        <v>56596.9</v>
      </c>
      <c r="AN58">
        <v>4893.8</v>
      </c>
      <c r="AO58">
        <v>12017.4</v>
      </c>
    </row>
    <row r="59" spans="1:41">
      <c r="F59">
        <v>2070</v>
      </c>
      <c r="G59">
        <v>29545.3</v>
      </c>
      <c r="H59">
        <v>102223.3</v>
      </c>
      <c r="I59">
        <v>57904.4</v>
      </c>
      <c r="J59">
        <v>6517.4</v>
      </c>
      <c r="K59">
        <v>4367.2</v>
      </c>
      <c r="L59">
        <v>43254.1</v>
      </c>
      <c r="M59">
        <v>160099.4</v>
      </c>
      <c r="N59">
        <v>199713.5</v>
      </c>
      <c r="O59">
        <v>6692.9</v>
      </c>
      <c r="P59">
        <v>13034.7</v>
      </c>
      <c r="Q59">
        <v>4996.6000000000004</v>
      </c>
      <c r="R59">
        <v>6517.4</v>
      </c>
      <c r="S59">
        <v>8574.7999999999993</v>
      </c>
      <c r="T59">
        <v>10662.5</v>
      </c>
      <c r="U59">
        <v>181.2</v>
      </c>
      <c r="V59">
        <v>1520.7</v>
      </c>
      <c r="W59">
        <v>6517.4</v>
      </c>
      <c r="X59">
        <v>8980.6</v>
      </c>
      <c r="Y59">
        <v>36605.800000000003</v>
      </c>
      <c r="Z59">
        <v>74360.899999999994</v>
      </c>
      <c r="AA59">
        <v>126566.3</v>
      </c>
      <c r="AB59">
        <v>690425.7</v>
      </c>
      <c r="AC59">
        <v>2065.3000000000002</v>
      </c>
      <c r="AD59">
        <v>6517.4</v>
      </c>
      <c r="AE59">
        <v>302305.40000000002</v>
      </c>
      <c r="AF59">
        <v>13034.7</v>
      </c>
      <c r="AG59">
        <v>115040.6</v>
      </c>
      <c r="AH59">
        <v>6517.4</v>
      </c>
      <c r="AI59">
        <v>8907.1</v>
      </c>
      <c r="AJ59">
        <v>14134.8</v>
      </c>
      <c r="AK59">
        <v>6139</v>
      </c>
      <c r="AL59">
        <v>6517.4</v>
      </c>
      <c r="AM59">
        <v>64070.3</v>
      </c>
      <c r="AN59">
        <v>8322.9</v>
      </c>
      <c r="AO59">
        <v>20157.099999999999</v>
      </c>
    </row>
    <row r="60" spans="1:41">
      <c r="F60">
        <v>2080</v>
      </c>
      <c r="G60">
        <v>29545.3</v>
      </c>
      <c r="H60">
        <v>102223.3</v>
      </c>
      <c r="I60">
        <v>57904.4</v>
      </c>
      <c r="J60">
        <v>6517.4</v>
      </c>
      <c r="K60">
        <v>4367.2</v>
      </c>
      <c r="L60">
        <v>43254.1</v>
      </c>
      <c r="M60">
        <v>160099.4</v>
      </c>
      <c r="N60">
        <v>199713.5</v>
      </c>
      <c r="O60">
        <v>6692.9</v>
      </c>
      <c r="P60">
        <v>13034.7</v>
      </c>
      <c r="Q60">
        <v>4996.6000000000004</v>
      </c>
      <c r="R60">
        <v>6517.4</v>
      </c>
      <c r="S60">
        <v>8574.7999999999993</v>
      </c>
      <c r="T60">
        <v>10662.5</v>
      </c>
      <c r="U60">
        <v>181.2</v>
      </c>
      <c r="V60">
        <v>1520.7</v>
      </c>
      <c r="W60">
        <v>6517.4</v>
      </c>
      <c r="X60">
        <v>8980.6</v>
      </c>
      <c r="Y60">
        <v>36605.800000000003</v>
      </c>
      <c r="Z60">
        <v>74360.899999999994</v>
      </c>
      <c r="AA60">
        <v>126566.3</v>
      </c>
      <c r="AB60">
        <v>690425.7</v>
      </c>
      <c r="AC60">
        <v>2065.3000000000002</v>
      </c>
      <c r="AD60">
        <v>6517.4</v>
      </c>
      <c r="AE60">
        <v>302305.40000000002</v>
      </c>
      <c r="AF60">
        <v>13034.7</v>
      </c>
      <c r="AG60">
        <v>115040.6</v>
      </c>
      <c r="AH60">
        <v>6517.4</v>
      </c>
      <c r="AI60">
        <v>8907.1</v>
      </c>
      <c r="AJ60">
        <v>14134.8</v>
      </c>
      <c r="AK60">
        <v>6139</v>
      </c>
      <c r="AL60">
        <v>6517.4</v>
      </c>
      <c r="AM60">
        <v>64070.3</v>
      </c>
      <c r="AN60">
        <v>8322.9</v>
      </c>
      <c r="AO60">
        <v>20157.099999999999</v>
      </c>
    </row>
    <row r="61" spans="1:41">
      <c r="F61">
        <v>2090</v>
      </c>
      <c r="G61">
        <v>29545.3</v>
      </c>
      <c r="H61">
        <v>102223.3</v>
      </c>
      <c r="I61">
        <v>57904.4</v>
      </c>
      <c r="J61">
        <v>6517.4</v>
      </c>
      <c r="K61">
        <v>4367.2</v>
      </c>
      <c r="L61">
        <v>43254.1</v>
      </c>
      <c r="M61">
        <v>160099.4</v>
      </c>
      <c r="N61">
        <v>199713.5</v>
      </c>
      <c r="O61">
        <v>6692.9</v>
      </c>
      <c r="P61">
        <v>13034.7</v>
      </c>
      <c r="Q61">
        <v>4996.6000000000004</v>
      </c>
      <c r="R61">
        <v>6517.4</v>
      </c>
      <c r="S61">
        <v>8574.7999999999993</v>
      </c>
      <c r="T61">
        <v>10662.5</v>
      </c>
      <c r="U61">
        <v>181.2</v>
      </c>
      <c r="V61">
        <v>1520.7</v>
      </c>
      <c r="W61">
        <v>6517.4</v>
      </c>
      <c r="X61">
        <v>8980.6</v>
      </c>
      <c r="Y61">
        <v>36605.800000000003</v>
      </c>
      <c r="Z61">
        <v>74360.899999999994</v>
      </c>
      <c r="AA61">
        <v>126566.3</v>
      </c>
      <c r="AB61">
        <v>690425.7</v>
      </c>
      <c r="AC61">
        <v>2065.3000000000002</v>
      </c>
      <c r="AD61">
        <v>6517.4</v>
      </c>
      <c r="AE61">
        <v>302305.40000000002</v>
      </c>
      <c r="AF61">
        <v>13034.7</v>
      </c>
      <c r="AG61">
        <v>115040.6</v>
      </c>
      <c r="AH61">
        <v>6517.4</v>
      </c>
      <c r="AI61">
        <v>8907.1</v>
      </c>
      <c r="AJ61">
        <v>14134.8</v>
      </c>
      <c r="AK61">
        <v>6139</v>
      </c>
      <c r="AL61">
        <v>6517.4</v>
      </c>
      <c r="AM61">
        <v>64070.3</v>
      </c>
      <c r="AN61">
        <v>8322.9</v>
      </c>
      <c r="AO61">
        <v>20157.099999999999</v>
      </c>
    </row>
    <row r="62" spans="1:41">
      <c r="F62">
        <v>2100</v>
      </c>
      <c r="G62">
        <v>29545.3</v>
      </c>
      <c r="H62">
        <v>102223.3</v>
      </c>
      <c r="I62">
        <v>57904.4</v>
      </c>
      <c r="J62">
        <v>6517.4</v>
      </c>
      <c r="K62">
        <v>4367.2</v>
      </c>
      <c r="L62">
        <v>43254.1</v>
      </c>
      <c r="M62">
        <v>160099.4</v>
      </c>
      <c r="N62">
        <v>199713.5</v>
      </c>
      <c r="O62">
        <v>6692.9</v>
      </c>
      <c r="P62">
        <v>13034.7</v>
      </c>
      <c r="Q62">
        <v>4996.6000000000004</v>
      </c>
      <c r="R62">
        <v>6517.4</v>
      </c>
      <c r="S62">
        <v>8574.7999999999993</v>
      </c>
      <c r="T62">
        <v>10662.5</v>
      </c>
      <c r="U62">
        <v>181.2</v>
      </c>
      <c r="V62">
        <v>1520.7</v>
      </c>
      <c r="W62">
        <v>6517.4</v>
      </c>
      <c r="X62">
        <v>8980.6</v>
      </c>
      <c r="Y62">
        <v>36605.800000000003</v>
      </c>
      <c r="Z62">
        <v>74360.899999999994</v>
      </c>
      <c r="AA62">
        <v>126566.3</v>
      </c>
      <c r="AB62">
        <v>690425.7</v>
      </c>
      <c r="AC62">
        <v>2065.3000000000002</v>
      </c>
      <c r="AD62">
        <v>6517.4</v>
      </c>
      <c r="AE62">
        <v>302305.40000000002</v>
      </c>
      <c r="AF62">
        <v>13034.7</v>
      </c>
      <c r="AG62">
        <v>115040.6</v>
      </c>
      <c r="AH62">
        <v>6517.4</v>
      </c>
      <c r="AI62">
        <v>8907.1</v>
      </c>
      <c r="AJ62">
        <v>14134.8</v>
      </c>
      <c r="AK62">
        <v>6139</v>
      </c>
      <c r="AL62">
        <v>6517.4</v>
      </c>
      <c r="AM62">
        <v>64070.3</v>
      </c>
      <c r="AN62">
        <v>8322.9</v>
      </c>
      <c r="AO62">
        <v>20157.099999999999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7"/>
  <sheetViews>
    <sheetView zoomScale="93" zoomScaleNormal="93" workbookViewId="0">
      <selection activeCell="E13" sqref="E13"/>
    </sheetView>
  </sheetViews>
  <sheetFormatPr defaultColWidth="9" defaultRowHeight="14.25"/>
  <cols>
    <col min="3" max="3" width="25.53125" customWidth="1"/>
    <col min="5" max="8" width="14.796875" customWidth="1"/>
    <col min="10" max="10" width="12.796875" customWidth="1"/>
  </cols>
  <sheetData>
    <row r="1" spans="1:11">
      <c r="A1" t="s">
        <v>374</v>
      </c>
    </row>
    <row r="3" spans="1:11">
      <c r="C3" t="s">
        <v>53</v>
      </c>
    </row>
    <row r="4" spans="1:11">
      <c r="C4" t="s">
        <v>77</v>
      </c>
      <c r="D4" t="s">
        <v>28</v>
      </c>
      <c r="E4" t="s">
        <v>40</v>
      </c>
      <c r="F4" t="s">
        <v>49</v>
      </c>
      <c r="G4" t="s">
        <v>39</v>
      </c>
      <c r="H4" t="s">
        <v>376</v>
      </c>
      <c r="I4" t="s">
        <v>330</v>
      </c>
      <c r="J4" t="s">
        <v>377</v>
      </c>
      <c r="K4" t="s">
        <v>375</v>
      </c>
    </row>
    <row r="5" spans="1:11">
      <c r="C5" t="str">
        <f>"UCS_global trade growth - "&amp;LEFT(E5,3)</f>
        <v>UCS_global trade growth - OIL</v>
      </c>
      <c r="D5" t="s">
        <v>378</v>
      </c>
      <c r="E5" t="s">
        <v>379</v>
      </c>
      <c r="F5" t="str">
        <f>E5</f>
        <v>OILCRD</v>
      </c>
      <c r="G5" t="s">
        <v>380</v>
      </c>
      <c r="H5" t="s">
        <v>381</v>
      </c>
      <c r="I5">
        <v>1.01</v>
      </c>
      <c r="J5">
        <v>1</v>
      </c>
      <c r="K5">
        <v>2</v>
      </c>
    </row>
    <row r="6" spans="1:11">
      <c r="C6" t="str">
        <f t="shared" ref="C6:C7" si="0">"UCS_global trade growth - "&amp;LEFT(E6,3)</f>
        <v>UCS_global trade growth - GAS</v>
      </c>
      <c r="D6" t="s">
        <v>378</v>
      </c>
      <c r="E6" t="s">
        <v>382</v>
      </c>
      <c r="F6" t="str">
        <f>E6</f>
        <v>GASNGA,GASLNG</v>
      </c>
      <c r="G6" t="s">
        <v>380</v>
      </c>
      <c r="H6" t="s">
        <v>381</v>
      </c>
      <c r="I6">
        <v>1.03</v>
      </c>
      <c r="J6">
        <v>1</v>
      </c>
      <c r="K6">
        <v>2</v>
      </c>
    </row>
    <row r="7" spans="1:11">
      <c r="C7" t="str">
        <f t="shared" si="0"/>
        <v>UCS_global trade growth - COA</v>
      </c>
      <c r="D7" t="s">
        <v>378</v>
      </c>
      <c r="E7" t="s">
        <v>383</v>
      </c>
      <c r="F7" t="str">
        <f>E7</f>
        <v>COAHCO,COACOK</v>
      </c>
      <c r="G7" t="s">
        <v>380</v>
      </c>
      <c r="H7" t="s">
        <v>381</v>
      </c>
      <c r="I7">
        <v>1.03</v>
      </c>
      <c r="J7">
        <v>1</v>
      </c>
      <c r="K7">
        <v>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DB47EE0E92B004DA587A5AC06BCAB72" ma:contentTypeVersion="15" ma:contentTypeDescription="新しいドキュメントを作成します。" ma:contentTypeScope="" ma:versionID="cff8d2101153e857ff4355cc66cd45e5">
  <xsd:schema xmlns:xsd="http://www.w3.org/2001/XMLSchema" xmlns:xs="http://www.w3.org/2001/XMLSchema" xmlns:p="http://schemas.microsoft.com/office/2006/metadata/properties" xmlns:ns2="961b6814-c230-4269-82bd-def8d4313a06" xmlns:ns3="bab054b8-c314-4c35-aaad-e6094b2a3aec" targetNamespace="http://schemas.microsoft.com/office/2006/metadata/properties" ma:root="true" ma:fieldsID="a602de66b0b03817e42d2b6948bbd6d9" ns2:_="" ns3:_="">
    <xsd:import namespace="961b6814-c230-4269-82bd-def8d4313a06"/>
    <xsd:import namespace="bab054b8-c314-4c35-aaad-e6094b2a3ae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1b6814-c230-4269-82bd-def8d4313a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761ec606-d3f6-431d-aca1-879ead0541e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b054b8-c314-4c35-aaad-e6094b2a3aec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d7fabe0-2dba-4629-88b9-b2647f7a99db}" ma:internalName="TaxCatchAll" ma:showField="CatchAllData" ma:web="bab054b8-c314-4c35-aaad-e6094b2a3ae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61b6814-c230-4269-82bd-def8d4313a06">
      <Terms xmlns="http://schemas.microsoft.com/office/infopath/2007/PartnerControls"/>
    </lcf76f155ced4ddcb4097134ff3c332f>
    <TaxCatchAll xmlns="bab054b8-c314-4c35-aaad-e6094b2a3aec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C4345B4-74E0-4C72-B5D6-70FFA6E7D37C}">
  <ds:schemaRefs/>
</ds:datastoreItem>
</file>

<file path=customXml/itemProps2.xml><?xml version="1.0" encoding="utf-8"?>
<ds:datastoreItem xmlns:ds="http://schemas.openxmlformats.org/officeDocument/2006/customXml" ds:itemID="{CE0A6D8E-D49B-4A7F-B9F4-3E03F2D2170A}">
  <ds:schemaRefs/>
</ds:datastoreItem>
</file>

<file path=customXml/itemProps3.xml><?xml version="1.0" encoding="utf-8"?>
<ds:datastoreItem xmlns:ds="http://schemas.openxmlformats.org/officeDocument/2006/customXml" ds:itemID="{618B53B5-1A53-4459-81D9-66E088265F67}">
  <ds:schemaRefs/>
</ds:datastoreItem>
</file>

<file path=customXml/itemProps4.xml><?xml version="1.0" encoding="utf-8"?>
<ds:datastoreItem xmlns:ds="http://schemas.openxmlformats.org/officeDocument/2006/customXml" ds:itemID="{02616339-B281-40D7-BD9B-E94166836AC9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Constants</vt:lpstr>
      <vt:lpstr>bio_car</vt:lpstr>
      <vt:lpstr>DEF topology</vt:lpstr>
      <vt:lpstr>agg cap UC</vt:lpstr>
      <vt:lpstr>nuclear</vt:lpstr>
      <vt:lpstr>CHP and Losses</vt:lpstr>
      <vt:lpstr>Thermal UF</vt:lpstr>
      <vt:lpstr>Build Rates</vt:lpstr>
      <vt:lpstr>Trade growth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2009-05-27T15:40:00Z</dcterms:created>
  <dcterms:modified xsi:type="dcterms:W3CDTF">2026-09-07T14:25:33Z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670463185387520</vt:r8>
  </property>
  <property fmtid="{D5CDD505-2E9C-101B-9397-08002B2CF9AE}" pid="3" name="{A44787D4-0540-4523-9961-78E4036D8C6D}">
    <vt:lpwstr>{7351399B-AFFB-4AC6-A65F-CC7B2777384B}</vt:lpwstr>
  </property>
  <property fmtid="{D5CDD505-2E9C-101B-9397-08002B2CF9AE}" pid="4" name="ContentTypeId">
    <vt:lpwstr>0x0101002DB47EE0E92B004DA587A5AC06BCAB72</vt:lpwstr>
  </property>
  <property fmtid="{D5CDD505-2E9C-101B-9397-08002B2CF9AE}" pid="5" name="MediaServiceImageTags">
    <vt:lpwstr/>
  </property>
  <property fmtid="{D5CDD505-2E9C-101B-9397-08002B2CF9AE}" pid="6" name="ICV">
    <vt:lpwstr>6026960B6CA341A4B1D6674DAF55B248_12</vt:lpwstr>
  </property>
  <property fmtid="{D5CDD505-2E9C-101B-9397-08002B2CF9AE}" pid="7" name="KSOProductBuildVer">
    <vt:lpwstr>1033-12.1.0.28032</vt:lpwstr>
  </property>
  <property fmtid="{D5CDD505-2E9C-101B-9397-08002B2CF9AE}" pid="8" name="CalculationRule">
    <vt:i4>0</vt:i4>
  </property>
</Properties>
</file>