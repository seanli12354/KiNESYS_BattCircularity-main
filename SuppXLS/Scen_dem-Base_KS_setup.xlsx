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/>
  </bookViews>
  <sheets>
    <sheet name="Readme" sheetId="17" r:id="rId1"/>
    <sheet name="Constants" sheetId="24" r:id="rId2"/>
  </sheets>
  <externalReferences>
    <externalReference r:id="rId3"/>
  </externalReference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H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31-05-2022
reduced after introduction of COM_PKFLX
</t>
        </r>
      </text>
    </comment>
  </commentList>
</comments>
</file>

<file path=xl/sharedStrings.xml><?xml version="1.0" encoding="utf-8"?>
<sst xmlns="http://schemas.openxmlformats.org/spreadsheetml/2006/main" count="229" uniqueCount="28">
  <si>
    <t>BEFORE creating another model:</t>
  </si>
  <si>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</si>
  <si>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</si>
  <si>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</si>
  <si>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</si>
  <si>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</si>
  <si>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</si>
  <si>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</si>
  <si>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</si>
  <si>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</si>
  <si>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</si>
  <si>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</si>
  <si>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</si>
  <si>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</si>
  <si>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</si>
  <si>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</si>
  <si>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</si>
  <si>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</si>
  <si>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</si>
  <si>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</si>
  <si>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</si>
  <si>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</si>
  <si>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</si>
  <si>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</si>
  <si>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</si>
  <si>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</si>
  <si>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</si>
  <si>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EUR20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</si>
</sst>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9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b/>
      <sz val="11"/>
      <color rgb="FF3F3F7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134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1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5" fillId="4" borderId="1" applyNumberFormat="0" applyAlignment="0" applyProtection="0"/>
    <xf numFmtId="0" fontId="4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26" fillId="0" borderId="0"/>
  </cellStyleXfs>
  <cellXfs count="9">
    <xf numFmtId="0" fontId="0" fillId="0" borderId="0" xfId="0"/>
    <xf numFmtId="0" fontId="1" fillId="0" borderId="0" xfId="52"/>
    <xf numFmtId="0" fontId="2" fillId="2" borderId="0" xfId="52" applyFont="1" applyFill="1"/>
    <xf numFmtId="0" fontId="2" fillId="3" borderId="0" xfId="52" applyFont="1" applyFill="1"/>
    <xf numFmtId="2" fontId="1" fillId="0" borderId="0" xfId="52" applyNumberFormat="1"/>
    <xf numFmtId="0" fontId="3" fillId="4" borderId="1" xfId="49" applyFont="1"/>
    <xf numFmtId="0" fontId="4" fillId="5" borderId="0" xfId="50"/>
    <xf numFmtId="2" fontId="4" fillId="5" borderId="0" xfId="50" applyNumberFormat="1"/>
    <xf numFmtId="0" fontId="1" fillId="0" borderId="0" xfId="53"/>
  </cellXfs>
  <cellStyles count="58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 2 3" xfId="54"/>
    <cellStyle name="Normal 3" xfId="55"/>
    <cellStyle name="Normal 3 2" xfId="56"/>
    <cellStyle name="Normale_Scen_UC_IND-StrucConst" xfId="57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ppXLS\Scen_BaseEXTR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stants"/>
      <sheetName val="RE assumptions"/>
      <sheetName val="nuclear"/>
    </sheetNames>
    <sheetDataSet>
      <sheetData sheetId="0"/>
      <sheetData sheetId="1">
        <row r="2">
          <cell r="P2">
            <v>2018</v>
          </cell>
        </row>
        <row r="3">
          <cell r="P3">
            <v>2019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"/>
  <sheetViews>
    <sheetView tabSelected="1" workbookViewId="0">
      <selection activeCell="A1" sqref="A1"/>
    </sheetView>
  </sheetViews>
  <sheetFormatPr defaultColWidth="9" defaultRowHeight="14.5"/>
  <sheetData>
    <row r="1" spans="1:1">
      <c r="A1" t="s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topLeftCell="Q1" workbookViewId="0">
      <selection activeCell="AA20" sqref="AA20"/>
    </sheetView>
  </sheetViews>
  <sheetFormatPr defaultColWidth="9.13636363636364" defaultRowHeight="12.5"/>
  <cols>
    <col min="1" max="1" width="9.13636363636364" style="1" customWidth="1"/>
    <col min="2" max="2" width="9.85454545454546" style="1" customWidth="1"/>
    <col min="3" max="3" width="8.42727272727273" style="1" customWidth="1"/>
    <col min="4" max="4" width="12.7090909090909" style="1" customWidth="1"/>
    <col min="5" max="5" width="5" style="1" customWidth="1"/>
    <col min="6" max="6" width="14.2818181818182" style="1" customWidth="1"/>
    <col min="7" max="7" width="6.85454545454545" style="1" customWidth="1"/>
    <col min="8" max="8" width="10.4272727272727" style="1" customWidth="1"/>
    <col min="9" max="9" width="8.42727272727273" style="1" customWidth="1"/>
    <col min="10" max="10" width="5.13636363636364" style="1" customWidth="1"/>
    <col min="11" max="12" width="5" style="1" customWidth="1"/>
    <col min="13" max="256" width="11.4272727272727" style="1" customWidth="1"/>
    <col min="257" max="16384" width="9.13636363636364" style="1"/>
  </cols>
  <sheetData>
    <row r="2" spans="2:25">
      <c r="B2" s="1" t="s">
        <v>1</v>
      </c>
      <c r="Y2" s="1" t="s">
        <v>1</v>
      </c>
    </row>
    <row r="3" ht="14.5" spans="2:31"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3" t="s">
        <v>7</v>
      </c>
      <c r="H3" s="3" t="s">
        <v>8</v>
      </c>
      <c r="I3" s="2" t="s">
        <v>9</v>
      </c>
      <c r="K3"/>
      <c r="L3"/>
      <c r="Y3" s="1" t="s">
        <v>2</v>
      </c>
      <c r="Z3" s="1" t="s">
        <v>3</v>
      </c>
      <c r="AA3" s="1" t="s">
        <v>4</v>
      </c>
      <c r="AB3" s="1" t="s">
        <v>5</v>
      </c>
      <c r="AC3" s="1" t="s">
        <v>6</v>
      </c>
      <c r="AD3" s="1" t="s">
        <v>7</v>
      </c>
      <c r="AE3" s="1" t="s">
        <v>8</v>
      </c>
    </row>
    <row r="4" ht="14.5" spans="4:31">
      <c r="D4" s="1" t="s">
        <v>10</v>
      </c>
      <c r="H4" s="4">
        <v>0</v>
      </c>
      <c r="I4" s="1" t="s">
        <v>11</v>
      </c>
      <c r="K4"/>
      <c r="L4"/>
      <c r="T4" s="8" t="s">
        <v>12</v>
      </c>
      <c r="U4" s="8" t="s">
        <v>13</v>
      </c>
      <c r="V4" s="8" t="s">
        <v>14</v>
      </c>
      <c r="W4" s="8" t="s">
        <v>15</v>
      </c>
      <c r="AA4" s="1" t="s">
        <v>16</v>
      </c>
      <c r="AC4" s="1" t="s">
        <v>17</v>
      </c>
      <c r="AD4" s="1" t="s">
        <v>18</v>
      </c>
      <c r="AE4" s="1">
        <f>1.10926234054354*H39</f>
        <v>1.20144204104271</v>
      </c>
    </row>
    <row r="5" ht="14.5" spans="4:31">
      <c r="D5" s="1" t="s">
        <v>19</v>
      </c>
      <c r="H5" s="1">
        <f>MAX('[1]RE assumptions'!$P$2:$P$6)+1</f>
        <v>2020</v>
      </c>
      <c r="K5"/>
      <c r="L5"/>
      <c r="T5" s="8" t="s">
        <v>20</v>
      </c>
      <c r="U5" s="8" t="s">
        <v>21</v>
      </c>
      <c r="V5" s="8">
        <v>2001</v>
      </c>
      <c r="W5" s="8">
        <v>0.762827515602112</v>
      </c>
      <c r="AA5" s="1" t="s">
        <v>22</v>
      </c>
      <c r="AD5" s="1" t="s">
        <v>18</v>
      </c>
      <c r="AE5" s="1">
        <f>O6</f>
        <v>0.07</v>
      </c>
    </row>
    <row r="6" ht="14.5" spans="4:31">
      <c r="D6" s="1" t="s">
        <v>23</v>
      </c>
      <c r="H6" s="1">
        <v>1</v>
      </c>
      <c r="J6"/>
      <c r="K6"/>
      <c r="L6"/>
      <c r="O6" s="5">
        <v>0.07</v>
      </c>
      <c r="P6" s="1" t="s">
        <v>24</v>
      </c>
      <c r="T6" s="8" t="s">
        <v>20</v>
      </c>
      <c r="U6" s="8" t="s">
        <v>21</v>
      </c>
      <c r="V6" s="8">
        <v>2002</v>
      </c>
      <c r="W6" s="8">
        <v>0.774460315704346</v>
      </c>
      <c r="AA6" s="1" t="s">
        <v>16</v>
      </c>
      <c r="AC6" s="1" t="s">
        <v>17</v>
      </c>
      <c r="AD6" s="1" t="s">
        <v>25</v>
      </c>
      <c r="AE6" s="4">
        <f>H45</f>
        <v>0.9896</v>
      </c>
    </row>
    <row r="7" spans="4:31">
      <c r="D7" s="1" t="str">
        <f>IF(F7=G7,"*","")&amp;"G_CUREX"</f>
        <v>G_CUREX</v>
      </c>
      <c r="F7" s="1" t="s">
        <v>17</v>
      </c>
      <c r="G7" s="1" t="str">
        <f>"USD"&amp;RIGHT(O9,2)</f>
        <v>USD83</v>
      </c>
      <c r="H7" s="4">
        <f>ROUND($P$46/P9,4)</f>
        <v>2.2201</v>
      </c>
      <c r="T7" s="8" t="s">
        <v>20</v>
      </c>
      <c r="U7" s="8" t="s">
        <v>21</v>
      </c>
      <c r="V7" s="8">
        <v>2003</v>
      </c>
      <c r="W7" s="8">
        <v>0.789065361022949</v>
      </c>
      <c r="AA7" s="1" t="s">
        <v>22</v>
      </c>
      <c r="AD7" s="1" t="str">
        <f>AD6</f>
        <v>USD21_alt</v>
      </c>
      <c r="AE7" s="1">
        <f>O6</f>
        <v>0.07</v>
      </c>
    </row>
    <row r="8" ht="14.5" spans="4:31">
      <c r="D8" s="1" t="str">
        <f t="shared" ref="D8:D42" si="0">IF(F8=G8,"*","")&amp;"G_CUREX"</f>
        <v>G_CUREX</v>
      </c>
      <c r="F8" s="1" t="s">
        <v>17</v>
      </c>
      <c r="G8" s="1" t="str">
        <f t="shared" ref="G8:G42" si="1">"USD"&amp;RIGHT(O10,2)</f>
        <v>USD84</v>
      </c>
      <c r="H8" s="4">
        <f t="shared" ref="H8:H49" si="2">ROUND($P$46/P10,4)</f>
        <v>2.1427</v>
      </c>
      <c r="O8" s="6"/>
      <c r="P8" s="6" t="s">
        <v>26</v>
      </c>
      <c r="T8" s="8" t="s">
        <v>20</v>
      </c>
      <c r="U8" s="8" t="s">
        <v>21</v>
      </c>
      <c r="V8" s="8">
        <v>2004</v>
      </c>
      <c r="W8" s="8">
        <v>0.810197472572327</v>
      </c>
      <c r="AA8" s="1" t="s">
        <v>16</v>
      </c>
      <c r="AC8" s="1" t="s">
        <v>17</v>
      </c>
      <c r="AD8" s="1" t="s">
        <v>27</v>
      </c>
      <c r="AE8" s="4">
        <v>1.14</v>
      </c>
    </row>
    <row r="9" ht="14.5" spans="4:31">
      <c r="D9" s="1" t="str">
        <f t="shared" si="0"/>
        <v>G_CUREX</v>
      </c>
      <c r="F9" s="1" t="s">
        <v>17</v>
      </c>
      <c r="G9" s="1" t="str">
        <f t="shared" si="1"/>
        <v>USD85</v>
      </c>
      <c r="H9" s="4">
        <f t="shared" si="2"/>
        <v>2.077</v>
      </c>
      <c r="O9" s="6">
        <v>1983</v>
      </c>
      <c r="P9" s="7">
        <f>VLOOKUP(O9,$V$5:$W$99,2,FALSE)</f>
        <v>0.487872630357742</v>
      </c>
      <c r="T9" s="8" t="s">
        <v>20</v>
      </c>
      <c r="U9" s="8" t="s">
        <v>21</v>
      </c>
      <c r="V9" s="8">
        <v>2005</v>
      </c>
      <c r="W9" s="8">
        <v>0.835319578647614</v>
      </c>
      <c r="AA9" s="1" t="s">
        <v>22</v>
      </c>
      <c r="AD9" s="1" t="str">
        <f>AD8</f>
        <v>EUR20</v>
      </c>
      <c r="AE9" s="1">
        <f>AE7</f>
        <v>0.07</v>
      </c>
    </row>
    <row r="10" ht="14.5" spans="4:23">
      <c r="D10" s="1" t="str">
        <f t="shared" si="0"/>
        <v>G_CUREX</v>
      </c>
      <c r="F10" s="1" t="s">
        <v>17</v>
      </c>
      <c r="G10" s="1" t="str">
        <f t="shared" si="1"/>
        <v>USD86</v>
      </c>
      <c r="H10" s="4">
        <f t="shared" si="2"/>
        <v>2.0358</v>
      </c>
      <c r="O10" s="6">
        <v>1984</v>
      </c>
      <c r="P10" s="7">
        <f t="shared" ref="P10:P51" si="3">VLOOKUP(O10,$V$5:$W$99,2,FALSE)</f>
        <v>0.505495131015778</v>
      </c>
      <c r="T10" s="8" t="s">
        <v>20</v>
      </c>
      <c r="U10" s="8" t="s">
        <v>21</v>
      </c>
      <c r="V10" s="8">
        <v>2006</v>
      </c>
      <c r="W10" s="8">
        <v>0.860807240009308</v>
      </c>
    </row>
    <row r="11" ht="14.5" spans="4:23">
      <c r="D11" s="1" t="str">
        <f t="shared" si="0"/>
        <v>G_CUREX</v>
      </c>
      <c r="F11" s="1" t="s">
        <v>17</v>
      </c>
      <c r="G11" s="1" t="str">
        <f t="shared" si="1"/>
        <v>USD87</v>
      </c>
      <c r="H11" s="4">
        <f t="shared" si="2"/>
        <v>1.987</v>
      </c>
      <c r="O11" s="6">
        <v>1985</v>
      </c>
      <c r="P11" s="7">
        <f t="shared" si="3"/>
        <v>0.521485805511475</v>
      </c>
      <c r="T11" s="8" t="s">
        <v>20</v>
      </c>
      <c r="U11" s="8" t="s">
        <v>21</v>
      </c>
      <c r="V11" s="8">
        <v>2007</v>
      </c>
      <c r="W11" s="8">
        <v>0.883970141410828</v>
      </c>
    </row>
    <row r="12" ht="14.5" spans="4:23">
      <c r="D12" s="1" t="str">
        <f t="shared" si="0"/>
        <v>G_CUREX</v>
      </c>
      <c r="F12" s="1" t="s">
        <v>17</v>
      </c>
      <c r="G12" s="1" t="str">
        <f t="shared" si="1"/>
        <v>USD88</v>
      </c>
      <c r="H12" s="4">
        <f t="shared" si="2"/>
        <v>1.9192</v>
      </c>
      <c r="O12" s="6">
        <v>1986</v>
      </c>
      <c r="P12" s="7">
        <f t="shared" si="3"/>
        <v>0.532050728797913</v>
      </c>
      <c r="T12" s="8" t="s">
        <v>20</v>
      </c>
      <c r="U12" s="8" t="s">
        <v>21</v>
      </c>
      <c r="V12" s="8">
        <v>2008</v>
      </c>
      <c r="W12" s="8">
        <v>0.900844812393188</v>
      </c>
    </row>
    <row r="13" ht="14.5" spans="4:28">
      <c r="D13" s="1" t="str">
        <f t="shared" si="0"/>
        <v>G_CUREX</v>
      </c>
      <c r="F13" s="1" t="s">
        <v>17</v>
      </c>
      <c r="G13" s="1" t="str">
        <f t="shared" si="1"/>
        <v>USD89</v>
      </c>
      <c r="H13" s="4">
        <f t="shared" si="2"/>
        <v>1.8468</v>
      </c>
      <c r="O13" s="6">
        <v>1987</v>
      </c>
      <c r="P13" s="7">
        <f t="shared" si="3"/>
        <v>0.54511946439743</v>
      </c>
      <c r="T13" s="8" t="s">
        <v>20</v>
      </c>
      <c r="U13" s="8" t="s">
        <v>21</v>
      </c>
      <c r="V13" s="8">
        <v>2009</v>
      </c>
      <c r="W13" s="8">
        <v>0.907873749732971</v>
      </c>
      <c r="Y13"/>
      <c r="Z13"/>
      <c r="AA13"/>
      <c r="AB13"/>
    </row>
    <row r="14" ht="14.5" spans="4:28">
      <c r="D14" s="1" t="str">
        <f t="shared" si="0"/>
        <v>G_CUREX</v>
      </c>
      <c r="F14" s="1" t="s">
        <v>17</v>
      </c>
      <c r="G14" s="1" t="str">
        <f t="shared" si="1"/>
        <v>USD90</v>
      </c>
      <c r="H14" s="4">
        <f t="shared" si="2"/>
        <v>1.7799</v>
      </c>
      <c r="O14" s="6">
        <v>1988</v>
      </c>
      <c r="P14" s="7">
        <f t="shared" si="3"/>
        <v>0.564371347427368</v>
      </c>
      <c r="T14" s="8" t="s">
        <v>20</v>
      </c>
      <c r="U14" s="8" t="s">
        <v>21</v>
      </c>
      <c r="V14" s="8">
        <v>2010</v>
      </c>
      <c r="W14" s="8">
        <v>0.918479204177856</v>
      </c>
      <c r="Y14"/>
      <c r="Z14"/>
      <c r="AA14"/>
      <c r="AB14"/>
    </row>
    <row r="15" ht="14.5" spans="4:28">
      <c r="D15" s="1" t="str">
        <f t="shared" si="0"/>
        <v>G_CUREX</v>
      </c>
      <c r="F15" s="1" t="s">
        <v>17</v>
      </c>
      <c r="G15" s="1" t="str">
        <f t="shared" si="1"/>
        <v>USD91</v>
      </c>
      <c r="H15" s="4">
        <f t="shared" si="2"/>
        <v>1.722</v>
      </c>
      <c r="O15" s="6">
        <v>1989</v>
      </c>
      <c r="P15" s="7">
        <f t="shared" si="3"/>
        <v>0.58649742603302</v>
      </c>
      <c r="T15" s="8" t="s">
        <v>20</v>
      </c>
      <c r="U15" s="8" t="s">
        <v>21</v>
      </c>
      <c r="V15" s="8">
        <v>2011</v>
      </c>
      <c r="W15" s="8">
        <v>0.937618970870972</v>
      </c>
      <c r="Y15"/>
      <c r="Z15"/>
      <c r="AA15"/>
      <c r="AB15"/>
    </row>
    <row r="16" ht="14.5" spans="4:23">
      <c r="D16" s="1" t="str">
        <f t="shared" si="0"/>
        <v>G_CUREX</v>
      </c>
      <c r="F16" s="1" t="s">
        <v>17</v>
      </c>
      <c r="G16" s="1" t="str">
        <f t="shared" si="1"/>
        <v>USD92</v>
      </c>
      <c r="H16" s="4">
        <f t="shared" si="2"/>
        <v>1.6836</v>
      </c>
      <c r="O16" s="6">
        <v>1990</v>
      </c>
      <c r="P16" s="7">
        <f t="shared" si="3"/>
        <v>0.608532726764679</v>
      </c>
      <c r="T16" s="8" t="s">
        <v>20</v>
      </c>
      <c r="U16" s="8" t="s">
        <v>21</v>
      </c>
      <c r="V16" s="8">
        <v>2012</v>
      </c>
      <c r="W16" s="8">
        <v>0.955666601657867</v>
      </c>
    </row>
    <row r="17" ht="14.5" spans="4:23">
      <c r="D17" s="1" t="str">
        <f t="shared" si="0"/>
        <v>G_CUREX</v>
      </c>
      <c r="F17" s="1" t="s">
        <v>17</v>
      </c>
      <c r="G17" s="1" t="str">
        <f t="shared" si="1"/>
        <v>USD93</v>
      </c>
      <c r="H17" s="4">
        <f t="shared" si="2"/>
        <v>1.6446</v>
      </c>
      <c r="O17" s="6">
        <v>1991</v>
      </c>
      <c r="P17" s="7">
        <f t="shared" si="3"/>
        <v>0.629012584686279</v>
      </c>
      <c r="T17" s="8" t="s">
        <v>20</v>
      </c>
      <c r="U17" s="8" t="s">
        <v>21</v>
      </c>
      <c r="V17" s="8">
        <v>2013</v>
      </c>
      <c r="W17" s="8">
        <v>0.972605764865875</v>
      </c>
    </row>
    <row r="18" ht="14.5" spans="4:23">
      <c r="D18" s="1" t="str">
        <f t="shared" si="0"/>
        <v>G_CUREX</v>
      </c>
      <c r="F18" s="1" t="s">
        <v>17</v>
      </c>
      <c r="G18" s="1" t="str">
        <f t="shared" si="1"/>
        <v>USD94</v>
      </c>
      <c r="H18" s="4">
        <f t="shared" si="2"/>
        <v>1.6102</v>
      </c>
      <c r="O18" s="6">
        <v>1992</v>
      </c>
      <c r="P18" s="7">
        <f t="shared" si="3"/>
        <v>0.643362104892731</v>
      </c>
      <c r="T18" s="8" t="s">
        <v>20</v>
      </c>
      <c r="U18" s="8" t="s">
        <v>21</v>
      </c>
      <c r="V18" s="8">
        <v>2014</v>
      </c>
      <c r="W18" s="8">
        <v>0.990517318248749</v>
      </c>
    </row>
    <row r="19" ht="14.5" spans="4:23">
      <c r="D19" s="1" t="str">
        <f t="shared" si="0"/>
        <v>G_CUREX</v>
      </c>
      <c r="F19" s="1" t="s">
        <v>17</v>
      </c>
      <c r="G19" s="1" t="str">
        <f t="shared" si="1"/>
        <v>USD95</v>
      </c>
      <c r="H19" s="4">
        <f t="shared" si="2"/>
        <v>1.5771</v>
      </c>
      <c r="O19" s="6">
        <v>1993</v>
      </c>
      <c r="P19" s="7">
        <f t="shared" si="3"/>
        <v>0.658619225025177</v>
      </c>
      <c r="T19" s="8" t="s">
        <v>20</v>
      </c>
      <c r="U19" s="8" t="s">
        <v>21</v>
      </c>
      <c r="V19" s="8">
        <v>2015</v>
      </c>
      <c r="W19" s="8">
        <v>1</v>
      </c>
    </row>
    <row r="20" ht="14.5" spans="4:23">
      <c r="D20" s="1" t="str">
        <f t="shared" si="0"/>
        <v>G_CUREX</v>
      </c>
      <c r="F20" s="1" t="s">
        <v>17</v>
      </c>
      <c r="G20" s="1" t="str">
        <f t="shared" si="1"/>
        <v>USD96</v>
      </c>
      <c r="H20" s="4">
        <f t="shared" si="2"/>
        <v>1.5488</v>
      </c>
      <c r="O20" s="6">
        <v>1994</v>
      </c>
      <c r="P20" s="7">
        <f t="shared" si="3"/>
        <v>0.67265796661377</v>
      </c>
      <c r="T20" s="8" t="s">
        <v>20</v>
      </c>
      <c r="U20" s="8" t="s">
        <v>21</v>
      </c>
      <c r="V20" s="8">
        <v>2016</v>
      </c>
      <c r="W20" s="8">
        <v>1.01048374176025</v>
      </c>
    </row>
    <row r="21" ht="14.5" spans="4:23">
      <c r="D21" s="1" t="str">
        <f t="shared" si="0"/>
        <v>G_CUREX</v>
      </c>
      <c r="F21" s="1" t="s">
        <v>17</v>
      </c>
      <c r="G21" s="1" t="str">
        <f t="shared" si="1"/>
        <v>USD97</v>
      </c>
      <c r="H21" s="4">
        <f t="shared" si="2"/>
        <v>1.5224</v>
      </c>
      <c r="O21" s="6">
        <v>1995</v>
      </c>
      <c r="P21" s="7">
        <f t="shared" si="3"/>
        <v>0.686780393123627</v>
      </c>
      <c r="T21" s="8" t="s">
        <v>20</v>
      </c>
      <c r="U21" s="8" t="s">
        <v>21</v>
      </c>
      <c r="V21" s="8">
        <v>2017</v>
      </c>
      <c r="W21" s="8">
        <v>1.02974033355713</v>
      </c>
    </row>
    <row r="22" ht="14.5" spans="4:23">
      <c r="D22" s="1" t="str">
        <f t="shared" si="0"/>
        <v>G_CUREX</v>
      </c>
      <c r="F22" s="1" t="s">
        <v>17</v>
      </c>
      <c r="G22" s="1" t="str">
        <f t="shared" si="1"/>
        <v>USD98</v>
      </c>
      <c r="H22" s="4">
        <f t="shared" si="2"/>
        <v>1.5058</v>
      </c>
      <c r="O22" s="6">
        <v>1996</v>
      </c>
      <c r="P22" s="7">
        <f t="shared" si="3"/>
        <v>0.699335396289825</v>
      </c>
      <c r="T22" s="8" t="s">
        <v>20</v>
      </c>
      <c r="U22" s="8" t="s">
        <v>21</v>
      </c>
      <c r="V22" s="8">
        <v>2018</v>
      </c>
      <c r="W22" s="8">
        <v>1.05430805683136</v>
      </c>
    </row>
    <row r="23" ht="14.5" spans="4:23">
      <c r="D23" s="1" t="str">
        <f t="shared" si="0"/>
        <v>G_CUREX</v>
      </c>
      <c r="F23" s="1" t="s">
        <v>17</v>
      </c>
      <c r="G23" s="1" t="str">
        <f t="shared" si="1"/>
        <v>USD99</v>
      </c>
      <c r="H23" s="4">
        <f t="shared" si="2"/>
        <v>1.4845</v>
      </c>
      <c r="O23" s="6">
        <v>1997</v>
      </c>
      <c r="P23" s="7">
        <f t="shared" si="3"/>
        <v>0.71145087480545</v>
      </c>
      <c r="T23" s="8" t="s">
        <v>20</v>
      </c>
      <c r="U23" s="8" t="s">
        <v>21</v>
      </c>
      <c r="V23" s="8">
        <v>2019</v>
      </c>
      <c r="W23" s="8">
        <v>1.07337832450867</v>
      </c>
    </row>
    <row r="24" ht="14.5" spans="4:23">
      <c r="D24" s="1" t="str">
        <f t="shared" si="0"/>
        <v>G_CUREX</v>
      </c>
      <c r="F24" s="1" t="s">
        <v>17</v>
      </c>
      <c r="G24" s="1" t="str">
        <f t="shared" si="1"/>
        <v>USD00</v>
      </c>
      <c r="H24" s="4">
        <f t="shared" si="2"/>
        <v>1.4518</v>
      </c>
      <c r="O24" s="6">
        <v>1998</v>
      </c>
      <c r="P24" s="7">
        <f t="shared" si="3"/>
        <v>0.719296872615814</v>
      </c>
      <c r="T24" s="8" t="s">
        <v>20</v>
      </c>
      <c r="U24" s="8" t="s">
        <v>21</v>
      </c>
      <c r="V24" s="8">
        <v>2020</v>
      </c>
      <c r="W24" s="8">
        <v>1.08314538002014</v>
      </c>
    </row>
    <row r="25" ht="14.5" spans="4:23">
      <c r="D25" s="1" t="str">
        <f t="shared" si="0"/>
        <v>G_CUREX</v>
      </c>
      <c r="F25" s="1" t="s">
        <v>17</v>
      </c>
      <c r="G25" s="1" t="str">
        <f t="shared" si="1"/>
        <v>USD01</v>
      </c>
      <c r="H25" s="4">
        <f t="shared" si="2"/>
        <v>1.4199</v>
      </c>
      <c r="O25" s="6">
        <v>1999</v>
      </c>
      <c r="P25" s="7">
        <f t="shared" si="3"/>
        <v>0.729613304138184</v>
      </c>
      <c r="T25" s="8" t="s">
        <v>20</v>
      </c>
      <c r="U25" s="8" t="s">
        <v>21</v>
      </c>
      <c r="V25" s="8">
        <v>2021</v>
      </c>
      <c r="W25" s="8">
        <v>1.09456992149353</v>
      </c>
    </row>
    <row r="26" ht="14.5" spans="4:23">
      <c r="D26" s="1" t="str">
        <f t="shared" si="0"/>
        <v>G_CUREX</v>
      </c>
      <c r="F26" s="1" t="s">
        <v>17</v>
      </c>
      <c r="G26" s="1" t="str">
        <f t="shared" si="1"/>
        <v>USD02</v>
      </c>
      <c r="H26" s="4">
        <f t="shared" si="2"/>
        <v>1.3986</v>
      </c>
      <c r="O26" s="6">
        <v>2000</v>
      </c>
      <c r="P26" s="7">
        <f t="shared" si="3"/>
        <v>0.746074616909027</v>
      </c>
      <c r="T26" s="8" t="s">
        <v>20</v>
      </c>
      <c r="U26" s="8" t="s">
        <v>21</v>
      </c>
      <c r="V26" s="8">
        <v>2022</v>
      </c>
      <c r="W26" s="8">
        <v>1.1073887348175</v>
      </c>
    </row>
    <row r="27" ht="14.5" spans="4:23">
      <c r="D27" s="1" t="str">
        <f t="shared" si="0"/>
        <v>G_CUREX</v>
      </c>
      <c r="F27" s="1" t="s">
        <v>17</v>
      </c>
      <c r="G27" s="1" t="str">
        <f t="shared" si="1"/>
        <v>USD03</v>
      </c>
      <c r="H27" s="4">
        <f t="shared" si="2"/>
        <v>1.3727</v>
      </c>
      <c r="O27" s="6">
        <v>2001</v>
      </c>
      <c r="P27" s="7">
        <f t="shared" si="3"/>
        <v>0.762827515602112</v>
      </c>
      <c r="T27" s="8" t="s">
        <v>20</v>
      </c>
      <c r="U27" s="8" t="s">
        <v>21</v>
      </c>
      <c r="V27" s="8">
        <v>2023</v>
      </c>
      <c r="W27" s="8">
        <v>1.1224308013916</v>
      </c>
    </row>
    <row r="28" ht="14.5" spans="4:23">
      <c r="D28" s="1" t="str">
        <f t="shared" si="0"/>
        <v>G_CUREX</v>
      </c>
      <c r="F28" s="1" t="s">
        <v>17</v>
      </c>
      <c r="G28" s="1" t="str">
        <f t="shared" si="1"/>
        <v>USD04</v>
      </c>
      <c r="H28" s="4">
        <f t="shared" si="2"/>
        <v>1.3369</v>
      </c>
      <c r="O28" s="6">
        <v>2002</v>
      </c>
      <c r="P28" s="7">
        <f t="shared" si="3"/>
        <v>0.774460315704346</v>
      </c>
      <c r="T28" s="8" t="s">
        <v>20</v>
      </c>
      <c r="U28" s="8" t="s">
        <v>21</v>
      </c>
      <c r="V28" s="8">
        <v>2024</v>
      </c>
      <c r="W28" s="8">
        <v>1.14128732681274</v>
      </c>
    </row>
    <row r="29" ht="14.5" spans="4:23">
      <c r="D29" s="1" t="str">
        <f t="shared" si="0"/>
        <v>G_CUREX</v>
      </c>
      <c r="F29" s="1" t="s">
        <v>17</v>
      </c>
      <c r="G29" s="1" t="str">
        <f t="shared" si="1"/>
        <v>USD05</v>
      </c>
      <c r="H29" s="4">
        <f t="shared" si="2"/>
        <v>1.2967</v>
      </c>
      <c r="O29" s="6">
        <v>2003</v>
      </c>
      <c r="P29" s="7">
        <f t="shared" si="3"/>
        <v>0.789065361022949</v>
      </c>
      <c r="T29" s="8" t="s">
        <v>20</v>
      </c>
      <c r="U29" s="8" t="s">
        <v>21</v>
      </c>
      <c r="V29" s="8">
        <v>2025</v>
      </c>
      <c r="W29" s="8">
        <v>1.16506481170654</v>
      </c>
    </row>
    <row r="30" ht="14.5" spans="4:23">
      <c r="D30" s="1" t="str">
        <f t="shared" si="0"/>
        <v>G_CUREX</v>
      </c>
      <c r="F30" s="1" t="s">
        <v>17</v>
      </c>
      <c r="G30" s="1" t="str">
        <f t="shared" si="1"/>
        <v>USD06</v>
      </c>
      <c r="H30" s="4">
        <f t="shared" si="2"/>
        <v>1.2583</v>
      </c>
      <c r="O30" s="6">
        <v>2004</v>
      </c>
      <c r="P30" s="7">
        <f t="shared" si="3"/>
        <v>0.810197472572327</v>
      </c>
      <c r="T30" s="8" t="s">
        <v>20</v>
      </c>
      <c r="U30" s="8" t="s">
        <v>21</v>
      </c>
      <c r="V30" s="8">
        <v>2026</v>
      </c>
      <c r="W30" s="8">
        <v>1.19280254840851</v>
      </c>
    </row>
    <row r="31" ht="14.5" spans="4:23">
      <c r="D31" s="1" t="str">
        <f t="shared" si="0"/>
        <v>G_CUREX</v>
      </c>
      <c r="F31" s="1" t="s">
        <v>17</v>
      </c>
      <c r="G31" s="1" t="str">
        <f t="shared" si="1"/>
        <v>USD07</v>
      </c>
      <c r="H31" s="4">
        <f t="shared" si="2"/>
        <v>1.2253</v>
      </c>
      <c r="O31" s="6">
        <v>2005</v>
      </c>
      <c r="P31" s="7">
        <f t="shared" si="3"/>
        <v>0.835319578647614</v>
      </c>
      <c r="T31" s="8" t="s">
        <v>20</v>
      </c>
      <c r="U31" s="8" t="s">
        <v>21</v>
      </c>
      <c r="V31" s="8">
        <v>2027</v>
      </c>
      <c r="W31" s="8">
        <v>1.22309768199921</v>
      </c>
    </row>
    <row r="32" ht="14.5" spans="4:23">
      <c r="D32" s="1" t="str">
        <f t="shared" si="0"/>
        <v>G_CUREX</v>
      </c>
      <c r="F32" s="1" t="s">
        <v>17</v>
      </c>
      <c r="G32" s="1" t="str">
        <f t="shared" si="1"/>
        <v>USD08</v>
      </c>
      <c r="H32" s="4">
        <f t="shared" si="2"/>
        <v>1.2024</v>
      </c>
      <c r="O32" s="6">
        <v>2006</v>
      </c>
      <c r="P32" s="7">
        <f t="shared" si="3"/>
        <v>0.860807240009308</v>
      </c>
      <c r="T32" s="8" t="s">
        <v>20</v>
      </c>
      <c r="U32" s="8" t="s">
        <v>21</v>
      </c>
      <c r="V32" s="8">
        <v>2028</v>
      </c>
      <c r="W32" s="8">
        <v>1.25531399250031</v>
      </c>
    </row>
    <row r="33" ht="14.5" spans="4:23">
      <c r="D33" s="1" t="str">
        <f t="shared" si="0"/>
        <v>G_CUREX</v>
      </c>
      <c r="F33" s="1" t="s">
        <v>17</v>
      </c>
      <c r="G33" s="1" t="str">
        <f t="shared" si="1"/>
        <v>USD09</v>
      </c>
      <c r="H33" s="4">
        <f t="shared" si="2"/>
        <v>1.1931</v>
      </c>
      <c r="O33" s="6">
        <v>2007</v>
      </c>
      <c r="P33" s="7">
        <f t="shared" si="3"/>
        <v>0.883970141410828</v>
      </c>
      <c r="T33" s="8" t="s">
        <v>20</v>
      </c>
      <c r="U33" s="8" t="s">
        <v>21</v>
      </c>
      <c r="V33" s="8">
        <v>2029</v>
      </c>
      <c r="W33" s="8">
        <v>1.28839552402496</v>
      </c>
    </row>
    <row r="34" ht="14.5" spans="4:23">
      <c r="D34" s="1" t="str">
        <f t="shared" si="0"/>
        <v>G_CUREX</v>
      </c>
      <c r="F34" s="1" t="s">
        <v>17</v>
      </c>
      <c r="G34" s="1" t="str">
        <f t="shared" si="1"/>
        <v>USD10</v>
      </c>
      <c r="H34" s="4">
        <f t="shared" si="2"/>
        <v>1.1793</v>
      </c>
      <c r="O34" s="6">
        <v>2008</v>
      </c>
      <c r="P34" s="7">
        <f t="shared" si="3"/>
        <v>0.900844812393188</v>
      </c>
      <c r="T34" s="8" t="s">
        <v>20</v>
      </c>
      <c r="U34" s="8" t="s">
        <v>21</v>
      </c>
      <c r="V34" s="8">
        <v>2030</v>
      </c>
      <c r="W34" s="8">
        <v>1.32175171375275</v>
      </c>
    </row>
    <row r="35" ht="14.5" spans="4:23">
      <c r="D35" s="1" t="str">
        <f t="shared" si="0"/>
        <v>G_CUREX</v>
      </c>
      <c r="F35" s="1" t="s">
        <v>17</v>
      </c>
      <c r="G35" s="1" t="str">
        <f t="shared" si="1"/>
        <v>USD11</v>
      </c>
      <c r="H35" s="4">
        <f t="shared" si="2"/>
        <v>1.1552</v>
      </c>
      <c r="O35" s="6">
        <v>2009</v>
      </c>
      <c r="P35" s="7">
        <f t="shared" si="3"/>
        <v>0.907873749732971</v>
      </c>
      <c r="T35" s="8" t="s">
        <v>20</v>
      </c>
      <c r="U35" s="8" t="s">
        <v>21</v>
      </c>
      <c r="V35" s="8">
        <v>1980</v>
      </c>
      <c r="W35" s="8">
        <v>0.404039144515991</v>
      </c>
    </row>
    <row r="36" ht="14.5" spans="4:23">
      <c r="D36" s="1" t="str">
        <f t="shared" si="0"/>
        <v>G_CUREX</v>
      </c>
      <c r="F36" s="1" t="s">
        <v>17</v>
      </c>
      <c r="G36" s="1" t="str">
        <f t="shared" si="1"/>
        <v>USD12</v>
      </c>
      <c r="H36" s="4">
        <f t="shared" si="2"/>
        <v>1.1334</v>
      </c>
      <c r="O36" s="6">
        <v>2010</v>
      </c>
      <c r="P36" s="7">
        <f t="shared" si="3"/>
        <v>0.918479204177856</v>
      </c>
      <c r="T36" s="8" t="s">
        <v>20</v>
      </c>
      <c r="U36" s="8" t="s">
        <v>21</v>
      </c>
      <c r="V36" s="8">
        <v>1981</v>
      </c>
      <c r="W36" s="8">
        <v>0.442179799079895</v>
      </c>
    </row>
    <row r="37" ht="14.5" spans="4:23">
      <c r="D37" s="1" t="str">
        <f t="shared" si="0"/>
        <v>G_CUREX</v>
      </c>
      <c r="F37" s="1" t="s">
        <v>17</v>
      </c>
      <c r="G37" s="1" t="str">
        <f t="shared" si="1"/>
        <v>USD13</v>
      </c>
      <c r="H37" s="4">
        <f t="shared" si="2"/>
        <v>1.1137</v>
      </c>
      <c r="O37" s="6">
        <v>2011</v>
      </c>
      <c r="P37" s="7">
        <f t="shared" si="3"/>
        <v>0.937618970870972</v>
      </c>
      <c r="T37" s="8" t="s">
        <v>20</v>
      </c>
      <c r="U37" s="8" t="s">
        <v>21</v>
      </c>
      <c r="V37" s="8">
        <v>1982</v>
      </c>
      <c r="W37" s="8">
        <v>0.469521433115005</v>
      </c>
    </row>
    <row r="38" ht="14.5" spans="4:23">
      <c r="D38" s="1" t="str">
        <f t="shared" si="0"/>
        <v>G_CUREX</v>
      </c>
      <c r="F38" s="1" t="s">
        <v>17</v>
      </c>
      <c r="G38" s="1" t="str">
        <f t="shared" si="1"/>
        <v>USD14</v>
      </c>
      <c r="H38" s="4">
        <f t="shared" si="2"/>
        <v>1.0935</v>
      </c>
      <c r="O38" s="6">
        <v>2012</v>
      </c>
      <c r="P38" s="7">
        <f t="shared" si="3"/>
        <v>0.955666601657867</v>
      </c>
      <c r="T38" s="8" t="s">
        <v>20</v>
      </c>
      <c r="U38" s="8" t="s">
        <v>21</v>
      </c>
      <c r="V38" s="8">
        <v>1983</v>
      </c>
      <c r="W38" s="8">
        <v>0.487872630357742</v>
      </c>
    </row>
    <row r="39" ht="14.5" spans="4:23">
      <c r="D39" s="1" t="str">
        <f t="shared" si="0"/>
        <v>G_CUREX</v>
      </c>
      <c r="F39" s="1" t="s">
        <v>17</v>
      </c>
      <c r="G39" s="1" t="str">
        <f t="shared" si="1"/>
        <v>USD15</v>
      </c>
      <c r="H39" s="4">
        <f t="shared" si="2"/>
        <v>1.0831</v>
      </c>
      <c r="O39" s="6">
        <v>2013</v>
      </c>
      <c r="P39" s="7">
        <f t="shared" si="3"/>
        <v>0.972605764865875</v>
      </c>
      <c r="T39" s="8" t="s">
        <v>20</v>
      </c>
      <c r="U39" s="8" t="s">
        <v>21</v>
      </c>
      <c r="V39" s="8">
        <v>1984</v>
      </c>
      <c r="W39" s="8">
        <v>0.505495131015778</v>
      </c>
    </row>
    <row r="40" ht="14.5" spans="4:23">
      <c r="D40" s="1" t="str">
        <f t="shared" si="0"/>
        <v>G_CUREX</v>
      </c>
      <c r="F40" s="1" t="s">
        <v>17</v>
      </c>
      <c r="G40" s="1" t="str">
        <f t="shared" si="1"/>
        <v>USD16</v>
      </c>
      <c r="H40" s="4">
        <f t="shared" si="2"/>
        <v>1.0719</v>
      </c>
      <c r="O40" s="6">
        <v>2014</v>
      </c>
      <c r="P40" s="7">
        <f t="shared" si="3"/>
        <v>0.990517318248749</v>
      </c>
      <c r="T40" s="8" t="s">
        <v>20</v>
      </c>
      <c r="U40" s="8" t="s">
        <v>21</v>
      </c>
      <c r="V40" s="8">
        <v>1985</v>
      </c>
      <c r="W40" s="8">
        <v>0.521485805511475</v>
      </c>
    </row>
    <row r="41" ht="14.5" spans="4:23">
      <c r="D41" s="1" t="str">
        <f t="shared" si="0"/>
        <v>G_CUREX</v>
      </c>
      <c r="F41" s="1" t="s">
        <v>17</v>
      </c>
      <c r="G41" s="1" t="str">
        <f t="shared" si="1"/>
        <v>USD17</v>
      </c>
      <c r="H41" s="4">
        <f t="shared" si="2"/>
        <v>1.0519</v>
      </c>
      <c r="O41" s="6">
        <v>2015</v>
      </c>
      <c r="P41" s="7">
        <f t="shared" si="3"/>
        <v>1</v>
      </c>
      <c r="T41" s="8" t="s">
        <v>20</v>
      </c>
      <c r="U41" s="8" t="s">
        <v>21</v>
      </c>
      <c r="V41" s="8">
        <v>1986</v>
      </c>
      <c r="W41" s="8">
        <v>0.532050728797913</v>
      </c>
    </row>
    <row r="42" ht="14.5" spans="4:23">
      <c r="D42" s="1" t="str">
        <f t="shared" si="0"/>
        <v>G_CUREX</v>
      </c>
      <c r="F42" s="1" t="s">
        <v>17</v>
      </c>
      <c r="G42" s="1" t="str">
        <f t="shared" si="1"/>
        <v>USD18</v>
      </c>
      <c r="H42" s="4">
        <f t="shared" si="2"/>
        <v>1.0274</v>
      </c>
      <c r="O42" s="6">
        <v>2016</v>
      </c>
      <c r="P42" s="7">
        <f t="shared" si="3"/>
        <v>1.01048374176025</v>
      </c>
      <c r="T42" s="8" t="s">
        <v>20</v>
      </c>
      <c r="U42" s="8" t="s">
        <v>21</v>
      </c>
      <c r="V42" s="8">
        <v>1987</v>
      </c>
      <c r="W42" s="8">
        <v>0.54511946439743</v>
      </c>
    </row>
    <row r="43" ht="14.5" spans="4:23">
      <c r="D43" s="1" t="str">
        <f t="shared" ref="D43:D49" si="4">IF(F43=G43,"*","")&amp;"G_CUREX"</f>
        <v>G_CUREX</v>
      </c>
      <c r="F43" s="1" t="s">
        <v>17</v>
      </c>
      <c r="G43" s="1" t="str">
        <f t="shared" ref="G43:G49" si="5">"USD"&amp;RIGHT(O45,2)</f>
        <v>USD19</v>
      </c>
      <c r="H43" s="4">
        <f t="shared" si="2"/>
        <v>1.0091</v>
      </c>
      <c r="O43" s="6">
        <v>2017</v>
      </c>
      <c r="P43" s="7">
        <f t="shared" si="3"/>
        <v>1.02974033355713</v>
      </c>
      <c r="T43" s="8" t="s">
        <v>20</v>
      </c>
      <c r="U43" s="8" t="s">
        <v>21</v>
      </c>
      <c r="V43" s="8">
        <v>1988</v>
      </c>
      <c r="W43" s="8">
        <v>0.564371347427368</v>
      </c>
    </row>
    <row r="44" ht="14.5" spans="4:23">
      <c r="D44" s="1" t="str">
        <f t="shared" si="4"/>
        <v>*G_CUREX</v>
      </c>
      <c r="F44" s="1" t="s">
        <v>17</v>
      </c>
      <c r="G44" s="1" t="str">
        <f t="shared" si="5"/>
        <v>USD20</v>
      </c>
      <c r="H44" s="4">
        <f t="shared" si="2"/>
        <v>1</v>
      </c>
      <c r="O44" s="6">
        <v>2018</v>
      </c>
      <c r="P44" s="7">
        <f t="shared" si="3"/>
        <v>1.05430805683136</v>
      </c>
      <c r="T44" s="8" t="s">
        <v>20</v>
      </c>
      <c r="U44" s="8" t="s">
        <v>21</v>
      </c>
      <c r="V44" s="8">
        <v>1989</v>
      </c>
      <c r="W44" s="8">
        <v>0.58649742603302</v>
      </c>
    </row>
    <row r="45" ht="14.5" spans="4:23">
      <c r="D45" s="1" t="str">
        <f t="shared" si="4"/>
        <v>G_CUREX</v>
      </c>
      <c r="F45" s="1" t="s">
        <v>17</v>
      </c>
      <c r="G45" s="1" t="str">
        <f t="shared" si="5"/>
        <v>USD21</v>
      </c>
      <c r="H45" s="4">
        <f t="shared" si="2"/>
        <v>0.9896</v>
      </c>
      <c r="O45" s="6">
        <v>2019</v>
      </c>
      <c r="P45" s="7">
        <f t="shared" si="3"/>
        <v>1.07337832450867</v>
      </c>
      <c r="T45" s="8" t="s">
        <v>20</v>
      </c>
      <c r="U45" s="8" t="s">
        <v>21</v>
      </c>
      <c r="V45" s="8">
        <v>1990</v>
      </c>
      <c r="W45" s="8">
        <v>0.608532726764679</v>
      </c>
    </row>
    <row r="46" ht="14.5" spans="4:23">
      <c r="D46" s="1" t="str">
        <f t="shared" si="4"/>
        <v>G_CUREX</v>
      </c>
      <c r="F46" s="1" t="s">
        <v>17</v>
      </c>
      <c r="G46" s="1" t="str">
        <f t="shared" si="5"/>
        <v>USD22</v>
      </c>
      <c r="H46" s="4">
        <f t="shared" si="2"/>
        <v>0.9781</v>
      </c>
      <c r="O46" s="6">
        <v>2020</v>
      </c>
      <c r="P46" s="7">
        <f t="shared" si="3"/>
        <v>1.08314538002014</v>
      </c>
      <c r="T46" s="8" t="s">
        <v>20</v>
      </c>
      <c r="U46" s="8" t="s">
        <v>21</v>
      </c>
      <c r="V46" s="8">
        <v>1991</v>
      </c>
      <c r="W46" s="8">
        <v>0.629012584686279</v>
      </c>
    </row>
    <row r="47" ht="14.5" spans="4:23">
      <c r="D47" s="1" t="str">
        <f t="shared" si="4"/>
        <v>G_CUREX</v>
      </c>
      <c r="F47" s="1" t="s">
        <v>17</v>
      </c>
      <c r="G47" s="1" t="str">
        <f t="shared" si="5"/>
        <v>USD23</v>
      </c>
      <c r="H47" s="4">
        <f t="shared" si="2"/>
        <v>0.965</v>
      </c>
      <c r="O47" s="6">
        <v>2021</v>
      </c>
      <c r="P47" s="7">
        <f t="shared" si="3"/>
        <v>1.09456992149353</v>
      </c>
      <c r="T47" s="8" t="s">
        <v>20</v>
      </c>
      <c r="U47" s="8" t="s">
        <v>21</v>
      </c>
      <c r="V47" s="8">
        <v>1992</v>
      </c>
      <c r="W47" s="8">
        <v>0.643362104892731</v>
      </c>
    </row>
    <row r="48" ht="14.5" spans="4:23">
      <c r="D48" s="1" t="str">
        <f t="shared" si="4"/>
        <v>G_CUREX</v>
      </c>
      <c r="F48" s="1" t="s">
        <v>17</v>
      </c>
      <c r="G48" s="1" t="str">
        <f t="shared" si="5"/>
        <v>USD24</v>
      </c>
      <c r="H48" s="4">
        <f t="shared" si="2"/>
        <v>0.9491</v>
      </c>
      <c r="O48" s="6">
        <v>2022</v>
      </c>
      <c r="P48" s="7">
        <f t="shared" si="3"/>
        <v>1.1073887348175</v>
      </c>
      <c r="T48" s="8" t="s">
        <v>20</v>
      </c>
      <c r="U48" s="8" t="s">
        <v>21</v>
      </c>
      <c r="V48" s="8">
        <v>1993</v>
      </c>
      <c r="W48" s="8">
        <v>0.658619225025177</v>
      </c>
    </row>
    <row r="49" ht="14.5" spans="4:23">
      <c r="D49" s="1" t="str">
        <f t="shared" si="4"/>
        <v>G_CUREX</v>
      </c>
      <c r="F49" s="1" t="s">
        <v>17</v>
      </c>
      <c r="G49" s="1" t="str">
        <f t="shared" si="5"/>
        <v>USD25</v>
      </c>
      <c r="H49" s="4">
        <f t="shared" si="2"/>
        <v>0.9297</v>
      </c>
      <c r="O49" s="6">
        <v>2023</v>
      </c>
      <c r="P49" s="7">
        <f t="shared" si="3"/>
        <v>1.1224308013916</v>
      </c>
      <c r="T49" s="8" t="s">
        <v>20</v>
      </c>
      <c r="U49" s="8" t="s">
        <v>21</v>
      </c>
      <c r="V49" s="8">
        <v>1994</v>
      </c>
      <c r="W49" s="8">
        <v>0.67265796661377</v>
      </c>
    </row>
    <row r="50" ht="14.5" spans="4:23">
      <c r="D50" s="1" t="s">
        <v>22</v>
      </c>
      <c r="G50" s="1" t="str">
        <f t="shared" ref="G50:G92" si="6">G7</f>
        <v>USD83</v>
      </c>
      <c r="H50" s="4">
        <f>$O$6</f>
        <v>0.07</v>
      </c>
      <c r="O50" s="6">
        <v>2024</v>
      </c>
      <c r="P50" s="7">
        <f t="shared" si="3"/>
        <v>1.14128732681274</v>
      </c>
      <c r="T50" s="8" t="s">
        <v>20</v>
      </c>
      <c r="U50" s="8" t="s">
        <v>21</v>
      </c>
      <c r="V50" s="8">
        <v>1995</v>
      </c>
      <c r="W50" s="8">
        <v>0.686780393123627</v>
      </c>
    </row>
    <row r="51" ht="14.5" spans="4:23">
      <c r="D51" s="1" t="s">
        <v>22</v>
      </c>
      <c r="G51" s="1" t="str">
        <f t="shared" si="6"/>
        <v>USD84</v>
      </c>
      <c r="H51" s="4">
        <f t="shared" ref="H51:H92" si="7">$O$6</f>
        <v>0.07</v>
      </c>
      <c r="O51" s="6">
        <v>2025</v>
      </c>
      <c r="P51" s="7">
        <f t="shared" si="3"/>
        <v>1.16506481170654</v>
      </c>
      <c r="T51" s="8" t="s">
        <v>20</v>
      </c>
      <c r="U51" s="8" t="s">
        <v>21</v>
      </c>
      <c r="V51" s="8">
        <v>1996</v>
      </c>
      <c r="W51" s="8">
        <v>0.699335396289825</v>
      </c>
    </row>
    <row r="52" spans="4:23">
      <c r="D52" s="1" t="s">
        <v>22</v>
      </c>
      <c r="G52" s="1" t="str">
        <f t="shared" si="6"/>
        <v>USD85</v>
      </c>
      <c r="H52" s="4">
        <f t="shared" si="7"/>
        <v>0.07</v>
      </c>
      <c r="T52" s="8" t="s">
        <v>20</v>
      </c>
      <c r="U52" s="8" t="s">
        <v>21</v>
      </c>
      <c r="V52" s="8">
        <v>1997</v>
      </c>
      <c r="W52" s="8">
        <v>0.71145087480545</v>
      </c>
    </row>
    <row r="53" spans="4:23">
      <c r="D53" s="1" t="s">
        <v>22</v>
      </c>
      <c r="G53" s="1" t="str">
        <f t="shared" si="6"/>
        <v>USD86</v>
      </c>
      <c r="H53" s="4">
        <f t="shared" si="7"/>
        <v>0.07</v>
      </c>
      <c r="T53" s="8" t="s">
        <v>20</v>
      </c>
      <c r="U53" s="8" t="s">
        <v>21</v>
      </c>
      <c r="V53" s="8">
        <v>1998</v>
      </c>
      <c r="W53" s="8">
        <v>0.719296872615814</v>
      </c>
    </row>
    <row r="54" spans="4:23">
      <c r="D54" s="1" t="s">
        <v>22</v>
      </c>
      <c r="G54" s="1" t="str">
        <f t="shared" si="6"/>
        <v>USD87</v>
      </c>
      <c r="H54" s="4">
        <f t="shared" si="7"/>
        <v>0.07</v>
      </c>
      <c r="T54" s="8" t="s">
        <v>20</v>
      </c>
      <c r="U54" s="8" t="s">
        <v>21</v>
      </c>
      <c r="V54" s="8">
        <v>1999</v>
      </c>
      <c r="W54" s="8">
        <v>0.729613304138184</v>
      </c>
    </row>
    <row r="55" spans="4:23">
      <c r="D55" s="1" t="s">
        <v>22</v>
      </c>
      <c r="G55" s="1" t="str">
        <f t="shared" si="6"/>
        <v>USD88</v>
      </c>
      <c r="H55" s="4">
        <f t="shared" si="7"/>
        <v>0.07</v>
      </c>
      <c r="T55" s="8" t="s">
        <v>20</v>
      </c>
      <c r="U55" s="8" t="s">
        <v>21</v>
      </c>
      <c r="V55" s="8">
        <v>2000</v>
      </c>
      <c r="W55" s="8">
        <v>0.746074616909027</v>
      </c>
    </row>
    <row r="56" spans="4:8">
      <c r="D56" s="1" t="s">
        <v>22</v>
      </c>
      <c r="G56" s="1" t="str">
        <f t="shared" si="6"/>
        <v>USD89</v>
      </c>
      <c r="H56" s="4">
        <f t="shared" si="7"/>
        <v>0.07</v>
      </c>
    </row>
    <row r="57" spans="4:8">
      <c r="D57" s="1" t="s">
        <v>22</v>
      </c>
      <c r="G57" s="1" t="str">
        <f t="shared" si="6"/>
        <v>USD90</v>
      </c>
      <c r="H57" s="4">
        <f t="shared" si="7"/>
        <v>0.07</v>
      </c>
    </row>
    <row r="58" spans="4:8">
      <c r="D58" s="1" t="s">
        <v>22</v>
      </c>
      <c r="G58" s="1" t="str">
        <f t="shared" si="6"/>
        <v>USD91</v>
      </c>
      <c r="H58" s="4">
        <f t="shared" si="7"/>
        <v>0.07</v>
      </c>
    </row>
    <row r="59" spans="4:8">
      <c r="D59" s="1" t="s">
        <v>22</v>
      </c>
      <c r="G59" s="1" t="str">
        <f t="shared" si="6"/>
        <v>USD92</v>
      </c>
      <c r="H59" s="4">
        <f t="shared" si="7"/>
        <v>0.07</v>
      </c>
    </row>
    <row r="60" spans="4:8">
      <c r="D60" s="1" t="s">
        <v>22</v>
      </c>
      <c r="G60" s="1" t="str">
        <f t="shared" si="6"/>
        <v>USD93</v>
      </c>
      <c r="H60" s="4">
        <f t="shared" si="7"/>
        <v>0.07</v>
      </c>
    </row>
    <row r="61" spans="4:8">
      <c r="D61" s="1" t="s">
        <v>22</v>
      </c>
      <c r="G61" s="1" t="str">
        <f t="shared" si="6"/>
        <v>USD94</v>
      </c>
      <c r="H61" s="4">
        <f t="shared" si="7"/>
        <v>0.07</v>
      </c>
    </row>
    <row r="62" spans="4:8">
      <c r="D62" s="1" t="s">
        <v>22</v>
      </c>
      <c r="G62" s="1" t="str">
        <f t="shared" si="6"/>
        <v>USD95</v>
      </c>
      <c r="H62" s="4">
        <f t="shared" si="7"/>
        <v>0.07</v>
      </c>
    </row>
    <row r="63" spans="4:8">
      <c r="D63" s="1" t="s">
        <v>22</v>
      </c>
      <c r="G63" s="1" t="str">
        <f t="shared" si="6"/>
        <v>USD96</v>
      </c>
      <c r="H63" s="4">
        <f t="shared" si="7"/>
        <v>0.07</v>
      </c>
    </row>
    <row r="64" spans="4:8">
      <c r="D64" s="1" t="s">
        <v>22</v>
      </c>
      <c r="G64" s="1" t="str">
        <f t="shared" si="6"/>
        <v>USD97</v>
      </c>
      <c r="H64" s="4">
        <f t="shared" si="7"/>
        <v>0.07</v>
      </c>
    </row>
    <row r="65" spans="4:8">
      <c r="D65" s="1" t="s">
        <v>22</v>
      </c>
      <c r="G65" s="1" t="str">
        <f t="shared" si="6"/>
        <v>USD98</v>
      </c>
      <c r="H65" s="4">
        <f t="shared" si="7"/>
        <v>0.07</v>
      </c>
    </row>
    <row r="66" spans="4:8">
      <c r="D66" s="1" t="s">
        <v>22</v>
      </c>
      <c r="G66" s="1" t="str">
        <f t="shared" si="6"/>
        <v>USD99</v>
      </c>
      <c r="H66" s="4">
        <f t="shared" si="7"/>
        <v>0.07</v>
      </c>
    </row>
    <row r="67" spans="4:8">
      <c r="D67" s="1" t="s">
        <v>22</v>
      </c>
      <c r="G67" s="1" t="str">
        <f t="shared" si="6"/>
        <v>USD00</v>
      </c>
      <c r="H67" s="4">
        <f t="shared" si="7"/>
        <v>0.07</v>
      </c>
    </row>
    <row r="68" spans="4:8">
      <c r="D68" s="1" t="s">
        <v>22</v>
      </c>
      <c r="G68" s="1" t="str">
        <f t="shared" si="6"/>
        <v>USD01</v>
      </c>
      <c r="H68" s="4">
        <f t="shared" si="7"/>
        <v>0.07</v>
      </c>
    </row>
    <row r="69" spans="4:8">
      <c r="D69" s="1" t="s">
        <v>22</v>
      </c>
      <c r="G69" s="1" t="str">
        <f t="shared" si="6"/>
        <v>USD02</v>
      </c>
      <c r="H69" s="4">
        <f t="shared" si="7"/>
        <v>0.07</v>
      </c>
    </row>
    <row r="70" spans="4:8">
      <c r="D70" s="1" t="s">
        <v>22</v>
      </c>
      <c r="G70" s="1" t="str">
        <f t="shared" si="6"/>
        <v>USD03</v>
      </c>
      <c r="H70" s="4">
        <f t="shared" si="7"/>
        <v>0.07</v>
      </c>
    </row>
    <row r="71" spans="4:8">
      <c r="D71" s="1" t="s">
        <v>22</v>
      </c>
      <c r="G71" s="1" t="str">
        <f t="shared" si="6"/>
        <v>USD04</v>
      </c>
      <c r="H71" s="4">
        <f t="shared" si="7"/>
        <v>0.07</v>
      </c>
    </row>
    <row r="72" spans="4:8">
      <c r="D72" s="1" t="s">
        <v>22</v>
      </c>
      <c r="G72" s="1" t="str">
        <f t="shared" si="6"/>
        <v>USD05</v>
      </c>
      <c r="H72" s="4">
        <f t="shared" si="7"/>
        <v>0.07</v>
      </c>
    </row>
    <row r="73" spans="4:8">
      <c r="D73" s="1" t="s">
        <v>22</v>
      </c>
      <c r="G73" s="1" t="str">
        <f t="shared" si="6"/>
        <v>USD06</v>
      </c>
      <c r="H73" s="4">
        <f t="shared" si="7"/>
        <v>0.07</v>
      </c>
    </row>
    <row r="74" spans="4:8">
      <c r="D74" s="1" t="s">
        <v>22</v>
      </c>
      <c r="G74" s="1" t="str">
        <f t="shared" si="6"/>
        <v>USD07</v>
      </c>
      <c r="H74" s="4">
        <f t="shared" si="7"/>
        <v>0.07</v>
      </c>
    </row>
    <row r="75" spans="4:8">
      <c r="D75" s="1" t="s">
        <v>22</v>
      </c>
      <c r="G75" s="1" t="str">
        <f t="shared" si="6"/>
        <v>USD08</v>
      </c>
      <c r="H75" s="4">
        <f t="shared" si="7"/>
        <v>0.07</v>
      </c>
    </row>
    <row r="76" spans="4:8">
      <c r="D76" s="1" t="s">
        <v>22</v>
      </c>
      <c r="G76" s="1" t="str">
        <f t="shared" si="6"/>
        <v>USD09</v>
      </c>
      <c r="H76" s="4">
        <f t="shared" si="7"/>
        <v>0.07</v>
      </c>
    </row>
    <row r="77" spans="4:8">
      <c r="D77" s="1" t="s">
        <v>22</v>
      </c>
      <c r="G77" s="1" t="str">
        <f t="shared" si="6"/>
        <v>USD10</v>
      </c>
      <c r="H77" s="4">
        <f t="shared" si="7"/>
        <v>0.07</v>
      </c>
    </row>
    <row r="78" spans="4:8">
      <c r="D78" s="1" t="s">
        <v>22</v>
      </c>
      <c r="G78" s="1" t="str">
        <f t="shared" si="6"/>
        <v>USD11</v>
      </c>
      <c r="H78" s="4">
        <f t="shared" si="7"/>
        <v>0.07</v>
      </c>
    </row>
    <row r="79" spans="4:8">
      <c r="D79" s="1" t="s">
        <v>22</v>
      </c>
      <c r="G79" s="1" t="str">
        <f t="shared" si="6"/>
        <v>USD12</v>
      </c>
      <c r="H79" s="4">
        <f t="shared" si="7"/>
        <v>0.07</v>
      </c>
    </row>
    <row r="80" spans="4:8">
      <c r="D80" s="1" t="s">
        <v>22</v>
      </c>
      <c r="G80" s="1" t="str">
        <f t="shared" si="6"/>
        <v>USD13</v>
      </c>
      <c r="H80" s="4">
        <f t="shared" si="7"/>
        <v>0.07</v>
      </c>
    </row>
    <row r="81" spans="4:8">
      <c r="D81" s="1" t="s">
        <v>22</v>
      </c>
      <c r="G81" s="1" t="str">
        <f t="shared" si="6"/>
        <v>USD14</v>
      </c>
      <c r="H81" s="4">
        <f t="shared" si="7"/>
        <v>0.07</v>
      </c>
    </row>
    <row r="82" spans="4:8">
      <c r="D82" s="1" t="s">
        <v>22</v>
      </c>
      <c r="G82" s="1" t="str">
        <f t="shared" si="6"/>
        <v>USD15</v>
      </c>
      <c r="H82" s="4">
        <f t="shared" si="7"/>
        <v>0.07</v>
      </c>
    </row>
    <row r="83" spans="4:8">
      <c r="D83" s="1" t="s">
        <v>22</v>
      </c>
      <c r="G83" s="1" t="str">
        <f t="shared" si="6"/>
        <v>USD16</v>
      </c>
      <c r="H83" s="4">
        <f t="shared" si="7"/>
        <v>0.07</v>
      </c>
    </row>
    <row r="84" spans="4:8">
      <c r="D84" s="1" t="s">
        <v>22</v>
      </c>
      <c r="G84" s="1" t="str">
        <f t="shared" si="6"/>
        <v>USD17</v>
      </c>
      <c r="H84" s="4">
        <f t="shared" si="7"/>
        <v>0.07</v>
      </c>
    </row>
    <row r="85" spans="4:8">
      <c r="D85" s="1" t="s">
        <v>22</v>
      </c>
      <c r="G85" s="1" t="str">
        <f t="shared" si="6"/>
        <v>USD18</v>
      </c>
      <c r="H85" s="4">
        <f t="shared" si="7"/>
        <v>0.07</v>
      </c>
    </row>
    <row r="86" spans="4:8">
      <c r="D86" s="1" t="s">
        <v>22</v>
      </c>
      <c r="G86" s="1" t="str">
        <f t="shared" si="6"/>
        <v>USD19</v>
      </c>
      <c r="H86" s="4">
        <f t="shared" si="7"/>
        <v>0.07</v>
      </c>
    </row>
    <row r="87" spans="4:8">
      <c r="D87" s="1" t="s">
        <v>22</v>
      </c>
      <c r="G87" s="1" t="str">
        <f t="shared" si="6"/>
        <v>USD20</v>
      </c>
      <c r="H87" s="4">
        <f t="shared" si="7"/>
        <v>0.07</v>
      </c>
    </row>
    <row r="88" spans="4:8">
      <c r="D88" s="1" t="s">
        <v>22</v>
      </c>
      <c r="G88" s="1" t="str">
        <f t="shared" si="6"/>
        <v>USD21</v>
      </c>
      <c r="H88" s="4">
        <f t="shared" si="7"/>
        <v>0.07</v>
      </c>
    </row>
    <row r="89" spans="4:8">
      <c r="D89" s="1" t="s">
        <v>22</v>
      </c>
      <c r="G89" s="1" t="str">
        <f t="shared" si="6"/>
        <v>USD22</v>
      </c>
      <c r="H89" s="4">
        <f t="shared" si="7"/>
        <v>0.07</v>
      </c>
    </row>
    <row r="90" spans="4:8">
      <c r="D90" s="1" t="s">
        <v>22</v>
      </c>
      <c r="G90" s="1" t="str">
        <f t="shared" si="6"/>
        <v>USD23</v>
      </c>
      <c r="H90" s="4">
        <f t="shared" si="7"/>
        <v>0.07</v>
      </c>
    </row>
    <row r="91" spans="4:8">
      <c r="D91" s="1" t="s">
        <v>22</v>
      </c>
      <c r="G91" s="1" t="str">
        <f t="shared" si="6"/>
        <v>USD24</v>
      </c>
      <c r="H91" s="4">
        <f t="shared" si="7"/>
        <v>0.07</v>
      </c>
    </row>
    <row r="92" spans="4:8">
      <c r="D92" s="1" t="s">
        <v>22</v>
      </c>
      <c r="G92" s="1" t="str">
        <f t="shared" si="6"/>
        <v>USD25</v>
      </c>
      <c r="H92" s="4">
        <f t="shared" si="7"/>
        <v>0.07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Readme</vt:lpstr>
      <vt:lpstr>Constants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2026-04-03T04:01:35Z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C7AC039B5D5C4DB9BD9418683CBC24AB_12</vt:lpwstr>
  </property>
  <property fmtid="{D5CDD505-2E9C-101B-9397-08002B2CF9AE}" pid="5" name="KSOProductBuildVer">
    <vt:lpwstr>1033-12.2.0.23196</vt:lpwstr>
  </property>
</Properties>
</file>