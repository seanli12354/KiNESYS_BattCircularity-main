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710" firstSheet="3" activeTab="7"/>
  </bookViews>
  <sheets>
    <sheet name="Constants" sheetId="12" r:id="rId1"/>
    <sheet name="bio_car" sheetId="38" r:id="rId2"/>
    <sheet name="DEF topology" sheetId="35" r:id="rId3"/>
    <sheet name="agg cap UC" sheetId="36" r:id="rId4"/>
    <sheet name="nuclear" sheetId="24" r:id="rId5"/>
    <sheet name="CHP and Losses" sheetId="32" r:id="rId6"/>
    <sheet name="Thermal UF" sheetId="33" r:id="rId7"/>
    <sheet name="Build Rates" sheetId="34" r:id="rId8"/>
    <sheet name="Trade growth" sheetId="3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</authors>
  <commentList>
    <comment ref="I25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Bca the capacity unit is GWh</t>
        </r>
      </text>
    </comment>
  </commentList>
</comments>
</file>

<file path=xl/comments2.xml><?xml version="1.0" encoding="utf-8"?>
<comments xmlns="http://schemas.openxmlformats.org/spreadsheetml/2006/main">
  <authors>
    <author>xli9</author>
  </authors>
  <commentList>
    <comment ref="V30" authorId="0">
      <text>
        <r>
          <rPr>
            <b/>
            <sz val="9"/>
            <rFont val="Times New Roman"/>
            <charset val="134"/>
          </rPr>
          <t>xli9:You have already set PAST-INV so meaningless to set start time as 2030, besides, even new capacity should start from 2020</t>
        </r>
      </text>
    </comment>
  </commentList>
</comments>
</file>

<file path=xl/comments3.xml><?xml version="1.0" encoding="utf-8"?>
<comments xmlns="http://schemas.openxmlformats.org/spreadsheetml/2006/main">
  <authors>
    <author>xli9</author>
  </authors>
  <commentList>
    <comment ref="C34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Have to remove or all things seem infeasible</t>
        </r>
      </text>
    </comment>
  </commentList>
</comments>
</file>

<file path=xl/sharedStrings.xml><?xml version="1.0" encoding="utf-8"?>
<sst xmlns="http://schemas.openxmlformats.org/spreadsheetml/2006/main" count="1391" uniqueCount="391">
  <si>
    <t>~TFM_INS</t>
  </si>
  <si>
    <t>TimeSlice</t>
  </si>
  <si>
    <t>LimType</t>
  </si>
  <si>
    <t>Attribute</t>
  </si>
  <si>
    <t>Year</t>
  </si>
  <si>
    <t>Other_Indexes</t>
  </si>
  <si>
    <t>Curr</t>
  </si>
  <si>
    <t>AllRegions</t>
  </si>
  <si>
    <t>Cset_CN</t>
  </si>
  <si>
    <t>COM_PKRSV</t>
  </si>
  <si>
    <t>ELC</t>
  </si>
  <si>
    <t>varbl</t>
  </si>
  <si>
    <t>region</t>
  </si>
  <si>
    <t>year</t>
  </si>
  <si>
    <t>value</t>
  </si>
  <si>
    <t>G_CUREX</t>
  </si>
  <si>
    <t>USD20</t>
  </si>
  <si>
    <t>EUR15</t>
  </si>
  <si>
    <t>G_Dyear</t>
  </si>
  <si>
    <t>hmacgdpd</t>
  </si>
  <si>
    <t>USA</t>
  </si>
  <si>
    <t>G_DRATE</t>
  </si>
  <si>
    <t>G_OFFTHD</t>
  </si>
  <si>
    <t>Discount Rate</t>
  </si>
  <si>
    <t>USD21_alt</t>
  </si>
  <si>
    <t>Deflator</t>
  </si>
  <si>
    <t>~TFM_INS: limtype=UP</t>
  </si>
  <si>
    <t>attribute</t>
  </si>
  <si>
    <t>pset_set</t>
  </si>
  <si>
    <t>pset_pn</t>
  </si>
  <si>
    <t>cset_cn</t>
  </si>
  <si>
    <t>allregions</t>
  </si>
  <si>
    <t>Share-I</t>
  </si>
  <si>
    <t>DMD</t>
  </si>
  <si>
    <t>Trd*</t>
  </si>
  <si>
    <t>TRABDS</t>
  </si>
  <si>
    <t>TRABGS</t>
  </si>
  <si>
    <t>TRABSL</t>
  </si>
  <si>
    <t>~TFM_TOPINS</t>
  </si>
  <si>
    <t>process</t>
  </si>
  <si>
    <t>commodity</t>
  </si>
  <si>
    <t>io</t>
  </si>
  <si>
    <t>en_battery_8h</t>
  </si>
  <si>
    <t>ELC4H,ELC8H,ELC,ELCnH</t>
  </si>
  <si>
    <t>IN</t>
  </si>
  <si>
    <t>EN_STG_4hBatt*</t>
  </si>
  <si>
    <t>ELC4H,ELC</t>
  </si>
  <si>
    <t>elcagg[_]???[_]???</t>
  </si>
  <si>
    <t>ELC4H,ELC8H,ELCnH</t>
  </si>
  <si>
    <t>OUT</t>
  </si>
  <si>
    <t>~TFM_INS-AT</t>
  </si>
  <si>
    <t>pset_ci</t>
  </si>
  <si>
    <t>START</t>
  </si>
  <si>
    <t>-elc*</t>
  </si>
  <si>
    <t>~UC_Sets: R_E: AllRegions</t>
  </si>
  <si>
    <t>~UC_T: LO</t>
  </si>
  <si>
    <t>UC_N</t>
  </si>
  <si>
    <t>PSET_SET</t>
  </si>
  <si>
    <t>PSET_PN</t>
  </si>
  <si>
    <t>Pset_CI</t>
  </si>
  <si>
    <t>PSET_CO</t>
  </si>
  <si>
    <t>UC_CAP</t>
  </si>
  <si>
    <t>UC_COMPRD</t>
  </si>
  <si>
    <t>UC_RHSRT</t>
  </si>
  <si>
    <t>UC_RHSRT~0</t>
  </si>
  <si>
    <t>UC_Desc</t>
  </si>
  <si>
    <t>UCE_Min-DispatchableCAP</t>
  </si>
  <si>
    <t>ELE,CHP</t>
  </si>
  <si>
    <t>E*</t>
  </si>
  <si>
    <t>*,-ELCSOL,-ELCWIN,-ELC,-ELCSPV,-elc[_]???[_]*</t>
  </si>
  <si>
    <t>Min dispatchable capacity for VRE portfolio</t>
  </si>
  <si>
    <t>DEF_C</t>
  </si>
  <si>
    <t>STG</t>
  </si>
  <si>
    <t>*HPS*</t>
  </si>
  <si>
    <t>AuxStoOUT</t>
  </si>
  <si>
    <t>EN_STG_4hBatt*, Util_Rep_B*</t>
  </si>
  <si>
    <t>spv</t>
  </si>
  <si>
    <t>~UC_Sets: R_S: Allregions</t>
  </si>
  <si>
    <t>won</t>
  </si>
  <si>
    <t>wof</t>
  </si>
  <si>
    <t>~UC_T: FX</t>
  </si>
  <si>
    <t>~UC_T</t>
  </si>
  <si>
    <t>*</t>
  </si>
  <si>
    <t>uc_n</t>
  </si>
  <si>
    <t>uc_cap</t>
  </si>
  <si>
    <t>uc_rhst~0</t>
  </si>
  <si>
    <t>AFG</t>
  </si>
  <si>
    <t>AGO</t>
  </si>
  <si>
    <t>ALB</t>
  </si>
  <si>
    <t>ARE</t>
  </si>
  <si>
    <t>ARG</t>
  </si>
  <si>
    <t>AUS</t>
  </si>
  <si>
    <t>ARM</t>
  </si>
  <si>
    <t>AZE</t>
  </si>
  <si>
    <t>BEN</t>
  </si>
  <si>
    <t>AUT</t>
  </si>
  <si>
    <t>BGD</t>
  </si>
  <si>
    <t>BGR</t>
  </si>
  <si>
    <t>BDI</t>
  </si>
  <si>
    <t>BRA</t>
  </si>
  <si>
    <t>BEL</t>
  </si>
  <si>
    <t>CAN</t>
  </si>
  <si>
    <t>CHL</t>
  </si>
  <si>
    <t>BFA</t>
  </si>
  <si>
    <t>CHN</t>
  </si>
  <si>
    <t>CIV</t>
  </si>
  <si>
    <t>COD</t>
  </si>
  <si>
    <t>BIH</t>
  </si>
  <si>
    <t>COG</t>
  </si>
  <si>
    <t>BLR</t>
  </si>
  <si>
    <t>COL</t>
  </si>
  <si>
    <t>BOL</t>
  </si>
  <si>
    <t>CRI</t>
  </si>
  <si>
    <t>CUB</t>
  </si>
  <si>
    <t>BWA</t>
  </si>
  <si>
    <t>CYP</t>
  </si>
  <si>
    <t>CAF</t>
  </si>
  <si>
    <t>DEU</t>
  </si>
  <si>
    <t>DJI</t>
  </si>
  <si>
    <t>CHE</t>
  </si>
  <si>
    <t>DNK</t>
  </si>
  <si>
    <t>DOM</t>
  </si>
  <si>
    <t>DZA</t>
  </si>
  <si>
    <t>ECU</t>
  </si>
  <si>
    <t>CMR</t>
  </si>
  <si>
    <t>EGY</t>
  </si>
  <si>
    <t>ERI</t>
  </si>
  <si>
    <t>ESP</t>
  </si>
  <si>
    <t>EST</t>
  </si>
  <si>
    <t>FIN</t>
  </si>
  <si>
    <t>FRA</t>
  </si>
  <si>
    <t>CZE</t>
  </si>
  <si>
    <t>GAB</t>
  </si>
  <si>
    <t>GBR</t>
  </si>
  <si>
    <t>GEO</t>
  </si>
  <si>
    <t>GHA</t>
  </si>
  <si>
    <t>GIN</t>
  </si>
  <si>
    <t>GNB</t>
  </si>
  <si>
    <t>GNQ</t>
  </si>
  <si>
    <t>GRC</t>
  </si>
  <si>
    <t>GTM</t>
  </si>
  <si>
    <t>GUY</t>
  </si>
  <si>
    <t>HND</t>
  </si>
  <si>
    <t>ETH</t>
  </si>
  <si>
    <t>HRV</t>
  </si>
  <si>
    <t>HTI</t>
  </si>
  <si>
    <t>IDN</t>
  </si>
  <si>
    <t>IND</t>
  </si>
  <si>
    <t>IRL</t>
  </si>
  <si>
    <t>IRN</t>
  </si>
  <si>
    <t>ITA</t>
  </si>
  <si>
    <t>JAM</t>
  </si>
  <si>
    <t>JPN</t>
  </si>
  <si>
    <t>KAZ</t>
  </si>
  <si>
    <t>KEN</t>
  </si>
  <si>
    <t>KHM</t>
  </si>
  <si>
    <t>HKG</t>
  </si>
  <si>
    <t>KOR</t>
  </si>
  <si>
    <t>KWT</t>
  </si>
  <si>
    <t>LBN</t>
  </si>
  <si>
    <t>LBR</t>
  </si>
  <si>
    <t>HUN</t>
  </si>
  <si>
    <t>LBY</t>
  </si>
  <si>
    <t>LKA</t>
  </si>
  <si>
    <t>LTU</t>
  </si>
  <si>
    <t>LVA</t>
  </si>
  <si>
    <t>MAR</t>
  </si>
  <si>
    <t>IRQ</t>
  </si>
  <si>
    <t>MDG</t>
  </si>
  <si>
    <t>ISR</t>
  </si>
  <si>
    <t>MEX</t>
  </si>
  <si>
    <t>MLT</t>
  </si>
  <si>
    <t>MMR</t>
  </si>
  <si>
    <t>JOR</t>
  </si>
  <si>
    <t>MNE</t>
  </si>
  <si>
    <t>MOZ</t>
  </si>
  <si>
    <t>MRT</t>
  </si>
  <si>
    <t>MYS</t>
  </si>
  <si>
    <t>KGZ</t>
  </si>
  <si>
    <t>NAM</t>
  </si>
  <si>
    <t>NCL</t>
  </si>
  <si>
    <t>NGA</t>
  </si>
  <si>
    <t>NIC</t>
  </si>
  <si>
    <t>LAO</t>
  </si>
  <si>
    <t>NLD</t>
  </si>
  <si>
    <t>NOR</t>
  </si>
  <si>
    <t>NZL</t>
  </si>
  <si>
    <t>OMN</t>
  </si>
  <si>
    <t>PAK</t>
  </si>
  <si>
    <t>LSO</t>
  </si>
  <si>
    <t>PAN</t>
  </si>
  <si>
    <t>PER</t>
  </si>
  <si>
    <t>LUX</t>
  </si>
  <si>
    <t>PHL</t>
  </si>
  <si>
    <t>PNG</t>
  </si>
  <si>
    <t>POL</t>
  </si>
  <si>
    <t>MDA</t>
  </si>
  <si>
    <t>PRI</t>
  </si>
  <si>
    <t>PRK</t>
  </si>
  <si>
    <t>PRT</t>
  </si>
  <si>
    <t>MKD</t>
  </si>
  <si>
    <t>QAT</t>
  </si>
  <si>
    <t>MLI</t>
  </si>
  <si>
    <t>RUS</t>
  </si>
  <si>
    <t>SAU</t>
  </si>
  <si>
    <t>SDN</t>
  </si>
  <si>
    <t>MNG</t>
  </si>
  <si>
    <t>SEN</t>
  </si>
  <si>
    <t>SGP</t>
  </si>
  <si>
    <t>SLE</t>
  </si>
  <si>
    <t>MWI</t>
  </si>
  <si>
    <t>SLV</t>
  </si>
  <si>
    <t>SOM</t>
  </si>
  <si>
    <t>SUR</t>
  </si>
  <si>
    <t>SWE</t>
  </si>
  <si>
    <t>NER</t>
  </si>
  <si>
    <t>SYR</t>
  </si>
  <si>
    <t>TGO</t>
  </si>
  <si>
    <t>THA</t>
  </si>
  <si>
    <t>TKM</t>
  </si>
  <si>
    <t>TTO</t>
  </si>
  <si>
    <t>NPL</t>
  </si>
  <si>
    <t>TUN</t>
  </si>
  <si>
    <t>TUR</t>
  </si>
  <si>
    <t>TWN</t>
  </si>
  <si>
    <t>TZA</t>
  </si>
  <si>
    <t>UKR</t>
  </si>
  <si>
    <t>URY</t>
  </si>
  <si>
    <t>VEN</t>
  </si>
  <si>
    <t>VNM</t>
  </si>
  <si>
    <t>YEM</t>
  </si>
  <si>
    <t>ZAF</t>
  </si>
  <si>
    <t>PRY</t>
  </si>
  <si>
    <t>ROU</t>
  </si>
  <si>
    <t>RWA</t>
  </si>
  <si>
    <t>SRB</t>
  </si>
  <si>
    <t>SSD</t>
  </si>
  <si>
    <t>SVK</t>
  </si>
  <si>
    <t>SVN</t>
  </si>
  <si>
    <t>TCD</t>
  </si>
  <si>
    <t>TJK</t>
  </si>
  <si>
    <t>UGA</t>
  </si>
  <si>
    <t>UZB</t>
  </si>
  <si>
    <t>ZMB</t>
  </si>
  <si>
    <t>ZWE</t>
  </si>
  <si>
    <t>Current capacities</t>
  </si>
  <si>
    <t>~UC_SETS: R_E: AllRegions</t>
  </si>
  <si>
    <t>Region</t>
  </si>
  <si>
    <t>GW (2022)</t>
  </si>
  <si>
    <t>GW (after 2022)</t>
  </si>
  <si>
    <t>~UC_T: UC_RHSRT~UP</t>
  </si>
  <si>
    <t>Africa_North</t>
  </si>
  <si>
    <t>*2018</t>
  </si>
  <si>
    <t>BeNeLux</t>
  </si>
  <si>
    <t>Africa_Other</t>
  </si>
  <si>
    <t>UCE_NucLimit</t>
  </si>
  <si>
    <t>E_Nuclear</t>
  </si>
  <si>
    <t>Brazil</t>
  </si>
  <si>
    <t>Australia</t>
  </si>
  <si>
    <t>China</t>
  </si>
  <si>
    <t>Austria</t>
  </si>
  <si>
    <t>CroSloven</t>
  </si>
  <si>
    <t>Baltics</t>
  </si>
  <si>
    <t>CzechSlovak</t>
  </si>
  <si>
    <t>France</t>
  </si>
  <si>
    <t>Germany</t>
  </si>
  <si>
    <t>HunRomBul</t>
  </si>
  <si>
    <t>India</t>
  </si>
  <si>
    <t>Japan</t>
  </si>
  <si>
    <t>LatAm</t>
  </si>
  <si>
    <t>MidEast</t>
  </si>
  <si>
    <t>GreeceCyp</t>
  </si>
  <si>
    <t>NorthAm</t>
  </si>
  <si>
    <t>ROW</t>
  </si>
  <si>
    <t>Russia</t>
  </si>
  <si>
    <t>Ireland</t>
  </si>
  <si>
    <t>SouthAfrica</t>
  </si>
  <si>
    <t>ItalyMal</t>
  </si>
  <si>
    <t>SpainPor</t>
  </si>
  <si>
    <t>SweFinDen</t>
  </si>
  <si>
    <t>Switzerland</t>
  </si>
  <si>
    <t>Turkey</t>
  </si>
  <si>
    <t>UK</t>
  </si>
  <si>
    <t>Norway</t>
  </si>
  <si>
    <t>Ukraine</t>
  </si>
  <si>
    <t>Poland</t>
  </si>
  <si>
    <t>SaudiArabia</t>
  </si>
  <si>
    <t>EFF</t>
  </si>
  <si>
    <t>WestBalkans</t>
  </si>
  <si>
    <t>TABLE 1: CHP HEAT-TO-POWER RATIO (2022, aggregated by KiNESYS_CEA)</t>
  </si>
  <si>
    <t>Metric</t>
  </si>
  <si>
    <t>Iceland</t>
  </si>
  <si>
    <t>Main CHP Electricity Output (PJ)</t>
  </si>
  <si>
    <t>Auto CHP Electricity Output (PJ)</t>
  </si>
  <si>
    <t>Total CHP Electricity Output (PJ)</t>
  </si>
  <si>
    <t>Main CHP Heat Output (PJ)</t>
  </si>
  <si>
    <t>Auto CHP Heat Output (PJ)</t>
  </si>
  <si>
    <t>Total CHP Heat Output (PJ)</t>
  </si>
  <si>
    <t>Heat-to-Power Ratio (Main CHP)</t>
  </si>
  <si>
    <t>Heat-to-Power Ratio (Auto CHP)</t>
  </si>
  <si>
    <t>Heat-to-Power Ratio (All CHP)</t>
  </si>
  <si>
    <t>CHP Share of Total Electricity (%)</t>
  </si>
  <si>
    <t>Total Electricity Generation (PJ)</t>
  </si>
  <si>
    <t>TABLE 2: DISTRIBUTION LOSS + OWN CONSUMPTION (2022, aggregated by KiNESYS_CEA)</t>
  </si>
  <si>
    <t>Electricity T&amp;D Losses (PJ)</t>
  </si>
  <si>
    <t>Electricity Own Use in Power Plants (PJ)</t>
  </si>
  <si>
    <t>Electricity Total Losses (PJ)</t>
  </si>
  <si>
    <t>Electricity T&amp;D Loss Ratio (%)</t>
  </si>
  <si>
    <t>Electricity Own Use Ratio (%)</t>
  </si>
  <si>
    <t>Electricity Total Loss Ratio (%)</t>
  </si>
  <si>
    <t>Heat Distribution Losses (PJ)</t>
  </si>
  <si>
    <t>Heat Own Use in Heat Plants (PJ)</t>
  </si>
  <si>
    <t>Heat Total Losses (PJ)</t>
  </si>
  <si>
    <t>Total Heat Production (PJ)</t>
  </si>
  <si>
    <t>Heat Total Loss Ratio (%)</t>
  </si>
  <si>
    <t>~tfm_ins: pset_set=CHP</t>
  </si>
  <si>
    <t>ncap_chpr</t>
  </si>
  <si>
    <t>EA*</t>
  </si>
  <si>
    <t>com_ie</t>
  </si>
  <si>
    <t>fuel</t>
  </si>
  <si>
    <t>metric</t>
  </si>
  <si>
    <t>elcbsl,indbio</t>
  </si>
  <si>
    <t>bioenergy</t>
  </si>
  <si>
    <t>Latest</t>
  </si>
  <si>
    <t>???coa,elccob</t>
  </si>
  <si>
    <t>coal</t>
  </si>
  <si>
    <t>???nga</t>
  </si>
  <si>
    <t>gas</t>
  </si>
  <si>
    <t>???nuc</t>
  </si>
  <si>
    <t>nuclear</t>
  </si>
  <si>
    <t>???oil*</t>
  </si>
  <si>
    <t>oil</t>
  </si>
  <si>
    <t>Min_10yr</t>
  </si>
  <si>
    <t>Max_10yr</t>
  </si>
  <si>
    <t>~UC_T: UC_CAP</t>
  </si>
  <si>
    <t>limtype</t>
  </si>
  <si>
    <t>UC_ACT</t>
  </si>
  <si>
    <t>PSET_CI</t>
  </si>
  <si>
    <t>pset_co</t>
  </si>
  <si>
    <t>t_neg_andor</t>
  </si>
  <si>
    <t>LO</t>
  </si>
  <si>
    <t>-CO2Cap*</t>
  </si>
  <si>
    <t>-*turbine</t>
  </si>
  <si>
    <t>OR</t>
  </si>
  <si>
    <t>\I: LO</t>
  </si>
  <si>
    <t>UP</t>
  </si>
  <si>
    <t>bound</t>
  </si>
  <si>
    <t>tech</t>
  </si>
  <si>
    <t>Low</t>
  </si>
  <si>
    <t>Hydro</t>
  </si>
  <si>
    <t>Nuclear</t>
  </si>
  <si>
    <t>Solar</t>
  </si>
  <si>
    <t>Wind</t>
  </si>
  <si>
    <t>High</t>
  </si>
  <si>
    <t>~UC_T: uc_rhsrt</t>
  </si>
  <si>
    <t>uc_ncap</t>
  </si>
  <si>
    <t>uc_attr</t>
  </si>
  <si>
    <t>uce_buildrate_hydro</t>
  </si>
  <si>
    <t>ELCHYD</t>
  </si>
  <si>
    <t>ncap,buildup</t>
  </si>
  <si>
    <t>uce_buildrate_nuclear</t>
  </si>
  <si>
    <t>ELCNUC</t>
  </si>
  <si>
    <t>uce_buildrate_solar</t>
  </si>
  <si>
    <t>ELCSPV</t>
  </si>
  <si>
    <t>uce_buildrate_wind</t>
  </si>
  <si>
    <t>ELCWIN</t>
  </si>
  <si>
    <t>uce_buildrate_NG</t>
  </si>
  <si>
    <t>ELCNGA</t>
  </si>
  <si>
    <t>uce_buildrate_coal</t>
  </si>
  <si>
    <t>ELCCOA</t>
  </si>
  <si>
    <t>Replaced by Emidecrease in Z_FIX file</t>
  </si>
  <si>
    <t>uce_CAPBND_bio</t>
  </si>
  <si>
    <t>*biomass*</t>
  </si>
  <si>
    <t>uce_CAPBND_gas</t>
  </si>
  <si>
    <t>en*gas*</t>
  </si>
  <si>
    <t>uce_CAPBND_coal</t>
  </si>
  <si>
    <t>en_coa*</t>
  </si>
  <si>
    <t>UC_ATTR</t>
  </si>
  <si>
    <t>UC_NCAP</t>
  </si>
  <si>
    <t>UCS_co2storage_buildrate</t>
  </si>
  <si>
    <t>CO2ForStorage</t>
  </si>
  <si>
    <t>NCAP,BUILDUP</t>
  </si>
  <si>
    <t>~UC_SETS: R_S: AllRegions</t>
  </si>
  <si>
    <t>UC_ACT~RHS</t>
  </si>
  <si>
    <t>UC_RHST~0</t>
  </si>
  <si>
    <t>IRE</t>
  </si>
  <si>
    <t>OILCRD</t>
  </si>
  <si>
    <t>T?_*,Glb*,Exo*</t>
  </si>
  <si>
    <t>ACT,GROWTH</t>
  </si>
  <si>
    <t>GASNGA,GASLNG</t>
  </si>
  <si>
    <t>COAHCO,COACOK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</si>
</sst>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38">
    <font>
      <sz val="11"/>
      <color theme="1"/>
      <name val="Calibri"/>
      <charset val="134"/>
      <scheme val="minor"/>
    </font>
    <font>
      <sz val="8"/>
      <color rgb="FF000000"/>
      <name val="Segoe UI"/>
      <charset val="134"/>
    </font>
    <font>
      <sz val="11"/>
      <name val="Carlito"/>
      <charset val="134"/>
    </font>
    <font>
      <sz val="10.2"/>
      <color rgb="FF212529"/>
      <name val="Segoe UI"/>
      <charset val="134"/>
    </font>
    <font>
      <b/>
      <sz val="10"/>
      <color theme="1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7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b/>
      <sz val="10"/>
      <color indexed="12"/>
      <name val="Arial"/>
      <charset val="134"/>
    </font>
    <font>
      <b/>
      <sz val="1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rgb="FF9C65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5700"/>
      <name val="Calibri"/>
      <charset val="134"/>
      <scheme val="minor"/>
    </font>
    <font>
      <sz val="11"/>
      <color indexed="8"/>
      <name val="Calibri"/>
      <charset val="134"/>
    </font>
    <font>
      <b/>
      <sz val="9"/>
      <name val="Times New Roman"/>
      <charset val="0"/>
    </font>
    <font>
      <sz val="9"/>
      <name val="Times New Roman"/>
      <charset val="134"/>
    </font>
    <font>
      <sz val="9"/>
      <name val="Times New Roman"/>
      <charset val="0"/>
    </font>
    <font>
      <b/>
      <sz val="9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>
      <alignment vertical="center"/>
    </xf>
    <xf numFmtId="0" fontId="5" fillId="5" borderId="1" applyNumberFormat="0" applyAlignment="0" applyProtection="0"/>
    <xf numFmtId="0" fontId="23" fillId="13" borderId="6" applyNumberFormat="0" applyAlignment="0" applyProtection="0">
      <alignment vertical="center"/>
    </xf>
    <xf numFmtId="0" fontId="24" fillId="13" borderId="1" applyNumberFormat="0" applyAlignment="0" applyProtection="0">
      <alignment vertical="center"/>
    </xf>
    <xf numFmtId="0" fontId="25" fillId="14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6" fillId="11" borderId="0" applyNumberFormat="0" applyBorder="0" applyAlignment="0" applyProtection="0"/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5" fillId="5" borderId="1" applyNumberFormat="0" applyAlignment="0" applyProtection="0"/>
    <xf numFmtId="0" fontId="32" fillId="11" borderId="0" applyNumberFormat="0" applyBorder="0" applyAlignment="0" applyProtection="0"/>
    <xf numFmtId="0" fontId="12" fillId="0" borderId="0"/>
    <xf numFmtId="0" fontId="0" fillId="0" borderId="0"/>
    <xf numFmtId="0" fontId="12" fillId="0" borderId="0"/>
    <xf numFmtId="0" fontId="12" fillId="0" borderId="0"/>
    <xf numFmtId="0" fontId="0" fillId="0" borderId="0"/>
    <xf numFmtId="0" fontId="33" fillId="0" borderId="0"/>
  </cellStyleXfs>
  <cellXfs count="4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2" borderId="0" xfId="0" applyFill="1" applyAlignment="1">
      <alignment vertical="center"/>
    </xf>
    <xf numFmtId="0" fontId="1" fillId="2" borderId="0" xfId="0" applyFont="1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vertical="center" wrapText="1"/>
    </xf>
    <xf numFmtId="0" fontId="2" fillId="0" borderId="0" xfId="0" applyFont="1" applyAlignment="1">
      <alignment horizontal="center"/>
    </xf>
    <xf numFmtId="0" fontId="4" fillId="4" borderId="0" xfId="0" applyFont="1" applyFill="1"/>
    <xf numFmtId="9" fontId="0" fillId="0" borderId="0" xfId="0" applyNumberFormat="1"/>
    <xf numFmtId="9" fontId="0" fillId="0" borderId="0" xfId="0" applyNumberFormat="1" applyAlignment="1">
      <alignment horizontal="right" vertical="center"/>
    </xf>
    <xf numFmtId="0" fontId="5" fillId="5" borderId="1" xfId="49"/>
    <xf numFmtId="0" fontId="0" fillId="0" borderId="0" xfId="0" applyAlignment="1">
      <alignment horizontal="right" vertical="center"/>
    </xf>
    <xf numFmtId="2" fontId="0" fillId="0" borderId="0" xfId="0" applyNumberFormat="1"/>
    <xf numFmtId="0" fontId="6" fillId="5" borderId="1" xfId="49" applyFont="1"/>
    <xf numFmtId="0" fontId="5" fillId="5" borderId="0" xfId="49" applyBorder="1"/>
    <xf numFmtId="0" fontId="0" fillId="6" borderId="0" xfId="0" applyFill="1"/>
    <xf numFmtId="2" fontId="7" fillId="0" borderId="0" xfId="0" applyNumberFormat="1" applyFont="1"/>
    <xf numFmtId="0" fontId="8" fillId="0" borderId="2" xfId="13"/>
    <xf numFmtId="0" fontId="9" fillId="0" borderId="3" xfId="14"/>
    <xf numFmtId="9" fontId="0" fillId="0" borderId="0" xfId="3" applyFont="1"/>
    <xf numFmtId="0" fontId="0" fillId="7" borderId="0" xfId="0" applyFill="1"/>
    <xf numFmtId="0" fontId="0" fillId="8" borderId="0" xfId="0" applyFill="1"/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0" fillId="0" borderId="0" xfId="52"/>
    <xf numFmtId="0" fontId="13" fillId="0" borderId="0" xfId="55" applyFont="1" applyAlignment="1">
      <alignment horizontal="left"/>
    </xf>
    <xf numFmtId="0" fontId="14" fillId="0" borderId="0" xfId="52" applyFont="1" applyAlignment="1">
      <alignment vertical="center"/>
    </xf>
    <xf numFmtId="0" fontId="11" fillId="0" borderId="0" xfId="55" applyFont="1" applyAlignment="1">
      <alignment horizontal="left" vertical="center"/>
    </xf>
    <xf numFmtId="0" fontId="12" fillId="0" borderId="0" xfId="53"/>
    <xf numFmtId="0" fontId="15" fillId="9" borderId="0" xfId="53" applyFont="1" applyFill="1"/>
    <xf numFmtId="0" fontId="15" fillId="10" borderId="0" xfId="53" applyFont="1" applyFill="1"/>
    <xf numFmtId="0" fontId="12" fillId="0" borderId="0" xfId="54"/>
    <xf numFmtId="0" fontId="6" fillId="5" borderId="1" xfId="16" applyFont="1"/>
    <xf numFmtId="2" fontId="12" fillId="0" borderId="0" xfId="54" applyNumberFormat="1"/>
    <xf numFmtId="2" fontId="12" fillId="0" borderId="0" xfId="53" applyNumberFormat="1"/>
    <xf numFmtId="0" fontId="16" fillId="11" borderId="0" xfId="24"/>
    <xf numFmtId="2" fontId="16" fillId="11" borderId="0" xfId="24" applyNumberFormat="1"/>
    <xf numFmtId="0" fontId="0" fillId="0" borderId="0" xfId="0" quotePrefix="1"/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Input 2" xfId="49"/>
    <cellStyle name="Neutral 2" xfId="50"/>
    <cellStyle name="Normal 10" xfId="51"/>
    <cellStyle name="Normal 11 2 2" xfId="52"/>
    <cellStyle name="Normal 2" xfId="53"/>
    <cellStyle name="Normal 2 2" xfId="54"/>
    <cellStyle name="Normal 4" xfId="55"/>
    <cellStyle name="Normale_Scen_UC_IND-StrucConst" xfId="56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92"/>
  <sheetViews>
    <sheetView zoomScale="82" zoomScaleNormal="82" workbookViewId="0">
      <selection activeCell="A1" sqref="A1"/>
    </sheetView>
  </sheetViews>
  <sheetFormatPr defaultColWidth="9.13636363636364" defaultRowHeight="12.5"/>
  <cols>
    <col min="1" max="1" width="9.13636363636364" style="35" customWidth="1"/>
    <col min="2" max="2" width="9.86363636363636" style="35" customWidth="1"/>
    <col min="3" max="3" width="8.46363636363636" style="35" customWidth="1"/>
    <col min="4" max="4" width="12.8" style="35" customWidth="1"/>
    <col min="5" max="5" width="5" style="35" customWidth="1"/>
    <col min="6" max="6" width="14.2" style="35" customWidth="1"/>
    <col min="7" max="7" width="6.86363636363636" style="35" customWidth="1"/>
    <col min="8" max="8" width="10.4636363636364" style="35" customWidth="1"/>
    <col min="9" max="9" width="8.46363636363636" style="35" customWidth="1"/>
    <col min="10" max="10" width="5.13636363636364" style="35" customWidth="1"/>
    <col min="11" max="12" width="5" style="35" customWidth="1"/>
    <col min="13" max="256" width="11.4636363636364" style="35" customWidth="1"/>
    <col min="257" max="16384" width="9.13636363636364" style="35"/>
  </cols>
  <sheetData>
    <row r="2" spans="2:31">
      <c r="B2" s="35" t="s">
        <v>0</v>
      </c>
      <c r="Y2" s="35" t="s">
        <v>0</v>
      </c>
    </row>
    <row r="3" ht="14.5" spans="2:31">
      <c r="B3" s="36" t="s">
        <v>1</v>
      </c>
      <c r="C3" s="36" t="s">
        <v>2</v>
      </c>
      <c r="D3" s="36" t="s">
        <v>3</v>
      </c>
      <c r="E3" s="36" t="s">
        <v>4</v>
      </c>
      <c r="F3" s="36" t="s">
        <v>5</v>
      </c>
      <c r="G3" s="37" t="s">
        <v>6</v>
      </c>
      <c r="H3" s="37" t="s">
        <v>7</v>
      </c>
      <c r="I3" s="36" t="s">
        <v>8</v>
      </c>
      <c r="J3"/>
      <c r="K3"/>
      <c r="L3"/>
      <c r="Y3" s="35" t="s">
        <v>1</v>
      </c>
      <c r="Z3" s="35" t="s">
        <v>2</v>
      </c>
      <c r="AA3" s="35" t="s">
        <v>3</v>
      </c>
      <c r="AB3" s="35" t="s">
        <v>4</v>
      </c>
      <c r="AC3" s="35" t="s">
        <v>5</v>
      </c>
      <c r="AD3" s="35" t="s">
        <v>6</v>
      </c>
      <c r="AE3" s="35" t="s">
        <v>7</v>
      </c>
    </row>
    <row r="4" ht="14.5" spans="2:31">
      <c r="D4" s="35" t="s">
        <v>9</v>
      </c>
      <c r="H4">
        <v>0.1</v>
      </c>
      <c r="I4" s="35" t="s">
        <v>10</v>
      </c>
      <c r="J4"/>
      <c r="K4"/>
      <c r="L4"/>
      <c r="T4" s="38" t="s">
        <v>11</v>
      </c>
      <c r="U4" s="38" t="s">
        <v>12</v>
      </c>
      <c r="V4" s="38" t="s">
        <v>13</v>
      </c>
      <c r="W4" s="38" t="s">
        <v>14</v>
      </c>
      <c r="AA4" s="35" t="s">
        <v>15</v>
      </c>
      <c r="AC4" s="35" t="s">
        <v>16</v>
      </c>
      <c r="AD4" s="35" t="s">
        <v>17</v>
      </c>
      <c r="AE4" s="35">
        <f xml:space="preserve">1.10926234054354*H39</f>
        <v>1.20144204104271</v>
      </c>
    </row>
    <row r="5" ht="14.5" spans="2:31">
      <c r="D5" s="35" t="s">
        <v>18</v>
      </c>
      <c r="H5" s="35">
        <v>2020</v>
      </c>
      <c r="J5"/>
      <c r="K5"/>
      <c r="L5"/>
      <c r="T5" s="38" t="s">
        <v>19</v>
      </c>
      <c r="U5" s="38" t="s">
        <v>20</v>
      </c>
      <c r="V5" s="38">
        <v>2001</v>
      </c>
      <c r="W5" s="38">
        <v>0.762827515602112</v>
      </c>
      <c r="AA5" s="35" t="s">
        <v>21</v>
      </c>
      <c r="AD5" s="35" t="s">
        <v>17</v>
      </c>
      <c r="AE5" s="35">
        <f xml:space="preserve">O6</f>
        <v>0.07</v>
      </c>
    </row>
    <row r="6" ht="14.5" spans="2:31">
      <c r="D6" s="35" t="s">
        <v>22</v>
      </c>
      <c r="H6" s="35">
        <v>1</v>
      </c>
      <c r="J6"/>
      <c r="K6"/>
      <c r="L6"/>
      <c r="O6" s="39">
        <v>0.07</v>
      </c>
      <c r="P6" s="35" t="s">
        <v>23</v>
      </c>
      <c r="T6" s="38" t="s">
        <v>19</v>
      </c>
      <c r="U6" s="38" t="s">
        <v>20</v>
      </c>
      <c r="V6" s="38">
        <v>2002</v>
      </c>
      <c r="W6" s="38">
        <v>0.774460315704346</v>
      </c>
      <c r="AA6" s="38" t="s">
        <v>15</v>
      </c>
      <c r="AB6"/>
      <c r="AC6" s="38" t="s">
        <v>16</v>
      </c>
      <c r="AD6" s="38" t="s">
        <v>24</v>
      </c>
      <c r="AE6" s="40">
        <f xml:space="preserve">H45</f>
        <v>0.9896</v>
      </c>
    </row>
    <row r="7" ht="14.5" spans="2:31">
      <c r="D7" s="35" t="str">
        <f xml:space="preserve">IF(F7=G7,"*","")&amp;"G_CUREX"</f>
        <v>G_CUREX</v>
      </c>
      <c r="F7" s="35" t="s">
        <v>16</v>
      </c>
      <c r="G7" s="35" t="str">
        <f xml:space="preserve">"USD"&amp;RIGHT(O9,2)</f>
        <v>USD83</v>
      </c>
      <c r="H7" s="41">
        <f xml:space="preserve">ROUND($P$46/P9,4)</f>
        <v>2.2201</v>
      </c>
      <c r="T7" s="38" t="s">
        <v>19</v>
      </c>
      <c r="U7" s="38" t="s">
        <v>20</v>
      </c>
      <c r="V7" s="38">
        <v>2003</v>
      </c>
      <c r="W7" s="38">
        <v>0.789065361022949</v>
      </c>
      <c r="AA7" s="38" t="s">
        <v>21</v>
      </c>
      <c r="AB7"/>
      <c r="AC7"/>
      <c r="AD7" s="38" t="s">
        <v>24</v>
      </c>
      <c r="AE7" s="38">
        <f xml:space="preserve">AE5</f>
        <v>0.07</v>
      </c>
    </row>
    <row r="8" ht="14.5" spans="2:31">
      <c r="D8" s="35" t="str">
        <f t="shared" ref="D8:D42" si="0" xml:space="preserve">IF(F8=G8,"*","")&amp;"G_CUREX"</f>
        <v>G_CUREX</v>
      </c>
      <c r="F8" s="35" t="s">
        <v>16</v>
      </c>
      <c r="G8" s="35" t="str">
        <f t="shared" ref="G8:G42" si="1" xml:space="preserve">"USD"&amp;RIGHT(O10,2)</f>
        <v>USD84</v>
      </c>
      <c r="H8" s="41">
        <f t="shared" ref="H8:H49" si="2" xml:space="preserve">ROUND($P$46/P10,4)</f>
        <v>2.1427</v>
      </c>
      <c r="O8" s="42"/>
      <c r="P8" s="42" t="s">
        <v>25</v>
      </c>
      <c r="T8" s="38" t="s">
        <v>19</v>
      </c>
      <c r="U8" s="38" t="s">
        <v>20</v>
      </c>
      <c r="V8" s="38">
        <v>2004</v>
      </c>
      <c r="W8" s="38">
        <v>0.810197472572327</v>
      </c>
    </row>
    <row r="9" ht="14.5" spans="2:31">
      <c r="D9" s="35" t="str">
        <f t="shared" si="0"/>
        <v>G_CUREX</v>
      </c>
      <c r="F9" s="35" t="s">
        <v>16</v>
      </c>
      <c r="G9" s="35" t="str">
        <f t="shared" si="1"/>
        <v>USD85</v>
      </c>
      <c r="H9" s="41">
        <f t="shared" si="2"/>
        <v>2.077</v>
      </c>
      <c r="O9" s="42">
        <v>1983</v>
      </c>
      <c r="P9" s="43">
        <f xml:space="preserve">VLOOKUP(O9,$V$5:$W$99,2,FALSE)</f>
        <v>0.487872630357742</v>
      </c>
      <c r="T9" s="38" t="s">
        <v>19</v>
      </c>
      <c r="U9" s="38" t="s">
        <v>20</v>
      </c>
      <c r="V9" s="38">
        <v>2005</v>
      </c>
      <c r="W9" s="38">
        <v>0.835319578647614</v>
      </c>
    </row>
    <row r="10" ht="14.5" spans="2:31">
      <c r="D10" s="35" t="str">
        <f t="shared" si="0"/>
        <v>G_CUREX</v>
      </c>
      <c r="F10" s="35" t="s">
        <v>16</v>
      </c>
      <c r="G10" s="35" t="str">
        <f t="shared" si="1"/>
        <v>USD86</v>
      </c>
      <c r="H10" s="41">
        <f t="shared" si="2"/>
        <v>2.0358</v>
      </c>
      <c r="O10" s="42">
        <v>1984</v>
      </c>
      <c r="P10" s="43">
        <f t="shared" ref="P10:P51" si="3" xml:space="preserve">VLOOKUP(O10,$V$5:$W$99,2,FALSE)</f>
        <v>0.505495131015778</v>
      </c>
      <c r="T10" s="38" t="s">
        <v>19</v>
      </c>
      <c r="U10" s="38" t="s">
        <v>20</v>
      </c>
      <c r="V10" s="38">
        <v>2006</v>
      </c>
      <c r="W10" s="38">
        <v>0.860807240009308</v>
      </c>
    </row>
    <row r="11" ht="14.5" spans="2:31">
      <c r="D11" s="35" t="str">
        <f t="shared" si="0"/>
        <v>G_CUREX</v>
      </c>
      <c r="F11" s="35" t="s">
        <v>16</v>
      </c>
      <c r="G11" s="35" t="str">
        <f t="shared" si="1"/>
        <v>USD87</v>
      </c>
      <c r="H11" s="41">
        <f t="shared" si="2"/>
        <v>1.987</v>
      </c>
      <c r="O11" s="42">
        <v>1985</v>
      </c>
      <c r="P11" s="43">
        <f t="shared" si="3"/>
        <v>0.521485805511475</v>
      </c>
      <c r="T11" s="38" t="s">
        <v>19</v>
      </c>
      <c r="U11" s="38" t="s">
        <v>20</v>
      </c>
      <c r="V11" s="38">
        <v>2007</v>
      </c>
      <c r="W11" s="38">
        <v>0.883970141410828</v>
      </c>
    </row>
    <row r="12" ht="14.5" spans="2:31">
      <c r="D12" s="35" t="str">
        <f t="shared" si="0"/>
        <v>G_CUREX</v>
      </c>
      <c r="F12" s="35" t="s">
        <v>16</v>
      </c>
      <c r="G12" s="35" t="str">
        <f t="shared" si="1"/>
        <v>USD88</v>
      </c>
      <c r="H12" s="41">
        <f t="shared" si="2"/>
        <v>1.9192</v>
      </c>
      <c r="O12" s="42">
        <v>1986</v>
      </c>
      <c r="P12" s="43">
        <f t="shared" si="3"/>
        <v>0.532050728797913</v>
      </c>
      <c r="T12" s="38" t="s">
        <v>19</v>
      </c>
      <c r="U12" s="38" t="s">
        <v>20</v>
      </c>
      <c r="V12" s="38">
        <v>2008</v>
      </c>
      <c r="W12" s="38">
        <v>0.900844812393188</v>
      </c>
    </row>
    <row r="13" ht="14.5" spans="2:31">
      <c r="D13" s="35" t="str">
        <f t="shared" si="0"/>
        <v>G_CUREX</v>
      </c>
      <c r="F13" s="35" t="s">
        <v>16</v>
      </c>
      <c r="G13" s="35" t="str">
        <f t="shared" si="1"/>
        <v>USD89</v>
      </c>
      <c r="H13" s="41">
        <f t="shared" si="2"/>
        <v>1.8468</v>
      </c>
      <c r="O13" s="42">
        <v>1987</v>
      </c>
      <c r="P13" s="43">
        <f t="shared" si="3"/>
        <v>0.54511946439743</v>
      </c>
      <c r="T13" s="38" t="s">
        <v>19</v>
      </c>
      <c r="U13" s="38" t="s">
        <v>20</v>
      </c>
      <c r="V13" s="38">
        <v>2009</v>
      </c>
      <c r="W13" s="38">
        <v>0.907873749732971</v>
      </c>
    </row>
    <row r="14" ht="14.5" spans="2:31">
      <c r="D14" s="35" t="str">
        <f t="shared" si="0"/>
        <v>G_CUREX</v>
      </c>
      <c r="F14" s="35" t="s">
        <v>16</v>
      </c>
      <c r="G14" s="35" t="str">
        <f t="shared" si="1"/>
        <v>USD90</v>
      </c>
      <c r="H14" s="41">
        <f t="shared" si="2"/>
        <v>1.7799</v>
      </c>
      <c r="O14" s="42">
        <v>1988</v>
      </c>
      <c r="P14" s="43">
        <f t="shared" si="3"/>
        <v>0.564371347427368</v>
      </c>
      <c r="T14" s="38" t="s">
        <v>19</v>
      </c>
      <c r="U14" s="38" t="s">
        <v>20</v>
      </c>
      <c r="V14" s="38">
        <v>2010</v>
      </c>
      <c r="W14" s="38">
        <v>0.918479204177856</v>
      </c>
    </row>
    <row r="15" ht="14.5" spans="2:31">
      <c r="D15" s="35" t="str">
        <f t="shared" si="0"/>
        <v>G_CUREX</v>
      </c>
      <c r="F15" s="35" t="s">
        <v>16</v>
      </c>
      <c r="G15" s="35" t="str">
        <f t="shared" si="1"/>
        <v>USD91</v>
      </c>
      <c r="H15" s="41">
        <f t="shared" si="2"/>
        <v>1.722</v>
      </c>
      <c r="O15" s="42">
        <v>1989</v>
      </c>
      <c r="P15" s="43">
        <f t="shared" si="3"/>
        <v>0.58649742603302</v>
      </c>
      <c r="T15" s="38" t="s">
        <v>19</v>
      </c>
      <c r="U15" s="38" t="s">
        <v>20</v>
      </c>
      <c r="V15" s="38">
        <v>2011</v>
      </c>
      <c r="W15" s="38">
        <v>0.937618970870972</v>
      </c>
    </row>
    <row r="16" ht="14.5" spans="2:31">
      <c r="D16" s="35" t="str">
        <f t="shared" si="0"/>
        <v>G_CUREX</v>
      </c>
      <c r="F16" s="35" t="s">
        <v>16</v>
      </c>
      <c r="G16" s="35" t="str">
        <f t="shared" si="1"/>
        <v>USD92</v>
      </c>
      <c r="H16" s="41">
        <f t="shared" si="2"/>
        <v>1.6836</v>
      </c>
      <c r="O16" s="42">
        <v>1990</v>
      </c>
      <c r="P16" s="43">
        <f t="shared" si="3"/>
        <v>0.608532726764679</v>
      </c>
      <c r="T16" s="38" t="s">
        <v>19</v>
      </c>
      <c r="U16" s="38" t="s">
        <v>20</v>
      </c>
      <c r="V16" s="38">
        <v>2012</v>
      </c>
      <c r="W16" s="38">
        <v>0.955666601657867</v>
      </c>
    </row>
    <row r="17" ht="14.5" spans="4:23">
      <c r="D17" s="35" t="str">
        <f t="shared" si="0"/>
        <v>G_CUREX</v>
      </c>
      <c r="F17" s="35" t="s">
        <v>16</v>
      </c>
      <c r="G17" s="35" t="str">
        <f t="shared" si="1"/>
        <v>USD93</v>
      </c>
      <c r="H17" s="41">
        <f t="shared" si="2"/>
        <v>1.6446</v>
      </c>
      <c r="O17" s="42">
        <v>1991</v>
      </c>
      <c r="P17" s="43">
        <f t="shared" si="3"/>
        <v>0.629012584686279</v>
      </c>
      <c r="T17" s="38" t="s">
        <v>19</v>
      </c>
      <c r="U17" s="38" t="s">
        <v>20</v>
      </c>
      <c r="V17" s="38">
        <v>2013</v>
      </c>
      <c r="W17" s="38">
        <v>0.972605764865875</v>
      </c>
    </row>
    <row r="18" ht="14.5" spans="4:23">
      <c r="D18" s="35" t="str">
        <f t="shared" si="0"/>
        <v>G_CUREX</v>
      </c>
      <c r="F18" s="35" t="s">
        <v>16</v>
      </c>
      <c r="G18" s="35" t="str">
        <f t="shared" si="1"/>
        <v>USD94</v>
      </c>
      <c r="H18" s="41">
        <f t="shared" si="2"/>
        <v>1.6102</v>
      </c>
      <c r="O18" s="42">
        <v>1992</v>
      </c>
      <c r="P18" s="43">
        <f t="shared" si="3"/>
        <v>0.643362104892731</v>
      </c>
      <c r="T18" s="38" t="s">
        <v>19</v>
      </c>
      <c r="U18" s="38" t="s">
        <v>20</v>
      </c>
      <c r="V18" s="38">
        <v>2014</v>
      </c>
      <c r="W18" s="38">
        <v>0.990517318248749</v>
      </c>
    </row>
    <row r="19" ht="14.5" spans="4:23">
      <c r="D19" s="35" t="str">
        <f t="shared" si="0"/>
        <v>G_CUREX</v>
      </c>
      <c r="F19" s="35" t="s">
        <v>16</v>
      </c>
      <c r="G19" s="35" t="str">
        <f t="shared" si="1"/>
        <v>USD95</v>
      </c>
      <c r="H19" s="41">
        <f t="shared" si="2"/>
        <v>1.5771</v>
      </c>
      <c r="O19" s="42">
        <v>1993</v>
      </c>
      <c r="P19" s="43">
        <f t="shared" si="3"/>
        <v>0.658619225025177</v>
      </c>
      <c r="T19" s="38" t="s">
        <v>19</v>
      </c>
      <c r="U19" s="38" t="s">
        <v>20</v>
      </c>
      <c r="V19" s="38">
        <v>2015</v>
      </c>
      <c r="W19" s="38">
        <v>1</v>
      </c>
    </row>
    <row r="20" ht="14.5" spans="4:23">
      <c r="D20" s="35" t="str">
        <f t="shared" si="0"/>
        <v>G_CUREX</v>
      </c>
      <c r="F20" s="35" t="s">
        <v>16</v>
      </c>
      <c r="G20" s="35" t="str">
        <f t="shared" si="1"/>
        <v>USD96</v>
      </c>
      <c r="H20" s="41">
        <f t="shared" si="2"/>
        <v>1.5488</v>
      </c>
      <c r="O20" s="42">
        <v>1994</v>
      </c>
      <c r="P20" s="43">
        <f t="shared" si="3"/>
        <v>0.67265796661377</v>
      </c>
      <c r="T20" s="38" t="s">
        <v>19</v>
      </c>
      <c r="U20" s="38" t="s">
        <v>20</v>
      </c>
      <c r="V20" s="38">
        <v>2016</v>
      </c>
      <c r="W20" s="38">
        <v>1.01048374176025</v>
      </c>
    </row>
    <row r="21" ht="14.5" spans="4:23">
      <c r="D21" s="35" t="str">
        <f t="shared" si="0"/>
        <v>G_CUREX</v>
      </c>
      <c r="F21" s="35" t="s">
        <v>16</v>
      </c>
      <c r="G21" s="35" t="str">
        <f t="shared" si="1"/>
        <v>USD97</v>
      </c>
      <c r="H21" s="41">
        <f t="shared" si="2"/>
        <v>1.5224</v>
      </c>
      <c r="O21" s="42">
        <v>1995</v>
      </c>
      <c r="P21" s="43">
        <f t="shared" si="3"/>
        <v>0.686780393123627</v>
      </c>
      <c r="T21" s="38" t="s">
        <v>19</v>
      </c>
      <c r="U21" s="38" t="s">
        <v>20</v>
      </c>
      <c r="V21" s="38">
        <v>2017</v>
      </c>
      <c r="W21" s="38">
        <v>1.02974033355713</v>
      </c>
    </row>
    <row r="22" ht="14.5" spans="4:23">
      <c r="D22" s="35" t="str">
        <f t="shared" si="0"/>
        <v>G_CUREX</v>
      </c>
      <c r="F22" s="35" t="s">
        <v>16</v>
      </c>
      <c r="G22" s="35" t="str">
        <f t="shared" si="1"/>
        <v>USD98</v>
      </c>
      <c r="H22" s="41">
        <f t="shared" si="2"/>
        <v>1.5058</v>
      </c>
      <c r="O22" s="42">
        <v>1996</v>
      </c>
      <c r="P22" s="43">
        <f t="shared" si="3"/>
        <v>0.699335396289825</v>
      </c>
      <c r="T22" s="38" t="s">
        <v>19</v>
      </c>
      <c r="U22" s="38" t="s">
        <v>20</v>
      </c>
      <c r="V22" s="38">
        <v>2018</v>
      </c>
      <c r="W22" s="38">
        <v>1.05430805683136</v>
      </c>
    </row>
    <row r="23" ht="14.5" spans="4:23">
      <c r="D23" s="35" t="str">
        <f t="shared" si="0"/>
        <v>G_CUREX</v>
      </c>
      <c r="F23" s="35" t="s">
        <v>16</v>
      </c>
      <c r="G23" s="35" t="str">
        <f t="shared" si="1"/>
        <v>USD99</v>
      </c>
      <c r="H23" s="41">
        <f t="shared" si="2"/>
        <v>1.4845</v>
      </c>
      <c r="O23" s="42">
        <v>1997</v>
      </c>
      <c r="P23" s="43">
        <f t="shared" si="3"/>
        <v>0.71145087480545</v>
      </c>
      <c r="T23" s="38" t="s">
        <v>19</v>
      </c>
      <c r="U23" s="38" t="s">
        <v>20</v>
      </c>
      <c r="V23" s="38">
        <v>2019</v>
      </c>
      <c r="W23" s="38">
        <v>1.07337832450867</v>
      </c>
    </row>
    <row r="24" ht="14.5" spans="4:23">
      <c r="D24" s="35" t="str">
        <f t="shared" si="0"/>
        <v>G_CUREX</v>
      </c>
      <c r="F24" s="35" t="s">
        <v>16</v>
      </c>
      <c r="G24" s="35" t="str">
        <f t="shared" si="1"/>
        <v>USD00</v>
      </c>
      <c r="H24" s="41">
        <f t="shared" si="2"/>
        <v>1.4518</v>
      </c>
      <c r="O24" s="42">
        <v>1998</v>
      </c>
      <c r="P24" s="43">
        <f t="shared" si="3"/>
        <v>0.719296872615814</v>
      </c>
      <c r="T24" s="38" t="s">
        <v>19</v>
      </c>
      <c r="U24" s="38" t="s">
        <v>20</v>
      </c>
      <c r="V24" s="38">
        <v>2020</v>
      </c>
      <c r="W24" s="38">
        <v>1.08314538002014</v>
      </c>
    </row>
    <row r="25" ht="14.5" spans="4:23">
      <c r="D25" s="35" t="str">
        <f t="shared" si="0"/>
        <v>G_CUREX</v>
      </c>
      <c r="F25" s="35" t="s">
        <v>16</v>
      </c>
      <c r="G25" s="35" t="str">
        <f t="shared" si="1"/>
        <v>USD01</v>
      </c>
      <c r="H25" s="41">
        <f t="shared" si="2"/>
        <v>1.4199</v>
      </c>
      <c r="O25" s="42">
        <v>1999</v>
      </c>
      <c r="P25" s="43">
        <f t="shared" si="3"/>
        <v>0.729613304138184</v>
      </c>
      <c r="T25" s="38" t="s">
        <v>19</v>
      </c>
      <c r="U25" s="38" t="s">
        <v>20</v>
      </c>
      <c r="V25" s="38">
        <v>2021</v>
      </c>
      <c r="W25" s="38">
        <v>1.09456992149353</v>
      </c>
    </row>
    <row r="26" ht="14.5" spans="4:23">
      <c r="D26" s="35" t="str">
        <f t="shared" si="0"/>
        <v>G_CUREX</v>
      </c>
      <c r="F26" s="35" t="s">
        <v>16</v>
      </c>
      <c r="G26" s="35" t="str">
        <f t="shared" si="1"/>
        <v>USD02</v>
      </c>
      <c r="H26" s="41">
        <f t="shared" si="2"/>
        <v>1.3986</v>
      </c>
      <c r="O26" s="42">
        <v>2000</v>
      </c>
      <c r="P26" s="43">
        <f t="shared" si="3"/>
        <v>0.746074616909027</v>
      </c>
      <c r="T26" s="38" t="s">
        <v>19</v>
      </c>
      <c r="U26" s="38" t="s">
        <v>20</v>
      </c>
      <c r="V26" s="38">
        <v>2022</v>
      </c>
      <c r="W26" s="38">
        <v>1.1073887348175</v>
      </c>
    </row>
    <row r="27" ht="14.5" spans="4:23">
      <c r="D27" s="35" t="str">
        <f t="shared" si="0"/>
        <v>G_CUREX</v>
      </c>
      <c r="F27" s="35" t="s">
        <v>16</v>
      </c>
      <c r="G27" s="35" t="str">
        <f t="shared" si="1"/>
        <v>USD03</v>
      </c>
      <c r="H27" s="41">
        <f t="shared" si="2"/>
        <v>1.3727</v>
      </c>
      <c r="O27" s="42">
        <v>2001</v>
      </c>
      <c r="P27" s="43">
        <f t="shared" si="3"/>
        <v>0.762827515602112</v>
      </c>
      <c r="T27" s="38" t="s">
        <v>19</v>
      </c>
      <c r="U27" s="38" t="s">
        <v>20</v>
      </c>
      <c r="V27" s="38">
        <v>2023</v>
      </c>
      <c r="W27" s="38">
        <v>1.1224308013916</v>
      </c>
    </row>
    <row r="28" ht="14.5" spans="4:23">
      <c r="D28" s="35" t="str">
        <f t="shared" si="0"/>
        <v>G_CUREX</v>
      </c>
      <c r="F28" s="35" t="s">
        <v>16</v>
      </c>
      <c r="G28" s="35" t="str">
        <f t="shared" si="1"/>
        <v>USD04</v>
      </c>
      <c r="H28" s="41">
        <f t="shared" si="2"/>
        <v>1.3369</v>
      </c>
      <c r="O28" s="42">
        <v>2002</v>
      </c>
      <c r="P28" s="43">
        <f t="shared" si="3"/>
        <v>0.774460315704346</v>
      </c>
      <c r="T28" s="38" t="s">
        <v>19</v>
      </c>
      <c r="U28" s="38" t="s">
        <v>20</v>
      </c>
      <c r="V28" s="38">
        <v>2024</v>
      </c>
      <c r="W28" s="38">
        <v>1.14128732681274</v>
      </c>
    </row>
    <row r="29" ht="14.5" spans="4:23">
      <c r="D29" s="35" t="str">
        <f t="shared" si="0"/>
        <v>G_CUREX</v>
      </c>
      <c r="F29" s="35" t="s">
        <v>16</v>
      </c>
      <c r="G29" s="35" t="str">
        <f t="shared" si="1"/>
        <v>USD05</v>
      </c>
      <c r="H29" s="41">
        <f t="shared" si="2"/>
        <v>1.2967</v>
      </c>
      <c r="O29" s="42">
        <v>2003</v>
      </c>
      <c r="P29" s="43">
        <f t="shared" si="3"/>
        <v>0.789065361022949</v>
      </c>
      <c r="T29" s="38" t="s">
        <v>19</v>
      </c>
      <c r="U29" s="38" t="s">
        <v>20</v>
      </c>
      <c r="V29" s="38">
        <v>2025</v>
      </c>
      <c r="W29" s="38">
        <v>1.16506481170654</v>
      </c>
    </row>
    <row r="30" ht="14.5" spans="4:23">
      <c r="D30" s="35" t="str">
        <f t="shared" si="0"/>
        <v>G_CUREX</v>
      </c>
      <c r="F30" s="35" t="s">
        <v>16</v>
      </c>
      <c r="G30" s="35" t="str">
        <f t="shared" si="1"/>
        <v>USD06</v>
      </c>
      <c r="H30" s="41">
        <f t="shared" si="2"/>
        <v>1.2583</v>
      </c>
      <c r="O30" s="42">
        <v>2004</v>
      </c>
      <c r="P30" s="43">
        <f t="shared" si="3"/>
        <v>0.810197472572327</v>
      </c>
      <c r="T30" s="38" t="s">
        <v>19</v>
      </c>
      <c r="U30" s="38" t="s">
        <v>20</v>
      </c>
      <c r="V30" s="38">
        <v>2026</v>
      </c>
      <c r="W30" s="38">
        <v>1.19280254840851</v>
      </c>
    </row>
    <row r="31" ht="14.5" spans="4:23">
      <c r="D31" s="35" t="str">
        <f t="shared" si="0"/>
        <v>G_CUREX</v>
      </c>
      <c r="F31" s="35" t="s">
        <v>16</v>
      </c>
      <c r="G31" s="35" t="str">
        <f t="shared" si="1"/>
        <v>USD07</v>
      </c>
      <c r="H31" s="41">
        <f t="shared" si="2"/>
        <v>1.2253</v>
      </c>
      <c r="O31" s="42">
        <v>2005</v>
      </c>
      <c r="P31" s="43">
        <f t="shared" si="3"/>
        <v>0.835319578647614</v>
      </c>
      <c r="T31" s="38" t="s">
        <v>19</v>
      </c>
      <c r="U31" s="38" t="s">
        <v>20</v>
      </c>
      <c r="V31" s="38">
        <v>2027</v>
      </c>
      <c r="W31" s="38">
        <v>1.22309768199921</v>
      </c>
    </row>
    <row r="32" ht="14.5" spans="4:23">
      <c r="D32" s="35" t="str">
        <f t="shared" si="0"/>
        <v>G_CUREX</v>
      </c>
      <c r="F32" s="35" t="s">
        <v>16</v>
      </c>
      <c r="G32" s="35" t="str">
        <f t="shared" si="1"/>
        <v>USD08</v>
      </c>
      <c r="H32" s="41">
        <f t="shared" si="2"/>
        <v>1.2024</v>
      </c>
      <c r="O32" s="42">
        <v>2006</v>
      </c>
      <c r="P32" s="43">
        <f t="shared" si="3"/>
        <v>0.860807240009308</v>
      </c>
      <c r="T32" s="38" t="s">
        <v>19</v>
      </c>
      <c r="U32" s="38" t="s">
        <v>20</v>
      </c>
      <c r="V32" s="38">
        <v>2028</v>
      </c>
      <c r="W32" s="38">
        <v>1.25531399250031</v>
      </c>
    </row>
    <row r="33" ht="14.5" spans="4:23">
      <c r="D33" s="35" t="str">
        <f t="shared" si="0"/>
        <v>G_CUREX</v>
      </c>
      <c r="F33" s="35" t="s">
        <v>16</v>
      </c>
      <c r="G33" s="35" t="str">
        <f t="shared" si="1"/>
        <v>USD09</v>
      </c>
      <c r="H33" s="41">
        <f t="shared" si="2"/>
        <v>1.1931</v>
      </c>
      <c r="O33" s="42">
        <v>2007</v>
      </c>
      <c r="P33" s="43">
        <f t="shared" si="3"/>
        <v>0.883970141410828</v>
      </c>
      <c r="T33" s="38" t="s">
        <v>19</v>
      </c>
      <c r="U33" s="38" t="s">
        <v>20</v>
      </c>
      <c r="V33" s="38">
        <v>2029</v>
      </c>
      <c r="W33" s="38">
        <v>1.28839552402496</v>
      </c>
    </row>
    <row r="34" ht="14.5" spans="4:23">
      <c r="D34" s="35" t="str">
        <f t="shared" si="0"/>
        <v>G_CUREX</v>
      </c>
      <c r="F34" s="35" t="s">
        <v>16</v>
      </c>
      <c r="G34" s="35" t="str">
        <f t="shared" si="1"/>
        <v>USD10</v>
      </c>
      <c r="H34" s="41">
        <f t="shared" si="2"/>
        <v>1.1793</v>
      </c>
      <c r="O34" s="42">
        <v>2008</v>
      </c>
      <c r="P34" s="43">
        <f t="shared" si="3"/>
        <v>0.900844812393188</v>
      </c>
      <c r="T34" s="38" t="s">
        <v>19</v>
      </c>
      <c r="U34" s="38" t="s">
        <v>20</v>
      </c>
      <c r="V34" s="38">
        <v>2030</v>
      </c>
      <c r="W34" s="38">
        <v>1.32175171375275</v>
      </c>
    </row>
    <row r="35" ht="14.5" spans="4:23">
      <c r="D35" s="35" t="str">
        <f t="shared" si="0"/>
        <v>G_CUREX</v>
      </c>
      <c r="F35" s="35" t="s">
        <v>16</v>
      </c>
      <c r="G35" s="35" t="str">
        <f t="shared" si="1"/>
        <v>USD11</v>
      </c>
      <c r="H35" s="41">
        <f t="shared" si="2"/>
        <v>1.1552</v>
      </c>
      <c r="O35" s="42">
        <v>2009</v>
      </c>
      <c r="P35" s="43">
        <f t="shared" si="3"/>
        <v>0.907873749732971</v>
      </c>
      <c r="T35" s="38" t="s">
        <v>19</v>
      </c>
      <c r="U35" s="38" t="s">
        <v>20</v>
      </c>
      <c r="V35" s="38">
        <v>1980</v>
      </c>
      <c r="W35" s="38">
        <v>0.404039144515991</v>
      </c>
    </row>
    <row r="36" ht="14.5" spans="4:23">
      <c r="D36" s="35" t="str">
        <f t="shared" si="0"/>
        <v>G_CUREX</v>
      </c>
      <c r="F36" s="35" t="s">
        <v>16</v>
      </c>
      <c r="G36" s="35" t="str">
        <f t="shared" si="1"/>
        <v>USD12</v>
      </c>
      <c r="H36" s="41">
        <f t="shared" si="2"/>
        <v>1.1334</v>
      </c>
      <c r="O36" s="42">
        <v>2010</v>
      </c>
      <c r="P36" s="43">
        <f t="shared" si="3"/>
        <v>0.918479204177856</v>
      </c>
      <c r="T36" s="38" t="s">
        <v>19</v>
      </c>
      <c r="U36" s="38" t="s">
        <v>20</v>
      </c>
      <c r="V36" s="38">
        <v>1981</v>
      </c>
      <c r="W36" s="38">
        <v>0.442179799079895</v>
      </c>
    </row>
    <row r="37" ht="14.5" spans="4:23">
      <c r="D37" s="35" t="str">
        <f t="shared" si="0"/>
        <v>G_CUREX</v>
      </c>
      <c r="F37" s="35" t="s">
        <v>16</v>
      </c>
      <c r="G37" s="35" t="str">
        <f t="shared" si="1"/>
        <v>USD13</v>
      </c>
      <c r="H37" s="41">
        <f t="shared" si="2"/>
        <v>1.1137</v>
      </c>
      <c r="O37" s="42">
        <v>2011</v>
      </c>
      <c r="P37" s="43">
        <f t="shared" si="3"/>
        <v>0.937618970870972</v>
      </c>
      <c r="T37" s="38" t="s">
        <v>19</v>
      </c>
      <c r="U37" s="38" t="s">
        <v>20</v>
      </c>
      <c r="V37" s="38">
        <v>1982</v>
      </c>
      <c r="W37" s="38">
        <v>0.469521433115005</v>
      </c>
    </row>
    <row r="38" ht="14.5" spans="4:23">
      <c r="D38" s="35" t="str">
        <f t="shared" si="0"/>
        <v>G_CUREX</v>
      </c>
      <c r="F38" s="35" t="s">
        <v>16</v>
      </c>
      <c r="G38" s="35" t="str">
        <f t="shared" si="1"/>
        <v>USD14</v>
      </c>
      <c r="H38" s="41">
        <f t="shared" si="2"/>
        <v>1.0935</v>
      </c>
      <c r="O38" s="42">
        <v>2012</v>
      </c>
      <c r="P38" s="43">
        <f t="shared" si="3"/>
        <v>0.955666601657867</v>
      </c>
      <c r="T38" s="38" t="s">
        <v>19</v>
      </c>
      <c r="U38" s="38" t="s">
        <v>20</v>
      </c>
      <c r="V38" s="38">
        <v>1983</v>
      </c>
      <c r="W38" s="38">
        <v>0.487872630357742</v>
      </c>
    </row>
    <row r="39" ht="14.5" spans="4:23">
      <c r="D39" s="35" t="str">
        <f t="shared" si="0"/>
        <v>G_CUREX</v>
      </c>
      <c r="F39" s="35" t="s">
        <v>16</v>
      </c>
      <c r="G39" s="35" t="str">
        <f t="shared" si="1"/>
        <v>USD15</v>
      </c>
      <c r="H39" s="41">
        <f t="shared" si="2"/>
        <v>1.0831</v>
      </c>
      <c r="O39" s="42">
        <v>2013</v>
      </c>
      <c r="P39" s="43">
        <f t="shared" si="3"/>
        <v>0.972605764865875</v>
      </c>
      <c r="T39" s="38" t="s">
        <v>19</v>
      </c>
      <c r="U39" s="38" t="s">
        <v>20</v>
      </c>
      <c r="V39" s="38">
        <v>1984</v>
      </c>
      <c r="W39" s="38">
        <v>0.505495131015778</v>
      </c>
    </row>
    <row r="40" ht="14.5" spans="4:23">
      <c r="D40" s="35" t="str">
        <f t="shared" si="0"/>
        <v>G_CUREX</v>
      </c>
      <c r="F40" s="35" t="s">
        <v>16</v>
      </c>
      <c r="G40" s="35" t="str">
        <f t="shared" si="1"/>
        <v>USD16</v>
      </c>
      <c r="H40" s="41">
        <f t="shared" si="2"/>
        <v>1.0719</v>
      </c>
      <c r="O40" s="42">
        <v>2014</v>
      </c>
      <c r="P40" s="43">
        <f t="shared" si="3"/>
        <v>0.990517318248749</v>
      </c>
      <c r="T40" s="38" t="s">
        <v>19</v>
      </c>
      <c r="U40" s="38" t="s">
        <v>20</v>
      </c>
      <c r="V40" s="38">
        <v>1985</v>
      </c>
      <c r="W40" s="38">
        <v>0.521485805511475</v>
      </c>
    </row>
    <row r="41" ht="14.5" spans="4:23">
      <c r="D41" s="35" t="str">
        <f t="shared" si="0"/>
        <v>G_CUREX</v>
      </c>
      <c r="F41" s="35" t="s">
        <v>16</v>
      </c>
      <c r="G41" s="35" t="str">
        <f t="shared" si="1"/>
        <v>USD17</v>
      </c>
      <c r="H41" s="41">
        <f t="shared" si="2"/>
        <v>1.0519</v>
      </c>
      <c r="O41" s="42">
        <v>2015</v>
      </c>
      <c r="P41" s="43">
        <f t="shared" si="3"/>
        <v>1</v>
      </c>
      <c r="T41" s="38" t="s">
        <v>19</v>
      </c>
      <c r="U41" s="38" t="s">
        <v>20</v>
      </c>
      <c r="V41" s="38">
        <v>1986</v>
      </c>
      <c r="W41" s="38">
        <v>0.532050728797913</v>
      </c>
    </row>
    <row r="42" ht="14.5" spans="4:23">
      <c r="D42" s="35" t="str">
        <f t="shared" si="0"/>
        <v>G_CUREX</v>
      </c>
      <c r="F42" s="35" t="s">
        <v>16</v>
      </c>
      <c r="G42" s="35" t="str">
        <f t="shared" si="1"/>
        <v>USD18</v>
      </c>
      <c r="H42" s="41">
        <f t="shared" si="2"/>
        <v>1.0274</v>
      </c>
      <c r="O42" s="42">
        <v>2016</v>
      </c>
      <c r="P42" s="43">
        <f t="shared" si="3"/>
        <v>1.01048374176025</v>
      </c>
      <c r="T42" s="38" t="s">
        <v>19</v>
      </c>
      <c r="U42" s="38" t="s">
        <v>20</v>
      </c>
      <c r="V42" s="38">
        <v>1987</v>
      </c>
      <c r="W42" s="38">
        <v>0.54511946439743</v>
      </c>
    </row>
    <row r="43" ht="14.5" spans="4:23">
      <c r="D43" s="35" t="str">
        <f t="shared" ref="D43:D49" si="4" xml:space="preserve">IF(F43=G43,"*","")&amp;"G_CUREX"</f>
        <v>G_CUREX</v>
      </c>
      <c r="F43" s="35" t="s">
        <v>16</v>
      </c>
      <c r="G43" s="35" t="str">
        <f t="shared" ref="G43:G49" si="5" xml:space="preserve">"USD"&amp;RIGHT(O45,2)</f>
        <v>USD19</v>
      </c>
      <c r="H43" s="41">
        <f t="shared" si="2"/>
        <v>1.0091</v>
      </c>
      <c r="O43" s="42">
        <v>2017</v>
      </c>
      <c r="P43" s="43">
        <f t="shared" si="3"/>
        <v>1.02974033355713</v>
      </c>
      <c r="T43" s="38" t="s">
        <v>19</v>
      </c>
      <c r="U43" s="38" t="s">
        <v>20</v>
      </c>
      <c r="V43" s="38">
        <v>1988</v>
      </c>
      <c r="W43" s="38">
        <v>0.564371347427368</v>
      </c>
    </row>
    <row r="44" ht="14.5" spans="4:23">
      <c r="D44" s="35" t="str">
        <f t="shared" si="4"/>
        <v>*G_CUREX</v>
      </c>
      <c r="F44" s="35" t="s">
        <v>16</v>
      </c>
      <c r="G44" s="35" t="str">
        <f t="shared" si="5"/>
        <v>USD20</v>
      </c>
      <c r="H44" s="41">
        <f t="shared" si="2"/>
        <v>1</v>
      </c>
      <c r="O44" s="42">
        <v>2018</v>
      </c>
      <c r="P44" s="43">
        <f t="shared" si="3"/>
        <v>1.05430805683136</v>
      </c>
      <c r="T44" s="38" t="s">
        <v>19</v>
      </c>
      <c r="U44" s="38" t="s">
        <v>20</v>
      </c>
      <c r="V44" s="38">
        <v>1989</v>
      </c>
      <c r="W44" s="38">
        <v>0.58649742603302</v>
      </c>
    </row>
    <row r="45" ht="14.5" spans="4:23">
      <c r="D45" s="35" t="str">
        <f t="shared" si="4"/>
        <v>G_CUREX</v>
      </c>
      <c r="F45" s="35" t="s">
        <v>16</v>
      </c>
      <c r="G45" s="35" t="str">
        <f t="shared" si="5"/>
        <v>USD21</v>
      </c>
      <c r="H45" s="41">
        <f t="shared" si="2"/>
        <v>0.9896</v>
      </c>
      <c r="O45" s="42">
        <v>2019</v>
      </c>
      <c r="P45" s="43">
        <f t="shared" si="3"/>
        <v>1.07337832450867</v>
      </c>
      <c r="T45" s="38" t="s">
        <v>19</v>
      </c>
      <c r="U45" s="38" t="s">
        <v>20</v>
      </c>
      <c r="V45" s="38">
        <v>1990</v>
      </c>
      <c r="W45" s="38">
        <v>0.608532726764679</v>
      </c>
    </row>
    <row r="46" ht="14.5" spans="4:23">
      <c r="D46" s="35" t="str">
        <f t="shared" si="4"/>
        <v>G_CUREX</v>
      </c>
      <c r="F46" s="35" t="s">
        <v>16</v>
      </c>
      <c r="G46" s="35" t="str">
        <f t="shared" si="5"/>
        <v>USD22</v>
      </c>
      <c r="H46" s="41">
        <f t="shared" si="2"/>
        <v>0.9781</v>
      </c>
      <c r="O46" s="42">
        <v>2020</v>
      </c>
      <c r="P46" s="43">
        <f t="shared" si="3"/>
        <v>1.08314538002014</v>
      </c>
      <c r="T46" s="38" t="s">
        <v>19</v>
      </c>
      <c r="U46" s="38" t="s">
        <v>20</v>
      </c>
      <c r="V46" s="38">
        <v>1991</v>
      </c>
      <c r="W46" s="38">
        <v>0.629012584686279</v>
      </c>
    </row>
    <row r="47" ht="14.5" spans="4:23">
      <c r="D47" s="35" t="str">
        <f t="shared" si="4"/>
        <v>G_CUREX</v>
      </c>
      <c r="F47" s="35" t="s">
        <v>16</v>
      </c>
      <c r="G47" s="35" t="str">
        <f t="shared" si="5"/>
        <v>USD23</v>
      </c>
      <c r="H47" s="41">
        <f t="shared" si="2"/>
        <v>0.965</v>
      </c>
      <c r="O47" s="42">
        <v>2021</v>
      </c>
      <c r="P47" s="43">
        <f t="shared" si="3"/>
        <v>1.09456992149353</v>
      </c>
      <c r="T47" s="38" t="s">
        <v>19</v>
      </c>
      <c r="U47" s="38" t="s">
        <v>20</v>
      </c>
      <c r="V47" s="38">
        <v>1992</v>
      </c>
      <c r="W47" s="38">
        <v>0.643362104892731</v>
      </c>
    </row>
    <row r="48" ht="14.5" spans="4:23">
      <c r="D48" s="35" t="str">
        <f t="shared" si="4"/>
        <v>G_CUREX</v>
      </c>
      <c r="F48" s="35" t="s">
        <v>16</v>
      </c>
      <c r="G48" s="35" t="str">
        <f t="shared" si="5"/>
        <v>USD24</v>
      </c>
      <c r="H48" s="41">
        <f t="shared" si="2"/>
        <v>0.9491</v>
      </c>
      <c r="O48" s="42">
        <v>2022</v>
      </c>
      <c r="P48" s="43">
        <f t="shared" si="3"/>
        <v>1.1073887348175</v>
      </c>
      <c r="T48" s="38" t="s">
        <v>19</v>
      </c>
      <c r="U48" s="38" t="s">
        <v>20</v>
      </c>
      <c r="V48" s="38">
        <v>1993</v>
      </c>
      <c r="W48" s="38">
        <v>0.658619225025177</v>
      </c>
    </row>
    <row r="49" ht="14.5" spans="4:23">
      <c r="D49" s="35" t="str">
        <f t="shared" si="4"/>
        <v>G_CUREX</v>
      </c>
      <c r="F49" s="35" t="s">
        <v>16</v>
      </c>
      <c r="G49" s="35" t="str">
        <f t="shared" si="5"/>
        <v>USD25</v>
      </c>
      <c r="H49" s="41">
        <f t="shared" si="2"/>
        <v>0.9297</v>
      </c>
      <c r="O49" s="42">
        <v>2023</v>
      </c>
      <c r="P49" s="43">
        <f t="shared" si="3"/>
        <v>1.1224308013916</v>
      </c>
      <c r="T49" s="38" t="s">
        <v>19</v>
      </c>
      <c r="U49" s="38" t="s">
        <v>20</v>
      </c>
      <c r="V49" s="38">
        <v>1994</v>
      </c>
      <c r="W49" s="38">
        <v>0.67265796661377</v>
      </c>
    </row>
    <row r="50" ht="14.5" spans="4:23">
      <c r="D50" s="35" t="s">
        <v>21</v>
      </c>
      <c r="G50" s="35" t="str">
        <f t="shared" ref="G50:G85" si="6" xml:space="preserve">G7</f>
        <v>USD83</v>
      </c>
      <c r="H50" s="41">
        <f xml:space="preserve">$O$6</f>
        <v>0.07</v>
      </c>
      <c r="O50" s="42">
        <v>2024</v>
      </c>
      <c r="P50" s="43">
        <f t="shared" si="3"/>
        <v>1.14128732681274</v>
      </c>
      <c r="T50" s="38" t="s">
        <v>19</v>
      </c>
      <c r="U50" s="38" t="s">
        <v>20</v>
      </c>
      <c r="V50" s="38">
        <v>1995</v>
      </c>
      <c r="W50" s="38">
        <v>0.686780393123627</v>
      </c>
    </row>
    <row r="51" ht="14.5" spans="4:23">
      <c r="D51" s="35" t="s">
        <v>21</v>
      </c>
      <c r="G51" s="35" t="str">
        <f t="shared" si="6"/>
        <v>USD84</v>
      </c>
      <c r="H51" s="41">
        <f t="shared" ref="H51:H92" si="7" xml:space="preserve">$O$6</f>
        <v>0.07</v>
      </c>
      <c r="O51" s="42">
        <v>2025</v>
      </c>
      <c r="P51" s="43">
        <f t="shared" si="3"/>
        <v>1.16506481170654</v>
      </c>
      <c r="T51" s="38" t="s">
        <v>19</v>
      </c>
      <c r="U51" s="38" t="s">
        <v>20</v>
      </c>
      <c r="V51" s="38">
        <v>1996</v>
      </c>
      <c r="W51" s="38">
        <v>0.699335396289825</v>
      </c>
    </row>
    <row r="52" spans="4:23">
      <c r="D52" s="35" t="s">
        <v>21</v>
      </c>
      <c r="G52" s="35" t="str">
        <f t="shared" si="6"/>
        <v>USD85</v>
      </c>
      <c r="H52" s="41">
        <f t="shared" si="7"/>
        <v>0.07</v>
      </c>
      <c r="T52" s="38" t="s">
        <v>19</v>
      </c>
      <c r="U52" s="38" t="s">
        <v>20</v>
      </c>
      <c r="V52" s="38">
        <v>1997</v>
      </c>
      <c r="W52" s="38">
        <v>0.71145087480545</v>
      </c>
    </row>
    <row r="53" spans="4:23">
      <c r="D53" s="35" t="s">
        <v>21</v>
      </c>
      <c r="G53" s="35" t="str">
        <f t="shared" si="6"/>
        <v>USD86</v>
      </c>
      <c r="H53" s="41">
        <f t="shared" si="7"/>
        <v>0.07</v>
      </c>
      <c r="T53" s="38" t="s">
        <v>19</v>
      </c>
      <c r="U53" s="38" t="s">
        <v>20</v>
      </c>
      <c r="V53" s="38">
        <v>1998</v>
      </c>
      <c r="W53" s="38">
        <v>0.719296872615814</v>
      </c>
    </row>
    <row r="54" spans="4:23">
      <c r="D54" s="35" t="s">
        <v>21</v>
      </c>
      <c r="G54" s="35" t="str">
        <f t="shared" si="6"/>
        <v>USD87</v>
      </c>
      <c r="H54" s="41">
        <f t="shared" si="7"/>
        <v>0.07</v>
      </c>
      <c r="T54" s="38" t="s">
        <v>19</v>
      </c>
      <c r="U54" s="38" t="s">
        <v>20</v>
      </c>
      <c r="V54" s="38">
        <v>1999</v>
      </c>
      <c r="W54" s="38">
        <v>0.729613304138184</v>
      </c>
    </row>
    <row r="55" spans="4:23">
      <c r="D55" s="35" t="s">
        <v>21</v>
      </c>
      <c r="G55" s="35" t="str">
        <f t="shared" si="6"/>
        <v>USD88</v>
      </c>
      <c r="H55" s="41">
        <f t="shared" si="7"/>
        <v>0.07</v>
      </c>
      <c r="T55" s="38" t="s">
        <v>19</v>
      </c>
      <c r="U55" s="38" t="s">
        <v>20</v>
      </c>
      <c r="V55" s="38">
        <v>2000</v>
      </c>
      <c r="W55" s="38">
        <v>0.746074616909027</v>
      </c>
    </row>
    <row r="56" spans="4:23">
      <c r="D56" s="35" t="s">
        <v>21</v>
      </c>
      <c r="G56" s="35" t="str">
        <f t="shared" si="6"/>
        <v>USD89</v>
      </c>
      <c r="H56" s="41">
        <f t="shared" si="7"/>
        <v>0.07</v>
      </c>
    </row>
    <row r="57" spans="4:23">
      <c r="D57" s="35" t="s">
        <v>21</v>
      </c>
      <c r="G57" s="35" t="str">
        <f t="shared" si="6"/>
        <v>USD90</v>
      </c>
      <c r="H57" s="41">
        <f t="shared" si="7"/>
        <v>0.07</v>
      </c>
    </row>
    <row r="58" spans="4:23">
      <c r="D58" s="35" t="s">
        <v>21</v>
      </c>
      <c r="G58" s="35" t="str">
        <f t="shared" si="6"/>
        <v>USD91</v>
      </c>
      <c r="H58" s="41">
        <f t="shared" si="7"/>
        <v>0.07</v>
      </c>
    </row>
    <row r="59" spans="4:23">
      <c r="D59" s="35" t="s">
        <v>21</v>
      </c>
      <c r="G59" s="35" t="str">
        <f t="shared" si="6"/>
        <v>USD92</v>
      </c>
      <c r="H59" s="41">
        <f t="shared" si="7"/>
        <v>0.07</v>
      </c>
    </row>
    <row r="60" spans="4:23">
      <c r="D60" s="35" t="s">
        <v>21</v>
      </c>
      <c r="G60" s="35" t="str">
        <f t="shared" si="6"/>
        <v>USD93</v>
      </c>
      <c r="H60" s="41">
        <f t="shared" si="7"/>
        <v>0.07</v>
      </c>
    </row>
    <row r="61" spans="4:23">
      <c r="D61" s="35" t="s">
        <v>21</v>
      </c>
      <c r="G61" s="35" t="str">
        <f t="shared" si="6"/>
        <v>USD94</v>
      </c>
      <c r="H61" s="41">
        <f t="shared" si="7"/>
        <v>0.07</v>
      </c>
    </row>
    <row r="62" spans="4:23">
      <c r="D62" s="35" t="s">
        <v>21</v>
      </c>
      <c r="G62" s="35" t="str">
        <f t="shared" si="6"/>
        <v>USD95</v>
      </c>
      <c r="H62" s="41">
        <f t="shared" si="7"/>
        <v>0.07</v>
      </c>
    </row>
    <row r="63" spans="4:23">
      <c r="D63" s="35" t="s">
        <v>21</v>
      </c>
      <c r="G63" s="35" t="str">
        <f t="shared" si="6"/>
        <v>USD96</v>
      </c>
      <c r="H63" s="41">
        <f t="shared" si="7"/>
        <v>0.07</v>
      </c>
    </row>
    <row r="64" spans="4:23">
      <c r="D64" s="35" t="s">
        <v>21</v>
      </c>
      <c r="G64" s="35" t="str">
        <f t="shared" si="6"/>
        <v>USD97</v>
      </c>
      <c r="H64" s="41">
        <f t="shared" si="7"/>
        <v>0.07</v>
      </c>
    </row>
    <row r="65" spans="4:8">
      <c r="D65" s="35" t="s">
        <v>21</v>
      </c>
      <c r="G65" s="35" t="str">
        <f t="shared" si="6"/>
        <v>USD98</v>
      </c>
      <c r="H65" s="41">
        <f t="shared" si="7"/>
        <v>0.07</v>
      </c>
    </row>
    <row r="66" spans="4:8">
      <c r="D66" s="35" t="s">
        <v>21</v>
      </c>
      <c r="G66" s="35" t="str">
        <f t="shared" si="6"/>
        <v>USD99</v>
      </c>
      <c r="H66" s="41">
        <f t="shared" si="7"/>
        <v>0.07</v>
      </c>
    </row>
    <row r="67" spans="4:8">
      <c r="D67" s="35" t="s">
        <v>21</v>
      </c>
      <c r="G67" s="35" t="str">
        <f t="shared" si="6"/>
        <v>USD00</v>
      </c>
      <c r="H67" s="41">
        <f t="shared" si="7"/>
        <v>0.07</v>
      </c>
    </row>
    <row r="68" spans="4:8">
      <c r="D68" s="35" t="s">
        <v>21</v>
      </c>
      <c r="G68" s="35" t="str">
        <f t="shared" si="6"/>
        <v>USD01</v>
      </c>
      <c r="H68" s="41">
        <f t="shared" si="7"/>
        <v>0.07</v>
      </c>
    </row>
    <row r="69" spans="4:8">
      <c r="D69" s="35" t="s">
        <v>21</v>
      </c>
      <c r="G69" s="35" t="str">
        <f t="shared" si="6"/>
        <v>USD02</v>
      </c>
      <c r="H69" s="41">
        <f t="shared" si="7"/>
        <v>0.07</v>
      </c>
    </row>
    <row r="70" spans="4:8">
      <c r="D70" s="35" t="s">
        <v>21</v>
      </c>
      <c r="G70" s="35" t="str">
        <f t="shared" si="6"/>
        <v>USD03</v>
      </c>
      <c r="H70" s="41">
        <f t="shared" si="7"/>
        <v>0.07</v>
      </c>
    </row>
    <row r="71" spans="4:8">
      <c r="D71" s="35" t="s">
        <v>21</v>
      </c>
      <c r="G71" s="35" t="str">
        <f t="shared" si="6"/>
        <v>USD04</v>
      </c>
      <c r="H71" s="41">
        <f t="shared" si="7"/>
        <v>0.07</v>
      </c>
    </row>
    <row r="72" spans="4:8">
      <c r="D72" s="35" t="s">
        <v>21</v>
      </c>
      <c r="G72" s="35" t="str">
        <f t="shared" si="6"/>
        <v>USD05</v>
      </c>
      <c r="H72" s="41">
        <f t="shared" si="7"/>
        <v>0.07</v>
      </c>
    </row>
    <row r="73" spans="4:8">
      <c r="D73" s="35" t="s">
        <v>21</v>
      </c>
      <c r="G73" s="35" t="str">
        <f t="shared" si="6"/>
        <v>USD06</v>
      </c>
      <c r="H73" s="41">
        <f t="shared" si="7"/>
        <v>0.07</v>
      </c>
    </row>
    <row r="74" spans="4:8">
      <c r="D74" s="35" t="s">
        <v>21</v>
      </c>
      <c r="G74" s="35" t="str">
        <f t="shared" si="6"/>
        <v>USD07</v>
      </c>
      <c r="H74" s="41">
        <f t="shared" si="7"/>
        <v>0.07</v>
      </c>
    </row>
    <row r="75" spans="4:8">
      <c r="D75" s="35" t="s">
        <v>21</v>
      </c>
      <c r="G75" s="35" t="str">
        <f t="shared" si="6"/>
        <v>USD08</v>
      </c>
      <c r="H75" s="41">
        <f t="shared" si="7"/>
        <v>0.07</v>
      </c>
    </row>
    <row r="76" spans="4:8">
      <c r="D76" s="35" t="s">
        <v>21</v>
      </c>
      <c r="G76" s="35" t="str">
        <f t="shared" si="6"/>
        <v>USD09</v>
      </c>
      <c r="H76" s="41">
        <f t="shared" si="7"/>
        <v>0.07</v>
      </c>
    </row>
    <row r="77" spans="4:8">
      <c r="D77" s="35" t="s">
        <v>21</v>
      </c>
      <c r="G77" s="35" t="str">
        <f t="shared" si="6"/>
        <v>USD10</v>
      </c>
      <c r="H77" s="41">
        <f t="shared" si="7"/>
        <v>0.07</v>
      </c>
    </row>
    <row r="78" spans="4:8">
      <c r="D78" s="35" t="s">
        <v>21</v>
      </c>
      <c r="G78" s="35" t="str">
        <f t="shared" si="6"/>
        <v>USD11</v>
      </c>
      <c r="H78" s="41">
        <f t="shared" si="7"/>
        <v>0.07</v>
      </c>
    </row>
    <row r="79" spans="4:8">
      <c r="D79" s="35" t="s">
        <v>21</v>
      </c>
      <c r="G79" s="35" t="str">
        <f t="shared" si="6"/>
        <v>USD12</v>
      </c>
      <c r="H79" s="41">
        <f t="shared" si="7"/>
        <v>0.07</v>
      </c>
    </row>
    <row r="80" spans="4:8">
      <c r="D80" s="35" t="s">
        <v>21</v>
      </c>
      <c r="G80" s="35" t="str">
        <f t="shared" si="6"/>
        <v>USD13</v>
      </c>
      <c r="H80" s="41">
        <f t="shared" si="7"/>
        <v>0.07</v>
      </c>
    </row>
    <row r="81" spans="4:8">
      <c r="D81" s="35" t="s">
        <v>21</v>
      </c>
      <c r="G81" s="35" t="str">
        <f t="shared" si="6"/>
        <v>USD14</v>
      </c>
      <c r="H81" s="41">
        <f t="shared" si="7"/>
        <v>0.07</v>
      </c>
    </row>
    <row r="82" spans="4:8">
      <c r="D82" s="35" t="s">
        <v>21</v>
      </c>
      <c r="G82" s="35" t="str">
        <f t="shared" si="6"/>
        <v>USD15</v>
      </c>
      <c r="H82" s="41">
        <f t="shared" si="7"/>
        <v>0.07</v>
      </c>
    </row>
    <row r="83" spans="4:8">
      <c r="D83" s="35" t="s">
        <v>21</v>
      </c>
      <c r="G83" s="35" t="str">
        <f t="shared" si="6"/>
        <v>USD16</v>
      </c>
      <c r="H83" s="41">
        <f t="shared" si="7"/>
        <v>0.07</v>
      </c>
    </row>
    <row r="84" spans="4:8">
      <c r="D84" s="35" t="s">
        <v>21</v>
      </c>
      <c r="G84" s="35" t="str">
        <f t="shared" si="6"/>
        <v>USD17</v>
      </c>
      <c r="H84" s="41">
        <f t="shared" si="7"/>
        <v>0.07</v>
      </c>
    </row>
    <row r="85" spans="4:8">
      <c r="D85" s="35" t="s">
        <v>21</v>
      </c>
      <c r="G85" s="35" t="str">
        <f t="shared" si="6"/>
        <v>USD18</v>
      </c>
      <c r="H85" s="41">
        <f t="shared" si="7"/>
        <v>0.07</v>
      </c>
    </row>
    <row r="86" spans="4:8">
      <c r="D86" s="35" t="s">
        <v>21</v>
      </c>
      <c r="G86" s="35" t="str">
        <f t="shared" ref="G86:G92" si="8" xml:space="preserve">G43</f>
        <v>USD19</v>
      </c>
      <c r="H86" s="41">
        <f t="shared" si="7"/>
        <v>0.07</v>
      </c>
    </row>
    <row r="87" spans="4:8">
      <c r="D87" s="35" t="s">
        <v>21</v>
      </c>
      <c r="G87" s="35" t="str">
        <f t="shared" si="8"/>
        <v>USD20</v>
      </c>
      <c r="H87" s="41">
        <f t="shared" si="7"/>
        <v>0.07</v>
      </c>
    </row>
    <row r="88" spans="4:8">
      <c r="D88" s="35" t="s">
        <v>21</v>
      </c>
      <c r="G88" s="35" t="str">
        <f t="shared" si="8"/>
        <v>USD21</v>
      </c>
      <c r="H88" s="41">
        <f t="shared" si="7"/>
        <v>0.07</v>
      </c>
    </row>
    <row r="89" spans="4:8">
      <c r="D89" s="35" t="s">
        <v>21</v>
      </c>
      <c r="G89" s="35" t="str">
        <f t="shared" si="8"/>
        <v>USD22</v>
      </c>
      <c r="H89" s="41">
        <f t="shared" si="7"/>
        <v>0.07</v>
      </c>
    </row>
    <row r="90" spans="4:8">
      <c r="D90" s="35" t="s">
        <v>21</v>
      </c>
      <c r="G90" s="35" t="str">
        <f t="shared" si="8"/>
        <v>USD23</v>
      </c>
      <c r="H90" s="41">
        <f t="shared" si="7"/>
        <v>0.07</v>
      </c>
    </row>
    <row r="91" spans="4:8">
      <c r="D91" s="35" t="s">
        <v>21</v>
      </c>
      <c r="G91" s="35" t="str">
        <f t="shared" si="8"/>
        <v>USD24</v>
      </c>
      <c r="H91" s="41">
        <f t="shared" si="7"/>
        <v>0.07</v>
      </c>
    </row>
    <row r="92" spans="4:8">
      <c r="D92" s="35" t="s">
        <v>21</v>
      </c>
      <c r="G92" s="35" t="str">
        <f t="shared" si="8"/>
        <v>USD25</v>
      </c>
      <c r="H92" s="41">
        <f t="shared" si="7"/>
        <v>0.07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D7:J18"/>
  <sheetViews>
    <sheetView zoomScale="37" zoomScaleNormal="37" workbookViewId="0">
      <selection activeCell="A1" sqref="A1"/>
    </sheetView>
  </sheetViews>
  <sheetFormatPr defaultColWidth="8.72727272727273" defaultRowHeight="14.5"/>
  <cols>
    <col min="4" max="4" width="21.2636363636364" customWidth="1"/>
    <col min="6" max="6" width="16.2636363636364" customWidth="1"/>
  </cols>
  <sheetData>
    <row r="7" spans="4:8">
      <c r="D7" t="s">
        <v>26</v>
      </c>
    </row>
    <row r="8" spans="4:8">
      <c r="D8" t="s">
        <v>27</v>
      </c>
      <c r="E8" t="s">
        <v>28</v>
      </c>
      <c r="F8" t="s">
        <v>29</v>
      </c>
      <c r="G8" t="s">
        <v>30</v>
      </c>
      <c r="H8" t="s">
        <v>31</v>
      </c>
    </row>
    <row r="9" spans="4:8">
      <c r="D9" t="s">
        <v>32</v>
      </c>
      <c r="E9" t="s">
        <v>33</v>
      </c>
      <c r="F9" t="s">
        <v>34</v>
      </c>
      <c r="G9" t="s">
        <v>35</v>
      </c>
      <c r="H9" s="13">
        <v>0.1</v>
      </c>
    </row>
    <row r="10" spans="4:8">
      <c r="D10" t="s">
        <v>32</v>
      </c>
      <c r="E10" t="s">
        <v>33</v>
      </c>
      <c r="F10" t="str">
        <f xml:space="preserve">F9</f>
        <v>Trd*</v>
      </c>
      <c r="G10" t="s">
        <v>36</v>
      </c>
      <c r="H10" s="13">
        <f xml:space="preserve">H9</f>
        <v>0.1</v>
      </c>
    </row>
    <row r="11" ht="15.5" spans="4:8">
      <c r="D11" t="s">
        <v>32</v>
      </c>
      <c r="E11" t="s">
        <v>33</v>
      </c>
      <c r="F11" s="27" t="str">
        <f xml:space="preserve">F10</f>
        <v>Trd*</v>
      </c>
      <c r="G11" s="27" t="s">
        <v>37</v>
      </c>
      <c r="H11" s="13">
        <f xml:space="preserve">H10</f>
        <v>0.1</v>
      </c>
    </row>
    <row r="12" spans="4:8">
      <c r="G12" s="28"/>
    </row>
    <row r="13" spans="4:8">
      <c r="D13" s="29"/>
      <c r="E13" s="29"/>
      <c r="F13" s="29"/>
      <c r="G13" s="30"/>
    </row>
    <row r="14" spans="4:8">
      <c r="G14" s="31"/>
    </row>
    <row r="17" spans="6:10">
      <c r="H17" s="32"/>
    </row>
    <row r="18" spans="6:10">
      <c r="F18" s="33"/>
      <c r="G18" s="33"/>
      <c r="H18" s="6"/>
      <c r="I18" s="33"/>
      <c r="J18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25"/>
  <sheetViews>
    <sheetView zoomScale="65" zoomScaleNormal="65" workbookViewId="0">
      <selection activeCell="J36" sqref="J36"/>
    </sheetView>
  </sheetViews>
  <sheetFormatPr defaultColWidth="9" defaultRowHeight="14.5"/>
  <cols>
    <col min="2" max="2" width="25.5272727272727" customWidth="1"/>
    <col min="3" max="3" width="16.4636363636364" customWidth="1"/>
    <col min="4" max="4" width="28.5454545454545" customWidth="1"/>
    <col min="5" max="5" width="43.7272727272727" customWidth="1"/>
    <col min="8" max="8" width="10.1818181818182" customWidth="1"/>
  </cols>
  <sheetData>
    <row r="3" spans="2:4">
      <c r="B3" s="26" t="s">
        <v>38</v>
      </c>
    </row>
    <row r="4" spans="2:4">
      <c r="B4" t="s">
        <v>39</v>
      </c>
      <c r="C4" t="s">
        <v>40</v>
      </c>
      <c r="D4" t="s">
        <v>41</v>
      </c>
    </row>
    <row r="5" spans="2:4">
      <c r="B5" t="s">
        <v>42</v>
      </c>
      <c r="C5" t="s">
        <v>43</v>
      </c>
      <c r="D5" t="s">
        <v>44</v>
      </c>
    </row>
    <row r="6" spans="2:4">
      <c r="B6" t="s">
        <v>45</v>
      </c>
      <c r="C6" t="s">
        <v>46</v>
      </c>
      <c r="D6" t="s">
        <v>44</v>
      </c>
    </row>
    <row r="7" spans="2:4">
      <c r="B7" t="s">
        <v>47</v>
      </c>
      <c r="C7" t="s">
        <v>48</v>
      </c>
      <c r="D7" t="s">
        <v>49</v>
      </c>
    </row>
    <row r="11" spans="2:4">
      <c r="B11" s="26" t="s">
        <v>50</v>
      </c>
    </row>
    <row r="12" spans="2:4">
      <c r="B12" t="s">
        <v>39</v>
      </c>
      <c r="C12" t="s">
        <v>51</v>
      </c>
      <c r="D12" t="s">
        <v>52</v>
      </c>
    </row>
    <row r="13" spans="2:4">
      <c r="B13" t="s">
        <v>47</v>
      </c>
      <c r="C13" s="44" t="s">
        <v>53</v>
      </c>
      <c r="D13" s="25">
        <v>2150</v>
      </c>
    </row>
    <row r="17" spans="2:13">
      <c r="B17" t="s">
        <v>54</v>
      </c>
    </row>
    <row r="20" spans="2:13">
      <c r="H20" s="20" t="s">
        <v>55</v>
      </c>
    </row>
    <row r="21" spans="2:13"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8</v>
      </c>
      <c r="H21" t="s">
        <v>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</row>
    <row r="22" spans="2:13">
      <c r="B22" t="s">
        <v>66</v>
      </c>
      <c r="C22" t="s">
        <v>67</v>
      </c>
      <c r="D22" t="s">
        <v>68</v>
      </c>
      <c r="E22" t="s">
        <v>69</v>
      </c>
      <c r="F22" t="s">
        <v>10</v>
      </c>
      <c r="G22" t="s">
        <v>10</v>
      </c>
      <c r="I22">
        <v>1</v>
      </c>
      <c r="K22">
        <v>0</v>
      </c>
      <c r="L22">
        <v>5</v>
      </c>
      <c r="M22" t="s">
        <v>70</v>
      </c>
    </row>
    <row r="23" spans="2:13">
      <c r="G23" t="s">
        <v>71</v>
      </c>
      <c r="J23" s="25">
        <v>-1</v>
      </c>
    </row>
    <row r="24" spans="2:13">
      <c r="C24" t="s">
        <v>72</v>
      </c>
      <c r="D24" t="s">
        <v>73</v>
      </c>
      <c r="F24" t="s">
        <v>74</v>
      </c>
      <c r="I24" s="20">
        <v>0.5</v>
      </c>
    </row>
    <row r="25" spans="2:13">
      <c r="C25" t="s">
        <v>72</v>
      </c>
      <c r="D25" t="s">
        <v>75</v>
      </c>
      <c r="F25" t="str">
        <f xml:space="preserve">F24</f>
        <v>AuxStoOUT</v>
      </c>
      <c r="I25" s="20">
        <f xml:space="preserve">I24/4</f>
        <v>0.125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2"/>
  <sheetViews>
    <sheetView zoomScale="62" zoomScaleNormal="62" workbookViewId="0">
      <selection activeCell="A1" sqref="A1"/>
    </sheetView>
  </sheetViews>
  <sheetFormatPr defaultColWidth="9" defaultRowHeight="14.5"/>
  <cols>
    <col min="1" max="1" width="5.13636363636364" customWidth="1"/>
    <col min="2" max="2" width="21.8636363636364" customWidth="1"/>
    <col min="3" max="3" width="20.8636363636364" customWidth="1"/>
    <col min="4" max="4" width="6.2" customWidth="1"/>
    <col min="5" max="5" width="8.46363636363636" customWidth="1"/>
    <col min="7" max="7" width="21.8636363636364" customWidth="1"/>
    <col min="8" max="8" width="14.6636363636364" customWidth="1"/>
    <col min="9" max="9" width="6.2" customWidth="1"/>
    <col min="11" max="11" width="5.13636363636364" customWidth="1"/>
    <col min="12" max="12" width="22.6636363636364" customWidth="1"/>
    <col min="13" max="13" width="13.2" customWidth="1"/>
    <col min="14" max="14" width="6.2" customWidth="1"/>
    <col min="15" max="15" width="8.46363636363636" customWidth="1"/>
    <col min="17" max="17" width="22.6636363636364" customWidth="1"/>
    <col min="18" max="18" width="15.4636363636364" customWidth="1"/>
    <col min="19" max="19" width="6.2" customWidth="1"/>
    <col min="22" max="22" width="5.13636363636364" customWidth="1"/>
    <col min="23" max="23" width="22.2" customWidth="1"/>
    <col min="24" max="24" width="12.8" customWidth="1"/>
    <col min="25" max="25" width="6.2" customWidth="1"/>
    <col min="26" max="26" width="8.46363636363636" customWidth="1"/>
    <col min="28" max="28" width="22.2" customWidth="1"/>
    <col min="29" max="29" width="15.1363636363636" customWidth="1"/>
    <col min="30" max="30" width="6.2" customWidth="1"/>
  </cols>
  <sheetData>
    <row r="1" spans="1:30">
      <c r="A1" t="s">
        <v>76</v>
      </c>
      <c r="C1" t="s">
        <v>77</v>
      </c>
      <c r="K1" t="s">
        <v>78</v>
      </c>
      <c r="V1" t="s">
        <v>79</v>
      </c>
    </row>
    <row r="3" spans="1:30">
      <c r="C3" t="s">
        <v>80</v>
      </c>
      <c r="G3" t="s">
        <v>81</v>
      </c>
      <c r="M3" t="s">
        <v>80</v>
      </c>
      <c r="Q3" t="s">
        <v>81</v>
      </c>
      <c r="X3" t="s">
        <v>80</v>
      </c>
      <c r="AB3" t="s">
        <v>81</v>
      </c>
    </row>
    <row r="4" spans="1:30">
      <c r="A4" t="s">
        <v>82</v>
      </c>
      <c r="B4" t="s">
        <v>83</v>
      </c>
      <c r="C4" t="s">
        <v>39</v>
      </c>
      <c r="D4" t="s">
        <v>84</v>
      </c>
      <c r="E4" t="s">
        <v>85</v>
      </c>
      <c r="G4" t="str">
        <f xml:space="preserve">B4</f>
        <v>uc_n</v>
      </c>
      <c r="H4" t="str">
        <f t="shared" ref="H4:I4" si="0" xml:space="preserve">C4</f>
        <v>process</v>
      </c>
      <c r="I4" t="str">
        <f t="shared" si="0"/>
        <v>uc_cap</v>
      </c>
      <c r="K4" t="s">
        <v>82</v>
      </c>
      <c r="L4" t="s">
        <v>83</v>
      </c>
      <c r="M4" t="s">
        <v>39</v>
      </c>
      <c r="N4" t="s">
        <v>84</v>
      </c>
      <c r="O4" t="s">
        <v>85</v>
      </c>
      <c r="Q4" t="str">
        <f xml:space="preserve">L4</f>
        <v>uc_n</v>
      </c>
      <c r="R4" t="str">
        <f t="shared" ref="R4:S4" si="1" xml:space="preserve">M4</f>
        <v>process</v>
      </c>
      <c r="S4" t="str">
        <f t="shared" si="1"/>
        <v>uc_cap</v>
      </c>
      <c r="V4" t="s">
        <v>82</v>
      </c>
      <c r="W4" t="s">
        <v>83</v>
      </c>
      <c r="X4" t="s">
        <v>39</v>
      </c>
      <c r="Y4" t="s">
        <v>84</v>
      </c>
      <c r="Z4" t="s">
        <v>85</v>
      </c>
      <c r="AB4" t="str">
        <f xml:space="preserve">W4</f>
        <v>uc_n</v>
      </c>
      <c r="AC4" t="str">
        <f t="shared" ref="AC4:AD4" si="2" xml:space="preserve">X4</f>
        <v>process</v>
      </c>
      <c r="AD4" t="str">
        <f t="shared" si="2"/>
        <v>uc_cap</v>
      </c>
    </row>
    <row r="5" spans="1:30">
      <c r="A5" t="s">
        <v>86</v>
      </c>
      <c r="B5" t="str">
        <f xml:space="preserve">"UCE_elcaggCap_"&amp;A$1&amp;"_"&amp;A5</f>
        <v>UCE_elcaggCap_spv_AFG</v>
      </c>
      <c r="C5" t="str">
        <f t="shared" ref="C5:C68" si="3" xml:space="preserve">"e?_spv_"&amp;$A5&amp;"*"</f>
        <v>e?_spv_AFG*</v>
      </c>
      <c r="D5">
        <v>1</v>
      </c>
      <c r="E5">
        <v>2</v>
      </c>
      <c r="G5" t="str">
        <f xml:space="preserve">B5</f>
        <v>UCE_elcaggCap_spv_AFG</v>
      </c>
      <c r="H5" t="str">
        <f xml:space="preserve">"elcagg_spv_"&amp;$A5</f>
        <v>elcagg_spv_AFG</v>
      </c>
      <c r="I5">
        <v>-1</v>
      </c>
      <c r="K5" t="s">
        <v>86</v>
      </c>
      <c r="L5" t="str">
        <f xml:space="preserve">"UCE_elcaggCap_"&amp;K$1&amp;"_"&amp;K5</f>
        <v>UCE_elcaggCap_won_AFG</v>
      </c>
      <c r="M5" t="str">
        <f t="shared" ref="M5:M68" si="4" xml:space="preserve">"e?_won_"&amp;$K5&amp;"*"</f>
        <v>e?_won_AFG*</v>
      </c>
      <c r="N5">
        <v>1</v>
      </c>
      <c r="O5">
        <v>2</v>
      </c>
      <c r="Q5" t="str">
        <f xml:space="preserve">L5</f>
        <v>UCE_elcaggCap_won_AFG</v>
      </c>
      <c r="R5" t="str">
        <f xml:space="preserve">"elcagg_won_"&amp;$K5</f>
        <v>elcagg_won_AFG</v>
      </c>
      <c r="S5">
        <v>-1</v>
      </c>
      <c r="V5" t="s">
        <v>87</v>
      </c>
      <c r="W5" t="str">
        <f xml:space="preserve">"UCE_elcaggCap_"&amp;V$1&amp;"_"&amp;V5</f>
        <v>UCE_elcaggCap_wof_AGO</v>
      </c>
      <c r="X5" t="str">
        <f t="shared" ref="X5:X68" si="5" xml:space="preserve">"e?_wof_"&amp;$V5&amp;"*"</f>
        <v>e?_wof_AGO*</v>
      </c>
      <c r="Y5">
        <v>1</v>
      </c>
      <c r="Z5">
        <v>2</v>
      </c>
      <c r="AB5" t="str">
        <f xml:space="preserve">W5</f>
        <v>UCE_elcaggCap_wof_AGO</v>
      </c>
      <c r="AC5" t="str">
        <f t="shared" ref="AC5:AC68" si="6" xml:space="preserve">"elcagg_wof_"&amp;$V5</f>
        <v>elcagg_wof_AGO</v>
      </c>
      <c r="AD5">
        <v>-1</v>
      </c>
    </row>
    <row r="6" spans="1:30">
      <c r="A6" t="s">
        <v>87</v>
      </c>
      <c r="B6" t="str">
        <f t="shared" ref="B6:B69" si="7" xml:space="preserve">"UCE_elcaggCap_"&amp;A$1&amp;"_"&amp;A6</f>
        <v>UCE_elcaggCap_spv_AGO</v>
      </c>
      <c r="C6" t="str">
        <f t="shared" si="3"/>
        <v>e?_spv_AGO*</v>
      </c>
      <c r="D6">
        <v>1</v>
      </c>
      <c r="E6">
        <v>2</v>
      </c>
      <c r="G6" t="str">
        <f t="shared" ref="G6:G69" si="8" xml:space="preserve">B6</f>
        <v>UCE_elcaggCap_spv_AGO</v>
      </c>
      <c r="H6" t="str">
        <f t="shared" ref="H6:H69" si="9" xml:space="preserve">"elcagg_spv_"&amp;$A6</f>
        <v>elcagg_spv_AGO</v>
      </c>
      <c r="I6">
        <v>-1</v>
      </c>
      <c r="K6" t="s">
        <v>87</v>
      </c>
      <c r="L6" t="str">
        <f t="shared" ref="L6:L69" si="10" xml:space="preserve">"UCE_elcaggCap_"&amp;K$1&amp;"_"&amp;K6</f>
        <v>UCE_elcaggCap_won_AGO</v>
      </c>
      <c r="M6" t="str">
        <f t="shared" si="4"/>
        <v>e?_won_AGO*</v>
      </c>
      <c r="N6">
        <v>1</v>
      </c>
      <c r="O6">
        <v>2</v>
      </c>
      <c r="Q6" t="str">
        <f t="shared" ref="Q6:Q69" si="11" xml:space="preserve">L6</f>
        <v>UCE_elcaggCap_won_AGO</v>
      </c>
      <c r="R6" t="str">
        <f t="shared" ref="R6:R69" si="12" xml:space="preserve">"elcagg_won_"&amp;$K6</f>
        <v>elcagg_won_AGO</v>
      </c>
      <c r="S6">
        <v>-1</v>
      </c>
      <c r="V6" t="s">
        <v>88</v>
      </c>
      <c r="W6" t="str">
        <f t="shared" ref="W6:W69" si="13" xml:space="preserve">"UCE_elcaggCap_"&amp;V$1&amp;"_"&amp;V6</f>
        <v>UCE_elcaggCap_wof_ALB</v>
      </c>
      <c r="X6" t="str">
        <f t="shared" si="5"/>
        <v>e?_wof_ALB*</v>
      </c>
      <c r="Y6">
        <v>1</v>
      </c>
      <c r="Z6">
        <v>2</v>
      </c>
      <c r="AB6" t="str">
        <f t="shared" ref="AB6:AB69" si="14" xml:space="preserve">W6</f>
        <v>UCE_elcaggCap_wof_ALB</v>
      </c>
      <c r="AC6" t="str">
        <f t="shared" si="6"/>
        <v>elcagg_wof_ALB</v>
      </c>
      <c r="AD6">
        <v>-1</v>
      </c>
    </row>
    <row r="7" spans="1:30">
      <c r="A7" t="s">
        <v>88</v>
      </c>
      <c r="B7" t="str">
        <f t="shared" si="7"/>
        <v>UCE_elcaggCap_spv_ALB</v>
      </c>
      <c r="C7" t="str">
        <f t="shared" si="3"/>
        <v>e?_spv_ALB*</v>
      </c>
      <c r="D7">
        <v>1</v>
      </c>
      <c r="E7">
        <v>2</v>
      </c>
      <c r="G7" t="str">
        <f t="shared" si="8"/>
        <v>UCE_elcaggCap_spv_ALB</v>
      </c>
      <c r="H7" t="str">
        <f t="shared" si="9"/>
        <v>elcagg_spv_ALB</v>
      </c>
      <c r="I7">
        <v>-1</v>
      </c>
      <c r="K7" t="s">
        <v>88</v>
      </c>
      <c r="L7" t="str">
        <f t="shared" si="10"/>
        <v>UCE_elcaggCap_won_ALB</v>
      </c>
      <c r="M7" t="str">
        <f t="shared" si="4"/>
        <v>e?_won_ALB*</v>
      </c>
      <c r="N7">
        <v>1</v>
      </c>
      <c r="O7">
        <v>2</v>
      </c>
      <c r="Q7" t="str">
        <f t="shared" si="11"/>
        <v>UCE_elcaggCap_won_ALB</v>
      </c>
      <c r="R7" t="str">
        <f t="shared" si="12"/>
        <v>elcagg_won_ALB</v>
      </c>
      <c r="S7">
        <v>-1</v>
      </c>
      <c r="V7" t="s">
        <v>89</v>
      </c>
      <c r="W7" t="str">
        <f t="shared" si="13"/>
        <v>UCE_elcaggCap_wof_ARE</v>
      </c>
      <c r="X7" t="str">
        <f t="shared" si="5"/>
        <v>e?_wof_ARE*</v>
      </c>
      <c r="Y7">
        <v>1</v>
      </c>
      <c r="Z7">
        <v>2</v>
      </c>
      <c r="AB7" t="str">
        <f t="shared" si="14"/>
        <v>UCE_elcaggCap_wof_ARE</v>
      </c>
      <c r="AC7" t="str">
        <f t="shared" si="6"/>
        <v>elcagg_wof_ARE</v>
      </c>
      <c r="AD7">
        <v>-1</v>
      </c>
    </row>
    <row r="8" spans="1:30">
      <c r="A8" t="s">
        <v>89</v>
      </c>
      <c r="B8" t="str">
        <f t="shared" si="7"/>
        <v>UCE_elcaggCap_spv_ARE</v>
      </c>
      <c r="C8" t="str">
        <f t="shared" si="3"/>
        <v>e?_spv_ARE*</v>
      </c>
      <c r="D8">
        <v>1</v>
      </c>
      <c r="E8">
        <v>2</v>
      </c>
      <c r="G8" t="str">
        <f t="shared" si="8"/>
        <v>UCE_elcaggCap_spv_ARE</v>
      </c>
      <c r="H8" t="str">
        <f t="shared" si="9"/>
        <v>elcagg_spv_ARE</v>
      </c>
      <c r="I8">
        <v>-1</v>
      </c>
      <c r="K8" t="s">
        <v>89</v>
      </c>
      <c r="L8" t="str">
        <f t="shared" si="10"/>
        <v>UCE_elcaggCap_won_ARE</v>
      </c>
      <c r="M8" t="str">
        <f t="shared" si="4"/>
        <v>e?_won_ARE*</v>
      </c>
      <c r="N8">
        <v>1</v>
      </c>
      <c r="O8">
        <v>2</v>
      </c>
      <c r="Q8" t="str">
        <f t="shared" si="11"/>
        <v>UCE_elcaggCap_won_ARE</v>
      </c>
      <c r="R8" t="str">
        <f t="shared" si="12"/>
        <v>elcagg_won_ARE</v>
      </c>
      <c r="S8">
        <v>-1</v>
      </c>
      <c r="V8" t="s">
        <v>90</v>
      </c>
      <c r="W8" t="str">
        <f t="shared" si="13"/>
        <v>UCE_elcaggCap_wof_ARG</v>
      </c>
      <c r="X8" t="str">
        <f t="shared" si="5"/>
        <v>e?_wof_ARG*</v>
      </c>
      <c r="Y8">
        <v>1</v>
      </c>
      <c r="Z8">
        <v>2</v>
      </c>
      <c r="AB8" t="str">
        <f t="shared" si="14"/>
        <v>UCE_elcaggCap_wof_ARG</v>
      </c>
      <c r="AC8" t="str">
        <f t="shared" si="6"/>
        <v>elcagg_wof_ARG</v>
      </c>
      <c r="AD8">
        <v>-1</v>
      </c>
    </row>
    <row r="9" spans="1:30">
      <c r="A9" t="s">
        <v>90</v>
      </c>
      <c r="B9" t="str">
        <f t="shared" si="7"/>
        <v>UCE_elcaggCap_spv_ARG</v>
      </c>
      <c r="C9" t="str">
        <f t="shared" si="3"/>
        <v>e?_spv_ARG*</v>
      </c>
      <c r="D9">
        <v>1</v>
      </c>
      <c r="E9">
        <v>2</v>
      </c>
      <c r="G9" t="str">
        <f t="shared" si="8"/>
        <v>UCE_elcaggCap_spv_ARG</v>
      </c>
      <c r="H9" t="str">
        <f t="shared" si="9"/>
        <v>elcagg_spv_ARG</v>
      </c>
      <c r="I9">
        <v>-1</v>
      </c>
      <c r="K9" t="s">
        <v>90</v>
      </c>
      <c r="L9" t="str">
        <f t="shared" si="10"/>
        <v>UCE_elcaggCap_won_ARG</v>
      </c>
      <c r="M9" t="str">
        <f t="shared" si="4"/>
        <v>e?_won_ARG*</v>
      </c>
      <c r="N9">
        <v>1</v>
      </c>
      <c r="O9">
        <v>2</v>
      </c>
      <c r="Q9" t="str">
        <f t="shared" si="11"/>
        <v>UCE_elcaggCap_won_ARG</v>
      </c>
      <c r="R9" t="str">
        <f t="shared" si="12"/>
        <v>elcagg_won_ARG</v>
      </c>
      <c r="S9">
        <v>-1</v>
      </c>
      <c r="V9" t="s">
        <v>91</v>
      </c>
      <c r="W9" t="str">
        <f t="shared" si="13"/>
        <v>UCE_elcaggCap_wof_AUS</v>
      </c>
      <c r="X9" t="str">
        <f t="shared" si="5"/>
        <v>e?_wof_AUS*</v>
      </c>
      <c r="Y9">
        <v>1</v>
      </c>
      <c r="Z9">
        <v>2</v>
      </c>
      <c r="AB9" t="str">
        <f t="shared" si="14"/>
        <v>UCE_elcaggCap_wof_AUS</v>
      </c>
      <c r="AC9" t="str">
        <f t="shared" si="6"/>
        <v>elcagg_wof_AUS</v>
      </c>
      <c r="AD9">
        <v>-1</v>
      </c>
    </row>
    <row r="10" spans="1:30">
      <c r="A10" t="s">
        <v>92</v>
      </c>
      <c r="B10" t="str">
        <f t="shared" si="7"/>
        <v>UCE_elcaggCap_spv_ARM</v>
      </c>
      <c r="C10" t="str">
        <f t="shared" si="3"/>
        <v>e?_spv_ARM*</v>
      </c>
      <c r="D10">
        <v>1</v>
      </c>
      <c r="E10">
        <v>2</v>
      </c>
      <c r="G10" t="str">
        <f t="shared" si="8"/>
        <v>UCE_elcaggCap_spv_ARM</v>
      </c>
      <c r="H10" t="str">
        <f t="shared" si="9"/>
        <v>elcagg_spv_ARM</v>
      </c>
      <c r="I10">
        <v>-1</v>
      </c>
      <c r="K10" t="s">
        <v>92</v>
      </c>
      <c r="L10" t="str">
        <f t="shared" si="10"/>
        <v>UCE_elcaggCap_won_ARM</v>
      </c>
      <c r="M10" t="str">
        <f t="shared" si="4"/>
        <v>e?_won_ARM*</v>
      </c>
      <c r="N10">
        <v>1</v>
      </c>
      <c r="O10">
        <v>2</v>
      </c>
      <c r="Q10" t="str">
        <f t="shared" si="11"/>
        <v>UCE_elcaggCap_won_ARM</v>
      </c>
      <c r="R10" t="str">
        <f t="shared" si="12"/>
        <v>elcagg_won_ARM</v>
      </c>
      <c r="S10">
        <v>-1</v>
      </c>
      <c r="V10" t="s">
        <v>93</v>
      </c>
      <c r="W10" t="str">
        <f t="shared" si="13"/>
        <v>UCE_elcaggCap_wof_AZE</v>
      </c>
      <c r="X10" t="str">
        <f t="shared" si="5"/>
        <v>e?_wof_AZE*</v>
      </c>
      <c r="Y10">
        <v>1</v>
      </c>
      <c r="Z10">
        <v>2</v>
      </c>
      <c r="AB10" t="str">
        <f t="shared" si="14"/>
        <v>UCE_elcaggCap_wof_AZE</v>
      </c>
      <c r="AC10" t="str">
        <f t="shared" si="6"/>
        <v>elcagg_wof_AZE</v>
      </c>
      <c r="AD10">
        <v>-1</v>
      </c>
    </row>
    <row r="11" spans="1:30">
      <c r="A11" t="s">
        <v>91</v>
      </c>
      <c r="B11" t="str">
        <f t="shared" si="7"/>
        <v>UCE_elcaggCap_spv_AUS</v>
      </c>
      <c r="C11" t="str">
        <f t="shared" si="3"/>
        <v>e?_spv_AUS*</v>
      </c>
      <c r="D11">
        <v>1</v>
      </c>
      <c r="E11">
        <v>2</v>
      </c>
      <c r="G11" t="str">
        <f t="shared" si="8"/>
        <v>UCE_elcaggCap_spv_AUS</v>
      </c>
      <c r="H11" t="str">
        <f t="shared" si="9"/>
        <v>elcagg_spv_AUS</v>
      </c>
      <c r="I11">
        <v>-1</v>
      </c>
      <c r="K11" t="s">
        <v>91</v>
      </c>
      <c r="L11" t="str">
        <f t="shared" si="10"/>
        <v>UCE_elcaggCap_won_AUS</v>
      </c>
      <c r="M11" t="str">
        <f t="shared" si="4"/>
        <v>e?_won_AUS*</v>
      </c>
      <c r="N11">
        <v>1</v>
      </c>
      <c r="O11">
        <v>2</v>
      </c>
      <c r="Q11" t="str">
        <f t="shared" si="11"/>
        <v>UCE_elcaggCap_won_AUS</v>
      </c>
      <c r="R11" t="str">
        <f t="shared" si="12"/>
        <v>elcagg_won_AUS</v>
      </c>
      <c r="S11">
        <v>-1</v>
      </c>
      <c r="V11" t="s">
        <v>94</v>
      </c>
      <c r="W11" t="str">
        <f t="shared" si="13"/>
        <v>UCE_elcaggCap_wof_BEN</v>
      </c>
      <c r="X11" t="str">
        <f t="shared" si="5"/>
        <v>e?_wof_BEN*</v>
      </c>
      <c r="Y11">
        <v>1</v>
      </c>
      <c r="Z11">
        <v>2</v>
      </c>
      <c r="AB11" t="str">
        <f t="shared" si="14"/>
        <v>UCE_elcaggCap_wof_BEN</v>
      </c>
      <c r="AC11" t="str">
        <f t="shared" si="6"/>
        <v>elcagg_wof_BEN</v>
      </c>
      <c r="AD11">
        <v>-1</v>
      </c>
    </row>
    <row r="12" spans="1:30">
      <c r="A12" t="s">
        <v>95</v>
      </c>
      <c r="B12" t="str">
        <f t="shared" si="7"/>
        <v>UCE_elcaggCap_spv_AUT</v>
      </c>
      <c r="C12" t="str">
        <f t="shared" si="3"/>
        <v>e?_spv_AUT*</v>
      </c>
      <c r="D12">
        <v>1</v>
      </c>
      <c r="E12">
        <v>2</v>
      </c>
      <c r="G12" t="str">
        <f t="shared" si="8"/>
        <v>UCE_elcaggCap_spv_AUT</v>
      </c>
      <c r="H12" t="str">
        <f t="shared" si="9"/>
        <v>elcagg_spv_AUT</v>
      </c>
      <c r="I12">
        <v>-1</v>
      </c>
      <c r="K12" t="s">
        <v>95</v>
      </c>
      <c r="L12" t="str">
        <f t="shared" si="10"/>
        <v>UCE_elcaggCap_won_AUT</v>
      </c>
      <c r="M12" t="str">
        <f t="shared" si="4"/>
        <v>e?_won_AUT*</v>
      </c>
      <c r="N12">
        <v>1</v>
      </c>
      <c r="O12">
        <v>2</v>
      </c>
      <c r="Q12" t="str">
        <f t="shared" si="11"/>
        <v>UCE_elcaggCap_won_AUT</v>
      </c>
      <c r="R12" t="str">
        <f t="shared" si="12"/>
        <v>elcagg_won_AUT</v>
      </c>
      <c r="S12">
        <v>-1</v>
      </c>
      <c r="V12" t="s">
        <v>96</v>
      </c>
      <c r="W12" t="str">
        <f t="shared" si="13"/>
        <v>UCE_elcaggCap_wof_BGD</v>
      </c>
      <c r="X12" t="str">
        <f t="shared" si="5"/>
        <v>e?_wof_BGD*</v>
      </c>
      <c r="Y12">
        <v>1</v>
      </c>
      <c r="Z12">
        <v>2</v>
      </c>
      <c r="AB12" t="str">
        <f t="shared" si="14"/>
        <v>UCE_elcaggCap_wof_BGD</v>
      </c>
      <c r="AC12" t="str">
        <f t="shared" si="6"/>
        <v>elcagg_wof_BGD</v>
      </c>
      <c r="AD12">
        <v>-1</v>
      </c>
    </row>
    <row r="13" spans="1:30">
      <c r="A13" t="s">
        <v>93</v>
      </c>
      <c r="B13" t="str">
        <f t="shared" si="7"/>
        <v>UCE_elcaggCap_spv_AZE</v>
      </c>
      <c r="C13" t="str">
        <f t="shared" si="3"/>
        <v>e?_spv_AZE*</v>
      </c>
      <c r="D13">
        <v>1</v>
      </c>
      <c r="E13">
        <v>2</v>
      </c>
      <c r="G13" t="str">
        <f t="shared" si="8"/>
        <v>UCE_elcaggCap_spv_AZE</v>
      </c>
      <c r="H13" t="str">
        <f t="shared" si="9"/>
        <v>elcagg_spv_AZE</v>
      </c>
      <c r="I13">
        <v>-1</v>
      </c>
      <c r="K13" t="s">
        <v>93</v>
      </c>
      <c r="L13" t="str">
        <f t="shared" si="10"/>
        <v>UCE_elcaggCap_won_AZE</v>
      </c>
      <c r="M13" t="str">
        <f t="shared" si="4"/>
        <v>e?_won_AZE*</v>
      </c>
      <c r="N13">
        <v>1</v>
      </c>
      <c r="O13">
        <v>2</v>
      </c>
      <c r="Q13" t="str">
        <f t="shared" si="11"/>
        <v>UCE_elcaggCap_won_AZE</v>
      </c>
      <c r="R13" t="str">
        <f t="shared" si="12"/>
        <v>elcagg_won_AZE</v>
      </c>
      <c r="S13">
        <v>-1</v>
      </c>
      <c r="V13" t="s">
        <v>97</v>
      </c>
      <c r="W13" t="str">
        <f t="shared" si="13"/>
        <v>UCE_elcaggCap_wof_BGR</v>
      </c>
      <c r="X13" t="str">
        <f t="shared" si="5"/>
        <v>e?_wof_BGR*</v>
      </c>
      <c r="Y13">
        <v>1</v>
      </c>
      <c r="Z13">
        <v>2</v>
      </c>
      <c r="AB13" t="str">
        <f t="shared" si="14"/>
        <v>UCE_elcaggCap_wof_BGR</v>
      </c>
      <c r="AC13" t="str">
        <f t="shared" si="6"/>
        <v>elcagg_wof_BGR</v>
      </c>
      <c r="AD13">
        <v>-1</v>
      </c>
    </row>
    <row r="14" spans="1:30">
      <c r="A14" t="s">
        <v>98</v>
      </c>
      <c r="B14" t="str">
        <f t="shared" si="7"/>
        <v>UCE_elcaggCap_spv_BDI</v>
      </c>
      <c r="C14" t="str">
        <f t="shared" si="3"/>
        <v>e?_spv_BDI*</v>
      </c>
      <c r="D14">
        <v>1</v>
      </c>
      <c r="E14">
        <v>2</v>
      </c>
      <c r="G14" t="str">
        <f t="shared" si="8"/>
        <v>UCE_elcaggCap_spv_BDI</v>
      </c>
      <c r="H14" t="str">
        <f t="shared" si="9"/>
        <v>elcagg_spv_BDI</v>
      </c>
      <c r="I14">
        <v>-1</v>
      </c>
      <c r="K14" t="s">
        <v>98</v>
      </c>
      <c r="L14" t="str">
        <f t="shared" si="10"/>
        <v>UCE_elcaggCap_won_BDI</v>
      </c>
      <c r="M14" t="str">
        <f t="shared" si="4"/>
        <v>e?_won_BDI*</v>
      </c>
      <c r="N14">
        <v>1</v>
      </c>
      <c r="O14">
        <v>2</v>
      </c>
      <c r="Q14" t="str">
        <f t="shared" si="11"/>
        <v>UCE_elcaggCap_won_BDI</v>
      </c>
      <c r="R14" t="str">
        <f t="shared" si="12"/>
        <v>elcagg_won_BDI</v>
      </c>
      <c r="S14">
        <v>-1</v>
      </c>
      <c r="V14" t="s">
        <v>99</v>
      </c>
      <c r="W14" t="str">
        <f t="shared" si="13"/>
        <v>UCE_elcaggCap_wof_BRA</v>
      </c>
      <c r="X14" t="str">
        <f t="shared" si="5"/>
        <v>e?_wof_BRA*</v>
      </c>
      <c r="Y14">
        <v>1</v>
      </c>
      <c r="Z14">
        <v>2</v>
      </c>
      <c r="AB14" t="str">
        <f t="shared" si="14"/>
        <v>UCE_elcaggCap_wof_BRA</v>
      </c>
      <c r="AC14" t="str">
        <f t="shared" si="6"/>
        <v>elcagg_wof_BRA</v>
      </c>
      <c r="AD14">
        <v>-1</v>
      </c>
    </row>
    <row r="15" spans="1:30">
      <c r="A15" t="s">
        <v>100</v>
      </c>
      <c r="B15" t="str">
        <f t="shared" si="7"/>
        <v>UCE_elcaggCap_spv_BEL</v>
      </c>
      <c r="C15" t="str">
        <f t="shared" si="3"/>
        <v>e?_spv_BEL*</v>
      </c>
      <c r="D15">
        <v>1</v>
      </c>
      <c r="E15">
        <v>2</v>
      </c>
      <c r="G15" t="str">
        <f t="shared" si="8"/>
        <v>UCE_elcaggCap_spv_BEL</v>
      </c>
      <c r="H15" t="str">
        <f t="shared" si="9"/>
        <v>elcagg_spv_BEL</v>
      </c>
      <c r="I15">
        <v>-1</v>
      </c>
      <c r="K15" t="s">
        <v>100</v>
      </c>
      <c r="L15" t="str">
        <f t="shared" si="10"/>
        <v>UCE_elcaggCap_won_BEL</v>
      </c>
      <c r="M15" t="str">
        <f t="shared" si="4"/>
        <v>e?_won_BEL*</v>
      </c>
      <c r="N15">
        <v>1</v>
      </c>
      <c r="O15">
        <v>2</v>
      </c>
      <c r="Q15" t="str">
        <f t="shared" si="11"/>
        <v>UCE_elcaggCap_won_BEL</v>
      </c>
      <c r="R15" t="str">
        <f t="shared" si="12"/>
        <v>elcagg_won_BEL</v>
      </c>
      <c r="S15">
        <v>-1</v>
      </c>
      <c r="V15" t="s">
        <v>101</v>
      </c>
      <c r="W15" t="str">
        <f t="shared" si="13"/>
        <v>UCE_elcaggCap_wof_CAN</v>
      </c>
      <c r="X15" t="str">
        <f t="shared" si="5"/>
        <v>e?_wof_CAN*</v>
      </c>
      <c r="Y15">
        <v>1</v>
      </c>
      <c r="Z15">
        <v>2</v>
      </c>
      <c r="AB15" t="str">
        <f t="shared" si="14"/>
        <v>UCE_elcaggCap_wof_CAN</v>
      </c>
      <c r="AC15" t="str">
        <f t="shared" si="6"/>
        <v>elcagg_wof_CAN</v>
      </c>
      <c r="AD15">
        <v>-1</v>
      </c>
    </row>
    <row r="16" spans="1:30">
      <c r="A16" t="s">
        <v>94</v>
      </c>
      <c r="B16" t="str">
        <f t="shared" si="7"/>
        <v>UCE_elcaggCap_spv_BEN</v>
      </c>
      <c r="C16" t="str">
        <f t="shared" si="3"/>
        <v>e?_spv_BEN*</v>
      </c>
      <c r="D16">
        <v>1</v>
      </c>
      <c r="E16">
        <v>2</v>
      </c>
      <c r="G16" t="str">
        <f t="shared" si="8"/>
        <v>UCE_elcaggCap_spv_BEN</v>
      </c>
      <c r="H16" t="str">
        <f t="shared" si="9"/>
        <v>elcagg_spv_BEN</v>
      </c>
      <c r="I16">
        <v>-1</v>
      </c>
      <c r="K16" t="s">
        <v>94</v>
      </c>
      <c r="L16" t="str">
        <f t="shared" si="10"/>
        <v>UCE_elcaggCap_won_BEN</v>
      </c>
      <c r="M16" t="str">
        <f t="shared" si="4"/>
        <v>e?_won_BEN*</v>
      </c>
      <c r="N16">
        <v>1</v>
      </c>
      <c r="O16">
        <v>2</v>
      </c>
      <c r="Q16" t="str">
        <f t="shared" si="11"/>
        <v>UCE_elcaggCap_won_BEN</v>
      </c>
      <c r="R16" t="str">
        <f t="shared" si="12"/>
        <v>elcagg_won_BEN</v>
      </c>
      <c r="S16">
        <v>-1</v>
      </c>
      <c r="V16" t="s">
        <v>102</v>
      </c>
      <c r="W16" t="str">
        <f t="shared" si="13"/>
        <v>UCE_elcaggCap_wof_CHL</v>
      </c>
      <c r="X16" t="str">
        <f t="shared" si="5"/>
        <v>e?_wof_CHL*</v>
      </c>
      <c r="Y16">
        <v>1</v>
      </c>
      <c r="Z16">
        <v>2</v>
      </c>
      <c r="AB16" t="str">
        <f t="shared" si="14"/>
        <v>UCE_elcaggCap_wof_CHL</v>
      </c>
      <c r="AC16" t="str">
        <f t="shared" si="6"/>
        <v>elcagg_wof_CHL</v>
      </c>
      <c r="AD16">
        <v>-1</v>
      </c>
    </row>
    <row r="17" spans="1:30">
      <c r="A17" t="s">
        <v>103</v>
      </c>
      <c r="B17" t="str">
        <f t="shared" si="7"/>
        <v>UCE_elcaggCap_spv_BFA</v>
      </c>
      <c r="C17" t="str">
        <f t="shared" si="3"/>
        <v>e?_spv_BFA*</v>
      </c>
      <c r="D17">
        <v>1</v>
      </c>
      <c r="E17">
        <v>2</v>
      </c>
      <c r="G17" t="str">
        <f t="shared" si="8"/>
        <v>UCE_elcaggCap_spv_BFA</v>
      </c>
      <c r="H17" t="str">
        <f t="shared" si="9"/>
        <v>elcagg_spv_BFA</v>
      </c>
      <c r="I17">
        <v>-1</v>
      </c>
      <c r="K17" t="s">
        <v>103</v>
      </c>
      <c r="L17" t="str">
        <f t="shared" si="10"/>
        <v>UCE_elcaggCap_won_BFA</v>
      </c>
      <c r="M17" t="str">
        <f t="shared" si="4"/>
        <v>e?_won_BFA*</v>
      </c>
      <c r="N17">
        <v>1</v>
      </c>
      <c r="O17">
        <v>2</v>
      </c>
      <c r="Q17" t="str">
        <f t="shared" si="11"/>
        <v>UCE_elcaggCap_won_BFA</v>
      </c>
      <c r="R17" t="str">
        <f t="shared" si="12"/>
        <v>elcagg_won_BFA</v>
      </c>
      <c r="S17">
        <v>-1</v>
      </c>
      <c r="V17" t="s">
        <v>104</v>
      </c>
      <c r="W17" t="str">
        <f t="shared" si="13"/>
        <v>UCE_elcaggCap_wof_CHN</v>
      </c>
      <c r="X17" t="str">
        <f t="shared" si="5"/>
        <v>e?_wof_CHN*</v>
      </c>
      <c r="Y17">
        <v>1</v>
      </c>
      <c r="Z17">
        <v>2</v>
      </c>
      <c r="AB17" t="str">
        <f t="shared" si="14"/>
        <v>UCE_elcaggCap_wof_CHN</v>
      </c>
      <c r="AC17" t="str">
        <f t="shared" si="6"/>
        <v>elcagg_wof_CHN</v>
      </c>
      <c r="AD17">
        <v>-1</v>
      </c>
    </row>
    <row r="18" spans="1:30">
      <c r="A18" t="s">
        <v>96</v>
      </c>
      <c r="B18" t="str">
        <f t="shared" si="7"/>
        <v>UCE_elcaggCap_spv_BGD</v>
      </c>
      <c r="C18" t="str">
        <f t="shared" si="3"/>
        <v>e?_spv_BGD*</v>
      </c>
      <c r="D18">
        <v>1</v>
      </c>
      <c r="E18">
        <v>2</v>
      </c>
      <c r="G18" t="str">
        <f t="shared" si="8"/>
        <v>UCE_elcaggCap_spv_BGD</v>
      </c>
      <c r="H18" t="str">
        <f t="shared" si="9"/>
        <v>elcagg_spv_BGD</v>
      </c>
      <c r="I18">
        <v>-1</v>
      </c>
      <c r="K18" t="s">
        <v>96</v>
      </c>
      <c r="L18" t="str">
        <f t="shared" si="10"/>
        <v>UCE_elcaggCap_won_BGD</v>
      </c>
      <c r="M18" t="str">
        <f t="shared" si="4"/>
        <v>e?_won_BGD*</v>
      </c>
      <c r="N18">
        <v>1</v>
      </c>
      <c r="O18">
        <v>2</v>
      </c>
      <c r="Q18" t="str">
        <f t="shared" si="11"/>
        <v>UCE_elcaggCap_won_BGD</v>
      </c>
      <c r="R18" t="str">
        <f t="shared" si="12"/>
        <v>elcagg_won_BGD</v>
      </c>
      <c r="S18">
        <v>-1</v>
      </c>
      <c r="V18" t="s">
        <v>105</v>
      </c>
      <c r="W18" t="str">
        <f t="shared" si="13"/>
        <v>UCE_elcaggCap_wof_CIV</v>
      </c>
      <c r="X18" t="str">
        <f t="shared" si="5"/>
        <v>e?_wof_CIV*</v>
      </c>
      <c r="Y18">
        <v>1</v>
      </c>
      <c r="Z18">
        <v>2</v>
      </c>
      <c r="AB18" t="str">
        <f t="shared" si="14"/>
        <v>UCE_elcaggCap_wof_CIV</v>
      </c>
      <c r="AC18" t="str">
        <f t="shared" si="6"/>
        <v>elcagg_wof_CIV</v>
      </c>
      <c r="AD18">
        <v>-1</v>
      </c>
    </row>
    <row r="19" spans="1:30">
      <c r="A19" t="s">
        <v>97</v>
      </c>
      <c r="B19" t="str">
        <f t="shared" si="7"/>
        <v>UCE_elcaggCap_spv_BGR</v>
      </c>
      <c r="C19" t="str">
        <f t="shared" si="3"/>
        <v>e?_spv_BGR*</v>
      </c>
      <c r="D19">
        <v>1</v>
      </c>
      <c r="E19">
        <v>2</v>
      </c>
      <c r="G19" t="str">
        <f t="shared" si="8"/>
        <v>UCE_elcaggCap_spv_BGR</v>
      </c>
      <c r="H19" t="str">
        <f t="shared" si="9"/>
        <v>elcagg_spv_BGR</v>
      </c>
      <c r="I19">
        <v>-1</v>
      </c>
      <c r="K19" t="s">
        <v>97</v>
      </c>
      <c r="L19" t="str">
        <f t="shared" si="10"/>
        <v>UCE_elcaggCap_won_BGR</v>
      </c>
      <c r="M19" t="str">
        <f t="shared" si="4"/>
        <v>e?_won_BGR*</v>
      </c>
      <c r="N19">
        <v>1</v>
      </c>
      <c r="O19">
        <v>2</v>
      </c>
      <c r="Q19" t="str">
        <f t="shared" si="11"/>
        <v>UCE_elcaggCap_won_BGR</v>
      </c>
      <c r="R19" t="str">
        <f t="shared" si="12"/>
        <v>elcagg_won_BGR</v>
      </c>
      <c r="S19">
        <v>-1</v>
      </c>
      <c r="V19" t="s">
        <v>106</v>
      </c>
      <c r="W19" t="str">
        <f t="shared" si="13"/>
        <v>UCE_elcaggCap_wof_COD</v>
      </c>
      <c r="X19" t="str">
        <f t="shared" si="5"/>
        <v>e?_wof_COD*</v>
      </c>
      <c r="Y19">
        <v>1</v>
      </c>
      <c r="Z19">
        <v>2</v>
      </c>
      <c r="AB19" t="str">
        <f t="shared" si="14"/>
        <v>UCE_elcaggCap_wof_COD</v>
      </c>
      <c r="AC19" t="str">
        <f t="shared" si="6"/>
        <v>elcagg_wof_COD</v>
      </c>
      <c r="AD19">
        <v>-1</v>
      </c>
    </row>
    <row r="20" spans="1:30">
      <c r="A20" t="s">
        <v>107</v>
      </c>
      <c r="B20" t="str">
        <f t="shared" si="7"/>
        <v>UCE_elcaggCap_spv_BIH</v>
      </c>
      <c r="C20" t="str">
        <f t="shared" si="3"/>
        <v>e?_spv_BIH*</v>
      </c>
      <c r="D20">
        <v>1</v>
      </c>
      <c r="E20">
        <v>2</v>
      </c>
      <c r="G20" t="str">
        <f t="shared" si="8"/>
        <v>UCE_elcaggCap_spv_BIH</v>
      </c>
      <c r="H20" t="str">
        <f t="shared" si="9"/>
        <v>elcagg_spv_BIH</v>
      </c>
      <c r="I20">
        <v>-1</v>
      </c>
      <c r="K20" t="s">
        <v>107</v>
      </c>
      <c r="L20" t="str">
        <f t="shared" si="10"/>
        <v>UCE_elcaggCap_won_BIH</v>
      </c>
      <c r="M20" t="str">
        <f t="shared" si="4"/>
        <v>e?_won_BIH*</v>
      </c>
      <c r="N20">
        <v>1</v>
      </c>
      <c r="O20">
        <v>2</v>
      </c>
      <c r="Q20" t="str">
        <f t="shared" si="11"/>
        <v>UCE_elcaggCap_won_BIH</v>
      </c>
      <c r="R20" t="str">
        <f t="shared" si="12"/>
        <v>elcagg_won_BIH</v>
      </c>
      <c r="S20">
        <v>-1</v>
      </c>
      <c r="V20" t="s">
        <v>108</v>
      </c>
      <c r="W20" t="str">
        <f t="shared" si="13"/>
        <v>UCE_elcaggCap_wof_COG</v>
      </c>
      <c r="X20" t="str">
        <f t="shared" si="5"/>
        <v>e?_wof_COG*</v>
      </c>
      <c r="Y20">
        <v>1</v>
      </c>
      <c r="Z20">
        <v>2</v>
      </c>
      <c r="AB20" t="str">
        <f t="shared" si="14"/>
        <v>UCE_elcaggCap_wof_COG</v>
      </c>
      <c r="AC20" t="str">
        <f t="shared" si="6"/>
        <v>elcagg_wof_COG</v>
      </c>
      <c r="AD20">
        <v>-1</v>
      </c>
    </row>
    <row r="21" spans="1:30">
      <c r="A21" t="s">
        <v>109</v>
      </c>
      <c r="B21" t="str">
        <f t="shared" si="7"/>
        <v>UCE_elcaggCap_spv_BLR</v>
      </c>
      <c r="C21" t="str">
        <f t="shared" si="3"/>
        <v>e?_spv_BLR*</v>
      </c>
      <c r="D21">
        <v>1</v>
      </c>
      <c r="E21">
        <v>2</v>
      </c>
      <c r="G21" t="str">
        <f t="shared" si="8"/>
        <v>UCE_elcaggCap_spv_BLR</v>
      </c>
      <c r="H21" t="str">
        <f t="shared" si="9"/>
        <v>elcagg_spv_BLR</v>
      </c>
      <c r="I21">
        <v>-1</v>
      </c>
      <c r="K21" t="s">
        <v>109</v>
      </c>
      <c r="L21" t="str">
        <f t="shared" si="10"/>
        <v>UCE_elcaggCap_won_BLR</v>
      </c>
      <c r="M21" t="str">
        <f t="shared" si="4"/>
        <v>e?_won_BLR*</v>
      </c>
      <c r="N21">
        <v>1</v>
      </c>
      <c r="O21">
        <v>2</v>
      </c>
      <c r="Q21" t="str">
        <f t="shared" si="11"/>
        <v>UCE_elcaggCap_won_BLR</v>
      </c>
      <c r="R21" t="str">
        <f t="shared" si="12"/>
        <v>elcagg_won_BLR</v>
      </c>
      <c r="S21">
        <v>-1</v>
      </c>
      <c r="V21" t="s">
        <v>110</v>
      </c>
      <c r="W21" t="str">
        <f t="shared" si="13"/>
        <v>UCE_elcaggCap_wof_COL</v>
      </c>
      <c r="X21" t="str">
        <f t="shared" si="5"/>
        <v>e?_wof_COL*</v>
      </c>
      <c r="Y21">
        <v>1</v>
      </c>
      <c r="Z21">
        <v>2</v>
      </c>
      <c r="AB21" t="str">
        <f t="shared" si="14"/>
        <v>UCE_elcaggCap_wof_COL</v>
      </c>
      <c r="AC21" t="str">
        <f t="shared" si="6"/>
        <v>elcagg_wof_COL</v>
      </c>
      <c r="AD21">
        <v>-1</v>
      </c>
    </row>
    <row r="22" spans="1:30">
      <c r="A22" t="s">
        <v>111</v>
      </c>
      <c r="B22" t="str">
        <f t="shared" si="7"/>
        <v>UCE_elcaggCap_spv_BOL</v>
      </c>
      <c r="C22" t="str">
        <f t="shared" si="3"/>
        <v>e?_spv_BOL*</v>
      </c>
      <c r="D22">
        <v>1</v>
      </c>
      <c r="E22">
        <v>2</v>
      </c>
      <c r="G22" t="str">
        <f t="shared" si="8"/>
        <v>UCE_elcaggCap_spv_BOL</v>
      </c>
      <c r="H22" t="str">
        <f t="shared" si="9"/>
        <v>elcagg_spv_BOL</v>
      </c>
      <c r="I22">
        <v>-1</v>
      </c>
      <c r="K22" t="s">
        <v>111</v>
      </c>
      <c r="L22" t="str">
        <f t="shared" si="10"/>
        <v>UCE_elcaggCap_won_BOL</v>
      </c>
      <c r="M22" t="str">
        <f t="shared" si="4"/>
        <v>e?_won_BOL*</v>
      </c>
      <c r="N22">
        <v>1</v>
      </c>
      <c r="O22">
        <v>2</v>
      </c>
      <c r="Q22" t="str">
        <f t="shared" si="11"/>
        <v>UCE_elcaggCap_won_BOL</v>
      </c>
      <c r="R22" t="str">
        <f t="shared" si="12"/>
        <v>elcagg_won_BOL</v>
      </c>
      <c r="S22">
        <v>-1</v>
      </c>
      <c r="V22" t="s">
        <v>112</v>
      </c>
      <c r="W22" t="str">
        <f t="shared" si="13"/>
        <v>UCE_elcaggCap_wof_CRI</v>
      </c>
      <c r="X22" t="str">
        <f t="shared" si="5"/>
        <v>e?_wof_CRI*</v>
      </c>
      <c r="Y22">
        <v>1</v>
      </c>
      <c r="Z22">
        <v>2</v>
      </c>
      <c r="AB22" t="str">
        <f t="shared" si="14"/>
        <v>UCE_elcaggCap_wof_CRI</v>
      </c>
      <c r="AC22" t="str">
        <f t="shared" si="6"/>
        <v>elcagg_wof_CRI</v>
      </c>
      <c r="AD22">
        <v>-1</v>
      </c>
    </row>
    <row r="23" spans="1:30">
      <c r="A23" t="s">
        <v>99</v>
      </c>
      <c r="B23" t="str">
        <f t="shared" si="7"/>
        <v>UCE_elcaggCap_spv_BRA</v>
      </c>
      <c r="C23" t="str">
        <f t="shared" si="3"/>
        <v>e?_spv_BRA*</v>
      </c>
      <c r="D23">
        <v>1</v>
      </c>
      <c r="E23">
        <v>2</v>
      </c>
      <c r="G23" t="str">
        <f t="shared" si="8"/>
        <v>UCE_elcaggCap_spv_BRA</v>
      </c>
      <c r="H23" t="str">
        <f t="shared" si="9"/>
        <v>elcagg_spv_BRA</v>
      </c>
      <c r="I23">
        <v>-1</v>
      </c>
      <c r="K23" t="s">
        <v>99</v>
      </c>
      <c r="L23" t="str">
        <f t="shared" si="10"/>
        <v>UCE_elcaggCap_won_BRA</v>
      </c>
      <c r="M23" t="str">
        <f t="shared" si="4"/>
        <v>e?_won_BRA*</v>
      </c>
      <c r="N23">
        <v>1</v>
      </c>
      <c r="O23">
        <v>2</v>
      </c>
      <c r="Q23" t="str">
        <f t="shared" si="11"/>
        <v>UCE_elcaggCap_won_BRA</v>
      </c>
      <c r="R23" t="str">
        <f t="shared" si="12"/>
        <v>elcagg_won_BRA</v>
      </c>
      <c r="S23">
        <v>-1</v>
      </c>
      <c r="V23" t="s">
        <v>113</v>
      </c>
      <c r="W23" t="str">
        <f t="shared" si="13"/>
        <v>UCE_elcaggCap_wof_CUB</v>
      </c>
      <c r="X23" t="str">
        <f t="shared" si="5"/>
        <v>e?_wof_CUB*</v>
      </c>
      <c r="Y23">
        <v>1</v>
      </c>
      <c r="Z23">
        <v>2</v>
      </c>
      <c r="AB23" t="str">
        <f t="shared" si="14"/>
        <v>UCE_elcaggCap_wof_CUB</v>
      </c>
      <c r="AC23" t="str">
        <f t="shared" si="6"/>
        <v>elcagg_wof_CUB</v>
      </c>
      <c r="AD23">
        <v>-1</v>
      </c>
    </row>
    <row r="24" spans="1:30">
      <c r="A24" t="s">
        <v>114</v>
      </c>
      <c r="B24" t="str">
        <f t="shared" si="7"/>
        <v>UCE_elcaggCap_spv_BWA</v>
      </c>
      <c r="C24" t="str">
        <f t="shared" si="3"/>
        <v>e?_spv_BWA*</v>
      </c>
      <c r="D24">
        <v>1</v>
      </c>
      <c r="E24">
        <v>2</v>
      </c>
      <c r="G24" t="str">
        <f t="shared" si="8"/>
        <v>UCE_elcaggCap_spv_BWA</v>
      </c>
      <c r="H24" t="str">
        <f t="shared" si="9"/>
        <v>elcagg_spv_BWA</v>
      </c>
      <c r="I24">
        <v>-1</v>
      </c>
      <c r="K24" t="s">
        <v>114</v>
      </c>
      <c r="L24" t="str">
        <f t="shared" si="10"/>
        <v>UCE_elcaggCap_won_BWA</v>
      </c>
      <c r="M24" t="str">
        <f t="shared" si="4"/>
        <v>e?_won_BWA*</v>
      </c>
      <c r="N24">
        <v>1</v>
      </c>
      <c r="O24">
        <v>2</v>
      </c>
      <c r="Q24" t="str">
        <f t="shared" si="11"/>
        <v>UCE_elcaggCap_won_BWA</v>
      </c>
      <c r="R24" t="str">
        <f t="shared" si="12"/>
        <v>elcagg_won_BWA</v>
      </c>
      <c r="S24">
        <v>-1</v>
      </c>
      <c r="V24" t="s">
        <v>115</v>
      </c>
      <c r="W24" t="str">
        <f t="shared" si="13"/>
        <v>UCE_elcaggCap_wof_CYP</v>
      </c>
      <c r="X24" t="str">
        <f t="shared" si="5"/>
        <v>e?_wof_CYP*</v>
      </c>
      <c r="Y24">
        <v>1</v>
      </c>
      <c r="Z24">
        <v>2</v>
      </c>
      <c r="AB24" t="str">
        <f t="shared" si="14"/>
        <v>UCE_elcaggCap_wof_CYP</v>
      </c>
      <c r="AC24" t="str">
        <f t="shared" si="6"/>
        <v>elcagg_wof_CYP</v>
      </c>
      <c r="AD24">
        <v>-1</v>
      </c>
    </row>
    <row r="25" spans="1:30">
      <c r="A25" t="s">
        <v>116</v>
      </c>
      <c r="B25" t="str">
        <f t="shared" si="7"/>
        <v>UCE_elcaggCap_spv_CAF</v>
      </c>
      <c r="C25" t="str">
        <f t="shared" si="3"/>
        <v>e?_spv_CAF*</v>
      </c>
      <c r="D25">
        <v>1</v>
      </c>
      <c r="E25">
        <v>2</v>
      </c>
      <c r="G25" t="str">
        <f t="shared" si="8"/>
        <v>UCE_elcaggCap_spv_CAF</v>
      </c>
      <c r="H25" t="str">
        <f t="shared" si="9"/>
        <v>elcagg_spv_CAF</v>
      </c>
      <c r="I25">
        <v>-1</v>
      </c>
      <c r="K25" t="s">
        <v>116</v>
      </c>
      <c r="L25" t="str">
        <f t="shared" si="10"/>
        <v>UCE_elcaggCap_won_CAF</v>
      </c>
      <c r="M25" t="str">
        <f t="shared" si="4"/>
        <v>e?_won_CAF*</v>
      </c>
      <c r="N25">
        <v>1</v>
      </c>
      <c r="O25">
        <v>2</v>
      </c>
      <c r="Q25" t="str">
        <f t="shared" si="11"/>
        <v>UCE_elcaggCap_won_CAF</v>
      </c>
      <c r="R25" t="str">
        <f t="shared" si="12"/>
        <v>elcagg_won_CAF</v>
      </c>
      <c r="S25">
        <v>-1</v>
      </c>
      <c r="V25" t="s">
        <v>117</v>
      </c>
      <c r="W25" t="str">
        <f t="shared" si="13"/>
        <v>UCE_elcaggCap_wof_DEU</v>
      </c>
      <c r="X25" t="str">
        <f t="shared" si="5"/>
        <v>e?_wof_DEU*</v>
      </c>
      <c r="Y25">
        <v>1</v>
      </c>
      <c r="Z25">
        <v>2</v>
      </c>
      <c r="AB25" t="str">
        <f t="shared" si="14"/>
        <v>UCE_elcaggCap_wof_DEU</v>
      </c>
      <c r="AC25" t="str">
        <f t="shared" si="6"/>
        <v>elcagg_wof_DEU</v>
      </c>
      <c r="AD25">
        <v>-1</v>
      </c>
    </row>
    <row r="26" spans="1:30">
      <c r="A26" t="s">
        <v>101</v>
      </c>
      <c r="B26" t="str">
        <f t="shared" si="7"/>
        <v>UCE_elcaggCap_spv_CAN</v>
      </c>
      <c r="C26" t="str">
        <f t="shared" si="3"/>
        <v>e?_spv_CAN*</v>
      </c>
      <c r="D26">
        <v>1</v>
      </c>
      <c r="E26">
        <v>2</v>
      </c>
      <c r="G26" t="str">
        <f t="shared" si="8"/>
        <v>UCE_elcaggCap_spv_CAN</v>
      </c>
      <c r="H26" t="str">
        <f t="shared" si="9"/>
        <v>elcagg_spv_CAN</v>
      </c>
      <c r="I26">
        <v>-1</v>
      </c>
      <c r="K26" t="s">
        <v>101</v>
      </c>
      <c r="L26" t="str">
        <f t="shared" si="10"/>
        <v>UCE_elcaggCap_won_CAN</v>
      </c>
      <c r="M26" t="str">
        <f t="shared" si="4"/>
        <v>e?_won_CAN*</v>
      </c>
      <c r="N26">
        <v>1</v>
      </c>
      <c r="O26">
        <v>2</v>
      </c>
      <c r="Q26" t="str">
        <f t="shared" si="11"/>
        <v>UCE_elcaggCap_won_CAN</v>
      </c>
      <c r="R26" t="str">
        <f t="shared" si="12"/>
        <v>elcagg_won_CAN</v>
      </c>
      <c r="S26">
        <v>-1</v>
      </c>
      <c r="V26" t="s">
        <v>118</v>
      </c>
      <c r="W26" t="str">
        <f t="shared" si="13"/>
        <v>UCE_elcaggCap_wof_DJI</v>
      </c>
      <c r="X26" t="str">
        <f t="shared" si="5"/>
        <v>e?_wof_DJI*</v>
      </c>
      <c r="Y26">
        <v>1</v>
      </c>
      <c r="Z26">
        <v>2</v>
      </c>
      <c r="AB26" t="str">
        <f t="shared" si="14"/>
        <v>UCE_elcaggCap_wof_DJI</v>
      </c>
      <c r="AC26" t="str">
        <f t="shared" si="6"/>
        <v>elcagg_wof_DJI</v>
      </c>
      <c r="AD26">
        <v>-1</v>
      </c>
    </row>
    <row r="27" spans="1:30">
      <c r="A27" t="s">
        <v>119</v>
      </c>
      <c r="B27" t="str">
        <f t="shared" si="7"/>
        <v>UCE_elcaggCap_spv_CHE</v>
      </c>
      <c r="C27" t="str">
        <f t="shared" si="3"/>
        <v>e?_spv_CHE*</v>
      </c>
      <c r="D27">
        <v>1</v>
      </c>
      <c r="E27">
        <v>2</v>
      </c>
      <c r="G27" t="str">
        <f t="shared" si="8"/>
        <v>UCE_elcaggCap_spv_CHE</v>
      </c>
      <c r="H27" t="str">
        <f t="shared" si="9"/>
        <v>elcagg_spv_CHE</v>
      </c>
      <c r="I27">
        <v>-1</v>
      </c>
      <c r="K27" t="s">
        <v>119</v>
      </c>
      <c r="L27" t="str">
        <f t="shared" si="10"/>
        <v>UCE_elcaggCap_won_CHE</v>
      </c>
      <c r="M27" t="str">
        <f t="shared" si="4"/>
        <v>e?_won_CHE*</v>
      </c>
      <c r="N27">
        <v>1</v>
      </c>
      <c r="O27">
        <v>2</v>
      </c>
      <c r="Q27" t="str">
        <f t="shared" si="11"/>
        <v>UCE_elcaggCap_won_CHE</v>
      </c>
      <c r="R27" t="str">
        <f t="shared" si="12"/>
        <v>elcagg_won_CHE</v>
      </c>
      <c r="S27">
        <v>-1</v>
      </c>
      <c r="V27" t="s">
        <v>120</v>
      </c>
      <c r="W27" t="str">
        <f t="shared" si="13"/>
        <v>UCE_elcaggCap_wof_DNK</v>
      </c>
      <c r="X27" t="str">
        <f t="shared" si="5"/>
        <v>e?_wof_DNK*</v>
      </c>
      <c r="Y27">
        <v>1</v>
      </c>
      <c r="Z27">
        <v>2</v>
      </c>
      <c r="AB27" t="str">
        <f t="shared" si="14"/>
        <v>UCE_elcaggCap_wof_DNK</v>
      </c>
      <c r="AC27" t="str">
        <f t="shared" si="6"/>
        <v>elcagg_wof_DNK</v>
      </c>
      <c r="AD27">
        <v>-1</v>
      </c>
    </row>
    <row r="28" spans="1:30">
      <c r="A28" t="s">
        <v>102</v>
      </c>
      <c r="B28" t="str">
        <f t="shared" si="7"/>
        <v>UCE_elcaggCap_spv_CHL</v>
      </c>
      <c r="C28" t="str">
        <f t="shared" si="3"/>
        <v>e?_spv_CHL*</v>
      </c>
      <c r="D28">
        <v>1</v>
      </c>
      <c r="E28">
        <v>2</v>
      </c>
      <c r="G28" t="str">
        <f t="shared" si="8"/>
        <v>UCE_elcaggCap_spv_CHL</v>
      </c>
      <c r="H28" t="str">
        <f t="shared" si="9"/>
        <v>elcagg_spv_CHL</v>
      </c>
      <c r="I28">
        <v>-1</v>
      </c>
      <c r="K28" t="s">
        <v>102</v>
      </c>
      <c r="L28" t="str">
        <f t="shared" si="10"/>
        <v>UCE_elcaggCap_won_CHL</v>
      </c>
      <c r="M28" t="str">
        <f t="shared" si="4"/>
        <v>e?_won_CHL*</v>
      </c>
      <c r="N28">
        <v>1</v>
      </c>
      <c r="O28">
        <v>2</v>
      </c>
      <c r="Q28" t="str">
        <f t="shared" si="11"/>
        <v>UCE_elcaggCap_won_CHL</v>
      </c>
      <c r="R28" t="str">
        <f t="shared" si="12"/>
        <v>elcagg_won_CHL</v>
      </c>
      <c r="S28">
        <v>-1</v>
      </c>
      <c r="V28" t="s">
        <v>121</v>
      </c>
      <c r="W28" t="str">
        <f t="shared" si="13"/>
        <v>UCE_elcaggCap_wof_DOM</v>
      </c>
      <c r="X28" t="str">
        <f t="shared" si="5"/>
        <v>e?_wof_DOM*</v>
      </c>
      <c r="Y28">
        <v>1</v>
      </c>
      <c r="Z28">
        <v>2</v>
      </c>
      <c r="AB28" t="str">
        <f t="shared" si="14"/>
        <v>UCE_elcaggCap_wof_DOM</v>
      </c>
      <c r="AC28" t="str">
        <f t="shared" si="6"/>
        <v>elcagg_wof_DOM</v>
      </c>
      <c r="AD28">
        <v>-1</v>
      </c>
    </row>
    <row r="29" spans="1:30">
      <c r="A29" t="s">
        <v>104</v>
      </c>
      <c r="B29" t="str">
        <f t="shared" si="7"/>
        <v>UCE_elcaggCap_spv_CHN</v>
      </c>
      <c r="C29" t="str">
        <f t="shared" si="3"/>
        <v>e?_spv_CHN*</v>
      </c>
      <c r="D29">
        <v>1</v>
      </c>
      <c r="E29">
        <v>2</v>
      </c>
      <c r="G29" t="str">
        <f t="shared" si="8"/>
        <v>UCE_elcaggCap_spv_CHN</v>
      </c>
      <c r="H29" t="str">
        <f t="shared" si="9"/>
        <v>elcagg_spv_CHN</v>
      </c>
      <c r="I29">
        <v>-1</v>
      </c>
      <c r="K29" t="s">
        <v>104</v>
      </c>
      <c r="L29" t="str">
        <f t="shared" si="10"/>
        <v>UCE_elcaggCap_won_CHN</v>
      </c>
      <c r="M29" t="str">
        <f t="shared" si="4"/>
        <v>e?_won_CHN*</v>
      </c>
      <c r="N29">
        <v>1</v>
      </c>
      <c r="O29">
        <v>2</v>
      </c>
      <c r="Q29" t="str">
        <f t="shared" si="11"/>
        <v>UCE_elcaggCap_won_CHN</v>
      </c>
      <c r="R29" t="str">
        <f t="shared" si="12"/>
        <v>elcagg_won_CHN</v>
      </c>
      <c r="S29">
        <v>-1</v>
      </c>
      <c r="V29" t="s">
        <v>122</v>
      </c>
      <c r="W29" t="str">
        <f t="shared" si="13"/>
        <v>UCE_elcaggCap_wof_DZA</v>
      </c>
      <c r="X29" t="str">
        <f t="shared" si="5"/>
        <v>e?_wof_DZA*</v>
      </c>
      <c r="Y29">
        <v>1</v>
      </c>
      <c r="Z29">
        <v>2</v>
      </c>
      <c r="AB29" t="str">
        <f t="shared" si="14"/>
        <v>UCE_elcaggCap_wof_DZA</v>
      </c>
      <c r="AC29" t="str">
        <f t="shared" si="6"/>
        <v>elcagg_wof_DZA</v>
      </c>
      <c r="AD29">
        <v>-1</v>
      </c>
    </row>
    <row r="30" spans="1:30">
      <c r="A30" t="s">
        <v>105</v>
      </c>
      <c r="B30" t="str">
        <f t="shared" si="7"/>
        <v>UCE_elcaggCap_spv_CIV</v>
      </c>
      <c r="C30" t="str">
        <f t="shared" si="3"/>
        <v>e?_spv_CIV*</v>
      </c>
      <c r="D30">
        <v>1</v>
      </c>
      <c r="E30">
        <v>2</v>
      </c>
      <c r="G30" t="str">
        <f t="shared" si="8"/>
        <v>UCE_elcaggCap_spv_CIV</v>
      </c>
      <c r="H30" t="str">
        <f t="shared" si="9"/>
        <v>elcagg_spv_CIV</v>
      </c>
      <c r="I30">
        <v>-1</v>
      </c>
      <c r="K30" t="s">
        <v>105</v>
      </c>
      <c r="L30" t="str">
        <f t="shared" si="10"/>
        <v>UCE_elcaggCap_won_CIV</v>
      </c>
      <c r="M30" t="str">
        <f t="shared" si="4"/>
        <v>e?_won_CIV*</v>
      </c>
      <c r="N30">
        <v>1</v>
      </c>
      <c r="O30">
        <v>2</v>
      </c>
      <c r="Q30" t="str">
        <f t="shared" si="11"/>
        <v>UCE_elcaggCap_won_CIV</v>
      </c>
      <c r="R30" t="str">
        <f t="shared" si="12"/>
        <v>elcagg_won_CIV</v>
      </c>
      <c r="S30">
        <v>-1</v>
      </c>
      <c r="V30" t="s">
        <v>123</v>
      </c>
      <c r="W30" t="str">
        <f t="shared" si="13"/>
        <v>UCE_elcaggCap_wof_ECU</v>
      </c>
      <c r="X30" t="str">
        <f t="shared" si="5"/>
        <v>e?_wof_ECU*</v>
      </c>
      <c r="Y30">
        <v>1</v>
      </c>
      <c r="Z30">
        <v>2</v>
      </c>
      <c r="AB30" t="str">
        <f t="shared" si="14"/>
        <v>UCE_elcaggCap_wof_ECU</v>
      </c>
      <c r="AC30" t="str">
        <f t="shared" si="6"/>
        <v>elcagg_wof_ECU</v>
      </c>
      <c r="AD30">
        <v>-1</v>
      </c>
    </row>
    <row r="31" spans="1:30">
      <c r="A31" t="s">
        <v>124</v>
      </c>
      <c r="B31" t="str">
        <f t="shared" si="7"/>
        <v>UCE_elcaggCap_spv_CMR</v>
      </c>
      <c r="C31" t="str">
        <f t="shared" si="3"/>
        <v>e?_spv_CMR*</v>
      </c>
      <c r="D31">
        <v>1</v>
      </c>
      <c r="E31">
        <v>2</v>
      </c>
      <c r="G31" t="str">
        <f t="shared" si="8"/>
        <v>UCE_elcaggCap_spv_CMR</v>
      </c>
      <c r="H31" t="str">
        <f t="shared" si="9"/>
        <v>elcagg_spv_CMR</v>
      </c>
      <c r="I31">
        <v>-1</v>
      </c>
      <c r="K31" t="s">
        <v>124</v>
      </c>
      <c r="L31" t="str">
        <f t="shared" si="10"/>
        <v>UCE_elcaggCap_won_CMR</v>
      </c>
      <c r="M31" t="str">
        <f t="shared" si="4"/>
        <v>e?_won_CMR*</v>
      </c>
      <c r="N31">
        <v>1</v>
      </c>
      <c r="O31">
        <v>2</v>
      </c>
      <c r="Q31" t="str">
        <f t="shared" si="11"/>
        <v>UCE_elcaggCap_won_CMR</v>
      </c>
      <c r="R31" t="str">
        <f t="shared" si="12"/>
        <v>elcagg_won_CMR</v>
      </c>
      <c r="S31">
        <v>-1</v>
      </c>
      <c r="V31" t="s">
        <v>125</v>
      </c>
      <c r="W31" t="str">
        <f t="shared" si="13"/>
        <v>UCE_elcaggCap_wof_EGY</v>
      </c>
      <c r="X31" t="str">
        <f t="shared" si="5"/>
        <v>e?_wof_EGY*</v>
      </c>
      <c r="Y31">
        <v>1</v>
      </c>
      <c r="Z31">
        <v>2</v>
      </c>
      <c r="AB31" t="str">
        <f t="shared" si="14"/>
        <v>UCE_elcaggCap_wof_EGY</v>
      </c>
      <c r="AC31" t="str">
        <f t="shared" si="6"/>
        <v>elcagg_wof_EGY</v>
      </c>
      <c r="AD31">
        <v>-1</v>
      </c>
    </row>
    <row r="32" spans="1:30">
      <c r="A32" t="s">
        <v>106</v>
      </c>
      <c r="B32" t="str">
        <f t="shared" si="7"/>
        <v>UCE_elcaggCap_spv_COD</v>
      </c>
      <c r="C32" t="str">
        <f t="shared" si="3"/>
        <v>e?_spv_COD*</v>
      </c>
      <c r="D32">
        <v>1</v>
      </c>
      <c r="E32">
        <v>2</v>
      </c>
      <c r="G32" t="str">
        <f t="shared" si="8"/>
        <v>UCE_elcaggCap_spv_COD</v>
      </c>
      <c r="H32" t="str">
        <f t="shared" si="9"/>
        <v>elcagg_spv_COD</v>
      </c>
      <c r="I32">
        <v>-1</v>
      </c>
      <c r="K32" t="s">
        <v>106</v>
      </c>
      <c r="L32" t="str">
        <f t="shared" si="10"/>
        <v>UCE_elcaggCap_won_COD</v>
      </c>
      <c r="M32" t="str">
        <f t="shared" si="4"/>
        <v>e?_won_COD*</v>
      </c>
      <c r="N32">
        <v>1</v>
      </c>
      <c r="O32">
        <v>2</v>
      </c>
      <c r="Q32" t="str">
        <f t="shared" si="11"/>
        <v>UCE_elcaggCap_won_COD</v>
      </c>
      <c r="R32" t="str">
        <f t="shared" si="12"/>
        <v>elcagg_won_COD</v>
      </c>
      <c r="S32">
        <v>-1</v>
      </c>
      <c r="V32" t="s">
        <v>126</v>
      </c>
      <c r="W32" t="str">
        <f t="shared" si="13"/>
        <v>UCE_elcaggCap_wof_ERI</v>
      </c>
      <c r="X32" t="str">
        <f t="shared" si="5"/>
        <v>e?_wof_ERI*</v>
      </c>
      <c r="Y32">
        <v>1</v>
      </c>
      <c r="Z32">
        <v>2</v>
      </c>
      <c r="AB32" t="str">
        <f t="shared" si="14"/>
        <v>UCE_elcaggCap_wof_ERI</v>
      </c>
      <c r="AC32" t="str">
        <f t="shared" si="6"/>
        <v>elcagg_wof_ERI</v>
      </c>
      <c r="AD32">
        <v>-1</v>
      </c>
    </row>
    <row r="33" spans="1:30">
      <c r="A33" t="s">
        <v>108</v>
      </c>
      <c r="B33" t="str">
        <f t="shared" si="7"/>
        <v>UCE_elcaggCap_spv_COG</v>
      </c>
      <c r="C33" t="str">
        <f t="shared" si="3"/>
        <v>e?_spv_COG*</v>
      </c>
      <c r="D33">
        <v>1</v>
      </c>
      <c r="E33">
        <v>2</v>
      </c>
      <c r="G33" t="str">
        <f t="shared" si="8"/>
        <v>UCE_elcaggCap_spv_COG</v>
      </c>
      <c r="H33" t="str">
        <f t="shared" si="9"/>
        <v>elcagg_spv_COG</v>
      </c>
      <c r="I33">
        <v>-1</v>
      </c>
      <c r="K33" t="s">
        <v>108</v>
      </c>
      <c r="L33" t="str">
        <f t="shared" si="10"/>
        <v>UCE_elcaggCap_won_COG</v>
      </c>
      <c r="M33" t="str">
        <f t="shared" si="4"/>
        <v>e?_won_COG*</v>
      </c>
      <c r="N33">
        <v>1</v>
      </c>
      <c r="O33">
        <v>2</v>
      </c>
      <c r="Q33" t="str">
        <f t="shared" si="11"/>
        <v>UCE_elcaggCap_won_COG</v>
      </c>
      <c r="R33" t="str">
        <f t="shared" si="12"/>
        <v>elcagg_won_COG</v>
      </c>
      <c r="S33">
        <v>-1</v>
      </c>
      <c r="V33" t="s">
        <v>127</v>
      </c>
      <c r="W33" t="str">
        <f t="shared" si="13"/>
        <v>UCE_elcaggCap_wof_ESP</v>
      </c>
      <c r="X33" t="str">
        <f t="shared" si="5"/>
        <v>e?_wof_ESP*</v>
      </c>
      <c r="Y33">
        <v>1</v>
      </c>
      <c r="Z33">
        <v>2</v>
      </c>
      <c r="AB33" t="str">
        <f t="shared" si="14"/>
        <v>UCE_elcaggCap_wof_ESP</v>
      </c>
      <c r="AC33" t="str">
        <f t="shared" si="6"/>
        <v>elcagg_wof_ESP</v>
      </c>
      <c r="AD33">
        <v>-1</v>
      </c>
    </row>
    <row r="34" spans="1:30">
      <c r="A34" t="s">
        <v>110</v>
      </c>
      <c r="B34" t="str">
        <f t="shared" si="7"/>
        <v>UCE_elcaggCap_spv_COL</v>
      </c>
      <c r="C34" t="str">
        <f t="shared" si="3"/>
        <v>e?_spv_COL*</v>
      </c>
      <c r="D34">
        <v>1</v>
      </c>
      <c r="E34">
        <v>2</v>
      </c>
      <c r="G34" t="str">
        <f t="shared" si="8"/>
        <v>UCE_elcaggCap_spv_COL</v>
      </c>
      <c r="H34" t="str">
        <f t="shared" si="9"/>
        <v>elcagg_spv_COL</v>
      </c>
      <c r="I34">
        <v>-1</v>
      </c>
      <c r="K34" t="s">
        <v>110</v>
      </c>
      <c r="L34" t="str">
        <f t="shared" si="10"/>
        <v>UCE_elcaggCap_won_COL</v>
      </c>
      <c r="M34" t="str">
        <f t="shared" si="4"/>
        <v>e?_won_COL*</v>
      </c>
      <c r="N34">
        <v>1</v>
      </c>
      <c r="O34">
        <v>2</v>
      </c>
      <c r="Q34" t="str">
        <f t="shared" si="11"/>
        <v>UCE_elcaggCap_won_COL</v>
      </c>
      <c r="R34" t="str">
        <f t="shared" si="12"/>
        <v>elcagg_won_COL</v>
      </c>
      <c r="S34">
        <v>-1</v>
      </c>
      <c r="V34" t="s">
        <v>128</v>
      </c>
      <c r="W34" t="str">
        <f t="shared" si="13"/>
        <v>UCE_elcaggCap_wof_EST</v>
      </c>
      <c r="X34" t="str">
        <f t="shared" si="5"/>
        <v>e?_wof_EST*</v>
      </c>
      <c r="Y34">
        <v>1</v>
      </c>
      <c r="Z34">
        <v>2</v>
      </c>
      <c r="AB34" t="str">
        <f t="shared" si="14"/>
        <v>UCE_elcaggCap_wof_EST</v>
      </c>
      <c r="AC34" t="str">
        <f t="shared" si="6"/>
        <v>elcagg_wof_EST</v>
      </c>
      <c r="AD34">
        <v>-1</v>
      </c>
    </row>
    <row r="35" spans="1:30">
      <c r="A35" t="s">
        <v>112</v>
      </c>
      <c r="B35" t="str">
        <f t="shared" si="7"/>
        <v>UCE_elcaggCap_spv_CRI</v>
      </c>
      <c r="C35" t="str">
        <f t="shared" si="3"/>
        <v>e?_spv_CRI*</v>
      </c>
      <c r="D35">
        <v>1</v>
      </c>
      <c r="E35">
        <v>2</v>
      </c>
      <c r="G35" t="str">
        <f t="shared" si="8"/>
        <v>UCE_elcaggCap_spv_CRI</v>
      </c>
      <c r="H35" t="str">
        <f t="shared" si="9"/>
        <v>elcagg_spv_CRI</v>
      </c>
      <c r="I35">
        <v>-1</v>
      </c>
      <c r="K35" t="s">
        <v>112</v>
      </c>
      <c r="L35" t="str">
        <f t="shared" si="10"/>
        <v>UCE_elcaggCap_won_CRI</v>
      </c>
      <c r="M35" t="str">
        <f t="shared" si="4"/>
        <v>e?_won_CRI*</v>
      </c>
      <c r="N35">
        <v>1</v>
      </c>
      <c r="O35">
        <v>2</v>
      </c>
      <c r="Q35" t="str">
        <f t="shared" si="11"/>
        <v>UCE_elcaggCap_won_CRI</v>
      </c>
      <c r="R35" t="str">
        <f t="shared" si="12"/>
        <v>elcagg_won_CRI</v>
      </c>
      <c r="S35">
        <v>-1</v>
      </c>
      <c r="V35" t="s">
        <v>129</v>
      </c>
      <c r="W35" t="str">
        <f t="shared" si="13"/>
        <v>UCE_elcaggCap_wof_FIN</v>
      </c>
      <c r="X35" t="str">
        <f t="shared" si="5"/>
        <v>e?_wof_FIN*</v>
      </c>
      <c r="Y35">
        <v>1</v>
      </c>
      <c r="Z35">
        <v>2</v>
      </c>
      <c r="AB35" t="str">
        <f t="shared" si="14"/>
        <v>UCE_elcaggCap_wof_FIN</v>
      </c>
      <c r="AC35" t="str">
        <f t="shared" si="6"/>
        <v>elcagg_wof_FIN</v>
      </c>
      <c r="AD35">
        <v>-1</v>
      </c>
    </row>
    <row r="36" spans="1:30">
      <c r="A36" t="s">
        <v>113</v>
      </c>
      <c r="B36" t="str">
        <f t="shared" si="7"/>
        <v>UCE_elcaggCap_spv_CUB</v>
      </c>
      <c r="C36" t="str">
        <f t="shared" si="3"/>
        <v>e?_spv_CUB*</v>
      </c>
      <c r="D36">
        <v>1</v>
      </c>
      <c r="E36">
        <v>2</v>
      </c>
      <c r="G36" t="str">
        <f t="shared" si="8"/>
        <v>UCE_elcaggCap_spv_CUB</v>
      </c>
      <c r="H36" t="str">
        <f t="shared" si="9"/>
        <v>elcagg_spv_CUB</v>
      </c>
      <c r="I36">
        <v>-1</v>
      </c>
      <c r="K36" t="s">
        <v>113</v>
      </c>
      <c r="L36" t="str">
        <f t="shared" si="10"/>
        <v>UCE_elcaggCap_won_CUB</v>
      </c>
      <c r="M36" t="str">
        <f t="shared" si="4"/>
        <v>e?_won_CUB*</v>
      </c>
      <c r="N36">
        <v>1</v>
      </c>
      <c r="O36">
        <v>2</v>
      </c>
      <c r="Q36" t="str">
        <f t="shared" si="11"/>
        <v>UCE_elcaggCap_won_CUB</v>
      </c>
      <c r="R36" t="str">
        <f t="shared" si="12"/>
        <v>elcagg_won_CUB</v>
      </c>
      <c r="S36">
        <v>-1</v>
      </c>
      <c r="V36" t="s">
        <v>130</v>
      </c>
      <c r="W36" t="str">
        <f t="shared" si="13"/>
        <v>UCE_elcaggCap_wof_FRA</v>
      </c>
      <c r="X36" t="str">
        <f t="shared" si="5"/>
        <v>e?_wof_FRA*</v>
      </c>
      <c r="Y36">
        <v>1</v>
      </c>
      <c r="Z36">
        <v>2</v>
      </c>
      <c r="AB36" t="str">
        <f t="shared" si="14"/>
        <v>UCE_elcaggCap_wof_FRA</v>
      </c>
      <c r="AC36" t="str">
        <f t="shared" si="6"/>
        <v>elcagg_wof_FRA</v>
      </c>
      <c r="AD36">
        <v>-1</v>
      </c>
    </row>
    <row r="37" spans="1:30">
      <c r="A37" t="s">
        <v>131</v>
      </c>
      <c r="B37" t="str">
        <f t="shared" si="7"/>
        <v>UCE_elcaggCap_spv_CZE</v>
      </c>
      <c r="C37" t="str">
        <f t="shared" si="3"/>
        <v>e?_spv_CZE*</v>
      </c>
      <c r="D37">
        <v>1</v>
      </c>
      <c r="E37">
        <v>2</v>
      </c>
      <c r="G37" t="str">
        <f t="shared" si="8"/>
        <v>UCE_elcaggCap_spv_CZE</v>
      </c>
      <c r="H37" t="str">
        <f t="shared" si="9"/>
        <v>elcagg_spv_CZE</v>
      </c>
      <c r="I37">
        <v>-1</v>
      </c>
      <c r="K37" t="s">
        <v>131</v>
      </c>
      <c r="L37" t="str">
        <f t="shared" si="10"/>
        <v>UCE_elcaggCap_won_CZE</v>
      </c>
      <c r="M37" t="str">
        <f t="shared" si="4"/>
        <v>e?_won_CZE*</v>
      </c>
      <c r="N37">
        <v>1</v>
      </c>
      <c r="O37">
        <v>2</v>
      </c>
      <c r="Q37" t="str">
        <f t="shared" si="11"/>
        <v>UCE_elcaggCap_won_CZE</v>
      </c>
      <c r="R37" t="str">
        <f t="shared" si="12"/>
        <v>elcagg_won_CZE</v>
      </c>
      <c r="S37">
        <v>-1</v>
      </c>
      <c r="V37" t="s">
        <v>132</v>
      </c>
      <c r="W37" t="str">
        <f t="shared" si="13"/>
        <v>UCE_elcaggCap_wof_GAB</v>
      </c>
      <c r="X37" t="str">
        <f t="shared" si="5"/>
        <v>e?_wof_GAB*</v>
      </c>
      <c r="Y37">
        <v>1</v>
      </c>
      <c r="Z37">
        <v>2</v>
      </c>
      <c r="AB37" t="str">
        <f t="shared" si="14"/>
        <v>UCE_elcaggCap_wof_GAB</v>
      </c>
      <c r="AC37" t="str">
        <f t="shared" si="6"/>
        <v>elcagg_wof_GAB</v>
      </c>
      <c r="AD37">
        <v>-1</v>
      </c>
    </row>
    <row r="38" spans="1:30">
      <c r="A38" t="s">
        <v>117</v>
      </c>
      <c r="B38" t="str">
        <f t="shared" si="7"/>
        <v>UCE_elcaggCap_spv_DEU</v>
      </c>
      <c r="C38" t="str">
        <f t="shared" si="3"/>
        <v>e?_spv_DEU*</v>
      </c>
      <c r="D38">
        <v>1</v>
      </c>
      <c r="E38">
        <v>2</v>
      </c>
      <c r="G38" t="str">
        <f t="shared" si="8"/>
        <v>UCE_elcaggCap_spv_DEU</v>
      </c>
      <c r="H38" t="str">
        <f t="shared" si="9"/>
        <v>elcagg_spv_DEU</v>
      </c>
      <c r="I38">
        <v>-1</v>
      </c>
      <c r="K38" t="s">
        <v>117</v>
      </c>
      <c r="L38" t="str">
        <f t="shared" si="10"/>
        <v>UCE_elcaggCap_won_DEU</v>
      </c>
      <c r="M38" t="str">
        <f t="shared" si="4"/>
        <v>e?_won_DEU*</v>
      </c>
      <c r="N38">
        <v>1</v>
      </c>
      <c r="O38">
        <v>2</v>
      </c>
      <c r="Q38" t="str">
        <f t="shared" si="11"/>
        <v>UCE_elcaggCap_won_DEU</v>
      </c>
      <c r="R38" t="str">
        <f t="shared" si="12"/>
        <v>elcagg_won_DEU</v>
      </c>
      <c r="S38">
        <v>-1</v>
      </c>
      <c r="V38" t="s">
        <v>133</v>
      </c>
      <c r="W38" t="str">
        <f t="shared" si="13"/>
        <v>UCE_elcaggCap_wof_GBR</v>
      </c>
      <c r="X38" t="str">
        <f t="shared" si="5"/>
        <v>e?_wof_GBR*</v>
      </c>
      <c r="Y38">
        <v>1</v>
      </c>
      <c r="Z38">
        <v>2</v>
      </c>
      <c r="AB38" t="str">
        <f t="shared" si="14"/>
        <v>UCE_elcaggCap_wof_GBR</v>
      </c>
      <c r="AC38" t="str">
        <f t="shared" si="6"/>
        <v>elcagg_wof_GBR</v>
      </c>
      <c r="AD38">
        <v>-1</v>
      </c>
    </row>
    <row r="39" spans="1:30">
      <c r="A39" t="s">
        <v>118</v>
      </c>
      <c r="B39" t="str">
        <f t="shared" si="7"/>
        <v>UCE_elcaggCap_spv_DJI</v>
      </c>
      <c r="C39" t="str">
        <f t="shared" si="3"/>
        <v>e?_spv_DJI*</v>
      </c>
      <c r="D39">
        <v>1</v>
      </c>
      <c r="E39">
        <v>2</v>
      </c>
      <c r="G39" t="str">
        <f t="shared" si="8"/>
        <v>UCE_elcaggCap_spv_DJI</v>
      </c>
      <c r="H39" t="str">
        <f t="shared" si="9"/>
        <v>elcagg_spv_DJI</v>
      </c>
      <c r="I39">
        <v>-1</v>
      </c>
      <c r="K39" t="s">
        <v>118</v>
      </c>
      <c r="L39" t="str">
        <f t="shared" si="10"/>
        <v>UCE_elcaggCap_won_DJI</v>
      </c>
      <c r="M39" t="str">
        <f t="shared" si="4"/>
        <v>e?_won_DJI*</v>
      </c>
      <c r="N39">
        <v>1</v>
      </c>
      <c r="O39">
        <v>2</v>
      </c>
      <c r="Q39" t="str">
        <f t="shared" si="11"/>
        <v>UCE_elcaggCap_won_DJI</v>
      </c>
      <c r="R39" t="str">
        <f t="shared" si="12"/>
        <v>elcagg_won_DJI</v>
      </c>
      <c r="S39">
        <v>-1</v>
      </c>
      <c r="V39" t="s">
        <v>134</v>
      </c>
      <c r="W39" t="str">
        <f t="shared" si="13"/>
        <v>UCE_elcaggCap_wof_GEO</v>
      </c>
      <c r="X39" t="str">
        <f t="shared" si="5"/>
        <v>e?_wof_GEO*</v>
      </c>
      <c r="Y39">
        <v>1</v>
      </c>
      <c r="Z39">
        <v>2</v>
      </c>
      <c r="AB39" t="str">
        <f t="shared" si="14"/>
        <v>UCE_elcaggCap_wof_GEO</v>
      </c>
      <c r="AC39" t="str">
        <f t="shared" si="6"/>
        <v>elcagg_wof_GEO</v>
      </c>
      <c r="AD39">
        <v>-1</v>
      </c>
    </row>
    <row r="40" spans="1:30">
      <c r="A40" t="s">
        <v>120</v>
      </c>
      <c r="B40" t="str">
        <f t="shared" si="7"/>
        <v>UCE_elcaggCap_spv_DNK</v>
      </c>
      <c r="C40" t="str">
        <f t="shared" si="3"/>
        <v>e?_spv_DNK*</v>
      </c>
      <c r="D40">
        <v>1</v>
      </c>
      <c r="E40">
        <v>2</v>
      </c>
      <c r="G40" t="str">
        <f t="shared" si="8"/>
        <v>UCE_elcaggCap_spv_DNK</v>
      </c>
      <c r="H40" t="str">
        <f t="shared" si="9"/>
        <v>elcagg_spv_DNK</v>
      </c>
      <c r="I40">
        <v>-1</v>
      </c>
      <c r="K40" t="s">
        <v>120</v>
      </c>
      <c r="L40" t="str">
        <f t="shared" si="10"/>
        <v>UCE_elcaggCap_won_DNK</v>
      </c>
      <c r="M40" t="str">
        <f t="shared" si="4"/>
        <v>e?_won_DNK*</v>
      </c>
      <c r="N40">
        <v>1</v>
      </c>
      <c r="O40">
        <v>2</v>
      </c>
      <c r="Q40" t="str">
        <f t="shared" si="11"/>
        <v>UCE_elcaggCap_won_DNK</v>
      </c>
      <c r="R40" t="str">
        <f t="shared" si="12"/>
        <v>elcagg_won_DNK</v>
      </c>
      <c r="S40">
        <v>-1</v>
      </c>
      <c r="V40" t="s">
        <v>135</v>
      </c>
      <c r="W40" t="str">
        <f t="shared" si="13"/>
        <v>UCE_elcaggCap_wof_GHA</v>
      </c>
      <c r="X40" t="str">
        <f t="shared" si="5"/>
        <v>e?_wof_GHA*</v>
      </c>
      <c r="Y40">
        <v>1</v>
      </c>
      <c r="Z40">
        <v>2</v>
      </c>
      <c r="AB40" t="str">
        <f t="shared" si="14"/>
        <v>UCE_elcaggCap_wof_GHA</v>
      </c>
      <c r="AC40" t="str">
        <f t="shared" si="6"/>
        <v>elcagg_wof_GHA</v>
      </c>
      <c r="AD40">
        <v>-1</v>
      </c>
    </row>
    <row r="41" spans="1:30">
      <c r="A41" t="s">
        <v>121</v>
      </c>
      <c r="B41" t="str">
        <f t="shared" si="7"/>
        <v>UCE_elcaggCap_spv_DOM</v>
      </c>
      <c r="C41" t="str">
        <f t="shared" si="3"/>
        <v>e?_spv_DOM*</v>
      </c>
      <c r="D41">
        <v>1</v>
      </c>
      <c r="E41">
        <v>2</v>
      </c>
      <c r="G41" t="str">
        <f t="shared" si="8"/>
        <v>UCE_elcaggCap_spv_DOM</v>
      </c>
      <c r="H41" t="str">
        <f t="shared" si="9"/>
        <v>elcagg_spv_DOM</v>
      </c>
      <c r="I41">
        <v>-1</v>
      </c>
      <c r="K41" t="s">
        <v>121</v>
      </c>
      <c r="L41" t="str">
        <f t="shared" si="10"/>
        <v>UCE_elcaggCap_won_DOM</v>
      </c>
      <c r="M41" t="str">
        <f t="shared" si="4"/>
        <v>e?_won_DOM*</v>
      </c>
      <c r="N41">
        <v>1</v>
      </c>
      <c r="O41">
        <v>2</v>
      </c>
      <c r="Q41" t="str">
        <f t="shared" si="11"/>
        <v>UCE_elcaggCap_won_DOM</v>
      </c>
      <c r="R41" t="str">
        <f t="shared" si="12"/>
        <v>elcagg_won_DOM</v>
      </c>
      <c r="S41">
        <v>-1</v>
      </c>
      <c r="V41" t="s">
        <v>136</v>
      </c>
      <c r="W41" t="str">
        <f t="shared" si="13"/>
        <v>UCE_elcaggCap_wof_GIN</v>
      </c>
      <c r="X41" t="str">
        <f t="shared" si="5"/>
        <v>e?_wof_GIN*</v>
      </c>
      <c r="Y41">
        <v>1</v>
      </c>
      <c r="Z41">
        <v>2</v>
      </c>
      <c r="AB41" t="str">
        <f t="shared" si="14"/>
        <v>UCE_elcaggCap_wof_GIN</v>
      </c>
      <c r="AC41" t="str">
        <f t="shared" si="6"/>
        <v>elcagg_wof_GIN</v>
      </c>
      <c r="AD41">
        <v>-1</v>
      </c>
    </row>
    <row r="42" spans="1:30">
      <c r="A42" t="s">
        <v>122</v>
      </c>
      <c r="B42" t="str">
        <f t="shared" si="7"/>
        <v>UCE_elcaggCap_spv_DZA</v>
      </c>
      <c r="C42" t="str">
        <f t="shared" si="3"/>
        <v>e?_spv_DZA*</v>
      </c>
      <c r="D42">
        <v>1</v>
      </c>
      <c r="E42">
        <v>2</v>
      </c>
      <c r="G42" t="str">
        <f t="shared" si="8"/>
        <v>UCE_elcaggCap_spv_DZA</v>
      </c>
      <c r="H42" t="str">
        <f t="shared" si="9"/>
        <v>elcagg_spv_DZA</v>
      </c>
      <c r="I42">
        <v>-1</v>
      </c>
      <c r="K42" t="s">
        <v>122</v>
      </c>
      <c r="L42" t="str">
        <f t="shared" si="10"/>
        <v>UCE_elcaggCap_won_DZA</v>
      </c>
      <c r="M42" t="str">
        <f t="shared" si="4"/>
        <v>e?_won_DZA*</v>
      </c>
      <c r="N42">
        <v>1</v>
      </c>
      <c r="O42">
        <v>2</v>
      </c>
      <c r="Q42" t="str">
        <f t="shared" si="11"/>
        <v>UCE_elcaggCap_won_DZA</v>
      </c>
      <c r="R42" t="str">
        <f t="shared" si="12"/>
        <v>elcagg_won_DZA</v>
      </c>
      <c r="S42">
        <v>-1</v>
      </c>
      <c r="V42" t="s">
        <v>137</v>
      </c>
      <c r="W42" t="str">
        <f t="shared" si="13"/>
        <v>UCE_elcaggCap_wof_GNB</v>
      </c>
      <c r="X42" t="str">
        <f t="shared" si="5"/>
        <v>e?_wof_GNB*</v>
      </c>
      <c r="Y42">
        <v>1</v>
      </c>
      <c r="Z42">
        <v>2</v>
      </c>
      <c r="AB42" t="str">
        <f t="shared" si="14"/>
        <v>UCE_elcaggCap_wof_GNB</v>
      </c>
      <c r="AC42" t="str">
        <f t="shared" si="6"/>
        <v>elcagg_wof_GNB</v>
      </c>
      <c r="AD42">
        <v>-1</v>
      </c>
    </row>
    <row r="43" spans="1:30">
      <c r="A43" t="s">
        <v>123</v>
      </c>
      <c r="B43" t="str">
        <f t="shared" si="7"/>
        <v>UCE_elcaggCap_spv_ECU</v>
      </c>
      <c r="C43" t="str">
        <f t="shared" si="3"/>
        <v>e?_spv_ECU*</v>
      </c>
      <c r="D43">
        <v>1</v>
      </c>
      <c r="E43">
        <v>2</v>
      </c>
      <c r="G43" t="str">
        <f t="shared" si="8"/>
        <v>UCE_elcaggCap_spv_ECU</v>
      </c>
      <c r="H43" t="str">
        <f t="shared" si="9"/>
        <v>elcagg_spv_ECU</v>
      </c>
      <c r="I43">
        <v>-1</v>
      </c>
      <c r="K43" t="s">
        <v>123</v>
      </c>
      <c r="L43" t="str">
        <f t="shared" si="10"/>
        <v>UCE_elcaggCap_won_ECU</v>
      </c>
      <c r="M43" t="str">
        <f t="shared" si="4"/>
        <v>e?_won_ECU*</v>
      </c>
      <c r="N43">
        <v>1</v>
      </c>
      <c r="O43">
        <v>2</v>
      </c>
      <c r="Q43" t="str">
        <f t="shared" si="11"/>
        <v>UCE_elcaggCap_won_ECU</v>
      </c>
      <c r="R43" t="str">
        <f t="shared" si="12"/>
        <v>elcagg_won_ECU</v>
      </c>
      <c r="S43">
        <v>-1</v>
      </c>
      <c r="V43" t="s">
        <v>138</v>
      </c>
      <c r="W43" t="str">
        <f t="shared" si="13"/>
        <v>UCE_elcaggCap_wof_GNQ</v>
      </c>
      <c r="X43" t="str">
        <f t="shared" si="5"/>
        <v>e?_wof_GNQ*</v>
      </c>
      <c r="Y43">
        <v>1</v>
      </c>
      <c r="Z43">
        <v>2</v>
      </c>
      <c r="AB43" t="str">
        <f t="shared" si="14"/>
        <v>UCE_elcaggCap_wof_GNQ</v>
      </c>
      <c r="AC43" t="str">
        <f t="shared" si="6"/>
        <v>elcagg_wof_GNQ</v>
      </c>
      <c r="AD43">
        <v>-1</v>
      </c>
    </row>
    <row r="44" spans="1:30">
      <c r="A44" t="s">
        <v>125</v>
      </c>
      <c r="B44" t="str">
        <f t="shared" si="7"/>
        <v>UCE_elcaggCap_spv_EGY</v>
      </c>
      <c r="C44" t="str">
        <f t="shared" si="3"/>
        <v>e?_spv_EGY*</v>
      </c>
      <c r="D44">
        <v>1</v>
      </c>
      <c r="E44">
        <v>2</v>
      </c>
      <c r="G44" t="str">
        <f t="shared" si="8"/>
        <v>UCE_elcaggCap_spv_EGY</v>
      </c>
      <c r="H44" t="str">
        <f t="shared" si="9"/>
        <v>elcagg_spv_EGY</v>
      </c>
      <c r="I44">
        <v>-1</v>
      </c>
      <c r="K44" t="s">
        <v>125</v>
      </c>
      <c r="L44" t="str">
        <f t="shared" si="10"/>
        <v>UCE_elcaggCap_won_EGY</v>
      </c>
      <c r="M44" t="str">
        <f t="shared" si="4"/>
        <v>e?_won_EGY*</v>
      </c>
      <c r="N44">
        <v>1</v>
      </c>
      <c r="O44">
        <v>2</v>
      </c>
      <c r="Q44" t="str">
        <f t="shared" si="11"/>
        <v>UCE_elcaggCap_won_EGY</v>
      </c>
      <c r="R44" t="str">
        <f t="shared" si="12"/>
        <v>elcagg_won_EGY</v>
      </c>
      <c r="S44">
        <v>-1</v>
      </c>
      <c r="V44" t="s">
        <v>139</v>
      </c>
      <c r="W44" t="str">
        <f t="shared" si="13"/>
        <v>UCE_elcaggCap_wof_GRC</v>
      </c>
      <c r="X44" t="str">
        <f t="shared" si="5"/>
        <v>e?_wof_GRC*</v>
      </c>
      <c r="Y44">
        <v>1</v>
      </c>
      <c r="Z44">
        <v>2</v>
      </c>
      <c r="AB44" t="str">
        <f t="shared" si="14"/>
        <v>UCE_elcaggCap_wof_GRC</v>
      </c>
      <c r="AC44" t="str">
        <f t="shared" si="6"/>
        <v>elcagg_wof_GRC</v>
      </c>
      <c r="AD44">
        <v>-1</v>
      </c>
    </row>
    <row r="45" spans="1:30">
      <c r="A45" t="s">
        <v>126</v>
      </c>
      <c r="B45" t="str">
        <f t="shared" si="7"/>
        <v>UCE_elcaggCap_spv_ERI</v>
      </c>
      <c r="C45" t="str">
        <f t="shared" si="3"/>
        <v>e?_spv_ERI*</v>
      </c>
      <c r="D45">
        <v>1</v>
      </c>
      <c r="E45">
        <v>2</v>
      </c>
      <c r="G45" t="str">
        <f t="shared" si="8"/>
        <v>UCE_elcaggCap_spv_ERI</v>
      </c>
      <c r="H45" t="str">
        <f t="shared" si="9"/>
        <v>elcagg_spv_ERI</v>
      </c>
      <c r="I45">
        <v>-1</v>
      </c>
      <c r="K45" t="s">
        <v>126</v>
      </c>
      <c r="L45" t="str">
        <f t="shared" si="10"/>
        <v>UCE_elcaggCap_won_ERI</v>
      </c>
      <c r="M45" t="str">
        <f t="shared" si="4"/>
        <v>e?_won_ERI*</v>
      </c>
      <c r="N45">
        <v>1</v>
      </c>
      <c r="O45">
        <v>2</v>
      </c>
      <c r="Q45" t="str">
        <f t="shared" si="11"/>
        <v>UCE_elcaggCap_won_ERI</v>
      </c>
      <c r="R45" t="str">
        <f t="shared" si="12"/>
        <v>elcagg_won_ERI</v>
      </c>
      <c r="S45">
        <v>-1</v>
      </c>
      <c r="V45" t="s">
        <v>140</v>
      </c>
      <c r="W45" t="str">
        <f t="shared" si="13"/>
        <v>UCE_elcaggCap_wof_GTM</v>
      </c>
      <c r="X45" t="str">
        <f t="shared" si="5"/>
        <v>e?_wof_GTM*</v>
      </c>
      <c r="Y45">
        <v>1</v>
      </c>
      <c r="Z45">
        <v>2</v>
      </c>
      <c r="AB45" t="str">
        <f t="shared" si="14"/>
        <v>UCE_elcaggCap_wof_GTM</v>
      </c>
      <c r="AC45" t="str">
        <f t="shared" si="6"/>
        <v>elcagg_wof_GTM</v>
      </c>
      <c r="AD45">
        <v>-1</v>
      </c>
    </row>
    <row r="46" spans="1:30">
      <c r="A46" t="s">
        <v>127</v>
      </c>
      <c r="B46" t="str">
        <f t="shared" si="7"/>
        <v>UCE_elcaggCap_spv_ESP</v>
      </c>
      <c r="C46" t="str">
        <f t="shared" si="3"/>
        <v>e?_spv_ESP*</v>
      </c>
      <c r="D46">
        <v>1</v>
      </c>
      <c r="E46">
        <v>2</v>
      </c>
      <c r="G46" t="str">
        <f t="shared" si="8"/>
        <v>UCE_elcaggCap_spv_ESP</v>
      </c>
      <c r="H46" t="str">
        <f t="shared" si="9"/>
        <v>elcagg_spv_ESP</v>
      </c>
      <c r="I46">
        <v>-1</v>
      </c>
      <c r="K46" t="s">
        <v>127</v>
      </c>
      <c r="L46" t="str">
        <f t="shared" si="10"/>
        <v>UCE_elcaggCap_won_ESP</v>
      </c>
      <c r="M46" t="str">
        <f t="shared" si="4"/>
        <v>e?_won_ESP*</v>
      </c>
      <c r="N46">
        <v>1</v>
      </c>
      <c r="O46">
        <v>2</v>
      </c>
      <c r="Q46" t="str">
        <f t="shared" si="11"/>
        <v>UCE_elcaggCap_won_ESP</v>
      </c>
      <c r="R46" t="str">
        <f t="shared" si="12"/>
        <v>elcagg_won_ESP</v>
      </c>
      <c r="S46">
        <v>-1</v>
      </c>
      <c r="V46" t="s">
        <v>141</v>
      </c>
      <c r="W46" t="str">
        <f t="shared" si="13"/>
        <v>UCE_elcaggCap_wof_GUY</v>
      </c>
      <c r="X46" t="str">
        <f t="shared" si="5"/>
        <v>e?_wof_GUY*</v>
      </c>
      <c r="Y46">
        <v>1</v>
      </c>
      <c r="Z46">
        <v>2</v>
      </c>
      <c r="AB46" t="str">
        <f t="shared" si="14"/>
        <v>UCE_elcaggCap_wof_GUY</v>
      </c>
      <c r="AC46" t="str">
        <f t="shared" si="6"/>
        <v>elcagg_wof_GUY</v>
      </c>
      <c r="AD46">
        <v>-1</v>
      </c>
    </row>
    <row r="47" spans="1:30">
      <c r="A47" t="s">
        <v>128</v>
      </c>
      <c r="B47" t="str">
        <f t="shared" si="7"/>
        <v>UCE_elcaggCap_spv_EST</v>
      </c>
      <c r="C47" t="str">
        <f t="shared" si="3"/>
        <v>e?_spv_EST*</v>
      </c>
      <c r="D47">
        <v>1</v>
      </c>
      <c r="E47">
        <v>2</v>
      </c>
      <c r="G47" t="str">
        <f t="shared" si="8"/>
        <v>UCE_elcaggCap_spv_EST</v>
      </c>
      <c r="H47" t="str">
        <f t="shared" si="9"/>
        <v>elcagg_spv_EST</v>
      </c>
      <c r="I47">
        <v>-1</v>
      </c>
      <c r="K47" t="s">
        <v>128</v>
      </c>
      <c r="L47" t="str">
        <f t="shared" si="10"/>
        <v>UCE_elcaggCap_won_EST</v>
      </c>
      <c r="M47" t="str">
        <f t="shared" si="4"/>
        <v>e?_won_EST*</v>
      </c>
      <c r="N47">
        <v>1</v>
      </c>
      <c r="O47">
        <v>2</v>
      </c>
      <c r="Q47" t="str">
        <f t="shared" si="11"/>
        <v>UCE_elcaggCap_won_EST</v>
      </c>
      <c r="R47" t="str">
        <f t="shared" si="12"/>
        <v>elcagg_won_EST</v>
      </c>
      <c r="S47">
        <v>-1</v>
      </c>
      <c r="V47" t="s">
        <v>142</v>
      </c>
      <c r="W47" t="str">
        <f t="shared" si="13"/>
        <v>UCE_elcaggCap_wof_HND</v>
      </c>
      <c r="X47" t="str">
        <f t="shared" si="5"/>
        <v>e?_wof_HND*</v>
      </c>
      <c r="Y47">
        <v>1</v>
      </c>
      <c r="Z47">
        <v>2</v>
      </c>
      <c r="AB47" t="str">
        <f t="shared" si="14"/>
        <v>UCE_elcaggCap_wof_HND</v>
      </c>
      <c r="AC47" t="str">
        <f t="shared" si="6"/>
        <v>elcagg_wof_HND</v>
      </c>
      <c r="AD47">
        <v>-1</v>
      </c>
    </row>
    <row r="48" spans="1:30">
      <c r="A48" t="s">
        <v>143</v>
      </c>
      <c r="B48" t="str">
        <f t="shared" si="7"/>
        <v>UCE_elcaggCap_spv_ETH</v>
      </c>
      <c r="C48" t="str">
        <f t="shared" si="3"/>
        <v>e?_spv_ETH*</v>
      </c>
      <c r="D48">
        <v>1</v>
      </c>
      <c r="E48">
        <v>2</v>
      </c>
      <c r="G48" t="str">
        <f t="shared" si="8"/>
        <v>UCE_elcaggCap_spv_ETH</v>
      </c>
      <c r="H48" t="str">
        <f t="shared" si="9"/>
        <v>elcagg_spv_ETH</v>
      </c>
      <c r="I48">
        <v>-1</v>
      </c>
      <c r="K48" t="s">
        <v>143</v>
      </c>
      <c r="L48" t="str">
        <f t="shared" si="10"/>
        <v>UCE_elcaggCap_won_ETH</v>
      </c>
      <c r="M48" t="str">
        <f t="shared" si="4"/>
        <v>e?_won_ETH*</v>
      </c>
      <c r="N48">
        <v>1</v>
      </c>
      <c r="O48">
        <v>2</v>
      </c>
      <c r="Q48" t="str">
        <f t="shared" si="11"/>
        <v>UCE_elcaggCap_won_ETH</v>
      </c>
      <c r="R48" t="str">
        <f t="shared" si="12"/>
        <v>elcagg_won_ETH</v>
      </c>
      <c r="S48">
        <v>-1</v>
      </c>
      <c r="V48" t="s">
        <v>144</v>
      </c>
      <c r="W48" t="str">
        <f t="shared" si="13"/>
        <v>UCE_elcaggCap_wof_HRV</v>
      </c>
      <c r="X48" t="str">
        <f t="shared" si="5"/>
        <v>e?_wof_HRV*</v>
      </c>
      <c r="Y48">
        <v>1</v>
      </c>
      <c r="Z48">
        <v>2</v>
      </c>
      <c r="AB48" t="str">
        <f t="shared" si="14"/>
        <v>UCE_elcaggCap_wof_HRV</v>
      </c>
      <c r="AC48" t="str">
        <f t="shared" si="6"/>
        <v>elcagg_wof_HRV</v>
      </c>
      <c r="AD48">
        <v>-1</v>
      </c>
    </row>
    <row r="49" spans="1:30">
      <c r="A49" t="s">
        <v>130</v>
      </c>
      <c r="B49" t="str">
        <f t="shared" si="7"/>
        <v>UCE_elcaggCap_spv_FRA</v>
      </c>
      <c r="C49" t="str">
        <f t="shared" si="3"/>
        <v>e?_spv_FRA*</v>
      </c>
      <c r="D49">
        <v>1</v>
      </c>
      <c r="E49">
        <v>2</v>
      </c>
      <c r="G49" t="str">
        <f t="shared" si="8"/>
        <v>UCE_elcaggCap_spv_FRA</v>
      </c>
      <c r="H49" t="str">
        <f t="shared" si="9"/>
        <v>elcagg_spv_FRA</v>
      </c>
      <c r="I49">
        <v>-1</v>
      </c>
      <c r="K49" t="s">
        <v>129</v>
      </c>
      <c r="L49" t="str">
        <f t="shared" si="10"/>
        <v>UCE_elcaggCap_won_FIN</v>
      </c>
      <c r="M49" t="str">
        <f t="shared" si="4"/>
        <v>e?_won_FIN*</v>
      </c>
      <c r="N49">
        <v>1</v>
      </c>
      <c r="O49">
        <v>2</v>
      </c>
      <c r="Q49" t="str">
        <f t="shared" si="11"/>
        <v>UCE_elcaggCap_won_FIN</v>
      </c>
      <c r="R49" t="str">
        <f t="shared" si="12"/>
        <v>elcagg_won_FIN</v>
      </c>
      <c r="S49">
        <v>-1</v>
      </c>
      <c r="V49" t="s">
        <v>145</v>
      </c>
      <c r="W49" t="str">
        <f t="shared" si="13"/>
        <v>UCE_elcaggCap_wof_HTI</v>
      </c>
      <c r="X49" t="str">
        <f t="shared" si="5"/>
        <v>e?_wof_HTI*</v>
      </c>
      <c r="Y49">
        <v>1</v>
      </c>
      <c r="Z49">
        <v>2</v>
      </c>
      <c r="AB49" t="str">
        <f t="shared" si="14"/>
        <v>UCE_elcaggCap_wof_HTI</v>
      </c>
      <c r="AC49" t="str">
        <f t="shared" si="6"/>
        <v>elcagg_wof_HTI</v>
      </c>
      <c r="AD49">
        <v>-1</v>
      </c>
    </row>
    <row r="50" spans="1:30">
      <c r="A50" t="s">
        <v>132</v>
      </c>
      <c r="B50" t="str">
        <f t="shared" si="7"/>
        <v>UCE_elcaggCap_spv_GAB</v>
      </c>
      <c r="C50" t="str">
        <f t="shared" si="3"/>
        <v>e?_spv_GAB*</v>
      </c>
      <c r="D50">
        <v>1</v>
      </c>
      <c r="E50">
        <v>2</v>
      </c>
      <c r="G50" t="str">
        <f t="shared" si="8"/>
        <v>UCE_elcaggCap_spv_GAB</v>
      </c>
      <c r="H50" t="str">
        <f t="shared" si="9"/>
        <v>elcagg_spv_GAB</v>
      </c>
      <c r="I50">
        <v>-1</v>
      </c>
      <c r="K50" t="s">
        <v>130</v>
      </c>
      <c r="L50" t="str">
        <f t="shared" si="10"/>
        <v>UCE_elcaggCap_won_FRA</v>
      </c>
      <c r="M50" t="str">
        <f t="shared" si="4"/>
        <v>e?_won_FRA*</v>
      </c>
      <c r="N50">
        <v>1</v>
      </c>
      <c r="O50">
        <v>2</v>
      </c>
      <c r="Q50" t="str">
        <f t="shared" si="11"/>
        <v>UCE_elcaggCap_won_FRA</v>
      </c>
      <c r="R50" t="str">
        <f t="shared" si="12"/>
        <v>elcagg_won_FRA</v>
      </c>
      <c r="S50">
        <v>-1</v>
      </c>
      <c r="V50" t="s">
        <v>146</v>
      </c>
      <c r="W50" t="str">
        <f t="shared" si="13"/>
        <v>UCE_elcaggCap_wof_IDN</v>
      </c>
      <c r="X50" t="str">
        <f t="shared" si="5"/>
        <v>e?_wof_IDN*</v>
      </c>
      <c r="Y50">
        <v>1</v>
      </c>
      <c r="Z50">
        <v>2</v>
      </c>
      <c r="AB50" t="str">
        <f t="shared" si="14"/>
        <v>UCE_elcaggCap_wof_IDN</v>
      </c>
      <c r="AC50" t="str">
        <f t="shared" si="6"/>
        <v>elcagg_wof_IDN</v>
      </c>
      <c r="AD50">
        <v>-1</v>
      </c>
    </row>
    <row r="51" spans="1:30">
      <c r="A51" t="s">
        <v>133</v>
      </c>
      <c r="B51" t="str">
        <f t="shared" si="7"/>
        <v>UCE_elcaggCap_spv_GBR</v>
      </c>
      <c r="C51" t="str">
        <f t="shared" si="3"/>
        <v>e?_spv_GBR*</v>
      </c>
      <c r="D51">
        <v>1</v>
      </c>
      <c r="E51">
        <v>2</v>
      </c>
      <c r="G51" t="str">
        <f t="shared" si="8"/>
        <v>UCE_elcaggCap_spv_GBR</v>
      </c>
      <c r="H51" t="str">
        <f t="shared" si="9"/>
        <v>elcagg_spv_GBR</v>
      </c>
      <c r="I51">
        <v>-1</v>
      </c>
      <c r="K51" t="s">
        <v>132</v>
      </c>
      <c r="L51" t="str">
        <f t="shared" si="10"/>
        <v>UCE_elcaggCap_won_GAB</v>
      </c>
      <c r="M51" t="str">
        <f t="shared" si="4"/>
        <v>e?_won_GAB*</v>
      </c>
      <c r="N51">
        <v>1</v>
      </c>
      <c r="O51">
        <v>2</v>
      </c>
      <c r="Q51" t="str">
        <f t="shared" si="11"/>
        <v>UCE_elcaggCap_won_GAB</v>
      </c>
      <c r="R51" t="str">
        <f t="shared" si="12"/>
        <v>elcagg_won_GAB</v>
      </c>
      <c r="S51">
        <v>-1</v>
      </c>
      <c r="V51" t="s">
        <v>147</v>
      </c>
      <c r="W51" t="str">
        <f t="shared" si="13"/>
        <v>UCE_elcaggCap_wof_IND</v>
      </c>
      <c r="X51" t="str">
        <f t="shared" si="5"/>
        <v>e?_wof_IND*</v>
      </c>
      <c r="Y51">
        <v>1</v>
      </c>
      <c r="Z51">
        <v>2</v>
      </c>
      <c r="AB51" t="str">
        <f t="shared" si="14"/>
        <v>UCE_elcaggCap_wof_IND</v>
      </c>
      <c r="AC51" t="str">
        <f t="shared" si="6"/>
        <v>elcagg_wof_IND</v>
      </c>
      <c r="AD51">
        <v>-1</v>
      </c>
    </row>
    <row r="52" spans="1:30">
      <c r="A52" t="s">
        <v>134</v>
      </c>
      <c r="B52" t="str">
        <f t="shared" si="7"/>
        <v>UCE_elcaggCap_spv_GEO</v>
      </c>
      <c r="C52" t="str">
        <f t="shared" si="3"/>
        <v>e?_spv_GEO*</v>
      </c>
      <c r="D52">
        <v>1</v>
      </c>
      <c r="E52">
        <v>2</v>
      </c>
      <c r="G52" t="str">
        <f t="shared" si="8"/>
        <v>UCE_elcaggCap_spv_GEO</v>
      </c>
      <c r="H52" t="str">
        <f t="shared" si="9"/>
        <v>elcagg_spv_GEO</v>
      </c>
      <c r="I52">
        <v>-1</v>
      </c>
      <c r="K52" t="s">
        <v>133</v>
      </c>
      <c r="L52" t="str">
        <f t="shared" si="10"/>
        <v>UCE_elcaggCap_won_GBR</v>
      </c>
      <c r="M52" t="str">
        <f t="shared" si="4"/>
        <v>e?_won_GBR*</v>
      </c>
      <c r="N52">
        <v>1</v>
      </c>
      <c r="O52">
        <v>2</v>
      </c>
      <c r="Q52" t="str">
        <f t="shared" si="11"/>
        <v>UCE_elcaggCap_won_GBR</v>
      </c>
      <c r="R52" t="str">
        <f t="shared" si="12"/>
        <v>elcagg_won_GBR</v>
      </c>
      <c r="S52">
        <v>-1</v>
      </c>
      <c r="V52" t="s">
        <v>148</v>
      </c>
      <c r="W52" t="str">
        <f t="shared" si="13"/>
        <v>UCE_elcaggCap_wof_IRL</v>
      </c>
      <c r="X52" t="str">
        <f t="shared" si="5"/>
        <v>e?_wof_IRL*</v>
      </c>
      <c r="Y52">
        <v>1</v>
      </c>
      <c r="Z52">
        <v>2</v>
      </c>
      <c r="AB52" t="str">
        <f t="shared" si="14"/>
        <v>UCE_elcaggCap_wof_IRL</v>
      </c>
      <c r="AC52" t="str">
        <f t="shared" si="6"/>
        <v>elcagg_wof_IRL</v>
      </c>
      <c r="AD52">
        <v>-1</v>
      </c>
    </row>
    <row r="53" spans="1:30">
      <c r="A53" t="s">
        <v>135</v>
      </c>
      <c r="B53" t="str">
        <f t="shared" si="7"/>
        <v>UCE_elcaggCap_spv_GHA</v>
      </c>
      <c r="C53" t="str">
        <f t="shared" si="3"/>
        <v>e?_spv_GHA*</v>
      </c>
      <c r="D53">
        <v>1</v>
      </c>
      <c r="E53">
        <v>2</v>
      </c>
      <c r="G53" t="str">
        <f t="shared" si="8"/>
        <v>UCE_elcaggCap_spv_GHA</v>
      </c>
      <c r="H53" t="str">
        <f t="shared" si="9"/>
        <v>elcagg_spv_GHA</v>
      </c>
      <c r="I53">
        <v>-1</v>
      </c>
      <c r="K53" t="s">
        <v>134</v>
      </c>
      <c r="L53" t="str">
        <f t="shared" si="10"/>
        <v>UCE_elcaggCap_won_GEO</v>
      </c>
      <c r="M53" t="str">
        <f t="shared" si="4"/>
        <v>e?_won_GEO*</v>
      </c>
      <c r="N53">
        <v>1</v>
      </c>
      <c r="O53">
        <v>2</v>
      </c>
      <c r="Q53" t="str">
        <f t="shared" si="11"/>
        <v>UCE_elcaggCap_won_GEO</v>
      </c>
      <c r="R53" t="str">
        <f t="shared" si="12"/>
        <v>elcagg_won_GEO</v>
      </c>
      <c r="S53">
        <v>-1</v>
      </c>
      <c r="V53" t="s">
        <v>149</v>
      </c>
      <c r="W53" t="str">
        <f t="shared" si="13"/>
        <v>UCE_elcaggCap_wof_IRN</v>
      </c>
      <c r="X53" t="str">
        <f t="shared" si="5"/>
        <v>e?_wof_IRN*</v>
      </c>
      <c r="Y53">
        <v>1</v>
      </c>
      <c r="Z53">
        <v>2</v>
      </c>
      <c r="AB53" t="str">
        <f t="shared" si="14"/>
        <v>UCE_elcaggCap_wof_IRN</v>
      </c>
      <c r="AC53" t="str">
        <f t="shared" si="6"/>
        <v>elcagg_wof_IRN</v>
      </c>
      <c r="AD53">
        <v>-1</v>
      </c>
    </row>
    <row r="54" spans="1:30">
      <c r="A54" t="s">
        <v>136</v>
      </c>
      <c r="B54" t="str">
        <f t="shared" si="7"/>
        <v>UCE_elcaggCap_spv_GIN</v>
      </c>
      <c r="C54" t="str">
        <f t="shared" si="3"/>
        <v>e?_spv_GIN*</v>
      </c>
      <c r="D54">
        <v>1</v>
      </c>
      <c r="E54">
        <v>2</v>
      </c>
      <c r="G54" t="str">
        <f t="shared" si="8"/>
        <v>UCE_elcaggCap_spv_GIN</v>
      </c>
      <c r="H54" t="str">
        <f t="shared" si="9"/>
        <v>elcagg_spv_GIN</v>
      </c>
      <c r="I54">
        <v>-1</v>
      </c>
      <c r="K54" t="s">
        <v>135</v>
      </c>
      <c r="L54" t="str">
        <f t="shared" si="10"/>
        <v>UCE_elcaggCap_won_GHA</v>
      </c>
      <c r="M54" t="str">
        <f t="shared" si="4"/>
        <v>e?_won_GHA*</v>
      </c>
      <c r="N54">
        <v>1</v>
      </c>
      <c r="O54">
        <v>2</v>
      </c>
      <c r="Q54" t="str">
        <f t="shared" si="11"/>
        <v>UCE_elcaggCap_won_GHA</v>
      </c>
      <c r="R54" t="str">
        <f t="shared" si="12"/>
        <v>elcagg_won_GHA</v>
      </c>
      <c r="S54">
        <v>-1</v>
      </c>
      <c r="V54" t="s">
        <v>150</v>
      </c>
      <c r="W54" t="str">
        <f t="shared" si="13"/>
        <v>UCE_elcaggCap_wof_ITA</v>
      </c>
      <c r="X54" t="str">
        <f t="shared" si="5"/>
        <v>e?_wof_ITA*</v>
      </c>
      <c r="Y54">
        <v>1</v>
      </c>
      <c r="Z54">
        <v>2</v>
      </c>
      <c r="AB54" t="str">
        <f t="shared" si="14"/>
        <v>UCE_elcaggCap_wof_ITA</v>
      </c>
      <c r="AC54" t="str">
        <f t="shared" si="6"/>
        <v>elcagg_wof_ITA</v>
      </c>
      <c r="AD54">
        <v>-1</v>
      </c>
    </row>
    <row r="55" spans="1:30">
      <c r="A55" t="s">
        <v>137</v>
      </c>
      <c r="B55" t="str">
        <f t="shared" si="7"/>
        <v>UCE_elcaggCap_spv_GNB</v>
      </c>
      <c r="C55" t="str">
        <f t="shared" si="3"/>
        <v>e?_spv_GNB*</v>
      </c>
      <c r="D55">
        <v>1</v>
      </c>
      <c r="E55">
        <v>2</v>
      </c>
      <c r="G55" t="str">
        <f t="shared" si="8"/>
        <v>UCE_elcaggCap_spv_GNB</v>
      </c>
      <c r="H55" t="str">
        <f t="shared" si="9"/>
        <v>elcagg_spv_GNB</v>
      </c>
      <c r="I55">
        <v>-1</v>
      </c>
      <c r="K55" t="s">
        <v>136</v>
      </c>
      <c r="L55" t="str">
        <f t="shared" si="10"/>
        <v>UCE_elcaggCap_won_GIN</v>
      </c>
      <c r="M55" t="str">
        <f t="shared" si="4"/>
        <v>e?_won_GIN*</v>
      </c>
      <c r="N55">
        <v>1</v>
      </c>
      <c r="O55">
        <v>2</v>
      </c>
      <c r="Q55" t="str">
        <f t="shared" si="11"/>
        <v>UCE_elcaggCap_won_GIN</v>
      </c>
      <c r="R55" t="str">
        <f t="shared" si="12"/>
        <v>elcagg_won_GIN</v>
      </c>
      <c r="S55">
        <v>-1</v>
      </c>
      <c r="V55" t="s">
        <v>151</v>
      </c>
      <c r="W55" t="str">
        <f t="shared" si="13"/>
        <v>UCE_elcaggCap_wof_JAM</v>
      </c>
      <c r="X55" t="str">
        <f t="shared" si="5"/>
        <v>e?_wof_JAM*</v>
      </c>
      <c r="Y55">
        <v>1</v>
      </c>
      <c r="Z55">
        <v>2</v>
      </c>
      <c r="AB55" t="str">
        <f t="shared" si="14"/>
        <v>UCE_elcaggCap_wof_JAM</v>
      </c>
      <c r="AC55" t="str">
        <f t="shared" si="6"/>
        <v>elcagg_wof_JAM</v>
      </c>
      <c r="AD55">
        <v>-1</v>
      </c>
    </row>
    <row r="56" spans="1:30">
      <c r="A56" t="s">
        <v>138</v>
      </c>
      <c r="B56" t="str">
        <f t="shared" si="7"/>
        <v>UCE_elcaggCap_spv_GNQ</v>
      </c>
      <c r="C56" t="str">
        <f t="shared" si="3"/>
        <v>e?_spv_GNQ*</v>
      </c>
      <c r="D56">
        <v>1</v>
      </c>
      <c r="E56">
        <v>2</v>
      </c>
      <c r="G56" t="str">
        <f t="shared" si="8"/>
        <v>UCE_elcaggCap_spv_GNQ</v>
      </c>
      <c r="H56" t="str">
        <f t="shared" si="9"/>
        <v>elcagg_spv_GNQ</v>
      </c>
      <c r="I56">
        <v>-1</v>
      </c>
      <c r="K56" t="s">
        <v>137</v>
      </c>
      <c r="L56" t="str">
        <f t="shared" si="10"/>
        <v>UCE_elcaggCap_won_GNB</v>
      </c>
      <c r="M56" t="str">
        <f t="shared" si="4"/>
        <v>e?_won_GNB*</v>
      </c>
      <c r="N56">
        <v>1</v>
      </c>
      <c r="O56">
        <v>2</v>
      </c>
      <c r="Q56" t="str">
        <f t="shared" si="11"/>
        <v>UCE_elcaggCap_won_GNB</v>
      </c>
      <c r="R56" t="str">
        <f t="shared" si="12"/>
        <v>elcagg_won_GNB</v>
      </c>
      <c r="S56">
        <v>-1</v>
      </c>
      <c r="V56" t="s">
        <v>152</v>
      </c>
      <c r="W56" t="str">
        <f t="shared" si="13"/>
        <v>UCE_elcaggCap_wof_JPN</v>
      </c>
      <c r="X56" t="str">
        <f t="shared" si="5"/>
        <v>e?_wof_JPN*</v>
      </c>
      <c r="Y56">
        <v>1</v>
      </c>
      <c r="Z56">
        <v>2</v>
      </c>
      <c r="AB56" t="str">
        <f t="shared" si="14"/>
        <v>UCE_elcaggCap_wof_JPN</v>
      </c>
      <c r="AC56" t="str">
        <f t="shared" si="6"/>
        <v>elcagg_wof_JPN</v>
      </c>
      <c r="AD56">
        <v>-1</v>
      </c>
    </row>
    <row r="57" spans="1:30">
      <c r="A57" t="s">
        <v>139</v>
      </c>
      <c r="B57" t="str">
        <f t="shared" si="7"/>
        <v>UCE_elcaggCap_spv_GRC</v>
      </c>
      <c r="C57" t="str">
        <f t="shared" si="3"/>
        <v>e?_spv_GRC*</v>
      </c>
      <c r="D57">
        <v>1</v>
      </c>
      <c r="E57">
        <v>2</v>
      </c>
      <c r="G57" t="str">
        <f t="shared" si="8"/>
        <v>UCE_elcaggCap_spv_GRC</v>
      </c>
      <c r="H57" t="str">
        <f t="shared" si="9"/>
        <v>elcagg_spv_GRC</v>
      </c>
      <c r="I57">
        <v>-1</v>
      </c>
      <c r="K57" t="s">
        <v>138</v>
      </c>
      <c r="L57" t="str">
        <f t="shared" si="10"/>
        <v>UCE_elcaggCap_won_GNQ</v>
      </c>
      <c r="M57" t="str">
        <f t="shared" si="4"/>
        <v>e?_won_GNQ*</v>
      </c>
      <c r="N57">
        <v>1</v>
      </c>
      <c r="O57">
        <v>2</v>
      </c>
      <c r="Q57" t="str">
        <f t="shared" si="11"/>
        <v>UCE_elcaggCap_won_GNQ</v>
      </c>
      <c r="R57" t="str">
        <f t="shared" si="12"/>
        <v>elcagg_won_GNQ</v>
      </c>
      <c r="S57">
        <v>-1</v>
      </c>
      <c r="V57" t="s">
        <v>153</v>
      </c>
      <c r="W57" t="str">
        <f t="shared" si="13"/>
        <v>UCE_elcaggCap_wof_KAZ</v>
      </c>
      <c r="X57" t="str">
        <f t="shared" si="5"/>
        <v>e?_wof_KAZ*</v>
      </c>
      <c r="Y57">
        <v>1</v>
      </c>
      <c r="Z57">
        <v>2</v>
      </c>
      <c r="AB57" t="str">
        <f t="shared" si="14"/>
        <v>UCE_elcaggCap_wof_KAZ</v>
      </c>
      <c r="AC57" t="str">
        <f t="shared" si="6"/>
        <v>elcagg_wof_KAZ</v>
      </c>
      <c r="AD57">
        <v>-1</v>
      </c>
    </row>
    <row r="58" spans="1:30">
      <c r="A58" t="s">
        <v>140</v>
      </c>
      <c r="B58" t="str">
        <f t="shared" si="7"/>
        <v>UCE_elcaggCap_spv_GTM</v>
      </c>
      <c r="C58" t="str">
        <f t="shared" si="3"/>
        <v>e?_spv_GTM*</v>
      </c>
      <c r="D58">
        <v>1</v>
      </c>
      <c r="E58">
        <v>2</v>
      </c>
      <c r="G58" t="str">
        <f t="shared" si="8"/>
        <v>UCE_elcaggCap_spv_GTM</v>
      </c>
      <c r="H58" t="str">
        <f t="shared" si="9"/>
        <v>elcagg_spv_GTM</v>
      </c>
      <c r="I58">
        <v>-1</v>
      </c>
      <c r="K58" t="s">
        <v>139</v>
      </c>
      <c r="L58" t="str">
        <f t="shared" si="10"/>
        <v>UCE_elcaggCap_won_GRC</v>
      </c>
      <c r="M58" t="str">
        <f t="shared" si="4"/>
        <v>e?_won_GRC*</v>
      </c>
      <c r="N58">
        <v>1</v>
      </c>
      <c r="O58">
        <v>2</v>
      </c>
      <c r="Q58" t="str">
        <f t="shared" si="11"/>
        <v>UCE_elcaggCap_won_GRC</v>
      </c>
      <c r="R58" t="str">
        <f t="shared" si="12"/>
        <v>elcagg_won_GRC</v>
      </c>
      <c r="S58">
        <v>-1</v>
      </c>
      <c r="V58" t="s">
        <v>154</v>
      </c>
      <c r="W58" t="str">
        <f t="shared" si="13"/>
        <v>UCE_elcaggCap_wof_KEN</v>
      </c>
      <c r="X58" t="str">
        <f t="shared" si="5"/>
        <v>e?_wof_KEN*</v>
      </c>
      <c r="Y58">
        <v>1</v>
      </c>
      <c r="Z58">
        <v>2</v>
      </c>
      <c r="AB58" t="str">
        <f t="shared" si="14"/>
        <v>UCE_elcaggCap_wof_KEN</v>
      </c>
      <c r="AC58" t="str">
        <f t="shared" si="6"/>
        <v>elcagg_wof_KEN</v>
      </c>
      <c r="AD58">
        <v>-1</v>
      </c>
    </row>
    <row r="59" spans="1:30">
      <c r="A59" t="s">
        <v>141</v>
      </c>
      <c r="B59" t="str">
        <f t="shared" si="7"/>
        <v>UCE_elcaggCap_spv_GUY</v>
      </c>
      <c r="C59" t="str">
        <f t="shared" si="3"/>
        <v>e?_spv_GUY*</v>
      </c>
      <c r="D59">
        <v>1</v>
      </c>
      <c r="E59">
        <v>2</v>
      </c>
      <c r="G59" t="str">
        <f t="shared" si="8"/>
        <v>UCE_elcaggCap_spv_GUY</v>
      </c>
      <c r="H59" t="str">
        <f t="shared" si="9"/>
        <v>elcagg_spv_GUY</v>
      </c>
      <c r="I59">
        <v>-1</v>
      </c>
      <c r="K59" t="s">
        <v>140</v>
      </c>
      <c r="L59" t="str">
        <f t="shared" si="10"/>
        <v>UCE_elcaggCap_won_GTM</v>
      </c>
      <c r="M59" t="str">
        <f t="shared" si="4"/>
        <v>e?_won_GTM*</v>
      </c>
      <c r="N59">
        <v>1</v>
      </c>
      <c r="O59">
        <v>2</v>
      </c>
      <c r="Q59" t="str">
        <f t="shared" si="11"/>
        <v>UCE_elcaggCap_won_GTM</v>
      </c>
      <c r="R59" t="str">
        <f t="shared" si="12"/>
        <v>elcagg_won_GTM</v>
      </c>
      <c r="S59">
        <v>-1</v>
      </c>
      <c r="V59" t="s">
        <v>155</v>
      </c>
      <c r="W59" t="str">
        <f t="shared" si="13"/>
        <v>UCE_elcaggCap_wof_KHM</v>
      </c>
      <c r="X59" t="str">
        <f t="shared" si="5"/>
        <v>e?_wof_KHM*</v>
      </c>
      <c r="Y59">
        <v>1</v>
      </c>
      <c r="Z59">
        <v>2</v>
      </c>
      <c r="AB59" t="str">
        <f t="shared" si="14"/>
        <v>UCE_elcaggCap_wof_KHM</v>
      </c>
      <c r="AC59" t="str">
        <f t="shared" si="6"/>
        <v>elcagg_wof_KHM</v>
      </c>
      <c r="AD59">
        <v>-1</v>
      </c>
    </row>
    <row r="60" spans="1:30">
      <c r="A60" t="s">
        <v>156</v>
      </c>
      <c r="B60" t="str">
        <f t="shared" si="7"/>
        <v>UCE_elcaggCap_spv_HKG</v>
      </c>
      <c r="C60" t="str">
        <f t="shared" si="3"/>
        <v>e?_spv_HKG*</v>
      </c>
      <c r="D60">
        <v>1</v>
      </c>
      <c r="E60">
        <v>2</v>
      </c>
      <c r="G60" t="str">
        <f t="shared" si="8"/>
        <v>UCE_elcaggCap_spv_HKG</v>
      </c>
      <c r="H60" t="str">
        <f t="shared" si="9"/>
        <v>elcagg_spv_HKG</v>
      </c>
      <c r="I60">
        <v>-1</v>
      </c>
      <c r="K60" t="s">
        <v>141</v>
      </c>
      <c r="L60" t="str">
        <f t="shared" si="10"/>
        <v>UCE_elcaggCap_won_GUY</v>
      </c>
      <c r="M60" t="str">
        <f t="shared" si="4"/>
        <v>e?_won_GUY*</v>
      </c>
      <c r="N60">
        <v>1</v>
      </c>
      <c r="O60">
        <v>2</v>
      </c>
      <c r="Q60" t="str">
        <f t="shared" si="11"/>
        <v>UCE_elcaggCap_won_GUY</v>
      </c>
      <c r="R60" t="str">
        <f t="shared" si="12"/>
        <v>elcagg_won_GUY</v>
      </c>
      <c r="S60">
        <v>-1</v>
      </c>
      <c r="V60" t="s">
        <v>157</v>
      </c>
      <c r="W60" t="str">
        <f t="shared" si="13"/>
        <v>UCE_elcaggCap_wof_KOR</v>
      </c>
      <c r="X60" t="str">
        <f t="shared" si="5"/>
        <v>e?_wof_KOR*</v>
      </c>
      <c r="Y60">
        <v>1</v>
      </c>
      <c r="Z60">
        <v>2</v>
      </c>
      <c r="AB60" t="str">
        <f t="shared" si="14"/>
        <v>UCE_elcaggCap_wof_KOR</v>
      </c>
      <c r="AC60" t="str">
        <f t="shared" si="6"/>
        <v>elcagg_wof_KOR</v>
      </c>
      <c r="AD60">
        <v>-1</v>
      </c>
    </row>
    <row r="61" spans="1:30">
      <c r="A61" t="s">
        <v>142</v>
      </c>
      <c r="B61" t="str">
        <f t="shared" si="7"/>
        <v>UCE_elcaggCap_spv_HND</v>
      </c>
      <c r="C61" t="str">
        <f t="shared" si="3"/>
        <v>e?_spv_HND*</v>
      </c>
      <c r="D61">
        <v>1</v>
      </c>
      <c r="E61">
        <v>2</v>
      </c>
      <c r="G61" t="str">
        <f t="shared" si="8"/>
        <v>UCE_elcaggCap_spv_HND</v>
      </c>
      <c r="H61" t="str">
        <f t="shared" si="9"/>
        <v>elcagg_spv_HND</v>
      </c>
      <c r="I61">
        <v>-1</v>
      </c>
      <c r="K61" t="s">
        <v>156</v>
      </c>
      <c r="L61" t="str">
        <f t="shared" si="10"/>
        <v>UCE_elcaggCap_won_HKG</v>
      </c>
      <c r="M61" t="str">
        <f t="shared" si="4"/>
        <v>e?_won_HKG*</v>
      </c>
      <c r="N61">
        <v>1</v>
      </c>
      <c r="O61">
        <v>2</v>
      </c>
      <c r="Q61" t="str">
        <f t="shared" si="11"/>
        <v>UCE_elcaggCap_won_HKG</v>
      </c>
      <c r="R61" t="str">
        <f t="shared" si="12"/>
        <v>elcagg_won_HKG</v>
      </c>
      <c r="S61">
        <v>-1</v>
      </c>
      <c r="V61" t="s">
        <v>158</v>
      </c>
      <c r="W61" t="str">
        <f t="shared" si="13"/>
        <v>UCE_elcaggCap_wof_KWT</v>
      </c>
      <c r="X61" t="str">
        <f t="shared" si="5"/>
        <v>e?_wof_KWT*</v>
      </c>
      <c r="Y61">
        <v>1</v>
      </c>
      <c r="Z61">
        <v>2</v>
      </c>
      <c r="AB61" t="str">
        <f t="shared" si="14"/>
        <v>UCE_elcaggCap_wof_KWT</v>
      </c>
      <c r="AC61" t="str">
        <f t="shared" si="6"/>
        <v>elcagg_wof_KWT</v>
      </c>
      <c r="AD61">
        <v>-1</v>
      </c>
    </row>
    <row r="62" spans="1:30">
      <c r="A62" t="s">
        <v>144</v>
      </c>
      <c r="B62" t="str">
        <f t="shared" si="7"/>
        <v>UCE_elcaggCap_spv_HRV</v>
      </c>
      <c r="C62" t="str">
        <f t="shared" si="3"/>
        <v>e?_spv_HRV*</v>
      </c>
      <c r="D62">
        <v>1</v>
      </c>
      <c r="E62">
        <v>2</v>
      </c>
      <c r="G62" t="str">
        <f t="shared" si="8"/>
        <v>UCE_elcaggCap_spv_HRV</v>
      </c>
      <c r="H62" t="str">
        <f t="shared" si="9"/>
        <v>elcagg_spv_HRV</v>
      </c>
      <c r="I62">
        <v>-1</v>
      </c>
      <c r="K62" t="s">
        <v>142</v>
      </c>
      <c r="L62" t="str">
        <f t="shared" si="10"/>
        <v>UCE_elcaggCap_won_HND</v>
      </c>
      <c r="M62" t="str">
        <f t="shared" si="4"/>
        <v>e?_won_HND*</v>
      </c>
      <c r="N62">
        <v>1</v>
      </c>
      <c r="O62">
        <v>2</v>
      </c>
      <c r="Q62" t="str">
        <f t="shared" si="11"/>
        <v>UCE_elcaggCap_won_HND</v>
      </c>
      <c r="R62" t="str">
        <f t="shared" si="12"/>
        <v>elcagg_won_HND</v>
      </c>
      <c r="S62">
        <v>-1</v>
      </c>
      <c r="V62" t="s">
        <v>159</v>
      </c>
      <c r="W62" t="str">
        <f t="shared" si="13"/>
        <v>UCE_elcaggCap_wof_LBN</v>
      </c>
      <c r="X62" t="str">
        <f t="shared" si="5"/>
        <v>e?_wof_LBN*</v>
      </c>
      <c r="Y62">
        <v>1</v>
      </c>
      <c r="Z62">
        <v>2</v>
      </c>
      <c r="AB62" t="str">
        <f t="shared" si="14"/>
        <v>UCE_elcaggCap_wof_LBN</v>
      </c>
      <c r="AC62" t="str">
        <f t="shared" si="6"/>
        <v>elcagg_wof_LBN</v>
      </c>
      <c r="AD62">
        <v>-1</v>
      </c>
    </row>
    <row r="63" spans="1:30">
      <c r="A63" t="s">
        <v>145</v>
      </c>
      <c r="B63" t="str">
        <f t="shared" si="7"/>
        <v>UCE_elcaggCap_spv_HTI</v>
      </c>
      <c r="C63" t="str">
        <f t="shared" si="3"/>
        <v>e?_spv_HTI*</v>
      </c>
      <c r="D63">
        <v>1</v>
      </c>
      <c r="E63">
        <v>2</v>
      </c>
      <c r="G63" t="str">
        <f t="shared" si="8"/>
        <v>UCE_elcaggCap_spv_HTI</v>
      </c>
      <c r="H63" t="str">
        <f t="shared" si="9"/>
        <v>elcagg_spv_HTI</v>
      </c>
      <c r="I63">
        <v>-1</v>
      </c>
      <c r="K63" t="s">
        <v>144</v>
      </c>
      <c r="L63" t="str">
        <f t="shared" si="10"/>
        <v>UCE_elcaggCap_won_HRV</v>
      </c>
      <c r="M63" t="str">
        <f t="shared" si="4"/>
        <v>e?_won_HRV*</v>
      </c>
      <c r="N63">
        <v>1</v>
      </c>
      <c r="O63">
        <v>2</v>
      </c>
      <c r="Q63" t="str">
        <f t="shared" si="11"/>
        <v>UCE_elcaggCap_won_HRV</v>
      </c>
      <c r="R63" t="str">
        <f t="shared" si="12"/>
        <v>elcagg_won_HRV</v>
      </c>
      <c r="S63">
        <v>-1</v>
      </c>
      <c r="V63" t="s">
        <v>160</v>
      </c>
      <c r="W63" t="str">
        <f t="shared" si="13"/>
        <v>UCE_elcaggCap_wof_LBR</v>
      </c>
      <c r="X63" t="str">
        <f t="shared" si="5"/>
        <v>e?_wof_LBR*</v>
      </c>
      <c r="Y63">
        <v>1</v>
      </c>
      <c r="Z63">
        <v>2</v>
      </c>
      <c r="AB63" t="str">
        <f t="shared" si="14"/>
        <v>UCE_elcaggCap_wof_LBR</v>
      </c>
      <c r="AC63" t="str">
        <f t="shared" si="6"/>
        <v>elcagg_wof_LBR</v>
      </c>
      <c r="AD63">
        <v>-1</v>
      </c>
    </row>
    <row r="64" spans="1:30">
      <c r="A64" t="s">
        <v>161</v>
      </c>
      <c r="B64" t="str">
        <f t="shared" si="7"/>
        <v>UCE_elcaggCap_spv_HUN</v>
      </c>
      <c r="C64" t="str">
        <f t="shared" si="3"/>
        <v>e?_spv_HUN*</v>
      </c>
      <c r="D64">
        <v>1</v>
      </c>
      <c r="E64">
        <v>2</v>
      </c>
      <c r="G64" t="str">
        <f t="shared" si="8"/>
        <v>UCE_elcaggCap_spv_HUN</v>
      </c>
      <c r="H64" t="str">
        <f t="shared" si="9"/>
        <v>elcagg_spv_HUN</v>
      </c>
      <c r="I64">
        <v>-1</v>
      </c>
      <c r="K64" t="s">
        <v>145</v>
      </c>
      <c r="L64" t="str">
        <f t="shared" si="10"/>
        <v>UCE_elcaggCap_won_HTI</v>
      </c>
      <c r="M64" t="str">
        <f t="shared" si="4"/>
        <v>e?_won_HTI*</v>
      </c>
      <c r="N64">
        <v>1</v>
      </c>
      <c r="O64">
        <v>2</v>
      </c>
      <c r="Q64" t="str">
        <f t="shared" si="11"/>
        <v>UCE_elcaggCap_won_HTI</v>
      </c>
      <c r="R64" t="str">
        <f t="shared" si="12"/>
        <v>elcagg_won_HTI</v>
      </c>
      <c r="S64">
        <v>-1</v>
      </c>
      <c r="V64" t="s">
        <v>162</v>
      </c>
      <c r="W64" t="str">
        <f t="shared" si="13"/>
        <v>UCE_elcaggCap_wof_LBY</v>
      </c>
      <c r="X64" t="str">
        <f t="shared" si="5"/>
        <v>e?_wof_LBY*</v>
      </c>
      <c r="Y64">
        <v>1</v>
      </c>
      <c r="Z64">
        <v>2</v>
      </c>
      <c r="AB64" t="str">
        <f t="shared" si="14"/>
        <v>UCE_elcaggCap_wof_LBY</v>
      </c>
      <c r="AC64" t="str">
        <f t="shared" si="6"/>
        <v>elcagg_wof_LBY</v>
      </c>
      <c r="AD64">
        <v>-1</v>
      </c>
    </row>
    <row r="65" spans="1:30">
      <c r="A65" t="s">
        <v>146</v>
      </c>
      <c r="B65" t="str">
        <f t="shared" si="7"/>
        <v>UCE_elcaggCap_spv_IDN</v>
      </c>
      <c r="C65" t="str">
        <f t="shared" si="3"/>
        <v>e?_spv_IDN*</v>
      </c>
      <c r="D65">
        <v>1</v>
      </c>
      <c r="E65">
        <v>2</v>
      </c>
      <c r="G65" t="str">
        <f t="shared" si="8"/>
        <v>UCE_elcaggCap_spv_IDN</v>
      </c>
      <c r="H65" t="str">
        <f t="shared" si="9"/>
        <v>elcagg_spv_IDN</v>
      </c>
      <c r="I65">
        <v>-1</v>
      </c>
      <c r="K65" t="s">
        <v>161</v>
      </c>
      <c r="L65" t="str">
        <f t="shared" si="10"/>
        <v>UCE_elcaggCap_won_HUN</v>
      </c>
      <c r="M65" t="str">
        <f t="shared" si="4"/>
        <v>e?_won_HUN*</v>
      </c>
      <c r="N65">
        <v>1</v>
      </c>
      <c r="O65">
        <v>2</v>
      </c>
      <c r="Q65" t="str">
        <f t="shared" si="11"/>
        <v>UCE_elcaggCap_won_HUN</v>
      </c>
      <c r="R65" t="str">
        <f t="shared" si="12"/>
        <v>elcagg_won_HUN</v>
      </c>
      <c r="S65">
        <v>-1</v>
      </c>
      <c r="V65" t="s">
        <v>163</v>
      </c>
      <c r="W65" t="str">
        <f t="shared" si="13"/>
        <v>UCE_elcaggCap_wof_LKA</v>
      </c>
      <c r="X65" t="str">
        <f t="shared" si="5"/>
        <v>e?_wof_LKA*</v>
      </c>
      <c r="Y65">
        <v>1</v>
      </c>
      <c r="Z65">
        <v>2</v>
      </c>
      <c r="AB65" t="str">
        <f t="shared" si="14"/>
        <v>UCE_elcaggCap_wof_LKA</v>
      </c>
      <c r="AC65" t="str">
        <f t="shared" si="6"/>
        <v>elcagg_wof_LKA</v>
      </c>
      <c r="AD65">
        <v>-1</v>
      </c>
    </row>
    <row r="66" spans="1:30">
      <c r="A66" t="s">
        <v>147</v>
      </c>
      <c r="B66" t="str">
        <f t="shared" si="7"/>
        <v>UCE_elcaggCap_spv_IND</v>
      </c>
      <c r="C66" t="str">
        <f t="shared" si="3"/>
        <v>e?_spv_IND*</v>
      </c>
      <c r="D66">
        <v>1</v>
      </c>
      <c r="E66">
        <v>2</v>
      </c>
      <c r="G66" t="str">
        <f t="shared" si="8"/>
        <v>UCE_elcaggCap_spv_IND</v>
      </c>
      <c r="H66" t="str">
        <f t="shared" si="9"/>
        <v>elcagg_spv_IND</v>
      </c>
      <c r="I66">
        <v>-1</v>
      </c>
      <c r="K66" t="s">
        <v>146</v>
      </c>
      <c r="L66" t="str">
        <f t="shared" si="10"/>
        <v>UCE_elcaggCap_won_IDN</v>
      </c>
      <c r="M66" t="str">
        <f t="shared" si="4"/>
        <v>e?_won_IDN*</v>
      </c>
      <c r="N66">
        <v>1</v>
      </c>
      <c r="O66">
        <v>2</v>
      </c>
      <c r="Q66" t="str">
        <f t="shared" si="11"/>
        <v>UCE_elcaggCap_won_IDN</v>
      </c>
      <c r="R66" t="str">
        <f t="shared" si="12"/>
        <v>elcagg_won_IDN</v>
      </c>
      <c r="S66">
        <v>-1</v>
      </c>
      <c r="V66" t="s">
        <v>164</v>
      </c>
      <c r="W66" t="str">
        <f t="shared" si="13"/>
        <v>UCE_elcaggCap_wof_LTU</v>
      </c>
      <c r="X66" t="str">
        <f t="shared" si="5"/>
        <v>e?_wof_LTU*</v>
      </c>
      <c r="Y66">
        <v>1</v>
      </c>
      <c r="Z66">
        <v>2</v>
      </c>
      <c r="AB66" t="str">
        <f t="shared" si="14"/>
        <v>UCE_elcaggCap_wof_LTU</v>
      </c>
      <c r="AC66" t="str">
        <f t="shared" si="6"/>
        <v>elcagg_wof_LTU</v>
      </c>
      <c r="AD66">
        <v>-1</v>
      </c>
    </row>
    <row r="67" spans="1:30">
      <c r="A67" t="s">
        <v>148</v>
      </c>
      <c r="B67" t="str">
        <f t="shared" si="7"/>
        <v>UCE_elcaggCap_spv_IRL</v>
      </c>
      <c r="C67" t="str">
        <f t="shared" si="3"/>
        <v>e?_spv_IRL*</v>
      </c>
      <c r="D67">
        <v>1</v>
      </c>
      <c r="E67">
        <v>2</v>
      </c>
      <c r="G67" t="str">
        <f t="shared" si="8"/>
        <v>UCE_elcaggCap_spv_IRL</v>
      </c>
      <c r="H67" t="str">
        <f t="shared" si="9"/>
        <v>elcagg_spv_IRL</v>
      </c>
      <c r="I67">
        <v>-1</v>
      </c>
      <c r="K67" t="s">
        <v>147</v>
      </c>
      <c r="L67" t="str">
        <f t="shared" si="10"/>
        <v>UCE_elcaggCap_won_IND</v>
      </c>
      <c r="M67" t="str">
        <f t="shared" si="4"/>
        <v>e?_won_IND*</v>
      </c>
      <c r="N67">
        <v>1</v>
      </c>
      <c r="O67">
        <v>2</v>
      </c>
      <c r="Q67" t="str">
        <f t="shared" si="11"/>
        <v>UCE_elcaggCap_won_IND</v>
      </c>
      <c r="R67" t="str">
        <f t="shared" si="12"/>
        <v>elcagg_won_IND</v>
      </c>
      <c r="S67">
        <v>-1</v>
      </c>
      <c r="V67" t="s">
        <v>165</v>
      </c>
      <c r="W67" t="str">
        <f t="shared" si="13"/>
        <v>UCE_elcaggCap_wof_LVA</v>
      </c>
      <c r="X67" t="str">
        <f t="shared" si="5"/>
        <v>e?_wof_LVA*</v>
      </c>
      <c r="Y67">
        <v>1</v>
      </c>
      <c r="Z67">
        <v>2</v>
      </c>
      <c r="AB67" t="str">
        <f t="shared" si="14"/>
        <v>UCE_elcaggCap_wof_LVA</v>
      </c>
      <c r="AC67" t="str">
        <f t="shared" si="6"/>
        <v>elcagg_wof_LVA</v>
      </c>
      <c r="AD67">
        <v>-1</v>
      </c>
    </row>
    <row r="68" spans="1:30">
      <c r="A68" t="s">
        <v>149</v>
      </c>
      <c r="B68" t="str">
        <f t="shared" si="7"/>
        <v>UCE_elcaggCap_spv_IRN</v>
      </c>
      <c r="C68" t="str">
        <f t="shared" si="3"/>
        <v>e?_spv_IRN*</v>
      </c>
      <c r="D68">
        <v>1</v>
      </c>
      <c r="E68">
        <v>2</v>
      </c>
      <c r="G68" t="str">
        <f t="shared" si="8"/>
        <v>UCE_elcaggCap_spv_IRN</v>
      </c>
      <c r="H68" t="str">
        <f t="shared" si="9"/>
        <v>elcagg_spv_IRN</v>
      </c>
      <c r="I68">
        <v>-1</v>
      </c>
      <c r="K68" t="s">
        <v>148</v>
      </c>
      <c r="L68" t="str">
        <f t="shared" si="10"/>
        <v>UCE_elcaggCap_won_IRL</v>
      </c>
      <c r="M68" t="str">
        <f t="shared" si="4"/>
        <v>e?_won_IRL*</v>
      </c>
      <c r="N68">
        <v>1</v>
      </c>
      <c r="O68">
        <v>2</v>
      </c>
      <c r="Q68" t="str">
        <f t="shared" si="11"/>
        <v>UCE_elcaggCap_won_IRL</v>
      </c>
      <c r="R68" t="str">
        <f t="shared" si="12"/>
        <v>elcagg_won_IRL</v>
      </c>
      <c r="S68">
        <v>-1</v>
      </c>
      <c r="V68" t="s">
        <v>166</v>
      </c>
      <c r="W68" t="str">
        <f t="shared" si="13"/>
        <v>UCE_elcaggCap_wof_MAR</v>
      </c>
      <c r="X68" t="str">
        <f t="shared" si="5"/>
        <v>e?_wof_MAR*</v>
      </c>
      <c r="Y68">
        <v>1</v>
      </c>
      <c r="Z68">
        <v>2</v>
      </c>
      <c r="AB68" t="str">
        <f t="shared" si="14"/>
        <v>UCE_elcaggCap_wof_MAR</v>
      </c>
      <c r="AC68" t="str">
        <f t="shared" si="6"/>
        <v>elcagg_wof_MAR</v>
      </c>
      <c r="AD68">
        <v>-1</v>
      </c>
    </row>
    <row r="69" spans="1:30">
      <c r="A69" t="s">
        <v>167</v>
      </c>
      <c r="B69" t="str">
        <f t="shared" si="7"/>
        <v>UCE_elcaggCap_spv_IRQ</v>
      </c>
      <c r="C69" t="str">
        <f t="shared" ref="C69:C132" si="15" xml:space="preserve">"e?_spv_"&amp;$A69&amp;"*"</f>
        <v>e?_spv_IRQ*</v>
      </c>
      <c r="D69">
        <v>1</v>
      </c>
      <c r="E69">
        <v>2</v>
      </c>
      <c r="G69" t="str">
        <f t="shared" si="8"/>
        <v>UCE_elcaggCap_spv_IRQ</v>
      </c>
      <c r="H69" t="str">
        <f t="shared" si="9"/>
        <v>elcagg_spv_IRQ</v>
      </c>
      <c r="I69">
        <v>-1</v>
      </c>
      <c r="K69" t="s">
        <v>149</v>
      </c>
      <c r="L69" t="str">
        <f t="shared" si="10"/>
        <v>UCE_elcaggCap_won_IRN</v>
      </c>
      <c r="M69" t="str">
        <f t="shared" ref="M69:M132" si="16" xml:space="preserve">"e?_won_"&amp;$K69&amp;"*"</f>
        <v>e?_won_IRN*</v>
      </c>
      <c r="N69">
        <v>1</v>
      </c>
      <c r="O69">
        <v>2</v>
      </c>
      <c r="Q69" t="str">
        <f t="shared" si="11"/>
        <v>UCE_elcaggCap_won_IRN</v>
      </c>
      <c r="R69" t="str">
        <f t="shared" si="12"/>
        <v>elcagg_won_IRN</v>
      </c>
      <c r="S69">
        <v>-1</v>
      </c>
      <c r="V69" t="s">
        <v>168</v>
      </c>
      <c r="W69" t="str">
        <f t="shared" si="13"/>
        <v>UCE_elcaggCap_wof_MDG</v>
      </c>
      <c r="X69" t="str">
        <f t="shared" ref="X69:X120" si="17" xml:space="preserve">"e?_wof_"&amp;$V69&amp;"*"</f>
        <v>e?_wof_MDG*</v>
      </c>
      <c r="Y69">
        <v>1</v>
      </c>
      <c r="Z69">
        <v>2</v>
      </c>
      <c r="AB69" t="str">
        <f t="shared" si="14"/>
        <v>UCE_elcaggCap_wof_MDG</v>
      </c>
      <c r="AC69" t="str">
        <f t="shared" ref="AC69:AC120" si="18" xml:space="preserve">"elcagg_wof_"&amp;$V69</f>
        <v>elcagg_wof_MDG</v>
      </c>
      <c r="AD69">
        <v>-1</v>
      </c>
    </row>
    <row r="70" spans="1:30">
      <c r="A70" t="s">
        <v>169</v>
      </c>
      <c r="B70" t="str">
        <f t="shared" ref="B70:B133" si="19" xml:space="preserve">"UCE_elcaggCap_"&amp;A$1&amp;"_"&amp;A70</f>
        <v>UCE_elcaggCap_spv_ISR</v>
      </c>
      <c r="C70" t="str">
        <f t="shared" si="15"/>
        <v>e?_spv_ISR*</v>
      </c>
      <c r="D70">
        <v>1</v>
      </c>
      <c r="E70">
        <v>2</v>
      </c>
      <c r="G70" t="str">
        <f t="shared" ref="G70:G133" si="20" xml:space="preserve">B70</f>
        <v>UCE_elcaggCap_spv_ISR</v>
      </c>
      <c r="H70" t="str">
        <f t="shared" ref="H70:H133" si="21" xml:space="preserve">"elcagg_spv_"&amp;$A70</f>
        <v>elcagg_spv_ISR</v>
      </c>
      <c r="I70">
        <v>-1</v>
      </c>
      <c r="K70" t="s">
        <v>167</v>
      </c>
      <c r="L70" t="str">
        <f t="shared" ref="L70:L133" si="22" xml:space="preserve">"UCE_elcaggCap_"&amp;K$1&amp;"_"&amp;K70</f>
        <v>UCE_elcaggCap_won_IRQ</v>
      </c>
      <c r="M70" t="str">
        <f t="shared" si="16"/>
        <v>e?_won_IRQ*</v>
      </c>
      <c r="N70">
        <v>1</v>
      </c>
      <c r="O70">
        <v>2</v>
      </c>
      <c r="Q70" t="str">
        <f t="shared" ref="Q70:Q133" si="23" xml:space="preserve">L70</f>
        <v>UCE_elcaggCap_won_IRQ</v>
      </c>
      <c r="R70" t="str">
        <f t="shared" ref="R70:R133" si="24" xml:space="preserve">"elcagg_won_"&amp;$K70</f>
        <v>elcagg_won_IRQ</v>
      </c>
      <c r="S70">
        <v>-1</v>
      </c>
      <c r="V70" t="s">
        <v>170</v>
      </c>
      <c r="W70" t="str">
        <f t="shared" ref="W70:W120" si="25" xml:space="preserve">"UCE_elcaggCap_"&amp;V$1&amp;"_"&amp;V70</f>
        <v>UCE_elcaggCap_wof_MEX</v>
      </c>
      <c r="X70" t="str">
        <f t="shared" si="17"/>
        <v>e?_wof_MEX*</v>
      </c>
      <c r="Y70">
        <v>1</v>
      </c>
      <c r="Z70">
        <v>2</v>
      </c>
      <c r="AB70" t="str">
        <f t="shared" ref="AB70:AB120" si="26" xml:space="preserve">W70</f>
        <v>UCE_elcaggCap_wof_MEX</v>
      </c>
      <c r="AC70" t="str">
        <f t="shared" si="18"/>
        <v>elcagg_wof_MEX</v>
      </c>
      <c r="AD70">
        <v>-1</v>
      </c>
    </row>
    <row r="71" spans="1:30">
      <c r="A71" t="s">
        <v>150</v>
      </c>
      <c r="B71" t="str">
        <f t="shared" si="19"/>
        <v>UCE_elcaggCap_spv_ITA</v>
      </c>
      <c r="C71" t="str">
        <f t="shared" si="15"/>
        <v>e?_spv_ITA*</v>
      </c>
      <c r="D71">
        <v>1</v>
      </c>
      <c r="E71">
        <v>2</v>
      </c>
      <c r="G71" t="str">
        <f t="shared" si="20"/>
        <v>UCE_elcaggCap_spv_ITA</v>
      </c>
      <c r="H71" t="str">
        <f t="shared" si="21"/>
        <v>elcagg_spv_ITA</v>
      </c>
      <c r="I71">
        <v>-1</v>
      </c>
      <c r="K71" t="s">
        <v>169</v>
      </c>
      <c r="L71" t="str">
        <f t="shared" si="22"/>
        <v>UCE_elcaggCap_won_ISR</v>
      </c>
      <c r="M71" t="str">
        <f t="shared" si="16"/>
        <v>e?_won_ISR*</v>
      </c>
      <c r="N71">
        <v>1</v>
      </c>
      <c r="O71">
        <v>2</v>
      </c>
      <c r="Q71" t="str">
        <f t="shared" si="23"/>
        <v>UCE_elcaggCap_won_ISR</v>
      </c>
      <c r="R71" t="str">
        <f t="shared" si="24"/>
        <v>elcagg_won_ISR</v>
      </c>
      <c r="S71">
        <v>-1</v>
      </c>
      <c r="V71" t="s">
        <v>171</v>
      </c>
      <c r="W71" t="str">
        <f t="shared" si="25"/>
        <v>UCE_elcaggCap_wof_MLT</v>
      </c>
      <c r="X71" t="str">
        <f t="shared" si="17"/>
        <v>e?_wof_MLT*</v>
      </c>
      <c r="Y71">
        <v>1</v>
      </c>
      <c r="Z71">
        <v>2</v>
      </c>
      <c r="AB71" t="str">
        <f t="shared" si="26"/>
        <v>UCE_elcaggCap_wof_MLT</v>
      </c>
      <c r="AC71" t="str">
        <f t="shared" si="18"/>
        <v>elcagg_wof_MLT</v>
      </c>
      <c r="AD71">
        <v>-1</v>
      </c>
    </row>
    <row r="72" spans="1:30">
      <c r="A72" t="s">
        <v>151</v>
      </c>
      <c r="B72" t="str">
        <f t="shared" si="19"/>
        <v>UCE_elcaggCap_spv_JAM</v>
      </c>
      <c r="C72" t="str">
        <f t="shared" si="15"/>
        <v>e?_spv_JAM*</v>
      </c>
      <c r="D72">
        <v>1</v>
      </c>
      <c r="E72">
        <v>2</v>
      </c>
      <c r="G72" t="str">
        <f t="shared" si="20"/>
        <v>UCE_elcaggCap_spv_JAM</v>
      </c>
      <c r="H72" t="str">
        <f t="shared" si="21"/>
        <v>elcagg_spv_JAM</v>
      </c>
      <c r="I72">
        <v>-1</v>
      </c>
      <c r="K72" t="s">
        <v>150</v>
      </c>
      <c r="L72" t="str">
        <f t="shared" si="22"/>
        <v>UCE_elcaggCap_won_ITA</v>
      </c>
      <c r="M72" t="str">
        <f t="shared" si="16"/>
        <v>e?_won_ITA*</v>
      </c>
      <c r="N72">
        <v>1</v>
      </c>
      <c r="O72">
        <v>2</v>
      </c>
      <c r="Q72" t="str">
        <f t="shared" si="23"/>
        <v>UCE_elcaggCap_won_ITA</v>
      </c>
      <c r="R72" t="str">
        <f t="shared" si="24"/>
        <v>elcagg_won_ITA</v>
      </c>
      <c r="S72">
        <v>-1</v>
      </c>
      <c r="V72" t="s">
        <v>172</v>
      </c>
      <c r="W72" t="str">
        <f t="shared" si="25"/>
        <v>UCE_elcaggCap_wof_MMR</v>
      </c>
      <c r="X72" t="str">
        <f t="shared" si="17"/>
        <v>e?_wof_MMR*</v>
      </c>
      <c r="Y72">
        <v>1</v>
      </c>
      <c r="Z72">
        <v>2</v>
      </c>
      <c r="AB72" t="str">
        <f t="shared" si="26"/>
        <v>UCE_elcaggCap_wof_MMR</v>
      </c>
      <c r="AC72" t="str">
        <f t="shared" si="18"/>
        <v>elcagg_wof_MMR</v>
      </c>
      <c r="AD72">
        <v>-1</v>
      </c>
    </row>
    <row r="73" spans="1:30">
      <c r="A73" t="s">
        <v>173</v>
      </c>
      <c r="B73" t="str">
        <f t="shared" si="19"/>
        <v>UCE_elcaggCap_spv_JOR</v>
      </c>
      <c r="C73" t="str">
        <f t="shared" si="15"/>
        <v>e?_spv_JOR*</v>
      </c>
      <c r="D73">
        <v>1</v>
      </c>
      <c r="E73">
        <v>2</v>
      </c>
      <c r="G73" t="str">
        <f t="shared" si="20"/>
        <v>UCE_elcaggCap_spv_JOR</v>
      </c>
      <c r="H73" t="str">
        <f t="shared" si="21"/>
        <v>elcagg_spv_JOR</v>
      </c>
      <c r="I73">
        <v>-1</v>
      </c>
      <c r="K73" t="s">
        <v>151</v>
      </c>
      <c r="L73" t="str">
        <f t="shared" si="22"/>
        <v>UCE_elcaggCap_won_JAM</v>
      </c>
      <c r="M73" t="str">
        <f t="shared" si="16"/>
        <v>e?_won_JAM*</v>
      </c>
      <c r="N73">
        <v>1</v>
      </c>
      <c r="O73">
        <v>2</v>
      </c>
      <c r="Q73" t="str">
        <f t="shared" si="23"/>
        <v>UCE_elcaggCap_won_JAM</v>
      </c>
      <c r="R73" t="str">
        <f t="shared" si="24"/>
        <v>elcagg_won_JAM</v>
      </c>
      <c r="S73">
        <v>-1</v>
      </c>
      <c r="V73" t="s">
        <v>174</v>
      </c>
      <c r="W73" t="str">
        <f t="shared" si="25"/>
        <v>UCE_elcaggCap_wof_MNE</v>
      </c>
      <c r="X73" t="str">
        <f t="shared" si="17"/>
        <v>e?_wof_MNE*</v>
      </c>
      <c r="Y73">
        <v>1</v>
      </c>
      <c r="Z73">
        <v>2</v>
      </c>
      <c r="AB73" t="str">
        <f t="shared" si="26"/>
        <v>UCE_elcaggCap_wof_MNE</v>
      </c>
      <c r="AC73" t="str">
        <f t="shared" si="18"/>
        <v>elcagg_wof_MNE</v>
      </c>
      <c r="AD73">
        <v>-1</v>
      </c>
    </row>
    <row r="74" spans="1:30">
      <c r="A74" t="s">
        <v>152</v>
      </c>
      <c r="B74" t="str">
        <f t="shared" si="19"/>
        <v>UCE_elcaggCap_spv_JPN</v>
      </c>
      <c r="C74" t="str">
        <f t="shared" si="15"/>
        <v>e?_spv_JPN*</v>
      </c>
      <c r="D74">
        <v>1</v>
      </c>
      <c r="E74">
        <v>2</v>
      </c>
      <c r="G74" t="str">
        <f t="shared" si="20"/>
        <v>UCE_elcaggCap_spv_JPN</v>
      </c>
      <c r="H74" t="str">
        <f t="shared" si="21"/>
        <v>elcagg_spv_JPN</v>
      </c>
      <c r="I74">
        <v>-1</v>
      </c>
      <c r="K74" t="s">
        <v>173</v>
      </c>
      <c r="L74" t="str">
        <f t="shared" si="22"/>
        <v>UCE_elcaggCap_won_JOR</v>
      </c>
      <c r="M74" t="str">
        <f t="shared" si="16"/>
        <v>e?_won_JOR*</v>
      </c>
      <c r="N74">
        <v>1</v>
      </c>
      <c r="O74">
        <v>2</v>
      </c>
      <c r="Q74" t="str">
        <f t="shared" si="23"/>
        <v>UCE_elcaggCap_won_JOR</v>
      </c>
      <c r="R74" t="str">
        <f t="shared" si="24"/>
        <v>elcagg_won_JOR</v>
      </c>
      <c r="S74">
        <v>-1</v>
      </c>
      <c r="V74" t="s">
        <v>175</v>
      </c>
      <c r="W74" t="str">
        <f t="shared" si="25"/>
        <v>UCE_elcaggCap_wof_MOZ</v>
      </c>
      <c r="X74" t="str">
        <f t="shared" si="17"/>
        <v>e?_wof_MOZ*</v>
      </c>
      <c r="Y74">
        <v>1</v>
      </c>
      <c r="Z74">
        <v>2</v>
      </c>
      <c r="AB74" t="str">
        <f t="shared" si="26"/>
        <v>UCE_elcaggCap_wof_MOZ</v>
      </c>
      <c r="AC74" t="str">
        <f t="shared" si="18"/>
        <v>elcagg_wof_MOZ</v>
      </c>
      <c r="AD74">
        <v>-1</v>
      </c>
    </row>
    <row r="75" spans="1:30">
      <c r="A75" t="s">
        <v>153</v>
      </c>
      <c r="B75" t="str">
        <f t="shared" si="19"/>
        <v>UCE_elcaggCap_spv_KAZ</v>
      </c>
      <c r="C75" t="str">
        <f t="shared" si="15"/>
        <v>e?_spv_KAZ*</v>
      </c>
      <c r="D75">
        <v>1</v>
      </c>
      <c r="E75">
        <v>2</v>
      </c>
      <c r="G75" t="str">
        <f t="shared" si="20"/>
        <v>UCE_elcaggCap_spv_KAZ</v>
      </c>
      <c r="H75" t="str">
        <f t="shared" si="21"/>
        <v>elcagg_spv_KAZ</v>
      </c>
      <c r="I75">
        <v>-1</v>
      </c>
      <c r="K75" t="s">
        <v>152</v>
      </c>
      <c r="L75" t="str">
        <f t="shared" si="22"/>
        <v>UCE_elcaggCap_won_JPN</v>
      </c>
      <c r="M75" t="str">
        <f t="shared" si="16"/>
        <v>e?_won_JPN*</v>
      </c>
      <c r="N75">
        <v>1</v>
      </c>
      <c r="O75">
        <v>2</v>
      </c>
      <c r="Q75" t="str">
        <f t="shared" si="23"/>
        <v>UCE_elcaggCap_won_JPN</v>
      </c>
      <c r="R75" t="str">
        <f t="shared" si="24"/>
        <v>elcagg_won_JPN</v>
      </c>
      <c r="S75">
        <v>-1</v>
      </c>
      <c r="V75" t="s">
        <v>176</v>
      </c>
      <c r="W75" t="str">
        <f t="shared" si="25"/>
        <v>UCE_elcaggCap_wof_MRT</v>
      </c>
      <c r="X75" t="str">
        <f t="shared" si="17"/>
        <v>e?_wof_MRT*</v>
      </c>
      <c r="Y75">
        <v>1</v>
      </c>
      <c r="Z75">
        <v>2</v>
      </c>
      <c r="AB75" t="str">
        <f t="shared" si="26"/>
        <v>UCE_elcaggCap_wof_MRT</v>
      </c>
      <c r="AC75" t="str">
        <f t="shared" si="18"/>
        <v>elcagg_wof_MRT</v>
      </c>
      <c r="AD75">
        <v>-1</v>
      </c>
    </row>
    <row r="76" spans="1:30">
      <c r="A76" t="s">
        <v>154</v>
      </c>
      <c r="B76" t="str">
        <f t="shared" si="19"/>
        <v>UCE_elcaggCap_spv_KEN</v>
      </c>
      <c r="C76" t="str">
        <f t="shared" si="15"/>
        <v>e?_spv_KEN*</v>
      </c>
      <c r="D76">
        <v>1</v>
      </c>
      <c r="E76">
        <v>2</v>
      </c>
      <c r="G76" t="str">
        <f t="shared" si="20"/>
        <v>UCE_elcaggCap_spv_KEN</v>
      </c>
      <c r="H76" t="str">
        <f t="shared" si="21"/>
        <v>elcagg_spv_KEN</v>
      </c>
      <c r="I76">
        <v>-1</v>
      </c>
      <c r="K76" t="s">
        <v>153</v>
      </c>
      <c r="L76" t="str">
        <f t="shared" si="22"/>
        <v>UCE_elcaggCap_won_KAZ</v>
      </c>
      <c r="M76" t="str">
        <f t="shared" si="16"/>
        <v>e?_won_KAZ*</v>
      </c>
      <c r="N76">
        <v>1</v>
      </c>
      <c r="O76">
        <v>2</v>
      </c>
      <c r="Q76" t="str">
        <f t="shared" si="23"/>
        <v>UCE_elcaggCap_won_KAZ</v>
      </c>
      <c r="R76" t="str">
        <f t="shared" si="24"/>
        <v>elcagg_won_KAZ</v>
      </c>
      <c r="S76">
        <v>-1</v>
      </c>
      <c r="V76" t="s">
        <v>177</v>
      </c>
      <c r="W76" t="str">
        <f t="shared" si="25"/>
        <v>UCE_elcaggCap_wof_MYS</v>
      </c>
      <c r="X76" t="str">
        <f t="shared" si="17"/>
        <v>e?_wof_MYS*</v>
      </c>
      <c r="Y76">
        <v>1</v>
      </c>
      <c r="Z76">
        <v>2</v>
      </c>
      <c r="AB76" t="str">
        <f t="shared" si="26"/>
        <v>UCE_elcaggCap_wof_MYS</v>
      </c>
      <c r="AC76" t="str">
        <f t="shared" si="18"/>
        <v>elcagg_wof_MYS</v>
      </c>
      <c r="AD76">
        <v>-1</v>
      </c>
    </row>
    <row r="77" spans="1:30">
      <c r="A77" t="s">
        <v>178</v>
      </c>
      <c r="B77" t="str">
        <f t="shared" si="19"/>
        <v>UCE_elcaggCap_spv_KGZ</v>
      </c>
      <c r="C77" t="str">
        <f t="shared" si="15"/>
        <v>e?_spv_KGZ*</v>
      </c>
      <c r="D77">
        <v>1</v>
      </c>
      <c r="E77">
        <v>2</v>
      </c>
      <c r="G77" t="str">
        <f t="shared" si="20"/>
        <v>UCE_elcaggCap_spv_KGZ</v>
      </c>
      <c r="H77" t="str">
        <f t="shared" si="21"/>
        <v>elcagg_spv_KGZ</v>
      </c>
      <c r="I77">
        <v>-1</v>
      </c>
      <c r="K77" t="s">
        <v>154</v>
      </c>
      <c r="L77" t="str">
        <f t="shared" si="22"/>
        <v>UCE_elcaggCap_won_KEN</v>
      </c>
      <c r="M77" t="str">
        <f t="shared" si="16"/>
        <v>e?_won_KEN*</v>
      </c>
      <c r="N77">
        <v>1</v>
      </c>
      <c r="O77">
        <v>2</v>
      </c>
      <c r="Q77" t="str">
        <f t="shared" si="23"/>
        <v>UCE_elcaggCap_won_KEN</v>
      </c>
      <c r="R77" t="str">
        <f t="shared" si="24"/>
        <v>elcagg_won_KEN</v>
      </c>
      <c r="S77">
        <v>-1</v>
      </c>
      <c r="V77" t="s">
        <v>179</v>
      </c>
      <c r="W77" t="str">
        <f t="shared" si="25"/>
        <v>UCE_elcaggCap_wof_NAM</v>
      </c>
      <c r="X77" t="str">
        <f t="shared" si="17"/>
        <v>e?_wof_NAM*</v>
      </c>
      <c r="Y77">
        <v>1</v>
      </c>
      <c r="Z77">
        <v>2</v>
      </c>
      <c r="AB77" t="str">
        <f t="shared" si="26"/>
        <v>UCE_elcaggCap_wof_NAM</v>
      </c>
      <c r="AC77" t="str">
        <f t="shared" si="18"/>
        <v>elcagg_wof_NAM</v>
      </c>
      <c r="AD77">
        <v>-1</v>
      </c>
    </row>
    <row r="78" spans="1:30">
      <c r="A78" t="s">
        <v>155</v>
      </c>
      <c r="B78" t="str">
        <f t="shared" si="19"/>
        <v>UCE_elcaggCap_spv_KHM</v>
      </c>
      <c r="C78" t="str">
        <f t="shared" si="15"/>
        <v>e?_spv_KHM*</v>
      </c>
      <c r="D78">
        <v>1</v>
      </c>
      <c r="E78">
        <v>2</v>
      </c>
      <c r="G78" t="str">
        <f t="shared" si="20"/>
        <v>UCE_elcaggCap_spv_KHM</v>
      </c>
      <c r="H78" t="str">
        <f t="shared" si="21"/>
        <v>elcagg_spv_KHM</v>
      </c>
      <c r="I78">
        <v>-1</v>
      </c>
      <c r="K78" t="s">
        <v>178</v>
      </c>
      <c r="L78" t="str">
        <f t="shared" si="22"/>
        <v>UCE_elcaggCap_won_KGZ</v>
      </c>
      <c r="M78" t="str">
        <f t="shared" si="16"/>
        <v>e?_won_KGZ*</v>
      </c>
      <c r="N78">
        <v>1</v>
      </c>
      <c r="O78">
        <v>2</v>
      </c>
      <c r="Q78" t="str">
        <f t="shared" si="23"/>
        <v>UCE_elcaggCap_won_KGZ</v>
      </c>
      <c r="R78" t="str">
        <f t="shared" si="24"/>
        <v>elcagg_won_KGZ</v>
      </c>
      <c r="S78">
        <v>-1</v>
      </c>
      <c r="V78" t="s">
        <v>180</v>
      </c>
      <c r="W78" t="str">
        <f t="shared" si="25"/>
        <v>UCE_elcaggCap_wof_NCL</v>
      </c>
      <c r="X78" t="str">
        <f t="shared" si="17"/>
        <v>e?_wof_NCL*</v>
      </c>
      <c r="Y78">
        <v>1</v>
      </c>
      <c r="Z78">
        <v>2</v>
      </c>
      <c r="AB78" t="str">
        <f t="shared" si="26"/>
        <v>UCE_elcaggCap_wof_NCL</v>
      </c>
      <c r="AC78" t="str">
        <f t="shared" si="18"/>
        <v>elcagg_wof_NCL</v>
      </c>
      <c r="AD78">
        <v>-1</v>
      </c>
    </row>
    <row r="79" spans="1:30">
      <c r="A79" t="s">
        <v>157</v>
      </c>
      <c r="B79" t="str">
        <f t="shared" si="19"/>
        <v>UCE_elcaggCap_spv_KOR</v>
      </c>
      <c r="C79" t="str">
        <f t="shared" si="15"/>
        <v>e?_spv_KOR*</v>
      </c>
      <c r="D79">
        <v>1</v>
      </c>
      <c r="E79">
        <v>2</v>
      </c>
      <c r="G79" t="str">
        <f t="shared" si="20"/>
        <v>UCE_elcaggCap_spv_KOR</v>
      </c>
      <c r="H79" t="str">
        <f t="shared" si="21"/>
        <v>elcagg_spv_KOR</v>
      </c>
      <c r="I79">
        <v>-1</v>
      </c>
      <c r="K79" t="s">
        <v>155</v>
      </c>
      <c r="L79" t="str">
        <f t="shared" si="22"/>
        <v>UCE_elcaggCap_won_KHM</v>
      </c>
      <c r="M79" t="str">
        <f t="shared" si="16"/>
        <v>e?_won_KHM*</v>
      </c>
      <c r="N79">
        <v>1</v>
      </c>
      <c r="O79">
        <v>2</v>
      </c>
      <c r="Q79" t="str">
        <f t="shared" si="23"/>
        <v>UCE_elcaggCap_won_KHM</v>
      </c>
      <c r="R79" t="str">
        <f t="shared" si="24"/>
        <v>elcagg_won_KHM</v>
      </c>
      <c r="S79">
        <v>-1</v>
      </c>
      <c r="V79" t="s">
        <v>181</v>
      </c>
      <c r="W79" t="str">
        <f t="shared" si="25"/>
        <v>UCE_elcaggCap_wof_NGA</v>
      </c>
      <c r="X79" t="str">
        <f t="shared" si="17"/>
        <v>e?_wof_NGA*</v>
      </c>
      <c r="Y79">
        <v>1</v>
      </c>
      <c r="Z79">
        <v>2</v>
      </c>
      <c r="AB79" t="str">
        <f t="shared" si="26"/>
        <v>UCE_elcaggCap_wof_NGA</v>
      </c>
      <c r="AC79" t="str">
        <f t="shared" si="18"/>
        <v>elcagg_wof_NGA</v>
      </c>
      <c r="AD79">
        <v>-1</v>
      </c>
    </row>
    <row r="80" spans="1:30">
      <c r="A80" t="s">
        <v>158</v>
      </c>
      <c r="B80" t="str">
        <f t="shared" si="19"/>
        <v>UCE_elcaggCap_spv_KWT</v>
      </c>
      <c r="C80" t="str">
        <f t="shared" si="15"/>
        <v>e?_spv_KWT*</v>
      </c>
      <c r="D80">
        <v>1</v>
      </c>
      <c r="E80">
        <v>2</v>
      </c>
      <c r="G80" t="str">
        <f t="shared" si="20"/>
        <v>UCE_elcaggCap_spv_KWT</v>
      </c>
      <c r="H80" t="str">
        <f t="shared" si="21"/>
        <v>elcagg_spv_KWT</v>
      </c>
      <c r="I80">
        <v>-1</v>
      </c>
      <c r="K80" t="s">
        <v>157</v>
      </c>
      <c r="L80" t="str">
        <f t="shared" si="22"/>
        <v>UCE_elcaggCap_won_KOR</v>
      </c>
      <c r="M80" t="str">
        <f t="shared" si="16"/>
        <v>e?_won_KOR*</v>
      </c>
      <c r="N80">
        <v>1</v>
      </c>
      <c r="O80">
        <v>2</v>
      </c>
      <c r="Q80" t="str">
        <f t="shared" si="23"/>
        <v>UCE_elcaggCap_won_KOR</v>
      </c>
      <c r="R80" t="str">
        <f t="shared" si="24"/>
        <v>elcagg_won_KOR</v>
      </c>
      <c r="S80">
        <v>-1</v>
      </c>
      <c r="V80" t="s">
        <v>182</v>
      </c>
      <c r="W80" t="str">
        <f t="shared" si="25"/>
        <v>UCE_elcaggCap_wof_NIC</v>
      </c>
      <c r="X80" t="str">
        <f t="shared" si="17"/>
        <v>e?_wof_NIC*</v>
      </c>
      <c r="Y80">
        <v>1</v>
      </c>
      <c r="Z80">
        <v>2</v>
      </c>
      <c r="AB80" t="str">
        <f t="shared" si="26"/>
        <v>UCE_elcaggCap_wof_NIC</v>
      </c>
      <c r="AC80" t="str">
        <f t="shared" si="18"/>
        <v>elcagg_wof_NIC</v>
      </c>
      <c r="AD80">
        <v>-1</v>
      </c>
    </row>
    <row r="81" spans="1:30">
      <c r="A81" t="s">
        <v>183</v>
      </c>
      <c r="B81" t="str">
        <f t="shared" si="19"/>
        <v>UCE_elcaggCap_spv_LAO</v>
      </c>
      <c r="C81" t="str">
        <f t="shared" si="15"/>
        <v>e?_spv_LAO*</v>
      </c>
      <c r="D81">
        <v>1</v>
      </c>
      <c r="E81">
        <v>2</v>
      </c>
      <c r="G81" t="str">
        <f t="shared" si="20"/>
        <v>UCE_elcaggCap_spv_LAO</v>
      </c>
      <c r="H81" t="str">
        <f t="shared" si="21"/>
        <v>elcagg_spv_LAO</v>
      </c>
      <c r="I81">
        <v>-1</v>
      </c>
      <c r="K81" t="s">
        <v>158</v>
      </c>
      <c r="L81" t="str">
        <f t="shared" si="22"/>
        <v>UCE_elcaggCap_won_KWT</v>
      </c>
      <c r="M81" t="str">
        <f t="shared" si="16"/>
        <v>e?_won_KWT*</v>
      </c>
      <c r="N81">
        <v>1</v>
      </c>
      <c r="O81">
        <v>2</v>
      </c>
      <c r="Q81" t="str">
        <f t="shared" si="23"/>
        <v>UCE_elcaggCap_won_KWT</v>
      </c>
      <c r="R81" t="str">
        <f t="shared" si="24"/>
        <v>elcagg_won_KWT</v>
      </c>
      <c r="S81">
        <v>-1</v>
      </c>
      <c r="V81" t="s">
        <v>184</v>
      </c>
      <c r="W81" t="str">
        <f t="shared" si="25"/>
        <v>UCE_elcaggCap_wof_NLD</v>
      </c>
      <c r="X81" t="str">
        <f t="shared" si="17"/>
        <v>e?_wof_NLD*</v>
      </c>
      <c r="Y81">
        <v>1</v>
      </c>
      <c r="Z81">
        <v>2</v>
      </c>
      <c r="AB81" t="str">
        <f t="shared" si="26"/>
        <v>UCE_elcaggCap_wof_NLD</v>
      </c>
      <c r="AC81" t="str">
        <f t="shared" si="18"/>
        <v>elcagg_wof_NLD</v>
      </c>
      <c r="AD81">
        <v>-1</v>
      </c>
    </row>
    <row r="82" spans="1:30">
      <c r="A82" t="s">
        <v>159</v>
      </c>
      <c r="B82" t="str">
        <f t="shared" si="19"/>
        <v>UCE_elcaggCap_spv_LBN</v>
      </c>
      <c r="C82" t="str">
        <f t="shared" si="15"/>
        <v>e?_spv_LBN*</v>
      </c>
      <c r="D82">
        <v>1</v>
      </c>
      <c r="E82">
        <v>2</v>
      </c>
      <c r="G82" t="str">
        <f t="shared" si="20"/>
        <v>UCE_elcaggCap_spv_LBN</v>
      </c>
      <c r="H82" t="str">
        <f t="shared" si="21"/>
        <v>elcagg_spv_LBN</v>
      </c>
      <c r="I82">
        <v>-1</v>
      </c>
      <c r="K82" t="s">
        <v>183</v>
      </c>
      <c r="L82" t="str">
        <f t="shared" si="22"/>
        <v>UCE_elcaggCap_won_LAO</v>
      </c>
      <c r="M82" t="str">
        <f t="shared" si="16"/>
        <v>e?_won_LAO*</v>
      </c>
      <c r="N82">
        <v>1</v>
      </c>
      <c r="O82">
        <v>2</v>
      </c>
      <c r="Q82" t="str">
        <f t="shared" si="23"/>
        <v>UCE_elcaggCap_won_LAO</v>
      </c>
      <c r="R82" t="str">
        <f t="shared" si="24"/>
        <v>elcagg_won_LAO</v>
      </c>
      <c r="S82">
        <v>-1</v>
      </c>
      <c r="V82" t="s">
        <v>185</v>
      </c>
      <c r="W82" t="str">
        <f t="shared" si="25"/>
        <v>UCE_elcaggCap_wof_NOR</v>
      </c>
      <c r="X82" t="str">
        <f t="shared" si="17"/>
        <v>e?_wof_NOR*</v>
      </c>
      <c r="Y82">
        <v>1</v>
      </c>
      <c r="Z82">
        <v>2</v>
      </c>
      <c r="AB82" t="str">
        <f t="shared" si="26"/>
        <v>UCE_elcaggCap_wof_NOR</v>
      </c>
      <c r="AC82" t="str">
        <f t="shared" si="18"/>
        <v>elcagg_wof_NOR</v>
      </c>
      <c r="AD82">
        <v>-1</v>
      </c>
    </row>
    <row r="83" spans="1:30">
      <c r="A83" t="s">
        <v>160</v>
      </c>
      <c r="B83" t="str">
        <f t="shared" si="19"/>
        <v>UCE_elcaggCap_spv_LBR</v>
      </c>
      <c r="C83" t="str">
        <f t="shared" si="15"/>
        <v>e?_spv_LBR*</v>
      </c>
      <c r="D83">
        <v>1</v>
      </c>
      <c r="E83">
        <v>2</v>
      </c>
      <c r="G83" t="str">
        <f t="shared" si="20"/>
        <v>UCE_elcaggCap_spv_LBR</v>
      </c>
      <c r="H83" t="str">
        <f t="shared" si="21"/>
        <v>elcagg_spv_LBR</v>
      </c>
      <c r="I83">
        <v>-1</v>
      </c>
      <c r="K83" t="s">
        <v>159</v>
      </c>
      <c r="L83" t="str">
        <f t="shared" si="22"/>
        <v>UCE_elcaggCap_won_LBN</v>
      </c>
      <c r="M83" t="str">
        <f t="shared" si="16"/>
        <v>e?_won_LBN*</v>
      </c>
      <c r="N83">
        <v>1</v>
      </c>
      <c r="O83">
        <v>2</v>
      </c>
      <c r="Q83" t="str">
        <f t="shared" si="23"/>
        <v>UCE_elcaggCap_won_LBN</v>
      </c>
      <c r="R83" t="str">
        <f t="shared" si="24"/>
        <v>elcagg_won_LBN</v>
      </c>
      <c r="S83">
        <v>-1</v>
      </c>
      <c r="V83" t="s">
        <v>186</v>
      </c>
      <c r="W83" t="str">
        <f t="shared" si="25"/>
        <v>UCE_elcaggCap_wof_NZL</v>
      </c>
      <c r="X83" t="str">
        <f t="shared" si="17"/>
        <v>e?_wof_NZL*</v>
      </c>
      <c r="Y83">
        <v>1</v>
      </c>
      <c r="Z83">
        <v>2</v>
      </c>
      <c r="AB83" t="str">
        <f t="shared" si="26"/>
        <v>UCE_elcaggCap_wof_NZL</v>
      </c>
      <c r="AC83" t="str">
        <f t="shared" si="18"/>
        <v>elcagg_wof_NZL</v>
      </c>
      <c r="AD83">
        <v>-1</v>
      </c>
    </row>
    <row r="84" spans="1:30">
      <c r="A84" t="s">
        <v>162</v>
      </c>
      <c r="B84" t="str">
        <f t="shared" si="19"/>
        <v>UCE_elcaggCap_spv_LBY</v>
      </c>
      <c r="C84" t="str">
        <f t="shared" si="15"/>
        <v>e?_spv_LBY*</v>
      </c>
      <c r="D84">
        <v>1</v>
      </c>
      <c r="E84">
        <v>2</v>
      </c>
      <c r="G84" t="str">
        <f t="shared" si="20"/>
        <v>UCE_elcaggCap_spv_LBY</v>
      </c>
      <c r="H84" t="str">
        <f t="shared" si="21"/>
        <v>elcagg_spv_LBY</v>
      </c>
      <c r="I84">
        <v>-1</v>
      </c>
      <c r="K84" t="s">
        <v>160</v>
      </c>
      <c r="L84" t="str">
        <f t="shared" si="22"/>
        <v>UCE_elcaggCap_won_LBR</v>
      </c>
      <c r="M84" t="str">
        <f t="shared" si="16"/>
        <v>e?_won_LBR*</v>
      </c>
      <c r="N84">
        <v>1</v>
      </c>
      <c r="O84">
        <v>2</v>
      </c>
      <c r="Q84" t="str">
        <f t="shared" si="23"/>
        <v>UCE_elcaggCap_won_LBR</v>
      </c>
      <c r="R84" t="str">
        <f t="shared" si="24"/>
        <v>elcagg_won_LBR</v>
      </c>
      <c r="S84">
        <v>-1</v>
      </c>
      <c r="V84" t="s">
        <v>187</v>
      </c>
      <c r="W84" t="str">
        <f t="shared" si="25"/>
        <v>UCE_elcaggCap_wof_OMN</v>
      </c>
      <c r="X84" t="str">
        <f t="shared" si="17"/>
        <v>e?_wof_OMN*</v>
      </c>
      <c r="Y84">
        <v>1</v>
      </c>
      <c r="Z84">
        <v>2</v>
      </c>
      <c r="AB84" t="str">
        <f t="shared" si="26"/>
        <v>UCE_elcaggCap_wof_OMN</v>
      </c>
      <c r="AC84" t="str">
        <f t="shared" si="18"/>
        <v>elcagg_wof_OMN</v>
      </c>
      <c r="AD84">
        <v>-1</v>
      </c>
    </row>
    <row r="85" spans="1:30">
      <c r="A85" t="s">
        <v>163</v>
      </c>
      <c r="B85" t="str">
        <f t="shared" si="19"/>
        <v>UCE_elcaggCap_spv_LKA</v>
      </c>
      <c r="C85" t="str">
        <f t="shared" si="15"/>
        <v>e?_spv_LKA*</v>
      </c>
      <c r="D85">
        <v>1</v>
      </c>
      <c r="E85">
        <v>2</v>
      </c>
      <c r="G85" t="str">
        <f t="shared" si="20"/>
        <v>UCE_elcaggCap_spv_LKA</v>
      </c>
      <c r="H85" t="str">
        <f t="shared" si="21"/>
        <v>elcagg_spv_LKA</v>
      </c>
      <c r="I85">
        <v>-1</v>
      </c>
      <c r="K85" t="s">
        <v>162</v>
      </c>
      <c r="L85" t="str">
        <f t="shared" si="22"/>
        <v>UCE_elcaggCap_won_LBY</v>
      </c>
      <c r="M85" t="str">
        <f t="shared" si="16"/>
        <v>e?_won_LBY*</v>
      </c>
      <c r="N85">
        <v>1</v>
      </c>
      <c r="O85">
        <v>2</v>
      </c>
      <c r="Q85" t="str">
        <f t="shared" si="23"/>
        <v>UCE_elcaggCap_won_LBY</v>
      </c>
      <c r="R85" t="str">
        <f t="shared" si="24"/>
        <v>elcagg_won_LBY</v>
      </c>
      <c r="S85">
        <v>-1</v>
      </c>
      <c r="V85" t="s">
        <v>188</v>
      </c>
      <c r="W85" t="str">
        <f t="shared" si="25"/>
        <v>UCE_elcaggCap_wof_PAK</v>
      </c>
      <c r="X85" t="str">
        <f t="shared" si="17"/>
        <v>e?_wof_PAK*</v>
      </c>
      <c r="Y85">
        <v>1</v>
      </c>
      <c r="Z85">
        <v>2</v>
      </c>
      <c r="AB85" t="str">
        <f t="shared" si="26"/>
        <v>UCE_elcaggCap_wof_PAK</v>
      </c>
      <c r="AC85" t="str">
        <f t="shared" si="18"/>
        <v>elcagg_wof_PAK</v>
      </c>
      <c r="AD85">
        <v>-1</v>
      </c>
    </row>
    <row r="86" spans="1:30">
      <c r="A86" t="s">
        <v>189</v>
      </c>
      <c r="B86" t="str">
        <f t="shared" si="19"/>
        <v>UCE_elcaggCap_spv_LSO</v>
      </c>
      <c r="C86" t="str">
        <f t="shared" si="15"/>
        <v>e?_spv_LSO*</v>
      </c>
      <c r="D86">
        <v>1</v>
      </c>
      <c r="E86">
        <v>2</v>
      </c>
      <c r="G86" t="str">
        <f t="shared" si="20"/>
        <v>UCE_elcaggCap_spv_LSO</v>
      </c>
      <c r="H86" t="str">
        <f t="shared" si="21"/>
        <v>elcagg_spv_LSO</v>
      </c>
      <c r="I86">
        <v>-1</v>
      </c>
      <c r="K86" t="s">
        <v>163</v>
      </c>
      <c r="L86" t="str">
        <f t="shared" si="22"/>
        <v>UCE_elcaggCap_won_LKA</v>
      </c>
      <c r="M86" t="str">
        <f t="shared" si="16"/>
        <v>e?_won_LKA*</v>
      </c>
      <c r="N86">
        <v>1</v>
      </c>
      <c r="O86">
        <v>2</v>
      </c>
      <c r="Q86" t="str">
        <f t="shared" si="23"/>
        <v>UCE_elcaggCap_won_LKA</v>
      </c>
      <c r="R86" t="str">
        <f t="shared" si="24"/>
        <v>elcagg_won_LKA</v>
      </c>
      <c r="S86">
        <v>-1</v>
      </c>
      <c r="V86" t="s">
        <v>190</v>
      </c>
      <c r="W86" t="str">
        <f t="shared" si="25"/>
        <v>UCE_elcaggCap_wof_PAN</v>
      </c>
      <c r="X86" t="str">
        <f t="shared" si="17"/>
        <v>e?_wof_PAN*</v>
      </c>
      <c r="Y86">
        <v>1</v>
      </c>
      <c r="Z86">
        <v>2</v>
      </c>
      <c r="AB86" t="str">
        <f t="shared" si="26"/>
        <v>UCE_elcaggCap_wof_PAN</v>
      </c>
      <c r="AC86" t="str">
        <f t="shared" si="18"/>
        <v>elcagg_wof_PAN</v>
      </c>
      <c r="AD86">
        <v>-1</v>
      </c>
    </row>
    <row r="87" spans="1:30">
      <c r="A87" t="s">
        <v>164</v>
      </c>
      <c r="B87" t="str">
        <f t="shared" si="19"/>
        <v>UCE_elcaggCap_spv_LTU</v>
      </c>
      <c r="C87" t="str">
        <f t="shared" si="15"/>
        <v>e?_spv_LTU*</v>
      </c>
      <c r="D87">
        <v>1</v>
      </c>
      <c r="E87">
        <v>2</v>
      </c>
      <c r="G87" t="str">
        <f t="shared" si="20"/>
        <v>UCE_elcaggCap_spv_LTU</v>
      </c>
      <c r="H87" t="str">
        <f t="shared" si="21"/>
        <v>elcagg_spv_LTU</v>
      </c>
      <c r="I87">
        <v>-1</v>
      </c>
      <c r="K87" t="s">
        <v>189</v>
      </c>
      <c r="L87" t="str">
        <f t="shared" si="22"/>
        <v>UCE_elcaggCap_won_LSO</v>
      </c>
      <c r="M87" t="str">
        <f t="shared" si="16"/>
        <v>e?_won_LSO*</v>
      </c>
      <c r="N87">
        <v>1</v>
      </c>
      <c r="O87">
        <v>2</v>
      </c>
      <c r="Q87" t="str">
        <f t="shared" si="23"/>
        <v>UCE_elcaggCap_won_LSO</v>
      </c>
      <c r="R87" t="str">
        <f t="shared" si="24"/>
        <v>elcagg_won_LSO</v>
      </c>
      <c r="S87">
        <v>-1</v>
      </c>
      <c r="V87" t="s">
        <v>191</v>
      </c>
      <c r="W87" t="str">
        <f t="shared" si="25"/>
        <v>UCE_elcaggCap_wof_PER</v>
      </c>
      <c r="X87" t="str">
        <f t="shared" si="17"/>
        <v>e?_wof_PER*</v>
      </c>
      <c r="Y87">
        <v>1</v>
      </c>
      <c r="Z87">
        <v>2</v>
      </c>
      <c r="AB87" t="str">
        <f t="shared" si="26"/>
        <v>UCE_elcaggCap_wof_PER</v>
      </c>
      <c r="AC87" t="str">
        <f t="shared" si="18"/>
        <v>elcagg_wof_PER</v>
      </c>
      <c r="AD87">
        <v>-1</v>
      </c>
    </row>
    <row r="88" spans="1:30">
      <c r="A88" t="s">
        <v>192</v>
      </c>
      <c r="B88" t="str">
        <f t="shared" si="19"/>
        <v>UCE_elcaggCap_spv_LUX</v>
      </c>
      <c r="C88" t="str">
        <f t="shared" si="15"/>
        <v>e?_spv_LUX*</v>
      </c>
      <c r="D88">
        <v>1</v>
      </c>
      <c r="E88">
        <v>2</v>
      </c>
      <c r="G88" t="str">
        <f t="shared" si="20"/>
        <v>UCE_elcaggCap_spv_LUX</v>
      </c>
      <c r="H88" t="str">
        <f t="shared" si="21"/>
        <v>elcagg_spv_LUX</v>
      </c>
      <c r="I88">
        <v>-1</v>
      </c>
      <c r="K88" t="s">
        <v>164</v>
      </c>
      <c r="L88" t="str">
        <f t="shared" si="22"/>
        <v>UCE_elcaggCap_won_LTU</v>
      </c>
      <c r="M88" t="str">
        <f t="shared" si="16"/>
        <v>e?_won_LTU*</v>
      </c>
      <c r="N88">
        <v>1</v>
      </c>
      <c r="O88">
        <v>2</v>
      </c>
      <c r="Q88" t="str">
        <f t="shared" si="23"/>
        <v>UCE_elcaggCap_won_LTU</v>
      </c>
      <c r="R88" t="str">
        <f t="shared" si="24"/>
        <v>elcagg_won_LTU</v>
      </c>
      <c r="S88">
        <v>-1</v>
      </c>
      <c r="V88" t="s">
        <v>193</v>
      </c>
      <c r="W88" t="str">
        <f t="shared" si="25"/>
        <v>UCE_elcaggCap_wof_PHL</v>
      </c>
      <c r="X88" t="str">
        <f t="shared" si="17"/>
        <v>e?_wof_PHL*</v>
      </c>
      <c r="Y88">
        <v>1</v>
      </c>
      <c r="Z88">
        <v>2</v>
      </c>
      <c r="AB88" t="str">
        <f t="shared" si="26"/>
        <v>UCE_elcaggCap_wof_PHL</v>
      </c>
      <c r="AC88" t="str">
        <f t="shared" si="18"/>
        <v>elcagg_wof_PHL</v>
      </c>
      <c r="AD88">
        <v>-1</v>
      </c>
    </row>
    <row r="89" spans="1:30">
      <c r="A89" t="s">
        <v>165</v>
      </c>
      <c r="B89" t="str">
        <f t="shared" si="19"/>
        <v>UCE_elcaggCap_spv_LVA</v>
      </c>
      <c r="C89" t="str">
        <f t="shared" si="15"/>
        <v>e?_spv_LVA*</v>
      </c>
      <c r="D89">
        <v>1</v>
      </c>
      <c r="E89">
        <v>2</v>
      </c>
      <c r="G89" t="str">
        <f t="shared" si="20"/>
        <v>UCE_elcaggCap_spv_LVA</v>
      </c>
      <c r="H89" t="str">
        <f t="shared" si="21"/>
        <v>elcagg_spv_LVA</v>
      </c>
      <c r="I89">
        <v>-1</v>
      </c>
      <c r="K89" t="s">
        <v>192</v>
      </c>
      <c r="L89" t="str">
        <f t="shared" si="22"/>
        <v>UCE_elcaggCap_won_LUX</v>
      </c>
      <c r="M89" t="str">
        <f t="shared" si="16"/>
        <v>e?_won_LUX*</v>
      </c>
      <c r="N89">
        <v>1</v>
      </c>
      <c r="O89">
        <v>2</v>
      </c>
      <c r="Q89" t="str">
        <f t="shared" si="23"/>
        <v>UCE_elcaggCap_won_LUX</v>
      </c>
      <c r="R89" t="str">
        <f t="shared" si="24"/>
        <v>elcagg_won_LUX</v>
      </c>
      <c r="S89">
        <v>-1</v>
      </c>
      <c r="V89" t="s">
        <v>194</v>
      </c>
      <c r="W89" t="str">
        <f t="shared" si="25"/>
        <v>UCE_elcaggCap_wof_PNG</v>
      </c>
      <c r="X89" t="str">
        <f t="shared" si="17"/>
        <v>e?_wof_PNG*</v>
      </c>
      <c r="Y89">
        <v>1</v>
      </c>
      <c r="Z89">
        <v>2</v>
      </c>
      <c r="AB89" t="str">
        <f t="shared" si="26"/>
        <v>UCE_elcaggCap_wof_PNG</v>
      </c>
      <c r="AC89" t="str">
        <f t="shared" si="18"/>
        <v>elcagg_wof_PNG</v>
      </c>
      <c r="AD89">
        <v>-1</v>
      </c>
    </row>
    <row r="90" spans="1:30">
      <c r="A90" t="s">
        <v>166</v>
      </c>
      <c r="B90" t="str">
        <f t="shared" si="19"/>
        <v>UCE_elcaggCap_spv_MAR</v>
      </c>
      <c r="C90" t="str">
        <f t="shared" si="15"/>
        <v>e?_spv_MAR*</v>
      </c>
      <c r="D90">
        <v>1</v>
      </c>
      <c r="E90">
        <v>2</v>
      </c>
      <c r="G90" t="str">
        <f t="shared" si="20"/>
        <v>UCE_elcaggCap_spv_MAR</v>
      </c>
      <c r="H90" t="str">
        <f t="shared" si="21"/>
        <v>elcagg_spv_MAR</v>
      </c>
      <c r="I90">
        <v>-1</v>
      </c>
      <c r="K90" t="s">
        <v>165</v>
      </c>
      <c r="L90" t="str">
        <f t="shared" si="22"/>
        <v>UCE_elcaggCap_won_LVA</v>
      </c>
      <c r="M90" t="str">
        <f t="shared" si="16"/>
        <v>e?_won_LVA*</v>
      </c>
      <c r="N90">
        <v>1</v>
      </c>
      <c r="O90">
        <v>2</v>
      </c>
      <c r="Q90" t="str">
        <f t="shared" si="23"/>
        <v>UCE_elcaggCap_won_LVA</v>
      </c>
      <c r="R90" t="str">
        <f t="shared" si="24"/>
        <v>elcagg_won_LVA</v>
      </c>
      <c r="S90">
        <v>-1</v>
      </c>
      <c r="V90" t="s">
        <v>195</v>
      </c>
      <c r="W90" t="str">
        <f t="shared" si="25"/>
        <v>UCE_elcaggCap_wof_POL</v>
      </c>
      <c r="X90" t="str">
        <f t="shared" si="17"/>
        <v>e?_wof_POL*</v>
      </c>
      <c r="Y90">
        <v>1</v>
      </c>
      <c r="Z90">
        <v>2</v>
      </c>
      <c r="AB90" t="str">
        <f t="shared" si="26"/>
        <v>UCE_elcaggCap_wof_POL</v>
      </c>
      <c r="AC90" t="str">
        <f t="shared" si="18"/>
        <v>elcagg_wof_POL</v>
      </c>
      <c r="AD90">
        <v>-1</v>
      </c>
    </row>
    <row r="91" spans="1:30">
      <c r="A91" t="s">
        <v>196</v>
      </c>
      <c r="B91" t="str">
        <f t="shared" si="19"/>
        <v>UCE_elcaggCap_spv_MDA</v>
      </c>
      <c r="C91" t="str">
        <f t="shared" si="15"/>
        <v>e?_spv_MDA*</v>
      </c>
      <c r="D91">
        <v>1</v>
      </c>
      <c r="E91">
        <v>2</v>
      </c>
      <c r="G91" t="str">
        <f t="shared" si="20"/>
        <v>UCE_elcaggCap_spv_MDA</v>
      </c>
      <c r="H91" t="str">
        <f t="shared" si="21"/>
        <v>elcagg_spv_MDA</v>
      </c>
      <c r="I91">
        <v>-1</v>
      </c>
      <c r="K91" t="s">
        <v>166</v>
      </c>
      <c r="L91" t="str">
        <f t="shared" si="22"/>
        <v>UCE_elcaggCap_won_MAR</v>
      </c>
      <c r="M91" t="str">
        <f t="shared" si="16"/>
        <v>e?_won_MAR*</v>
      </c>
      <c r="N91">
        <v>1</v>
      </c>
      <c r="O91">
        <v>2</v>
      </c>
      <c r="Q91" t="str">
        <f t="shared" si="23"/>
        <v>UCE_elcaggCap_won_MAR</v>
      </c>
      <c r="R91" t="str">
        <f t="shared" si="24"/>
        <v>elcagg_won_MAR</v>
      </c>
      <c r="S91">
        <v>-1</v>
      </c>
      <c r="V91" t="s">
        <v>197</v>
      </c>
      <c r="W91" t="str">
        <f t="shared" si="25"/>
        <v>UCE_elcaggCap_wof_PRI</v>
      </c>
      <c r="X91" t="str">
        <f t="shared" si="17"/>
        <v>e?_wof_PRI*</v>
      </c>
      <c r="Y91">
        <v>1</v>
      </c>
      <c r="Z91">
        <v>2</v>
      </c>
      <c r="AB91" t="str">
        <f t="shared" si="26"/>
        <v>UCE_elcaggCap_wof_PRI</v>
      </c>
      <c r="AC91" t="str">
        <f t="shared" si="18"/>
        <v>elcagg_wof_PRI</v>
      </c>
      <c r="AD91">
        <v>-1</v>
      </c>
    </row>
    <row r="92" spans="1:30">
      <c r="A92" t="s">
        <v>168</v>
      </c>
      <c r="B92" t="str">
        <f t="shared" si="19"/>
        <v>UCE_elcaggCap_spv_MDG</v>
      </c>
      <c r="C92" t="str">
        <f t="shared" si="15"/>
        <v>e?_spv_MDG*</v>
      </c>
      <c r="D92">
        <v>1</v>
      </c>
      <c r="E92">
        <v>2</v>
      </c>
      <c r="G92" t="str">
        <f t="shared" si="20"/>
        <v>UCE_elcaggCap_spv_MDG</v>
      </c>
      <c r="H92" t="str">
        <f t="shared" si="21"/>
        <v>elcagg_spv_MDG</v>
      </c>
      <c r="I92">
        <v>-1</v>
      </c>
      <c r="K92" t="s">
        <v>196</v>
      </c>
      <c r="L92" t="str">
        <f t="shared" si="22"/>
        <v>UCE_elcaggCap_won_MDA</v>
      </c>
      <c r="M92" t="str">
        <f t="shared" si="16"/>
        <v>e?_won_MDA*</v>
      </c>
      <c r="N92">
        <v>1</v>
      </c>
      <c r="O92">
        <v>2</v>
      </c>
      <c r="Q92" t="str">
        <f t="shared" si="23"/>
        <v>UCE_elcaggCap_won_MDA</v>
      </c>
      <c r="R92" t="str">
        <f t="shared" si="24"/>
        <v>elcagg_won_MDA</v>
      </c>
      <c r="S92">
        <v>-1</v>
      </c>
      <c r="V92" t="s">
        <v>198</v>
      </c>
      <c r="W92" t="str">
        <f t="shared" si="25"/>
        <v>UCE_elcaggCap_wof_PRK</v>
      </c>
      <c r="X92" t="str">
        <f t="shared" si="17"/>
        <v>e?_wof_PRK*</v>
      </c>
      <c r="Y92">
        <v>1</v>
      </c>
      <c r="Z92">
        <v>2</v>
      </c>
      <c r="AB92" t="str">
        <f t="shared" si="26"/>
        <v>UCE_elcaggCap_wof_PRK</v>
      </c>
      <c r="AC92" t="str">
        <f t="shared" si="18"/>
        <v>elcagg_wof_PRK</v>
      </c>
      <c r="AD92">
        <v>-1</v>
      </c>
    </row>
    <row r="93" spans="1:30">
      <c r="A93" t="s">
        <v>170</v>
      </c>
      <c r="B93" t="str">
        <f t="shared" si="19"/>
        <v>UCE_elcaggCap_spv_MEX</v>
      </c>
      <c r="C93" t="str">
        <f t="shared" si="15"/>
        <v>e?_spv_MEX*</v>
      </c>
      <c r="D93">
        <v>1</v>
      </c>
      <c r="E93">
        <v>2</v>
      </c>
      <c r="G93" t="str">
        <f t="shared" si="20"/>
        <v>UCE_elcaggCap_spv_MEX</v>
      </c>
      <c r="H93" t="str">
        <f t="shared" si="21"/>
        <v>elcagg_spv_MEX</v>
      </c>
      <c r="I93">
        <v>-1</v>
      </c>
      <c r="K93" t="s">
        <v>168</v>
      </c>
      <c r="L93" t="str">
        <f t="shared" si="22"/>
        <v>UCE_elcaggCap_won_MDG</v>
      </c>
      <c r="M93" t="str">
        <f t="shared" si="16"/>
        <v>e?_won_MDG*</v>
      </c>
      <c r="N93">
        <v>1</v>
      </c>
      <c r="O93">
        <v>2</v>
      </c>
      <c r="Q93" t="str">
        <f t="shared" si="23"/>
        <v>UCE_elcaggCap_won_MDG</v>
      </c>
      <c r="R93" t="str">
        <f t="shared" si="24"/>
        <v>elcagg_won_MDG</v>
      </c>
      <c r="S93">
        <v>-1</v>
      </c>
      <c r="V93" t="s">
        <v>199</v>
      </c>
      <c r="W93" t="str">
        <f t="shared" si="25"/>
        <v>UCE_elcaggCap_wof_PRT</v>
      </c>
      <c r="X93" t="str">
        <f t="shared" si="17"/>
        <v>e?_wof_PRT*</v>
      </c>
      <c r="Y93">
        <v>1</v>
      </c>
      <c r="Z93">
        <v>2</v>
      </c>
      <c r="AB93" t="str">
        <f t="shared" si="26"/>
        <v>UCE_elcaggCap_wof_PRT</v>
      </c>
      <c r="AC93" t="str">
        <f t="shared" si="18"/>
        <v>elcagg_wof_PRT</v>
      </c>
      <c r="AD93">
        <v>-1</v>
      </c>
    </row>
    <row r="94" spans="1:30">
      <c r="A94" t="s">
        <v>200</v>
      </c>
      <c r="B94" t="str">
        <f t="shared" si="19"/>
        <v>UCE_elcaggCap_spv_MKD</v>
      </c>
      <c r="C94" t="str">
        <f t="shared" si="15"/>
        <v>e?_spv_MKD*</v>
      </c>
      <c r="D94">
        <v>1</v>
      </c>
      <c r="E94">
        <v>2</v>
      </c>
      <c r="G94" t="str">
        <f t="shared" si="20"/>
        <v>UCE_elcaggCap_spv_MKD</v>
      </c>
      <c r="H94" t="str">
        <f t="shared" si="21"/>
        <v>elcagg_spv_MKD</v>
      </c>
      <c r="I94">
        <v>-1</v>
      </c>
      <c r="K94" t="s">
        <v>170</v>
      </c>
      <c r="L94" t="str">
        <f t="shared" si="22"/>
        <v>UCE_elcaggCap_won_MEX</v>
      </c>
      <c r="M94" t="str">
        <f t="shared" si="16"/>
        <v>e?_won_MEX*</v>
      </c>
      <c r="N94">
        <v>1</v>
      </c>
      <c r="O94">
        <v>2</v>
      </c>
      <c r="Q94" t="str">
        <f t="shared" si="23"/>
        <v>UCE_elcaggCap_won_MEX</v>
      </c>
      <c r="R94" t="str">
        <f t="shared" si="24"/>
        <v>elcagg_won_MEX</v>
      </c>
      <c r="S94">
        <v>-1</v>
      </c>
      <c r="V94" t="s">
        <v>201</v>
      </c>
      <c r="W94" t="str">
        <f t="shared" si="25"/>
        <v>UCE_elcaggCap_wof_QAT</v>
      </c>
      <c r="X94" t="str">
        <f t="shared" si="17"/>
        <v>e?_wof_QAT*</v>
      </c>
      <c r="Y94">
        <v>1</v>
      </c>
      <c r="Z94">
        <v>2</v>
      </c>
      <c r="AB94" t="str">
        <f t="shared" si="26"/>
        <v>UCE_elcaggCap_wof_QAT</v>
      </c>
      <c r="AC94" t="str">
        <f t="shared" si="18"/>
        <v>elcagg_wof_QAT</v>
      </c>
      <c r="AD94">
        <v>-1</v>
      </c>
    </row>
    <row r="95" spans="1:30">
      <c r="A95" t="s">
        <v>202</v>
      </c>
      <c r="B95" t="str">
        <f t="shared" si="19"/>
        <v>UCE_elcaggCap_spv_MLI</v>
      </c>
      <c r="C95" t="str">
        <f t="shared" si="15"/>
        <v>e?_spv_MLI*</v>
      </c>
      <c r="D95">
        <v>1</v>
      </c>
      <c r="E95">
        <v>2</v>
      </c>
      <c r="G95" t="str">
        <f t="shared" si="20"/>
        <v>UCE_elcaggCap_spv_MLI</v>
      </c>
      <c r="H95" t="str">
        <f t="shared" si="21"/>
        <v>elcagg_spv_MLI</v>
      </c>
      <c r="I95">
        <v>-1</v>
      </c>
      <c r="K95" t="s">
        <v>200</v>
      </c>
      <c r="L95" t="str">
        <f t="shared" si="22"/>
        <v>UCE_elcaggCap_won_MKD</v>
      </c>
      <c r="M95" t="str">
        <f t="shared" si="16"/>
        <v>e?_won_MKD*</v>
      </c>
      <c r="N95">
        <v>1</v>
      </c>
      <c r="O95">
        <v>2</v>
      </c>
      <c r="Q95" t="str">
        <f t="shared" si="23"/>
        <v>UCE_elcaggCap_won_MKD</v>
      </c>
      <c r="R95" t="str">
        <f t="shared" si="24"/>
        <v>elcagg_won_MKD</v>
      </c>
      <c r="S95">
        <v>-1</v>
      </c>
      <c r="V95" t="s">
        <v>203</v>
      </c>
      <c r="W95" t="str">
        <f t="shared" si="25"/>
        <v>UCE_elcaggCap_wof_RUS</v>
      </c>
      <c r="X95" t="str">
        <f t="shared" si="17"/>
        <v>e?_wof_RUS*</v>
      </c>
      <c r="Y95">
        <v>1</v>
      </c>
      <c r="Z95">
        <v>2</v>
      </c>
      <c r="AB95" t="str">
        <f t="shared" si="26"/>
        <v>UCE_elcaggCap_wof_RUS</v>
      </c>
      <c r="AC95" t="str">
        <f t="shared" si="18"/>
        <v>elcagg_wof_RUS</v>
      </c>
      <c r="AD95">
        <v>-1</v>
      </c>
    </row>
    <row r="96" spans="1:30">
      <c r="A96" t="s">
        <v>172</v>
      </c>
      <c r="B96" t="str">
        <f t="shared" si="19"/>
        <v>UCE_elcaggCap_spv_MMR</v>
      </c>
      <c r="C96" t="str">
        <f t="shared" si="15"/>
        <v>e?_spv_MMR*</v>
      </c>
      <c r="D96">
        <v>1</v>
      </c>
      <c r="E96">
        <v>2</v>
      </c>
      <c r="G96" t="str">
        <f t="shared" si="20"/>
        <v>UCE_elcaggCap_spv_MMR</v>
      </c>
      <c r="H96" t="str">
        <f t="shared" si="21"/>
        <v>elcagg_spv_MMR</v>
      </c>
      <c r="I96">
        <v>-1</v>
      </c>
      <c r="K96" t="s">
        <v>202</v>
      </c>
      <c r="L96" t="str">
        <f t="shared" si="22"/>
        <v>UCE_elcaggCap_won_MLI</v>
      </c>
      <c r="M96" t="str">
        <f t="shared" si="16"/>
        <v>e?_won_MLI*</v>
      </c>
      <c r="N96">
        <v>1</v>
      </c>
      <c r="O96">
        <v>2</v>
      </c>
      <c r="Q96" t="str">
        <f t="shared" si="23"/>
        <v>UCE_elcaggCap_won_MLI</v>
      </c>
      <c r="R96" t="str">
        <f t="shared" si="24"/>
        <v>elcagg_won_MLI</v>
      </c>
      <c r="S96">
        <v>-1</v>
      </c>
      <c r="V96" t="s">
        <v>204</v>
      </c>
      <c r="W96" t="str">
        <f t="shared" si="25"/>
        <v>UCE_elcaggCap_wof_SAU</v>
      </c>
      <c r="X96" t="str">
        <f t="shared" si="17"/>
        <v>e?_wof_SAU*</v>
      </c>
      <c r="Y96">
        <v>1</v>
      </c>
      <c r="Z96">
        <v>2</v>
      </c>
      <c r="AB96" t="str">
        <f t="shared" si="26"/>
        <v>UCE_elcaggCap_wof_SAU</v>
      </c>
      <c r="AC96" t="str">
        <f t="shared" si="18"/>
        <v>elcagg_wof_SAU</v>
      </c>
      <c r="AD96">
        <v>-1</v>
      </c>
    </row>
    <row r="97" spans="1:30">
      <c r="A97" t="s">
        <v>174</v>
      </c>
      <c r="B97" t="str">
        <f t="shared" si="19"/>
        <v>UCE_elcaggCap_spv_MNE</v>
      </c>
      <c r="C97" t="str">
        <f t="shared" si="15"/>
        <v>e?_spv_MNE*</v>
      </c>
      <c r="D97">
        <v>1</v>
      </c>
      <c r="E97">
        <v>2</v>
      </c>
      <c r="G97" t="str">
        <f t="shared" si="20"/>
        <v>UCE_elcaggCap_spv_MNE</v>
      </c>
      <c r="H97" t="str">
        <f t="shared" si="21"/>
        <v>elcagg_spv_MNE</v>
      </c>
      <c r="I97">
        <v>-1</v>
      </c>
      <c r="K97" t="s">
        <v>172</v>
      </c>
      <c r="L97" t="str">
        <f t="shared" si="22"/>
        <v>UCE_elcaggCap_won_MMR</v>
      </c>
      <c r="M97" t="str">
        <f t="shared" si="16"/>
        <v>e?_won_MMR*</v>
      </c>
      <c r="N97">
        <v>1</v>
      </c>
      <c r="O97">
        <v>2</v>
      </c>
      <c r="Q97" t="str">
        <f t="shared" si="23"/>
        <v>UCE_elcaggCap_won_MMR</v>
      </c>
      <c r="R97" t="str">
        <f t="shared" si="24"/>
        <v>elcagg_won_MMR</v>
      </c>
      <c r="S97">
        <v>-1</v>
      </c>
      <c r="V97" t="s">
        <v>205</v>
      </c>
      <c r="W97" t="str">
        <f t="shared" si="25"/>
        <v>UCE_elcaggCap_wof_SDN</v>
      </c>
      <c r="X97" t="str">
        <f t="shared" si="17"/>
        <v>e?_wof_SDN*</v>
      </c>
      <c r="Y97">
        <v>1</v>
      </c>
      <c r="Z97">
        <v>2</v>
      </c>
      <c r="AB97" t="str">
        <f t="shared" si="26"/>
        <v>UCE_elcaggCap_wof_SDN</v>
      </c>
      <c r="AC97" t="str">
        <f t="shared" si="18"/>
        <v>elcagg_wof_SDN</v>
      </c>
      <c r="AD97">
        <v>-1</v>
      </c>
    </row>
    <row r="98" spans="1:30">
      <c r="A98" t="s">
        <v>206</v>
      </c>
      <c r="B98" t="str">
        <f t="shared" si="19"/>
        <v>UCE_elcaggCap_spv_MNG</v>
      </c>
      <c r="C98" t="str">
        <f t="shared" si="15"/>
        <v>e?_spv_MNG*</v>
      </c>
      <c r="D98">
        <v>1</v>
      </c>
      <c r="E98">
        <v>2</v>
      </c>
      <c r="G98" t="str">
        <f t="shared" si="20"/>
        <v>UCE_elcaggCap_spv_MNG</v>
      </c>
      <c r="H98" t="str">
        <f t="shared" si="21"/>
        <v>elcagg_spv_MNG</v>
      </c>
      <c r="I98">
        <v>-1</v>
      </c>
      <c r="K98" t="s">
        <v>174</v>
      </c>
      <c r="L98" t="str">
        <f t="shared" si="22"/>
        <v>UCE_elcaggCap_won_MNE</v>
      </c>
      <c r="M98" t="str">
        <f t="shared" si="16"/>
        <v>e?_won_MNE*</v>
      </c>
      <c r="N98">
        <v>1</v>
      </c>
      <c r="O98">
        <v>2</v>
      </c>
      <c r="Q98" t="str">
        <f t="shared" si="23"/>
        <v>UCE_elcaggCap_won_MNE</v>
      </c>
      <c r="R98" t="str">
        <f t="shared" si="24"/>
        <v>elcagg_won_MNE</v>
      </c>
      <c r="S98">
        <v>-1</v>
      </c>
      <c r="V98" t="s">
        <v>207</v>
      </c>
      <c r="W98" t="str">
        <f t="shared" si="25"/>
        <v>UCE_elcaggCap_wof_SEN</v>
      </c>
      <c r="X98" t="str">
        <f t="shared" si="17"/>
        <v>e?_wof_SEN*</v>
      </c>
      <c r="Y98">
        <v>1</v>
      </c>
      <c r="Z98">
        <v>2</v>
      </c>
      <c r="AB98" t="str">
        <f t="shared" si="26"/>
        <v>UCE_elcaggCap_wof_SEN</v>
      </c>
      <c r="AC98" t="str">
        <f t="shared" si="18"/>
        <v>elcagg_wof_SEN</v>
      </c>
      <c r="AD98">
        <v>-1</v>
      </c>
    </row>
    <row r="99" spans="1:30">
      <c r="A99" t="s">
        <v>175</v>
      </c>
      <c r="B99" t="str">
        <f t="shared" si="19"/>
        <v>UCE_elcaggCap_spv_MOZ</v>
      </c>
      <c r="C99" t="str">
        <f t="shared" si="15"/>
        <v>e?_spv_MOZ*</v>
      </c>
      <c r="D99">
        <v>1</v>
      </c>
      <c r="E99">
        <v>2</v>
      </c>
      <c r="G99" t="str">
        <f t="shared" si="20"/>
        <v>UCE_elcaggCap_spv_MOZ</v>
      </c>
      <c r="H99" t="str">
        <f t="shared" si="21"/>
        <v>elcagg_spv_MOZ</v>
      </c>
      <c r="I99">
        <v>-1</v>
      </c>
      <c r="K99" t="s">
        <v>206</v>
      </c>
      <c r="L99" t="str">
        <f t="shared" si="22"/>
        <v>UCE_elcaggCap_won_MNG</v>
      </c>
      <c r="M99" t="str">
        <f t="shared" si="16"/>
        <v>e?_won_MNG*</v>
      </c>
      <c r="N99">
        <v>1</v>
      </c>
      <c r="O99">
        <v>2</v>
      </c>
      <c r="Q99" t="str">
        <f t="shared" si="23"/>
        <v>UCE_elcaggCap_won_MNG</v>
      </c>
      <c r="R99" t="str">
        <f t="shared" si="24"/>
        <v>elcagg_won_MNG</v>
      </c>
      <c r="S99">
        <v>-1</v>
      </c>
      <c r="V99" t="s">
        <v>208</v>
      </c>
      <c r="W99" t="str">
        <f t="shared" si="25"/>
        <v>UCE_elcaggCap_wof_SGP</v>
      </c>
      <c r="X99" t="str">
        <f t="shared" si="17"/>
        <v>e?_wof_SGP*</v>
      </c>
      <c r="Y99">
        <v>1</v>
      </c>
      <c r="Z99">
        <v>2</v>
      </c>
      <c r="AB99" t="str">
        <f t="shared" si="26"/>
        <v>UCE_elcaggCap_wof_SGP</v>
      </c>
      <c r="AC99" t="str">
        <f t="shared" si="18"/>
        <v>elcagg_wof_SGP</v>
      </c>
      <c r="AD99">
        <v>-1</v>
      </c>
    </row>
    <row r="100" spans="1:30">
      <c r="A100" t="s">
        <v>176</v>
      </c>
      <c r="B100" t="str">
        <f t="shared" si="19"/>
        <v>UCE_elcaggCap_spv_MRT</v>
      </c>
      <c r="C100" t="str">
        <f t="shared" si="15"/>
        <v>e?_spv_MRT*</v>
      </c>
      <c r="D100">
        <v>1</v>
      </c>
      <c r="E100">
        <v>2</v>
      </c>
      <c r="G100" t="str">
        <f t="shared" si="20"/>
        <v>UCE_elcaggCap_spv_MRT</v>
      </c>
      <c r="H100" t="str">
        <f t="shared" si="21"/>
        <v>elcagg_spv_MRT</v>
      </c>
      <c r="I100">
        <v>-1</v>
      </c>
      <c r="K100" t="s">
        <v>175</v>
      </c>
      <c r="L100" t="str">
        <f t="shared" si="22"/>
        <v>UCE_elcaggCap_won_MOZ</v>
      </c>
      <c r="M100" t="str">
        <f t="shared" si="16"/>
        <v>e?_won_MOZ*</v>
      </c>
      <c r="N100">
        <v>1</v>
      </c>
      <c r="O100">
        <v>2</v>
      </c>
      <c r="Q100" t="str">
        <f t="shared" si="23"/>
        <v>UCE_elcaggCap_won_MOZ</v>
      </c>
      <c r="R100" t="str">
        <f t="shared" si="24"/>
        <v>elcagg_won_MOZ</v>
      </c>
      <c r="S100">
        <v>-1</v>
      </c>
      <c r="V100" t="s">
        <v>209</v>
      </c>
      <c r="W100" t="str">
        <f t="shared" si="25"/>
        <v>UCE_elcaggCap_wof_SLE</v>
      </c>
      <c r="X100" t="str">
        <f t="shared" si="17"/>
        <v>e?_wof_SLE*</v>
      </c>
      <c r="Y100">
        <v>1</v>
      </c>
      <c r="Z100">
        <v>2</v>
      </c>
      <c r="AB100" t="str">
        <f t="shared" si="26"/>
        <v>UCE_elcaggCap_wof_SLE</v>
      </c>
      <c r="AC100" t="str">
        <f t="shared" si="18"/>
        <v>elcagg_wof_SLE</v>
      </c>
      <c r="AD100">
        <v>-1</v>
      </c>
    </row>
    <row r="101" spans="1:30">
      <c r="A101" t="s">
        <v>210</v>
      </c>
      <c r="B101" t="str">
        <f t="shared" si="19"/>
        <v>UCE_elcaggCap_spv_MWI</v>
      </c>
      <c r="C101" t="str">
        <f t="shared" si="15"/>
        <v>e?_spv_MWI*</v>
      </c>
      <c r="D101">
        <v>1</v>
      </c>
      <c r="E101">
        <v>2</v>
      </c>
      <c r="G101" t="str">
        <f t="shared" si="20"/>
        <v>UCE_elcaggCap_spv_MWI</v>
      </c>
      <c r="H101" t="str">
        <f t="shared" si="21"/>
        <v>elcagg_spv_MWI</v>
      </c>
      <c r="I101">
        <v>-1</v>
      </c>
      <c r="K101" t="s">
        <v>176</v>
      </c>
      <c r="L101" t="str">
        <f t="shared" si="22"/>
        <v>UCE_elcaggCap_won_MRT</v>
      </c>
      <c r="M101" t="str">
        <f t="shared" si="16"/>
        <v>e?_won_MRT*</v>
      </c>
      <c r="N101">
        <v>1</v>
      </c>
      <c r="O101">
        <v>2</v>
      </c>
      <c r="Q101" t="str">
        <f t="shared" si="23"/>
        <v>UCE_elcaggCap_won_MRT</v>
      </c>
      <c r="R101" t="str">
        <f t="shared" si="24"/>
        <v>elcagg_won_MRT</v>
      </c>
      <c r="S101">
        <v>-1</v>
      </c>
      <c r="V101" t="s">
        <v>211</v>
      </c>
      <c r="W101" t="str">
        <f t="shared" si="25"/>
        <v>UCE_elcaggCap_wof_SLV</v>
      </c>
      <c r="X101" t="str">
        <f t="shared" si="17"/>
        <v>e?_wof_SLV*</v>
      </c>
      <c r="Y101">
        <v>1</v>
      </c>
      <c r="Z101">
        <v>2</v>
      </c>
      <c r="AB101" t="str">
        <f t="shared" si="26"/>
        <v>UCE_elcaggCap_wof_SLV</v>
      </c>
      <c r="AC101" t="str">
        <f t="shared" si="18"/>
        <v>elcagg_wof_SLV</v>
      </c>
      <c r="AD101">
        <v>-1</v>
      </c>
    </row>
    <row r="102" spans="1:30">
      <c r="A102" t="s">
        <v>177</v>
      </c>
      <c r="B102" t="str">
        <f t="shared" si="19"/>
        <v>UCE_elcaggCap_spv_MYS</v>
      </c>
      <c r="C102" t="str">
        <f t="shared" si="15"/>
        <v>e?_spv_MYS*</v>
      </c>
      <c r="D102">
        <v>1</v>
      </c>
      <c r="E102">
        <v>2</v>
      </c>
      <c r="G102" t="str">
        <f t="shared" si="20"/>
        <v>UCE_elcaggCap_spv_MYS</v>
      </c>
      <c r="H102" t="str">
        <f t="shared" si="21"/>
        <v>elcagg_spv_MYS</v>
      </c>
      <c r="I102">
        <v>-1</v>
      </c>
      <c r="K102" t="s">
        <v>210</v>
      </c>
      <c r="L102" t="str">
        <f t="shared" si="22"/>
        <v>UCE_elcaggCap_won_MWI</v>
      </c>
      <c r="M102" t="str">
        <f t="shared" si="16"/>
        <v>e?_won_MWI*</v>
      </c>
      <c r="N102">
        <v>1</v>
      </c>
      <c r="O102">
        <v>2</v>
      </c>
      <c r="Q102" t="str">
        <f t="shared" si="23"/>
        <v>UCE_elcaggCap_won_MWI</v>
      </c>
      <c r="R102" t="str">
        <f t="shared" si="24"/>
        <v>elcagg_won_MWI</v>
      </c>
      <c r="S102">
        <v>-1</v>
      </c>
      <c r="V102" t="s">
        <v>212</v>
      </c>
      <c r="W102" t="str">
        <f t="shared" si="25"/>
        <v>UCE_elcaggCap_wof_SOM</v>
      </c>
      <c r="X102" t="str">
        <f t="shared" si="17"/>
        <v>e?_wof_SOM*</v>
      </c>
      <c r="Y102">
        <v>1</v>
      </c>
      <c r="Z102">
        <v>2</v>
      </c>
      <c r="AB102" t="str">
        <f t="shared" si="26"/>
        <v>UCE_elcaggCap_wof_SOM</v>
      </c>
      <c r="AC102" t="str">
        <f t="shared" si="18"/>
        <v>elcagg_wof_SOM</v>
      </c>
      <c r="AD102">
        <v>-1</v>
      </c>
    </row>
    <row r="103" spans="1:30">
      <c r="A103" t="s">
        <v>179</v>
      </c>
      <c r="B103" t="str">
        <f t="shared" si="19"/>
        <v>UCE_elcaggCap_spv_NAM</v>
      </c>
      <c r="C103" t="str">
        <f t="shared" si="15"/>
        <v>e?_spv_NAM*</v>
      </c>
      <c r="D103">
        <v>1</v>
      </c>
      <c r="E103">
        <v>2</v>
      </c>
      <c r="G103" t="str">
        <f t="shared" si="20"/>
        <v>UCE_elcaggCap_spv_NAM</v>
      </c>
      <c r="H103" t="str">
        <f t="shared" si="21"/>
        <v>elcagg_spv_NAM</v>
      </c>
      <c r="I103">
        <v>-1</v>
      </c>
      <c r="K103" t="s">
        <v>177</v>
      </c>
      <c r="L103" t="str">
        <f t="shared" si="22"/>
        <v>UCE_elcaggCap_won_MYS</v>
      </c>
      <c r="M103" t="str">
        <f t="shared" si="16"/>
        <v>e?_won_MYS*</v>
      </c>
      <c r="N103">
        <v>1</v>
      </c>
      <c r="O103">
        <v>2</v>
      </c>
      <c r="Q103" t="str">
        <f t="shared" si="23"/>
        <v>UCE_elcaggCap_won_MYS</v>
      </c>
      <c r="R103" t="str">
        <f t="shared" si="24"/>
        <v>elcagg_won_MYS</v>
      </c>
      <c r="S103">
        <v>-1</v>
      </c>
      <c r="V103" t="s">
        <v>213</v>
      </c>
      <c r="W103" t="str">
        <f t="shared" si="25"/>
        <v>UCE_elcaggCap_wof_SUR</v>
      </c>
      <c r="X103" t="str">
        <f t="shared" si="17"/>
        <v>e?_wof_SUR*</v>
      </c>
      <c r="Y103">
        <v>1</v>
      </c>
      <c r="Z103">
        <v>2</v>
      </c>
      <c r="AB103" t="str">
        <f t="shared" si="26"/>
        <v>UCE_elcaggCap_wof_SUR</v>
      </c>
      <c r="AC103" t="str">
        <f t="shared" si="18"/>
        <v>elcagg_wof_SUR</v>
      </c>
      <c r="AD103">
        <v>-1</v>
      </c>
    </row>
    <row r="104" spans="1:30">
      <c r="A104" t="s">
        <v>180</v>
      </c>
      <c r="B104" t="str">
        <f t="shared" si="19"/>
        <v>UCE_elcaggCap_spv_NCL</v>
      </c>
      <c r="C104" t="str">
        <f t="shared" si="15"/>
        <v>e?_spv_NCL*</v>
      </c>
      <c r="D104">
        <v>1</v>
      </c>
      <c r="E104">
        <v>2</v>
      </c>
      <c r="G104" t="str">
        <f t="shared" si="20"/>
        <v>UCE_elcaggCap_spv_NCL</v>
      </c>
      <c r="H104" t="str">
        <f t="shared" si="21"/>
        <v>elcagg_spv_NCL</v>
      </c>
      <c r="I104">
        <v>-1</v>
      </c>
      <c r="K104" t="s">
        <v>179</v>
      </c>
      <c r="L104" t="str">
        <f t="shared" si="22"/>
        <v>UCE_elcaggCap_won_NAM</v>
      </c>
      <c r="M104" t="str">
        <f t="shared" si="16"/>
        <v>e?_won_NAM*</v>
      </c>
      <c r="N104">
        <v>1</v>
      </c>
      <c r="O104">
        <v>2</v>
      </c>
      <c r="Q104" t="str">
        <f t="shared" si="23"/>
        <v>UCE_elcaggCap_won_NAM</v>
      </c>
      <c r="R104" t="str">
        <f t="shared" si="24"/>
        <v>elcagg_won_NAM</v>
      </c>
      <c r="S104">
        <v>-1</v>
      </c>
      <c r="V104" t="s">
        <v>214</v>
      </c>
      <c r="W104" t="str">
        <f t="shared" si="25"/>
        <v>UCE_elcaggCap_wof_SWE</v>
      </c>
      <c r="X104" t="str">
        <f t="shared" si="17"/>
        <v>e?_wof_SWE*</v>
      </c>
      <c r="Y104">
        <v>1</v>
      </c>
      <c r="Z104">
        <v>2</v>
      </c>
      <c r="AB104" t="str">
        <f t="shared" si="26"/>
        <v>UCE_elcaggCap_wof_SWE</v>
      </c>
      <c r="AC104" t="str">
        <f t="shared" si="18"/>
        <v>elcagg_wof_SWE</v>
      </c>
      <c r="AD104">
        <v>-1</v>
      </c>
    </row>
    <row r="105" spans="1:30">
      <c r="A105" t="s">
        <v>215</v>
      </c>
      <c r="B105" t="str">
        <f t="shared" si="19"/>
        <v>UCE_elcaggCap_spv_NER</v>
      </c>
      <c r="C105" t="str">
        <f t="shared" si="15"/>
        <v>e?_spv_NER*</v>
      </c>
      <c r="D105">
        <v>1</v>
      </c>
      <c r="E105">
        <v>2</v>
      </c>
      <c r="G105" t="str">
        <f t="shared" si="20"/>
        <v>UCE_elcaggCap_spv_NER</v>
      </c>
      <c r="H105" t="str">
        <f t="shared" si="21"/>
        <v>elcagg_spv_NER</v>
      </c>
      <c r="I105">
        <v>-1</v>
      </c>
      <c r="K105" t="s">
        <v>180</v>
      </c>
      <c r="L105" t="str">
        <f t="shared" si="22"/>
        <v>UCE_elcaggCap_won_NCL</v>
      </c>
      <c r="M105" t="str">
        <f t="shared" si="16"/>
        <v>e?_won_NCL*</v>
      </c>
      <c r="N105">
        <v>1</v>
      </c>
      <c r="O105">
        <v>2</v>
      </c>
      <c r="Q105" t="str">
        <f t="shared" si="23"/>
        <v>UCE_elcaggCap_won_NCL</v>
      </c>
      <c r="R105" t="str">
        <f t="shared" si="24"/>
        <v>elcagg_won_NCL</v>
      </c>
      <c r="S105">
        <v>-1</v>
      </c>
      <c r="V105" t="s">
        <v>216</v>
      </c>
      <c r="W105" t="str">
        <f t="shared" si="25"/>
        <v>UCE_elcaggCap_wof_SYR</v>
      </c>
      <c r="X105" t="str">
        <f t="shared" si="17"/>
        <v>e?_wof_SYR*</v>
      </c>
      <c r="Y105">
        <v>1</v>
      </c>
      <c r="Z105">
        <v>2</v>
      </c>
      <c r="AB105" t="str">
        <f t="shared" si="26"/>
        <v>UCE_elcaggCap_wof_SYR</v>
      </c>
      <c r="AC105" t="str">
        <f t="shared" si="18"/>
        <v>elcagg_wof_SYR</v>
      </c>
      <c r="AD105">
        <v>-1</v>
      </c>
    </row>
    <row r="106" spans="1:30">
      <c r="A106" t="s">
        <v>181</v>
      </c>
      <c r="B106" t="str">
        <f t="shared" si="19"/>
        <v>UCE_elcaggCap_spv_NGA</v>
      </c>
      <c r="C106" t="str">
        <f t="shared" si="15"/>
        <v>e?_spv_NGA*</v>
      </c>
      <c r="D106">
        <v>1</v>
      </c>
      <c r="E106">
        <v>2</v>
      </c>
      <c r="G106" t="str">
        <f t="shared" si="20"/>
        <v>UCE_elcaggCap_spv_NGA</v>
      </c>
      <c r="H106" t="str">
        <f t="shared" si="21"/>
        <v>elcagg_spv_NGA</v>
      </c>
      <c r="I106">
        <v>-1</v>
      </c>
      <c r="K106" t="s">
        <v>215</v>
      </c>
      <c r="L106" t="str">
        <f t="shared" si="22"/>
        <v>UCE_elcaggCap_won_NER</v>
      </c>
      <c r="M106" t="str">
        <f t="shared" si="16"/>
        <v>e?_won_NER*</v>
      </c>
      <c r="N106">
        <v>1</v>
      </c>
      <c r="O106">
        <v>2</v>
      </c>
      <c r="Q106" t="str">
        <f t="shared" si="23"/>
        <v>UCE_elcaggCap_won_NER</v>
      </c>
      <c r="R106" t="str">
        <f t="shared" si="24"/>
        <v>elcagg_won_NER</v>
      </c>
      <c r="S106">
        <v>-1</v>
      </c>
      <c r="V106" t="s">
        <v>217</v>
      </c>
      <c r="W106" t="str">
        <f t="shared" si="25"/>
        <v>UCE_elcaggCap_wof_TGO</v>
      </c>
      <c r="X106" t="str">
        <f t="shared" si="17"/>
        <v>e?_wof_TGO*</v>
      </c>
      <c r="Y106">
        <v>1</v>
      </c>
      <c r="Z106">
        <v>2</v>
      </c>
      <c r="AB106" t="str">
        <f t="shared" si="26"/>
        <v>UCE_elcaggCap_wof_TGO</v>
      </c>
      <c r="AC106" t="str">
        <f t="shared" si="18"/>
        <v>elcagg_wof_TGO</v>
      </c>
      <c r="AD106">
        <v>-1</v>
      </c>
    </row>
    <row r="107" spans="1:30">
      <c r="A107" t="s">
        <v>182</v>
      </c>
      <c r="B107" t="str">
        <f t="shared" si="19"/>
        <v>UCE_elcaggCap_spv_NIC</v>
      </c>
      <c r="C107" t="str">
        <f t="shared" si="15"/>
        <v>e?_spv_NIC*</v>
      </c>
      <c r="D107">
        <v>1</v>
      </c>
      <c r="E107">
        <v>2</v>
      </c>
      <c r="G107" t="str">
        <f t="shared" si="20"/>
        <v>UCE_elcaggCap_spv_NIC</v>
      </c>
      <c r="H107" t="str">
        <f t="shared" si="21"/>
        <v>elcagg_spv_NIC</v>
      </c>
      <c r="I107">
        <v>-1</v>
      </c>
      <c r="K107" t="s">
        <v>181</v>
      </c>
      <c r="L107" t="str">
        <f t="shared" si="22"/>
        <v>UCE_elcaggCap_won_NGA</v>
      </c>
      <c r="M107" t="str">
        <f t="shared" si="16"/>
        <v>e?_won_NGA*</v>
      </c>
      <c r="N107">
        <v>1</v>
      </c>
      <c r="O107">
        <v>2</v>
      </c>
      <c r="Q107" t="str">
        <f t="shared" si="23"/>
        <v>UCE_elcaggCap_won_NGA</v>
      </c>
      <c r="R107" t="str">
        <f t="shared" si="24"/>
        <v>elcagg_won_NGA</v>
      </c>
      <c r="S107">
        <v>-1</v>
      </c>
      <c r="V107" t="s">
        <v>218</v>
      </c>
      <c r="W107" t="str">
        <f t="shared" si="25"/>
        <v>UCE_elcaggCap_wof_THA</v>
      </c>
      <c r="X107" t="str">
        <f t="shared" si="17"/>
        <v>e?_wof_THA*</v>
      </c>
      <c r="Y107">
        <v>1</v>
      </c>
      <c r="Z107">
        <v>2</v>
      </c>
      <c r="AB107" t="str">
        <f t="shared" si="26"/>
        <v>UCE_elcaggCap_wof_THA</v>
      </c>
      <c r="AC107" t="str">
        <f t="shared" si="18"/>
        <v>elcagg_wof_THA</v>
      </c>
      <c r="AD107">
        <v>-1</v>
      </c>
    </row>
    <row r="108" spans="1:30">
      <c r="A108" t="s">
        <v>184</v>
      </c>
      <c r="B108" t="str">
        <f t="shared" si="19"/>
        <v>UCE_elcaggCap_spv_NLD</v>
      </c>
      <c r="C108" t="str">
        <f t="shared" si="15"/>
        <v>e?_spv_NLD*</v>
      </c>
      <c r="D108">
        <v>1</v>
      </c>
      <c r="E108">
        <v>2</v>
      </c>
      <c r="G108" t="str">
        <f t="shared" si="20"/>
        <v>UCE_elcaggCap_spv_NLD</v>
      </c>
      <c r="H108" t="str">
        <f t="shared" si="21"/>
        <v>elcagg_spv_NLD</v>
      </c>
      <c r="I108">
        <v>-1</v>
      </c>
      <c r="K108" t="s">
        <v>182</v>
      </c>
      <c r="L108" t="str">
        <f t="shared" si="22"/>
        <v>UCE_elcaggCap_won_NIC</v>
      </c>
      <c r="M108" t="str">
        <f t="shared" si="16"/>
        <v>e?_won_NIC*</v>
      </c>
      <c r="N108">
        <v>1</v>
      </c>
      <c r="O108">
        <v>2</v>
      </c>
      <c r="Q108" t="str">
        <f t="shared" si="23"/>
        <v>UCE_elcaggCap_won_NIC</v>
      </c>
      <c r="R108" t="str">
        <f t="shared" si="24"/>
        <v>elcagg_won_NIC</v>
      </c>
      <c r="S108">
        <v>-1</v>
      </c>
      <c r="V108" t="s">
        <v>219</v>
      </c>
      <c r="W108" t="str">
        <f t="shared" si="25"/>
        <v>UCE_elcaggCap_wof_TKM</v>
      </c>
      <c r="X108" t="str">
        <f t="shared" si="17"/>
        <v>e?_wof_TKM*</v>
      </c>
      <c r="Y108">
        <v>1</v>
      </c>
      <c r="Z108">
        <v>2</v>
      </c>
      <c r="AB108" t="str">
        <f t="shared" si="26"/>
        <v>UCE_elcaggCap_wof_TKM</v>
      </c>
      <c r="AC108" t="str">
        <f t="shared" si="18"/>
        <v>elcagg_wof_TKM</v>
      </c>
      <c r="AD108">
        <v>-1</v>
      </c>
    </row>
    <row r="109" spans="1:30">
      <c r="A109" t="s">
        <v>185</v>
      </c>
      <c r="B109" t="str">
        <f t="shared" si="19"/>
        <v>UCE_elcaggCap_spv_NOR</v>
      </c>
      <c r="C109" t="str">
        <f t="shared" si="15"/>
        <v>e?_spv_NOR*</v>
      </c>
      <c r="D109">
        <v>1</v>
      </c>
      <c r="E109">
        <v>2</v>
      </c>
      <c r="G109" t="str">
        <f t="shared" si="20"/>
        <v>UCE_elcaggCap_spv_NOR</v>
      </c>
      <c r="H109" t="str">
        <f t="shared" si="21"/>
        <v>elcagg_spv_NOR</v>
      </c>
      <c r="I109">
        <v>-1</v>
      </c>
      <c r="K109" t="s">
        <v>184</v>
      </c>
      <c r="L109" t="str">
        <f t="shared" si="22"/>
        <v>UCE_elcaggCap_won_NLD</v>
      </c>
      <c r="M109" t="str">
        <f t="shared" si="16"/>
        <v>e?_won_NLD*</v>
      </c>
      <c r="N109">
        <v>1</v>
      </c>
      <c r="O109">
        <v>2</v>
      </c>
      <c r="Q109" t="str">
        <f t="shared" si="23"/>
        <v>UCE_elcaggCap_won_NLD</v>
      </c>
      <c r="R109" t="str">
        <f t="shared" si="24"/>
        <v>elcagg_won_NLD</v>
      </c>
      <c r="S109">
        <v>-1</v>
      </c>
      <c r="V109" t="s">
        <v>220</v>
      </c>
      <c r="W109" t="str">
        <f t="shared" si="25"/>
        <v>UCE_elcaggCap_wof_TTO</v>
      </c>
      <c r="X109" t="str">
        <f t="shared" si="17"/>
        <v>e?_wof_TTO*</v>
      </c>
      <c r="Y109">
        <v>1</v>
      </c>
      <c r="Z109">
        <v>2</v>
      </c>
      <c r="AB109" t="str">
        <f t="shared" si="26"/>
        <v>UCE_elcaggCap_wof_TTO</v>
      </c>
      <c r="AC109" t="str">
        <f t="shared" si="18"/>
        <v>elcagg_wof_TTO</v>
      </c>
      <c r="AD109">
        <v>-1</v>
      </c>
    </row>
    <row r="110" spans="1:30">
      <c r="A110" t="s">
        <v>221</v>
      </c>
      <c r="B110" t="str">
        <f t="shared" si="19"/>
        <v>UCE_elcaggCap_spv_NPL</v>
      </c>
      <c r="C110" t="str">
        <f t="shared" si="15"/>
        <v>e?_spv_NPL*</v>
      </c>
      <c r="D110">
        <v>1</v>
      </c>
      <c r="E110">
        <v>2</v>
      </c>
      <c r="G110" t="str">
        <f t="shared" si="20"/>
        <v>UCE_elcaggCap_spv_NPL</v>
      </c>
      <c r="H110" t="str">
        <f t="shared" si="21"/>
        <v>elcagg_spv_NPL</v>
      </c>
      <c r="I110">
        <v>-1</v>
      </c>
      <c r="K110" t="s">
        <v>185</v>
      </c>
      <c r="L110" t="str">
        <f t="shared" si="22"/>
        <v>UCE_elcaggCap_won_NOR</v>
      </c>
      <c r="M110" t="str">
        <f t="shared" si="16"/>
        <v>e?_won_NOR*</v>
      </c>
      <c r="N110">
        <v>1</v>
      </c>
      <c r="O110">
        <v>2</v>
      </c>
      <c r="Q110" t="str">
        <f t="shared" si="23"/>
        <v>UCE_elcaggCap_won_NOR</v>
      </c>
      <c r="R110" t="str">
        <f t="shared" si="24"/>
        <v>elcagg_won_NOR</v>
      </c>
      <c r="S110">
        <v>-1</v>
      </c>
      <c r="V110" t="s">
        <v>222</v>
      </c>
      <c r="W110" t="str">
        <f t="shared" si="25"/>
        <v>UCE_elcaggCap_wof_TUN</v>
      </c>
      <c r="X110" t="str">
        <f t="shared" si="17"/>
        <v>e?_wof_TUN*</v>
      </c>
      <c r="Y110">
        <v>1</v>
      </c>
      <c r="Z110">
        <v>2</v>
      </c>
      <c r="AB110" t="str">
        <f t="shared" si="26"/>
        <v>UCE_elcaggCap_wof_TUN</v>
      </c>
      <c r="AC110" t="str">
        <f t="shared" si="18"/>
        <v>elcagg_wof_TUN</v>
      </c>
      <c r="AD110">
        <v>-1</v>
      </c>
    </row>
    <row r="111" spans="1:30">
      <c r="A111" t="s">
        <v>186</v>
      </c>
      <c r="B111" t="str">
        <f t="shared" si="19"/>
        <v>UCE_elcaggCap_spv_NZL</v>
      </c>
      <c r="C111" t="str">
        <f t="shared" si="15"/>
        <v>e?_spv_NZL*</v>
      </c>
      <c r="D111">
        <v>1</v>
      </c>
      <c r="E111">
        <v>2</v>
      </c>
      <c r="G111" t="str">
        <f t="shared" si="20"/>
        <v>UCE_elcaggCap_spv_NZL</v>
      </c>
      <c r="H111" t="str">
        <f t="shared" si="21"/>
        <v>elcagg_spv_NZL</v>
      </c>
      <c r="I111">
        <v>-1</v>
      </c>
      <c r="K111" t="s">
        <v>221</v>
      </c>
      <c r="L111" t="str">
        <f t="shared" si="22"/>
        <v>UCE_elcaggCap_won_NPL</v>
      </c>
      <c r="M111" t="str">
        <f t="shared" si="16"/>
        <v>e?_won_NPL*</v>
      </c>
      <c r="N111">
        <v>1</v>
      </c>
      <c r="O111">
        <v>2</v>
      </c>
      <c r="Q111" t="str">
        <f t="shared" si="23"/>
        <v>UCE_elcaggCap_won_NPL</v>
      </c>
      <c r="R111" t="str">
        <f t="shared" si="24"/>
        <v>elcagg_won_NPL</v>
      </c>
      <c r="S111">
        <v>-1</v>
      </c>
      <c r="V111" t="s">
        <v>223</v>
      </c>
      <c r="W111" t="str">
        <f t="shared" si="25"/>
        <v>UCE_elcaggCap_wof_TUR</v>
      </c>
      <c r="X111" t="str">
        <f t="shared" si="17"/>
        <v>e?_wof_TUR*</v>
      </c>
      <c r="Y111">
        <v>1</v>
      </c>
      <c r="Z111">
        <v>2</v>
      </c>
      <c r="AB111" t="str">
        <f t="shared" si="26"/>
        <v>UCE_elcaggCap_wof_TUR</v>
      </c>
      <c r="AC111" t="str">
        <f t="shared" si="18"/>
        <v>elcagg_wof_TUR</v>
      </c>
      <c r="AD111">
        <v>-1</v>
      </c>
    </row>
    <row r="112" spans="1:30">
      <c r="A112" t="s">
        <v>187</v>
      </c>
      <c r="B112" t="str">
        <f t="shared" si="19"/>
        <v>UCE_elcaggCap_spv_OMN</v>
      </c>
      <c r="C112" t="str">
        <f t="shared" si="15"/>
        <v>e?_spv_OMN*</v>
      </c>
      <c r="D112">
        <v>1</v>
      </c>
      <c r="E112">
        <v>2</v>
      </c>
      <c r="G112" t="str">
        <f t="shared" si="20"/>
        <v>UCE_elcaggCap_spv_OMN</v>
      </c>
      <c r="H112" t="str">
        <f t="shared" si="21"/>
        <v>elcagg_spv_OMN</v>
      </c>
      <c r="I112">
        <v>-1</v>
      </c>
      <c r="K112" t="s">
        <v>186</v>
      </c>
      <c r="L112" t="str">
        <f t="shared" si="22"/>
        <v>UCE_elcaggCap_won_NZL</v>
      </c>
      <c r="M112" t="str">
        <f t="shared" si="16"/>
        <v>e?_won_NZL*</v>
      </c>
      <c r="N112">
        <v>1</v>
      </c>
      <c r="O112">
        <v>2</v>
      </c>
      <c r="Q112" t="str">
        <f t="shared" si="23"/>
        <v>UCE_elcaggCap_won_NZL</v>
      </c>
      <c r="R112" t="str">
        <f t="shared" si="24"/>
        <v>elcagg_won_NZL</v>
      </c>
      <c r="S112">
        <v>-1</v>
      </c>
      <c r="V112" t="s">
        <v>224</v>
      </c>
      <c r="W112" t="str">
        <f t="shared" si="25"/>
        <v>UCE_elcaggCap_wof_TWN</v>
      </c>
      <c r="X112" t="str">
        <f t="shared" si="17"/>
        <v>e?_wof_TWN*</v>
      </c>
      <c r="Y112">
        <v>1</v>
      </c>
      <c r="Z112">
        <v>2</v>
      </c>
      <c r="AB112" t="str">
        <f t="shared" si="26"/>
        <v>UCE_elcaggCap_wof_TWN</v>
      </c>
      <c r="AC112" t="str">
        <f t="shared" si="18"/>
        <v>elcagg_wof_TWN</v>
      </c>
      <c r="AD112">
        <v>-1</v>
      </c>
    </row>
    <row r="113" spans="1:30">
      <c r="A113" t="s">
        <v>188</v>
      </c>
      <c r="B113" t="str">
        <f t="shared" si="19"/>
        <v>UCE_elcaggCap_spv_PAK</v>
      </c>
      <c r="C113" t="str">
        <f t="shared" si="15"/>
        <v>e?_spv_PAK*</v>
      </c>
      <c r="D113">
        <v>1</v>
      </c>
      <c r="E113">
        <v>2</v>
      </c>
      <c r="G113" t="str">
        <f t="shared" si="20"/>
        <v>UCE_elcaggCap_spv_PAK</v>
      </c>
      <c r="H113" t="str">
        <f t="shared" si="21"/>
        <v>elcagg_spv_PAK</v>
      </c>
      <c r="I113">
        <v>-1</v>
      </c>
      <c r="K113" t="s">
        <v>187</v>
      </c>
      <c r="L113" t="str">
        <f t="shared" si="22"/>
        <v>UCE_elcaggCap_won_OMN</v>
      </c>
      <c r="M113" t="str">
        <f t="shared" si="16"/>
        <v>e?_won_OMN*</v>
      </c>
      <c r="N113">
        <v>1</v>
      </c>
      <c r="O113">
        <v>2</v>
      </c>
      <c r="Q113" t="str">
        <f t="shared" si="23"/>
        <v>UCE_elcaggCap_won_OMN</v>
      </c>
      <c r="R113" t="str">
        <f t="shared" si="24"/>
        <v>elcagg_won_OMN</v>
      </c>
      <c r="S113">
        <v>-1</v>
      </c>
      <c r="V113" t="s">
        <v>225</v>
      </c>
      <c r="W113" t="str">
        <f t="shared" si="25"/>
        <v>UCE_elcaggCap_wof_TZA</v>
      </c>
      <c r="X113" t="str">
        <f t="shared" si="17"/>
        <v>e?_wof_TZA*</v>
      </c>
      <c r="Y113">
        <v>1</v>
      </c>
      <c r="Z113">
        <v>2</v>
      </c>
      <c r="AB113" t="str">
        <f t="shared" si="26"/>
        <v>UCE_elcaggCap_wof_TZA</v>
      </c>
      <c r="AC113" t="str">
        <f t="shared" si="18"/>
        <v>elcagg_wof_TZA</v>
      </c>
      <c r="AD113">
        <v>-1</v>
      </c>
    </row>
    <row r="114" spans="1:30">
      <c r="A114" t="s">
        <v>190</v>
      </c>
      <c r="B114" t="str">
        <f t="shared" si="19"/>
        <v>UCE_elcaggCap_spv_PAN</v>
      </c>
      <c r="C114" t="str">
        <f t="shared" si="15"/>
        <v>e?_spv_PAN*</v>
      </c>
      <c r="D114">
        <v>1</v>
      </c>
      <c r="E114">
        <v>2</v>
      </c>
      <c r="G114" t="str">
        <f t="shared" si="20"/>
        <v>UCE_elcaggCap_spv_PAN</v>
      </c>
      <c r="H114" t="str">
        <f t="shared" si="21"/>
        <v>elcagg_spv_PAN</v>
      </c>
      <c r="I114">
        <v>-1</v>
      </c>
      <c r="K114" t="s">
        <v>188</v>
      </c>
      <c r="L114" t="str">
        <f t="shared" si="22"/>
        <v>UCE_elcaggCap_won_PAK</v>
      </c>
      <c r="M114" t="str">
        <f t="shared" si="16"/>
        <v>e?_won_PAK*</v>
      </c>
      <c r="N114">
        <v>1</v>
      </c>
      <c r="O114">
        <v>2</v>
      </c>
      <c r="Q114" t="str">
        <f t="shared" si="23"/>
        <v>UCE_elcaggCap_won_PAK</v>
      </c>
      <c r="R114" t="str">
        <f t="shared" si="24"/>
        <v>elcagg_won_PAK</v>
      </c>
      <c r="S114">
        <v>-1</v>
      </c>
      <c r="V114" t="s">
        <v>226</v>
      </c>
      <c r="W114" t="str">
        <f t="shared" si="25"/>
        <v>UCE_elcaggCap_wof_UKR</v>
      </c>
      <c r="X114" t="str">
        <f t="shared" si="17"/>
        <v>e?_wof_UKR*</v>
      </c>
      <c r="Y114">
        <v>1</v>
      </c>
      <c r="Z114">
        <v>2</v>
      </c>
      <c r="AB114" t="str">
        <f t="shared" si="26"/>
        <v>UCE_elcaggCap_wof_UKR</v>
      </c>
      <c r="AC114" t="str">
        <f t="shared" si="18"/>
        <v>elcagg_wof_UKR</v>
      </c>
      <c r="AD114">
        <v>-1</v>
      </c>
    </row>
    <row r="115" spans="1:30">
      <c r="A115" t="s">
        <v>191</v>
      </c>
      <c r="B115" t="str">
        <f t="shared" si="19"/>
        <v>UCE_elcaggCap_spv_PER</v>
      </c>
      <c r="C115" t="str">
        <f t="shared" si="15"/>
        <v>e?_spv_PER*</v>
      </c>
      <c r="D115">
        <v>1</v>
      </c>
      <c r="E115">
        <v>2</v>
      </c>
      <c r="G115" t="str">
        <f t="shared" si="20"/>
        <v>UCE_elcaggCap_spv_PER</v>
      </c>
      <c r="H115" t="str">
        <f t="shared" si="21"/>
        <v>elcagg_spv_PER</v>
      </c>
      <c r="I115">
        <v>-1</v>
      </c>
      <c r="K115" t="s">
        <v>190</v>
      </c>
      <c r="L115" t="str">
        <f t="shared" si="22"/>
        <v>UCE_elcaggCap_won_PAN</v>
      </c>
      <c r="M115" t="str">
        <f t="shared" si="16"/>
        <v>e?_won_PAN*</v>
      </c>
      <c r="N115">
        <v>1</v>
      </c>
      <c r="O115">
        <v>2</v>
      </c>
      <c r="Q115" t="str">
        <f t="shared" si="23"/>
        <v>UCE_elcaggCap_won_PAN</v>
      </c>
      <c r="R115" t="str">
        <f t="shared" si="24"/>
        <v>elcagg_won_PAN</v>
      </c>
      <c r="S115">
        <v>-1</v>
      </c>
      <c r="V115" t="s">
        <v>227</v>
      </c>
      <c r="W115" t="str">
        <f t="shared" si="25"/>
        <v>UCE_elcaggCap_wof_URY</v>
      </c>
      <c r="X115" t="str">
        <f t="shared" si="17"/>
        <v>e?_wof_URY*</v>
      </c>
      <c r="Y115">
        <v>1</v>
      </c>
      <c r="Z115">
        <v>2</v>
      </c>
      <c r="AB115" t="str">
        <f t="shared" si="26"/>
        <v>UCE_elcaggCap_wof_URY</v>
      </c>
      <c r="AC115" t="str">
        <f t="shared" si="18"/>
        <v>elcagg_wof_URY</v>
      </c>
      <c r="AD115">
        <v>-1</v>
      </c>
    </row>
    <row r="116" spans="1:30">
      <c r="A116" t="s">
        <v>193</v>
      </c>
      <c r="B116" t="str">
        <f t="shared" si="19"/>
        <v>UCE_elcaggCap_spv_PHL</v>
      </c>
      <c r="C116" t="str">
        <f t="shared" si="15"/>
        <v>e?_spv_PHL*</v>
      </c>
      <c r="D116">
        <v>1</v>
      </c>
      <c r="E116">
        <v>2</v>
      </c>
      <c r="G116" t="str">
        <f t="shared" si="20"/>
        <v>UCE_elcaggCap_spv_PHL</v>
      </c>
      <c r="H116" t="str">
        <f t="shared" si="21"/>
        <v>elcagg_spv_PHL</v>
      </c>
      <c r="I116">
        <v>-1</v>
      </c>
      <c r="K116" t="s">
        <v>191</v>
      </c>
      <c r="L116" t="str">
        <f t="shared" si="22"/>
        <v>UCE_elcaggCap_won_PER</v>
      </c>
      <c r="M116" t="str">
        <f t="shared" si="16"/>
        <v>e?_won_PER*</v>
      </c>
      <c r="N116">
        <v>1</v>
      </c>
      <c r="O116">
        <v>2</v>
      </c>
      <c r="Q116" t="str">
        <f t="shared" si="23"/>
        <v>UCE_elcaggCap_won_PER</v>
      </c>
      <c r="R116" t="str">
        <f t="shared" si="24"/>
        <v>elcagg_won_PER</v>
      </c>
      <c r="S116">
        <v>-1</v>
      </c>
      <c r="V116" t="s">
        <v>20</v>
      </c>
      <c r="W116" t="str">
        <f t="shared" si="25"/>
        <v>UCE_elcaggCap_wof_USA</v>
      </c>
      <c r="X116" t="str">
        <f t="shared" si="17"/>
        <v>e?_wof_USA*</v>
      </c>
      <c r="Y116">
        <v>1</v>
      </c>
      <c r="Z116">
        <v>2</v>
      </c>
      <c r="AB116" t="str">
        <f t="shared" si="26"/>
        <v>UCE_elcaggCap_wof_USA</v>
      </c>
      <c r="AC116" t="str">
        <f t="shared" si="18"/>
        <v>elcagg_wof_USA</v>
      </c>
      <c r="AD116">
        <v>-1</v>
      </c>
    </row>
    <row r="117" spans="1:30">
      <c r="A117" t="s">
        <v>194</v>
      </c>
      <c r="B117" t="str">
        <f t="shared" si="19"/>
        <v>UCE_elcaggCap_spv_PNG</v>
      </c>
      <c r="C117" t="str">
        <f t="shared" si="15"/>
        <v>e?_spv_PNG*</v>
      </c>
      <c r="D117">
        <v>1</v>
      </c>
      <c r="E117">
        <v>2</v>
      </c>
      <c r="G117" t="str">
        <f t="shared" si="20"/>
        <v>UCE_elcaggCap_spv_PNG</v>
      </c>
      <c r="H117" t="str">
        <f t="shared" si="21"/>
        <v>elcagg_spv_PNG</v>
      </c>
      <c r="I117">
        <v>-1</v>
      </c>
      <c r="K117" t="s">
        <v>193</v>
      </c>
      <c r="L117" t="str">
        <f t="shared" si="22"/>
        <v>UCE_elcaggCap_won_PHL</v>
      </c>
      <c r="M117" t="str">
        <f t="shared" si="16"/>
        <v>e?_won_PHL*</v>
      </c>
      <c r="N117">
        <v>1</v>
      </c>
      <c r="O117">
        <v>2</v>
      </c>
      <c r="Q117" t="str">
        <f t="shared" si="23"/>
        <v>UCE_elcaggCap_won_PHL</v>
      </c>
      <c r="R117" t="str">
        <f t="shared" si="24"/>
        <v>elcagg_won_PHL</v>
      </c>
      <c r="S117">
        <v>-1</v>
      </c>
      <c r="V117" t="s">
        <v>228</v>
      </c>
      <c r="W117" t="str">
        <f t="shared" si="25"/>
        <v>UCE_elcaggCap_wof_VEN</v>
      </c>
      <c r="X117" t="str">
        <f t="shared" si="17"/>
        <v>e?_wof_VEN*</v>
      </c>
      <c r="Y117">
        <v>1</v>
      </c>
      <c r="Z117">
        <v>2</v>
      </c>
      <c r="AB117" t="str">
        <f t="shared" si="26"/>
        <v>UCE_elcaggCap_wof_VEN</v>
      </c>
      <c r="AC117" t="str">
        <f t="shared" si="18"/>
        <v>elcagg_wof_VEN</v>
      </c>
      <c r="AD117">
        <v>-1</v>
      </c>
    </row>
    <row r="118" spans="1:30">
      <c r="A118" t="s">
        <v>195</v>
      </c>
      <c r="B118" t="str">
        <f t="shared" si="19"/>
        <v>UCE_elcaggCap_spv_POL</v>
      </c>
      <c r="C118" t="str">
        <f t="shared" si="15"/>
        <v>e?_spv_POL*</v>
      </c>
      <c r="D118">
        <v>1</v>
      </c>
      <c r="E118">
        <v>2</v>
      </c>
      <c r="G118" t="str">
        <f t="shared" si="20"/>
        <v>UCE_elcaggCap_spv_POL</v>
      </c>
      <c r="H118" t="str">
        <f t="shared" si="21"/>
        <v>elcagg_spv_POL</v>
      </c>
      <c r="I118">
        <v>-1</v>
      </c>
      <c r="K118" t="s">
        <v>194</v>
      </c>
      <c r="L118" t="str">
        <f t="shared" si="22"/>
        <v>UCE_elcaggCap_won_PNG</v>
      </c>
      <c r="M118" t="str">
        <f t="shared" si="16"/>
        <v>e?_won_PNG*</v>
      </c>
      <c r="N118">
        <v>1</v>
      </c>
      <c r="O118">
        <v>2</v>
      </c>
      <c r="Q118" t="str">
        <f t="shared" si="23"/>
        <v>UCE_elcaggCap_won_PNG</v>
      </c>
      <c r="R118" t="str">
        <f t="shared" si="24"/>
        <v>elcagg_won_PNG</v>
      </c>
      <c r="S118">
        <v>-1</v>
      </c>
      <c r="V118" t="s">
        <v>229</v>
      </c>
      <c r="W118" t="str">
        <f t="shared" si="25"/>
        <v>UCE_elcaggCap_wof_VNM</v>
      </c>
      <c r="X118" t="str">
        <f t="shared" si="17"/>
        <v>e?_wof_VNM*</v>
      </c>
      <c r="Y118">
        <v>1</v>
      </c>
      <c r="Z118">
        <v>2</v>
      </c>
      <c r="AB118" t="str">
        <f t="shared" si="26"/>
        <v>UCE_elcaggCap_wof_VNM</v>
      </c>
      <c r="AC118" t="str">
        <f t="shared" si="18"/>
        <v>elcagg_wof_VNM</v>
      </c>
      <c r="AD118">
        <v>-1</v>
      </c>
    </row>
    <row r="119" spans="1:30">
      <c r="A119" t="s">
        <v>197</v>
      </c>
      <c r="B119" t="str">
        <f t="shared" si="19"/>
        <v>UCE_elcaggCap_spv_PRI</v>
      </c>
      <c r="C119" t="str">
        <f t="shared" si="15"/>
        <v>e?_spv_PRI*</v>
      </c>
      <c r="D119">
        <v>1</v>
      </c>
      <c r="E119">
        <v>2</v>
      </c>
      <c r="G119" t="str">
        <f t="shared" si="20"/>
        <v>UCE_elcaggCap_spv_PRI</v>
      </c>
      <c r="H119" t="str">
        <f t="shared" si="21"/>
        <v>elcagg_spv_PRI</v>
      </c>
      <c r="I119">
        <v>-1</v>
      </c>
      <c r="K119" t="s">
        <v>195</v>
      </c>
      <c r="L119" t="str">
        <f t="shared" si="22"/>
        <v>UCE_elcaggCap_won_POL</v>
      </c>
      <c r="M119" t="str">
        <f t="shared" si="16"/>
        <v>e?_won_POL*</v>
      </c>
      <c r="N119">
        <v>1</v>
      </c>
      <c r="O119">
        <v>2</v>
      </c>
      <c r="Q119" t="str">
        <f t="shared" si="23"/>
        <v>UCE_elcaggCap_won_POL</v>
      </c>
      <c r="R119" t="str">
        <f t="shared" si="24"/>
        <v>elcagg_won_POL</v>
      </c>
      <c r="S119">
        <v>-1</v>
      </c>
      <c r="V119" t="s">
        <v>230</v>
      </c>
      <c r="W119" t="str">
        <f t="shared" si="25"/>
        <v>UCE_elcaggCap_wof_YEM</v>
      </c>
      <c r="X119" t="str">
        <f t="shared" si="17"/>
        <v>e?_wof_YEM*</v>
      </c>
      <c r="Y119">
        <v>1</v>
      </c>
      <c r="Z119">
        <v>2</v>
      </c>
      <c r="AB119" t="str">
        <f t="shared" si="26"/>
        <v>UCE_elcaggCap_wof_YEM</v>
      </c>
      <c r="AC119" t="str">
        <f t="shared" si="18"/>
        <v>elcagg_wof_YEM</v>
      </c>
      <c r="AD119">
        <v>-1</v>
      </c>
    </row>
    <row r="120" spans="1:30">
      <c r="A120" t="s">
        <v>198</v>
      </c>
      <c r="B120" t="str">
        <f t="shared" si="19"/>
        <v>UCE_elcaggCap_spv_PRK</v>
      </c>
      <c r="C120" t="str">
        <f t="shared" si="15"/>
        <v>e?_spv_PRK*</v>
      </c>
      <c r="D120">
        <v>1</v>
      </c>
      <c r="E120">
        <v>2</v>
      </c>
      <c r="G120" t="str">
        <f t="shared" si="20"/>
        <v>UCE_elcaggCap_spv_PRK</v>
      </c>
      <c r="H120" t="str">
        <f t="shared" si="21"/>
        <v>elcagg_spv_PRK</v>
      </c>
      <c r="I120">
        <v>-1</v>
      </c>
      <c r="K120" t="s">
        <v>197</v>
      </c>
      <c r="L120" t="str">
        <f t="shared" si="22"/>
        <v>UCE_elcaggCap_won_PRI</v>
      </c>
      <c r="M120" t="str">
        <f t="shared" si="16"/>
        <v>e?_won_PRI*</v>
      </c>
      <c r="N120">
        <v>1</v>
      </c>
      <c r="O120">
        <v>2</v>
      </c>
      <c r="Q120" t="str">
        <f t="shared" si="23"/>
        <v>UCE_elcaggCap_won_PRI</v>
      </c>
      <c r="R120" t="str">
        <f t="shared" si="24"/>
        <v>elcagg_won_PRI</v>
      </c>
      <c r="S120">
        <v>-1</v>
      </c>
      <c r="V120" t="s">
        <v>231</v>
      </c>
      <c r="W120" t="str">
        <f t="shared" si="25"/>
        <v>UCE_elcaggCap_wof_ZAF</v>
      </c>
      <c r="X120" t="str">
        <f t="shared" si="17"/>
        <v>e?_wof_ZAF*</v>
      </c>
      <c r="Y120">
        <v>1</v>
      </c>
      <c r="Z120">
        <v>2</v>
      </c>
      <c r="AB120" t="str">
        <f t="shared" si="26"/>
        <v>UCE_elcaggCap_wof_ZAF</v>
      </c>
      <c r="AC120" t="str">
        <f t="shared" si="18"/>
        <v>elcagg_wof_ZAF</v>
      </c>
      <c r="AD120">
        <v>-1</v>
      </c>
    </row>
    <row r="121" spans="1:30">
      <c r="A121" t="s">
        <v>199</v>
      </c>
      <c r="B121" t="str">
        <f t="shared" si="19"/>
        <v>UCE_elcaggCap_spv_PRT</v>
      </c>
      <c r="C121" t="str">
        <f t="shared" si="15"/>
        <v>e?_spv_PRT*</v>
      </c>
      <c r="D121">
        <v>1</v>
      </c>
      <c r="E121">
        <v>2</v>
      </c>
      <c r="G121" t="str">
        <f t="shared" si="20"/>
        <v>UCE_elcaggCap_spv_PRT</v>
      </c>
      <c r="H121" t="str">
        <f t="shared" si="21"/>
        <v>elcagg_spv_PRT</v>
      </c>
      <c r="I121">
        <v>-1</v>
      </c>
      <c r="K121" t="s">
        <v>198</v>
      </c>
      <c r="L121" t="str">
        <f t="shared" si="22"/>
        <v>UCE_elcaggCap_won_PRK</v>
      </c>
      <c r="M121" t="str">
        <f t="shared" si="16"/>
        <v>e?_won_PRK*</v>
      </c>
      <c r="N121">
        <v>1</v>
      </c>
      <c r="O121">
        <v>2</v>
      </c>
      <c r="Q121" t="str">
        <f t="shared" si="23"/>
        <v>UCE_elcaggCap_won_PRK</v>
      </c>
      <c r="R121" t="str">
        <f t="shared" si="24"/>
        <v>elcagg_won_PRK</v>
      </c>
      <c r="S121">
        <v>-1</v>
      </c>
    </row>
    <row r="122" spans="1:30">
      <c r="A122" t="s">
        <v>232</v>
      </c>
      <c r="B122" t="str">
        <f t="shared" si="19"/>
        <v>UCE_elcaggCap_spv_PRY</v>
      </c>
      <c r="C122" t="str">
        <f t="shared" si="15"/>
        <v>e?_spv_PRY*</v>
      </c>
      <c r="D122">
        <v>1</v>
      </c>
      <c r="E122">
        <v>2</v>
      </c>
      <c r="G122" t="str">
        <f t="shared" si="20"/>
        <v>UCE_elcaggCap_spv_PRY</v>
      </c>
      <c r="H122" t="str">
        <f t="shared" si="21"/>
        <v>elcagg_spv_PRY</v>
      </c>
      <c r="I122">
        <v>-1</v>
      </c>
      <c r="K122" t="s">
        <v>199</v>
      </c>
      <c r="L122" t="str">
        <f t="shared" si="22"/>
        <v>UCE_elcaggCap_won_PRT</v>
      </c>
      <c r="M122" t="str">
        <f t="shared" si="16"/>
        <v>e?_won_PRT*</v>
      </c>
      <c r="N122">
        <v>1</v>
      </c>
      <c r="O122">
        <v>2</v>
      </c>
      <c r="Q122" t="str">
        <f t="shared" si="23"/>
        <v>UCE_elcaggCap_won_PRT</v>
      </c>
      <c r="R122" t="str">
        <f t="shared" si="24"/>
        <v>elcagg_won_PRT</v>
      </c>
      <c r="S122">
        <v>-1</v>
      </c>
    </row>
    <row r="123" spans="1:30">
      <c r="A123" t="s">
        <v>201</v>
      </c>
      <c r="B123" t="str">
        <f t="shared" si="19"/>
        <v>UCE_elcaggCap_spv_QAT</v>
      </c>
      <c r="C123" t="str">
        <f t="shared" si="15"/>
        <v>e?_spv_QAT*</v>
      </c>
      <c r="D123">
        <v>1</v>
      </c>
      <c r="E123">
        <v>2</v>
      </c>
      <c r="G123" t="str">
        <f t="shared" si="20"/>
        <v>UCE_elcaggCap_spv_QAT</v>
      </c>
      <c r="H123" t="str">
        <f t="shared" si="21"/>
        <v>elcagg_spv_QAT</v>
      </c>
      <c r="I123">
        <v>-1</v>
      </c>
      <c r="K123" t="s">
        <v>232</v>
      </c>
      <c r="L123" t="str">
        <f t="shared" si="22"/>
        <v>UCE_elcaggCap_won_PRY</v>
      </c>
      <c r="M123" t="str">
        <f t="shared" si="16"/>
        <v>e?_won_PRY*</v>
      </c>
      <c r="N123">
        <v>1</v>
      </c>
      <c r="O123">
        <v>2</v>
      </c>
      <c r="Q123" t="str">
        <f t="shared" si="23"/>
        <v>UCE_elcaggCap_won_PRY</v>
      </c>
      <c r="R123" t="str">
        <f t="shared" si="24"/>
        <v>elcagg_won_PRY</v>
      </c>
      <c r="S123">
        <v>-1</v>
      </c>
    </row>
    <row r="124" spans="1:30">
      <c r="A124" t="s">
        <v>233</v>
      </c>
      <c r="B124" t="str">
        <f t="shared" si="19"/>
        <v>UCE_elcaggCap_spv_ROU</v>
      </c>
      <c r="C124" t="str">
        <f t="shared" si="15"/>
        <v>e?_spv_ROU*</v>
      </c>
      <c r="D124">
        <v>1</v>
      </c>
      <c r="E124">
        <v>2</v>
      </c>
      <c r="G124" t="str">
        <f t="shared" si="20"/>
        <v>UCE_elcaggCap_spv_ROU</v>
      </c>
      <c r="H124" t="str">
        <f t="shared" si="21"/>
        <v>elcagg_spv_ROU</v>
      </c>
      <c r="I124">
        <v>-1</v>
      </c>
      <c r="K124" t="s">
        <v>201</v>
      </c>
      <c r="L124" t="str">
        <f t="shared" si="22"/>
        <v>UCE_elcaggCap_won_QAT</v>
      </c>
      <c r="M124" t="str">
        <f t="shared" si="16"/>
        <v>e?_won_QAT*</v>
      </c>
      <c r="N124">
        <v>1</v>
      </c>
      <c r="O124">
        <v>2</v>
      </c>
      <c r="Q124" t="str">
        <f t="shared" si="23"/>
        <v>UCE_elcaggCap_won_QAT</v>
      </c>
      <c r="R124" t="str">
        <f t="shared" si="24"/>
        <v>elcagg_won_QAT</v>
      </c>
      <c r="S124">
        <v>-1</v>
      </c>
    </row>
    <row r="125" spans="1:30">
      <c r="A125" t="s">
        <v>203</v>
      </c>
      <c r="B125" t="str">
        <f t="shared" si="19"/>
        <v>UCE_elcaggCap_spv_RUS</v>
      </c>
      <c r="C125" t="str">
        <f t="shared" si="15"/>
        <v>e?_spv_RUS*</v>
      </c>
      <c r="D125">
        <v>1</v>
      </c>
      <c r="E125">
        <v>2</v>
      </c>
      <c r="G125" t="str">
        <f t="shared" si="20"/>
        <v>UCE_elcaggCap_spv_RUS</v>
      </c>
      <c r="H125" t="str">
        <f t="shared" si="21"/>
        <v>elcagg_spv_RUS</v>
      </c>
      <c r="I125">
        <v>-1</v>
      </c>
      <c r="K125" t="s">
        <v>233</v>
      </c>
      <c r="L125" t="str">
        <f t="shared" si="22"/>
        <v>UCE_elcaggCap_won_ROU</v>
      </c>
      <c r="M125" t="str">
        <f t="shared" si="16"/>
        <v>e?_won_ROU*</v>
      </c>
      <c r="N125">
        <v>1</v>
      </c>
      <c r="O125">
        <v>2</v>
      </c>
      <c r="Q125" t="str">
        <f t="shared" si="23"/>
        <v>UCE_elcaggCap_won_ROU</v>
      </c>
      <c r="R125" t="str">
        <f t="shared" si="24"/>
        <v>elcagg_won_ROU</v>
      </c>
      <c r="S125">
        <v>-1</v>
      </c>
    </row>
    <row r="126" spans="1:30">
      <c r="A126" t="s">
        <v>234</v>
      </c>
      <c r="B126" t="str">
        <f t="shared" si="19"/>
        <v>UCE_elcaggCap_spv_RWA</v>
      </c>
      <c r="C126" t="str">
        <f t="shared" si="15"/>
        <v>e?_spv_RWA*</v>
      </c>
      <c r="D126">
        <v>1</v>
      </c>
      <c r="E126">
        <v>2</v>
      </c>
      <c r="G126" t="str">
        <f t="shared" si="20"/>
        <v>UCE_elcaggCap_spv_RWA</v>
      </c>
      <c r="H126" t="str">
        <f t="shared" si="21"/>
        <v>elcagg_spv_RWA</v>
      </c>
      <c r="I126">
        <v>-1</v>
      </c>
      <c r="K126" t="s">
        <v>203</v>
      </c>
      <c r="L126" t="str">
        <f t="shared" si="22"/>
        <v>UCE_elcaggCap_won_RUS</v>
      </c>
      <c r="M126" t="str">
        <f t="shared" si="16"/>
        <v>e?_won_RUS*</v>
      </c>
      <c r="N126">
        <v>1</v>
      </c>
      <c r="O126">
        <v>2</v>
      </c>
      <c r="Q126" t="str">
        <f t="shared" si="23"/>
        <v>UCE_elcaggCap_won_RUS</v>
      </c>
      <c r="R126" t="str">
        <f t="shared" si="24"/>
        <v>elcagg_won_RUS</v>
      </c>
      <c r="S126">
        <v>-1</v>
      </c>
    </row>
    <row r="127" spans="1:30">
      <c r="A127" t="s">
        <v>204</v>
      </c>
      <c r="B127" t="str">
        <f t="shared" si="19"/>
        <v>UCE_elcaggCap_spv_SAU</v>
      </c>
      <c r="C127" t="str">
        <f t="shared" si="15"/>
        <v>e?_spv_SAU*</v>
      </c>
      <c r="D127">
        <v>1</v>
      </c>
      <c r="E127">
        <v>2</v>
      </c>
      <c r="G127" t="str">
        <f t="shared" si="20"/>
        <v>UCE_elcaggCap_spv_SAU</v>
      </c>
      <c r="H127" t="str">
        <f t="shared" si="21"/>
        <v>elcagg_spv_SAU</v>
      </c>
      <c r="I127">
        <v>-1</v>
      </c>
      <c r="K127" t="s">
        <v>234</v>
      </c>
      <c r="L127" t="str">
        <f t="shared" si="22"/>
        <v>UCE_elcaggCap_won_RWA</v>
      </c>
      <c r="M127" t="str">
        <f t="shared" si="16"/>
        <v>e?_won_RWA*</v>
      </c>
      <c r="N127">
        <v>1</v>
      </c>
      <c r="O127">
        <v>2</v>
      </c>
      <c r="Q127" t="str">
        <f t="shared" si="23"/>
        <v>UCE_elcaggCap_won_RWA</v>
      </c>
      <c r="R127" t="str">
        <f t="shared" si="24"/>
        <v>elcagg_won_RWA</v>
      </c>
      <c r="S127">
        <v>-1</v>
      </c>
    </row>
    <row r="128" spans="1:30">
      <c r="A128" t="s">
        <v>205</v>
      </c>
      <c r="B128" t="str">
        <f t="shared" si="19"/>
        <v>UCE_elcaggCap_spv_SDN</v>
      </c>
      <c r="C128" t="str">
        <f t="shared" si="15"/>
        <v>e?_spv_SDN*</v>
      </c>
      <c r="D128">
        <v>1</v>
      </c>
      <c r="E128">
        <v>2</v>
      </c>
      <c r="G128" t="str">
        <f t="shared" si="20"/>
        <v>UCE_elcaggCap_spv_SDN</v>
      </c>
      <c r="H128" t="str">
        <f t="shared" si="21"/>
        <v>elcagg_spv_SDN</v>
      </c>
      <c r="I128">
        <v>-1</v>
      </c>
      <c r="K128" t="s">
        <v>204</v>
      </c>
      <c r="L128" t="str">
        <f t="shared" si="22"/>
        <v>UCE_elcaggCap_won_SAU</v>
      </c>
      <c r="M128" t="str">
        <f t="shared" si="16"/>
        <v>e?_won_SAU*</v>
      </c>
      <c r="N128">
        <v>1</v>
      </c>
      <c r="O128">
        <v>2</v>
      </c>
      <c r="Q128" t="str">
        <f t="shared" si="23"/>
        <v>UCE_elcaggCap_won_SAU</v>
      </c>
      <c r="R128" t="str">
        <f t="shared" si="24"/>
        <v>elcagg_won_SAU</v>
      </c>
      <c r="S128">
        <v>-1</v>
      </c>
    </row>
    <row r="129" spans="1:19">
      <c r="A129" t="s">
        <v>207</v>
      </c>
      <c r="B129" t="str">
        <f t="shared" si="19"/>
        <v>UCE_elcaggCap_spv_SEN</v>
      </c>
      <c r="C129" t="str">
        <f t="shared" si="15"/>
        <v>e?_spv_SEN*</v>
      </c>
      <c r="D129">
        <v>1</v>
      </c>
      <c r="E129">
        <v>2</v>
      </c>
      <c r="G129" t="str">
        <f t="shared" si="20"/>
        <v>UCE_elcaggCap_spv_SEN</v>
      </c>
      <c r="H129" t="str">
        <f t="shared" si="21"/>
        <v>elcagg_spv_SEN</v>
      </c>
      <c r="I129">
        <v>-1</v>
      </c>
      <c r="K129" t="s">
        <v>205</v>
      </c>
      <c r="L129" t="str">
        <f t="shared" si="22"/>
        <v>UCE_elcaggCap_won_SDN</v>
      </c>
      <c r="M129" t="str">
        <f t="shared" si="16"/>
        <v>e?_won_SDN*</v>
      </c>
      <c r="N129">
        <v>1</v>
      </c>
      <c r="O129">
        <v>2</v>
      </c>
      <c r="Q129" t="str">
        <f t="shared" si="23"/>
        <v>UCE_elcaggCap_won_SDN</v>
      </c>
      <c r="R129" t="str">
        <f t="shared" si="24"/>
        <v>elcagg_won_SDN</v>
      </c>
      <c r="S129">
        <v>-1</v>
      </c>
    </row>
    <row r="130" spans="1:19">
      <c r="A130" t="s">
        <v>208</v>
      </c>
      <c r="B130" t="str">
        <f t="shared" si="19"/>
        <v>UCE_elcaggCap_spv_SGP</v>
      </c>
      <c r="C130" t="str">
        <f t="shared" si="15"/>
        <v>e?_spv_SGP*</v>
      </c>
      <c r="D130">
        <v>1</v>
      </c>
      <c r="E130">
        <v>2</v>
      </c>
      <c r="G130" t="str">
        <f t="shared" si="20"/>
        <v>UCE_elcaggCap_spv_SGP</v>
      </c>
      <c r="H130" t="str">
        <f t="shared" si="21"/>
        <v>elcagg_spv_SGP</v>
      </c>
      <c r="I130">
        <v>-1</v>
      </c>
      <c r="K130" t="s">
        <v>207</v>
      </c>
      <c r="L130" t="str">
        <f t="shared" si="22"/>
        <v>UCE_elcaggCap_won_SEN</v>
      </c>
      <c r="M130" t="str">
        <f t="shared" si="16"/>
        <v>e?_won_SEN*</v>
      </c>
      <c r="N130">
        <v>1</v>
      </c>
      <c r="O130">
        <v>2</v>
      </c>
      <c r="Q130" t="str">
        <f t="shared" si="23"/>
        <v>UCE_elcaggCap_won_SEN</v>
      </c>
      <c r="R130" t="str">
        <f t="shared" si="24"/>
        <v>elcagg_won_SEN</v>
      </c>
      <c r="S130">
        <v>-1</v>
      </c>
    </row>
    <row r="131" spans="1:19">
      <c r="A131" t="s">
        <v>209</v>
      </c>
      <c r="B131" t="str">
        <f t="shared" si="19"/>
        <v>UCE_elcaggCap_spv_SLE</v>
      </c>
      <c r="C131" t="str">
        <f t="shared" si="15"/>
        <v>e?_spv_SLE*</v>
      </c>
      <c r="D131">
        <v>1</v>
      </c>
      <c r="E131">
        <v>2</v>
      </c>
      <c r="G131" t="str">
        <f t="shared" si="20"/>
        <v>UCE_elcaggCap_spv_SLE</v>
      </c>
      <c r="H131" t="str">
        <f t="shared" si="21"/>
        <v>elcagg_spv_SLE</v>
      </c>
      <c r="I131">
        <v>-1</v>
      </c>
      <c r="K131" t="s">
        <v>208</v>
      </c>
      <c r="L131" t="str">
        <f t="shared" si="22"/>
        <v>UCE_elcaggCap_won_SGP</v>
      </c>
      <c r="M131" t="str">
        <f t="shared" si="16"/>
        <v>e?_won_SGP*</v>
      </c>
      <c r="N131">
        <v>1</v>
      </c>
      <c r="O131">
        <v>2</v>
      </c>
      <c r="Q131" t="str">
        <f t="shared" si="23"/>
        <v>UCE_elcaggCap_won_SGP</v>
      </c>
      <c r="R131" t="str">
        <f t="shared" si="24"/>
        <v>elcagg_won_SGP</v>
      </c>
      <c r="S131">
        <v>-1</v>
      </c>
    </row>
    <row r="132" spans="1:19">
      <c r="A132" t="s">
        <v>211</v>
      </c>
      <c r="B132" t="str">
        <f t="shared" si="19"/>
        <v>UCE_elcaggCap_spv_SLV</v>
      </c>
      <c r="C132" t="str">
        <f t="shared" si="15"/>
        <v>e?_spv_SLV*</v>
      </c>
      <c r="D132">
        <v>1</v>
      </c>
      <c r="E132">
        <v>2</v>
      </c>
      <c r="G132" t="str">
        <f t="shared" si="20"/>
        <v>UCE_elcaggCap_spv_SLV</v>
      </c>
      <c r="H132" t="str">
        <f t="shared" si="21"/>
        <v>elcagg_spv_SLV</v>
      </c>
      <c r="I132">
        <v>-1</v>
      </c>
      <c r="K132" t="s">
        <v>209</v>
      </c>
      <c r="L132" t="str">
        <f t="shared" si="22"/>
        <v>UCE_elcaggCap_won_SLE</v>
      </c>
      <c r="M132" t="str">
        <f t="shared" si="16"/>
        <v>e?_won_SLE*</v>
      </c>
      <c r="N132">
        <v>1</v>
      </c>
      <c r="O132">
        <v>2</v>
      </c>
      <c r="Q132" t="str">
        <f t="shared" si="23"/>
        <v>UCE_elcaggCap_won_SLE</v>
      </c>
      <c r="R132" t="str">
        <f t="shared" si="24"/>
        <v>elcagg_won_SLE</v>
      </c>
      <c r="S132">
        <v>-1</v>
      </c>
    </row>
    <row r="133" spans="1:19">
      <c r="A133" t="s">
        <v>212</v>
      </c>
      <c r="B133" t="str">
        <f t="shared" si="19"/>
        <v>UCE_elcaggCap_spv_SOM</v>
      </c>
      <c r="C133" t="str">
        <f t="shared" ref="C133:C160" si="27" xml:space="preserve">"e?_spv_"&amp;$A133&amp;"*"</f>
        <v>e?_spv_SOM*</v>
      </c>
      <c r="D133">
        <v>1</v>
      </c>
      <c r="E133">
        <v>2</v>
      </c>
      <c r="G133" t="str">
        <f t="shared" si="20"/>
        <v>UCE_elcaggCap_spv_SOM</v>
      </c>
      <c r="H133" t="str">
        <f t="shared" si="21"/>
        <v>elcagg_spv_SOM</v>
      </c>
      <c r="I133">
        <v>-1</v>
      </c>
      <c r="K133" t="s">
        <v>211</v>
      </c>
      <c r="L133" t="str">
        <f t="shared" si="22"/>
        <v>UCE_elcaggCap_won_SLV</v>
      </c>
      <c r="M133" t="str">
        <f t="shared" ref="M133:M162" si="28" xml:space="preserve">"e?_won_"&amp;$K133&amp;"*"</f>
        <v>e?_won_SLV*</v>
      </c>
      <c r="N133">
        <v>1</v>
      </c>
      <c r="O133">
        <v>2</v>
      </c>
      <c r="Q133" t="str">
        <f t="shared" si="23"/>
        <v>UCE_elcaggCap_won_SLV</v>
      </c>
      <c r="R133" t="str">
        <f t="shared" si="24"/>
        <v>elcagg_won_SLV</v>
      </c>
      <c r="S133">
        <v>-1</v>
      </c>
    </row>
    <row r="134" spans="1:19">
      <c r="A134" t="s">
        <v>235</v>
      </c>
      <c r="B134" t="str">
        <f t="shared" ref="B134:B160" si="29" xml:space="preserve">"UCE_elcaggCap_"&amp;A$1&amp;"_"&amp;A134</f>
        <v>UCE_elcaggCap_spv_SRB</v>
      </c>
      <c r="C134" t="str">
        <f t="shared" si="27"/>
        <v>e?_spv_SRB*</v>
      </c>
      <c r="D134">
        <v>1</v>
      </c>
      <c r="E134">
        <v>2</v>
      </c>
      <c r="G134" t="str">
        <f t="shared" ref="G134:G160" si="30" xml:space="preserve">B134</f>
        <v>UCE_elcaggCap_spv_SRB</v>
      </c>
      <c r="H134" t="str">
        <f t="shared" ref="H134:H160" si="31" xml:space="preserve">"elcagg_spv_"&amp;$A134</f>
        <v>elcagg_spv_SRB</v>
      </c>
      <c r="I134">
        <v>-1</v>
      </c>
      <c r="K134" t="s">
        <v>212</v>
      </c>
      <c r="L134" t="str">
        <f t="shared" ref="L134:L162" si="32" xml:space="preserve">"UCE_elcaggCap_"&amp;K$1&amp;"_"&amp;K134</f>
        <v>UCE_elcaggCap_won_SOM</v>
      </c>
      <c r="M134" t="str">
        <f t="shared" si="28"/>
        <v>e?_won_SOM*</v>
      </c>
      <c r="N134">
        <v>1</v>
      </c>
      <c r="O134">
        <v>2</v>
      </c>
      <c r="Q134" t="str">
        <f t="shared" ref="Q134:Q162" si="33" xml:space="preserve">L134</f>
        <v>UCE_elcaggCap_won_SOM</v>
      </c>
      <c r="R134" t="str">
        <f t="shared" ref="R134:R162" si="34" xml:space="preserve">"elcagg_won_"&amp;$K134</f>
        <v>elcagg_won_SOM</v>
      </c>
      <c r="S134">
        <v>-1</v>
      </c>
    </row>
    <row r="135" spans="1:19">
      <c r="A135" t="s">
        <v>236</v>
      </c>
      <c r="B135" t="str">
        <f t="shared" si="29"/>
        <v>UCE_elcaggCap_spv_SSD</v>
      </c>
      <c r="C135" t="str">
        <f t="shared" si="27"/>
        <v>e?_spv_SSD*</v>
      </c>
      <c r="D135">
        <v>1</v>
      </c>
      <c r="E135">
        <v>2</v>
      </c>
      <c r="G135" t="str">
        <f t="shared" si="30"/>
        <v>UCE_elcaggCap_spv_SSD</v>
      </c>
      <c r="H135" t="str">
        <f t="shared" si="31"/>
        <v>elcagg_spv_SSD</v>
      </c>
      <c r="I135">
        <v>-1</v>
      </c>
      <c r="K135" t="s">
        <v>235</v>
      </c>
      <c r="L135" t="str">
        <f t="shared" si="32"/>
        <v>UCE_elcaggCap_won_SRB</v>
      </c>
      <c r="M135" t="str">
        <f t="shared" si="28"/>
        <v>e?_won_SRB*</v>
      </c>
      <c r="N135">
        <v>1</v>
      </c>
      <c r="O135">
        <v>2</v>
      </c>
      <c r="Q135" t="str">
        <f t="shared" si="33"/>
        <v>UCE_elcaggCap_won_SRB</v>
      </c>
      <c r="R135" t="str">
        <f t="shared" si="34"/>
        <v>elcagg_won_SRB</v>
      </c>
      <c r="S135">
        <v>-1</v>
      </c>
    </row>
    <row r="136" spans="1:19">
      <c r="A136" t="s">
        <v>213</v>
      </c>
      <c r="B136" t="str">
        <f t="shared" si="29"/>
        <v>UCE_elcaggCap_spv_SUR</v>
      </c>
      <c r="C136" t="str">
        <f t="shared" si="27"/>
        <v>e?_spv_SUR*</v>
      </c>
      <c r="D136">
        <v>1</v>
      </c>
      <c r="E136">
        <v>2</v>
      </c>
      <c r="G136" t="str">
        <f t="shared" si="30"/>
        <v>UCE_elcaggCap_spv_SUR</v>
      </c>
      <c r="H136" t="str">
        <f t="shared" si="31"/>
        <v>elcagg_spv_SUR</v>
      </c>
      <c r="I136">
        <v>-1</v>
      </c>
      <c r="K136" t="s">
        <v>236</v>
      </c>
      <c r="L136" t="str">
        <f t="shared" si="32"/>
        <v>UCE_elcaggCap_won_SSD</v>
      </c>
      <c r="M136" t="str">
        <f t="shared" si="28"/>
        <v>e?_won_SSD*</v>
      </c>
      <c r="N136">
        <v>1</v>
      </c>
      <c r="O136">
        <v>2</v>
      </c>
      <c r="Q136" t="str">
        <f t="shared" si="33"/>
        <v>UCE_elcaggCap_won_SSD</v>
      </c>
      <c r="R136" t="str">
        <f t="shared" si="34"/>
        <v>elcagg_won_SSD</v>
      </c>
      <c r="S136">
        <v>-1</v>
      </c>
    </row>
    <row r="137" spans="1:19">
      <c r="A137" t="s">
        <v>237</v>
      </c>
      <c r="B137" t="str">
        <f t="shared" si="29"/>
        <v>UCE_elcaggCap_spv_SVK</v>
      </c>
      <c r="C137" t="str">
        <f t="shared" si="27"/>
        <v>e?_spv_SVK*</v>
      </c>
      <c r="D137">
        <v>1</v>
      </c>
      <c r="E137">
        <v>2</v>
      </c>
      <c r="G137" t="str">
        <f t="shared" si="30"/>
        <v>UCE_elcaggCap_spv_SVK</v>
      </c>
      <c r="H137" t="str">
        <f t="shared" si="31"/>
        <v>elcagg_spv_SVK</v>
      </c>
      <c r="I137">
        <v>-1</v>
      </c>
      <c r="K137" t="s">
        <v>213</v>
      </c>
      <c r="L137" t="str">
        <f t="shared" si="32"/>
        <v>UCE_elcaggCap_won_SUR</v>
      </c>
      <c r="M137" t="str">
        <f t="shared" si="28"/>
        <v>e?_won_SUR*</v>
      </c>
      <c r="N137">
        <v>1</v>
      </c>
      <c r="O137">
        <v>2</v>
      </c>
      <c r="Q137" t="str">
        <f t="shared" si="33"/>
        <v>UCE_elcaggCap_won_SUR</v>
      </c>
      <c r="R137" t="str">
        <f t="shared" si="34"/>
        <v>elcagg_won_SUR</v>
      </c>
      <c r="S137">
        <v>-1</v>
      </c>
    </row>
    <row r="138" spans="1:19">
      <c r="A138" t="s">
        <v>238</v>
      </c>
      <c r="B138" t="str">
        <f t="shared" si="29"/>
        <v>UCE_elcaggCap_spv_SVN</v>
      </c>
      <c r="C138" t="str">
        <f t="shared" si="27"/>
        <v>e?_spv_SVN*</v>
      </c>
      <c r="D138">
        <v>1</v>
      </c>
      <c r="E138">
        <v>2</v>
      </c>
      <c r="G138" t="str">
        <f t="shared" si="30"/>
        <v>UCE_elcaggCap_spv_SVN</v>
      </c>
      <c r="H138" t="str">
        <f t="shared" si="31"/>
        <v>elcagg_spv_SVN</v>
      </c>
      <c r="I138">
        <v>-1</v>
      </c>
      <c r="K138" t="s">
        <v>237</v>
      </c>
      <c r="L138" t="str">
        <f t="shared" si="32"/>
        <v>UCE_elcaggCap_won_SVK</v>
      </c>
      <c r="M138" t="str">
        <f t="shared" si="28"/>
        <v>e?_won_SVK*</v>
      </c>
      <c r="N138">
        <v>1</v>
      </c>
      <c r="O138">
        <v>2</v>
      </c>
      <c r="Q138" t="str">
        <f t="shared" si="33"/>
        <v>UCE_elcaggCap_won_SVK</v>
      </c>
      <c r="R138" t="str">
        <f t="shared" si="34"/>
        <v>elcagg_won_SVK</v>
      </c>
      <c r="S138">
        <v>-1</v>
      </c>
    </row>
    <row r="139" spans="1:19">
      <c r="A139" t="s">
        <v>214</v>
      </c>
      <c r="B139" t="str">
        <f t="shared" si="29"/>
        <v>UCE_elcaggCap_spv_SWE</v>
      </c>
      <c r="C139" t="str">
        <f t="shared" si="27"/>
        <v>e?_spv_SWE*</v>
      </c>
      <c r="D139">
        <v>1</v>
      </c>
      <c r="E139">
        <v>2</v>
      </c>
      <c r="G139" t="str">
        <f t="shared" si="30"/>
        <v>UCE_elcaggCap_spv_SWE</v>
      </c>
      <c r="H139" t="str">
        <f t="shared" si="31"/>
        <v>elcagg_spv_SWE</v>
      </c>
      <c r="I139">
        <v>-1</v>
      </c>
      <c r="K139" t="s">
        <v>238</v>
      </c>
      <c r="L139" t="str">
        <f t="shared" si="32"/>
        <v>UCE_elcaggCap_won_SVN</v>
      </c>
      <c r="M139" t="str">
        <f t="shared" si="28"/>
        <v>e?_won_SVN*</v>
      </c>
      <c r="N139">
        <v>1</v>
      </c>
      <c r="O139">
        <v>2</v>
      </c>
      <c r="Q139" t="str">
        <f t="shared" si="33"/>
        <v>UCE_elcaggCap_won_SVN</v>
      </c>
      <c r="R139" t="str">
        <f t="shared" si="34"/>
        <v>elcagg_won_SVN</v>
      </c>
      <c r="S139">
        <v>-1</v>
      </c>
    </row>
    <row r="140" spans="1:19">
      <c r="A140" t="s">
        <v>216</v>
      </c>
      <c r="B140" t="str">
        <f t="shared" si="29"/>
        <v>UCE_elcaggCap_spv_SYR</v>
      </c>
      <c r="C140" t="str">
        <f t="shared" si="27"/>
        <v>e?_spv_SYR*</v>
      </c>
      <c r="D140">
        <v>1</v>
      </c>
      <c r="E140">
        <v>2</v>
      </c>
      <c r="G140" t="str">
        <f t="shared" si="30"/>
        <v>UCE_elcaggCap_spv_SYR</v>
      </c>
      <c r="H140" t="str">
        <f t="shared" si="31"/>
        <v>elcagg_spv_SYR</v>
      </c>
      <c r="I140">
        <v>-1</v>
      </c>
      <c r="K140" t="s">
        <v>214</v>
      </c>
      <c r="L140" t="str">
        <f t="shared" si="32"/>
        <v>UCE_elcaggCap_won_SWE</v>
      </c>
      <c r="M140" t="str">
        <f t="shared" si="28"/>
        <v>e?_won_SWE*</v>
      </c>
      <c r="N140">
        <v>1</v>
      </c>
      <c r="O140">
        <v>2</v>
      </c>
      <c r="Q140" t="str">
        <f t="shared" si="33"/>
        <v>UCE_elcaggCap_won_SWE</v>
      </c>
      <c r="R140" t="str">
        <f t="shared" si="34"/>
        <v>elcagg_won_SWE</v>
      </c>
      <c r="S140">
        <v>-1</v>
      </c>
    </row>
    <row r="141" spans="1:19">
      <c r="A141" t="s">
        <v>239</v>
      </c>
      <c r="B141" t="str">
        <f t="shared" si="29"/>
        <v>UCE_elcaggCap_spv_TCD</v>
      </c>
      <c r="C141" t="str">
        <f t="shared" si="27"/>
        <v>e?_spv_TCD*</v>
      </c>
      <c r="D141">
        <v>1</v>
      </c>
      <c r="E141">
        <v>2</v>
      </c>
      <c r="G141" t="str">
        <f t="shared" si="30"/>
        <v>UCE_elcaggCap_spv_TCD</v>
      </c>
      <c r="H141" t="str">
        <f t="shared" si="31"/>
        <v>elcagg_spv_TCD</v>
      </c>
      <c r="I141">
        <v>-1</v>
      </c>
      <c r="K141" t="s">
        <v>216</v>
      </c>
      <c r="L141" t="str">
        <f t="shared" si="32"/>
        <v>UCE_elcaggCap_won_SYR</v>
      </c>
      <c r="M141" t="str">
        <f t="shared" si="28"/>
        <v>e?_won_SYR*</v>
      </c>
      <c r="N141">
        <v>1</v>
      </c>
      <c r="O141">
        <v>2</v>
      </c>
      <c r="Q141" t="str">
        <f t="shared" si="33"/>
        <v>UCE_elcaggCap_won_SYR</v>
      </c>
      <c r="R141" t="str">
        <f t="shared" si="34"/>
        <v>elcagg_won_SYR</v>
      </c>
      <c r="S141">
        <v>-1</v>
      </c>
    </row>
    <row r="142" spans="1:19">
      <c r="A142" t="s">
        <v>217</v>
      </c>
      <c r="B142" t="str">
        <f t="shared" si="29"/>
        <v>UCE_elcaggCap_spv_TGO</v>
      </c>
      <c r="C142" t="str">
        <f t="shared" si="27"/>
        <v>e?_spv_TGO*</v>
      </c>
      <c r="D142">
        <v>1</v>
      </c>
      <c r="E142">
        <v>2</v>
      </c>
      <c r="G142" t="str">
        <f t="shared" si="30"/>
        <v>UCE_elcaggCap_spv_TGO</v>
      </c>
      <c r="H142" t="str">
        <f t="shared" si="31"/>
        <v>elcagg_spv_TGO</v>
      </c>
      <c r="I142">
        <v>-1</v>
      </c>
      <c r="K142" t="s">
        <v>239</v>
      </c>
      <c r="L142" t="str">
        <f t="shared" si="32"/>
        <v>UCE_elcaggCap_won_TCD</v>
      </c>
      <c r="M142" t="str">
        <f t="shared" si="28"/>
        <v>e?_won_TCD*</v>
      </c>
      <c r="N142">
        <v>1</v>
      </c>
      <c r="O142">
        <v>2</v>
      </c>
      <c r="Q142" t="str">
        <f t="shared" si="33"/>
        <v>UCE_elcaggCap_won_TCD</v>
      </c>
      <c r="R142" t="str">
        <f t="shared" si="34"/>
        <v>elcagg_won_TCD</v>
      </c>
      <c r="S142">
        <v>-1</v>
      </c>
    </row>
    <row r="143" spans="1:19">
      <c r="A143" t="s">
        <v>218</v>
      </c>
      <c r="B143" t="str">
        <f t="shared" si="29"/>
        <v>UCE_elcaggCap_spv_THA</v>
      </c>
      <c r="C143" t="str">
        <f t="shared" si="27"/>
        <v>e?_spv_THA*</v>
      </c>
      <c r="D143">
        <v>1</v>
      </c>
      <c r="E143">
        <v>2</v>
      </c>
      <c r="G143" t="str">
        <f t="shared" si="30"/>
        <v>UCE_elcaggCap_spv_THA</v>
      </c>
      <c r="H143" t="str">
        <f t="shared" si="31"/>
        <v>elcagg_spv_THA</v>
      </c>
      <c r="I143">
        <v>-1</v>
      </c>
      <c r="K143" t="s">
        <v>217</v>
      </c>
      <c r="L143" t="str">
        <f t="shared" si="32"/>
        <v>UCE_elcaggCap_won_TGO</v>
      </c>
      <c r="M143" t="str">
        <f t="shared" si="28"/>
        <v>e?_won_TGO*</v>
      </c>
      <c r="N143">
        <v>1</v>
      </c>
      <c r="O143">
        <v>2</v>
      </c>
      <c r="Q143" t="str">
        <f t="shared" si="33"/>
        <v>UCE_elcaggCap_won_TGO</v>
      </c>
      <c r="R143" t="str">
        <f t="shared" si="34"/>
        <v>elcagg_won_TGO</v>
      </c>
      <c r="S143">
        <v>-1</v>
      </c>
    </row>
    <row r="144" spans="1:19">
      <c r="A144" t="s">
        <v>240</v>
      </c>
      <c r="B144" t="str">
        <f t="shared" si="29"/>
        <v>UCE_elcaggCap_spv_TJK</v>
      </c>
      <c r="C144" t="str">
        <f t="shared" si="27"/>
        <v>e?_spv_TJK*</v>
      </c>
      <c r="D144">
        <v>1</v>
      </c>
      <c r="E144">
        <v>2</v>
      </c>
      <c r="G144" t="str">
        <f t="shared" si="30"/>
        <v>UCE_elcaggCap_spv_TJK</v>
      </c>
      <c r="H144" t="str">
        <f t="shared" si="31"/>
        <v>elcagg_spv_TJK</v>
      </c>
      <c r="I144">
        <v>-1</v>
      </c>
      <c r="K144" t="s">
        <v>218</v>
      </c>
      <c r="L144" t="str">
        <f t="shared" si="32"/>
        <v>UCE_elcaggCap_won_THA</v>
      </c>
      <c r="M144" t="str">
        <f t="shared" si="28"/>
        <v>e?_won_THA*</v>
      </c>
      <c r="N144">
        <v>1</v>
      </c>
      <c r="O144">
        <v>2</v>
      </c>
      <c r="Q144" t="str">
        <f t="shared" si="33"/>
        <v>UCE_elcaggCap_won_THA</v>
      </c>
      <c r="R144" t="str">
        <f t="shared" si="34"/>
        <v>elcagg_won_THA</v>
      </c>
      <c r="S144">
        <v>-1</v>
      </c>
    </row>
    <row r="145" spans="1:19">
      <c r="A145" t="s">
        <v>219</v>
      </c>
      <c r="B145" t="str">
        <f t="shared" si="29"/>
        <v>UCE_elcaggCap_spv_TKM</v>
      </c>
      <c r="C145" t="str">
        <f t="shared" si="27"/>
        <v>e?_spv_TKM*</v>
      </c>
      <c r="D145">
        <v>1</v>
      </c>
      <c r="E145">
        <v>2</v>
      </c>
      <c r="G145" t="str">
        <f t="shared" si="30"/>
        <v>UCE_elcaggCap_spv_TKM</v>
      </c>
      <c r="H145" t="str">
        <f t="shared" si="31"/>
        <v>elcagg_spv_TKM</v>
      </c>
      <c r="I145">
        <v>-1</v>
      </c>
      <c r="K145" t="s">
        <v>240</v>
      </c>
      <c r="L145" t="str">
        <f t="shared" si="32"/>
        <v>UCE_elcaggCap_won_TJK</v>
      </c>
      <c r="M145" t="str">
        <f t="shared" si="28"/>
        <v>e?_won_TJK*</v>
      </c>
      <c r="N145">
        <v>1</v>
      </c>
      <c r="O145">
        <v>2</v>
      </c>
      <c r="Q145" t="str">
        <f t="shared" si="33"/>
        <v>UCE_elcaggCap_won_TJK</v>
      </c>
      <c r="R145" t="str">
        <f t="shared" si="34"/>
        <v>elcagg_won_TJK</v>
      </c>
      <c r="S145">
        <v>-1</v>
      </c>
    </row>
    <row r="146" spans="1:19">
      <c r="A146" t="s">
        <v>222</v>
      </c>
      <c r="B146" t="str">
        <f t="shared" si="29"/>
        <v>UCE_elcaggCap_spv_TUN</v>
      </c>
      <c r="C146" t="str">
        <f t="shared" si="27"/>
        <v>e?_spv_TUN*</v>
      </c>
      <c r="D146">
        <v>1</v>
      </c>
      <c r="E146">
        <v>2</v>
      </c>
      <c r="G146" t="str">
        <f t="shared" si="30"/>
        <v>UCE_elcaggCap_spv_TUN</v>
      </c>
      <c r="H146" t="str">
        <f t="shared" si="31"/>
        <v>elcagg_spv_TUN</v>
      </c>
      <c r="I146">
        <v>-1</v>
      </c>
      <c r="K146" t="s">
        <v>219</v>
      </c>
      <c r="L146" t="str">
        <f t="shared" si="32"/>
        <v>UCE_elcaggCap_won_TKM</v>
      </c>
      <c r="M146" t="str">
        <f t="shared" si="28"/>
        <v>e?_won_TKM*</v>
      </c>
      <c r="N146">
        <v>1</v>
      </c>
      <c r="O146">
        <v>2</v>
      </c>
      <c r="Q146" t="str">
        <f t="shared" si="33"/>
        <v>UCE_elcaggCap_won_TKM</v>
      </c>
      <c r="R146" t="str">
        <f t="shared" si="34"/>
        <v>elcagg_won_TKM</v>
      </c>
      <c r="S146">
        <v>-1</v>
      </c>
    </row>
    <row r="147" spans="1:19">
      <c r="A147" t="s">
        <v>223</v>
      </c>
      <c r="B147" t="str">
        <f t="shared" si="29"/>
        <v>UCE_elcaggCap_spv_TUR</v>
      </c>
      <c r="C147" t="str">
        <f t="shared" si="27"/>
        <v>e?_spv_TUR*</v>
      </c>
      <c r="D147">
        <v>1</v>
      </c>
      <c r="E147">
        <v>2</v>
      </c>
      <c r="G147" t="str">
        <f t="shared" si="30"/>
        <v>UCE_elcaggCap_spv_TUR</v>
      </c>
      <c r="H147" t="str">
        <f t="shared" si="31"/>
        <v>elcagg_spv_TUR</v>
      </c>
      <c r="I147">
        <v>-1</v>
      </c>
      <c r="K147" t="s">
        <v>220</v>
      </c>
      <c r="L147" t="str">
        <f t="shared" si="32"/>
        <v>UCE_elcaggCap_won_TTO</v>
      </c>
      <c r="M147" t="str">
        <f t="shared" si="28"/>
        <v>e?_won_TTO*</v>
      </c>
      <c r="N147">
        <v>1</v>
      </c>
      <c r="O147">
        <v>2</v>
      </c>
      <c r="Q147" t="str">
        <f t="shared" si="33"/>
        <v>UCE_elcaggCap_won_TTO</v>
      </c>
      <c r="R147" t="str">
        <f t="shared" si="34"/>
        <v>elcagg_won_TTO</v>
      </c>
      <c r="S147">
        <v>-1</v>
      </c>
    </row>
    <row r="148" spans="1:19">
      <c r="A148" t="s">
        <v>224</v>
      </c>
      <c r="B148" t="str">
        <f t="shared" si="29"/>
        <v>UCE_elcaggCap_spv_TWN</v>
      </c>
      <c r="C148" t="str">
        <f t="shared" si="27"/>
        <v>e?_spv_TWN*</v>
      </c>
      <c r="D148">
        <v>1</v>
      </c>
      <c r="E148">
        <v>2</v>
      </c>
      <c r="G148" t="str">
        <f t="shared" si="30"/>
        <v>UCE_elcaggCap_spv_TWN</v>
      </c>
      <c r="H148" t="str">
        <f t="shared" si="31"/>
        <v>elcagg_spv_TWN</v>
      </c>
      <c r="I148">
        <v>-1</v>
      </c>
      <c r="K148" t="s">
        <v>222</v>
      </c>
      <c r="L148" t="str">
        <f t="shared" si="32"/>
        <v>UCE_elcaggCap_won_TUN</v>
      </c>
      <c r="M148" t="str">
        <f t="shared" si="28"/>
        <v>e?_won_TUN*</v>
      </c>
      <c r="N148">
        <v>1</v>
      </c>
      <c r="O148">
        <v>2</v>
      </c>
      <c r="Q148" t="str">
        <f t="shared" si="33"/>
        <v>UCE_elcaggCap_won_TUN</v>
      </c>
      <c r="R148" t="str">
        <f t="shared" si="34"/>
        <v>elcagg_won_TUN</v>
      </c>
      <c r="S148">
        <v>-1</v>
      </c>
    </row>
    <row r="149" spans="1:19">
      <c r="A149" t="s">
        <v>225</v>
      </c>
      <c r="B149" t="str">
        <f t="shared" si="29"/>
        <v>UCE_elcaggCap_spv_TZA</v>
      </c>
      <c r="C149" t="str">
        <f t="shared" si="27"/>
        <v>e?_spv_TZA*</v>
      </c>
      <c r="D149">
        <v>1</v>
      </c>
      <c r="E149">
        <v>2</v>
      </c>
      <c r="G149" t="str">
        <f t="shared" si="30"/>
        <v>UCE_elcaggCap_spv_TZA</v>
      </c>
      <c r="H149" t="str">
        <f t="shared" si="31"/>
        <v>elcagg_spv_TZA</v>
      </c>
      <c r="I149">
        <v>-1</v>
      </c>
      <c r="K149" t="s">
        <v>223</v>
      </c>
      <c r="L149" t="str">
        <f t="shared" si="32"/>
        <v>UCE_elcaggCap_won_TUR</v>
      </c>
      <c r="M149" t="str">
        <f t="shared" si="28"/>
        <v>e?_won_TUR*</v>
      </c>
      <c r="N149">
        <v>1</v>
      </c>
      <c r="O149">
        <v>2</v>
      </c>
      <c r="Q149" t="str">
        <f t="shared" si="33"/>
        <v>UCE_elcaggCap_won_TUR</v>
      </c>
      <c r="R149" t="str">
        <f t="shared" si="34"/>
        <v>elcagg_won_TUR</v>
      </c>
      <c r="S149">
        <v>-1</v>
      </c>
    </row>
    <row r="150" spans="1:19">
      <c r="A150" t="s">
        <v>241</v>
      </c>
      <c r="B150" t="str">
        <f t="shared" si="29"/>
        <v>UCE_elcaggCap_spv_UGA</v>
      </c>
      <c r="C150" t="str">
        <f t="shared" si="27"/>
        <v>e?_spv_UGA*</v>
      </c>
      <c r="D150">
        <v>1</v>
      </c>
      <c r="E150">
        <v>2</v>
      </c>
      <c r="G150" t="str">
        <f t="shared" si="30"/>
        <v>UCE_elcaggCap_spv_UGA</v>
      </c>
      <c r="H150" t="str">
        <f t="shared" si="31"/>
        <v>elcagg_spv_UGA</v>
      </c>
      <c r="I150">
        <v>-1</v>
      </c>
      <c r="K150" t="s">
        <v>224</v>
      </c>
      <c r="L150" t="str">
        <f t="shared" si="32"/>
        <v>UCE_elcaggCap_won_TWN</v>
      </c>
      <c r="M150" t="str">
        <f t="shared" si="28"/>
        <v>e?_won_TWN*</v>
      </c>
      <c r="N150">
        <v>1</v>
      </c>
      <c r="O150">
        <v>2</v>
      </c>
      <c r="Q150" t="str">
        <f t="shared" si="33"/>
        <v>UCE_elcaggCap_won_TWN</v>
      </c>
      <c r="R150" t="str">
        <f t="shared" si="34"/>
        <v>elcagg_won_TWN</v>
      </c>
      <c r="S150">
        <v>-1</v>
      </c>
    </row>
    <row r="151" spans="1:19">
      <c r="A151" t="s">
        <v>226</v>
      </c>
      <c r="B151" t="str">
        <f t="shared" si="29"/>
        <v>UCE_elcaggCap_spv_UKR</v>
      </c>
      <c r="C151" t="str">
        <f t="shared" si="27"/>
        <v>e?_spv_UKR*</v>
      </c>
      <c r="D151">
        <v>1</v>
      </c>
      <c r="E151">
        <v>2</v>
      </c>
      <c r="G151" t="str">
        <f t="shared" si="30"/>
        <v>UCE_elcaggCap_spv_UKR</v>
      </c>
      <c r="H151" t="str">
        <f t="shared" si="31"/>
        <v>elcagg_spv_UKR</v>
      </c>
      <c r="I151">
        <v>-1</v>
      </c>
      <c r="K151" t="s">
        <v>225</v>
      </c>
      <c r="L151" t="str">
        <f t="shared" si="32"/>
        <v>UCE_elcaggCap_won_TZA</v>
      </c>
      <c r="M151" t="str">
        <f t="shared" si="28"/>
        <v>e?_won_TZA*</v>
      </c>
      <c r="N151">
        <v>1</v>
      </c>
      <c r="O151">
        <v>2</v>
      </c>
      <c r="Q151" t="str">
        <f t="shared" si="33"/>
        <v>UCE_elcaggCap_won_TZA</v>
      </c>
      <c r="R151" t="str">
        <f t="shared" si="34"/>
        <v>elcagg_won_TZA</v>
      </c>
      <c r="S151">
        <v>-1</v>
      </c>
    </row>
    <row r="152" spans="1:19">
      <c r="A152" t="s">
        <v>227</v>
      </c>
      <c r="B152" t="str">
        <f t="shared" si="29"/>
        <v>UCE_elcaggCap_spv_URY</v>
      </c>
      <c r="C152" t="str">
        <f t="shared" si="27"/>
        <v>e?_spv_URY*</v>
      </c>
      <c r="D152">
        <v>1</v>
      </c>
      <c r="E152">
        <v>2</v>
      </c>
      <c r="G152" t="str">
        <f t="shared" si="30"/>
        <v>UCE_elcaggCap_spv_URY</v>
      </c>
      <c r="H152" t="str">
        <f t="shared" si="31"/>
        <v>elcagg_spv_URY</v>
      </c>
      <c r="I152">
        <v>-1</v>
      </c>
      <c r="K152" t="s">
        <v>241</v>
      </c>
      <c r="L152" t="str">
        <f t="shared" si="32"/>
        <v>UCE_elcaggCap_won_UGA</v>
      </c>
      <c r="M152" t="str">
        <f t="shared" si="28"/>
        <v>e?_won_UGA*</v>
      </c>
      <c r="N152">
        <v>1</v>
      </c>
      <c r="O152">
        <v>2</v>
      </c>
      <c r="Q152" t="str">
        <f t="shared" si="33"/>
        <v>UCE_elcaggCap_won_UGA</v>
      </c>
      <c r="R152" t="str">
        <f t="shared" si="34"/>
        <v>elcagg_won_UGA</v>
      </c>
      <c r="S152">
        <v>-1</v>
      </c>
    </row>
    <row r="153" spans="1:19">
      <c r="A153" t="s">
        <v>20</v>
      </c>
      <c r="B153" t="str">
        <f t="shared" si="29"/>
        <v>UCE_elcaggCap_spv_USA</v>
      </c>
      <c r="C153" t="str">
        <f t="shared" si="27"/>
        <v>e?_spv_USA*</v>
      </c>
      <c r="D153">
        <v>1</v>
      </c>
      <c r="E153">
        <v>2</v>
      </c>
      <c r="G153" t="str">
        <f t="shared" si="30"/>
        <v>UCE_elcaggCap_spv_USA</v>
      </c>
      <c r="H153" t="str">
        <f t="shared" si="31"/>
        <v>elcagg_spv_USA</v>
      </c>
      <c r="I153">
        <v>-1</v>
      </c>
      <c r="K153" t="s">
        <v>226</v>
      </c>
      <c r="L153" t="str">
        <f t="shared" si="32"/>
        <v>UCE_elcaggCap_won_UKR</v>
      </c>
      <c r="M153" t="str">
        <f t="shared" si="28"/>
        <v>e?_won_UKR*</v>
      </c>
      <c r="N153">
        <v>1</v>
      </c>
      <c r="O153">
        <v>2</v>
      </c>
      <c r="Q153" t="str">
        <f t="shared" si="33"/>
        <v>UCE_elcaggCap_won_UKR</v>
      </c>
      <c r="R153" t="str">
        <f t="shared" si="34"/>
        <v>elcagg_won_UKR</v>
      </c>
      <c r="S153">
        <v>-1</v>
      </c>
    </row>
    <row r="154" spans="1:19">
      <c r="A154" t="s">
        <v>242</v>
      </c>
      <c r="B154" t="str">
        <f t="shared" si="29"/>
        <v>UCE_elcaggCap_spv_UZB</v>
      </c>
      <c r="C154" t="str">
        <f t="shared" si="27"/>
        <v>e?_spv_UZB*</v>
      </c>
      <c r="D154">
        <v>1</v>
      </c>
      <c r="E154">
        <v>2</v>
      </c>
      <c r="G154" t="str">
        <f t="shared" si="30"/>
        <v>UCE_elcaggCap_spv_UZB</v>
      </c>
      <c r="H154" t="str">
        <f t="shared" si="31"/>
        <v>elcagg_spv_UZB</v>
      </c>
      <c r="I154">
        <v>-1</v>
      </c>
      <c r="K154" t="s">
        <v>227</v>
      </c>
      <c r="L154" t="str">
        <f t="shared" si="32"/>
        <v>UCE_elcaggCap_won_URY</v>
      </c>
      <c r="M154" t="str">
        <f t="shared" si="28"/>
        <v>e?_won_URY*</v>
      </c>
      <c r="N154">
        <v>1</v>
      </c>
      <c r="O154">
        <v>2</v>
      </c>
      <c r="Q154" t="str">
        <f t="shared" si="33"/>
        <v>UCE_elcaggCap_won_URY</v>
      </c>
      <c r="R154" t="str">
        <f t="shared" si="34"/>
        <v>elcagg_won_URY</v>
      </c>
      <c r="S154">
        <v>-1</v>
      </c>
    </row>
    <row r="155" spans="1:19">
      <c r="A155" t="s">
        <v>228</v>
      </c>
      <c r="B155" t="str">
        <f t="shared" si="29"/>
        <v>UCE_elcaggCap_spv_VEN</v>
      </c>
      <c r="C155" t="str">
        <f t="shared" si="27"/>
        <v>e?_spv_VEN*</v>
      </c>
      <c r="D155">
        <v>1</v>
      </c>
      <c r="E155">
        <v>2</v>
      </c>
      <c r="G155" t="str">
        <f t="shared" si="30"/>
        <v>UCE_elcaggCap_spv_VEN</v>
      </c>
      <c r="H155" t="str">
        <f t="shared" si="31"/>
        <v>elcagg_spv_VEN</v>
      </c>
      <c r="I155">
        <v>-1</v>
      </c>
      <c r="K155" t="s">
        <v>20</v>
      </c>
      <c r="L155" t="str">
        <f t="shared" si="32"/>
        <v>UCE_elcaggCap_won_USA</v>
      </c>
      <c r="M155" t="str">
        <f t="shared" si="28"/>
        <v>e?_won_USA*</v>
      </c>
      <c r="N155">
        <v>1</v>
      </c>
      <c r="O155">
        <v>2</v>
      </c>
      <c r="Q155" t="str">
        <f t="shared" si="33"/>
        <v>UCE_elcaggCap_won_USA</v>
      </c>
      <c r="R155" t="str">
        <f t="shared" si="34"/>
        <v>elcagg_won_USA</v>
      </c>
      <c r="S155">
        <v>-1</v>
      </c>
    </row>
    <row r="156" spans="1:19">
      <c r="A156" t="s">
        <v>229</v>
      </c>
      <c r="B156" t="str">
        <f t="shared" si="29"/>
        <v>UCE_elcaggCap_spv_VNM</v>
      </c>
      <c r="C156" t="str">
        <f t="shared" si="27"/>
        <v>e?_spv_VNM*</v>
      </c>
      <c r="D156">
        <v>1</v>
      </c>
      <c r="E156">
        <v>2</v>
      </c>
      <c r="G156" t="str">
        <f t="shared" si="30"/>
        <v>UCE_elcaggCap_spv_VNM</v>
      </c>
      <c r="H156" t="str">
        <f t="shared" si="31"/>
        <v>elcagg_spv_VNM</v>
      </c>
      <c r="I156">
        <v>-1</v>
      </c>
      <c r="K156" t="s">
        <v>242</v>
      </c>
      <c r="L156" t="str">
        <f t="shared" si="32"/>
        <v>UCE_elcaggCap_won_UZB</v>
      </c>
      <c r="M156" t="str">
        <f t="shared" si="28"/>
        <v>e?_won_UZB*</v>
      </c>
      <c r="N156">
        <v>1</v>
      </c>
      <c r="O156">
        <v>2</v>
      </c>
      <c r="Q156" t="str">
        <f t="shared" si="33"/>
        <v>UCE_elcaggCap_won_UZB</v>
      </c>
      <c r="R156" t="str">
        <f t="shared" si="34"/>
        <v>elcagg_won_UZB</v>
      </c>
      <c r="S156">
        <v>-1</v>
      </c>
    </row>
    <row r="157" spans="1:19">
      <c r="A157" t="s">
        <v>230</v>
      </c>
      <c r="B157" t="str">
        <f t="shared" si="29"/>
        <v>UCE_elcaggCap_spv_YEM</v>
      </c>
      <c r="C157" t="str">
        <f t="shared" si="27"/>
        <v>e?_spv_YEM*</v>
      </c>
      <c r="D157">
        <v>1</v>
      </c>
      <c r="E157">
        <v>2</v>
      </c>
      <c r="G157" t="str">
        <f t="shared" si="30"/>
        <v>UCE_elcaggCap_spv_YEM</v>
      </c>
      <c r="H157" t="str">
        <f t="shared" si="31"/>
        <v>elcagg_spv_YEM</v>
      </c>
      <c r="I157">
        <v>-1</v>
      </c>
      <c r="K157" t="s">
        <v>228</v>
      </c>
      <c r="L157" t="str">
        <f t="shared" si="32"/>
        <v>UCE_elcaggCap_won_VEN</v>
      </c>
      <c r="M157" t="str">
        <f t="shared" si="28"/>
        <v>e?_won_VEN*</v>
      </c>
      <c r="N157">
        <v>1</v>
      </c>
      <c r="O157">
        <v>2</v>
      </c>
      <c r="Q157" t="str">
        <f t="shared" si="33"/>
        <v>UCE_elcaggCap_won_VEN</v>
      </c>
      <c r="R157" t="str">
        <f t="shared" si="34"/>
        <v>elcagg_won_VEN</v>
      </c>
      <c r="S157">
        <v>-1</v>
      </c>
    </row>
    <row r="158" spans="1:19">
      <c r="A158" t="s">
        <v>231</v>
      </c>
      <c r="B158" t="str">
        <f t="shared" si="29"/>
        <v>UCE_elcaggCap_spv_ZAF</v>
      </c>
      <c r="C158" t="str">
        <f t="shared" si="27"/>
        <v>e?_spv_ZAF*</v>
      </c>
      <c r="D158">
        <v>1</v>
      </c>
      <c r="E158">
        <v>2</v>
      </c>
      <c r="G158" t="str">
        <f t="shared" si="30"/>
        <v>UCE_elcaggCap_spv_ZAF</v>
      </c>
      <c r="H158" t="str">
        <f t="shared" si="31"/>
        <v>elcagg_spv_ZAF</v>
      </c>
      <c r="I158">
        <v>-1</v>
      </c>
      <c r="K158" t="s">
        <v>229</v>
      </c>
      <c r="L158" t="str">
        <f t="shared" si="32"/>
        <v>UCE_elcaggCap_won_VNM</v>
      </c>
      <c r="M158" t="str">
        <f t="shared" si="28"/>
        <v>e?_won_VNM*</v>
      </c>
      <c r="N158">
        <v>1</v>
      </c>
      <c r="O158">
        <v>2</v>
      </c>
      <c r="Q158" t="str">
        <f t="shared" si="33"/>
        <v>UCE_elcaggCap_won_VNM</v>
      </c>
      <c r="R158" t="str">
        <f t="shared" si="34"/>
        <v>elcagg_won_VNM</v>
      </c>
      <c r="S158">
        <v>-1</v>
      </c>
    </row>
    <row r="159" spans="1:19">
      <c r="A159" t="s">
        <v>243</v>
      </c>
      <c r="B159" t="str">
        <f t="shared" si="29"/>
        <v>UCE_elcaggCap_spv_ZMB</v>
      </c>
      <c r="C159" t="str">
        <f t="shared" si="27"/>
        <v>e?_spv_ZMB*</v>
      </c>
      <c r="D159">
        <v>1</v>
      </c>
      <c r="E159">
        <v>2</v>
      </c>
      <c r="G159" t="str">
        <f t="shared" si="30"/>
        <v>UCE_elcaggCap_spv_ZMB</v>
      </c>
      <c r="H159" t="str">
        <f t="shared" si="31"/>
        <v>elcagg_spv_ZMB</v>
      </c>
      <c r="I159">
        <v>-1</v>
      </c>
      <c r="K159" t="s">
        <v>230</v>
      </c>
      <c r="L159" t="str">
        <f t="shared" si="32"/>
        <v>UCE_elcaggCap_won_YEM</v>
      </c>
      <c r="M159" t="str">
        <f t="shared" si="28"/>
        <v>e?_won_YEM*</v>
      </c>
      <c r="N159">
        <v>1</v>
      </c>
      <c r="O159">
        <v>2</v>
      </c>
      <c r="Q159" t="str">
        <f t="shared" si="33"/>
        <v>UCE_elcaggCap_won_YEM</v>
      </c>
      <c r="R159" t="str">
        <f t="shared" si="34"/>
        <v>elcagg_won_YEM</v>
      </c>
      <c r="S159">
        <v>-1</v>
      </c>
    </row>
    <row r="160" spans="1:19">
      <c r="A160" t="s">
        <v>244</v>
      </c>
      <c r="B160" t="str">
        <f t="shared" si="29"/>
        <v>UCE_elcaggCap_spv_ZWE</v>
      </c>
      <c r="C160" t="str">
        <f t="shared" si="27"/>
        <v>e?_spv_ZWE*</v>
      </c>
      <c r="D160">
        <v>1</v>
      </c>
      <c r="E160">
        <v>2</v>
      </c>
      <c r="G160" t="str">
        <f t="shared" si="30"/>
        <v>UCE_elcaggCap_spv_ZWE</v>
      </c>
      <c r="H160" t="str">
        <f t="shared" si="31"/>
        <v>elcagg_spv_ZWE</v>
      </c>
      <c r="I160">
        <v>-1</v>
      </c>
      <c r="K160" t="s">
        <v>231</v>
      </c>
      <c r="L160" t="str">
        <f t="shared" si="32"/>
        <v>UCE_elcaggCap_won_ZAF</v>
      </c>
      <c r="M160" t="str">
        <f t="shared" si="28"/>
        <v>e?_won_ZAF*</v>
      </c>
      <c r="N160">
        <v>1</v>
      </c>
      <c r="O160">
        <v>2</v>
      </c>
      <c r="Q160" t="str">
        <f t="shared" si="33"/>
        <v>UCE_elcaggCap_won_ZAF</v>
      </c>
      <c r="R160" t="str">
        <f t="shared" si="34"/>
        <v>elcagg_won_ZAF</v>
      </c>
      <c r="S160">
        <v>-1</v>
      </c>
    </row>
    <row r="161" spans="11:19">
      <c r="K161" t="s">
        <v>243</v>
      </c>
      <c r="L161" t="str">
        <f t="shared" si="32"/>
        <v>UCE_elcaggCap_won_ZMB</v>
      </c>
      <c r="M161" t="str">
        <f t="shared" si="28"/>
        <v>e?_won_ZMB*</v>
      </c>
      <c r="N161">
        <v>1</v>
      </c>
      <c r="O161">
        <v>2</v>
      </c>
      <c r="Q161" t="str">
        <f t="shared" si="33"/>
        <v>UCE_elcaggCap_won_ZMB</v>
      </c>
      <c r="R161" t="str">
        <f t="shared" si="34"/>
        <v>elcagg_won_ZMB</v>
      </c>
      <c r="S161">
        <v>-1</v>
      </c>
    </row>
    <row r="162" spans="11:19">
      <c r="K162" t="s">
        <v>244</v>
      </c>
      <c r="L162" t="str">
        <f t="shared" si="32"/>
        <v>UCE_elcaggCap_won_ZWE</v>
      </c>
      <c r="M162" t="str">
        <f t="shared" si="28"/>
        <v>e?_won_ZWE*</v>
      </c>
      <c r="N162">
        <v>1</v>
      </c>
      <c r="O162">
        <v>2</v>
      </c>
      <c r="Q162" t="str">
        <f t="shared" si="33"/>
        <v>UCE_elcaggCap_won_ZWE</v>
      </c>
      <c r="R162" t="str">
        <f t="shared" si="34"/>
        <v>elcagg_won_ZWE</v>
      </c>
      <c r="S162">
        <v>-1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1"/>
  <sheetViews>
    <sheetView zoomScale="84" zoomScaleNormal="84" workbookViewId="0">
      <selection activeCell="A1" sqref="A1"/>
    </sheetView>
  </sheetViews>
  <sheetFormatPr defaultColWidth="9" defaultRowHeight="14.5"/>
  <cols>
    <col min="1" max="1" width="14.4636363636364" customWidth="1"/>
    <col min="2" max="3" width="6.52727272727273" customWidth="1"/>
    <col min="10" max="10" width="14.5272727272727" customWidth="1"/>
    <col min="11" max="11" width="8.52727272727273" customWidth="1"/>
    <col min="12" max="12" width="14.5272727272727" customWidth="1"/>
    <col min="13" max="13" width="6.52727272727273" customWidth="1"/>
    <col min="14" max="14" width="7.52727272727273" customWidth="1"/>
    <col min="15" max="15" width="2" customWidth="1"/>
    <col min="16" max="16" width="8" customWidth="1"/>
    <col min="18" max="18" width="4.86363636363636" customWidth="1"/>
    <col min="19" max="19" width="9.8" customWidth="1"/>
    <col min="20" max="20" width="9.86363636363636" customWidth="1"/>
    <col min="21" max="21" width="12.4636363636364" customWidth="1"/>
  </cols>
  <sheetData>
    <row r="1" spans="1:23">
      <c r="A1" t="s">
        <v>245</v>
      </c>
      <c r="J1" t="s">
        <v>246</v>
      </c>
    </row>
    <row r="3" spans="1:23">
      <c r="A3" t="s">
        <v>247</v>
      </c>
      <c r="B3" t="s">
        <v>248</v>
      </c>
      <c r="C3" t="s">
        <v>249</v>
      </c>
      <c r="E3" t="s">
        <v>247</v>
      </c>
      <c r="F3" s="13">
        <v>0.5</v>
      </c>
      <c r="G3" s="13">
        <v>0.25</v>
      </c>
      <c r="H3" s="13">
        <v>0.1</v>
      </c>
      <c r="L3" t="s">
        <v>250</v>
      </c>
      <c r="S3" t="s">
        <v>0</v>
      </c>
    </row>
    <row r="4" spans="1:23">
      <c r="A4" t="s">
        <v>251</v>
      </c>
      <c r="B4">
        <v>0</v>
      </c>
      <c r="C4">
        <v>4.8</v>
      </c>
      <c r="E4" t="s">
        <v>251</v>
      </c>
      <c r="F4">
        <v>82.6</v>
      </c>
      <c r="G4">
        <v>41.3</v>
      </c>
      <c r="H4">
        <v>16.5</v>
      </c>
      <c r="J4" t="s">
        <v>56</v>
      </c>
      <c r="K4" t="s">
        <v>28</v>
      </c>
      <c r="L4" t="s">
        <v>247</v>
      </c>
      <c r="M4" t="s">
        <v>252</v>
      </c>
      <c r="N4">
        <v>2020</v>
      </c>
      <c r="O4">
        <v>0</v>
      </c>
      <c r="P4" t="s">
        <v>61</v>
      </c>
      <c r="S4" t="s">
        <v>27</v>
      </c>
      <c r="T4" t="s">
        <v>28</v>
      </c>
      <c r="U4" t="s">
        <v>247</v>
      </c>
      <c r="V4" t="s">
        <v>14</v>
      </c>
      <c r="W4" t="s">
        <v>29</v>
      </c>
    </row>
    <row r="5" spans="1:23">
      <c r="A5" t="s">
        <v>253</v>
      </c>
      <c r="B5">
        <v>5.35</v>
      </c>
      <c r="C5">
        <v>0</v>
      </c>
      <c r="E5" t="s">
        <v>254</v>
      </c>
      <c r="F5">
        <v>132.5</v>
      </c>
      <c r="G5">
        <v>66.2</v>
      </c>
      <c r="H5">
        <v>26.5</v>
      </c>
      <c r="J5" t="s">
        <v>255</v>
      </c>
      <c r="K5" t="s">
        <v>256</v>
      </c>
      <c r="N5">
        <v>0</v>
      </c>
      <c r="O5">
        <v>3</v>
      </c>
      <c r="P5">
        <v>1</v>
      </c>
      <c r="S5" t="s">
        <v>52</v>
      </c>
      <c r="T5" t="str">
        <f xml:space="preserve">K5</f>
        <v>E_Nuclear</v>
      </c>
    </row>
    <row r="6" spans="1:23">
      <c r="A6" t="s">
        <v>257</v>
      </c>
      <c r="B6">
        <v>1.99</v>
      </c>
      <c r="C6">
        <v>1.4</v>
      </c>
      <c r="E6" t="s">
        <v>258</v>
      </c>
      <c r="F6">
        <v>22</v>
      </c>
      <c r="G6">
        <v>11</v>
      </c>
      <c r="H6">
        <v>4.4</v>
      </c>
      <c r="L6" t="str">
        <f xml:space="preserve">IF(A4="","\I:",A4)</f>
        <v>Africa_North</v>
      </c>
      <c r="M6" s="17">
        <f xml:space="preserve">B4*1.1</f>
        <v>0</v>
      </c>
      <c r="N6" s="17">
        <f xml:space="preserve">MAX(VLOOKUP(L6,$E$4:$G$40,3,FALSE),M6*1.5)</f>
        <v>41.3</v>
      </c>
      <c r="S6" t="s">
        <v>52</v>
      </c>
      <c r="T6" t="str">
        <f xml:space="preserve">T5</f>
        <v>E_Nuclear</v>
      </c>
      <c r="U6" t="str">
        <f t="shared" ref="U6:U28" si="0" xml:space="preserve">L6</f>
        <v>Africa_North</v>
      </c>
      <c r="V6" s="25"/>
    </row>
    <row r="7" spans="1:23">
      <c r="A7" t="s">
        <v>259</v>
      </c>
      <c r="B7">
        <v>55.53</v>
      </c>
      <c r="C7">
        <v>29.16</v>
      </c>
      <c r="E7" t="s">
        <v>260</v>
      </c>
      <c r="F7">
        <v>6</v>
      </c>
      <c r="G7">
        <v>3</v>
      </c>
      <c r="H7">
        <v>1.2</v>
      </c>
      <c r="L7" t="str">
        <f t="shared" ref="L7:L27" si="1" xml:space="preserve">IF(A5="","\I:",A5)</f>
        <v>BeNeLux</v>
      </c>
      <c r="M7" s="17">
        <f t="shared" ref="M7:M27" si="2" xml:space="preserve">B5*1.1</f>
        <v>5.885</v>
      </c>
      <c r="N7" s="17">
        <f t="shared" ref="N7:N27" si="3" xml:space="preserve">MAX(VLOOKUP(L7,$E$4:$G$40,3,FALSE),M7*1.5)</f>
        <v>8.8275</v>
      </c>
      <c r="S7" t="s">
        <v>52</v>
      </c>
      <c r="T7" t="str">
        <f t="shared" ref="T7:T28" si="4" xml:space="preserve">T6</f>
        <v>E_Nuclear</v>
      </c>
      <c r="U7" t="str">
        <f t="shared" si="0"/>
        <v>BeNeLux</v>
      </c>
      <c r="V7" s="25"/>
    </row>
    <row r="8" spans="1:23">
      <c r="A8" t="s">
        <v>261</v>
      </c>
      <c r="B8">
        <v>0.69</v>
      </c>
      <c r="C8">
        <v>0</v>
      </c>
      <c r="E8" t="s">
        <v>262</v>
      </c>
      <c r="F8">
        <v>2.3</v>
      </c>
      <c r="G8">
        <v>1.1</v>
      </c>
      <c r="H8">
        <v>0.5</v>
      </c>
      <c r="L8" t="str">
        <f t="shared" si="1"/>
        <v>Brazil</v>
      </c>
      <c r="M8" s="17">
        <f t="shared" si="2"/>
        <v>2.189</v>
      </c>
      <c r="N8" s="17">
        <f t="shared" si="3"/>
        <v>29.2</v>
      </c>
      <c r="S8" t="s">
        <v>52</v>
      </c>
      <c r="T8" t="str">
        <f t="shared" si="4"/>
        <v>E_Nuclear</v>
      </c>
      <c r="U8" t="str">
        <f t="shared" si="0"/>
        <v>Brazil</v>
      </c>
      <c r="V8" s="25"/>
    </row>
    <row r="9" spans="1:23">
      <c r="A9" t="s">
        <v>263</v>
      </c>
      <c r="B9">
        <v>6.29</v>
      </c>
      <c r="C9">
        <v>0.94</v>
      </c>
      <c r="E9" t="s">
        <v>253</v>
      </c>
      <c r="F9">
        <v>16.3</v>
      </c>
      <c r="G9">
        <v>8.1</v>
      </c>
      <c r="H9">
        <v>3.3</v>
      </c>
      <c r="L9" t="str">
        <f t="shared" si="1"/>
        <v>China</v>
      </c>
      <c r="M9" s="17">
        <f t="shared" si="2"/>
        <v>61.083</v>
      </c>
      <c r="N9" s="17">
        <f t="shared" si="3"/>
        <v>628.9</v>
      </c>
      <c r="S9" t="s">
        <v>52</v>
      </c>
      <c r="T9" t="str">
        <f t="shared" si="4"/>
        <v>E_Nuclear</v>
      </c>
      <c r="U9" t="str">
        <f t="shared" si="0"/>
        <v>China</v>
      </c>
      <c r="V9" s="25"/>
    </row>
    <row r="10" spans="1:23">
      <c r="A10" t="s">
        <v>264</v>
      </c>
      <c r="B10">
        <v>61.4</v>
      </c>
      <c r="C10">
        <v>1.65</v>
      </c>
      <c r="E10" t="s">
        <v>257</v>
      </c>
      <c r="F10">
        <v>58.4</v>
      </c>
      <c r="G10">
        <v>29.2</v>
      </c>
      <c r="H10">
        <v>11.7</v>
      </c>
      <c r="L10" t="str">
        <f t="shared" si="1"/>
        <v>CroSloven</v>
      </c>
      <c r="M10" s="17">
        <f t="shared" si="2"/>
        <v>0.759</v>
      </c>
      <c r="N10" s="17">
        <f t="shared" si="3"/>
        <v>1.1385</v>
      </c>
      <c r="S10" t="s">
        <v>52</v>
      </c>
      <c r="T10" t="str">
        <f t="shared" si="4"/>
        <v>E_Nuclear</v>
      </c>
      <c r="U10" t="str">
        <f t="shared" si="0"/>
        <v>CroSloven</v>
      </c>
      <c r="V10" s="25"/>
    </row>
    <row r="11" spans="1:23">
      <c r="A11" t="s">
        <v>265</v>
      </c>
      <c r="B11">
        <v>4.2</v>
      </c>
      <c r="C11">
        <v>0</v>
      </c>
      <c r="E11" t="s">
        <v>259</v>
      </c>
      <c r="F11">
        <v>1257.8</v>
      </c>
      <c r="G11">
        <v>628.9</v>
      </c>
      <c r="H11">
        <v>251.6</v>
      </c>
      <c r="L11" t="str">
        <f t="shared" si="1"/>
        <v>CzechSlovak</v>
      </c>
      <c r="M11" s="17">
        <f t="shared" si="2"/>
        <v>6.919</v>
      </c>
      <c r="N11" s="17">
        <f t="shared" si="3"/>
        <v>10.3785</v>
      </c>
      <c r="S11" t="s">
        <v>52</v>
      </c>
      <c r="T11" t="str">
        <f t="shared" si="4"/>
        <v>E_Nuclear</v>
      </c>
      <c r="U11" t="str">
        <f t="shared" si="0"/>
        <v>CzechSlovak</v>
      </c>
      <c r="V11" s="25"/>
    </row>
    <row r="12" spans="1:23">
      <c r="A12" t="s">
        <v>266</v>
      </c>
      <c r="B12">
        <v>5.34</v>
      </c>
      <c r="C12">
        <v>0</v>
      </c>
      <c r="E12" t="s">
        <v>261</v>
      </c>
      <c r="F12">
        <v>2</v>
      </c>
      <c r="G12">
        <v>1</v>
      </c>
      <c r="H12">
        <v>0.4</v>
      </c>
      <c r="L12" t="str">
        <f t="shared" si="1"/>
        <v>France</v>
      </c>
      <c r="M12" s="17">
        <f t="shared" si="2"/>
        <v>67.54</v>
      </c>
      <c r="N12" s="17">
        <f t="shared" si="3"/>
        <v>101.31</v>
      </c>
      <c r="S12" t="s">
        <v>52</v>
      </c>
      <c r="T12" t="str">
        <f t="shared" si="4"/>
        <v>E_Nuclear</v>
      </c>
      <c r="U12" t="str">
        <f t="shared" si="0"/>
        <v>France</v>
      </c>
      <c r="V12" s="25"/>
    </row>
    <row r="13" spans="1:23">
      <c r="A13" t="s">
        <v>267</v>
      </c>
      <c r="B13">
        <v>6.78</v>
      </c>
      <c r="C13">
        <v>7.3</v>
      </c>
      <c r="E13" t="s">
        <v>263</v>
      </c>
      <c r="F13">
        <v>6.1</v>
      </c>
      <c r="G13">
        <v>3</v>
      </c>
      <c r="H13">
        <v>1.2</v>
      </c>
      <c r="L13" t="str">
        <f t="shared" si="1"/>
        <v>Germany</v>
      </c>
      <c r="M13" s="17">
        <f t="shared" si="2"/>
        <v>4.62</v>
      </c>
      <c r="N13" s="17">
        <f t="shared" si="3"/>
        <v>19.3</v>
      </c>
      <c r="S13" t="s">
        <v>52</v>
      </c>
      <c r="T13" t="str">
        <f t="shared" si="4"/>
        <v>E_Nuclear</v>
      </c>
      <c r="U13" t="str">
        <f t="shared" si="0"/>
        <v>Germany</v>
      </c>
      <c r="V13" s="25"/>
    </row>
    <row r="14" spans="1:23">
      <c r="A14" t="s">
        <v>268</v>
      </c>
      <c r="B14">
        <v>33.08</v>
      </c>
      <c r="C14">
        <v>6.84</v>
      </c>
      <c r="E14" t="s">
        <v>264</v>
      </c>
      <c r="F14">
        <v>34</v>
      </c>
      <c r="G14">
        <v>17</v>
      </c>
      <c r="H14">
        <v>6.8</v>
      </c>
      <c r="L14" t="str">
        <f t="shared" si="1"/>
        <v>HunRomBul</v>
      </c>
      <c r="M14" s="17">
        <f t="shared" si="2"/>
        <v>5.874</v>
      </c>
      <c r="N14" s="17">
        <f t="shared" si="3"/>
        <v>8.811</v>
      </c>
      <c r="S14" t="s">
        <v>52</v>
      </c>
      <c r="T14" t="str">
        <f t="shared" si="4"/>
        <v>E_Nuclear</v>
      </c>
      <c r="U14" t="str">
        <f t="shared" si="0"/>
        <v>HunRomBul</v>
      </c>
      <c r="V14" s="25"/>
    </row>
    <row r="15" spans="1:23">
      <c r="A15" t="s">
        <v>269</v>
      </c>
      <c r="B15">
        <v>1.75</v>
      </c>
      <c r="C15">
        <v>0</v>
      </c>
      <c r="E15" t="s">
        <v>265</v>
      </c>
      <c r="F15">
        <v>38.5</v>
      </c>
      <c r="G15">
        <v>19.3</v>
      </c>
      <c r="H15">
        <v>7.7</v>
      </c>
      <c r="L15" t="str">
        <f t="shared" si="1"/>
        <v>India</v>
      </c>
      <c r="M15" s="17">
        <f t="shared" si="2"/>
        <v>7.458</v>
      </c>
      <c r="N15" s="17">
        <f t="shared" si="3"/>
        <v>196</v>
      </c>
      <c r="S15" t="s">
        <v>52</v>
      </c>
      <c r="T15" t="str">
        <f t="shared" si="4"/>
        <v>E_Nuclear</v>
      </c>
      <c r="U15" t="str">
        <f t="shared" si="0"/>
        <v>India</v>
      </c>
      <c r="V15" s="25"/>
    </row>
    <row r="16" spans="1:23">
      <c r="A16" t="s">
        <v>270</v>
      </c>
      <c r="B16">
        <v>3.8</v>
      </c>
      <c r="C16">
        <v>4.19</v>
      </c>
      <c r="E16" t="s">
        <v>271</v>
      </c>
      <c r="F16">
        <v>4.4</v>
      </c>
      <c r="G16">
        <v>2.2</v>
      </c>
      <c r="H16">
        <v>0.9</v>
      </c>
      <c r="L16" t="str">
        <f t="shared" si="1"/>
        <v>Japan</v>
      </c>
      <c r="M16" s="17">
        <f t="shared" si="2"/>
        <v>36.388</v>
      </c>
      <c r="N16" s="17">
        <f t="shared" si="3"/>
        <v>54.582</v>
      </c>
      <c r="S16" t="s">
        <v>52</v>
      </c>
      <c r="T16" t="str">
        <f t="shared" si="4"/>
        <v>E_Nuclear</v>
      </c>
      <c r="U16" t="str">
        <f t="shared" si="0"/>
        <v>Japan</v>
      </c>
      <c r="V16" s="25"/>
    </row>
    <row r="17" spans="1:22">
      <c r="A17" t="s">
        <v>272</v>
      </c>
      <c r="B17">
        <v>109.61</v>
      </c>
      <c r="C17">
        <v>2.9</v>
      </c>
      <c r="E17" t="s">
        <v>266</v>
      </c>
      <c r="F17">
        <v>7.4</v>
      </c>
      <c r="G17">
        <v>3.7</v>
      </c>
      <c r="H17">
        <v>1.5</v>
      </c>
      <c r="L17" t="str">
        <f t="shared" si="1"/>
        <v>LatAm</v>
      </c>
      <c r="M17" s="17">
        <f t="shared" si="2"/>
        <v>1.925</v>
      </c>
      <c r="N17" s="17">
        <f t="shared" si="3"/>
        <v>46.1</v>
      </c>
      <c r="S17" t="s">
        <v>52</v>
      </c>
      <c r="T17" t="str">
        <f t="shared" si="4"/>
        <v>E_Nuclear</v>
      </c>
      <c r="U17" t="str">
        <f t="shared" si="0"/>
        <v>LatAm</v>
      </c>
      <c r="V17" s="25"/>
    </row>
    <row r="18" spans="1:22">
      <c r="A18" t="s">
        <v>273</v>
      </c>
      <c r="B18">
        <v>31.61</v>
      </c>
      <c r="C18">
        <v>6.6</v>
      </c>
      <c r="E18" t="s">
        <v>267</v>
      </c>
      <c r="F18">
        <v>391.9</v>
      </c>
      <c r="G18">
        <v>196</v>
      </c>
      <c r="H18">
        <v>78.4</v>
      </c>
      <c r="L18" t="str">
        <f t="shared" si="1"/>
        <v>MidEast</v>
      </c>
      <c r="M18" s="17">
        <f t="shared" si="2"/>
        <v>4.18</v>
      </c>
      <c r="N18" s="17">
        <f t="shared" si="3"/>
        <v>51.6</v>
      </c>
      <c r="S18" t="s">
        <v>52</v>
      </c>
      <c r="T18" t="str">
        <f t="shared" si="4"/>
        <v>E_Nuclear</v>
      </c>
      <c r="U18" t="str">
        <f t="shared" si="0"/>
        <v>MidEast</v>
      </c>
      <c r="V18" s="25"/>
    </row>
    <row r="19" spans="1:22">
      <c r="A19" t="s">
        <v>274</v>
      </c>
      <c r="B19">
        <v>30.71</v>
      </c>
      <c r="C19">
        <v>6.58</v>
      </c>
      <c r="E19" t="s">
        <v>275</v>
      </c>
      <c r="F19">
        <v>2.3</v>
      </c>
      <c r="G19">
        <v>1.2</v>
      </c>
      <c r="H19">
        <v>0.5</v>
      </c>
      <c r="L19" t="str">
        <f t="shared" si="1"/>
        <v>NorthAm</v>
      </c>
      <c r="M19" s="17">
        <f t="shared" si="2"/>
        <v>120.571</v>
      </c>
      <c r="N19" s="17">
        <f t="shared" si="3"/>
        <v>201.3</v>
      </c>
      <c r="S19" t="s">
        <v>52</v>
      </c>
      <c r="T19" t="str">
        <f t="shared" si="4"/>
        <v>E_Nuclear</v>
      </c>
      <c r="U19" t="str">
        <f t="shared" si="0"/>
        <v>NorthAm</v>
      </c>
      <c r="V19" s="25"/>
    </row>
    <row r="20" spans="1:22">
      <c r="A20" t="s">
        <v>276</v>
      </c>
      <c r="B20">
        <v>1.94</v>
      </c>
      <c r="C20">
        <v>0</v>
      </c>
      <c r="E20" t="s">
        <v>277</v>
      </c>
      <c r="F20">
        <v>20.5</v>
      </c>
      <c r="G20">
        <v>10.2</v>
      </c>
      <c r="H20">
        <v>4.1</v>
      </c>
      <c r="L20" t="str">
        <f t="shared" si="1"/>
        <v>ROW</v>
      </c>
      <c r="M20" s="17">
        <f t="shared" si="2"/>
        <v>34.771</v>
      </c>
      <c r="N20" s="17">
        <f t="shared" si="3"/>
        <v>160.1</v>
      </c>
      <c r="S20" t="s">
        <v>52</v>
      </c>
      <c r="T20" t="str">
        <f t="shared" si="4"/>
        <v>E_Nuclear</v>
      </c>
      <c r="U20" t="str">
        <f t="shared" si="0"/>
        <v>ROW</v>
      </c>
      <c r="V20" s="25"/>
    </row>
    <row r="21" spans="1:22">
      <c r="A21" t="s">
        <v>278</v>
      </c>
      <c r="B21">
        <v>7.12</v>
      </c>
      <c r="C21">
        <v>0</v>
      </c>
      <c r="E21" t="s">
        <v>268</v>
      </c>
      <c r="F21">
        <v>59.6</v>
      </c>
      <c r="G21">
        <v>29.8</v>
      </c>
      <c r="H21">
        <v>11.9</v>
      </c>
      <c r="L21" t="str">
        <f t="shared" si="1"/>
        <v>Russia</v>
      </c>
      <c r="M21" s="17">
        <f t="shared" si="2"/>
        <v>33.781</v>
      </c>
      <c r="N21" s="17">
        <f t="shared" si="3"/>
        <v>50.6715</v>
      </c>
      <c r="S21" t="s">
        <v>52</v>
      </c>
      <c r="T21" t="str">
        <f t="shared" si="4"/>
        <v>E_Nuclear</v>
      </c>
      <c r="U21" t="str">
        <f t="shared" si="0"/>
        <v>Russia</v>
      </c>
      <c r="V21" s="25"/>
    </row>
    <row r="22" spans="1:22">
      <c r="A22" t="s">
        <v>279</v>
      </c>
      <c r="B22">
        <v>9.69</v>
      </c>
      <c r="C22">
        <v>0</v>
      </c>
      <c r="E22" t="s">
        <v>269</v>
      </c>
      <c r="F22">
        <v>92.1</v>
      </c>
      <c r="G22">
        <v>46.1</v>
      </c>
      <c r="H22">
        <v>18.4</v>
      </c>
      <c r="L22" t="str">
        <f t="shared" si="1"/>
        <v>SouthAfrica</v>
      </c>
      <c r="M22" s="17">
        <f t="shared" si="2"/>
        <v>2.134</v>
      </c>
      <c r="N22" s="17">
        <f t="shared" si="3"/>
        <v>10.3</v>
      </c>
      <c r="S22" t="s">
        <v>52</v>
      </c>
      <c r="T22" t="str">
        <f t="shared" si="4"/>
        <v>E_Nuclear</v>
      </c>
      <c r="U22" t="str">
        <f t="shared" si="0"/>
        <v>SouthAfrica</v>
      </c>
      <c r="V22" s="25"/>
    </row>
    <row r="23" spans="1:22">
      <c r="A23" t="s">
        <v>280</v>
      </c>
      <c r="B23">
        <v>2.96</v>
      </c>
      <c r="C23">
        <v>0</v>
      </c>
      <c r="E23" t="s">
        <v>270</v>
      </c>
      <c r="F23">
        <v>103.1</v>
      </c>
      <c r="G23">
        <v>51.6</v>
      </c>
      <c r="H23">
        <v>20.6</v>
      </c>
      <c r="L23" t="str">
        <f t="shared" si="1"/>
        <v>SpainPor</v>
      </c>
      <c r="M23" s="17">
        <f t="shared" si="2"/>
        <v>7.832</v>
      </c>
      <c r="N23" s="17">
        <f t="shared" si="3"/>
        <v>11.748</v>
      </c>
      <c r="S23" t="s">
        <v>52</v>
      </c>
      <c r="T23" t="str">
        <f t="shared" si="4"/>
        <v>E_Nuclear</v>
      </c>
      <c r="U23" t="str">
        <f t="shared" si="0"/>
        <v>SpainPor</v>
      </c>
      <c r="V23" s="25"/>
    </row>
    <row r="24" spans="1:22">
      <c r="A24" t="s">
        <v>281</v>
      </c>
      <c r="B24">
        <v>0</v>
      </c>
      <c r="C24">
        <v>4.8</v>
      </c>
      <c r="E24" t="s">
        <v>272</v>
      </c>
      <c r="F24">
        <v>402.5</v>
      </c>
      <c r="G24">
        <v>201.3</v>
      </c>
      <c r="H24">
        <v>80.5</v>
      </c>
      <c r="L24" t="str">
        <f t="shared" si="1"/>
        <v>SweFinDen</v>
      </c>
      <c r="M24" s="17">
        <f t="shared" si="2"/>
        <v>10.659</v>
      </c>
      <c r="N24" s="17">
        <f t="shared" si="3"/>
        <v>15.9885</v>
      </c>
      <c r="S24" t="s">
        <v>52</v>
      </c>
      <c r="T24" t="str">
        <f t="shared" si="4"/>
        <v>E_Nuclear</v>
      </c>
      <c r="U24" t="str">
        <f t="shared" si="0"/>
        <v>SweFinDen</v>
      </c>
      <c r="V24" s="25"/>
    </row>
    <row r="25" spans="1:22">
      <c r="A25" t="s">
        <v>282</v>
      </c>
      <c r="B25">
        <v>7.83</v>
      </c>
      <c r="C25">
        <v>3.44</v>
      </c>
      <c r="E25" t="s">
        <v>283</v>
      </c>
      <c r="F25">
        <v>9.3</v>
      </c>
      <c r="G25">
        <v>4.7</v>
      </c>
      <c r="H25">
        <v>1.9</v>
      </c>
      <c r="L25" t="str">
        <f t="shared" si="1"/>
        <v>Switzerland</v>
      </c>
      <c r="M25" s="17">
        <f t="shared" si="2"/>
        <v>3.256</v>
      </c>
      <c r="N25" s="17">
        <f t="shared" si="3"/>
        <v>4.884</v>
      </c>
      <c r="S25" t="s">
        <v>52</v>
      </c>
      <c r="T25" t="str">
        <f t="shared" si="4"/>
        <v>E_Nuclear</v>
      </c>
      <c r="U25" t="str">
        <f t="shared" si="0"/>
        <v>Switzerland</v>
      </c>
      <c r="V25" s="25"/>
    </row>
    <row r="26" spans="1:22">
      <c r="A26" t="s">
        <v>284</v>
      </c>
      <c r="B26">
        <v>13.84</v>
      </c>
      <c r="C26">
        <v>0</v>
      </c>
      <c r="E26" t="s">
        <v>285</v>
      </c>
      <c r="F26">
        <v>10.6</v>
      </c>
      <c r="G26">
        <v>5.3</v>
      </c>
      <c r="H26">
        <v>2.1</v>
      </c>
      <c r="L26" t="str">
        <f t="shared" si="1"/>
        <v>Turkey</v>
      </c>
      <c r="M26" s="17">
        <f t="shared" si="2"/>
        <v>0</v>
      </c>
      <c r="N26" s="17">
        <f t="shared" si="3"/>
        <v>16.4</v>
      </c>
      <c r="S26" t="s">
        <v>52</v>
      </c>
      <c r="T26" t="str">
        <f t="shared" si="4"/>
        <v>E_Nuclear</v>
      </c>
      <c r="U26" t="str">
        <f t="shared" si="0"/>
        <v>Turkey</v>
      </c>
      <c r="V26" s="25"/>
    </row>
    <row r="27" spans="1:22">
      <c r="E27" t="s">
        <v>273</v>
      </c>
      <c r="F27">
        <v>320.2</v>
      </c>
      <c r="G27">
        <v>160.1</v>
      </c>
      <c r="H27">
        <v>64</v>
      </c>
      <c r="L27" t="str">
        <f t="shared" si="1"/>
        <v>UK</v>
      </c>
      <c r="M27" s="17">
        <f t="shared" si="2"/>
        <v>8.613</v>
      </c>
      <c r="N27" s="17">
        <f t="shared" si="3"/>
        <v>13.2</v>
      </c>
      <c r="S27" t="s">
        <v>52</v>
      </c>
      <c r="T27" t="str">
        <f t="shared" si="4"/>
        <v>E_Nuclear</v>
      </c>
      <c r="U27" t="str">
        <f t="shared" si="0"/>
        <v>UK</v>
      </c>
      <c r="V27" s="25"/>
    </row>
    <row r="28" spans="1:22">
      <c r="E28" t="s">
        <v>274</v>
      </c>
      <c r="F28">
        <v>78.5</v>
      </c>
      <c r="G28">
        <v>39.3</v>
      </c>
      <c r="H28">
        <v>15.7</v>
      </c>
      <c r="L28" t="str">
        <f t="shared" ref="L28" si="5" xml:space="preserve">IF(A26="","\I:",A26)</f>
        <v>Ukraine</v>
      </c>
      <c r="M28" s="17">
        <f t="shared" ref="M28" si="6" xml:space="preserve">B26*1.1</f>
        <v>15.224</v>
      </c>
      <c r="N28" s="17">
        <f t="shared" ref="N28" si="7" xml:space="preserve">MAX(VLOOKUP(L28,$E$4:$G$40,3,FALSE),M28*1.5)</f>
        <v>22.836</v>
      </c>
      <c r="S28" t="s">
        <v>52</v>
      </c>
      <c r="T28" t="str">
        <f t="shared" si="4"/>
        <v>E_Nuclear</v>
      </c>
      <c r="U28" t="str">
        <f t="shared" si="0"/>
        <v>Ukraine</v>
      </c>
      <c r="V28" s="25"/>
    </row>
    <row r="29" spans="1:22">
      <c r="E29" t="s">
        <v>286</v>
      </c>
      <c r="F29">
        <v>46.5</v>
      </c>
      <c r="G29">
        <v>23.3</v>
      </c>
      <c r="H29">
        <v>9.3</v>
      </c>
      <c r="M29" s="17"/>
      <c r="N29" s="17"/>
      <c r="S29" t="s">
        <v>287</v>
      </c>
      <c r="T29" t="s">
        <v>256</v>
      </c>
      <c r="U29" t="s">
        <v>251</v>
      </c>
      <c r="V29" s="25">
        <v>0.33</v>
      </c>
    </row>
    <row r="30" spans="1:22">
      <c r="E30" t="s">
        <v>276</v>
      </c>
      <c r="F30">
        <v>20.6</v>
      </c>
      <c r="G30">
        <v>10.3</v>
      </c>
      <c r="H30">
        <v>4.1</v>
      </c>
      <c r="S30" t="s">
        <v>287</v>
      </c>
      <c r="T30" t="s">
        <v>256</v>
      </c>
      <c r="U30" t="s">
        <v>253</v>
      </c>
      <c r="V30" s="25">
        <v>0.33</v>
      </c>
    </row>
    <row r="31" spans="1:22">
      <c r="E31" t="s">
        <v>278</v>
      </c>
      <c r="F31">
        <v>22.1</v>
      </c>
      <c r="G31">
        <v>11</v>
      </c>
      <c r="H31">
        <v>4.4</v>
      </c>
      <c r="S31" t="s">
        <v>287</v>
      </c>
      <c r="T31" t="s">
        <v>256</v>
      </c>
      <c r="U31" t="s">
        <v>257</v>
      </c>
      <c r="V31">
        <v>0.33</v>
      </c>
    </row>
    <row r="32" spans="1:22">
      <c r="E32" t="s">
        <v>279</v>
      </c>
      <c r="F32">
        <v>18.9</v>
      </c>
      <c r="G32">
        <v>9.5</v>
      </c>
      <c r="H32">
        <v>3.8</v>
      </c>
      <c r="M32" s="17">
        <f xml:space="preserve">SUM(M6:M29)</f>
        <v>441.661</v>
      </c>
      <c r="N32" s="17">
        <f xml:space="preserve">SUM(N6:N29)</f>
        <v>1704.8755</v>
      </c>
      <c r="S32" t="s">
        <v>287</v>
      </c>
      <c r="T32" t="s">
        <v>256</v>
      </c>
      <c r="U32" t="s">
        <v>259</v>
      </c>
      <c r="V32">
        <v>0.33</v>
      </c>
    </row>
    <row r="33" spans="5:22">
      <c r="E33" t="s">
        <v>280</v>
      </c>
      <c r="F33">
        <v>5.1</v>
      </c>
      <c r="G33">
        <v>2.6</v>
      </c>
      <c r="H33">
        <v>1</v>
      </c>
      <c r="S33" t="s">
        <v>287</v>
      </c>
      <c r="T33" t="s">
        <v>256</v>
      </c>
      <c r="U33" t="s">
        <v>261</v>
      </c>
      <c r="V33">
        <v>0.33</v>
      </c>
    </row>
    <row r="34" spans="5:22">
      <c r="E34" t="s">
        <v>281</v>
      </c>
      <c r="F34">
        <v>32.9</v>
      </c>
      <c r="G34">
        <v>16.4</v>
      </c>
      <c r="H34">
        <v>6.6</v>
      </c>
      <c r="S34" t="s">
        <v>287</v>
      </c>
      <c r="T34" t="s">
        <v>256</v>
      </c>
      <c r="U34" t="s">
        <v>263</v>
      </c>
      <c r="V34">
        <v>0.33</v>
      </c>
    </row>
    <row r="35" spans="5:22">
      <c r="E35" t="s">
        <v>282</v>
      </c>
      <c r="F35">
        <v>26.4</v>
      </c>
      <c r="G35">
        <v>13.2</v>
      </c>
      <c r="H35">
        <v>5.3</v>
      </c>
      <c r="S35" t="s">
        <v>287</v>
      </c>
      <c r="T35" t="s">
        <v>256</v>
      </c>
      <c r="U35" t="s">
        <v>264</v>
      </c>
      <c r="V35">
        <v>0.33</v>
      </c>
    </row>
    <row r="36" spans="5:22">
      <c r="E36" t="s">
        <v>284</v>
      </c>
      <c r="F36">
        <v>8.8</v>
      </c>
      <c r="G36">
        <v>4.4</v>
      </c>
      <c r="H36">
        <v>1.8</v>
      </c>
      <c r="S36" t="s">
        <v>287</v>
      </c>
      <c r="T36" t="s">
        <v>256</v>
      </c>
      <c r="U36" t="s">
        <v>265</v>
      </c>
      <c r="V36">
        <v>0.33</v>
      </c>
    </row>
    <row r="37" spans="5:22">
      <c r="E37" t="s">
        <v>288</v>
      </c>
      <c r="F37">
        <v>6.1</v>
      </c>
      <c r="G37">
        <v>3.1</v>
      </c>
      <c r="H37">
        <v>1.2</v>
      </c>
      <c r="S37" t="s">
        <v>287</v>
      </c>
      <c r="T37" t="s">
        <v>256</v>
      </c>
      <c r="U37" t="s">
        <v>266</v>
      </c>
      <c r="V37">
        <v>0.33</v>
      </c>
    </row>
    <row r="38" spans="5:22">
      <c r="S38" t="s">
        <v>287</v>
      </c>
      <c r="T38" t="s">
        <v>256</v>
      </c>
      <c r="U38" t="s">
        <v>267</v>
      </c>
      <c r="V38">
        <v>0.33</v>
      </c>
    </row>
    <row r="39" spans="5:22">
      <c r="S39" t="s">
        <v>287</v>
      </c>
      <c r="T39" t="s">
        <v>256</v>
      </c>
      <c r="U39" t="s">
        <v>268</v>
      </c>
      <c r="V39">
        <v>0.33</v>
      </c>
    </row>
    <row r="40" spans="5:22">
      <c r="S40" t="s">
        <v>287</v>
      </c>
      <c r="T40" t="s">
        <v>256</v>
      </c>
      <c r="U40" t="s">
        <v>269</v>
      </c>
      <c r="V40">
        <v>0.33</v>
      </c>
    </row>
    <row r="41" spans="5:22">
      <c r="S41" t="s">
        <v>287</v>
      </c>
      <c r="T41" t="s">
        <v>256</v>
      </c>
      <c r="U41" t="s">
        <v>270</v>
      </c>
      <c r="V41">
        <v>0.33</v>
      </c>
    </row>
    <row r="42" spans="5:22">
      <c r="S42" t="s">
        <v>287</v>
      </c>
      <c r="T42" t="s">
        <v>256</v>
      </c>
      <c r="U42" t="s">
        <v>272</v>
      </c>
      <c r="V42">
        <v>0.33</v>
      </c>
    </row>
    <row r="43" spans="5:22">
      <c r="S43" t="s">
        <v>287</v>
      </c>
      <c r="T43" t="s">
        <v>256</v>
      </c>
      <c r="U43" t="s">
        <v>273</v>
      </c>
      <c r="V43">
        <v>0.33</v>
      </c>
    </row>
    <row r="44" spans="5:22">
      <c r="S44" t="s">
        <v>287</v>
      </c>
      <c r="T44" t="s">
        <v>256</v>
      </c>
      <c r="U44" t="s">
        <v>274</v>
      </c>
      <c r="V44">
        <v>0.33</v>
      </c>
    </row>
    <row r="45" spans="5:22">
      <c r="S45" t="s">
        <v>287</v>
      </c>
      <c r="T45" t="s">
        <v>256</v>
      </c>
      <c r="U45" t="s">
        <v>276</v>
      </c>
      <c r="V45">
        <v>0.33</v>
      </c>
    </row>
    <row r="46" spans="5:22">
      <c r="S46" t="s">
        <v>287</v>
      </c>
      <c r="T46" t="s">
        <v>256</v>
      </c>
      <c r="U46" t="s">
        <v>278</v>
      </c>
      <c r="V46">
        <v>0.33</v>
      </c>
    </row>
    <row r="47" spans="5:22">
      <c r="S47" t="s">
        <v>287</v>
      </c>
      <c r="T47" t="s">
        <v>256</v>
      </c>
      <c r="U47" t="s">
        <v>279</v>
      </c>
      <c r="V47">
        <v>0.33</v>
      </c>
    </row>
    <row r="48" spans="5:22">
      <c r="S48" t="s">
        <v>287</v>
      </c>
      <c r="T48" t="s">
        <v>256</v>
      </c>
      <c r="U48" t="s">
        <v>280</v>
      </c>
      <c r="V48">
        <v>0.33</v>
      </c>
    </row>
    <row r="49" spans="19:22">
      <c r="S49" t="s">
        <v>287</v>
      </c>
      <c r="T49" t="s">
        <v>256</v>
      </c>
      <c r="U49" t="s">
        <v>281</v>
      </c>
      <c r="V49">
        <v>0.33</v>
      </c>
    </row>
    <row r="50" spans="19:22">
      <c r="S50" t="s">
        <v>287</v>
      </c>
      <c r="T50" t="s">
        <v>256</v>
      </c>
      <c r="U50" t="s">
        <v>282</v>
      </c>
      <c r="V50">
        <v>0.33</v>
      </c>
    </row>
    <row r="51" spans="19:22">
      <c r="S51" t="s">
        <v>287</v>
      </c>
      <c r="T51" t="s">
        <v>256</v>
      </c>
      <c r="U51" t="s">
        <v>284</v>
      </c>
      <c r="V51">
        <v>0.33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2"/>
  <sheetViews>
    <sheetView zoomScale="37" zoomScaleNormal="37" workbookViewId="0">
      <selection activeCell="A1" sqref="A1"/>
    </sheetView>
  </sheetViews>
  <sheetFormatPr defaultColWidth="9" defaultRowHeight="14.5"/>
  <cols>
    <col min="1" max="1" width="71.2" customWidth="1"/>
    <col min="2" max="3" width="10.4636363636364" customWidth="1"/>
    <col min="4" max="4" width="10.5272727272727" customWidth="1"/>
    <col min="5" max="5" width="10" customWidth="1"/>
    <col min="6" max="6" width="7.86363636363636" customWidth="1"/>
    <col min="7" max="7" width="7.8" customWidth="1"/>
    <col min="8" max="8" width="7.33636363636364" customWidth="1"/>
    <col min="9" max="9" width="7.52727272727273" customWidth="1"/>
    <col min="10" max="10" width="9.8" customWidth="1"/>
    <col min="11" max="11" width="7.13636363636364" customWidth="1"/>
    <col min="12" max="13" width="7.8" customWidth="1"/>
    <col min="14" max="14" width="8.8" customWidth="1"/>
    <col min="15" max="15" width="7.8" customWidth="1"/>
    <col min="16" max="16" width="7.13636363636364" customWidth="1"/>
    <col min="17" max="19" width="7.8" customWidth="1"/>
    <col min="20" max="20" width="8.46363636363636" customWidth="1"/>
    <col min="21" max="21" width="6.8" customWidth="1"/>
    <col min="22" max="22" width="7.8" customWidth="1"/>
    <col min="23" max="23" width="7.52727272727273" customWidth="1"/>
    <col min="24" max="25" width="7.8" customWidth="1"/>
    <col min="26" max="26" width="10.3363636363636" customWidth="1"/>
    <col min="27" max="27" width="6.8" customWidth="1"/>
    <col min="28" max="28" width="9.46363636363636" customWidth="1"/>
    <col min="29" max="29" width="6.8" customWidth="1"/>
    <col min="30" max="30" width="7.8" customWidth="1"/>
    <col min="31" max="31" width="10.1363636363636" customWidth="1"/>
    <col min="32" max="32" width="9.8" customWidth="1"/>
    <col min="33" max="33" width="7.8" customWidth="1"/>
    <col min="34" max="34" width="7.46363636363636" customWidth="1"/>
    <col min="35" max="35" width="6.8" customWidth="1"/>
    <col min="36" max="36" width="7.8" customWidth="1"/>
    <col min="37" max="37" width="8.8" customWidth="1"/>
    <col min="40" max="40" width="4.8" customWidth="1"/>
  </cols>
  <sheetData>
    <row r="1" spans="1:36">
      <c r="A1" t="s">
        <v>289</v>
      </c>
    </row>
    <row r="2" spans="1:36">
      <c r="A2" t="s">
        <v>290</v>
      </c>
      <c r="B2" t="s">
        <v>251</v>
      </c>
      <c r="C2" t="s">
        <v>254</v>
      </c>
      <c r="D2" t="s">
        <v>258</v>
      </c>
      <c r="E2" t="s">
        <v>260</v>
      </c>
      <c r="F2" t="s">
        <v>262</v>
      </c>
      <c r="G2" t="s">
        <v>253</v>
      </c>
      <c r="H2" t="s">
        <v>257</v>
      </c>
      <c r="I2" t="s">
        <v>259</v>
      </c>
      <c r="J2" t="s">
        <v>261</v>
      </c>
      <c r="K2" t="s">
        <v>263</v>
      </c>
      <c r="L2" t="s">
        <v>264</v>
      </c>
      <c r="M2" t="s">
        <v>265</v>
      </c>
      <c r="N2" t="s">
        <v>271</v>
      </c>
      <c r="O2" t="s">
        <v>266</v>
      </c>
      <c r="P2" t="s">
        <v>291</v>
      </c>
      <c r="Q2" t="s">
        <v>267</v>
      </c>
      <c r="R2" t="s">
        <v>275</v>
      </c>
      <c r="S2" t="s">
        <v>277</v>
      </c>
      <c r="T2" t="s">
        <v>268</v>
      </c>
      <c r="U2" t="s">
        <v>269</v>
      </c>
      <c r="V2" t="s">
        <v>270</v>
      </c>
      <c r="W2" t="s">
        <v>272</v>
      </c>
      <c r="X2" t="s">
        <v>283</v>
      </c>
      <c r="Y2" t="s">
        <v>285</v>
      </c>
      <c r="Z2" t="s">
        <v>273</v>
      </c>
      <c r="AA2" t="s">
        <v>274</v>
      </c>
      <c r="AB2" t="s">
        <v>286</v>
      </c>
      <c r="AC2" t="s">
        <v>276</v>
      </c>
      <c r="AD2" t="s">
        <v>278</v>
      </c>
      <c r="AE2" t="s">
        <v>279</v>
      </c>
      <c r="AF2" t="s">
        <v>280</v>
      </c>
      <c r="AG2" t="s">
        <v>281</v>
      </c>
      <c r="AH2" t="s">
        <v>282</v>
      </c>
      <c r="AI2" t="s">
        <v>284</v>
      </c>
      <c r="AJ2" t="s">
        <v>288</v>
      </c>
    </row>
    <row r="3" spans="1:36">
      <c r="A3" t="s">
        <v>292</v>
      </c>
      <c r="D3">
        <v>8.42</v>
      </c>
      <c r="E3">
        <v>22.28</v>
      </c>
      <c r="F3">
        <v>15.65</v>
      </c>
      <c r="G3">
        <v>93.81</v>
      </c>
      <c r="I3">
        <v>8197.59</v>
      </c>
      <c r="J3">
        <v>28.9</v>
      </c>
      <c r="K3">
        <v>43.71</v>
      </c>
      <c r="L3">
        <v>49.07</v>
      </c>
      <c r="M3">
        <v>291.13</v>
      </c>
      <c r="N3">
        <v>12.5</v>
      </c>
      <c r="O3">
        <v>66.02</v>
      </c>
      <c r="P3">
        <v>16.78</v>
      </c>
      <c r="S3">
        <v>237.38</v>
      </c>
      <c r="U3">
        <v>1.27</v>
      </c>
      <c r="V3">
        <v>10.27</v>
      </c>
      <c r="W3">
        <v>538.85</v>
      </c>
      <c r="X3">
        <v>1.7</v>
      </c>
      <c r="Y3">
        <v>462.11</v>
      </c>
      <c r="Z3">
        <v>730.98</v>
      </c>
      <c r="AA3">
        <v>2357.01</v>
      </c>
      <c r="AD3">
        <v>0.76</v>
      </c>
      <c r="AE3">
        <v>117.72</v>
      </c>
      <c r="AF3">
        <v>2.53</v>
      </c>
      <c r="AG3">
        <v>13.26</v>
      </c>
      <c r="AI3">
        <v>36.85</v>
      </c>
      <c r="AJ3">
        <v>19.04</v>
      </c>
    </row>
    <row r="4" spans="1:36">
      <c r="A4" t="s">
        <v>293</v>
      </c>
      <c r="B4">
        <v>2.76</v>
      </c>
      <c r="C4">
        <v>0.09</v>
      </c>
      <c r="D4">
        <v>46.99</v>
      </c>
      <c r="E4">
        <v>16.55</v>
      </c>
      <c r="F4">
        <v>3.2</v>
      </c>
      <c r="G4">
        <v>112.19</v>
      </c>
      <c r="H4">
        <v>302.07</v>
      </c>
      <c r="J4">
        <v>1.83</v>
      </c>
      <c r="K4">
        <v>32.65</v>
      </c>
      <c r="L4">
        <v>36.48</v>
      </c>
      <c r="M4">
        <v>116.8</v>
      </c>
      <c r="N4">
        <v>10.61</v>
      </c>
      <c r="O4">
        <v>12.77</v>
      </c>
      <c r="Q4">
        <v>145.17</v>
      </c>
      <c r="R4">
        <v>7.46</v>
      </c>
      <c r="S4">
        <v>142.24</v>
      </c>
      <c r="U4">
        <v>40.88</v>
      </c>
      <c r="V4">
        <v>11.95</v>
      </c>
      <c r="W4">
        <v>610.03</v>
      </c>
      <c r="X4">
        <v>4.77</v>
      </c>
      <c r="Y4">
        <v>50.12</v>
      </c>
      <c r="Z4">
        <v>218.17</v>
      </c>
      <c r="AA4">
        <v>225.82</v>
      </c>
      <c r="AC4">
        <v>0.22</v>
      </c>
      <c r="AD4">
        <v>100.25</v>
      </c>
      <c r="AE4">
        <v>61.97</v>
      </c>
      <c r="AF4">
        <v>10.63</v>
      </c>
      <c r="AG4">
        <v>30.7</v>
      </c>
      <c r="AH4">
        <v>125.56</v>
      </c>
      <c r="AI4">
        <v>7.19</v>
      </c>
      <c r="AJ4">
        <v>1.95</v>
      </c>
    </row>
    <row r="5" spans="1:36">
      <c r="A5" t="s">
        <v>294</v>
      </c>
      <c r="B5">
        <v>2.76</v>
      </c>
      <c r="C5">
        <v>0.09</v>
      </c>
      <c r="D5">
        <v>55.41</v>
      </c>
      <c r="E5">
        <v>38.83</v>
      </c>
      <c r="F5">
        <v>18.84</v>
      </c>
      <c r="G5">
        <v>206</v>
      </c>
      <c r="H5">
        <v>302.07</v>
      </c>
      <c r="I5">
        <v>8197.59</v>
      </c>
      <c r="J5">
        <v>30.73</v>
      </c>
      <c r="K5">
        <v>76.37</v>
      </c>
      <c r="L5">
        <v>85.54</v>
      </c>
      <c r="M5">
        <v>407.93</v>
      </c>
      <c r="N5">
        <v>23.11</v>
      </c>
      <c r="O5">
        <v>78.79</v>
      </c>
      <c r="P5">
        <v>16.78</v>
      </c>
      <c r="Q5">
        <v>145.17</v>
      </c>
      <c r="R5">
        <v>7.46</v>
      </c>
      <c r="S5">
        <v>379.62</v>
      </c>
      <c r="U5">
        <v>42.15</v>
      </c>
      <c r="V5">
        <v>22.21</v>
      </c>
      <c r="W5">
        <v>1148.88</v>
      </c>
      <c r="X5">
        <v>6.47</v>
      </c>
      <c r="Y5">
        <v>512.23</v>
      </c>
      <c r="Z5">
        <v>949.15</v>
      </c>
      <c r="AA5">
        <v>2582.82</v>
      </c>
      <c r="AC5">
        <v>0.22</v>
      </c>
      <c r="AD5">
        <v>101.01</v>
      </c>
      <c r="AE5">
        <v>179.69</v>
      </c>
      <c r="AF5">
        <v>13.16</v>
      </c>
      <c r="AG5">
        <v>43.96</v>
      </c>
      <c r="AH5">
        <v>125.56</v>
      </c>
      <c r="AI5">
        <v>44.04</v>
      </c>
      <c r="AJ5">
        <v>20.99</v>
      </c>
    </row>
    <row r="6" spans="1:36">
      <c r="A6" t="s">
        <v>295</v>
      </c>
      <c r="D6">
        <v>0</v>
      </c>
      <c r="E6">
        <v>38.39</v>
      </c>
      <c r="F6">
        <v>36.27</v>
      </c>
      <c r="G6">
        <v>59.34</v>
      </c>
      <c r="I6">
        <v>7418.86</v>
      </c>
      <c r="J6">
        <v>19.6</v>
      </c>
      <c r="K6">
        <v>91.89</v>
      </c>
      <c r="L6">
        <v>84.07</v>
      </c>
      <c r="M6">
        <v>318.83</v>
      </c>
      <c r="N6">
        <v>1.22</v>
      </c>
      <c r="O6">
        <v>83.51</v>
      </c>
      <c r="P6">
        <v>2.87</v>
      </c>
      <c r="S6">
        <v>57.14</v>
      </c>
      <c r="V6">
        <v>0</v>
      </c>
      <c r="W6">
        <v>437.62</v>
      </c>
      <c r="X6">
        <v>7.71</v>
      </c>
      <c r="Y6">
        <v>163.53</v>
      </c>
      <c r="Z6">
        <v>410.1</v>
      </c>
      <c r="AA6">
        <v>2612.31</v>
      </c>
      <c r="AD6">
        <v>0.04</v>
      </c>
      <c r="AE6">
        <v>269.78</v>
      </c>
      <c r="AF6">
        <v>5.77</v>
      </c>
      <c r="AG6">
        <v>18.09</v>
      </c>
      <c r="AI6">
        <v>54.8</v>
      </c>
      <c r="AJ6">
        <v>6.28</v>
      </c>
    </row>
    <row r="7" spans="1:36">
      <c r="A7" t="s">
        <v>296</v>
      </c>
      <c r="D7">
        <v>0</v>
      </c>
      <c r="E7">
        <v>9.86</v>
      </c>
      <c r="F7">
        <v>1.4</v>
      </c>
      <c r="G7">
        <v>37.01</v>
      </c>
      <c r="J7">
        <v>0.08</v>
      </c>
      <c r="K7">
        <v>8.49</v>
      </c>
      <c r="L7">
        <v>25.29</v>
      </c>
      <c r="N7">
        <v>0.32</v>
      </c>
      <c r="O7">
        <v>1.06</v>
      </c>
      <c r="S7">
        <v>13.59</v>
      </c>
      <c r="V7">
        <v>0</v>
      </c>
      <c r="W7">
        <v>0.1</v>
      </c>
      <c r="Y7">
        <v>17.64</v>
      </c>
      <c r="Z7">
        <v>284.4</v>
      </c>
      <c r="AA7">
        <v>542.6</v>
      </c>
      <c r="AD7">
        <v>11.5</v>
      </c>
      <c r="AE7">
        <v>53.39</v>
      </c>
      <c r="AF7">
        <v>14.54</v>
      </c>
      <c r="AG7">
        <v>21.24</v>
      </c>
      <c r="AI7">
        <v>34.75</v>
      </c>
      <c r="AJ7">
        <v>6.86</v>
      </c>
    </row>
    <row r="8" spans="1:36">
      <c r="A8" t="s">
        <v>297</v>
      </c>
      <c r="D8">
        <v>0</v>
      </c>
      <c r="E8">
        <v>48.25</v>
      </c>
      <c r="F8">
        <v>37.67</v>
      </c>
      <c r="G8">
        <v>96.35</v>
      </c>
      <c r="I8">
        <v>7418.86</v>
      </c>
      <c r="J8">
        <v>19.68</v>
      </c>
      <c r="K8">
        <v>100.38</v>
      </c>
      <c r="L8">
        <v>109.36</v>
      </c>
      <c r="M8">
        <v>318.83</v>
      </c>
      <c r="N8">
        <v>1.55</v>
      </c>
      <c r="O8">
        <v>84.56</v>
      </c>
      <c r="P8">
        <v>2.87</v>
      </c>
      <c r="S8">
        <v>70.73</v>
      </c>
      <c r="V8">
        <v>0</v>
      </c>
      <c r="W8">
        <v>437.72</v>
      </c>
      <c r="X8">
        <v>7.71</v>
      </c>
      <c r="Y8">
        <v>181.17</v>
      </c>
      <c r="Z8">
        <v>694.5</v>
      </c>
      <c r="AA8">
        <v>3154.91</v>
      </c>
      <c r="AD8">
        <v>11.54</v>
      </c>
      <c r="AE8">
        <v>323.17</v>
      </c>
      <c r="AF8">
        <v>20.31</v>
      </c>
      <c r="AG8">
        <v>39.33</v>
      </c>
      <c r="AI8">
        <v>89.55</v>
      </c>
      <c r="AJ8">
        <v>13.14</v>
      </c>
    </row>
    <row r="9" spans="1:36">
      <c r="A9" t="s">
        <v>298</v>
      </c>
      <c r="D9">
        <v>0</v>
      </c>
      <c r="E9">
        <v>1.72</v>
      </c>
      <c r="F9">
        <v>2.32</v>
      </c>
      <c r="G9">
        <v>0.63</v>
      </c>
      <c r="I9">
        <v>0.91</v>
      </c>
      <c r="J9">
        <v>0.68</v>
      </c>
      <c r="K9">
        <v>2.1</v>
      </c>
      <c r="L9">
        <v>1.71</v>
      </c>
      <c r="M9">
        <v>1.1</v>
      </c>
      <c r="N9">
        <v>0.1</v>
      </c>
      <c r="O9">
        <v>1.26</v>
      </c>
      <c r="P9">
        <v>0.17</v>
      </c>
      <c r="S9">
        <v>0.24</v>
      </c>
      <c r="V9">
        <v>0</v>
      </c>
      <c r="W9">
        <v>0.81</v>
      </c>
      <c r="X9">
        <v>4.53</v>
      </c>
      <c r="Y9">
        <v>0.35</v>
      </c>
      <c r="Z9">
        <v>0.56</v>
      </c>
      <c r="AA9">
        <v>1.11</v>
      </c>
      <c r="AD9">
        <v>0.05</v>
      </c>
      <c r="AE9">
        <v>2.29</v>
      </c>
      <c r="AF9">
        <v>2.28</v>
      </c>
      <c r="AG9">
        <v>1.36</v>
      </c>
      <c r="AI9">
        <v>1.49</v>
      </c>
      <c r="AJ9">
        <v>0.33</v>
      </c>
    </row>
    <row r="10" spans="1:36">
      <c r="A10" t="s">
        <v>299</v>
      </c>
      <c r="D10">
        <v>0</v>
      </c>
      <c r="E10">
        <v>0.6</v>
      </c>
      <c r="F10">
        <v>0.44</v>
      </c>
      <c r="G10">
        <v>0.33</v>
      </c>
      <c r="J10">
        <v>0.04</v>
      </c>
      <c r="K10">
        <v>0.26</v>
      </c>
      <c r="L10">
        <v>0.69</v>
      </c>
      <c r="N10">
        <v>0.03</v>
      </c>
      <c r="O10">
        <v>0.08</v>
      </c>
      <c r="S10">
        <v>0.1</v>
      </c>
      <c r="V10">
        <v>0</v>
      </c>
      <c r="W10">
        <v>0</v>
      </c>
      <c r="Y10">
        <v>0.35</v>
      </c>
      <c r="Z10">
        <v>1.3</v>
      </c>
      <c r="AA10">
        <v>2.4</v>
      </c>
      <c r="AD10">
        <v>0.11</v>
      </c>
      <c r="AE10">
        <v>0.86</v>
      </c>
      <c r="AF10">
        <v>1.37</v>
      </c>
      <c r="AG10">
        <v>0.69</v>
      </c>
      <c r="AI10">
        <v>4.83</v>
      </c>
      <c r="AJ10">
        <v>3.52</v>
      </c>
    </row>
    <row r="11" spans="1:36">
      <c r="A11" t="s">
        <v>300</v>
      </c>
      <c r="D11">
        <v>0</v>
      </c>
      <c r="E11">
        <v>1.24</v>
      </c>
      <c r="F11">
        <v>2</v>
      </c>
      <c r="G11">
        <v>0.47</v>
      </c>
      <c r="I11">
        <v>0.91</v>
      </c>
      <c r="J11">
        <v>0.64</v>
      </c>
      <c r="K11">
        <v>1.31</v>
      </c>
      <c r="L11">
        <v>1.28</v>
      </c>
      <c r="M11">
        <v>0.78</v>
      </c>
      <c r="N11">
        <v>0.07</v>
      </c>
      <c r="O11">
        <v>1.07</v>
      </c>
      <c r="P11">
        <v>0.17</v>
      </c>
      <c r="S11">
        <v>0.19</v>
      </c>
      <c r="V11">
        <v>0</v>
      </c>
      <c r="W11">
        <v>0.38</v>
      </c>
      <c r="X11">
        <v>1.19</v>
      </c>
      <c r="Y11">
        <v>0.35</v>
      </c>
      <c r="Z11">
        <v>0.73</v>
      </c>
      <c r="AA11">
        <v>1.22</v>
      </c>
      <c r="AD11">
        <v>0.11</v>
      </c>
      <c r="AE11">
        <v>1.8</v>
      </c>
      <c r="AF11">
        <v>1.54</v>
      </c>
      <c r="AG11">
        <v>0.89</v>
      </c>
      <c r="AI11">
        <v>2.03</v>
      </c>
      <c r="AJ11">
        <v>0.63</v>
      </c>
    </row>
    <row r="12" spans="1:36">
      <c r="A12" t="s">
        <v>301</v>
      </c>
      <c r="B12">
        <v>0.19</v>
      </c>
      <c r="C12">
        <v>0</v>
      </c>
      <c r="D12">
        <v>5.68</v>
      </c>
      <c r="E12">
        <v>16.68</v>
      </c>
      <c r="F12">
        <v>28.87</v>
      </c>
      <c r="G12">
        <v>26.38</v>
      </c>
      <c r="H12">
        <v>12.4</v>
      </c>
      <c r="I12">
        <v>25.58</v>
      </c>
      <c r="J12">
        <v>31.07</v>
      </c>
      <c r="K12">
        <v>19.22</v>
      </c>
      <c r="L12">
        <v>5.08</v>
      </c>
      <c r="M12">
        <v>19.78</v>
      </c>
      <c r="N12">
        <v>11.11</v>
      </c>
      <c r="O12">
        <v>15.43</v>
      </c>
      <c r="P12">
        <v>23.17</v>
      </c>
      <c r="Q12">
        <v>2.21</v>
      </c>
      <c r="R12">
        <v>6.13</v>
      </c>
      <c r="S12">
        <v>37.08</v>
      </c>
      <c r="U12">
        <v>1.4</v>
      </c>
      <c r="V12">
        <v>0.61</v>
      </c>
      <c r="W12">
        <v>5.81</v>
      </c>
      <c r="X12">
        <v>1.24</v>
      </c>
      <c r="Y12">
        <v>79.65</v>
      </c>
      <c r="Z12">
        <v>8.08</v>
      </c>
      <c r="AA12">
        <v>60.36</v>
      </c>
      <c r="AC12">
        <v>0.03</v>
      </c>
      <c r="AD12">
        <v>8.39</v>
      </c>
      <c r="AE12">
        <v>17.82</v>
      </c>
      <c r="AF12">
        <v>5.92</v>
      </c>
      <c r="AG12">
        <v>3.72</v>
      </c>
      <c r="AH12">
        <v>10.78</v>
      </c>
      <c r="AI12">
        <v>10.54</v>
      </c>
      <c r="AJ12">
        <v>8.5</v>
      </c>
    </row>
    <row r="13" spans="1:36">
      <c r="A13" t="s">
        <v>302</v>
      </c>
      <c r="B13">
        <v>1432.93</v>
      </c>
      <c r="C13">
        <v>2330.8</v>
      </c>
      <c r="D13">
        <v>974.94</v>
      </c>
      <c r="E13">
        <v>232.8</v>
      </c>
      <c r="F13">
        <v>65.27</v>
      </c>
      <c r="G13">
        <v>781.03</v>
      </c>
      <c r="H13">
        <v>2436.83</v>
      </c>
      <c r="I13">
        <v>32042.76</v>
      </c>
      <c r="J13">
        <v>98.89</v>
      </c>
      <c r="K13">
        <v>397.33</v>
      </c>
      <c r="L13">
        <v>1685.32</v>
      </c>
      <c r="M13">
        <v>2062.79</v>
      </c>
      <c r="N13">
        <v>208.06</v>
      </c>
      <c r="O13">
        <v>510.71</v>
      </c>
      <c r="P13">
        <v>72.43</v>
      </c>
      <c r="Q13">
        <v>6558.72</v>
      </c>
      <c r="R13">
        <v>121.67</v>
      </c>
      <c r="S13">
        <v>1023.7</v>
      </c>
      <c r="T13">
        <v>3631.3</v>
      </c>
      <c r="U13">
        <v>3005.89</v>
      </c>
      <c r="V13">
        <v>3625.06</v>
      </c>
      <c r="W13">
        <v>19785.88</v>
      </c>
      <c r="X13">
        <v>522.5</v>
      </c>
      <c r="Y13">
        <v>643.09</v>
      </c>
      <c r="Z13">
        <v>11745.45</v>
      </c>
      <c r="AA13">
        <v>4278.75</v>
      </c>
      <c r="AB13">
        <v>1508.46</v>
      </c>
      <c r="AC13">
        <v>839.13</v>
      </c>
      <c r="AD13">
        <v>1204.01</v>
      </c>
      <c r="AE13">
        <v>1008.51</v>
      </c>
      <c r="AF13">
        <v>222.21</v>
      </c>
      <c r="AG13">
        <v>1182.17</v>
      </c>
      <c r="AH13">
        <v>1164.78</v>
      </c>
      <c r="AI13">
        <v>417.73</v>
      </c>
      <c r="AJ13">
        <v>246.83</v>
      </c>
    </row>
    <row r="17" spans="1:36">
      <c r="A17" t="s">
        <v>303</v>
      </c>
    </row>
    <row r="18" spans="1:36">
      <c r="A18" t="s">
        <v>290</v>
      </c>
      <c r="B18" t="s">
        <v>251</v>
      </c>
      <c r="C18" t="s">
        <v>254</v>
      </c>
      <c r="D18" t="s">
        <v>258</v>
      </c>
      <c r="E18" t="s">
        <v>260</v>
      </c>
      <c r="F18" t="s">
        <v>262</v>
      </c>
      <c r="G18" t="s">
        <v>253</v>
      </c>
      <c r="H18" t="s">
        <v>257</v>
      </c>
      <c r="I18" t="s">
        <v>259</v>
      </c>
      <c r="J18" t="s">
        <v>261</v>
      </c>
      <c r="K18" t="s">
        <v>263</v>
      </c>
      <c r="L18" t="s">
        <v>264</v>
      </c>
      <c r="M18" t="s">
        <v>265</v>
      </c>
      <c r="N18" t="s">
        <v>271</v>
      </c>
      <c r="O18" t="s">
        <v>266</v>
      </c>
      <c r="P18" t="s">
        <v>291</v>
      </c>
      <c r="Q18" t="s">
        <v>267</v>
      </c>
      <c r="R18" t="s">
        <v>275</v>
      </c>
      <c r="S18" t="s">
        <v>277</v>
      </c>
      <c r="T18" t="s">
        <v>268</v>
      </c>
      <c r="U18" t="s">
        <v>269</v>
      </c>
      <c r="V18" t="s">
        <v>270</v>
      </c>
      <c r="W18" t="s">
        <v>272</v>
      </c>
      <c r="X18" t="s">
        <v>283</v>
      </c>
      <c r="Y18" t="s">
        <v>285</v>
      </c>
      <c r="Z18" t="s">
        <v>273</v>
      </c>
      <c r="AA18" t="s">
        <v>274</v>
      </c>
      <c r="AB18" t="s">
        <v>286</v>
      </c>
      <c r="AC18" t="s">
        <v>276</v>
      </c>
      <c r="AD18" t="s">
        <v>278</v>
      </c>
      <c r="AE18" t="s">
        <v>279</v>
      </c>
      <c r="AF18" t="s">
        <v>280</v>
      </c>
      <c r="AG18" t="s">
        <v>281</v>
      </c>
      <c r="AH18" t="s">
        <v>282</v>
      </c>
      <c r="AI18" t="s">
        <v>284</v>
      </c>
      <c r="AJ18" t="s">
        <v>288</v>
      </c>
    </row>
    <row r="19" spans="1:36">
      <c r="A19" t="s">
        <v>304</v>
      </c>
      <c r="B19">
        <v>251.01</v>
      </c>
      <c r="C19">
        <v>380.17</v>
      </c>
      <c r="D19">
        <v>48.01</v>
      </c>
      <c r="E19">
        <v>11.68</v>
      </c>
      <c r="F19">
        <v>8.77</v>
      </c>
      <c r="G19">
        <v>30.15</v>
      </c>
      <c r="H19">
        <v>374.38</v>
      </c>
      <c r="I19">
        <v>1102.64</v>
      </c>
      <c r="J19">
        <v>9.02</v>
      </c>
      <c r="K19">
        <v>17.05</v>
      </c>
      <c r="L19">
        <v>126.83</v>
      </c>
      <c r="M19">
        <v>94.75</v>
      </c>
      <c r="N19">
        <v>21.15</v>
      </c>
      <c r="O19">
        <v>38.71</v>
      </c>
      <c r="P19">
        <v>1.94</v>
      </c>
      <c r="Q19">
        <v>977.62</v>
      </c>
      <c r="R19">
        <v>8.86</v>
      </c>
      <c r="S19">
        <v>69.61</v>
      </c>
      <c r="T19">
        <v>150.1</v>
      </c>
      <c r="U19">
        <v>397.59</v>
      </c>
      <c r="V19">
        <v>551.53</v>
      </c>
      <c r="W19">
        <v>981.03</v>
      </c>
      <c r="X19">
        <v>23.97</v>
      </c>
      <c r="Y19">
        <v>37.54</v>
      </c>
      <c r="Z19">
        <v>761.13</v>
      </c>
      <c r="AA19">
        <v>364.29</v>
      </c>
      <c r="AB19">
        <v>136.79</v>
      </c>
      <c r="AC19">
        <v>85.96</v>
      </c>
      <c r="AD19">
        <v>108.47</v>
      </c>
      <c r="AE19">
        <v>52.18</v>
      </c>
      <c r="AF19">
        <v>17.6</v>
      </c>
      <c r="AG19">
        <v>104.64</v>
      </c>
      <c r="AH19">
        <v>99.95</v>
      </c>
      <c r="AI19">
        <v>42.48</v>
      </c>
      <c r="AJ19">
        <v>27.91</v>
      </c>
    </row>
    <row r="20" spans="1:36">
      <c r="A20" t="s">
        <v>305</v>
      </c>
      <c r="B20">
        <v>62.73</v>
      </c>
      <c r="C20">
        <v>81.77</v>
      </c>
      <c r="D20">
        <v>48.31</v>
      </c>
      <c r="E20">
        <v>7.95</v>
      </c>
      <c r="F20">
        <v>6.94</v>
      </c>
      <c r="G20">
        <v>28.56</v>
      </c>
      <c r="H20">
        <v>20.84</v>
      </c>
      <c r="I20">
        <v>2090.08</v>
      </c>
      <c r="J20">
        <v>4.86</v>
      </c>
      <c r="K20">
        <v>33.11</v>
      </c>
      <c r="L20">
        <v>75.06</v>
      </c>
      <c r="M20">
        <v>103.71</v>
      </c>
      <c r="N20">
        <v>4.74</v>
      </c>
      <c r="O20">
        <v>41.51</v>
      </c>
      <c r="P20">
        <v>1.45</v>
      </c>
      <c r="Q20">
        <v>509.64</v>
      </c>
      <c r="R20">
        <v>3.63</v>
      </c>
      <c r="S20">
        <v>33.83</v>
      </c>
      <c r="T20">
        <v>150.27</v>
      </c>
      <c r="U20">
        <v>77.09</v>
      </c>
      <c r="V20">
        <v>132.55</v>
      </c>
      <c r="W20">
        <v>766.87</v>
      </c>
      <c r="X20">
        <v>2.35</v>
      </c>
      <c r="Y20">
        <v>45.56</v>
      </c>
      <c r="Z20">
        <v>471.58</v>
      </c>
      <c r="AA20">
        <v>268.67</v>
      </c>
      <c r="AB20">
        <v>66.99</v>
      </c>
      <c r="AC20">
        <v>44.96</v>
      </c>
      <c r="AD20">
        <v>35.74</v>
      </c>
      <c r="AE20">
        <v>26</v>
      </c>
      <c r="AF20">
        <v>5.61</v>
      </c>
      <c r="AG20">
        <v>55.66</v>
      </c>
      <c r="AH20">
        <v>17.28</v>
      </c>
      <c r="AI20">
        <v>29.78</v>
      </c>
      <c r="AJ20">
        <v>16.57</v>
      </c>
    </row>
    <row r="21" spans="1:36">
      <c r="A21" t="s">
        <v>306</v>
      </c>
      <c r="B21">
        <v>313.75</v>
      </c>
      <c r="C21">
        <v>461.95</v>
      </c>
      <c r="D21">
        <v>96.32</v>
      </c>
      <c r="E21">
        <v>19.63</v>
      </c>
      <c r="F21">
        <v>15.71</v>
      </c>
      <c r="G21">
        <v>58.7</v>
      </c>
      <c r="H21">
        <v>395.22</v>
      </c>
      <c r="I21">
        <v>3192.72</v>
      </c>
      <c r="J21">
        <v>13.88</v>
      </c>
      <c r="K21">
        <v>50.16</v>
      </c>
      <c r="L21">
        <v>201.89</v>
      </c>
      <c r="M21">
        <v>198.46</v>
      </c>
      <c r="N21">
        <v>25.88</v>
      </c>
      <c r="O21">
        <v>80.22</v>
      </c>
      <c r="P21">
        <v>3.39</v>
      </c>
      <c r="Q21">
        <v>1487.26</v>
      </c>
      <c r="R21">
        <v>12.49</v>
      </c>
      <c r="S21">
        <v>103.44</v>
      </c>
      <c r="T21">
        <v>300.37</v>
      </c>
      <c r="U21">
        <v>474.67</v>
      </c>
      <c r="V21">
        <v>684.09</v>
      </c>
      <c r="W21">
        <v>1747.89</v>
      </c>
      <c r="X21">
        <v>26.32</v>
      </c>
      <c r="Y21">
        <v>83.1</v>
      </c>
      <c r="Z21">
        <v>1232.71</v>
      </c>
      <c r="AA21">
        <v>632.96</v>
      </c>
      <c r="AB21">
        <v>203.78</v>
      </c>
      <c r="AC21">
        <v>130.92</v>
      </c>
      <c r="AD21">
        <v>144.21</v>
      </c>
      <c r="AE21">
        <v>78.18</v>
      </c>
      <c r="AF21">
        <v>23.21</v>
      </c>
      <c r="AG21">
        <v>160.3</v>
      </c>
      <c r="AH21">
        <v>117.22</v>
      </c>
      <c r="AI21">
        <v>72.26</v>
      </c>
      <c r="AJ21">
        <v>44.48</v>
      </c>
    </row>
    <row r="22" spans="1:36">
      <c r="A22" t="s">
        <v>302</v>
      </c>
      <c r="B22">
        <v>1432.93</v>
      </c>
      <c r="C22">
        <v>2330.8</v>
      </c>
      <c r="D22">
        <v>974.94</v>
      </c>
      <c r="E22">
        <v>232.8</v>
      </c>
      <c r="F22">
        <v>65.27</v>
      </c>
      <c r="G22">
        <v>781.03</v>
      </c>
      <c r="H22">
        <v>2436.83</v>
      </c>
      <c r="I22">
        <v>32042.76</v>
      </c>
      <c r="J22">
        <v>98.89</v>
      </c>
      <c r="K22">
        <v>397.33</v>
      </c>
      <c r="L22">
        <v>1685.32</v>
      </c>
      <c r="M22">
        <v>2062.79</v>
      </c>
      <c r="N22">
        <v>208.06</v>
      </c>
      <c r="O22">
        <v>510.71</v>
      </c>
      <c r="P22">
        <v>72.43</v>
      </c>
      <c r="Q22">
        <v>6558.72</v>
      </c>
      <c r="R22">
        <v>121.67</v>
      </c>
      <c r="S22">
        <v>1023.7</v>
      </c>
      <c r="T22">
        <v>3631.3</v>
      </c>
      <c r="U22">
        <v>3005.89</v>
      </c>
      <c r="V22">
        <v>3625.06</v>
      </c>
      <c r="W22">
        <v>19785.88</v>
      </c>
      <c r="X22">
        <v>522.5</v>
      </c>
      <c r="Y22">
        <v>643.09</v>
      </c>
      <c r="Z22">
        <v>11745.45</v>
      </c>
      <c r="AA22">
        <v>4278.75</v>
      </c>
      <c r="AB22">
        <v>1508.46</v>
      </c>
      <c r="AC22">
        <v>839.13</v>
      </c>
      <c r="AD22">
        <v>1204.01</v>
      </c>
      <c r="AE22">
        <v>1008.51</v>
      </c>
      <c r="AF22">
        <v>222.21</v>
      </c>
      <c r="AG22">
        <v>1182.17</v>
      </c>
      <c r="AH22">
        <v>1164.78</v>
      </c>
      <c r="AI22">
        <v>417.73</v>
      </c>
      <c r="AJ22">
        <v>246.83</v>
      </c>
    </row>
    <row r="23" spans="1:36">
      <c r="A23" t="s">
        <v>307</v>
      </c>
      <c r="B23">
        <v>17.52</v>
      </c>
      <c r="C23">
        <v>16.31</v>
      </c>
      <c r="D23">
        <v>4.92</v>
      </c>
      <c r="E23">
        <v>5.02</v>
      </c>
      <c r="F23">
        <v>13.43</v>
      </c>
      <c r="G23">
        <v>3.86</v>
      </c>
      <c r="H23">
        <v>15.36</v>
      </c>
      <c r="I23">
        <v>3.44</v>
      </c>
      <c r="J23">
        <v>9.12</v>
      </c>
      <c r="K23">
        <v>4.29</v>
      </c>
      <c r="L23">
        <v>7.53</v>
      </c>
      <c r="M23">
        <v>4.59</v>
      </c>
      <c r="N23">
        <v>10.16</v>
      </c>
      <c r="O23">
        <v>7.58</v>
      </c>
      <c r="P23">
        <v>2.68</v>
      </c>
      <c r="Q23">
        <v>14.91</v>
      </c>
      <c r="R23">
        <v>7.29</v>
      </c>
      <c r="S23">
        <v>6.8</v>
      </c>
      <c r="T23">
        <v>4.13</v>
      </c>
      <c r="U23">
        <v>13.23</v>
      </c>
      <c r="V23">
        <v>15.21</v>
      </c>
      <c r="W23">
        <v>4.96</v>
      </c>
      <c r="X23">
        <v>4.59</v>
      </c>
      <c r="Y23">
        <v>5.84</v>
      </c>
      <c r="Z23">
        <v>6.48</v>
      </c>
      <c r="AA23">
        <v>8.51</v>
      </c>
      <c r="AB23">
        <v>9.07</v>
      </c>
      <c r="AC23">
        <v>10.24</v>
      </c>
      <c r="AD23">
        <v>9.01</v>
      </c>
      <c r="AE23">
        <v>5.17</v>
      </c>
      <c r="AF23">
        <v>7.92</v>
      </c>
      <c r="AG23">
        <v>8.85</v>
      </c>
      <c r="AH23">
        <v>8.58</v>
      </c>
      <c r="AI23">
        <v>10.17</v>
      </c>
      <c r="AJ23">
        <v>11.31</v>
      </c>
    </row>
    <row r="24" spans="1:36">
      <c r="A24" t="s">
        <v>308</v>
      </c>
      <c r="B24">
        <v>4.38</v>
      </c>
      <c r="C24">
        <v>3.51</v>
      </c>
      <c r="D24">
        <v>4.96</v>
      </c>
      <c r="E24">
        <v>3.42</v>
      </c>
      <c r="F24">
        <v>10.64</v>
      </c>
      <c r="G24">
        <v>3.66</v>
      </c>
      <c r="H24">
        <v>0.86</v>
      </c>
      <c r="I24">
        <v>6.52</v>
      </c>
      <c r="J24">
        <v>4.91</v>
      </c>
      <c r="K24">
        <v>8.33</v>
      </c>
      <c r="L24">
        <v>4.45</v>
      </c>
      <c r="M24">
        <v>5.03</v>
      </c>
      <c r="N24">
        <v>2.28</v>
      </c>
      <c r="O24">
        <v>8.13</v>
      </c>
      <c r="P24">
        <v>2</v>
      </c>
      <c r="Q24">
        <v>7.77</v>
      </c>
      <c r="R24">
        <v>2.98</v>
      </c>
      <c r="S24">
        <v>3.3</v>
      </c>
      <c r="T24">
        <v>4.14</v>
      </c>
      <c r="U24">
        <v>2.56</v>
      </c>
      <c r="V24">
        <v>3.66</v>
      </c>
      <c r="W24">
        <v>3.88</v>
      </c>
      <c r="X24">
        <v>0.45</v>
      </c>
      <c r="Y24">
        <v>7.08</v>
      </c>
      <c r="Z24">
        <v>4.01</v>
      </c>
      <c r="AA24">
        <v>6.28</v>
      </c>
      <c r="AB24">
        <v>4.44</v>
      </c>
      <c r="AC24">
        <v>5.36</v>
      </c>
      <c r="AD24">
        <v>2.97</v>
      </c>
      <c r="AE24">
        <v>2.58</v>
      </c>
      <c r="AF24">
        <v>2.52</v>
      </c>
      <c r="AG24">
        <v>4.71</v>
      </c>
      <c r="AH24">
        <v>1.48</v>
      </c>
      <c r="AI24">
        <v>7.13</v>
      </c>
      <c r="AJ24">
        <v>6.71</v>
      </c>
    </row>
    <row r="25" spans="1:36">
      <c r="A25" t="s">
        <v>309</v>
      </c>
      <c r="B25">
        <v>21.9</v>
      </c>
      <c r="C25">
        <v>19.82</v>
      </c>
      <c r="D25">
        <v>9.88</v>
      </c>
      <c r="E25">
        <v>8.43</v>
      </c>
      <c r="F25">
        <v>24.07</v>
      </c>
      <c r="G25">
        <v>7.52</v>
      </c>
      <c r="H25">
        <v>16.22</v>
      </c>
      <c r="I25">
        <v>9.96</v>
      </c>
      <c r="J25">
        <v>14.03</v>
      </c>
      <c r="K25">
        <v>12.62</v>
      </c>
      <c r="L25">
        <v>11.98</v>
      </c>
      <c r="M25">
        <v>9.62</v>
      </c>
      <c r="N25">
        <v>12.44</v>
      </c>
      <c r="O25">
        <v>15.71</v>
      </c>
      <c r="P25">
        <v>4.68</v>
      </c>
      <c r="Q25">
        <v>22.68</v>
      </c>
      <c r="R25">
        <v>10.27</v>
      </c>
      <c r="S25">
        <v>10.1</v>
      </c>
      <c r="T25">
        <v>8.27</v>
      </c>
      <c r="U25">
        <v>15.79</v>
      </c>
      <c r="V25">
        <v>18.87</v>
      </c>
      <c r="W25">
        <v>8.83</v>
      </c>
      <c r="X25">
        <v>5.04</v>
      </c>
      <c r="Y25">
        <v>12.92</v>
      </c>
      <c r="Z25">
        <v>10.5</v>
      </c>
      <c r="AA25">
        <v>14.79</v>
      </c>
      <c r="AB25">
        <v>13.51</v>
      </c>
      <c r="AC25">
        <v>15.6</v>
      </c>
      <c r="AD25">
        <v>11.98</v>
      </c>
      <c r="AE25">
        <v>7.75</v>
      </c>
      <c r="AF25">
        <v>10.44</v>
      </c>
      <c r="AG25">
        <v>13.56</v>
      </c>
      <c r="AH25">
        <v>10.06</v>
      </c>
      <c r="AI25">
        <v>17.3</v>
      </c>
      <c r="AJ25">
        <v>18.02</v>
      </c>
    </row>
    <row r="27" spans="1:36">
      <c r="A27" t="s">
        <v>310</v>
      </c>
      <c r="D27">
        <v>0</v>
      </c>
      <c r="E27">
        <v>12.04</v>
      </c>
      <c r="F27">
        <v>9.88</v>
      </c>
      <c r="G27">
        <v>9.83</v>
      </c>
      <c r="I27">
        <v>61.81</v>
      </c>
      <c r="J27">
        <v>2.9</v>
      </c>
      <c r="K27">
        <v>8.88</v>
      </c>
      <c r="L27">
        <v>17.41</v>
      </c>
      <c r="M27">
        <v>43.43</v>
      </c>
      <c r="N27">
        <v>0.36</v>
      </c>
      <c r="O27">
        <v>19.24</v>
      </c>
      <c r="P27">
        <v>3.41</v>
      </c>
      <c r="S27">
        <v>8.16</v>
      </c>
      <c r="W27">
        <v>50.27</v>
      </c>
      <c r="X27">
        <v>2.77</v>
      </c>
      <c r="Y27">
        <v>26.62</v>
      </c>
      <c r="Z27">
        <v>57.54</v>
      </c>
      <c r="AA27">
        <v>563.99</v>
      </c>
      <c r="AE27">
        <v>63.58</v>
      </c>
      <c r="AF27">
        <v>2.35</v>
      </c>
      <c r="AI27">
        <v>29.97</v>
      </c>
      <c r="AJ27">
        <v>3.32</v>
      </c>
    </row>
    <row r="28" spans="1:36">
      <c r="A28" t="s">
        <v>311</v>
      </c>
      <c r="D28">
        <v>0</v>
      </c>
      <c r="F28">
        <v>1.4</v>
      </c>
      <c r="G28">
        <v>0</v>
      </c>
      <c r="I28">
        <v>102.25</v>
      </c>
      <c r="J28">
        <v>2.53</v>
      </c>
      <c r="K28">
        <v>20.13</v>
      </c>
      <c r="O28">
        <v>9.94</v>
      </c>
      <c r="S28">
        <v>0.21</v>
      </c>
      <c r="W28">
        <v>83.78</v>
      </c>
      <c r="X28">
        <v>0.53</v>
      </c>
      <c r="Y28">
        <v>5.25</v>
      </c>
      <c r="Z28">
        <v>39.7</v>
      </c>
      <c r="AE28">
        <v>0.91</v>
      </c>
      <c r="AI28">
        <v>17.24</v>
      </c>
      <c r="AJ28">
        <v>1.44</v>
      </c>
    </row>
    <row r="29" spans="1:36">
      <c r="A29" t="s">
        <v>312</v>
      </c>
      <c r="D29">
        <v>0</v>
      </c>
      <c r="E29">
        <v>12.04</v>
      </c>
      <c r="F29">
        <v>11.28</v>
      </c>
      <c r="G29">
        <v>9.83</v>
      </c>
      <c r="I29">
        <v>164.05</v>
      </c>
      <c r="J29">
        <v>5.43</v>
      </c>
      <c r="K29">
        <v>29.01</v>
      </c>
      <c r="L29">
        <v>17.41</v>
      </c>
      <c r="M29">
        <v>43.43</v>
      </c>
      <c r="N29">
        <v>0.36</v>
      </c>
      <c r="O29">
        <v>29.18</v>
      </c>
      <c r="P29">
        <v>3.41</v>
      </c>
      <c r="S29">
        <v>8.38</v>
      </c>
      <c r="W29">
        <v>134.05</v>
      </c>
      <c r="X29">
        <v>3.31</v>
      </c>
      <c r="Y29">
        <v>31.88</v>
      </c>
      <c r="Z29">
        <v>97.23</v>
      </c>
      <c r="AA29">
        <v>563.99</v>
      </c>
      <c r="AE29">
        <v>64.49</v>
      </c>
      <c r="AF29">
        <v>2.35</v>
      </c>
      <c r="AI29">
        <v>47.21</v>
      </c>
      <c r="AJ29">
        <v>4.75</v>
      </c>
    </row>
    <row r="30" spans="1:36">
      <c r="A30" t="s">
        <v>313</v>
      </c>
      <c r="B30">
        <v>3.14</v>
      </c>
      <c r="C30">
        <v>0.39</v>
      </c>
      <c r="D30">
        <v>0</v>
      </c>
      <c r="E30">
        <v>82.28</v>
      </c>
      <c r="F30">
        <v>80.74</v>
      </c>
      <c r="G30">
        <v>95.4</v>
      </c>
      <c r="H30">
        <v>4.04</v>
      </c>
      <c r="I30">
        <v>8329.62</v>
      </c>
      <c r="J30">
        <v>23.36</v>
      </c>
      <c r="K30">
        <v>137.38</v>
      </c>
      <c r="L30">
        <v>178.46</v>
      </c>
      <c r="M30">
        <v>428.91</v>
      </c>
      <c r="N30">
        <v>1.55</v>
      </c>
      <c r="O30">
        <v>129.46</v>
      </c>
      <c r="P30">
        <v>35.81</v>
      </c>
      <c r="S30">
        <v>85.74</v>
      </c>
      <c r="T30">
        <v>21.54</v>
      </c>
      <c r="V30">
        <v>0</v>
      </c>
      <c r="W30">
        <v>443.9</v>
      </c>
      <c r="X30">
        <v>13.74</v>
      </c>
      <c r="Y30">
        <v>285.36</v>
      </c>
      <c r="Z30">
        <v>966.43</v>
      </c>
      <c r="AA30">
        <v>5742.94</v>
      </c>
      <c r="AD30">
        <v>11.54</v>
      </c>
      <c r="AE30">
        <v>465.2</v>
      </c>
      <c r="AF30">
        <v>24</v>
      </c>
      <c r="AG30">
        <v>60.29</v>
      </c>
      <c r="AH30">
        <v>64.91</v>
      </c>
      <c r="AI30">
        <v>270.13</v>
      </c>
      <c r="AJ30">
        <v>39.25</v>
      </c>
    </row>
    <row r="31" spans="1:36">
      <c r="A31" t="s">
        <v>314</v>
      </c>
      <c r="E31">
        <v>14.63</v>
      </c>
      <c r="F31">
        <v>13.98</v>
      </c>
      <c r="G31">
        <v>10.31</v>
      </c>
      <c r="I31">
        <v>1.97</v>
      </c>
      <c r="J31">
        <v>23.25</v>
      </c>
      <c r="K31">
        <v>21.12</v>
      </c>
      <c r="L31">
        <v>9.76</v>
      </c>
      <c r="M31">
        <v>10.13</v>
      </c>
      <c r="N31">
        <v>23.32</v>
      </c>
      <c r="O31">
        <v>22.54</v>
      </c>
      <c r="P31">
        <v>9.51</v>
      </c>
      <c r="S31">
        <v>9.77</v>
      </c>
      <c r="W31">
        <v>30.2</v>
      </c>
      <c r="X31">
        <v>24.09</v>
      </c>
      <c r="Y31">
        <v>11.17</v>
      </c>
      <c r="Z31">
        <v>10.06</v>
      </c>
      <c r="AA31">
        <v>9.82</v>
      </c>
      <c r="AE31">
        <v>13.86</v>
      </c>
      <c r="AF31">
        <v>9.79</v>
      </c>
      <c r="AI31">
        <v>17.48</v>
      </c>
      <c r="AJ31">
        <v>12.11</v>
      </c>
    </row>
    <row r="36" ht="17.75" spans="1:40">
      <c r="A36" s="22" t="s">
        <v>315</v>
      </c>
    </row>
    <row r="37" ht="16" spans="1:40">
      <c r="A37" s="23" t="s">
        <v>27</v>
      </c>
      <c r="B37" s="23" t="s">
        <v>31</v>
      </c>
      <c r="C37" s="23" t="str">
        <f t="shared" ref="C37:AK37" si="0" xml:space="preserve">B18</f>
        <v>Africa_North</v>
      </c>
      <c r="D37" s="23" t="str">
        <f t="shared" si="0"/>
        <v>Africa_Other</v>
      </c>
      <c r="E37" s="23" t="str">
        <f t="shared" si="0"/>
        <v>Australia</v>
      </c>
      <c r="F37" s="23" t="str">
        <f t="shared" si="0"/>
        <v>Austria</v>
      </c>
      <c r="G37" s="23" t="str">
        <f t="shared" si="0"/>
        <v>Baltics</v>
      </c>
      <c r="H37" s="23" t="str">
        <f t="shared" si="0"/>
        <v>BeNeLux</v>
      </c>
      <c r="I37" s="23" t="str">
        <f t="shared" si="0"/>
        <v>Brazil</v>
      </c>
      <c r="J37" s="23" t="str">
        <f t="shared" si="0"/>
        <v>China</v>
      </c>
      <c r="K37" s="23" t="str">
        <f t="shared" si="0"/>
        <v>CroSloven</v>
      </c>
      <c r="L37" s="23" t="str">
        <f t="shared" si="0"/>
        <v>CzechSlovak</v>
      </c>
      <c r="M37" s="23" t="str">
        <f t="shared" si="0"/>
        <v>France</v>
      </c>
      <c r="N37" s="23" t="str">
        <f t="shared" si="0"/>
        <v>Germany</v>
      </c>
      <c r="O37" s="23" t="str">
        <f t="shared" si="0"/>
        <v>GreeceCyp</v>
      </c>
      <c r="P37" s="23" t="str">
        <f t="shared" si="0"/>
        <v>HunRomBul</v>
      </c>
      <c r="Q37" s="23" t="str">
        <f t="shared" si="0"/>
        <v>Iceland</v>
      </c>
      <c r="R37" s="23" t="str">
        <f t="shared" si="0"/>
        <v>India</v>
      </c>
      <c r="S37" s="23" t="str">
        <f t="shared" si="0"/>
        <v>Ireland</v>
      </c>
      <c r="T37" s="23" t="str">
        <f t="shared" si="0"/>
        <v>ItalyMal</v>
      </c>
      <c r="U37" s="23" t="str">
        <f t="shared" si="0"/>
        <v>Japan</v>
      </c>
      <c r="V37" s="23" t="str">
        <f t="shared" si="0"/>
        <v>LatAm</v>
      </c>
      <c r="W37" s="23" t="str">
        <f t="shared" si="0"/>
        <v>MidEast</v>
      </c>
      <c r="X37" s="23" t="str">
        <f t="shared" si="0"/>
        <v>NorthAm</v>
      </c>
      <c r="Y37" s="23" t="str">
        <f t="shared" si="0"/>
        <v>Norway</v>
      </c>
      <c r="Z37" s="23" t="str">
        <f t="shared" si="0"/>
        <v>Poland</v>
      </c>
      <c r="AA37" s="23" t="str">
        <f t="shared" si="0"/>
        <v>ROW</v>
      </c>
      <c r="AB37" s="23" t="str">
        <f t="shared" si="0"/>
        <v>Russia</v>
      </c>
      <c r="AC37" s="23" t="str">
        <f t="shared" si="0"/>
        <v>SaudiArabia</v>
      </c>
      <c r="AD37" s="23" t="str">
        <f t="shared" si="0"/>
        <v>SouthAfrica</v>
      </c>
      <c r="AE37" s="23" t="str">
        <f t="shared" si="0"/>
        <v>SpainPor</v>
      </c>
      <c r="AF37" s="23" t="str">
        <f t="shared" si="0"/>
        <v>SweFinDen</v>
      </c>
      <c r="AG37" s="23" t="str">
        <f t="shared" si="0"/>
        <v>Switzerland</v>
      </c>
      <c r="AH37" s="23" t="str">
        <f t="shared" si="0"/>
        <v>Turkey</v>
      </c>
      <c r="AI37" s="23" t="str">
        <f t="shared" si="0"/>
        <v>UK</v>
      </c>
      <c r="AJ37" s="23" t="str">
        <f t="shared" si="0"/>
        <v>Ukraine</v>
      </c>
      <c r="AK37" s="23" t="str">
        <f t="shared" si="0"/>
        <v>WestBalkans</v>
      </c>
      <c r="AL37" s="23" t="s">
        <v>39</v>
      </c>
      <c r="AM37" s="23" t="s">
        <v>40</v>
      </c>
      <c r="AN37" s="23" t="s">
        <v>13</v>
      </c>
    </row>
    <row r="38" spans="1:40">
      <c r="A38" t="s">
        <v>316</v>
      </c>
      <c r="B38">
        <v>0.5</v>
      </c>
      <c r="C38" t="str">
        <f xml:space="preserve">IF(B9&gt;0,B9,"")</f>
        <v/>
      </c>
      <c r="D38" t="str">
        <f t="shared" ref="D38:S39" si="1" xml:space="preserve">IF(C9&gt;0,C9,"")</f>
        <v/>
      </c>
      <c r="E38" t="str">
        <f t="shared" si="1"/>
        <v/>
      </c>
      <c r="F38">
        <f t="shared" si="1"/>
        <v>1.72</v>
      </c>
      <c r="G38">
        <f t="shared" si="1"/>
        <v>2.32</v>
      </c>
      <c r="H38">
        <f t="shared" si="1"/>
        <v>0.63</v>
      </c>
      <c r="I38" t="str">
        <f t="shared" si="1"/>
        <v/>
      </c>
      <c r="J38">
        <f t="shared" si="1"/>
        <v>0.91</v>
      </c>
      <c r="K38">
        <f t="shared" si="1"/>
        <v>0.68</v>
      </c>
      <c r="L38">
        <f t="shared" si="1"/>
        <v>2.1</v>
      </c>
      <c r="M38">
        <f t="shared" si="1"/>
        <v>1.71</v>
      </c>
      <c r="N38">
        <f t="shared" si="1"/>
        <v>1.1</v>
      </c>
      <c r="O38">
        <f t="shared" si="1"/>
        <v>0.1</v>
      </c>
      <c r="P38">
        <f t="shared" si="1"/>
        <v>1.26</v>
      </c>
      <c r="Q38">
        <f t="shared" si="1"/>
        <v>0.17</v>
      </c>
      <c r="R38" t="str">
        <f t="shared" si="1"/>
        <v/>
      </c>
      <c r="S38" t="str">
        <f t="shared" si="1"/>
        <v/>
      </c>
      <c r="T38">
        <f t="shared" ref="T38:AI39" si="2" xml:space="preserve">IF(S9&gt;0,S9,"")</f>
        <v>0.24</v>
      </c>
      <c r="U38" t="str">
        <f t="shared" si="2"/>
        <v/>
      </c>
      <c r="V38" t="str">
        <f t="shared" si="2"/>
        <v/>
      </c>
      <c r="W38" t="str">
        <f t="shared" si="2"/>
        <v/>
      </c>
      <c r="X38">
        <f t="shared" si="2"/>
        <v>0.81</v>
      </c>
      <c r="Y38">
        <f t="shared" si="2"/>
        <v>4.53</v>
      </c>
      <c r="Z38">
        <f t="shared" si="2"/>
        <v>0.35</v>
      </c>
      <c r="AA38">
        <f t="shared" si="2"/>
        <v>0.56</v>
      </c>
      <c r="AB38">
        <f t="shared" si="2"/>
        <v>1.11</v>
      </c>
      <c r="AC38" t="str">
        <f t="shared" si="2"/>
        <v/>
      </c>
      <c r="AD38" t="str">
        <f t="shared" si="2"/>
        <v/>
      </c>
      <c r="AE38">
        <f t="shared" si="2"/>
        <v>0.05</v>
      </c>
      <c r="AF38">
        <f t="shared" si="2"/>
        <v>2.29</v>
      </c>
      <c r="AG38">
        <f t="shared" si="2"/>
        <v>2.28</v>
      </c>
      <c r="AH38">
        <f t="shared" si="2"/>
        <v>1.36</v>
      </c>
      <c r="AI38" t="str">
        <f t="shared" si="2"/>
        <v/>
      </c>
      <c r="AJ38">
        <f t="shared" ref="AJ38:AK39" si="3" xml:space="preserve">IF(AI9&gt;0,AI9,"")</f>
        <v>1.49</v>
      </c>
      <c r="AK38">
        <f t="shared" si="3"/>
        <v>0.33</v>
      </c>
    </row>
    <row r="39" spans="1:40">
      <c r="A39" t="s">
        <v>316</v>
      </c>
      <c r="B39">
        <v>0.5</v>
      </c>
      <c r="C39" t="str">
        <f xml:space="preserve">IF(B10&gt;0,B10,"")</f>
        <v/>
      </c>
      <c r="D39" t="str">
        <f t="shared" si="1"/>
        <v/>
      </c>
      <c r="E39" t="str">
        <f t="shared" si="1"/>
        <v/>
      </c>
      <c r="F39">
        <f t="shared" si="1"/>
        <v>0.6</v>
      </c>
      <c r="G39">
        <f t="shared" si="1"/>
        <v>0.44</v>
      </c>
      <c r="H39">
        <f t="shared" si="1"/>
        <v>0.33</v>
      </c>
      <c r="I39" t="str">
        <f t="shared" si="1"/>
        <v/>
      </c>
      <c r="J39" t="str">
        <f t="shared" si="1"/>
        <v/>
      </c>
      <c r="K39">
        <f t="shared" si="1"/>
        <v>0.04</v>
      </c>
      <c r="L39">
        <f t="shared" si="1"/>
        <v>0.26</v>
      </c>
      <c r="M39">
        <f t="shared" si="1"/>
        <v>0.69</v>
      </c>
      <c r="N39" t="str">
        <f t="shared" si="1"/>
        <v/>
      </c>
      <c r="O39">
        <f t="shared" si="1"/>
        <v>0.03</v>
      </c>
      <c r="P39">
        <f t="shared" si="1"/>
        <v>0.08</v>
      </c>
      <c r="Q39" t="str">
        <f t="shared" si="1"/>
        <v/>
      </c>
      <c r="R39" t="str">
        <f t="shared" si="1"/>
        <v/>
      </c>
      <c r="S39" t="str">
        <f t="shared" si="1"/>
        <v/>
      </c>
      <c r="T39">
        <f t="shared" si="2"/>
        <v>0.1</v>
      </c>
      <c r="U39" t="str">
        <f t="shared" si="2"/>
        <v/>
      </c>
      <c r="V39" t="str">
        <f t="shared" si="2"/>
        <v/>
      </c>
      <c r="W39" t="str">
        <f t="shared" si="2"/>
        <v/>
      </c>
      <c r="X39" t="str">
        <f t="shared" si="2"/>
        <v/>
      </c>
      <c r="Y39" t="str">
        <f t="shared" si="2"/>
        <v/>
      </c>
      <c r="Z39">
        <f t="shared" si="2"/>
        <v>0.35</v>
      </c>
      <c r="AA39">
        <f t="shared" si="2"/>
        <v>1.3</v>
      </c>
      <c r="AB39">
        <f t="shared" si="2"/>
        <v>2.4</v>
      </c>
      <c r="AC39" t="str">
        <f t="shared" si="2"/>
        <v/>
      </c>
      <c r="AD39" t="str">
        <f t="shared" si="2"/>
        <v/>
      </c>
      <c r="AE39">
        <f t="shared" si="2"/>
        <v>0.11</v>
      </c>
      <c r="AF39">
        <f t="shared" si="2"/>
        <v>0.86</v>
      </c>
      <c r="AG39">
        <f t="shared" si="2"/>
        <v>1.37</v>
      </c>
      <c r="AH39">
        <f t="shared" si="2"/>
        <v>0.69</v>
      </c>
      <c r="AI39" t="str">
        <f t="shared" si="2"/>
        <v/>
      </c>
      <c r="AJ39">
        <f t="shared" si="3"/>
        <v>4.83</v>
      </c>
      <c r="AK39">
        <f t="shared" si="3"/>
        <v>3.52</v>
      </c>
      <c r="AL39" t="s">
        <v>317</v>
      </c>
    </row>
    <row r="40" spans="1:40">
      <c r="A40" t="s">
        <v>82</v>
      </c>
    </row>
    <row r="41" spans="1:40">
      <c r="A41" t="s">
        <v>318</v>
      </c>
      <c r="C41" s="24">
        <f xml:space="preserve">1-B25/100</f>
        <v>0.781</v>
      </c>
      <c r="D41" s="24">
        <f t="shared" ref="D41:AK41" si="4" xml:space="preserve">1-C25/100</f>
        <v>0.8018</v>
      </c>
      <c r="E41" s="24">
        <f t="shared" si="4"/>
        <v>0.9012</v>
      </c>
      <c r="F41" s="24">
        <f t="shared" si="4"/>
        <v>0.9157</v>
      </c>
      <c r="G41" s="24">
        <f t="shared" si="4"/>
        <v>0.7593</v>
      </c>
      <c r="H41" s="24">
        <f t="shared" si="4"/>
        <v>0.9248</v>
      </c>
      <c r="I41" s="24">
        <f t="shared" si="4"/>
        <v>0.8378</v>
      </c>
      <c r="J41" s="24">
        <f t="shared" si="4"/>
        <v>0.9004</v>
      </c>
      <c r="K41" s="24">
        <f t="shared" si="4"/>
        <v>0.8597</v>
      </c>
      <c r="L41" s="24">
        <f t="shared" si="4"/>
        <v>0.8738</v>
      </c>
      <c r="M41" s="24">
        <f t="shared" si="4"/>
        <v>0.8802</v>
      </c>
      <c r="N41" s="24">
        <f t="shared" si="4"/>
        <v>0.9038</v>
      </c>
      <c r="O41" s="24">
        <f t="shared" si="4"/>
        <v>0.8756</v>
      </c>
      <c r="P41" s="24">
        <f t="shared" si="4"/>
        <v>0.8429</v>
      </c>
      <c r="Q41" s="24">
        <f t="shared" si="4"/>
        <v>0.9532</v>
      </c>
      <c r="R41" s="24">
        <f t="shared" si="4"/>
        <v>0.7732</v>
      </c>
      <c r="S41" s="24">
        <f t="shared" si="4"/>
        <v>0.8973</v>
      </c>
      <c r="T41" s="24">
        <f t="shared" si="4"/>
        <v>0.899</v>
      </c>
      <c r="U41" s="24">
        <f t="shared" si="4"/>
        <v>0.9173</v>
      </c>
      <c r="V41" s="24">
        <f t="shared" si="4"/>
        <v>0.8421</v>
      </c>
      <c r="W41" s="24">
        <f t="shared" si="4"/>
        <v>0.8113</v>
      </c>
      <c r="X41" s="24">
        <f t="shared" si="4"/>
        <v>0.9117</v>
      </c>
      <c r="Y41" s="24">
        <f t="shared" si="4"/>
        <v>0.9496</v>
      </c>
      <c r="Z41" s="24">
        <f t="shared" si="4"/>
        <v>0.8708</v>
      </c>
      <c r="AA41" s="24">
        <f t="shared" si="4"/>
        <v>0.895</v>
      </c>
      <c r="AB41" s="24">
        <f t="shared" si="4"/>
        <v>0.8521</v>
      </c>
      <c r="AC41" s="24">
        <f t="shared" si="4"/>
        <v>0.8649</v>
      </c>
      <c r="AD41" s="24">
        <f t="shared" si="4"/>
        <v>0.844</v>
      </c>
      <c r="AE41" s="24">
        <f t="shared" si="4"/>
        <v>0.8802</v>
      </c>
      <c r="AF41" s="24">
        <f t="shared" si="4"/>
        <v>0.9225</v>
      </c>
      <c r="AG41" s="24">
        <f t="shared" si="4"/>
        <v>0.8956</v>
      </c>
      <c r="AH41" s="24">
        <f t="shared" si="4"/>
        <v>0.8644</v>
      </c>
      <c r="AI41" s="24">
        <f t="shared" si="4"/>
        <v>0.8994</v>
      </c>
      <c r="AJ41" s="24">
        <f t="shared" si="4"/>
        <v>0.827</v>
      </c>
      <c r="AK41" s="24">
        <f t="shared" si="4"/>
        <v>0.8198</v>
      </c>
      <c r="AM41" t="s">
        <v>10</v>
      </c>
      <c r="AN41">
        <v>2020</v>
      </c>
    </row>
    <row r="42" spans="1:40">
      <c r="A42" t="s">
        <v>318</v>
      </c>
      <c r="C42" s="13">
        <f t="shared" ref="C42:AK42" si="5" xml:space="preserve">MAX($C$41:$AL$41)</f>
        <v>0.9532</v>
      </c>
      <c r="D42" s="13">
        <f t="shared" si="5"/>
        <v>0.9532</v>
      </c>
      <c r="E42" s="13">
        <f t="shared" si="5"/>
        <v>0.9532</v>
      </c>
      <c r="F42" s="13">
        <f t="shared" si="5"/>
        <v>0.9532</v>
      </c>
      <c r="G42" s="13">
        <f t="shared" si="5"/>
        <v>0.9532</v>
      </c>
      <c r="H42" s="13">
        <f t="shared" si="5"/>
        <v>0.9532</v>
      </c>
      <c r="I42" s="13">
        <f t="shared" si="5"/>
        <v>0.9532</v>
      </c>
      <c r="J42" s="13">
        <f t="shared" si="5"/>
        <v>0.9532</v>
      </c>
      <c r="K42" s="13">
        <f t="shared" si="5"/>
        <v>0.9532</v>
      </c>
      <c r="L42" s="13">
        <f t="shared" si="5"/>
        <v>0.9532</v>
      </c>
      <c r="M42" s="13">
        <f t="shared" si="5"/>
        <v>0.9532</v>
      </c>
      <c r="N42" s="13">
        <f t="shared" si="5"/>
        <v>0.9532</v>
      </c>
      <c r="O42" s="13">
        <f t="shared" si="5"/>
        <v>0.9532</v>
      </c>
      <c r="P42" s="13">
        <f t="shared" si="5"/>
        <v>0.9532</v>
      </c>
      <c r="Q42" s="13">
        <f t="shared" si="5"/>
        <v>0.9532</v>
      </c>
      <c r="R42" s="13">
        <f t="shared" si="5"/>
        <v>0.9532</v>
      </c>
      <c r="S42" s="13">
        <f t="shared" si="5"/>
        <v>0.9532</v>
      </c>
      <c r="T42" s="13">
        <f t="shared" si="5"/>
        <v>0.9532</v>
      </c>
      <c r="U42" s="13">
        <f t="shared" si="5"/>
        <v>0.9532</v>
      </c>
      <c r="V42" s="13">
        <f t="shared" si="5"/>
        <v>0.9532</v>
      </c>
      <c r="W42" s="13">
        <f t="shared" si="5"/>
        <v>0.9532</v>
      </c>
      <c r="X42" s="13">
        <f t="shared" si="5"/>
        <v>0.9532</v>
      </c>
      <c r="Y42" s="13">
        <f t="shared" si="5"/>
        <v>0.9532</v>
      </c>
      <c r="Z42" s="13">
        <f t="shared" si="5"/>
        <v>0.9532</v>
      </c>
      <c r="AA42" s="13">
        <f t="shared" si="5"/>
        <v>0.9532</v>
      </c>
      <c r="AB42" s="13">
        <f t="shared" si="5"/>
        <v>0.9532</v>
      </c>
      <c r="AC42" s="13">
        <f t="shared" si="5"/>
        <v>0.9532</v>
      </c>
      <c r="AD42" s="13">
        <f t="shared" si="5"/>
        <v>0.9532</v>
      </c>
      <c r="AE42" s="13">
        <f t="shared" si="5"/>
        <v>0.9532</v>
      </c>
      <c r="AF42" s="13">
        <f t="shared" si="5"/>
        <v>0.9532</v>
      </c>
      <c r="AG42" s="13">
        <f t="shared" si="5"/>
        <v>0.9532</v>
      </c>
      <c r="AH42" s="13">
        <f t="shared" si="5"/>
        <v>0.9532</v>
      </c>
      <c r="AI42" s="13">
        <f t="shared" si="5"/>
        <v>0.9532</v>
      </c>
      <c r="AJ42" s="13">
        <f t="shared" si="5"/>
        <v>0.9532</v>
      </c>
      <c r="AK42" s="13">
        <f t="shared" si="5"/>
        <v>0.9532</v>
      </c>
      <c r="AM42" t="s">
        <v>10</v>
      </c>
      <c r="AN42">
        <v>2070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2"/>
  <sheetViews>
    <sheetView zoomScale="50" zoomScaleNormal="50" workbookViewId="0">
      <selection activeCell="H45" sqref="H45"/>
    </sheetView>
  </sheetViews>
  <sheetFormatPr defaultColWidth="8.52727272727273" defaultRowHeight="14.5"/>
  <cols>
    <col min="2" max="2" width="24.8636363636364" customWidth="1"/>
    <col min="3" max="3" width="8.52727272727273" customWidth="1"/>
    <col min="4" max="4" width="8.66363636363636" customWidth="1"/>
    <col min="5" max="5" width="10.8636363636364" customWidth="1"/>
    <col min="6" max="7" width="10.8" customWidth="1"/>
    <col min="8" max="8" width="10.3363636363636" customWidth="1"/>
    <col min="9" max="10" width="7.86363636363636" customWidth="1"/>
    <col min="11" max="11" width="7.46363636363636" customWidth="1"/>
    <col min="12" max="12" width="7.8" customWidth="1"/>
    <col min="13" max="13" width="9.8" customWidth="1"/>
    <col min="14" max="14" width="7.13636363636364" customWidth="1"/>
    <col min="15" max="15" width="5.8" customWidth="1"/>
    <col min="16" max="16" width="6.52727272727273" customWidth="1"/>
    <col min="17" max="18" width="5.8" customWidth="1"/>
    <col min="19" max="19" width="7.2" customWidth="1"/>
    <col min="20" max="20" width="6.8" customWidth="1"/>
    <col min="21" max="21" width="7.86363636363636" customWidth="1"/>
    <col min="22" max="22" width="5.8" customWidth="1"/>
    <col min="23" max="23" width="8.2" customWidth="1"/>
    <col min="24" max="25" width="5.8" customWidth="1"/>
    <col min="26" max="26" width="7.8" customWidth="1"/>
    <col min="27" max="27" width="6.46363636363636" customWidth="1"/>
    <col min="28" max="28" width="7.13636363636364" customWidth="1"/>
    <col min="29" max="29" width="10.3363636363636" customWidth="1"/>
    <col min="30" max="30" width="5.8" customWidth="1"/>
    <col min="31" max="31" width="9.2" customWidth="1"/>
    <col min="32" max="33" width="5.8" customWidth="1"/>
    <col min="34" max="34" width="10.1363636363636" customWidth="1"/>
    <col min="35" max="35" width="9.86363636363636" customWidth="1"/>
    <col min="36" max="36" width="6.46363636363636" customWidth="1"/>
    <col min="37" max="37" width="7.46363636363636" customWidth="1"/>
    <col min="38" max="39" width="5.8" customWidth="1"/>
  </cols>
  <sheetData>
    <row r="1" spans="2:39">
      <c r="C1" t="s">
        <v>319</v>
      </c>
      <c r="D1" t="s">
        <v>320</v>
      </c>
      <c r="E1" t="s">
        <v>251</v>
      </c>
      <c r="F1" t="s">
        <v>254</v>
      </c>
      <c r="G1" t="s">
        <v>258</v>
      </c>
      <c r="H1" t="s">
        <v>260</v>
      </c>
      <c r="I1" t="s">
        <v>262</v>
      </c>
      <c r="J1" t="s">
        <v>253</v>
      </c>
      <c r="K1" t="s">
        <v>257</v>
      </c>
      <c r="L1" t="s">
        <v>259</v>
      </c>
      <c r="M1" t="s">
        <v>261</v>
      </c>
      <c r="N1" t="s">
        <v>263</v>
      </c>
      <c r="O1" t="s">
        <v>264</v>
      </c>
      <c r="P1" t="s">
        <v>265</v>
      </c>
      <c r="Q1" t="s">
        <v>271</v>
      </c>
      <c r="R1" t="s">
        <v>266</v>
      </c>
      <c r="S1" t="s">
        <v>291</v>
      </c>
      <c r="T1" t="s">
        <v>267</v>
      </c>
      <c r="U1" t="s">
        <v>275</v>
      </c>
      <c r="V1" t="s">
        <v>277</v>
      </c>
      <c r="W1" t="s">
        <v>268</v>
      </c>
      <c r="X1" t="s">
        <v>269</v>
      </c>
      <c r="Y1" t="s">
        <v>270</v>
      </c>
      <c r="Z1" t="s">
        <v>272</v>
      </c>
      <c r="AA1" t="s">
        <v>283</v>
      </c>
      <c r="AB1" t="s">
        <v>285</v>
      </c>
      <c r="AC1" t="s">
        <v>273</v>
      </c>
      <c r="AD1" t="s">
        <v>274</v>
      </c>
      <c r="AE1" t="s">
        <v>286</v>
      </c>
      <c r="AF1" t="s">
        <v>276</v>
      </c>
      <c r="AG1" t="s">
        <v>278</v>
      </c>
      <c r="AH1" t="s">
        <v>279</v>
      </c>
      <c r="AI1" t="s">
        <v>280</v>
      </c>
      <c r="AJ1" t="s">
        <v>281</v>
      </c>
      <c r="AK1" t="s">
        <v>282</v>
      </c>
      <c r="AL1" t="s">
        <v>284</v>
      </c>
      <c r="AM1" t="s">
        <v>288</v>
      </c>
    </row>
    <row r="2" spans="2:39">
      <c r="B2" t="s">
        <v>321</v>
      </c>
      <c r="C2" t="s">
        <v>322</v>
      </c>
      <c r="D2" t="s">
        <v>323</v>
      </c>
      <c r="E2">
        <v>0.033</v>
      </c>
      <c r="F2">
        <v>0.266</v>
      </c>
      <c r="G2">
        <v>0.406</v>
      </c>
      <c r="H2">
        <v>0.429</v>
      </c>
      <c r="I2">
        <v>0.556</v>
      </c>
      <c r="J2">
        <v>0.95</v>
      </c>
      <c r="K2">
        <v>0.363</v>
      </c>
      <c r="L2">
        <v>0.95</v>
      </c>
      <c r="M2">
        <v>0.588</v>
      </c>
      <c r="N2">
        <v>0.702</v>
      </c>
      <c r="O2">
        <v>0.695</v>
      </c>
      <c r="P2">
        <v>0.589</v>
      </c>
      <c r="Q2">
        <v>0.514</v>
      </c>
      <c r="R2">
        <v>0.677</v>
      </c>
      <c r="T2">
        <v>0.407</v>
      </c>
      <c r="U2">
        <v>0.95</v>
      </c>
      <c r="V2">
        <v>0.624</v>
      </c>
      <c r="W2">
        <v>0.896</v>
      </c>
      <c r="X2">
        <v>0.462</v>
      </c>
      <c r="Y2">
        <v>0.95</v>
      </c>
      <c r="Z2">
        <v>0.547</v>
      </c>
      <c r="AA2">
        <v>0.913</v>
      </c>
      <c r="AB2">
        <v>0.78</v>
      </c>
      <c r="AC2">
        <v>0.564</v>
      </c>
      <c r="AD2">
        <v>0.071</v>
      </c>
      <c r="AF2">
        <v>0.18</v>
      </c>
      <c r="AG2">
        <v>0.604</v>
      </c>
      <c r="AH2">
        <v>0.385</v>
      </c>
      <c r="AI2">
        <v>0.95</v>
      </c>
      <c r="AJ2">
        <v>0.481</v>
      </c>
      <c r="AK2">
        <v>0.579</v>
      </c>
      <c r="AL2">
        <v>0.171</v>
      </c>
      <c r="AM2">
        <v>0.639</v>
      </c>
    </row>
    <row r="3" spans="2:39">
      <c r="B3" t="s">
        <v>324</v>
      </c>
      <c r="C3" t="s">
        <v>325</v>
      </c>
      <c r="D3" t="s">
        <v>323</v>
      </c>
      <c r="E3">
        <v>0.733</v>
      </c>
      <c r="F3">
        <v>0</v>
      </c>
      <c r="G3">
        <v>0.627</v>
      </c>
      <c r="H3">
        <v>0.95</v>
      </c>
      <c r="J3">
        <v>0.278</v>
      </c>
      <c r="K3">
        <v>0.509</v>
      </c>
      <c r="L3">
        <v>0.576</v>
      </c>
      <c r="M3">
        <v>0.368</v>
      </c>
      <c r="N3">
        <v>0.457</v>
      </c>
      <c r="O3">
        <v>0.098</v>
      </c>
      <c r="P3">
        <v>0.382</v>
      </c>
      <c r="Q3">
        <v>0.187</v>
      </c>
      <c r="R3">
        <v>0.277</v>
      </c>
      <c r="T3">
        <v>0.707</v>
      </c>
      <c r="U3">
        <v>0.132</v>
      </c>
      <c r="V3">
        <v>0.257</v>
      </c>
      <c r="W3">
        <v>0.674</v>
      </c>
      <c r="X3">
        <v>0.498</v>
      </c>
      <c r="Y3">
        <v>0.95</v>
      </c>
      <c r="Z3">
        <v>0.395</v>
      </c>
      <c r="AA3">
        <v>0.95</v>
      </c>
      <c r="AB3">
        <v>0.412</v>
      </c>
      <c r="AC3">
        <v>0.565</v>
      </c>
      <c r="AD3">
        <v>0.637</v>
      </c>
      <c r="AF3">
        <v>0.474</v>
      </c>
      <c r="AG3">
        <v>0.151</v>
      </c>
      <c r="AH3">
        <v>0.166</v>
      </c>
      <c r="AJ3">
        <v>0.646</v>
      </c>
      <c r="AK3">
        <v>0.184</v>
      </c>
      <c r="AL3">
        <v>0</v>
      </c>
      <c r="AM3">
        <v>0.59</v>
      </c>
    </row>
    <row r="4" spans="2:39">
      <c r="B4" t="s">
        <v>326</v>
      </c>
      <c r="C4" t="s">
        <v>327</v>
      </c>
      <c r="D4" t="s">
        <v>323</v>
      </c>
      <c r="E4">
        <v>0.387</v>
      </c>
      <c r="F4">
        <v>0.327</v>
      </c>
      <c r="G4">
        <v>0.197</v>
      </c>
      <c r="H4">
        <v>0.158</v>
      </c>
      <c r="I4">
        <v>0.077</v>
      </c>
      <c r="J4">
        <v>0.312</v>
      </c>
      <c r="K4">
        <v>0.232</v>
      </c>
      <c r="L4">
        <v>0.259</v>
      </c>
      <c r="M4">
        <v>0.688</v>
      </c>
      <c r="N4">
        <v>0.145</v>
      </c>
      <c r="O4">
        <v>0.194</v>
      </c>
      <c r="P4">
        <v>0.261</v>
      </c>
      <c r="Q4">
        <v>0.283</v>
      </c>
      <c r="R4">
        <v>0.199</v>
      </c>
      <c r="T4">
        <v>0.185</v>
      </c>
      <c r="U4">
        <v>0.411</v>
      </c>
      <c r="V4">
        <v>0.238</v>
      </c>
      <c r="W4">
        <v>0.465</v>
      </c>
      <c r="X4">
        <v>0.4</v>
      </c>
      <c r="Y4">
        <v>0.437</v>
      </c>
      <c r="Z4">
        <v>0.393</v>
      </c>
      <c r="AA4">
        <v>0.263</v>
      </c>
      <c r="AB4">
        <v>0.482</v>
      </c>
      <c r="AC4">
        <v>0.457</v>
      </c>
      <c r="AD4">
        <v>0.537</v>
      </c>
      <c r="AE4">
        <v>0.432</v>
      </c>
      <c r="AF4">
        <v>0</v>
      </c>
      <c r="AG4">
        <v>0.269</v>
      </c>
      <c r="AH4">
        <v>0.048</v>
      </c>
      <c r="AI4">
        <v>0.248</v>
      </c>
      <c r="AJ4">
        <v>0.275</v>
      </c>
      <c r="AK4">
        <v>0.301</v>
      </c>
      <c r="AL4">
        <v>0.495</v>
      </c>
      <c r="AM4">
        <v>0.262</v>
      </c>
    </row>
    <row r="5" spans="2:39">
      <c r="B5" t="s">
        <v>328</v>
      </c>
      <c r="C5" t="s">
        <v>329</v>
      </c>
      <c r="D5" t="s">
        <v>323</v>
      </c>
      <c r="J5">
        <v>0.95</v>
      </c>
      <c r="K5">
        <v>0.832</v>
      </c>
      <c r="L5">
        <v>0.872</v>
      </c>
      <c r="M5">
        <v>0.933</v>
      </c>
      <c r="N5">
        <v>0.885</v>
      </c>
      <c r="O5">
        <v>0.624</v>
      </c>
      <c r="P5">
        <v>0.95</v>
      </c>
      <c r="R5">
        <v>0.925</v>
      </c>
      <c r="T5">
        <v>0.736</v>
      </c>
      <c r="W5">
        <v>0.267</v>
      </c>
      <c r="X5">
        <v>0.584</v>
      </c>
      <c r="Y5">
        <v>0.856</v>
      </c>
      <c r="Z5">
        <v>0.903</v>
      </c>
      <c r="AC5">
        <v>0.835</v>
      </c>
      <c r="AD5">
        <v>0.84</v>
      </c>
      <c r="AF5">
        <v>0.526</v>
      </c>
      <c r="AG5">
        <v>0.911</v>
      </c>
      <c r="AH5">
        <v>0.832</v>
      </c>
      <c r="AI5">
        <v>0.933</v>
      </c>
      <c r="AK5">
        <v>0.791</v>
      </c>
    </row>
    <row r="6" spans="2:39">
      <c r="B6" t="s">
        <v>330</v>
      </c>
      <c r="C6" t="s">
        <v>331</v>
      </c>
      <c r="D6" t="s">
        <v>323</v>
      </c>
      <c r="E6">
        <v>0.95</v>
      </c>
      <c r="F6">
        <v>0.146</v>
      </c>
      <c r="G6">
        <v>0.262</v>
      </c>
      <c r="H6">
        <v>0.573</v>
      </c>
      <c r="I6">
        <v>0.369</v>
      </c>
      <c r="J6">
        <v>0.95</v>
      </c>
      <c r="K6">
        <v>0.166</v>
      </c>
      <c r="L6">
        <v>0.582</v>
      </c>
      <c r="M6">
        <v>0.017</v>
      </c>
      <c r="N6">
        <v>0.95</v>
      </c>
      <c r="O6">
        <v>0.571</v>
      </c>
      <c r="P6">
        <v>0.95</v>
      </c>
      <c r="Q6">
        <v>0.312</v>
      </c>
      <c r="R6">
        <v>0.088</v>
      </c>
      <c r="T6">
        <v>0.026</v>
      </c>
      <c r="U6">
        <v>0.111</v>
      </c>
      <c r="V6">
        <v>0.95</v>
      </c>
      <c r="W6">
        <v>0.194</v>
      </c>
      <c r="X6">
        <v>0.221</v>
      </c>
      <c r="Y6">
        <v>0.895</v>
      </c>
      <c r="Z6">
        <v>0.135</v>
      </c>
      <c r="AA6">
        <v>0.72</v>
      </c>
      <c r="AB6">
        <v>0.95</v>
      </c>
      <c r="AC6">
        <v>0.2</v>
      </c>
      <c r="AD6">
        <v>0.95</v>
      </c>
      <c r="AE6">
        <v>0.64</v>
      </c>
      <c r="AF6">
        <v>0.231</v>
      </c>
      <c r="AG6">
        <v>0.374</v>
      </c>
      <c r="AH6">
        <v>0.1</v>
      </c>
      <c r="AI6">
        <v>0.279</v>
      </c>
      <c r="AJ6">
        <v>0.163</v>
      </c>
      <c r="AK6">
        <v>0.425</v>
      </c>
      <c r="AL6">
        <v>0.95</v>
      </c>
      <c r="AM6">
        <v>0.95</v>
      </c>
    </row>
    <row r="7" spans="2:39">
      <c r="B7" t="str">
        <f xml:space="preserve">B2</f>
        <v>elcbsl,indbio</v>
      </c>
      <c r="C7" t="s">
        <v>322</v>
      </c>
      <c r="D7" t="s">
        <v>332</v>
      </c>
      <c r="E7">
        <v>0.014</v>
      </c>
      <c r="F7">
        <v>0.175</v>
      </c>
      <c r="G7">
        <v>0.406</v>
      </c>
      <c r="H7">
        <v>0.429</v>
      </c>
      <c r="I7">
        <v>0.556</v>
      </c>
      <c r="J7">
        <v>0.885</v>
      </c>
      <c r="K7">
        <v>0.363</v>
      </c>
      <c r="L7">
        <v>0.95</v>
      </c>
      <c r="M7">
        <v>0.55</v>
      </c>
      <c r="N7">
        <v>0.702</v>
      </c>
      <c r="O7">
        <v>0.695</v>
      </c>
      <c r="P7">
        <v>0.589</v>
      </c>
      <c r="Q7">
        <v>0.469</v>
      </c>
      <c r="R7">
        <v>0.489</v>
      </c>
      <c r="T7">
        <v>0.307</v>
      </c>
      <c r="U7">
        <v>0.913</v>
      </c>
      <c r="V7">
        <v>0.624</v>
      </c>
      <c r="W7">
        <v>0.896</v>
      </c>
      <c r="X7">
        <v>0.348</v>
      </c>
      <c r="Y7">
        <v>0.294</v>
      </c>
      <c r="Z7">
        <v>0.547</v>
      </c>
      <c r="AA7">
        <v>0.285</v>
      </c>
      <c r="AB7">
        <v>0.744</v>
      </c>
      <c r="AC7">
        <v>0.416</v>
      </c>
      <c r="AD7">
        <v>0.051</v>
      </c>
      <c r="AF7">
        <v>0.145</v>
      </c>
      <c r="AG7">
        <v>0.604</v>
      </c>
      <c r="AH7">
        <v>0.385</v>
      </c>
      <c r="AI7">
        <v>0.95</v>
      </c>
      <c r="AJ7">
        <v>0.45</v>
      </c>
      <c r="AK7">
        <v>0.579</v>
      </c>
      <c r="AL7">
        <v>0.171</v>
      </c>
      <c r="AM7">
        <v>0.228</v>
      </c>
    </row>
    <row r="8" spans="2:39">
      <c r="B8" t="str">
        <f t="shared" ref="B8:B16" si="0" xml:space="preserve">B3</f>
        <v>???coa,elccob</v>
      </c>
      <c r="C8" t="s">
        <v>325</v>
      </c>
      <c r="D8" t="s">
        <v>332</v>
      </c>
      <c r="E8">
        <v>0.57</v>
      </c>
      <c r="F8">
        <v>0</v>
      </c>
      <c r="G8">
        <v>0.605</v>
      </c>
      <c r="H8">
        <v>0.277</v>
      </c>
      <c r="I8">
        <v>0.95</v>
      </c>
      <c r="J8">
        <v>0.251</v>
      </c>
      <c r="K8">
        <v>0.509</v>
      </c>
      <c r="L8">
        <v>0.515</v>
      </c>
      <c r="M8">
        <v>0.368</v>
      </c>
      <c r="N8">
        <v>0.428</v>
      </c>
      <c r="O8">
        <v>0.094</v>
      </c>
      <c r="P8">
        <v>0.328</v>
      </c>
      <c r="Q8">
        <v>0.187</v>
      </c>
      <c r="R8">
        <v>0.268</v>
      </c>
      <c r="T8">
        <v>0.578</v>
      </c>
      <c r="U8">
        <v>0.063</v>
      </c>
      <c r="V8">
        <v>0.197</v>
      </c>
      <c r="W8">
        <v>0.674</v>
      </c>
      <c r="X8">
        <v>0.498</v>
      </c>
      <c r="Y8">
        <v>0.385</v>
      </c>
      <c r="Z8">
        <v>0.384</v>
      </c>
      <c r="AA8">
        <v>0.95</v>
      </c>
      <c r="AB8">
        <v>0.412</v>
      </c>
      <c r="AC8">
        <v>0.557</v>
      </c>
      <c r="AD8">
        <v>0.42</v>
      </c>
      <c r="AF8">
        <v>0.474</v>
      </c>
      <c r="AG8">
        <v>0.125</v>
      </c>
      <c r="AH8">
        <v>0.166</v>
      </c>
      <c r="AJ8">
        <v>0.568</v>
      </c>
      <c r="AK8">
        <v>0.082</v>
      </c>
      <c r="AL8">
        <v>0</v>
      </c>
      <c r="AM8">
        <v>0.59</v>
      </c>
    </row>
    <row r="9" spans="2:39">
      <c r="B9" t="str">
        <f t="shared" si="0"/>
        <v>???nga</v>
      </c>
      <c r="C9" t="s">
        <v>327</v>
      </c>
      <c r="D9" t="s">
        <v>332</v>
      </c>
      <c r="E9">
        <v>0.373</v>
      </c>
      <c r="F9">
        <v>0.318</v>
      </c>
      <c r="G9">
        <v>0.197</v>
      </c>
      <c r="H9">
        <v>0.127</v>
      </c>
      <c r="I9">
        <v>0.063</v>
      </c>
      <c r="J9">
        <v>0.312</v>
      </c>
      <c r="K9">
        <v>0.232</v>
      </c>
      <c r="L9">
        <v>0.259</v>
      </c>
      <c r="M9">
        <v>0.29</v>
      </c>
      <c r="N9">
        <v>0.088</v>
      </c>
      <c r="O9">
        <v>0.063</v>
      </c>
      <c r="P9">
        <v>0.254</v>
      </c>
      <c r="Q9">
        <v>0.154</v>
      </c>
      <c r="R9">
        <v>0.164</v>
      </c>
      <c r="T9">
        <v>0.165</v>
      </c>
      <c r="U9">
        <v>0.322</v>
      </c>
      <c r="V9">
        <v>0.158</v>
      </c>
      <c r="W9">
        <v>0.465</v>
      </c>
      <c r="X9">
        <v>0.352</v>
      </c>
      <c r="Y9">
        <v>0.389</v>
      </c>
      <c r="Z9">
        <v>0.314</v>
      </c>
      <c r="AA9">
        <v>0.046</v>
      </c>
      <c r="AB9">
        <v>0.372</v>
      </c>
      <c r="AC9">
        <v>0.457</v>
      </c>
      <c r="AD9">
        <v>0.475</v>
      </c>
      <c r="AE9">
        <v>0.386</v>
      </c>
      <c r="AF9">
        <v>0</v>
      </c>
      <c r="AG9">
        <v>0.195</v>
      </c>
      <c r="AH9">
        <v>0.048</v>
      </c>
      <c r="AI9">
        <v>0.238</v>
      </c>
      <c r="AJ9">
        <v>0.227</v>
      </c>
      <c r="AK9">
        <v>0.301</v>
      </c>
      <c r="AL9">
        <v>0.14</v>
      </c>
      <c r="AM9">
        <v>0.062</v>
      </c>
    </row>
    <row r="10" spans="2:39">
      <c r="B10" t="str">
        <f t="shared" si="0"/>
        <v>???nuc</v>
      </c>
      <c r="C10" t="s">
        <v>329</v>
      </c>
      <c r="D10" t="s">
        <v>332</v>
      </c>
      <c r="J10">
        <v>0.537</v>
      </c>
      <c r="K10">
        <v>0.806</v>
      </c>
      <c r="L10">
        <v>0.72</v>
      </c>
      <c r="M10">
        <v>0.928</v>
      </c>
      <c r="N10">
        <v>0.712</v>
      </c>
      <c r="O10">
        <v>0.548</v>
      </c>
      <c r="P10">
        <v>0.803</v>
      </c>
      <c r="R10">
        <v>0.925</v>
      </c>
      <c r="T10">
        <v>0.63</v>
      </c>
      <c r="W10">
        <v>0</v>
      </c>
      <c r="X10">
        <v>0.397</v>
      </c>
      <c r="Y10">
        <v>0.377</v>
      </c>
      <c r="Z10">
        <v>0.903</v>
      </c>
      <c r="AC10">
        <v>0.705</v>
      </c>
      <c r="AD10">
        <v>0.786</v>
      </c>
      <c r="AF10">
        <v>0.526</v>
      </c>
      <c r="AG10">
        <v>0.882</v>
      </c>
      <c r="AH10">
        <v>0.73</v>
      </c>
      <c r="AI10">
        <v>0.699</v>
      </c>
      <c r="AK10">
        <v>0.62</v>
      </c>
      <c r="AL10">
        <v>0.512</v>
      </c>
    </row>
    <row r="11" spans="2:39">
      <c r="B11" t="str">
        <f t="shared" si="0"/>
        <v>???oil*</v>
      </c>
      <c r="C11" t="s">
        <v>331</v>
      </c>
      <c r="D11" t="s">
        <v>332</v>
      </c>
      <c r="E11">
        <v>0.367</v>
      </c>
      <c r="F11">
        <v>0.146</v>
      </c>
      <c r="G11">
        <v>0.21</v>
      </c>
      <c r="H11">
        <v>0.463</v>
      </c>
      <c r="I11">
        <v>0.21</v>
      </c>
      <c r="J11">
        <v>0.95</v>
      </c>
      <c r="K11">
        <v>0.16</v>
      </c>
      <c r="L11">
        <v>0.52</v>
      </c>
      <c r="M11">
        <v>0.003</v>
      </c>
      <c r="N11">
        <v>0.95</v>
      </c>
      <c r="O11">
        <v>0.571</v>
      </c>
      <c r="P11">
        <v>0.95</v>
      </c>
      <c r="Q11">
        <v>0.301</v>
      </c>
      <c r="R11">
        <v>0.07</v>
      </c>
      <c r="S11">
        <v>0</v>
      </c>
      <c r="T11">
        <v>0.021</v>
      </c>
      <c r="U11">
        <v>0.111</v>
      </c>
      <c r="V11">
        <v>0.782</v>
      </c>
      <c r="W11">
        <v>0.089</v>
      </c>
      <c r="X11">
        <v>0.221</v>
      </c>
      <c r="Y11">
        <v>0.616</v>
      </c>
      <c r="Z11">
        <v>0.117</v>
      </c>
      <c r="AA11">
        <v>0.632</v>
      </c>
      <c r="AB11">
        <v>0.95</v>
      </c>
      <c r="AC11">
        <v>0.2</v>
      </c>
      <c r="AD11">
        <v>0.95</v>
      </c>
      <c r="AE11">
        <v>0.629</v>
      </c>
      <c r="AF11">
        <v>0.001</v>
      </c>
      <c r="AG11">
        <v>0.374</v>
      </c>
      <c r="AH11">
        <v>0.1</v>
      </c>
      <c r="AI11">
        <v>0.26</v>
      </c>
      <c r="AJ11">
        <v>0.059</v>
      </c>
      <c r="AK11">
        <v>0.22</v>
      </c>
      <c r="AL11">
        <v>0.95</v>
      </c>
      <c r="AM11">
        <v>0.103</v>
      </c>
    </row>
    <row r="12" spans="2:39">
      <c r="B12" t="str">
        <f t="shared" si="0"/>
        <v>elcbsl,indbio</v>
      </c>
      <c r="C12" t="s">
        <v>322</v>
      </c>
      <c r="D12" t="s">
        <v>333</v>
      </c>
      <c r="E12">
        <v>0.057</v>
      </c>
      <c r="F12">
        <v>0.287</v>
      </c>
      <c r="G12">
        <v>0.506</v>
      </c>
      <c r="H12">
        <v>0.564</v>
      </c>
      <c r="I12">
        <v>0.842</v>
      </c>
      <c r="J12">
        <v>0.95</v>
      </c>
      <c r="K12">
        <v>0.436</v>
      </c>
      <c r="L12">
        <v>0.95</v>
      </c>
      <c r="M12">
        <v>0.711</v>
      </c>
      <c r="N12">
        <v>0.77</v>
      </c>
      <c r="O12">
        <v>0.834</v>
      </c>
      <c r="P12">
        <v>0.769</v>
      </c>
      <c r="Q12">
        <v>0.587</v>
      </c>
      <c r="R12">
        <v>0.879</v>
      </c>
      <c r="T12">
        <v>0.655</v>
      </c>
      <c r="U12">
        <v>0.95</v>
      </c>
      <c r="V12">
        <v>0.751</v>
      </c>
      <c r="W12">
        <v>0.95</v>
      </c>
      <c r="X12">
        <v>0.462</v>
      </c>
      <c r="Y12">
        <v>0.95</v>
      </c>
      <c r="Z12">
        <v>0.644</v>
      </c>
      <c r="AA12">
        <v>0.95</v>
      </c>
      <c r="AB12">
        <v>0.95</v>
      </c>
      <c r="AC12">
        <v>0.564</v>
      </c>
      <c r="AD12">
        <v>0.107</v>
      </c>
      <c r="AF12">
        <v>0.189</v>
      </c>
      <c r="AG12">
        <v>0.727</v>
      </c>
      <c r="AH12">
        <v>0.476</v>
      </c>
      <c r="AI12">
        <v>0.95</v>
      </c>
      <c r="AJ12">
        <v>0.56</v>
      </c>
      <c r="AK12">
        <v>0.77</v>
      </c>
      <c r="AL12">
        <v>0.41</v>
      </c>
      <c r="AM12">
        <v>0.95</v>
      </c>
    </row>
    <row r="13" spans="2:39">
      <c r="B13" t="str">
        <f t="shared" si="0"/>
        <v>???coa,elccob</v>
      </c>
      <c r="C13" t="s">
        <v>325</v>
      </c>
      <c r="D13" t="s">
        <v>333</v>
      </c>
      <c r="E13">
        <v>0.777</v>
      </c>
      <c r="F13">
        <v>0.47</v>
      </c>
      <c r="G13">
        <v>0.724</v>
      </c>
      <c r="H13">
        <v>0.95</v>
      </c>
      <c r="I13">
        <v>0.95</v>
      </c>
      <c r="J13">
        <v>0.95</v>
      </c>
      <c r="K13">
        <v>0.922</v>
      </c>
      <c r="L13">
        <v>0.587</v>
      </c>
      <c r="M13">
        <v>0.578</v>
      </c>
      <c r="N13">
        <v>0.544</v>
      </c>
      <c r="O13">
        <v>0.391</v>
      </c>
      <c r="P13">
        <v>0.625</v>
      </c>
      <c r="Q13">
        <v>0.597</v>
      </c>
      <c r="R13">
        <v>0.431</v>
      </c>
      <c r="T13">
        <v>0.707</v>
      </c>
      <c r="U13">
        <v>0.604</v>
      </c>
      <c r="V13">
        <v>0.509</v>
      </c>
      <c r="W13">
        <v>0.9</v>
      </c>
      <c r="X13">
        <v>0.777</v>
      </c>
      <c r="Y13">
        <v>0.95</v>
      </c>
      <c r="Z13">
        <v>0.568</v>
      </c>
      <c r="AA13">
        <v>0.95</v>
      </c>
      <c r="AB13">
        <v>0.522</v>
      </c>
      <c r="AC13">
        <v>0.7</v>
      </c>
      <c r="AD13">
        <v>0.637</v>
      </c>
      <c r="AF13">
        <v>0.671</v>
      </c>
      <c r="AG13">
        <v>0.575</v>
      </c>
      <c r="AH13">
        <v>0.351</v>
      </c>
      <c r="AJ13">
        <v>0.679</v>
      </c>
      <c r="AK13">
        <v>0.539</v>
      </c>
      <c r="AL13">
        <v>0.319</v>
      </c>
      <c r="AM13">
        <v>0.695</v>
      </c>
    </row>
    <row r="14" spans="2:39">
      <c r="B14" t="str">
        <f t="shared" si="0"/>
        <v>???nga</v>
      </c>
      <c r="C14" t="s">
        <v>327</v>
      </c>
      <c r="D14" t="s">
        <v>333</v>
      </c>
      <c r="E14">
        <v>0.505</v>
      </c>
      <c r="F14">
        <v>0.399</v>
      </c>
      <c r="G14">
        <v>0.324</v>
      </c>
      <c r="H14">
        <v>0.268</v>
      </c>
      <c r="I14">
        <v>0.149</v>
      </c>
      <c r="J14">
        <v>0.495</v>
      </c>
      <c r="K14">
        <v>0.675</v>
      </c>
      <c r="L14">
        <v>0.324</v>
      </c>
      <c r="M14">
        <v>0.787</v>
      </c>
      <c r="N14">
        <v>0.352</v>
      </c>
      <c r="O14">
        <v>0.294</v>
      </c>
      <c r="P14">
        <v>0.352</v>
      </c>
      <c r="Q14">
        <v>0.468</v>
      </c>
      <c r="R14">
        <v>0.256</v>
      </c>
      <c r="T14">
        <v>0.267</v>
      </c>
      <c r="U14">
        <v>0.442</v>
      </c>
      <c r="V14">
        <v>0.298</v>
      </c>
      <c r="W14">
        <v>0.665</v>
      </c>
      <c r="X14">
        <v>0.479</v>
      </c>
      <c r="Y14">
        <v>0.441</v>
      </c>
      <c r="Z14">
        <v>0.393</v>
      </c>
      <c r="AA14">
        <v>0.268</v>
      </c>
      <c r="AB14">
        <v>0.757</v>
      </c>
      <c r="AC14">
        <v>0.53</v>
      </c>
      <c r="AD14">
        <v>0.576</v>
      </c>
      <c r="AE14">
        <v>0.467</v>
      </c>
      <c r="AF14">
        <v>0.95</v>
      </c>
      <c r="AG14">
        <v>0.375</v>
      </c>
      <c r="AH14">
        <v>0.229</v>
      </c>
      <c r="AI14">
        <v>0.427</v>
      </c>
      <c r="AJ14">
        <v>0.617</v>
      </c>
      <c r="AK14">
        <v>0.466</v>
      </c>
      <c r="AL14">
        <v>0.495</v>
      </c>
      <c r="AM14">
        <v>0.266</v>
      </c>
    </row>
    <row r="15" spans="2:39">
      <c r="B15" t="str">
        <f t="shared" si="0"/>
        <v>???nuc</v>
      </c>
      <c r="C15" t="s">
        <v>329</v>
      </c>
      <c r="D15" t="s">
        <v>333</v>
      </c>
      <c r="J15">
        <v>0.95</v>
      </c>
      <c r="K15">
        <v>0.925</v>
      </c>
      <c r="L15">
        <v>0.873</v>
      </c>
      <c r="M15">
        <v>0.95</v>
      </c>
      <c r="N15">
        <v>0.885</v>
      </c>
      <c r="O15">
        <v>0.791</v>
      </c>
      <c r="P15">
        <v>0.95</v>
      </c>
      <c r="R15">
        <v>0.948</v>
      </c>
      <c r="T15">
        <v>0.778</v>
      </c>
      <c r="W15">
        <v>0.267</v>
      </c>
      <c r="X15">
        <v>0.663</v>
      </c>
      <c r="Y15">
        <v>0.856</v>
      </c>
      <c r="Z15">
        <v>0.93</v>
      </c>
      <c r="AC15">
        <v>0.868</v>
      </c>
      <c r="AD15">
        <v>0.95</v>
      </c>
      <c r="AF15">
        <v>0.884</v>
      </c>
      <c r="AG15">
        <v>0.939</v>
      </c>
      <c r="AH15">
        <v>0.911</v>
      </c>
      <c r="AI15">
        <v>0.95</v>
      </c>
      <c r="AK15">
        <v>0.884</v>
      </c>
      <c r="AL15">
        <v>0.729</v>
      </c>
    </row>
    <row r="16" spans="2:39">
      <c r="B16" t="str">
        <f t="shared" si="0"/>
        <v>???oil*</v>
      </c>
      <c r="C16" t="s">
        <v>331</v>
      </c>
      <c r="D16" t="s">
        <v>333</v>
      </c>
      <c r="E16">
        <v>0.95</v>
      </c>
      <c r="F16">
        <v>0.402</v>
      </c>
      <c r="G16">
        <v>0.344</v>
      </c>
      <c r="H16">
        <v>0.574</v>
      </c>
      <c r="I16">
        <v>0.689</v>
      </c>
      <c r="J16">
        <v>0.95</v>
      </c>
      <c r="K16">
        <v>0.458</v>
      </c>
      <c r="L16">
        <v>0.95</v>
      </c>
      <c r="M16">
        <v>0.017</v>
      </c>
      <c r="N16">
        <v>0.95</v>
      </c>
      <c r="O16">
        <v>0.732</v>
      </c>
      <c r="P16">
        <v>0.95</v>
      </c>
      <c r="Q16">
        <v>0.359</v>
      </c>
      <c r="R16">
        <v>0.106</v>
      </c>
      <c r="S16">
        <v>0</v>
      </c>
      <c r="T16">
        <v>0.1</v>
      </c>
      <c r="U16">
        <v>0.404</v>
      </c>
      <c r="V16">
        <v>0.95</v>
      </c>
      <c r="W16">
        <v>0.332</v>
      </c>
      <c r="X16">
        <v>0.364</v>
      </c>
      <c r="Y16">
        <v>0.902</v>
      </c>
      <c r="Z16">
        <v>0.16</v>
      </c>
      <c r="AA16">
        <v>0.95</v>
      </c>
      <c r="AB16">
        <v>0.95</v>
      </c>
      <c r="AC16">
        <v>0.557</v>
      </c>
      <c r="AD16">
        <v>0.95</v>
      </c>
      <c r="AE16">
        <v>0.95</v>
      </c>
      <c r="AF16">
        <v>0.231</v>
      </c>
      <c r="AG16">
        <v>0.616</v>
      </c>
      <c r="AH16">
        <v>0.182</v>
      </c>
      <c r="AI16">
        <v>0.311</v>
      </c>
      <c r="AJ16">
        <v>0.474</v>
      </c>
      <c r="AK16">
        <v>0.644</v>
      </c>
      <c r="AL16">
        <v>0.95</v>
      </c>
      <c r="AM16">
        <v>0.95</v>
      </c>
    </row>
    <row r="18" spans="1:46">
      <c r="A18" t="s">
        <v>246</v>
      </c>
    </row>
    <row r="20" spans="1:46">
      <c r="D20" s="12" t="s">
        <v>334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1:46">
      <c r="A21" t="s">
        <v>82</v>
      </c>
      <c r="B21" t="s">
        <v>56</v>
      </c>
      <c r="C21" t="s">
        <v>335</v>
      </c>
      <c r="D21" s="14" t="s">
        <v>4</v>
      </c>
      <c r="E21" s="13" t="str">
        <f xml:space="preserve">E1</f>
        <v>Africa_North</v>
      </c>
      <c r="F21" s="13" t="str">
        <f t="shared" ref="F21:AM21" si="1" xml:space="preserve">F1</f>
        <v>Africa_Other</v>
      </c>
      <c r="G21" s="13" t="str">
        <f t="shared" si="1"/>
        <v>Australia</v>
      </c>
      <c r="H21" s="13" t="str">
        <f t="shared" si="1"/>
        <v>Austria</v>
      </c>
      <c r="I21" s="13" t="str">
        <f t="shared" si="1"/>
        <v>Baltics</v>
      </c>
      <c r="J21" s="13" t="str">
        <f t="shared" si="1"/>
        <v>BeNeLux</v>
      </c>
      <c r="K21" s="13" t="str">
        <f t="shared" si="1"/>
        <v>Brazil</v>
      </c>
      <c r="L21" s="13" t="str">
        <f t="shared" si="1"/>
        <v>China</v>
      </c>
      <c r="M21" s="13" t="str">
        <f t="shared" si="1"/>
        <v>CroSloven</v>
      </c>
      <c r="N21" s="13" t="str">
        <f t="shared" si="1"/>
        <v>CzechSlovak</v>
      </c>
      <c r="O21" s="13" t="str">
        <f t="shared" si="1"/>
        <v>France</v>
      </c>
      <c r="P21" s="13" t="str">
        <f t="shared" si="1"/>
        <v>Germany</v>
      </c>
      <c r="Q21" s="13" t="str">
        <f t="shared" si="1"/>
        <v>GreeceCyp</v>
      </c>
      <c r="R21" s="13" t="str">
        <f t="shared" si="1"/>
        <v>HunRomBul</v>
      </c>
      <c r="S21" s="13" t="str">
        <f t="shared" si="1"/>
        <v>Iceland</v>
      </c>
      <c r="T21" s="13" t="str">
        <f t="shared" si="1"/>
        <v>India</v>
      </c>
      <c r="U21" s="13" t="str">
        <f t="shared" si="1"/>
        <v>Ireland</v>
      </c>
      <c r="V21" s="13" t="str">
        <f t="shared" si="1"/>
        <v>ItalyMal</v>
      </c>
      <c r="W21" s="13" t="str">
        <f t="shared" si="1"/>
        <v>Japan</v>
      </c>
      <c r="X21" s="13" t="str">
        <f t="shared" si="1"/>
        <v>LatAm</v>
      </c>
      <c r="Y21" s="13" t="str">
        <f t="shared" si="1"/>
        <v>MidEast</v>
      </c>
      <c r="Z21" s="13" t="str">
        <f t="shared" si="1"/>
        <v>NorthAm</v>
      </c>
      <c r="AA21" s="13" t="str">
        <f t="shared" si="1"/>
        <v>Norway</v>
      </c>
      <c r="AB21" s="13" t="str">
        <f t="shared" si="1"/>
        <v>Poland</v>
      </c>
      <c r="AC21" s="13" t="str">
        <f t="shared" si="1"/>
        <v>ROW</v>
      </c>
      <c r="AD21" s="13" t="str">
        <f t="shared" si="1"/>
        <v>Russia</v>
      </c>
      <c r="AE21" s="13" t="str">
        <f t="shared" si="1"/>
        <v>SaudiArabia</v>
      </c>
      <c r="AF21" s="13" t="str">
        <f t="shared" si="1"/>
        <v>SouthAfrica</v>
      </c>
      <c r="AG21" s="13" t="str">
        <f t="shared" si="1"/>
        <v>SpainPor</v>
      </c>
      <c r="AH21" s="13" t="str">
        <f t="shared" si="1"/>
        <v>SweFinDen</v>
      </c>
      <c r="AI21" s="13" t="str">
        <f t="shared" si="1"/>
        <v>Switzerland</v>
      </c>
      <c r="AJ21" s="13" t="str">
        <f t="shared" si="1"/>
        <v>Turkey</v>
      </c>
      <c r="AK21" s="13" t="str">
        <f t="shared" si="1"/>
        <v>UK</v>
      </c>
      <c r="AL21" s="13" t="str">
        <f t="shared" si="1"/>
        <v>Ukraine</v>
      </c>
      <c r="AM21" s="13" t="str">
        <f t="shared" si="1"/>
        <v>WestBalkans</v>
      </c>
      <c r="AN21" s="13" t="s">
        <v>336</v>
      </c>
      <c r="AO21" t="s">
        <v>57</v>
      </c>
      <c r="AP21" t="s">
        <v>337</v>
      </c>
      <c r="AQ21" s="13" t="s">
        <v>64</v>
      </c>
      <c r="AR21" s="13" t="s">
        <v>338</v>
      </c>
      <c r="AS21" s="13" t="s">
        <v>29</v>
      </c>
      <c r="AT21" s="13" t="s">
        <v>339</v>
      </c>
    </row>
    <row r="22" spans="1:46">
      <c r="A22" s="15">
        <v>0.95</v>
      </c>
      <c r="B22" t="str">
        <f xml:space="preserve">"UCE_utilization_"&amp;C2&amp;"_"&amp;C22</f>
        <v>UCE_utilization_bioenergy_LO</v>
      </c>
      <c r="C22" t="s">
        <v>340</v>
      </c>
      <c r="D22" s="16">
        <v>2023</v>
      </c>
      <c r="E22" s="13">
        <f xml:space="preserve">IF(E2="","",-MIN(E2,0.8)*$A22)</f>
        <v>-0.03135</v>
      </c>
      <c r="F22" s="13">
        <f t="shared" ref="F22:AM26" si="2" xml:space="preserve">IF(F2="","",-MIN(F2,0.8)*$A22)</f>
        <v>-0.2527</v>
      </c>
      <c r="G22" s="13">
        <f t="shared" si="2"/>
        <v>-0.3857</v>
      </c>
      <c r="H22" s="13">
        <f t="shared" si="2"/>
        <v>-0.40755</v>
      </c>
      <c r="I22" s="13">
        <f t="shared" si="2"/>
        <v>-0.5282</v>
      </c>
      <c r="J22" s="13">
        <f t="shared" si="2"/>
        <v>-0.76</v>
      </c>
      <c r="K22" s="13">
        <f t="shared" si="2"/>
        <v>-0.34485</v>
      </c>
      <c r="L22" s="13">
        <f t="shared" si="2"/>
        <v>-0.76</v>
      </c>
      <c r="M22" s="13">
        <f t="shared" si="2"/>
        <v>-0.5586</v>
      </c>
      <c r="N22" s="13">
        <f t="shared" si="2"/>
        <v>-0.6669</v>
      </c>
      <c r="O22" s="13">
        <f t="shared" si="2"/>
        <v>-0.66025</v>
      </c>
      <c r="P22" s="13">
        <f t="shared" si="2"/>
        <v>-0.55955</v>
      </c>
      <c r="Q22" s="13">
        <f t="shared" si="2"/>
        <v>-0.4883</v>
      </c>
      <c r="R22" s="13">
        <f t="shared" si="2"/>
        <v>-0.64315</v>
      </c>
      <c r="S22" s="13" t="str">
        <f t="shared" si="2"/>
        <v/>
      </c>
      <c r="T22" s="13">
        <f t="shared" si="2"/>
        <v>-0.38665</v>
      </c>
      <c r="U22" s="13">
        <f t="shared" si="2"/>
        <v>-0.76</v>
      </c>
      <c r="V22" s="13">
        <f t="shared" si="2"/>
        <v>-0.5928</v>
      </c>
      <c r="W22" s="13">
        <f t="shared" si="2"/>
        <v>-0.76</v>
      </c>
      <c r="X22" s="13">
        <f t="shared" si="2"/>
        <v>-0.4389</v>
      </c>
      <c r="Y22" s="13">
        <f t="shared" si="2"/>
        <v>-0.76</v>
      </c>
      <c r="Z22" s="13">
        <f t="shared" si="2"/>
        <v>-0.51965</v>
      </c>
      <c r="AA22" s="13">
        <f t="shared" si="2"/>
        <v>-0.76</v>
      </c>
      <c r="AB22" s="13">
        <f t="shared" si="2"/>
        <v>-0.741</v>
      </c>
      <c r="AC22" s="13">
        <f t="shared" si="2"/>
        <v>-0.5358</v>
      </c>
      <c r="AD22" s="13">
        <f t="shared" si="2"/>
        <v>-0.06745</v>
      </c>
      <c r="AE22" s="13" t="str">
        <f t="shared" si="2"/>
        <v/>
      </c>
      <c r="AF22" s="13">
        <f t="shared" si="2"/>
        <v>-0.171</v>
      </c>
      <c r="AG22" s="13">
        <f t="shared" si="2"/>
        <v>-0.5738</v>
      </c>
      <c r="AH22" s="13">
        <f t="shared" si="2"/>
        <v>-0.36575</v>
      </c>
      <c r="AI22" s="13">
        <f t="shared" si="2"/>
        <v>-0.76</v>
      </c>
      <c r="AJ22" s="13">
        <f t="shared" si="2"/>
        <v>-0.45695</v>
      </c>
      <c r="AK22" s="13">
        <f t="shared" si="2"/>
        <v>-0.55005</v>
      </c>
      <c r="AL22" s="13">
        <f t="shared" si="2"/>
        <v>-0.16245</v>
      </c>
      <c r="AM22" s="13">
        <f t="shared" si="2"/>
        <v>-0.60705</v>
      </c>
      <c r="AN22" s="17">
        <f xml:space="preserve">1/31.536</f>
        <v>0.0317097919837646</v>
      </c>
      <c r="AO22" t="s">
        <v>67</v>
      </c>
      <c r="AP22" t="str">
        <f xml:space="preserve">B2</f>
        <v>elcbsl,indbio</v>
      </c>
      <c r="AQ22">
        <v>2</v>
      </c>
      <c r="AR22" s="44" t="s">
        <v>341</v>
      </c>
    </row>
    <row r="23" spans="1:46">
      <c r="A23" s="18">
        <v>0.8</v>
      </c>
      <c r="B23" t="str">
        <f t="shared" ref="B23:B26" si="3" xml:space="preserve">"UCE_utilization_"&amp;C3&amp;"_"&amp;C23</f>
        <v>UCE_utilization_coal_LO</v>
      </c>
      <c r="C23" t="s">
        <v>340</v>
      </c>
      <c r="D23" s="16">
        <f xml:space="preserve">D22</f>
        <v>2023</v>
      </c>
      <c r="E23" s="13">
        <f t="shared" ref="E23:T26" si="4" xml:space="preserve">IF(E3="","",-MIN(E3,0.8)*$A23)</f>
        <v>-0.5864</v>
      </c>
      <c r="F23" s="13">
        <f t="shared" si="4"/>
        <v>0</v>
      </c>
      <c r="G23" s="13">
        <f t="shared" si="4"/>
        <v>-0.5016</v>
      </c>
      <c r="H23" s="13">
        <f t="shared" si="4"/>
        <v>-0.64</v>
      </c>
      <c r="I23" s="13" t="str">
        <f t="shared" si="4"/>
        <v/>
      </c>
      <c r="J23" s="13">
        <f t="shared" si="4"/>
        <v>-0.2224</v>
      </c>
      <c r="K23" s="13">
        <f t="shared" si="4"/>
        <v>-0.4072</v>
      </c>
      <c r="L23" s="13">
        <f t="shared" si="4"/>
        <v>-0.4608</v>
      </c>
      <c r="M23" s="13">
        <f t="shared" si="4"/>
        <v>-0.2944</v>
      </c>
      <c r="N23" s="13">
        <f t="shared" si="4"/>
        <v>-0.3656</v>
      </c>
      <c r="O23" s="13">
        <f t="shared" si="4"/>
        <v>-0.0784</v>
      </c>
      <c r="P23" s="13">
        <f t="shared" si="4"/>
        <v>-0.3056</v>
      </c>
      <c r="Q23" s="13">
        <f t="shared" si="4"/>
        <v>-0.1496</v>
      </c>
      <c r="R23" s="13">
        <f t="shared" si="4"/>
        <v>-0.2216</v>
      </c>
      <c r="S23" s="13" t="str">
        <f t="shared" si="4"/>
        <v/>
      </c>
      <c r="T23" s="13">
        <f t="shared" si="4"/>
        <v>-0.5656</v>
      </c>
      <c r="U23" s="13">
        <f t="shared" si="2"/>
        <v>-0.1056</v>
      </c>
      <c r="V23" s="13">
        <f t="shared" si="2"/>
        <v>-0.2056</v>
      </c>
      <c r="W23" s="13">
        <f t="shared" si="2"/>
        <v>-0.5392</v>
      </c>
      <c r="X23" s="13">
        <f t="shared" si="2"/>
        <v>-0.3984</v>
      </c>
      <c r="Y23" s="13">
        <f t="shared" si="2"/>
        <v>-0.64</v>
      </c>
      <c r="Z23" s="13">
        <f t="shared" si="2"/>
        <v>-0.316</v>
      </c>
      <c r="AA23" s="13">
        <f t="shared" si="2"/>
        <v>-0.64</v>
      </c>
      <c r="AB23" s="13">
        <f t="shared" si="2"/>
        <v>-0.3296</v>
      </c>
      <c r="AC23" s="13">
        <f t="shared" si="2"/>
        <v>-0.452</v>
      </c>
      <c r="AD23" s="13">
        <f t="shared" si="2"/>
        <v>-0.5096</v>
      </c>
      <c r="AE23" s="13" t="str">
        <f t="shared" si="2"/>
        <v/>
      </c>
      <c r="AF23" s="13">
        <f t="shared" si="2"/>
        <v>-0.3792</v>
      </c>
      <c r="AG23" s="13">
        <f t="shared" si="2"/>
        <v>-0.1208</v>
      </c>
      <c r="AH23" s="13">
        <f t="shared" si="2"/>
        <v>-0.1328</v>
      </c>
      <c r="AI23" s="13" t="str">
        <f t="shared" si="2"/>
        <v/>
      </c>
      <c r="AJ23" s="13">
        <f t="shared" si="2"/>
        <v>-0.5168</v>
      </c>
      <c r="AK23" s="13">
        <f t="shared" si="2"/>
        <v>-0.1472</v>
      </c>
      <c r="AL23" s="13">
        <f t="shared" si="2"/>
        <v>0</v>
      </c>
      <c r="AM23" s="13">
        <f t="shared" si="2"/>
        <v>-0.472</v>
      </c>
      <c r="AN23" s="17">
        <f t="shared" ref="AN23:AN31" si="5" xml:space="preserve">1/31.536</f>
        <v>0.0317097919837646</v>
      </c>
      <c r="AO23" t="s">
        <v>67</v>
      </c>
      <c r="AP23" t="str">
        <f xml:space="preserve">B3</f>
        <v>???coa,elccob</v>
      </c>
      <c r="AQ23">
        <v>2</v>
      </c>
      <c r="AR23" s="44" t="s">
        <v>341</v>
      </c>
    </row>
    <row r="24" spans="1:46">
      <c r="A24" s="15">
        <v>0.95</v>
      </c>
      <c r="B24" t="str">
        <f t="shared" si="3"/>
        <v>UCE_utilization_gas_LO</v>
      </c>
      <c r="C24" t="s">
        <v>340</v>
      </c>
      <c r="D24" s="16">
        <f t="shared" ref="D24:D31" si="6" xml:space="preserve">D23</f>
        <v>2023</v>
      </c>
      <c r="E24" s="13">
        <f t="shared" si="4"/>
        <v>-0.36765</v>
      </c>
      <c r="F24" s="13">
        <f t="shared" si="2"/>
        <v>-0.31065</v>
      </c>
      <c r="G24" s="13">
        <f t="shared" si="2"/>
        <v>-0.18715</v>
      </c>
      <c r="H24" s="13">
        <f t="shared" si="2"/>
        <v>-0.1501</v>
      </c>
      <c r="I24" s="13">
        <f t="shared" si="2"/>
        <v>-0.07315</v>
      </c>
      <c r="J24" s="13">
        <f t="shared" si="2"/>
        <v>-0.2964</v>
      </c>
      <c r="K24" s="13">
        <f t="shared" si="2"/>
        <v>-0.2204</v>
      </c>
      <c r="L24" s="13">
        <f t="shared" si="2"/>
        <v>-0.24605</v>
      </c>
      <c r="M24" s="13">
        <f t="shared" si="2"/>
        <v>-0.6536</v>
      </c>
      <c r="N24" s="13">
        <f t="shared" si="2"/>
        <v>-0.13775</v>
      </c>
      <c r="O24" s="13">
        <f t="shared" si="2"/>
        <v>-0.1843</v>
      </c>
      <c r="P24" s="13">
        <f t="shared" si="2"/>
        <v>-0.24795</v>
      </c>
      <c r="Q24" s="13">
        <f t="shared" si="2"/>
        <v>-0.26885</v>
      </c>
      <c r="R24" s="13">
        <f t="shared" si="2"/>
        <v>-0.18905</v>
      </c>
      <c r="S24" s="13" t="str">
        <f t="shared" si="2"/>
        <v/>
      </c>
      <c r="T24" s="13">
        <f t="shared" si="2"/>
        <v>-0.17575</v>
      </c>
      <c r="U24" s="13">
        <f t="shared" si="2"/>
        <v>-0.39045</v>
      </c>
      <c r="V24" s="13">
        <f t="shared" si="2"/>
        <v>-0.2261</v>
      </c>
      <c r="W24" s="13">
        <f t="shared" si="2"/>
        <v>-0.44175</v>
      </c>
      <c r="X24" s="13">
        <f t="shared" si="2"/>
        <v>-0.38</v>
      </c>
      <c r="Y24" s="13">
        <f t="shared" si="2"/>
        <v>-0.41515</v>
      </c>
      <c r="Z24" s="13">
        <f t="shared" si="2"/>
        <v>-0.37335</v>
      </c>
      <c r="AA24" s="13">
        <f t="shared" si="2"/>
        <v>-0.24985</v>
      </c>
      <c r="AB24" s="13">
        <f t="shared" si="2"/>
        <v>-0.4579</v>
      </c>
      <c r="AC24" s="13">
        <f t="shared" si="2"/>
        <v>-0.43415</v>
      </c>
      <c r="AD24" s="13">
        <f t="shared" si="2"/>
        <v>-0.51015</v>
      </c>
      <c r="AE24" s="13">
        <f t="shared" si="2"/>
        <v>-0.4104</v>
      </c>
      <c r="AF24" s="13">
        <f t="shared" si="2"/>
        <v>0</v>
      </c>
      <c r="AG24" s="13">
        <f t="shared" si="2"/>
        <v>-0.25555</v>
      </c>
      <c r="AH24" s="13">
        <f t="shared" si="2"/>
        <v>-0.0456</v>
      </c>
      <c r="AI24" s="13">
        <f t="shared" si="2"/>
        <v>-0.2356</v>
      </c>
      <c r="AJ24" s="13">
        <f t="shared" si="2"/>
        <v>-0.26125</v>
      </c>
      <c r="AK24" s="13">
        <f t="shared" si="2"/>
        <v>-0.28595</v>
      </c>
      <c r="AL24" s="13">
        <f t="shared" si="2"/>
        <v>-0.47025</v>
      </c>
      <c r="AM24" s="13">
        <f t="shared" si="2"/>
        <v>-0.2489</v>
      </c>
      <c r="AN24" s="17">
        <f t="shared" si="5"/>
        <v>0.0317097919837646</v>
      </c>
      <c r="AO24" t="s">
        <v>67</v>
      </c>
      <c r="AP24" t="str">
        <f xml:space="preserve">B4</f>
        <v>???nga</v>
      </c>
      <c r="AQ24">
        <v>2</v>
      </c>
      <c r="AR24" s="44" t="s">
        <v>341</v>
      </c>
      <c r="AS24" s="44" t="s">
        <v>342</v>
      </c>
      <c r="AT24" t="s">
        <v>343</v>
      </c>
    </row>
    <row r="25" spans="1:46">
      <c r="A25" s="15">
        <v>0.95</v>
      </c>
      <c r="B25" t="str">
        <f t="shared" si="3"/>
        <v>UCE_utilization_nuclear_LO</v>
      </c>
      <c r="C25" t="s">
        <v>340</v>
      </c>
      <c r="D25" s="16">
        <f t="shared" si="6"/>
        <v>2023</v>
      </c>
      <c r="E25" s="13" t="str">
        <f t="shared" si="4"/>
        <v/>
      </c>
      <c r="F25" s="13" t="str">
        <f t="shared" si="2"/>
        <v/>
      </c>
      <c r="G25" s="13" t="str">
        <f t="shared" si="2"/>
        <v/>
      </c>
      <c r="H25" s="13" t="str">
        <f t="shared" si="2"/>
        <v/>
      </c>
      <c r="I25" s="13" t="str">
        <f t="shared" si="2"/>
        <v/>
      </c>
      <c r="J25" s="13">
        <f t="shared" si="2"/>
        <v>-0.76</v>
      </c>
      <c r="K25" s="13">
        <f t="shared" si="2"/>
        <v>-0.76</v>
      </c>
      <c r="L25" s="13">
        <f t="shared" si="2"/>
        <v>-0.76</v>
      </c>
      <c r="M25" s="13">
        <f t="shared" si="2"/>
        <v>-0.76</v>
      </c>
      <c r="N25" s="13">
        <f t="shared" si="2"/>
        <v>-0.76</v>
      </c>
      <c r="O25" s="13">
        <f t="shared" si="2"/>
        <v>-0.5928</v>
      </c>
      <c r="P25" s="13">
        <f t="shared" si="2"/>
        <v>-0.76</v>
      </c>
      <c r="Q25" s="13" t="str">
        <f t="shared" si="2"/>
        <v/>
      </c>
      <c r="R25" s="13">
        <f t="shared" si="2"/>
        <v>-0.76</v>
      </c>
      <c r="S25" s="13" t="str">
        <f t="shared" si="2"/>
        <v/>
      </c>
      <c r="T25" s="13">
        <f t="shared" si="2"/>
        <v>-0.6992</v>
      </c>
      <c r="U25" s="13" t="str">
        <f t="shared" si="2"/>
        <v/>
      </c>
      <c r="V25" s="13" t="str">
        <f t="shared" si="2"/>
        <v/>
      </c>
      <c r="W25" s="13">
        <f t="shared" si="2"/>
        <v>-0.25365</v>
      </c>
      <c r="X25" s="13">
        <f t="shared" si="2"/>
        <v>-0.5548</v>
      </c>
      <c r="Y25" s="13">
        <f t="shared" si="2"/>
        <v>-0.76</v>
      </c>
      <c r="Z25" s="13">
        <f t="shared" si="2"/>
        <v>-0.76</v>
      </c>
      <c r="AA25" s="13" t="str">
        <f t="shared" si="2"/>
        <v/>
      </c>
      <c r="AB25" s="13" t="str">
        <f t="shared" si="2"/>
        <v/>
      </c>
      <c r="AC25" s="13">
        <f t="shared" si="2"/>
        <v>-0.76</v>
      </c>
      <c r="AD25" s="13">
        <f t="shared" si="2"/>
        <v>-0.76</v>
      </c>
      <c r="AE25" s="13" t="str">
        <f t="shared" si="2"/>
        <v/>
      </c>
      <c r="AF25" s="13">
        <f t="shared" si="2"/>
        <v>-0.4997</v>
      </c>
      <c r="AG25" s="13">
        <f t="shared" si="2"/>
        <v>-0.76</v>
      </c>
      <c r="AH25" s="13">
        <f t="shared" si="2"/>
        <v>-0.76</v>
      </c>
      <c r="AI25" s="13">
        <f t="shared" si="2"/>
        <v>-0.76</v>
      </c>
      <c r="AJ25" s="13" t="str">
        <f t="shared" si="2"/>
        <v/>
      </c>
      <c r="AK25" s="13">
        <f t="shared" si="2"/>
        <v>-0.75145</v>
      </c>
      <c r="AL25" s="13" t="str">
        <f t="shared" si="2"/>
        <v/>
      </c>
      <c r="AM25" s="13" t="str">
        <f t="shared" si="2"/>
        <v/>
      </c>
      <c r="AN25" s="17">
        <f t="shared" si="5"/>
        <v>0.0317097919837646</v>
      </c>
      <c r="AO25" t="s">
        <v>67</v>
      </c>
      <c r="AP25" t="str">
        <f xml:space="preserve">B5</f>
        <v>???nuc</v>
      </c>
      <c r="AQ25">
        <v>2</v>
      </c>
      <c r="AR25" s="44" t="s">
        <v>341</v>
      </c>
    </row>
    <row r="26" spans="1:46">
      <c r="A26" s="15">
        <v>0.95</v>
      </c>
      <c r="B26" t="str">
        <f t="shared" si="3"/>
        <v>UCE_utilization_oil_\I: LO</v>
      </c>
      <c r="C26" t="s">
        <v>344</v>
      </c>
      <c r="D26" s="16">
        <f t="shared" si="6"/>
        <v>2023</v>
      </c>
      <c r="E26" s="13">
        <f t="shared" si="4"/>
        <v>-0.76</v>
      </c>
      <c r="F26" s="13">
        <f t="shared" si="2"/>
        <v>-0.1387</v>
      </c>
      <c r="G26" s="13">
        <f t="shared" si="2"/>
        <v>-0.2489</v>
      </c>
      <c r="H26" s="13">
        <f t="shared" si="2"/>
        <v>-0.54435</v>
      </c>
      <c r="I26" s="13">
        <f t="shared" si="2"/>
        <v>-0.35055</v>
      </c>
      <c r="J26" s="13">
        <f t="shared" si="2"/>
        <v>-0.76</v>
      </c>
      <c r="K26" s="13">
        <f t="shared" si="2"/>
        <v>-0.1577</v>
      </c>
      <c r="L26" s="13">
        <f t="shared" si="2"/>
        <v>-0.5529</v>
      </c>
      <c r="M26" s="13">
        <f t="shared" si="2"/>
        <v>-0.01615</v>
      </c>
      <c r="N26" s="13">
        <f t="shared" si="2"/>
        <v>-0.76</v>
      </c>
      <c r="O26" s="13">
        <f t="shared" si="2"/>
        <v>-0.54245</v>
      </c>
      <c r="P26" s="13">
        <f t="shared" si="2"/>
        <v>-0.76</v>
      </c>
      <c r="Q26" s="13">
        <f t="shared" si="2"/>
        <v>-0.2964</v>
      </c>
      <c r="R26" s="13">
        <f t="shared" si="2"/>
        <v>-0.0836</v>
      </c>
      <c r="S26" s="13" t="str">
        <f t="shared" si="2"/>
        <v/>
      </c>
      <c r="T26" s="13">
        <f t="shared" ref="T26:AM26" si="7" xml:space="preserve">IF(T6="","",-MIN(T6,0.8)*$A26)</f>
        <v>-0.0247</v>
      </c>
      <c r="U26" s="13">
        <f t="shared" si="7"/>
        <v>-0.10545</v>
      </c>
      <c r="V26" s="13">
        <f t="shared" si="7"/>
        <v>-0.76</v>
      </c>
      <c r="W26" s="13">
        <f t="shared" si="7"/>
        <v>-0.1843</v>
      </c>
      <c r="X26" s="13">
        <f t="shared" si="7"/>
        <v>-0.20995</v>
      </c>
      <c r="Y26" s="13">
        <f t="shared" si="7"/>
        <v>-0.76</v>
      </c>
      <c r="Z26" s="13">
        <f t="shared" si="7"/>
        <v>-0.12825</v>
      </c>
      <c r="AA26" s="13">
        <f t="shared" si="7"/>
        <v>-0.684</v>
      </c>
      <c r="AB26" s="13">
        <f t="shared" si="7"/>
        <v>-0.76</v>
      </c>
      <c r="AC26" s="13">
        <f t="shared" si="7"/>
        <v>-0.19</v>
      </c>
      <c r="AD26" s="13">
        <f t="shared" si="7"/>
        <v>-0.76</v>
      </c>
      <c r="AE26" s="13">
        <f t="shared" si="7"/>
        <v>-0.608</v>
      </c>
      <c r="AF26" s="13">
        <f t="shared" si="7"/>
        <v>-0.21945</v>
      </c>
      <c r="AG26" s="13">
        <f t="shared" si="7"/>
        <v>-0.3553</v>
      </c>
      <c r="AH26" s="13">
        <f t="shared" si="7"/>
        <v>-0.095</v>
      </c>
      <c r="AI26" s="13">
        <f t="shared" si="7"/>
        <v>-0.26505</v>
      </c>
      <c r="AJ26" s="13">
        <f t="shared" si="7"/>
        <v>-0.15485</v>
      </c>
      <c r="AK26" s="13">
        <f t="shared" si="7"/>
        <v>-0.40375</v>
      </c>
      <c r="AL26" s="13">
        <f t="shared" si="7"/>
        <v>-0.76</v>
      </c>
      <c r="AM26" s="13">
        <f t="shared" si="7"/>
        <v>-0.76</v>
      </c>
      <c r="AN26" s="17">
        <f t="shared" si="5"/>
        <v>0.0317097919837646</v>
      </c>
      <c r="AO26" t="s">
        <v>67</v>
      </c>
      <c r="AP26" t="str">
        <f xml:space="preserve">B6</f>
        <v>???oil*</v>
      </c>
      <c r="AQ26">
        <v>2</v>
      </c>
      <c r="AR26" s="44" t="s">
        <v>341</v>
      </c>
    </row>
    <row r="27" spans="1:46">
      <c r="A27" s="15">
        <v>1.05</v>
      </c>
      <c r="B27" t="str">
        <f xml:space="preserve">"UCE_utilization_"&amp;C2&amp;"_"&amp;C27</f>
        <v>UCE_utilization_bioenergy_UP</v>
      </c>
      <c r="C27" t="s">
        <v>345</v>
      </c>
      <c r="D27" s="16">
        <f t="shared" si="6"/>
        <v>2023</v>
      </c>
      <c r="E27" s="13">
        <f xml:space="preserve">IF(E2="","",-E2*$A27)</f>
        <v>-0.03465</v>
      </c>
      <c r="F27" s="13">
        <f xml:space="preserve">IF(F2="","",-F2*$A27)</f>
        <v>-0.2793</v>
      </c>
      <c r="G27" s="13">
        <f t="shared" ref="G27:AM30" si="8" xml:space="preserve">IF(G2="","",-G2*$A27)</f>
        <v>-0.4263</v>
      </c>
      <c r="H27" s="13">
        <f t="shared" si="8"/>
        <v>-0.45045</v>
      </c>
      <c r="I27" s="13">
        <f t="shared" si="8"/>
        <v>-0.5838</v>
      </c>
      <c r="J27" s="13">
        <f t="shared" si="8"/>
        <v>-0.9975</v>
      </c>
      <c r="K27" s="13">
        <f t="shared" si="8"/>
        <v>-0.38115</v>
      </c>
      <c r="L27" s="13">
        <f t="shared" si="8"/>
        <v>-0.9975</v>
      </c>
      <c r="M27" s="13">
        <f t="shared" si="8"/>
        <v>-0.6174</v>
      </c>
      <c r="N27" s="13">
        <f t="shared" si="8"/>
        <v>-0.7371</v>
      </c>
      <c r="O27" s="13">
        <f t="shared" si="8"/>
        <v>-0.72975</v>
      </c>
      <c r="P27" s="13">
        <f t="shared" si="8"/>
        <v>-0.61845</v>
      </c>
      <c r="Q27" s="13">
        <f t="shared" si="8"/>
        <v>-0.5397</v>
      </c>
      <c r="R27" s="13">
        <f t="shared" si="8"/>
        <v>-0.71085</v>
      </c>
      <c r="S27" s="13" t="str">
        <f t="shared" si="8"/>
        <v/>
      </c>
      <c r="T27" s="13">
        <f t="shared" si="8"/>
        <v>-0.42735</v>
      </c>
      <c r="U27" s="13">
        <f t="shared" si="8"/>
        <v>-0.9975</v>
      </c>
      <c r="V27" s="13">
        <f t="shared" si="8"/>
        <v>-0.6552</v>
      </c>
      <c r="W27" s="13">
        <f t="shared" si="8"/>
        <v>-0.9408</v>
      </c>
      <c r="X27" s="13">
        <f t="shared" si="8"/>
        <v>-0.4851</v>
      </c>
      <c r="Y27" s="13">
        <f t="shared" si="8"/>
        <v>-0.9975</v>
      </c>
      <c r="Z27" s="13">
        <f t="shared" si="8"/>
        <v>-0.57435</v>
      </c>
      <c r="AA27" s="13">
        <f t="shared" si="8"/>
        <v>-0.95865</v>
      </c>
      <c r="AB27" s="13">
        <f t="shared" si="8"/>
        <v>-0.819</v>
      </c>
      <c r="AC27" s="13">
        <f t="shared" si="8"/>
        <v>-0.5922</v>
      </c>
      <c r="AD27" s="13">
        <f t="shared" si="8"/>
        <v>-0.07455</v>
      </c>
      <c r="AE27" s="13" t="str">
        <f t="shared" si="8"/>
        <v/>
      </c>
      <c r="AF27" s="13">
        <f t="shared" si="8"/>
        <v>-0.189</v>
      </c>
      <c r="AG27" s="13">
        <f t="shared" si="8"/>
        <v>-0.6342</v>
      </c>
      <c r="AH27" s="13">
        <f t="shared" si="8"/>
        <v>-0.40425</v>
      </c>
      <c r="AI27" s="13">
        <f t="shared" si="8"/>
        <v>-0.9975</v>
      </c>
      <c r="AJ27" s="13">
        <f t="shared" si="8"/>
        <v>-0.50505</v>
      </c>
      <c r="AK27" s="13">
        <f t="shared" si="8"/>
        <v>-0.60795</v>
      </c>
      <c r="AL27" s="13">
        <f t="shared" si="8"/>
        <v>-0.17955</v>
      </c>
      <c r="AM27" s="13">
        <f t="shared" si="8"/>
        <v>-0.67095</v>
      </c>
      <c r="AN27" s="17">
        <f t="shared" si="5"/>
        <v>0.0317097919837646</v>
      </c>
      <c r="AO27" t="s">
        <v>67</v>
      </c>
      <c r="AP27" t="str">
        <f xml:space="preserve">AP22</f>
        <v>elcbsl,indbio</v>
      </c>
      <c r="AQ27">
        <v>2</v>
      </c>
      <c r="AR27" s="44" t="s">
        <v>341</v>
      </c>
    </row>
    <row r="28" spans="1:46">
      <c r="A28" s="15">
        <v>1.05</v>
      </c>
      <c r="B28" t="str">
        <f t="shared" ref="B28:B31" si="9" xml:space="preserve">"UCE_utilization_"&amp;C3&amp;"_"&amp;C28</f>
        <v>UCE_utilization_coal_UP</v>
      </c>
      <c r="C28" t="s">
        <v>345</v>
      </c>
      <c r="D28" s="16">
        <f t="shared" si="6"/>
        <v>2023</v>
      </c>
      <c r="E28" s="13">
        <f t="shared" ref="E28:T31" si="10" xml:space="preserve">IF(E3="","",-E3*$A28)</f>
        <v>-0.76965</v>
      </c>
      <c r="F28" s="13">
        <f t="shared" si="10"/>
        <v>0</v>
      </c>
      <c r="G28" s="13">
        <f t="shared" si="8"/>
        <v>-0.65835</v>
      </c>
      <c r="H28" s="13">
        <f t="shared" si="8"/>
        <v>-0.9975</v>
      </c>
      <c r="I28" s="13" t="str">
        <f t="shared" si="8"/>
        <v/>
      </c>
      <c r="J28" s="13">
        <f t="shared" si="8"/>
        <v>-0.2919</v>
      </c>
      <c r="K28" s="13">
        <f t="shared" si="8"/>
        <v>-0.53445</v>
      </c>
      <c r="L28" s="13">
        <f t="shared" si="8"/>
        <v>-0.6048</v>
      </c>
      <c r="M28" s="13">
        <f t="shared" si="8"/>
        <v>-0.3864</v>
      </c>
      <c r="N28" s="13">
        <f t="shared" si="8"/>
        <v>-0.47985</v>
      </c>
      <c r="O28" s="13">
        <f t="shared" si="8"/>
        <v>-0.1029</v>
      </c>
      <c r="P28" s="13">
        <f t="shared" si="8"/>
        <v>-0.4011</v>
      </c>
      <c r="Q28" s="13">
        <f t="shared" si="8"/>
        <v>-0.19635</v>
      </c>
      <c r="R28" s="13">
        <f t="shared" si="8"/>
        <v>-0.29085</v>
      </c>
      <c r="S28" s="13" t="str">
        <f t="shared" si="8"/>
        <v/>
      </c>
      <c r="T28" s="13">
        <f t="shared" si="8"/>
        <v>-0.74235</v>
      </c>
      <c r="U28" s="13">
        <f t="shared" si="8"/>
        <v>-0.1386</v>
      </c>
      <c r="V28" s="13">
        <f t="shared" si="8"/>
        <v>-0.26985</v>
      </c>
      <c r="W28" s="13">
        <f t="shared" si="8"/>
        <v>-0.7077</v>
      </c>
      <c r="X28" s="13">
        <f t="shared" si="8"/>
        <v>-0.5229</v>
      </c>
      <c r="Y28" s="13">
        <f t="shared" si="8"/>
        <v>-0.9975</v>
      </c>
      <c r="Z28" s="13">
        <f t="shared" si="8"/>
        <v>-0.41475</v>
      </c>
      <c r="AA28" s="13">
        <f t="shared" si="8"/>
        <v>-0.9975</v>
      </c>
      <c r="AB28" s="13">
        <f t="shared" si="8"/>
        <v>-0.4326</v>
      </c>
      <c r="AC28" s="13">
        <f t="shared" si="8"/>
        <v>-0.59325</v>
      </c>
      <c r="AD28" s="13">
        <f t="shared" si="8"/>
        <v>-0.66885</v>
      </c>
      <c r="AE28" s="13" t="str">
        <f t="shared" si="8"/>
        <v/>
      </c>
      <c r="AF28" s="13">
        <f t="shared" si="8"/>
        <v>-0.4977</v>
      </c>
      <c r="AG28" s="13">
        <f t="shared" si="8"/>
        <v>-0.15855</v>
      </c>
      <c r="AH28" s="13">
        <f t="shared" si="8"/>
        <v>-0.1743</v>
      </c>
      <c r="AI28" s="13" t="str">
        <f t="shared" si="8"/>
        <v/>
      </c>
      <c r="AJ28" s="13">
        <f t="shared" si="8"/>
        <v>-0.6783</v>
      </c>
      <c r="AK28" s="13">
        <f t="shared" si="8"/>
        <v>-0.1932</v>
      </c>
      <c r="AL28" s="13">
        <f t="shared" si="8"/>
        <v>0</v>
      </c>
      <c r="AM28" s="13">
        <f t="shared" si="8"/>
        <v>-0.6195</v>
      </c>
      <c r="AN28" s="17">
        <f t="shared" si="5"/>
        <v>0.0317097919837646</v>
      </c>
      <c r="AO28" t="s">
        <v>67</v>
      </c>
      <c r="AP28" t="str">
        <f t="shared" ref="AP28:AP31" si="11" xml:space="preserve">AP23</f>
        <v>???coa,elccob</v>
      </c>
      <c r="AQ28">
        <v>2</v>
      </c>
      <c r="AR28" s="44" t="s">
        <v>341</v>
      </c>
    </row>
    <row r="29" spans="1:46">
      <c r="A29" s="15">
        <v>1.05</v>
      </c>
      <c r="B29" t="str">
        <f t="shared" si="9"/>
        <v>UCE_utilization_gas_UP</v>
      </c>
      <c r="C29" t="s">
        <v>345</v>
      </c>
      <c r="D29" s="16">
        <f t="shared" si="6"/>
        <v>2023</v>
      </c>
      <c r="E29" s="13">
        <f t="shared" si="10"/>
        <v>-0.40635</v>
      </c>
      <c r="F29" s="13">
        <f t="shared" si="10"/>
        <v>-0.34335</v>
      </c>
      <c r="G29" s="13">
        <f t="shared" si="8"/>
        <v>-0.20685</v>
      </c>
      <c r="H29" s="13">
        <f t="shared" si="8"/>
        <v>-0.1659</v>
      </c>
      <c r="I29" s="13">
        <f t="shared" si="8"/>
        <v>-0.08085</v>
      </c>
      <c r="J29" s="13">
        <f t="shared" si="8"/>
        <v>-0.3276</v>
      </c>
      <c r="K29" s="13">
        <f t="shared" si="8"/>
        <v>-0.2436</v>
      </c>
      <c r="L29" s="13">
        <f t="shared" si="8"/>
        <v>-0.27195</v>
      </c>
      <c r="M29" s="13">
        <f t="shared" si="8"/>
        <v>-0.7224</v>
      </c>
      <c r="N29" s="13">
        <f t="shared" si="8"/>
        <v>-0.15225</v>
      </c>
      <c r="O29" s="13">
        <f t="shared" si="8"/>
        <v>-0.2037</v>
      </c>
      <c r="P29" s="13">
        <f t="shared" si="8"/>
        <v>-0.27405</v>
      </c>
      <c r="Q29" s="13">
        <f t="shared" si="8"/>
        <v>-0.29715</v>
      </c>
      <c r="R29" s="13">
        <f t="shared" si="8"/>
        <v>-0.20895</v>
      </c>
      <c r="S29" s="13" t="str">
        <f t="shared" si="8"/>
        <v/>
      </c>
      <c r="T29" s="13">
        <f t="shared" si="8"/>
        <v>-0.19425</v>
      </c>
      <c r="U29" s="13">
        <f t="shared" si="8"/>
        <v>-0.43155</v>
      </c>
      <c r="V29" s="13">
        <f t="shared" si="8"/>
        <v>-0.2499</v>
      </c>
      <c r="W29" s="13">
        <f t="shared" si="8"/>
        <v>-0.48825</v>
      </c>
      <c r="X29" s="13">
        <f t="shared" si="8"/>
        <v>-0.42</v>
      </c>
      <c r="Y29" s="13">
        <f t="shared" si="8"/>
        <v>-0.45885</v>
      </c>
      <c r="Z29" s="13">
        <f t="shared" si="8"/>
        <v>-0.41265</v>
      </c>
      <c r="AA29" s="13">
        <f t="shared" si="8"/>
        <v>-0.27615</v>
      </c>
      <c r="AB29" s="13">
        <f t="shared" si="8"/>
        <v>-0.5061</v>
      </c>
      <c r="AC29" s="13">
        <f t="shared" si="8"/>
        <v>-0.47985</v>
      </c>
      <c r="AD29" s="13">
        <f t="shared" si="8"/>
        <v>-0.56385</v>
      </c>
      <c r="AE29" s="13">
        <f t="shared" si="8"/>
        <v>-0.4536</v>
      </c>
      <c r="AF29" s="13">
        <f t="shared" si="8"/>
        <v>0</v>
      </c>
      <c r="AG29" s="13">
        <f t="shared" si="8"/>
        <v>-0.28245</v>
      </c>
      <c r="AH29" s="13">
        <f t="shared" si="8"/>
        <v>-0.0504</v>
      </c>
      <c r="AI29" s="13">
        <f t="shared" si="8"/>
        <v>-0.2604</v>
      </c>
      <c r="AJ29" s="13">
        <f t="shared" si="8"/>
        <v>-0.28875</v>
      </c>
      <c r="AK29" s="13">
        <f t="shared" si="8"/>
        <v>-0.31605</v>
      </c>
      <c r="AL29" s="13">
        <f t="shared" si="8"/>
        <v>-0.51975</v>
      </c>
      <c r="AM29" s="13">
        <f t="shared" si="8"/>
        <v>-0.2751</v>
      </c>
      <c r="AN29" s="17">
        <f t="shared" si="5"/>
        <v>0.0317097919837646</v>
      </c>
      <c r="AO29" t="s">
        <v>67</v>
      </c>
      <c r="AP29" t="str">
        <f t="shared" si="11"/>
        <v>???nga</v>
      </c>
      <c r="AQ29">
        <v>2</v>
      </c>
      <c r="AR29" s="44" t="s">
        <v>341</v>
      </c>
    </row>
    <row r="30" spans="1:46">
      <c r="A30" s="15">
        <v>1.05</v>
      </c>
      <c r="B30" t="str">
        <f t="shared" si="9"/>
        <v>UCE_utilization_nuclear_UP</v>
      </c>
      <c r="C30" t="s">
        <v>345</v>
      </c>
      <c r="D30" s="16">
        <f t="shared" si="6"/>
        <v>2023</v>
      </c>
      <c r="E30" s="13" t="str">
        <f t="shared" si="10"/>
        <v/>
      </c>
      <c r="F30" s="13" t="str">
        <f t="shared" si="10"/>
        <v/>
      </c>
      <c r="G30" s="13" t="str">
        <f t="shared" si="8"/>
        <v/>
      </c>
      <c r="H30" s="13" t="str">
        <f t="shared" si="8"/>
        <v/>
      </c>
      <c r="I30" s="13" t="str">
        <f t="shared" si="8"/>
        <v/>
      </c>
      <c r="J30" s="13">
        <f t="shared" si="8"/>
        <v>-0.9975</v>
      </c>
      <c r="K30" s="13">
        <f t="shared" si="8"/>
        <v>-0.8736</v>
      </c>
      <c r="L30" s="13">
        <f t="shared" si="8"/>
        <v>-0.9156</v>
      </c>
      <c r="M30" s="13">
        <f t="shared" si="8"/>
        <v>-0.97965</v>
      </c>
      <c r="N30" s="13">
        <f t="shared" si="8"/>
        <v>-0.92925</v>
      </c>
      <c r="O30" s="13">
        <f t="shared" si="8"/>
        <v>-0.6552</v>
      </c>
      <c r="P30" s="13">
        <f t="shared" si="8"/>
        <v>-0.9975</v>
      </c>
      <c r="Q30" s="13" t="str">
        <f t="shared" si="8"/>
        <v/>
      </c>
      <c r="R30" s="13">
        <f t="shared" si="8"/>
        <v>-0.97125</v>
      </c>
      <c r="S30" s="13" t="str">
        <f t="shared" si="8"/>
        <v/>
      </c>
      <c r="T30" s="13">
        <f t="shared" si="8"/>
        <v>-0.7728</v>
      </c>
      <c r="U30" s="13" t="str">
        <f t="shared" si="8"/>
        <v/>
      </c>
      <c r="V30" s="13" t="str">
        <f t="shared" si="8"/>
        <v/>
      </c>
      <c r="W30" s="13">
        <f t="shared" si="8"/>
        <v>-0.28035</v>
      </c>
      <c r="X30" s="13">
        <f t="shared" si="8"/>
        <v>-0.6132</v>
      </c>
      <c r="Y30" s="13">
        <f t="shared" si="8"/>
        <v>-0.8988</v>
      </c>
      <c r="Z30" s="13">
        <f t="shared" si="8"/>
        <v>-0.94815</v>
      </c>
      <c r="AA30" s="13" t="str">
        <f t="shared" si="8"/>
        <v/>
      </c>
      <c r="AB30" s="13" t="str">
        <f t="shared" si="8"/>
        <v/>
      </c>
      <c r="AC30" s="13">
        <f t="shared" si="8"/>
        <v>-0.87675</v>
      </c>
      <c r="AD30" s="13">
        <f t="shared" si="8"/>
        <v>-0.882</v>
      </c>
      <c r="AE30" s="13" t="str">
        <f t="shared" si="8"/>
        <v/>
      </c>
      <c r="AF30" s="13">
        <f t="shared" si="8"/>
        <v>-0.5523</v>
      </c>
      <c r="AG30" s="13">
        <f t="shared" si="8"/>
        <v>-0.95655</v>
      </c>
      <c r="AH30" s="13">
        <f t="shared" si="8"/>
        <v>-0.8736</v>
      </c>
      <c r="AI30" s="13">
        <f t="shared" si="8"/>
        <v>-0.97965</v>
      </c>
      <c r="AJ30" s="13" t="str">
        <f t="shared" si="8"/>
        <v/>
      </c>
      <c r="AK30" s="13">
        <f t="shared" si="8"/>
        <v>-0.83055</v>
      </c>
      <c r="AL30" s="13" t="str">
        <f t="shared" si="8"/>
        <v/>
      </c>
      <c r="AM30" s="13" t="str">
        <f t="shared" si="8"/>
        <v/>
      </c>
      <c r="AN30" s="17">
        <f t="shared" si="5"/>
        <v>0.0317097919837646</v>
      </c>
      <c r="AO30" t="s">
        <v>67</v>
      </c>
      <c r="AP30" t="str">
        <f t="shared" si="11"/>
        <v>???nuc</v>
      </c>
      <c r="AQ30">
        <v>2</v>
      </c>
      <c r="AR30" s="44" t="s">
        <v>341</v>
      </c>
    </row>
    <row r="31" spans="1:46">
      <c r="A31" s="15">
        <v>1.05</v>
      </c>
      <c r="B31" t="str">
        <f t="shared" si="9"/>
        <v>UCE_utilization_oil_UP</v>
      </c>
      <c r="C31" t="s">
        <v>345</v>
      </c>
      <c r="D31" s="16">
        <f t="shared" si="6"/>
        <v>2023</v>
      </c>
      <c r="E31" s="13">
        <f t="shared" si="10"/>
        <v>-0.9975</v>
      </c>
      <c r="F31" s="13">
        <f t="shared" si="10"/>
        <v>-0.1533</v>
      </c>
      <c r="G31" s="13">
        <f t="shared" si="10"/>
        <v>-0.2751</v>
      </c>
      <c r="H31" s="13">
        <f t="shared" si="10"/>
        <v>-0.60165</v>
      </c>
      <c r="I31" s="13">
        <f t="shared" si="10"/>
        <v>-0.38745</v>
      </c>
      <c r="J31" s="13">
        <f t="shared" si="10"/>
        <v>-0.9975</v>
      </c>
      <c r="K31" s="13">
        <f t="shared" si="10"/>
        <v>-0.1743</v>
      </c>
      <c r="L31" s="13">
        <f t="shared" si="10"/>
        <v>-0.6111</v>
      </c>
      <c r="M31" s="13">
        <f t="shared" si="10"/>
        <v>-0.01785</v>
      </c>
      <c r="N31" s="13">
        <f t="shared" si="10"/>
        <v>-0.9975</v>
      </c>
      <c r="O31" s="13">
        <f t="shared" si="10"/>
        <v>-0.59955</v>
      </c>
      <c r="P31" s="13">
        <f t="shared" si="10"/>
        <v>-0.9975</v>
      </c>
      <c r="Q31" s="13">
        <f t="shared" si="10"/>
        <v>-0.3276</v>
      </c>
      <c r="R31" s="13">
        <f t="shared" si="10"/>
        <v>-0.0924</v>
      </c>
      <c r="S31" s="13" t="str">
        <f t="shared" si="10"/>
        <v/>
      </c>
      <c r="T31" s="13">
        <f t="shared" si="10"/>
        <v>-0.0273</v>
      </c>
      <c r="U31" s="13">
        <f t="shared" ref="U31:AM31" si="12" xml:space="preserve">IF(U6="","",-U6*$A31)</f>
        <v>-0.11655</v>
      </c>
      <c r="V31" s="13">
        <f t="shared" si="12"/>
        <v>-0.9975</v>
      </c>
      <c r="W31" s="13">
        <f t="shared" si="12"/>
        <v>-0.2037</v>
      </c>
      <c r="X31" s="13">
        <f t="shared" si="12"/>
        <v>-0.23205</v>
      </c>
      <c r="Y31" s="13">
        <f t="shared" si="12"/>
        <v>-0.93975</v>
      </c>
      <c r="Z31" s="13">
        <f t="shared" si="12"/>
        <v>-0.14175</v>
      </c>
      <c r="AA31" s="13">
        <f t="shared" si="12"/>
        <v>-0.756</v>
      </c>
      <c r="AB31" s="13">
        <f t="shared" si="12"/>
        <v>-0.9975</v>
      </c>
      <c r="AC31" s="13">
        <f t="shared" si="12"/>
        <v>-0.21</v>
      </c>
      <c r="AD31" s="13">
        <f t="shared" si="12"/>
        <v>-0.9975</v>
      </c>
      <c r="AE31" s="13">
        <f t="shared" si="12"/>
        <v>-0.672</v>
      </c>
      <c r="AF31" s="13">
        <f t="shared" si="12"/>
        <v>-0.24255</v>
      </c>
      <c r="AG31" s="13">
        <f t="shared" si="12"/>
        <v>-0.3927</v>
      </c>
      <c r="AH31" s="13">
        <f t="shared" si="12"/>
        <v>-0.105</v>
      </c>
      <c r="AI31" s="13">
        <f t="shared" si="12"/>
        <v>-0.29295</v>
      </c>
      <c r="AJ31" s="13">
        <f t="shared" si="12"/>
        <v>-0.17115</v>
      </c>
      <c r="AK31" s="13">
        <f t="shared" si="12"/>
        <v>-0.44625</v>
      </c>
      <c r="AL31" s="13">
        <f t="shared" si="12"/>
        <v>-0.9975</v>
      </c>
      <c r="AM31" s="13">
        <f t="shared" si="12"/>
        <v>-0.9975</v>
      </c>
      <c r="AN31" s="17">
        <f t="shared" si="5"/>
        <v>0.0317097919837646</v>
      </c>
      <c r="AO31" t="s">
        <v>67</v>
      </c>
      <c r="AP31" t="str">
        <f t="shared" si="11"/>
        <v>???oil*</v>
      </c>
      <c r="AQ31">
        <v>2</v>
      </c>
      <c r="AR31" s="44" t="s">
        <v>341</v>
      </c>
    </row>
    <row r="32" spans="1:46">
      <c r="B32" t="s">
        <v>82</v>
      </c>
    </row>
    <row r="33" spans="1:46">
      <c r="A33" s="19">
        <v>0.3</v>
      </c>
      <c r="B33" t="str">
        <f xml:space="preserve">B22</f>
        <v>UCE_utilization_bioenergy_LO</v>
      </c>
      <c r="C33" t="str">
        <f xml:space="preserve">C22</f>
        <v>LO</v>
      </c>
      <c r="D33">
        <f xml:space="preserve">D22+7</f>
        <v>2030</v>
      </c>
      <c r="E33" s="17">
        <f t="shared" ref="E33:AM33" si="13" xml:space="preserve">IF(E7="","",-MIN(E7,E2,0.8)*$A33)</f>
        <v>-0.0042</v>
      </c>
      <c r="F33" s="17">
        <f t="shared" si="13"/>
        <v>-0.0525</v>
      </c>
      <c r="G33" s="17">
        <f t="shared" si="13"/>
        <v>-0.1218</v>
      </c>
      <c r="H33" s="17">
        <f t="shared" si="13"/>
        <v>-0.1287</v>
      </c>
      <c r="I33" s="17">
        <f t="shared" si="13"/>
        <v>-0.1668</v>
      </c>
      <c r="J33" s="17">
        <f t="shared" si="13"/>
        <v>-0.24</v>
      </c>
      <c r="K33" s="17">
        <f t="shared" si="13"/>
        <v>-0.1089</v>
      </c>
      <c r="L33" s="17">
        <f t="shared" si="13"/>
        <v>-0.24</v>
      </c>
      <c r="M33" s="17">
        <f t="shared" si="13"/>
        <v>-0.165</v>
      </c>
      <c r="N33" s="17">
        <f t="shared" si="13"/>
        <v>-0.2106</v>
      </c>
      <c r="O33" s="17">
        <f t="shared" si="13"/>
        <v>-0.2085</v>
      </c>
      <c r="P33" s="17">
        <f t="shared" si="13"/>
        <v>-0.1767</v>
      </c>
      <c r="Q33" s="17">
        <f t="shared" si="13"/>
        <v>-0.1407</v>
      </c>
      <c r="R33" s="17">
        <f t="shared" si="13"/>
        <v>-0.1467</v>
      </c>
      <c r="S33" s="17" t="str">
        <f t="shared" si="13"/>
        <v/>
      </c>
      <c r="T33" s="17">
        <f t="shared" si="13"/>
        <v>-0.0921</v>
      </c>
      <c r="U33" s="17">
        <f t="shared" si="13"/>
        <v>-0.24</v>
      </c>
      <c r="V33" s="17">
        <f t="shared" si="13"/>
        <v>-0.1872</v>
      </c>
      <c r="W33" s="17">
        <f t="shared" si="13"/>
        <v>-0.24</v>
      </c>
      <c r="X33" s="17">
        <f t="shared" si="13"/>
        <v>-0.1044</v>
      </c>
      <c r="Y33" s="17">
        <f t="shared" si="13"/>
        <v>-0.0882</v>
      </c>
      <c r="Z33" s="17">
        <f t="shared" si="13"/>
        <v>-0.1641</v>
      </c>
      <c r="AA33" s="17">
        <f t="shared" si="13"/>
        <v>-0.0855</v>
      </c>
      <c r="AB33" s="17">
        <f t="shared" si="13"/>
        <v>-0.2232</v>
      </c>
      <c r="AC33" s="17">
        <f t="shared" si="13"/>
        <v>-0.1248</v>
      </c>
      <c r="AD33" s="17">
        <f t="shared" si="13"/>
        <v>-0.0153</v>
      </c>
      <c r="AE33" s="17" t="str">
        <f t="shared" si="13"/>
        <v/>
      </c>
      <c r="AF33" s="17">
        <f t="shared" si="13"/>
        <v>-0.0435</v>
      </c>
      <c r="AG33" s="17">
        <f t="shared" si="13"/>
        <v>-0.1812</v>
      </c>
      <c r="AH33" s="17">
        <f t="shared" si="13"/>
        <v>-0.1155</v>
      </c>
      <c r="AI33" s="17">
        <f t="shared" si="13"/>
        <v>-0.24</v>
      </c>
      <c r="AJ33" s="17">
        <f t="shared" si="13"/>
        <v>-0.135</v>
      </c>
      <c r="AK33" s="17">
        <f t="shared" si="13"/>
        <v>-0.1737</v>
      </c>
      <c r="AL33" s="17">
        <f t="shared" si="13"/>
        <v>-0.0513</v>
      </c>
      <c r="AM33" s="17">
        <f t="shared" si="13"/>
        <v>-0.0684</v>
      </c>
      <c r="AO33" s="17" t="str">
        <f xml:space="preserve">AO22</f>
        <v>ELE,CHP</v>
      </c>
      <c r="AP33" s="17" t="str">
        <f t="shared" ref="AP33:AP42" si="14" xml:space="preserve">AP22</f>
        <v>elcbsl,indbio</v>
      </c>
      <c r="AR33" s="44" t="s">
        <v>341</v>
      </c>
    </row>
    <row r="34" spans="1:46">
      <c r="A34" s="19">
        <v>0.3</v>
      </c>
      <c r="B34" t="str">
        <f t="shared" ref="B34:C42" si="15" xml:space="preserve">B23</f>
        <v>UCE_utilization_coal_LO</v>
      </c>
      <c r="C34" t="str">
        <f t="shared" si="15"/>
        <v>LO</v>
      </c>
      <c r="D34">
        <f t="shared" ref="D34:D42" si="16" xml:space="preserve">D23+7</f>
        <v>2030</v>
      </c>
      <c r="E34" s="17">
        <f t="shared" ref="E34:AG37" si="17" xml:space="preserve">IF(E8="","",-MIN(E8,E3,0.8)*$A34)</f>
        <v>-0.171</v>
      </c>
      <c r="F34" s="17">
        <f t="shared" si="17"/>
        <v>0</v>
      </c>
      <c r="G34" s="17">
        <f t="shared" si="17"/>
        <v>-0.1815</v>
      </c>
      <c r="H34" s="17">
        <f t="shared" si="17"/>
        <v>-0.0831</v>
      </c>
      <c r="I34" s="17">
        <f t="shared" si="17"/>
        <v>-0.24</v>
      </c>
      <c r="J34" s="17">
        <f t="shared" si="17"/>
        <v>-0.0753</v>
      </c>
      <c r="K34" s="17">
        <f t="shared" si="17"/>
        <v>-0.1527</v>
      </c>
      <c r="L34" s="17">
        <f t="shared" si="17"/>
        <v>-0.1545</v>
      </c>
      <c r="M34" s="17">
        <f t="shared" si="17"/>
        <v>-0.1104</v>
      </c>
      <c r="N34" s="17">
        <f t="shared" si="17"/>
        <v>-0.1284</v>
      </c>
      <c r="O34" s="17">
        <f t="shared" si="17"/>
        <v>-0.0282</v>
      </c>
      <c r="P34" s="17">
        <f t="shared" si="17"/>
        <v>-0.0984</v>
      </c>
      <c r="Q34" s="17">
        <f t="shared" si="17"/>
        <v>-0.0561</v>
      </c>
      <c r="R34" s="17">
        <f t="shared" si="17"/>
        <v>-0.0804</v>
      </c>
      <c r="S34" s="17" t="str">
        <f t="shared" si="17"/>
        <v/>
      </c>
      <c r="T34" s="17">
        <f t="shared" si="17"/>
        <v>-0.1734</v>
      </c>
      <c r="U34" s="17">
        <f t="shared" si="17"/>
        <v>-0.0189</v>
      </c>
      <c r="V34" s="17">
        <f t="shared" si="17"/>
        <v>-0.0591</v>
      </c>
      <c r="W34" s="17">
        <f t="shared" si="17"/>
        <v>-0.2022</v>
      </c>
      <c r="X34" s="17">
        <f t="shared" si="17"/>
        <v>-0.1494</v>
      </c>
      <c r="Y34" s="17">
        <f t="shared" si="17"/>
        <v>-0.1155</v>
      </c>
      <c r="Z34" s="17">
        <f t="shared" si="17"/>
        <v>-0.1152</v>
      </c>
      <c r="AA34" s="17">
        <f t="shared" si="17"/>
        <v>-0.24</v>
      </c>
      <c r="AB34" s="17">
        <f t="shared" si="17"/>
        <v>-0.1236</v>
      </c>
      <c r="AC34" s="17">
        <f t="shared" si="17"/>
        <v>-0.1671</v>
      </c>
      <c r="AD34" s="17">
        <f t="shared" si="17"/>
        <v>-0.126</v>
      </c>
      <c r="AE34" s="17" t="str">
        <f t="shared" si="17"/>
        <v/>
      </c>
      <c r="AF34" s="17">
        <f t="shared" si="17"/>
        <v>-0.1422</v>
      </c>
      <c r="AG34" s="17">
        <f t="shared" si="17"/>
        <v>-0.0375</v>
      </c>
      <c r="AH34" s="17">
        <f t="shared" ref="AH34:AM34" si="18" xml:space="preserve">IF(AH8="","",-MIN(AH8,AH3,0.8)*$A34)</f>
        <v>-0.0498</v>
      </c>
      <c r="AI34" s="17" t="str">
        <f t="shared" si="18"/>
        <v/>
      </c>
      <c r="AJ34" s="17">
        <f t="shared" si="18"/>
        <v>-0.1704</v>
      </c>
      <c r="AK34" s="17">
        <f t="shared" si="18"/>
        <v>-0.0246</v>
      </c>
      <c r="AL34" s="17">
        <f t="shared" si="18"/>
        <v>0</v>
      </c>
      <c r="AM34" s="17">
        <f t="shared" si="18"/>
        <v>-0.177</v>
      </c>
      <c r="AO34" s="17" t="str">
        <f t="shared" ref="AO34:AO42" si="19" xml:space="preserve">AO23</f>
        <v>ELE,CHP</v>
      </c>
      <c r="AP34" s="17" t="str">
        <f t="shared" si="14"/>
        <v>???coa,elccob</v>
      </c>
      <c r="AR34" s="44" t="s">
        <v>341</v>
      </c>
    </row>
    <row r="35" spans="1:46">
      <c r="A35" s="19">
        <v>0.3</v>
      </c>
      <c r="B35" t="str">
        <f t="shared" si="15"/>
        <v>UCE_utilization_gas_LO</v>
      </c>
      <c r="C35" t="str">
        <f t="shared" si="15"/>
        <v>LO</v>
      </c>
      <c r="D35">
        <f t="shared" si="16"/>
        <v>2030</v>
      </c>
      <c r="E35" s="17">
        <f t="shared" si="17"/>
        <v>-0.1119</v>
      </c>
      <c r="F35" s="17">
        <f t="shared" si="17"/>
        <v>-0.0954</v>
      </c>
      <c r="G35" s="17">
        <f t="shared" si="17"/>
        <v>-0.0591</v>
      </c>
      <c r="H35" s="17">
        <f t="shared" si="17"/>
        <v>-0.0381</v>
      </c>
      <c r="I35" s="17">
        <f t="shared" si="17"/>
        <v>-0.0189</v>
      </c>
      <c r="J35" s="17">
        <f t="shared" si="17"/>
        <v>-0.0936</v>
      </c>
      <c r="K35" s="17">
        <f t="shared" si="17"/>
        <v>-0.0696</v>
      </c>
      <c r="L35" s="17">
        <f t="shared" si="17"/>
        <v>-0.0777</v>
      </c>
      <c r="M35" s="17">
        <f t="shared" si="17"/>
        <v>-0.087</v>
      </c>
      <c r="N35" s="17">
        <f t="shared" si="17"/>
        <v>-0.0264</v>
      </c>
      <c r="O35" s="17">
        <f t="shared" si="17"/>
        <v>-0.0189</v>
      </c>
      <c r="P35" s="17">
        <f t="shared" si="17"/>
        <v>-0.0762</v>
      </c>
      <c r="Q35" s="17">
        <f t="shared" si="17"/>
        <v>-0.0462</v>
      </c>
      <c r="R35" s="17">
        <f t="shared" si="17"/>
        <v>-0.0492</v>
      </c>
      <c r="S35" s="17" t="str">
        <f t="shared" si="17"/>
        <v/>
      </c>
      <c r="T35" s="17">
        <f t="shared" si="17"/>
        <v>-0.0495</v>
      </c>
      <c r="U35" s="17">
        <f t="shared" si="17"/>
        <v>-0.0966</v>
      </c>
      <c r="V35" s="17">
        <f t="shared" si="17"/>
        <v>-0.0474</v>
      </c>
      <c r="W35" s="17">
        <f t="shared" si="17"/>
        <v>-0.1395</v>
      </c>
      <c r="X35" s="17">
        <f t="shared" si="17"/>
        <v>-0.1056</v>
      </c>
      <c r="Y35" s="17">
        <f t="shared" si="17"/>
        <v>-0.1167</v>
      </c>
      <c r="Z35" s="17">
        <f t="shared" si="17"/>
        <v>-0.0942</v>
      </c>
      <c r="AA35" s="17">
        <f t="shared" si="17"/>
        <v>-0.0138</v>
      </c>
      <c r="AB35" s="17">
        <f t="shared" si="17"/>
        <v>-0.1116</v>
      </c>
      <c r="AC35" s="17">
        <f t="shared" si="17"/>
        <v>-0.1371</v>
      </c>
      <c r="AD35" s="17">
        <f t="shared" si="17"/>
        <v>-0.1425</v>
      </c>
      <c r="AE35" s="17">
        <f t="shared" si="17"/>
        <v>-0.1158</v>
      </c>
      <c r="AF35" s="17">
        <f t="shared" si="17"/>
        <v>0</v>
      </c>
      <c r="AG35" s="17">
        <f t="shared" si="17"/>
        <v>-0.0585</v>
      </c>
      <c r="AH35" s="17">
        <f t="shared" ref="AH35:AM35" si="20" xml:space="preserve">IF(AH9="","",-MIN(AH9,AH4,0.8)*$A35)</f>
        <v>-0.0144</v>
      </c>
      <c r="AI35" s="17">
        <f t="shared" si="20"/>
        <v>-0.0714</v>
      </c>
      <c r="AJ35" s="17">
        <f t="shared" si="20"/>
        <v>-0.0681</v>
      </c>
      <c r="AK35" s="17">
        <f t="shared" si="20"/>
        <v>-0.0903</v>
      </c>
      <c r="AL35" s="17">
        <f t="shared" si="20"/>
        <v>-0.042</v>
      </c>
      <c r="AM35" s="17">
        <f t="shared" si="20"/>
        <v>-0.0186</v>
      </c>
      <c r="AO35" s="17" t="str">
        <f t="shared" si="19"/>
        <v>ELE,CHP</v>
      </c>
      <c r="AP35" s="17" t="str">
        <f t="shared" si="14"/>
        <v>???nga</v>
      </c>
      <c r="AR35" s="44" t="s">
        <v>341</v>
      </c>
      <c r="AS35" s="44" t="s">
        <v>342</v>
      </c>
      <c r="AT35" t="s">
        <v>343</v>
      </c>
    </row>
    <row r="36" spans="1:46">
      <c r="A36" s="20"/>
      <c r="B36" t="str">
        <f t="shared" si="15"/>
        <v>UCE_utilization_nuclear_LO</v>
      </c>
      <c r="C36" t="str">
        <f t="shared" si="15"/>
        <v>LO</v>
      </c>
      <c r="D36">
        <f t="shared" si="16"/>
        <v>2030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O36" s="17" t="str">
        <f t="shared" si="19"/>
        <v>ELE,CHP</v>
      </c>
      <c r="AP36" s="17" t="str">
        <f t="shared" si="14"/>
        <v>???nuc</v>
      </c>
      <c r="AR36" s="44" t="s">
        <v>341</v>
      </c>
    </row>
    <row r="37" spans="1:46">
      <c r="A37" s="20"/>
      <c r="B37" t="str">
        <f t="shared" si="15"/>
        <v>UCE_utilization_oil_\I: LO</v>
      </c>
      <c r="C37" t="str">
        <f t="shared" si="15"/>
        <v>\I: LO</v>
      </c>
      <c r="D37">
        <f t="shared" si="16"/>
        <v>2030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O37" s="17" t="str">
        <f t="shared" si="19"/>
        <v>ELE,CHP</v>
      </c>
      <c r="AP37" s="17" t="str">
        <f t="shared" si="14"/>
        <v>???oil*</v>
      </c>
      <c r="AR37" s="44" t="s">
        <v>341</v>
      </c>
    </row>
    <row r="38" spans="1:46">
      <c r="A38" s="20"/>
      <c r="B38" t="str">
        <f t="shared" si="15"/>
        <v>UCE_utilization_bioenergy_UP</v>
      </c>
      <c r="C38" t="str">
        <f t="shared" si="15"/>
        <v>UP</v>
      </c>
      <c r="D38">
        <f t="shared" si="16"/>
        <v>2030</v>
      </c>
      <c r="E38" s="21">
        <f xml:space="preserve">IF(E12="","",-E12)</f>
        <v>-0.057</v>
      </c>
      <c r="F38" s="21">
        <f t="shared" ref="F38:AM39" si="21" xml:space="preserve">IF(F12="","",-F12)</f>
        <v>-0.287</v>
      </c>
      <c r="G38" s="21">
        <f t="shared" si="21"/>
        <v>-0.506</v>
      </c>
      <c r="H38" s="21">
        <f t="shared" si="21"/>
        <v>-0.564</v>
      </c>
      <c r="I38" s="21">
        <f t="shared" si="21"/>
        <v>-0.842</v>
      </c>
      <c r="J38" s="21">
        <f t="shared" si="21"/>
        <v>-0.95</v>
      </c>
      <c r="K38" s="21">
        <f t="shared" si="21"/>
        <v>-0.436</v>
      </c>
      <c r="L38" s="21">
        <f t="shared" si="21"/>
        <v>-0.95</v>
      </c>
      <c r="M38" s="21">
        <f t="shared" si="21"/>
        <v>-0.711</v>
      </c>
      <c r="N38" s="21">
        <f t="shared" si="21"/>
        <v>-0.77</v>
      </c>
      <c r="O38" s="21">
        <f t="shared" si="21"/>
        <v>-0.834</v>
      </c>
      <c r="P38" s="21">
        <f t="shared" si="21"/>
        <v>-0.769</v>
      </c>
      <c r="Q38" s="21">
        <f t="shared" si="21"/>
        <v>-0.587</v>
      </c>
      <c r="R38" s="21">
        <f t="shared" si="21"/>
        <v>-0.879</v>
      </c>
      <c r="S38" s="21" t="str">
        <f t="shared" si="21"/>
        <v/>
      </c>
      <c r="T38" s="21">
        <f t="shared" si="21"/>
        <v>-0.655</v>
      </c>
      <c r="U38" s="21">
        <f t="shared" si="21"/>
        <v>-0.95</v>
      </c>
      <c r="V38" s="21">
        <f t="shared" si="21"/>
        <v>-0.751</v>
      </c>
      <c r="W38" s="21">
        <f t="shared" si="21"/>
        <v>-0.95</v>
      </c>
      <c r="X38" s="21">
        <f t="shared" si="21"/>
        <v>-0.462</v>
      </c>
      <c r="Y38" s="21">
        <f t="shared" si="21"/>
        <v>-0.95</v>
      </c>
      <c r="Z38" s="21">
        <f t="shared" si="21"/>
        <v>-0.644</v>
      </c>
      <c r="AA38" s="21">
        <f t="shared" si="21"/>
        <v>-0.95</v>
      </c>
      <c r="AB38" s="21">
        <f t="shared" si="21"/>
        <v>-0.95</v>
      </c>
      <c r="AC38" s="21">
        <f t="shared" si="21"/>
        <v>-0.564</v>
      </c>
      <c r="AD38" s="21">
        <f t="shared" si="21"/>
        <v>-0.107</v>
      </c>
      <c r="AE38" s="21" t="str">
        <f t="shared" si="21"/>
        <v/>
      </c>
      <c r="AF38" s="21">
        <f t="shared" si="21"/>
        <v>-0.189</v>
      </c>
      <c r="AG38" s="21">
        <f t="shared" si="21"/>
        <v>-0.727</v>
      </c>
      <c r="AH38" s="21">
        <f t="shared" si="21"/>
        <v>-0.476</v>
      </c>
      <c r="AI38" s="21">
        <f t="shared" si="21"/>
        <v>-0.95</v>
      </c>
      <c r="AJ38" s="21">
        <f t="shared" si="21"/>
        <v>-0.56</v>
      </c>
      <c r="AK38" s="21">
        <f t="shared" si="21"/>
        <v>-0.77</v>
      </c>
      <c r="AL38" s="21">
        <f t="shared" si="21"/>
        <v>-0.41</v>
      </c>
      <c r="AM38" s="21">
        <f t="shared" si="21"/>
        <v>-0.95</v>
      </c>
      <c r="AO38" s="17" t="str">
        <f t="shared" si="19"/>
        <v>ELE,CHP</v>
      </c>
      <c r="AP38" s="17" t="str">
        <f t="shared" si="14"/>
        <v>elcbsl,indbio</v>
      </c>
      <c r="AR38" s="44" t="s">
        <v>341</v>
      </c>
    </row>
    <row r="39" spans="1:46">
      <c r="A39" s="20"/>
      <c r="B39" t="str">
        <f t="shared" si="15"/>
        <v>UCE_utilization_coal_UP</v>
      </c>
      <c r="C39" t="str">
        <f t="shared" si="15"/>
        <v>UP</v>
      </c>
      <c r="D39">
        <f t="shared" si="16"/>
        <v>2030</v>
      </c>
      <c r="E39" s="21">
        <f t="shared" ref="E39:AG39" si="22" xml:space="preserve">IF(E13="","",-E13)</f>
        <v>-0.777</v>
      </c>
      <c r="F39" s="21">
        <f t="shared" si="22"/>
        <v>-0.47</v>
      </c>
      <c r="G39" s="21">
        <f t="shared" si="22"/>
        <v>-0.724</v>
      </c>
      <c r="H39" s="21">
        <f t="shared" si="22"/>
        <v>-0.95</v>
      </c>
      <c r="I39" s="21">
        <f t="shared" si="22"/>
        <v>-0.95</v>
      </c>
      <c r="J39" s="21">
        <f t="shared" si="22"/>
        <v>-0.95</v>
      </c>
      <c r="K39" s="21">
        <f t="shared" si="22"/>
        <v>-0.922</v>
      </c>
      <c r="L39" s="21">
        <f t="shared" si="22"/>
        <v>-0.587</v>
      </c>
      <c r="M39" s="21">
        <f t="shared" si="22"/>
        <v>-0.578</v>
      </c>
      <c r="N39" s="21">
        <f t="shared" si="22"/>
        <v>-0.544</v>
      </c>
      <c r="O39" s="21">
        <f t="shared" si="22"/>
        <v>-0.391</v>
      </c>
      <c r="P39" s="21">
        <f t="shared" si="22"/>
        <v>-0.625</v>
      </c>
      <c r="Q39" s="21">
        <f t="shared" si="22"/>
        <v>-0.597</v>
      </c>
      <c r="R39" s="21">
        <f t="shared" si="22"/>
        <v>-0.431</v>
      </c>
      <c r="S39" s="21" t="str">
        <f t="shared" si="22"/>
        <v/>
      </c>
      <c r="T39" s="21">
        <f t="shared" si="22"/>
        <v>-0.707</v>
      </c>
      <c r="U39" s="21">
        <f t="shared" si="22"/>
        <v>-0.604</v>
      </c>
      <c r="V39" s="21">
        <f t="shared" si="22"/>
        <v>-0.509</v>
      </c>
      <c r="W39" s="21">
        <f t="shared" si="22"/>
        <v>-0.9</v>
      </c>
      <c r="X39" s="21">
        <f t="shared" si="22"/>
        <v>-0.777</v>
      </c>
      <c r="Y39" s="21">
        <f t="shared" si="22"/>
        <v>-0.95</v>
      </c>
      <c r="Z39" s="21">
        <f t="shared" si="22"/>
        <v>-0.568</v>
      </c>
      <c r="AA39" s="21">
        <f t="shared" si="22"/>
        <v>-0.95</v>
      </c>
      <c r="AB39" s="21">
        <f t="shared" si="22"/>
        <v>-0.522</v>
      </c>
      <c r="AC39" s="21">
        <f t="shared" si="22"/>
        <v>-0.7</v>
      </c>
      <c r="AD39" s="21">
        <f t="shared" si="22"/>
        <v>-0.637</v>
      </c>
      <c r="AE39" s="21" t="str">
        <f t="shared" si="22"/>
        <v/>
      </c>
      <c r="AF39" s="21">
        <f t="shared" si="22"/>
        <v>-0.671</v>
      </c>
      <c r="AG39" s="21">
        <f t="shared" si="22"/>
        <v>-0.575</v>
      </c>
      <c r="AH39" s="21">
        <f t="shared" si="21"/>
        <v>-0.351</v>
      </c>
      <c r="AI39" s="21" t="str">
        <f t="shared" si="21"/>
        <v/>
      </c>
      <c r="AJ39" s="21">
        <f t="shared" si="21"/>
        <v>-0.679</v>
      </c>
      <c r="AK39" s="21">
        <f t="shared" si="21"/>
        <v>-0.539</v>
      </c>
      <c r="AL39" s="21">
        <f t="shared" si="21"/>
        <v>-0.319</v>
      </c>
      <c r="AM39" s="21">
        <f t="shared" si="21"/>
        <v>-0.695</v>
      </c>
      <c r="AO39" s="17" t="str">
        <f t="shared" si="19"/>
        <v>ELE,CHP</v>
      </c>
      <c r="AP39" s="17" t="str">
        <f t="shared" si="14"/>
        <v>???coa,elccob</v>
      </c>
      <c r="AR39" s="44" t="s">
        <v>341</v>
      </c>
    </row>
    <row r="40" spans="1:46">
      <c r="A40">
        <v>0.8</v>
      </c>
      <c r="B40" t="str">
        <f t="shared" si="15"/>
        <v>UCE_utilization_gas_UP</v>
      </c>
      <c r="C40" t="str">
        <f t="shared" si="15"/>
        <v>UP</v>
      </c>
      <c r="D40">
        <f t="shared" si="16"/>
        <v>2030</v>
      </c>
      <c r="E40">
        <f xml:space="preserve">-$A40</f>
        <v>-0.8</v>
      </c>
      <c r="F40">
        <f t="shared" ref="F40:U42" si="23" xml:space="preserve">-$A40</f>
        <v>-0.8</v>
      </c>
      <c r="G40">
        <f t="shared" si="23"/>
        <v>-0.8</v>
      </c>
      <c r="H40">
        <f t="shared" si="23"/>
        <v>-0.8</v>
      </c>
      <c r="I40">
        <f t="shared" si="23"/>
        <v>-0.8</v>
      </c>
      <c r="J40">
        <f t="shared" si="23"/>
        <v>-0.8</v>
      </c>
      <c r="K40">
        <f t="shared" si="23"/>
        <v>-0.8</v>
      </c>
      <c r="L40">
        <f t="shared" si="23"/>
        <v>-0.8</v>
      </c>
      <c r="M40">
        <f t="shared" si="23"/>
        <v>-0.8</v>
      </c>
      <c r="N40">
        <f t="shared" si="23"/>
        <v>-0.8</v>
      </c>
      <c r="O40">
        <f t="shared" si="23"/>
        <v>-0.8</v>
      </c>
      <c r="P40">
        <f t="shared" si="23"/>
        <v>-0.8</v>
      </c>
      <c r="Q40">
        <f t="shared" si="23"/>
        <v>-0.8</v>
      </c>
      <c r="R40">
        <f t="shared" si="23"/>
        <v>-0.8</v>
      </c>
      <c r="S40">
        <f t="shared" si="23"/>
        <v>-0.8</v>
      </c>
      <c r="T40">
        <f t="shared" si="23"/>
        <v>-0.8</v>
      </c>
      <c r="U40">
        <f t="shared" si="23"/>
        <v>-0.8</v>
      </c>
      <c r="V40">
        <f t="shared" ref="V40:AK42" si="24" xml:space="preserve">-$A40</f>
        <v>-0.8</v>
      </c>
      <c r="W40">
        <f t="shared" si="24"/>
        <v>-0.8</v>
      </c>
      <c r="X40">
        <f t="shared" si="24"/>
        <v>-0.8</v>
      </c>
      <c r="Y40">
        <f t="shared" si="24"/>
        <v>-0.8</v>
      </c>
      <c r="Z40">
        <f t="shared" si="24"/>
        <v>-0.8</v>
      </c>
      <c r="AA40">
        <f t="shared" si="24"/>
        <v>-0.8</v>
      </c>
      <c r="AB40">
        <f t="shared" si="24"/>
        <v>-0.8</v>
      </c>
      <c r="AC40">
        <f t="shared" si="24"/>
        <v>-0.8</v>
      </c>
      <c r="AD40">
        <f t="shared" si="24"/>
        <v>-0.8</v>
      </c>
      <c r="AE40">
        <f t="shared" si="24"/>
        <v>-0.8</v>
      </c>
      <c r="AF40">
        <f t="shared" si="24"/>
        <v>-0.8</v>
      </c>
      <c r="AG40">
        <f t="shared" si="24"/>
        <v>-0.8</v>
      </c>
      <c r="AH40">
        <f t="shared" si="24"/>
        <v>-0.8</v>
      </c>
      <c r="AI40">
        <f t="shared" si="24"/>
        <v>-0.8</v>
      </c>
      <c r="AJ40">
        <f t="shared" si="24"/>
        <v>-0.8</v>
      </c>
      <c r="AK40">
        <f t="shared" si="24"/>
        <v>-0.8</v>
      </c>
      <c r="AL40">
        <f t="shared" ref="AL40:AM42" si="25" xml:space="preserve">-$A40</f>
        <v>-0.8</v>
      </c>
      <c r="AM40">
        <f t="shared" si="25"/>
        <v>-0.8</v>
      </c>
      <c r="AO40" s="17" t="str">
        <f t="shared" si="19"/>
        <v>ELE,CHP</v>
      </c>
      <c r="AP40" s="17" t="str">
        <f t="shared" si="14"/>
        <v>???nga</v>
      </c>
      <c r="AR40" s="44" t="s">
        <v>341</v>
      </c>
    </row>
    <row r="41" spans="1:46">
      <c r="A41">
        <v>0.95</v>
      </c>
      <c r="B41" t="str">
        <f t="shared" si="15"/>
        <v>UCE_utilization_nuclear_UP</v>
      </c>
      <c r="C41" t="str">
        <f t="shared" si="15"/>
        <v>UP</v>
      </c>
      <c r="D41">
        <f t="shared" si="16"/>
        <v>2030</v>
      </c>
      <c r="E41">
        <f t="shared" ref="E41:E42" si="26" xml:space="preserve">-$A41</f>
        <v>-0.95</v>
      </c>
      <c r="F41">
        <f t="shared" si="23"/>
        <v>-0.95</v>
      </c>
      <c r="G41">
        <f t="shared" si="23"/>
        <v>-0.95</v>
      </c>
      <c r="H41">
        <f t="shared" si="23"/>
        <v>-0.95</v>
      </c>
      <c r="I41">
        <f t="shared" si="23"/>
        <v>-0.95</v>
      </c>
      <c r="J41">
        <f t="shared" si="23"/>
        <v>-0.95</v>
      </c>
      <c r="K41">
        <f t="shared" si="23"/>
        <v>-0.95</v>
      </c>
      <c r="L41">
        <f t="shared" si="23"/>
        <v>-0.95</v>
      </c>
      <c r="M41">
        <f t="shared" si="23"/>
        <v>-0.95</v>
      </c>
      <c r="N41">
        <f t="shared" si="23"/>
        <v>-0.95</v>
      </c>
      <c r="O41">
        <f t="shared" si="23"/>
        <v>-0.95</v>
      </c>
      <c r="P41">
        <f t="shared" si="23"/>
        <v>-0.95</v>
      </c>
      <c r="Q41">
        <f t="shared" si="23"/>
        <v>-0.95</v>
      </c>
      <c r="R41">
        <f t="shared" si="23"/>
        <v>-0.95</v>
      </c>
      <c r="S41">
        <f t="shared" si="23"/>
        <v>-0.95</v>
      </c>
      <c r="T41">
        <f t="shared" si="23"/>
        <v>-0.95</v>
      </c>
      <c r="U41">
        <f t="shared" si="23"/>
        <v>-0.95</v>
      </c>
      <c r="V41">
        <f t="shared" si="24"/>
        <v>-0.95</v>
      </c>
      <c r="W41">
        <f t="shared" si="24"/>
        <v>-0.95</v>
      </c>
      <c r="X41">
        <f t="shared" si="24"/>
        <v>-0.95</v>
      </c>
      <c r="Y41">
        <f t="shared" si="24"/>
        <v>-0.95</v>
      </c>
      <c r="Z41">
        <f t="shared" si="24"/>
        <v>-0.95</v>
      </c>
      <c r="AA41">
        <f t="shared" si="24"/>
        <v>-0.95</v>
      </c>
      <c r="AB41">
        <f t="shared" si="24"/>
        <v>-0.95</v>
      </c>
      <c r="AC41">
        <f t="shared" si="24"/>
        <v>-0.95</v>
      </c>
      <c r="AD41">
        <f t="shared" si="24"/>
        <v>-0.95</v>
      </c>
      <c r="AE41">
        <f t="shared" si="24"/>
        <v>-0.95</v>
      </c>
      <c r="AF41">
        <f t="shared" si="24"/>
        <v>-0.95</v>
      </c>
      <c r="AG41">
        <f t="shared" si="24"/>
        <v>-0.95</v>
      </c>
      <c r="AH41">
        <f t="shared" si="24"/>
        <v>-0.95</v>
      </c>
      <c r="AI41">
        <f t="shared" si="24"/>
        <v>-0.95</v>
      </c>
      <c r="AJ41">
        <f t="shared" si="24"/>
        <v>-0.95</v>
      </c>
      <c r="AK41">
        <f t="shared" si="24"/>
        <v>-0.95</v>
      </c>
      <c r="AL41">
        <f t="shared" si="25"/>
        <v>-0.95</v>
      </c>
      <c r="AM41">
        <f t="shared" si="25"/>
        <v>-0.95</v>
      </c>
      <c r="AO41" s="17" t="str">
        <f t="shared" si="19"/>
        <v>ELE,CHP</v>
      </c>
      <c r="AP41" s="17" t="str">
        <f t="shared" si="14"/>
        <v>???nuc</v>
      </c>
      <c r="AR41" s="44" t="s">
        <v>341</v>
      </c>
    </row>
    <row r="42" spans="1:46">
      <c r="A42">
        <v>0.8</v>
      </c>
      <c r="B42" t="str">
        <f t="shared" si="15"/>
        <v>UCE_utilization_oil_UP</v>
      </c>
      <c r="C42" t="str">
        <f t="shared" si="15"/>
        <v>UP</v>
      </c>
      <c r="D42">
        <f t="shared" si="16"/>
        <v>2030</v>
      </c>
      <c r="E42">
        <f t="shared" si="26"/>
        <v>-0.8</v>
      </c>
      <c r="F42">
        <f t="shared" si="23"/>
        <v>-0.8</v>
      </c>
      <c r="G42">
        <f t="shared" si="23"/>
        <v>-0.8</v>
      </c>
      <c r="H42">
        <f t="shared" si="23"/>
        <v>-0.8</v>
      </c>
      <c r="I42">
        <f t="shared" si="23"/>
        <v>-0.8</v>
      </c>
      <c r="J42">
        <f t="shared" si="23"/>
        <v>-0.8</v>
      </c>
      <c r="K42">
        <f t="shared" si="23"/>
        <v>-0.8</v>
      </c>
      <c r="L42">
        <f t="shared" si="23"/>
        <v>-0.8</v>
      </c>
      <c r="M42">
        <f t="shared" si="23"/>
        <v>-0.8</v>
      </c>
      <c r="N42">
        <f t="shared" si="23"/>
        <v>-0.8</v>
      </c>
      <c r="O42">
        <f t="shared" si="23"/>
        <v>-0.8</v>
      </c>
      <c r="P42">
        <f t="shared" si="23"/>
        <v>-0.8</v>
      </c>
      <c r="Q42">
        <f t="shared" si="23"/>
        <v>-0.8</v>
      </c>
      <c r="R42">
        <f t="shared" si="23"/>
        <v>-0.8</v>
      </c>
      <c r="S42">
        <f t="shared" si="23"/>
        <v>-0.8</v>
      </c>
      <c r="T42">
        <f t="shared" si="23"/>
        <v>-0.8</v>
      </c>
      <c r="U42">
        <f t="shared" si="23"/>
        <v>-0.8</v>
      </c>
      <c r="V42">
        <f t="shared" si="24"/>
        <v>-0.8</v>
      </c>
      <c r="W42">
        <f t="shared" si="24"/>
        <v>-0.8</v>
      </c>
      <c r="X42">
        <f t="shared" si="24"/>
        <v>-0.8</v>
      </c>
      <c r="Y42">
        <f t="shared" si="24"/>
        <v>-0.8</v>
      </c>
      <c r="Z42">
        <f t="shared" si="24"/>
        <v>-0.8</v>
      </c>
      <c r="AA42">
        <f t="shared" si="24"/>
        <v>-0.8</v>
      </c>
      <c r="AB42">
        <f t="shared" si="24"/>
        <v>-0.8</v>
      </c>
      <c r="AC42">
        <f t="shared" si="24"/>
        <v>-0.8</v>
      </c>
      <c r="AD42">
        <f t="shared" si="24"/>
        <v>-0.8</v>
      </c>
      <c r="AE42">
        <f t="shared" si="24"/>
        <v>-0.8</v>
      </c>
      <c r="AF42">
        <f t="shared" si="24"/>
        <v>-0.8</v>
      </c>
      <c r="AG42">
        <f t="shared" si="24"/>
        <v>-0.8</v>
      </c>
      <c r="AH42">
        <f t="shared" si="24"/>
        <v>-0.8</v>
      </c>
      <c r="AI42">
        <f t="shared" si="24"/>
        <v>-0.8</v>
      </c>
      <c r="AJ42">
        <f t="shared" si="24"/>
        <v>-0.8</v>
      </c>
      <c r="AK42">
        <f t="shared" si="24"/>
        <v>-0.8</v>
      </c>
      <c r="AL42">
        <f t="shared" si="25"/>
        <v>-0.8</v>
      </c>
      <c r="AM42">
        <f t="shared" si="25"/>
        <v>-0.8</v>
      </c>
      <c r="AO42" s="17" t="str">
        <f t="shared" si="19"/>
        <v>ELE,CHP</v>
      </c>
      <c r="AP42" s="17" t="str">
        <f t="shared" si="14"/>
        <v>???oil*</v>
      </c>
      <c r="AR42" s="44" t="s">
        <v>341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2"/>
  <sheetViews>
    <sheetView tabSelected="1" zoomScale="56" zoomScaleNormal="56" workbookViewId="0">
      <selection activeCell="D45" sqref="D45"/>
    </sheetView>
  </sheetViews>
  <sheetFormatPr defaultColWidth="9" defaultRowHeight="14.5"/>
  <cols>
    <col min="1" max="1" width="21.4636363636364" customWidth="1"/>
    <col min="2" max="2" width="16.2636363636364" customWidth="1"/>
    <col min="3" max="3" width="15.4636363636364" customWidth="1"/>
    <col min="4" max="4" width="6.86363636363636" customWidth="1"/>
    <col min="5" max="6" width="10.4636363636364" customWidth="1"/>
    <col min="7" max="7" width="10.5272727272727" customWidth="1"/>
    <col min="8" max="8" width="10" customWidth="1"/>
    <col min="9" max="9" width="7.86363636363636" customWidth="1"/>
    <col min="10" max="10" width="7.8" customWidth="1"/>
    <col min="11" max="11" width="7.33636363636364" customWidth="1"/>
    <col min="12" max="12" width="7.52727272727273" customWidth="1"/>
    <col min="13" max="13" width="9.8" customWidth="1"/>
    <col min="14" max="14" width="7.13636363636364" customWidth="1"/>
    <col min="15" max="15" width="5.13636363636364" customWidth="1"/>
    <col min="16" max="16" width="6.8" customWidth="1"/>
    <col min="17" max="17" width="5.33636363636364" customWidth="1"/>
    <col min="18" max="18" width="5.8" customWidth="1"/>
    <col min="19" max="19" width="7.13636363636364" customWidth="1"/>
    <col min="20" max="20" width="6.66363636363636" customWidth="1"/>
    <col min="21" max="21" width="7.8" customWidth="1"/>
    <col min="22" max="22" width="4.52727272727273" customWidth="1"/>
    <col min="23" max="23" width="8.46363636363636" customWidth="1"/>
    <col min="24" max="24" width="5.2" customWidth="1"/>
    <col min="25" max="25" width="5.66363636363636" customWidth="1"/>
    <col min="26" max="26" width="7.52727272727273" customWidth="1"/>
    <col min="27" max="27" width="6.2" customWidth="1"/>
    <col min="28" max="28" width="7" customWidth="1"/>
    <col min="29" max="29" width="10.3363636363636" customWidth="1"/>
    <col min="30" max="30" width="5.46363636363636" customWidth="1"/>
    <col min="31" max="31" width="9.46363636363636" customWidth="1"/>
    <col min="32" max="32" width="5.13636363636364" customWidth="1"/>
    <col min="33" max="33" width="5.86363636363636" customWidth="1"/>
    <col min="34" max="34" width="10.1363636363636" customWidth="1"/>
    <col min="35" max="35" width="6.2" customWidth="1"/>
    <col min="36" max="36" width="7.46363636363636" customWidth="1"/>
    <col min="37" max="37" width="3.86363636363636" customWidth="1"/>
    <col min="38" max="38" width="12.7272727272727" customWidth="1"/>
    <col min="39" max="39" width="7.52727272727273" customWidth="1"/>
    <col min="40" max="40" width="12.8181818181818"/>
  </cols>
  <sheetData>
    <row r="1" spans="1:39">
      <c r="C1" t="s">
        <v>346</v>
      </c>
      <c r="D1" t="s">
        <v>347</v>
      </c>
      <c r="E1" t="s">
        <v>251</v>
      </c>
      <c r="F1" t="s">
        <v>254</v>
      </c>
      <c r="G1" t="s">
        <v>258</v>
      </c>
      <c r="H1" t="s">
        <v>260</v>
      </c>
      <c r="I1" t="s">
        <v>262</v>
      </c>
      <c r="J1" t="s">
        <v>253</v>
      </c>
      <c r="K1" t="s">
        <v>257</v>
      </c>
      <c r="L1" t="s">
        <v>259</v>
      </c>
      <c r="M1" t="s">
        <v>261</v>
      </c>
      <c r="N1" t="s">
        <v>263</v>
      </c>
      <c r="O1" t="s">
        <v>264</v>
      </c>
      <c r="P1" t="s">
        <v>265</v>
      </c>
      <c r="Q1" t="s">
        <v>271</v>
      </c>
      <c r="R1" t="s">
        <v>266</v>
      </c>
      <c r="S1" t="s">
        <v>267</v>
      </c>
      <c r="T1" t="s">
        <v>275</v>
      </c>
      <c r="U1" t="s">
        <v>277</v>
      </c>
      <c r="V1" t="s">
        <v>268</v>
      </c>
      <c r="W1" t="s">
        <v>269</v>
      </c>
      <c r="X1" t="s">
        <v>270</v>
      </c>
      <c r="Y1" t="s">
        <v>272</v>
      </c>
      <c r="Z1" t="s">
        <v>283</v>
      </c>
      <c r="AA1" t="s">
        <v>285</v>
      </c>
      <c r="AB1" t="s">
        <v>273</v>
      </c>
      <c r="AC1" t="s">
        <v>274</v>
      </c>
      <c r="AD1" t="s">
        <v>286</v>
      </c>
      <c r="AE1" t="s">
        <v>276</v>
      </c>
      <c r="AF1" t="s">
        <v>278</v>
      </c>
      <c r="AG1" t="s">
        <v>279</v>
      </c>
      <c r="AH1" t="s">
        <v>280</v>
      </c>
      <c r="AI1" t="s">
        <v>281</v>
      </c>
      <c r="AJ1" t="s">
        <v>282</v>
      </c>
      <c r="AK1" t="s">
        <v>288</v>
      </c>
    </row>
    <row r="2" spans="1:39">
      <c r="C2" t="s">
        <v>348</v>
      </c>
      <c r="D2" t="s">
        <v>349</v>
      </c>
      <c r="E2">
        <v>0.2</v>
      </c>
      <c r="F2">
        <v>4.2</v>
      </c>
      <c r="G2">
        <v>0.2</v>
      </c>
      <c r="H2">
        <v>0.1</v>
      </c>
      <c r="I2">
        <v>0</v>
      </c>
      <c r="J2">
        <v>0</v>
      </c>
      <c r="K2">
        <v>3</v>
      </c>
      <c r="L2">
        <v>8</v>
      </c>
      <c r="M2">
        <v>0.1</v>
      </c>
      <c r="N2">
        <v>0</v>
      </c>
      <c r="O2">
        <v>0.2</v>
      </c>
      <c r="P2">
        <v>0</v>
      </c>
      <c r="Q2">
        <v>0</v>
      </c>
      <c r="R2">
        <v>0.2</v>
      </c>
      <c r="S2">
        <v>3</v>
      </c>
      <c r="T2">
        <v>0</v>
      </c>
      <c r="U2">
        <v>0.1</v>
      </c>
      <c r="V2">
        <v>0.2</v>
      </c>
      <c r="W2">
        <v>3.2</v>
      </c>
      <c r="X2">
        <v>0.1</v>
      </c>
      <c r="Y2">
        <v>4.5</v>
      </c>
      <c r="Z2">
        <v>0.2</v>
      </c>
      <c r="AA2">
        <v>0</v>
      </c>
      <c r="AB2">
        <v>7.4</v>
      </c>
      <c r="AC2">
        <v>0.5</v>
      </c>
      <c r="AD2">
        <v>0</v>
      </c>
      <c r="AE2">
        <v>0</v>
      </c>
      <c r="AF2">
        <v>0.2</v>
      </c>
      <c r="AG2">
        <v>0.2</v>
      </c>
      <c r="AH2">
        <v>0.1</v>
      </c>
      <c r="AI2">
        <v>1.5</v>
      </c>
      <c r="AJ2">
        <v>0.1</v>
      </c>
      <c r="AK2">
        <v>0.1</v>
      </c>
    </row>
    <row r="3" spans="1:39">
      <c r="C3" t="s">
        <v>348</v>
      </c>
      <c r="D3" t="s">
        <v>350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10</v>
      </c>
      <c r="M3">
        <v>0</v>
      </c>
      <c r="N3">
        <v>2</v>
      </c>
      <c r="O3">
        <v>2</v>
      </c>
      <c r="P3">
        <v>0</v>
      </c>
      <c r="Q3">
        <v>0</v>
      </c>
      <c r="R3">
        <v>2</v>
      </c>
      <c r="S3">
        <v>3</v>
      </c>
      <c r="T3">
        <v>0</v>
      </c>
      <c r="U3">
        <v>0</v>
      </c>
      <c r="V3">
        <v>2</v>
      </c>
      <c r="W3">
        <v>1</v>
      </c>
      <c r="X3">
        <v>3</v>
      </c>
      <c r="Y3">
        <v>5</v>
      </c>
      <c r="Z3">
        <v>1</v>
      </c>
      <c r="AA3">
        <v>2</v>
      </c>
      <c r="AB3">
        <v>9</v>
      </c>
      <c r="AC3">
        <v>3</v>
      </c>
      <c r="AD3">
        <v>2</v>
      </c>
      <c r="AE3">
        <v>0</v>
      </c>
      <c r="AF3">
        <v>0</v>
      </c>
      <c r="AG3">
        <v>2</v>
      </c>
      <c r="AH3">
        <v>0</v>
      </c>
      <c r="AI3">
        <v>2</v>
      </c>
      <c r="AJ3">
        <v>2</v>
      </c>
      <c r="AK3">
        <v>0</v>
      </c>
    </row>
    <row r="4" spans="1:39">
      <c r="C4" t="s">
        <v>348</v>
      </c>
      <c r="D4" t="s">
        <v>351</v>
      </c>
      <c r="E4">
        <v>19</v>
      </c>
      <c r="F4">
        <v>27</v>
      </c>
      <c r="G4">
        <v>20</v>
      </c>
      <c r="H4">
        <v>3</v>
      </c>
      <c r="I4">
        <v>1</v>
      </c>
      <c r="J4">
        <v>7</v>
      </c>
      <c r="K4">
        <v>25</v>
      </c>
      <c r="L4">
        <v>120</v>
      </c>
      <c r="M4">
        <v>2</v>
      </c>
      <c r="N4">
        <v>5</v>
      </c>
      <c r="O4">
        <v>12</v>
      </c>
      <c r="P4">
        <v>15</v>
      </c>
      <c r="Q4">
        <v>3.6</v>
      </c>
      <c r="R4">
        <v>9</v>
      </c>
      <c r="S4">
        <v>80</v>
      </c>
      <c r="T4">
        <v>2</v>
      </c>
      <c r="U4">
        <v>10</v>
      </c>
      <c r="V4">
        <v>25</v>
      </c>
      <c r="W4">
        <v>31.8</v>
      </c>
      <c r="X4">
        <v>20.8</v>
      </c>
      <c r="Y4">
        <v>107</v>
      </c>
      <c r="Z4">
        <v>4</v>
      </c>
      <c r="AA4">
        <v>8</v>
      </c>
      <c r="AB4">
        <v>90</v>
      </c>
      <c r="AC4">
        <v>16</v>
      </c>
      <c r="AD4">
        <v>15</v>
      </c>
      <c r="AE4">
        <v>4</v>
      </c>
      <c r="AF4">
        <v>13</v>
      </c>
      <c r="AG4">
        <v>9</v>
      </c>
      <c r="AH4">
        <v>3</v>
      </c>
      <c r="AI4">
        <v>12</v>
      </c>
      <c r="AJ4">
        <v>10</v>
      </c>
      <c r="AK4">
        <v>1</v>
      </c>
    </row>
    <row r="5" spans="1:39">
      <c r="C5" t="s">
        <v>348</v>
      </c>
      <c r="D5" t="s">
        <v>352</v>
      </c>
      <c r="E5">
        <v>9.8</v>
      </c>
      <c r="F5">
        <v>12.1</v>
      </c>
      <c r="G5">
        <v>12</v>
      </c>
      <c r="H5">
        <v>2</v>
      </c>
      <c r="I5">
        <v>1</v>
      </c>
      <c r="J5">
        <v>6</v>
      </c>
      <c r="K5">
        <v>15</v>
      </c>
      <c r="L5">
        <v>60</v>
      </c>
      <c r="M5">
        <v>1.5</v>
      </c>
      <c r="N5">
        <v>3</v>
      </c>
      <c r="O5">
        <v>8</v>
      </c>
      <c r="P5">
        <v>8</v>
      </c>
      <c r="Q5">
        <v>2.3</v>
      </c>
      <c r="R5">
        <v>6</v>
      </c>
      <c r="S5">
        <v>30</v>
      </c>
      <c r="T5">
        <v>2</v>
      </c>
      <c r="U5">
        <v>6</v>
      </c>
      <c r="V5">
        <v>10</v>
      </c>
      <c r="W5">
        <v>17.8</v>
      </c>
      <c r="X5">
        <v>8.3</v>
      </c>
      <c r="Y5">
        <v>48</v>
      </c>
      <c r="Z5">
        <v>4</v>
      </c>
      <c r="AA5">
        <v>5</v>
      </c>
      <c r="AB5">
        <v>42.6</v>
      </c>
      <c r="AC5">
        <v>8.8</v>
      </c>
      <c r="AD5">
        <v>5</v>
      </c>
      <c r="AE5">
        <v>2</v>
      </c>
      <c r="AF5">
        <v>8</v>
      </c>
      <c r="AG5">
        <v>10</v>
      </c>
      <c r="AH5">
        <v>2</v>
      </c>
      <c r="AI5">
        <v>6</v>
      </c>
      <c r="AJ5">
        <v>8</v>
      </c>
      <c r="AK5">
        <v>0.8</v>
      </c>
    </row>
    <row r="6" spans="1:39">
      <c r="C6" t="s">
        <v>353</v>
      </c>
      <c r="D6" t="s">
        <v>349</v>
      </c>
      <c r="E6">
        <v>0.4</v>
      </c>
      <c r="F6">
        <v>7.3</v>
      </c>
      <c r="G6">
        <v>0.5</v>
      </c>
      <c r="H6">
        <v>0.2</v>
      </c>
      <c r="I6">
        <v>0</v>
      </c>
      <c r="J6">
        <v>0</v>
      </c>
      <c r="K6">
        <v>5</v>
      </c>
      <c r="L6">
        <v>15</v>
      </c>
      <c r="M6">
        <v>0.2</v>
      </c>
      <c r="N6">
        <v>0.1</v>
      </c>
      <c r="O6">
        <v>0.5</v>
      </c>
      <c r="P6">
        <v>0.1</v>
      </c>
      <c r="Q6">
        <v>0.1</v>
      </c>
      <c r="R6">
        <v>0.3</v>
      </c>
      <c r="S6">
        <v>6</v>
      </c>
      <c r="T6">
        <v>0</v>
      </c>
      <c r="U6">
        <v>0.3</v>
      </c>
      <c r="V6">
        <v>0.5</v>
      </c>
      <c r="W6">
        <v>6.2</v>
      </c>
      <c r="X6">
        <v>0.2</v>
      </c>
      <c r="Y6">
        <v>9</v>
      </c>
      <c r="Z6">
        <v>0.4</v>
      </c>
      <c r="AA6">
        <v>0.1</v>
      </c>
      <c r="AB6">
        <v>14.2</v>
      </c>
      <c r="AC6">
        <v>1.5</v>
      </c>
      <c r="AD6">
        <v>0</v>
      </c>
      <c r="AE6">
        <v>0.1</v>
      </c>
      <c r="AF6">
        <v>0.5</v>
      </c>
      <c r="AG6">
        <v>0.5</v>
      </c>
      <c r="AH6">
        <v>0.2</v>
      </c>
      <c r="AI6">
        <v>3</v>
      </c>
      <c r="AJ6">
        <v>0.3</v>
      </c>
      <c r="AK6">
        <v>0.2</v>
      </c>
    </row>
    <row r="7" spans="1:39">
      <c r="C7" t="s">
        <v>353</v>
      </c>
      <c r="D7" t="s">
        <v>350</v>
      </c>
      <c r="E7">
        <v>5</v>
      </c>
      <c r="F7">
        <v>1</v>
      </c>
      <c r="G7">
        <v>1</v>
      </c>
      <c r="H7">
        <v>0</v>
      </c>
      <c r="I7">
        <v>0</v>
      </c>
      <c r="J7">
        <v>2</v>
      </c>
      <c r="K7">
        <v>3</v>
      </c>
      <c r="L7">
        <v>20</v>
      </c>
      <c r="M7">
        <v>0</v>
      </c>
      <c r="N7">
        <v>4</v>
      </c>
      <c r="O7">
        <v>4</v>
      </c>
      <c r="P7">
        <v>0.5</v>
      </c>
      <c r="Q7">
        <v>0</v>
      </c>
      <c r="R7">
        <v>5</v>
      </c>
      <c r="S7">
        <v>6</v>
      </c>
      <c r="T7">
        <v>0</v>
      </c>
      <c r="U7">
        <v>0</v>
      </c>
      <c r="V7">
        <v>4</v>
      </c>
      <c r="W7">
        <v>2</v>
      </c>
      <c r="X7">
        <v>5</v>
      </c>
      <c r="Y7">
        <v>11</v>
      </c>
      <c r="Z7">
        <v>2</v>
      </c>
      <c r="AA7">
        <v>4</v>
      </c>
      <c r="AB7">
        <v>20</v>
      </c>
      <c r="AC7">
        <v>7</v>
      </c>
      <c r="AD7">
        <v>4</v>
      </c>
      <c r="AE7">
        <v>2</v>
      </c>
      <c r="AF7">
        <v>0</v>
      </c>
      <c r="AG7">
        <v>4</v>
      </c>
      <c r="AH7">
        <v>0</v>
      </c>
      <c r="AI7">
        <v>4</v>
      </c>
      <c r="AJ7">
        <v>4</v>
      </c>
      <c r="AK7">
        <v>0</v>
      </c>
    </row>
    <row r="8" spans="1:39">
      <c r="C8" t="s">
        <v>353</v>
      </c>
      <c r="D8" t="s">
        <v>351</v>
      </c>
      <c r="E8">
        <v>36</v>
      </c>
      <c r="F8">
        <v>48.5</v>
      </c>
      <c r="G8">
        <v>35</v>
      </c>
      <c r="H8">
        <v>5</v>
      </c>
      <c r="I8">
        <v>2</v>
      </c>
      <c r="J8">
        <v>14</v>
      </c>
      <c r="K8">
        <v>50</v>
      </c>
      <c r="L8">
        <v>250</v>
      </c>
      <c r="M8">
        <v>3.5</v>
      </c>
      <c r="N8">
        <v>9</v>
      </c>
      <c r="O8">
        <v>20</v>
      </c>
      <c r="P8">
        <v>25</v>
      </c>
      <c r="Q8">
        <v>7</v>
      </c>
      <c r="R8">
        <v>17</v>
      </c>
      <c r="S8">
        <v>150</v>
      </c>
      <c r="T8">
        <v>4</v>
      </c>
      <c r="U8">
        <v>18</v>
      </c>
      <c r="V8">
        <v>40</v>
      </c>
      <c r="W8">
        <v>60</v>
      </c>
      <c r="X8">
        <v>41.5</v>
      </c>
      <c r="Y8">
        <v>195</v>
      </c>
      <c r="Z8">
        <v>8</v>
      </c>
      <c r="AA8">
        <v>15</v>
      </c>
      <c r="AB8">
        <v>172</v>
      </c>
      <c r="AC8">
        <v>32</v>
      </c>
      <c r="AD8">
        <v>30</v>
      </c>
      <c r="AE8">
        <v>10</v>
      </c>
      <c r="AF8">
        <v>24</v>
      </c>
      <c r="AG8">
        <v>17</v>
      </c>
      <c r="AH8">
        <v>5</v>
      </c>
      <c r="AI8">
        <v>20</v>
      </c>
      <c r="AJ8">
        <v>18</v>
      </c>
      <c r="AK8">
        <v>2</v>
      </c>
    </row>
    <row r="9" spans="1:39">
      <c r="C9" t="s">
        <v>353</v>
      </c>
      <c r="D9" t="s">
        <v>352</v>
      </c>
      <c r="E9">
        <v>19.5</v>
      </c>
      <c r="F9">
        <v>22.1</v>
      </c>
      <c r="G9">
        <v>20</v>
      </c>
      <c r="H9">
        <v>3</v>
      </c>
      <c r="I9">
        <v>1.5</v>
      </c>
      <c r="J9">
        <v>12</v>
      </c>
      <c r="K9">
        <v>25</v>
      </c>
      <c r="L9">
        <v>100</v>
      </c>
      <c r="M9">
        <v>2.3</v>
      </c>
      <c r="N9">
        <v>5</v>
      </c>
      <c r="O9">
        <v>12</v>
      </c>
      <c r="P9">
        <v>15</v>
      </c>
      <c r="Q9">
        <v>4.5</v>
      </c>
      <c r="R9">
        <v>10</v>
      </c>
      <c r="S9">
        <v>60</v>
      </c>
      <c r="T9">
        <v>4</v>
      </c>
      <c r="U9">
        <v>10</v>
      </c>
      <c r="V9">
        <v>18</v>
      </c>
      <c r="W9">
        <v>34.6</v>
      </c>
      <c r="X9">
        <v>16.5</v>
      </c>
      <c r="Y9">
        <v>90</v>
      </c>
      <c r="Z9">
        <v>8</v>
      </c>
      <c r="AA9">
        <v>10</v>
      </c>
      <c r="AB9">
        <v>82.3</v>
      </c>
      <c r="AC9">
        <v>16.5</v>
      </c>
      <c r="AD9">
        <v>10</v>
      </c>
      <c r="AE9">
        <v>5</v>
      </c>
      <c r="AF9">
        <v>14</v>
      </c>
      <c r="AG9">
        <v>19</v>
      </c>
      <c r="AH9">
        <v>3</v>
      </c>
      <c r="AI9">
        <v>10</v>
      </c>
      <c r="AJ9">
        <v>15</v>
      </c>
      <c r="AK9">
        <v>1.5</v>
      </c>
    </row>
    <row r="11" spans="1:39">
      <c r="A11" t="s">
        <v>54</v>
      </c>
    </row>
    <row r="14" spans="1:39">
      <c r="A14" s="3" t="s">
        <v>354</v>
      </c>
    </row>
    <row r="15" spans="1:39">
      <c r="A15" t="s">
        <v>83</v>
      </c>
      <c r="B15" t="s">
        <v>51</v>
      </c>
      <c r="C15" t="s">
        <v>13</v>
      </c>
      <c r="D15" t="s">
        <v>355</v>
      </c>
      <c r="E15" t="str">
        <f t="shared" ref="E15:AK19" si="0" xml:space="preserve">E1</f>
        <v>Africa_North</v>
      </c>
      <c r="F15" t="str">
        <f t="shared" si="0"/>
        <v>Africa_Other</v>
      </c>
      <c r="G15" t="str">
        <f t="shared" si="0"/>
        <v>Australia</v>
      </c>
      <c r="H15" t="str">
        <f t="shared" si="0"/>
        <v>Austria</v>
      </c>
      <c r="I15" t="str">
        <f t="shared" si="0"/>
        <v>Baltics</v>
      </c>
      <c r="J15" t="str">
        <f t="shared" si="0"/>
        <v>BeNeLux</v>
      </c>
      <c r="K15" t="str">
        <f t="shared" si="0"/>
        <v>Brazil</v>
      </c>
      <c r="L15" t="str">
        <f t="shared" si="0"/>
        <v>China</v>
      </c>
      <c r="M15" t="str">
        <f t="shared" si="0"/>
        <v>CroSloven</v>
      </c>
      <c r="N15" t="str">
        <f t="shared" si="0"/>
        <v>CzechSlovak</v>
      </c>
      <c r="O15" t="str">
        <f t="shared" si="0"/>
        <v>France</v>
      </c>
      <c r="P15" t="str">
        <f t="shared" si="0"/>
        <v>Germany</v>
      </c>
      <c r="Q15" t="str">
        <f t="shared" si="0"/>
        <v>GreeceCyp</v>
      </c>
      <c r="R15" t="str">
        <f t="shared" si="0"/>
        <v>HunRomBul</v>
      </c>
      <c r="S15" t="str">
        <f t="shared" si="0"/>
        <v>India</v>
      </c>
      <c r="T15" t="str">
        <f t="shared" si="0"/>
        <v>Ireland</v>
      </c>
      <c r="U15" t="str">
        <f t="shared" si="0"/>
        <v>ItalyMal</v>
      </c>
      <c r="V15" t="str">
        <f t="shared" si="0"/>
        <v>Japan</v>
      </c>
      <c r="W15" t="str">
        <f t="shared" si="0"/>
        <v>LatAm</v>
      </c>
      <c r="X15" t="str">
        <f t="shared" si="0"/>
        <v>MidEast</v>
      </c>
      <c r="Y15" t="str">
        <f t="shared" si="0"/>
        <v>NorthAm</v>
      </c>
      <c r="Z15" t="str">
        <f t="shared" si="0"/>
        <v>Norway</v>
      </c>
      <c r="AA15" t="str">
        <f t="shared" si="0"/>
        <v>Poland</v>
      </c>
      <c r="AB15" t="str">
        <f t="shared" si="0"/>
        <v>ROW</v>
      </c>
      <c r="AC15" t="str">
        <f t="shared" si="0"/>
        <v>Russia</v>
      </c>
      <c r="AD15" t="str">
        <f t="shared" si="0"/>
        <v>SaudiArabia</v>
      </c>
      <c r="AE15" t="str">
        <f t="shared" si="0"/>
        <v>SouthAfrica</v>
      </c>
      <c r="AF15" t="str">
        <f t="shared" si="0"/>
        <v>SpainPor</v>
      </c>
      <c r="AG15" t="str">
        <f t="shared" si="0"/>
        <v>SweFinDen</v>
      </c>
      <c r="AH15" t="str">
        <f t="shared" si="0"/>
        <v>Switzerland</v>
      </c>
      <c r="AI15" t="str">
        <f t="shared" si="0"/>
        <v>Turkey</v>
      </c>
      <c r="AJ15" t="str">
        <f t="shared" si="0"/>
        <v>UK</v>
      </c>
      <c r="AK15" t="str">
        <f t="shared" si="0"/>
        <v>WestBalkans</v>
      </c>
      <c r="AL15" t="s">
        <v>356</v>
      </c>
      <c r="AM15">
        <v>0</v>
      </c>
    </row>
    <row r="16" spans="1:39">
      <c r="A16" t="s">
        <v>357</v>
      </c>
      <c r="B16" t="s">
        <v>358</v>
      </c>
      <c r="C16">
        <v>2025</v>
      </c>
      <c r="D16">
        <v>1</v>
      </c>
      <c r="E16">
        <f t="shared" si="0"/>
        <v>0.2</v>
      </c>
      <c r="F16">
        <f t="shared" si="0"/>
        <v>4.2</v>
      </c>
      <c r="G16">
        <f t="shared" si="0"/>
        <v>0.2</v>
      </c>
      <c r="H16">
        <f t="shared" si="0"/>
        <v>0.1</v>
      </c>
      <c r="I16">
        <f t="shared" si="0"/>
        <v>0</v>
      </c>
      <c r="J16">
        <f t="shared" si="0"/>
        <v>0</v>
      </c>
      <c r="K16">
        <f t="shared" si="0"/>
        <v>3</v>
      </c>
      <c r="L16">
        <f t="shared" si="0"/>
        <v>8</v>
      </c>
      <c r="M16">
        <f t="shared" si="0"/>
        <v>0.1</v>
      </c>
      <c r="N16">
        <f t="shared" si="0"/>
        <v>0</v>
      </c>
      <c r="O16">
        <f t="shared" si="0"/>
        <v>0.2</v>
      </c>
      <c r="P16">
        <f t="shared" si="0"/>
        <v>0</v>
      </c>
      <c r="Q16">
        <f t="shared" si="0"/>
        <v>0</v>
      </c>
      <c r="R16">
        <f t="shared" si="0"/>
        <v>0.2</v>
      </c>
      <c r="S16">
        <f t="shared" si="0"/>
        <v>3</v>
      </c>
      <c r="T16">
        <f t="shared" si="0"/>
        <v>0</v>
      </c>
      <c r="U16">
        <f t="shared" si="0"/>
        <v>0.1</v>
      </c>
      <c r="V16">
        <f t="shared" si="0"/>
        <v>0.2</v>
      </c>
      <c r="W16">
        <f t="shared" si="0"/>
        <v>3.2</v>
      </c>
      <c r="X16">
        <f t="shared" si="0"/>
        <v>0.1</v>
      </c>
      <c r="Y16">
        <f t="shared" si="0"/>
        <v>4.5</v>
      </c>
      <c r="Z16">
        <f t="shared" si="0"/>
        <v>0.2</v>
      </c>
      <c r="AA16">
        <f t="shared" si="0"/>
        <v>0</v>
      </c>
      <c r="AB16">
        <f t="shared" si="0"/>
        <v>7.4</v>
      </c>
      <c r="AC16">
        <f t="shared" si="0"/>
        <v>0.5</v>
      </c>
      <c r="AD16">
        <f t="shared" si="0"/>
        <v>0</v>
      </c>
      <c r="AE16">
        <f t="shared" si="0"/>
        <v>0</v>
      </c>
      <c r="AF16">
        <f t="shared" si="0"/>
        <v>0.2</v>
      </c>
      <c r="AG16">
        <f t="shared" si="0"/>
        <v>0.2</v>
      </c>
      <c r="AH16">
        <f t="shared" si="0"/>
        <v>0.1</v>
      </c>
      <c r="AI16">
        <f t="shared" si="0"/>
        <v>1.5</v>
      </c>
      <c r="AJ16">
        <f t="shared" si="0"/>
        <v>0.1</v>
      </c>
      <c r="AK16">
        <f t="shared" si="0"/>
        <v>0.1</v>
      </c>
      <c r="AL16" t="s">
        <v>359</v>
      </c>
      <c r="AM16">
        <v>3</v>
      </c>
    </row>
    <row r="17" spans="1:41">
      <c r="A17" t="s">
        <v>360</v>
      </c>
      <c r="B17" t="s">
        <v>361</v>
      </c>
      <c r="C17">
        <v>2025</v>
      </c>
      <c r="D17">
        <v>1</v>
      </c>
      <c r="E17">
        <f t="shared" si="0"/>
        <v>2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  <c r="K17">
        <f t="shared" si="0"/>
        <v>1</v>
      </c>
      <c r="L17">
        <f t="shared" si="0"/>
        <v>10</v>
      </c>
      <c r="M17">
        <f t="shared" si="0"/>
        <v>0</v>
      </c>
      <c r="N17">
        <f t="shared" si="0"/>
        <v>2</v>
      </c>
      <c r="O17">
        <f t="shared" si="0"/>
        <v>2</v>
      </c>
      <c r="P17">
        <f t="shared" si="0"/>
        <v>0</v>
      </c>
      <c r="Q17">
        <f t="shared" si="0"/>
        <v>0</v>
      </c>
      <c r="R17">
        <f t="shared" si="0"/>
        <v>2</v>
      </c>
      <c r="S17">
        <f t="shared" si="0"/>
        <v>3</v>
      </c>
      <c r="T17">
        <f t="shared" si="0"/>
        <v>0</v>
      </c>
      <c r="U17">
        <f t="shared" si="0"/>
        <v>0</v>
      </c>
      <c r="V17">
        <f t="shared" si="0"/>
        <v>2</v>
      </c>
      <c r="W17">
        <f t="shared" si="0"/>
        <v>1</v>
      </c>
      <c r="X17">
        <f t="shared" si="0"/>
        <v>3</v>
      </c>
      <c r="Y17">
        <f t="shared" si="0"/>
        <v>5</v>
      </c>
      <c r="Z17">
        <f t="shared" si="0"/>
        <v>1</v>
      </c>
      <c r="AA17">
        <f t="shared" si="0"/>
        <v>2</v>
      </c>
      <c r="AB17">
        <f t="shared" si="0"/>
        <v>9</v>
      </c>
      <c r="AC17">
        <f t="shared" si="0"/>
        <v>3</v>
      </c>
      <c r="AD17">
        <f t="shared" si="0"/>
        <v>2</v>
      </c>
      <c r="AE17">
        <f t="shared" si="0"/>
        <v>0</v>
      </c>
      <c r="AF17">
        <f t="shared" si="0"/>
        <v>0</v>
      </c>
      <c r="AG17">
        <f t="shared" si="0"/>
        <v>2</v>
      </c>
      <c r="AH17">
        <f t="shared" si="0"/>
        <v>0</v>
      </c>
      <c r="AI17">
        <f t="shared" si="0"/>
        <v>2</v>
      </c>
      <c r="AJ17">
        <f t="shared" si="0"/>
        <v>2</v>
      </c>
      <c r="AK17">
        <f t="shared" si="0"/>
        <v>0</v>
      </c>
      <c r="AL17" t="s">
        <v>359</v>
      </c>
      <c r="AM17">
        <v>3</v>
      </c>
    </row>
    <row r="18" spans="1:41">
      <c r="A18" t="s">
        <v>362</v>
      </c>
      <c r="B18" t="s">
        <v>363</v>
      </c>
      <c r="C18">
        <v>2025</v>
      </c>
      <c r="D18">
        <v>1</v>
      </c>
      <c r="E18">
        <f t="shared" si="0"/>
        <v>19</v>
      </c>
      <c r="F18">
        <f t="shared" si="0"/>
        <v>27</v>
      </c>
      <c r="G18">
        <f t="shared" si="0"/>
        <v>20</v>
      </c>
      <c r="H18">
        <f t="shared" si="0"/>
        <v>3</v>
      </c>
      <c r="I18">
        <f t="shared" si="0"/>
        <v>1</v>
      </c>
      <c r="J18">
        <f t="shared" si="0"/>
        <v>7</v>
      </c>
      <c r="K18">
        <f t="shared" si="0"/>
        <v>25</v>
      </c>
      <c r="L18">
        <f t="shared" si="0"/>
        <v>120</v>
      </c>
      <c r="M18">
        <f t="shared" si="0"/>
        <v>2</v>
      </c>
      <c r="N18">
        <f t="shared" si="0"/>
        <v>5</v>
      </c>
      <c r="O18">
        <f t="shared" si="0"/>
        <v>12</v>
      </c>
      <c r="P18">
        <f t="shared" si="0"/>
        <v>15</v>
      </c>
      <c r="Q18">
        <f t="shared" si="0"/>
        <v>3.6</v>
      </c>
      <c r="R18">
        <f t="shared" si="0"/>
        <v>9</v>
      </c>
      <c r="S18">
        <f t="shared" si="0"/>
        <v>80</v>
      </c>
      <c r="T18">
        <f t="shared" si="0"/>
        <v>2</v>
      </c>
      <c r="U18">
        <f t="shared" si="0"/>
        <v>10</v>
      </c>
      <c r="V18">
        <f t="shared" si="0"/>
        <v>25</v>
      </c>
      <c r="W18">
        <f t="shared" si="0"/>
        <v>31.8</v>
      </c>
      <c r="X18">
        <f t="shared" si="0"/>
        <v>20.8</v>
      </c>
      <c r="Y18">
        <f t="shared" si="0"/>
        <v>107</v>
      </c>
      <c r="Z18">
        <f t="shared" si="0"/>
        <v>4</v>
      </c>
      <c r="AA18">
        <f t="shared" si="0"/>
        <v>8</v>
      </c>
      <c r="AB18">
        <f t="shared" si="0"/>
        <v>90</v>
      </c>
      <c r="AC18">
        <f t="shared" si="0"/>
        <v>16</v>
      </c>
      <c r="AD18">
        <f t="shared" si="0"/>
        <v>15</v>
      </c>
      <c r="AE18">
        <f t="shared" si="0"/>
        <v>4</v>
      </c>
      <c r="AF18">
        <f t="shared" si="0"/>
        <v>13</v>
      </c>
      <c r="AG18">
        <f t="shared" si="0"/>
        <v>9</v>
      </c>
      <c r="AH18">
        <f t="shared" si="0"/>
        <v>3</v>
      </c>
      <c r="AI18">
        <f t="shared" si="0"/>
        <v>12</v>
      </c>
      <c r="AJ18">
        <f t="shared" si="0"/>
        <v>10</v>
      </c>
      <c r="AK18">
        <f t="shared" si="0"/>
        <v>1</v>
      </c>
      <c r="AL18" t="s">
        <v>359</v>
      </c>
      <c r="AM18">
        <v>3</v>
      </c>
    </row>
    <row r="19" spans="1:41">
      <c r="A19" t="s">
        <v>364</v>
      </c>
      <c r="B19" t="s">
        <v>365</v>
      </c>
      <c r="C19">
        <v>2025</v>
      </c>
      <c r="D19">
        <v>1</v>
      </c>
      <c r="E19">
        <f t="shared" si="0"/>
        <v>9.8</v>
      </c>
      <c r="F19">
        <f t="shared" si="0"/>
        <v>12.1</v>
      </c>
      <c r="G19">
        <f t="shared" si="0"/>
        <v>12</v>
      </c>
      <c r="H19">
        <f t="shared" si="0"/>
        <v>2</v>
      </c>
      <c r="I19">
        <f t="shared" si="0"/>
        <v>1</v>
      </c>
      <c r="J19">
        <f t="shared" si="0"/>
        <v>6</v>
      </c>
      <c r="K19">
        <f t="shared" si="0"/>
        <v>15</v>
      </c>
      <c r="L19">
        <f t="shared" si="0"/>
        <v>60</v>
      </c>
      <c r="M19">
        <f t="shared" si="0"/>
        <v>1.5</v>
      </c>
      <c r="N19">
        <f t="shared" si="0"/>
        <v>3</v>
      </c>
      <c r="O19">
        <f t="shared" si="0"/>
        <v>8</v>
      </c>
      <c r="P19">
        <f t="shared" si="0"/>
        <v>8</v>
      </c>
      <c r="Q19">
        <f t="shared" si="0"/>
        <v>2.3</v>
      </c>
      <c r="R19">
        <f t="shared" si="0"/>
        <v>6</v>
      </c>
      <c r="S19">
        <f t="shared" si="0"/>
        <v>30</v>
      </c>
      <c r="T19">
        <f t="shared" si="0"/>
        <v>2</v>
      </c>
      <c r="U19">
        <f t="shared" si="0"/>
        <v>6</v>
      </c>
      <c r="V19">
        <f t="shared" si="0"/>
        <v>10</v>
      </c>
      <c r="W19">
        <f t="shared" si="0"/>
        <v>17.8</v>
      </c>
      <c r="X19">
        <f t="shared" ref="X19:AK19" si="1" xml:space="preserve">X5</f>
        <v>8.3</v>
      </c>
      <c r="Y19">
        <f t="shared" si="1"/>
        <v>48</v>
      </c>
      <c r="Z19">
        <f t="shared" si="1"/>
        <v>4</v>
      </c>
      <c r="AA19">
        <f t="shared" si="1"/>
        <v>5</v>
      </c>
      <c r="AB19">
        <f t="shared" si="1"/>
        <v>42.6</v>
      </c>
      <c r="AC19">
        <f t="shared" si="1"/>
        <v>8.8</v>
      </c>
      <c r="AD19">
        <f t="shared" si="1"/>
        <v>5</v>
      </c>
      <c r="AE19">
        <f t="shared" si="1"/>
        <v>2</v>
      </c>
      <c r="AF19">
        <f t="shared" si="1"/>
        <v>8</v>
      </c>
      <c r="AG19">
        <f t="shared" si="1"/>
        <v>10</v>
      </c>
      <c r="AH19">
        <f t="shared" si="1"/>
        <v>2</v>
      </c>
      <c r="AI19">
        <f t="shared" si="1"/>
        <v>6</v>
      </c>
      <c r="AJ19">
        <f t="shared" si="1"/>
        <v>8</v>
      </c>
      <c r="AK19">
        <f t="shared" si="1"/>
        <v>0.8</v>
      </c>
      <c r="AL19" t="s">
        <v>359</v>
      </c>
      <c r="AM19">
        <v>3</v>
      </c>
    </row>
    <row r="20" spans="1:41">
      <c r="A20" t="str">
        <f xml:space="preserve">A16</f>
        <v>uce_buildrate_hydro</v>
      </c>
      <c r="C20">
        <v>2050</v>
      </c>
      <c r="E20">
        <f t="shared" ref="E20:AJ23" si="2" xml:space="preserve">E6</f>
        <v>0.4</v>
      </c>
      <c r="F20">
        <f t="shared" si="2"/>
        <v>7.3</v>
      </c>
      <c r="G20">
        <f t="shared" si="2"/>
        <v>0.5</v>
      </c>
      <c r="H20">
        <f t="shared" si="2"/>
        <v>0.2</v>
      </c>
      <c r="I20">
        <f t="shared" si="2"/>
        <v>0</v>
      </c>
      <c r="J20">
        <f t="shared" si="2"/>
        <v>0</v>
      </c>
      <c r="K20">
        <f t="shared" si="2"/>
        <v>5</v>
      </c>
      <c r="L20">
        <f t="shared" si="2"/>
        <v>15</v>
      </c>
      <c r="M20">
        <f t="shared" si="2"/>
        <v>0.2</v>
      </c>
      <c r="N20">
        <f t="shared" si="2"/>
        <v>0.1</v>
      </c>
      <c r="O20">
        <f t="shared" si="2"/>
        <v>0.5</v>
      </c>
      <c r="P20">
        <f t="shared" si="2"/>
        <v>0.1</v>
      </c>
      <c r="Q20">
        <f t="shared" si="2"/>
        <v>0.1</v>
      </c>
      <c r="R20">
        <f t="shared" si="2"/>
        <v>0.3</v>
      </c>
      <c r="S20">
        <f t="shared" si="2"/>
        <v>6</v>
      </c>
      <c r="T20">
        <f t="shared" si="2"/>
        <v>0</v>
      </c>
      <c r="U20">
        <f t="shared" si="2"/>
        <v>0.3</v>
      </c>
      <c r="V20">
        <f t="shared" si="2"/>
        <v>0.5</v>
      </c>
      <c r="W20">
        <f t="shared" si="2"/>
        <v>6.2</v>
      </c>
      <c r="X20">
        <f t="shared" si="2"/>
        <v>0.2</v>
      </c>
      <c r="Y20">
        <f t="shared" si="2"/>
        <v>9</v>
      </c>
      <c r="Z20">
        <f t="shared" si="2"/>
        <v>0.4</v>
      </c>
      <c r="AA20">
        <f t="shared" si="2"/>
        <v>0.1</v>
      </c>
      <c r="AB20">
        <f t="shared" si="2"/>
        <v>14.2</v>
      </c>
      <c r="AC20">
        <f t="shared" si="2"/>
        <v>1.5</v>
      </c>
      <c r="AD20">
        <f t="shared" si="2"/>
        <v>0</v>
      </c>
      <c r="AE20">
        <f t="shared" si="2"/>
        <v>0.1</v>
      </c>
      <c r="AF20">
        <f t="shared" si="2"/>
        <v>0.5</v>
      </c>
      <c r="AG20">
        <f t="shared" si="2"/>
        <v>0.5</v>
      </c>
      <c r="AH20">
        <f t="shared" si="2"/>
        <v>0.2</v>
      </c>
      <c r="AI20">
        <f t="shared" si="2"/>
        <v>3</v>
      </c>
      <c r="AJ20">
        <f t="shared" si="2"/>
        <v>0.3</v>
      </c>
      <c r="AK20">
        <f t="shared" ref="AK20:AK23" si="3" xml:space="preserve">AK6</f>
        <v>0.2</v>
      </c>
    </row>
    <row r="21" spans="1:41">
      <c r="A21" t="str">
        <f t="shared" ref="A21:A23" si="4" xml:space="preserve">A17</f>
        <v>uce_buildrate_nuclear</v>
      </c>
      <c r="C21">
        <v>2050</v>
      </c>
      <c r="E21">
        <f t="shared" si="2"/>
        <v>5</v>
      </c>
      <c r="F21">
        <f t="shared" si="2"/>
        <v>1</v>
      </c>
      <c r="G21">
        <f t="shared" si="2"/>
        <v>1</v>
      </c>
      <c r="H21">
        <f t="shared" si="2"/>
        <v>0</v>
      </c>
      <c r="I21">
        <f t="shared" si="2"/>
        <v>0</v>
      </c>
      <c r="J21">
        <f t="shared" si="2"/>
        <v>2</v>
      </c>
      <c r="K21">
        <f t="shared" si="2"/>
        <v>3</v>
      </c>
      <c r="L21">
        <f t="shared" si="2"/>
        <v>20</v>
      </c>
      <c r="M21">
        <f t="shared" si="2"/>
        <v>0</v>
      </c>
      <c r="N21">
        <f t="shared" si="2"/>
        <v>4</v>
      </c>
      <c r="O21">
        <f t="shared" si="2"/>
        <v>4</v>
      </c>
      <c r="P21">
        <f t="shared" si="2"/>
        <v>0.5</v>
      </c>
      <c r="Q21">
        <f t="shared" si="2"/>
        <v>0</v>
      </c>
      <c r="R21">
        <f t="shared" si="2"/>
        <v>5</v>
      </c>
      <c r="S21">
        <f t="shared" si="2"/>
        <v>6</v>
      </c>
      <c r="T21">
        <f t="shared" si="2"/>
        <v>0</v>
      </c>
      <c r="U21">
        <f t="shared" si="2"/>
        <v>0</v>
      </c>
      <c r="V21">
        <f t="shared" si="2"/>
        <v>4</v>
      </c>
      <c r="W21">
        <f t="shared" si="2"/>
        <v>2</v>
      </c>
      <c r="X21">
        <f t="shared" si="2"/>
        <v>5</v>
      </c>
      <c r="Y21">
        <f t="shared" si="2"/>
        <v>11</v>
      </c>
      <c r="Z21">
        <f t="shared" si="2"/>
        <v>2</v>
      </c>
      <c r="AA21">
        <f t="shared" si="2"/>
        <v>4</v>
      </c>
      <c r="AB21">
        <f t="shared" si="2"/>
        <v>20</v>
      </c>
      <c r="AC21">
        <f t="shared" si="2"/>
        <v>7</v>
      </c>
      <c r="AD21">
        <f t="shared" si="2"/>
        <v>4</v>
      </c>
      <c r="AE21">
        <f t="shared" si="2"/>
        <v>2</v>
      </c>
      <c r="AF21">
        <f t="shared" si="2"/>
        <v>0</v>
      </c>
      <c r="AG21">
        <f t="shared" si="2"/>
        <v>4</v>
      </c>
      <c r="AH21">
        <f t="shared" si="2"/>
        <v>0</v>
      </c>
      <c r="AI21">
        <f t="shared" si="2"/>
        <v>4</v>
      </c>
      <c r="AJ21">
        <f t="shared" si="2"/>
        <v>4</v>
      </c>
      <c r="AK21">
        <f t="shared" si="3"/>
        <v>0</v>
      </c>
    </row>
    <row r="22" spans="1:41">
      <c r="A22" t="str">
        <f t="shared" si="4"/>
        <v>uce_buildrate_solar</v>
      </c>
      <c r="C22">
        <v>2050</v>
      </c>
      <c r="E22">
        <f t="shared" si="2"/>
        <v>36</v>
      </c>
      <c r="F22">
        <f t="shared" si="2"/>
        <v>48.5</v>
      </c>
      <c r="G22">
        <f t="shared" si="2"/>
        <v>35</v>
      </c>
      <c r="H22">
        <f t="shared" si="2"/>
        <v>5</v>
      </c>
      <c r="I22">
        <f t="shared" si="2"/>
        <v>2</v>
      </c>
      <c r="J22">
        <f t="shared" si="2"/>
        <v>14</v>
      </c>
      <c r="K22">
        <f t="shared" si="2"/>
        <v>50</v>
      </c>
      <c r="L22">
        <f t="shared" si="2"/>
        <v>250</v>
      </c>
      <c r="M22">
        <f t="shared" si="2"/>
        <v>3.5</v>
      </c>
      <c r="N22">
        <f t="shared" si="2"/>
        <v>9</v>
      </c>
      <c r="O22">
        <f t="shared" si="2"/>
        <v>20</v>
      </c>
      <c r="P22">
        <f t="shared" si="2"/>
        <v>25</v>
      </c>
      <c r="Q22">
        <f t="shared" si="2"/>
        <v>7</v>
      </c>
      <c r="R22">
        <f t="shared" si="2"/>
        <v>17</v>
      </c>
      <c r="S22">
        <f t="shared" si="2"/>
        <v>150</v>
      </c>
      <c r="T22">
        <f t="shared" si="2"/>
        <v>4</v>
      </c>
      <c r="U22">
        <f t="shared" si="2"/>
        <v>18</v>
      </c>
      <c r="V22">
        <f t="shared" si="2"/>
        <v>40</v>
      </c>
      <c r="W22">
        <f t="shared" si="2"/>
        <v>60</v>
      </c>
      <c r="X22">
        <f t="shared" si="2"/>
        <v>41.5</v>
      </c>
      <c r="Y22">
        <f t="shared" si="2"/>
        <v>195</v>
      </c>
      <c r="Z22">
        <f t="shared" si="2"/>
        <v>8</v>
      </c>
      <c r="AA22">
        <f t="shared" si="2"/>
        <v>15</v>
      </c>
      <c r="AB22">
        <f t="shared" si="2"/>
        <v>172</v>
      </c>
      <c r="AC22">
        <f t="shared" si="2"/>
        <v>32</v>
      </c>
      <c r="AD22">
        <f t="shared" si="2"/>
        <v>30</v>
      </c>
      <c r="AE22">
        <f t="shared" si="2"/>
        <v>10</v>
      </c>
      <c r="AF22">
        <f t="shared" si="2"/>
        <v>24</v>
      </c>
      <c r="AG22">
        <f t="shared" si="2"/>
        <v>17</v>
      </c>
      <c r="AH22">
        <f t="shared" si="2"/>
        <v>5</v>
      </c>
      <c r="AI22">
        <f t="shared" si="2"/>
        <v>20</v>
      </c>
      <c r="AJ22">
        <f t="shared" si="2"/>
        <v>18</v>
      </c>
      <c r="AK22">
        <f t="shared" si="3"/>
        <v>2</v>
      </c>
    </row>
    <row r="23" spans="1:41">
      <c r="A23" t="str">
        <f t="shared" si="4"/>
        <v>uce_buildrate_wind</v>
      </c>
      <c r="C23">
        <v>2050</v>
      </c>
      <c r="E23">
        <f t="shared" si="2"/>
        <v>19.5</v>
      </c>
      <c r="F23">
        <f t="shared" si="2"/>
        <v>22.1</v>
      </c>
      <c r="G23">
        <f t="shared" si="2"/>
        <v>20</v>
      </c>
      <c r="H23">
        <f t="shared" si="2"/>
        <v>3</v>
      </c>
      <c r="I23">
        <f t="shared" si="2"/>
        <v>1.5</v>
      </c>
      <c r="J23">
        <f t="shared" si="2"/>
        <v>12</v>
      </c>
      <c r="K23">
        <f t="shared" si="2"/>
        <v>25</v>
      </c>
      <c r="L23">
        <f t="shared" si="2"/>
        <v>100</v>
      </c>
      <c r="M23">
        <f t="shared" si="2"/>
        <v>2.3</v>
      </c>
      <c r="N23">
        <f t="shared" si="2"/>
        <v>5</v>
      </c>
      <c r="O23">
        <f t="shared" si="2"/>
        <v>12</v>
      </c>
      <c r="P23">
        <f t="shared" si="2"/>
        <v>15</v>
      </c>
      <c r="Q23">
        <f t="shared" si="2"/>
        <v>4.5</v>
      </c>
      <c r="R23">
        <f t="shared" si="2"/>
        <v>10</v>
      </c>
      <c r="S23">
        <f t="shared" si="2"/>
        <v>60</v>
      </c>
      <c r="T23">
        <f t="shared" si="2"/>
        <v>4</v>
      </c>
      <c r="U23">
        <f t="shared" si="2"/>
        <v>10</v>
      </c>
      <c r="V23">
        <f t="shared" si="2"/>
        <v>18</v>
      </c>
      <c r="W23">
        <f t="shared" si="2"/>
        <v>34.6</v>
      </c>
      <c r="X23">
        <f t="shared" si="2"/>
        <v>16.5</v>
      </c>
      <c r="Y23">
        <f t="shared" si="2"/>
        <v>90</v>
      </c>
      <c r="Z23">
        <f t="shared" si="2"/>
        <v>8</v>
      </c>
      <c r="AA23">
        <f t="shared" si="2"/>
        <v>10</v>
      </c>
      <c r="AB23">
        <f t="shared" si="2"/>
        <v>82.3</v>
      </c>
      <c r="AC23">
        <f t="shared" si="2"/>
        <v>16.5</v>
      </c>
      <c r="AD23">
        <f t="shared" si="2"/>
        <v>10</v>
      </c>
      <c r="AE23">
        <f t="shared" si="2"/>
        <v>5</v>
      </c>
      <c r="AF23">
        <f t="shared" si="2"/>
        <v>14</v>
      </c>
      <c r="AG23">
        <f t="shared" si="2"/>
        <v>19</v>
      </c>
      <c r="AH23">
        <f t="shared" si="2"/>
        <v>3</v>
      </c>
      <c r="AI23">
        <f t="shared" si="2"/>
        <v>10</v>
      </c>
      <c r="AJ23">
        <f t="shared" si="2"/>
        <v>15</v>
      </c>
      <c r="AK23">
        <f t="shared" si="3"/>
        <v>1.5</v>
      </c>
    </row>
    <row r="25" s="1" customFormat="1" spans="1:41">
      <c r="A25" s="4" t="s">
        <v>354</v>
      </c>
    </row>
    <row r="26" s="1" customFormat="1"/>
    <row r="27" s="1" customFormat="1"/>
    <row r="28" s="1" customFormat="1" spans="1:4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="1" customFormat="1" spans="1:41">
      <c r="A29" s="4" t="s">
        <v>83</v>
      </c>
      <c r="B29" s="4" t="s">
        <v>51</v>
      </c>
      <c r="C29" s="4" t="s">
        <v>13</v>
      </c>
      <c r="D29" s="4" t="s">
        <v>355</v>
      </c>
      <c r="E29" s="4" t="s">
        <v>251</v>
      </c>
      <c r="F29" s="4" t="s">
        <v>254</v>
      </c>
      <c r="G29" s="4" t="s">
        <v>258</v>
      </c>
      <c r="H29" s="4" t="s">
        <v>260</v>
      </c>
      <c r="I29" s="4" t="s">
        <v>262</v>
      </c>
      <c r="J29" s="4" t="s">
        <v>253</v>
      </c>
      <c r="K29" s="4" t="s">
        <v>257</v>
      </c>
      <c r="L29" s="4" t="s">
        <v>259</v>
      </c>
      <c r="M29" s="4" t="s">
        <v>261</v>
      </c>
      <c r="N29" s="4" t="s">
        <v>263</v>
      </c>
      <c r="O29" s="4" t="s">
        <v>264</v>
      </c>
      <c r="P29" s="4" t="s">
        <v>265</v>
      </c>
      <c r="Q29" s="4" t="s">
        <v>271</v>
      </c>
      <c r="R29" s="4" t="s">
        <v>266</v>
      </c>
      <c r="S29" s="4" t="s">
        <v>267</v>
      </c>
      <c r="T29" s="4" t="s">
        <v>275</v>
      </c>
      <c r="U29" s="4" t="s">
        <v>277</v>
      </c>
      <c r="V29" s="4" t="s">
        <v>268</v>
      </c>
      <c r="W29" s="4" t="s">
        <v>269</v>
      </c>
      <c r="X29" s="4" t="s">
        <v>270</v>
      </c>
      <c r="Y29" s="4" t="s">
        <v>272</v>
      </c>
      <c r="Z29" s="4" t="s">
        <v>283</v>
      </c>
      <c r="AA29" s="4" t="s">
        <v>285</v>
      </c>
      <c r="AB29" s="4" t="s">
        <v>273</v>
      </c>
      <c r="AC29" s="4" t="s">
        <v>274</v>
      </c>
      <c r="AD29" s="4" t="s">
        <v>286</v>
      </c>
      <c r="AE29" s="4" t="s">
        <v>276</v>
      </c>
      <c r="AF29" s="4" t="s">
        <v>278</v>
      </c>
      <c r="AG29" s="4" t="s">
        <v>279</v>
      </c>
      <c r="AH29" s="4" t="s">
        <v>280</v>
      </c>
      <c r="AI29" s="4" t="s">
        <v>281</v>
      </c>
      <c r="AJ29" s="4" t="s">
        <v>282</v>
      </c>
      <c r="AK29" s="4" t="s">
        <v>288</v>
      </c>
      <c r="AL29" s="5" t="s">
        <v>284</v>
      </c>
      <c r="AM29" s="1" t="s">
        <v>291</v>
      </c>
      <c r="AN29" s="4" t="s">
        <v>356</v>
      </c>
      <c r="AO29" s="1">
        <v>0</v>
      </c>
    </row>
    <row r="30" s="1" customFormat="1" spans="1:41">
      <c r="A30" s="1" t="s">
        <v>366</v>
      </c>
      <c r="B30" s="4" t="s">
        <v>367</v>
      </c>
      <c r="C30" s="4">
        <v>2030</v>
      </c>
      <c r="D30" s="4">
        <v>1</v>
      </c>
      <c r="E30" s="4">
        <v>3</v>
      </c>
      <c r="F30" s="4">
        <v>4</v>
      </c>
      <c r="G30" s="4">
        <v>1.5</v>
      </c>
      <c r="H30" s="4">
        <v>0.3</v>
      </c>
      <c r="I30" s="4">
        <v>0.2</v>
      </c>
      <c r="J30" s="4">
        <v>0.5</v>
      </c>
      <c r="K30" s="4">
        <v>2</v>
      </c>
      <c r="L30" s="4">
        <v>12</v>
      </c>
      <c r="M30" s="4">
        <v>0.2</v>
      </c>
      <c r="N30" s="4">
        <v>0.3</v>
      </c>
      <c r="O30" s="4">
        <v>1</v>
      </c>
      <c r="P30" s="4">
        <v>2</v>
      </c>
      <c r="Q30" s="4">
        <v>0.4</v>
      </c>
      <c r="R30" s="4">
        <v>0.6</v>
      </c>
      <c r="S30" s="4">
        <v>2</v>
      </c>
      <c r="T30" s="4">
        <v>0.3</v>
      </c>
      <c r="U30" s="4">
        <v>1.2</v>
      </c>
      <c r="V30" s="4">
        <v>2</v>
      </c>
      <c r="W30" s="4">
        <v>5</v>
      </c>
      <c r="X30" s="4">
        <v>8</v>
      </c>
      <c r="Y30" s="4">
        <v>10</v>
      </c>
      <c r="Z30" s="4">
        <v>0.1</v>
      </c>
      <c r="AA30" s="4">
        <v>0.8</v>
      </c>
      <c r="AB30" s="4">
        <v>10</v>
      </c>
      <c r="AC30" s="4">
        <v>4</v>
      </c>
      <c r="AD30" s="4">
        <v>3</v>
      </c>
      <c r="AE30" s="4">
        <v>1.5</v>
      </c>
      <c r="AF30" s="4">
        <v>1</v>
      </c>
      <c r="AG30" s="4">
        <v>0.4</v>
      </c>
      <c r="AH30" s="4">
        <v>0.1</v>
      </c>
      <c r="AI30" s="4">
        <v>2.5</v>
      </c>
      <c r="AJ30" s="4">
        <v>1.5</v>
      </c>
      <c r="AK30" s="4">
        <v>0.3</v>
      </c>
      <c r="AL30" s="1">
        <v>1.5</v>
      </c>
      <c r="AM30" s="1">
        <v>0</v>
      </c>
      <c r="AN30" s="1" t="s">
        <v>359</v>
      </c>
      <c r="AO30" s="1">
        <v>3</v>
      </c>
    </row>
    <row r="31" s="1" customFormat="1" spans="1:41">
      <c r="A31" s="1" t="s">
        <v>366</v>
      </c>
      <c r="B31" s="4" t="s">
        <v>367</v>
      </c>
      <c r="C31" s="4">
        <v>2040</v>
      </c>
      <c r="D31" s="4">
        <v>1</v>
      </c>
      <c r="E31" s="4">
        <v>2.4</v>
      </c>
      <c r="F31" s="4">
        <v>3.2</v>
      </c>
      <c r="G31" s="4">
        <v>1.2</v>
      </c>
      <c r="H31" s="4">
        <v>0.24</v>
      </c>
      <c r="I31" s="4">
        <v>0.16</v>
      </c>
      <c r="J31" s="4">
        <v>0.4</v>
      </c>
      <c r="K31" s="4">
        <v>1.6</v>
      </c>
      <c r="L31" s="4">
        <v>9.6</v>
      </c>
      <c r="M31" s="4">
        <v>0.16</v>
      </c>
      <c r="N31" s="4">
        <v>0.24</v>
      </c>
      <c r="O31" s="4">
        <v>0.8</v>
      </c>
      <c r="P31" s="4">
        <v>1.6</v>
      </c>
      <c r="Q31" s="4">
        <v>0.32</v>
      </c>
      <c r="R31" s="4">
        <v>0.48</v>
      </c>
      <c r="S31" s="4">
        <v>1.6</v>
      </c>
      <c r="T31" s="4">
        <v>0.24</v>
      </c>
      <c r="U31" s="4">
        <v>0.96</v>
      </c>
      <c r="V31" s="4">
        <v>1.6</v>
      </c>
      <c r="W31" s="4">
        <v>4</v>
      </c>
      <c r="X31" s="4">
        <v>6.4</v>
      </c>
      <c r="Y31" s="4">
        <v>8</v>
      </c>
      <c r="Z31" s="4">
        <v>0.08</v>
      </c>
      <c r="AA31" s="4">
        <v>0.64</v>
      </c>
      <c r="AB31" s="4">
        <v>8</v>
      </c>
      <c r="AC31" s="4">
        <v>3.2</v>
      </c>
      <c r="AD31" s="4">
        <v>2.4</v>
      </c>
      <c r="AE31" s="4">
        <v>1.2</v>
      </c>
      <c r="AF31" s="4">
        <v>0.8</v>
      </c>
      <c r="AG31" s="4">
        <v>0.32</v>
      </c>
      <c r="AH31" s="4">
        <v>0.08</v>
      </c>
      <c r="AI31" s="4">
        <v>2</v>
      </c>
      <c r="AJ31" s="4">
        <v>1.2</v>
      </c>
      <c r="AK31" s="4">
        <v>0.24</v>
      </c>
      <c r="AL31" s="1">
        <v>1.5</v>
      </c>
      <c r="AM31" s="1">
        <v>0</v>
      </c>
      <c r="AN31" s="1" t="s">
        <v>359</v>
      </c>
      <c r="AO31" s="1">
        <v>3</v>
      </c>
    </row>
    <row r="32" s="1" customFormat="1" spans="1:41">
      <c r="A32" s="1" t="s">
        <v>368</v>
      </c>
      <c r="B32" s="4" t="s">
        <v>369</v>
      </c>
      <c r="C32" s="4">
        <v>2030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1">
        <v>0</v>
      </c>
      <c r="AM32" s="1">
        <v>0</v>
      </c>
      <c r="AN32" s="1" t="s">
        <v>359</v>
      </c>
      <c r="AO32" s="1">
        <v>3</v>
      </c>
    </row>
    <row r="33" spans="1:41">
      <c r="A33" s="6"/>
      <c r="B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="2" customFormat="1" spans="1:41">
      <c r="A34" s="7"/>
      <c r="B34" s="7"/>
      <c r="C34" s="7" t="s">
        <v>354</v>
      </c>
      <c r="D34" s="7"/>
      <c r="E34" s="7" t="s">
        <v>370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="2" customFormat="1" spans="1:41">
      <c r="B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="2" customFormat="1" spans="1:41">
      <c r="A36" s="7" t="s">
        <v>83</v>
      </c>
      <c r="B36" s="7" t="s">
        <v>51</v>
      </c>
      <c r="C36" s="2" t="s">
        <v>29</v>
      </c>
      <c r="D36" s="7" t="s">
        <v>13</v>
      </c>
      <c r="E36" s="7" t="s">
        <v>84</v>
      </c>
      <c r="F36" s="7" t="s">
        <v>251</v>
      </c>
      <c r="G36" s="7" t="s">
        <v>254</v>
      </c>
      <c r="H36" s="7" t="s">
        <v>258</v>
      </c>
      <c r="I36" s="7" t="s">
        <v>260</v>
      </c>
      <c r="J36" s="7" t="s">
        <v>262</v>
      </c>
      <c r="K36" s="7" t="s">
        <v>253</v>
      </c>
      <c r="L36" s="7" t="s">
        <v>257</v>
      </c>
      <c r="M36" s="7" t="s">
        <v>259</v>
      </c>
      <c r="N36" s="7" t="s">
        <v>261</v>
      </c>
      <c r="O36" s="7" t="s">
        <v>263</v>
      </c>
      <c r="P36" s="7" t="s">
        <v>264</v>
      </c>
      <c r="Q36" s="7" t="s">
        <v>265</v>
      </c>
      <c r="R36" s="7" t="s">
        <v>271</v>
      </c>
      <c r="S36" s="7" t="s">
        <v>266</v>
      </c>
      <c r="T36" s="7" t="s">
        <v>267</v>
      </c>
      <c r="U36" s="7" t="s">
        <v>275</v>
      </c>
      <c r="V36" s="7" t="s">
        <v>277</v>
      </c>
      <c r="W36" s="7" t="s">
        <v>268</v>
      </c>
      <c r="X36" s="7" t="s">
        <v>269</v>
      </c>
      <c r="Y36" s="7" t="s">
        <v>270</v>
      </c>
      <c r="Z36" s="7" t="s">
        <v>272</v>
      </c>
      <c r="AA36" s="7" t="s">
        <v>283</v>
      </c>
      <c r="AB36" s="7" t="s">
        <v>285</v>
      </c>
      <c r="AC36" s="7" t="s">
        <v>273</v>
      </c>
      <c r="AD36" s="7" t="s">
        <v>274</v>
      </c>
      <c r="AE36" s="7" t="s">
        <v>286</v>
      </c>
      <c r="AF36" s="7" t="s">
        <v>276</v>
      </c>
      <c r="AG36" s="7" t="s">
        <v>278</v>
      </c>
      <c r="AH36" s="7" t="s">
        <v>279</v>
      </c>
      <c r="AI36" s="7" t="s">
        <v>280</v>
      </c>
      <c r="AJ36" s="7" t="s">
        <v>281</v>
      </c>
      <c r="AK36" s="7" t="s">
        <v>282</v>
      </c>
      <c r="AL36" s="7" t="s">
        <v>288</v>
      </c>
      <c r="AM36" s="8" t="s">
        <v>284</v>
      </c>
      <c r="AN36" s="2" t="s">
        <v>291</v>
      </c>
      <c r="AO36" s="2">
        <v>0</v>
      </c>
    </row>
    <row r="37" s="2" customFormat="1" ht="16" spans="1:41">
      <c r="A37" s="9" t="s">
        <v>371</v>
      </c>
      <c r="B37" s="9"/>
      <c r="C37" s="10" t="s">
        <v>372</v>
      </c>
      <c r="D37" s="9">
        <v>2030</v>
      </c>
      <c r="E37" s="9">
        <v>1</v>
      </c>
      <c r="F37" s="2">
        <f t="shared" ref="F37:AN37" si="5" xml:space="preserve">F47/3</f>
        <v>1.66666666666667</v>
      </c>
      <c r="G37" s="2">
        <f t="shared" si="5"/>
        <v>10</v>
      </c>
      <c r="H37" s="2">
        <f t="shared" si="5"/>
        <v>3.33333333333333</v>
      </c>
      <c r="I37" s="2">
        <f t="shared" si="5"/>
        <v>1</v>
      </c>
      <c r="J37" s="2">
        <f t="shared" si="5"/>
        <v>1.33333333333333</v>
      </c>
      <c r="K37" s="2">
        <f t="shared" si="5"/>
        <v>1.66666666666667</v>
      </c>
      <c r="L37" s="2">
        <f t="shared" si="5"/>
        <v>16.6666666666667</v>
      </c>
      <c r="M37" s="2">
        <f t="shared" si="5"/>
        <v>50</v>
      </c>
      <c r="N37" s="2">
        <f t="shared" si="5"/>
        <v>1</v>
      </c>
      <c r="O37" s="2">
        <f t="shared" si="5"/>
        <v>1.66666666666667</v>
      </c>
      <c r="P37" s="2">
        <f t="shared" si="5"/>
        <v>5</v>
      </c>
      <c r="Q37" s="2">
        <f t="shared" si="5"/>
        <v>8.33333333333333</v>
      </c>
      <c r="R37" s="2">
        <f t="shared" si="5"/>
        <v>1</v>
      </c>
      <c r="S37" s="2">
        <f t="shared" si="5"/>
        <v>2.66666666666667</v>
      </c>
      <c r="T37" s="2">
        <f t="shared" si="5"/>
        <v>26.6666666666667</v>
      </c>
      <c r="U37" s="2">
        <f t="shared" si="5"/>
        <v>0.666666666666667</v>
      </c>
      <c r="V37" s="2">
        <f t="shared" si="5"/>
        <v>3.33333333333333</v>
      </c>
      <c r="W37" s="2">
        <f t="shared" si="5"/>
        <v>5</v>
      </c>
      <c r="X37" s="2">
        <f t="shared" si="5"/>
        <v>10</v>
      </c>
      <c r="Y37" s="2">
        <f t="shared" si="5"/>
        <v>3.33333333333333</v>
      </c>
      <c r="Z37" s="2">
        <f t="shared" si="5"/>
        <v>40</v>
      </c>
      <c r="AA37" s="2">
        <f t="shared" si="5"/>
        <v>1</v>
      </c>
      <c r="AB37" s="2">
        <f t="shared" si="5"/>
        <v>3.33333333333333</v>
      </c>
      <c r="AC37" s="2">
        <f t="shared" si="5"/>
        <v>33.3333333333333</v>
      </c>
      <c r="AD37" s="2">
        <f t="shared" si="5"/>
        <v>8.33333333333333</v>
      </c>
      <c r="AE37" s="2">
        <f t="shared" si="5"/>
        <v>1</v>
      </c>
      <c r="AF37" s="2">
        <f t="shared" si="5"/>
        <v>4</v>
      </c>
      <c r="AG37" s="2">
        <f t="shared" si="5"/>
        <v>4</v>
      </c>
      <c r="AH37" s="2">
        <f t="shared" si="5"/>
        <v>5</v>
      </c>
      <c r="AI37" s="2">
        <f t="shared" si="5"/>
        <v>0.666666666666667</v>
      </c>
      <c r="AJ37" s="2">
        <f t="shared" si="5"/>
        <v>4</v>
      </c>
      <c r="AK37" s="2">
        <f t="shared" si="5"/>
        <v>5</v>
      </c>
      <c r="AL37" s="2">
        <f t="shared" si="5"/>
        <v>2.66666666666667</v>
      </c>
      <c r="AM37" s="2">
        <f t="shared" si="5"/>
        <v>0.166666666666667</v>
      </c>
      <c r="AN37" s="2">
        <f t="shared" si="5"/>
        <v>1.66666666666667</v>
      </c>
      <c r="AO37" s="9">
        <v>3</v>
      </c>
    </row>
    <row r="38" s="2" customFormat="1" spans="1:41">
      <c r="A38" s="9" t="s">
        <v>373</v>
      </c>
      <c r="C38" s="2" t="s">
        <v>374</v>
      </c>
      <c r="D38" s="2">
        <v>2030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3</v>
      </c>
    </row>
    <row r="39" s="2" customFormat="1" spans="1:41">
      <c r="A39" s="9" t="s">
        <v>375</v>
      </c>
      <c r="C39" s="2" t="s">
        <v>376</v>
      </c>
      <c r="D39" s="2">
        <v>2030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3</v>
      </c>
    </row>
    <row r="40" s="2" customFormat="1" spans="1:41">
      <c r="A40" s="9" t="s">
        <v>371</v>
      </c>
      <c r="D40" s="2">
        <v>2100</v>
      </c>
      <c r="F40" s="2">
        <f xml:space="preserve">F37</f>
        <v>1.66666666666667</v>
      </c>
      <c r="G40" s="2">
        <f t="shared" ref="G40:AN40" si="6" xml:space="preserve">G37</f>
        <v>10</v>
      </c>
      <c r="H40" s="2">
        <f t="shared" si="6"/>
        <v>3.33333333333333</v>
      </c>
      <c r="I40" s="2">
        <f t="shared" si="6"/>
        <v>1</v>
      </c>
      <c r="J40" s="2">
        <f t="shared" si="6"/>
        <v>1.33333333333333</v>
      </c>
      <c r="K40" s="2">
        <f t="shared" si="6"/>
        <v>1.66666666666667</v>
      </c>
      <c r="L40" s="2">
        <f t="shared" si="6"/>
        <v>16.6666666666667</v>
      </c>
      <c r="M40" s="2">
        <f t="shared" si="6"/>
        <v>50</v>
      </c>
      <c r="N40" s="2">
        <f t="shared" si="6"/>
        <v>1</v>
      </c>
      <c r="O40" s="2">
        <f t="shared" si="6"/>
        <v>1.66666666666667</v>
      </c>
      <c r="P40" s="2">
        <f t="shared" si="6"/>
        <v>5</v>
      </c>
      <c r="Q40" s="2">
        <f t="shared" si="6"/>
        <v>8.33333333333333</v>
      </c>
      <c r="R40" s="2">
        <f t="shared" si="6"/>
        <v>1</v>
      </c>
      <c r="S40" s="2">
        <f t="shared" si="6"/>
        <v>2.66666666666667</v>
      </c>
      <c r="T40" s="2">
        <f t="shared" si="6"/>
        <v>26.6666666666667</v>
      </c>
      <c r="U40" s="2">
        <f t="shared" si="6"/>
        <v>0.666666666666667</v>
      </c>
      <c r="V40" s="2">
        <f t="shared" si="6"/>
        <v>3.33333333333333</v>
      </c>
      <c r="W40" s="2">
        <f t="shared" si="6"/>
        <v>5</v>
      </c>
      <c r="X40" s="2">
        <f t="shared" si="6"/>
        <v>10</v>
      </c>
      <c r="Y40" s="2">
        <f t="shared" si="6"/>
        <v>3.33333333333333</v>
      </c>
      <c r="Z40" s="2">
        <f t="shared" si="6"/>
        <v>40</v>
      </c>
      <c r="AA40" s="2">
        <f t="shared" si="6"/>
        <v>1</v>
      </c>
      <c r="AB40" s="2">
        <f t="shared" si="6"/>
        <v>3.33333333333333</v>
      </c>
      <c r="AC40" s="2">
        <f t="shared" si="6"/>
        <v>33.3333333333333</v>
      </c>
      <c r="AD40" s="2">
        <f t="shared" si="6"/>
        <v>8.33333333333333</v>
      </c>
      <c r="AE40" s="2">
        <f t="shared" si="6"/>
        <v>1</v>
      </c>
      <c r="AF40" s="2">
        <f t="shared" si="6"/>
        <v>4</v>
      </c>
      <c r="AG40" s="2">
        <f t="shared" si="6"/>
        <v>4</v>
      </c>
      <c r="AH40" s="2">
        <f t="shared" si="6"/>
        <v>5</v>
      </c>
      <c r="AI40" s="2">
        <f t="shared" si="6"/>
        <v>0.666666666666667</v>
      </c>
      <c r="AJ40" s="2">
        <f t="shared" si="6"/>
        <v>4</v>
      </c>
      <c r="AK40" s="2">
        <f t="shared" si="6"/>
        <v>5</v>
      </c>
      <c r="AL40" s="2">
        <f t="shared" si="6"/>
        <v>2.66666666666667</v>
      </c>
      <c r="AM40" s="2">
        <f t="shared" si="6"/>
        <v>0.166666666666667</v>
      </c>
      <c r="AN40" s="2">
        <f t="shared" si="6"/>
        <v>1.66666666666667</v>
      </c>
    </row>
    <row r="41" s="2" customFormat="1" spans="1:41">
      <c r="A41" s="9" t="s">
        <v>373</v>
      </c>
      <c r="D41" s="2">
        <v>2100</v>
      </c>
      <c r="F41" s="2">
        <f xml:space="preserve">F38</f>
        <v>0</v>
      </c>
      <c r="G41" s="2">
        <f t="shared" ref="G41:AN41" si="7" xml:space="preserve">G38</f>
        <v>0</v>
      </c>
      <c r="H41" s="2">
        <f t="shared" si="7"/>
        <v>0</v>
      </c>
      <c r="I41" s="2">
        <f t="shared" si="7"/>
        <v>0</v>
      </c>
      <c r="J41" s="2">
        <f t="shared" si="7"/>
        <v>0</v>
      </c>
      <c r="K41" s="2">
        <f t="shared" si="7"/>
        <v>0</v>
      </c>
      <c r="L41" s="2">
        <f t="shared" si="7"/>
        <v>0</v>
      </c>
      <c r="M41" s="2">
        <f t="shared" si="7"/>
        <v>0</v>
      </c>
      <c r="N41" s="2">
        <f t="shared" si="7"/>
        <v>0</v>
      </c>
      <c r="O41" s="2">
        <f t="shared" si="7"/>
        <v>0</v>
      </c>
      <c r="P41" s="2">
        <f t="shared" si="7"/>
        <v>0</v>
      </c>
      <c r="Q41" s="2">
        <f t="shared" si="7"/>
        <v>0</v>
      </c>
      <c r="R41" s="2">
        <f t="shared" si="7"/>
        <v>0</v>
      </c>
      <c r="S41" s="2">
        <f t="shared" si="7"/>
        <v>0</v>
      </c>
      <c r="T41" s="2">
        <f t="shared" si="7"/>
        <v>0</v>
      </c>
      <c r="U41" s="2">
        <f t="shared" si="7"/>
        <v>0</v>
      </c>
      <c r="V41" s="2">
        <f t="shared" si="7"/>
        <v>0</v>
      </c>
      <c r="W41" s="2">
        <f t="shared" si="7"/>
        <v>0</v>
      </c>
      <c r="X41" s="2">
        <f t="shared" si="7"/>
        <v>0</v>
      </c>
      <c r="Y41" s="2">
        <f t="shared" si="7"/>
        <v>0</v>
      </c>
      <c r="Z41" s="2">
        <f t="shared" si="7"/>
        <v>0</v>
      </c>
      <c r="AA41" s="2">
        <f t="shared" si="7"/>
        <v>0</v>
      </c>
      <c r="AB41" s="2">
        <f t="shared" si="7"/>
        <v>0</v>
      </c>
      <c r="AC41" s="2">
        <f t="shared" si="7"/>
        <v>0</v>
      </c>
      <c r="AD41" s="2">
        <f t="shared" si="7"/>
        <v>0</v>
      </c>
      <c r="AE41" s="2">
        <f t="shared" si="7"/>
        <v>0</v>
      </c>
      <c r="AF41" s="2">
        <f t="shared" si="7"/>
        <v>0</v>
      </c>
      <c r="AG41" s="2">
        <f t="shared" si="7"/>
        <v>0</v>
      </c>
      <c r="AH41" s="2">
        <f t="shared" si="7"/>
        <v>0</v>
      </c>
      <c r="AI41" s="2">
        <f t="shared" si="7"/>
        <v>0</v>
      </c>
      <c r="AJ41" s="2">
        <f t="shared" si="7"/>
        <v>0</v>
      </c>
      <c r="AK41" s="2">
        <f t="shared" si="7"/>
        <v>0</v>
      </c>
      <c r="AL41" s="2">
        <f t="shared" si="7"/>
        <v>0</v>
      </c>
      <c r="AM41" s="2">
        <f t="shared" si="7"/>
        <v>0</v>
      </c>
      <c r="AN41" s="2">
        <f t="shared" si="7"/>
        <v>0</v>
      </c>
    </row>
    <row r="42" s="2" customFormat="1" spans="1:41">
      <c r="A42" s="9" t="s">
        <v>375</v>
      </c>
      <c r="D42" s="2">
        <v>2100</v>
      </c>
      <c r="F42" s="2">
        <f xml:space="preserve">F39</f>
        <v>0</v>
      </c>
      <c r="G42" s="2">
        <f t="shared" ref="G42:AN42" si="8" xml:space="preserve">G39</f>
        <v>0</v>
      </c>
      <c r="H42" s="2">
        <f t="shared" si="8"/>
        <v>0</v>
      </c>
      <c r="I42" s="2">
        <f t="shared" si="8"/>
        <v>0</v>
      </c>
      <c r="J42" s="2">
        <f t="shared" si="8"/>
        <v>0</v>
      </c>
      <c r="K42" s="2">
        <f t="shared" si="8"/>
        <v>0</v>
      </c>
      <c r="L42" s="2">
        <f t="shared" si="8"/>
        <v>0</v>
      </c>
      <c r="M42" s="2">
        <f t="shared" si="8"/>
        <v>0</v>
      </c>
      <c r="N42" s="2">
        <f t="shared" si="8"/>
        <v>0</v>
      </c>
      <c r="O42" s="2">
        <f t="shared" si="8"/>
        <v>0</v>
      </c>
      <c r="P42" s="2">
        <f t="shared" si="8"/>
        <v>0</v>
      </c>
      <c r="Q42" s="2">
        <f t="shared" si="8"/>
        <v>0</v>
      </c>
      <c r="R42" s="2">
        <f t="shared" si="8"/>
        <v>0</v>
      </c>
      <c r="S42" s="2">
        <f t="shared" si="8"/>
        <v>0</v>
      </c>
      <c r="T42" s="2">
        <f t="shared" si="8"/>
        <v>0</v>
      </c>
      <c r="U42" s="2">
        <f t="shared" si="8"/>
        <v>0</v>
      </c>
      <c r="V42" s="2">
        <f t="shared" si="8"/>
        <v>0</v>
      </c>
      <c r="W42" s="2">
        <f t="shared" si="8"/>
        <v>0</v>
      </c>
      <c r="X42" s="2">
        <f t="shared" si="8"/>
        <v>0</v>
      </c>
      <c r="Y42" s="2">
        <f t="shared" si="8"/>
        <v>0</v>
      </c>
      <c r="Z42" s="2">
        <f t="shared" si="8"/>
        <v>0</v>
      </c>
      <c r="AA42" s="2">
        <f t="shared" si="8"/>
        <v>0</v>
      </c>
      <c r="AB42" s="2">
        <f t="shared" si="8"/>
        <v>0</v>
      </c>
      <c r="AC42" s="2">
        <f t="shared" si="8"/>
        <v>0</v>
      </c>
      <c r="AD42" s="2">
        <f t="shared" si="8"/>
        <v>0</v>
      </c>
      <c r="AE42" s="2">
        <f t="shared" si="8"/>
        <v>0</v>
      </c>
      <c r="AF42" s="2">
        <f t="shared" si="8"/>
        <v>0</v>
      </c>
      <c r="AG42" s="2">
        <f t="shared" si="8"/>
        <v>0</v>
      </c>
      <c r="AH42" s="2">
        <f t="shared" si="8"/>
        <v>0</v>
      </c>
      <c r="AI42" s="2">
        <f t="shared" si="8"/>
        <v>0</v>
      </c>
      <c r="AJ42" s="2">
        <f t="shared" si="8"/>
        <v>0</v>
      </c>
      <c r="AK42" s="2">
        <f t="shared" si="8"/>
        <v>0</v>
      </c>
      <c r="AL42" s="2">
        <f t="shared" si="8"/>
        <v>0</v>
      </c>
      <c r="AM42" s="2">
        <f t="shared" si="8"/>
        <v>0</v>
      </c>
      <c r="AN42" s="2">
        <f t="shared" si="8"/>
        <v>0</v>
      </c>
    </row>
    <row r="44" spans="1:41">
      <c r="A44" s="11"/>
    </row>
    <row r="47" spans="1:41">
      <c r="F47" s="11">
        <v>5</v>
      </c>
      <c r="G47" s="11">
        <v>30</v>
      </c>
      <c r="H47" s="11">
        <v>10</v>
      </c>
      <c r="I47" s="11">
        <v>3</v>
      </c>
      <c r="J47" s="11">
        <v>4</v>
      </c>
      <c r="K47" s="11">
        <v>5</v>
      </c>
      <c r="L47" s="11">
        <v>50</v>
      </c>
      <c r="M47" s="11">
        <v>150</v>
      </c>
      <c r="N47" s="11">
        <v>3</v>
      </c>
      <c r="O47" s="11">
        <v>5</v>
      </c>
      <c r="P47" s="11">
        <v>15</v>
      </c>
      <c r="Q47" s="11">
        <v>25</v>
      </c>
      <c r="R47" s="11">
        <v>3</v>
      </c>
      <c r="S47" s="11">
        <v>8</v>
      </c>
      <c r="T47" s="11">
        <v>80</v>
      </c>
      <c r="U47" s="11">
        <v>2</v>
      </c>
      <c r="V47" s="11">
        <v>10</v>
      </c>
      <c r="W47" s="11">
        <v>15</v>
      </c>
      <c r="X47" s="11">
        <v>30</v>
      </c>
      <c r="Y47" s="11">
        <v>10</v>
      </c>
      <c r="Z47" s="11">
        <v>120</v>
      </c>
      <c r="AA47" s="11">
        <v>3</v>
      </c>
      <c r="AB47" s="11">
        <v>10</v>
      </c>
      <c r="AC47" s="11">
        <v>100</v>
      </c>
      <c r="AD47" s="11">
        <v>25</v>
      </c>
      <c r="AE47" s="11">
        <v>3</v>
      </c>
      <c r="AF47" s="11">
        <v>12</v>
      </c>
      <c r="AG47" s="11">
        <v>12</v>
      </c>
      <c r="AH47" s="11">
        <v>15</v>
      </c>
      <c r="AI47" s="11">
        <v>2</v>
      </c>
      <c r="AJ47" s="11">
        <v>12</v>
      </c>
      <c r="AK47" s="11">
        <v>15</v>
      </c>
      <c r="AL47" s="11">
        <v>8</v>
      </c>
      <c r="AM47" s="11">
        <v>0.5</v>
      </c>
      <c r="AN47" s="11">
        <v>5</v>
      </c>
    </row>
    <row r="50" spans="1:41">
      <c r="F50" t="s">
        <v>354</v>
      </c>
    </row>
    <row r="51" spans="1:41">
      <c r="A51" t="s">
        <v>83</v>
      </c>
      <c r="B51" t="s">
        <v>51</v>
      </c>
      <c r="C51" t="s">
        <v>377</v>
      </c>
      <c r="D51" t="s">
        <v>378</v>
      </c>
      <c r="E51">
        <v>0</v>
      </c>
      <c r="F51" t="s">
        <v>13</v>
      </c>
      <c r="G51" t="s">
        <v>251</v>
      </c>
      <c r="H51" t="s">
        <v>254</v>
      </c>
      <c r="I51" t="s">
        <v>258</v>
      </c>
      <c r="J51" t="s">
        <v>260</v>
      </c>
      <c r="K51" t="s">
        <v>262</v>
      </c>
      <c r="L51" t="s">
        <v>253</v>
      </c>
      <c r="M51" t="s">
        <v>257</v>
      </c>
      <c r="N51" t="s">
        <v>259</v>
      </c>
      <c r="O51" t="s">
        <v>261</v>
      </c>
      <c r="P51" t="s">
        <v>263</v>
      </c>
      <c r="Q51" t="s">
        <v>264</v>
      </c>
      <c r="R51" t="s">
        <v>265</v>
      </c>
      <c r="S51" t="s">
        <v>271</v>
      </c>
      <c r="T51" t="s">
        <v>266</v>
      </c>
      <c r="U51" t="s">
        <v>291</v>
      </c>
      <c r="V51" t="s">
        <v>267</v>
      </c>
      <c r="W51" t="s">
        <v>275</v>
      </c>
      <c r="X51" t="s">
        <v>277</v>
      </c>
      <c r="Y51" t="s">
        <v>268</v>
      </c>
      <c r="Z51" t="s">
        <v>269</v>
      </c>
      <c r="AA51" t="s">
        <v>270</v>
      </c>
      <c r="AB51" t="s">
        <v>272</v>
      </c>
      <c r="AC51" t="s">
        <v>283</v>
      </c>
      <c r="AD51" t="s">
        <v>285</v>
      </c>
      <c r="AE51" t="s">
        <v>273</v>
      </c>
      <c r="AF51" t="s">
        <v>274</v>
      </c>
      <c r="AG51" t="s">
        <v>286</v>
      </c>
      <c r="AH51" t="s">
        <v>276</v>
      </c>
      <c r="AI51" t="s">
        <v>278</v>
      </c>
      <c r="AJ51" t="s">
        <v>279</v>
      </c>
      <c r="AK51" t="s">
        <v>280</v>
      </c>
      <c r="AL51" t="s">
        <v>281</v>
      </c>
      <c r="AM51" t="s">
        <v>282</v>
      </c>
      <c r="AN51" t="s">
        <v>284</v>
      </c>
      <c r="AO51" t="s">
        <v>288</v>
      </c>
    </row>
    <row r="52" spans="1:41">
      <c r="A52" t="s">
        <v>379</v>
      </c>
      <c r="B52" t="s">
        <v>380</v>
      </c>
      <c r="C52" t="s">
        <v>381</v>
      </c>
      <c r="D52">
        <v>1</v>
      </c>
      <c r="E52">
        <v>3</v>
      </c>
    </row>
    <row r="53" spans="1:41">
      <c r="F53">
        <v>2030</v>
      </c>
      <c r="G53">
        <v>160</v>
      </c>
      <c r="H53">
        <v>100.9</v>
      </c>
      <c r="I53">
        <v>5450</v>
      </c>
      <c r="J53">
        <v>0</v>
      </c>
      <c r="K53">
        <v>0</v>
      </c>
      <c r="L53">
        <v>4405</v>
      </c>
      <c r="M53">
        <v>12822.3</v>
      </c>
      <c r="N53">
        <v>9193</v>
      </c>
      <c r="O53">
        <v>0</v>
      </c>
      <c r="P53">
        <v>0</v>
      </c>
      <c r="Q53">
        <v>230</v>
      </c>
      <c r="R53">
        <v>0</v>
      </c>
      <c r="S53">
        <v>280</v>
      </c>
      <c r="T53">
        <v>734</v>
      </c>
      <c r="U53">
        <v>181.2</v>
      </c>
      <c r="V53">
        <v>70</v>
      </c>
      <c r="W53">
        <v>0</v>
      </c>
      <c r="X53">
        <v>400</v>
      </c>
      <c r="Y53">
        <v>1685</v>
      </c>
      <c r="Z53">
        <v>0</v>
      </c>
      <c r="AA53">
        <v>11508.4</v>
      </c>
      <c r="AB53">
        <v>80587.5</v>
      </c>
      <c r="AC53">
        <v>1262.1</v>
      </c>
      <c r="AD53">
        <v>0</v>
      </c>
      <c r="AE53">
        <v>8024</v>
      </c>
      <c r="AF53">
        <v>0</v>
      </c>
      <c r="AG53">
        <v>8820</v>
      </c>
      <c r="AH53">
        <v>0</v>
      </c>
      <c r="AI53">
        <v>110</v>
      </c>
      <c r="AJ53">
        <v>3488.2</v>
      </c>
      <c r="AK53">
        <v>0</v>
      </c>
      <c r="AL53">
        <v>0</v>
      </c>
      <c r="AM53">
        <v>11610</v>
      </c>
      <c r="AN53">
        <v>0</v>
      </c>
      <c r="AO53">
        <v>0</v>
      </c>
    </row>
    <row r="54" spans="1:41">
      <c r="F54">
        <v>2035</v>
      </c>
      <c r="G54">
        <v>235.1</v>
      </c>
      <c r="H54">
        <v>148.3</v>
      </c>
      <c r="I54">
        <v>8007.8</v>
      </c>
      <c r="J54">
        <v>0</v>
      </c>
      <c r="K54">
        <v>0</v>
      </c>
      <c r="L54">
        <v>6472.4</v>
      </c>
      <c r="M54">
        <v>18840.2</v>
      </c>
      <c r="N54">
        <v>13507.5</v>
      </c>
      <c r="O54">
        <v>0</v>
      </c>
      <c r="P54">
        <v>0</v>
      </c>
      <c r="Q54">
        <v>337.9</v>
      </c>
      <c r="R54">
        <v>0</v>
      </c>
      <c r="S54">
        <v>411.4</v>
      </c>
      <c r="T54">
        <v>1078.5</v>
      </c>
      <c r="U54">
        <v>181.2</v>
      </c>
      <c r="V54">
        <v>102.9</v>
      </c>
      <c r="W54">
        <v>0</v>
      </c>
      <c r="X54">
        <v>587.7</v>
      </c>
      <c r="Y54">
        <v>2475.8</v>
      </c>
      <c r="Z54">
        <v>0</v>
      </c>
      <c r="AA54">
        <v>16909.6</v>
      </c>
      <c r="AB54">
        <v>118409.5</v>
      </c>
      <c r="AC54">
        <v>1323.3</v>
      </c>
      <c r="AD54">
        <v>0</v>
      </c>
      <c r="AE54">
        <v>11743</v>
      </c>
      <c r="AF54">
        <v>0</v>
      </c>
      <c r="AG54">
        <v>12959.5</v>
      </c>
      <c r="AH54">
        <v>0</v>
      </c>
      <c r="AI54">
        <v>161.6</v>
      </c>
      <c r="AJ54">
        <v>3746.5</v>
      </c>
      <c r="AK54">
        <v>0</v>
      </c>
      <c r="AL54">
        <v>0</v>
      </c>
      <c r="AM54">
        <v>17058.9</v>
      </c>
      <c r="AN54">
        <v>0</v>
      </c>
      <c r="AO54">
        <v>0</v>
      </c>
    </row>
    <row r="55" spans="1:41">
      <c r="F55">
        <v>2040</v>
      </c>
      <c r="G55">
        <v>2936.1</v>
      </c>
      <c r="H55">
        <v>12174.2</v>
      </c>
      <c r="I55">
        <v>11766.1</v>
      </c>
      <c r="J55">
        <v>647.7</v>
      </c>
      <c r="K55">
        <v>1295.4</v>
      </c>
      <c r="L55">
        <v>10805.4</v>
      </c>
      <c r="M55">
        <v>27682.4</v>
      </c>
      <c r="N55">
        <v>19847</v>
      </c>
      <c r="O55">
        <v>1295.4</v>
      </c>
      <c r="P55">
        <v>1295.4</v>
      </c>
      <c r="Q55">
        <v>496.6</v>
      </c>
      <c r="R55">
        <v>647.7</v>
      </c>
      <c r="S55">
        <v>1252.2</v>
      </c>
      <c r="T55">
        <v>1584.7</v>
      </c>
      <c r="U55">
        <v>181.2</v>
      </c>
      <c r="V55">
        <v>151.1</v>
      </c>
      <c r="W55">
        <v>647.7</v>
      </c>
      <c r="X55">
        <v>1053.1</v>
      </c>
      <c r="Y55">
        <v>3637.8</v>
      </c>
      <c r="Z55">
        <v>11364.8</v>
      </c>
      <c r="AA55">
        <v>28585.5</v>
      </c>
      <c r="AB55">
        <v>166264.8</v>
      </c>
      <c r="AC55">
        <v>1397.3</v>
      </c>
      <c r="AD55">
        <v>647.7</v>
      </c>
      <c r="AE55">
        <v>32380.6</v>
      </c>
      <c r="AF55">
        <v>1295.4</v>
      </c>
      <c r="AG55">
        <v>19041.7</v>
      </c>
      <c r="AH55">
        <v>647.7</v>
      </c>
      <c r="AI55">
        <v>885.2</v>
      </c>
      <c r="AJ55">
        <v>4757.2</v>
      </c>
      <c r="AK55">
        <v>647.7</v>
      </c>
      <c r="AL55">
        <v>647.7</v>
      </c>
      <c r="AM55">
        <v>25065.1</v>
      </c>
      <c r="AN55">
        <v>1295.4</v>
      </c>
      <c r="AO55">
        <v>2590.7</v>
      </c>
    </row>
    <row r="56" spans="1:41">
      <c r="F56">
        <v>2045</v>
      </c>
      <c r="G56">
        <v>4314.1</v>
      </c>
      <c r="H56">
        <v>17793.9</v>
      </c>
      <c r="I56">
        <v>17288.3</v>
      </c>
      <c r="J56">
        <v>951.7</v>
      </c>
      <c r="K56">
        <v>1903.3</v>
      </c>
      <c r="L56">
        <v>15876.7</v>
      </c>
      <c r="M56">
        <v>40674.5</v>
      </c>
      <c r="N56">
        <v>29161.8</v>
      </c>
      <c r="O56">
        <v>1903.3</v>
      </c>
      <c r="P56">
        <v>1903.3</v>
      </c>
      <c r="Q56">
        <v>729.6</v>
      </c>
      <c r="R56">
        <v>951.7</v>
      </c>
      <c r="S56">
        <v>1839.9</v>
      </c>
      <c r="T56">
        <v>2328.4</v>
      </c>
      <c r="U56">
        <v>181.2</v>
      </c>
      <c r="V56">
        <v>222.1</v>
      </c>
      <c r="W56">
        <v>951.7</v>
      </c>
      <c r="X56">
        <v>1481</v>
      </c>
      <c r="Y56">
        <v>5345.1</v>
      </c>
      <c r="Z56">
        <v>16353</v>
      </c>
      <c r="AA56">
        <v>35200.4</v>
      </c>
      <c r="AB56">
        <v>226156</v>
      </c>
      <c r="AC56">
        <v>1476.3</v>
      </c>
      <c r="AD56">
        <v>951.7</v>
      </c>
      <c r="AE56">
        <v>47153.5</v>
      </c>
      <c r="AF56">
        <v>1903.3</v>
      </c>
      <c r="AG56">
        <v>27978.5</v>
      </c>
      <c r="AH56">
        <v>951.7</v>
      </c>
      <c r="AI56">
        <v>1300.6</v>
      </c>
      <c r="AJ56">
        <v>5514.6</v>
      </c>
      <c r="AK56">
        <v>951.7</v>
      </c>
      <c r="AL56">
        <v>951.7</v>
      </c>
      <c r="AM56">
        <v>36828.9</v>
      </c>
      <c r="AN56">
        <v>1903.3</v>
      </c>
      <c r="AO56">
        <v>3806.6</v>
      </c>
    </row>
    <row r="57" spans="1:41">
      <c r="F57">
        <v>2050</v>
      </c>
      <c r="G57">
        <v>6338.9</v>
      </c>
      <c r="H57">
        <v>25770.1</v>
      </c>
      <c r="I57">
        <v>25402.2</v>
      </c>
      <c r="J57">
        <v>1398.3</v>
      </c>
      <c r="K57">
        <v>2796.6</v>
      </c>
      <c r="L57">
        <v>23328.1</v>
      </c>
      <c r="M57">
        <v>59764.2</v>
      </c>
      <c r="N57">
        <v>42848.2</v>
      </c>
      <c r="O57">
        <v>2796.6</v>
      </c>
      <c r="P57">
        <v>2796.6</v>
      </c>
      <c r="Q57">
        <v>1072</v>
      </c>
      <c r="R57">
        <v>1398.3</v>
      </c>
      <c r="S57">
        <v>2703.4</v>
      </c>
      <c r="T57">
        <v>3421.1</v>
      </c>
      <c r="U57">
        <v>181.2</v>
      </c>
      <c r="V57">
        <v>326.3</v>
      </c>
      <c r="W57">
        <v>1398.3</v>
      </c>
      <c r="X57">
        <v>2097.7</v>
      </c>
      <c r="Y57">
        <v>7853.7</v>
      </c>
      <c r="Z57">
        <v>23102.5</v>
      </c>
      <c r="AA57">
        <v>45229.1</v>
      </c>
      <c r="AB57">
        <v>313454.1</v>
      </c>
      <c r="AC57">
        <v>1578.3</v>
      </c>
      <c r="AD57">
        <v>1398.3</v>
      </c>
      <c r="AE57">
        <v>68833.2</v>
      </c>
      <c r="AF57">
        <v>2796.6</v>
      </c>
      <c r="AG57">
        <v>41109.6</v>
      </c>
      <c r="AH57">
        <v>1398.3</v>
      </c>
      <c r="AI57">
        <v>1911</v>
      </c>
      <c r="AJ57">
        <v>6493</v>
      </c>
      <c r="AK57">
        <v>1398.3</v>
      </c>
      <c r="AL57">
        <v>1398.3</v>
      </c>
      <c r="AM57">
        <v>50299</v>
      </c>
      <c r="AN57">
        <v>2796.6</v>
      </c>
      <c r="AO57">
        <v>5593.1</v>
      </c>
    </row>
    <row r="58" spans="1:41">
      <c r="F58">
        <v>2060</v>
      </c>
      <c r="G58">
        <v>13685.2</v>
      </c>
      <c r="H58">
        <v>52826.2</v>
      </c>
      <c r="I58">
        <v>54841.5</v>
      </c>
      <c r="J58">
        <v>3018.8</v>
      </c>
      <c r="K58">
        <v>4163.4</v>
      </c>
      <c r="L58">
        <v>37057.5</v>
      </c>
      <c r="M58">
        <v>129026.4</v>
      </c>
      <c r="N58">
        <v>92506</v>
      </c>
      <c r="O58">
        <v>5204.3</v>
      </c>
      <c r="P58">
        <v>6037.6</v>
      </c>
      <c r="Q58">
        <v>2314.4</v>
      </c>
      <c r="R58">
        <v>3018.8</v>
      </c>
      <c r="S58">
        <v>5079.7</v>
      </c>
      <c r="T58">
        <v>7386</v>
      </c>
      <c r="U58">
        <v>181.2</v>
      </c>
      <c r="V58">
        <v>704.4</v>
      </c>
      <c r="W58">
        <v>3018.8</v>
      </c>
      <c r="X58">
        <v>4287.8</v>
      </c>
      <c r="Y58">
        <v>16955.6</v>
      </c>
      <c r="Z58">
        <v>41963.6</v>
      </c>
      <c r="AA58">
        <v>83248.5</v>
      </c>
      <c r="AB58">
        <v>627281.6</v>
      </c>
      <c r="AC58">
        <v>1797.6</v>
      </c>
      <c r="AD58">
        <v>3018.8</v>
      </c>
      <c r="AE58">
        <v>145491</v>
      </c>
      <c r="AF58">
        <v>6037.6</v>
      </c>
      <c r="AG58">
        <v>88752.6</v>
      </c>
      <c r="AH58">
        <v>3018.8</v>
      </c>
      <c r="AI58">
        <v>4125.7</v>
      </c>
      <c r="AJ58">
        <v>9181.9</v>
      </c>
      <c r="AK58">
        <v>3018.8</v>
      </c>
      <c r="AL58">
        <v>3018.8</v>
      </c>
      <c r="AM58">
        <v>56596.9</v>
      </c>
      <c r="AN58">
        <v>4893.8</v>
      </c>
      <c r="AO58">
        <v>12017.4</v>
      </c>
    </row>
    <row r="59" spans="1:41">
      <c r="F59">
        <v>2070</v>
      </c>
      <c r="G59">
        <v>29545.3</v>
      </c>
      <c r="H59">
        <v>102223.3</v>
      </c>
      <c r="I59">
        <v>57904.4</v>
      </c>
      <c r="J59">
        <v>6517.4</v>
      </c>
      <c r="K59">
        <v>4367.2</v>
      </c>
      <c r="L59">
        <v>43254.1</v>
      </c>
      <c r="M59">
        <v>160099.4</v>
      </c>
      <c r="N59">
        <v>199713.5</v>
      </c>
      <c r="O59">
        <v>6692.9</v>
      </c>
      <c r="P59">
        <v>13034.7</v>
      </c>
      <c r="Q59">
        <v>4996.6</v>
      </c>
      <c r="R59">
        <v>6517.4</v>
      </c>
      <c r="S59">
        <v>8574.8</v>
      </c>
      <c r="T59">
        <v>10662.5</v>
      </c>
      <c r="U59">
        <v>181.2</v>
      </c>
      <c r="V59">
        <v>1520.7</v>
      </c>
      <c r="W59">
        <v>6517.4</v>
      </c>
      <c r="X59">
        <v>8980.6</v>
      </c>
      <c r="Y59">
        <v>36605.8</v>
      </c>
      <c r="Z59">
        <v>74360.9</v>
      </c>
      <c r="AA59">
        <v>126566.3</v>
      </c>
      <c r="AB59">
        <v>690425.7</v>
      </c>
      <c r="AC59">
        <v>2065.3</v>
      </c>
      <c r="AD59">
        <v>6517.4</v>
      </c>
      <c r="AE59">
        <v>302305.4</v>
      </c>
      <c r="AF59">
        <v>13034.7</v>
      </c>
      <c r="AG59">
        <v>115040.6</v>
      </c>
      <c r="AH59">
        <v>6517.4</v>
      </c>
      <c r="AI59">
        <v>8907.1</v>
      </c>
      <c r="AJ59">
        <v>14134.8</v>
      </c>
      <c r="AK59">
        <v>6139</v>
      </c>
      <c r="AL59">
        <v>6517.4</v>
      </c>
      <c r="AM59">
        <v>64070.3</v>
      </c>
      <c r="AN59">
        <v>8322.9</v>
      </c>
      <c r="AO59">
        <v>20157.1</v>
      </c>
    </row>
    <row r="60" spans="1:41">
      <c r="F60">
        <v>2080</v>
      </c>
      <c r="G60">
        <v>29545.3</v>
      </c>
      <c r="H60">
        <v>102223.3</v>
      </c>
      <c r="I60">
        <v>57904.4</v>
      </c>
      <c r="J60">
        <v>6517.4</v>
      </c>
      <c r="K60">
        <v>4367.2</v>
      </c>
      <c r="L60">
        <v>43254.1</v>
      </c>
      <c r="M60">
        <v>160099.4</v>
      </c>
      <c r="N60">
        <v>199713.5</v>
      </c>
      <c r="O60">
        <v>6692.9</v>
      </c>
      <c r="P60">
        <v>13034.7</v>
      </c>
      <c r="Q60">
        <v>4996.6</v>
      </c>
      <c r="R60">
        <v>6517.4</v>
      </c>
      <c r="S60">
        <v>8574.8</v>
      </c>
      <c r="T60">
        <v>10662.5</v>
      </c>
      <c r="U60">
        <v>181.2</v>
      </c>
      <c r="V60">
        <v>1520.7</v>
      </c>
      <c r="W60">
        <v>6517.4</v>
      </c>
      <c r="X60">
        <v>8980.6</v>
      </c>
      <c r="Y60">
        <v>36605.8</v>
      </c>
      <c r="Z60">
        <v>74360.9</v>
      </c>
      <c r="AA60">
        <v>126566.3</v>
      </c>
      <c r="AB60">
        <v>690425.7</v>
      </c>
      <c r="AC60">
        <v>2065.3</v>
      </c>
      <c r="AD60">
        <v>6517.4</v>
      </c>
      <c r="AE60">
        <v>302305.4</v>
      </c>
      <c r="AF60">
        <v>13034.7</v>
      </c>
      <c r="AG60">
        <v>115040.6</v>
      </c>
      <c r="AH60">
        <v>6517.4</v>
      </c>
      <c r="AI60">
        <v>8907.1</v>
      </c>
      <c r="AJ60">
        <v>14134.8</v>
      </c>
      <c r="AK60">
        <v>6139</v>
      </c>
      <c r="AL60">
        <v>6517.4</v>
      </c>
      <c r="AM60">
        <v>64070.3</v>
      </c>
      <c r="AN60">
        <v>8322.9</v>
      </c>
      <c r="AO60">
        <v>20157.1</v>
      </c>
    </row>
    <row r="61" spans="1:41">
      <c r="F61">
        <v>2090</v>
      </c>
      <c r="G61">
        <v>29545.3</v>
      </c>
      <c r="H61">
        <v>102223.3</v>
      </c>
      <c r="I61">
        <v>57904.4</v>
      </c>
      <c r="J61">
        <v>6517.4</v>
      </c>
      <c r="K61">
        <v>4367.2</v>
      </c>
      <c r="L61">
        <v>43254.1</v>
      </c>
      <c r="M61">
        <v>160099.4</v>
      </c>
      <c r="N61">
        <v>199713.5</v>
      </c>
      <c r="O61">
        <v>6692.9</v>
      </c>
      <c r="P61">
        <v>13034.7</v>
      </c>
      <c r="Q61">
        <v>4996.6</v>
      </c>
      <c r="R61">
        <v>6517.4</v>
      </c>
      <c r="S61">
        <v>8574.8</v>
      </c>
      <c r="T61">
        <v>10662.5</v>
      </c>
      <c r="U61">
        <v>181.2</v>
      </c>
      <c r="V61">
        <v>1520.7</v>
      </c>
      <c r="W61">
        <v>6517.4</v>
      </c>
      <c r="X61">
        <v>8980.6</v>
      </c>
      <c r="Y61">
        <v>36605.8</v>
      </c>
      <c r="Z61">
        <v>74360.9</v>
      </c>
      <c r="AA61">
        <v>126566.3</v>
      </c>
      <c r="AB61">
        <v>690425.7</v>
      </c>
      <c r="AC61">
        <v>2065.3</v>
      </c>
      <c r="AD61">
        <v>6517.4</v>
      </c>
      <c r="AE61">
        <v>302305.4</v>
      </c>
      <c r="AF61">
        <v>13034.7</v>
      </c>
      <c r="AG61">
        <v>115040.6</v>
      </c>
      <c r="AH61">
        <v>6517.4</v>
      </c>
      <c r="AI61">
        <v>8907.1</v>
      </c>
      <c r="AJ61">
        <v>14134.8</v>
      </c>
      <c r="AK61">
        <v>6139</v>
      </c>
      <c r="AL61">
        <v>6517.4</v>
      </c>
      <c r="AM61">
        <v>64070.3</v>
      </c>
      <c r="AN61">
        <v>8322.9</v>
      </c>
      <c r="AO61">
        <v>20157.1</v>
      </c>
    </row>
    <row r="62" spans="1:41">
      <c r="F62">
        <v>2100</v>
      </c>
      <c r="G62">
        <v>29545.3</v>
      </c>
      <c r="H62">
        <v>102223.3</v>
      </c>
      <c r="I62">
        <v>57904.4</v>
      </c>
      <c r="J62">
        <v>6517.4</v>
      </c>
      <c r="K62">
        <v>4367.2</v>
      </c>
      <c r="L62">
        <v>43254.1</v>
      </c>
      <c r="M62">
        <v>160099.4</v>
      </c>
      <c r="N62">
        <v>199713.5</v>
      </c>
      <c r="O62">
        <v>6692.9</v>
      </c>
      <c r="P62">
        <v>13034.7</v>
      </c>
      <c r="Q62">
        <v>4996.6</v>
      </c>
      <c r="R62">
        <v>6517.4</v>
      </c>
      <c r="S62">
        <v>8574.8</v>
      </c>
      <c r="T62">
        <v>10662.5</v>
      </c>
      <c r="U62">
        <v>181.2</v>
      </c>
      <c r="V62">
        <v>1520.7</v>
      </c>
      <c r="W62">
        <v>6517.4</v>
      </c>
      <c r="X62">
        <v>8980.6</v>
      </c>
      <c r="Y62">
        <v>36605.8</v>
      </c>
      <c r="Z62">
        <v>74360.9</v>
      </c>
      <c r="AA62">
        <v>126566.3</v>
      </c>
      <c r="AB62">
        <v>690425.7</v>
      </c>
      <c r="AC62">
        <v>2065.3</v>
      </c>
      <c r="AD62">
        <v>6517.4</v>
      </c>
      <c r="AE62">
        <v>302305.4</v>
      </c>
      <c r="AF62">
        <v>13034.7</v>
      </c>
      <c r="AG62">
        <v>115040.6</v>
      </c>
      <c r="AH62">
        <v>6517.4</v>
      </c>
      <c r="AI62">
        <v>8907.1</v>
      </c>
      <c r="AJ62">
        <v>14134.8</v>
      </c>
      <c r="AK62">
        <v>6139</v>
      </c>
      <c r="AL62">
        <v>6517.4</v>
      </c>
      <c r="AM62">
        <v>64070.3</v>
      </c>
      <c r="AN62">
        <v>8322.9</v>
      </c>
      <c r="AO62">
        <v>20157.1</v>
      </c>
    </row>
  </sheetData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zoomScale="93" zoomScaleNormal="93" workbookViewId="0">
      <selection activeCell="E13" sqref="E13"/>
    </sheetView>
  </sheetViews>
  <sheetFormatPr defaultColWidth="9" defaultRowHeight="14.5" outlineLevelRow="6"/>
  <cols>
    <col min="3" max="3" width="25.5272727272727" customWidth="1"/>
    <col min="5" max="8" width="14.8" customWidth="1"/>
    <col min="10" max="10" width="12.8" customWidth="1"/>
  </cols>
  <sheetData>
    <row r="1" spans="1:11">
      <c r="A1" t="s">
        <v>382</v>
      </c>
    </row>
    <row r="3" spans="1:11">
      <c r="C3" t="s">
        <v>55</v>
      </c>
    </row>
    <row r="4" spans="1:11">
      <c r="C4" t="s">
        <v>83</v>
      </c>
      <c r="D4" t="s">
        <v>28</v>
      </c>
      <c r="E4" t="s">
        <v>40</v>
      </c>
      <c r="F4" t="s">
        <v>51</v>
      </c>
      <c r="G4" t="s">
        <v>39</v>
      </c>
      <c r="H4" t="s">
        <v>377</v>
      </c>
      <c r="I4" t="s">
        <v>336</v>
      </c>
      <c r="J4" t="s">
        <v>383</v>
      </c>
      <c r="K4" t="s">
        <v>384</v>
      </c>
    </row>
    <row r="5" spans="1:11">
      <c r="C5" t="str">
        <f xml:space="preserve">"UCS_global trade growth - "&amp;LEFT(E5,3)</f>
        <v>UCS_global trade growth - OIL</v>
      </c>
      <c r="D5" t="s">
        <v>385</v>
      </c>
      <c r="E5" t="s">
        <v>386</v>
      </c>
      <c r="F5" t="str">
        <f xml:space="preserve">E5</f>
        <v>OILCRD</v>
      </c>
      <c r="G5" t="s">
        <v>387</v>
      </c>
      <c r="H5" t="s">
        <v>388</v>
      </c>
      <c r="I5">
        <v>1.01</v>
      </c>
      <c r="J5">
        <v>1</v>
      </c>
      <c r="K5">
        <v>2</v>
      </c>
    </row>
    <row r="6" spans="1:11">
      <c r="C6" t="str">
        <f t="shared" ref="C6:C7" si="0" xml:space="preserve">"UCS_global trade growth - "&amp;LEFT(E6,3)</f>
        <v>UCS_global trade growth - GAS</v>
      </c>
      <c r="D6" t="s">
        <v>385</v>
      </c>
      <c r="E6" t="s">
        <v>389</v>
      </c>
      <c r="F6" t="str">
        <f xml:space="preserve">E6</f>
        <v>GASNGA,GASLNG</v>
      </c>
      <c r="G6" t="s">
        <v>387</v>
      </c>
      <c r="H6" t="s">
        <v>388</v>
      </c>
      <c r="I6">
        <v>1.03</v>
      </c>
      <c r="J6">
        <v>1</v>
      </c>
      <c r="K6">
        <v>2</v>
      </c>
    </row>
    <row r="7" spans="1:11">
      <c r="C7" t="str">
        <f t="shared" si="0"/>
        <v>UCS_global trade growth - COA</v>
      </c>
      <c r="D7" t="s">
        <v>385</v>
      </c>
      <c r="E7" t="s">
        <v>390</v>
      </c>
      <c r="F7" t="str">
        <f xml:space="preserve">E7</f>
        <v>COAHCO,COACOK</v>
      </c>
      <c r="G7" t="s">
        <v>387</v>
      </c>
      <c r="H7" t="s">
        <v>388</v>
      </c>
      <c r="I7">
        <v>1.03</v>
      </c>
      <c r="J7">
        <v>1</v>
      </c>
      <c r="K7">
        <v>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���0�0�0�0�0�0�eW0D0�0�0�0�0�0�0�0\ObW0~0Y00;u�P�0�0�0�0�0�0�0 �0�0�0�0�0�0�0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C4345B4-74E0-4C72-B5D6-70FFA6E7D37C}">
  <ds:schemaRefs/>
</ds:datastoreItem>
</file>

<file path=customXml/itemProps2.xml><?xml version="1.0" encoding="utf-8"?>
<ds:datastoreItem xmlns:ds="http://schemas.openxmlformats.org/officeDocument/2006/customXml" ds:itemID="{CE0A6D8E-D49B-4A7F-B9F4-3E03F2D2170A}">
  <ds:schemaRefs/>
</ds:datastoreItem>
</file>

<file path=customXml/itemProps3.xml><?xml version="1.0" encoding="utf-8"?>
<ds:datastoreItem xmlns:ds="http://schemas.openxmlformats.org/officeDocument/2006/customXml" ds:itemID="{618B53B5-1A53-4459-81D9-66E088265F67}">
  <ds:schemaRefs/>
</ds:datastoreItem>
</file>

<file path=customXml/itemProps4.xml><?xml version="1.0" encoding="utf-8"?>
<ds:datastoreItem xmlns:ds="http://schemas.openxmlformats.org/officeDocument/2006/customXml" ds:itemID="{02616339-B281-40D7-BD9B-E94166836A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Constants</vt:lpstr>
      <vt:lpstr>bio_car</vt:lpstr>
      <vt:lpstr>DEF topology</vt:lpstr>
      <vt:lpstr>agg cap UC</vt:lpstr>
      <vt:lpstr>nuclear</vt:lpstr>
      <vt:lpstr>CHP and Losses</vt:lpstr>
      <vt:lpstr>Thermal UF</vt:lpstr>
      <vt:lpstr>Build Rates</vt:lpstr>
      <vt:lpstr>Trade growth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2009-05-27T15:40:00Z</dcterms:created>
  <dcterms:modified xsi:type="dcterms:W3CDTF">2026-10-18T09:48:16Z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670463185387520</vt:r8>
  </property>
  <property fmtid="{D5CDD505-2E9C-101B-9397-08002B2CF9AE}" pid="3" name="{A44787D4-0540-4523-9961-78E4036D8C6D}">
    <vt:lpwstr>{7351399B-AFFB-4AC6-A65F-CC7B2777384B}</vt:lpwstr>
  </property>
  <property fmtid="{D5CDD505-2E9C-101B-9397-08002B2CF9AE}" pid="4" name="ContentTypeId">
    <vt:lpwstr>0x0101002DB47EE0E92B004DA587A5AC06BCAB72</vt:lpwstr>
  </property>
  <property fmtid="{D5CDD505-2E9C-101B-9397-08002B2CF9AE}" pid="5" name="MediaServiceImageTags">
    <vt:lpwstr/>
  </property>
  <property fmtid="{D5CDD505-2E9C-101B-9397-08002B2CF9AE}" pid="6" name="ICV">
    <vt:lpwstr>6026960B6CA341A4B1D6674DAF55B248_12</vt:lpwstr>
  </property>
  <property fmtid="{D5CDD505-2E9C-101B-9397-08002B2CF9AE}" pid="7" name="KSOProductBuildVer">
    <vt:lpwstr>1033-12.1.0.29162</vt:lpwstr>
  </property>
  <property fmtid="{D5CDD505-2E9C-101B-9397-08002B2CF9AE}" pid="8" name="CalculationRule">
    <vt:i4>0</vt:i4>
  </property>
</Properties>
</file>