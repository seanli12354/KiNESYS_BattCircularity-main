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never"/>
  <bookViews>
    <workbookView windowWidth="18350" windowHeight="8710" firstSheet="12" activeTab="13"/>
  </bookViews>
  <sheets>
    <sheet name="temp elec alignment" sheetId="17" r:id="rId1"/>
    <sheet name="INS" sheetId="2" r:id="rId2"/>
    <sheet name="RE costs" sheetId="34" r:id="rId3"/>
    <sheet name="HH2" sheetId="32" r:id="rId4"/>
    <sheet name="Transport" sheetId="33" r:id="rId5"/>
    <sheet name="Trade costs" sheetId="13" r:id="rId6"/>
    <sheet name="Cap decay limits" sheetId="24" r:id="rId7"/>
    <sheet name="demelast and reporting" sheetId="14" r:id="rId8"/>
    <sheet name="Thermal elec op costs" sheetId="18" r:id="rId9"/>
    <sheet name="emissions" sheetId="11" r:id="rId10"/>
    <sheet name="CO2 transp and sto" sheetId="15" r:id="rId11"/>
    <sheet name="car batteries" sheetId="21" r:id="rId12"/>
    <sheet name="2026electrificationrate-REMOVED" sheetId="35" r:id="rId13"/>
    <sheet name="growth rate" sheetId="36" r:id="rId14"/>
    <sheet name="materials_balance" sheetId="37" r:id="rId15"/>
    <sheet name="BND_onGasCar" sheetId="38" r:id="rId16"/>
  </sheets>
  <definedNames>
    <definedName name="BaseYear">2018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D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I removed this constraint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  <author>Gary Goldstein</author>
    <author>AMIT</author>
    <author>xli9</author>
    <author>Amit Kanudia</author>
  </authors>
  <commentList>
    <comment ref="B2" authorId="0">
      <text>
        <r>
          <rPr>
            <b/>
            <sz val="8"/>
            <rFont val="Tahoma"/>
            <charset val="134"/>
          </rPr>
          <t>Insert Table</t>
        </r>
      </text>
    </comment>
    <comment ref="I2" authorId="1">
      <text>
        <r>
          <rPr>
            <sz val="8"/>
            <rFont val="Tahoma"/>
            <charset val="134"/>
          </rPr>
          <t>Define the qualifiers based upon technology set + topology + name + descriptions, according to both include and exclude specifications.</t>
        </r>
      </text>
    </comment>
    <comment ref="N2" authorId="1">
      <text>
        <r>
          <rPr>
            <sz val="8"/>
            <rFont val="Tahoma"/>
            <charset val="134"/>
          </rPr>
          <t>Define the qualifiers based upon commodity set + name + descriptions, according to both include and exclude specifications.</t>
        </r>
      </text>
    </comment>
    <comment ref="U5" authorId="2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12-03-2022
Geothermal has been introduced only to respect RE targets
</t>
        </r>
      </text>
    </comment>
    <comment ref="W5" authorId="3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i revised it from 2025 to 2150, since removing geotherml totally from transition is not normal</t>
        </r>
      </text>
    </comment>
    <comment ref="D10" authorId="4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12-11-2021
These should be a part of optimistic H2 scenario
</t>
        </r>
      </text>
    </comment>
    <comment ref="D11" authorId="4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13-11-2021
doesn't make sense
</t>
        </r>
      </text>
    </comment>
    <comment ref="H16" authorId="4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23-07-2021
based on a recent 1.2mbpd refinery - $60b
</t>
        </r>
      </text>
    </comment>
    <comment ref="V17" authorId="3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original is 4.7 (which does not include Depot compressor cost--4 million $/PJ)</t>
        </r>
      </text>
    </comment>
    <comment ref="D23" authorId="4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28-03-2022
these processes are included only for calibration purpose</t>
        </r>
      </text>
    </comment>
    <comment ref="D35" authorId="4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27-09-2024
</t>
        </r>
      </text>
    </comment>
    <comment ref="D36" authorId="4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15-04-2024
This relaxation affects the oil/gas extraction balance.
</t>
        </r>
      </text>
    </comment>
  </commentList>
</comments>
</file>

<file path=xl/comments3.xml><?xml version="1.0" encoding="utf-8"?>
<comments xmlns="http://schemas.openxmlformats.org/spreadsheetml/2006/main">
  <authors>
    <author>xli9</author>
  </authors>
  <commentList>
    <comment ref="B1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I removed this since all Aviation demand are satisifed by Jet-fuels instead of ELC</t>
        </r>
      </text>
    </comment>
    <comment ref="K16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Test if we ad back how wil it be?? bcz now the 2020-2025 too flat but 2025-2030 increase too much, and EOL recycling cannot followup, so....in 2040-2050, some regions need mining very heavy to supply without recycling</t>
        </r>
      </text>
    </comment>
  </commentList>
</comments>
</file>

<file path=xl/comments4.xml><?xml version="1.0" encoding="utf-8"?>
<comments xmlns="http://schemas.openxmlformats.org/spreadsheetml/2006/main">
  <authors>
    <author>xli9</author>
    <author>Amit Kanudia</author>
  </authors>
  <commentList>
    <comment ref="X6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It has already been deducted in NetCO2</t>
        </r>
      </text>
    </comment>
    <comment ref="AD11" authorId="1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23-02-2022
UKTM</t>
        </r>
      </text>
    </comment>
    <comment ref="AC49" authorId="1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10-07-2023</t>
        </r>
      </text>
    </comment>
  </commentList>
</comments>
</file>

<file path=xl/comments5.xml><?xml version="1.0" encoding="utf-8"?>
<comments xmlns="http://schemas.openxmlformats.org/spreadsheetml/2006/main">
  <authors>
    <author>Amit Kanudia</author>
  </authors>
  <commentList>
    <comment ref="B2" authorId="0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27-07-2023
from BP data.. Storage costs are quite low
</t>
        </r>
      </text>
    </comment>
  </commentList>
</comments>
</file>

<file path=xl/comments6.xml><?xml version="1.0" encoding="utf-8"?>
<comments xmlns="http://schemas.openxmlformats.org/spreadsheetml/2006/main">
  <authors>
    <author>xli9</author>
  </authors>
  <commentList>
    <comment ref="C5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Maximum share constraint
👉 This is good and necessary
Represents:
fraction of EVs with V2G hardware
infrastructure limitations</t>
        </r>
      </text>
    </comment>
    <comment ref="E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denominator is “1 GWh EV storage typically supports XX GW V2G capacity (order of magnitude)”.:
Step 1: Power-to-energy ratio
Typical EV:
~60 kWh battery
~5–10 kW discharge power
👉 Ratio:
~0.08 – 0.17 kW per kWh
Step 2: Availability (key constraint)
Not all EVs are usable:
Only 10–30% effectively available
🔢 Final result
Combine both:
👉 Theoretical:
1 GWh → ~0.08–0.17 GW
👉 Realistic (after availability):
1 GWh → ~0.05–0.2 GW</t>
        </r>
      </text>
    </comment>
  </commentList>
</comments>
</file>

<file path=xl/comments7.xml><?xml version="1.0" encoding="utf-8"?>
<comments xmlns="http://schemas.openxmlformats.org/spreadsheetml/2006/main">
  <authors>
    <author>xli9</author>
  </authors>
  <commentList>
    <comment ref="C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Maximum share constraint
👉 This is good and necessary
Represents:
fraction of EVs with V2G hardware
infrastructure limitations</t>
        </r>
      </text>
    </comment>
    <comment ref="E7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denominator is “1 GWh EV storage typically supports XX GW V2G capacity (order of magnitude)”.:
Step 1: Power-to-energy ratio
Typical EV:
~60 kWh battery
~5–10 kW discharge power
👉 Ratio:
~0.08 – 0.17 kW per kWh
Step 2: Availability (key constraint)
Not all EVs are usable:
Only 10–30% effectively available
🔢 Final result
Combine both:
👉 Theoretical:
1 GWh → ~0.08–0.17 GW
👉 Realistic (after availability):
1 GWh → ~0.05–0.2 GW</t>
        </r>
      </text>
    </comment>
  </commentList>
</comments>
</file>

<file path=xl/sharedStrings.xml><?xml version="1.0" encoding="utf-8"?>
<sst xmlns="http://schemas.openxmlformats.org/spreadsheetml/2006/main" count="2445" uniqueCount="777">
  <si>
    <t>*this is to align the power sector with reality while we work with a reduced structure to explore batteries</t>
  </si>
  <si>
    <t>~UC_SETS: R_E: AllRegions</t>
  </si>
  <si>
    <t>DeACT UC_T: UC_RHSRT~LO~2025</t>
  </si>
  <si>
    <t>*tech</t>
  </si>
  <si>
    <t>UC_N</t>
  </si>
  <si>
    <t>pset_set</t>
  </si>
  <si>
    <t>UC_CAP</t>
  </si>
  <si>
    <t>Africa_North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</si>
  <si>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</si>
  <si>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</si>
  <si>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</si>
  <si>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</si>
  <si>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</si>
  <si>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</si>
  <si>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</si>
  <si>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</si>
  <si>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</si>
  <si>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</si>
  <si>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</si>
  <si>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</si>
  <si>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</si>
  <si>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</si>
  <si>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</si>
  <si>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</si>
  <si>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</si>
  <si>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</si>
  <si>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</si>
  <si>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</si>
  <si>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</si>
  <si>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</si>
  <si>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</si>
  <si>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</si>
  <si>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</si>
  <si>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</si>
  <si>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</si>
  <si>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</si>
  <si>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</si>
  <si>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</si>
  <si>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</si>
  <si>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</si>
  <si>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</si>
  <si>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</si>
  <si>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UC_RHSRT~0</t>
  </si>
  <si>
    <t>limtype</t>
  </si>
  <si>
    <t>Coal</t>
  </si>
  <si>
    <t/>
  </si>
  <si>
    <t>Gas</t>
  </si>
  <si>
    <t>Hydro</t>
  </si>
  <si>
    <t>Nuclear</t>
  </si>
  <si>
    <t>Solar</t>
  </si>
  <si>
    <t>UP</t>
  </si>
  <si>
    <t>Wind</t>
  </si>
  <si>
    <t>Trans - Insert</t>
  </si>
  <si>
    <t>~TFM_INS</t>
  </si>
  <si>
    <t>TimeSlice</t>
  </si>
  <si>
    <t>LimType</t>
  </si>
  <si>
    <t>Attribute</t>
  </si>
  <si>
    <t>Year</t>
  </si>
  <si>
    <t>Curr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</si>
  <si>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</si>
  <si>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</si>
  <si>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</si>
  <si>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</si>
  <si>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</si>
  <si>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</si>
  <si>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</si>
  <si>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</si>
  <si>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</si>
  <si>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</si>
  <si>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FLO_COST</t>
  </si>
  <si>
    <t>USD15</t>
  </si>
  <si>
    <t>*REFINE*</t>
  </si>
  <si>
    <t>OILDST</t>
  </si>
  <si>
    <t>attribute</t>
  </si>
  <si>
    <t>process</t>
  </si>
  <si>
    <t>value</t>
  </si>
  <si>
    <t>pset_ci</t>
  </si>
  <si>
    <t>pset_co</t>
  </si>
  <si>
    <t>OILGSL</t>
  </si>
  <si>
    <t>END</t>
  </si>
  <si>
    <t>EN_GeoThermal*</t>
  </si>
  <si>
    <t>OILHFO</t>
  </si>
  <si>
    <t>START</t>
  </si>
  <si>
    <t>*NGA</t>
  </si>
  <si>
    <t>CSC,RSC</t>
  </si>
  <si>
    <t>`</t>
  </si>
  <si>
    <t>OILJTK</t>
  </si>
  <si>
    <t>OILKER</t>
  </si>
  <si>
    <t>OILLPG</t>
  </si>
  <si>
    <t>~TFM_INS-TS</t>
  </si>
  <si>
    <t>Trd*GH2_10</t>
  </si>
  <si>
    <t>pset_pn</t>
  </si>
  <si>
    <t>PSET_SET</t>
  </si>
  <si>
    <t>Top_Check</t>
  </si>
  <si>
    <t>t_neg_and_or</t>
  </si>
  <si>
    <t>Trd_Hdt_gsl_01</t>
  </si>
  <si>
    <t>DELIV</t>
  </si>
  <si>
    <t>ELC</t>
  </si>
  <si>
    <t>___ELC</t>
  </si>
  <si>
    <t>IN</t>
  </si>
  <si>
    <t>COMELC</t>
  </si>
  <si>
    <t>INDELC</t>
  </si>
  <si>
    <t>GASNGA</t>
  </si>
  <si>
    <t>___NGA,ELCNGA</t>
  </si>
  <si>
    <t>PRE</t>
  </si>
  <si>
    <t>I*GEO*</t>
  </si>
  <si>
    <t>INDNGA</t>
  </si>
  <si>
    <t>INVCOST</t>
  </si>
  <si>
    <t>SUP_TREFINER</t>
  </si>
  <si>
    <t>RESNGA,COMNGA</t>
  </si>
  <si>
    <t>LIFE</t>
  </si>
  <si>
    <t>TRANGA</t>
  </si>
  <si>
    <t>DMD</t>
  </si>
  <si>
    <t>TAD,TAI</t>
  </si>
  <si>
    <t>TRAELC</t>
  </si>
  <si>
    <t>GASLNG</t>
  </si>
  <si>
    <t>*LPG</t>
  </si>
  <si>
    <t>RESLPG,COMLPG</t>
  </si>
  <si>
    <t>~TFM_MIG</t>
  </si>
  <si>
    <t>*HFO,*KER,*DST</t>
  </si>
  <si>
    <t>COMHFO,COMDST,COMKER,RESHFO,RESDST,RESKER</t>
  </si>
  <si>
    <t>LimType2</t>
  </si>
  <si>
    <t>Year2</t>
  </si>
  <si>
    <t>attribute2</t>
  </si>
  <si>
    <t>CSET_SET</t>
  </si>
  <si>
    <t>CSET_CN</t>
  </si>
  <si>
    <t>top_check</t>
  </si>
  <si>
    <t>HH2</t>
  </si>
  <si>
    <t>*H2</t>
  </si>
  <si>
    <t>-*conv_liquid*</t>
  </si>
  <si>
    <t>-IRE,-STG</t>
  </si>
  <si>
    <t>OR</t>
  </si>
  <si>
    <t>ACT_BND</t>
  </si>
  <si>
    <t>*1</t>
  </si>
  <si>
    <t>SUP_TRANSFER,SUP_TCOALLIQ,SUP_TGTL,SUP_TNONSPEC,SUP_TBLENDGAS</t>
  </si>
  <si>
    <t>COM*</t>
  </si>
  <si>
    <t>SUP_TCOALLIQ,SUP_TGTL,SUP_TNONSPEC,SUP_TBLENDGAS</t>
  </si>
  <si>
    <t>IND*,ELC*</t>
  </si>
  <si>
    <t>SUP_TGASWKS</t>
  </si>
  <si>
    <t>OIL*</t>
  </si>
  <si>
    <t>TRA*</t>
  </si>
  <si>
    <t>-IRE</t>
  </si>
  <si>
    <t>*2</t>
  </si>
  <si>
    <t>FLO_SHAR</t>
  </si>
  <si>
    <t>+.25</t>
  </si>
  <si>
    <t>NRG</t>
  </si>
  <si>
    <t>OUT</t>
  </si>
  <si>
    <t>BIODST,BIOGSL</t>
  </si>
  <si>
    <t>+.5</t>
  </si>
  <si>
    <t>OILCRD</t>
  </si>
  <si>
    <t>~TFM_INS: limtype=FX; PSET_SET=CHP</t>
  </si>
  <si>
    <t>LO</t>
  </si>
  <si>
    <t>Albania</t>
  </si>
  <si>
    <t>Algeria</t>
  </si>
  <si>
    <t>Angola</t>
  </si>
  <si>
    <t>Argentina</t>
  </si>
  <si>
    <t>Armenia</t>
  </si>
  <si>
    <t>Azerbaijan</t>
  </si>
  <si>
    <t>Bangladesh</t>
  </si>
  <si>
    <t>Belarus</t>
  </si>
  <si>
    <t>Belgium</t>
  </si>
  <si>
    <t>Bosnia_Herz</t>
  </si>
  <si>
    <t>Bulgaria</t>
  </si>
  <si>
    <t>Cameroon</t>
  </si>
  <si>
    <t>Canada</t>
  </si>
  <si>
    <t>Chile</t>
  </si>
  <si>
    <t>Colombia</t>
  </si>
  <si>
    <t>Croatia</t>
  </si>
  <si>
    <t>Cyprus</t>
  </si>
  <si>
    <t>Czech</t>
  </si>
  <si>
    <t>Denmark</t>
  </si>
  <si>
    <t>DR_Congo</t>
  </si>
  <si>
    <t>Egypt</t>
  </si>
  <si>
    <t>Estonia</t>
  </si>
  <si>
    <t>Ethiopia</t>
  </si>
  <si>
    <t>Finland</t>
  </si>
  <si>
    <t>Georgia</t>
  </si>
  <si>
    <t>Ghana</t>
  </si>
  <si>
    <t>Greece</t>
  </si>
  <si>
    <t>Hungary</t>
  </si>
  <si>
    <t>Indonesia</t>
  </si>
  <si>
    <t>Iran</t>
  </si>
  <si>
    <t>Iraq</t>
  </si>
  <si>
    <t>Israel</t>
  </si>
  <si>
    <t>Italy</t>
  </si>
  <si>
    <t>IvoryCoast</t>
  </si>
  <si>
    <t>Kazakhstan</t>
  </si>
  <si>
    <t>Kenya</t>
  </si>
  <si>
    <t>Kosovo</t>
  </si>
  <si>
    <t>Kuwait</t>
  </si>
  <si>
    <t>Kyrgyzstan</t>
  </si>
  <si>
    <t>Latvia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</si>
  <si>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</si>
  <si>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</si>
  <si>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</si>
  <si>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</si>
  <si>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</si>
  <si>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</si>
  <si>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</si>
  <si>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</si>
  <si>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</si>
  <si>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</si>
  <si>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Mozambique</t>
  </si>
  <si>
    <t>Myanmar</t>
  </si>
  <si>
    <t>Nepal</t>
  </si>
  <si>
    <t>Netherlands</t>
  </si>
  <si>
    <t>NewZealand</t>
  </si>
  <si>
    <t>Niger</t>
  </si>
  <si>
    <t>Nigeria</t>
  </si>
  <si>
    <t>Oman</t>
  </si>
  <si>
    <t>Other_Africa</t>
  </si>
  <si>
    <t>Other_AsiaEm</t>
  </si>
  <si>
    <t>Other_EurDev</t>
  </si>
  <si>
    <t>Other_LatAm</t>
  </si>
  <si>
    <t>Other_MidEast</t>
  </si>
  <si>
    <t>Pakistan</t>
  </si>
  <si>
    <t>Peru</t>
  </si>
  <si>
    <t>Philippines</t>
  </si>
  <si>
    <t>Portugal</t>
  </si>
  <si>
    <t>Qatar</t>
  </si>
  <si>
    <t>Romania</t>
  </si>
  <si>
    <t>Serbia</t>
  </si>
  <si>
    <t>Singapore</t>
  </si>
  <si>
    <t>Slovak</t>
  </si>
  <si>
    <t>Slovenia</t>
  </si>
  <si>
    <t>SouthKorea</t>
  </si>
  <si>
    <t>Spain</t>
  </si>
  <si>
    <t>Sudan</t>
  </si>
  <si>
    <t>Sweden</t>
  </si>
  <si>
    <t>Taiwan</t>
  </si>
  <si>
    <t>Tajikistan</t>
  </si>
  <si>
    <t>Tanzania</t>
  </si>
  <si>
    <t>Thailand</t>
  </si>
  <si>
    <t>Tunisia</t>
  </si>
  <si>
    <t>Turkmenistan</t>
  </si>
  <si>
    <t>UAE</t>
  </si>
  <si>
    <t>USA</t>
  </si>
  <si>
    <t>Uzbekistan</t>
  </si>
  <si>
    <t>Venezuela</t>
  </si>
  <si>
    <t>Vietnam</t>
  </si>
  <si>
    <t>Yemen</t>
  </si>
  <si>
    <t>Zambia</t>
  </si>
  <si>
    <t>*WORLD</t>
  </si>
  <si>
    <t>year</t>
  </si>
  <si>
    <t>allregions</t>
  </si>
  <si>
    <t>CHPR</t>
  </si>
  <si>
    <t>FX</t>
  </si>
  <si>
    <t>PASTI</t>
  </si>
  <si>
    <t>*.5</t>
  </si>
  <si>
    <t>GASRFG</t>
  </si>
  <si>
    <t>*FLO_SHAR</t>
  </si>
  <si>
    <t>OILNGL</t>
  </si>
  <si>
    <t>region</t>
  </si>
  <si>
    <t>commodity</t>
  </si>
  <si>
    <t>COM_BNDNET</t>
  </si>
  <si>
    <t>OIL[_]???,GAS[_]???</t>
  </si>
  <si>
    <t>~TFM_UPD: sourcescen=BASE</t>
  </si>
  <si>
    <t>share</t>
  </si>
  <si>
    <t>FT_INDOIL,FT_ELCOIL</t>
  </si>
  <si>
    <t>+.03</t>
  </si>
  <si>
    <t>SUP_TREF*</t>
  </si>
  <si>
    <t>OILNAP</t>
  </si>
  <si>
    <t>+.05</t>
  </si>
  <si>
    <t>OILHFO,OILGSL,OILPTC,OILLPG</t>
  </si>
  <si>
    <t>~TFM_INS: curr=USD22</t>
  </si>
  <si>
    <t>~TFM_MIG: attribute=NCAP_COST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</si>
  <si>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</si>
  <si>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</si>
  <si>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</si>
  <si>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</si>
  <si>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</si>
  <si>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</si>
  <si>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</si>
  <si>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</si>
  <si>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</si>
  <si>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currency</t>
  </si>
  <si>
    <t>year2</t>
  </si>
  <si>
    <t>elcspv</t>
  </si>
  <si>
    <t>invcost</t>
  </si>
  <si>
    <t>USD21_alt</t>
  </si>
  <si>
    <t>2022,2030,2050</t>
  </si>
  <si>
    <t>elcspv,elcwin,elchyd</t>
  </si>
  <si>
    <t>fixom</t>
  </si>
  <si>
    <t>elc_won_*</t>
  </si>
  <si>
    <t>elc_wof_*</t>
  </si>
  <si>
    <t>elchyd</t>
  </si>
  <si>
    <t>~TFM_TOPINS</t>
  </si>
  <si>
    <t>PSET_CI</t>
  </si>
  <si>
    <t>cset_cn</t>
  </si>
  <si>
    <t>attrib_cond</t>
  </si>
  <si>
    <t>not supported!!</t>
  </si>
  <si>
    <t>DMD,PRE</t>
  </si>
  <si>
    <t>COMNGA</t>
  </si>
  <si>
    <t>COMHH2</t>
  </si>
  <si>
    <t>-mis_*</t>
  </si>
  <si>
    <t>-FLO_SHAR</t>
  </si>
  <si>
    <t>INDHH2</t>
  </si>
  <si>
    <t>RESNGA</t>
  </si>
  <si>
    <t>RESHH2</t>
  </si>
  <si>
    <t>*</t>
  </si>
  <si>
    <t>COMSNG</t>
  </si>
  <si>
    <t>INDSNG</t>
  </si>
  <si>
    <t>RESSNG</t>
  </si>
  <si>
    <t>ELE</t>
  </si>
  <si>
    <t>ELCNGA</t>
  </si>
  <si>
    <t>ELCHH2</t>
  </si>
  <si>
    <t>-PASTI</t>
  </si>
  <si>
    <t>NCAP_BND</t>
  </si>
  <si>
    <t>H2Prd*</t>
  </si>
  <si>
    <t>PSET_CO</t>
  </si>
  <si>
    <t>TAD</t>
  </si>
  <si>
    <t>TRAELC,TRABJT</t>
  </si>
  <si>
    <t>NCAP_CPX</t>
  </si>
  <si>
    <t>Trd[_]*</t>
  </si>
  <si>
    <t>TAI</t>
  </si>
  <si>
    <t>TRABJT</t>
  </si>
  <si>
    <t>TW?</t>
  </si>
  <si>
    <t>TRAGH2</t>
  </si>
  <si>
    <t>ELIFE</t>
  </si>
  <si>
    <t>TRAJTK</t>
  </si>
  <si>
    <t>OILJTKs</t>
  </si>
  <si>
    <t>Trd[_]*elc[_]*, *elc150*, *elc50*, *elc500*</t>
  </si>
  <si>
    <t>TRAGSL</t>
  </si>
  <si>
    <t>OILGSLs</t>
  </si>
  <si>
    <t>TRADST</t>
  </si>
  <si>
    <t>OILDSTs</t>
  </si>
  <si>
    <t>~TFM_INS: attribute=PASTI</t>
  </si>
  <si>
    <t>CEFF</t>
  </si>
  <si>
    <t>Trd_car_elc_120,Trd_car_elc_160,Trd_car_elc_200,Trd_car_elc_250,Trd_car_elc_300</t>
  </si>
  <si>
    <t>metric</t>
  </si>
  <si>
    <t>KiNESYS_CEA</t>
  </si>
  <si>
    <t>million</t>
  </si>
  <si>
    <t>Sales</t>
  </si>
  <si>
    <t>Stock</t>
  </si>
  <si>
    <t>Range (million USD/ktonne)</t>
  </si>
  <si>
    <t>Description</t>
  </si>
  <si>
    <t>Source</t>
  </si>
  <si>
    <t>0.02 (0.01-0.03)</t>
  </si>
  <si>
    <t>Daily operating costs of large dry bulk carriers (≈80,000–160,000 dwt) range from roughly €30,000–37,000 per day, implying maritime transport costs on the order of $10–30 per tonne for intercontinental shipments.</t>
  </si>
  <si>
    <t>Assessing the Link between Vessel Size and Maritime Supply
Chain Sustainable Performance</t>
  </si>
  <si>
    <t>0.02 (0.02-0.03)</t>
  </si>
  <si>
    <t>Bulk maritime shipping costs for dry commodities are typically on the order of $20–30 per tonne
 for intercontinental routes, corresponding to approximately $2–3 per tonne per 1,000 miles, consistent with industry estimates.</t>
  </si>
  <si>
    <t>https://thundersaidenergy.com/downloads/bulk-shipping-cost-breakdown/</t>
  </si>
  <si>
    <t>MidEast_Naf</t>
  </si>
  <si>
    <t>ACT_COST</t>
  </si>
  <si>
    <t>USD18</t>
  </si>
  <si>
    <t>IRE</t>
  </si>
  <si>
    <t>Glb*</t>
  </si>
  <si>
    <t>m_*</t>
  </si>
  <si>
    <t>~UC_T: UC_FLO~2020</t>
  </si>
  <si>
    <t>UC_ATTR</t>
  </si>
  <si>
    <t>Cset_cn</t>
  </si>
  <si>
    <t>RHS</t>
  </si>
  <si>
    <t>UC_Desc</t>
  </si>
  <si>
    <t>FLO,GROWTH</t>
  </si>
  <si>
    <t>UC_mis_growth - oil</t>
  </si>
  <si>
    <t>INDOIL</t>
  </si>
  <si>
    <t>mis_*</t>
  </si>
  <si>
    <t>Max growth in oil consumption not to exceed 5% pa - steel</t>
  </si>
  <si>
    <t>UC_mis_decay - oil</t>
  </si>
  <si>
    <t>Max decay in oil consumption not to exceed 5% pa - steel</t>
  </si>
  <si>
    <t>~UC_SETS: R_E: Albania,Algeria,Angola,Argentina,Armenia,Australia,Austria,Azerbaijan,Bangladesh,Belarus,Belgium,Bosnia_Herz,Brazil,Bulgaria,Cameroon,Canada,Chile,China,Colombia,Croatia,Cyprus,Czech,Denmark,DR_Congo,Egypt,Estonia,Ethiopia,Finland,France,Georgia,Germany,Ghana,Greece,Hungary,Iceland,India,Indonesia,Iran,Iraq,Ireland,Israel,Italy,IvoryCoast,Japan,Kazakhstan,Kenya,Kosovo,Kuwait,Kyrgyzstan,Latvia,Libya,Lithuania,Luxembourg,Macedonia,Malaysia,Malta,Mexico,Moldova,Montenegro,Morocco,Mozambique,Myanmar,Nepal,Netherlands,NewZealand,Niger,Nigeria,Norway,Oman,Other_Africa,Other_AsiaEm,Other_EurDev,Other_LatAm,Other_MidEast,Pakistan,Peru,Philippines,Poland,Portugal,Qatar,Romania,Russia,SaudiArabia,Serbia,Singapore,Slovak,Slovenia,SouthAfrica,SouthKorea,Spain,Sudan,Sweden,Switzerland,Taiwan,Tajikistan,Tanzania,Thailand,Tunisia,Turkey,Turkmenistan,UAE,UK,Ukraine,USA,Uzbekistan,Venezuela,Vietnam,Yemen,Zambia</t>
  </si>
  <si>
    <t>~UC_T: UC_CAP~UP</t>
  </si>
  <si>
    <t>UC_RHSRT</t>
  </si>
  <si>
    <t>CAP,GROWTH</t>
  </si>
  <si>
    <t>ELE,CHP</t>
  </si>
  <si>
    <t>ELCOIL*</t>
  </si>
  <si>
    <t>ELCCO?</t>
  </si>
  <si>
    <t>~tfm_ins-ts: limtype=LO</t>
  </si>
  <si>
    <t>~UC_T: N</t>
  </si>
  <si>
    <t>cset_set</t>
  </si>
  <si>
    <t>uc_comprd</t>
  </si>
  <si>
    <t>uc_comnet</t>
  </si>
  <si>
    <t>uc_rhsrt~0</t>
  </si>
  <si>
    <t>COM_ELAST</t>
  </si>
  <si>
    <t>DEM</t>
  </si>
  <si>
    <t>rep_tra_road_pass</t>
  </si>
  <si>
    <t>Trd_Car,Trd_2w,Trd_3w,Trd_bus</t>
  </si>
  <si>
    <t>COM_VOC</t>
  </si>
  <si>
    <t>rep_tra_road_frt</t>
  </si>
  <si>
    <t>Trd_Hdt,Trd_Lcv</t>
  </si>
  <si>
    <t>COM_STEP</t>
  </si>
  <si>
    <t>rep_totco2</t>
  </si>
  <si>
    <t>TOTCO2</t>
  </si>
  <si>
    <t>rep_com_cookhw</t>
  </si>
  <si>
    <t>CCK</t>
  </si>
  <si>
    <t>CHW</t>
  </si>
  <si>
    <t>rep_com_lightappl</t>
  </si>
  <si>
    <t>CLA</t>
  </si>
  <si>
    <t>COE,COT,CRF</t>
  </si>
  <si>
    <t>mis_steel_crude</t>
  </si>
  <si>
    <t>rep_com_spcool</t>
  </si>
  <si>
    <t>CSC</t>
  </si>
  <si>
    <t>rep_com_spht</t>
  </si>
  <si>
    <t>CSH</t>
  </si>
  <si>
    <t>rep_res_cookhw</t>
  </si>
  <si>
    <t>RCK</t>
  </si>
  <si>
    <t>RHW</t>
  </si>
  <si>
    <t>rep_res_lightappl</t>
  </si>
  <si>
    <t>RCD,RCW,RDW,REA,ROT,RRF</t>
  </si>
  <si>
    <t>RLI</t>
  </si>
  <si>
    <t>rep_res_spcool</t>
  </si>
  <si>
    <t>RSC</t>
  </si>
  <si>
    <t>rep_res_spht</t>
  </si>
  <si>
    <t>RSH</t>
  </si>
  <si>
    <t>~tfm_topins</t>
  </si>
  <si>
    <t>uc_cumact</t>
  </si>
  <si>
    <t>uc_dynbnd</t>
  </si>
  <si>
    <t>agr000</t>
  </si>
  <si>
    <t>repuc_unity</t>
  </si>
  <si>
    <t>out</t>
  </si>
  <si>
    <t>rep_CumFlows</t>
  </si>
  <si>
    <t>mingas_rs*,minoil_rs*</t>
  </si>
  <si>
    <t>2019-2030</t>
  </si>
  <si>
    <t>2019-2035</t>
  </si>
  <si>
    <t>~tfm_ins-ts</t>
  </si>
  <si>
    <t>2019-2040</t>
  </si>
  <si>
    <t>2019-2045</t>
  </si>
  <si>
    <t>com_bndnet</t>
  </si>
  <si>
    <t>Fixom and Varom computation for NEEDS units.sql</t>
  </si>
  <si>
    <t>~TFM_INS-TS: attribute=SHAPE</t>
  </si>
  <si>
    <t>Plant Type</t>
  </si>
  <si>
    <t>SO2  Control</t>
  </si>
  <si>
    <t>NOx  Control</t>
  </si>
  <si>
    <t>Hg Control</t>
  </si>
  <si>
    <t>Age of Unit</t>
  </si>
  <si>
    <t>FOM (2019$ /kW-Yr)</t>
  </si>
  <si>
    <t>Age2</t>
  </si>
  <si>
    <t>FOM2</t>
  </si>
  <si>
    <t>SHAPE</t>
  </si>
  <si>
    <t>other_indexes</t>
  </si>
  <si>
    <t>Coal Steam</t>
  </si>
  <si>
    <t>Dry FGD</t>
  </si>
  <si>
    <t>None</t>
  </si>
  <si>
    <t>0 to 40 Years</t>
  </si>
  <si>
    <t>40 to 50 Years</t>
  </si>
  <si>
    <t>O/G Steam</t>
  </si>
  <si>
    <t>SCR</t>
  </si>
  <si>
    <t>Combined Cycle</t>
  </si>
  <si>
    <t>All Years</t>
  </si>
  <si>
    <t>Combustion Turbine</t>
  </si>
  <si>
    <t>IPM Table 4-10 Life Extension Cost Assumptions Used in v6</t>
  </si>
  <si>
    <t xml:space="preserve">The life extension costs were added once the unit reaches its assumed lifespan. </t>
  </si>
  <si>
    <t xml:space="preserve">However, if the unit reaches its lifespan before the first run year, then the life extension cost was applied when the unit reaches twice its lifespan age. </t>
  </si>
  <si>
    <t xml:space="preserve">The assumption implies if the unit has reached its lifespan before the first run year, it has already incurred the necessary life extension related investment costs and is considered sunk. </t>
  </si>
  <si>
    <t>Type, Lifespan</t>
  </si>
  <si>
    <t>Lifespan</t>
  </si>
  <si>
    <t xml:space="preserve">Life Extension Cost (2019$/kW) </t>
  </si>
  <si>
    <t xml:space="preserve">Biomass 40 </t>
  </si>
  <si>
    <t xml:space="preserve">40 </t>
  </si>
  <si>
    <t xml:space="preserve">Coal Steam 40 </t>
  </si>
  <si>
    <t xml:space="preserve">Combined Cycle 30 </t>
  </si>
  <si>
    <t xml:space="preserve">30 </t>
  </si>
  <si>
    <t xml:space="preserve">Combustion Turbine 30 </t>
  </si>
  <si>
    <t>NCAP_FOMX</t>
  </si>
  <si>
    <t>E_Coal,DMD_AUTOP</t>
  </si>
  <si>
    <t>*CO?</t>
  </si>
  <si>
    <t xml:space="preserve">IC Engine 30 </t>
  </si>
  <si>
    <t>E_Gas-ST</t>
  </si>
  <si>
    <t xml:space="preserve">Oil/Gas Steam 40 </t>
  </si>
  <si>
    <t>E_Gas-CC</t>
  </si>
  <si>
    <t xml:space="preserve">IGCC 40 </t>
  </si>
  <si>
    <t>E_Gas-CT</t>
  </si>
  <si>
    <t xml:space="preserve">Landfill Gas 20 </t>
  </si>
  <si>
    <t xml:space="preserve">20 </t>
  </si>
  <si>
    <t>Other_Indexes</t>
  </si>
  <si>
    <t>coal var</t>
  </si>
  <si>
    <t>gas var</t>
  </si>
  <si>
    <t>fuel</t>
  </si>
  <si>
    <t>kg/GJ</t>
  </si>
  <si>
    <t>source</t>
  </si>
  <si>
    <t>~TFM_DINS</t>
  </si>
  <si>
    <t>AGRCOA</t>
  </si>
  <si>
    <t>BFG</t>
  </si>
  <si>
    <t>c</t>
  </si>
  <si>
    <t>Carbon Dioxide Emissions Coefficients by Fuel</t>
  </si>
  <si>
    <t>io</t>
  </si>
  <si>
    <t>AGRKER</t>
  </si>
  <si>
    <t>BIO</t>
  </si>
  <si>
    <t>b</t>
  </si>
  <si>
    <t xml:space="preserve">Pounds CO2 </t>
  </si>
  <si>
    <t>Kilograms CO2</t>
  </si>
  <si>
    <t>Pounds CO2</t>
  </si>
  <si>
    <t>VDA_EMCB</t>
  </si>
  <si>
    <t>COM_AGG</t>
  </si>
  <si>
    <t>NetCO2*</t>
  </si>
  <si>
    <t>Pipeline-CO2</t>
  </si>
  <si>
    <t>CO2Captured[_]*</t>
  </si>
  <si>
    <t>AGRLPG</t>
  </si>
  <si>
    <t>BSL</t>
  </si>
  <si>
    <t xml:space="preserve">Carbon Dioxide (CO2) Factors: </t>
  </si>
  <si>
    <t>Per Unit of Volume or Mass</t>
  </si>
  <si>
    <t>Per Million Btu</t>
  </si>
  <si>
    <t>Per GJ</t>
  </si>
  <si>
    <t>AGRNGA</t>
  </si>
  <si>
    <t>COA</t>
  </si>
  <si>
    <t>For homes and businesses</t>
  </si>
  <si>
    <t>AGROIL</t>
  </si>
  <si>
    <t>CoaG</t>
  </si>
  <si>
    <t>Propane</t>
  </si>
  <si>
    <t>gallon</t>
  </si>
  <si>
    <t>CO2Captured*,CO2_DAC</t>
  </si>
  <si>
    <t>COMCOA</t>
  </si>
  <si>
    <t>COB</t>
  </si>
  <si>
    <t>Butane</t>
  </si>
  <si>
    <t>COMHFO</t>
  </si>
  <si>
    <t>COG</t>
  </si>
  <si>
    <t>Butane/Propane Mix</t>
  </si>
  <si>
    <t>main non-energy use emissions</t>
  </si>
  <si>
    <t>COMKER</t>
  </si>
  <si>
    <t>COK</t>
  </si>
  <si>
    <t>Home Heating and Diesel Fuel (Distillate)</t>
  </si>
  <si>
    <t>COMLPG</t>
  </si>
  <si>
    <t>DST</t>
  </si>
  <si>
    <t>o</t>
  </si>
  <si>
    <t>Kerosene</t>
  </si>
  <si>
    <t>ETH</t>
  </si>
  <si>
    <t>g</t>
  </si>
  <si>
    <t>Coal (All types)</t>
  </si>
  <si>
    <t>short ton</t>
  </si>
  <si>
    <t>FLO_EMIS</t>
  </si>
  <si>
    <t>ICH_feedstock</t>
  </si>
  <si>
    <t>COMOIL</t>
  </si>
  <si>
    <t>GAS</t>
  </si>
  <si>
    <t>Natural Gas</t>
  </si>
  <si>
    <t>thousand cubic feet</t>
  </si>
  <si>
    <t>ELCCOA</t>
  </si>
  <si>
    <t>GSL</t>
  </si>
  <si>
    <t>Gasoline</t>
  </si>
  <si>
    <t>ELCCoaG</t>
  </si>
  <si>
    <t>NAP</t>
  </si>
  <si>
    <t>Residual Heating Fuel (Businesses only)</t>
  </si>
  <si>
    <t>GASETH</t>
  </si>
  <si>
    <t>ELCCOB</t>
  </si>
  <si>
    <t>HFO</t>
  </si>
  <si>
    <t xml:space="preserve">Other transportation fuels </t>
  </si>
  <si>
    <t>ELCGAS</t>
  </si>
  <si>
    <t>JTK</t>
  </si>
  <si>
    <t>Jet Fuel</t>
  </si>
  <si>
    <t>KER</t>
  </si>
  <si>
    <t>Aviation Gas</t>
  </si>
  <si>
    <t>ELCOIL</t>
  </si>
  <si>
    <t>LPG</t>
  </si>
  <si>
    <t>Industrial fuels and others not listed above</t>
  </si>
  <si>
    <t>ELCOIL_CRD</t>
  </si>
  <si>
    <t>NGA</t>
  </si>
  <si>
    <t>Flared natural gas</t>
  </si>
  <si>
    <t>ELCOIL_DST</t>
  </si>
  <si>
    <t>OIL</t>
  </si>
  <si>
    <t>Petroleum coke</t>
  </si>
  <si>
    <t>BIOBSL</t>
  </si>
  <si>
    <t>HH2CO2Nb</t>
  </si>
  <si>
    <t>ELCWAS</t>
  </si>
  <si>
    <t>OIL_CRD</t>
  </si>
  <si>
    <t>Other petroleum &amp; miscellaneous</t>
  </si>
  <si>
    <t>COAHCO</t>
  </si>
  <si>
    <t>HH2CO2Nc</t>
  </si>
  <si>
    <t>INDBFG</t>
  </si>
  <si>
    <t>OIL_DST</t>
  </si>
  <si>
    <t>Nonfuel uses</t>
  </si>
  <si>
    <t>HH2CO2Ng</t>
  </si>
  <si>
    <t>ELCBSL</t>
  </si>
  <si>
    <t>OVC</t>
  </si>
  <si>
    <t>Asphalt and Road Oil</t>
  </si>
  <si>
    <t>*FLO_EMIS</t>
  </si>
  <si>
    <t>CO2Captured_ccu</t>
  </si>
  <si>
    <t>CO2Used_ccu</t>
  </si>
  <si>
    <t>OIL*s</t>
  </si>
  <si>
    <t>INDCOA</t>
  </si>
  <si>
    <t>PTC</t>
  </si>
  <si>
    <t>Lubricants</t>
  </si>
  <si>
    <t>INDCOG</t>
  </si>
  <si>
    <t>RFG</t>
  </si>
  <si>
    <t>Petrochemical Feedstocks</t>
  </si>
  <si>
    <t>INDCOK</t>
  </si>
  <si>
    <t>RPP</t>
  </si>
  <si>
    <t>Special Naphthas (solvents)</t>
  </si>
  <si>
    <t>INDHFO</t>
  </si>
  <si>
    <t>WAS</t>
  </si>
  <si>
    <t>w</t>
  </si>
  <si>
    <t xml:space="preserve">Waxes </t>
  </si>
  <si>
    <t>INDLPG</t>
  </si>
  <si>
    <t>Coals by type</t>
  </si>
  <si>
    <t>Anthractie</t>
  </si>
  <si>
    <t>ELCCO2N*,-*b</t>
  </si>
  <si>
    <t>NetCO2_ELC</t>
  </si>
  <si>
    <t>Bituminous</t>
  </si>
  <si>
    <t>CO2Captured_elc</t>
  </si>
  <si>
    <t>INDOVC</t>
  </si>
  <si>
    <t>Subbituminous</t>
  </si>
  <si>
    <t>INDPTC</t>
  </si>
  <si>
    <t>Lignite</t>
  </si>
  <si>
    <t>INDCO2??,AGRCO2??,-*b</t>
  </si>
  <si>
    <t>NetCO2_IND</t>
  </si>
  <si>
    <t>RESCOA</t>
  </si>
  <si>
    <t>Coke</t>
  </si>
  <si>
    <t>CO2Captured_ind</t>
  </si>
  <si>
    <t>RESHFO</t>
  </si>
  <si>
    <t>Other fuels</t>
  </si>
  <si>
    <t>RESKER</t>
  </si>
  <si>
    <t>Geothermal (average all generation)</t>
  </si>
  <si>
    <t>NA</t>
  </si>
  <si>
    <t>SUPCO2??,HH2CO2??,-*b</t>
  </si>
  <si>
    <t>NetCO2_SUP</t>
  </si>
  <si>
    <t>RESLPG</t>
  </si>
  <si>
    <t>Municiple Solid Waste</t>
  </si>
  <si>
    <t>*COM_AGG</t>
  </si>
  <si>
    <t>Tire-derived fuel</t>
  </si>
  <si>
    <t>CO2Captured_sup</t>
  </si>
  <si>
    <t>RESOIL</t>
  </si>
  <si>
    <t>Waste oil</t>
  </si>
  <si>
    <t>barrel</t>
  </si>
  <si>
    <t>SUPBFG</t>
  </si>
  <si>
    <t>Source: U.S. Energy Information Administration estimates.</t>
  </si>
  <si>
    <t>SUPBIO</t>
  </si>
  <si>
    <t>Note: To convert to carbon equivalents multiply by 12/44.</t>
  </si>
  <si>
    <t>COMCO2N?,RESCO2N?,-*b</t>
  </si>
  <si>
    <t>NetCO2_Bldg</t>
  </si>
  <si>
    <t>SUPCOA</t>
  </si>
  <si>
    <t>Coefficients may vary slightly with estimation method and across time.</t>
  </si>
  <si>
    <t>TRACO2N?</t>
  </si>
  <si>
    <t>NetCO2_TRA</t>
  </si>
  <si>
    <t>SUPCOG</t>
  </si>
  <si>
    <t>SUPNGA</t>
  </si>
  <si>
    <t>SUPOIL</t>
  </si>
  <si>
    <t>SUPRFG</t>
  </si>
  <si>
    <t>SUPRPP</t>
  </si>
  <si>
    <t>TRACOA</t>
  </si>
  <si>
    <t>ELCCO2Nc</t>
  </si>
  <si>
    <t>ELCCO2Nb</t>
  </si>
  <si>
    <t>ELCCO2Ng</t>
  </si>
  <si>
    <t>TRAHFO</t>
  </si>
  <si>
    <t>TRALPG</t>
  </si>
  <si>
    <t>oth_ind</t>
  </si>
  <si>
    <t>INDBIO</t>
  </si>
  <si>
    <t>*CCS*</t>
  </si>
  <si>
    <t>~TFM_INS-AT</t>
  </si>
  <si>
    <t>~TFM_INS-TS: limtype=LO;cset_set=ENV</t>
  </si>
  <si>
    <t>Region</t>
  </si>
  <si>
    <t>Process</t>
  </si>
  <si>
    <t>kt CO2</t>
  </si>
  <si>
    <t>USD20</t>
  </si>
  <si>
    <t>系数</t>
  </si>
  <si>
    <t>电池 kWh</t>
  </si>
  <si>
    <t>Trd_car_elc_120</t>
  </si>
  <si>
    <t>Trd_bus_elc_120</t>
  </si>
  <si>
    <t>Trd_car_elc_160</t>
  </si>
  <si>
    <t>Trd_bus_elc_134</t>
  </si>
  <si>
    <t>Trd_car_elc_200</t>
  </si>
  <si>
    <t>Trd_bus_elc_149</t>
  </si>
  <si>
    <t>~UC_T: UC_RHSRT~UP</t>
  </si>
  <si>
    <t>~UC_T: UC_RHSRT~FX</t>
  </si>
  <si>
    <t>Trd_car_elc_250</t>
  </si>
  <si>
    <t>Trd_bus_elc_163</t>
  </si>
  <si>
    <t>Trd_car_elc_300</t>
  </si>
  <si>
    <t>Trd_bus_elc_177</t>
  </si>
  <si>
    <t>UCT_car batteries cap</t>
  </si>
  <si>
    <t>TRDELC</t>
  </si>
  <si>
    <t>Tra_BEV_Batt_VtoG</t>
  </si>
  <si>
    <t>UCT_car batteries cap - car</t>
  </si>
  <si>
    <t>STG</t>
  </si>
  <si>
    <t>Tra_EV*virgin_pack, Tra_EV*fromrecy, Tra_EV_Batt-Sodium_virgin_pack</t>
  </si>
  <si>
    <t>Trd_car_elc_350</t>
  </si>
  <si>
    <t>Trd_bus_elc_191</t>
  </si>
  <si>
    <t>Trd_car_elc_400</t>
  </si>
  <si>
    <t>Trd_bus_elc_206</t>
  </si>
  <si>
    <t>Trd_car_elc_500</t>
  </si>
  <si>
    <t>Trd_bus_elc_220</t>
  </si>
  <si>
    <t>Trd_lcv_elc_120</t>
  </si>
  <si>
    <t>Trd_lcv_elc_160</t>
  </si>
  <si>
    <t>Trd_lcv_elc_200</t>
  </si>
  <si>
    <t>Trd_lcv_elc_250</t>
  </si>
  <si>
    <t>Trd_lcv_elc_300</t>
  </si>
  <si>
    <t>Trd_lcv_elc_350</t>
  </si>
  <si>
    <t>Trd_lcv_elc_400</t>
  </si>
  <si>
    <t>Trd_lcv_elc_500</t>
  </si>
  <si>
    <t>Trd_hdt_elc_150</t>
  </si>
  <si>
    <t>Trd_hdt_elc_179</t>
  </si>
  <si>
    <t>Trd_hdt_elc_207</t>
  </si>
  <si>
    <t>Trd_hdt_elc_236</t>
  </si>
  <si>
    <t>Trd_hdt_elc_264</t>
  </si>
  <si>
    <t>Trd_hdt_elc_350</t>
  </si>
  <si>
    <t>Trd_hdt_elc_500</t>
  </si>
  <si>
    <t>Trd_hdt_elc_600</t>
  </si>
  <si>
    <t>Trd_3w_elc_120</t>
  </si>
  <si>
    <t>Trd_3w_elc_131</t>
  </si>
  <si>
    <t>Trd_3w_elc_143</t>
  </si>
  <si>
    <t>Trd_3w_elc_154</t>
  </si>
  <si>
    <t>Trd_3w_elc_166</t>
  </si>
  <si>
    <t>Trd_3w_elc_177</t>
  </si>
  <si>
    <t>Trd_3w_elc_189</t>
  </si>
  <si>
    <t>Trd_3w_elc_200</t>
  </si>
  <si>
    <t>Trd_2w_elc50_100</t>
  </si>
  <si>
    <t>Trd_2w_elc50_109</t>
  </si>
  <si>
    <t>Trd_2w_elc50_117</t>
  </si>
  <si>
    <t>Trd_2w_elc50_126</t>
  </si>
  <si>
    <t>Trd_2w_elc50_134</t>
  </si>
  <si>
    <t>Trd_2w_elc50_143</t>
  </si>
  <si>
    <t>Trd_2w_elc50_151</t>
  </si>
  <si>
    <t>Trd_2w_elc50_160</t>
  </si>
  <si>
    <t>Trd_2w_elc150_120</t>
  </si>
  <si>
    <t>Trd_2w_elc150_131</t>
  </si>
  <si>
    <t>Trd_2w_elc150_143</t>
  </si>
  <si>
    <t>Trd_2w_elc150_154</t>
  </si>
  <si>
    <t>Trd_2w_elc150_166</t>
  </si>
  <si>
    <t>Trd_2w_elc150_177</t>
  </si>
  <si>
    <t>Trd_2w_elc150_189</t>
  </si>
  <si>
    <t>Trd_2w_elc150_200</t>
  </si>
  <si>
    <t>Trd_2w_elc500_120</t>
  </si>
  <si>
    <t>Trd_2w_elc500_131</t>
  </si>
  <si>
    <t>Trd_2w_elc500_143</t>
  </si>
  <si>
    <t>Trd_2w_elc500_154</t>
  </si>
  <si>
    <t>Trd_2w_elc500_166</t>
  </si>
  <si>
    <t>Trd_2w_elc500_177</t>
  </si>
  <si>
    <t>Trd_2w_elc500_189</t>
  </si>
  <si>
    <t>Trd_2w_elc500_200</t>
  </si>
  <si>
    <t>Trd_car_gsl-pih_71</t>
  </si>
  <si>
    <t>Trd_car_gsl-pih_72</t>
  </si>
  <si>
    <t>Trd_car_gsl-pih_73</t>
  </si>
  <si>
    <t>Trd_car_gsl-pih_74</t>
  </si>
  <si>
    <t>Trd_car_gsl-pih_75</t>
  </si>
  <si>
    <t>Trd_car_gsl-pih_80</t>
  </si>
  <si>
    <t>Trd_car_gsl-pih_81</t>
  </si>
  <si>
    <t>Trd_car_gsl-pih_82</t>
  </si>
  <si>
    <t>Trd_car_dsl-pih_70</t>
  </si>
  <si>
    <t>Trd_car_dsl-pih_71</t>
  </si>
  <si>
    <t>Trd_car_dsl-pih_72</t>
  </si>
  <si>
    <t>Trd_car_dsl-pih_73</t>
  </si>
  <si>
    <t>Trd_car_dsl-pih_74</t>
  </si>
  <si>
    <t>Trd_car_dsl-pih_78</t>
  </si>
  <si>
    <t>Trd_lcv_gsl-pih_83</t>
  </si>
  <si>
    <t>Trd_lcv_gsl-pih_84</t>
  </si>
  <si>
    <t>Trd_lcv_gsl-pih_85</t>
  </si>
  <si>
    <t>Trd_lcv_gsl-pih_86</t>
  </si>
  <si>
    <t>Trd_lcv_gsl-pih_87</t>
  </si>
  <si>
    <t>Trd_lcv_gsl-pih_92</t>
  </si>
  <si>
    <t>Trd_lcv_gsl-pih_93</t>
  </si>
  <si>
    <t>Trd_lcv_dsl-pih_85</t>
  </si>
  <si>
    <t>Trd_lcv_dsl-pih_86</t>
  </si>
  <si>
    <t>Trd_lcv_dsl-pih_87</t>
  </si>
  <si>
    <t>Trd_lcv_dsl-pih_88</t>
  </si>
  <si>
    <t>Trd_lcv_dsl-pih_89</t>
  </si>
  <si>
    <t>Trd_lcv_dsl-pih_93</t>
  </si>
  <si>
    <t>~UC_Sets: R_S: AllRegions</t>
  </si>
  <si>
    <t>~UC_Sets: T_SUC:</t>
  </si>
  <si>
    <t>~UC_T</t>
  </si>
  <si>
    <t>UC_ATTR~RHS</t>
  </si>
  <si>
    <t>UC_CAP~RHS</t>
  </si>
  <si>
    <t>UC_RHSTS</t>
  </si>
  <si>
    <t>UC_RHSTS~0</t>
  </si>
  <si>
    <t>UC_Grow_LI</t>
  </si>
  <si>
    <t>MINBatMaterials_LI</t>
  </si>
  <si>
    <t>2025, 2150</t>
  </si>
  <si>
    <t>UC_Grow_GR</t>
  </si>
  <si>
    <t>MINBatMaterials_GR</t>
  </si>
  <si>
    <t>UC_Grow_NI</t>
  </si>
  <si>
    <t>MINBatMaterials_NI</t>
  </si>
  <si>
    <t>UC_Grow_COB_byCop</t>
  </si>
  <si>
    <t>MINBatMaterials_COB_byCop</t>
  </si>
  <si>
    <t>UC_Grow_MN</t>
  </si>
  <si>
    <t>MINBatMaterials_MN</t>
  </si>
  <si>
    <t>UC_Grow_COP</t>
  </si>
  <si>
    <t>MINBatMaterials_COP</t>
  </si>
  <si>
    <t>UC_Grow_AL</t>
  </si>
  <si>
    <t>MINBatMaterials_AL</t>
  </si>
  <si>
    <t>UC_Grow_COB_byNI_HPAL</t>
  </si>
  <si>
    <t>MINBatMaterials_COB_byNI_HPAL</t>
  </si>
  <si>
    <t>UC_Grow_COB_byNI_sulfide</t>
  </si>
  <si>
    <t>MINBatMaterials_COB_byNI_sulfide</t>
  </si>
  <si>
    <t>UC_Grow_COB_direct</t>
  </si>
  <si>
    <t>MINBatMaterials_COB_direct</t>
  </si>
  <si>
    <t>~UC_Sets: R_E: allregions</t>
  </si>
  <si>
    <t>~UC_T:UC_RHSRT</t>
  </si>
  <si>
    <t>UC_COMNET</t>
  </si>
  <si>
    <t>UCT_COMNET_materials</t>
  </si>
  <si>
    <t>recy*</t>
  </si>
  <si>
    <t>Trd[_]*cng[_]*, Trd[_]*lng[_]*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</si>
</sst>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%"/>
    <numFmt numFmtId="179" formatCode="_ * #,##0.00_ ;_ * \-#,##0.00_ ;_ * &quot;-&quot;??_ ;_ @_ "/>
    <numFmt numFmtId="180" formatCode="_-&quot;$&quot;* #,##0.00_-;\-&quot;$&quot;* #,##0.00_-;_-&quot;$&quot;* &quot;-&quot;??_-;_-@_-"/>
    <numFmt numFmtId="181" formatCode="m\o\n\th\ d\,\ yyyy"/>
    <numFmt numFmtId="182" formatCode="_([$€]* #,##0.00_);_([$€]* \(#,##0.00\);_([$€]* &quot;-&quot;??_);_(@_)"/>
    <numFmt numFmtId="183" formatCode="_([$€-2]* #,##0.00_);_([$€-2]* \(#,##0.00\);_([$€-2]* &quot;-&quot;??_)"/>
    <numFmt numFmtId="184" formatCode="_-[$€-2]\ * #,##0.00_-;\-[$€-2]\ * #,##0.00_-;_-[$€-2]\ * &quot;-&quot;??_-"/>
    <numFmt numFmtId="185" formatCode="_-[$€]* #,##0.00_-;\-[$€]* #,##0.00_-;_-[$€]* &quot;-&quot;??_-;_-@_-"/>
    <numFmt numFmtId="186" formatCode="_-&quot;€&quot;\ * #,##0.00_-;\-&quot;€&quot;\ * #,##0.00_-;_-&quot;€&quot;\ * &quot;-&quot;??_-;_-@_-"/>
    <numFmt numFmtId="187" formatCode="#.00"/>
    <numFmt numFmtId="188" formatCode="#."/>
    <numFmt numFmtId="189" formatCode="_-* #,##0.00\ _€_-;\-* #,##0.00\ _€_-;_-* &quot;-&quot;??\ _€_-;_-@_-"/>
    <numFmt numFmtId="190" formatCode="&quot;$&quot;#,##0_);\(&quot;$&quot;#,##0\)"/>
    <numFmt numFmtId="191" formatCode="General_)"/>
    <numFmt numFmtId="192" formatCode="\(##\);\(##\)"/>
    <numFmt numFmtId="193" formatCode="#,##0;\-\ #,##0;_-\ &quot;- &quot;"/>
    <numFmt numFmtId="194" formatCode="_ * #,##0_ ;_ * \-#,##0_ ;_ * &quot;-&quot;_ ;_ @_ "/>
    <numFmt numFmtId="195" formatCode="_ &quot;kr&quot;\ * #,##0_ ;_ &quot;kr&quot;\ * \-#,##0_ ;_ &quot;kr&quot;\ * &quot;-&quot;_ ;_ @_ "/>
    <numFmt numFmtId="196" formatCode="yyyy"/>
    <numFmt numFmtId="197" formatCode="#,##0.0"/>
    <numFmt numFmtId="198" formatCode="_ &quot;kr&quot;\ * #,##0.00_ ;_ &quot;kr&quot;\ * \-#,##0.00_ ;_ &quot;kr&quot;\ * &quot;-&quot;??_ ;_ @_ "/>
    <numFmt numFmtId="199" formatCode="0.00_);[Red]\(0.00\)"/>
    <numFmt numFmtId="200" formatCode="0.0"/>
  </numFmts>
  <fonts count="8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2"/>
      <color rgb="FF212529"/>
      <name val="Segoe UI"/>
      <charset val="134"/>
    </font>
    <font>
      <sz val="10"/>
      <name val="Arial"/>
      <charset val="134"/>
    </font>
    <font>
      <sz val="11"/>
      <color rgb="FFFF0000"/>
      <name val="Calibri"/>
      <charset val="134"/>
      <scheme val="minor"/>
    </font>
    <font>
      <b/>
      <sz val="11"/>
      <color rgb="FF9C5700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rgb="FF0061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9"/>
      <color indexed="8"/>
      <name val="Times New Roman"/>
      <charset val="134"/>
    </font>
    <font>
      <sz val="11"/>
      <color indexed="20"/>
      <name val="Calibri"/>
      <charset val="134"/>
    </font>
    <font>
      <sz val="11"/>
      <color rgb="FF9C0006"/>
      <name val="Calibri"/>
      <charset val="134"/>
      <scheme val="minor"/>
    </font>
    <font>
      <b/>
      <sz val="11"/>
      <color indexed="52"/>
      <name val="Calibri"/>
      <charset val="134"/>
    </font>
    <font>
      <b/>
      <sz val="11"/>
      <color indexed="10"/>
      <name val="Calibri"/>
      <charset val="134"/>
    </font>
    <font>
      <b/>
      <sz val="11"/>
      <color indexed="9"/>
      <name val="Calibri"/>
      <charset val="134"/>
    </font>
    <font>
      <sz val="10"/>
      <name val="MS Sans Serif"/>
      <charset val="134"/>
    </font>
    <font>
      <sz val="9"/>
      <name val="Times New Roman"/>
      <charset val="134"/>
    </font>
    <font>
      <sz val="1"/>
      <color indexed="8"/>
      <name val="Courier"/>
      <charset val="134"/>
    </font>
    <font>
      <sz val="10"/>
      <color indexed="56"/>
      <name val="Arial"/>
      <charset val="134"/>
    </font>
    <font>
      <i/>
      <sz val="8"/>
      <color indexed="3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"/>
      <color indexed="8"/>
      <name val="Courier"/>
      <charset val="134"/>
    </font>
    <font>
      <u/>
      <sz val="10"/>
      <color indexed="12"/>
      <name val="Arial"/>
      <charset val="134"/>
    </font>
    <font>
      <sz val="11"/>
      <color indexed="62"/>
      <name val="Calibri"/>
      <charset val="134"/>
    </font>
    <font>
      <b/>
      <sz val="12"/>
      <name val="Times New Roman"/>
      <charset val="134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sz val="11"/>
      <color indexed="60"/>
      <name val="Calibri"/>
      <charset val="134"/>
    </font>
    <font>
      <sz val="11"/>
      <color indexed="19"/>
      <name val="Calibri"/>
      <charset val="134"/>
    </font>
    <font>
      <sz val="11"/>
      <color indexed="60"/>
      <name val="Calibri"/>
      <charset val="161"/>
    </font>
    <font>
      <sz val="8"/>
      <name val="Helv"/>
      <charset val="134"/>
    </font>
    <font>
      <b/>
      <sz val="9"/>
      <name val="Times New Roman"/>
      <charset val="134"/>
    </font>
    <font>
      <sz val="10"/>
      <name val="Courier"/>
      <charset val="134"/>
    </font>
    <font>
      <b/>
      <vertAlign val="superscript"/>
      <sz val="12"/>
      <color indexed="54"/>
      <name val="Arial"/>
      <charset val="134"/>
    </font>
    <font>
      <b/>
      <sz val="11"/>
      <color indexed="63"/>
      <name val="Calibri"/>
      <charset val="134"/>
    </font>
    <font>
      <sz val="10"/>
      <name val="Helvetica"/>
      <charset val="134"/>
    </font>
    <font>
      <b/>
      <sz val="12"/>
      <name val="Arial"/>
      <charset val="134"/>
    </font>
    <font>
      <sz val="8"/>
      <color indexed="9"/>
      <name val="Arial"/>
      <charset val="134"/>
    </font>
    <font>
      <sz val="9"/>
      <name val="Verdana"/>
      <charset val="134"/>
    </font>
    <font>
      <i/>
      <sz val="9"/>
      <color indexed="60"/>
      <name val="Verdana"/>
      <charset val="134"/>
    </font>
    <font>
      <b/>
      <sz val="9"/>
      <name val="Verdana"/>
      <charset val="134"/>
    </font>
    <font>
      <b/>
      <sz val="9"/>
      <name val="Arial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u/>
      <sz val="12"/>
      <color indexed="20"/>
      <name val="宋体"/>
      <charset val="134"/>
    </font>
    <font>
      <b/>
      <sz val="9"/>
      <name val="Tahoma"/>
      <charset val="134"/>
    </font>
    <font>
      <b/>
      <sz val="9"/>
      <name val="Times New Roman"/>
      <charset val="134"/>
    </font>
    <font>
      <b/>
      <sz val="8"/>
      <name val="Tahoma"/>
      <charset val="134"/>
    </font>
    <font>
      <sz val="9"/>
      <name val="Times New Roman"/>
      <charset val="134"/>
    </font>
    <font>
      <sz val="9"/>
      <name val="Tahoma"/>
      <charset val="1"/>
    </font>
    <font>
      <sz val="8"/>
      <name val="Tahoma"/>
      <charset val="134"/>
    </font>
    <font>
      <b/>
      <sz val="9"/>
      <name val="Times New Roman"/>
      <charset val="0"/>
    </font>
    <font>
      <sz val="9"/>
      <name val="Tahoma"/>
      <charset val="134"/>
    </font>
    <font>
      <b/>
      <sz val="9"/>
      <name val="Tahoma"/>
      <charset val="1"/>
    </font>
    <font>
      <sz val="9"/>
      <name val="Times New Roman"/>
      <charset val="0"/>
    </font>
  </fonts>
  <fills count="7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54222235786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3443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9" fillId="8" borderId="2" applyNumberFormat="0" applyAlignment="0" applyProtection="0"/>
    <xf numFmtId="0" fontId="21" fillId="17" borderId="8" applyNumberFormat="0" applyAlignment="0" applyProtection="0">
      <alignment vertical="center"/>
    </xf>
    <xf numFmtId="0" fontId="22" fillId="17" borderId="2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7" fillId="6" borderId="0" applyNumberFormat="0" applyBorder="0" applyAlignment="0" applyProtection="0"/>
    <xf numFmtId="0" fontId="2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/>
    <xf numFmtId="0" fontId="27" fillId="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4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8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8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12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12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50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50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47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7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12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12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1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51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0" fillId="52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2" borderId="0" applyNumberFormat="0" applyBorder="0" applyAlignment="0" applyProtection="0"/>
    <xf numFmtId="0" fontId="30" fillId="49" borderId="0" applyNumberFormat="0" applyBorder="0" applyAlignment="0" applyProtection="0"/>
    <xf numFmtId="0" fontId="30" fillId="4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4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54" borderId="0" applyNumberFormat="0" applyBorder="0" applyAlignment="0" applyProtection="0"/>
    <xf numFmtId="0" fontId="30" fillId="43" borderId="0" applyNumberFormat="0" applyBorder="0" applyAlignment="0" applyProtection="0"/>
    <xf numFmtId="0" fontId="30" fillId="55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5" borderId="0" applyNumberFormat="0" applyBorder="0" applyAlignment="0" applyProtection="0"/>
    <xf numFmtId="0" fontId="30" fillId="49" borderId="0" applyNumberFormat="0" applyBorder="0" applyAlignment="0" applyProtection="0"/>
    <xf numFmtId="0" fontId="30" fillId="56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56" borderId="0" applyNumberFormat="0" applyBorder="0" applyAlignment="0" applyProtection="0"/>
    <xf numFmtId="0" fontId="30" fillId="44" borderId="0" applyNumberFormat="0" applyBorder="0" applyAlignment="0" applyProtection="0"/>
    <xf numFmtId="0" fontId="30" fillId="57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8" borderId="0" applyNumberFormat="0" applyBorder="0" applyAlignment="0" applyProtection="0"/>
    <xf numFmtId="0" fontId="30" fillId="57" borderId="0" applyNumberFormat="0" applyBorder="0" applyAlignment="0" applyProtection="0"/>
    <xf numFmtId="0" fontId="30" fillId="58" borderId="0" applyNumberFormat="0" applyBorder="0" applyAlignment="0" applyProtection="0"/>
    <xf numFmtId="0" fontId="30" fillId="59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9" borderId="0" applyNumberFormat="0" applyBorder="0" applyAlignment="0" applyProtection="0"/>
    <xf numFmtId="0" fontId="30" fillId="53" borderId="0" applyNumberFormat="0" applyBorder="0" applyAlignment="0" applyProtection="0"/>
    <xf numFmtId="0" fontId="30" fillId="60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60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54" borderId="0" applyNumberFormat="0" applyBorder="0" applyAlignment="0" applyProtection="0"/>
    <xf numFmtId="0" fontId="30" fillId="61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3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9" borderId="0" applyNumberFormat="0" applyBorder="0" applyAlignment="0" applyProtection="0"/>
    <xf numFmtId="0" fontId="30" fillId="53" borderId="0" applyNumberFormat="0" applyBorder="0" applyAlignment="0" applyProtection="0"/>
    <xf numFmtId="0" fontId="30" fillId="59" borderId="0" applyNumberFormat="0" applyBorder="0" applyAlignment="0" applyProtection="0"/>
    <xf numFmtId="4" fontId="31" fillId="48" borderId="1">
      <alignment horizontal="right" vertical="center"/>
    </xf>
    <xf numFmtId="4" fontId="31" fillId="48" borderId="1">
      <alignment horizontal="right" vertical="center"/>
    </xf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3" fillId="19" borderId="0" applyNumberFormat="0" applyBorder="0" applyAlignment="0" applyProtection="0"/>
    <xf numFmtId="0" fontId="34" fillId="62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5" fillId="63" borderId="12" applyNumberFormat="0" applyAlignment="0" applyProtection="0"/>
    <xf numFmtId="0" fontId="34" fillId="62" borderId="12" applyNumberFormat="0" applyAlignment="0" applyProtection="0"/>
    <xf numFmtId="0" fontId="35" fillId="63" borderId="12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0" fontId="36" fillId="64" borderId="13" applyNumberFormat="0" applyAlignment="0" applyProtection="0"/>
    <xf numFmtId="49" fontId="3" fillId="49" borderId="14">
      <alignment vertical="top" wrapText="1"/>
    </xf>
    <xf numFmtId="49" fontId="3" fillId="49" borderId="14">
      <alignment vertical="top" wrapText="1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7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8" fillId="0" borderId="15">
      <alignment horizontal="left" vertical="center" wrapText="1" indent="2"/>
    </xf>
    <xf numFmtId="181" fontId="39" fillId="0" borderId="0">
      <protection locked="0"/>
    </xf>
    <xf numFmtId="181" fontId="39" fillId="0" borderId="0">
      <protection locked="0"/>
    </xf>
    <xf numFmtId="3" fontId="40" fillId="0" borderId="14">
      <alignment horizontal="right" vertical="top"/>
    </xf>
    <xf numFmtId="0" fontId="15" fillId="55" borderId="1">
      <alignment horizontal="centerContinuous" vertical="top" wrapText="1"/>
    </xf>
    <xf numFmtId="0" fontId="41" fillId="0" borderId="0">
      <alignment vertical="top" wrapText="1"/>
    </xf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7" fontId="39" fillId="0" borderId="0">
      <protection locked="0"/>
    </xf>
    <xf numFmtId="187" fontId="39" fillId="0" borderId="0">
      <protection locked="0"/>
    </xf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43" fillId="45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5" borderId="0" applyNumberFormat="0" applyBorder="0" applyAlignment="0" applyProtection="0"/>
    <xf numFmtId="0" fontId="43" fillId="49" borderId="0" applyNumberFormat="0" applyBorder="0" applyAlignment="0" applyProtection="0"/>
    <xf numFmtId="0" fontId="7" fillId="6" borderId="0" applyNumberFormat="0" applyBorder="0" applyAlignment="0" applyProtection="0"/>
    <xf numFmtId="0" fontId="44" fillId="0" borderId="16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6" applyNumberFormat="0" applyFill="0" applyAlignment="0" applyProtection="0"/>
    <xf numFmtId="0" fontId="45" fillId="0" borderId="17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11" fillId="0" borderId="20" applyNumberFormat="0" applyFill="0" applyAlignment="0" applyProtection="0"/>
    <xf numFmtId="0" fontId="48" fillId="0" borderId="21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8" fillId="0" borderId="21" applyNumberFormat="0" applyFill="0" applyAlignment="0" applyProtection="0"/>
    <xf numFmtId="0" fontId="49" fillId="0" borderId="22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8" fontId="50" fillId="0" borderId="0">
      <protection locked="0"/>
    </xf>
    <xf numFmtId="188" fontId="50" fillId="0" borderId="0">
      <protection locked="0"/>
    </xf>
    <xf numFmtId="188" fontId="50" fillId="0" borderId="0">
      <protection locked="0"/>
    </xf>
    <xf numFmtId="188" fontId="50" fillId="0" borderId="0"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48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11" borderId="12" applyNumberFormat="0" applyAlignment="0" applyProtection="0"/>
    <xf numFmtId="0" fontId="52" fillId="48" borderId="12" applyNumberFormat="0" applyAlignment="0" applyProtection="0"/>
    <xf numFmtId="0" fontId="52" fillId="11" borderId="12" applyNumberFormat="0" applyAlignment="0" applyProtection="0"/>
    <xf numFmtId="0" fontId="9" fillId="8" borderId="2" applyNumberFormat="0" applyAlignment="0" applyProtection="0"/>
    <xf numFmtId="4" fontId="38" fillId="0" borderId="0" applyBorder="0">
      <alignment horizontal="right" vertical="center"/>
    </xf>
    <xf numFmtId="0" fontId="53" fillId="0" borderId="0"/>
    <xf numFmtId="0" fontId="54" fillId="0" borderId="23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4" fillId="0" borderId="23" applyNumberFormat="0" applyFill="0" applyAlignment="0" applyProtection="0"/>
    <xf numFmtId="0" fontId="55" fillId="0" borderId="24" applyNumberFormat="0" applyFill="0" applyAlignment="0" applyProtection="0"/>
    <xf numFmtId="189" fontId="3" fillId="0" borderId="0" applyFont="0" applyFill="0" applyBorder="0" applyAlignment="0" applyProtection="0"/>
    <xf numFmtId="0" fontId="56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8" fillId="11" borderId="0" applyNumberFormat="0" applyBorder="0" applyAlignment="0" applyProtection="0"/>
    <xf numFmtId="0" fontId="57" fillId="11" borderId="0" applyNumberFormat="0" applyBorder="0" applyAlignment="0" applyProtection="0"/>
    <xf numFmtId="0" fontId="56" fillId="11" borderId="0" applyNumberFormat="0" applyBorder="0" applyAlignment="0" applyProtection="0"/>
    <xf numFmtId="0" fontId="6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5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59" fillId="0" borderId="0">
      <alignment vertical="center"/>
    </xf>
    <xf numFmtId="190" fontId="59" fillId="0" borderId="0">
      <alignment vertical="center"/>
    </xf>
    <xf numFmtId="190" fontId="59" fillId="0" borderId="0">
      <alignment vertical="center"/>
    </xf>
    <xf numFmtId="190" fontId="5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59" fillId="0" borderId="0">
      <alignment vertical="center"/>
    </xf>
    <xf numFmtId="190" fontId="59" fillId="0" borderId="0">
      <alignment vertical="center"/>
    </xf>
    <xf numFmtId="190" fontId="5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59" fillId="0" borderId="0">
      <alignment vertical="center"/>
    </xf>
    <xf numFmtId="190" fontId="59" fillId="0" borderId="0">
      <alignment vertical="center"/>
    </xf>
    <xf numFmtId="190" fontId="59" fillId="0" borderId="0">
      <alignment vertical="center"/>
    </xf>
    <xf numFmtId="190" fontId="5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5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8" fontId="59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1" fontId="59" fillId="0" borderId="0">
      <alignment vertical="center"/>
    </xf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29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8" fillId="0" borderId="1" applyFill="0" applyBorder="0" applyProtection="0">
      <alignment horizontal="right" vertical="center"/>
    </xf>
    <xf numFmtId="0" fontId="60" fillId="0" borderId="0" applyNumberFormat="0" applyFill="0" applyBorder="0" applyProtection="0">
      <alignment horizontal="left" vertical="center"/>
    </xf>
    <xf numFmtId="0" fontId="3" fillId="64" borderId="0" applyNumberFormat="0" applyFont="0" applyBorder="0" applyAlignment="0" applyProtection="0"/>
    <xf numFmtId="0" fontId="3" fillId="64" borderId="0" applyNumberFormat="0" applyFont="0" applyBorder="0" applyAlignment="0" applyProtection="0"/>
    <xf numFmtId="0" fontId="3" fillId="64" borderId="0" applyNumberFormat="0" applyFont="0" applyBorder="0" applyAlignment="0" applyProtection="0"/>
    <xf numFmtId="0" fontId="3" fillId="64" borderId="0" applyNumberFormat="0" applyFont="0" applyBorder="0" applyAlignment="0" applyProtection="0"/>
    <xf numFmtId="0" fontId="61" fillId="0" borderId="0"/>
    <xf numFmtId="0" fontId="29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29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29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0" fontId="3" fillId="46" borderId="25" applyNumberFormat="0" applyFont="0" applyAlignment="0" applyProtection="0"/>
    <xf numFmtId="192" fontId="62" fillId="0" borderId="0">
      <alignment horizontal="right"/>
    </xf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63" fillId="62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3" borderId="26" applyNumberFormat="0" applyAlignment="0" applyProtection="0"/>
    <xf numFmtId="0" fontId="63" fillId="62" borderId="26" applyNumberFormat="0" applyAlignment="0" applyProtection="0"/>
    <xf numFmtId="0" fontId="63" fillId="63" borderId="26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9" fontId="64" fillId="0" borderId="0" applyFont="0" applyFill="0" applyBorder="0" applyAlignment="0" applyProtection="0"/>
    <xf numFmtId="194" fontId="64" fillId="0" borderId="0" applyFont="0" applyFill="0" applyBorder="0" applyAlignment="0" applyProtection="0"/>
    <xf numFmtId="195" fontId="64" fillId="0" borderId="0" applyFont="0" applyFill="0" applyBorder="0" applyAlignment="0" applyProtection="0"/>
    <xf numFmtId="0" fontId="41" fillId="0" borderId="0">
      <alignment vertical="top" wrapText="1"/>
    </xf>
    <xf numFmtId="0" fontId="3" fillId="0" borderId="0"/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15" fillId="65" borderId="1" applyNumberFormat="0" applyProtection="0">
      <alignment horizontal="right"/>
    </xf>
    <xf numFmtId="0" fontId="65" fillId="65" borderId="0" applyNumberFormat="0" applyBorder="0" applyProtection="0">
      <alignment horizontal="left"/>
    </xf>
    <xf numFmtId="0" fontId="15" fillId="65" borderId="1" applyNumberFormat="0" applyProtection="0">
      <alignment horizontal="lef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66" fillId="57" borderId="0" applyNumberFormat="0" applyBorder="0" applyProtection="0">
      <alignment horizontal="left"/>
    </xf>
    <xf numFmtId="196" fontId="3" fillId="0" borderId="0" applyFill="0" applyBorder="0" applyAlignment="0" applyProtection="0">
      <alignment wrapText="1"/>
    </xf>
    <xf numFmtId="196" fontId="3" fillId="0" borderId="0" applyFill="0" applyBorder="0" applyAlignment="0" applyProtection="0">
      <alignment wrapText="1"/>
    </xf>
    <xf numFmtId="196" fontId="3" fillId="0" borderId="0" applyFill="0" applyBorder="0" applyAlignment="0" applyProtection="0">
      <alignment wrapText="1"/>
    </xf>
    <xf numFmtId="196" fontId="3" fillId="0" borderId="0" applyFill="0" applyBorder="0" applyAlignment="0" applyProtection="0">
      <alignment wrapText="1"/>
    </xf>
    <xf numFmtId="0" fontId="15" fillId="0" borderId="0" applyNumberFormat="0" applyFill="0" applyBorder="0">
      <alignment horizontal="center" wrapText="1"/>
    </xf>
    <xf numFmtId="0" fontId="15" fillId="0" borderId="0" applyNumberFormat="0" applyFill="0" applyBorder="0">
      <alignment horizontal="center" wrapText="1"/>
    </xf>
    <xf numFmtId="0" fontId="15" fillId="0" borderId="0" applyNumberFormat="0" applyFill="0" applyBorder="0">
      <alignment horizontal="center" wrapText="1"/>
    </xf>
    <xf numFmtId="0" fontId="15" fillId="0" borderId="0" applyNumberFormat="0" applyFill="0" applyBorder="0">
      <alignment horizontal="center" wrapText="1"/>
    </xf>
    <xf numFmtId="197" fontId="67" fillId="66" borderId="27">
      <alignment vertical="center"/>
    </xf>
    <xf numFmtId="178" fontId="68" fillId="66" borderId="27">
      <alignment vertical="center"/>
    </xf>
    <xf numFmtId="197" fontId="69" fillId="67" borderId="27">
      <alignment vertical="center"/>
    </xf>
    <xf numFmtId="0" fontId="3" fillId="68" borderId="28" applyBorder="0">
      <alignment horizontal="left" vertical="center"/>
    </xf>
    <xf numFmtId="0" fontId="3" fillId="68" borderId="28" applyBorder="0">
      <alignment horizontal="left" vertical="center"/>
    </xf>
    <xf numFmtId="49" fontId="3" fillId="69" borderId="1">
      <alignment vertical="center" wrapText="1"/>
    </xf>
    <xf numFmtId="49" fontId="3" fillId="69" borderId="1">
      <alignment vertical="center" wrapText="1"/>
    </xf>
    <xf numFmtId="0" fontId="3" fillId="70" borderId="29">
      <alignment horizontal="left" vertical="center" wrapText="1"/>
    </xf>
    <xf numFmtId="0" fontId="3" fillId="70" borderId="29">
      <alignment horizontal="left" vertical="center" wrapText="1"/>
    </xf>
    <xf numFmtId="0" fontId="70" fillId="71" borderId="1">
      <alignment horizontal="left" vertical="center" wrapText="1"/>
    </xf>
    <xf numFmtId="0" fontId="3" fillId="56" borderId="1">
      <alignment horizontal="left" vertical="center" wrapText="1"/>
    </xf>
    <xf numFmtId="0" fontId="3" fillId="56" borderId="1">
      <alignment horizontal="left" vertical="center" wrapText="1"/>
    </xf>
    <xf numFmtId="0" fontId="3" fillId="72" borderId="1">
      <alignment horizontal="left" vertical="center" wrapText="1"/>
    </xf>
    <xf numFmtId="0" fontId="3" fillId="72" borderId="1">
      <alignment horizontal="left" vertical="center" wrapText="1"/>
    </xf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30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0" applyNumberFormat="0" applyFill="0" applyAlignment="0" applyProtection="0"/>
    <xf numFmtId="0" fontId="73" fillId="0" borderId="31" applyNumberFormat="0" applyFill="0" applyAlignment="0" applyProtection="0"/>
    <xf numFmtId="198" fontId="6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" fontId="38" fillId="0" borderId="0"/>
    <xf numFmtId="0" fontId="74" fillId="0" borderId="0" applyNumberFormat="0" applyFill="0" applyBorder="0" applyAlignment="0" applyProtection="0">
      <alignment vertical="center"/>
    </xf>
  </cellStyleXfs>
  <cellXfs count="58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Fill="1" applyAlignment="1"/>
    <xf numFmtId="0" fontId="0" fillId="0" borderId="0" xfId="0" applyFont="1" applyFill="1" applyAlignment="1"/>
    <xf numFmtId="0" fontId="0" fillId="3" borderId="0" xfId="0" applyFill="1"/>
    <xf numFmtId="0" fontId="0" fillId="3" borderId="1" xfId="0" applyFill="1" applyBorder="1"/>
    <xf numFmtId="0" fontId="2" fillId="0" borderId="0" xfId="0" applyFont="1" applyFill="1" applyAlignment="1"/>
    <xf numFmtId="0" fontId="4" fillId="3" borderId="1" xfId="0" applyFont="1" applyFill="1" applyBorder="1"/>
    <xf numFmtId="0" fontId="0" fillId="3" borderId="1" xfId="0" applyFill="1" applyBorder="1" applyAlignment="1">
      <alignment wrapText="1"/>
    </xf>
    <xf numFmtId="0" fontId="0" fillId="4" borderId="0" xfId="0" applyFill="1"/>
    <xf numFmtId="0" fontId="0" fillId="0" borderId="0" xfId="0" applyBorder="1"/>
    <xf numFmtId="0" fontId="0" fillId="3" borderId="0" xfId="0" applyFill="1" applyBorder="1"/>
    <xf numFmtId="0" fontId="0" fillId="3" borderId="0" xfId="0" applyFill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NumberFormat="1" applyFill="1" applyBorder="1" applyAlignment="1">
      <alignment wrapText="1"/>
    </xf>
    <xf numFmtId="0" fontId="0" fillId="0" borderId="1" xfId="0" applyBorder="1"/>
    <xf numFmtId="0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2" fontId="0" fillId="0" borderId="0" xfId="0" applyNumberFormat="1"/>
    <xf numFmtId="0" fontId="5" fillId="5" borderId="0" xfId="24" applyFont="1"/>
    <xf numFmtId="0" fontId="6" fillId="5" borderId="0" xfId="24"/>
    <xf numFmtId="0" fontId="7" fillId="6" borderId="0" xfId="22"/>
    <xf numFmtId="0" fontId="4" fillId="0" borderId="0" xfId="0" applyFont="1"/>
    <xf numFmtId="0" fontId="8" fillId="7" borderId="0" xfId="0" applyFont="1" applyFill="1"/>
    <xf numFmtId="199" fontId="8" fillId="7" borderId="0" xfId="0" applyNumberFormat="1" applyFont="1" applyFill="1"/>
    <xf numFmtId="4" fontId="7" fillId="6" borderId="0" xfId="22" applyNumberFormat="1"/>
    <xf numFmtId="0" fontId="9" fillId="8" borderId="2" xfId="16"/>
    <xf numFmtId="0" fontId="0" fillId="7" borderId="0" xfId="0" applyFill="1"/>
    <xf numFmtId="0" fontId="10" fillId="0" borderId="0" xfId="0" applyFont="1"/>
    <xf numFmtId="0" fontId="11" fillId="0" borderId="3" xfId="13"/>
    <xf numFmtId="0" fontId="12" fillId="0" borderId="4" xfId="14"/>
    <xf numFmtId="9" fontId="0" fillId="0" borderId="0" xfId="3" applyFont="1"/>
    <xf numFmtId="0" fontId="13" fillId="0" borderId="0" xfId="6" applyAlignment="1"/>
    <xf numFmtId="0" fontId="0" fillId="9" borderId="0" xfId="0" applyFill="1"/>
    <xf numFmtId="0" fontId="0" fillId="10" borderId="0" xfId="0" applyFill="1"/>
    <xf numFmtId="2" fontId="0" fillId="10" borderId="0" xfId="0" applyNumberFormat="1" applyFill="1"/>
    <xf numFmtId="11" fontId="0" fillId="0" borderId="0" xfId="0" applyNumberFormat="1"/>
    <xf numFmtId="0" fontId="0" fillId="0" borderId="0" xfId="1737"/>
    <xf numFmtId="3" fontId="0" fillId="0" borderId="0" xfId="1737" applyNumberFormat="1"/>
    <xf numFmtId="0" fontId="14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11" borderId="5" xfId="0" applyFont="1" applyFill="1" applyBorder="1"/>
    <xf numFmtId="0" fontId="15" fillId="12" borderId="5" xfId="0" applyFont="1" applyFill="1" applyBorder="1"/>
    <xf numFmtId="0" fontId="3" fillId="11" borderId="5" xfId="0" applyFont="1" applyFill="1" applyBorder="1"/>
    <xf numFmtId="1" fontId="0" fillId="0" borderId="0" xfId="0" applyNumberFormat="1"/>
    <xf numFmtId="0" fontId="0" fillId="13" borderId="0" xfId="0" applyFill="1"/>
    <xf numFmtId="200" fontId="4" fillId="0" borderId="0" xfId="0" applyNumberFormat="1" applyFont="1"/>
    <xf numFmtId="0" fontId="0" fillId="14" borderId="0" xfId="0" applyFill="1"/>
    <xf numFmtId="0" fontId="12" fillId="14" borderId="0" xfId="15" applyFill="1"/>
    <xf numFmtId="0" fontId="1" fillId="14" borderId="0" xfId="0" applyFont="1" applyFill="1"/>
    <xf numFmtId="0" fontId="0" fillId="15" borderId="0" xfId="0" applyFill="1"/>
    <xf numFmtId="0" fontId="1" fillId="0" borderId="0" xfId="0" applyFont="1"/>
    <xf numFmtId="0" fontId="0" fillId="0" borderId="0" xfId="0" quotePrefix="1"/>
    <xf numFmtId="3" fontId="0" fillId="0" borderId="0" xfId="1737" applyNumberFormat="1" quotePrefix="1"/>
    <xf numFmtId="0" fontId="0" fillId="9" borderId="0" xfId="0" applyFill="1" quotePrefix="1"/>
  </cellXfs>
  <cellStyles count="344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2 10" xfId="50"/>
    <cellStyle name="20% - Accent1 2 11" xfId="51"/>
    <cellStyle name="20% - Accent1 2 12" xfId="52"/>
    <cellStyle name="20% - Accent1 2 13" xfId="53"/>
    <cellStyle name="20% - Accent1 2 14" xfId="54"/>
    <cellStyle name="20% - Accent1 2 15" xfId="55"/>
    <cellStyle name="20% - Accent1 2 2" xfId="56"/>
    <cellStyle name="20% - Accent1 2 3" xfId="57"/>
    <cellStyle name="20% - Accent1 2 4" xfId="58"/>
    <cellStyle name="20% - Accent1 2 5" xfId="59"/>
    <cellStyle name="20% - Accent1 2 6" xfId="60"/>
    <cellStyle name="20% - Accent1 2 7" xfId="61"/>
    <cellStyle name="20% - Accent1 2 8" xfId="62"/>
    <cellStyle name="20% - Accent1 2 9" xfId="63"/>
    <cellStyle name="20% - Accent1 3" xfId="64"/>
    <cellStyle name="20% - Accent1 3 2" xfId="65"/>
    <cellStyle name="20% - Accent1 4" xfId="66"/>
    <cellStyle name="20% - Accent1 5" xfId="67"/>
    <cellStyle name="20% - Accent1 6" xfId="68"/>
    <cellStyle name="20% - Accent1 7" xfId="69"/>
    <cellStyle name="20% - Accent1 8" xfId="70"/>
    <cellStyle name="20% - Accent2 2" xfId="71"/>
    <cellStyle name="20% - Accent2 2 10" xfId="72"/>
    <cellStyle name="20% - Accent2 2 11" xfId="73"/>
    <cellStyle name="20% - Accent2 2 12" xfId="74"/>
    <cellStyle name="20% - Accent2 2 13" xfId="75"/>
    <cellStyle name="20% - Accent2 2 14" xfId="76"/>
    <cellStyle name="20% - Accent2 2 15" xfId="77"/>
    <cellStyle name="20% - Accent2 2 2" xfId="78"/>
    <cellStyle name="20% - Accent2 2 3" xfId="79"/>
    <cellStyle name="20% - Accent2 2 4" xfId="80"/>
    <cellStyle name="20% - Accent2 2 5" xfId="81"/>
    <cellStyle name="20% - Accent2 2 6" xfId="82"/>
    <cellStyle name="20% - Accent2 2 7" xfId="83"/>
    <cellStyle name="20% - Accent2 2 8" xfId="84"/>
    <cellStyle name="20% - Accent2 2 9" xfId="85"/>
    <cellStyle name="20% - Accent2 3" xfId="86"/>
    <cellStyle name="20% - Accent2 3 2" xfId="87"/>
    <cellStyle name="20% - Accent2 4" xfId="88"/>
    <cellStyle name="20% - Accent2 5" xfId="89"/>
    <cellStyle name="20% - Accent2 6" xfId="90"/>
    <cellStyle name="20% - Accent2 7" xfId="91"/>
    <cellStyle name="20% - Accent2 8" xfId="92"/>
    <cellStyle name="20% - Accent3 2" xfId="93"/>
    <cellStyle name="20% - Accent3 2 10" xfId="94"/>
    <cellStyle name="20% - Accent3 2 11" xfId="95"/>
    <cellStyle name="20% - Accent3 2 12" xfId="96"/>
    <cellStyle name="20% - Accent3 2 13" xfId="97"/>
    <cellStyle name="20% - Accent3 2 14" xfId="98"/>
    <cellStyle name="20% - Accent3 2 15" xfId="99"/>
    <cellStyle name="20% - Accent3 2 2" xfId="100"/>
    <cellStyle name="20% - Accent3 2 3" xfId="101"/>
    <cellStyle name="20% - Accent3 2 4" xfId="102"/>
    <cellStyle name="20% - Accent3 2 5" xfId="103"/>
    <cellStyle name="20% - Accent3 2 6" xfId="104"/>
    <cellStyle name="20% - Accent3 2 7" xfId="105"/>
    <cellStyle name="20% - Accent3 2 8" xfId="106"/>
    <cellStyle name="20% - Accent3 2 9" xfId="107"/>
    <cellStyle name="20% - Accent3 3" xfId="108"/>
    <cellStyle name="20% - Accent3 3 2" xfId="109"/>
    <cellStyle name="20% - Accent3 4" xfId="110"/>
    <cellStyle name="20% - Accent3 5" xfId="111"/>
    <cellStyle name="20% - Accent3 6" xfId="112"/>
    <cellStyle name="20% - Accent3 7" xfId="113"/>
    <cellStyle name="20% - Accent3 8" xfId="114"/>
    <cellStyle name="20% - Accent4 2" xfId="115"/>
    <cellStyle name="20% - Accent4 2 10" xfId="116"/>
    <cellStyle name="20% - Accent4 2 11" xfId="117"/>
    <cellStyle name="20% - Accent4 2 12" xfId="118"/>
    <cellStyle name="20% - Accent4 2 13" xfId="119"/>
    <cellStyle name="20% - Accent4 2 14" xfId="120"/>
    <cellStyle name="20% - Accent4 2 15" xfId="121"/>
    <cellStyle name="20% - Accent4 2 2" xfId="122"/>
    <cellStyle name="20% - Accent4 2 3" xfId="123"/>
    <cellStyle name="20% - Accent4 2 4" xfId="124"/>
    <cellStyle name="20% - Accent4 2 5" xfId="125"/>
    <cellStyle name="20% - Accent4 2 6" xfId="126"/>
    <cellStyle name="20% - Accent4 2 7" xfId="127"/>
    <cellStyle name="20% - Accent4 2 8" xfId="128"/>
    <cellStyle name="20% - Accent4 2 9" xfId="129"/>
    <cellStyle name="20% - Accent4 3" xfId="130"/>
    <cellStyle name="20% - Accent4 3 2" xfId="131"/>
    <cellStyle name="20% - Accent4 4" xfId="132"/>
    <cellStyle name="20% - Accent4 5" xfId="133"/>
    <cellStyle name="20% - Accent4 6" xfId="134"/>
    <cellStyle name="20% - Accent4 7" xfId="135"/>
    <cellStyle name="20% - Accent4 8" xfId="136"/>
    <cellStyle name="20% - Accent5 2" xfId="137"/>
    <cellStyle name="20% - Accent5 2 10" xfId="138"/>
    <cellStyle name="20% - Accent5 2 11" xfId="139"/>
    <cellStyle name="20% - Accent5 2 12" xfId="140"/>
    <cellStyle name="20% - Accent5 2 13" xfId="141"/>
    <cellStyle name="20% - Accent5 2 14" xfId="142"/>
    <cellStyle name="20% - Accent5 2 15" xfId="143"/>
    <cellStyle name="20% - Accent5 2 2" xfId="144"/>
    <cellStyle name="20% - Accent5 2 3" xfId="145"/>
    <cellStyle name="20% - Accent5 2 4" xfId="146"/>
    <cellStyle name="20% - Accent5 2 5" xfId="147"/>
    <cellStyle name="20% - Accent5 2 6" xfId="148"/>
    <cellStyle name="20% - Accent5 2 7" xfId="149"/>
    <cellStyle name="20% - Accent5 2 8" xfId="150"/>
    <cellStyle name="20% - Accent5 2 9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6 2" xfId="158"/>
    <cellStyle name="20% - Accent6 2 10" xfId="159"/>
    <cellStyle name="20% - Accent6 2 11" xfId="160"/>
    <cellStyle name="20% - Accent6 2 12" xfId="161"/>
    <cellStyle name="20% - Accent6 2 13" xfId="162"/>
    <cellStyle name="20% - Accent6 2 14" xfId="163"/>
    <cellStyle name="20% - Accent6 2 15" xfId="164"/>
    <cellStyle name="20% - Accent6 2 2" xfId="165"/>
    <cellStyle name="20% - Accent6 2 3" xfId="166"/>
    <cellStyle name="20% - Accent6 2 4" xfId="167"/>
    <cellStyle name="20% - Accent6 2 5" xfId="168"/>
    <cellStyle name="20% - Accent6 2 6" xfId="169"/>
    <cellStyle name="20% - Accent6 2 7" xfId="170"/>
    <cellStyle name="20% - Accent6 2 8" xfId="171"/>
    <cellStyle name="20% - Accent6 2 9" xfId="172"/>
    <cellStyle name="20% - Accent6 3" xfId="173"/>
    <cellStyle name="20% - Accent6 3 2" xfId="174"/>
    <cellStyle name="20% - Accent6 4" xfId="175"/>
    <cellStyle name="20% - Accent6 5" xfId="176"/>
    <cellStyle name="20% - Accent6 6" xfId="177"/>
    <cellStyle name="20% - Accent6 7" xfId="178"/>
    <cellStyle name="20% - Accent6 8" xfId="179"/>
    <cellStyle name="40% - Accent1 2" xfId="180"/>
    <cellStyle name="40% - Accent1 2 10" xfId="181"/>
    <cellStyle name="40% - Accent1 2 11" xfId="182"/>
    <cellStyle name="40% - Accent1 2 12" xfId="183"/>
    <cellStyle name="40% - Accent1 2 13" xfId="184"/>
    <cellStyle name="40% - Accent1 2 14" xfId="185"/>
    <cellStyle name="40% - Accent1 2 15" xfId="186"/>
    <cellStyle name="40% - Accent1 2 2" xfId="187"/>
    <cellStyle name="40% - Accent1 2 3" xfId="188"/>
    <cellStyle name="40% - Accent1 2 4" xfId="189"/>
    <cellStyle name="40% - Accent1 2 5" xfId="190"/>
    <cellStyle name="40% - Accent1 2 6" xfId="191"/>
    <cellStyle name="40% - Accent1 2 7" xfId="192"/>
    <cellStyle name="40% - Accent1 2 8" xfId="193"/>
    <cellStyle name="40% - Accent1 2 9" xfId="194"/>
    <cellStyle name="40% - Accent1 3" xfId="195"/>
    <cellStyle name="40% - Accent1 3 2" xfId="196"/>
    <cellStyle name="40% - Accent1 4" xfId="197"/>
    <cellStyle name="40% - Accent1 5" xfId="198"/>
    <cellStyle name="40% - Accent1 6" xfId="199"/>
    <cellStyle name="40% - Accent1 7" xfId="200"/>
    <cellStyle name="40% - Accent1 8" xfId="201"/>
    <cellStyle name="40% - Accent2 2" xfId="202"/>
    <cellStyle name="40% - Accent2 2 10" xfId="203"/>
    <cellStyle name="40% - Accent2 2 11" xfId="204"/>
    <cellStyle name="40% - Accent2 2 12" xfId="205"/>
    <cellStyle name="40% - Accent2 2 13" xfId="206"/>
    <cellStyle name="40% - Accent2 2 14" xfId="207"/>
    <cellStyle name="40% - Accent2 2 15" xfId="208"/>
    <cellStyle name="40% - Accent2 2 2" xfId="209"/>
    <cellStyle name="40% - Accent2 2 3" xfId="210"/>
    <cellStyle name="40% - Accent2 2 4" xfId="211"/>
    <cellStyle name="40% - Accent2 2 5" xfId="212"/>
    <cellStyle name="40% - Accent2 2 6" xfId="213"/>
    <cellStyle name="40% - Accent2 2 7" xfId="214"/>
    <cellStyle name="40% - Accent2 2 8" xfId="215"/>
    <cellStyle name="40% - Accent2 2 9" xfId="216"/>
    <cellStyle name="40% - Accent2 3" xfId="217"/>
    <cellStyle name="40% - Accent2 4" xfId="218"/>
    <cellStyle name="40% - Accent2 5" xfId="219"/>
    <cellStyle name="40% - Accent2 6" xfId="220"/>
    <cellStyle name="40% - Accent2 7" xfId="221"/>
    <cellStyle name="40% - Accent2 8" xfId="222"/>
    <cellStyle name="40% - Accent3 2" xfId="223"/>
    <cellStyle name="40% - Accent3 2 10" xfId="224"/>
    <cellStyle name="40% - Accent3 2 11" xfId="225"/>
    <cellStyle name="40% - Accent3 2 12" xfId="226"/>
    <cellStyle name="40% - Accent3 2 13" xfId="227"/>
    <cellStyle name="40% - Accent3 2 14" xfId="228"/>
    <cellStyle name="40% - Accent3 2 15" xfId="229"/>
    <cellStyle name="40% - Accent3 2 2" xfId="230"/>
    <cellStyle name="40% - Accent3 2 3" xfId="231"/>
    <cellStyle name="40% - Accent3 2 4" xfId="232"/>
    <cellStyle name="40% - Accent3 2 5" xfId="233"/>
    <cellStyle name="40% - Accent3 2 6" xfId="234"/>
    <cellStyle name="40% - Accent3 2 7" xfId="235"/>
    <cellStyle name="40% - Accent3 2 8" xfId="236"/>
    <cellStyle name="40% - Accent3 2 9" xfId="237"/>
    <cellStyle name="40% - Accent3 3" xfId="238"/>
    <cellStyle name="40% - Accent3 3 2" xfId="239"/>
    <cellStyle name="40% - Accent3 4" xfId="240"/>
    <cellStyle name="40% - Accent3 5" xfId="241"/>
    <cellStyle name="40% - Accent3 6" xfId="242"/>
    <cellStyle name="40% - Accent3 7" xfId="243"/>
    <cellStyle name="40% - Accent3 8" xfId="244"/>
    <cellStyle name="40% - Accent4 2" xfId="245"/>
    <cellStyle name="40% - Accent4 2 10" xfId="246"/>
    <cellStyle name="40% - Accent4 2 11" xfId="247"/>
    <cellStyle name="40% - Accent4 2 12" xfId="248"/>
    <cellStyle name="40% - Accent4 2 13" xfId="249"/>
    <cellStyle name="40% - Accent4 2 14" xfId="250"/>
    <cellStyle name="40% - Accent4 2 15" xfId="251"/>
    <cellStyle name="40% - Accent4 2 2" xfId="252"/>
    <cellStyle name="40% - Accent4 2 3" xfId="253"/>
    <cellStyle name="40% - Accent4 2 4" xfId="254"/>
    <cellStyle name="40% - Accent4 2 5" xfId="255"/>
    <cellStyle name="40% - Accent4 2 6" xfId="256"/>
    <cellStyle name="40% - Accent4 2 7" xfId="257"/>
    <cellStyle name="40% - Accent4 2 8" xfId="258"/>
    <cellStyle name="40% - Accent4 2 9" xfId="259"/>
    <cellStyle name="40% - Accent4 3" xfId="260"/>
    <cellStyle name="40% - Accent4 3 2" xfId="261"/>
    <cellStyle name="40% - Accent4 4" xfId="262"/>
    <cellStyle name="40% - Accent4 5" xfId="263"/>
    <cellStyle name="40% - Accent4 6" xfId="264"/>
    <cellStyle name="40% - Accent4 7" xfId="265"/>
    <cellStyle name="40% - Accent4 8" xfId="266"/>
    <cellStyle name="40% - Accent5 2" xfId="267"/>
    <cellStyle name="40% - Accent5 2 10" xfId="268"/>
    <cellStyle name="40% - Accent5 2 11" xfId="269"/>
    <cellStyle name="40% - Accent5 2 12" xfId="270"/>
    <cellStyle name="40% - Accent5 2 13" xfId="271"/>
    <cellStyle name="40% - Accent5 2 14" xfId="272"/>
    <cellStyle name="40% - Accent5 2 15" xfId="273"/>
    <cellStyle name="40% - Accent5 2 2" xfId="274"/>
    <cellStyle name="40% - Accent5 2 3" xfId="275"/>
    <cellStyle name="40% - Accent5 2 4" xfId="276"/>
    <cellStyle name="40% - Accent5 2 5" xfId="277"/>
    <cellStyle name="40% - Accent5 2 6" xfId="278"/>
    <cellStyle name="40% - Accent5 2 7" xfId="279"/>
    <cellStyle name="40% - Accent5 2 8" xfId="280"/>
    <cellStyle name="40% - Accent5 2 9" xfId="281"/>
    <cellStyle name="40% - Accent5 3" xfId="282"/>
    <cellStyle name="40% - Accent5 3 2" xfId="283"/>
    <cellStyle name="40% - Accent5 4" xfId="284"/>
    <cellStyle name="40% - Accent5 5" xfId="285"/>
    <cellStyle name="40% - Accent5 6" xfId="286"/>
    <cellStyle name="40% - Accent5 7" xfId="287"/>
    <cellStyle name="40% - Accent5 8" xfId="288"/>
    <cellStyle name="40% - Accent6 2" xfId="289"/>
    <cellStyle name="40% - Accent6 2 10" xfId="290"/>
    <cellStyle name="40% - Accent6 2 11" xfId="291"/>
    <cellStyle name="40% - Accent6 2 12" xfId="292"/>
    <cellStyle name="40% - Accent6 2 13" xfId="293"/>
    <cellStyle name="40% - Accent6 2 14" xfId="294"/>
    <cellStyle name="40% - Accent6 2 15" xfId="295"/>
    <cellStyle name="40% - Accent6 2 2" xfId="296"/>
    <cellStyle name="40% - Accent6 2 3" xfId="297"/>
    <cellStyle name="40% - Accent6 2 4" xfId="298"/>
    <cellStyle name="40% - Accent6 2 5" xfId="299"/>
    <cellStyle name="40% - Accent6 2 6" xfId="300"/>
    <cellStyle name="40% - Accent6 2 7" xfId="301"/>
    <cellStyle name="40% - Accent6 2 8" xfId="302"/>
    <cellStyle name="40% - Accent6 2 9" xfId="303"/>
    <cellStyle name="40% - Accent6 3" xfId="304"/>
    <cellStyle name="40% - Accent6 3 2" xfId="305"/>
    <cellStyle name="40% - Accent6 4" xfId="306"/>
    <cellStyle name="40% - Accent6 5" xfId="307"/>
    <cellStyle name="40% - Accent6 6" xfId="308"/>
    <cellStyle name="40% - Accent6 7" xfId="309"/>
    <cellStyle name="40% - Accent6 8" xfId="310"/>
    <cellStyle name="5x indented GHG Textfiels" xfId="311"/>
    <cellStyle name="5x indented GHG Textfiels 2" xfId="312"/>
    <cellStyle name="5x indented GHG Textfiels 2 2" xfId="313"/>
    <cellStyle name="5x indented GHG Textfiels 3" xfId="314"/>
    <cellStyle name="60% - Accent1 2" xfId="315"/>
    <cellStyle name="60% - Accent1 2 10" xfId="316"/>
    <cellStyle name="60% - Accent1 2 2" xfId="317"/>
    <cellStyle name="60% - Accent1 2 3" xfId="318"/>
    <cellStyle name="60% - Accent1 2 4" xfId="319"/>
    <cellStyle name="60% - Accent1 2 5" xfId="320"/>
    <cellStyle name="60% - Accent1 2 6" xfId="321"/>
    <cellStyle name="60% - Accent1 2 7" xfId="322"/>
    <cellStyle name="60% - Accent1 2 8" xfId="323"/>
    <cellStyle name="60% - Accent1 2 9" xfId="324"/>
    <cellStyle name="60% - Accent1 3" xfId="325"/>
    <cellStyle name="60% - Accent1 3 2" xfId="326"/>
    <cellStyle name="60% - Accent2 2" xfId="327"/>
    <cellStyle name="60% - Accent2 2 10" xfId="328"/>
    <cellStyle name="60% - Accent2 2 2" xfId="329"/>
    <cellStyle name="60% - Accent2 2 3" xfId="330"/>
    <cellStyle name="60% - Accent2 2 4" xfId="331"/>
    <cellStyle name="60% - Accent2 2 5" xfId="332"/>
    <cellStyle name="60% - Accent2 2 6" xfId="333"/>
    <cellStyle name="60% - Accent2 2 7" xfId="334"/>
    <cellStyle name="60% - Accent2 2 8" xfId="335"/>
    <cellStyle name="60% - Accent2 2 9" xfId="336"/>
    <cellStyle name="60% - Accent2 3" xfId="337"/>
    <cellStyle name="60% - Accent2 3 2" xfId="338"/>
    <cellStyle name="60% - Accent3 2" xfId="339"/>
    <cellStyle name="60% - Accent3 2 10" xfId="340"/>
    <cellStyle name="60% - Accent3 2 2" xfId="341"/>
    <cellStyle name="60% - Accent3 2 3" xfId="342"/>
    <cellStyle name="60% - Accent3 2 4" xfId="343"/>
    <cellStyle name="60% - Accent3 2 5" xfId="344"/>
    <cellStyle name="60% - Accent3 2 6" xfId="345"/>
    <cellStyle name="60% - Accent3 2 7" xfId="346"/>
    <cellStyle name="60% - Accent3 2 8" xfId="347"/>
    <cellStyle name="60% - Accent3 2 9" xfId="348"/>
    <cellStyle name="60% - Accent3 3" xfId="349"/>
    <cellStyle name="60% - Accent3 3 2" xfId="350"/>
    <cellStyle name="60% - Accent4 2" xfId="351"/>
    <cellStyle name="60% - Accent4 2 10" xfId="352"/>
    <cellStyle name="60% - Accent4 2 2" xfId="353"/>
    <cellStyle name="60% - Accent4 2 3" xfId="354"/>
    <cellStyle name="60% - Accent4 2 4" xfId="355"/>
    <cellStyle name="60% - Accent4 2 5" xfId="356"/>
    <cellStyle name="60% - Accent4 2 6" xfId="357"/>
    <cellStyle name="60% - Accent4 2 7" xfId="358"/>
    <cellStyle name="60% - Accent4 2 8" xfId="359"/>
    <cellStyle name="60% - Accent4 2 9" xfId="360"/>
    <cellStyle name="60% - Accent4 3" xfId="361"/>
    <cellStyle name="60% - Accent4 3 2" xfId="362"/>
    <cellStyle name="60% - Accent5 2" xfId="363"/>
    <cellStyle name="60% - Accent5 2 10" xfId="364"/>
    <cellStyle name="60% - Accent5 2 2" xfId="365"/>
    <cellStyle name="60% - Accent5 2 3" xfId="366"/>
    <cellStyle name="60% - Accent5 2 4" xfId="367"/>
    <cellStyle name="60% - Accent5 2 5" xfId="368"/>
    <cellStyle name="60% - Accent5 2 6" xfId="369"/>
    <cellStyle name="60% - Accent5 2 7" xfId="370"/>
    <cellStyle name="60% - Accent5 2 8" xfId="371"/>
    <cellStyle name="60% - Accent5 2 9" xfId="372"/>
    <cellStyle name="60% - Accent5 3" xfId="373"/>
    <cellStyle name="60% - Accent5 3 2" xfId="374"/>
    <cellStyle name="60% - Accent6 2" xfId="375"/>
    <cellStyle name="60% - Accent6 2 10" xfId="376"/>
    <cellStyle name="60% - Accent6 2 2" xfId="377"/>
    <cellStyle name="60% - Accent6 2 3" xfId="378"/>
    <cellStyle name="60% - Accent6 2 4" xfId="379"/>
    <cellStyle name="60% - Accent6 2 5" xfId="380"/>
    <cellStyle name="60% - Accent6 2 6" xfId="381"/>
    <cellStyle name="60% - Accent6 2 7" xfId="382"/>
    <cellStyle name="60% - Accent6 2 8" xfId="383"/>
    <cellStyle name="60% - Accent6 2 9" xfId="384"/>
    <cellStyle name="60% - Accent6 3" xfId="385"/>
    <cellStyle name="60% - Accent6 3 2" xfId="386"/>
    <cellStyle name="Accent1 2" xfId="387"/>
    <cellStyle name="Accent1 2 10" xfId="388"/>
    <cellStyle name="Accent1 2 2" xfId="389"/>
    <cellStyle name="Accent1 2 3" xfId="390"/>
    <cellStyle name="Accent1 2 4" xfId="391"/>
    <cellStyle name="Accent1 2 5" xfId="392"/>
    <cellStyle name="Accent1 2 6" xfId="393"/>
    <cellStyle name="Accent1 2 7" xfId="394"/>
    <cellStyle name="Accent1 2 8" xfId="395"/>
    <cellStyle name="Accent1 2 9" xfId="396"/>
    <cellStyle name="Accent1 3" xfId="397"/>
    <cellStyle name="Accent1 3 2" xfId="398"/>
    <cellStyle name="Accent2 2" xfId="399"/>
    <cellStyle name="Accent2 2 10" xfId="400"/>
    <cellStyle name="Accent2 2 2" xfId="401"/>
    <cellStyle name="Accent2 2 3" xfId="402"/>
    <cellStyle name="Accent2 2 4" xfId="403"/>
    <cellStyle name="Accent2 2 5" xfId="404"/>
    <cellStyle name="Accent2 2 6" xfId="405"/>
    <cellStyle name="Accent2 2 7" xfId="406"/>
    <cellStyle name="Accent2 2 8" xfId="407"/>
    <cellStyle name="Accent2 2 9" xfId="408"/>
    <cellStyle name="Accent2 3" xfId="409"/>
    <cellStyle name="Accent2 3 2" xfId="410"/>
    <cellStyle name="Accent3 2" xfId="411"/>
    <cellStyle name="Accent3 2 10" xfId="412"/>
    <cellStyle name="Accent3 2 2" xfId="413"/>
    <cellStyle name="Accent3 2 3" xfId="414"/>
    <cellStyle name="Accent3 2 4" xfId="415"/>
    <cellStyle name="Accent3 2 5" xfId="416"/>
    <cellStyle name="Accent3 2 6" xfId="417"/>
    <cellStyle name="Accent3 2 7" xfId="418"/>
    <cellStyle name="Accent3 2 8" xfId="419"/>
    <cellStyle name="Accent3 2 9" xfId="420"/>
    <cellStyle name="Accent3 3" xfId="421"/>
    <cellStyle name="Accent3 3 2" xfId="422"/>
    <cellStyle name="Accent4 2" xfId="423"/>
    <cellStyle name="Accent4 2 10" xfId="424"/>
    <cellStyle name="Accent4 2 2" xfId="425"/>
    <cellStyle name="Accent4 2 3" xfId="426"/>
    <cellStyle name="Accent4 2 4" xfId="427"/>
    <cellStyle name="Accent4 2 5" xfId="428"/>
    <cellStyle name="Accent4 2 6" xfId="429"/>
    <cellStyle name="Accent4 2 7" xfId="430"/>
    <cellStyle name="Accent4 2 8" xfId="431"/>
    <cellStyle name="Accent4 2 9" xfId="432"/>
    <cellStyle name="Accent4 3" xfId="433"/>
    <cellStyle name="Accent4 3 2" xfId="434"/>
    <cellStyle name="Accent5 2" xfId="435"/>
    <cellStyle name="Accent5 2 10" xfId="436"/>
    <cellStyle name="Accent5 2 2" xfId="437"/>
    <cellStyle name="Accent5 2 3" xfId="438"/>
    <cellStyle name="Accent5 2 4" xfId="439"/>
    <cellStyle name="Accent5 2 5" xfId="440"/>
    <cellStyle name="Accent5 2 6" xfId="441"/>
    <cellStyle name="Accent5 2 7" xfId="442"/>
    <cellStyle name="Accent5 2 8" xfId="443"/>
    <cellStyle name="Accent5 2 9" xfId="444"/>
    <cellStyle name="Accent5 3" xfId="445"/>
    <cellStyle name="Accent6 2" xfId="446"/>
    <cellStyle name="Accent6 2 10" xfId="447"/>
    <cellStyle name="Accent6 2 2" xfId="448"/>
    <cellStyle name="Accent6 2 3" xfId="449"/>
    <cellStyle name="Accent6 2 4" xfId="450"/>
    <cellStyle name="Accent6 2 5" xfId="451"/>
    <cellStyle name="Accent6 2 6" xfId="452"/>
    <cellStyle name="Accent6 2 7" xfId="453"/>
    <cellStyle name="Accent6 2 8" xfId="454"/>
    <cellStyle name="Accent6 2 9" xfId="455"/>
    <cellStyle name="Accent6 3" xfId="456"/>
    <cellStyle name="Accent6 3 2" xfId="457"/>
    <cellStyle name="AggOrange_CRFReport-template" xfId="458"/>
    <cellStyle name="AggOrange9_CRFReport-template" xfId="459"/>
    <cellStyle name="Bad 2" xfId="460"/>
    <cellStyle name="Bad 2 10" xfId="461"/>
    <cellStyle name="Bad 2 2" xfId="462"/>
    <cellStyle name="Bad 2 3" xfId="463"/>
    <cellStyle name="Bad 2 4" xfId="464"/>
    <cellStyle name="Bad 2 5" xfId="465"/>
    <cellStyle name="Bad 2 6" xfId="466"/>
    <cellStyle name="Bad 2 7" xfId="467"/>
    <cellStyle name="Bad 2 8" xfId="468"/>
    <cellStyle name="Bad 2 9" xfId="469"/>
    <cellStyle name="Bad 3" xfId="470"/>
    <cellStyle name="Bad 3 2" xfId="471"/>
    <cellStyle name="Bad 4" xfId="472"/>
    <cellStyle name="Calculation 2" xfId="473"/>
    <cellStyle name="Calculation 2 10" xfId="474"/>
    <cellStyle name="Calculation 2 2" xfId="475"/>
    <cellStyle name="Calculation 2 3" xfId="476"/>
    <cellStyle name="Calculation 2 4" xfId="477"/>
    <cellStyle name="Calculation 2 5" xfId="478"/>
    <cellStyle name="Calculation 2 6" xfId="479"/>
    <cellStyle name="Calculation 2 7" xfId="480"/>
    <cellStyle name="Calculation 2 8" xfId="481"/>
    <cellStyle name="Calculation 2 9" xfId="482"/>
    <cellStyle name="Calculation 3" xfId="483"/>
    <cellStyle name="Calculation 3 2" xfId="484"/>
    <cellStyle name="Check Cell 2" xfId="485"/>
    <cellStyle name="Check Cell 2 10" xfId="486"/>
    <cellStyle name="Check Cell 2 2" xfId="487"/>
    <cellStyle name="Check Cell 2 3" xfId="488"/>
    <cellStyle name="Check Cell 2 4" xfId="489"/>
    <cellStyle name="Check Cell 2 5" xfId="490"/>
    <cellStyle name="Check Cell 2 6" xfId="491"/>
    <cellStyle name="Check Cell 2 7" xfId="492"/>
    <cellStyle name="Check Cell 2 8" xfId="493"/>
    <cellStyle name="Check Cell 2 9" xfId="494"/>
    <cellStyle name="Check Cell 3" xfId="495"/>
    <cellStyle name="coin" xfId="496"/>
    <cellStyle name="coin 2" xfId="497"/>
    <cellStyle name="Comma [0] 2 10" xfId="498"/>
    <cellStyle name="Comma [0] 2 10 2" xfId="499"/>
    <cellStyle name="Comma [0] 2 2" xfId="500"/>
    <cellStyle name="Comma [0] 2 2 2" xfId="501"/>
    <cellStyle name="Comma [0] 2 3" xfId="502"/>
    <cellStyle name="Comma [0] 2 3 2" xfId="503"/>
    <cellStyle name="Comma [0] 2 4" xfId="504"/>
    <cellStyle name="Comma [0] 2 4 2" xfId="505"/>
    <cellStyle name="Comma [0] 2 5" xfId="506"/>
    <cellStyle name="Comma [0] 2 5 2" xfId="507"/>
    <cellStyle name="Comma [0] 2 6" xfId="508"/>
    <cellStyle name="Comma [0] 2 6 2" xfId="509"/>
    <cellStyle name="Comma [0] 2 7" xfId="510"/>
    <cellStyle name="Comma [0] 2 7 2" xfId="511"/>
    <cellStyle name="Comma [0] 2 8" xfId="512"/>
    <cellStyle name="Comma [0] 2 8 2" xfId="513"/>
    <cellStyle name="Comma [0] 2 9" xfId="514"/>
    <cellStyle name="Comma [0] 2 9 2" xfId="515"/>
    <cellStyle name="Comma 10 2" xfId="516"/>
    <cellStyle name="Comma 10 2 10" xfId="517"/>
    <cellStyle name="Comma 10 2 10 2" xfId="518"/>
    <cellStyle name="Comma 10 2 11" xfId="519"/>
    <cellStyle name="Comma 10 2 11 2" xfId="520"/>
    <cellStyle name="Comma 10 2 12" xfId="521"/>
    <cellStyle name="Comma 10 2 12 2" xfId="522"/>
    <cellStyle name="Comma 10 2 13" xfId="523"/>
    <cellStyle name="Comma 10 2 13 2" xfId="524"/>
    <cellStyle name="Comma 10 2 14" xfId="525"/>
    <cellStyle name="Comma 10 2 14 2" xfId="526"/>
    <cellStyle name="Comma 10 2 15" xfId="527"/>
    <cellStyle name="Comma 10 2 15 2" xfId="528"/>
    <cellStyle name="Comma 10 2 16" xfId="529"/>
    <cellStyle name="Comma 10 2 16 2" xfId="530"/>
    <cellStyle name="Comma 10 2 17" xfId="531"/>
    <cellStyle name="Comma 10 2 17 2" xfId="532"/>
    <cellStyle name="Comma 10 2 18" xfId="533"/>
    <cellStyle name="Comma 10 2 2" xfId="534"/>
    <cellStyle name="Comma 10 2 2 2" xfId="535"/>
    <cellStyle name="Comma 10 2 3" xfId="536"/>
    <cellStyle name="Comma 10 2 3 2" xfId="537"/>
    <cellStyle name="Comma 10 2 4" xfId="538"/>
    <cellStyle name="Comma 10 2 4 2" xfId="539"/>
    <cellStyle name="Comma 10 2 5" xfId="540"/>
    <cellStyle name="Comma 10 2 5 2" xfId="541"/>
    <cellStyle name="Comma 10 2 6" xfId="542"/>
    <cellStyle name="Comma 10 2 6 2" xfId="543"/>
    <cellStyle name="Comma 10 2 7" xfId="544"/>
    <cellStyle name="Comma 10 2 7 2" xfId="545"/>
    <cellStyle name="Comma 10 2 8" xfId="546"/>
    <cellStyle name="Comma 10 2 8 2" xfId="547"/>
    <cellStyle name="Comma 10 2 9" xfId="548"/>
    <cellStyle name="Comma 10 2 9 2" xfId="549"/>
    <cellStyle name="Comma 10 3" xfId="550"/>
    <cellStyle name="Comma 10 3 10" xfId="551"/>
    <cellStyle name="Comma 10 3 10 2" xfId="552"/>
    <cellStyle name="Comma 10 3 11" xfId="553"/>
    <cellStyle name="Comma 10 3 11 2" xfId="554"/>
    <cellStyle name="Comma 10 3 12" xfId="555"/>
    <cellStyle name="Comma 10 3 12 2" xfId="556"/>
    <cellStyle name="Comma 10 3 13" xfId="557"/>
    <cellStyle name="Comma 10 3 13 2" xfId="558"/>
    <cellStyle name="Comma 10 3 14" xfId="559"/>
    <cellStyle name="Comma 10 3 14 2" xfId="560"/>
    <cellStyle name="Comma 10 3 15" xfId="561"/>
    <cellStyle name="Comma 10 3 15 2" xfId="562"/>
    <cellStyle name="Comma 10 3 16" xfId="563"/>
    <cellStyle name="Comma 10 3 16 2" xfId="564"/>
    <cellStyle name="Comma 10 3 17" xfId="565"/>
    <cellStyle name="Comma 10 3 17 2" xfId="566"/>
    <cellStyle name="Comma 10 3 18" xfId="567"/>
    <cellStyle name="Comma 10 3 2" xfId="568"/>
    <cellStyle name="Comma 10 3 2 2" xfId="569"/>
    <cellStyle name="Comma 10 3 3" xfId="570"/>
    <cellStyle name="Comma 10 3 3 2" xfId="571"/>
    <cellStyle name="Comma 10 3 4" xfId="572"/>
    <cellStyle name="Comma 10 3 4 2" xfId="573"/>
    <cellStyle name="Comma 10 3 5" xfId="574"/>
    <cellStyle name="Comma 10 3 5 2" xfId="575"/>
    <cellStyle name="Comma 10 3 6" xfId="576"/>
    <cellStyle name="Comma 10 3 6 2" xfId="577"/>
    <cellStyle name="Comma 10 3 7" xfId="578"/>
    <cellStyle name="Comma 10 3 7 2" xfId="579"/>
    <cellStyle name="Comma 10 3 8" xfId="580"/>
    <cellStyle name="Comma 10 3 8 2" xfId="581"/>
    <cellStyle name="Comma 10 3 9" xfId="582"/>
    <cellStyle name="Comma 10 3 9 2" xfId="583"/>
    <cellStyle name="Comma 10 4" xfId="584"/>
    <cellStyle name="Comma 10 4 10" xfId="585"/>
    <cellStyle name="Comma 10 4 10 2" xfId="586"/>
    <cellStyle name="Comma 10 4 11" xfId="587"/>
    <cellStyle name="Comma 10 4 11 2" xfId="588"/>
    <cellStyle name="Comma 10 4 12" xfId="589"/>
    <cellStyle name="Comma 10 4 12 2" xfId="590"/>
    <cellStyle name="Comma 10 4 13" xfId="591"/>
    <cellStyle name="Comma 10 4 13 2" xfId="592"/>
    <cellStyle name="Comma 10 4 14" xfId="593"/>
    <cellStyle name="Comma 10 4 14 2" xfId="594"/>
    <cellStyle name="Comma 10 4 15" xfId="595"/>
    <cellStyle name="Comma 10 4 15 2" xfId="596"/>
    <cellStyle name="Comma 10 4 16" xfId="597"/>
    <cellStyle name="Comma 10 4 16 2" xfId="598"/>
    <cellStyle name="Comma 10 4 17" xfId="599"/>
    <cellStyle name="Comma 10 4 17 2" xfId="600"/>
    <cellStyle name="Comma 10 4 18" xfId="601"/>
    <cellStyle name="Comma 10 4 2" xfId="602"/>
    <cellStyle name="Comma 10 4 2 2" xfId="603"/>
    <cellStyle name="Comma 10 4 3" xfId="604"/>
    <cellStyle name="Comma 10 4 3 2" xfId="605"/>
    <cellStyle name="Comma 10 4 4" xfId="606"/>
    <cellStyle name="Comma 10 4 4 2" xfId="607"/>
    <cellStyle name="Comma 10 4 5" xfId="608"/>
    <cellStyle name="Comma 10 4 5 2" xfId="609"/>
    <cellStyle name="Comma 10 4 6" xfId="610"/>
    <cellStyle name="Comma 10 4 6 2" xfId="611"/>
    <cellStyle name="Comma 10 4 7" xfId="612"/>
    <cellStyle name="Comma 10 4 7 2" xfId="613"/>
    <cellStyle name="Comma 10 4 8" xfId="614"/>
    <cellStyle name="Comma 10 4 8 2" xfId="615"/>
    <cellStyle name="Comma 10 4 9" xfId="616"/>
    <cellStyle name="Comma 10 4 9 2" xfId="617"/>
    <cellStyle name="Comma 10 5" xfId="618"/>
    <cellStyle name="Comma 10 5 10" xfId="619"/>
    <cellStyle name="Comma 10 5 10 2" xfId="620"/>
    <cellStyle name="Comma 10 5 11" xfId="621"/>
    <cellStyle name="Comma 10 5 11 2" xfId="622"/>
    <cellStyle name="Comma 10 5 12" xfId="623"/>
    <cellStyle name="Comma 10 5 12 2" xfId="624"/>
    <cellStyle name="Comma 10 5 13" xfId="625"/>
    <cellStyle name="Comma 10 5 13 2" xfId="626"/>
    <cellStyle name="Comma 10 5 14" xfId="627"/>
    <cellStyle name="Comma 10 5 14 2" xfId="628"/>
    <cellStyle name="Comma 10 5 15" xfId="629"/>
    <cellStyle name="Comma 10 5 15 2" xfId="630"/>
    <cellStyle name="Comma 10 5 16" xfId="631"/>
    <cellStyle name="Comma 10 5 16 2" xfId="632"/>
    <cellStyle name="Comma 10 5 17" xfId="633"/>
    <cellStyle name="Comma 10 5 17 2" xfId="634"/>
    <cellStyle name="Comma 10 5 18" xfId="635"/>
    <cellStyle name="Comma 10 5 2" xfId="636"/>
    <cellStyle name="Comma 10 5 2 2" xfId="637"/>
    <cellStyle name="Comma 10 5 3" xfId="638"/>
    <cellStyle name="Comma 10 5 3 2" xfId="639"/>
    <cellStyle name="Comma 10 5 4" xfId="640"/>
    <cellStyle name="Comma 10 5 4 2" xfId="641"/>
    <cellStyle name="Comma 10 5 5" xfId="642"/>
    <cellStyle name="Comma 10 5 5 2" xfId="643"/>
    <cellStyle name="Comma 10 5 6" xfId="644"/>
    <cellStyle name="Comma 10 5 6 2" xfId="645"/>
    <cellStyle name="Comma 10 5 7" xfId="646"/>
    <cellStyle name="Comma 10 5 7 2" xfId="647"/>
    <cellStyle name="Comma 10 5 8" xfId="648"/>
    <cellStyle name="Comma 10 5 8 2" xfId="649"/>
    <cellStyle name="Comma 10 5 9" xfId="650"/>
    <cellStyle name="Comma 10 5 9 2" xfId="651"/>
    <cellStyle name="Comma 10 6" xfId="652"/>
    <cellStyle name="Comma 10 6 10" xfId="653"/>
    <cellStyle name="Comma 10 6 10 2" xfId="654"/>
    <cellStyle name="Comma 10 6 11" xfId="655"/>
    <cellStyle name="Comma 10 6 11 2" xfId="656"/>
    <cellStyle name="Comma 10 6 12" xfId="657"/>
    <cellStyle name="Comma 10 6 12 2" xfId="658"/>
    <cellStyle name="Comma 10 6 13" xfId="659"/>
    <cellStyle name="Comma 10 6 13 2" xfId="660"/>
    <cellStyle name="Comma 10 6 14" xfId="661"/>
    <cellStyle name="Comma 10 6 14 2" xfId="662"/>
    <cellStyle name="Comma 10 6 15" xfId="663"/>
    <cellStyle name="Comma 10 6 15 2" xfId="664"/>
    <cellStyle name="Comma 10 6 16" xfId="665"/>
    <cellStyle name="Comma 10 6 16 2" xfId="666"/>
    <cellStyle name="Comma 10 6 17" xfId="667"/>
    <cellStyle name="Comma 10 6 17 2" xfId="668"/>
    <cellStyle name="Comma 10 6 18" xfId="669"/>
    <cellStyle name="Comma 10 6 2" xfId="670"/>
    <cellStyle name="Comma 10 6 2 2" xfId="671"/>
    <cellStyle name="Comma 10 6 3" xfId="672"/>
    <cellStyle name="Comma 10 6 3 2" xfId="673"/>
    <cellStyle name="Comma 10 6 4" xfId="674"/>
    <cellStyle name="Comma 10 6 4 2" xfId="675"/>
    <cellStyle name="Comma 10 6 5" xfId="676"/>
    <cellStyle name="Comma 10 6 5 2" xfId="677"/>
    <cellStyle name="Comma 10 6 6" xfId="678"/>
    <cellStyle name="Comma 10 6 6 2" xfId="679"/>
    <cellStyle name="Comma 10 6 7" xfId="680"/>
    <cellStyle name="Comma 10 6 7 2" xfId="681"/>
    <cellStyle name="Comma 10 6 8" xfId="682"/>
    <cellStyle name="Comma 10 6 8 2" xfId="683"/>
    <cellStyle name="Comma 10 6 9" xfId="684"/>
    <cellStyle name="Comma 10 6 9 2" xfId="685"/>
    <cellStyle name="Comma 10 7" xfId="686"/>
    <cellStyle name="Comma 10 7 10" xfId="687"/>
    <cellStyle name="Comma 10 7 10 2" xfId="688"/>
    <cellStyle name="Comma 10 7 11" xfId="689"/>
    <cellStyle name="Comma 10 7 11 2" xfId="690"/>
    <cellStyle name="Comma 10 7 12" xfId="691"/>
    <cellStyle name="Comma 10 7 12 2" xfId="692"/>
    <cellStyle name="Comma 10 7 13" xfId="693"/>
    <cellStyle name="Comma 10 7 13 2" xfId="694"/>
    <cellStyle name="Comma 10 7 14" xfId="695"/>
    <cellStyle name="Comma 10 7 14 2" xfId="696"/>
    <cellStyle name="Comma 10 7 15" xfId="697"/>
    <cellStyle name="Comma 10 7 15 2" xfId="698"/>
    <cellStyle name="Comma 10 7 16" xfId="699"/>
    <cellStyle name="Comma 10 7 16 2" xfId="700"/>
    <cellStyle name="Comma 10 7 17" xfId="701"/>
    <cellStyle name="Comma 10 7 17 2" xfId="702"/>
    <cellStyle name="Comma 10 7 18" xfId="703"/>
    <cellStyle name="Comma 10 7 2" xfId="704"/>
    <cellStyle name="Comma 10 7 2 2" xfId="705"/>
    <cellStyle name="Comma 10 7 3" xfId="706"/>
    <cellStyle name="Comma 10 7 3 2" xfId="707"/>
    <cellStyle name="Comma 10 7 4" xfId="708"/>
    <cellStyle name="Comma 10 7 4 2" xfId="709"/>
    <cellStyle name="Comma 10 7 5" xfId="710"/>
    <cellStyle name="Comma 10 7 5 2" xfId="711"/>
    <cellStyle name="Comma 10 7 6" xfId="712"/>
    <cellStyle name="Comma 10 7 6 2" xfId="713"/>
    <cellStyle name="Comma 10 7 7" xfId="714"/>
    <cellStyle name="Comma 10 7 7 2" xfId="715"/>
    <cellStyle name="Comma 10 7 8" xfId="716"/>
    <cellStyle name="Comma 10 7 8 2" xfId="717"/>
    <cellStyle name="Comma 10 7 9" xfId="718"/>
    <cellStyle name="Comma 10 7 9 2" xfId="719"/>
    <cellStyle name="Comma 10 8" xfId="720"/>
    <cellStyle name="Comma 10 8 10" xfId="721"/>
    <cellStyle name="Comma 10 8 10 2" xfId="722"/>
    <cellStyle name="Comma 10 8 11" xfId="723"/>
    <cellStyle name="Comma 10 8 11 2" xfId="724"/>
    <cellStyle name="Comma 10 8 12" xfId="725"/>
    <cellStyle name="Comma 10 8 12 2" xfId="726"/>
    <cellStyle name="Comma 10 8 13" xfId="727"/>
    <cellStyle name="Comma 10 8 13 2" xfId="728"/>
    <cellStyle name="Comma 10 8 14" xfId="729"/>
    <cellStyle name="Comma 10 8 14 2" xfId="730"/>
    <cellStyle name="Comma 10 8 15" xfId="731"/>
    <cellStyle name="Comma 10 8 15 2" xfId="732"/>
    <cellStyle name="Comma 10 8 16" xfId="733"/>
    <cellStyle name="Comma 10 8 16 2" xfId="734"/>
    <cellStyle name="Comma 10 8 17" xfId="735"/>
    <cellStyle name="Comma 10 8 17 2" xfId="736"/>
    <cellStyle name="Comma 10 8 18" xfId="737"/>
    <cellStyle name="Comma 10 8 2" xfId="738"/>
    <cellStyle name="Comma 10 8 2 2" xfId="739"/>
    <cellStyle name="Comma 10 8 3" xfId="740"/>
    <cellStyle name="Comma 10 8 3 2" xfId="741"/>
    <cellStyle name="Comma 10 8 4" xfId="742"/>
    <cellStyle name="Comma 10 8 4 2" xfId="743"/>
    <cellStyle name="Comma 10 8 5" xfId="744"/>
    <cellStyle name="Comma 10 8 5 2" xfId="745"/>
    <cellStyle name="Comma 10 8 6" xfId="746"/>
    <cellStyle name="Comma 10 8 6 2" xfId="747"/>
    <cellStyle name="Comma 10 8 7" xfId="748"/>
    <cellStyle name="Comma 10 8 7 2" xfId="749"/>
    <cellStyle name="Comma 10 8 8" xfId="750"/>
    <cellStyle name="Comma 10 8 8 2" xfId="751"/>
    <cellStyle name="Comma 10 8 9" xfId="752"/>
    <cellStyle name="Comma 10 8 9 2" xfId="753"/>
    <cellStyle name="Comma 2" xfId="754"/>
    <cellStyle name="Comma 2 10" xfId="755"/>
    <cellStyle name="Comma 2 10 2" xfId="756"/>
    <cellStyle name="Comma 2 11" xfId="757"/>
    <cellStyle name="Comma 2 11 2" xfId="758"/>
    <cellStyle name="Comma 2 12" xfId="759"/>
    <cellStyle name="Comma 2 12 2" xfId="760"/>
    <cellStyle name="Comma 2 13" xfId="761"/>
    <cellStyle name="Comma 2 13 2" xfId="762"/>
    <cellStyle name="Comma 2 14" xfId="763"/>
    <cellStyle name="Comma 2 14 2" xfId="764"/>
    <cellStyle name="Comma 2 15" xfId="765"/>
    <cellStyle name="Comma 2 15 2" xfId="766"/>
    <cellStyle name="Comma 2 16" xfId="767"/>
    <cellStyle name="Comma 2 16 2" xfId="768"/>
    <cellStyle name="Comma 2 17" xfId="769"/>
    <cellStyle name="Comma 2 17 2" xfId="770"/>
    <cellStyle name="Comma 2 17 3" xfId="771"/>
    <cellStyle name="Comma 2 18" xfId="772"/>
    <cellStyle name="Comma 2 2" xfId="773"/>
    <cellStyle name="Comma 2 2 2" xfId="774"/>
    <cellStyle name="Comma 2 2 3" xfId="775"/>
    <cellStyle name="Comma 2 3" xfId="776"/>
    <cellStyle name="Comma 2 3 2" xfId="777"/>
    <cellStyle name="Comma 2 4" xfId="778"/>
    <cellStyle name="Comma 2 4 2" xfId="779"/>
    <cellStyle name="Comma 2 5" xfId="780"/>
    <cellStyle name="Comma 2 5 2" xfId="781"/>
    <cellStyle name="Comma 2 6" xfId="782"/>
    <cellStyle name="Comma 2 6 2" xfId="783"/>
    <cellStyle name="Comma 2 7" xfId="784"/>
    <cellStyle name="Comma 2 7 2" xfId="785"/>
    <cellStyle name="Comma 2 8" xfId="786"/>
    <cellStyle name="Comma 2 8 2" xfId="787"/>
    <cellStyle name="Comma 2 9" xfId="788"/>
    <cellStyle name="Comma 2 9 2" xfId="789"/>
    <cellStyle name="Comma 3" xfId="790"/>
    <cellStyle name="Comma 3 2" xfId="791"/>
    <cellStyle name="Comma 3 2 2" xfId="792"/>
    <cellStyle name="Comma 3 3" xfId="793"/>
    <cellStyle name="Comma 3 3 2" xfId="794"/>
    <cellStyle name="Comma 3 4" xfId="795"/>
    <cellStyle name="Comma 3 4 2" xfId="796"/>
    <cellStyle name="Comma 3 5" xfId="797"/>
    <cellStyle name="Comma 3 5 2" xfId="798"/>
    <cellStyle name="Comma 3 6" xfId="799"/>
    <cellStyle name="Comma 3 6 2" xfId="800"/>
    <cellStyle name="Comma 3 7" xfId="801"/>
    <cellStyle name="Comma 3 7 2" xfId="802"/>
    <cellStyle name="Comma 3 8" xfId="803"/>
    <cellStyle name="Comma 3 8 2" xfId="804"/>
    <cellStyle name="Comma 3 9" xfId="805"/>
    <cellStyle name="Comma 4" xfId="806"/>
    <cellStyle name="Comma 4 2" xfId="807"/>
    <cellStyle name="Comma 4 2 2" xfId="808"/>
    <cellStyle name="Comma 4 3" xfId="809"/>
    <cellStyle name="Comma 4 3 2" xfId="810"/>
    <cellStyle name="Comma 4 4" xfId="811"/>
    <cellStyle name="Comma 4 4 2" xfId="812"/>
    <cellStyle name="Comma 4 5" xfId="813"/>
    <cellStyle name="Comma 4 5 2" xfId="814"/>
    <cellStyle name="Comma 4 6" xfId="815"/>
    <cellStyle name="Comma 4 6 2" xfId="816"/>
    <cellStyle name="Comma 4 7" xfId="817"/>
    <cellStyle name="Comma 4 7 2" xfId="818"/>
    <cellStyle name="Comma 4 8" xfId="819"/>
    <cellStyle name="Comma 4 8 2" xfId="820"/>
    <cellStyle name="Comma 4 9" xfId="821"/>
    <cellStyle name="Comma 5" xfId="822"/>
    <cellStyle name="Comma 5 2" xfId="823"/>
    <cellStyle name="Comma 5 2 2" xfId="824"/>
    <cellStyle name="Comma 5 3" xfId="825"/>
    <cellStyle name="Comma 5 3 2" xfId="826"/>
    <cellStyle name="Comma 5 4" xfId="827"/>
    <cellStyle name="Comma 5 4 2" xfId="828"/>
    <cellStyle name="Comma 5 5" xfId="829"/>
    <cellStyle name="Comma 5 5 2" xfId="830"/>
    <cellStyle name="Comma 5 6" xfId="831"/>
    <cellStyle name="Comma 5 6 2" xfId="832"/>
    <cellStyle name="Comma 5 7" xfId="833"/>
    <cellStyle name="Comma 5 7 2" xfId="834"/>
    <cellStyle name="Comma 5 8" xfId="835"/>
    <cellStyle name="Comma 5 8 2" xfId="836"/>
    <cellStyle name="Comma 5 9" xfId="837"/>
    <cellStyle name="Comma 6" xfId="838"/>
    <cellStyle name="Comma 6 2" xfId="839"/>
    <cellStyle name="Comma 6 2 2" xfId="840"/>
    <cellStyle name="Comma 6 3" xfId="841"/>
    <cellStyle name="Comma 6 3 2" xfId="842"/>
    <cellStyle name="Comma 6 4" xfId="843"/>
    <cellStyle name="Comma 6 4 2" xfId="844"/>
    <cellStyle name="Comma 6 5" xfId="845"/>
    <cellStyle name="Comma 6 5 2" xfId="846"/>
    <cellStyle name="Comma 6 6" xfId="847"/>
    <cellStyle name="Comma 6 6 2" xfId="848"/>
    <cellStyle name="Comma 6 7" xfId="849"/>
    <cellStyle name="Comma 6 7 2" xfId="850"/>
    <cellStyle name="Comma 6 8" xfId="851"/>
    <cellStyle name="Comma 6 8 2" xfId="852"/>
    <cellStyle name="Comma 6 9" xfId="853"/>
    <cellStyle name="Comma 7" xfId="854"/>
    <cellStyle name="Comma 7 10" xfId="855"/>
    <cellStyle name="Comma 7 10 2" xfId="856"/>
    <cellStyle name="Comma 7 11" xfId="857"/>
    <cellStyle name="Comma 7 11 2" xfId="858"/>
    <cellStyle name="Comma 7 11 2 2" xfId="859"/>
    <cellStyle name="Comma 7 11 2 3" xfId="860"/>
    <cellStyle name="Comma 7 12" xfId="861"/>
    <cellStyle name="Comma 7 12 2" xfId="862"/>
    <cellStyle name="Comma 7 13" xfId="863"/>
    <cellStyle name="Comma 7 13 2" xfId="864"/>
    <cellStyle name="Comma 7 14" xfId="865"/>
    <cellStyle name="Comma 7 14 2" xfId="866"/>
    <cellStyle name="Comma 7 15" xfId="867"/>
    <cellStyle name="Comma 7 15 2" xfId="868"/>
    <cellStyle name="Comma 7 16" xfId="869"/>
    <cellStyle name="Comma 7 16 2" xfId="870"/>
    <cellStyle name="Comma 7 16 2 2" xfId="871"/>
    <cellStyle name="Comma 7 16 2 3" xfId="872"/>
    <cellStyle name="Comma 7 17" xfId="873"/>
    <cellStyle name="Comma 7 17 2" xfId="874"/>
    <cellStyle name="Comma 7 17 2 2" xfId="875"/>
    <cellStyle name="Comma 7 17 2 3" xfId="876"/>
    <cellStyle name="Comma 7 18" xfId="877"/>
    <cellStyle name="Comma 7 18 2" xfId="878"/>
    <cellStyle name="Comma 7 18 2 2" xfId="879"/>
    <cellStyle name="Comma 7 18 2 3" xfId="880"/>
    <cellStyle name="Comma 7 19" xfId="881"/>
    <cellStyle name="Comma 7 19 2" xfId="882"/>
    <cellStyle name="Comma 7 19 2 2" xfId="883"/>
    <cellStyle name="Comma 7 19 2 3" xfId="884"/>
    <cellStyle name="Comma 7 2" xfId="885"/>
    <cellStyle name="Comma 7 2 2" xfId="886"/>
    <cellStyle name="Comma 7 20" xfId="887"/>
    <cellStyle name="Comma 7 20 2" xfId="888"/>
    <cellStyle name="Comma 7 20 2 2" xfId="889"/>
    <cellStyle name="Comma 7 20 2 3" xfId="890"/>
    <cellStyle name="Comma 7 21" xfId="891"/>
    <cellStyle name="Comma 7 21 2" xfId="892"/>
    <cellStyle name="Comma 7 21 2 2" xfId="893"/>
    <cellStyle name="Comma 7 21 2 3" xfId="894"/>
    <cellStyle name="Comma 7 3" xfId="895"/>
    <cellStyle name="Comma 7 3 10" xfId="896"/>
    <cellStyle name="Comma 7 3 10 2" xfId="897"/>
    <cellStyle name="Comma 7 3 11" xfId="898"/>
    <cellStyle name="Comma 7 3 11 2" xfId="899"/>
    <cellStyle name="Comma 7 3 12" xfId="900"/>
    <cellStyle name="Comma 7 3 12 2" xfId="901"/>
    <cellStyle name="Comma 7 3 13" xfId="902"/>
    <cellStyle name="Comma 7 3 13 2" xfId="903"/>
    <cellStyle name="Comma 7 3 14" xfId="904"/>
    <cellStyle name="Comma 7 3 14 2" xfId="905"/>
    <cellStyle name="Comma 7 3 15" xfId="906"/>
    <cellStyle name="Comma 7 3 15 2" xfId="907"/>
    <cellStyle name="Comma 7 3 16" xfId="908"/>
    <cellStyle name="Comma 7 3 16 2" xfId="909"/>
    <cellStyle name="Comma 7 3 16 3" xfId="910"/>
    <cellStyle name="Comma 7 3 2" xfId="911"/>
    <cellStyle name="Comma 7 3 2 2" xfId="912"/>
    <cellStyle name="Comma 7 3 3" xfId="913"/>
    <cellStyle name="Comma 7 3 3 2" xfId="914"/>
    <cellStyle name="Comma 7 3 4" xfId="915"/>
    <cellStyle name="Comma 7 3 4 2" xfId="916"/>
    <cellStyle name="Comma 7 3 5" xfId="917"/>
    <cellStyle name="Comma 7 3 5 2" xfId="918"/>
    <cellStyle name="Comma 7 3 6" xfId="919"/>
    <cellStyle name="Comma 7 3 6 2" xfId="920"/>
    <cellStyle name="Comma 7 3 7" xfId="921"/>
    <cellStyle name="Comma 7 3 7 2" xfId="922"/>
    <cellStyle name="Comma 7 3 8" xfId="923"/>
    <cellStyle name="Comma 7 3 8 2" xfId="924"/>
    <cellStyle name="Comma 7 3 9" xfId="925"/>
    <cellStyle name="Comma 7 3 9 2" xfId="926"/>
    <cellStyle name="Comma 7 4" xfId="927"/>
    <cellStyle name="Comma 7 4 2" xfId="928"/>
    <cellStyle name="Comma 7 5" xfId="929"/>
    <cellStyle name="Comma 7 5 2" xfId="930"/>
    <cellStyle name="Comma 7 6" xfId="931"/>
    <cellStyle name="Comma 7 6 2" xfId="932"/>
    <cellStyle name="Comma 7 7" xfId="933"/>
    <cellStyle name="Comma 7 7 2" xfId="934"/>
    <cellStyle name="Comma 7 8" xfId="935"/>
    <cellStyle name="Comma 7 8 2" xfId="936"/>
    <cellStyle name="Comma 7 9" xfId="937"/>
    <cellStyle name="Comma 7 9 2" xfId="938"/>
    <cellStyle name="Comma 8" xfId="939"/>
    <cellStyle name="Comma 8 2" xfId="940"/>
    <cellStyle name="Comma 8 2 2" xfId="941"/>
    <cellStyle name="Comma 8 2 2 2" xfId="942"/>
    <cellStyle name="Comma 8 2 2 3" xfId="943"/>
    <cellStyle name="Comma 8 3" xfId="944"/>
    <cellStyle name="Comma 8 3 2" xfId="945"/>
    <cellStyle name="Comma 8 3 2 2" xfId="946"/>
    <cellStyle name="Comma 8 3 2 3" xfId="947"/>
    <cellStyle name="Comma 8 4" xfId="948"/>
    <cellStyle name="Comma 8 4 2" xfId="949"/>
    <cellStyle name="Comma 8 4 2 2" xfId="950"/>
    <cellStyle name="Comma 8 4 2 3" xfId="951"/>
    <cellStyle name="Comma 8 5" xfId="952"/>
    <cellStyle name="Comma 8 5 2" xfId="953"/>
    <cellStyle name="Comma 8 5 2 2" xfId="954"/>
    <cellStyle name="Comma 8 5 2 3" xfId="955"/>
    <cellStyle name="Comma 8 6" xfId="956"/>
    <cellStyle name="Comma 8 6 2" xfId="957"/>
    <cellStyle name="Comma 8 6 2 2" xfId="958"/>
    <cellStyle name="Comma 8 6 2 3" xfId="959"/>
    <cellStyle name="Comma 8 7" xfId="960"/>
    <cellStyle name="Comma 8 7 2" xfId="961"/>
    <cellStyle name="Comma 8 7 2 2" xfId="962"/>
    <cellStyle name="Comma 8 7 2 3" xfId="963"/>
    <cellStyle name="Comma 8 8" xfId="964"/>
    <cellStyle name="Comma 8 8 2" xfId="965"/>
    <cellStyle name="Comma 8 8 2 2" xfId="966"/>
    <cellStyle name="Comma 8 8 2 3" xfId="967"/>
    <cellStyle name="Comma 9" xfId="968"/>
    <cellStyle name="Comma 9 2" xfId="969"/>
    <cellStyle name="Comma 9 2 2" xfId="970"/>
    <cellStyle name="Comma 9 3" xfId="971"/>
    <cellStyle name="Comma 9 4" xfId="972"/>
    <cellStyle name="Comma 9 5" xfId="973"/>
    <cellStyle name="Comma 9 6" xfId="974"/>
    <cellStyle name="Comma 9 7" xfId="975"/>
    <cellStyle name="Comma 9 8" xfId="976"/>
    <cellStyle name="Comma 9 9" xfId="977"/>
    <cellStyle name="Currency 2 2" xfId="978"/>
    <cellStyle name="Currency 2 2 2" xfId="979"/>
    <cellStyle name="CustomizationCells" xfId="980"/>
    <cellStyle name="Date" xfId="981"/>
    <cellStyle name="Date 2" xfId="982"/>
    <cellStyle name="donn_normal" xfId="983"/>
    <cellStyle name="ent_col_ser" xfId="984"/>
    <cellStyle name="entete_source" xfId="985"/>
    <cellStyle name="Euro" xfId="986"/>
    <cellStyle name="Euro 2" xfId="987"/>
    <cellStyle name="Euro 2 2" xfId="988"/>
    <cellStyle name="Euro 2 2 2" xfId="989"/>
    <cellStyle name="Euro 2 2 2 2" xfId="990"/>
    <cellStyle name="Euro 2 2 2 3" xfId="991"/>
    <cellStyle name="Euro 2 2 3" xfId="992"/>
    <cellStyle name="Euro 2 2 4" xfId="993"/>
    <cellStyle name="Euro 2 3" xfId="994"/>
    <cellStyle name="Euro 2 3 2" xfId="995"/>
    <cellStyle name="Euro 2 4" xfId="996"/>
    <cellStyle name="Euro 2 5" xfId="997"/>
    <cellStyle name="Euro 3" xfId="998"/>
    <cellStyle name="Euro 3 2" xfId="999"/>
    <cellStyle name="Euro 3 3" xfId="1000"/>
    <cellStyle name="Euro 4" xfId="1001"/>
    <cellStyle name="Euro 4 2" xfId="1002"/>
    <cellStyle name="Euro 4 3" xfId="1003"/>
    <cellStyle name="Euro 5" xfId="1004"/>
    <cellStyle name="Explanatory Text 2" xfId="1005"/>
    <cellStyle name="Explanatory Text 2 10" xfId="1006"/>
    <cellStyle name="Explanatory Text 2 2" xfId="1007"/>
    <cellStyle name="Explanatory Text 2 3" xfId="1008"/>
    <cellStyle name="Explanatory Text 2 4" xfId="1009"/>
    <cellStyle name="Explanatory Text 2 5" xfId="1010"/>
    <cellStyle name="Explanatory Text 2 6" xfId="1011"/>
    <cellStyle name="Explanatory Text 2 7" xfId="1012"/>
    <cellStyle name="Explanatory Text 2 8" xfId="1013"/>
    <cellStyle name="Explanatory Text 2 9" xfId="1014"/>
    <cellStyle name="Explanatory Text 3" xfId="1015"/>
    <cellStyle name="Fixed" xfId="1016"/>
    <cellStyle name="Fixed 2" xfId="1017"/>
    <cellStyle name="Float" xfId="1018"/>
    <cellStyle name="Float 2" xfId="1019"/>
    <cellStyle name="Good 2" xfId="1020"/>
    <cellStyle name="Good 2 10" xfId="1021"/>
    <cellStyle name="Good 2 2" xfId="1022"/>
    <cellStyle name="Good 2 3" xfId="1023"/>
    <cellStyle name="Good 2 4" xfId="1024"/>
    <cellStyle name="Good 2 5" xfId="1025"/>
    <cellStyle name="Good 2 6" xfId="1026"/>
    <cellStyle name="Good 2 7" xfId="1027"/>
    <cellStyle name="Good 2 8" xfId="1028"/>
    <cellStyle name="Good 2 9" xfId="1029"/>
    <cellStyle name="Good 3" xfId="1030"/>
    <cellStyle name="Good 3 2" xfId="1031"/>
    <cellStyle name="Good 4" xfId="1032"/>
    <cellStyle name="Heading 1 2" xfId="1033"/>
    <cellStyle name="Heading 1 2 10" xfId="1034"/>
    <cellStyle name="Heading 1 2 2" xfId="1035"/>
    <cellStyle name="Heading 1 2 3" xfId="1036"/>
    <cellStyle name="Heading 1 2 4" xfId="1037"/>
    <cellStyle name="Heading 1 2 5" xfId="1038"/>
    <cellStyle name="Heading 1 2 6" xfId="1039"/>
    <cellStyle name="Heading 1 2 7" xfId="1040"/>
    <cellStyle name="Heading 1 2 8" xfId="1041"/>
    <cellStyle name="Heading 1 2 9" xfId="1042"/>
    <cellStyle name="Heading 1 3" xfId="1043"/>
    <cellStyle name="Heading 1 3 2" xfId="1044"/>
    <cellStyle name="Heading 2 2" xfId="1045"/>
    <cellStyle name="Heading 2 2 10" xfId="1046"/>
    <cellStyle name="Heading 2 2 2" xfId="1047"/>
    <cellStyle name="Heading 2 2 3" xfId="1048"/>
    <cellStyle name="Heading 2 2 4" xfId="1049"/>
    <cellStyle name="Heading 2 2 5" xfId="1050"/>
    <cellStyle name="Heading 2 2 6" xfId="1051"/>
    <cellStyle name="Heading 2 2 7" xfId="1052"/>
    <cellStyle name="Heading 2 2 8" xfId="1053"/>
    <cellStyle name="Heading 2 2 9" xfId="1054"/>
    <cellStyle name="Heading 2 3" xfId="1055"/>
    <cellStyle name="Heading 2 3 2" xfId="1056"/>
    <cellStyle name="Heading 2 4" xfId="1057"/>
    <cellStyle name="Heading 3 2" xfId="1058"/>
    <cellStyle name="Heading 3 2 10" xfId="1059"/>
    <cellStyle name="Heading 3 2 2" xfId="1060"/>
    <cellStyle name="Heading 3 2 3" xfId="1061"/>
    <cellStyle name="Heading 3 2 4" xfId="1062"/>
    <cellStyle name="Heading 3 2 5" xfId="1063"/>
    <cellStyle name="Heading 3 2 6" xfId="1064"/>
    <cellStyle name="Heading 3 2 7" xfId="1065"/>
    <cellStyle name="Heading 3 2 8" xfId="1066"/>
    <cellStyle name="Heading 3 2 9" xfId="1067"/>
    <cellStyle name="Heading 3 3" xfId="1068"/>
    <cellStyle name="Heading 3 3 2" xfId="1069"/>
    <cellStyle name="Heading 4 2" xfId="1070"/>
    <cellStyle name="Heading 4 2 10" xfId="1071"/>
    <cellStyle name="Heading 4 2 2" xfId="1072"/>
    <cellStyle name="Heading 4 2 3" xfId="1073"/>
    <cellStyle name="Heading 4 2 4" xfId="1074"/>
    <cellStyle name="Heading 4 2 5" xfId="1075"/>
    <cellStyle name="Heading 4 2 6" xfId="1076"/>
    <cellStyle name="Heading 4 2 7" xfId="1077"/>
    <cellStyle name="Heading 4 2 8" xfId="1078"/>
    <cellStyle name="Heading 4 2 9" xfId="1079"/>
    <cellStyle name="Heading 4 3" xfId="1080"/>
    <cellStyle name="Heading 4 3 2" xfId="1081"/>
    <cellStyle name="Heading1" xfId="1082"/>
    <cellStyle name="Heading1 2" xfId="1083"/>
    <cellStyle name="Heading2" xfId="1084"/>
    <cellStyle name="Heading2 2" xfId="1085"/>
    <cellStyle name="Hyperlink 2" xfId="1086"/>
    <cellStyle name="Input 2" xfId="1087"/>
    <cellStyle name="Input 2 10" xfId="1088"/>
    <cellStyle name="Input 2 2" xfId="1089"/>
    <cellStyle name="Input 2 3" xfId="1090"/>
    <cellStyle name="Input 2 4" xfId="1091"/>
    <cellStyle name="Input 2 5" xfId="1092"/>
    <cellStyle name="Input 2 6" xfId="1093"/>
    <cellStyle name="Input 2 7" xfId="1094"/>
    <cellStyle name="Input 2 8" xfId="1095"/>
    <cellStyle name="Input 2 9" xfId="1096"/>
    <cellStyle name="Input 3" xfId="1097"/>
    <cellStyle name="Input 3 2" xfId="1098"/>
    <cellStyle name="Input 4" xfId="1099"/>
    <cellStyle name="InputCells" xfId="1100"/>
    <cellStyle name="ligne_titre_0" xfId="1101"/>
    <cellStyle name="Linked Cell 2" xfId="1102"/>
    <cellStyle name="Linked Cell 2 10" xfId="1103"/>
    <cellStyle name="Linked Cell 2 2" xfId="1104"/>
    <cellStyle name="Linked Cell 2 3" xfId="1105"/>
    <cellStyle name="Linked Cell 2 4" xfId="1106"/>
    <cellStyle name="Linked Cell 2 5" xfId="1107"/>
    <cellStyle name="Linked Cell 2 6" xfId="1108"/>
    <cellStyle name="Linked Cell 2 7" xfId="1109"/>
    <cellStyle name="Linked Cell 2 8" xfId="1110"/>
    <cellStyle name="Linked Cell 2 9" xfId="1111"/>
    <cellStyle name="Linked Cell 3" xfId="1112"/>
    <cellStyle name="Linked Cell 3 2" xfId="1113"/>
    <cellStyle name="Migliaia_Oil&amp;Gas IFE ARC POLITO" xfId="1114"/>
    <cellStyle name="Neutral 2" xfId="1115"/>
    <cellStyle name="Neutral 2 10" xfId="1116"/>
    <cellStyle name="Neutral 2 2" xfId="1117"/>
    <cellStyle name="Neutral 2 3" xfId="1118"/>
    <cellStyle name="Neutral 2 4" xfId="1119"/>
    <cellStyle name="Neutral 2 5" xfId="1120"/>
    <cellStyle name="Neutral 2 6" xfId="1121"/>
    <cellStyle name="Neutral 2 7" xfId="1122"/>
    <cellStyle name="Neutral 2 8" xfId="1123"/>
    <cellStyle name="Neutral 2 9" xfId="1124"/>
    <cellStyle name="Neutral 3" xfId="1125"/>
    <cellStyle name="Neutral 3 2" xfId="1126"/>
    <cellStyle name="Neutral 3 3" xfId="1127"/>
    <cellStyle name="Neutral 4" xfId="1128"/>
    <cellStyle name="Normal 10" xfId="1129"/>
    <cellStyle name="Normal 10 2" xfId="1130"/>
    <cellStyle name="Normal 10 2 2" xfId="1131"/>
    <cellStyle name="Normal 10 3" xfId="1132"/>
    <cellStyle name="Normal 10 3 2" xfId="1133"/>
    <cellStyle name="Normal 10 4" xfId="1134"/>
    <cellStyle name="Normal 10 4 2" xfId="1135"/>
    <cellStyle name="Normal 10 5" xfId="1136"/>
    <cellStyle name="Normal 10 5 2" xfId="1137"/>
    <cellStyle name="Normal 10 6" xfId="1138"/>
    <cellStyle name="Normal 10 6 2" xfId="1139"/>
    <cellStyle name="Normal 10 7" xfId="1140"/>
    <cellStyle name="Normal 10 7 2" xfId="1141"/>
    <cellStyle name="Normal 10 8" xfId="1142"/>
    <cellStyle name="Normal 10 8 2" xfId="1143"/>
    <cellStyle name="Normal 10 9" xfId="1144"/>
    <cellStyle name="Normal 11" xfId="1145"/>
    <cellStyle name="Normal 11 10" xfId="1146"/>
    <cellStyle name="Normal 11 2" xfId="1147"/>
    <cellStyle name="Normal 11 2 2" xfId="1148"/>
    <cellStyle name="Normal 11 3" xfId="1149"/>
    <cellStyle name="Normal 11 3 2" xfId="1150"/>
    <cellStyle name="Normal 11 4" xfId="1151"/>
    <cellStyle name="Normal 11 4 2" xfId="1152"/>
    <cellStyle name="Normal 11 5" xfId="1153"/>
    <cellStyle name="Normal 11 5 2" xfId="1154"/>
    <cellStyle name="Normal 11 6" xfId="1155"/>
    <cellStyle name="Normal 11 6 2" xfId="1156"/>
    <cellStyle name="Normal 11 7" xfId="1157"/>
    <cellStyle name="Normal 11 7 2" xfId="1158"/>
    <cellStyle name="Normal 11 8" xfId="1159"/>
    <cellStyle name="Normal 11 8 2" xfId="1160"/>
    <cellStyle name="Normal 11 9" xfId="1161"/>
    <cellStyle name="Normal 12" xfId="1162"/>
    <cellStyle name="Normal 12 10" xfId="1163"/>
    <cellStyle name="Normal 12 2" xfId="1164"/>
    <cellStyle name="Normal 12 2 2" xfId="1165"/>
    <cellStyle name="Normal 12 3" xfId="1166"/>
    <cellStyle name="Normal 12 3 2" xfId="1167"/>
    <cellStyle name="Normal 12 4" xfId="1168"/>
    <cellStyle name="Normal 12 4 2" xfId="1169"/>
    <cellStyle name="Normal 12 5" xfId="1170"/>
    <cellStyle name="Normal 12 5 2" xfId="1171"/>
    <cellStyle name="Normal 12 6" xfId="1172"/>
    <cellStyle name="Normal 12 6 2" xfId="1173"/>
    <cellStyle name="Normal 12 7" xfId="1174"/>
    <cellStyle name="Normal 12 7 2" xfId="1175"/>
    <cellStyle name="Normal 12 8" xfId="1176"/>
    <cellStyle name="Normal 12 8 2" xfId="1177"/>
    <cellStyle name="Normal 12 9" xfId="1178"/>
    <cellStyle name="Normal 13" xfId="1179"/>
    <cellStyle name="Normal 13 10" xfId="1180"/>
    <cellStyle name="Normal 13 10 2" xfId="1181"/>
    <cellStyle name="Normal 13 10 2 2" xfId="1182"/>
    <cellStyle name="Normal 13 10 2 3" xfId="1183"/>
    <cellStyle name="Normal 13 10 3" xfId="1184"/>
    <cellStyle name="Normal 13 10 4" xfId="1185"/>
    <cellStyle name="Normal 13 11" xfId="1186"/>
    <cellStyle name="Normal 13 11 2" xfId="1187"/>
    <cellStyle name="Normal 13 11 2 2" xfId="1188"/>
    <cellStyle name="Normal 13 11 2 3" xfId="1189"/>
    <cellStyle name="Normal 13 11 3" xfId="1190"/>
    <cellStyle name="Normal 13 11 4" xfId="1191"/>
    <cellStyle name="Normal 13 12" xfId="1192"/>
    <cellStyle name="Normal 13 13" xfId="1193"/>
    <cellStyle name="Normal 13 13 2" xfId="1194"/>
    <cellStyle name="Normal 13 13 2 2" xfId="1195"/>
    <cellStyle name="Normal 13 13 2 3" xfId="1196"/>
    <cellStyle name="Normal 13 13 3" xfId="1197"/>
    <cellStyle name="Normal 13 13 4" xfId="1198"/>
    <cellStyle name="Normal 13 14" xfId="1199"/>
    <cellStyle name="Normal 13 14 2" xfId="1200"/>
    <cellStyle name="Normal 13 14 2 2" xfId="1201"/>
    <cellStyle name="Normal 13 14 2 3" xfId="1202"/>
    <cellStyle name="Normal 13 14 3" xfId="1203"/>
    <cellStyle name="Normal 13 14 4" xfId="1204"/>
    <cellStyle name="Normal 13 15" xfId="1205"/>
    <cellStyle name="Normal 13 15 2" xfId="1206"/>
    <cellStyle name="Normal 13 15 2 2" xfId="1207"/>
    <cellStyle name="Normal 13 15 2 3" xfId="1208"/>
    <cellStyle name="Normal 13 15 3" xfId="1209"/>
    <cellStyle name="Normal 13 15 4" xfId="1210"/>
    <cellStyle name="Normal 13 16" xfId="1211"/>
    <cellStyle name="Normal 13 16 2" xfId="1212"/>
    <cellStyle name="Normal 13 16 2 2" xfId="1213"/>
    <cellStyle name="Normal 13 16 2 3" xfId="1214"/>
    <cellStyle name="Normal 13 16 3" xfId="1215"/>
    <cellStyle name="Normal 13 16 4" xfId="1216"/>
    <cellStyle name="Normal 13 17" xfId="1217"/>
    <cellStyle name="Normal 13 18" xfId="1218"/>
    <cellStyle name="Normal 13 19" xfId="1219"/>
    <cellStyle name="Normal 13 2" xfId="1220"/>
    <cellStyle name="Normal 13 2 2" xfId="1221"/>
    <cellStyle name="Normal 13 2 2 2" xfId="1222"/>
    <cellStyle name="Normal 13 2 2 2 2" xfId="1223"/>
    <cellStyle name="Normal 13 2 2 2 3" xfId="1224"/>
    <cellStyle name="Normal 13 2 2 3" xfId="1225"/>
    <cellStyle name="Normal 13 2 2 4" xfId="1226"/>
    <cellStyle name="Normal 13 2 3" xfId="1227"/>
    <cellStyle name="Normal 13 2 3 2" xfId="1228"/>
    <cellStyle name="Normal 13 2 3 2 2" xfId="1229"/>
    <cellStyle name="Normal 13 2 3 2 3" xfId="1230"/>
    <cellStyle name="Normal 13 2 3 3" xfId="1231"/>
    <cellStyle name="Normal 13 2 3 4" xfId="1232"/>
    <cellStyle name="Normal 13 2 4" xfId="1233"/>
    <cellStyle name="Normal 13 2 4 2" xfId="1234"/>
    <cellStyle name="Normal 13 2 4 2 2" xfId="1235"/>
    <cellStyle name="Normal 13 2 4 2 3" xfId="1236"/>
    <cellStyle name="Normal 13 2 4 3" xfId="1237"/>
    <cellStyle name="Normal 13 2 4 4" xfId="1238"/>
    <cellStyle name="Normal 13 2 5" xfId="1239"/>
    <cellStyle name="Normal 13 2 5 2" xfId="1240"/>
    <cellStyle name="Normal 13 2 5 2 2" xfId="1241"/>
    <cellStyle name="Normal 13 2 5 2 3" xfId="1242"/>
    <cellStyle name="Normal 13 2 5 3" xfId="1243"/>
    <cellStyle name="Normal 13 2 5 4" xfId="1244"/>
    <cellStyle name="Normal 13 2 6" xfId="1245"/>
    <cellStyle name="Normal 13 2 6 2" xfId="1246"/>
    <cellStyle name="Normal 13 2 6 2 2" xfId="1247"/>
    <cellStyle name="Normal 13 2 6 2 3" xfId="1248"/>
    <cellStyle name="Normal 13 2 6 3" xfId="1249"/>
    <cellStyle name="Normal 13 2 6 4" xfId="1250"/>
    <cellStyle name="Normal 13 2 7" xfId="1251"/>
    <cellStyle name="Normal 13 2 7 2" xfId="1252"/>
    <cellStyle name="Normal 13 2 7 2 2" xfId="1253"/>
    <cellStyle name="Normal 13 2 7 2 3" xfId="1254"/>
    <cellStyle name="Normal 13 2 7 3" xfId="1255"/>
    <cellStyle name="Normal 13 2 7 4" xfId="1256"/>
    <cellStyle name="Normal 13 2 8" xfId="1257"/>
    <cellStyle name="Normal 13 2 8 2" xfId="1258"/>
    <cellStyle name="Normal 13 2 8 2 2" xfId="1259"/>
    <cellStyle name="Normal 13 2 8 2 3" xfId="1260"/>
    <cellStyle name="Normal 13 2 8 3" xfId="1261"/>
    <cellStyle name="Normal 13 2 8 4" xfId="1262"/>
    <cellStyle name="Normal 13 20" xfId="1263"/>
    <cellStyle name="Normal 13 21" xfId="1264"/>
    <cellStyle name="Normal 13 22" xfId="1265"/>
    <cellStyle name="Normal 13 23" xfId="1266"/>
    <cellStyle name="Normal 13 23 2" xfId="1267"/>
    <cellStyle name="Normal 13 24" xfId="1268"/>
    <cellStyle name="Normal 13 24 2" xfId="1269"/>
    <cellStyle name="Normal 13 25" xfId="1270"/>
    <cellStyle name="Normal 13 25 2" xfId="1271"/>
    <cellStyle name="Normal 13 26" xfId="1272"/>
    <cellStyle name="Normal 13 26 2" xfId="1273"/>
    <cellStyle name="Normal 13 27" xfId="1274"/>
    <cellStyle name="Normal 13 27 2" xfId="1275"/>
    <cellStyle name="Normal 13 28" xfId="1276"/>
    <cellStyle name="Normal 13 28 2" xfId="1277"/>
    <cellStyle name="Normal 13 29" xfId="1278"/>
    <cellStyle name="Normal 13 29 2" xfId="1279"/>
    <cellStyle name="Normal 13 3" xfId="1280"/>
    <cellStyle name="Normal 13 3 2" xfId="1281"/>
    <cellStyle name="Normal 13 3 2 2" xfId="1282"/>
    <cellStyle name="Normal 13 3 2 3" xfId="1283"/>
    <cellStyle name="Normal 13 3 3" xfId="1284"/>
    <cellStyle name="Normal 13 3 4" xfId="1285"/>
    <cellStyle name="Normal 13 30" xfId="1286"/>
    <cellStyle name="Normal 13 30 2" xfId="1287"/>
    <cellStyle name="Normal 13 31" xfId="1288"/>
    <cellStyle name="Normal 13 31 2" xfId="1289"/>
    <cellStyle name="Normal 13 32" xfId="1290"/>
    <cellStyle name="Normal 13 32 2" xfId="1291"/>
    <cellStyle name="Normal 13 33" xfId="1292"/>
    <cellStyle name="Normal 13 33 2" xfId="1293"/>
    <cellStyle name="Normal 13 34" xfId="1294"/>
    <cellStyle name="Normal 13 34 2" xfId="1295"/>
    <cellStyle name="Normal 13 35" xfId="1296"/>
    <cellStyle name="Normal 13 35 2" xfId="1297"/>
    <cellStyle name="Normal 13 36" xfId="1298"/>
    <cellStyle name="Normal 13 36 2" xfId="1299"/>
    <cellStyle name="Normal 13 37" xfId="1300"/>
    <cellStyle name="Normal 13 37 2" xfId="1301"/>
    <cellStyle name="Normal 13 38" xfId="1302"/>
    <cellStyle name="Normal 13 38 2" xfId="1303"/>
    <cellStyle name="Normal 13 39" xfId="1304"/>
    <cellStyle name="Normal 13 4" xfId="1305"/>
    <cellStyle name="Normal 13 4 2" xfId="1306"/>
    <cellStyle name="Normal 13 4 2 2" xfId="1307"/>
    <cellStyle name="Normal 13 4 2 3" xfId="1308"/>
    <cellStyle name="Normal 13 4 3" xfId="1309"/>
    <cellStyle name="Normal 13 4 4" xfId="1310"/>
    <cellStyle name="Normal 13 5" xfId="1311"/>
    <cellStyle name="Normal 13 6" xfId="1312"/>
    <cellStyle name="Normal 13 7" xfId="1313"/>
    <cellStyle name="Normal 13 8" xfId="1314"/>
    <cellStyle name="Normal 13 9" xfId="1315"/>
    <cellStyle name="Normal 13 9 2" xfId="1316"/>
    <cellStyle name="Normal 13 9 2 2" xfId="1317"/>
    <cellStyle name="Normal 13 9 2 3" xfId="1318"/>
    <cellStyle name="Normal 13 9 3" xfId="1319"/>
    <cellStyle name="Normal 13 9 4" xfId="1320"/>
    <cellStyle name="Normal 14" xfId="1321"/>
    <cellStyle name="Normal 14 10" xfId="1322"/>
    <cellStyle name="Normal 14 10 2" xfId="1323"/>
    <cellStyle name="Normal 14 10 2 2" xfId="1324"/>
    <cellStyle name="Normal 14 10 2 3" xfId="1325"/>
    <cellStyle name="Normal 14 10 3" xfId="1326"/>
    <cellStyle name="Normal 14 10 4" xfId="1327"/>
    <cellStyle name="Normal 14 11" xfId="1328"/>
    <cellStyle name="Normal 14 11 2" xfId="1329"/>
    <cellStyle name="Normal 14 11 2 2" xfId="1330"/>
    <cellStyle name="Normal 14 11 2 3" xfId="1331"/>
    <cellStyle name="Normal 14 11 3" xfId="1332"/>
    <cellStyle name="Normal 14 11 4" xfId="1333"/>
    <cellStyle name="Normal 14 12" xfId="1334"/>
    <cellStyle name="Normal 14 12 2" xfId="1335"/>
    <cellStyle name="Normal 14 12 2 2" xfId="1336"/>
    <cellStyle name="Normal 14 12 2 3" xfId="1337"/>
    <cellStyle name="Normal 14 12 3" xfId="1338"/>
    <cellStyle name="Normal 14 12 4" xfId="1339"/>
    <cellStyle name="Normal 14 13" xfId="1340"/>
    <cellStyle name="Normal 14 13 2" xfId="1341"/>
    <cellStyle name="Normal 14 13 2 2" xfId="1342"/>
    <cellStyle name="Normal 14 13 2 3" xfId="1343"/>
    <cellStyle name="Normal 14 13 3" xfId="1344"/>
    <cellStyle name="Normal 14 13 4" xfId="1345"/>
    <cellStyle name="Normal 14 14" xfId="1346"/>
    <cellStyle name="Normal 14 14 2" xfId="1347"/>
    <cellStyle name="Normal 14 14 2 2" xfId="1348"/>
    <cellStyle name="Normal 14 14 2 3" xfId="1349"/>
    <cellStyle name="Normal 14 14 3" xfId="1350"/>
    <cellStyle name="Normal 14 14 4" xfId="1351"/>
    <cellStyle name="Normal 14 15" xfId="1352"/>
    <cellStyle name="Normal 14 15 2" xfId="1353"/>
    <cellStyle name="Normal 14 15 2 2" xfId="1354"/>
    <cellStyle name="Normal 14 15 2 3" xfId="1355"/>
    <cellStyle name="Normal 14 15 3" xfId="1356"/>
    <cellStyle name="Normal 14 15 4" xfId="1357"/>
    <cellStyle name="Normal 14 2" xfId="1358"/>
    <cellStyle name="Normal 14 2 10" xfId="1359"/>
    <cellStyle name="Normal 14 2 2" xfId="1360"/>
    <cellStyle name="Normal 14 2 2 2" xfId="1361"/>
    <cellStyle name="Normal 14 2 3" xfId="1362"/>
    <cellStyle name="Normal 14 2 3 2" xfId="1363"/>
    <cellStyle name="Normal 14 2 4" xfId="1364"/>
    <cellStyle name="Normal 14 2 4 2" xfId="1365"/>
    <cellStyle name="Normal 14 2 5" xfId="1366"/>
    <cellStyle name="Normal 14 2 5 2" xfId="1367"/>
    <cellStyle name="Normal 14 2 6" xfId="1368"/>
    <cellStyle name="Normal 14 2 6 2" xfId="1369"/>
    <cellStyle name="Normal 14 2 7" xfId="1370"/>
    <cellStyle name="Normal 14 2 7 2" xfId="1371"/>
    <cellStyle name="Normal 14 2 8" xfId="1372"/>
    <cellStyle name="Normal 14 2 8 2" xfId="1373"/>
    <cellStyle name="Normal 14 2 8 3" xfId="1374"/>
    <cellStyle name="Normal 14 2 9" xfId="1375"/>
    <cellStyle name="Normal 14 3" xfId="1376"/>
    <cellStyle name="Normal 14 3 2" xfId="1377"/>
    <cellStyle name="Normal 14 4" xfId="1378"/>
    <cellStyle name="Normal 14 4 2" xfId="1379"/>
    <cellStyle name="Normal 14 4 2 2" xfId="1380"/>
    <cellStyle name="Normal 14 4 2 3" xfId="1381"/>
    <cellStyle name="Normal 14 4 3" xfId="1382"/>
    <cellStyle name="Normal 14 4 4" xfId="1383"/>
    <cellStyle name="Normal 14 5" xfId="1384"/>
    <cellStyle name="Normal 14 5 2" xfId="1385"/>
    <cellStyle name="Normal 14 5 2 2" xfId="1386"/>
    <cellStyle name="Normal 14 5 2 3" xfId="1387"/>
    <cellStyle name="Normal 14 5 3" xfId="1388"/>
    <cellStyle name="Normal 14 5 4" xfId="1389"/>
    <cellStyle name="Normal 14 6" xfId="1390"/>
    <cellStyle name="Normal 14 6 2" xfId="1391"/>
    <cellStyle name="Normal 14 7" xfId="1392"/>
    <cellStyle name="Normal 14 7 2" xfId="1393"/>
    <cellStyle name="Normal 14 8" xfId="1394"/>
    <cellStyle name="Normal 14 8 2" xfId="1395"/>
    <cellStyle name="Normal 14 9" xfId="1396"/>
    <cellStyle name="Normal 14 9 2" xfId="1397"/>
    <cellStyle name="Normal 15" xfId="1398"/>
    <cellStyle name="Normal 15 2" xfId="1399"/>
    <cellStyle name="Normal 15 2 2" xfId="1400"/>
    <cellStyle name="Normal 15 3" xfId="1401"/>
    <cellStyle name="Normal 15 3 2" xfId="1402"/>
    <cellStyle name="Normal 15 4" xfId="1403"/>
    <cellStyle name="Normal 15 4 2" xfId="1404"/>
    <cellStyle name="Normal 15 5" xfId="1405"/>
    <cellStyle name="Normal 15 5 2" xfId="1406"/>
    <cellStyle name="Normal 15 6" xfId="1407"/>
    <cellStyle name="Normal 15 6 2" xfId="1408"/>
    <cellStyle name="Normal 16" xfId="1409"/>
    <cellStyle name="Normal 16 2" xfId="1410"/>
    <cellStyle name="Normal 16 2 2" xfId="1411"/>
    <cellStyle name="Normal 16 3" xfId="1412"/>
    <cellStyle name="Normal 16 3 2" xfId="1413"/>
    <cellStyle name="Normal 16 4" xfId="1414"/>
    <cellStyle name="Normal 16 4 2" xfId="1415"/>
    <cellStyle name="Normal 16 5" xfId="1416"/>
    <cellStyle name="Normal 16 5 2" xfId="1417"/>
    <cellStyle name="Normal 16 6" xfId="1418"/>
    <cellStyle name="Normal 16 6 2" xfId="1419"/>
    <cellStyle name="Normal 16 7" xfId="1420"/>
    <cellStyle name="Normal 16 7 2" xfId="1421"/>
    <cellStyle name="Normal 16 7 3" xfId="1422"/>
    <cellStyle name="Normal 16 8" xfId="1423"/>
    <cellStyle name="Normal 16 9" xfId="1424"/>
    <cellStyle name="Normal 17" xfId="1425"/>
    <cellStyle name="Normal 17 10" xfId="1426"/>
    <cellStyle name="Normal 17 10 2" xfId="1427"/>
    <cellStyle name="Normal 17 11" xfId="1428"/>
    <cellStyle name="Normal 17 11 2" xfId="1429"/>
    <cellStyle name="Normal 17 12" xfId="1430"/>
    <cellStyle name="Normal 17 12 2" xfId="1431"/>
    <cellStyle name="Normal 17 13" xfId="1432"/>
    <cellStyle name="Normal 17 13 2" xfId="1433"/>
    <cellStyle name="Normal 17 14" xfId="1434"/>
    <cellStyle name="Normal 17 14 2" xfId="1435"/>
    <cellStyle name="Normal 17 14 3" xfId="1436"/>
    <cellStyle name="Normal 17 15" xfId="1437"/>
    <cellStyle name="Normal 17 16" xfId="1438"/>
    <cellStyle name="Normal 17 2" xfId="1439"/>
    <cellStyle name="Normal 17 2 2" xfId="1440"/>
    <cellStyle name="Normal 17 3" xfId="1441"/>
    <cellStyle name="Normal 17 3 2" xfId="1442"/>
    <cellStyle name="Normal 17 4" xfId="1443"/>
    <cellStyle name="Normal 17 4 2" xfId="1444"/>
    <cellStyle name="Normal 17 5" xfId="1445"/>
    <cellStyle name="Normal 17 5 2" xfId="1446"/>
    <cellStyle name="Normal 17 6" xfId="1447"/>
    <cellStyle name="Normal 17 6 2" xfId="1448"/>
    <cellStyle name="Normal 17 7" xfId="1449"/>
    <cellStyle name="Normal 17 7 2" xfId="1450"/>
    <cellStyle name="Normal 17 8" xfId="1451"/>
    <cellStyle name="Normal 17 8 2" xfId="1452"/>
    <cellStyle name="Normal 17 9" xfId="1453"/>
    <cellStyle name="Normal 17 9 2" xfId="1454"/>
    <cellStyle name="Normal 18" xfId="1455"/>
    <cellStyle name="Normal 18 2" xfId="1456"/>
    <cellStyle name="Normal 18 2 2" xfId="1457"/>
    <cellStyle name="Normal 18 2 3" xfId="1458"/>
    <cellStyle name="Normal 18 3" xfId="1459"/>
    <cellStyle name="Normal 18 4" xfId="1460"/>
    <cellStyle name="Normal 19" xfId="1461"/>
    <cellStyle name="Normal 2" xfId="1462"/>
    <cellStyle name="Normal 2 10" xfId="1463"/>
    <cellStyle name="Normal 2 10 2" xfId="1464"/>
    <cellStyle name="Normal 2 11" xfId="1465"/>
    <cellStyle name="Normal 2 11 2" xfId="1466"/>
    <cellStyle name="Normal 2 12" xfId="1467"/>
    <cellStyle name="Normal 2 12 2" xfId="1468"/>
    <cellStyle name="Normal 2 13" xfId="1469"/>
    <cellStyle name="Normal 2 13 2" xfId="1470"/>
    <cellStyle name="Normal 2 14" xfId="1471"/>
    <cellStyle name="Normal 2 14 2" xfId="1472"/>
    <cellStyle name="Normal 2 15" xfId="1473"/>
    <cellStyle name="Normal 2 15 2" xfId="1474"/>
    <cellStyle name="Normal 2 16" xfId="1475"/>
    <cellStyle name="Normal 2 16 2" xfId="1476"/>
    <cellStyle name="Normal 2 17" xfId="1477"/>
    <cellStyle name="Normal 2 17 2" xfId="1478"/>
    <cellStyle name="Normal 2 18" xfId="1479"/>
    <cellStyle name="Normal 2 18 2" xfId="1480"/>
    <cellStyle name="Normal 2 18 3" xfId="1481"/>
    <cellStyle name="Normal 2 19" xfId="1482"/>
    <cellStyle name="Normal 2 2" xfId="1483"/>
    <cellStyle name="Normal 2 2 10" xfId="1484"/>
    <cellStyle name="Normal 2 2 10 2" xfId="1485"/>
    <cellStyle name="Normal 2 2 10 2 2" xfId="1486"/>
    <cellStyle name="Normal 2 2 10 2 3" xfId="1487"/>
    <cellStyle name="Normal 2 2 10 3" xfId="1488"/>
    <cellStyle name="Normal 2 2 10 4" xfId="1489"/>
    <cellStyle name="Normal 2 2 11" xfId="1490"/>
    <cellStyle name="Normal 2 2 11 2" xfId="1491"/>
    <cellStyle name="Normal 2 2 11 2 2" xfId="1492"/>
    <cellStyle name="Normal 2 2 11 2 3" xfId="1493"/>
    <cellStyle name="Normal 2 2 11 3" xfId="1494"/>
    <cellStyle name="Normal 2 2 11 4" xfId="1495"/>
    <cellStyle name="Normal 2 2 12" xfId="1496"/>
    <cellStyle name="Normal 2 2 12 2" xfId="1497"/>
    <cellStyle name="Normal 2 2 12 2 2" xfId="1498"/>
    <cellStyle name="Normal 2 2 12 2 3" xfId="1499"/>
    <cellStyle name="Normal 2 2 12 3" xfId="1500"/>
    <cellStyle name="Normal 2 2 12 4" xfId="1501"/>
    <cellStyle name="Normal 2 2 13" xfId="1502"/>
    <cellStyle name="Normal 2 2 13 2" xfId="1503"/>
    <cellStyle name="Normal 2 2 13 2 2" xfId="1504"/>
    <cellStyle name="Normal 2 2 13 2 3" xfId="1505"/>
    <cellStyle name="Normal 2 2 13 3" xfId="1506"/>
    <cellStyle name="Normal 2 2 13 4" xfId="1507"/>
    <cellStyle name="Normal 2 2 14" xfId="1508"/>
    <cellStyle name="Normal 2 2 14 2" xfId="1509"/>
    <cellStyle name="Normal 2 2 15" xfId="1510"/>
    <cellStyle name="Normal 2 2 16" xfId="1511"/>
    <cellStyle name="Normal 2 2 2" xfId="1512"/>
    <cellStyle name="Normal 2 2 2 2" xfId="1513"/>
    <cellStyle name="Normal 2 2 2 2 2" xfId="1514"/>
    <cellStyle name="Normal 2 2 2 2 3" xfId="1515"/>
    <cellStyle name="Normal 2 2 2 3" xfId="1516"/>
    <cellStyle name="Normal 2 2 2 4" xfId="1517"/>
    <cellStyle name="Normal 2 2 2 5" xfId="1518"/>
    <cellStyle name="Normal 2 2 3" xfId="1519"/>
    <cellStyle name="Normal 2 2 3 2" xfId="1520"/>
    <cellStyle name="Normal 2 2 3 2 2" xfId="1521"/>
    <cellStyle name="Normal 2 2 3 2 3" xfId="1522"/>
    <cellStyle name="Normal 2 2 3 3" xfId="1523"/>
    <cellStyle name="Normal 2 2 3 4" xfId="1524"/>
    <cellStyle name="Normal 2 2 3 5" xfId="1525"/>
    <cellStyle name="Normal 2 2 4" xfId="1526"/>
    <cellStyle name="Normal 2 2 4 2" xfId="1527"/>
    <cellStyle name="Normal 2 2 4 2 2" xfId="1528"/>
    <cellStyle name="Normal 2 2 4 2 3" xfId="1529"/>
    <cellStyle name="Normal 2 2 4 3" xfId="1530"/>
    <cellStyle name="Normal 2 2 4 4" xfId="1531"/>
    <cellStyle name="Normal 2 2 5" xfId="1532"/>
    <cellStyle name="Normal 2 2 5 2" xfId="1533"/>
    <cellStyle name="Normal 2 2 5 2 2" xfId="1534"/>
    <cellStyle name="Normal 2 2 5 2 3" xfId="1535"/>
    <cellStyle name="Normal 2 2 5 3" xfId="1536"/>
    <cellStyle name="Normal 2 2 5 4" xfId="1537"/>
    <cellStyle name="Normal 2 2 6" xfId="1538"/>
    <cellStyle name="Normal 2 2 6 2" xfId="1539"/>
    <cellStyle name="Normal 2 2 6 2 2" xfId="1540"/>
    <cellStyle name="Normal 2 2 6 2 3" xfId="1541"/>
    <cellStyle name="Normal 2 2 6 3" xfId="1542"/>
    <cellStyle name="Normal 2 2 6 4" xfId="1543"/>
    <cellStyle name="Normal 2 2 7" xfId="1544"/>
    <cellStyle name="Normal 2 2 7 2" xfId="1545"/>
    <cellStyle name="Normal 2 2 7 2 2" xfId="1546"/>
    <cellStyle name="Normal 2 2 7 2 3" xfId="1547"/>
    <cellStyle name="Normal 2 2 7 3" xfId="1548"/>
    <cellStyle name="Normal 2 2 7 4" xfId="1549"/>
    <cellStyle name="Normal 2 2 8" xfId="1550"/>
    <cellStyle name="Normal 2 2 8 2" xfId="1551"/>
    <cellStyle name="Normal 2 2 8 2 2" xfId="1552"/>
    <cellStyle name="Normal 2 2 8 2 3" xfId="1553"/>
    <cellStyle name="Normal 2 2 8 3" xfId="1554"/>
    <cellStyle name="Normal 2 2 8 4" xfId="1555"/>
    <cellStyle name="Normal 2 2 9" xfId="1556"/>
    <cellStyle name="Normal 2 2 9 2" xfId="1557"/>
    <cellStyle name="Normal 2 2 9 2 2" xfId="1558"/>
    <cellStyle name="Normal 2 2 9 2 3" xfId="1559"/>
    <cellStyle name="Normal 2 2 9 3" xfId="1560"/>
    <cellStyle name="Normal 2 2 9 4" xfId="1561"/>
    <cellStyle name="Normal 2 20" xfId="1562"/>
    <cellStyle name="Normal 2 21" xfId="1563"/>
    <cellStyle name="Normal 2 22" xfId="1564"/>
    <cellStyle name="Normal 2 23" xfId="1565"/>
    <cellStyle name="Normal 2 3" xfId="1566"/>
    <cellStyle name="Normal 2 3 10" xfId="1567"/>
    <cellStyle name="Normal 2 3 10 2" xfId="1568"/>
    <cellStyle name="Normal 2 3 10 2 2" xfId="1569"/>
    <cellStyle name="Normal 2 3 10 2 3" xfId="1570"/>
    <cellStyle name="Normal 2 3 10 3" xfId="1571"/>
    <cellStyle name="Normal 2 3 10 4" xfId="1572"/>
    <cellStyle name="Normal 2 3 11" xfId="1573"/>
    <cellStyle name="Normal 2 3 11 2" xfId="1574"/>
    <cellStyle name="Normal 2 3 11 2 2" xfId="1575"/>
    <cellStyle name="Normal 2 3 11 2 3" xfId="1576"/>
    <cellStyle name="Normal 2 3 11 3" xfId="1577"/>
    <cellStyle name="Normal 2 3 11 4" xfId="1578"/>
    <cellStyle name="Normal 2 3 12" xfId="1579"/>
    <cellStyle name="Normal 2 3 12 2" xfId="1580"/>
    <cellStyle name="Normal 2 3 12 2 2" xfId="1581"/>
    <cellStyle name="Normal 2 3 12 2 3" xfId="1582"/>
    <cellStyle name="Normal 2 3 12 3" xfId="1583"/>
    <cellStyle name="Normal 2 3 12 4" xfId="1584"/>
    <cellStyle name="Normal 2 3 13" xfId="1585"/>
    <cellStyle name="Normal 2 3 13 2" xfId="1586"/>
    <cellStyle name="Normal 2 3 13 2 2" xfId="1587"/>
    <cellStyle name="Normal 2 3 13 2 3" xfId="1588"/>
    <cellStyle name="Normal 2 3 13 3" xfId="1589"/>
    <cellStyle name="Normal 2 3 13 4" xfId="1590"/>
    <cellStyle name="Normal 2 3 14" xfId="1591"/>
    <cellStyle name="Normal 2 3 15" xfId="1592"/>
    <cellStyle name="Normal 2 3 16" xfId="1593"/>
    <cellStyle name="Normal 2 3 2" xfId="1594"/>
    <cellStyle name="Normal 2 3 2 2" xfId="1595"/>
    <cellStyle name="Normal 2 3 2 2 2" xfId="1596"/>
    <cellStyle name="Normal 2 3 2 2 3" xfId="1597"/>
    <cellStyle name="Normal 2 3 2 3" xfId="1598"/>
    <cellStyle name="Normal 2 3 2 4" xfId="1599"/>
    <cellStyle name="Normal 2 3 2 5" xfId="1600"/>
    <cellStyle name="Normal 2 3 3" xfId="1601"/>
    <cellStyle name="Normal 2 3 3 2" xfId="1602"/>
    <cellStyle name="Normal 2 3 3 2 2" xfId="1603"/>
    <cellStyle name="Normal 2 3 3 2 3" xfId="1604"/>
    <cellStyle name="Normal 2 3 3 3" xfId="1605"/>
    <cellStyle name="Normal 2 3 3 4" xfId="1606"/>
    <cellStyle name="Normal 2 3 3 5" xfId="1607"/>
    <cellStyle name="Normal 2 3 4" xfId="1608"/>
    <cellStyle name="Normal 2 3 4 2" xfId="1609"/>
    <cellStyle name="Normal 2 3 4 2 2" xfId="1610"/>
    <cellStyle name="Normal 2 3 4 2 3" xfId="1611"/>
    <cellStyle name="Normal 2 3 4 3" xfId="1612"/>
    <cellStyle name="Normal 2 3 4 4" xfId="1613"/>
    <cellStyle name="Normal 2 3 5" xfId="1614"/>
    <cellStyle name="Normal 2 3 5 2" xfId="1615"/>
    <cellStyle name="Normal 2 3 5 2 2" xfId="1616"/>
    <cellStyle name="Normal 2 3 5 2 3" xfId="1617"/>
    <cellStyle name="Normal 2 3 5 3" xfId="1618"/>
    <cellStyle name="Normal 2 3 5 4" xfId="1619"/>
    <cellStyle name="Normal 2 3 6" xfId="1620"/>
    <cellStyle name="Normal 2 3 6 2" xfId="1621"/>
    <cellStyle name="Normal 2 3 6 2 2" xfId="1622"/>
    <cellStyle name="Normal 2 3 6 2 3" xfId="1623"/>
    <cellStyle name="Normal 2 3 6 3" xfId="1624"/>
    <cellStyle name="Normal 2 3 6 4" xfId="1625"/>
    <cellStyle name="Normal 2 3 7" xfId="1626"/>
    <cellStyle name="Normal 2 3 7 2" xfId="1627"/>
    <cellStyle name="Normal 2 3 7 2 2" xfId="1628"/>
    <cellStyle name="Normal 2 3 7 2 3" xfId="1629"/>
    <cellStyle name="Normal 2 3 7 3" xfId="1630"/>
    <cellStyle name="Normal 2 3 7 4" xfId="1631"/>
    <cellStyle name="Normal 2 3 8" xfId="1632"/>
    <cellStyle name="Normal 2 3 8 2" xfId="1633"/>
    <cellStyle name="Normal 2 3 8 2 2" xfId="1634"/>
    <cellStyle name="Normal 2 3 8 2 3" xfId="1635"/>
    <cellStyle name="Normal 2 3 8 3" xfId="1636"/>
    <cellStyle name="Normal 2 3 8 4" xfId="1637"/>
    <cellStyle name="Normal 2 3 9" xfId="1638"/>
    <cellStyle name="Normal 2 3 9 2" xfId="1639"/>
    <cellStyle name="Normal 2 3 9 2 2" xfId="1640"/>
    <cellStyle name="Normal 2 3 9 2 3" xfId="1641"/>
    <cellStyle name="Normal 2 3 9 3" xfId="1642"/>
    <cellStyle name="Normal 2 3 9 4" xfId="1643"/>
    <cellStyle name="Normal 2 4" xfId="1644"/>
    <cellStyle name="Normal 2 4 10" xfId="1645"/>
    <cellStyle name="Normal 2 4 10 2" xfId="1646"/>
    <cellStyle name="Normal 2 4 10 2 2" xfId="1647"/>
    <cellStyle name="Normal 2 4 10 2 3" xfId="1648"/>
    <cellStyle name="Normal 2 4 10 3" xfId="1649"/>
    <cellStyle name="Normal 2 4 10 4" xfId="1650"/>
    <cellStyle name="Normal 2 4 11" xfId="1651"/>
    <cellStyle name="Normal 2 4 11 2" xfId="1652"/>
    <cellStyle name="Normal 2 4 11 2 2" xfId="1653"/>
    <cellStyle name="Normal 2 4 11 2 3" xfId="1654"/>
    <cellStyle name="Normal 2 4 11 3" xfId="1655"/>
    <cellStyle name="Normal 2 4 11 4" xfId="1656"/>
    <cellStyle name="Normal 2 4 12" xfId="1657"/>
    <cellStyle name="Normal 2 4 12 2" xfId="1658"/>
    <cellStyle name="Normal 2 4 12 2 2" xfId="1659"/>
    <cellStyle name="Normal 2 4 12 2 3" xfId="1660"/>
    <cellStyle name="Normal 2 4 12 3" xfId="1661"/>
    <cellStyle name="Normal 2 4 12 4" xfId="1662"/>
    <cellStyle name="Normal 2 4 13" xfId="1663"/>
    <cellStyle name="Normal 2 4 13 2" xfId="1664"/>
    <cellStyle name="Normal 2 4 13 2 2" xfId="1665"/>
    <cellStyle name="Normal 2 4 13 2 3" xfId="1666"/>
    <cellStyle name="Normal 2 4 13 3" xfId="1667"/>
    <cellStyle name="Normal 2 4 13 4" xfId="1668"/>
    <cellStyle name="Normal 2 4 14" xfId="1669"/>
    <cellStyle name="Normal 2 4 15" xfId="1670"/>
    <cellStyle name="Normal 2 4 2" xfId="1671"/>
    <cellStyle name="Normal 2 4 2 2" xfId="1672"/>
    <cellStyle name="Normal 2 4 2 2 2" xfId="1673"/>
    <cellStyle name="Normal 2 4 2 2 3" xfId="1674"/>
    <cellStyle name="Normal 2 4 2 3" xfId="1675"/>
    <cellStyle name="Normal 2 4 2 4" xfId="1676"/>
    <cellStyle name="Normal 2 4 3" xfId="1677"/>
    <cellStyle name="Normal 2 4 3 2" xfId="1678"/>
    <cellStyle name="Normal 2 4 3 2 2" xfId="1679"/>
    <cellStyle name="Normal 2 4 3 2 3" xfId="1680"/>
    <cellStyle name="Normal 2 4 3 3" xfId="1681"/>
    <cellStyle name="Normal 2 4 3 4" xfId="1682"/>
    <cellStyle name="Normal 2 4 4" xfId="1683"/>
    <cellStyle name="Normal 2 4 4 2" xfId="1684"/>
    <cellStyle name="Normal 2 4 4 2 2" xfId="1685"/>
    <cellStyle name="Normal 2 4 4 2 3" xfId="1686"/>
    <cellStyle name="Normal 2 4 4 3" xfId="1687"/>
    <cellStyle name="Normal 2 4 4 4" xfId="1688"/>
    <cellStyle name="Normal 2 4 5" xfId="1689"/>
    <cellStyle name="Normal 2 4 5 2" xfId="1690"/>
    <cellStyle name="Normal 2 4 5 2 2" xfId="1691"/>
    <cellStyle name="Normal 2 4 5 2 3" xfId="1692"/>
    <cellStyle name="Normal 2 4 5 3" xfId="1693"/>
    <cellStyle name="Normal 2 4 5 4" xfId="1694"/>
    <cellStyle name="Normal 2 4 6" xfId="1695"/>
    <cellStyle name="Normal 2 4 6 2" xfId="1696"/>
    <cellStyle name="Normal 2 4 6 2 2" xfId="1697"/>
    <cellStyle name="Normal 2 4 6 2 3" xfId="1698"/>
    <cellStyle name="Normal 2 4 6 3" xfId="1699"/>
    <cellStyle name="Normal 2 4 6 4" xfId="1700"/>
    <cellStyle name="Normal 2 4 7" xfId="1701"/>
    <cellStyle name="Normal 2 4 7 2" xfId="1702"/>
    <cellStyle name="Normal 2 4 7 2 2" xfId="1703"/>
    <cellStyle name="Normal 2 4 7 2 3" xfId="1704"/>
    <cellStyle name="Normal 2 4 7 3" xfId="1705"/>
    <cellStyle name="Normal 2 4 7 4" xfId="1706"/>
    <cellStyle name="Normal 2 4 8" xfId="1707"/>
    <cellStyle name="Normal 2 4 8 2" xfId="1708"/>
    <cellStyle name="Normal 2 4 8 2 2" xfId="1709"/>
    <cellStyle name="Normal 2 4 8 2 3" xfId="1710"/>
    <cellStyle name="Normal 2 4 8 3" xfId="1711"/>
    <cellStyle name="Normal 2 4 8 4" xfId="1712"/>
    <cellStyle name="Normal 2 4 9" xfId="1713"/>
    <cellStyle name="Normal 2 4 9 2" xfId="1714"/>
    <cellStyle name="Normal 2 4 9 2 2" xfId="1715"/>
    <cellStyle name="Normal 2 4 9 2 3" xfId="1716"/>
    <cellStyle name="Normal 2 4 9 3" xfId="1717"/>
    <cellStyle name="Normal 2 4 9 4" xfId="1718"/>
    <cellStyle name="Normal 2 5" xfId="1719"/>
    <cellStyle name="Normal 2 5 2" xfId="1720"/>
    <cellStyle name="Normal 2 5 3" xfId="1721"/>
    <cellStyle name="Normal 2 6" xfId="1722"/>
    <cellStyle name="Normal 2 6 2" xfId="1723"/>
    <cellStyle name="Normal 2 6 3" xfId="1724"/>
    <cellStyle name="Normal 2 7" xfId="1725"/>
    <cellStyle name="Normal 2 7 2" xfId="1726"/>
    <cellStyle name="Normal 2 7 3" xfId="1727"/>
    <cellStyle name="Normal 2 8" xfId="1728"/>
    <cellStyle name="Normal 2 8 2" xfId="1729"/>
    <cellStyle name="Normal 2 8 3" xfId="1730"/>
    <cellStyle name="Normal 2 9" xfId="1731"/>
    <cellStyle name="Normal 2 9 2" xfId="1732"/>
    <cellStyle name="Normal 2_OTHsectors" xfId="1733"/>
    <cellStyle name="Normal 20" xfId="1734"/>
    <cellStyle name="Normal 21" xfId="1735"/>
    <cellStyle name="Normal 21 2" xfId="1736"/>
    <cellStyle name="Normal 22" xfId="1737"/>
    <cellStyle name="Normal 26" xfId="1738"/>
    <cellStyle name="Normal 26 2" xfId="1739"/>
    <cellStyle name="Normal 3" xfId="1740"/>
    <cellStyle name="Normal 3 10" xfId="1741"/>
    <cellStyle name="Normal 3 10 2" xfId="1742"/>
    <cellStyle name="Normal 3 11" xfId="1743"/>
    <cellStyle name="Normal 3 11 2" xfId="1744"/>
    <cellStyle name="Normal 3 12" xfId="1745"/>
    <cellStyle name="Normal 3 12 2" xfId="1746"/>
    <cellStyle name="Normal 3 13" xfId="1747"/>
    <cellStyle name="Normal 3 13 2" xfId="1748"/>
    <cellStyle name="Normal 3 14" xfId="1749"/>
    <cellStyle name="Normal 3 14 2" xfId="1750"/>
    <cellStyle name="Normal 3 14 3" xfId="1751"/>
    <cellStyle name="Normal 3 15" xfId="1752"/>
    <cellStyle name="Normal 3 16" xfId="1753"/>
    <cellStyle name="Normal 3 17" xfId="1754"/>
    <cellStyle name="Normal 3 18" xfId="1755"/>
    <cellStyle name="Normal 3 2" xfId="1756"/>
    <cellStyle name="Normal 3 2 10" xfId="1757"/>
    <cellStyle name="Normal 3 2 11" xfId="1758"/>
    <cellStyle name="Normal 3 2 2" xfId="1759"/>
    <cellStyle name="Normal 3 2 2 2" xfId="1760"/>
    <cellStyle name="Normal 3 2 2 3" xfId="1761"/>
    <cellStyle name="Normal 3 2 3" xfId="1762"/>
    <cellStyle name="Normal 3 2 3 2" xfId="1763"/>
    <cellStyle name="Normal 3 2 4" xfId="1764"/>
    <cellStyle name="Normal 3 2 4 2" xfId="1765"/>
    <cellStyle name="Normal 3 2 5" xfId="1766"/>
    <cellStyle name="Normal 3 2 5 2" xfId="1767"/>
    <cellStyle name="Normal 3 2 6" xfId="1768"/>
    <cellStyle name="Normal 3 2 6 2" xfId="1769"/>
    <cellStyle name="Normal 3 2 7" xfId="1770"/>
    <cellStyle name="Normal 3 2 7 2" xfId="1771"/>
    <cellStyle name="Normal 3 2 8" xfId="1772"/>
    <cellStyle name="Normal 3 2 8 2" xfId="1773"/>
    <cellStyle name="Normal 3 2 9" xfId="1774"/>
    <cellStyle name="Normal 3 3" xfId="1775"/>
    <cellStyle name="Normal 3 3 10" xfId="1776"/>
    <cellStyle name="Normal 3 3 2" xfId="1777"/>
    <cellStyle name="Normal 3 3 2 2" xfId="1778"/>
    <cellStyle name="Normal 3 3 3" xfId="1779"/>
    <cellStyle name="Normal 3 3 3 2" xfId="1780"/>
    <cellStyle name="Normal 3 3 4" xfId="1781"/>
    <cellStyle name="Normal 3 3 4 2" xfId="1782"/>
    <cellStyle name="Normal 3 3 5" xfId="1783"/>
    <cellStyle name="Normal 3 3 5 2" xfId="1784"/>
    <cellStyle name="Normal 3 3 6" xfId="1785"/>
    <cellStyle name="Normal 3 3 6 2" xfId="1786"/>
    <cellStyle name="Normal 3 3 7" xfId="1787"/>
    <cellStyle name="Normal 3 3 7 2" xfId="1788"/>
    <cellStyle name="Normal 3 3 8" xfId="1789"/>
    <cellStyle name="Normal 3 3 8 2" xfId="1790"/>
    <cellStyle name="Normal 3 3 9" xfId="1791"/>
    <cellStyle name="Normal 3 4" xfId="1792"/>
    <cellStyle name="Normal 3 4 10" xfId="1793"/>
    <cellStyle name="Normal 3 4 2" xfId="1794"/>
    <cellStyle name="Normal 3 4 2 2" xfId="1795"/>
    <cellStyle name="Normal 3 4 2 3" xfId="1796"/>
    <cellStyle name="Normal 3 4 3" xfId="1797"/>
    <cellStyle name="Normal 3 4 3 2" xfId="1798"/>
    <cellStyle name="Normal 3 4 4" xfId="1799"/>
    <cellStyle name="Normal 3 4 4 2" xfId="1800"/>
    <cellStyle name="Normal 3 4 5" xfId="1801"/>
    <cellStyle name="Normal 3 4 5 2" xfId="1802"/>
    <cellStyle name="Normal 3 4 6" xfId="1803"/>
    <cellStyle name="Normal 3 4 6 2" xfId="1804"/>
    <cellStyle name="Normal 3 4 7" xfId="1805"/>
    <cellStyle name="Normal 3 4 7 2" xfId="1806"/>
    <cellStyle name="Normal 3 4 8" xfId="1807"/>
    <cellStyle name="Normal 3 4 8 2" xfId="1808"/>
    <cellStyle name="Normal 3 4 9" xfId="1809"/>
    <cellStyle name="Normal 3 5" xfId="1810"/>
    <cellStyle name="Normal 3 5 10" xfId="1811"/>
    <cellStyle name="Normal 3 5 2" xfId="1812"/>
    <cellStyle name="Normal 3 5 2 2" xfId="1813"/>
    <cellStyle name="Normal 3 5 3" xfId="1814"/>
    <cellStyle name="Normal 3 5 3 2" xfId="1815"/>
    <cellStyle name="Normal 3 5 4" xfId="1816"/>
    <cellStyle name="Normal 3 5 4 2" xfId="1817"/>
    <cellStyle name="Normal 3 5 5" xfId="1818"/>
    <cellStyle name="Normal 3 5 5 2" xfId="1819"/>
    <cellStyle name="Normal 3 5 6" xfId="1820"/>
    <cellStyle name="Normal 3 5 6 2" xfId="1821"/>
    <cellStyle name="Normal 3 5 7" xfId="1822"/>
    <cellStyle name="Normal 3 5 7 2" xfId="1823"/>
    <cellStyle name="Normal 3 5 8" xfId="1824"/>
    <cellStyle name="Normal 3 5 8 2" xfId="1825"/>
    <cellStyle name="Normal 3 5 9" xfId="1826"/>
    <cellStyle name="Normal 3 6" xfId="1827"/>
    <cellStyle name="Normal 3 6 2" xfId="1828"/>
    <cellStyle name="Normal 3 6 3" xfId="1829"/>
    <cellStyle name="Normal 3 7" xfId="1830"/>
    <cellStyle name="Normal 3 7 2" xfId="1831"/>
    <cellStyle name="Normal 3 8" xfId="1832"/>
    <cellStyle name="Normal 3 8 2" xfId="1833"/>
    <cellStyle name="Normal 3 9" xfId="1834"/>
    <cellStyle name="Normal 3 9 2" xfId="1835"/>
    <cellStyle name="Normal 4" xfId="1836"/>
    <cellStyle name="Normal 4 10" xfId="1837"/>
    <cellStyle name="Normal 4 10 2" xfId="1838"/>
    <cellStyle name="Normal 4 11" xfId="1839"/>
    <cellStyle name="Normal 4 11 2" xfId="1840"/>
    <cellStyle name="Normal 4 12" xfId="1841"/>
    <cellStyle name="Normal 4 12 2" xfId="1842"/>
    <cellStyle name="Normal 4 13" xfId="1843"/>
    <cellStyle name="Normal 4 14" xfId="1844"/>
    <cellStyle name="Normal 4 15" xfId="1845"/>
    <cellStyle name="Normal 4 2" xfId="1846"/>
    <cellStyle name="Normal 4 2 10" xfId="1847"/>
    <cellStyle name="Normal 4 2 2" xfId="1848"/>
    <cellStyle name="Normal 4 2 2 10" xfId="1849"/>
    <cellStyle name="Normal 4 2 2 10 2" xfId="1850"/>
    <cellStyle name="Normal 4 2 2 10 2 2" xfId="1851"/>
    <cellStyle name="Normal 4 2 2 10 2 3" xfId="1852"/>
    <cellStyle name="Normal 4 2 2 10 3" xfId="1853"/>
    <cellStyle name="Normal 4 2 2 10 4" xfId="1854"/>
    <cellStyle name="Normal 4 2 2 11" xfId="1855"/>
    <cellStyle name="Normal 4 2 2 11 2" xfId="1856"/>
    <cellStyle name="Normal 4 2 2 11 2 2" xfId="1857"/>
    <cellStyle name="Normal 4 2 2 11 2 3" xfId="1858"/>
    <cellStyle name="Normal 4 2 2 11 3" xfId="1859"/>
    <cellStyle name="Normal 4 2 2 11 4" xfId="1860"/>
    <cellStyle name="Normal 4 2 2 12" xfId="1861"/>
    <cellStyle name="Normal 4 2 2 12 2" xfId="1862"/>
    <cellStyle name="Normal 4 2 2 12 2 2" xfId="1863"/>
    <cellStyle name="Normal 4 2 2 12 2 3" xfId="1864"/>
    <cellStyle name="Normal 4 2 2 12 3" xfId="1865"/>
    <cellStyle name="Normal 4 2 2 12 4" xfId="1866"/>
    <cellStyle name="Normal 4 2 2 13" xfId="1867"/>
    <cellStyle name="Normal 4 2 2 13 2" xfId="1868"/>
    <cellStyle name="Normal 4 2 2 13 2 2" xfId="1869"/>
    <cellStyle name="Normal 4 2 2 13 2 3" xfId="1870"/>
    <cellStyle name="Normal 4 2 2 13 3" xfId="1871"/>
    <cellStyle name="Normal 4 2 2 13 4" xfId="1872"/>
    <cellStyle name="Normal 4 2 2 14" xfId="1873"/>
    <cellStyle name="Normal 4 2 2 2" xfId="1874"/>
    <cellStyle name="Normal 4 2 2 2 10" xfId="1875"/>
    <cellStyle name="Normal 4 2 2 2 10 2" xfId="1876"/>
    <cellStyle name="Normal 4 2 2 2 11" xfId="1877"/>
    <cellStyle name="Normal 4 2 2 2 11 2" xfId="1878"/>
    <cellStyle name="Normal 4 2 2 2 12" xfId="1879"/>
    <cellStyle name="Normal 4 2 2 2 12 2" xfId="1880"/>
    <cellStyle name="Normal 4 2 2 2 13" xfId="1881"/>
    <cellStyle name="Normal 4 2 2 2 13 2" xfId="1882"/>
    <cellStyle name="Normal 4 2 2 2 14" xfId="1883"/>
    <cellStyle name="Normal 4 2 2 2 14 2" xfId="1884"/>
    <cellStyle name="Normal 4 2 2 2 14 3" xfId="1885"/>
    <cellStyle name="Normal 4 2 2 2 15" xfId="1886"/>
    <cellStyle name="Normal 4 2 2 2 16" xfId="1887"/>
    <cellStyle name="Normal 4 2 2 2 2" xfId="1888"/>
    <cellStyle name="Normal 4 2 2 2 2 2" xfId="1889"/>
    <cellStyle name="Normal 4 2 2 2 3" xfId="1890"/>
    <cellStyle name="Normal 4 2 2 2 3 2" xfId="1891"/>
    <cellStyle name="Normal 4 2 2 2 4" xfId="1892"/>
    <cellStyle name="Normal 4 2 2 2 4 2" xfId="1893"/>
    <cellStyle name="Normal 4 2 2 2 5" xfId="1894"/>
    <cellStyle name="Normal 4 2 2 2 5 2" xfId="1895"/>
    <cellStyle name="Normal 4 2 2 2 6" xfId="1896"/>
    <cellStyle name="Normal 4 2 2 2 6 2" xfId="1897"/>
    <cellStyle name="Normal 4 2 2 2 7" xfId="1898"/>
    <cellStyle name="Normal 4 2 2 2 7 2" xfId="1899"/>
    <cellStyle name="Normal 4 2 2 2 8" xfId="1900"/>
    <cellStyle name="Normal 4 2 2 2 8 2" xfId="1901"/>
    <cellStyle name="Normal 4 2 2 2 9" xfId="1902"/>
    <cellStyle name="Normal 4 2 2 2 9 2" xfId="1903"/>
    <cellStyle name="Normal 4 2 2 3" xfId="1904"/>
    <cellStyle name="Normal 4 2 2 3 2" xfId="1905"/>
    <cellStyle name="Normal 4 2 2 3 2 2" xfId="1906"/>
    <cellStyle name="Normal 4 2 2 3 2 3" xfId="1907"/>
    <cellStyle name="Normal 4 2 2 3 3" xfId="1908"/>
    <cellStyle name="Normal 4 2 2 3 4" xfId="1909"/>
    <cellStyle name="Normal 4 2 2 4" xfId="1910"/>
    <cellStyle name="Normal 4 2 2 4 2" xfId="1911"/>
    <cellStyle name="Normal 4 2 2 4 2 2" xfId="1912"/>
    <cellStyle name="Normal 4 2 2 4 2 3" xfId="1913"/>
    <cellStyle name="Normal 4 2 2 4 3" xfId="1914"/>
    <cellStyle name="Normal 4 2 2 4 4" xfId="1915"/>
    <cellStyle name="Normal 4 2 2 5" xfId="1916"/>
    <cellStyle name="Normal 4 2 2 5 2" xfId="1917"/>
    <cellStyle name="Normal 4 2 2 5 2 2" xfId="1918"/>
    <cellStyle name="Normal 4 2 2 5 2 3" xfId="1919"/>
    <cellStyle name="Normal 4 2 2 5 3" xfId="1920"/>
    <cellStyle name="Normal 4 2 2 5 4" xfId="1921"/>
    <cellStyle name="Normal 4 2 2 6" xfId="1922"/>
    <cellStyle name="Normal 4 2 2 6 2" xfId="1923"/>
    <cellStyle name="Normal 4 2 2 6 2 2" xfId="1924"/>
    <cellStyle name="Normal 4 2 2 6 2 3" xfId="1925"/>
    <cellStyle name="Normal 4 2 2 6 3" xfId="1926"/>
    <cellStyle name="Normal 4 2 2 6 4" xfId="1927"/>
    <cellStyle name="Normal 4 2 2 7" xfId="1928"/>
    <cellStyle name="Normal 4 2 2 7 2" xfId="1929"/>
    <cellStyle name="Normal 4 2 2 7 2 2" xfId="1930"/>
    <cellStyle name="Normal 4 2 2 7 2 3" xfId="1931"/>
    <cellStyle name="Normal 4 2 2 7 3" xfId="1932"/>
    <cellStyle name="Normal 4 2 2 7 4" xfId="1933"/>
    <cellStyle name="Normal 4 2 2 8" xfId="1934"/>
    <cellStyle name="Normal 4 2 2 8 2" xfId="1935"/>
    <cellStyle name="Normal 4 2 2 8 2 2" xfId="1936"/>
    <cellStyle name="Normal 4 2 2 8 2 3" xfId="1937"/>
    <cellStyle name="Normal 4 2 2 8 3" xfId="1938"/>
    <cellStyle name="Normal 4 2 2 8 4" xfId="1939"/>
    <cellStyle name="Normal 4 2 2 9" xfId="1940"/>
    <cellStyle name="Normal 4 2 2 9 2" xfId="1941"/>
    <cellStyle name="Normal 4 2 2 9 2 2" xfId="1942"/>
    <cellStyle name="Normal 4 2 2 9 2 3" xfId="1943"/>
    <cellStyle name="Normal 4 2 2 9 3" xfId="1944"/>
    <cellStyle name="Normal 4 2 2 9 4" xfId="1945"/>
    <cellStyle name="Normal 4 2 3" xfId="1946"/>
    <cellStyle name="Normal 4 2 3 2" xfId="1947"/>
    <cellStyle name="Normal 4 2 4" xfId="1948"/>
    <cellStyle name="Normal 4 2 4 2" xfId="1949"/>
    <cellStyle name="Normal 4 2 5" xfId="1950"/>
    <cellStyle name="Normal 4 2 5 2" xfId="1951"/>
    <cellStyle name="Normal 4 2 6" xfId="1952"/>
    <cellStyle name="Normal 4 2 6 2" xfId="1953"/>
    <cellStyle name="Normal 4 2 7" xfId="1954"/>
    <cellStyle name="Normal 4 2 7 2" xfId="1955"/>
    <cellStyle name="Normal 4 2 8" xfId="1956"/>
    <cellStyle name="Normal 4 2 8 2" xfId="1957"/>
    <cellStyle name="Normal 4 2 9" xfId="1958"/>
    <cellStyle name="Normal 4 3" xfId="1959"/>
    <cellStyle name="Normal 4 3 10" xfId="1960"/>
    <cellStyle name="Normal 4 3 2" xfId="1961"/>
    <cellStyle name="Normal 4 3 2 2" xfId="1962"/>
    <cellStyle name="Normal 4 3 3" xfId="1963"/>
    <cellStyle name="Normal 4 3 3 2" xfId="1964"/>
    <cellStyle name="Normal 4 3 4" xfId="1965"/>
    <cellStyle name="Normal 4 3 4 2" xfId="1966"/>
    <cellStyle name="Normal 4 3 5" xfId="1967"/>
    <cellStyle name="Normal 4 3 5 2" xfId="1968"/>
    <cellStyle name="Normal 4 3 6" xfId="1969"/>
    <cellStyle name="Normal 4 3 6 2" xfId="1970"/>
    <cellStyle name="Normal 4 3 7" xfId="1971"/>
    <cellStyle name="Normal 4 3 7 2" xfId="1972"/>
    <cellStyle name="Normal 4 3 8" xfId="1973"/>
    <cellStyle name="Normal 4 3 8 2" xfId="1974"/>
    <cellStyle name="Normal 4 3 9" xfId="1975"/>
    <cellStyle name="Normal 4 4" xfId="1976"/>
    <cellStyle name="Normal 4 4 10" xfId="1977"/>
    <cellStyle name="Normal 4 4 2" xfId="1978"/>
    <cellStyle name="Normal 4 4 2 2" xfId="1979"/>
    <cellStyle name="Normal 4 4 3" xfId="1980"/>
    <cellStyle name="Normal 4 4 3 2" xfId="1981"/>
    <cellStyle name="Normal 4 4 4" xfId="1982"/>
    <cellStyle name="Normal 4 4 4 2" xfId="1983"/>
    <cellStyle name="Normal 4 4 5" xfId="1984"/>
    <cellStyle name="Normal 4 4 5 2" xfId="1985"/>
    <cellStyle name="Normal 4 4 6" xfId="1986"/>
    <cellStyle name="Normal 4 4 6 2" xfId="1987"/>
    <cellStyle name="Normal 4 4 7" xfId="1988"/>
    <cellStyle name="Normal 4 4 7 2" xfId="1989"/>
    <cellStyle name="Normal 4 4 8" xfId="1990"/>
    <cellStyle name="Normal 4 4 8 2" xfId="1991"/>
    <cellStyle name="Normal 4 4 9" xfId="1992"/>
    <cellStyle name="Normal 4 5" xfId="1993"/>
    <cellStyle name="Normal 4 5 2" xfId="1994"/>
    <cellStyle name="Normal 4 5 2 2" xfId="1995"/>
    <cellStyle name="Normal 4 5 3" xfId="1996"/>
    <cellStyle name="Normal 4 5 3 2" xfId="1997"/>
    <cellStyle name="Normal 4 5 4" xfId="1998"/>
    <cellStyle name="Normal 4 5 4 2" xfId="1999"/>
    <cellStyle name="Normal 4 5 5" xfId="2000"/>
    <cellStyle name="Normal 4 5 5 2" xfId="2001"/>
    <cellStyle name="Normal 4 5 6" xfId="2002"/>
    <cellStyle name="Normal 4 5 6 2" xfId="2003"/>
    <cellStyle name="Normal 4 5 7" xfId="2004"/>
    <cellStyle name="Normal 4 5 7 2" xfId="2005"/>
    <cellStyle name="Normal 4 5 8" xfId="2006"/>
    <cellStyle name="Normal 4 5 8 2" xfId="2007"/>
    <cellStyle name="Normal 4 5 9" xfId="2008"/>
    <cellStyle name="Normal 4 6" xfId="2009"/>
    <cellStyle name="Normal 4 6 2" xfId="2010"/>
    <cellStyle name="Normal 4 7" xfId="2011"/>
    <cellStyle name="Normal 4 7 2" xfId="2012"/>
    <cellStyle name="Normal 4 8" xfId="2013"/>
    <cellStyle name="Normal 4 8 2" xfId="2014"/>
    <cellStyle name="Normal 4 9" xfId="2015"/>
    <cellStyle name="Normal 4 9 2" xfId="2016"/>
    <cellStyle name="Normal 5" xfId="2017"/>
    <cellStyle name="Normal 5 10" xfId="2018"/>
    <cellStyle name="Normal 5 10 2" xfId="2019"/>
    <cellStyle name="Normal 5 11" xfId="2020"/>
    <cellStyle name="Normal 5 11 2" xfId="2021"/>
    <cellStyle name="Normal 5 12" xfId="2022"/>
    <cellStyle name="Normal 5 12 2" xfId="2023"/>
    <cellStyle name="Normal 5 13" xfId="2024"/>
    <cellStyle name="Normal 5 13 2" xfId="2025"/>
    <cellStyle name="Normal 5 14" xfId="2026"/>
    <cellStyle name="Normal 5 14 2" xfId="2027"/>
    <cellStyle name="Normal 5 14 3" xfId="2028"/>
    <cellStyle name="Normal 5 15" xfId="2029"/>
    <cellStyle name="Normal 5 16" xfId="2030"/>
    <cellStyle name="Normal 5 17" xfId="2031"/>
    <cellStyle name="Normal 5 18" xfId="2032"/>
    <cellStyle name="Normal 5 2" xfId="2033"/>
    <cellStyle name="Normal 5 2 10" xfId="2034"/>
    <cellStyle name="Normal 5 2 10 2" xfId="2035"/>
    <cellStyle name="Normal 5 2 10 3" xfId="2036"/>
    <cellStyle name="Normal 5 2 11" xfId="2037"/>
    <cellStyle name="Normal 5 2 12" xfId="2038"/>
    <cellStyle name="Normal 5 2 13" xfId="2039"/>
    <cellStyle name="Normal 5 2 14" xfId="2040"/>
    <cellStyle name="Normal 5 2 2" xfId="2041"/>
    <cellStyle name="Normal 5 2 2 10" xfId="2042"/>
    <cellStyle name="Normal 5 2 2 10 2" xfId="2043"/>
    <cellStyle name="Normal 5 2 2 10 2 2" xfId="2044"/>
    <cellStyle name="Normal 5 2 2 10 2 3" xfId="2045"/>
    <cellStyle name="Normal 5 2 2 10 3" xfId="2046"/>
    <cellStyle name="Normal 5 2 2 10 4" xfId="2047"/>
    <cellStyle name="Normal 5 2 2 11" xfId="2048"/>
    <cellStyle name="Normal 5 2 2 11 2" xfId="2049"/>
    <cellStyle name="Normal 5 2 2 11 2 2" xfId="2050"/>
    <cellStyle name="Normal 5 2 2 11 2 3" xfId="2051"/>
    <cellStyle name="Normal 5 2 2 11 3" xfId="2052"/>
    <cellStyle name="Normal 5 2 2 11 4" xfId="2053"/>
    <cellStyle name="Normal 5 2 2 12" xfId="2054"/>
    <cellStyle name="Normal 5 2 2 12 2" xfId="2055"/>
    <cellStyle name="Normal 5 2 2 12 2 2" xfId="2056"/>
    <cellStyle name="Normal 5 2 2 12 2 3" xfId="2057"/>
    <cellStyle name="Normal 5 2 2 12 3" xfId="2058"/>
    <cellStyle name="Normal 5 2 2 12 4" xfId="2059"/>
    <cellStyle name="Normal 5 2 2 13" xfId="2060"/>
    <cellStyle name="Normal 5 2 2 13 2" xfId="2061"/>
    <cellStyle name="Normal 5 2 2 13 2 2" xfId="2062"/>
    <cellStyle name="Normal 5 2 2 13 2 3" xfId="2063"/>
    <cellStyle name="Normal 5 2 2 13 3" xfId="2064"/>
    <cellStyle name="Normal 5 2 2 13 4" xfId="2065"/>
    <cellStyle name="Normal 5 2 2 14" xfId="2066"/>
    <cellStyle name="Normal 5 2 2 2" xfId="2067"/>
    <cellStyle name="Normal 5 2 2 2 10" xfId="2068"/>
    <cellStyle name="Normal 5 2 2 2 10 2" xfId="2069"/>
    <cellStyle name="Normal 5 2 2 2 11" xfId="2070"/>
    <cellStyle name="Normal 5 2 2 2 11 2" xfId="2071"/>
    <cellStyle name="Normal 5 2 2 2 12" xfId="2072"/>
    <cellStyle name="Normal 5 2 2 2 12 2" xfId="2073"/>
    <cellStyle name="Normal 5 2 2 2 13" xfId="2074"/>
    <cellStyle name="Normal 5 2 2 2 13 2" xfId="2075"/>
    <cellStyle name="Normal 5 2 2 2 14" xfId="2076"/>
    <cellStyle name="Normal 5 2 2 2 14 2" xfId="2077"/>
    <cellStyle name="Normal 5 2 2 2 14 3" xfId="2078"/>
    <cellStyle name="Normal 5 2 2 2 15" xfId="2079"/>
    <cellStyle name="Normal 5 2 2 2 16" xfId="2080"/>
    <cellStyle name="Normal 5 2 2 2 2" xfId="2081"/>
    <cellStyle name="Normal 5 2 2 2 2 2" xfId="2082"/>
    <cellStyle name="Normal 5 2 2 2 3" xfId="2083"/>
    <cellStyle name="Normal 5 2 2 2 3 2" xfId="2084"/>
    <cellStyle name="Normal 5 2 2 2 4" xfId="2085"/>
    <cellStyle name="Normal 5 2 2 2 4 2" xfId="2086"/>
    <cellStyle name="Normal 5 2 2 2 5" xfId="2087"/>
    <cellStyle name="Normal 5 2 2 2 5 2" xfId="2088"/>
    <cellStyle name="Normal 5 2 2 2 6" xfId="2089"/>
    <cellStyle name="Normal 5 2 2 2 6 2" xfId="2090"/>
    <cellStyle name="Normal 5 2 2 2 7" xfId="2091"/>
    <cellStyle name="Normal 5 2 2 2 7 2" xfId="2092"/>
    <cellStyle name="Normal 5 2 2 2 8" xfId="2093"/>
    <cellStyle name="Normal 5 2 2 2 8 2" xfId="2094"/>
    <cellStyle name="Normal 5 2 2 2 9" xfId="2095"/>
    <cellStyle name="Normal 5 2 2 2 9 2" xfId="2096"/>
    <cellStyle name="Normal 5 2 2 3" xfId="2097"/>
    <cellStyle name="Normal 5 2 2 3 2" xfId="2098"/>
    <cellStyle name="Normal 5 2 2 3 2 2" xfId="2099"/>
    <cellStyle name="Normal 5 2 2 3 2 3" xfId="2100"/>
    <cellStyle name="Normal 5 2 2 3 3" xfId="2101"/>
    <cellStyle name="Normal 5 2 2 3 4" xfId="2102"/>
    <cellStyle name="Normal 5 2 2 4" xfId="2103"/>
    <cellStyle name="Normal 5 2 2 4 2" xfId="2104"/>
    <cellStyle name="Normal 5 2 2 4 2 2" xfId="2105"/>
    <cellStyle name="Normal 5 2 2 4 2 3" xfId="2106"/>
    <cellStyle name="Normal 5 2 2 4 3" xfId="2107"/>
    <cellStyle name="Normal 5 2 2 4 4" xfId="2108"/>
    <cellStyle name="Normal 5 2 2 5" xfId="2109"/>
    <cellStyle name="Normal 5 2 2 5 2" xfId="2110"/>
    <cellStyle name="Normal 5 2 2 5 2 2" xfId="2111"/>
    <cellStyle name="Normal 5 2 2 5 2 3" xfId="2112"/>
    <cellStyle name="Normal 5 2 2 5 3" xfId="2113"/>
    <cellStyle name="Normal 5 2 2 5 4" xfId="2114"/>
    <cellStyle name="Normal 5 2 2 6" xfId="2115"/>
    <cellStyle name="Normal 5 2 2 6 2" xfId="2116"/>
    <cellStyle name="Normal 5 2 2 6 2 2" xfId="2117"/>
    <cellStyle name="Normal 5 2 2 6 2 3" xfId="2118"/>
    <cellStyle name="Normal 5 2 2 6 3" xfId="2119"/>
    <cellStyle name="Normal 5 2 2 6 4" xfId="2120"/>
    <cellStyle name="Normal 5 2 2 7" xfId="2121"/>
    <cellStyle name="Normal 5 2 2 7 2" xfId="2122"/>
    <cellStyle name="Normal 5 2 2 7 2 2" xfId="2123"/>
    <cellStyle name="Normal 5 2 2 7 2 3" xfId="2124"/>
    <cellStyle name="Normal 5 2 2 7 3" xfId="2125"/>
    <cellStyle name="Normal 5 2 2 7 4" xfId="2126"/>
    <cellStyle name="Normal 5 2 2 8" xfId="2127"/>
    <cellStyle name="Normal 5 2 2 8 2" xfId="2128"/>
    <cellStyle name="Normal 5 2 2 8 2 2" xfId="2129"/>
    <cellStyle name="Normal 5 2 2 8 2 3" xfId="2130"/>
    <cellStyle name="Normal 5 2 2 8 3" xfId="2131"/>
    <cellStyle name="Normal 5 2 2 8 4" xfId="2132"/>
    <cellStyle name="Normal 5 2 2 9" xfId="2133"/>
    <cellStyle name="Normal 5 2 2 9 2" xfId="2134"/>
    <cellStyle name="Normal 5 2 2 9 2 2" xfId="2135"/>
    <cellStyle name="Normal 5 2 2 9 2 3" xfId="2136"/>
    <cellStyle name="Normal 5 2 2 9 3" xfId="2137"/>
    <cellStyle name="Normal 5 2 2 9 4" xfId="2138"/>
    <cellStyle name="Normal 5 2 3" xfId="2139"/>
    <cellStyle name="Normal 5 2 3 2" xfId="2140"/>
    <cellStyle name="Normal 5 2 4" xfId="2141"/>
    <cellStyle name="Normal 5 2 4 2" xfId="2142"/>
    <cellStyle name="Normal 5 2 5" xfId="2143"/>
    <cellStyle name="Normal 5 2 5 2" xfId="2144"/>
    <cellStyle name="Normal 5 2 6" xfId="2145"/>
    <cellStyle name="Normal 5 2 6 2" xfId="2146"/>
    <cellStyle name="Normal 5 2 7" xfId="2147"/>
    <cellStyle name="Normal 5 2 7 2" xfId="2148"/>
    <cellStyle name="Normal 5 2 8" xfId="2149"/>
    <cellStyle name="Normal 5 2 8 2" xfId="2150"/>
    <cellStyle name="Normal 5 2 9" xfId="2151"/>
    <cellStyle name="Normal 5 2 9 2" xfId="2152"/>
    <cellStyle name="Normal 5 3" xfId="2153"/>
    <cellStyle name="Normal 5 3 10" xfId="2154"/>
    <cellStyle name="Normal 5 3 2" xfId="2155"/>
    <cellStyle name="Normal 5 3 2 2" xfId="2156"/>
    <cellStyle name="Normal 5 3 3" xfId="2157"/>
    <cellStyle name="Normal 5 3 3 2" xfId="2158"/>
    <cellStyle name="Normal 5 3 4" xfId="2159"/>
    <cellStyle name="Normal 5 3 4 2" xfId="2160"/>
    <cellStyle name="Normal 5 3 5" xfId="2161"/>
    <cellStyle name="Normal 5 3 5 2" xfId="2162"/>
    <cellStyle name="Normal 5 3 6" xfId="2163"/>
    <cellStyle name="Normal 5 3 6 2" xfId="2164"/>
    <cellStyle name="Normal 5 3 7" xfId="2165"/>
    <cellStyle name="Normal 5 3 7 2" xfId="2166"/>
    <cellStyle name="Normal 5 3 8" xfId="2167"/>
    <cellStyle name="Normal 5 3 8 2" xfId="2168"/>
    <cellStyle name="Normal 5 3 9" xfId="2169"/>
    <cellStyle name="Normal 5 4" xfId="2170"/>
    <cellStyle name="Normal 5 4 10" xfId="2171"/>
    <cellStyle name="Normal 5 4 2" xfId="2172"/>
    <cellStyle name="Normal 5 4 2 2" xfId="2173"/>
    <cellStyle name="Normal 5 4 3" xfId="2174"/>
    <cellStyle name="Normal 5 4 3 2" xfId="2175"/>
    <cellStyle name="Normal 5 4 4" xfId="2176"/>
    <cellStyle name="Normal 5 4 4 2" xfId="2177"/>
    <cellStyle name="Normal 5 4 5" xfId="2178"/>
    <cellStyle name="Normal 5 4 5 2" xfId="2179"/>
    <cellStyle name="Normal 5 4 6" xfId="2180"/>
    <cellStyle name="Normal 5 4 6 2" xfId="2181"/>
    <cellStyle name="Normal 5 4 7" xfId="2182"/>
    <cellStyle name="Normal 5 4 7 2" xfId="2183"/>
    <cellStyle name="Normal 5 4 8" xfId="2184"/>
    <cellStyle name="Normal 5 4 8 2" xfId="2185"/>
    <cellStyle name="Normal 5 4 9" xfId="2186"/>
    <cellStyle name="Normal 5 5" xfId="2187"/>
    <cellStyle name="Normal 5 5 2" xfId="2188"/>
    <cellStyle name="Normal 5 5 2 2" xfId="2189"/>
    <cellStyle name="Normal 5 5 3" xfId="2190"/>
    <cellStyle name="Normal 5 5 3 2" xfId="2191"/>
    <cellStyle name="Normal 5 5 4" xfId="2192"/>
    <cellStyle name="Normal 5 5 4 2" xfId="2193"/>
    <cellStyle name="Normal 5 5 5" xfId="2194"/>
    <cellStyle name="Normal 5 5 5 2" xfId="2195"/>
    <cellStyle name="Normal 5 5 6" xfId="2196"/>
    <cellStyle name="Normal 5 5 6 2" xfId="2197"/>
    <cellStyle name="Normal 5 5 7" xfId="2198"/>
    <cellStyle name="Normal 5 5 7 2" xfId="2199"/>
    <cellStyle name="Normal 5 5 8" xfId="2200"/>
    <cellStyle name="Normal 5 5 8 2" xfId="2201"/>
    <cellStyle name="Normal 5 5 9" xfId="2202"/>
    <cellStyle name="Normal 5 6" xfId="2203"/>
    <cellStyle name="Normal 5 6 2" xfId="2204"/>
    <cellStyle name="Normal 5 7" xfId="2205"/>
    <cellStyle name="Normal 5 7 2" xfId="2206"/>
    <cellStyle name="Normal 5 8" xfId="2207"/>
    <cellStyle name="Normal 5 8 2" xfId="2208"/>
    <cellStyle name="Normal 5 9" xfId="2209"/>
    <cellStyle name="Normal 5 9 2" xfId="2210"/>
    <cellStyle name="Normal 6" xfId="2211"/>
    <cellStyle name="Normal 6 10" xfId="2212"/>
    <cellStyle name="Normal 6 10 2" xfId="2213"/>
    <cellStyle name="Normal 6 11" xfId="2214"/>
    <cellStyle name="Normal 6 11 2" xfId="2215"/>
    <cellStyle name="Normal 6 12" xfId="2216"/>
    <cellStyle name="Normal 6 12 2" xfId="2217"/>
    <cellStyle name="Normal 6 13" xfId="2218"/>
    <cellStyle name="Normal 6 13 2" xfId="2219"/>
    <cellStyle name="Normal 6 14" xfId="2220"/>
    <cellStyle name="Normal 6 15" xfId="2221"/>
    <cellStyle name="Normal 6 2" xfId="2222"/>
    <cellStyle name="Normal 6 2 10" xfId="2223"/>
    <cellStyle name="Normal 6 2 2" xfId="2224"/>
    <cellStyle name="Normal 6 2 2 10" xfId="2225"/>
    <cellStyle name="Normal 6 2 2 10 2" xfId="2226"/>
    <cellStyle name="Normal 6 2 2 10 2 2" xfId="2227"/>
    <cellStyle name="Normal 6 2 2 10 2 3" xfId="2228"/>
    <cellStyle name="Normal 6 2 2 10 3" xfId="2229"/>
    <cellStyle name="Normal 6 2 2 10 4" xfId="2230"/>
    <cellStyle name="Normal 6 2 2 11" xfId="2231"/>
    <cellStyle name="Normal 6 2 2 11 2" xfId="2232"/>
    <cellStyle name="Normal 6 2 2 11 2 2" xfId="2233"/>
    <cellStyle name="Normal 6 2 2 11 2 3" xfId="2234"/>
    <cellStyle name="Normal 6 2 2 11 3" xfId="2235"/>
    <cellStyle name="Normal 6 2 2 11 4" xfId="2236"/>
    <cellStyle name="Normal 6 2 2 12" xfId="2237"/>
    <cellStyle name="Normal 6 2 2 12 2" xfId="2238"/>
    <cellStyle name="Normal 6 2 2 12 2 2" xfId="2239"/>
    <cellStyle name="Normal 6 2 2 12 2 3" xfId="2240"/>
    <cellStyle name="Normal 6 2 2 12 3" xfId="2241"/>
    <cellStyle name="Normal 6 2 2 12 4" xfId="2242"/>
    <cellStyle name="Normal 6 2 2 13" xfId="2243"/>
    <cellStyle name="Normal 6 2 2 13 2" xfId="2244"/>
    <cellStyle name="Normal 6 2 2 13 2 2" xfId="2245"/>
    <cellStyle name="Normal 6 2 2 13 2 3" xfId="2246"/>
    <cellStyle name="Normal 6 2 2 13 3" xfId="2247"/>
    <cellStyle name="Normal 6 2 2 13 4" xfId="2248"/>
    <cellStyle name="Normal 6 2 2 14" xfId="2249"/>
    <cellStyle name="Normal 6 2 2 15" xfId="2250"/>
    <cellStyle name="Normal 6 2 2 2" xfId="2251"/>
    <cellStyle name="Normal 6 2 2 2 2" xfId="2252"/>
    <cellStyle name="Normal 6 2 2 2 2 2" xfId="2253"/>
    <cellStyle name="Normal 6 2 2 2 2 3" xfId="2254"/>
    <cellStyle name="Normal 6 2 2 2 3" xfId="2255"/>
    <cellStyle name="Normal 6 2 2 2 4" xfId="2256"/>
    <cellStyle name="Normal 6 2 2 3" xfId="2257"/>
    <cellStyle name="Normal 6 2 2 3 2" xfId="2258"/>
    <cellStyle name="Normal 6 2 2 3 2 2" xfId="2259"/>
    <cellStyle name="Normal 6 2 2 3 2 3" xfId="2260"/>
    <cellStyle name="Normal 6 2 2 3 3" xfId="2261"/>
    <cellStyle name="Normal 6 2 2 3 4" xfId="2262"/>
    <cellStyle name="Normal 6 2 2 4" xfId="2263"/>
    <cellStyle name="Normal 6 2 2 4 2" xfId="2264"/>
    <cellStyle name="Normal 6 2 2 4 2 2" xfId="2265"/>
    <cellStyle name="Normal 6 2 2 4 2 3" xfId="2266"/>
    <cellStyle name="Normal 6 2 2 4 3" xfId="2267"/>
    <cellStyle name="Normal 6 2 2 4 4" xfId="2268"/>
    <cellStyle name="Normal 6 2 2 5" xfId="2269"/>
    <cellStyle name="Normal 6 2 2 5 2" xfId="2270"/>
    <cellStyle name="Normal 6 2 2 5 2 2" xfId="2271"/>
    <cellStyle name="Normal 6 2 2 5 2 3" xfId="2272"/>
    <cellStyle name="Normal 6 2 2 5 3" xfId="2273"/>
    <cellStyle name="Normal 6 2 2 5 4" xfId="2274"/>
    <cellStyle name="Normal 6 2 2 6" xfId="2275"/>
    <cellStyle name="Normal 6 2 2 6 2" xfId="2276"/>
    <cellStyle name="Normal 6 2 2 6 2 2" xfId="2277"/>
    <cellStyle name="Normal 6 2 2 6 2 3" xfId="2278"/>
    <cellStyle name="Normal 6 2 2 6 3" xfId="2279"/>
    <cellStyle name="Normal 6 2 2 6 4" xfId="2280"/>
    <cellStyle name="Normal 6 2 2 7" xfId="2281"/>
    <cellStyle name="Normal 6 2 2 7 2" xfId="2282"/>
    <cellStyle name="Normal 6 2 2 7 2 2" xfId="2283"/>
    <cellStyle name="Normal 6 2 2 7 2 3" xfId="2284"/>
    <cellStyle name="Normal 6 2 2 7 3" xfId="2285"/>
    <cellStyle name="Normal 6 2 2 7 4" xfId="2286"/>
    <cellStyle name="Normal 6 2 2 8" xfId="2287"/>
    <cellStyle name="Normal 6 2 2 8 2" xfId="2288"/>
    <cellStyle name="Normal 6 2 2 8 2 2" xfId="2289"/>
    <cellStyle name="Normal 6 2 2 8 2 3" xfId="2290"/>
    <cellStyle name="Normal 6 2 2 8 3" xfId="2291"/>
    <cellStyle name="Normal 6 2 2 8 4" xfId="2292"/>
    <cellStyle name="Normal 6 2 2 9" xfId="2293"/>
    <cellStyle name="Normal 6 2 2 9 2" xfId="2294"/>
    <cellStyle name="Normal 6 2 2 9 2 2" xfId="2295"/>
    <cellStyle name="Normal 6 2 2 9 2 3" xfId="2296"/>
    <cellStyle name="Normal 6 2 2 9 3" xfId="2297"/>
    <cellStyle name="Normal 6 2 2 9 4" xfId="2298"/>
    <cellStyle name="Normal 6 2 3" xfId="2299"/>
    <cellStyle name="Normal 6 2 3 2" xfId="2300"/>
    <cellStyle name="Normal 6 2 4" xfId="2301"/>
    <cellStyle name="Normal 6 2 4 2" xfId="2302"/>
    <cellStyle name="Normal 6 2 5" xfId="2303"/>
    <cellStyle name="Normal 6 2 5 2" xfId="2304"/>
    <cellStyle name="Normal 6 2 6" xfId="2305"/>
    <cellStyle name="Normal 6 2 6 2" xfId="2306"/>
    <cellStyle name="Normal 6 2 7" xfId="2307"/>
    <cellStyle name="Normal 6 2 7 2" xfId="2308"/>
    <cellStyle name="Normal 6 2 8" xfId="2309"/>
    <cellStyle name="Normal 6 2 8 2" xfId="2310"/>
    <cellStyle name="Normal 6 2 9" xfId="2311"/>
    <cellStyle name="Normal 6 3" xfId="2312"/>
    <cellStyle name="Normal 6 3 10" xfId="2313"/>
    <cellStyle name="Normal 6 3 2" xfId="2314"/>
    <cellStyle name="Normal 6 3 2 2" xfId="2315"/>
    <cellStyle name="Normal 6 3 3" xfId="2316"/>
    <cellStyle name="Normal 6 3 3 2" xfId="2317"/>
    <cellStyle name="Normal 6 3 4" xfId="2318"/>
    <cellStyle name="Normal 6 3 4 2" xfId="2319"/>
    <cellStyle name="Normal 6 3 5" xfId="2320"/>
    <cellStyle name="Normal 6 3 5 2" xfId="2321"/>
    <cellStyle name="Normal 6 3 6" xfId="2322"/>
    <cellStyle name="Normal 6 3 6 2" xfId="2323"/>
    <cellStyle name="Normal 6 3 7" xfId="2324"/>
    <cellStyle name="Normal 6 3 7 2" xfId="2325"/>
    <cellStyle name="Normal 6 3 8" xfId="2326"/>
    <cellStyle name="Normal 6 3 8 2" xfId="2327"/>
    <cellStyle name="Normal 6 3 9" xfId="2328"/>
    <cellStyle name="Normal 6 4" xfId="2329"/>
    <cellStyle name="Normal 6 4 10" xfId="2330"/>
    <cellStyle name="Normal 6 4 2" xfId="2331"/>
    <cellStyle name="Normal 6 4 2 2" xfId="2332"/>
    <cellStyle name="Normal 6 4 3" xfId="2333"/>
    <cellStyle name="Normal 6 4 3 2" xfId="2334"/>
    <cellStyle name="Normal 6 4 4" xfId="2335"/>
    <cellStyle name="Normal 6 4 4 2" xfId="2336"/>
    <cellStyle name="Normal 6 4 5" xfId="2337"/>
    <cellStyle name="Normal 6 4 5 2" xfId="2338"/>
    <cellStyle name="Normal 6 4 6" xfId="2339"/>
    <cellStyle name="Normal 6 4 6 2" xfId="2340"/>
    <cellStyle name="Normal 6 4 7" xfId="2341"/>
    <cellStyle name="Normal 6 4 7 2" xfId="2342"/>
    <cellStyle name="Normal 6 4 8" xfId="2343"/>
    <cellStyle name="Normal 6 4 8 2" xfId="2344"/>
    <cellStyle name="Normal 6 4 9" xfId="2345"/>
    <cellStyle name="Normal 6 5" xfId="2346"/>
    <cellStyle name="Normal 6 5 2" xfId="2347"/>
    <cellStyle name="Normal 6 5 2 2" xfId="2348"/>
    <cellStyle name="Normal 6 5 3" xfId="2349"/>
    <cellStyle name="Normal 6 5 3 2" xfId="2350"/>
    <cellStyle name="Normal 6 5 4" xfId="2351"/>
    <cellStyle name="Normal 6 5 4 2" xfId="2352"/>
    <cellStyle name="Normal 6 5 5" xfId="2353"/>
    <cellStyle name="Normal 6 5 5 2" xfId="2354"/>
    <cellStyle name="Normal 6 5 6" xfId="2355"/>
    <cellStyle name="Normal 6 5 6 2" xfId="2356"/>
    <cellStyle name="Normal 6 5 7" xfId="2357"/>
    <cellStyle name="Normal 6 5 7 2" xfId="2358"/>
    <cellStyle name="Normal 6 5 8" xfId="2359"/>
    <cellStyle name="Normal 6 5 8 2" xfId="2360"/>
    <cellStyle name="Normal 6 5 9" xfId="2361"/>
    <cellStyle name="Normal 6 6" xfId="2362"/>
    <cellStyle name="Normal 6 6 2" xfId="2363"/>
    <cellStyle name="Normal 6 7" xfId="2364"/>
    <cellStyle name="Normal 6 7 2" xfId="2365"/>
    <cellStyle name="Normal 6 8" xfId="2366"/>
    <cellStyle name="Normal 6 8 2" xfId="2367"/>
    <cellStyle name="Normal 6 9" xfId="2368"/>
    <cellStyle name="Normal 6 9 2" xfId="2369"/>
    <cellStyle name="Normal 7" xfId="2370"/>
    <cellStyle name="Normal 7 10" xfId="2371"/>
    <cellStyle name="Normal 7 10 2" xfId="2372"/>
    <cellStyle name="Normal 7 11" xfId="2373"/>
    <cellStyle name="Normal 7 11 2" xfId="2374"/>
    <cellStyle name="Normal 7 12" xfId="2375"/>
    <cellStyle name="Normal 7 12 2" xfId="2376"/>
    <cellStyle name="Normal 7 13" xfId="2377"/>
    <cellStyle name="Normal 7 14" xfId="2378"/>
    <cellStyle name="Normal 7 2" xfId="2379"/>
    <cellStyle name="Normal 7 2 10" xfId="2380"/>
    <cellStyle name="Normal 7 2 2" xfId="2381"/>
    <cellStyle name="Normal 7 2 2 2" xfId="2382"/>
    <cellStyle name="Normal 7 2 3" xfId="2383"/>
    <cellStyle name="Normal 7 2 3 2" xfId="2384"/>
    <cellStyle name="Normal 7 2 4" xfId="2385"/>
    <cellStyle name="Normal 7 2 4 2" xfId="2386"/>
    <cellStyle name="Normal 7 2 5" xfId="2387"/>
    <cellStyle name="Normal 7 2 5 2" xfId="2388"/>
    <cellStyle name="Normal 7 2 6" xfId="2389"/>
    <cellStyle name="Normal 7 2 6 2" xfId="2390"/>
    <cellStyle name="Normal 7 2 7" xfId="2391"/>
    <cellStyle name="Normal 7 2 7 2" xfId="2392"/>
    <cellStyle name="Normal 7 2 8" xfId="2393"/>
    <cellStyle name="Normal 7 2 8 2" xfId="2394"/>
    <cellStyle name="Normal 7 2 9" xfId="2395"/>
    <cellStyle name="Normal 7 3" xfId="2396"/>
    <cellStyle name="Normal 7 3 2" xfId="2397"/>
    <cellStyle name="Normal 7 3 2 2" xfId="2398"/>
    <cellStyle name="Normal 7 3 3" xfId="2399"/>
    <cellStyle name="Normal 7 3 3 2" xfId="2400"/>
    <cellStyle name="Normal 7 3 4" xfId="2401"/>
    <cellStyle name="Normal 7 3 4 2" xfId="2402"/>
    <cellStyle name="Normal 7 3 5" xfId="2403"/>
    <cellStyle name="Normal 7 3 5 2" xfId="2404"/>
    <cellStyle name="Normal 7 3 6" xfId="2405"/>
    <cellStyle name="Normal 7 3 6 2" xfId="2406"/>
    <cellStyle name="Normal 7 3 7" xfId="2407"/>
    <cellStyle name="Normal 7 3 7 2" xfId="2408"/>
    <cellStyle name="Normal 7 3 8" xfId="2409"/>
    <cellStyle name="Normal 7 3 8 2" xfId="2410"/>
    <cellStyle name="Normal 7 3 9" xfId="2411"/>
    <cellStyle name="Normal 7 4" xfId="2412"/>
    <cellStyle name="Normal 7 4 2" xfId="2413"/>
    <cellStyle name="Normal 7 4 2 2" xfId="2414"/>
    <cellStyle name="Normal 7 4 3" xfId="2415"/>
    <cellStyle name="Normal 7 4 3 2" xfId="2416"/>
    <cellStyle name="Normal 7 4 4" xfId="2417"/>
    <cellStyle name="Normal 7 4 4 2" xfId="2418"/>
    <cellStyle name="Normal 7 4 5" xfId="2419"/>
    <cellStyle name="Normal 7 4 5 2" xfId="2420"/>
    <cellStyle name="Normal 7 4 6" xfId="2421"/>
    <cellStyle name="Normal 7 4 6 2" xfId="2422"/>
    <cellStyle name="Normal 7 4 7" xfId="2423"/>
    <cellStyle name="Normal 7 4 7 2" xfId="2424"/>
    <cellStyle name="Normal 7 4 8" xfId="2425"/>
    <cellStyle name="Normal 7 4 8 2" xfId="2426"/>
    <cellStyle name="Normal 7 4 9" xfId="2427"/>
    <cellStyle name="Normal 7 5" xfId="2428"/>
    <cellStyle name="Normal 7 5 2" xfId="2429"/>
    <cellStyle name="Normal 7 5 2 2" xfId="2430"/>
    <cellStyle name="Normal 7 5 3" xfId="2431"/>
    <cellStyle name="Normal 7 5 3 2" xfId="2432"/>
    <cellStyle name="Normal 7 5 4" xfId="2433"/>
    <cellStyle name="Normal 7 5 4 2" xfId="2434"/>
    <cellStyle name="Normal 7 5 5" xfId="2435"/>
    <cellStyle name="Normal 7 5 5 2" xfId="2436"/>
    <cellStyle name="Normal 7 5 6" xfId="2437"/>
    <cellStyle name="Normal 7 5 6 2" xfId="2438"/>
    <cellStyle name="Normal 7 5 7" xfId="2439"/>
    <cellStyle name="Normal 7 5 7 2" xfId="2440"/>
    <cellStyle name="Normal 7 5 8" xfId="2441"/>
    <cellStyle name="Normal 7 5 8 2" xfId="2442"/>
    <cellStyle name="Normal 7 5 9" xfId="2443"/>
    <cellStyle name="Normal 7 6" xfId="2444"/>
    <cellStyle name="Normal 7 6 2" xfId="2445"/>
    <cellStyle name="Normal 7 7" xfId="2446"/>
    <cellStyle name="Normal 7 7 2" xfId="2447"/>
    <cellStyle name="Normal 7 8" xfId="2448"/>
    <cellStyle name="Normal 7 8 2" xfId="2449"/>
    <cellStyle name="Normal 7 9" xfId="2450"/>
    <cellStyle name="Normal 7 9 2" xfId="2451"/>
    <cellStyle name="Normal 8" xfId="2452"/>
    <cellStyle name="Normal 8 10" xfId="2453"/>
    <cellStyle name="Normal 8 10 2" xfId="2454"/>
    <cellStyle name="Normal 8 11" xfId="2455"/>
    <cellStyle name="Normal 8 11 2" xfId="2456"/>
    <cellStyle name="Normal 8 12" xfId="2457"/>
    <cellStyle name="Normal 8 12 2" xfId="2458"/>
    <cellStyle name="Normal 8 13" xfId="2459"/>
    <cellStyle name="Normal 8 14" xfId="2460"/>
    <cellStyle name="Normal 8 2" xfId="2461"/>
    <cellStyle name="Normal 8 2 10" xfId="2462"/>
    <cellStyle name="Normal 8 2 2" xfId="2463"/>
    <cellStyle name="Normal 8 2 2 2" xfId="2464"/>
    <cellStyle name="Normal 8 2 3" xfId="2465"/>
    <cellStyle name="Normal 8 2 3 2" xfId="2466"/>
    <cellStyle name="Normal 8 2 4" xfId="2467"/>
    <cellStyle name="Normal 8 2 4 2" xfId="2468"/>
    <cellStyle name="Normal 8 2 5" xfId="2469"/>
    <cellStyle name="Normal 8 2 5 2" xfId="2470"/>
    <cellStyle name="Normal 8 2 6" xfId="2471"/>
    <cellStyle name="Normal 8 2 6 2" xfId="2472"/>
    <cellStyle name="Normal 8 2 7" xfId="2473"/>
    <cellStyle name="Normal 8 2 7 2" xfId="2474"/>
    <cellStyle name="Normal 8 2 8" xfId="2475"/>
    <cellStyle name="Normal 8 2 8 2" xfId="2476"/>
    <cellStyle name="Normal 8 2 9" xfId="2477"/>
    <cellStyle name="Normal 8 3" xfId="2478"/>
    <cellStyle name="Normal 8 3 2" xfId="2479"/>
    <cellStyle name="Normal 8 3 2 2" xfId="2480"/>
    <cellStyle name="Normal 8 3 3" xfId="2481"/>
    <cellStyle name="Normal 8 3 3 2" xfId="2482"/>
    <cellStyle name="Normal 8 3 4" xfId="2483"/>
    <cellStyle name="Normal 8 3 4 2" xfId="2484"/>
    <cellStyle name="Normal 8 3 5" xfId="2485"/>
    <cellStyle name="Normal 8 3 5 2" xfId="2486"/>
    <cellStyle name="Normal 8 3 6" xfId="2487"/>
    <cellStyle name="Normal 8 3 6 2" xfId="2488"/>
    <cellStyle name="Normal 8 3 7" xfId="2489"/>
    <cellStyle name="Normal 8 3 7 2" xfId="2490"/>
    <cellStyle name="Normal 8 3 8" xfId="2491"/>
    <cellStyle name="Normal 8 3 8 2" xfId="2492"/>
    <cellStyle name="Normal 8 3 9" xfId="2493"/>
    <cellStyle name="Normal 8 4" xfId="2494"/>
    <cellStyle name="Normal 8 4 2" xfId="2495"/>
    <cellStyle name="Normal 8 4 2 2" xfId="2496"/>
    <cellStyle name="Normal 8 4 3" xfId="2497"/>
    <cellStyle name="Normal 8 4 3 2" xfId="2498"/>
    <cellStyle name="Normal 8 4 4" xfId="2499"/>
    <cellStyle name="Normal 8 4 4 2" xfId="2500"/>
    <cellStyle name="Normal 8 4 5" xfId="2501"/>
    <cellStyle name="Normal 8 4 5 2" xfId="2502"/>
    <cellStyle name="Normal 8 4 6" xfId="2503"/>
    <cellStyle name="Normal 8 4 6 2" xfId="2504"/>
    <cellStyle name="Normal 8 4 7" xfId="2505"/>
    <cellStyle name="Normal 8 4 7 2" xfId="2506"/>
    <cellStyle name="Normal 8 4 8" xfId="2507"/>
    <cellStyle name="Normal 8 4 8 2" xfId="2508"/>
    <cellStyle name="Normal 8 4 9" xfId="2509"/>
    <cellStyle name="Normal 8 5" xfId="2510"/>
    <cellStyle name="Normal 8 5 2" xfId="2511"/>
    <cellStyle name="Normal 8 5 2 2" xfId="2512"/>
    <cellStyle name="Normal 8 5 3" xfId="2513"/>
    <cellStyle name="Normal 8 5 3 2" xfId="2514"/>
    <cellStyle name="Normal 8 5 4" xfId="2515"/>
    <cellStyle name="Normal 8 5 4 2" xfId="2516"/>
    <cellStyle name="Normal 8 5 5" xfId="2517"/>
    <cellStyle name="Normal 8 5 5 2" xfId="2518"/>
    <cellStyle name="Normal 8 5 6" xfId="2519"/>
    <cellStyle name="Normal 8 5 6 2" xfId="2520"/>
    <cellStyle name="Normal 8 5 7" xfId="2521"/>
    <cellStyle name="Normal 8 5 7 2" xfId="2522"/>
    <cellStyle name="Normal 8 5 8" xfId="2523"/>
    <cellStyle name="Normal 8 5 8 2" xfId="2524"/>
    <cellStyle name="Normal 8 5 9" xfId="2525"/>
    <cellStyle name="Normal 8 6" xfId="2526"/>
    <cellStyle name="Normal 8 6 2" xfId="2527"/>
    <cellStyle name="Normal 8 7" xfId="2528"/>
    <cellStyle name="Normal 8 7 2" xfId="2529"/>
    <cellStyle name="Normal 8 8" xfId="2530"/>
    <cellStyle name="Normal 8 8 2" xfId="2531"/>
    <cellStyle name="Normal 8 9" xfId="2532"/>
    <cellStyle name="Normal 8 9 2" xfId="2533"/>
    <cellStyle name="Normal 9" xfId="2534"/>
    <cellStyle name="Normal 9 10" xfId="2535"/>
    <cellStyle name="Normal 9 2" xfId="2536"/>
    <cellStyle name="Normal 9 2 2" xfId="2537"/>
    <cellStyle name="Normal 9 3" xfId="2538"/>
    <cellStyle name="Normal 9 3 2" xfId="2539"/>
    <cellStyle name="Normal 9 4" xfId="2540"/>
    <cellStyle name="Normal 9 4 2" xfId="2541"/>
    <cellStyle name="Normal 9 5" xfId="2542"/>
    <cellStyle name="Normal 9 5 2" xfId="2543"/>
    <cellStyle name="Normal 9 6" xfId="2544"/>
    <cellStyle name="Normal 9 6 2" xfId="2545"/>
    <cellStyle name="Normal 9 7" xfId="2546"/>
    <cellStyle name="Normal 9 7 2" xfId="2547"/>
    <cellStyle name="Normal 9 8" xfId="2548"/>
    <cellStyle name="Normal 9 8 2" xfId="2549"/>
    <cellStyle name="Normal 9 9" xfId="2550"/>
    <cellStyle name="Normal GHG Numbers (0.00)" xfId="2551"/>
    <cellStyle name="Normal GHG Textfiels Bold" xfId="2552"/>
    <cellStyle name="Normal GHG-Shade" xfId="2553"/>
    <cellStyle name="Normal GHG-Shade 2" xfId="2554"/>
    <cellStyle name="Normal GHG-Shade 2 2" xfId="2555"/>
    <cellStyle name="Normal GHG-Shade 3" xfId="2556"/>
    <cellStyle name="Normale_B2020" xfId="2557"/>
    <cellStyle name="Note 2" xfId="2558"/>
    <cellStyle name="Note 2 10" xfId="2559"/>
    <cellStyle name="Note 2 10 2" xfId="2560"/>
    <cellStyle name="Note 2 11" xfId="2561"/>
    <cellStyle name="Note 2 11 2" xfId="2562"/>
    <cellStyle name="Note 2 12" xfId="2563"/>
    <cellStyle name="Note 2 12 2" xfId="2564"/>
    <cellStyle name="Note 2 13" xfId="2565"/>
    <cellStyle name="Note 2 13 2" xfId="2566"/>
    <cellStyle name="Note 2 14" xfId="2567"/>
    <cellStyle name="Note 2 14 2" xfId="2568"/>
    <cellStyle name="Note 2 15" xfId="2569"/>
    <cellStyle name="Note 2 15 2" xfId="2570"/>
    <cellStyle name="Note 2 16" xfId="2571"/>
    <cellStyle name="Note 2 17" xfId="2572"/>
    <cellStyle name="Note 2 2" xfId="2573"/>
    <cellStyle name="Note 2 2 2" xfId="2574"/>
    <cellStyle name="Note 2 2 2 2" xfId="2575"/>
    <cellStyle name="Note 2 3" xfId="2576"/>
    <cellStyle name="Note 2 3 2" xfId="2577"/>
    <cellStyle name="Note 2 4" xfId="2578"/>
    <cellStyle name="Note 2 4 2" xfId="2579"/>
    <cellStyle name="Note 2 5" xfId="2580"/>
    <cellStyle name="Note 2 5 2" xfId="2581"/>
    <cellStyle name="Note 2 6" xfId="2582"/>
    <cellStyle name="Note 2 6 2" xfId="2583"/>
    <cellStyle name="Note 2 7" xfId="2584"/>
    <cellStyle name="Note 2 7 2" xfId="2585"/>
    <cellStyle name="Note 2 8" xfId="2586"/>
    <cellStyle name="Note 2 8 2" xfId="2587"/>
    <cellStyle name="Note 2 9" xfId="2588"/>
    <cellStyle name="Note 2 9 2" xfId="2589"/>
    <cellStyle name="Note 3" xfId="2590"/>
    <cellStyle name="Note 3 2" xfId="2591"/>
    <cellStyle name="Note 3 2 2" xfId="2592"/>
    <cellStyle name="Note 3 2 3" xfId="2593"/>
    <cellStyle name="Note 3 3" xfId="2594"/>
    <cellStyle name="Note 4" xfId="2595"/>
    <cellStyle name="Note 4 2" xfId="2596"/>
    <cellStyle name="Note 5" xfId="2597"/>
    <cellStyle name="Note 5 2" xfId="2598"/>
    <cellStyle name="Note 6" xfId="2599"/>
    <cellStyle name="Note 6 2" xfId="2600"/>
    <cellStyle name="Note 7" xfId="2601"/>
    <cellStyle name="Note 7 2" xfId="2602"/>
    <cellStyle name="Note 8" xfId="2603"/>
    <cellStyle name="Note 8 2" xfId="2604"/>
    <cellStyle name="num_note" xfId="2605"/>
    <cellStyle name="Nuovo" xfId="2606"/>
    <cellStyle name="Nuovo 2" xfId="2607"/>
    <cellStyle name="Output 2" xfId="2608"/>
    <cellStyle name="Output 2 10" xfId="2609"/>
    <cellStyle name="Output 2 2" xfId="2610"/>
    <cellStyle name="Output 2 3" xfId="2611"/>
    <cellStyle name="Output 2 4" xfId="2612"/>
    <cellStyle name="Output 2 5" xfId="2613"/>
    <cellStyle name="Output 2 6" xfId="2614"/>
    <cellStyle name="Output 2 7" xfId="2615"/>
    <cellStyle name="Output 2 8" xfId="2616"/>
    <cellStyle name="Output 2 9" xfId="2617"/>
    <cellStyle name="Output 3" xfId="2618"/>
    <cellStyle name="Output 3 2" xfId="2619"/>
    <cellStyle name="Percent 10" xfId="2620"/>
    <cellStyle name="Percent 10 2" xfId="2621"/>
    <cellStyle name="Percent 10 2 2" xfId="2622"/>
    <cellStyle name="Percent 10 3" xfId="2623"/>
    <cellStyle name="Percent 10 3 2" xfId="2624"/>
    <cellStyle name="Percent 10 4" xfId="2625"/>
    <cellStyle name="Percent 10 4 2" xfId="2626"/>
    <cellStyle name="Percent 10 5" xfId="2627"/>
    <cellStyle name="Percent 10 5 2" xfId="2628"/>
    <cellStyle name="Percent 10 6" xfId="2629"/>
    <cellStyle name="Percent 10 6 2" xfId="2630"/>
    <cellStyle name="Percent 10 7" xfId="2631"/>
    <cellStyle name="Percent 10 7 2" xfId="2632"/>
    <cellStyle name="Percent 10 8" xfId="2633"/>
    <cellStyle name="Percent 10 8 2" xfId="2634"/>
    <cellStyle name="Percent 10 9" xfId="2635"/>
    <cellStyle name="Percent 11" xfId="2636"/>
    <cellStyle name="Percent 11 2" xfId="2637"/>
    <cellStyle name="Percent 11 2 2" xfId="2638"/>
    <cellStyle name="Percent 11 3" xfId="2639"/>
    <cellStyle name="Percent 11 3 2" xfId="2640"/>
    <cellStyle name="Percent 11 4" xfId="2641"/>
    <cellStyle name="Percent 11 4 2" xfId="2642"/>
    <cellStyle name="Percent 11 5" xfId="2643"/>
    <cellStyle name="Percent 11 5 2" xfId="2644"/>
    <cellStyle name="Percent 11 6" xfId="2645"/>
    <cellStyle name="Percent 11 6 2" xfId="2646"/>
    <cellStyle name="Percent 11 7" xfId="2647"/>
    <cellStyle name="Percent 11 7 2" xfId="2648"/>
    <cellStyle name="Percent 11 8" xfId="2649"/>
    <cellStyle name="Percent 11 8 2" xfId="2650"/>
    <cellStyle name="Percent 11 9" xfId="2651"/>
    <cellStyle name="Percent 12" xfId="2652"/>
    <cellStyle name="Percent 12 2" xfId="2653"/>
    <cellStyle name="Percent 12 2 2" xfId="2654"/>
    <cellStyle name="Percent 12 3" xfId="2655"/>
    <cellStyle name="Percent 12 3 2" xfId="2656"/>
    <cellStyle name="Percent 12 4" xfId="2657"/>
    <cellStyle name="Percent 12 4 2" xfId="2658"/>
    <cellStyle name="Percent 12 5" xfId="2659"/>
    <cellStyle name="Percent 12 5 2" xfId="2660"/>
    <cellStyle name="Percent 12 6" xfId="2661"/>
    <cellStyle name="Percent 12 6 2" xfId="2662"/>
    <cellStyle name="Percent 12 7" xfId="2663"/>
    <cellStyle name="Percent 12 7 2" xfId="2664"/>
    <cellStyle name="Percent 12 8" xfId="2665"/>
    <cellStyle name="Percent 12 8 2" xfId="2666"/>
    <cellStyle name="Percent 12 9" xfId="2667"/>
    <cellStyle name="Percent 13" xfId="2668"/>
    <cellStyle name="Percent 13 2" xfId="2669"/>
    <cellStyle name="Percent 13 2 2" xfId="2670"/>
    <cellStyle name="Percent 13 3" xfId="2671"/>
    <cellStyle name="Percent 13 3 2" xfId="2672"/>
    <cellStyle name="Percent 13 4" xfId="2673"/>
    <cellStyle name="Percent 13 4 2" xfId="2674"/>
    <cellStyle name="Percent 13 5" xfId="2675"/>
    <cellStyle name="Percent 13 5 2" xfId="2676"/>
    <cellStyle name="Percent 13 6" xfId="2677"/>
    <cellStyle name="Percent 13 6 2" xfId="2678"/>
    <cellStyle name="Percent 13 7" xfId="2679"/>
    <cellStyle name="Percent 13 7 2" xfId="2680"/>
    <cellStyle name="Percent 13 8" xfId="2681"/>
    <cellStyle name="Percent 13 8 2" xfId="2682"/>
    <cellStyle name="Percent 13 9" xfId="2683"/>
    <cellStyle name="Percent 14" xfId="2684"/>
    <cellStyle name="Percent 14 2" xfId="2685"/>
    <cellStyle name="Percent 14 2 2" xfId="2686"/>
    <cellStyle name="Percent 14 3" xfId="2687"/>
    <cellStyle name="Percent 14 3 2" xfId="2688"/>
    <cellStyle name="Percent 14 4" xfId="2689"/>
    <cellStyle name="Percent 14 4 2" xfId="2690"/>
    <cellStyle name="Percent 14 5" xfId="2691"/>
    <cellStyle name="Percent 14 5 2" xfId="2692"/>
    <cellStyle name="Percent 14 6" xfId="2693"/>
    <cellStyle name="Percent 14 6 2" xfId="2694"/>
    <cellStyle name="Percent 14 7" xfId="2695"/>
    <cellStyle name="Percent 14 7 2" xfId="2696"/>
    <cellStyle name="Percent 14 8" xfId="2697"/>
    <cellStyle name="Percent 14 8 2" xfId="2698"/>
    <cellStyle name="Percent 14 9" xfId="2699"/>
    <cellStyle name="Percent 15" xfId="2700"/>
    <cellStyle name="Percent 15 10" xfId="2701"/>
    <cellStyle name="Percent 15 10 2" xfId="2702"/>
    <cellStyle name="Percent 15 11" xfId="2703"/>
    <cellStyle name="Percent 15 11 2" xfId="2704"/>
    <cellStyle name="Percent 15 12" xfId="2705"/>
    <cellStyle name="Percent 15 12 2" xfId="2706"/>
    <cellStyle name="Percent 15 13" xfId="2707"/>
    <cellStyle name="Percent 15 13 2" xfId="2708"/>
    <cellStyle name="Percent 15 14" xfId="2709"/>
    <cellStyle name="Percent 15 14 2" xfId="2710"/>
    <cellStyle name="Percent 15 2" xfId="2711"/>
    <cellStyle name="Percent 15 2 2" xfId="2712"/>
    <cellStyle name="Percent 15 2 3" xfId="2713"/>
    <cellStyle name="Percent 15 2 4" xfId="2714"/>
    <cellStyle name="Percent 15 2 5" xfId="2715"/>
    <cellStyle name="Percent 15 2 6" xfId="2716"/>
    <cellStyle name="Percent 15 2 7" xfId="2717"/>
    <cellStyle name="Percent 15 2 8" xfId="2718"/>
    <cellStyle name="Percent 15 3" xfId="2719"/>
    <cellStyle name="Percent 15 4" xfId="2720"/>
    <cellStyle name="Percent 15 4 2" xfId="2721"/>
    <cellStyle name="Percent 15 5" xfId="2722"/>
    <cellStyle name="Percent 15 6" xfId="2723"/>
    <cellStyle name="Percent 15 7" xfId="2724"/>
    <cellStyle name="Percent 15 8" xfId="2725"/>
    <cellStyle name="Percent 15 9" xfId="2726"/>
    <cellStyle name="Percent 15 9 2" xfId="2727"/>
    <cellStyle name="Percent 16 2" xfId="2728"/>
    <cellStyle name="Percent 16 3" xfId="2729"/>
    <cellStyle name="Percent 16 3 10" xfId="2730"/>
    <cellStyle name="Percent 16 3 10 2" xfId="2731"/>
    <cellStyle name="Percent 16 3 11" xfId="2732"/>
    <cellStyle name="Percent 16 3 11 2" xfId="2733"/>
    <cellStyle name="Percent 16 3 12" xfId="2734"/>
    <cellStyle name="Percent 16 3 12 2" xfId="2735"/>
    <cellStyle name="Percent 16 3 13" xfId="2736"/>
    <cellStyle name="Percent 16 3 13 2" xfId="2737"/>
    <cellStyle name="Percent 16 3 14" xfId="2738"/>
    <cellStyle name="Percent 16 3 14 2" xfId="2739"/>
    <cellStyle name="Percent 16 3 15" xfId="2740"/>
    <cellStyle name="Percent 16 3 15 2" xfId="2741"/>
    <cellStyle name="Percent 16 3 16" xfId="2742"/>
    <cellStyle name="Percent 16 3 16 2" xfId="2743"/>
    <cellStyle name="Percent 16 3 17" xfId="2744"/>
    <cellStyle name="Percent 16 3 17 2" xfId="2745"/>
    <cellStyle name="Percent 16 3 18" xfId="2746"/>
    <cellStyle name="Percent 16 3 2" xfId="2747"/>
    <cellStyle name="Percent 16 3 2 2" xfId="2748"/>
    <cellStyle name="Percent 16 3 3" xfId="2749"/>
    <cellStyle name="Percent 16 3 3 2" xfId="2750"/>
    <cellStyle name="Percent 16 3 4" xfId="2751"/>
    <cellStyle name="Percent 16 3 4 2" xfId="2752"/>
    <cellStyle name="Percent 16 3 5" xfId="2753"/>
    <cellStyle name="Percent 16 3 5 2" xfId="2754"/>
    <cellStyle name="Percent 16 3 6" xfId="2755"/>
    <cellStyle name="Percent 16 3 6 2" xfId="2756"/>
    <cellStyle name="Percent 16 3 7" xfId="2757"/>
    <cellStyle name="Percent 16 3 7 2" xfId="2758"/>
    <cellStyle name="Percent 16 3 8" xfId="2759"/>
    <cellStyle name="Percent 16 3 8 2" xfId="2760"/>
    <cellStyle name="Percent 16 3 9" xfId="2761"/>
    <cellStyle name="Percent 16 3 9 2" xfId="2762"/>
    <cellStyle name="Percent 16 4" xfId="2763"/>
    <cellStyle name="Percent 16 4 10" xfId="2764"/>
    <cellStyle name="Percent 16 4 10 2" xfId="2765"/>
    <cellStyle name="Percent 16 4 11" xfId="2766"/>
    <cellStyle name="Percent 16 4 11 2" xfId="2767"/>
    <cellStyle name="Percent 16 4 12" xfId="2768"/>
    <cellStyle name="Percent 16 4 12 2" xfId="2769"/>
    <cellStyle name="Percent 16 4 13" xfId="2770"/>
    <cellStyle name="Percent 16 4 13 2" xfId="2771"/>
    <cellStyle name="Percent 16 4 14" xfId="2772"/>
    <cellStyle name="Percent 16 4 14 2" xfId="2773"/>
    <cellStyle name="Percent 16 4 15" xfId="2774"/>
    <cellStyle name="Percent 16 4 15 2" xfId="2775"/>
    <cellStyle name="Percent 16 4 16" xfId="2776"/>
    <cellStyle name="Percent 16 4 16 2" xfId="2777"/>
    <cellStyle name="Percent 16 4 17" xfId="2778"/>
    <cellStyle name="Percent 16 4 17 2" xfId="2779"/>
    <cellStyle name="Percent 16 4 18" xfId="2780"/>
    <cellStyle name="Percent 16 4 2" xfId="2781"/>
    <cellStyle name="Percent 16 4 2 2" xfId="2782"/>
    <cellStyle name="Percent 16 4 3" xfId="2783"/>
    <cellStyle name="Percent 16 4 3 2" xfId="2784"/>
    <cellStyle name="Percent 16 4 4" xfId="2785"/>
    <cellStyle name="Percent 16 4 4 2" xfId="2786"/>
    <cellStyle name="Percent 16 4 5" xfId="2787"/>
    <cellStyle name="Percent 16 4 5 2" xfId="2788"/>
    <cellStyle name="Percent 16 4 6" xfId="2789"/>
    <cellStyle name="Percent 16 4 6 2" xfId="2790"/>
    <cellStyle name="Percent 16 4 7" xfId="2791"/>
    <cellStyle name="Percent 16 4 7 2" xfId="2792"/>
    <cellStyle name="Percent 16 4 8" xfId="2793"/>
    <cellStyle name="Percent 16 4 8 2" xfId="2794"/>
    <cellStyle name="Percent 16 4 9" xfId="2795"/>
    <cellStyle name="Percent 16 4 9 2" xfId="2796"/>
    <cellStyle name="Percent 16 5" xfId="2797"/>
    <cellStyle name="Percent 16 5 10" xfId="2798"/>
    <cellStyle name="Percent 16 5 10 2" xfId="2799"/>
    <cellStyle name="Percent 16 5 11" xfId="2800"/>
    <cellStyle name="Percent 16 5 11 2" xfId="2801"/>
    <cellStyle name="Percent 16 5 12" xfId="2802"/>
    <cellStyle name="Percent 16 5 12 2" xfId="2803"/>
    <cellStyle name="Percent 16 5 13" xfId="2804"/>
    <cellStyle name="Percent 16 5 13 2" xfId="2805"/>
    <cellStyle name="Percent 16 5 14" xfId="2806"/>
    <cellStyle name="Percent 16 5 14 2" xfId="2807"/>
    <cellStyle name="Percent 16 5 15" xfId="2808"/>
    <cellStyle name="Percent 16 5 15 2" xfId="2809"/>
    <cellStyle name="Percent 16 5 16" xfId="2810"/>
    <cellStyle name="Percent 16 5 16 2" xfId="2811"/>
    <cellStyle name="Percent 16 5 17" xfId="2812"/>
    <cellStyle name="Percent 16 5 17 2" xfId="2813"/>
    <cellStyle name="Percent 16 5 18" xfId="2814"/>
    <cellStyle name="Percent 16 5 2" xfId="2815"/>
    <cellStyle name="Percent 16 5 2 2" xfId="2816"/>
    <cellStyle name="Percent 16 5 3" xfId="2817"/>
    <cellStyle name="Percent 16 5 3 2" xfId="2818"/>
    <cellStyle name="Percent 16 5 4" xfId="2819"/>
    <cellStyle name="Percent 16 5 4 2" xfId="2820"/>
    <cellStyle name="Percent 16 5 5" xfId="2821"/>
    <cellStyle name="Percent 16 5 5 2" xfId="2822"/>
    <cellStyle name="Percent 16 5 6" xfId="2823"/>
    <cellStyle name="Percent 16 5 6 2" xfId="2824"/>
    <cellStyle name="Percent 16 5 7" xfId="2825"/>
    <cellStyle name="Percent 16 5 7 2" xfId="2826"/>
    <cellStyle name="Percent 16 5 8" xfId="2827"/>
    <cellStyle name="Percent 16 5 8 2" xfId="2828"/>
    <cellStyle name="Percent 16 5 9" xfId="2829"/>
    <cellStyle name="Percent 16 5 9 2" xfId="2830"/>
    <cellStyle name="Percent 16 6" xfId="2831"/>
    <cellStyle name="Percent 16 6 10" xfId="2832"/>
    <cellStyle name="Percent 16 6 10 2" xfId="2833"/>
    <cellStyle name="Percent 16 6 11" xfId="2834"/>
    <cellStyle name="Percent 16 6 11 2" xfId="2835"/>
    <cellStyle name="Percent 16 6 12" xfId="2836"/>
    <cellStyle name="Percent 16 6 12 2" xfId="2837"/>
    <cellStyle name="Percent 16 6 13" xfId="2838"/>
    <cellStyle name="Percent 16 6 13 2" xfId="2839"/>
    <cellStyle name="Percent 16 6 14" xfId="2840"/>
    <cellStyle name="Percent 16 6 14 2" xfId="2841"/>
    <cellStyle name="Percent 16 6 15" xfId="2842"/>
    <cellStyle name="Percent 16 6 15 2" xfId="2843"/>
    <cellStyle name="Percent 16 6 16" xfId="2844"/>
    <cellStyle name="Percent 16 6 16 2" xfId="2845"/>
    <cellStyle name="Percent 16 6 17" xfId="2846"/>
    <cellStyle name="Percent 16 6 17 2" xfId="2847"/>
    <cellStyle name="Percent 16 6 18" xfId="2848"/>
    <cellStyle name="Percent 16 6 2" xfId="2849"/>
    <cellStyle name="Percent 16 6 2 2" xfId="2850"/>
    <cellStyle name="Percent 16 6 3" xfId="2851"/>
    <cellStyle name="Percent 16 6 3 2" xfId="2852"/>
    <cellStyle name="Percent 16 6 4" xfId="2853"/>
    <cellStyle name="Percent 16 6 4 2" xfId="2854"/>
    <cellStyle name="Percent 16 6 5" xfId="2855"/>
    <cellStyle name="Percent 16 6 5 2" xfId="2856"/>
    <cellStyle name="Percent 16 6 6" xfId="2857"/>
    <cellStyle name="Percent 16 6 6 2" xfId="2858"/>
    <cellStyle name="Percent 16 6 7" xfId="2859"/>
    <cellStyle name="Percent 16 6 7 2" xfId="2860"/>
    <cellStyle name="Percent 16 6 8" xfId="2861"/>
    <cellStyle name="Percent 16 6 8 2" xfId="2862"/>
    <cellStyle name="Percent 16 6 9" xfId="2863"/>
    <cellStyle name="Percent 16 6 9 2" xfId="2864"/>
    <cellStyle name="Percent 16 7" xfId="2865"/>
    <cellStyle name="Percent 16 7 10" xfId="2866"/>
    <cellStyle name="Percent 16 7 10 2" xfId="2867"/>
    <cellStyle name="Percent 16 7 11" xfId="2868"/>
    <cellStyle name="Percent 16 7 11 2" xfId="2869"/>
    <cellStyle name="Percent 16 7 12" xfId="2870"/>
    <cellStyle name="Percent 16 7 12 2" xfId="2871"/>
    <cellStyle name="Percent 16 7 13" xfId="2872"/>
    <cellStyle name="Percent 16 7 13 2" xfId="2873"/>
    <cellStyle name="Percent 16 7 14" xfId="2874"/>
    <cellStyle name="Percent 16 7 14 2" xfId="2875"/>
    <cellStyle name="Percent 16 7 15" xfId="2876"/>
    <cellStyle name="Percent 16 7 15 2" xfId="2877"/>
    <cellStyle name="Percent 16 7 16" xfId="2878"/>
    <cellStyle name="Percent 16 7 16 2" xfId="2879"/>
    <cellStyle name="Percent 16 7 17" xfId="2880"/>
    <cellStyle name="Percent 16 7 17 2" xfId="2881"/>
    <cellStyle name="Percent 16 7 18" xfId="2882"/>
    <cellStyle name="Percent 16 7 2" xfId="2883"/>
    <cellStyle name="Percent 16 7 2 2" xfId="2884"/>
    <cellStyle name="Percent 16 7 3" xfId="2885"/>
    <cellStyle name="Percent 16 7 3 2" xfId="2886"/>
    <cellStyle name="Percent 16 7 4" xfId="2887"/>
    <cellStyle name="Percent 16 7 4 2" xfId="2888"/>
    <cellStyle name="Percent 16 7 5" xfId="2889"/>
    <cellStyle name="Percent 16 7 5 2" xfId="2890"/>
    <cellStyle name="Percent 16 7 6" xfId="2891"/>
    <cellStyle name="Percent 16 7 6 2" xfId="2892"/>
    <cellStyle name="Percent 16 7 7" xfId="2893"/>
    <cellStyle name="Percent 16 7 7 2" xfId="2894"/>
    <cellStyle name="Percent 16 7 8" xfId="2895"/>
    <cellStyle name="Percent 16 7 8 2" xfId="2896"/>
    <cellStyle name="Percent 16 7 9" xfId="2897"/>
    <cellStyle name="Percent 16 7 9 2" xfId="2898"/>
    <cellStyle name="Percent 16 8" xfId="2899"/>
    <cellStyle name="Percent 16 8 10" xfId="2900"/>
    <cellStyle name="Percent 16 8 10 2" xfId="2901"/>
    <cellStyle name="Percent 16 8 11" xfId="2902"/>
    <cellStyle name="Percent 16 8 11 2" xfId="2903"/>
    <cellStyle name="Percent 16 8 12" xfId="2904"/>
    <cellStyle name="Percent 16 8 12 2" xfId="2905"/>
    <cellStyle name="Percent 16 8 13" xfId="2906"/>
    <cellStyle name="Percent 16 8 13 2" xfId="2907"/>
    <cellStyle name="Percent 16 8 14" xfId="2908"/>
    <cellStyle name="Percent 16 8 14 2" xfId="2909"/>
    <cellStyle name="Percent 16 8 15" xfId="2910"/>
    <cellStyle name="Percent 16 8 15 2" xfId="2911"/>
    <cellStyle name="Percent 16 8 16" xfId="2912"/>
    <cellStyle name="Percent 16 8 16 2" xfId="2913"/>
    <cellStyle name="Percent 16 8 17" xfId="2914"/>
    <cellStyle name="Percent 16 8 17 2" xfId="2915"/>
    <cellStyle name="Percent 16 8 18" xfId="2916"/>
    <cellStyle name="Percent 16 8 2" xfId="2917"/>
    <cellStyle name="Percent 16 8 2 2" xfId="2918"/>
    <cellStyle name="Percent 16 8 3" xfId="2919"/>
    <cellStyle name="Percent 16 8 3 2" xfId="2920"/>
    <cellStyle name="Percent 16 8 4" xfId="2921"/>
    <cellStyle name="Percent 16 8 4 2" xfId="2922"/>
    <cellStyle name="Percent 16 8 5" xfId="2923"/>
    <cellStyle name="Percent 16 8 5 2" xfId="2924"/>
    <cellStyle name="Percent 16 8 6" xfId="2925"/>
    <cellStyle name="Percent 16 8 6 2" xfId="2926"/>
    <cellStyle name="Percent 16 8 7" xfId="2927"/>
    <cellStyle name="Percent 16 8 7 2" xfId="2928"/>
    <cellStyle name="Percent 16 8 8" xfId="2929"/>
    <cellStyle name="Percent 16 8 8 2" xfId="2930"/>
    <cellStyle name="Percent 16 8 9" xfId="2931"/>
    <cellStyle name="Percent 16 8 9 2" xfId="2932"/>
    <cellStyle name="Percent 16 9" xfId="2933"/>
    <cellStyle name="Percent 16 9 10" xfId="2934"/>
    <cellStyle name="Percent 16 9 10 2" xfId="2935"/>
    <cellStyle name="Percent 16 9 11" xfId="2936"/>
    <cellStyle name="Percent 16 9 11 2" xfId="2937"/>
    <cellStyle name="Percent 16 9 12" xfId="2938"/>
    <cellStyle name="Percent 16 9 12 2" xfId="2939"/>
    <cellStyle name="Percent 16 9 13" xfId="2940"/>
    <cellStyle name="Percent 16 9 13 2" xfId="2941"/>
    <cellStyle name="Percent 16 9 14" xfId="2942"/>
    <cellStyle name="Percent 16 9 14 2" xfId="2943"/>
    <cellStyle name="Percent 16 9 15" xfId="2944"/>
    <cellStyle name="Percent 16 9 15 2" xfId="2945"/>
    <cellStyle name="Percent 16 9 16" xfId="2946"/>
    <cellStyle name="Percent 16 9 16 2" xfId="2947"/>
    <cellStyle name="Percent 16 9 17" xfId="2948"/>
    <cellStyle name="Percent 16 9 17 2" xfId="2949"/>
    <cellStyle name="Percent 16 9 18" xfId="2950"/>
    <cellStyle name="Percent 16 9 2" xfId="2951"/>
    <cellStyle name="Percent 16 9 2 2" xfId="2952"/>
    <cellStyle name="Percent 16 9 3" xfId="2953"/>
    <cellStyle name="Percent 16 9 3 2" xfId="2954"/>
    <cellStyle name="Percent 16 9 4" xfId="2955"/>
    <cellStyle name="Percent 16 9 4 2" xfId="2956"/>
    <cellStyle name="Percent 16 9 5" xfId="2957"/>
    <cellStyle name="Percent 16 9 5 2" xfId="2958"/>
    <cellStyle name="Percent 16 9 6" xfId="2959"/>
    <cellStyle name="Percent 16 9 6 2" xfId="2960"/>
    <cellStyle name="Percent 16 9 7" xfId="2961"/>
    <cellStyle name="Percent 16 9 7 2" xfId="2962"/>
    <cellStyle name="Percent 16 9 8" xfId="2963"/>
    <cellStyle name="Percent 16 9 8 2" xfId="2964"/>
    <cellStyle name="Percent 16 9 9" xfId="2965"/>
    <cellStyle name="Percent 16 9 9 2" xfId="2966"/>
    <cellStyle name="Percent 17" xfId="2967"/>
    <cellStyle name="Percent 17 2" xfId="2968"/>
    <cellStyle name="Percent 2" xfId="2969"/>
    <cellStyle name="Percent 2 10" xfId="2970"/>
    <cellStyle name="Percent 2 10 2" xfId="2971"/>
    <cellStyle name="Percent 2 10 2 2" xfId="2972"/>
    <cellStyle name="Percent 2 10 3" xfId="2973"/>
    <cellStyle name="Percent 2 10 3 2" xfId="2974"/>
    <cellStyle name="Percent 2 10 4" xfId="2975"/>
    <cellStyle name="Percent 2 10 4 2" xfId="2976"/>
    <cellStyle name="Percent 2 10 5" xfId="2977"/>
    <cellStyle name="Percent 2 10 5 2" xfId="2978"/>
    <cellStyle name="Percent 2 10 6" xfId="2979"/>
    <cellStyle name="Percent 2 10 6 2" xfId="2980"/>
    <cellStyle name="Percent 2 10 7" xfId="2981"/>
    <cellStyle name="Percent 2 10 7 2" xfId="2982"/>
    <cellStyle name="Percent 2 10 8" xfId="2983"/>
    <cellStyle name="Percent 2 10 8 2" xfId="2984"/>
    <cellStyle name="Percent 2 10 9" xfId="2985"/>
    <cellStyle name="Percent 2 11" xfId="2986"/>
    <cellStyle name="Percent 2 11 2" xfId="2987"/>
    <cellStyle name="Percent 2 11 2 2" xfId="2988"/>
    <cellStyle name="Percent 2 11 3" xfId="2989"/>
    <cellStyle name="Percent 2 11 3 2" xfId="2990"/>
    <cellStyle name="Percent 2 11 4" xfId="2991"/>
    <cellStyle name="Percent 2 11 4 2" xfId="2992"/>
    <cellStyle name="Percent 2 11 5" xfId="2993"/>
    <cellStyle name="Percent 2 11 5 2" xfId="2994"/>
    <cellStyle name="Percent 2 11 6" xfId="2995"/>
    <cellStyle name="Percent 2 11 6 2" xfId="2996"/>
    <cellStyle name="Percent 2 11 7" xfId="2997"/>
    <cellStyle name="Percent 2 11 7 2" xfId="2998"/>
    <cellStyle name="Percent 2 11 8" xfId="2999"/>
    <cellStyle name="Percent 2 11 8 2" xfId="3000"/>
    <cellStyle name="Percent 2 11 9" xfId="3001"/>
    <cellStyle name="Percent 2 12" xfId="3002"/>
    <cellStyle name="Percent 2 12 2" xfId="3003"/>
    <cellStyle name="Percent 2 13" xfId="3004"/>
    <cellStyle name="Percent 2 13 2" xfId="3005"/>
    <cellStyle name="Percent 2 14" xfId="3006"/>
    <cellStyle name="Percent 2 14 2" xfId="3007"/>
    <cellStyle name="Percent 2 15" xfId="3008"/>
    <cellStyle name="Percent 2 15 2" xfId="3009"/>
    <cellStyle name="Percent 2 16" xfId="3010"/>
    <cellStyle name="Percent 2 16 2" xfId="3011"/>
    <cellStyle name="Percent 2 17" xfId="3012"/>
    <cellStyle name="Percent 2 17 2" xfId="3013"/>
    <cellStyle name="Percent 2 18" xfId="3014"/>
    <cellStyle name="Percent 2 18 2" xfId="3015"/>
    <cellStyle name="Percent 2 19" xfId="3016"/>
    <cellStyle name="Percent 2 2" xfId="3017"/>
    <cellStyle name="Percent 2 2 10" xfId="3018"/>
    <cellStyle name="Percent 2 2 2" xfId="3019"/>
    <cellStyle name="Percent 2 2 2 2" xfId="3020"/>
    <cellStyle name="Percent 2 2 2 3" xfId="3021"/>
    <cellStyle name="Percent 2 2 3" xfId="3022"/>
    <cellStyle name="Percent 2 2 3 2" xfId="3023"/>
    <cellStyle name="Percent 2 2 3 2 2" xfId="3024"/>
    <cellStyle name="Percent 2 2 3 3" xfId="3025"/>
    <cellStyle name="Percent 2 2 4" xfId="3026"/>
    <cellStyle name="Percent 2 2 4 2" xfId="3027"/>
    <cellStyle name="Percent 2 2 5" xfId="3028"/>
    <cellStyle name="Percent 2 2 5 2" xfId="3029"/>
    <cellStyle name="Percent 2 2 6" xfId="3030"/>
    <cellStyle name="Percent 2 2 6 2" xfId="3031"/>
    <cellStyle name="Percent 2 2 7" xfId="3032"/>
    <cellStyle name="Percent 2 2 7 2" xfId="3033"/>
    <cellStyle name="Percent 2 2 8" xfId="3034"/>
    <cellStyle name="Percent 2 2 8 2" xfId="3035"/>
    <cellStyle name="Percent 2 2 9" xfId="3036"/>
    <cellStyle name="Percent 2 20" xfId="3037"/>
    <cellStyle name="Percent 2 3" xfId="3038"/>
    <cellStyle name="Percent 2 3 10" xfId="3039"/>
    <cellStyle name="Percent 2 3 2" xfId="3040"/>
    <cellStyle name="Percent 2 3 2 2" xfId="3041"/>
    <cellStyle name="Percent 2 3 2 3" xfId="3042"/>
    <cellStyle name="Percent 2 3 3" xfId="3043"/>
    <cellStyle name="Percent 2 3 3 2" xfId="3044"/>
    <cellStyle name="Percent 2 3 3 2 2" xfId="3045"/>
    <cellStyle name="Percent 2 3 3 3" xfId="3046"/>
    <cellStyle name="Percent 2 3 4" xfId="3047"/>
    <cellStyle name="Percent 2 3 4 2" xfId="3048"/>
    <cellStyle name="Percent 2 3 5" xfId="3049"/>
    <cellStyle name="Percent 2 3 5 2" xfId="3050"/>
    <cellStyle name="Percent 2 3 6" xfId="3051"/>
    <cellStyle name="Percent 2 3 6 2" xfId="3052"/>
    <cellStyle name="Percent 2 3 7" xfId="3053"/>
    <cellStyle name="Percent 2 3 7 2" xfId="3054"/>
    <cellStyle name="Percent 2 3 8" xfId="3055"/>
    <cellStyle name="Percent 2 3 8 2" xfId="3056"/>
    <cellStyle name="Percent 2 3 9" xfId="3057"/>
    <cellStyle name="Percent 2 4" xfId="3058"/>
    <cellStyle name="Percent 2 4 10" xfId="3059"/>
    <cellStyle name="Percent 2 4 2" xfId="3060"/>
    <cellStyle name="Percent 2 4 2 2" xfId="3061"/>
    <cellStyle name="Percent 2 4 3" xfId="3062"/>
    <cellStyle name="Percent 2 4 3 2" xfId="3063"/>
    <cellStyle name="Percent 2 4 4" xfId="3064"/>
    <cellStyle name="Percent 2 4 4 2" xfId="3065"/>
    <cellStyle name="Percent 2 4 5" xfId="3066"/>
    <cellStyle name="Percent 2 4 5 2" xfId="3067"/>
    <cellStyle name="Percent 2 4 6" xfId="3068"/>
    <cellStyle name="Percent 2 4 6 2" xfId="3069"/>
    <cellStyle name="Percent 2 4 7" xfId="3070"/>
    <cellStyle name="Percent 2 4 7 2" xfId="3071"/>
    <cellStyle name="Percent 2 4 8" xfId="3072"/>
    <cellStyle name="Percent 2 4 8 2" xfId="3073"/>
    <cellStyle name="Percent 2 4 9" xfId="3074"/>
    <cellStyle name="Percent 2 5" xfId="3075"/>
    <cellStyle name="Percent 2 5 2" xfId="3076"/>
    <cellStyle name="Percent 2 5 2 2" xfId="3077"/>
    <cellStyle name="Percent 2 5 3" xfId="3078"/>
    <cellStyle name="Percent 2 5 3 2" xfId="3079"/>
    <cellStyle name="Percent 2 5 4" xfId="3080"/>
    <cellStyle name="Percent 2 5 4 2" xfId="3081"/>
    <cellStyle name="Percent 2 5 5" xfId="3082"/>
    <cellStyle name="Percent 2 5 5 2" xfId="3083"/>
    <cellStyle name="Percent 2 5 6" xfId="3084"/>
    <cellStyle name="Percent 2 5 6 2" xfId="3085"/>
    <cellStyle name="Percent 2 5 7" xfId="3086"/>
    <cellStyle name="Percent 2 5 7 2" xfId="3087"/>
    <cellStyle name="Percent 2 5 8" xfId="3088"/>
    <cellStyle name="Percent 2 5 8 2" xfId="3089"/>
    <cellStyle name="Percent 2 5 9" xfId="3090"/>
    <cellStyle name="Percent 2 6" xfId="3091"/>
    <cellStyle name="Percent 2 6 2" xfId="3092"/>
    <cellStyle name="Percent 2 6 2 2" xfId="3093"/>
    <cellStyle name="Percent 2 6 3" xfId="3094"/>
    <cellStyle name="Percent 2 6 3 2" xfId="3095"/>
    <cellStyle name="Percent 2 6 4" xfId="3096"/>
    <cellStyle name="Percent 2 6 4 2" xfId="3097"/>
    <cellStyle name="Percent 2 6 5" xfId="3098"/>
    <cellStyle name="Percent 2 6 5 2" xfId="3099"/>
    <cellStyle name="Percent 2 6 6" xfId="3100"/>
    <cellStyle name="Percent 2 6 6 2" xfId="3101"/>
    <cellStyle name="Percent 2 6 7" xfId="3102"/>
    <cellStyle name="Percent 2 6 7 2" xfId="3103"/>
    <cellStyle name="Percent 2 6 8" xfId="3104"/>
    <cellStyle name="Percent 2 6 8 2" xfId="3105"/>
    <cellStyle name="Percent 2 6 9" xfId="3106"/>
    <cellStyle name="Percent 2 7" xfId="3107"/>
    <cellStyle name="Percent 2 7 2" xfId="3108"/>
    <cellStyle name="Percent 2 7 2 2" xfId="3109"/>
    <cellStyle name="Percent 2 7 3" xfId="3110"/>
    <cellStyle name="Percent 2 7 3 2" xfId="3111"/>
    <cellStyle name="Percent 2 7 4" xfId="3112"/>
    <cellStyle name="Percent 2 7 4 2" xfId="3113"/>
    <cellStyle name="Percent 2 7 5" xfId="3114"/>
    <cellStyle name="Percent 2 7 5 2" xfId="3115"/>
    <cellStyle name="Percent 2 7 6" xfId="3116"/>
    <cellStyle name="Percent 2 7 6 2" xfId="3117"/>
    <cellStyle name="Percent 2 7 7" xfId="3118"/>
    <cellStyle name="Percent 2 7 7 2" xfId="3119"/>
    <cellStyle name="Percent 2 7 8" xfId="3120"/>
    <cellStyle name="Percent 2 7 8 2" xfId="3121"/>
    <cellStyle name="Percent 2 7 9" xfId="3122"/>
    <cellStyle name="Percent 2 8" xfId="3123"/>
    <cellStyle name="Percent 2 8 2" xfId="3124"/>
    <cellStyle name="Percent 2 8 2 2" xfId="3125"/>
    <cellStyle name="Percent 2 8 3" xfId="3126"/>
    <cellStyle name="Percent 2 8 3 2" xfId="3127"/>
    <cellStyle name="Percent 2 8 4" xfId="3128"/>
    <cellStyle name="Percent 2 8 4 2" xfId="3129"/>
    <cellStyle name="Percent 2 8 5" xfId="3130"/>
    <cellStyle name="Percent 2 8 5 2" xfId="3131"/>
    <cellStyle name="Percent 2 8 6" xfId="3132"/>
    <cellStyle name="Percent 2 8 6 2" xfId="3133"/>
    <cellStyle name="Percent 2 8 7" xfId="3134"/>
    <cellStyle name="Percent 2 8 7 2" xfId="3135"/>
    <cellStyle name="Percent 2 8 8" xfId="3136"/>
    <cellStyle name="Percent 2 8 8 2" xfId="3137"/>
    <cellStyle name="Percent 2 8 9" xfId="3138"/>
    <cellStyle name="Percent 2 9" xfId="3139"/>
    <cellStyle name="Percent 2 9 2" xfId="3140"/>
    <cellStyle name="Percent 2 9 2 2" xfId="3141"/>
    <cellStyle name="Percent 2 9 3" xfId="3142"/>
    <cellStyle name="Percent 2 9 3 2" xfId="3143"/>
    <cellStyle name="Percent 2 9 4" xfId="3144"/>
    <cellStyle name="Percent 2 9 4 2" xfId="3145"/>
    <cellStyle name="Percent 2 9 5" xfId="3146"/>
    <cellStyle name="Percent 2 9 5 2" xfId="3147"/>
    <cellStyle name="Percent 2 9 6" xfId="3148"/>
    <cellStyle name="Percent 2 9 6 2" xfId="3149"/>
    <cellStyle name="Percent 2 9 7" xfId="3150"/>
    <cellStyle name="Percent 2 9 7 2" xfId="3151"/>
    <cellStyle name="Percent 2 9 8" xfId="3152"/>
    <cellStyle name="Percent 2 9 8 2" xfId="3153"/>
    <cellStyle name="Percent 2 9 9" xfId="3154"/>
    <cellStyle name="Percent 3" xfId="3155"/>
    <cellStyle name="Percent 3 10" xfId="3156"/>
    <cellStyle name="Percent 3 11" xfId="3157"/>
    <cellStyle name="Percent 3 12" xfId="3158"/>
    <cellStyle name="Percent 3 2" xfId="3159"/>
    <cellStyle name="Percent 3 2 2" xfId="3160"/>
    <cellStyle name="Percent 3 2 2 2" xfId="3161"/>
    <cellStyle name="Percent 3 2 3" xfId="3162"/>
    <cellStyle name="Percent 3 2 4" xfId="3163"/>
    <cellStyle name="Percent 3 3" xfId="3164"/>
    <cellStyle name="Percent 3 3 2" xfId="3165"/>
    <cellStyle name="Percent 3 3 2 2" xfId="3166"/>
    <cellStyle name="Percent 3 3 3" xfId="3167"/>
    <cellStyle name="Percent 3 3 3 2" xfId="3168"/>
    <cellStyle name="Percent 3 3 4" xfId="3169"/>
    <cellStyle name="Percent 3 4" xfId="3170"/>
    <cellStyle name="Percent 3 4 2" xfId="3171"/>
    <cellStyle name="Percent 3 4 2 2" xfId="3172"/>
    <cellStyle name="Percent 3 4 3" xfId="3173"/>
    <cellStyle name="Percent 3 5" xfId="3174"/>
    <cellStyle name="Percent 3 5 2" xfId="3175"/>
    <cellStyle name="Percent 3 5 3" xfId="3176"/>
    <cellStyle name="Percent 3 6" xfId="3177"/>
    <cellStyle name="Percent 3 6 2" xfId="3178"/>
    <cellStyle name="Percent 3 7" xfId="3179"/>
    <cellStyle name="Percent 3 7 2" xfId="3180"/>
    <cellStyle name="Percent 3 8" xfId="3181"/>
    <cellStyle name="Percent 3 8 2" xfId="3182"/>
    <cellStyle name="Percent 3 9" xfId="3183"/>
    <cellStyle name="Percent 3 9 2" xfId="3184"/>
    <cellStyle name="Percent 3 9 3" xfId="3185"/>
    <cellStyle name="Percent 4" xfId="3186"/>
    <cellStyle name="Percent 4 10" xfId="3187"/>
    <cellStyle name="Percent 4 10 2" xfId="3188"/>
    <cellStyle name="Percent 4 11" xfId="3189"/>
    <cellStyle name="Percent 4 11 2" xfId="3190"/>
    <cellStyle name="Percent 4 12" xfId="3191"/>
    <cellStyle name="Percent 4 12 2" xfId="3192"/>
    <cellStyle name="Percent 4 13" xfId="3193"/>
    <cellStyle name="Percent 4 13 2" xfId="3194"/>
    <cellStyle name="Percent 4 14" xfId="3195"/>
    <cellStyle name="Percent 4 15" xfId="3196"/>
    <cellStyle name="Percent 4 2" xfId="3197"/>
    <cellStyle name="Percent 4 2 10" xfId="3198"/>
    <cellStyle name="Percent 4 2 2" xfId="3199"/>
    <cellStyle name="Percent 4 2 2 2" xfId="3200"/>
    <cellStyle name="Percent 4 2 2 3" xfId="3201"/>
    <cellStyle name="Percent 4 2 3" xfId="3202"/>
    <cellStyle name="Percent 4 2 3 2" xfId="3203"/>
    <cellStyle name="Percent 4 2 4" xfId="3204"/>
    <cellStyle name="Percent 4 2 4 2" xfId="3205"/>
    <cellStyle name="Percent 4 2 5" xfId="3206"/>
    <cellStyle name="Percent 4 2 5 2" xfId="3207"/>
    <cellStyle name="Percent 4 2 6" xfId="3208"/>
    <cellStyle name="Percent 4 2 6 2" xfId="3209"/>
    <cellStyle name="Percent 4 2 7" xfId="3210"/>
    <cellStyle name="Percent 4 2 7 2" xfId="3211"/>
    <cellStyle name="Percent 4 2 8" xfId="3212"/>
    <cellStyle name="Percent 4 2 8 2" xfId="3213"/>
    <cellStyle name="Percent 4 2 9" xfId="3214"/>
    <cellStyle name="Percent 4 3" xfId="3215"/>
    <cellStyle name="Percent 4 3 10" xfId="3216"/>
    <cellStyle name="Percent 4 3 2" xfId="3217"/>
    <cellStyle name="Percent 4 3 2 2" xfId="3218"/>
    <cellStyle name="Percent 4 3 3" xfId="3219"/>
    <cellStyle name="Percent 4 3 3 2" xfId="3220"/>
    <cellStyle name="Percent 4 3 4" xfId="3221"/>
    <cellStyle name="Percent 4 3 4 2" xfId="3222"/>
    <cellStyle name="Percent 4 3 5" xfId="3223"/>
    <cellStyle name="Percent 4 3 5 2" xfId="3224"/>
    <cellStyle name="Percent 4 3 6" xfId="3225"/>
    <cellStyle name="Percent 4 3 6 2" xfId="3226"/>
    <cellStyle name="Percent 4 3 7" xfId="3227"/>
    <cellStyle name="Percent 4 3 7 2" xfId="3228"/>
    <cellStyle name="Percent 4 3 8" xfId="3229"/>
    <cellStyle name="Percent 4 3 8 2" xfId="3230"/>
    <cellStyle name="Percent 4 3 9" xfId="3231"/>
    <cellStyle name="Percent 4 4" xfId="3232"/>
    <cellStyle name="Percent 4 4 10" xfId="3233"/>
    <cellStyle name="Percent 4 4 2" xfId="3234"/>
    <cellStyle name="Percent 4 4 2 2" xfId="3235"/>
    <cellStyle name="Percent 4 4 3" xfId="3236"/>
    <cellStyle name="Percent 4 4 3 2" xfId="3237"/>
    <cellStyle name="Percent 4 4 4" xfId="3238"/>
    <cellStyle name="Percent 4 4 4 2" xfId="3239"/>
    <cellStyle name="Percent 4 4 5" xfId="3240"/>
    <cellStyle name="Percent 4 4 5 2" xfId="3241"/>
    <cellStyle name="Percent 4 4 6" xfId="3242"/>
    <cellStyle name="Percent 4 4 6 2" xfId="3243"/>
    <cellStyle name="Percent 4 4 7" xfId="3244"/>
    <cellStyle name="Percent 4 4 7 2" xfId="3245"/>
    <cellStyle name="Percent 4 4 8" xfId="3246"/>
    <cellStyle name="Percent 4 4 8 2" xfId="3247"/>
    <cellStyle name="Percent 4 4 9" xfId="3248"/>
    <cellStyle name="Percent 4 5" xfId="3249"/>
    <cellStyle name="Percent 4 5 2" xfId="3250"/>
    <cellStyle name="Percent 4 5 2 2" xfId="3251"/>
    <cellStyle name="Percent 4 5 3" xfId="3252"/>
    <cellStyle name="Percent 4 5 3 2" xfId="3253"/>
    <cellStyle name="Percent 4 5 4" xfId="3254"/>
    <cellStyle name="Percent 4 5 4 2" xfId="3255"/>
    <cellStyle name="Percent 4 5 5" xfId="3256"/>
    <cellStyle name="Percent 4 5 5 2" xfId="3257"/>
    <cellStyle name="Percent 4 5 6" xfId="3258"/>
    <cellStyle name="Percent 4 5 6 2" xfId="3259"/>
    <cellStyle name="Percent 4 5 7" xfId="3260"/>
    <cellStyle name="Percent 4 5 7 2" xfId="3261"/>
    <cellStyle name="Percent 4 5 8" xfId="3262"/>
    <cellStyle name="Percent 4 5 8 2" xfId="3263"/>
    <cellStyle name="Percent 4 5 9" xfId="3264"/>
    <cellStyle name="Percent 4 6" xfId="3265"/>
    <cellStyle name="Percent 4 6 2" xfId="3266"/>
    <cellStyle name="Percent 4 6 2 2" xfId="3267"/>
    <cellStyle name="Percent 4 6 3" xfId="3268"/>
    <cellStyle name="Percent 4 6 3 2" xfId="3269"/>
    <cellStyle name="Percent 4 6 4" xfId="3270"/>
    <cellStyle name="Percent 4 6 4 2" xfId="3271"/>
    <cellStyle name="Percent 4 6 5" xfId="3272"/>
    <cellStyle name="Percent 4 6 5 2" xfId="3273"/>
    <cellStyle name="Percent 4 6 6" xfId="3274"/>
    <cellStyle name="Percent 4 6 6 2" xfId="3275"/>
    <cellStyle name="Percent 4 6 7" xfId="3276"/>
    <cellStyle name="Percent 4 6 7 2" xfId="3277"/>
    <cellStyle name="Percent 4 6 8" xfId="3278"/>
    <cellStyle name="Percent 4 6 8 2" xfId="3279"/>
    <cellStyle name="Percent 4 6 9" xfId="3280"/>
    <cellStyle name="Percent 4 7" xfId="3281"/>
    <cellStyle name="Percent 4 7 2" xfId="3282"/>
    <cellStyle name="Percent 4 8" xfId="3283"/>
    <cellStyle name="Percent 4 8 2" xfId="3284"/>
    <cellStyle name="Percent 4 9" xfId="3285"/>
    <cellStyle name="Percent 4 9 2" xfId="3286"/>
    <cellStyle name="Percent 5" xfId="3287"/>
    <cellStyle name="Percent 5 10" xfId="3288"/>
    <cellStyle name="Percent 5 2" xfId="3289"/>
    <cellStyle name="Percent 5 2 2" xfId="3290"/>
    <cellStyle name="Percent 5 2 3" xfId="3291"/>
    <cellStyle name="Percent 5 3" xfId="3292"/>
    <cellStyle name="Percent 5 3 2" xfId="3293"/>
    <cellStyle name="Percent 5 4" xfId="3294"/>
    <cellStyle name="Percent 5 4 2" xfId="3295"/>
    <cellStyle name="Percent 5 5" xfId="3296"/>
    <cellStyle name="Percent 5 5 2" xfId="3297"/>
    <cellStyle name="Percent 5 6" xfId="3298"/>
    <cellStyle name="Percent 5 6 2" xfId="3299"/>
    <cellStyle name="Percent 5 7" xfId="3300"/>
    <cellStyle name="Percent 5 7 2" xfId="3301"/>
    <cellStyle name="Percent 5 8" xfId="3302"/>
    <cellStyle name="Percent 5 8 2" xfId="3303"/>
    <cellStyle name="Percent 5 9" xfId="3304"/>
    <cellStyle name="Percent 6" xfId="3305"/>
    <cellStyle name="Percent 6 10" xfId="3306"/>
    <cellStyle name="Percent 6 2" xfId="3307"/>
    <cellStyle name="Percent 6 2 2" xfId="3308"/>
    <cellStyle name="Percent 6 3" xfId="3309"/>
    <cellStyle name="Percent 6 3 2" xfId="3310"/>
    <cellStyle name="Percent 6 4" xfId="3311"/>
    <cellStyle name="Percent 6 4 2" xfId="3312"/>
    <cellStyle name="Percent 6 5" xfId="3313"/>
    <cellStyle name="Percent 6 5 2" xfId="3314"/>
    <cellStyle name="Percent 6 6" xfId="3315"/>
    <cellStyle name="Percent 6 6 2" xfId="3316"/>
    <cellStyle name="Percent 6 7" xfId="3317"/>
    <cellStyle name="Percent 6 7 2" xfId="3318"/>
    <cellStyle name="Percent 6 8" xfId="3319"/>
    <cellStyle name="Percent 6 8 2" xfId="3320"/>
    <cellStyle name="Percent 6 9" xfId="3321"/>
    <cellStyle name="Percent 7" xfId="3322"/>
    <cellStyle name="Percent 7 2" xfId="3323"/>
    <cellStyle name="Percent 7 2 2" xfId="3324"/>
    <cellStyle name="Percent 7 3" xfId="3325"/>
    <cellStyle name="Percent 7 3 2" xfId="3326"/>
    <cellStyle name="Percent 7 4" xfId="3327"/>
    <cellStyle name="Percent 7 4 2" xfId="3328"/>
    <cellStyle name="Percent 7 5" xfId="3329"/>
    <cellStyle name="Percent 7 5 2" xfId="3330"/>
    <cellStyle name="Percent 7 6" xfId="3331"/>
    <cellStyle name="Percent 7 6 2" xfId="3332"/>
    <cellStyle name="Percent 7 7" xfId="3333"/>
    <cellStyle name="Percent 7 7 2" xfId="3334"/>
    <cellStyle name="Percent 7 8" xfId="3335"/>
    <cellStyle name="Percent 7 8 2" xfId="3336"/>
    <cellStyle name="Percent 7 9" xfId="3337"/>
    <cellStyle name="Percent 8" xfId="3338"/>
    <cellStyle name="Percent 8 2" xfId="3339"/>
    <cellStyle name="Percent 8 2 2" xfId="3340"/>
    <cellStyle name="Percent 8 3" xfId="3341"/>
    <cellStyle name="Percent 8 3 2" xfId="3342"/>
    <cellStyle name="Percent 8 4" xfId="3343"/>
    <cellStyle name="Percent 8 4 2" xfId="3344"/>
    <cellStyle name="Percent 8 5" xfId="3345"/>
    <cellStyle name="Percent 8 5 2" xfId="3346"/>
    <cellStyle name="Percent 8 6" xfId="3347"/>
    <cellStyle name="Percent 8 6 2" xfId="3348"/>
    <cellStyle name="Percent 8 7" xfId="3349"/>
    <cellStyle name="Percent 8 7 2" xfId="3350"/>
    <cellStyle name="Percent 8 8" xfId="3351"/>
    <cellStyle name="Percent 8 8 2" xfId="3352"/>
    <cellStyle name="Percent 8 9" xfId="3353"/>
    <cellStyle name="Percent 9" xfId="3354"/>
    <cellStyle name="Percent 9 2" xfId="3355"/>
    <cellStyle name="Percent 9 2 2" xfId="3356"/>
    <cellStyle name="Percent 9 3" xfId="3357"/>
    <cellStyle name="Percent 9 3 2" xfId="3358"/>
    <cellStyle name="Percent 9 4" xfId="3359"/>
    <cellStyle name="Percent 9 4 2" xfId="3360"/>
    <cellStyle name="Percent 9 5" xfId="3361"/>
    <cellStyle name="Percent 9 5 2" xfId="3362"/>
    <cellStyle name="Percent 9 6" xfId="3363"/>
    <cellStyle name="Percent 9 6 2" xfId="3364"/>
    <cellStyle name="Percent 9 7" xfId="3365"/>
    <cellStyle name="Percent 9 7 2" xfId="3366"/>
    <cellStyle name="Percent 9 8" xfId="3367"/>
    <cellStyle name="Percent 9 8 2" xfId="3368"/>
    <cellStyle name="Percent 9 9" xfId="3369"/>
    <cellStyle name="Pilkku_Layo9704" xfId="3370"/>
    <cellStyle name="Pyör. luku_Layo9704" xfId="3371"/>
    <cellStyle name="Pyör. valuutta_Layo9704" xfId="3372"/>
    <cellStyle name="source" xfId="3373"/>
    <cellStyle name="Standard_Sce_D_Extraction" xfId="3374"/>
    <cellStyle name="Style 21" xfId="3375"/>
    <cellStyle name="Style 21 2" xfId="3376"/>
    <cellStyle name="Style 22" xfId="3377"/>
    <cellStyle name="Style 23" xfId="3378"/>
    <cellStyle name="Style 24" xfId="3379"/>
    <cellStyle name="Style 25" xfId="3380"/>
    <cellStyle name="Style 25 2" xfId="3381"/>
    <cellStyle name="Style 26" xfId="3382"/>
    <cellStyle name="Style 29" xfId="3383"/>
    <cellStyle name="Style 29 2" xfId="3384"/>
    <cellStyle name="Style 29 2 2" xfId="3385"/>
    <cellStyle name="Style 29 3" xfId="3386"/>
    <cellStyle name="Style 35" xfId="3387"/>
    <cellStyle name="Style 35 2" xfId="3388"/>
    <cellStyle name="Style 36" xfId="3389"/>
    <cellStyle name="Style 36 2" xfId="3390"/>
    <cellStyle name="tableau | cellule | normal | decimal 1" xfId="3391"/>
    <cellStyle name="tableau | cellule | normal | pourcentage | decimal 1" xfId="3392"/>
    <cellStyle name="tableau | cellule | total | decimal 1" xfId="3393"/>
    <cellStyle name="tableau | coin superieur gauche" xfId="3394"/>
    <cellStyle name="tableau | coin superieur gauche 2" xfId="3395"/>
    <cellStyle name="tableau | entete-colonne | series" xfId="3396"/>
    <cellStyle name="tableau | entete-colonne | series 2" xfId="3397"/>
    <cellStyle name="tableau | entete-ligne | normal" xfId="3398"/>
    <cellStyle name="tableau | entete-ligne | normal 2" xfId="3399"/>
    <cellStyle name="tableau | entete-ligne | total" xfId="3400"/>
    <cellStyle name="tableau | ligne-titre | niveau1" xfId="3401"/>
    <cellStyle name="tableau | ligne-titre | niveau1 2" xfId="3402"/>
    <cellStyle name="tableau | ligne-titre | niveau2" xfId="3403"/>
    <cellStyle name="tableau | ligne-titre | niveau2 2" xfId="3404"/>
    <cellStyle name="Title 2" xfId="3405"/>
    <cellStyle name="Title 2 10" xfId="3406"/>
    <cellStyle name="Title 2 2" xfId="3407"/>
    <cellStyle name="Title 2 3" xfId="3408"/>
    <cellStyle name="Title 2 4" xfId="3409"/>
    <cellStyle name="Title 2 5" xfId="3410"/>
    <cellStyle name="Title 2 6" xfId="3411"/>
    <cellStyle name="Title 2 7" xfId="3412"/>
    <cellStyle name="Title 2 8" xfId="3413"/>
    <cellStyle name="Title 2 9" xfId="3414"/>
    <cellStyle name="Title 3" xfId="3415"/>
    <cellStyle name="Title 3 2" xfId="3416"/>
    <cellStyle name="Total 2" xfId="3417"/>
    <cellStyle name="Total 2 10" xfId="3418"/>
    <cellStyle name="Total 2 2" xfId="3419"/>
    <cellStyle name="Total 2 3" xfId="3420"/>
    <cellStyle name="Total 2 4" xfId="3421"/>
    <cellStyle name="Total 2 5" xfId="3422"/>
    <cellStyle name="Total 2 6" xfId="3423"/>
    <cellStyle name="Total 2 7" xfId="3424"/>
    <cellStyle name="Total 2 8" xfId="3425"/>
    <cellStyle name="Total 2 9" xfId="3426"/>
    <cellStyle name="Total 3" xfId="3427"/>
    <cellStyle name="Total 3 2" xfId="3428"/>
    <cellStyle name="Valuutta_Layo9704" xfId="3429"/>
    <cellStyle name="Warning Text 2" xfId="3430"/>
    <cellStyle name="Warning Text 2 10" xfId="3431"/>
    <cellStyle name="Warning Text 2 2" xfId="3432"/>
    <cellStyle name="Warning Text 2 3" xfId="3433"/>
    <cellStyle name="Warning Text 2 4" xfId="3434"/>
    <cellStyle name="Warning Text 2 5" xfId="3435"/>
    <cellStyle name="Warning Text 2 6" xfId="3436"/>
    <cellStyle name="Warning Text 2 7" xfId="3437"/>
    <cellStyle name="Warning Text 2 8" xfId="3438"/>
    <cellStyle name="Warning Text 2 9" xfId="3439"/>
    <cellStyle name="Warning Text 3" xfId="3440"/>
    <cellStyle name="Обычный_CRF2002 (1)" xfId="3441"/>
    <cellStyle name="已访问的超链接" xfId="34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hundersaidenergy.com/downloads/bulk-shipping-cost-breakdow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O16"/>
  <sheetViews>
    <sheetView zoomScale="81" zoomScaleNormal="81" workbookViewId="0">
      <selection activeCell="H17" sqref="H17"/>
    </sheetView>
  </sheetViews>
  <sheetFormatPr defaultColWidth="9" defaultRowHeight="14.5"/>
  <cols>
    <col min="2" max="2" width="18.7272727272727" customWidth="1"/>
    <col min="40" max="40" width="12.6" customWidth="1"/>
  </cols>
  <sheetData>
    <row r="1" spans="1:41">
      <c r="A1" s="33" t="s">
        <v>0</v>
      </c>
      <c r="M1" t="s">
        <v>1</v>
      </c>
    </row>
    <row r="3" spans="1:41">
      <c r="D3" s="32" t="s">
        <v>2</v>
      </c>
    </row>
    <row r="4" spans="1:41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</row>
    <row r="5" spans="1:41">
      <c r="A5" t="s">
        <v>44</v>
      </c>
      <c r="B5" t="str">
        <f>"uce_cap25_"&amp;A5</f>
        <v>uce_cap25_Coal</v>
      </c>
      <c r="C5" t="str">
        <f>"E_"&amp;A5</f>
        <v>E_Coal</v>
      </c>
      <c r="D5">
        <v>1</v>
      </c>
      <c r="E5" s="23">
        <v>4.412</v>
      </c>
      <c r="F5" s="23">
        <v>3.12026375782552</v>
      </c>
      <c r="G5" s="23">
        <v>19.819</v>
      </c>
      <c r="H5" s="23" t="s">
        <v>45</v>
      </c>
      <c r="I5" s="23" t="s">
        <v>45</v>
      </c>
      <c r="J5" s="23">
        <v>5.392</v>
      </c>
      <c r="K5" s="23">
        <v>3.04</v>
      </c>
      <c r="L5" s="23">
        <v>1049.77744541795</v>
      </c>
      <c r="M5" s="23">
        <v>0.341</v>
      </c>
      <c r="N5" s="23">
        <v>1.829</v>
      </c>
      <c r="O5" s="23">
        <v>1.784</v>
      </c>
      <c r="P5" s="23">
        <v>20.964</v>
      </c>
      <c r="Q5" s="23" t="s">
        <v>45</v>
      </c>
      <c r="R5" s="23">
        <v>0.631</v>
      </c>
      <c r="S5" s="23" t="s">
        <v>45</v>
      </c>
      <c r="T5" s="23">
        <v>226.585</v>
      </c>
      <c r="U5" s="23">
        <v>1.043</v>
      </c>
      <c r="V5" s="23">
        <v>7.734</v>
      </c>
      <c r="W5" s="23">
        <v>55.883</v>
      </c>
      <c r="X5" s="23">
        <v>8.113</v>
      </c>
      <c r="Y5" s="23">
        <v>5.815</v>
      </c>
      <c r="Z5" s="23">
        <v>208.923</v>
      </c>
      <c r="AA5" s="23">
        <v>0.008</v>
      </c>
      <c r="AB5" s="23">
        <v>21.844</v>
      </c>
      <c r="AC5" s="23">
        <v>1173.40732616814</v>
      </c>
      <c r="AD5" s="23">
        <v>33.27</v>
      </c>
      <c r="AE5" s="23" t="s">
        <v>45</v>
      </c>
      <c r="AF5" s="23">
        <v>45.335</v>
      </c>
      <c r="AG5" s="23">
        <v>1.425</v>
      </c>
      <c r="AH5" s="23">
        <v>6.068</v>
      </c>
      <c r="AI5" s="23" t="s">
        <v>45</v>
      </c>
      <c r="AJ5" s="23">
        <v>8.664</v>
      </c>
      <c r="AK5" s="23">
        <v>5.108</v>
      </c>
      <c r="AL5" s="23">
        <v>25.702</v>
      </c>
      <c r="AM5" s="23">
        <v>0.224</v>
      </c>
      <c r="AN5" s="23">
        <v>-1</v>
      </c>
    </row>
    <row r="6" spans="1:41">
      <c r="A6" t="s">
        <v>46</v>
      </c>
      <c r="B6" t="str">
        <f t="shared" ref="B6:B10" si="0">"uce_cap25_"&amp;A6</f>
        <v>uce_cap25_Gas</v>
      </c>
      <c r="C6" t="str">
        <f t="shared" ref="C6:C10" si="1">"E_"&amp;A6</f>
        <v>E_Gas</v>
      </c>
      <c r="D6">
        <v>1</v>
      </c>
      <c r="E6" s="23">
        <v>96.795</v>
      </c>
      <c r="F6" s="23">
        <v>25.6351710820699</v>
      </c>
      <c r="G6" s="23">
        <v>16.3663125505745</v>
      </c>
      <c r="H6" s="23">
        <v>4.529</v>
      </c>
      <c r="I6" s="23">
        <v>2.229</v>
      </c>
      <c r="J6" s="23">
        <v>19.908</v>
      </c>
      <c r="K6" s="23">
        <v>12.976</v>
      </c>
      <c r="L6" s="23">
        <v>124.106769526882</v>
      </c>
      <c r="M6" s="23">
        <v>1.35494652675863</v>
      </c>
      <c r="N6" s="23">
        <v>2.955</v>
      </c>
      <c r="O6" s="23">
        <v>8.263</v>
      </c>
      <c r="P6" s="23">
        <v>23.885</v>
      </c>
      <c r="Q6" s="23">
        <v>7.819</v>
      </c>
      <c r="R6" s="23">
        <v>6.279</v>
      </c>
      <c r="S6" s="23" t="s">
        <v>45</v>
      </c>
      <c r="T6" s="23">
        <v>24.629</v>
      </c>
      <c r="U6" s="23">
        <v>4.302</v>
      </c>
      <c r="V6" s="23">
        <v>50.522</v>
      </c>
      <c r="W6" s="23">
        <v>83.7</v>
      </c>
      <c r="X6" s="23">
        <v>56.636</v>
      </c>
      <c r="Y6" s="23">
        <v>215.315</v>
      </c>
      <c r="Z6" s="23">
        <v>555.117</v>
      </c>
      <c r="AA6" s="23">
        <v>0.318</v>
      </c>
      <c r="AB6" s="23">
        <v>3.817</v>
      </c>
      <c r="AC6" s="23">
        <v>377.33885156572</v>
      </c>
      <c r="AD6" s="23">
        <v>126.817</v>
      </c>
      <c r="AE6" s="23">
        <v>54.058</v>
      </c>
      <c r="AF6" s="23">
        <v>0.033</v>
      </c>
      <c r="AG6" s="23">
        <v>31.272</v>
      </c>
      <c r="AH6" s="23">
        <v>5.718</v>
      </c>
      <c r="AI6" s="23">
        <v>0.491</v>
      </c>
      <c r="AJ6" s="23">
        <v>25.944</v>
      </c>
      <c r="AK6" s="23">
        <v>33.529</v>
      </c>
      <c r="AL6" s="23">
        <v>3.113</v>
      </c>
      <c r="AM6" s="23">
        <v>0.951</v>
      </c>
      <c r="AN6" s="23">
        <v>-1</v>
      </c>
    </row>
    <row r="7" spans="1:41">
      <c r="A7" t="s">
        <v>47</v>
      </c>
      <c r="B7" t="str">
        <f t="shared" si="0"/>
        <v>uce_cap25_Hydro</v>
      </c>
      <c r="C7" t="str">
        <f t="shared" si="1"/>
        <v>E_Hydro</v>
      </c>
      <c r="D7">
        <v>1</v>
      </c>
      <c r="E7" s="23">
        <v>4.432</v>
      </c>
      <c r="F7" s="23">
        <v>36.8858527599317</v>
      </c>
      <c r="G7" s="23">
        <v>8.44</v>
      </c>
      <c r="H7" s="23">
        <v>14.933</v>
      </c>
      <c r="I7" s="23">
        <v>1.717</v>
      </c>
      <c r="J7" s="23">
        <v>0.198</v>
      </c>
      <c r="K7" s="23">
        <v>109.95</v>
      </c>
      <c r="L7" s="23">
        <v>381.480858686818</v>
      </c>
      <c r="M7" s="23">
        <v>3.63800080835852</v>
      </c>
      <c r="N7" s="23">
        <v>2.731</v>
      </c>
      <c r="O7" s="23">
        <v>24.478</v>
      </c>
      <c r="P7" s="23">
        <v>5.741</v>
      </c>
      <c r="Q7" s="23">
        <v>3.456</v>
      </c>
      <c r="R7" s="23">
        <v>9.206</v>
      </c>
      <c r="S7" s="23">
        <v>2.114</v>
      </c>
      <c r="T7" s="23">
        <v>54.1028396193525</v>
      </c>
      <c r="U7" s="23">
        <v>0.237</v>
      </c>
      <c r="V7" s="23">
        <v>18.942</v>
      </c>
      <c r="W7" s="23">
        <v>28.247</v>
      </c>
      <c r="X7" s="23">
        <v>81.8173772429141</v>
      </c>
      <c r="Y7" s="23">
        <v>15.1858324984039</v>
      </c>
      <c r="Z7" s="23">
        <v>184.391</v>
      </c>
      <c r="AA7" s="23">
        <v>34.41</v>
      </c>
      <c r="AB7" s="23">
        <v>0.986</v>
      </c>
      <c r="AC7" s="23">
        <v>506.242366978746</v>
      </c>
      <c r="AD7" s="23">
        <v>51.535</v>
      </c>
      <c r="AE7" s="23" t="s">
        <v>45</v>
      </c>
      <c r="AF7" s="23">
        <v>0.752</v>
      </c>
      <c r="AG7" s="23">
        <v>25.039</v>
      </c>
      <c r="AH7" s="23">
        <v>19.647</v>
      </c>
      <c r="AI7" s="23">
        <v>15.279</v>
      </c>
      <c r="AJ7" s="23">
        <v>31.935</v>
      </c>
      <c r="AK7" s="23">
        <v>2.252</v>
      </c>
      <c r="AL7" s="23">
        <v>4.887</v>
      </c>
      <c r="AM7" s="23">
        <v>8.80061311366949</v>
      </c>
      <c r="AN7" s="23">
        <v>-1</v>
      </c>
    </row>
    <row r="8" spans="1:41">
      <c r="A8" t="s">
        <v>48</v>
      </c>
      <c r="B8" t="str">
        <f t="shared" si="0"/>
        <v>uce_cap25_Nuclear</v>
      </c>
      <c r="C8" t="str">
        <f t="shared" si="1"/>
        <v>E_Nuclear</v>
      </c>
      <c r="D8">
        <v>1</v>
      </c>
      <c r="E8" s="23" t="s">
        <v>45</v>
      </c>
      <c r="F8" s="23" t="s">
        <v>45</v>
      </c>
      <c r="G8" s="23" t="s">
        <v>45</v>
      </c>
      <c r="H8" s="23" t="s">
        <v>45</v>
      </c>
      <c r="I8" s="23" t="s">
        <v>45</v>
      </c>
      <c r="J8" s="23">
        <v>5.563</v>
      </c>
      <c r="K8" s="23">
        <v>2.062</v>
      </c>
      <c r="L8" s="23">
        <v>70.6297930648943</v>
      </c>
      <c r="M8" s="23">
        <v>0.727</v>
      </c>
      <c r="N8" s="23">
        <v>6.954</v>
      </c>
      <c r="O8" s="23">
        <v>65.792</v>
      </c>
      <c r="P8" s="23">
        <v>4.291</v>
      </c>
      <c r="Q8" s="23" t="s">
        <v>45</v>
      </c>
      <c r="R8" s="23">
        <v>5.45</v>
      </c>
      <c r="S8" s="23" t="s">
        <v>45</v>
      </c>
      <c r="T8" s="23">
        <v>14.4554035848022</v>
      </c>
      <c r="U8" s="23" t="s">
        <v>45</v>
      </c>
      <c r="V8" s="23" t="s">
        <v>45</v>
      </c>
      <c r="W8" s="23">
        <v>34.1194818175494</v>
      </c>
      <c r="X8" s="23">
        <v>1.798</v>
      </c>
      <c r="Y8" s="23">
        <v>7.62</v>
      </c>
      <c r="Z8" s="23">
        <v>115.929</v>
      </c>
      <c r="AA8" s="23" t="s">
        <v>45</v>
      </c>
      <c r="AB8" s="23" t="s">
        <v>45</v>
      </c>
      <c r="AC8" s="23">
        <v>112.973094438467</v>
      </c>
      <c r="AD8" s="23">
        <v>34.297233878302</v>
      </c>
      <c r="AE8" s="23" t="s">
        <v>45</v>
      </c>
      <c r="AF8" s="23">
        <v>1.94</v>
      </c>
      <c r="AG8" s="23">
        <v>7.398</v>
      </c>
      <c r="AH8" s="23">
        <v>11.706</v>
      </c>
      <c r="AI8" s="23">
        <v>3.025</v>
      </c>
      <c r="AJ8" s="23">
        <v>3.54591433260089</v>
      </c>
      <c r="AK8" s="23">
        <v>7.23456144459034</v>
      </c>
      <c r="AL8" s="23">
        <v>13.88</v>
      </c>
      <c r="AM8" s="23" t="s">
        <v>45</v>
      </c>
      <c r="AN8" s="23">
        <v>-1</v>
      </c>
    </row>
    <row r="9" spans="1:41">
      <c r="A9" t="s">
        <v>49</v>
      </c>
      <c r="B9" t="str">
        <f t="shared" si="0"/>
        <v>uce_cap25_Solar</v>
      </c>
      <c r="C9" t="str">
        <f t="shared" si="1"/>
        <v>E_Solar</v>
      </c>
      <c r="D9">
        <v>1</v>
      </c>
      <c r="E9" s="23">
        <v>3.759</v>
      </c>
      <c r="F9" s="23">
        <v>3.346</v>
      </c>
      <c r="G9" s="23">
        <v>34.218</v>
      </c>
      <c r="H9" s="23">
        <v>6.832</v>
      </c>
      <c r="I9" s="23">
        <v>2.208</v>
      </c>
      <c r="J9" s="23">
        <v>32.886</v>
      </c>
      <c r="K9" s="23">
        <v>40.781</v>
      </c>
      <c r="L9" s="23">
        <v>618.105570429358</v>
      </c>
      <c r="M9" s="23">
        <v>1.496</v>
      </c>
      <c r="N9" s="23">
        <v>3.185</v>
      </c>
      <c r="O9" s="23">
        <v>20.552</v>
      </c>
      <c r="P9" s="23">
        <v>83.039</v>
      </c>
      <c r="Q9" s="23">
        <v>7.637</v>
      </c>
      <c r="R9" s="23">
        <v>10.704</v>
      </c>
      <c r="S9" s="23">
        <v>0.007</v>
      </c>
      <c r="T9" s="23">
        <v>76.309</v>
      </c>
      <c r="U9" s="23">
        <v>0.738</v>
      </c>
      <c r="V9" s="23">
        <v>30.029</v>
      </c>
      <c r="W9" s="23">
        <v>87.173</v>
      </c>
      <c r="X9" s="23">
        <v>15.894</v>
      </c>
      <c r="Y9" s="23">
        <v>17.263</v>
      </c>
      <c r="Z9" s="23">
        <v>158.453</v>
      </c>
      <c r="AA9" s="23">
        <v>0.617</v>
      </c>
      <c r="AB9" s="23">
        <v>15.81</v>
      </c>
      <c r="AC9" s="23">
        <v>690.025</v>
      </c>
      <c r="AD9" s="23">
        <v>2.442</v>
      </c>
      <c r="AE9" s="23">
        <v>2.286</v>
      </c>
      <c r="AF9" s="23">
        <v>6.473</v>
      </c>
      <c r="AG9" s="23">
        <v>35.164</v>
      </c>
      <c r="AH9" s="23">
        <v>7.917</v>
      </c>
      <c r="AI9" s="23">
        <v>5.84</v>
      </c>
      <c r="AJ9" s="23">
        <v>11.292</v>
      </c>
      <c r="AK9" s="23">
        <v>15.657</v>
      </c>
      <c r="AL9" s="23">
        <v>8.15</v>
      </c>
      <c r="AM9" s="23">
        <v>1.025</v>
      </c>
      <c r="AN9" s="23">
        <v>-1</v>
      </c>
      <c r="AO9" t="s">
        <v>50</v>
      </c>
    </row>
    <row r="10" spans="1:41">
      <c r="A10" t="s">
        <v>51</v>
      </c>
      <c r="B10" t="str">
        <f t="shared" si="0"/>
        <v>uce_cap25_Wind</v>
      </c>
      <c r="C10" t="str">
        <f t="shared" si="1"/>
        <v>E_Wind</v>
      </c>
      <c r="D10">
        <v>1</v>
      </c>
      <c r="E10" s="23">
        <v>10.1220661744693</v>
      </c>
      <c r="F10" s="23">
        <v>1.273</v>
      </c>
      <c r="G10" s="23">
        <v>13.161</v>
      </c>
      <c r="H10" s="23">
        <v>3.977</v>
      </c>
      <c r="I10" s="23">
        <v>1.914</v>
      </c>
      <c r="J10" s="23">
        <v>16.492</v>
      </c>
      <c r="K10" s="23">
        <v>29.818</v>
      </c>
      <c r="L10" s="23">
        <v>481.98396376118</v>
      </c>
      <c r="M10" s="23">
        <v>1.146</v>
      </c>
      <c r="N10" s="23">
        <v>0.347</v>
      </c>
      <c r="O10" s="23">
        <v>23.176</v>
      </c>
      <c r="P10" s="23">
        <v>70.263059689023</v>
      </c>
      <c r="Q10" s="23">
        <v>5.379</v>
      </c>
      <c r="R10" s="23">
        <v>4.141</v>
      </c>
      <c r="S10" s="23">
        <v>0.17695741101743</v>
      </c>
      <c r="T10" s="23">
        <v>52.9658823207897</v>
      </c>
      <c r="U10" s="23">
        <v>4.862</v>
      </c>
      <c r="V10" s="23">
        <v>12.391</v>
      </c>
      <c r="W10" s="23">
        <v>5.483</v>
      </c>
      <c r="X10" s="23">
        <v>19.4340173249179</v>
      </c>
      <c r="Y10" s="23">
        <v>1.487</v>
      </c>
      <c r="Z10" s="23">
        <v>174.881458488924</v>
      </c>
      <c r="AA10" s="23">
        <v>5.065</v>
      </c>
      <c r="AB10" s="23">
        <v>9.307</v>
      </c>
      <c r="AC10" s="23">
        <v>466.351347074073</v>
      </c>
      <c r="AD10" s="23">
        <v>2.64</v>
      </c>
      <c r="AE10" s="23">
        <v>0.403</v>
      </c>
      <c r="AF10" s="23">
        <v>3.463</v>
      </c>
      <c r="AG10" s="23">
        <v>36.745</v>
      </c>
      <c r="AH10" s="23">
        <v>31.957</v>
      </c>
      <c r="AI10" s="23">
        <v>0.087</v>
      </c>
      <c r="AJ10" s="23">
        <v>11.749</v>
      </c>
      <c r="AK10" s="23">
        <v>34.5394277256465</v>
      </c>
      <c r="AL10" s="23">
        <v>1.902</v>
      </c>
      <c r="AM10" s="23">
        <v>1.095</v>
      </c>
      <c r="AN10" s="23">
        <v>-1</v>
      </c>
      <c r="AO10" t="s">
        <v>50</v>
      </c>
    </row>
    <row r="11" spans="1:41"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1"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1"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1"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1"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1"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E43"/>
  <sheetViews>
    <sheetView zoomScale="73" zoomScaleNormal="73" topLeftCell="A6" workbookViewId="0">
      <selection activeCell="O28" sqref="O28"/>
    </sheetView>
  </sheetViews>
  <sheetFormatPr defaultColWidth="9" defaultRowHeight="14.5"/>
  <cols>
    <col min="2" max="2" width="10.1363636363636" customWidth="1"/>
    <col min="3" max="3" width="8.86363636363636" customWidth="1"/>
    <col min="4" max="4" width="10" customWidth="1"/>
    <col min="5" max="5" width="9.4" customWidth="1"/>
    <col min="6" max="6" width="6.6" customWidth="1"/>
    <col min="7" max="7" width="9.72727272727273" customWidth="1"/>
    <col min="8" max="8" width="10.7272727272727" customWidth="1"/>
    <col min="9" max="9" width="8.72727272727273" customWidth="1"/>
    <col min="10" max="10" width="10.2636363636364" customWidth="1"/>
    <col min="11" max="11" width="8.4" customWidth="1"/>
    <col min="12" max="12" width="7.6" customWidth="1"/>
    <col min="13" max="13" width="8.6" customWidth="1"/>
    <col min="14" max="14" width="8.72727272727273" customWidth="1"/>
    <col min="15" max="16" width="8.4" customWidth="1"/>
    <col min="17" max="17" width="4.6" customWidth="1"/>
    <col min="18" max="19" width="5.13636363636364" customWidth="1"/>
    <col min="20" max="20" width="11" customWidth="1"/>
    <col min="21" max="21" width="9.72727272727273" customWidth="1"/>
    <col min="22" max="22" width="15.8636363636364" customWidth="1"/>
    <col min="24" max="24" width="16.4" customWidth="1"/>
    <col min="25" max="25" width="18.7272727272727" customWidth="1"/>
    <col min="26" max="26" width="15.8636363636364" customWidth="1"/>
    <col min="27" max="27" width="11.2636363636364" customWidth="1"/>
    <col min="28" max="69" width="5.4" customWidth="1"/>
    <col min="71" max="71" width="4.4" customWidth="1"/>
    <col min="72" max="72" width="8.86363636363636" customWidth="1"/>
  </cols>
  <sheetData>
    <row r="1" spans="1:30">
      <c r="A1" t="s">
        <v>52</v>
      </c>
    </row>
    <row r="2" spans="1:30">
      <c r="B2" s="44" t="s">
        <v>53</v>
      </c>
      <c r="I2" s="45"/>
      <c r="J2" s="46"/>
      <c r="K2" s="46"/>
      <c r="L2" s="46"/>
      <c r="M2" s="46"/>
      <c r="N2" s="46"/>
      <c r="O2" s="46"/>
      <c r="P2" s="46"/>
    </row>
    <row r="3" ht="15.25" spans="1:30">
      <c r="B3" s="47" t="s">
        <v>54</v>
      </c>
      <c r="C3" s="47" t="s">
        <v>55</v>
      </c>
      <c r="D3" s="47" t="s">
        <v>56</v>
      </c>
      <c r="E3" s="47" t="s">
        <v>57</v>
      </c>
      <c r="F3" s="47" t="s">
        <v>58</v>
      </c>
      <c r="G3" s="47" t="s">
        <v>59</v>
      </c>
      <c r="H3" s="48" t="s">
        <v>60</v>
      </c>
      <c r="I3" s="49" t="s">
        <v>61</v>
      </c>
      <c r="J3" s="49" t="s">
        <v>62</v>
      </c>
      <c r="K3" s="49" t="s">
        <v>63</v>
      </c>
      <c r="L3" s="49" t="s">
        <v>64</v>
      </c>
      <c r="M3" s="49" t="s">
        <v>65</v>
      </c>
      <c r="N3" s="49" t="s">
        <v>66</v>
      </c>
      <c r="O3" s="49" t="s">
        <v>67</v>
      </c>
      <c r="P3" s="49" t="s">
        <v>68</v>
      </c>
      <c r="U3" t="s">
        <v>53</v>
      </c>
    </row>
    <row r="4" spans="1:30">
      <c r="D4" t="s">
        <v>69</v>
      </c>
      <c r="F4" t="s">
        <v>70</v>
      </c>
      <c r="H4">
        <v>2.7</v>
      </c>
      <c r="J4" t="s">
        <v>71</v>
      </c>
      <c r="O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</row>
    <row r="5" spans="1:30">
      <c r="D5" t="s">
        <v>69</v>
      </c>
      <c r="F5" t="s">
        <v>70</v>
      </c>
      <c r="H5">
        <v>1.83</v>
      </c>
      <c r="J5" t="s">
        <v>71</v>
      </c>
      <c r="O5" t="s">
        <v>78</v>
      </c>
      <c r="U5" s="38" t="s">
        <v>79</v>
      </c>
      <c r="V5" s="38" t="s">
        <v>80</v>
      </c>
      <c r="W5" s="38">
        <v>2150</v>
      </c>
      <c r="X5" s="38"/>
      <c r="Y5" s="38"/>
    </row>
    <row r="6" spans="1:30">
      <c r="D6" t="s">
        <v>69</v>
      </c>
      <c r="F6" t="s">
        <v>70</v>
      </c>
      <c r="H6">
        <v>-2.35</v>
      </c>
      <c r="J6" t="s">
        <v>71</v>
      </c>
      <c r="O6" t="s">
        <v>81</v>
      </c>
      <c r="U6" t="s">
        <v>82</v>
      </c>
      <c r="W6">
        <v>2150</v>
      </c>
      <c r="X6" t="s">
        <v>83</v>
      </c>
      <c r="Y6" t="s">
        <v>84</v>
      </c>
      <c r="AB6" t="s">
        <v>85</v>
      </c>
    </row>
    <row r="7" spans="1:30">
      <c r="D7" t="s">
        <v>69</v>
      </c>
      <c r="F7" t="s">
        <v>70</v>
      </c>
      <c r="H7">
        <v>2.66</v>
      </c>
      <c r="J7" t="s">
        <v>71</v>
      </c>
      <c r="O7" t="s">
        <v>86</v>
      </c>
    </row>
    <row r="8" spans="1:30">
      <c r="D8" t="s">
        <v>69</v>
      </c>
      <c r="F8" t="s">
        <v>70</v>
      </c>
      <c r="H8">
        <v>-1.35</v>
      </c>
      <c r="J8" t="s">
        <v>71</v>
      </c>
      <c r="O8" t="s">
        <v>87</v>
      </c>
    </row>
    <row r="9" spans="1:30">
      <c r="D9" t="s">
        <v>69</v>
      </c>
      <c r="F9" t="s">
        <v>70</v>
      </c>
      <c r="H9">
        <f>H6</f>
        <v>-2.35</v>
      </c>
      <c r="J9" t="s">
        <v>71</v>
      </c>
      <c r="O9" t="s">
        <v>88</v>
      </c>
      <c r="T9" t="s">
        <v>89</v>
      </c>
    </row>
    <row r="10" spans="1:30">
      <c r="D10" t="s">
        <v>82</v>
      </c>
      <c r="H10">
        <v>2150</v>
      </c>
      <c r="J10" t="s">
        <v>90</v>
      </c>
      <c r="T10" t="s">
        <v>58</v>
      </c>
      <c r="U10" t="s">
        <v>56</v>
      </c>
      <c r="V10">
        <v>2019</v>
      </c>
      <c r="W10">
        <v>2040</v>
      </c>
      <c r="X10" t="s">
        <v>64</v>
      </c>
      <c r="Y10" t="s">
        <v>65</v>
      </c>
      <c r="Z10" t="s">
        <v>91</v>
      </c>
      <c r="AA10" t="s">
        <v>67</v>
      </c>
      <c r="AB10" t="s">
        <v>92</v>
      </c>
      <c r="AC10" t="s">
        <v>93</v>
      </c>
      <c r="AD10" t="s">
        <v>94</v>
      </c>
    </row>
    <row r="11" spans="1:30">
      <c r="D11" t="s">
        <v>82</v>
      </c>
      <c r="H11">
        <v>2150</v>
      </c>
      <c r="J11" t="s">
        <v>95</v>
      </c>
      <c r="T11" t="s">
        <v>70</v>
      </c>
      <c r="U11" t="s">
        <v>96</v>
      </c>
      <c r="V11" s="39">
        <v>19.44</v>
      </c>
      <c r="X11" t="s">
        <v>97</v>
      </c>
      <c r="Y11" t="s">
        <v>98</v>
      </c>
      <c r="AA11" t="str">
        <f>X11</f>
        <v>ELC</v>
      </c>
      <c r="AC11" t="s">
        <v>99</v>
      </c>
    </row>
    <row r="12" spans="1:30">
      <c r="T12" t="s">
        <v>70</v>
      </c>
      <c r="U12" t="s">
        <v>96</v>
      </c>
      <c r="V12">
        <v>15.28</v>
      </c>
      <c r="X12" t="s">
        <v>97</v>
      </c>
      <c r="Y12" t="s">
        <v>100</v>
      </c>
      <c r="AA12" t="str">
        <f>X12</f>
        <v>ELC</v>
      </c>
      <c r="AC12" t="s">
        <v>99</v>
      </c>
    </row>
    <row r="13" spans="1:30">
      <c r="B13" t="s">
        <v>53</v>
      </c>
      <c r="T13" t="s">
        <v>70</v>
      </c>
      <c r="U13" t="s">
        <v>96</v>
      </c>
      <c r="V13">
        <v>6.94</v>
      </c>
      <c r="X13" t="s">
        <v>97</v>
      </c>
      <c r="Y13" t="s">
        <v>101</v>
      </c>
      <c r="AA13" t="str">
        <f>X13</f>
        <v>ELC</v>
      </c>
      <c r="AC13" t="s">
        <v>99</v>
      </c>
    </row>
    <row r="14" spans="1:30"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  <c r="T14" t="s">
        <v>70</v>
      </c>
      <c r="U14" t="s">
        <v>96</v>
      </c>
      <c r="V14" s="39">
        <v>3.5</v>
      </c>
      <c r="X14" t="s">
        <v>102</v>
      </c>
      <c r="Y14" s="39" t="s">
        <v>103</v>
      </c>
      <c r="AA14" t="s">
        <v>102</v>
      </c>
      <c r="AB14" t="s">
        <v>104</v>
      </c>
      <c r="AC14" t="s">
        <v>99</v>
      </c>
    </row>
    <row r="15" spans="1:30">
      <c r="D15" t="s">
        <v>82</v>
      </c>
      <c r="H15">
        <v>2120</v>
      </c>
      <c r="J15" t="s">
        <v>105</v>
      </c>
      <c r="T15" t="s">
        <v>70</v>
      </c>
      <c r="U15" t="s">
        <v>96</v>
      </c>
      <c r="V15">
        <v>0.8</v>
      </c>
      <c r="X15" t="s">
        <v>102</v>
      </c>
      <c r="Y15" t="s">
        <v>106</v>
      </c>
      <c r="AA15" t="s">
        <v>102</v>
      </c>
      <c r="AB15" t="s">
        <v>104</v>
      </c>
      <c r="AC15" t="s">
        <v>99</v>
      </c>
    </row>
    <row r="16" spans="1:30">
      <c r="D16" t="s">
        <v>107</v>
      </c>
      <c r="H16" s="50">
        <v>25</v>
      </c>
      <c r="J16" t="s">
        <v>108</v>
      </c>
      <c r="T16" t="s">
        <v>70</v>
      </c>
      <c r="U16" t="s">
        <v>96</v>
      </c>
      <c r="V16">
        <v>3.6</v>
      </c>
      <c r="X16" t="s">
        <v>102</v>
      </c>
      <c r="Y16" t="s">
        <v>109</v>
      </c>
      <c r="AA16" t="s">
        <v>102</v>
      </c>
      <c r="AC16" t="s">
        <v>99</v>
      </c>
    </row>
    <row r="17" spans="2:135">
      <c r="D17" t="s">
        <v>110</v>
      </c>
      <c r="H17">
        <v>65</v>
      </c>
      <c r="J17" t="s">
        <v>108</v>
      </c>
      <c r="T17" t="s">
        <v>70</v>
      </c>
      <c r="U17" t="s">
        <v>96</v>
      </c>
      <c r="V17" s="51">
        <f>4.7+4</f>
        <v>8.7</v>
      </c>
      <c r="X17" t="s">
        <v>102</v>
      </c>
      <c r="Y17" t="s">
        <v>111</v>
      </c>
      <c r="AA17" t="s">
        <v>102</v>
      </c>
      <c r="AC17" t="s">
        <v>99</v>
      </c>
    </row>
    <row r="18" spans="2:135">
      <c r="D18" t="s">
        <v>96</v>
      </c>
      <c r="H18">
        <v>10</v>
      </c>
      <c r="I18" t="s">
        <v>112</v>
      </c>
      <c r="M18" t="s">
        <v>113</v>
      </c>
      <c r="O18" t="s">
        <v>114</v>
      </c>
      <c r="T18" t="s">
        <v>70</v>
      </c>
      <c r="U18" t="s">
        <v>96</v>
      </c>
      <c r="V18">
        <v>4</v>
      </c>
      <c r="X18" t="s">
        <v>102</v>
      </c>
      <c r="Y18" t="s">
        <v>115</v>
      </c>
      <c r="AA18" t="s">
        <v>102</v>
      </c>
      <c r="AB18" t="s">
        <v>104</v>
      </c>
      <c r="AC18" t="s">
        <v>99</v>
      </c>
    </row>
    <row r="19" spans="2:135">
      <c r="T19" t="s">
        <v>70</v>
      </c>
      <c r="U19" t="s">
        <v>96</v>
      </c>
      <c r="V19">
        <v>3.04</v>
      </c>
      <c r="X19" t="s">
        <v>116</v>
      </c>
      <c r="Y19" t="s">
        <v>117</v>
      </c>
      <c r="AA19" t="s">
        <v>116</v>
      </c>
      <c r="AC19" t="s">
        <v>99</v>
      </c>
    </row>
    <row r="20" spans="2:135">
      <c r="B20" t="s">
        <v>118</v>
      </c>
      <c r="T20" t="s">
        <v>70</v>
      </c>
      <c r="U20" t="s">
        <v>96</v>
      </c>
      <c r="V20">
        <v>1.52</v>
      </c>
      <c r="X20" t="s">
        <v>119</v>
      </c>
      <c r="Y20" t="s">
        <v>120</v>
      </c>
      <c r="AA20" t="s">
        <v>119</v>
      </c>
      <c r="AC20" t="s">
        <v>99</v>
      </c>
    </row>
    <row r="21" spans="2:135">
      <c r="B21" t="s">
        <v>55</v>
      </c>
      <c r="C21" t="s">
        <v>121</v>
      </c>
      <c r="D21" t="s">
        <v>56</v>
      </c>
      <c r="E21" t="s">
        <v>122</v>
      </c>
      <c r="F21" t="s">
        <v>123</v>
      </c>
      <c r="G21" t="s">
        <v>59</v>
      </c>
      <c r="H21" t="s">
        <v>60</v>
      </c>
      <c r="I21" t="s">
        <v>62</v>
      </c>
      <c r="J21" t="s">
        <v>124</v>
      </c>
      <c r="K21" t="s">
        <v>125</v>
      </c>
      <c r="L21" t="s">
        <v>126</v>
      </c>
      <c r="T21" t="s">
        <v>70</v>
      </c>
      <c r="U21" t="s">
        <v>96</v>
      </c>
      <c r="V21" s="52">
        <f>V11*1.2</f>
        <v>23.328</v>
      </c>
      <c r="X21" t="s">
        <v>127</v>
      </c>
      <c r="Y21" t="s">
        <v>128</v>
      </c>
      <c r="Z21" s="58" t="s">
        <v>129</v>
      </c>
      <c r="AA21" t="str">
        <f t="shared" ref="AA21:AA26" si="0">X21</f>
        <v>HH2</v>
      </c>
      <c r="AB21" s="58" t="s">
        <v>130</v>
      </c>
      <c r="AC21" t="s">
        <v>99</v>
      </c>
      <c r="AD21" t="s">
        <v>131</v>
      </c>
    </row>
    <row r="22" spans="2:135">
      <c r="C22" t="s">
        <v>50</v>
      </c>
      <c r="D22" t="s">
        <v>132</v>
      </c>
      <c r="E22">
        <v>2019</v>
      </c>
      <c r="H22" t="s">
        <v>133</v>
      </c>
      <c r="I22" t="s">
        <v>134</v>
      </c>
      <c r="T22" t="s">
        <v>70</v>
      </c>
      <c r="U22" t="s">
        <v>96</v>
      </c>
      <c r="V22" s="52">
        <f>V12*1.2</f>
        <v>18.336</v>
      </c>
      <c r="X22" t="s">
        <v>127</v>
      </c>
      <c r="Y22" t="s">
        <v>135</v>
      </c>
      <c r="AA22" t="str">
        <f t="shared" si="0"/>
        <v>HH2</v>
      </c>
      <c r="AC22" t="s">
        <v>99</v>
      </c>
    </row>
    <row r="23" spans="2:135">
      <c r="C23" t="s">
        <v>50</v>
      </c>
      <c r="D23" t="s">
        <v>132</v>
      </c>
      <c r="E23">
        <v>2030</v>
      </c>
      <c r="H23">
        <v>0</v>
      </c>
      <c r="I23" t="s">
        <v>136</v>
      </c>
      <c r="T23" t="s">
        <v>70</v>
      </c>
      <c r="U23" t="s">
        <v>96</v>
      </c>
      <c r="V23" s="52">
        <f>V13*1.2</f>
        <v>8.328</v>
      </c>
      <c r="X23" t="s">
        <v>127</v>
      </c>
      <c r="Y23" t="s">
        <v>137</v>
      </c>
      <c r="AA23" t="str">
        <f t="shared" si="0"/>
        <v>HH2</v>
      </c>
      <c r="AC23" t="s">
        <v>99</v>
      </c>
    </row>
    <row r="24" spans="2:135">
      <c r="C24" t="s">
        <v>50</v>
      </c>
      <c r="D24" t="s">
        <v>132</v>
      </c>
      <c r="E24">
        <v>2019</v>
      </c>
      <c r="H24" t="s">
        <v>133</v>
      </c>
      <c r="I24" t="s">
        <v>138</v>
      </c>
      <c r="T24" t="s">
        <v>70</v>
      </c>
      <c r="U24" t="s">
        <v>96</v>
      </c>
      <c r="V24">
        <v>5</v>
      </c>
      <c r="X24" t="s">
        <v>139</v>
      </c>
      <c r="Y24" t="s">
        <v>140</v>
      </c>
      <c r="AA24" t="str">
        <f t="shared" si="0"/>
        <v>OIL*</v>
      </c>
      <c r="AB24" s="58" t="s">
        <v>141</v>
      </c>
      <c r="AC24" t="s">
        <v>99</v>
      </c>
    </row>
    <row r="25" spans="2:135">
      <c r="C25" t="s">
        <v>50</v>
      </c>
      <c r="D25" t="s">
        <v>132</v>
      </c>
      <c r="E25">
        <v>2050</v>
      </c>
      <c r="H25" t="s">
        <v>142</v>
      </c>
      <c r="I25" t="s">
        <v>138</v>
      </c>
      <c r="T25" t="s">
        <v>70</v>
      </c>
      <c r="U25" t="s">
        <v>96</v>
      </c>
      <c r="V25" s="52">
        <f>V22</f>
        <v>18.336</v>
      </c>
      <c r="X25" t="s">
        <v>127</v>
      </c>
      <c r="Y25" t="s">
        <v>140</v>
      </c>
      <c r="AA25" t="str">
        <f t="shared" si="0"/>
        <v>HH2</v>
      </c>
      <c r="AC25" t="s">
        <v>99</v>
      </c>
    </row>
    <row r="26" spans="2:135">
      <c r="D26" t="s">
        <v>143</v>
      </c>
      <c r="E26">
        <v>2019</v>
      </c>
      <c r="H26" s="58" t="s">
        <v>144</v>
      </c>
      <c r="I26" t="s">
        <v>71</v>
      </c>
      <c r="J26" t="s">
        <v>145</v>
      </c>
      <c r="L26" t="s">
        <v>146</v>
      </c>
      <c r="T26" t="s">
        <v>70</v>
      </c>
      <c r="U26" t="s">
        <v>96</v>
      </c>
      <c r="V26">
        <v>5</v>
      </c>
      <c r="X26" t="s">
        <v>147</v>
      </c>
      <c r="Y26" t="s">
        <v>140</v>
      </c>
      <c r="AA26" t="str">
        <f t="shared" si="0"/>
        <v>BIODST,BIOGSL</v>
      </c>
      <c r="AB26" s="58" t="s">
        <v>141</v>
      </c>
      <c r="AC26" t="s">
        <v>99</v>
      </c>
    </row>
    <row r="27" spans="2:135">
      <c r="D27" t="s">
        <v>143</v>
      </c>
      <c r="E27">
        <v>2050</v>
      </c>
      <c r="H27" s="58" t="s">
        <v>148</v>
      </c>
      <c r="I27" t="s">
        <v>71</v>
      </c>
      <c r="J27" t="s">
        <v>145</v>
      </c>
      <c r="L27" t="s">
        <v>146</v>
      </c>
    </row>
    <row r="28" spans="2:135">
      <c r="D28" t="s">
        <v>143</v>
      </c>
      <c r="E28">
        <v>2019</v>
      </c>
      <c r="H28">
        <v>1</v>
      </c>
      <c r="I28" t="s">
        <v>71</v>
      </c>
      <c r="J28" t="s">
        <v>145</v>
      </c>
      <c r="K28" t="s">
        <v>149</v>
      </c>
      <c r="W28" t="s">
        <v>150</v>
      </c>
    </row>
    <row r="29" spans="2:135">
      <c r="C29" t="s">
        <v>151</v>
      </c>
      <c r="D29" t="s">
        <v>132</v>
      </c>
      <c r="E29">
        <v>2019</v>
      </c>
      <c r="H29" t="s">
        <v>133</v>
      </c>
      <c r="I29" t="s">
        <v>108</v>
      </c>
      <c r="W29" s="53" t="s">
        <v>73</v>
      </c>
      <c r="X29" s="54" t="s">
        <v>152</v>
      </c>
      <c r="Y29" s="54" t="s">
        <v>153</v>
      </c>
      <c r="Z29" s="54" t="s">
        <v>154</v>
      </c>
      <c r="AA29" s="54" t="s">
        <v>155</v>
      </c>
      <c r="AB29" s="54" t="s">
        <v>156</v>
      </c>
      <c r="AC29" s="54" t="s">
        <v>9</v>
      </c>
      <c r="AD29" s="54" t="s">
        <v>10</v>
      </c>
      <c r="AE29" s="54" t="s">
        <v>157</v>
      </c>
      <c r="AF29" s="54" t="s">
        <v>158</v>
      </c>
      <c r="AG29" s="54" t="s">
        <v>159</v>
      </c>
      <c r="AH29" s="54" t="s">
        <v>160</v>
      </c>
      <c r="AI29" s="54" t="s">
        <v>161</v>
      </c>
      <c r="AJ29" s="54" t="s">
        <v>13</v>
      </c>
      <c r="AK29" s="54" t="s">
        <v>162</v>
      </c>
      <c r="AL29" s="54" t="s">
        <v>163</v>
      </c>
      <c r="AM29" s="54" t="s">
        <v>164</v>
      </c>
      <c r="AN29" s="54" t="s">
        <v>165</v>
      </c>
      <c r="AO29" s="54" t="s">
        <v>14</v>
      </c>
      <c r="AP29" s="54" t="s">
        <v>166</v>
      </c>
      <c r="AQ29" s="54" t="s">
        <v>167</v>
      </c>
      <c r="AR29" s="54" t="s">
        <v>168</v>
      </c>
      <c r="AS29" s="54" t="s">
        <v>169</v>
      </c>
      <c r="AT29" s="54" t="s">
        <v>170</v>
      </c>
      <c r="AU29" s="54" t="s">
        <v>171</v>
      </c>
      <c r="AV29" s="54" t="s">
        <v>172</v>
      </c>
      <c r="AW29" s="54" t="s">
        <v>173</v>
      </c>
      <c r="AX29" s="54" t="s">
        <v>174</v>
      </c>
      <c r="AY29" s="54" t="s">
        <v>175</v>
      </c>
      <c r="AZ29" s="54" t="s">
        <v>17</v>
      </c>
      <c r="BA29" s="54" t="s">
        <v>176</v>
      </c>
      <c r="BB29" s="54" t="s">
        <v>18</v>
      </c>
      <c r="BC29" s="54" t="s">
        <v>177</v>
      </c>
      <c r="BD29" s="54" t="s">
        <v>178</v>
      </c>
      <c r="BE29" s="54" t="s">
        <v>179</v>
      </c>
      <c r="BF29" s="54" t="s">
        <v>21</v>
      </c>
      <c r="BG29" s="54" t="s">
        <v>22</v>
      </c>
      <c r="BH29" s="54" t="s">
        <v>180</v>
      </c>
      <c r="BI29" s="54" t="s">
        <v>181</v>
      </c>
      <c r="BJ29" s="54" t="s">
        <v>182</v>
      </c>
      <c r="BK29" s="54" t="s">
        <v>23</v>
      </c>
      <c r="BL29" s="54" t="s">
        <v>183</v>
      </c>
      <c r="BM29" s="54" t="s">
        <v>184</v>
      </c>
      <c r="BN29" s="54" t="s">
        <v>185</v>
      </c>
      <c r="BO29" s="54" t="s">
        <v>25</v>
      </c>
      <c r="BP29" s="54" t="s">
        <v>186</v>
      </c>
      <c r="BQ29" s="54" t="s">
        <v>187</v>
      </c>
      <c r="BR29" s="54" t="s">
        <v>188</v>
      </c>
      <c r="BS29" s="54" t="s">
        <v>189</v>
      </c>
      <c r="BT29" s="54" t="s">
        <v>190</v>
      </c>
      <c r="BU29" s="54" t="s">
        <v>191</v>
      </c>
      <c r="BV29" s="54" t="s">
        <v>192</v>
      </c>
      <c r="BW29" s="54" t="s">
        <v>193</v>
      </c>
      <c r="BX29" s="54" t="s">
        <v>194</v>
      </c>
      <c r="BY29" s="54" t="s">
        <v>195</v>
      </c>
      <c r="BZ29" s="54" t="s">
        <v>196</v>
      </c>
      <c r="CA29" s="54" t="s">
        <v>197</v>
      </c>
      <c r="CB29" s="54" t="s">
        <v>198</v>
      </c>
      <c r="CC29" s="54" t="s">
        <v>199</v>
      </c>
      <c r="CD29" s="54" t="s">
        <v>200</v>
      </c>
      <c r="CE29" s="54" t="s">
        <v>201</v>
      </c>
      <c r="CF29" s="54" t="s">
        <v>202</v>
      </c>
      <c r="CG29" s="54" t="s">
        <v>203</v>
      </c>
      <c r="CH29" s="54" t="s">
        <v>204</v>
      </c>
      <c r="CI29" s="54" t="s">
        <v>205</v>
      </c>
      <c r="CJ29" s="54" t="s">
        <v>206</v>
      </c>
      <c r="CK29" s="54" t="s">
        <v>207</v>
      </c>
      <c r="CL29" s="54" t="s">
        <v>208</v>
      </c>
      <c r="CM29" s="54" t="s">
        <v>29</v>
      </c>
      <c r="CN29" s="54" t="s">
        <v>209</v>
      </c>
      <c r="CO29" s="54" t="s">
        <v>210</v>
      </c>
      <c r="CP29" s="54" t="s">
        <v>211</v>
      </c>
      <c r="CQ29" s="54" t="s">
        <v>212</v>
      </c>
      <c r="CR29" s="54" t="s">
        <v>213</v>
      </c>
      <c r="CS29" s="54" t="s">
        <v>214</v>
      </c>
      <c r="CT29" s="54" t="s">
        <v>215</v>
      </c>
      <c r="CU29" s="54" t="s">
        <v>216</v>
      </c>
      <c r="CV29" s="54" t="s">
        <v>217</v>
      </c>
      <c r="CW29" s="54" t="s">
        <v>30</v>
      </c>
      <c r="CX29" s="54" t="s">
        <v>218</v>
      </c>
      <c r="CY29" s="54" t="s">
        <v>219</v>
      </c>
      <c r="CZ29" s="54" t="s">
        <v>220</v>
      </c>
      <c r="DA29" s="54" t="s">
        <v>32</v>
      </c>
      <c r="DB29" s="54" t="s">
        <v>33</v>
      </c>
      <c r="DC29" s="54" t="s">
        <v>221</v>
      </c>
      <c r="DD29" s="54" t="s">
        <v>222</v>
      </c>
      <c r="DE29" s="54" t="s">
        <v>223</v>
      </c>
      <c r="DF29" s="54" t="s">
        <v>224</v>
      </c>
      <c r="DG29" s="54" t="s">
        <v>34</v>
      </c>
      <c r="DH29" s="54" t="s">
        <v>225</v>
      </c>
      <c r="DI29" s="54" t="s">
        <v>226</v>
      </c>
      <c r="DJ29" s="54" t="s">
        <v>227</v>
      </c>
      <c r="DK29" s="54" t="s">
        <v>228</v>
      </c>
      <c r="DL29" s="54" t="s">
        <v>37</v>
      </c>
      <c r="DM29" s="54" t="s">
        <v>229</v>
      </c>
      <c r="DN29" s="54" t="s">
        <v>230</v>
      </c>
      <c r="DO29" s="54" t="s">
        <v>231</v>
      </c>
      <c r="DP29" s="54" t="s">
        <v>232</v>
      </c>
      <c r="DQ29" s="54" t="s">
        <v>233</v>
      </c>
      <c r="DR29" s="54" t="s">
        <v>38</v>
      </c>
      <c r="DS29" s="54" t="s">
        <v>234</v>
      </c>
      <c r="DT29" s="54" t="s">
        <v>235</v>
      </c>
      <c r="DU29" s="54" t="s">
        <v>39</v>
      </c>
      <c r="DV29" s="54" t="s">
        <v>40</v>
      </c>
      <c r="DW29" s="54" t="s">
        <v>236</v>
      </c>
      <c r="DX29" s="54" t="s">
        <v>237</v>
      </c>
      <c r="DY29" s="54" t="s">
        <v>238</v>
      </c>
      <c r="DZ29" s="54" t="s">
        <v>239</v>
      </c>
      <c r="EA29" s="54" t="s">
        <v>240</v>
      </c>
      <c r="EB29" s="54" t="s">
        <v>241</v>
      </c>
      <c r="EC29" s="54" t="s">
        <v>242</v>
      </c>
      <c r="ED29" s="54" t="s">
        <v>243</v>
      </c>
      <c r="EE29" s="54" t="s">
        <v>244</v>
      </c>
    </row>
    <row r="30" spans="2:135">
      <c r="C30" t="s">
        <v>151</v>
      </c>
      <c r="D30" t="s">
        <v>132</v>
      </c>
      <c r="E30">
        <v>2040</v>
      </c>
      <c r="H30">
        <v>0</v>
      </c>
      <c r="I30" t="str">
        <f t="shared" ref="I30:I35" si="1">I29</f>
        <v>SUP_TREFINER</v>
      </c>
      <c r="W30" s="55" t="s">
        <v>245</v>
      </c>
      <c r="X30" s="56">
        <v>0.5</v>
      </c>
      <c r="Y30" s="56">
        <v>0.5</v>
      </c>
      <c r="Z30" s="56">
        <v>0.5</v>
      </c>
      <c r="AA30" s="56">
        <v>0.5</v>
      </c>
      <c r="AB30" s="56">
        <v>0.880330129689671</v>
      </c>
      <c r="AC30" s="56">
        <v>0.5</v>
      </c>
      <c r="AD30" s="56">
        <v>1.43635426584992</v>
      </c>
      <c r="AE30" s="56">
        <v>0.28640020473296</v>
      </c>
      <c r="AF30" s="56">
        <v>0.5</v>
      </c>
      <c r="AG30" s="56">
        <v>1.89681589551844</v>
      </c>
      <c r="AH30" s="56">
        <v>0.529561709177279</v>
      </c>
      <c r="AI30" s="56">
        <v>2.23280493333333</v>
      </c>
      <c r="AJ30" s="56">
        <v>0.5</v>
      </c>
      <c r="AK30" s="56">
        <v>1.537054107788</v>
      </c>
      <c r="AL30" s="56">
        <v>0.5</v>
      </c>
      <c r="AM30" s="56">
        <v>0.517841558664547</v>
      </c>
      <c r="AN30" s="56">
        <v>0.5</v>
      </c>
      <c r="AO30" s="56">
        <v>0.68859433785327</v>
      </c>
      <c r="AP30" s="56">
        <v>0.5</v>
      </c>
      <c r="AQ30" s="56">
        <v>0.909913973797886</v>
      </c>
      <c r="AR30" s="56">
        <v>0.246856388121547</v>
      </c>
      <c r="AS30" s="56">
        <v>1.53715037026844</v>
      </c>
      <c r="AT30" s="56">
        <v>2.00954461975029</v>
      </c>
      <c r="AU30" s="56">
        <v>0.5</v>
      </c>
      <c r="AV30" s="56">
        <v>0.5</v>
      </c>
      <c r="AW30" s="56">
        <v>2.53614386666485</v>
      </c>
      <c r="AX30" s="56">
        <v>0.5</v>
      </c>
      <c r="AY30" s="56">
        <v>1.31959168743754</v>
      </c>
      <c r="AZ30" s="56">
        <v>1.26333562748337</v>
      </c>
      <c r="BA30" s="56">
        <v>0.5</v>
      </c>
      <c r="BB30" s="56">
        <v>0.811463508464399</v>
      </c>
      <c r="BC30" s="56">
        <v>0.5</v>
      </c>
      <c r="BD30" s="56">
        <v>0.070924584645638</v>
      </c>
      <c r="BE30" s="56">
        <v>0.538886154380813</v>
      </c>
      <c r="BF30" s="56">
        <v>0.772108172627653</v>
      </c>
      <c r="BG30" s="56">
        <v>0.5</v>
      </c>
      <c r="BH30" s="56">
        <v>0.5</v>
      </c>
      <c r="BI30" s="56">
        <v>0.5</v>
      </c>
      <c r="BJ30" s="56">
        <v>0.5</v>
      </c>
      <c r="BK30" s="56">
        <v>0.5</v>
      </c>
      <c r="BL30" s="56">
        <v>0.5</v>
      </c>
      <c r="BM30" s="56">
        <v>0.561679665057759</v>
      </c>
      <c r="BN30" s="56">
        <v>0.5</v>
      </c>
      <c r="BO30" s="56">
        <v>0.5</v>
      </c>
      <c r="BP30" s="56">
        <v>1.01202692206269</v>
      </c>
      <c r="BQ30" s="56">
        <v>0.5</v>
      </c>
      <c r="BR30" s="56">
        <v>0.5</v>
      </c>
      <c r="BS30" s="56">
        <v>0.5</v>
      </c>
      <c r="BT30" s="56">
        <v>1.95745180124224</v>
      </c>
      <c r="BU30" s="56">
        <v>0.888576032268769</v>
      </c>
      <c r="BV30" s="56">
        <v>0.5</v>
      </c>
      <c r="BW30" s="56">
        <v>3.52832406934561</v>
      </c>
      <c r="BX30" s="56">
        <v>2.40276262425447</v>
      </c>
      <c r="BY30" s="56">
        <v>0.272378558393112</v>
      </c>
      <c r="BZ30" s="56">
        <v>0.5</v>
      </c>
      <c r="CA30" s="56">
        <v>0.0381549757850336</v>
      </c>
      <c r="CB30" s="56">
        <v>0.5</v>
      </c>
      <c r="CC30" s="56">
        <v>2.14285661050061</v>
      </c>
      <c r="CD30" s="56">
        <v>0.5</v>
      </c>
      <c r="CE30" s="56">
        <v>0.5</v>
      </c>
      <c r="CF30" s="56">
        <v>0.5</v>
      </c>
      <c r="CG30" s="56">
        <v>0.5</v>
      </c>
      <c r="CH30" s="56">
        <v>0.5</v>
      </c>
      <c r="CI30" s="56">
        <v>0.501708699005855</v>
      </c>
      <c r="CJ30" s="56">
        <v>0.140262611393448</v>
      </c>
      <c r="CK30" s="56">
        <v>0.5</v>
      </c>
      <c r="CL30" s="56">
        <v>0.5</v>
      </c>
      <c r="CM30" s="56">
        <v>0.802398418234181</v>
      </c>
      <c r="CN30" s="56">
        <v>0.5</v>
      </c>
      <c r="CO30" s="56">
        <v>0.5</v>
      </c>
      <c r="CP30" s="56">
        <v>2.62476848951937</v>
      </c>
      <c r="CQ30" s="56">
        <v>0.5</v>
      </c>
      <c r="CR30" s="56">
        <v>0.5</v>
      </c>
      <c r="CS30" s="56">
        <v>0.5</v>
      </c>
      <c r="CT30" s="56">
        <v>0.5</v>
      </c>
      <c r="CU30" s="56">
        <v>0.5</v>
      </c>
      <c r="CV30" s="56">
        <v>0.5</v>
      </c>
      <c r="CW30" s="56">
        <v>0.373873615902288</v>
      </c>
      <c r="CX30" s="56">
        <v>0.803610304903818</v>
      </c>
      <c r="CY30" s="56">
        <v>0.5</v>
      </c>
      <c r="CZ30" s="56">
        <v>1.55182037907902</v>
      </c>
      <c r="DA30" s="56">
        <v>1.16378960402365</v>
      </c>
      <c r="DB30" s="56">
        <v>0.5</v>
      </c>
      <c r="DC30" s="56">
        <v>0.561445981739307</v>
      </c>
      <c r="DD30" s="56">
        <v>0.5</v>
      </c>
      <c r="DE30" s="56">
        <v>0.897015103002906</v>
      </c>
      <c r="DF30" s="56">
        <v>1.66556152209298</v>
      </c>
      <c r="DG30" s="56">
        <v>0.5</v>
      </c>
      <c r="DH30" s="56">
        <v>0.885985126939045</v>
      </c>
      <c r="DI30" s="56">
        <v>0.5</v>
      </c>
      <c r="DJ30" s="56">
        <v>0.5</v>
      </c>
      <c r="DK30" s="56">
        <v>2.63778652576313</v>
      </c>
      <c r="DL30" s="56">
        <v>1.49857000783021</v>
      </c>
      <c r="DM30" s="56">
        <v>0.675302561450318</v>
      </c>
      <c r="DN30" s="56">
        <v>0.546933177198058</v>
      </c>
      <c r="DO30" s="56">
        <v>0.5</v>
      </c>
      <c r="DP30" s="56">
        <v>0.5</v>
      </c>
      <c r="DQ30" s="56">
        <v>0.5</v>
      </c>
      <c r="DR30" s="56">
        <v>0.908669382059128</v>
      </c>
      <c r="DS30" s="56">
        <v>0.134099188596824</v>
      </c>
      <c r="DT30" s="56">
        <v>0.5</v>
      </c>
      <c r="DU30" s="56">
        <v>0.5</v>
      </c>
      <c r="DV30" s="56">
        <v>2.62534518744376</v>
      </c>
      <c r="DW30" s="56">
        <v>0.418643251337677</v>
      </c>
      <c r="DX30" s="56">
        <v>0.626320758771659</v>
      </c>
      <c r="DY30" s="56">
        <v>0.5</v>
      </c>
      <c r="DZ30" s="56">
        <v>0.5</v>
      </c>
      <c r="EA30" s="56">
        <v>0.5</v>
      </c>
      <c r="EB30" s="56">
        <v>0.5</v>
      </c>
      <c r="EC30">
        <v>0.749796700156402</v>
      </c>
    </row>
    <row r="31" spans="2:135">
      <c r="C31" t="s">
        <v>151</v>
      </c>
      <c r="D31" t="s">
        <v>132</v>
      </c>
      <c r="E31">
        <v>0</v>
      </c>
      <c r="H31">
        <v>1</v>
      </c>
      <c r="I31" t="str">
        <f t="shared" si="1"/>
        <v>SUP_TREFINER</v>
      </c>
      <c r="W31" s="55" t="s">
        <v>245</v>
      </c>
      <c r="ED31">
        <v>0</v>
      </c>
      <c r="EE31">
        <v>3</v>
      </c>
    </row>
    <row r="32" spans="2:135">
      <c r="B32" t="s">
        <v>246</v>
      </c>
      <c r="D32" t="s">
        <v>132</v>
      </c>
      <c r="E32">
        <v>2000</v>
      </c>
      <c r="F32" t="s">
        <v>247</v>
      </c>
      <c r="H32" t="s">
        <v>248</v>
      </c>
      <c r="I32" t="str">
        <f t="shared" si="1"/>
        <v>SUP_TREFINER</v>
      </c>
    </row>
    <row r="33" spans="2:26">
      <c r="B33" t="s">
        <v>246</v>
      </c>
      <c r="D33" t="s">
        <v>132</v>
      </c>
      <c r="E33">
        <v>2010</v>
      </c>
      <c r="F33" t="s">
        <v>247</v>
      </c>
      <c r="H33" t="s">
        <v>248</v>
      </c>
      <c r="I33" t="str">
        <f t="shared" si="1"/>
        <v>SUP_TREFINER</v>
      </c>
    </row>
    <row r="34" spans="2:26">
      <c r="C34" t="s">
        <v>246</v>
      </c>
      <c r="D34" t="s">
        <v>143</v>
      </c>
      <c r="H34" t="s">
        <v>133</v>
      </c>
      <c r="I34" t="str">
        <f t="shared" si="1"/>
        <v>SUP_TREFINER</v>
      </c>
      <c r="K34" t="s">
        <v>249</v>
      </c>
    </row>
    <row r="35" spans="2:26">
      <c r="C35" t="s">
        <v>246</v>
      </c>
      <c r="D35" t="s">
        <v>250</v>
      </c>
      <c r="E35">
        <v>0</v>
      </c>
      <c r="H35">
        <v>3</v>
      </c>
      <c r="I35" t="str">
        <f t="shared" si="1"/>
        <v>SUP_TREFINER</v>
      </c>
      <c r="K35" t="s">
        <v>249</v>
      </c>
    </row>
    <row r="36" spans="2:26">
      <c r="D36" s="57" t="s">
        <v>250</v>
      </c>
      <c r="E36">
        <v>2019</v>
      </c>
      <c r="H36" t="s">
        <v>144</v>
      </c>
      <c r="I36" t="s">
        <v>71</v>
      </c>
      <c r="J36" t="s">
        <v>145</v>
      </c>
      <c r="K36" t="s">
        <v>251</v>
      </c>
      <c r="U36" t="s">
        <v>89</v>
      </c>
    </row>
    <row r="37" spans="2:26">
      <c r="U37" t="s">
        <v>252</v>
      </c>
      <c r="V37" t="s">
        <v>56</v>
      </c>
      <c r="W37" t="s">
        <v>43</v>
      </c>
      <c r="X37" t="s">
        <v>253</v>
      </c>
      <c r="Y37">
        <v>2019</v>
      </c>
      <c r="Z37">
        <v>0</v>
      </c>
    </row>
    <row r="38" spans="2:26">
      <c r="V38" t="s">
        <v>254</v>
      </c>
      <c r="W38" t="s">
        <v>50</v>
      </c>
      <c r="X38" t="s">
        <v>255</v>
      </c>
      <c r="Y38">
        <v>0</v>
      </c>
      <c r="Z38">
        <v>3</v>
      </c>
    </row>
    <row r="39" spans="2:26">
      <c r="J39" t="s">
        <v>256</v>
      </c>
    </row>
    <row r="40" spans="2:26">
      <c r="J40" t="s">
        <v>73</v>
      </c>
      <c r="K40" t="s">
        <v>74</v>
      </c>
      <c r="L40" t="s">
        <v>253</v>
      </c>
      <c r="M40" s="58" t="s">
        <v>75</v>
      </c>
    </row>
    <row r="41" spans="2:26">
      <c r="J41" t="s">
        <v>257</v>
      </c>
      <c r="K41" t="s">
        <v>258</v>
      </c>
      <c r="L41" t="s">
        <v>81</v>
      </c>
      <c r="M41" s="58" t="s">
        <v>259</v>
      </c>
    </row>
    <row r="42" spans="2:26">
      <c r="J42" t="s">
        <v>257</v>
      </c>
      <c r="K42" t="s">
        <v>260</v>
      </c>
      <c r="L42" t="s">
        <v>261</v>
      </c>
      <c r="M42" t="s">
        <v>262</v>
      </c>
    </row>
    <row r="43" spans="2:26">
      <c r="J43" t="s">
        <v>257</v>
      </c>
      <c r="K43" t="s">
        <v>260</v>
      </c>
      <c r="L43" t="s">
        <v>263</v>
      </c>
      <c r="M43" t="s">
        <v>262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U28"/>
  <sheetViews>
    <sheetView zoomScale="59" zoomScaleNormal="59" workbookViewId="0">
      <selection activeCell="M24" sqref="M24"/>
    </sheetView>
  </sheetViews>
  <sheetFormatPr defaultColWidth="9" defaultRowHeight="14.5"/>
  <cols>
    <col min="1" max="2" width="9.06363636363636" style="42"/>
    <col min="3" max="3" width="8.6" style="42" customWidth="1"/>
    <col min="4" max="4" width="9.06363636363636" style="42" customWidth="1"/>
    <col min="5" max="5" width="7.72727272727273" style="42" customWidth="1"/>
    <col min="6" max="6" width="4.72727272727273" style="42" customWidth="1"/>
    <col min="7" max="7" width="10.3363636363636" style="42" customWidth="1"/>
    <col min="8" max="8" width="10.2" style="42" customWidth="1"/>
    <col min="9" max="9" width="10.0636363636364" style="42" customWidth="1"/>
    <col min="10" max="10" width="9.8" style="42" customWidth="1"/>
    <col min="11" max="11" width="10.2636363636364" style="42" customWidth="1"/>
    <col min="12" max="12" width="10.4636363636364" style="42" customWidth="1"/>
    <col min="13" max="13" width="18.9272727272727" style="42" customWidth="1"/>
    <col min="14" max="14" width="16.6" style="42" customWidth="1"/>
    <col min="15" max="15" width="15.6" style="42" customWidth="1"/>
    <col min="16" max="16384" width="9.06363636363636" style="42"/>
  </cols>
  <sheetData>
    <row r="3" spans="3:21">
      <c r="C3" s="42" t="s">
        <v>264</v>
      </c>
      <c r="R3" s="42" t="s">
        <v>265</v>
      </c>
    </row>
    <row r="4" spans="3:21">
      <c r="C4" s="42" t="s">
        <v>76</v>
      </c>
      <c r="D4" s="42" t="s">
        <v>77</v>
      </c>
      <c r="E4" s="42" t="s">
        <v>73</v>
      </c>
      <c r="F4" s="42" t="s">
        <v>243</v>
      </c>
      <c r="G4" s="42" t="s">
        <v>266</v>
      </c>
      <c r="H4" s="42" t="s">
        <v>267</v>
      </c>
      <c r="I4" s="42" t="s">
        <v>268</v>
      </c>
      <c r="J4" s="42" t="s">
        <v>269</v>
      </c>
      <c r="K4" s="42" t="s">
        <v>270</v>
      </c>
      <c r="L4" s="42" t="s">
        <v>271</v>
      </c>
      <c r="M4" s="42" t="s">
        <v>272</v>
      </c>
      <c r="N4" s="42" t="s">
        <v>273</v>
      </c>
      <c r="O4" s="42" t="s">
        <v>274</v>
      </c>
      <c r="R4" s="42" t="s">
        <v>275</v>
      </c>
      <c r="S4" s="42" t="s">
        <v>276</v>
      </c>
      <c r="T4" s="42" t="s">
        <v>76</v>
      </c>
      <c r="U4" s="42" t="s">
        <v>75</v>
      </c>
    </row>
    <row r="5" spans="3:21">
      <c r="C5" s="42" t="s">
        <v>277</v>
      </c>
      <c r="E5" s="42" t="s">
        <v>278</v>
      </c>
      <c r="F5" s="42">
        <v>2022</v>
      </c>
      <c r="G5" s="42">
        <v>1420</v>
      </c>
      <c r="H5" s="42">
        <v>750</v>
      </c>
      <c r="I5" s="42">
        <v>720</v>
      </c>
      <c r="J5" s="42">
        <v>640</v>
      </c>
      <c r="K5" s="42">
        <v>1910</v>
      </c>
      <c r="L5" s="42">
        <v>1710</v>
      </c>
      <c r="M5" s="42">
        <v>990</v>
      </c>
      <c r="N5" s="42">
        <v>1120</v>
      </c>
      <c r="O5" s="42">
        <v>620</v>
      </c>
      <c r="R5" s="42" t="s">
        <v>279</v>
      </c>
      <c r="S5" s="59" t="s">
        <v>280</v>
      </c>
      <c r="T5" s="42" t="s">
        <v>281</v>
      </c>
      <c r="U5" s="42" t="s">
        <v>133</v>
      </c>
    </row>
    <row r="6" spans="3:21">
      <c r="C6" s="42" t="s">
        <v>277</v>
      </c>
      <c r="E6" s="42" t="s">
        <v>282</v>
      </c>
      <c r="F6" s="42">
        <v>2022</v>
      </c>
      <c r="G6" s="42">
        <v>22</v>
      </c>
      <c r="H6" s="42">
        <v>12</v>
      </c>
      <c r="I6" s="42">
        <v>12</v>
      </c>
      <c r="J6" s="42">
        <v>10</v>
      </c>
      <c r="K6" s="42">
        <v>28</v>
      </c>
      <c r="L6" s="42">
        <v>26</v>
      </c>
      <c r="M6" s="42">
        <v>14</v>
      </c>
      <c r="N6" s="42">
        <v>16</v>
      </c>
      <c r="O6" s="42">
        <v>10</v>
      </c>
    </row>
    <row r="7" spans="3:21">
      <c r="D7" s="42" t="s">
        <v>283</v>
      </c>
      <c r="E7" s="42" t="s">
        <v>278</v>
      </c>
      <c r="F7" s="42">
        <v>2022</v>
      </c>
      <c r="G7" s="42">
        <v>1950</v>
      </c>
      <c r="H7" s="42">
        <v>1050</v>
      </c>
      <c r="I7" s="42">
        <v>1100</v>
      </c>
      <c r="J7" s="42">
        <v>1120</v>
      </c>
      <c r="K7" s="42">
        <v>3520</v>
      </c>
      <c r="L7" s="42">
        <v>1640</v>
      </c>
      <c r="M7" s="42">
        <v>1750</v>
      </c>
      <c r="N7" s="42">
        <v>1220</v>
      </c>
      <c r="O7" s="42">
        <v>1950</v>
      </c>
    </row>
    <row r="8" spans="3:21">
      <c r="D8" s="42" t="s">
        <v>283</v>
      </c>
      <c r="E8" s="42" t="s">
        <v>282</v>
      </c>
      <c r="F8" s="42">
        <v>2022</v>
      </c>
      <c r="G8" s="42">
        <v>48</v>
      </c>
      <c r="H8" s="42">
        <v>26</v>
      </c>
      <c r="I8" s="42">
        <v>28</v>
      </c>
      <c r="J8" s="42">
        <v>28</v>
      </c>
      <c r="K8" s="42">
        <v>88</v>
      </c>
      <c r="L8" s="42">
        <v>40</v>
      </c>
      <c r="M8" s="42">
        <v>46</v>
      </c>
      <c r="N8" s="42">
        <v>30</v>
      </c>
      <c r="O8" s="42">
        <v>48</v>
      </c>
    </row>
    <row r="9" spans="3:21">
      <c r="D9" s="42" t="s">
        <v>284</v>
      </c>
      <c r="E9" s="42" t="s">
        <v>278</v>
      </c>
      <c r="F9" s="42">
        <v>2022</v>
      </c>
      <c r="G9" s="42">
        <v>4260</v>
      </c>
      <c r="H9" s="42">
        <v>4440</v>
      </c>
      <c r="I9" s="42">
        <v>2820</v>
      </c>
      <c r="J9" s="42">
        <v>3060</v>
      </c>
      <c r="K9" s="42">
        <v>6640</v>
      </c>
      <c r="L9" s="42">
        <v>4600</v>
      </c>
      <c r="M9" s="42">
        <v>3420</v>
      </c>
      <c r="N9" s="42">
        <v>4060</v>
      </c>
      <c r="O9" s="42">
        <v>4400</v>
      </c>
    </row>
    <row r="10" spans="3:21">
      <c r="D10" s="42" t="s">
        <v>284</v>
      </c>
      <c r="E10" s="42" t="s">
        <v>282</v>
      </c>
      <c r="F10" s="42">
        <v>2022</v>
      </c>
      <c r="G10" s="42">
        <v>105</v>
      </c>
      <c r="H10" s="42">
        <v>110</v>
      </c>
      <c r="I10" s="42">
        <v>70</v>
      </c>
      <c r="J10" s="42">
        <v>75</v>
      </c>
      <c r="K10" s="42">
        <v>165</v>
      </c>
      <c r="L10" s="42">
        <v>115</v>
      </c>
      <c r="M10" s="42">
        <v>70</v>
      </c>
      <c r="N10" s="42">
        <v>120</v>
      </c>
      <c r="O10" s="42">
        <v>110</v>
      </c>
    </row>
    <row r="11" spans="3:21">
      <c r="C11" s="42" t="s">
        <v>285</v>
      </c>
      <c r="E11" s="42" t="s">
        <v>278</v>
      </c>
      <c r="F11" s="42">
        <v>2022</v>
      </c>
      <c r="G11" s="42">
        <v>3300</v>
      </c>
      <c r="H11" s="42">
        <v>3350</v>
      </c>
      <c r="I11" s="42">
        <v>2000</v>
      </c>
      <c r="J11" s="42">
        <v>3050</v>
      </c>
      <c r="K11" s="42">
        <v>3550</v>
      </c>
      <c r="L11" s="42">
        <v>3500</v>
      </c>
      <c r="M11" s="42">
        <v>3900</v>
      </c>
      <c r="N11" s="42">
        <v>4050</v>
      </c>
      <c r="O11" s="42">
        <v>3400</v>
      </c>
    </row>
    <row r="12" spans="3:21">
      <c r="C12" s="42" t="s">
        <v>285</v>
      </c>
      <c r="E12" s="42" t="s">
        <v>282</v>
      </c>
      <c r="F12" s="42">
        <v>2022</v>
      </c>
      <c r="G12" s="42">
        <v>65</v>
      </c>
      <c r="H12" s="42">
        <v>65</v>
      </c>
      <c r="I12" s="42">
        <v>40</v>
      </c>
      <c r="J12" s="42">
        <v>60</v>
      </c>
      <c r="K12" s="42">
        <v>70</v>
      </c>
      <c r="L12" s="42">
        <v>70</v>
      </c>
      <c r="M12" s="42">
        <v>80</v>
      </c>
      <c r="N12" s="42">
        <v>80</v>
      </c>
      <c r="O12" s="42">
        <v>70</v>
      </c>
    </row>
    <row r="13" spans="3:21">
      <c r="C13" s="42" t="s">
        <v>277</v>
      </c>
      <c r="E13" s="42" t="s">
        <v>278</v>
      </c>
      <c r="F13" s="42">
        <v>2030</v>
      </c>
      <c r="G13" s="42">
        <v>850</v>
      </c>
      <c r="H13" s="42">
        <v>460</v>
      </c>
      <c r="I13" s="42">
        <v>430</v>
      </c>
      <c r="J13" s="42">
        <v>390</v>
      </c>
      <c r="K13" s="42">
        <v>1250</v>
      </c>
      <c r="L13" s="42">
        <v>1090</v>
      </c>
      <c r="M13" s="42">
        <v>620</v>
      </c>
      <c r="N13" s="42">
        <v>690</v>
      </c>
      <c r="O13" s="42">
        <v>360</v>
      </c>
    </row>
    <row r="14" spans="3:21">
      <c r="C14" s="42" t="s">
        <v>277</v>
      </c>
      <c r="E14" s="42" t="s">
        <v>282</v>
      </c>
      <c r="F14" s="42">
        <v>2030</v>
      </c>
      <c r="G14" s="42">
        <v>20</v>
      </c>
      <c r="H14" s="42">
        <v>10</v>
      </c>
      <c r="I14" s="42">
        <v>10</v>
      </c>
      <c r="J14" s="42">
        <v>8</v>
      </c>
      <c r="K14" s="42">
        <v>26</v>
      </c>
      <c r="L14" s="42">
        <v>24</v>
      </c>
      <c r="M14" s="42">
        <v>14</v>
      </c>
      <c r="N14" s="42">
        <v>16</v>
      </c>
      <c r="O14" s="42">
        <v>8</v>
      </c>
    </row>
    <row r="15" spans="3:21">
      <c r="D15" s="42" t="s">
        <v>283</v>
      </c>
      <c r="E15" s="42" t="s">
        <v>278</v>
      </c>
      <c r="F15" s="42">
        <v>2030</v>
      </c>
      <c r="G15" s="42">
        <v>1830</v>
      </c>
      <c r="H15" s="42">
        <v>1000</v>
      </c>
      <c r="I15" s="42">
        <v>1040</v>
      </c>
      <c r="J15" s="42">
        <v>1060</v>
      </c>
      <c r="K15" s="42">
        <v>3320</v>
      </c>
      <c r="L15" s="42">
        <v>1550</v>
      </c>
      <c r="M15" s="42">
        <v>1670</v>
      </c>
      <c r="N15" s="42">
        <v>1160</v>
      </c>
      <c r="O15" s="42">
        <v>1830</v>
      </c>
    </row>
    <row r="16" spans="3:21">
      <c r="D16" s="42" t="s">
        <v>283</v>
      </c>
      <c r="E16" s="42" t="s">
        <v>282</v>
      </c>
      <c r="F16" s="42">
        <v>2030</v>
      </c>
      <c r="G16" s="42">
        <v>46</v>
      </c>
      <c r="H16" s="42">
        <v>26</v>
      </c>
      <c r="I16" s="42">
        <v>26</v>
      </c>
      <c r="J16" s="42">
        <v>26</v>
      </c>
      <c r="K16" s="42">
        <v>84</v>
      </c>
      <c r="L16" s="42">
        <v>40</v>
      </c>
      <c r="M16" s="42">
        <v>42</v>
      </c>
      <c r="N16" s="42">
        <v>30</v>
      </c>
      <c r="O16" s="42">
        <v>46</v>
      </c>
    </row>
    <row r="17" spans="3:15">
      <c r="D17" s="42" t="s">
        <v>284</v>
      </c>
      <c r="E17" s="42" t="s">
        <v>278</v>
      </c>
      <c r="F17" s="42">
        <v>2030</v>
      </c>
      <c r="G17" s="42">
        <v>2880</v>
      </c>
      <c r="H17" s="42">
        <v>3000</v>
      </c>
      <c r="I17" s="42">
        <v>1880</v>
      </c>
      <c r="J17" s="42">
        <v>2060</v>
      </c>
      <c r="K17" s="42">
        <v>4180</v>
      </c>
      <c r="L17" s="42">
        <v>3120</v>
      </c>
      <c r="M17" s="42">
        <v>2280</v>
      </c>
      <c r="N17" s="42">
        <v>2520</v>
      </c>
      <c r="O17" s="42">
        <v>3000</v>
      </c>
    </row>
    <row r="18" spans="3:15">
      <c r="D18" s="42" t="s">
        <v>284</v>
      </c>
      <c r="E18" s="42" t="s">
        <v>282</v>
      </c>
      <c r="F18" s="42">
        <v>2030</v>
      </c>
      <c r="G18" s="42">
        <v>80</v>
      </c>
      <c r="H18" s="42">
        <v>80</v>
      </c>
      <c r="I18" s="42">
        <v>50</v>
      </c>
      <c r="J18" s="42">
        <v>55</v>
      </c>
      <c r="K18" s="42">
        <v>115</v>
      </c>
      <c r="L18" s="42">
        <v>85</v>
      </c>
      <c r="M18" s="42">
        <v>50</v>
      </c>
      <c r="N18" s="42">
        <v>90</v>
      </c>
      <c r="O18" s="42">
        <v>80</v>
      </c>
    </row>
    <row r="19" spans="3:15">
      <c r="C19" s="42" t="s">
        <v>285</v>
      </c>
      <c r="E19" s="42" t="s">
        <v>278</v>
      </c>
      <c r="F19" s="42">
        <v>2030</v>
      </c>
      <c r="G19" s="42">
        <v>3300</v>
      </c>
      <c r="H19" s="42">
        <v>3350</v>
      </c>
      <c r="I19" s="42">
        <v>2000</v>
      </c>
      <c r="J19" s="42">
        <v>3050</v>
      </c>
      <c r="K19" s="42">
        <v>3550</v>
      </c>
      <c r="L19" s="42">
        <v>3500</v>
      </c>
      <c r="M19" s="42">
        <v>3900</v>
      </c>
      <c r="N19" s="42">
        <v>4050</v>
      </c>
      <c r="O19" s="42">
        <v>3400</v>
      </c>
    </row>
    <row r="20" spans="3:15">
      <c r="C20" s="42" t="s">
        <v>285</v>
      </c>
      <c r="E20" s="42" t="s">
        <v>282</v>
      </c>
      <c r="F20" s="42">
        <v>2030</v>
      </c>
      <c r="G20" s="42">
        <v>65</v>
      </c>
      <c r="H20" s="42">
        <v>65</v>
      </c>
      <c r="I20" s="42">
        <v>40</v>
      </c>
      <c r="J20" s="42">
        <v>60</v>
      </c>
      <c r="K20" s="42">
        <v>70</v>
      </c>
      <c r="L20" s="42">
        <v>70</v>
      </c>
      <c r="M20" s="42">
        <v>80</v>
      </c>
      <c r="N20" s="42">
        <v>80</v>
      </c>
      <c r="O20" s="42">
        <v>70</v>
      </c>
    </row>
    <row r="21" spans="3:15">
      <c r="C21" s="42" t="s">
        <v>277</v>
      </c>
      <c r="E21" s="42" t="s">
        <v>278</v>
      </c>
      <c r="F21" s="42">
        <v>2050</v>
      </c>
      <c r="G21" s="42">
        <v>580</v>
      </c>
      <c r="H21" s="42">
        <v>330</v>
      </c>
      <c r="I21" s="42">
        <v>300</v>
      </c>
      <c r="J21" s="42">
        <v>270</v>
      </c>
      <c r="K21" s="42">
        <v>940</v>
      </c>
      <c r="L21" s="42">
        <v>770</v>
      </c>
      <c r="M21" s="42">
        <v>450</v>
      </c>
      <c r="N21" s="42">
        <v>480</v>
      </c>
      <c r="O21" s="42">
        <v>250</v>
      </c>
    </row>
    <row r="22" spans="3:15">
      <c r="C22" s="42" t="s">
        <v>277</v>
      </c>
      <c r="E22" s="42" t="s">
        <v>282</v>
      </c>
      <c r="F22" s="42">
        <v>2050</v>
      </c>
      <c r="G22" s="42">
        <v>18</v>
      </c>
      <c r="H22" s="42">
        <v>10</v>
      </c>
      <c r="I22" s="42">
        <v>10</v>
      </c>
      <c r="J22" s="42">
        <v>8</v>
      </c>
      <c r="K22" s="42">
        <v>24</v>
      </c>
      <c r="L22" s="42">
        <v>22</v>
      </c>
      <c r="M22" s="42">
        <v>12</v>
      </c>
      <c r="N22" s="42">
        <v>16</v>
      </c>
      <c r="O22" s="42">
        <v>8</v>
      </c>
    </row>
    <row r="23" spans="3:15">
      <c r="D23" s="42" t="s">
        <v>283</v>
      </c>
      <c r="E23" s="42" t="s">
        <v>278</v>
      </c>
      <c r="F23" s="42">
        <v>2050</v>
      </c>
      <c r="G23" s="42">
        <v>1740</v>
      </c>
      <c r="H23" s="42">
        <v>950</v>
      </c>
      <c r="I23" s="42">
        <v>1000</v>
      </c>
      <c r="J23" s="42">
        <v>1010</v>
      </c>
      <c r="K23" s="42">
        <v>3170</v>
      </c>
      <c r="L23" s="42">
        <v>1470</v>
      </c>
      <c r="M23" s="42">
        <v>1610</v>
      </c>
      <c r="N23" s="42">
        <v>1110</v>
      </c>
      <c r="O23" s="42">
        <v>1710</v>
      </c>
    </row>
    <row r="24" spans="3:15">
      <c r="D24" s="42" t="s">
        <v>283</v>
      </c>
      <c r="E24" s="42" t="s">
        <v>282</v>
      </c>
      <c r="F24" s="42">
        <v>2050</v>
      </c>
      <c r="G24" s="42">
        <v>44</v>
      </c>
      <c r="H24" s="42">
        <v>24</v>
      </c>
      <c r="I24" s="42">
        <v>26</v>
      </c>
      <c r="J24" s="42">
        <v>26</v>
      </c>
      <c r="K24" s="42">
        <v>82</v>
      </c>
      <c r="L24" s="42">
        <v>38</v>
      </c>
      <c r="M24" s="42">
        <v>42</v>
      </c>
      <c r="N24" s="42">
        <v>30</v>
      </c>
      <c r="O24" s="42">
        <v>44</v>
      </c>
    </row>
    <row r="25" spans="3:15">
      <c r="D25" s="42" t="s">
        <v>284</v>
      </c>
      <c r="E25" s="42" t="s">
        <v>278</v>
      </c>
      <c r="F25" s="42">
        <v>2050</v>
      </c>
      <c r="G25" s="42">
        <v>2080</v>
      </c>
      <c r="H25" s="42">
        <v>2160</v>
      </c>
      <c r="I25" s="42">
        <v>1420</v>
      </c>
      <c r="J25" s="42">
        <v>1500</v>
      </c>
      <c r="K25" s="42">
        <v>3160</v>
      </c>
      <c r="L25" s="42">
        <v>2280</v>
      </c>
      <c r="M25" s="42">
        <v>1740</v>
      </c>
      <c r="N25" s="42">
        <v>1900</v>
      </c>
      <c r="O25" s="42">
        <v>2180</v>
      </c>
    </row>
    <row r="26" spans="3:15">
      <c r="D26" s="42" t="s">
        <v>284</v>
      </c>
      <c r="E26" s="42" t="s">
        <v>282</v>
      </c>
      <c r="F26" s="42">
        <v>2050</v>
      </c>
      <c r="G26" s="42">
        <v>65</v>
      </c>
      <c r="H26" s="42">
        <v>65</v>
      </c>
      <c r="I26" s="42">
        <v>45</v>
      </c>
      <c r="J26" s="42">
        <v>45</v>
      </c>
      <c r="K26" s="42">
        <v>95</v>
      </c>
      <c r="L26" s="42">
        <v>70</v>
      </c>
      <c r="M26" s="42">
        <v>45</v>
      </c>
      <c r="N26" s="42">
        <v>70</v>
      </c>
      <c r="O26" s="42">
        <v>65</v>
      </c>
    </row>
    <row r="27" spans="3:15">
      <c r="C27" s="42" t="s">
        <v>285</v>
      </c>
      <c r="E27" s="42" t="s">
        <v>278</v>
      </c>
      <c r="F27" s="42">
        <v>2050</v>
      </c>
      <c r="G27" s="42">
        <v>3250</v>
      </c>
      <c r="H27" s="42">
        <v>3350</v>
      </c>
      <c r="I27" s="42">
        <v>2000</v>
      </c>
      <c r="J27" s="42">
        <v>3050</v>
      </c>
      <c r="K27" s="42">
        <v>3550</v>
      </c>
      <c r="L27" s="42">
        <v>3500</v>
      </c>
      <c r="M27" s="42">
        <v>3900</v>
      </c>
      <c r="N27" s="42">
        <v>4050</v>
      </c>
      <c r="O27" s="42">
        <v>3400</v>
      </c>
    </row>
    <row r="28" spans="3:15">
      <c r="C28" s="42" t="s">
        <v>285</v>
      </c>
      <c r="E28" s="42" t="s">
        <v>282</v>
      </c>
      <c r="F28" s="42">
        <v>2050</v>
      </c>
      <c r="G28" s="42">
        <v>65</v>
      </c>
      <c r="H28" s="42">
        <v>65</v>
      </c>
      <c r="I28" s="42">
        <v>40</v>
      </c>
      <c r="J28" s="42">
        <v>60</v>
      </c>
      <c r="K28" s="42">
        <v>70</v>
      </c>
      <c r="L28" s="42">
        <v>70</v>
      </c>
      <c r="M28" s="42">
        <v>80</v>
      </c>
      <c r="N28" s="42">
        <v>80</v>
      </c>
      <c r="O28" s="42">
        <v>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19"/>
  <sheetViews>
    <sheetView zoomScale="84" zoomScaleNormal="84" workbookViewId="0">
      <selection activeCell="H20" sqref="H20"/>
    </sheetView>
  </sheetViews>
  <sheetFormatPr defaultColWidth="9" defaultRowHeight="14.5"/>
  <cols>
    <col min="2" max="2" width="13.7272727272727" customWidth="1"/>
  </cols>
  <sheetData>
    <row r="3" spans="2:10">
      <c r="B3" t="s">
        <v>286</v>
      </c>
    </row>
    <row r="4" spans="2:10">
      <c r="B4" t="s">
        <v>5</v>
      </c>
      <c r="C4" t="s">
        <v>287</v>
      </c>
      <c r="D4" t="s">
        <v>75</v>
      </c>
      <c r="E4" t="s">
        <v>288</v>
      </c>
      <c r="F4" t="s">
        <v>77</v>
      </c>
      <c r="H4" t="s">
        <v>289</v>
      </c>
      <c r="J4" t="s">
        <v>290</v>
      </c>
    </row>
    <row r="5" spans="2:10">
      <c r="B5" t="s">
        <v>291</v>
      </c>
      <c r="C5" t="s">
        <v>292</v>
      </c>
      <c r="D5" t="s">
        <v>99</v>
      </c>
      <c r="E5" t="s">
        <v>293</v>
      </c>
      <c r="F5" s="58" t="s">
        <v>294</v>
      </c>
      <c r="H5" t="s">
        <v>295</v>
      </c>
    </row>
    <row r="6" spans="2:10">
      <c r="B6" t="s">
        <v>291</v>
      </c>
      <c r="C6" t="s">
        <v>106</v>
      </c>
      <c r="D6" t="s">
        <v>99</v>
      </c>
      <c r="E6" t="s">
        <v>296</v>
      </c>
      <c r="F6" s="58" t="s">
        <v>294</v>
      </c>
      <c r="H6" t="s">
        <v>295</v>
      </c>
    </row>
    <row r="7" spans="2:10">
      <c r="B7" t="s">
        <v>291</v>
      </c>
      <c r="C7" t="s">
        <v>297</v>
      </c>
      <c r="D7" t="s">
        <v>99</v>
      </c>
      <c r="E7" t="s">
        <v>298</v>
      </c>
      <c r="F7" s="58" t="s">
        <v>294</v>
      </c>
      <c r="H7" t="s">
        <v>295</v>
      </c>
    </row>
    <row r="8" spans="2:10">
      <c r="B8" t="s">
        <v>299</v>
      </c>
    </row>
    <row r="9" spans="2:10">
      <c r="B9" t="s">
        <v>291</v>
      </c>
      <c r="C9" t="s">
        <v>292</v>
      </c>
      <c r="D9" t="s">
        <v>99</v>
      </c>
      <c r="E9" t="s">
        <v>300</v>
      </c>
      <c r="F9" s="58" t="s">
        <v>294</v>
      </c>
      <c r="H9" t="s">
        <v>295</v>
      </c>
    </row>
    <row r="10" spans="2:10">
      <c r="B10" t="s">
        <v>291</v>
      </c>
      <c r="C10" t="s">
        <v>106</v>
      </c>
      <c r="D10" t="s">
        <v>99</v>
      </c>
      <c r="E10" t="s">
        <v>301</v>
      </c>
      <c r="F10" s="58" t="s">
        <v>294</v>
      </c>
      <c r="H10" t="s">
        <v>295</v>
      </c>
    </row>
    <row r="11" spans="2:10">
      <c r="B11" t="s">
        <v>291</v>
      </c>
      <c r="C11" t="s">
        <v>297</v>
      </c>
      <c r="D11" t="s">
        <v>99</v>
      </c>
      <c r="E11" t="s">
        <v>302</v>
      </c>
      <c r="F11" s="58" t="s">
        <v>294</v>
      </c>
      <c r="H11" t="s">
        <v>295</v>
      </c>
    </row>
    <row r="12" spans="2:10">
      <c r="B12" t="s">
        <v>299</v>
      </c>
    </row>
    <row r="13" spans="2:10">
      <c r="B13" t="s">
        <v>303</v>
      </c>
      <c r="C13" t="s">
        <v>304</v>
      </c>
      <c r="D13" t="s">
        <v>99</v>
      </c>
      <c r="E13" t="s">
        <v>305</v>
      </c>
      <c r="H13" t="s">
        <v>306</v>
      </c>
    </row>
    <row r="16" spans="2:10">
      <c r="B16" s="32" t="s">
        <v>89</v>
      </c>
    </row>
    <row r="18" spans="2:5">
      <c r="B18" t="s">
        <v>73</v>
      </c>
      <c r="C18" t="s">
        <v>91</v>
      </c>
      <c r="D18">
        <v>2023</v>
      </c>
      <c r="E18">
        <v>0</v>
      </c>
    </row>
    <row r="19" spans="2:5">
      <c r="B19" t="s">
        <v>307</v>
      </c>
      <c r="C19" t="s">
        <v>308</v>
      </c>
      <c r="D19">
        <v>0</v>
      </c>
      <c r="E19">
        <v>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173"/>
  <sheetViews>
    <sheetView zoomScale="99" zoomScaleNormal="99" topLeftCell="N1" workbookViewId="0">
      <selection activeCell="I2" sqref="I2:V8"/>
    </sheetView>
  </sheetViews>
  <sheetFormatPr defaultColWidth="9" defaultRowHeight="14.5"/>
  <cols>
    <col min="9" max="9" width="10.2727272727273" customWidth="1"/>
    <col min="10" max="10" width="40.0909090909091" customWidth="1"/>
    <col min="11" max="11" width="79.2727272727273" customWidth="1"/>
    <col min="12" max="12" width="5.54545454545455" customWidth="1"/>
  </cols>
  <sheetData>
    <row r="2" spans="2:36">
      <c r="B2" t="s">
        <v>286</v>
      </c>
      <c r="I2" t="s">
        <v>53</v>
      </c>
    </row>
    <row r="3" spans="2:36">
      <c r="B3" t="s">
        <v>5</v>
      </c>
      <c r="C3" t="s">
        <v>309</v>
      </c>
      <c r="D3" t="s">
        <v>75</v>
      </c>
      <c r="E3" t="s">
        <v>288</v>
      </c>
      <c r="I3" t="s">
        <v>73</v>
      </c>
      <c r="J3" t="s">
        <v>91</v>
      </c>
      <c r="K3" t="s">
        <v>244</v>
      </c>
      <c r="L3" t="s">
        <v>243</v>
      </c>
    </row>
    <row r="4" spans="2:36">
      <c r="B4" t="s">
        <v>112</v>
      </c>
      <c r="C4" t="s">
        <v>310</v>
      </c>
      <c r="D4" t="s">
        <v>99</v>
      </c>
      <c r="E4" t="s">
        <v>311</v>
      </c>
      <c r="I4" t="s">
        <v>312</v>
      </c>
      <c r="J4" t="s">
        <v>313</v>
      </c>
      <c r="K4">
        <v>15</v>
      </c>
    </row>
    <row r="5" spans="2:36">
      <c r="B5" t="s">
        <v>112</v>
      </c>
      <c r="C5" t="s">
        <v>314</v>
      </c>
      <c r="D5" t="s">
        <v>99</v>
      </c>
      <c r="E5" t="s">
        <v>315</v>
      </c>
      <c r="I5" t="s">
        <v>312</v>
      </c>
      <c r="J5" t="s">
        <v>313</v>
      </c>
      <c r="K5">
        <v>2</v>
      </c>
      <c r="L5">
        <v>0</v>
      </c>
    </row>
    <row r="6" spans="2:36">
      <c r="B6" t="s">
        <v>112</v>
      </c>
      <c r="C6" t="s">
        <v>316</v>
      </c>
      <c r="D6" t="s">
        <v>99</v>
      </c>
      <c r="E6" t="s">
        <v>317</v>
      </c>
      <c r="I6" t="s">
        <v>318</v>
      </c>
      <c r="J6" t="s">
        <v>313</v>
      </c>
      <c r="K6">
        <v>7</v>
      </c>
    </row>
    <row r="7" spans="2:36">
      <c r="C7" t="s">
        <v>319</v>
      </c>
      <c r="D7" t="s">
        <v>99</v>
      </c>
      <c r="E7" t="s">
        <v>320</v>
      </c>
      <c r="I7" s="1" t="s">
        <v>82</v>
      </c>
      <c r="J7" s="1" t="s">
        <v>321</v>
      </c>
      <c r="K7" s="1">
        <v>2020</v>
      </c>
    </row>
    <row r="8" spans="2:36">
      <c r="C8" t="s">
        <v>322</v>
      </c>
      <c r="D8" t="s">
        <v>99</v>
      </c>
      <c r="E8" t="s">
        <v>323</v>
      </c>
    </row>
    <row r="9" spans="2:36">
      <c r="C9" t="s">
        <v>324</v>
      </c>
      <c r="D9" t="s">
        <v>99</v>
      </c>
      <c r="E9" t="s">
        <v>325</v>
      </c>
    </row>
    <row r="11" spans="2:36">
      <c r="B11" s="38" t="s">
        <v>53</v>
      </c>
      <c r="C11" s="38"/>
      <c r="D11" s="38"/>
      <c r="E11" s="38"/>
      <c r="F11" s="38"/>
    </row>
    <row r="12" spans="2:36">
      <c r="B12" s="38"/>
      <c r="C12" s="38"/>
      <c r="D12" s="38"/>
      <c r="E12" s="38"/>
      <c r="F12" s="38"/>
    </row>
    <row r="13" spans="2:36">
      <c r="B13" s="38" t="s">
        <v>56</v>
      </c>
      <c r="C13" s="38" t="s">
        <v>5</v>
      </c>
      <c r="D13" s="38" t="s">
        <v>309</v>
      </c>
      <c r="E13" s="38" t="s">
        <v>288</v>
      </c>
      <c r="F13" s="60" t="s">
        <v>75</v>
      </c>
      <c r="K13" t="s">
        <v>326</v>
      </c>
    </row>
    <row r="14" spans="2:36">
      <c r="B14" s="38" t="s">
        <v>327</v>
      </c>
      <c r="C14" s="38" t="s">
        <v>112</v>
      </c>
      <c r="D14" s="38" t="s">
        <v>310</v>
      </c>
      <c r="E14" s="38" t="s">
        <v>114</v>
      </c>
      <c r="F14" s="38">
        <v>1.25</v>
      </c>
      <c r="K14" t="s">
        <v>74</v>
      </c>
      <c r="L14" t="s">
        <v>243</v>
      </c>
      <c r="M14" t="s">
        <v>9</v>
      </c>
      <c r="N14" t="s">
        <v>10</v>
      </c>
      <c r="O14" t="s">
        <v>12</v>
      </c>
      <c r="P14" t="s">
        <v>13</v>
      </c>
      <c r="Q14" t="s">
        <v>14</v>
      </c>
      <c r="R14" t="s">
        <v>17</v>
      </c>
      <c r="S14" t="s">
        <v>18</v>
      </c>
      <c r="T14" t="s">
        <v>19</v>
      </c>
      <c r="U14" t="s">
        <v>21</v>
      </c>
      <c r="V14" t="s">
        <v>22</v>
      </c>
      <c r="W14" t="s">
        <v>24</v>
      </c>
      <c r="X14" t="s">
        <v>25</v>
      </c>
      <c r="Y14" t="s">
        <v>26</v>
      </c>
      <c r="Z14" t="s">
        <v>27</v>
      </c>
      <c r="AA14" t="s">
        <v>28</v>
      </c>
      <c r="AB14" t="s">
        <v>29</v>
      </c>
      <c r="AC14" t="s">
        <v>30</v>
      </c>
      <c r="AD14" t="s">
        <v>31</v>
      </c>
      <c r="AE14" t="s">
        <v>34</v>
      </c>
      <c r="AF14" t="s">
        <v>35</v>
      </c>
      <c r="AG14" t="s">
        <v>36</v>
      </c>
      <c r="AH14" t="s">
        <v>37</v>
      </c>
      <c r="AI14" t="s">
        <v>38</v>
      </c>
      <c r="AJ14" t="s">
        <v>39</v>
      </c>
    </row>
    <row r="15" spans="2:36">
      <c r="K15" t="s">
        <v>328</v>
      </c>
      <c r="L15">
        <v>2019</v>
      </c>
      <c r="M15" s="23">
        <f t="shared" ref="M15:AJ15" si="0">SUMIFS($D$19:$D$199,$C$19:$C$199,$L15,$B$19:$B$199,M$14)/5</f>
        <v>0.0013436</v>
      </c>
      <c r="N15" s="23">
        <f t="shared" si="0"/>
        <v>0.0016</v>
      </c>
      <c r="O15" s="23">
        <f t="shared" si="0"/>
        <v>0.015</v>
      </c>
      <c r="P15" s="23">
        <f t="shared" si="0"/>
        <v>0.0002</v>
      </c>
      <c r="Q15" s="23">
        <f t="shared" si="0"/>
        <v>0.222</v>
      </c>
      <c r="R15" s="23">
        <f t="shared" si="0"/>
        <v>0.009</v>
      </c>
      <c r="S15" s="23">
        <f t="shared" si="0"/>
        <v>0.015</v>
      </c>
      <c r="T15" s="23">
        <f t="shared" si="0"/>
        <v>0.0002</v>
      </c>
      <c r="U15" s="23">
        <f t="shared" si="0"/>
        <v>0.0004</v>
      </c>
      <c r="V15" s="23">
        <f t="shared" si="0"/>
        <v>0.000312</v>
      </c>
      <c r="W15" s="23">
        <f t="shared" si="0"/>
        <v>0.0012</v>
      </c>
      <c r="X15" s="23">
        <f t="shared" si="0"/>
        <v>0.0044</v>
      </c>
      <c r="Y15" s="23">
        <f t="shared" si="0"/>
        <v>1e-5</v>
      </c>
      <c r="Z15" s="23">
        <f t="shared" si="0"/>
        <v>0.0005</v>
      </c>
      <c r="AA15" s="23">
        <f t="shared" si="0"/>
        <v>0.07764</v>
      </c>
      <c r="AB15" s="23">
        <f t="shared" si="0"/>
        <v>0.0120632</v>
      </c>
      <c r="AC15" s="23">
        <f t="shared" si="0"/>
        <v>0.0004</v>
      </c>
      <c r="AD15" s="23">
        <f t="shared" si="0"/>
        <v>0.00192</v>
      </c>
      <c r="AE15" s="23">
        <f t="shared" si="0"/>
        <v>2e-5</v>
      </c>
      <c r="AF15" s="23">
        <f t="shared" si="0"/>
        <v>0.0017</v>
      </c>
      <c r="AG15" s="23">
        <f t="shared" si="0"/>
        <v>0.008</v>
      </c>
      <c r="AH15" s="23">
        <f t="shared" si="0"/>
        <v>0.0017</v>
      </c>
      <c r="AI15" s="23">
        <f t="shared" si="0"/>
        <v>0.0002</v>
      </c>
      <c r="AJ15" s="23">
        <f t="shared" si="0"/>
        <v>0.0076</v>
      </c>
    </row>
    <row r="16" spans="2:36">
      <c r="K16" s="39" t="s">
        <v>328</v>
      </c>
      <c r="L16" s="39">
        <v>2020</v>
      </c>
      <c r="M16" s="40">
        <f t="shared" ref="M16:AJ16" si="1">SUMIFS($D$19:$D$199,$C$19:$C$199,$L16,$B$19:$B$199,M$14)/5</f>
        <v>0.00138</v>
      </c>
      <c r="N16" s="40">
        <f t="shared" si="1"/>
        <v>0.0052</v>
      </c>
      <c r="O16" s="40">
        <f t="shared" si="1"/>
        <v>0.0238</v>
      </c>
      <c r="P16" s="40">
        <f t="shared" si="1"/>
        <v>0.003949</v>
      </c>
      <c r="Q16" s="40">
        <f t="shared" si="1"/>
        <v>0.266</v>
      </c>
      <c r="R16" s="40">
        <f t="shared" si="1"/>
        <v>0.037</v>
      </c>
      <c r="S16" s="40">
        <f t="shared" si="1"/>
        <v>0.0796</v>
      </c>
      <c r="T16" s="40">
        <f t="shared" si="1"/>
        <v>0.0004</v>
      </c>
      <c r="U16" s="40">
        <f t="shared" si="1"/>
        <v>0.0008</v>
      </c>
      <c r="V16" s="40">
        <f t="shared" si="1"/>
        <v>0.001</v>
      </c>
      <c r="W16" s="40">
        <f t="shared" si="1"/>
        <v>0.0064</v>
      </c>
      <c r="X16" s="40">
        <f t="shared" si="1"/>
        <v>0.0058</v>
      </c>
      <c r="Y16" s="40">
        <f t="shared" si="1"/>
        <v>2e-5</v>
      </c>
      <c r="Z16" s="40">
        <f t="shared" si="1"/>
        <v>0.0016</v>
      </c>
      <c r="AA16" s="40">
        <f t="shared" si="1"/>
        <v>0.076</v>
      </c>
      <c r="AB16" s="40">
        <f t="shared" si="1"/>
        <v>0.0212</v>
      </c>
      <c r="AC16" s="40">
        <f t="shared" si="1"/>
        <v>0.0016</v>
      </c>
      <c r="AD16" s="40">
        <f t="shared" si="1"/>
        <v>0.0066</v>
      </c>
      <c r="AE16" s="40">
        <f t="shared" si="1"/>
        <v>4e-5</v>
      </c>
      <c r="AF16" s="40">
        <f t="shared" si="1"/>
        <v>0.0066</v>
      </c>
      <c r="AG16" s="40">
        <f t="shared" si="1"/>
        <v>0.0244</v>
      </c>
      <c r="AH16" s="40">
        <f t="shared" si="1"/>
        <v>0.0056</v>
      </c>
      <c r="AI16" s="40">
        <f t="shared" si="1"/>
        <v>0.0004</v>
      </c>
      <c r="AJ16" s="40">
        <f t="shared" si="1"/>
        <v>0.0352</v>
      </c>
    </row>
    <row r="17" spans="1:36">
      <c r="K17" s="39" t="s">
        <v>328</v>
      </c>
      <c r="L17" s="39">
        <v>2021</v>
      </c>
      <c r="M17" s="40">
        <f t="shared" ref="M17:V20" si="2">SUMIFS($D$19:$D$199,$C$19:$C$199,$L17,$B$19:$B$199,M$14)/5</f>
        <v>0.0042</v>
      </c>
      <c r="N17" s="40">
        <f t="shared" si="2"/>
        <v>0.0082</v>
      </c>
      <c r="O17" s="40">
        <f t="shared" si="2"/>
        <v>0.0402</v>
      </c>
      <c r="P17" s="40">
        <f t="shared" si="2"/>
        <v>0.0065</v>
      </c>
      <c r="Q17" s="40">
        <f t="shared" si="2"/>
        <v>0.68</v>
      </c>
      <c r="R17" s="40">
        <f t="shared" si="2"/>
        <v>0.063</v>
      </c>
      <c r="S17" s="40">
        <f t="shared" si="2"/>
        <v>0.1362</v>
      </c>
      <c r="T17" s="40">
        <f t="shared" si="2"/>
        <v>0.001</v>
      </c>
      <c r="U17" s="40">
        <f t="shared" si="2"/>
        <v>0.0016</v>
      </c>
      <c r="V17" s="40">
        <f t="shared" si="2"/>
        <v>0.0032</v>
      </c>
      <c r="W17" s="40">
        <f t="shared" ref="W17:AJ20" si="3">SUMIFS($D$19:$D$199,$C$19:$C$199,$L17,$B$19:$B$199,W$14)/5</f>
        <v>0.0134</v>
      </c>
      <c r="X17" s="40">
        <f t="shared" si="3"/>
        <v>0.0088</v>
      </c>
      <c r="Y17" s="40">
        <f t="shared" si="3"/>
        <v>6e-5</v>
      </c>
      <c r="Z17" s="40">
        <f t="shared" si="3"/>
        <v>0.004</v>
      </c>
      <c r="AA17" s="40">
        <f t="shared" si="3"/>
        <v>0.1512</v>
      </c>
      <c r="AB17" s="40">
        <f t="shared" si="3"/>
        <v>0.0278</v>
      </c>
      <c r="AC17" s="40">
        <f t="shared" si="3"/>
        <v>0.0024</v>
      </c>
      <c r="AD17" s="40">
        <f t="shared" si="3"/>
        <v>0.0242</v>
      </c>
      <c r="AE17" s="40">
        <f t="shared" si="3"/>
        <v>8e-5</v>
      </c>
      <c r="AF17" s="40">
        <f t="shared" si="3"/>
        <v>0.0146</v>
      </c>
      <c r="AG17" s="40">
        <f t="shared" si="3"/>
        <v>0.0388</v>
      </c>
      <c r="AH17" s="40">
        <f t="shared" si="3"/>
        <v>0.0096</v>
      </c>
      <c r="AI17" s="40">
        <f t="shared" si="3"/>
        <v>0.001</v>
      </c>
      <c r="AJ17" s="40">
        <f t="shared" si="3"/>
        <v>0.0382</v>
      </c>
    </row>
    <row r="18" spans="1:36">
      <c r="A18" t="s">
        <v>329</v>
      </c>
      <c r="B18" t="s">
        <v>330</v>
      </c>
      <c r="C18" t="s">
        <v>243</v>
      </c>
      <c r="D18" t="s">
        <v>331</v>
      </c>
      <c r="K18" s="39" t="s">
        <v>328</v>
      </c>
      <c r="L18" s="39">
        <v>2022</v>
      </c>
      <c r="M18" s="40">
        <f t="shared" si="2"/>
        <v>0.013</v>
      </c>
      <c r="N18" s="40">
        <f t="shared" si="2"/>
        <v>0.011</v>
      </c>
      <c r="O18" s="40">
        <f t="shared" si="2"/>
        <v>0.064</v>
      </c>
      <c r="P18" s="40">
        <f t="shared" si="2"/>
        <v>0.01</v>
      </c>
      <c r="Q18" s="40">
        <f t="shared" si="2"/>
        <v>1.24</v>
      </c>
      <c r="R18" s="40">
        <f t="shared" si="2"/>
        <v>0.08</v>
      </c>
      <c r="S18" s="40">
        <f t="shared" si="2"/>
        <v>0.166</v>
      </c>
      <c r="T18" s="40">
        <f t="shared" si="2"/>
        <v>0.0026</v>
      </c>
      <c r="U18" s="40">
        <f t="shared" si="2"/>
        <v>0.0022</v>
      </c>
      <c r="V18" s="40">
        <f t="shared" si="2"/>
        <v>0.0102</v>
      </c>
      <c r="W18" s="40">
        <f t="shared" si="3"/>
        <v>0.022</v>
      </c>
      <c r="X18" s="40">
        <f t="shared" si="3"/>
        <v>0.0184</v>
      </c>
      <c r="Y18" s="40">
        <f t="shared" si="3"/>
        <v>0.00012</v>
      </c>
      <c r="Z18" s="40">
        <f t="shared" si="3"/>
        <v>0.008</v>
      </c>
      <c r="AA18" s="40">
        <f t="shared" si="3"/>
        <v>0.2132</v>
      </c>
      <c r="AB18" s="40">
        <f t="shared" si="3"/>
        <v>0.027</v>
      </c>
      <c r="AC18" s="40">
        <f t="shared" si="3"/>
        <v>0.0048</v>
      </c>
      <c r="AD18" s="40">
        <f t="shared" si="3"/>
        <v>0.0314</v>
      </c>
      <c r="AE18" s="40">
        <f t="shared" si="3"/>
        <v>0.00016</v>
      </c>
      <c r="AF18" s="40">
        <f t="shared" si="3"/>
        <v>0.026</v>
      </c>
      <c r="AG18" s="40">
        <f t="shared" si="3"/>
        <v>0.0524</v>
      </c>
      <c r="AH18" s="40">
        <f t="shared" si="3"/>
        <v>0.0124</v>
      </c>
      <c r="AI18" s="40">
        <f t="shared" si="3"/>
        <v>0.007</v>
      </c>
      <c r="AJ18" s="40">
        <f t="shared" si="3"/>
        <v>0.074</v>
      </c>
    </row>
    <row r="19" spans="1:36">
      <c r="A19" t="s">
        <v>332</v>
      </c>
      <c r="B19" t="s">
        <v>9</v>
      </c>
      <c r="C19">
        <v>2019</v>
      </c>
      <c r="D19">
        <v>0.006718</v>
      </c>
      <c r="K19" s="39" t="s">
        <v>328</v>
      </c>
      <c r="L19" s="39">
        <v>2023</v>
      </c>
      <c r="M19" s="40">
        <f t="shared" si="2"/>
        <v>0.0196</v>
      </c>
      <c r="N19" s="40">
        <f t="shared" si="2"/>
        <v>0.013</v>
      </c>
      <c r="O19" s="40">
        <f t="shared" si="2"/>
        <v>0.0806</v>
      </c>
      <c r="P19" s="40">
        <f t="shared" si="2"/>
        <v>0.0104</v>
      </c>
      <c r="Q19" s="40">
        <f t="shared" si="2"/>
        <v>1.62</v>
      </c>
      <c r="R19" s="40">
        <f t="shared" si="2"/>
        <v>0.094</v>
      </c>
      <c r="S19" s="40">
        <f t="shared" si="2"/>
        <v>0.14</v>
      </c>
      <c r="T19" s="40">
        <f t="shared" si="2"/>
        <v>0.0034</v>
      </c>
      <c r="U19" s="40">
        <f t="shared" si="2"/>
        <v>0.00248</v>
      </c>
      <c r="V19" s="40">
        <f t="shared" si="2"/>
        <v>0.016454</v>
      </c>
      <c r="W19" s="40">
        <f t="shared" si="3"/>
        <v>0.0272</v>
      </c>
      <c r="X19" s="40">
        <f t="shared" si="3"/>
        <v>0.02806</v>
      </c>
      <c r="Y19" s="40">
        <f t="shared" si="3"/>
        <v>0.000184</v>
      </c>
      <c r="Z19" s="40">
        <f t="shared" si="3"/>
        <v>0.013</v>
      </c>
      <c r="AA19" s="40">
        <f t="shared" si="3"/>
        <v>0.31524</v>
      </c>
      <c r="AB19" s="40">
        <f t="shared" si="3"/>
        <v>0.022</v>
      </c>
      <c r="AC19" s="40">
        <f t="shared" si="3"/>
        <v>0.00602</v>
      </c>
      <c r="AD19" s="40">
        <f t="shared" si="3"/>
        <v>0.03486</v>
      </c>
      <c r="AE19" s="40">
        <f t="shared" si="3"/>
        <v>0.000216</v>
      </c>
      <c r="AF19" s="40">
        <f t="shared" si="3"/>
        <v>0.037</v>
      </c>
      <c r="AG19" s="40">
        <f t="shared" si="3"/>
        <v>0.0598</v>
      </c>
      <c r="AH19" s="40">
        <f t="shared" si="3"/>
        <v>0.0152</v>
      </c>
      <c r="AI19" s="40">
        <f t="shared" si="3"/>
        <v>0.01374</v>
      </c>
      <c r="AJ19" s="40">
        <f t="shared" si="3"/>
        <v>0.09</v>
      </c>
    </row>
    <row r="20" spans="1:36">
      <c r="A20" t="s">
        <v>332</v>
      </c>
      <c r="B20" t="s">
        <v>9</v>
      </c>
      <c r="C20">
        <v>2020</v>
      </c>
      <c r="D20">
        <v>0.0069</v>
      </c>
      <c r="K20" s="39" t="s">
        <v>328</v>
      </c>
      <c r="L20" s="39">
        <v>2024</v>
      </c>
      <c r="M20" s="40">
        <f t="shared" si="2"/>
        <v>0.0182</v>
      </c>
      <c r="N20" s="40">
        <f t="shared" si="2"/>
        <v>0</v>
      </c>
      <c r="O20" s="40">
        <f t="shared" si="2"/>
        <v>0.0264332</v>
      </c>
      <c r="P20" s="40">
        <f t="shared" si="2"/>
        <v>0.025</v>
      </c>
      <c r="Q20" s="40">
        <f t="shared" si="2"/>
        <v>2.24</v>
      </c>
      <c r="R20" s="40">
        <f t="shared" si="2"/>
        <v>0.0582286</v>
      </c>
      <c r="S20" s="40">
        <f t="shared" si="2"/>
        <v>0.0761218</v>
      </c>
      <c r="T20" s="40">
        <f t="shared" si="2"/>
        <v>0</v>
      </c>
      <c r="U20" s="40">
        <f t="shared" si="2"/>
        <v>0</v>
      </c>
      <c r="V20" s="40">
        <f t="shared" si="2"/>
        <v>0</v>
      </c>
      <c r="W20" s="40">
        <f t="shared" si="3"/>
        <v>0.0129966</v>
      </c>
      <c r="X20" s="40">
        <f t="shared" si="3"/>
        <v>0</v>
      </c>
      <c r="Y20" s="40">
        <f t="shared" si="3"/>
        <v>0</v>
      </c>
      <c r="Z20" s="40">
        <f t="shared" si="3"/>
        <v>0</v>
      </c>
      <c r="AA20" s="40">
        <f t="shared" si="3"/>
        <v>0.26</v>
      </c>
      <c r="AB20" s="40">
        <f t="shared" si="3"/>
        <v>0.0228818</v>
      </c>
      <c r="AC20" s="40">
        <f t="shared" si="3"/>
        <v>0</v>
      </c>
      <c r="AD20" s="40">
        <f t="shared" si="3"/>
        <v>0</v>
      </c>
      <c r="AE20" s="40">
        <f t="shared" si="3"/>
        <v>0</v>
      </c>
      <c r="AF20" s="40">
        <f t="shared" si="3"/>
        <v>0</v>
      </c>
      <c r="AG20" s="40">
        <f t="shared" si="3"/>
        <v>0.0188664</v>
      </c>
      <c r="AH20" s="40">
        <f t="shared" si="3"/>
        <v>0</v>
      </c>
      <c r="AI20" s="40">
        <f t="shared" si="3"/>
        <v>0</v>
      </c>
      <c r="AJ20" s="40">
        <f t="shared" si="3"/>
        <v>0.076394</v>
      </c>
    </row>
    <row r="21" spans="1:36">
      <c r="A21" t="s">
        <v>332</v>
      </c>
      <c r="B21" t="s">
        <v>9</v>
      </c>
      <c r="C21">
        <v>2021</v>
      </c>
      <c r="D21">
        <v>0.021</v>
      </c>
    </row>
    <row r="22" spans="1:36">
      <c r="A22" t="s">
        <v>332</v>
      </c>
      <c r="B22" t="s">
        <v>9</v>
      </c>
      <c r="C22">
        <v>2022</v>
      </c>
      <c r="D22">
        <v>0.065</v>
      </c>
    </row>
    <row r="23" spans="1:36">
      <c r="A23" t="s">
        <v>332</v>
      </c>
      <c r="B23" t="s">
        <v>9</v>
      </c>
      <c r="C23">
        <v>2023</v>
      </c>
      <c r="D23">
        <v>0.098</v>
      </c>
    </row>
    <row r="24" spans="1:36">
      <c r="A24" t="s">
        <v>332</v>
      </c>
      <c r="B24" t="s">
        <v>9</v>
      </c>
      <c r="C24">
        <v>2024</v>
      </c>
      <c r="D24">
        <v>0.091</v>
      </c>
    </row>
    <row r="25" spans="1:36">
      <c r="A25" t="s">
        <v>332</v>
      </c>
      <c r="B25" t="s">
        <v>10</v>
      </c>
      <c r="C25">
        <v>2019</v>
      </c>
      <c r="D25">
        <v>0.008</v>
      </c>
    </row>
    <row r="26" spans="1:36">
      <c r="A26" t="s">
        <v>332</v>
      </c>
      <c r="B26" t="s">
        <v>10</v>
      </c>
      <c r="C26">
        <v>2020</v>
      </c>
      <c r="D26">
        <v>0.026</v>
      </c>
    </row>
    <row r="27" spans="1:36">
      <c r="A27" t="s">
        <v>332</v>
      </c>
      <c r="B27" t="s">
        <v>10</v>
      </c>
      <c r="C27">
        <v>2021</v>
      </c>
      <c r="D27">
        <v>0.041</v>
      </c>
    </row>
    <row r="28" spans="1:36">
      <c r="A28" t="s">
        <v>332</v>
      </c>
      <c r="B28" t="s">
        <v>10</v>
      </c>
      <c r="C28">
        <v>2022</v>
      </c>
      <c r="D28">
        <v>0.055</v>
      </c>
    </row>
    <row r="29" spans="1:36">
      <c r="A29" t="s">
        <v>332</v>
      </c>
      <c r="B29" t="s">
        <v>10</v>
      </c>
      <c r="C29">
        <v>2023</v>
      </c>
      <c r="D29">
        <v>0.065</v>
      </c>
    </row>
    <row r="30" spans="1:36">
      <c r="A30" t="s">
        <v>332</v>
      </c>
      <c r="B30" t="s">
        <v>12</v>
      </c>
      <c r="C30">
        <v>2019</v>
      </c>
      <c r="D30">
        <v>0.075</v>
      </c>
    </row>
    <row r="31" spans="1:36">
      <c r="A31" t="s">
        <v>332</v>
      </c>
      <c r="B31" t="s">
        <v>12</v>
      </c>
      <c r="C31">
        <v>2020</v>
      </c>
      <c r="D31">
        <v>0.119</v>
      </c>
    </row>
    <row r="32" spans="1:36">
      <c r="A32" t="s">
        <v>332</v>
      </c>
      <c r="B32" t="s">
        <v>12</v>
      </c>
      <c r="C32">
        <v>2021</v>
      </c>
      <c r="D32">
        <v>0.201</v>
      </c>
    </row>
    <row r="33" spans="1:4">
      <c r="A33" t="s">
        <v>332</v>
      </c>
      <c r="B33" t="s">
        <v>12</v>
      </c>
      <c r="C33">
        <v>2022</v>
      </c>
      <c r="D33">
        <v>0.32</v>
      </c>
    </row>
    <row r="34" spans="1:4">
      <c r="A34" t="s">
        <v>332</v>
      </c>
      <c r="B34" t="s">
        <v>12</v>
      </c>
      <c r="C34">
        <v>2023</v>
      </c>
      <c r="D34">
        <v>0.403</v>
      </c>
    </row>
    <row r="35" spans="1:4">
      <c r="A35" t="s">
        <v>332</v>
      </c>
      <c r="B35" t="s">
        <v>12</v>
      </c>
      <c r="C35">
        <v>2024</v>
      </c>
      <c r="D35">
        <v>0.132166</v>
      </c>
    </row>
    <row r="36" spans="1:4">
      <c r="A36" t="s">
        <v>332</v>
      </c>
      <c r="B36" t="s">
        <v>13</v>
      </c>
      <c r="C36">
        <v>2019</v>
      </c>
      <c r="D36">
        <v>0.001</v>
      </c>
    </row>
    <row r="37" spans="1:4">
      <c r="A37" t="s">
        <v>332</v>
      </c>
      <c r="B37" t="s">
        <v>13</v>
      </c>
      <c r="C37">
        <v>2020</v>
      </c>
      <c r="D37">
        <v>0.019745</v>
      </c>
    </row>
    <row r="38" spans="1:4">
      <c r="A38" t="s">
        <v>332</v>
      </c>
      <c r="B38" t="s">
        <v>13</v>
      </c>
      <c r="C38">
        <v>2021</v>
      </c>
      <c r="D38">
        <v>0.0325</v>
      </c>
    </row>
    <row r="39" spans="1:4">
      <c r="A39" t="s">
        <v>332</v>
      </c>
      <c r="B39" t="s">
        <v>13</v>
      </c>
      <c r="C39">
        <v>2022</v>
      </c>
      <c r="D39">
        <v>0.05</v>
      </c>
    </row>
    <row r="40" spans="1:4">
      <c r="A40" t="s">
        <v>332</v>
      </c>
      <c r="B40" t="s">
        <v>13</v>
      </c>
      <c r="C40">
        <v>2023</v>
      </c>
      <c r="D40">
        <v>0.052</v>
      </c>
    </row>
    <row r="41" spans="1:4">
      <c r="A41" t="s">
        <v>332</v>
      </c>
      <c r="B41" t="s">
        <v>13</v>
      </c>
      <c r="C41">
        <v>2024</v>
      </c>
      <c r="D41">
        <v>0.125</v>
      </c>
    </row>
    <row r="42" spans="1:4">
      <c r="A42" t="s">
        <v>332</v>
      </c>
      <c r="B42" t="s">
        <v>14</v>
      </c>
      <c r="C42">
        <v>2019</v>
      </c>
      <c r="D42">
        <v>1.11</v>
      </c>
    </row>
    <row r="43" spans="1:4">
      <c r="A43" t="s">
        <v>332</v>
      </c>
      <c r="B43" t="s">
        <v>14</v>
      </c>
      <c r="C43">
        <v>2020</v>
      </c>
      <c r="D43">
        <v>1.33</v>
      </c>
    </row>
    <row r="44" spans="1:4">
      <c r="A44" t="s">
        <v>332</v>
      </c>
      <c r="B44" t="s">
        <v>14</v>
      </c>
      <c r="C44">
        <v>2021</v>
      </c>
      <c r="D44">
        <v>3.4</v>
      </c>
    </row>
    <row r="45" spans="1:4">
      <c r="A45" t="s">
        <v>332</v>
      </c>
      <c r="B45" t="s">
        <v>14</v>
      </c>
      <c r="C45">
        <v>2022</v>
      </c>
      <c r="D45">
        <v>6.2</v>
      </c>
    </row>
    <row r="46" spans="1:4">
      <c r="A46" t="s">
        <v>332</v>
      </c>
      <c r="B46" t="s">
        <v>14</v>
      </c>
      <c r="C46">
        <v>2023</v>
      </c>
      <c r="D46">
        <v>8.1</v>
      </c>
    </row>
    <row r="47" spans="1:4">
      <c r="A47" t="s">
        <v>332</v>
      </c>
      <c r="B47" t="s">
        <v>14</v>
      </c>
      <c r="C47">
        <v>2024</v>
      </c>
      <c r="D47">
        <v>11.2</v>
      </c>
    </row>
    <row r="48" spans="1:4">
      <c r="A48" t="s">
        <v>332</v>
      </c>
      <c r="B48" t="s">
        <v>17</v>
      </c>
      <c r="C48">
        <v>2019</v>
      </c>
      <c r="D48">
        <v>0.045</v>
      </c>
    </row>
    <row r="49" spans="1:4">
      <c r="A49" t="s">
        <v>332</v>
      </c>
      <c r="B49" t="s">
        <v>17</v>
      </c>
      <c r="C49">
        <v>2020</v>
      </c>
      <c r="D49">
        <v>0.185</v>
      </c>
    </row>
    <row r="50" spans="1:4">
      <c r="A50" t="s">
        <v>332</v>
      </c>
      <c r="B50" t="s">
        <v>17</v>
      </c>
      <c r="C50">
        <v>2021</v>
      </c>
      <c r="D50">
        <v>0.315</v>
      </c>
    </row>
    <row r="51" spans="1:4">
      <c r="A51" t="s">
        <v>332</v>
      </c>
      <c r="B51" t="s">
        <v>17</v>
      </c>
      <c r="C51">
        <v>2022</v>
      </c>
      <c r="D51">
        <v>0.4</v>
      </c>
    </row>
    <row r="52" spans="1:4">
      <c r="A52" t="s">
        <v>332</v>
      </c>
      <c r="B52" t="s">
        <v>17</v>
      </c>
      <c r="C52">
        <v>2023</v>
      </c>
      <c r="D52">
        <v>0.47</v>
      </c>
    </row>
    <row r="53" spans="1:4">
      <c r="A53" t="s">
        <v>332</v>
      </c>
      <c r="B53" t="s">
        <v>17</v>
      </c>
      <c r="C53">
        <v>2024</v>
      </c>
      <c r="D53">
        <v>0.291143</v>
      </c>
    </row>
    <row r="54" spans="1:4">
      <c r="A54" t="s">
        <v>332</v>
      </c>
      <c r="B54" t="s">
        <v>18</v>
      </c>
      <c r="C54">
        <v>2019</v>
      </c>
      <c r="D54">
        <v>0.075</v>
      </c>
    </row>
    <row r="55" spans="1:4">
      <c r="A55" t="s">
        <v>332</v>
      </c>
      <c r="B55" t="s">
        <v>18</v>
      </c>
      <c r="C55">
        <v>2020</v>
      </c>
      <c r="D55">
        <v>0.398</v>
      </c>
    </row>
    <row r="56" spans="1:4">
      <c r="A56" t="s">
        <v>332</v>
      </c>
      <c r="B56" t="s">
        <v>18</v>
      </c>
      <c r="C56">
        <v>2021</v>
      </c>
      <c r="D56">
        <v>0.681</v>
      </c>
    </row>
    <row r="57" spans="1:4">
      <c r="A57" t="s">
        <v>332</v>
      </c>
      <c r="B57" t="s">
        <v>18</v>
      </c>
      <c r="C57">
        <v>2022</v>
      </c>
      <c r="D57">
        <v>0.83</v>
      </c>
    </row>
    <row r="58" spans="1:4">
      <c r="A58" t="s">
        <v>332</v>
      </c>
      <c r="B58" t="s">
        <v>18</v>
      </c>
      <c r="C58">
        <v>2023</v>
      </c>
      <c r="D58">
        <v>0.7</v>
      </c>
    </row>
    <row r="59" spans="1:4">
      <c r="A59" t="s">
        <v>332</v>
      </c>
      <c r="B59" t="s">
        <v>18</v>
      </c>
      <c r="C59">
        <v>2024</v>
      </c>
      <c r="D59">
        <v>0.380609</v>
      </c>
    </row>
    <row r="60" spans="1:4">
      <c r="A60" t="s">
        <v>332</v>
      </c>
      <c r="B60" t="s">
        <v>19</v>
      </c>
      <c r="C60">
        <v>2019</v>
      </c>
      <c r="D60">
        <v>0.001</v>
      </c>
    </row>
    <row r="61" spans="1:4">
      <c r="A61" t="s">
        <v>332</v>
      </c>
      <c r="B61" t="s">
        <v>19</v>
      </c>
      <c r="C61">
        <v>2020</v>
      </c>
      <c r="D61">
        <v>0.002</v>
      </c>
    </row>
    <row r="62" spans="1:4">
      <c r="A62" t="s">
        <v>332</v>
      </c>
      <c r="B62" t="s">
        <v>19</v>
      </c>
      <c r="C62">
        <v>2021</v>
      </c>
      <c r="D62">
        <v>0.005</v>
      </c>
    </row>
    <row r="63" spans="1:4">
      <c r="A63" t="s">
        <v>332</v>
      </c>
      <c r="B63" t="s">
        <v>19</v>
      </c>
      <c r="C63">
        <v>2022</v>
      </c>
      <c r="D63">
        <v>0.013</v>
      </c>
    </row>
    <row r="64" spans="1:4">
      <c r="A64" t="s">
        <v>332</v>
      </c>
      <c r="B64" t="s">
        <v>19</v>
      </c>
      <c r="C64">
        <v>2023</v>
      </c>
      <c r="D64">
        <v>0.017</v>
      </c>
    </row>
    <row r="65" spans="1:4">
      <c r="A65" t="s">
        <v>332</v>
      </c>
      <c r="B65" t="s">
        <v>21</v>
      </c>
      <c r="C65">
        <v>2019</v>
      </c>
      <c r="D65">
        <v>0.002</v>
      </c>
    </row>
    <row r="66" spans="1:4">
      <c r="A66" t="s">
        <v>332</v>
      </c>
      <c r="B66" t="s">
        <v>21</v>
      </c>
      <c r="C66">
        <v>2020</v>
      </c>
      <c r="D66">
        <v>0.004</v>
      </c>
    </row>
    <row r="67" spans="1:4">
      <c r="A67" t="s">
        <v>332</v>
      </c>
      <c r="B67" t="s">
        <v>21</v>
      </c>
      <c r="C67">
        <v>2021</v>
      </c>
      <c r="D67">
        <v>0.008</v>
      </c>
    </row>
    <row r="68" spans="1:4">
      <c r="A68" t="s">
        <v>332</v>
      </c>
      <c r="B68" t="s">
        <v>21</v>
      </c>
      <c r="C68">
        <v>2022</v>
      </c>
      <c r="D68">
        <v>0.011</v>
      </c>
    </row>
    <row r="69" spans="1:4">
      <c r="A69" t="s">
        <v>332</v>
      </c>
      <c r="B69" t="s">
        <v>21</v>
      </c>
      <c r="C69">
        <v>2023</v>
      </c>
      <c r="D69">
        <v>0.0124</v>
      </c>
    </row>
    <row r="70" spans="1:4">
      <c r="A70" t="s">
        <v>332</v>
      </c>
      <c r="B70" t="s">
        <v>22</v>
      </c>
      <c r="C70">
        <v>2019</v>
      </c>
      <c r="D70">
        <v>0.00156</v>
      </c>
    </row>
    <row r="71" spans="1:4">
      <c r="A71" t="s">
        <v>332</v>
      </c>
      <c r="B71" t="s">
        <v>22</v>
      </c>
      <c r="C71">
        <v>2020</v>
      </c>
      <c r="D71">
        <v>0.005</v>
      </c>
    </row>
    <row r="72" spans="1:4">
      <c r="A72" t="s">
        <v>332</v>
      </c>
      <c r="B72" t="s">
        <v>22</v>
      </c>
      <c r="C72">
        <v>2021</v>
      </c>
      <c r="D72">
        <v>0.016</v>
      </c>
    </row>
    <row r="73" spans="1:4">
      <c r="A73" t="s">
        <v>332</v>
      </c>
      <c r="B73" t="s">
        <v>22</v>
      </c>
      <c r="C73">
        <v>2022</v>
      </c>
      <c r="D73">
        <v>0.051</v>
      </c>
    </row>
    <row r="74" spans="1:4">
      <c r="A74" t="s">
        <v>332</v>
      </c>
      <c r="B74" t="s">
        <v>22</v>
      </c>
      <c r="C74">
        <v>2023</v>
      </c>
      <c r="D74">
        <v>0.08227</v>
      </c>
    </row>
    <row r="75" spans="1:4">
      <c r="A75" t="s">
        <v>332</v>
      </c>
      <c r="B75" t="s">
        <v>24</v>
      </c>
      <c r="C75">
        <v>2019</v>
      </c>
      <c r="D75">
        <v>0.006</v>
      </c>
    </row>
    <row r="76" spans="1:4">
      <c r="A76" t="s">
        <v>332</v>
      </c>
      <c r="B76" t="s">
        <v>24</v>
      </c>
      <c r="C76">
        <v>2020</v>
      </c>
      <c r="D76">
        <v>0.032</v>
      </c>
    </row>
    <row r="77" spans="1:4">
      <c r="A77" t="s">
        <v>332</v>
      </c>
      <c r="B77" t="s">
        <v>24</v>
      </c>
      <c r="C77">
        <v>2021</v>
      </c>
      <c r="D77">
        <v>0.067</v>
      </c>
    </row>
    <row r="78" spans="1:4">
      <c r="A78" t="s">
        <v>332</v>
      </c>
      <c r="B78" t="s">
        <v>24</v>
      </c>
      <c r="C78">
        <v>2022</v>
      </c>
      <c r="D78">
        <v>0.11</v>
      </c>
    </row>
    <row r="79" spans="1:4">
      <c r="A79" t="s">
        <v>332</v>
      </c>
      <c r="B79" t="s">
        <v>24</v>
      </c>
      <c r="C79">
        <v>2023</v>
      </c>
      <c r="D79" s="41">
        <v>0.136</v>
      </c>
    </row>
    <row r="80" spans="1:4">
      <c r="A80" t="s">
        <v>332</v>
      </c>
      <c r="B80" t="s">
        <v>24</v>
      </c>
      <c r="C80">
        <v>2024</v>
      </c>
      <c r="D80">
        <v>0.064983</v>
      </c>
    </row>
    <row r="81" spans="1:4">
      <c r="A81" t="s">
        <v>332</v>
      </c>
      <c r="B81" t="s">
        <v>25</v>
      </c>
      <c r="C81">
        <v>2019</v>
      </c>
      <c r="D81">
        <v>0.022</v>
      </c>
    </row>
    <row r="82" spans="1:4">
      <c r="A82" t="s">
        <v>332</v>
      </c>
      <c r="B82" t="s">
        <v>25</v>
      </c>
      <c r="C82">
        <v>2020</v>
      </c>
      <c r="D82">
        <v>0.029</v>
      </c>
    </row>
    <row r="83" spans="1:4">
      <c r="A83" t="s">
        <v>332</v>
      </c>
      <c r="B83" t="s">
        <v>25</v>
      </c>
      <c r="C83">
        <v>2021</v>
      </c>
      <c r="D83">
        <v>0.044</v>
      </c>
    </row>
    <row r="84" spans="1:4">
      <c r="A84" t="s">
        <v>332</v>
      </c>
      <c r="B84" t="s">
        <v>25</v>
      </c>
      <c r="C84">
        <v>2022</v>
      </c>
      <c r="D84">
        <v>0.092</v>
      </c>
    </row>
    <row r="85" spans="1:4">
      <c r="A85" t="s">
        <v>332</v>
      </c>
      <c r="B85" t="s">
        <v>25</v>
      </c>
      <c r="C85">
        <v>2023</v>
      </c>
      <c r="D85">
        <v>0.1403</v>
      </c>
    </row>
    <row r="86" spans="1:4">
      <c r="A86" t="s">
        <v>332</v>
      </c>
      <c r="B86" t="s">
        <v>26</v>
      </c>
      <c r="C86">
        <v>2019</v>
      </c>
      <c r="D86" s="41">
        <v>5e-5</v>
      </c>
    </row>
    <row r="87" spans="1:4">
      <c r="A87" t="s">
        <v>332</v>
      </c>
      <c r="B87" t="s">
        <v>26</v>
      </c>
      <c r="C87">
        <v>2020</v>
      </c>
      <c r="D87">
        <v>0.0001</v>
      </c>
    </row>
    <row r="88" spans="1:4">
      <c r="A88" t="s">
        <v>332</v>
      </c>
      <c r="B88" t="s">
        <v>26</v>
      </c>
      <c r="C88">
        <v>2021</v>
      </c>
      <c r="D88">
        <v>0.0003</v>
      </c>
    </row>
    <row r="89" spans="1:4">
      <c r="A89" t="s">
        <v>332</v>
      </c>
      <c r="B89" t="s">
        <v>26</v>
      </c>
      <c r="C89">
        <v>2022</v>
      </c>
      <c r="D89">
        <v>0.0006</v>
      </c>
    </row>
    <row r="90" spans="1:4">
      <c r="A90" t="s">
        <v>332</v>
      </c>
      <c r="B90" t="s">
        <v>26</v>
      </c>
      <c r="C90">
        <v>2023</v>
      </c>
      <c r="D90">
        <v>0.00092</v>
      </c>
    </row>
    <row r="91" spans="1:4">
      <c r="A91" t="s">
        <v>332</v>
      </c>
      <c r="B91" t="s">
        <v>27</v>
      </c>
      <c r="C91">
        <v>2019</v>
      </c>
      <c r="D91">
        <v>0.0025</v>
      </c>
    </row>
    <row r="92" spans="1:4">
      <c r="A92" t="s">
        <v>332</v>
      </c>
      <c r="B92" t="s">
        <v>27</v>
      </c>
      <c r="C92">
        <v>2020</v>
      </c>
      <c r="D92">
        <v>0.008</v>
      </c>
    </row>
    <row r="93" spans="1:4">
      <c r="A93" t="s">
        <v>332</v>
      </c>
      <c r="B93" t="s">
        <v>27</v>
      </c>
      <c r="C93">
        <v>2021</v>
      </c>
      <c r="D93">
        <v>0.02</v>
      </c>
    </row>
    <row r="94" spans="1:4">
      <c r="A94" t="s">
        <v>332</v>
      </c>
      <c r="B94" t="s">
        <v>27</v>
      </c>
      <c r="C94">
        <v>2022</v>
      </c>
      <c r="D94">
        <v>0.04</v>
      </c>
    </row>
    <row r="95" spans="1:4">
      <c r="A95" t="s">
        <v>332</v>
      </c>
      <c r="B95" t="s">
        <v>27</v>
      </c>
      <c r="C95">
        <v>2023</v>
      </c>
      <c r="D95">
        <v>0.065</v>
      </c>
    </row>
    <row r="96" spans="1:4">
      <c r="A96" t="s">
        <v>332</v>
      </c>
      <c r="B96" t="s">
        <v>28</v>
      </c>
      <c r="C96">
        <v>2019</v>
      </c>
      <c r="D96">
        <v>0.3882</v>
      </c>
    </row>
    <row r="97" spans="1:4">
      <c r="A97" t="s">
        <v>332</v>
      </c>
      <c r="B97" t="s">
        <v>28</v>
      </c>
      <c r="C97">
        <v>2020</v>
      </c>
      <c r="D97">
        <v>0.38</v>
      </c>
    </row>
    <row r="98" spans="1:4">
      <c r="A98" t="s">
        <v>332</v>
      </c>
      <c r="B98" t="s">
        <v>28</v>
      </c>
      <c r="C98">
        <v>2021</v>
      </c>
      <c r="D98">
        <v>0.756</v>
      </c>
    </row>
    <row r="99" spans="1:4">
      <c r="A99" t="s">
        <v>332</v>
      </c>
      <c r="B99" t="s">
        <v>28</v>
      </c>
      <c r="C99">
        <v>2022</v>
      </c>
      <c r="D99">
        <v>1.066</v>
      </c>
    </row>
    <row r="100" spans="1:4">
      <c r="A100" t="s">
        <v>332</v>
      </c>
      <c r="B100" t="s">
        <v>28</v>
      </c>
      <c r="C100">
        <v>2023</v>
      </c>
      <c r="D100">
        <v>1.5762</v>
      </c>
    </row>
    <row r="101" spans="1:4">
      <c r="A101" t="s">
        <v>332</v>
      </c>
      <c r="B101" t="s">
        <v>28</v>
      </c>
      <c r="C101">
        <v>2024</v>
      </c>
      <c r="D101">
        <v>1.3</v>
      </c>
    </row>
    <row r="102" spans="1:4">
      <c r="A102" t="s">
        <v>332</v>
      </c>
      <c r="B102" t="s">
        <v>29</v>
      </c>
      <c r="C102">
        <v>2019</v>
      </c>
      <c r="D102">
        <v>0.060316</v>
      </c>
    </row>
    <row r="103" spans="1:4">
      <c r="A103" t="s">
        <v>332</v>
      </c>
      <c r="B103" t="s">
        <v>29</v>
      </c>
      <c r="C103">
        <v>2020</v>
      </c>
      <c r="D103">
        <v>0.106</v>
      </c>
    </row>
    <row r="104" spans="1:4">
      <c r="A104" t="s">
        <v>332</v>
      </c>
      <c r="B104" t="s">
        <v>29</v>
      </c>
      <c r="C104">
        <v>2021</v>
      </c>
      <c r="D104">
        <v>0.139</v>
      </c>
    </row>
    <row r="105" spans="1:4">
      <c r="A105" t="s">
        <v>332</v>
      </c>
      <c r="B105" t="s">
        <v>29</v>
      </c>
      <c r="C105">
        <v>2022</v>
      </c>
      <c r="D105">
        <v>0.135</v>
      </c>
    </row>
    <row r="106" spans="1:4">
      <c r="A106" t="s">
        <v>332</v>
      </c>
      <c r="B106" t="s">
        <v>29</v>
      </c>
      <c r="C106">
        <v>2023</v>
      </c>
      <c r="D106">
        <v>0.11</v>
      </c>
    </row>
    <row r="107" spans="1:4">
      <c r="A107" t="s">
        <v>332</v>
      </c>
      <c r="B107" t="s">
        <v>29</v>
      </c>
      <c r="C107">
        <v>2024</v>
      </c>
      <c r="D107">
        <v>0.114409</v>
      </c>
    </row>
    <row r="108" spans="1:4">
      <c r="A108" t="s">
        <v>332</v>
      </c>
      <c r="B108" t="s">
        <v>30</v>
      </c>
      <c r="C108">
        <v>2019</v>
      </c>
      <c r="D108">
        <v>0.002</v>
      </c>
    </row>
    <row r="109" spans="1:4">
      <c r="A109" t="s">
        <v>332</v>
      </c>
      <c r="B109" t="s">
        <v>30</v>
      </c>
      <c r="C109">
        <v>2020</v>
      </c>
      <c r="D109">
        <v>0.008</v>
      </c>
    </row>
    <row r="110" spans="1:4">
      <c r="A110" t="s">
        <v>332</v>
      </c>
      <c r="B110" t="s">
        <v>30</v>
      </c>
      <c r="C110">
        <v>2021</v>
      </c>
      <c r="D110">
        <v>0.012</v>
      </c>
    </row>
    <row r="111" spans="1:4">
      <c r="A111" t="s">
        <v>332</v>
      </c>
      <c r="B111" t="s">
        <v>30</v>
      </c>
      <c r="C111">
        <v>2022</v>
      </c>
      <c r="D111">
        <v>0.024</v>
      </c>
    </row>
    <row r="112" spans="1:4">
      <c r="A112" t="s">
        <v>332</v>
      </c>
      <c r="B112" t="s">
        <v>30</v>
      </c>
      <c r="C112">
        <v>2023</v>
      </c>
      <c r="D112">
        <v>0.0301</v>
      </c>
    </row>
    <row r="113" spans="1:4">
      <c r="A113" t="s">
        <v>332</v>
      </c>
      <c r="B113" t="s">
        <v>31</v>
      </c>
      <c r="C113">
        <v>2019</v>
      </c>
      <c r="D113">
        <v>0.0096</v>
      </c>
    </row>
    <row r="114" spans="1:4">
      <c r="A114" t="s">
        <v>332</v>
      </c>
      <c r="B114" t="s">
        <v>31</v>
      </c>
      <c r="C114">
        <v>2020</v>
      </c>
      <c r="D114">
        <v>0.033</v>
      </c>
    </row>
    <row r="115" spans="1:4">
      <c r="A115" t="s">
        <v>332</v>
      </c>
      <c r="B115" t="s">
        <v>31</v>
      </c>
      <c r="C115">
        <v>2021</v>
      </c>
      <c r="D115">
        <v>0.121</v>
      </c>
    </row>
    <row r="116" spans="1:4">
      <c r="A116" t="s">
        <v>332</v>
      </c>
      <c r="B116" t="s">
        <v>31</v>
      </c>
      <c r="C116">
        <v>2022</v>
      </c>
      <c r="D116">
        <v>0.157</v>
      </c>
    </row>
    <row r="117" spans="1:4">
      <c r="A117" t="s">
        <v>332</v>
      </c>
      <c r="B117" t="s">
        <v>31</v>
      </c>
      <c r="C117">
        <v>2023</v>
      </c>
      <c r="D117">
        <v>0.1743</v>
      </c>
    </row>
    <row r="118" spans="1:4">
      <c r="A118" t="s">
        <v>332</v>
      </c>
      <c r="B118" t="s">
        <v>34</v>
      </c>
      <c r="C118">
        <v>2019</v>
      </c>
      <c r="D118">
        <v>0.0001</v>
      </c>
    </row>
    <row r="119" spans="1:4">
      <c r="A119" t="s">
        <v>332</v>
      </c>
      <c r="B119" t="s">
        <v>34</v>
      </c>
      <c r="C119">
        <v>2020</v>
      </c>
      <c r="D119">
        <v>0.0002</v>
      </c>
    </row>
    <row r="120" spans="1:4">
      <c r="A120" t="s">
        <v>332</v>
      </c>
      <c r="B120" t="s">
        <v>34</v>
      </c>
      <c r="C120">
        <v>2021</v>
      </c>
      <c r="D120">
        <v>0.0004</v>
      </c>
    </row>
    <row r="121" spans="1:4">
      <c r="A121" t="s">
        <v>332</v>
      </c>
      <c r="B121" t="s">
        <v>34</v>
      </c>
      <c r="C121">
        <v>2022</v>
      </c>
      <c r="D121">
        <v>0.0008</v>
      </c>
    </row>
    <row r="122" spans="1:4">
      <c r="A122" t="s">
        <v>332</v>
      </c>
      <c r="B122" t="s">
        <v>34</v>
      </c>
      <c r="C122">
        <v>2023</v>
      </c>
      <c r="D122">
        <v>0.00108</v>
      </c>
    </row>
    <row r="123" spans="1:4">
      <c r="A123" t="s">
        <v>332</v>
      </c>
      <c r="B123" t="s">
        <v>35</v>
      </c>
      <c r="C123">
        <v>2019</v>
      </c>
      <c r="D123">
        <v>0.0085</v>
      </c>
    </row>
    <row r="124" spans="1:4">
      <c r="A124" t="s">
        <v>332</v>
      </c>
      <c r="B124" t="s">
        <v>35</v>
      </c>
      <c r="C124">
        <v>2020</v>
      </c>
      <c r="D124">
        <v>0.033</v>
      </c>
    </row>
    <row r="125" spans="1:4">
      <c r="A125" t="s">
        <v>332</v>
      </c>
      <c r="B125" t="s">
        <v>35</v>
      </c>
      <c r="C125">
        <v>2021</v>
      </c>
      <c r="D125">
        <v>0.073</v>
      </c>
    </row>
    <row r="126" spans="1:4">
      <c r="A126" t="s">
        <v>332</v>
      </c>
      <c r="B126" t="s">
        <v>35</v>
      </c>
      <c r="C126">
        <v>2022</v>
      </c>
      <c r="D126">
        <v>0.13</v>
      </c>
    </row>
    <row r="127" spans="1:4">
      <c r="A127" t="s">
        <v>332</v>
      </c>
      <c r="B127" t="s">
        <v>35</v>
      </c>
      <c r="C127">
        <v>2023</v>
      </c>
      <c r="D127">
        <v>0.185</v>
      </c>
    </row>
    <row r="128" spans="1:4">
      <c r="A128" t="s">
        <v>332</v>
      </c>
      <c r="B128" t="s">
        <v>36</v>
      </c>
      <c r="C128">
        <v>2019</v>
      </c>
      <c r="D128">
        <v>0.04</v>
      </c>
    </row>
    <row r="129" spans="1:4">
      <c r="A129" t="s">
        <v>332</v>
      </c>
      <c r="B129" t="s">
        <v>36</v>
      </c>
      <c r="C129">
        <v>2020</v>
      </c>
      <c r="D129">
        <v>0.122</v>
      </c>
    </row>
    <row r="130" spans="1:4">
      <c r="A130" t="s">
        <v>332</v>
      </c>
      <c r="B130" t="s">
        <v>36</v>
      </c>
      <c r="C130">
        <v>2021</v>
      </c>
      <c r="D130">
        <v>0.194</v>
      </c>
    </row>
    <row r="131" spans="1:4">
      <c r="A131" t="s">
        <v>332</v>
      </c>
      <c r="B131" t="s">
        <v>36</v>
      </c>
      <c r="C131">
        <v>2022</v>
      </c>
      <c r="D131">
        <v>0.262</v>
      </c>
    </row>
    <row r="132" spans="1:4">
      <c r="A132" t="s">
        <v>332</v>
      </c>
      <c r="B132" t="s">
        <v>36</v>
      </c>
      <c r="C132">
        <v>2023</v>
      </c>
      <c r="D132">
        <v>0.299</v>
      </c>
    </row>
    <row r="133" spans="1:4">
      <c r="A133" t="s">
        <v>332</v>
      </c>
      <c r="B133" t="s">
        <v>36</v>
      </c>
      <c r="C133">
        <v>2024</v>
      </c>
      <c r="D133">
        <v>0.094332</v>
      </c>
    </row>
    <row r="134" spans="1:4">
      <c r="A134" t="s">
        <v>332</v>
      </c>
      <c r="B134" t="s">
        <v>37</v>
      </c>
      <c r="C134">
        <v>2019</v>
      </c>
      <c r="D134">
        <v>0.0085</v>
      </c>
    </row>
    <row r="135" spans="1:4">
      <c r="A135" t="s">
        <v>332</v>
      </c>
      <c r="B135" t="s">
        <v>37</v>
      </c>
      <c r="C135">
        <v>2020</v>
      </c>
      <c r="D135">
        <v>0.028</v>
      </c>
    </row>
    <row r="136" spans="1:4">
      <c r="A136" t="s">
        <v>332</v>
      </c>
      <c r="B136" t="s">
        <v>37</v>
      </c>
      <c r="C136">
        <v>2021</v>
      </c>
      <c r="D136">
        <v>0.048</v>
      </c>
    </row>
    <row r="137" spans="1:4">
      <c r="A137" t="s">
        <v>332</v>
      </c>
      <c r="B137" t="s">
        <v>37</v>
      </c>
      <c r="C137">
        <v>2022</v>
      </c>
      <c r="D137">
        <v>0.062</v>
      </c>
    </row>
    <row r="138" spans="1:4">
      <c r="A138" t="s">
        <v>332</v>
      </c>
      <c r="B138" t="s">
        <v>37</v>
      </c>
      <c r="C138">
        <v>2023</v>
      </c>
      <c r="D138">
        <v>0.076</v>
      </c>
    </row>
    <row r="139" spans="1:4">
      <c r="A139" t="s">
        <v>332</v>
      </c>
      <c r="B139" t="s">
        <v>38</v>
      </c>
      <c r="C139">
        <v>2019</v>
      </c>
      <c r="D139">
        <v>0.001</v>
      </c>
    </row>
    <row r="140" spans="1:4">
      <c r="A140" t="s">
        <v>332</v>
      </c>
      <c r="B140" t="s">
        <v>38</v>
      </c>
      <c r="C140">
        <v>2020</v>
      </c>
      <c r="D140">
        <v>0.002</v>
      </c>
    </row>
    <row r="141" spans="1:4">
      <c r="A141" t="s">
        <v>332</v>
      </c>
      <c r="B141" t="s">
        <v>38</v>
      </c>
      <c r="C141">
        <v>2021</v>
      </c>
      <c r="D141">
        <v>0.005</v>
      </c>
    </row>
    <row r="142" spans="1:4">
      <c r="A142" t="s">
        <v>332</v>
      </c>
      <c r="B142" t="s">
        <v>38</v>
      </c>
      <c r="C142">
        <v>2022</v>
      </c>
      <c r="D142">
        <v>0.035</v>
      </c>
    </row>
    <row r="143" spans="1:4">
      <c r="A143" t="s">
        <v>332</v>
      </c>
      <c r="B143" t="s">
        <v>38</v>
      </c>
      <c r="C143">
        <v>2023</v>
      </c>
      <c r="D143">
        <v>0.0687</v>
      </c>
    </row>
    <row r="144" spans="1:4">
      <c r="A144" t="s">
        <v>332</v>
      </c>
      <c r="B144" t="s">
        <v>39</v>
      </c>
      <c r="C144">
        <v>2019</v>
      </c>
      <c r="D144">
        <v>0.038</v>
      </c>
    </row>
    <row r="145" spans="1:4">
      <c r="A145" t="s">
        <v>332</v>
      </c>
      <c r="B145" t="s">
        <v>39</v>
      </c>
      <c r="C145">
        <v>2020</v>
      </c>
      <c r="D145">
        <v>0.176</v>
      </c>
    </row>
    <row r="146" spans="1:4">
      <c r="A146" t="s">
        <v>332</v>
      </c>
      <c r="B146" t="s">
        <v>39</v>
      </c>
      <c r="C146">
        <v>2021</v>
      </c>
      <c r="D146">
        <v>0.191</v>
      </c>
    </row>
    <row r="147" spans="1:4">
      <c r="A147" t="s">
        <v>332</v>
      </c>
      <c r="B147" t="s">
        <v>39</v>
      </c>
      <c r="C147">
        <v>2022</v>
      </c>
      <c r="D147">
        <v>0.37</v>
      </c>
    </row>
    <row r="148" spans="1:4">
      <c r="A148" t="s">
        <v>332</v>
      </c>
      <c r="B148" t="s">
        <v>39</v>
      </c>
      <c r="C148">
        <v>2023</v>
      </c>
      <c r="D148">
        <v>0.45</v>
      </c>
    </row>
    <row r="149" spans="1:4">
      <c r="A149" t="s">
        <v>332</v>
      </c>
      <c r="B149" t="s">
        <v>39</v>
      </c>
      <c r="C149">
        <v>2024</v>
      </c>
      <c r="D149">
        <v>0.38197</v>
      </c>
    </row>
    <row r="150" spans="1:4">
      <c r="A150" t="s">
        <v>333</v>
      </c>
      <c r="B150" t="s">
        <v>9</v>
      </c>
      <c r="C150">
        <v>2018</v>
      </c>
      <c r="D150">
        <v>0.015</v>
      </c>
    </row>
    <row r="151" spans="1:4">
      <c r="A151" t="s">
        <v>333</v>
      </c>
      <c r="B151" t="s">
        <v>10</v>
      </c>
      <c r="C151">
        <v>2018</v>
      </c>
      <c r="D151">
        <v>0.03</v>
      </c>
    </row>
    <row r="152" spans="1:4">
      <c r="A152" t="s">
        <v>333</v>
      </c>
      <c r="B152" t="s">
        <v>12</v>
      </c>
      <c r="C152">
        <v>2018</v>
      </c>
      <c r="D152">
        <v>0.16</v>
      </c>
    </row>
    <row r="153" spans="1:4">
      <c r="A153" t="s">
        <v>333</v>
      </c>
      <c r="B153" t="s">
        <v>13</v>
      </c>
      <c r="C153">
        <v>2018</v>
      </c>
      <c r="D153">
        <v>0.008</v>
      </c>
    </row>
    <row r="154" spans="1:4">
      <c r="A154" t="s">
        <v>333</v>
      </c>
      <c r="B154" t="s">
        <v>14</v>
      </c>
      <c r="C154">
        <v>2018</v>
      </c>
      <c r="D154">
        <v>2.6</v>
      </c>
    </row>
    <row r="155" spans="1:4">
      <c r="A155" t="s">
        <v>333</v>
      </c>
      <c r="B155" t="s">
        <v>17</v>
      </c>
      <c r="C155">
        <v>2018</v>
      </c>
      <c r="D155">
        <v>0.15</v>
      </c>
    </row>
    <row r="156" spans="1:4">
      <c r="A156" t="s">
        <v>333</v>
      </c>
      <c r="B156" t="s">
        <v>18</v>
      </c>
      <c r="C156">
        <v>2018</v>
      </c>
      <c r="D156">
        <v>0.2</v>
      </c>
    </row>
    <row r="157" spans="1:4">
      <c r="A157" t="s">
        <v>333</v>
      </c>
      <c r="B157" t="s">
        <v>19</v>
      </c>
      <c r="C157">
        <v>2018</v>
      </c>
      <c r="D157">
        <v>0.003</v>
      </c>
    </row>
    <row r="158" spans="1:4">
      <c r="A158" t="s">
        <v>333</v>
      </c>
      <c r="B158" t="s">
        <v>21</v>
      </c>
      <c r="C158">
        <v>2018</v>
      </c>
      <c r="D158">
        <v>0.008</v>
      </c>
    </row>
    <row r="159" spans="1:4">
      <c r="A159" t="s">
        <v>333</v>
      </c>
      <c r="B159" t="s">
        <v>22</v>
      </c>
      <c r="C159">
        <v>2018</v>
      </c>
      <c r="D159">
        <v>0.008</v>
      </c>
    </row>
    <row r="160" spans="1:4">
      <c r="A160" t="s">
        <v>333</v>
      </c>
      <c r="B160" t="s">
        <v>24</v>
      </c>
      <c r="C160">
        <v>2018</v>
      </c>
      <c r="D160">
        <v>0.025</v>
      </c>
    </row>
    <row r="161" spans="1:4">
      <c r="A161" t="s">
        <v>333</v>
      </c>
      <c r="B161" t="s">
        <v>25</v>
      </c>
      <c r="C161">
        <v>2018</v>
      </c>
      <c r="D161">
        <v>0.06</v>
      </c>
    </row>
    <row r="162" spans="1:4">
      <c r="A162" t="s">
        <v>333</v>
      </c>
      <c r="B162" t="s">
        <v>26</v>
      </c>
      <c r="C162">
        <v>2018</v>
      </c>
      <c r="D162">
        <v>0.0003</v>
      </c>
    </row>
    <row r="163" spans="1:4">
      <c r="A163" t="s">
        <v>333</v>
      </c>
      <c r="B163" t="s">
        <v>27</v>
      </c>
      <c r="C163">
        <v>2018</v>
      </c>
      <c r="D163">
        <v>0.008</v>
      </c>
    </row>
    <row r="164" spans="1:4">
      <c r="A164" t="s">
        <v>333</v>
      </c>
      <c r="B164" t="s">
        <v>28</v>
      </c>
      <c r="C164">
        <v>2018</v>
      </c>
      <c r="D164">
        <v>1.0715</v>
      </c>
    </row>
    <row r="165" spans="1:4">
      <c r="A165" t="s">
        <v>333</v>
      </c>
      <c r="B165" t="s">
        <v>29</v>
      </c>
      <c r="C165">
        <v>2018</v>
      </c>
      <c r="D165">
        <v>0.2</v>
      </c>
    </row>
    <row r="166" spans="1:4">
      <c r="A166" t="s">
        <v>333</v>
      </c>
      <c r="B166" t="s">
        <v>30</v>
      </c>
      <c r="C166">
        <v>2018</v>
      </c>
      <c r="D166">
        <v>0.008</v>
      </c>
    </row>
    <row r="167" spans="1:4">
      <c r="A167" t="s">
        <v>333</v>
      </c>
      <c r="B167" t="s">
        <v>31</v>
      </c>
      <c r="C167">
        <v>2018</v>
      </c>
      <c r="D167">
        <v>0.058</v>
      </c>
    </row>
    <row r="168" spans="1:4">
      <c r="A168" t="s">
        <v>333</v>
      </c>
      <c r="B168" t="s">
        <v>34</v>
      </c>
      <c r="C168">
        <v>2018</v>
      </c>
      <c r="D168">
        <v>0.0005</v>
      </c>
    </row>
    <row r="169" spans="1:4">
      <c r="A169" t="s">
        <v>333</v>
      </c>
      <c r="B169" t="s">
        <v>35</v>
      </c>
      <c r="C169">
        <v>2018</v>
      </c>
      <c r="D169">
        <v>0.035</v>
      </c>
    </row>
    <row r="170" spans="1:4">
      <c r="A170" t="s">
        <v>333</v>
      </c>
      <c r="B170" t="s">
        <v>36</v>
      </c>
      <c r="C170">
        <v>2018</v>
      </c>
      <c r="D170">
        <v>0.117</v>
      </c>
    </row>
    <row r="171" spans="1:4">
      <c r="A171" t="s">
        <v>333</v>
      </c>
      <c r="B171" t="s">
        <v>37</v>
      </c>
      <c r="C171">
        <v>2018</v>
      </c>
      <c r="D171">
        <v>0.035</v>
      </c>
    </row>
    <row r="172" spans="1:4">
      <c r="A172" t="s">
        <v>333</v>
      </c>
      <c r="B172" t="s">
        <v>38</v>
      </c>
      <c r="C172">
        <v>2018</v>
      </c>
      <c r="D172">
        <v>0.003</v>
      </c>
    </row>
    <row r="173" spans="1:4">
      <c r="A173" t="s">
        <v>333</v>
      </c>
      <c r="B173" t="s">
        <v>39</v>
      </c>
      <c r="C173">
        <v>2018</v>
      </c>
      <c r="D173">
        <v>0.13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3"/>
  </sheetPr>
  <dimension ref="B1:O14"/>
  <sheetViews>
    <sheetView zoomScale="85" zoomScaleNormal="85" topLeftCell="B6" workbookViewId="0">
      <selection activeCell="K23" sqref="K23"/>
    </sheetView>
  </sheetViews>
  <sheetFormatPr defaultColWidth="9" defaultRowHeight="14.5"/>
  <cols>
    <col min="2" max="2" width="24.4" customWidth="1"/>
    <col min="3" max="3" width="19.2636363636364" customWidth="1"/>
    <col min="4" max="4" width="15.4" customWidth="1"/>
    <col min="5" max="5" width="20.1363636363636" customWidth="1"/>
    <col min="6" max="6" width="12.4636363636364" customWidth="1"/>
    <col min="7" max="7" width="8.72727272727273" customWidth="1"/>
    <col min="8" max="8" width="8.4" customWidth="1"/>
    <col min="9" max="9" width="7.6" customWidth="1"/>
    <col min="10" max="10" width="8.4" customWidth="1"/>
    <col min="12" max="12" width="16.2636363636364" customWidth="1"/>
    <col min="13" max="13" width="43.9272727272727" customWidth="1"/>
    <col min="14" max="14" width="60.8" customWidth="1"/>
  </cols>
  <sheetData>
    <row r="1" spans="2:15">
      <c r="M1" t="s">
        <v>334</v>
      </c>
      <c r="N1" t="s">
        <v>335</v>
      </c>
      <c r="O1" t="s">
        <v>336</v>
      </c>
    </row>
    <row r="2" ht="34.05" customHeight="1" spans="2:15">
      <c r="M2" t="s">
        <v>337</v>
      </c>
      <c r="N2" s="4" t="s">
        <v>338</v>
      </c>
      <c r="O2" s="4" t="s">
        <v>339</v>
      </c>
    </row>
    <row r="3" ht="58" spans="2:15">
      <c r="M3" t="s">
        <v>340</v>
      </c>
      <c r="N3" s="4" t="s">
        <v>341</v>
      </c>
      <c r="O3" s="37" t="s">
        <v>342</v>
      </c>
    </row>
    <row r="11" spans="2:15">
      <c r="B11" t="s">
        <v>53</v>
      </c>
    </row>
    <row r="12" spans="2:15">
      <c r="B12" t="s">
        <v>54</v>
      </c>
      <c r="C12" t="s">
        <v>56</v>
      </c>
      <c r="D12" t="s">
        <v>58</v>
      </c>
      <c r="E12" t="s">
        <v>60</v>
      </c>
      <c r="F12" t="s">
        <v>343</v>
      </c>
      <c r="G12" t="s">
        <v>61</v>
      </c>
      <c r="H12" t="s">
        <v>62</v>
      </c>
      <c r="I12" t="s">
        <v>64</v>
      </c>
      <c r="J12" t="s">
        <v>65</v>
      </c>
      <c r="K12" t="s">
        <v>243</v>
      </c>
    </row>
    <row r="13" spans="2:15">
      <c r="C13" t="s">
        <v>344</v>
      </c>
      <c r="D13" t="s">
        <v>345</v>
      </c>
      <c r="E13">
        <v>0.02</v>
      </c>
      <c r="G13" t="s">
        <v>346</v>
      </c>
      <c r="H13" t="s">
        <v>347</v>
      </c>
      <c r="I13" t="s">
        <v>348</v>
      </c>
      <c r="K13">
        <v>2019</v>
      </c>
    </row>
    <row r="14" spans="2:15">
      <c r="C14" t="s">
        <v>344</v>
      </c>
      <c r="D14" t="str">
        <f>D13</f>
        <v>USD18</v>
      </c>
      <c r="E14">
        <v>3</v>
      </c>
      <c r="G14" t="str">
        <f>G13</f>
        <v>IRE</v>
      </c>
      <c r="H14" t="str">
        <f>H13</f>
        <v>Glb*</v>
      </c>
      <c r="I14" t="str">
        <f>I13</f>
        <v>m_*</v>
      </c>
      <c r="K14">
        <v>0</v>
      </c>
    </row>
  </sheetData>
  <hyperlinks>
    <hyperlink ref="O3" r:id="rId1" display="https://thundersaidenergy.com/downloads/bulk-shipping-cost-breakdown/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S17"/>
  <sheetViews>
    <sheetView zoomScale="51" zoomScaleNormal="51" workbookViewId="0">
      <selection activeCell="S33" sqref="S33"/>
    </sheetView>
  </sheetViews>
  <sheetFormatPr defaultColWidth="8.86363636363636" defaultRowHeight="14.5"/>
  <cols>
    <col min="1" max="1" width="14.1363636363636" customWidth="1"/>
    <col min="2" max="2" width="19.8636363636364" customWidth="1"/>
    <col min="3" max="3" width="8.13636363636364" customWidth="1"/>
    <col min="4" max="4" width="10.8636363636364" customWidth="1"/>
    <col min="5" max="5" width="7.26363636363636" customWidth="1"/>
    <col min="6" max="6" width="9.6" customWidth="1"/>
    <col min="7" max="7" width="11" customWidth="1"/>
    <col min="8" max="8" width="4.72727272727273" customWidth="1"/>
    <col min="9" max="9" width="11" customWidth="1"/>
    <col min="10" max="15" width="10.7272727272727" customWidth="1"/>
    <col min="16" max="18" width="4.13636363636364" customWidth="1"/>
    <col min="19" max="20" width="10.7272727272727" customWidth="1"/>
    <col min="21" max="21" width="8.72727272727273" customWidth="1"/>
    <col min="22" max="23" width="8.4" customWidth="1"/>
    <col min="24" max="24" width="7.4" customWidth="1"/>
    <col min="25" max="25" width="8.4" customWidth="1"/>
    <col min="26" max="26" width="8.72727272727273" customWidth="1"/>
    <col min="27" max="28" width="8.4" customWidth="1"/>
  </cols>
  <sheetData>
    <row r="3" spans="1:19">
      <c r="A3" t="s">
        <v>1</v>
      </c>
    </row>
    <row r="5" spans="1:19">
      <c r="F5" t="s">
        <v>349</v>
      </c>
    </row>
    <row r="6" spans="1:19">
      <c r="A6" t="s">
        <v>350</v>
      </c>
      <c r="B6" t="s">
        <v>4</v>
      </c>
      <c r="C6" t="s">
        <v>64</v>
      </c>
      <c r="D6" t="s">
        <v>351</v>
      </c>
      <c r="E6" t="s">
        <v>55</v>
      </c>
      <c r="F6">
        <v>2030</v>
      </c>
      <c r="G6">
        <v>2035</v>
      </c>
      <c r="H6" t="s">
        <v>352</v>
      </c>
      <c r="I6" t="s">
        <v>42</v>
      </c>
      <c r="J6" t="s">
        <v>77</v>
      </c>
      <c r="K6" t="s">
        <v>353</v>
      </c>
    </row>
    <row r="7" spans="1:19">
      <c r="A7" t="s">
        <v>354</v>
      </c>
      <c r="B7" t="s">
        <v>355</v>
      </c>
      <c r="C7" t="s">
        <v>356</v>
      </c>
      <c r="D7" t="s">
        <v>356</v>
      </c>
      <c r="E7" t="s">
        <v>151</v>
      </c>
      <c r="F7">
        <v>1.05</v>
      </c>
      <c r="H7">
        <v>1</v>
      </c>
      <c r="I7">
        <v>2</v>
      </c>
      <c r="J7" t="s">
        <v>357</v>
      </c>
      <c r="K7" t="s">
        <v>358</v>
      </c>
    </row>
    <row r="8" spans="1:19">
      <c r="A8" t="s">
        <v>354</v>
      </c>
      <c r="B8" t="s">
        <v>359</v>
      </c>
      <c r="C8" t="s">
        <v>356</v>
      </c>
      <c r="D8" t="s">
        <v>356</v>
      </c>
      <c r="E8" t="s">
        <v>50</v>
      </c>
      <c r="F8">
        <v>0.95</v>
      </c>
      <c r="G8">
        <v>0.9</v>
      </c>
      <c r="H8">
        <v>1</v>
      </c>
      <c r="I8">
        <v>2</v>
      </c>
      <c r="J8" t="s">
        <v>357</v>
      </c>
      <c r="K8" t="s">
        <v>360</v>
      </c>
      <c r="P8" s="23">
        <f>F8^15</f>
        <v>0.463291230159753</v>
      </c>
      <c r="Q8" s="23">
        <f>G8^15</f>
        <v>0.205891132094649</v>
      </c>
      <c r="S8" s="36">
        <f>PRODUCT(P8:R8)</f>
        <v>0.0953875558671143</v>
      </c>
    </row>
    <row r="11" spans="1:19">
      <c r="A11" t="s">
        <v>361</v>
      </c>
    </row>
    <row r="13" spans="1:19">
      <c r="D13" t="s">
        <v>362</v>
      </c>
    </row>
    <row r="14" spans="1:19">
      <c r="A14" t="s">
        <v>350</v>
      </c>
      <c r="B14" t="s">
        <v>4</v>
      </c>
      <c r="C14" t="s">
        <v>92</v>
      </c>
      <c r="D14" t="s">
        <v>287</v>
      </c>
      <c r="E14">
        <v>2030</v>
      </c>
      <c r="F14">
        <v>2040</v>
      </c>
      <c r="G14">
        <v>2050</v>
      </c>
      <c r="H14" t="s">
        <v>352</v>
      </c>
      <c r="I14" t="s">
        <v>363</v>
      </c>
      <c r="J14" t="s">
        <v>42</v>
      </c>
      <c r="K14" t="s">
        <v>353</v>
      </c>
    </row>
    <row r="15" spans="1:19">
      <c r="A15" t="s">
        <v>364</v>
      </c>
      <c r="B15" t="str">
        <f>"UC_ELCcap_decay - "&amp;MID(D15,4,3)</f>
        <v>UC_ELCcap_decay - OIL</v>
      </c>
      <c r="C15" t="s">
        <v>365</v>
      </c>
      <c r="D15" t="s">
        <v>366</v>
      </c>
      <c r="E15">
        <v>0.98</v>
      </c>
      <c r="F15">
        <v>0.95</v>
      </c>
      <c r="G15">
        <v>0.8</v>
      </c>
      <c r="H15">
        <v>1</v>
      </c>
      <c r="I15">
        <v>5</v>
      </c>
      <c r="J15">
        <v>3</v>
      </c>
      <c r="K15" t="str">
        <f>"Max decay in power capacity - "&amp;MID(D15,4,3)</f>
        <v>Max decay in power capacity - OIL</v>
      </c>
      <c r="O15" s="23">
        <f>E15^10</f>
        <v>0.817072806887547</v>
      </c>
      <c r="P15" s="23">
        <f>F15^10</f>
        <v>0.598736939238379</v>
      </c>
      <c r="Q15" s="23">
        <f>G15^10</f>
        <v>0.1073741824</v>
      </c>
      <c r="R15" s="36">
        <f>PRODUCT(O15:Q15)</f>
        <v>0.0525287032511528</v>
      </c>
    </row>
    <row r="16" spans="1:19">
      <c r="A16" t="s">
        <v>364</v>
      </c>
      <c r="B16" t="str">
        <f t="shared" ref="B16:B17" si="0">"UC_ELCcap_decay - "&amp;MID(D16,4,3)</f>
        <v>UC_ELCcap_decay - CO?</v>
      </c>
      <c r="C16" t="s">
        <v>365</v>
      </c>
      <c r="D16" t="s">
        <v>367</v>
      </c>
      <c r="E16">
        <v>0.98</v>
      </c>
      <c r="F16">
        <v>0.9</v>
      </c>
      <c r="G16">
        <v>0.8</v>
      </c>
      <c r="H16">
        <v>1</v>
      </c>
      <c r="I16">
        <v>5</v>
      </c>
      <c r="J16">
        <v>3</v>
      </c>
      <c r="K16" t="str">
        <f>"Max decay in power capacity - "&amp;MID(D16,4,3)</f>
        <v>Max decay in power capacity - CO?</v>
      </c>
      <c r="O16" s="23">
        <f t="shared" ref="O16:O17" si="1">E16^10</f>
        <v>0.817072806887547</v>
      </c>
      <c r="P16" s="23">
        <f t="shared" ref="P16:P17" si="2">F16^10</f>
        <v>0.3486784401</v>
      </c>
      <c r="Q16" s="23">
        <f t="shared" ref="Q16:Q17" si="3">G16^10</f>
        <v>0.1073741824</v>
      </c>
      <c r="R16" s="36">
        <f t="shared" ref="R16:R17" si="4">PRODUCT(O16:Q16)</f>
        <v>0.03059043982385</v>
      </c>
    </row>
    <row r="17" spans="1:18">
      <c r="A17" t="s">
        <v>364</v>
      </c>
      <c r="B17" t="str">
        <f t="shared" si="0"/>
        <v>UC_ELCcap_decay - NGA</v>
      </c>
      <c r="C17" t="s">
        <v>365</v>
      </c>
      <c r="D17" t="s">
        <v>304</v>
      </c>
      <c r="E17">
        <v>0.98</v>
      </c>
      <c r="F17">
        <v>0.95</v>
      </c>
      <c r="G17">
        <v>0.8</v>
      </c>
      <c r="H17">
        <v>1</v>
      </c>
      <c r="I17">
        <v>5</v>
      </c>
      <c r="J17">
        <v>3</v>
      </c>
      <c r="K17" t="str">
        <f>"Max decay in power capacity - "&amp;MID(D17,4,3)</f>
        <v>Max decay in power capacity - NGA</v>
      </c>
      <c r="O17" s="23">
        <f t="shared" si="1"/>
        <v>0.817072806887547</v>
      </c>
      <c r="P17" s="23">
        <f t="shared" si="2"/>
        <v>0.598736939238379</v>
      </c>
      <c r="Q17" s="23">
        <f t="shared" si="3"/>
        <v>0.1073741824</v>
      </c>
      <c r="R17" s="36">
        <f t="shared" si="4"/>
        <v>0.0525287032511528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O30"/>
  <sheetViews>
    <sheetView zoomScale="43" zoomScaleNormal="43" workbookViewId="0">
      <selection activeCell="I19" sqref="I19"/>
    </sheetView>
  </sheetViews>
  <sheetFormatPr defaultColWidth="9" defaultRowHeight="14.5"/>
  <cols>
    <col min="2" max="2" width="16.1363636363636" customWidth="1"/>
    <col min="3" max="3" width="11.6" customWidth="1"/>
    <col min="4" max="5" width="5" customWidth="1"/>
    <col min="6" max="6" width="6.72727272727273" customWidth="1"/>
    <col min="7" max="7" width="7.86363636363636" customWidth="1"/>
    <col min="11" max="11" width="17.6" customWidth="1"/>
    <col min="12" max="12" width="29.2636363636364" customWidth="1"/>
    <col min="13" max="14" width="10.7272727272727" customWidth="1"/>
    <col min="15" max="15" width="10.1363636363636" customWidth="1"/>
  </cols>
  <sheetData>
    <row r="1" spans="2:15">
      <c r="H1" t="s">
        <v>1</v>
      </c>
    </row>
    <row r="2" spans="2:15">
      <c r="B2" t="s">
        <v>368</v>
      </c>
      <c r="L2" t="s">
        <v>369</v>
      </c>
    </row>
    <row r="3" spans="2:15">
      <c r="B3" t="s">
        <v>73</v>
      </c>
      <c r="C3" t="s">
        <v>370</v>
      </c>
      <c r="D3">
        <v>2025</v>
      </c>
      <c r="E3">
        <v>2035</v>
      </c>
      <c r="F3">
        <v>2050</v>
      </c>
      <c r="G3">
        <v>2100</v>
      </c>
      <c r="H3">
        <v>2150</v>
      </c>
      <c r="K3" t="s">
        <v>4</v>
      </c>
      <c r="L3" t="s">
        <v>253</v>
      </c>
      <c r="M3" t="s">
        <v>371</v>
      </c>
      <c r="N3" t="s">
        <v>372</v>
      </c>
      <c r="O3" t="s">
        <v>373</v>
      </c>
    </row>
    <row r="4" spans="2:15">
      <c r="B4" t="s">
        <v>374</v>
      </c>
      <c r="C4" t="s">
        <v>375</v>
      </c>
      <c r="D4">
        <v>-0.3</v>
      </c>
      <c r="K4" t="s">
        <v>376</v>
      </c>
      <c r="L4" t="s">
        <v>377</v>
      </c>
      <c r="M4">
        <v>1</v>
      </c>
      <c r="O4">
        <v>2</v>
      </c>
    </row>
    <row r="5" spans="2:15">
      <c r="B5" t="s">
        <v>378</v>
      </c>
      <c r="C5" t="s">
        <v>375</v>
      </c>
      <c r="D5">
        <v>0</v>
      </c>
      <c r="E5">
        <v>0.3</v>
      </c>
      <c r="F5">
        <v>0.5</v>
      </c>
      <c r="G5">
        <v>0.5</v>
      </c>
      <c r="H5">
        <v>0.5</v>
      </c>
      <c r="K5" t="s">
        <v>379</v>
      </c>
      <c r="L5" t="s">
        <v>380</v>
      </c>
      <c r="M5">
        <v>1</v>
      </c>
      <c r="O5">
        <v>2</v>
      </c>
    </row>
    <row r="6" spans="2:15">
      <c r="B6" t="s">
        <v>381</v>
      </c>
      <c r="C6" t="s">
        <v>375</v>
      </c>
      <c r="D6">
        <v>10</v>
      </c>
      <c r="K6" t="s">
        <v>382</v>
      </c>
      <c r="L6" t="s">
        <v>383</v>
      </c>
      <c r="N6" s="1">
        <v>1</v>
      </c>
      <c r="O6">
        <v>2</v>
      </c>
    </row>
    <row r="7" spans="2:15">
      <c r="K7" t="s">
        <v>299</v>
      </c>
    </row>
    <row r="8" spans="2:15">
      <c r="K8" t="s">
        <v>384</v>
      </c>
      <c r="L8" t="s">
        <v>385</v>
      </c>
      <c r="M8">
        <v>1</v>
      </c>
      <c r="O8">
        <v>2</v>
      </c>
    </row>
    <row r="9" spans="2:15">
      <c r="K9" t="s">
        <v>384</v>
      </c>
      <c r="L9" t="s">
        <v>386</v>
      </c>
      <c r="M9">
        <v>1</v>
      </c>
      <c r="O9">
        <v>2</v>
      </c>
    </row>
    <row r="10" spans="2:15">
      <c r="B10" t="s">
        <v>368</v>
      </c>
      <c r="K10" t="s">
        <v>387</v>
      </c>
      <c r="L10" t="s">
        <v>388</v>
      </c>
      <c r="M10">
        <v>1</v>
      </c>
      <c r="O10">
        <v>2</v>
      </c>
    </row>
    <row r="11" spans="2:15">
      <c r="B11" t="s">
        <v>73</v>
      </c>
      <c r="C11" t="s">
        <v>299</v>
      </c>
      <c r="D11">
        <v>2025</v>
      </c>
      <c r="E11">
        <v>2035</v>
      </c>
      <c r="F11">
        <v>2050</v>
      </c>
      <c r="G11" t="s">
        <v>288</v>
      </c>
      <c r="K11" t="s">
        <v>387</v>
      </c>
      <c r="L11" t="s">
        <v>389</v>
      </c>
      <c r="M11">
        <v>1</v>
      </c>
      <c r="O11">
        <v>2</v>
      </c>
    </row>
    <row r="12" spans="2:15">
      <c r="B12" t="s">
        <v>374</v>
      </c>
      <c r="D12">
        <v>-0.3</v>
      </c>
      <c r="G12" t="s">
        <v>390</v>
      </c>
      <c r="K12" t="s">
        <v>391</v>
      </c>
      <c r="L12" t="s">
        <v>392</v>
      </c>
      <c r="M12">
        <v>1</v>
      </c>
      <c r="O12">
        <v>2</v>
      </c>
    </row>
    <row r="13" spans="2:15">
      <c r="B13" t="s">
        <v>378</v>
      </c>
      <c r="D13">
        <v>0</v>
      </c>
      <c r="E13">
        <v>0.3</v>
      </c>
      <c r="F13">
        <v>0.5</v>
      </c>
      <c r="G13" t="s">
        <v>390</v>
      </c>
      <c r="K13" t="s">
        <v>393</v>
      </c>
      <c r="L13" t="s">
        <v>394</v>
      </c>
      <c r="M13">
        <v>1</v>
      </c>
      <c r="O13">
        <v>2</v>
      </c>
    </row>
    <row r="14" spans="2:15">
      <c r="B14" t="s">
        <v>381</v>
      </c>
      <c r="D14">
        <v>10</v>
      </c>
      <c r="G14" t="s">
        <v>390</v>
      </c>
      <c r="K14" t="s">
        <v>299</v>
      </c>
    </row>
    <row r="15" spans="2:15">
      <c r="K15" t="s">
        <v>395</v>
      </c>
      <c r="L15" t="s">
        <v>396</v>
      </c>
      <c r="M15">
        <v>1</v>
      </c>
      <c r="O15">
        <v>2</v>
      </c>
    </row>
    <row r="16" spans="2:15">
      <c r="K16" t="s">
        <v>395</v>
      </c>
      <c r="L16" t="s">
        <v>397</v>
      </c>
      <c r="M16">
        <v>1</v>
      </c>
      <c r="O16">
        <v>2</v>
      </c>
    </row>
    <row r="17" spans="2:15">
      <c r="K17" t="s">
        <v>398</v>
      </c>
      <c r="L17" t="s">
        <v>399</v>
      </c>
      <c r="M17">
        <v>1</v>
      </c>
      <c r="O17">
        <v>2</v>
      </c>
    </row>
    <row r="18" spans="2:15">
      <c r="K18" t="s">
        <v>398</v>
      </c>
      <c r="L18" t="s">
        <v>400</v>
      </c>
      <c r="M18">
        <v>1</v>
      </c>
      <c r="O18">
        <v>2</v>
      </c>
    </row>
    <row r="19" spans="2:15">
      <c r="K19" t="s">
        <v>401</v>
      </c>
      <c r="L19" t="s">
        <v>402</v>
      </c>
      <c r="M19">
        <v>1</v>
      </c>
      <c r="O19">
        <v>2</v>
      </c>
    </row>
    <row r="20" spans="2:15">
      <c r="K20" t="s">
        <v>403</v>
      </c>
      <c r="L20" t="s">
        <v>404</v>
      </c>
      <c r="M20">
        <v>1</v>
      </c>
      <c r="O20">
        <v>2</v>
      </c>
    </row>
    <row r="23" spans="2:15">
      <c r="B23" t="s">
        <v>405</v>
      </c>
      <c r="L23" t="s">
        <v>369</v>
      </c>
    </row>
    <row r="24" spans="2:15">
      <c r="B24" t="s">
        <v>74</v>
      </c>
      <c r="C24" t="s">
        <v>253</v>
      </c>
      <c r="D24" t="s">
        <v>75</v>
      </c>
      <c r="K24" t="s">
        <v>4</v>
      </c>
      <c r="L24" t="s">
        <v>74</v>
      </c>
      <c r="M24" t="s">
        <v>406</v>
      </c>
      <c r="N24" t="s">
        <v>407</v>
      </c>
      <c r="O24" t="s">
        <v>243</v>
      </c>
    </row>
    <row r="25" spans="2:15">
      <c r="B25" t="s">
        <v>408</v>
      </c>
      <c r="C25" t="s">
        <v>409</v>
      </c>
      <c r="D25" t="s">
        <v>410</v>
      </c>
      <c r="K25" t="s">
        <v>411</v>
      </c>
      <c r="N25">
        <v>1</v>
      </c>
    </row>
    <row r="26" spans="2:15">
      <c r="L26" t="s">
        <v>412</v>
      </c>
      <c r="M26">
        <v>1</v>
      </c>
      <c r="O26" t="s">
        <v>413</v>
      </c>
    </row>
    <row r="27" spans="2:15">
      <c r="L27" t="s">
        <v>412</v>
      </c>
      <c r="M27">
        <v>1</v>
      </c>
      <c r="O27" t="s">
        <v>414</v>
      </c>
    </row>
    <row r="28" spans="2:15">
      <c r="B28" t="s">
        <v>415</v>
      </c>
      <c r="L28" t="s">
        <v>412</v>
      </c>
      <c r="M28">
        <v>1</v>
      </c>
      <c r="O28" t="s">
        <v>416</v>
      </c>
    </row>
    <row r="29" spans="2:15">
      <c r="B29" t="s">
        <v>73</v>
      </c>
      <c r="C29" t="s">
        <v>253</v>
      </c>
      <c r="D29">
        <v>2020</v>
      </c>
      <c r="E29">
        <v>0</v>
      </c>
      <c r="F29" t="s">
        <v>43</v>
      </c>
      <c r="L29" t="s">
        <v>412</v>
      </c>
      <c r="M29">
        <v>1</v>
      </c>
      <c r="O29" t="s">
        <v>417</v>
      </c>
    </row>
    <row r="30" spans="2:15">
      <c r="B30" t="s">
        <v>418</v>
      </c>
      <c r="C30" t="str">
        <f>C25</f>
        <v>repuc_unity</v>
      </c>
      <c r="D30">
        <v>1</v>
      </c>
      <c r="E30">
        <v>3</v>
      </c>
      <c r="F30" t="s">
        <v>246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W35"/>
  <sheetViews>
    <sheetView zoomScale="55" zoomScaleNormal="55" workbookViewId="0">
      <selection activeCell="G19" sqref="G19:M21"/>
    </sheetView>
  </sheetViews>
  <sheetFormatPr defaultColWidth="9" defaultRowHeight="14.5"/>
  <cols>
    <col min="1" max="1" width="19.2636363636364" customWidth="1"/>
    <col min="2" max="2" width="11.8636363636364" customWidth="1"/>
    <col min="3" max="3" width="12.2636363636364" customWidth="1"/>
    <col min="4" max="4" width="10.2636363636364" customWidth="1"/>
    <col min="5" max="5" width="11.8636363636364" customWidth="1"/>
    <col min="6" max="6" width="7.86363636363636" customWidth="1"/>
    <col min="7" max="7" width="12.8636363636364" customWidth="1"/>
    <col min="8" max="8" width="19.1363636363636" customWidth="1"/>
    <col min="9" max="9" width="6.72727272727273" customWidth="1"/>
    <col min="10" max="10" width="8.72727272727273" customWidth="1"/>
    <col min="11" max="11" width="8.4" customWidth="1"/>
    <col min="12" max="13" width="6" customWidth="1"/>
    <col min="14" max="14" width="5" customWidth="1"/>
    <col min="15" max="16" width="6" customWidth="1"/>
    <col min="17" max="17" width="5" customWidth="1"/>
    <col min="18" max="19" width="6" customWidth="1"/>
    <col min="20" max="20" width="5" customWidth="1"/>
    <col min="21" max="22" width="6" customWidth="1"/>
    <col min="23" max="23" width="5" customWidth="1"/>
    <col min="24" max="25" width="6" customWidth="1"/>
    <col min="26" max="27" width="4" customWidth="1"/>
    <col min="29" max="29" width="14.6" customWidth="1"/>
    <col min="30" max="30" width="2" customWidth="1"/>
    <col min="31" max="31" width="5" customWidth="1"/>
    <col min="32" max="32" width="6" customWidth="1"/>
    <col min="33" max="33" width="3" customWidth="1"/>
    <col min="34" max="34" width="5" customWidth="1"/>
    <col min="35" max="35" width="6" customWidth="1"/>
    <col min="36" max="36" width="3" customWidth="1"/>
    <col min="37" max="37" width="5" customWidth="1"/>
    <col min="38" max="38" width="6" customWidth="1"/>
    <col min="39" max="39" width="4" customWidth="1"/>
    <col min="40" max="40" width="5" customWidth="1"/>
    <col min="41" max="41" width="6" customWidth="1"/>
    <col min="42" max="42" width="4" customWidth="1"/>
    <col min="43" max="43" width="5" customWidth="1"/>
    <col min="44" max="44" width="6" customWidth="1"/>
    <col min="45" max="46" width="4" customWidth="1"/>
    <col min="47" max="47" width="5" customWidth="1"/>
    <col min="48" max="49" width="4" customWidth="1"/>
  </cols>
  <sheetData>
    <row r="1" ht="17.75" spans="1:49">
      <c r="A1" s="33" t="s">
        <v>419</v>
      </c>
      <c r="AC1" s="34" t="s">
        <v>420</v>
      </c>
    </row>
    <row r="2" ht="16" spans="1:49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>
        <v>1</v>
      </c>
      <c r="K2">
        <v>39</v>
      </c>
      <c r="L2">
        <v>40</v>
      </c>
      <c r="M2">
        <v>41</v>
      </c>
      <c r="N2">
        <v>79</v>
      </c>
      <c r="O2">
        <v>80</v>
      </c>
      <c r="P2">
        <v>81</v>
      </c>
      <c r="Q2">
        <v>119</v>
      </c>
      <c r="R2">
        <v>120</v>
      </c>
      <c r="S2">
        <v>121</v>
      </c>
      <c r="T2">
        <v>159</v>
      </c>
      <c r="U2">
        <v>160</v>
      </c>
      <c r="V2">
        <v>161</v>
      </c>
      <c r="W2">
        <v>199</v>
      </c>
      <c r="X2">
        <v>200</v>
      </c>
      <c r="AC2" s="35" t="s">
        <v>430</v>
      </c>
      <c r="AD2" s="35">
        <f t="shared" ref="AD2:AR3" si="0">J2</f>
        <v>1</v>
      </c>
      <c r="AE2" s="35">
        <f t="shared" si="0"/>
        <v>39</v>
      </c>
      <c r="AF2" s="35">
        <f t="shared" si="0"/>
        <v>40</v>
      </c>
      <c r="AG2" s="35">
        <f t="shared" si="0"/>
        <v>41</v>
      </c>
      <c r="AH2" s="35">
        <f t="shared" si="0"/>
        <v>79</v>
      </c>
      <c r="AI2" s="35">
        <f t="shared" si="0"/>
        <v>80</v>
      </c>
      <c r="AJ2" s="35">
        <f t="shared" si="0"/>
        <v>81</v>
      </c>
      <c r="AK2" s="35">
        <f t="shared" si="0"/>
        <v>119</v>
      </c>
      <c r="AL2" s="35">
        <f t="shared" si="0"/>
        <v>120</v>
      </c>
      <c r="AM2" s="35">
        <f t="shared" si="0"/>
        <v>121</v>
      </c>
      <c r="AN2" s="35">
        <f t="shared" si="0"/>
        <v>159</v>
      </c>
      <c r="AO2" s="35">
        <f t="shared" si="0"/>
        <v>160</v>
      </c>
      <c r="AP2" s="35">
        <f t="shared" si="0"/>
        <v>161</v>
      </c>
      <c r="AQ2" s="35">
        <f t="shared" si="0"/>
        <v>199</v>
      </c>
      <c r="AR2" s="35">
        <f t="shared" si="0"/>
        <v>200</v>
      </c>
    </row>
    <row r="3" spans="1:49">
      <c r="A3" t="s">
        <v>431</v>
      </c>
      <c r="B3" t="s">
        <v>432</v>
      </c>
      <c r="C3" t="s">
        <v>433</v>
      </c>
      <c r="D3" t="s">
        <v>433</v>
      </c>
      <c r="E3" t="s">
        <v>434</v>
      </c>
      <c r="F3" s="23">
        <v>39.18</v>
      </c>
      <c r="G3" s="23" t="s">
        <v>435</v>
      </c>
      <c r="H3" s="23">
        <v>43.5</v>
      </c>
      <c r="I3">
        <v>81</v>
      </c>
      <c r="J3">
        <v>1</v>
      </c>
      <c r="K3">
        <v>1.11</v>
      </c>
      <c r="L3">
        <v>6.18</v>
      </c>
      <c r="M3">
        <v>1</v>
      </c>
      <c r="N3">
        <v>1.11</v>
      </c>
      <c r="O3">
        <v>6.18</v>
      </c>
      <c r="P3">
        <v>1</v>
      </c>
      <c r="Q3">
        <v>1.11</v>
      </c>
      <c r="R3">
        <v>6.18</v>
      </c>
      <c r="S3">
        <v>1</v>
      </c>
      <c r="T3">
        <v>1.11</v>
      </c>
      <c r="U3">
        <v>6.18</v>
      </c>
      <c r="V3">
        <v>1</v>
      </c>
      <c r="W3">
        <v>1.11</v>
      </c>
      <c r="X3">
        <v>6.18</v>
      </c>
      <c r="AC3">
        <f t="shared" ref="AC3:AR4" si="1">I3</f>
        <v>81</v>
      </c>
      <c r="AD3">
        <f t="shared" si="0"/>
        <v>1</v>
      </c>
      <c r="AE3">
        <f t="shared" si="0"/>
        <v>1.11</v>
      </c>
      <c r="AF3">
        <f t="shared" si="0"/>
        <v>6.18</v>
      </c>
      <c r="AG3">
        <f t="shared" si="0"/>
        <v>1</v>
      </c>
      <c r="AH3">
        <f t="shared" si="0"/>
        <v>1.11</v>
      </c>
      <c r="AI3">
        <f t="shared" si="0"/>
        <v>6.18</v>
      </c>
      <c r="AJ3">
        <f t="shared" si="0"/>
        <v>1</v>
      </c>
      <c r="AK3">
        <f t="shared" si="0"/>
        <v>1.11</v>
      </c>
      <c r="AL3">
        <f t="shared" si="0"/>
        <v>6.18</v>
      </c>
      <c r="AM3">
        <f t="shared" si="0"/>
        <v>1</v>
      </c>
      <c r="AN3">
        <f t="shared" si="0"/>
        <v>1.11</v>
      </c>
      <c r="AO3">
        <f t="shared" si="0"/>
        <v>6.18</v>
      </c>
      <c r="AP3">
        <f t="shared" si="0"/>
        <v>1</v>
      </c>
      <c r="AQ3">
        <f t="shared" si="0"/>
        <v>1.11</v>
      </c>
      <c r="AR3">
        <f t="shared" si="0"/>
        <v>6.18</v>
      </c>
    </row>
    <row r="4" spans="1:49">
      <c r="A4" t="s">
        <v>436</v>
      </c>
      <c r="B4" t="s">
        <v>433</v>
      </c>
      <c r="C4" t="s">
        <v>437</v>
      </c>
      <c r="D4" t="s">
        <v>433</v>
      </c>
      <c r="E4" t="s">
        <v>434</v>
      </c>
      <c r="F4" s="23">
        <v>19.34</v>
      </c>
      <c r="G4" s="23" t="s">
        <v>435</v>
      </c>
      <c r="H4" s="23">
        <v>28.67</v>
      </c>
      <c r="I4">
        <v>82</v>
      </c>
      <c r="J4">
        <v>1</v>
      </c>
      <c r="K4">
        <v>1.48</v>
      </c>
      <c r="L4">
        <v>10</v>
      </c>
      <c r="M4">
        <v>1</v>
      </c>
      <c r="N4">
        <v>1.48</v>
      </c>
      <c r="O4">
        <v>10</v>
      </c>
      <c r="P4">
        <v>1</v>
      </c>
      <c r="Q4">
        <v>1.48</v>
      </c>
      <c r="R4">
        <v>10</v>
      </c>
      <c r="S4">
        <v>1</v>
      </c>
      <c r="T4">
        <v>1.48</v>
      </c>
      <c r="U4">
        <v>10</v>
      </c>
      <c r="V4">
        <v>1</v>
      </c>
      <c r="W4">
        <v>1.48</v>
      </c>
      <c r="X4">
        <v>10</v>
      </c>
      <c r="AC4">
        <f t="shared" si="1"/>
        <v>82</v>
      </c>
      <c r="AD4">
        <f t="shared" si="1"/>
        <v>1</v>
      </c>
      <c r="AE4">
        <f t="shared" si="1"/>
        <v>1.48</v>
      </c>
      <c r="AF4">
        <f t="shared" si="1"/>
        <v>10</v>
      </c>
      <c r="AG4">
        <f t="shared" si="1"/>
        <v>1</v>
      </c>
      <c r="AH4">
        <f t="shared" si="1"/>
        <v>1.48</v>
      </c>
      <c r="AI4">
        <f t="shared" si="1"/>
        <v>10</v>
      </c>
      <c r="AJ4">
        <f t="shared" si="1"/>
        <v>1</v>
      </c>
      <c r="AK4">
        <f t="shared" si="1"/>
        <v>1.48</v>
      </c>
      <c r="AL4">
        <f t="shared" si="1"/>
        <v>10</v>
      </c>
      <c r="AM4">
        <f t="shared" si="1"/>
        <v>1</v>
      </c>
      <c r="AN4">
        <f t="shared" si="1"/>
        <v>1.48</v>
      </c>
      <c r="AO4">
        <f t="shared" si="1"/>
        <v>10</v>
      </c>
      <c r="AP4">
        <f t="shared" si="1"/>
        <v>1</v>
      </c>
      <c r="AQ4">
        <f t="shared" si="1"/>
        <v>1.48</v>
      </c>
      <c r="AR4">
        <f t="shared" si="1"/>
        <v>10</v>
      </c>
    </row>
    <row r="6" ht="17.75" spans="1:49">
      <c r="AC6" s="34" t="s">
        <v>420</v>
      </c>
    </row>
    <row r="7" ht="16" spans="1:49">
      <c r="A7" t="s">
        <v>421</v>
      </c>
      <c r="B7" t="s">
        <v>422</v>
      </c>
      <c r="C7" t="s">
        <v>423</v>
      </c>
      <c r="D7" t="s">
        <v>424</v>
      </c>
      <c r="E7" t="s">
        <v>425</v>
      </c>
      <c r="F7" t="s">
        <v>426</v>
      </c>
      <c r="G7" t="s">
        <v>429</v>
      </c>
      <c r="H7">
        <v>1</v>
      </c>
      <c r="I7">
        <v>29</v>
      </c>
      <c r="J7">
        <v>30</v>
      </c>
      <c r="K7">
        <v>31</v>
      </c>
      <c r="L7">
        <v>59</v>
      </c>
      <c r="M7">
        <v>60</v>
      </c>
      <c r="N7">
        <v>61</v>
      </c>
      <c r="O7">
        <v>89</v>
      </c>
      <c r="P7">
        <v>90</v>
      </c>
      <c r="Q7">
        <v>91</v>
      </c>
      <c r="R7">
        <v>119</v>
      </c>
      <c r="S7">
        <v>120</v>
      </c>
      <c r="T7">
        <v>121</v>
      </c>
      <c r="U7">
        <v>149</v>
      </c>
      <c r="V7">
        <v>150</v>
      </c>
      <c r="W7">
        <v>151</v>
      </c>
      <c r="X7">
        <v>179</v>
      </c>
      <c r="Y7">
        <v>180</v>
      </c>
      <c r="Z7">
        <v>181</v>
      </c>
      <c r="AA7">
        <v>200</v>
      </c>
      <c r="AC7" s="35" t="s">
        <v>430</v>
      </c>
      <c r="AD7" s="35">
        <f t="shared" ref="AD7:AS9" si="2">H7</f>
        <v>1</v>
      </c>
      <c r="AE7" s="35">
        <f t="shared" si="2"/>
        <v>29</v>
      </c>
      <c r="AF7" s="35">
        <f t="shared" si="2"/>
        <v>30</v>
      </c>
      <c r="AG7" s="35">
        <f t="shared" si="2"/>
        <v>31</v>
      </c>
      <c r="AH7" s="35">
        <f t="shared" si="2"/>
        <v>59</v>
      </c>
      <c r="AI7" s="35">
        <f t="shared" si="2"/>
        <v>60</v>
      </c>
      <c r="AJ7" s="35">
        <f t="shared" si="2"/>
        <v>61</v>
      </c>
      <c r="AK7" s="35">
        <f t="shared" si="2"/>
        <v>89</v>
      </c>
      <c r="AL7" s="35">
        <f t="shared" si="2"/>
        <v>90</v>
      </c>
      <c r="AM7" s="35">
        <f t="shared" si="2"/>
        <v>91</v>
      </c>
      <c r="AN7" s="35">
        <f t="shared" si="2"/>
        <v>119</v>
      </c>
      <c r="AO7" s="35">
        <f t="shared" si="2"/>
        <v>120</v>
      </c>
      <c r="AP7" s="35">
        <f t="shared" si="2"/>
        <v>121</v>
      </c>
      <c r="AQ7" s="35">
        <f t="shared" si="2"/>
        <v>149</v>
      </c>
      <c r="AR7" s="35">
        <f t="shared" si="2"/>
        <v>150</v>
      </c>
      <c r="AS7" s="35">
        <f t="shared" si="2"/>
        <v>151</v>
      </c>
      <c r="AT7" s="35">
        <f t="shared" ref="AN7:AW9" si="3">X7</f>
        <v>179</v>
      </c>
      <c r="AU7" s="35">
        <f t="shared" si="3"/>
        <v>180</v>
      </c>
      <c r="AV7" s="35">
        <f t="shared" si="3"/>
        <v>181</v>
      </c>
      <c r="AW7" s="35">
        <f t="shared" si="3"/>
        <v>200</v>
      </c>
    </row>
    <row r="8" spans="1:49">
      <c r="A8" t="s">
        <v>438</v>
      </c>
      <c r="B8" t="s">
        <v>433</v>
      </c>
      <c r="C8" t="s">
        <v>433</v>
      </c>
      <c r="D8" t="s">
        <v>433</v>
      </c>
      <c r="E8" t="s">
        <v>439</v>
      </c>
      <c r="F8" s="23">
        <v>30.18</v>
      </c>
      <c r="G8">
        <v>83</v>
      </c>
      <c r="H8">
        <v>1</v>
      </c>
      <c r="I8">
        <v>1</v>
      </c>
      <c r="J8">
        <v>3.72</v>
      </c>
      <c r="K8">
        <v>1</v>
      </c>
      <c r="L8">
        <v>1</v>
      </c>
      <c r="M8">
        <v>3.72</v>
      </c>
      <c r="N8">
        <v>1</v>
      </c>
      <c r="O8">
        <v>1</v>
      </c>
      <c r="P8">
        <v>3.72</v>
      </c>
      <c r="Q8">
        <v>1</v>
      </c>
      <c r="R8">
        <v>1</v>
      </c>
      <c r="S8">
        <v>3.72</v>
      </c>
      <c r="T8">
        <v>1</v>
      </c>
      <c r="U8">
        <v>1</v>
      </c>
      <c r="V8">
        <v>3.72</v>
      </c>
      <c r="W8">
        <v>1</v>
      </c>
      <c r="X8">
        <v>1</v>
      </c>
      <c r="Y8">
        <v>3.72</v>
      </c>
      <c r="Z8">
        <v>1</v>
      </c>
      <c r="AA8">
        <v>3.72</v>
      </c>
      <c r="AC8">
        <f t="shared" ref="AC8:AC9" si="4">G8</f>
        <v>83</v>
      </c>
      <c r="AD8">
        <f t="shared" si="2"/>
        <v>1</v>
      </c>
      <c r="AE8">
        <f t="shared" si="2"/>
        <v>1</v>
      </c>
      <c r="AF8">
        <f t="shared" si="2"/>
        <v>3.72</v>
      </c>
      <c r="AG8">
        <f t="shared" si="2"/>
        <v>1</v>
      </c>
      <c r="AH8">
        <f t="shared" si="2"/>
        <v>1</v>
      </c>
      <c r="AI8">
        <f t="shared" si="2"/>
        <v>3.72</v>
      </c>
      <c r="AJ8">
        <f t="shared" si="2"/>
        <v>1</v>
      </c>
      <c r="AK8">
        <f t="shared" si="2"/>
        <v>1</v>
      </c>
      <c r="AL8">
        <f t="shared" si="2"/>
        <v>3.72</v>
      </c>
      <c r="AM8">
        <f t="shared" si="2"/>
        <v>1</v>
      </c>
      <c r="AN8">
        <f t="shared" si="3"/>
        <v>1</v>
      </c>
      <c r="AO8">
        <f t="shared" si="3"/>
        <v>3.72</v>
      </c>
      <c r="AP8">
        <f t="shared" si="3"/>
        <v>1</v>
      </c>
      <c r="AQ8">
        <f t="shared" si="3"/>
        <v>1</v>
      </c>
      <c r="AR8">
        <f t="shared" si="3"/>
        <v>3.72</v>
      </c>
      <c r="AS8">
        <f t="shared" si="3"/>
        <v>1</v>
      </c>
      <c r="AT8">
        <f t="shared" si="3"/>
        <v>1</v>
      </c>
      <c r="AU8">
        <f t="shared" si="3"/>
        <v>3.72</v>
      </c>
      <c r="AV8">
        <f t="shared" si="3"/>
        <v>1</v>
      </c>
      <c r="AW8">
        <f t="shared" si="3"/>
        <v>3.72</v>
      </c>
    </row>
    <row r="9" spans="1:49">
      <c r="A9" t="s">
        <v>440</v>
      </c>
      <c r="B9" t="s">
        <v>433</v>
      </c>
      <c r="C9" t="s">
        <v>433</v>
      </c>
      <c r="D9" t="s">
        <v>433</v>
      </c>
      <c r="E9" t="s">
        <v>439</v>
      </c>
      <c r="F9" s="23">
        <v>19.73</v>
      </c>
      <c r="G9">
        <v>84</v>
      </c>
      <c r="H9">
        <v>1</v>
      </c>
      <c r="I9">
        <v>1</v>
      </c>
      <c r="J9">
        <v>13.27</v>
      </c>
      <c r="K9">
        <v>1</v>
      </c>
      <c r="L9">
        <v>1</v>
      </c>
      <c r="M9">
        <v>13.27</v>
      </c>
      <c r="N9">
        <v>1</v>
      </c>
      <c r="O9">
        <v>1</v>
      </c>
      <c r="P9">
        <v>13.27</v>
      </c>
      <c r="Q9">
        <v>1</v>
      </c>
      <c r="R9">
        <v>1</v>
      </c>
      <c r="S9">
        <v>13.27</v>
      </c>
      <c r="T9">
        <v>1</v>
      </c>
      <c r="U9">
        <v>1</v>
      </c>
      <c r="V9">
        <v>13.27</v>
      </c>
      <c r="W9">
        <v>1</v>
      </c>
      <c r="X9">
        <v>1</v>
      </c>
      <c r="Y9">
        <v>13.27</v>
      </c>
      <c r="Z9">
        <v>1</v>
      </c>
      <c r="AA9">
        <v>13.27</v>
      </c>
      <c r="AC9">
        <f t="shared" si="4"/>
        <v>84</v>
      </c>
      <c r="AD9">
        <f t="shared" si="2"/>
        <v>1</v>
      </c>
      <c r="AE9">
        <f t="shared" si="2"/>
        <v>1</v>
      </c>
      <c r="AF9">
        <f t="shared" si="2"/>
        <v>13.27</v>
      </c>
      <c r="AG9">
        <f t="shared" si="2"/>
        <v>1</v>
      </c>
      <c r="AH9">
        <f t="shared" si="2"/>
        <v>1</v>
      </c>
      <c r="AI9">
        <f t="shared" si="2"/>
        <v>13.27</v>
      </c>
      <c r="AJ9">
        <f t="shared" si="2"/>
        <v>1</v>
      </c>
      <c r="AK9">
        <f t="shared" si="2"/>
        <v>1</v>
      </c>
      <c r="AL9">
        <f t="shared" si="2"/>
        <v>13.27</v>
      </c>
      <c r="AM9">
        <f t="shared" si="2"/>
        <v>1</v>
      </c>
      <c r="AN9">
        <f t="shared" si="3"/>
        <v>1</v>
      </c>
      <c r="AO9">
        <f t="shared" si="3"/>
        <v>13.27</v>
      </c>
      <c r="AP9">
        <f t="shared" si="3"/>
        <v>1</v>
      </c>
      <c r="AQ9">
        <f t="shared" si="3"/>
        <v>1</v>
      </c>
      <c r="AR9">
        <f t="shared" si="3"/>
        <v>13.27</v>
      </c>
      <c r="AS9">
        <f t="shared" si="3"/>
        <v>1</v>
      </c>
      <c r="AT9">
        <f t="shared" si="3"/>
        <v>1</v>
      </c>
      <c r="AU9">
        <f t="shared" si="3"/>
        <v>13.27</v>
      </c>
      <c r="AV9">
        <f t="shared" si="3"/>
        <v>1</v>
      </c>
      <c r="AW9">
        <f t="shared" si="3"/>
        <v>13.27</v>
      </c>
    </row>
    <row r="12" spans="1:49">
      <c r="A12" s="33" t="s">
        <v>441</v>
      </c>
    </row>
    <row r="13" spans="1:49">
      <c r="A13" s="26" t="s">
        <v>442</v>
      </c>
      <c r="B13" s="26"/>
      <c r="C13" s="26"/>
    </row>
    <row r="14" spans="1:49">
      <c r="A14" s="26" t="s">
        <v>443</v>
      </c>
      <c r="B14" s="26"/>
      <c r="C14" s="26"/>
    </row>
    <row r="15" spans="1:49">
      <c r="A15" s="26" t="s">
        <v>444</v>
      </c>
      <c r="B15" s="26"/>
      <c r="C15" s="26"/>
    </row>
    <row r="17" spans="1:13">
      <c r="A17" s="26" t="s">
        <v>445</v>
      </c>
      <c r="B17" s="26" t="s">
        <v>446</v>
      </c>
      <c r="C17" s="26" t="s">
        <v>447</v>
      </c>
    </row>
    <row r="18" spans="1:13">
      <c r="A18" s="26" t="s">
        <v>448</v>
      </c>
      <c r="B18" s="26" t="s">
        <v>449</v>
      </c>
      <c r="C18" s="26">
        <v>253</v>
      </c>
    </row>
    <row r="19" spans="1:13">
      <c r="A19" s="26" t="s">
        <v>450</v>
      </c>
      <c r="B19" s="26" t="s">
        <v>449</v>
      </c>
      <c r="C19" s="26">
        <v>203</v>
      </c>
      <c r="G19" t="s">
        <v>89</v>
      </c>
    </row>
    <row r="20" spans="1:13">
      <c r="A20" s="26" t="s">
        <v>451</v>
      </c>
      <c r="B20" s="26" t="s">
        <v>452</v>
      </c>
      <c r="C20" s="26">
        <v>82</v>
      </c>
      <c r="G20" t="s">
        <v>73</v>
      </c>
      <c r="H20" t="s">
        <v>92</v>
      </c>
      <c r="I20" t="s">
        <v>430</v>
      </c>
      <c r="J20" t="s">
        <v>125</v>
      </c>
      <c r="K20" t="s">
        <v>287</v>
      </c>
      <c r="L20">
        <v>2019</v>
      </c>
      <c r="M20">
        <v>0</v>
      </c>
    </row>
    <row r="21" spans="1:13">
      <c r="A21" s="26" t="s">
        <v>453</v>
      </c>
      <c r="B21" s="26" t="s">
        <v>452</v>
      </c>
      <c r="C21" s="26">
        <v>242</v>
      </c>
      <c r="G21" t="s">
        <v>454</v>
      </c>
      <c r="H21" t="s">
        <v>455</v>
      </c>
      <c r="K21" t="s">
        <v>456</v>
      </c>
      <c r="L21">
        <f>AC3</f>
        <v>81</v>
      </c>
      <c r="M21">
        <v>2</v>
      </c>
    </row>
    <row r="22" spans="1:13">
      <c r="A22" s="26" t="s">
        <v>457</v>
      </c>
      <c r="B22" s="26" t="s">
        <v>452</v>
      </c>
      <c r="C22" s="26">
        <v>226</v>
      </c>
      <c r="G22" t="s">
        <v>454</v>
      </c>
      <c r="H22" t="s">
        <v>458</v>
      </c>
      <c r="L22">
        <f>AC4</f>
        <v>82</v>
      </c>
      <c r="M22">
        <v>2</v>
      </c>
    </row>
    <row r="23" spans="1:13">
      <c r="A23" s="26" t="s">
        <v>459</v>
      </c>
      <c r="B23" s="26" t="s">
        <v>449</v>
      </c>
      <c r="C23" s="26">
        <v>174</v>
      </c>
      <c r="G23" t="s">
        <v>454</v>
      </c>
      <c r="H23" t="s">
        <v>460</v>
      </c>
      <c r="L23">
        <f>AC8</f>
        <v>83</v>
      </c>
      <c r="M23">
        <v>2</v>
      </c>
    </row>
    <row r="24" spans="1:13">
      <c r="A24" s="26" t="s">
        <v>461</v>
      </c>
      <c r="B24" s="26" t="s">
        <v>449</v>
      </c>
      <c r="C24" s="26">
        <v>258</v>
      </c>
      <c r="G24" t="s">
        <v>454</v>
      </c>
      <c r="H24" t="s">
        <v>462</v>
      </c>
      <c r="L24">
        <f>AC9</f>
        <v>84</v>
      </c>
      <c r="M24">
        <v>2</v>
      </c>
    </row>
    <row r="25" spans="1:13">
      <c r="A25" s="26" t="s">
        <v>463</v>
      </c>
      <c r="B25" s="26" t="s">
        <v>464</v>
      </c>
      <c r="C25" s="26">
        <v>135</v>
      </c>
    </row>
    <row r="30" spans="1:13">
      <c r="A30" t="s">
        <v>53</v>
      </c>
    </row>
    <row r="31" spans="1:13">
      <c r="A31" t="s">
        <v>56</v>
      </c>
      <c r="B31" t="s">
        <v>465</v>
      </c>
      <c r="C31" t="s">
        <v>57</v>
      </c>
      <c r="D31" t="s">
        <v>60</v>
      </c>
    </row>
    <row r="32" spans="1:13">
      <c r="A32" t="s">
        <v>429</v>
      </c>
      <c r="B32">
        <v>85</v>
      </c>
      <c r="C32">
        <v>1</v>
      </c>
      <c r="D32">
        <v>1</v>
      </c>
      <c r="F32" t="s">
        <v>466</v>
      </c>
    </row>
    <row r="33" spans="1:6">
      <c r="A33" t="s">
        <v>429</v>
      </c>
      <c r="B33">
        <f>B32</f>
        <v>85</v>
      </c>
      <c r="C33">
        <v>100</v>
      </c>
      <c r="D33">
        <v>1.5</v>
      </c>
    </row>
    <row r="34" spans="1:6">
      <c r="A34" t="s">
        <v>429</v>
      </c>
      <c r="B34">
        <v>86</v>
      </c>
      <c r="C34">
        <v>1</v>
      </c>
      <c r="D34">
        <v>1</v>
      </c>
      <c r="F34" t="s">
        <v>467</v>
      </c>
    </row>
    <row r="35" spans="1:6">
      <c r="A35" t="s">
        <v>429</v>
      </c>
      <c r="B35">
        <f t="shared" ref="B35" si="5">B34</f>
        <v>86</v>
      </c>
      <c r="C35">
        <v>100</v>
      </c>
      <c r="D35">
        <v>1.25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J55"/>
  <sheetViews>
    <sheetView zoomScale="61" zoomScaleNormal="61" topLeftCell="Q22" workbookViewId="0">
      <selection activeCell="AI40" sqref="AI40"/>
    </sheetView>
  </sheetViews>
  <sheetFormatPr defaultColWidth="9" defaultRowHeight="14.5"/>
  <cols>
    <col min="4" max="4" width="8.4" customWidth="1"/>
    <col min="5" max="5" width="7" customWidth="1"/>
    <col min="7" max="7" width="40.7272727272727" customWidth="1"/>
    <col min="18" max="18" width="11" customWidth="1"/>
    <col min="19" max="19" width="11.4" customWidth="1"/>
    <col min="20" max="20" width="14" customWidth="1"/>
    <col min="21" max="21" width="7" customWidth="1"/>
    <col min="24" max="24" width="12" customWidth="1"/>
    <col min="25" max="25" width="25.3363636363636" customWidth="1"/>
    <col min="26" max="26" width="23.7272727272727" customWidth="1"/>
    <col min="27" max="27" width="17.2636363636364" customWidth="1"/>
    <col min="28" max="28" width="7" customWidth="1"/>
    <col min="32" max="32" width="13.9272727272727" customWidth="1"/>
  </cols>
  <sheetData>
    <row r="1" spans="1:35">
      <c r="D1" s="24" t="s">
        <v>468</v>
      </c>
      <c r="E1" s="24" t="s">
        <v>469</v>
      </c>
      <c r="F1" s="24" t="s">
        <v>470</v>
      </c>
      <c r="R1" t="s">
        <v>471</v>
      </c>
      <c r="X1" t="s">
        <v>53</v>
      </c>
      <c r="AF1" t="s">
        <v>286</v>
      </c>
    </row>
    <row r="2" spans="1:35">
      <c r="A2" t="s">
        <v>472</v>
      </c>
      <c r="B2" t="str">
        <f>MID(A2,4,7)</f>
        <v>COA</v>
      </c>
      <c r="D2" s="25" t="s">
        <v>473</v>
      </c>
      <c r="E2" s="25">
        <f>N12</f>
        <v>55.99</v>
      </c>
      <c r="F2" s="25" t="s">
        <v>474</v>
      </c>
      <c r="G2" s="26" t="s">
        <v>475</v>
      </c>
      <c r="H2" s="26"/>
      <c r="I2" s="26"/>
      <c r="J2" s="26"/>
      <c r="K2" s="26"/>
      <c r="L2" s="26"/>
      <c r="M2" s="26"/>
      <c r="N2" s="26"/>
      <c r="R2" t="s">
        <v>73</v>
      </c>
      <c r="S2" t="s">
        <v>253</v>
      </c>
      <c r="T2" t="s">
        <v>430</v>
      </c>
      <c r="U2" t="s">
        <v>75</v>
      </c>
      <c r="X2" t="s">
        <v>73</v>
      </c>
      <c r="Y2" t="s">
        <v>5</v>
      </c>
      <c r="Z2" t="s">
        <v>253</v>
      </c>
      <c r="AA2" t="s">
        <v>430</v>
      </c>
      <c r="AB2" t="s">
        <v>75</v>
      </c>
      <c r="AF2" t="s">
        <v>74</v>
      </c>
      <c r="AG2" t="s">
        <v>476</v>
      </c>
      <c r="AH2" t="s">
        <v>253</v>
      </c>
    </row>
    <row r="3" spans="1:35">
      <c r="A3" t="s">
        <v>477</v>
      </c>
      <c r="B3" t="str">
        <f t="shared" ref="B3:B54" si="0">MID(A3,4,7)</f>
        <v>KER</v>
      </c>
      <c r="D3" s="25" t="s">
        <v>478</v>
      </c>
      <c r="E3" s="25">
        <f>E5</f>
        <v>98.43</v>
      </c>
      <c r="F3" s="25" t="s">
        <v>479</v>
      </c>
      <c r="G3" s="26"/>
      <c r="H3" s="26" t="s">
        <v>480</v>
      </c>
      <c r="I3" s="26"/>
      <c r="J3" s="26" t="s">
        <v>481</v>
      </c>
      <c r="K3" s="26"/>
      <c r="L3" s="26" t="s">
        <v>482</v>
      </c>
      <c r="M3" s="26" t="s">
        <v>481</v>
      </c>
      <c r="N3" s="26" t="s">
        <v>481</v>
      </c>
      <c r="R3" t="s">
        <v>483</v>
      </c>
      <c r="S3" t="str">
        <f>A2</f>
        <v>AGRCOA</v>
      </c>
      <c r="T3" t="str">
        <f t="shared" ref="T3:T34" si="1">LEFT(S3,3)&amp;"CO2N"&amp;VLOOKUP(MID(S3,4,7),$D$2:$F$27,3,FALSE)</f>
        <v>AGRCO2Nc</v>
      </c>
      <c r="U3">
        <f t="shared" ref="U3:U34" si="2">VLOOKUP(MID(S3,4,7),$D$2:$F$27,2,FALSE)</f>
        <v>98.43</v>
      </c>
      <c r="X3" t="s">
        <v>484</v>
      </c>
      <c r="Z3" s="27" t="s">
        <v>485</v>
      </c>
      <c r="AA3" t="s">
        <v>383</v>
      </c>
      <c r="AB3">
        <v>1</v>
      </c>
      <c r="AF3" t="s">
        <v>486</v>
      </c>
      <c r="AG3" t="s">
        <v>99</v>
      </c>
      <c r="AH3" t="s">
        <v>487</v>
      </c>
    </row>
    <row r="4" spans="1:35">
      <c r="A4" t="s">
        <v>488</v>
      </c>
      <c r="B4" t="str">
        <f t="shared" si="0"/>
        <v>LPG</v>
      </c>
      <c r="D4" s="25" t="s">
        <v>489</v>
      </c>
      <c r="E4" s="25">
        <f>E3</f>
        <v>98.43</v>
      </c>
      <c r="F4" s="25" t="str">
        <f>F3</f>
        <v>b</v>
      </c>
      <c r="G4" s="26" t="s">
        <v>490</v>
      </c>
      <c r="H4" s="26" t="s">
        <v>491</v>
      </c>
      <c r="I4" s="26"/>
      <c r="J4" s="26" t="s">
        <v>491</v>
      </c>
      <c r="K4" s="26"/>
      <c r="L4" s="26" t="s">
        <v>492</v>
      </c>
      <c r="M4" s="26" t="s">
        <v>492</v>
      </c>
      <c r="N4" s="26" t="s">
        <v>493</v>
      </c>
      <c r="R4" t="s">
        <v>483</v>
      </c>
      <c r="S4" t="str">
        <f t="shared" ref="S4:S54" si="3">A3</f>
        <v>AGRKER</v>
      </c>
      <c r="T4" t="str">
        <f t="shared" si="1"/>
        <v>AGRCO2No</v>
      </c>
      <c r="U4">
        <f t="shared" si="2"/>
        <v>76.28</v>
      </c>
    </row>
    <row r="5" spans="1:35">
      <c r="A5" t="s">
        <v>494</v>
      </c>
      <c r="B5" t="str">
        <f t="shared" si="0"/>
        <v>NGA</v>
      </c>
      <c r="D5" s="25" t="s">
        <v>495</v>
      </c>
      <c r="E5" s="25">
        <f>N30</f>
        <v>98.43</v>
      </c>
      <c r="F5" s="25" t="s">
        <v>474</v>
      </c>
      <c r="G5" s="26" t="s">
        <v>496</v>
      </c>
      <c r="H5" s="26"/>
      <c r="I5" s="26"/>
      <c r="J5" s="26"/>
      <c r="K5" s="26"/>
      <c r="L5" s="26"/>
      <c r="M5" s="26"/>
      <c r="N5" s="26"/>
      <c r="R5" t="s">
        <v>483</v>
      </c>
      <c r="S5" t="str">
        <f t="shared" si="3"/>
        <v>AGRLPG</v>
      </c>
      <c r="T5" t="str">
        <f t="shared" si="1"/>
        <v>AGRCO2No</v>
      </c>
      <c r="U5">
        <f t="shared" si="2"/>
        <v>67.53</v>
      </c>
    </row>
    <row r="6" spans="1:35">
      <c r="A6" t="s">
        <v>497</v>
      </c>
      <c r="B6" t="str">
        <f t="shared" si="0"/>
        <v>OIL</v>
      </c>
      <c r="D6" s="25" t="s">
        <v>498</v>
      </c>
      <c r="E6" s="25">
        <f>E5</f>
        <v>98.43</v>
      </c>
      <c r="F6" s="25" t="s">
        <v>474</v>
      </c>
      <c r="G6" s="26" t="s">
        <v>499</v>
      </c>
      <c r="H6" s="26">
        <v>12.7</v>
      </c>
      <c r="I6" s="26" t="s">
        <v>500</v>
      </c>
      <c r="J6" s="26">
        <v>5.76</v>
      </c>
      <c r="K6" s="26" t="s">
        <v>500</v>
      </c>
      <c r="L6" s="26">
        <v>139.05</v>
      </c>
      <c r="M6" s="26">
        <v>63.07</v>
      </c>
      <c r="N6" s="26">
        <v>66.54</v>
      </c>
      <c r="R6" t="s">
        <v>483</v>
      </c>
      <c r="S6" t="str">
        <f t="shared" si="3"/>
        <v>AGRNGA</v>
      </c>
      <c r="T6" t="str">
        <f t="shared" si="1"/>
        <v>AGRCO2Ng</v>
      </c>
      <c r="U6">
        <f t="shared" si="2"/>
        <v>55.99</v>
      </c>
      <c r="X6" s="28" t="s">
        <v>484</v>
      </c>
      <c r="Y6" s="28"/>
      <c r="Z6" s="28" t="s">
        <v>501</v>
      </c>
      <c r="AA6" s="28" t="s">
        <v>383</v>
      </c>
      <c r="AB6" s="29">
        <v>-0.001</v>
      </c>
    </row>
    <row r="7" spans="1:35">
      <c r="A7" t="s">
        <v>502</v>
      </c>
      <c r="B7" t="str">
        <f t="shared" si="0"/>
        <v>COA</v>
      </c>
      <c r="D7" s="25" t="s">
        <v>503</v>
      </c>
      <c r="E7" s="25">
        <f>N32</f>
        <v>103.08</v>
      </c>
      <c r="F7" s="25" t="s">
        <v>474</v>
      </c>
      <c r="G7" s="26" t="s">
        <v>504</v>
      </c>
      <c r="H7" s="26">
        <v>14.8</v>
      </c>
      <c r="I7" s="26" t="s">
        <v>500</v>
      </c>
      <c r="J7" s="26">
        <v>6.71</v>
      </c>
      <c r="K7" s="26" t="s">
        <v>500</v>
      </c>
      <c r="L7" s="26">
        <v>143.2</v>
      </c>
      <c r="M7" s="26">
        <v>64.95</v>
      </c>
      <c r="N7" s="26">
        <v>68.53</v>
      </c>
      <c r="R7" t="s">
        <v>483</v>
      </c>
      <c r="S7" t="str">
        <f t="shared" si="3"/>
        <v>AGROIL</v>
      </c>
      <c r="T7" t="str">
        <f t="shared" si="1"/>
        <v>AGRCO2No</v>
      </c>
      <c r="U7">
        <f t="shared" si="2"/>
        <v>83.12</v>
      </c>
    </row>
    <row r="8" spans="1:35">
      <c r="A8" t="s">
        <v>505</v>
      </c>
      <c r="B8" t="str">
        <f t="shared" si="0"/>
        <v>HFO</v>
      </c>
      <c r="D8" s="25" t="s">
        <v>506</v>
      </c>
      <c r="E8" s="25">
        <f>E2</f>
        <v>55.99</v>
      </c>
      <c r="F8" s="25" t="s">
        <v>474</v>
      </c>
      <c r="G8" s="26" t="s">
        <v>507</v>
      </c>
      <c r="H8" s="26">
        <v>13.7</v>
      </c>
      <c r="I8" s="26" t="s">
        <v>500</v>
      </c>
      <c r="J8" s="26">
        <v>6.21</v>
      </c>
      <c r="K8" s="26" t="s">
        <v>500</v>
      </c>
      <c r="L8" s="26">
        <v>141.12</v>
      </c>
      <c r="M8" s="26">
        <v>64.01</v>
      </c>
      <c r="N8" s="26">
        <v>67.53</v>
      </c>
      <c r="R8" t="s">
        <v>483</v>
      </c>
      <c r="S8" t="str">
        <f t="shared" si="3"/>
        <v>COMCOA</v>
      </c>
      <c r="T8" t="str">
        <f t="shared" si="1"/>
        <v>COMCO2Nc</v>
      </c>
      <c r="U8">
        <f t="shared" si="2"/>
        <v>98.43</v>
      </c>
      <c r="AD8" t="s">
        <v>508</v>
      </c>
    </row>
    <row r="9" spans="1:35">
      <c r="A9" t="s">
        <v>509</v>
      </c>
      <c r="B9" t="str">
        <f t="shared" si="0"/>
        <v>KER</v>
      </c>
      <c r="D9" s="25" t="s">
        <v>510</v>
      </c>
      <c r="E9" s="25">
        <f>N33</f>
        <v>120.4</v>
      </c>
      <c r="F9" s="25" t="s">
        <v>474</v>
      </c>
      <c r="G9" s="26" t="s">
        <v>511</v>
      </c>
      <c r="H9" s="26">
        <v>22.4</v>
      </c>
      <c r="I9" s="26" t="s">
        <v>500</v>
      </c>
      <c r="J9" s="26">
        <v>10.16</v>
      </c>
      <c r="K9" s="26" t="s">
        <v>500</v>
      </c>
      <c r="L9" s="26">
        <v>161.3</v>
      </c>
      <c r="M9" s="26">
        <v>73.16</v>
      </c>
      <c r="N9" s="26">
        <v>77.19</v>
      </c>
      <c r="R9" t="s">
        <v>483</v>
      </c>
      <c r="S9" t="str">
        <f t="shared" si="3"/>
        <v>COMHFO</v>
      </c>
      <c r="T9" t="str">
        <f t="shared" si="1"/>
        <v>COMCO2No</v>
      </c>
      <c r="U9">
        <f t="shared" si="2"/>
        <v>83.12</v>
      </c>
      <c r="X9" t="s">
        <v>53</v>
      </c>
      <c r="AF9" t="s">
        <v>286</v>
      </c>
    </row>
    <row r="10" spans="1:35">
      <c r="A10" t="s">
        <v>512</v>
      </c>
      <c r="B10" t="str">
        <f t="shared" si="0"/>
        <v>LPG</v>
      </c>
      <c r="D10" s="25" t="s">
        <v>513</v>
      </c>
      <c r="E10" s="25">
        <f>N9</f>
        <v>77.19</v>
      </c>
      <c r="F10" s="25" t="s">
        <v>514</v>
      </c>
      <c r="G10" s="26" t="s">
        <v>515</v>
      </c>
      <c r="H10" s="26">
        <v>21.5</v>
      </c>
      <c r="I10" s="26" t="s">
        <v>500</v>
      </c>
      <c r="J10" s="26">
        <v>9.75</v>
      </c>
      <c r="K10" s="26" t="s">
        <v>500</v>
      </c>
      <c r="L10" s="26">
        <v>159.4</v>
      </c>
      <c r="M10" s="26">
        <v>72.3</v>
      </c>
      <c r="N10" s="26">
        <v>76.28</v>
      </c>
      <c r="R10" t="s">
        <v>483</v>
      </c>
      <c r="S10" t="str">
        <f t="shared" si="3"/>
        <v>COMKER</v>
      </c>
      <c r="T10" t="str">
        <f t="shared" si="1"/>
        <v>COMCO2No</v>
      </c>
      <c r="U10">
        <f t="shared" si="2"/>
        <v>76.28</v>
      </c>
      <c r="X10" t="s">
        <v>73</v>
      </c>
      <c r="Y10" t="s">
        <v>77</v>
      </c>
      <c r="Z10" t="s">
        <v>253</v>
      </c>
      <c r="AA10" t="s">
        <v>430</v>
      </c>
      <c r="AB10" t="s">
        <v>75</v>
      </c>
      <c r="AF10" t="s">
        <v>77</v>
      </c>
      <c r="AG10" t="s">
        <v>476</v>
      </c>
      <c r="AH10" t="s">
        <v>253</v>
      </c>
      <c r="AI10" t="s">
        <v>76</v>
      </c>
    </row>
    <row r="11" spans="1:35">
      <c r="A11" t="s">
        <v>292</v>
      </c>
      <c r="B11" t="str">
        <f t="shared" si="0"/>
        <v>NGA</v>
      </c>
      <c r="D11" s="25" t="s">
        <v>516</v>
      </c>
      <c r="E11" s="25">
        <f>N6</f>
        <v>66.54</v>
      </c>
      <c r="F11" s="25" t="s">
        <v>517</v>
      </c>
      <c r="G11" s="26" t="s">
        <v>518</v>
      </c>
      <c r="H11" s="30">
        <v>4631.5</v>
      </c>
      <c r="I11" s="26" t="s">
        <v>519</v>
      </c>
      <c r="J11" s="30">
        <v>2100.82</v>
      </c>
      <c r="K11" s="26" t="s">
        <v>519</v>
      </c>
      <c r="L11" s="26">
        <v>210.2</v>
      </c>
      <c r="M11" s="26">
        <v>95.35</v>
      </c>
      <c r="N11" s="26">
        <v>100.59</v>
      </c>
      <c r="R11" t="s">
        <v>483</v>
      </c>
      <c r="S11" t="str">
        <f t="shared" si="3"/>
        <v>COMLPG</v>
      </c>
      <c r="T11" t="str">
        <f t="shared" si="1"/>
        <v>COMCO2No</v>
      </c>
      <c r="U11">
        <f t="shared" si="2"/>
        <v>67.53</v>
      </c>
      <c r="X11" t="s">
        <v>520</v>
      </c>
      <c r="Y11" t="s">
        <v>521</v>
      </c>
      <c r="Z11" t="str">
        <f>"INDCO2N"&amp;VLOOKUP(MID(AA11,4,7),$D$2:$F$27,3,FALSE)</f>
        <v>INDCO2No</v>
      </c>
      <c r="AA11" t="s">
        <v>261</v>
      </c>
      <c r="AB11">
        <f>VLOOKUP(MID(AA11,4,7),$D$2:$F$27,2,FALSE)*AD11</f>
        <v>15.362</v>
      </c>
      <c r="AD11" s="31">
        <v>0.2</v>
      </c>
      <c r="AF11" t="str">
        <f>Y11</f>
        <v>ICH_feedstock</v>
      </c>
      <c r="AG11" t="s">
        <v>146</v>
      </c>
      <c r="AH11" t="str">
        <f>Z11</f>
        <v>INDCO2No</v>
      </c>
      <c r="AI11" t="str">
        <f>AA11</f>
        <v>OILNAP</v>
      </c>
    </row>
    <row r="12" spans="1:35">
      <c r="A12" t="s">
        <v>522</v>
      </c>
      <c r="B12" t="str">
        <f t="shared" si="0"/>
        <v>OIL</v>
      </c>
      <c r="D12" s="25" t="s">
        <v>523</v>
      </c>
      <c r="E12" s="25">
        <f>N12</f>
        <v>55.99</v>
      </c>
      <c r="F12" s="25" t="s">
        <v>517</v>
      </c>
      <c r="G12" s="26" t="s">
        <v>524</v>
      </c>
      <c r="H12" s="26">
        <v>117.1</v>
      </c>
      <c r="I12" s="26" t="s">
        <v>525</v>
      </c>
      <c r="J12" s="26">
        <v>53.12</v>
      </c>
      <c r="K12" s="26" t="s">
        <v>525</v>
      </c>
      <c r="L12" s="26">
        <v>117</v>
      </c>
      <c r="M12" s="26">
        <v>53.07</v>
      </c>
      <c r="N12" s="26">
        <v>55.99</v>
      </c>
      <c r="R12" t="s">
        <v>483</v>
      </c>
      <c r="S12" t="str">
        <f t="shared" si="3"/>
        <v>COMNGA</v>
      </c>
      <c r="T12" t="str">
        <f t="shared" si="1"/>
        <v>COMCO2Ng</v>
      </c>
      <c r="U12">
        <f t="shared" si="2"/>
        <v>55.99</v>
      </c>
      <c r="X12" t="s">
        <v>520</v>
      </c>
      <c r="Y12" t="s">
        <v>521</v>
      </c>
      <c r="Z12" t="str">
        <f>"INDCO2N"&amp;VLOOKUP(MID(AA12,4,7),$D$2:$F$27,3,FALSE)</f>
        <v>INDCO2No</v>
      </c>
      <c r="AA12" t="s">
        <v>88</v>
      </c>
      <c r="AB12">
        <f>VLOOKUP(MID(AA12,4,7),$D$2:$F$27,2,FALSE)*AD12</f>
        <v>13.506</v>
      </c>
      <c r="AD12" s="31">
        <v>0.2</v>
      </c>
      <c r="AF12" t="str">
        <f t="shared" ref="AF12:AF14" si="4">Y12</f>
        <v>ICH_feedstock</v>
      </c>
      <c r="AG12" t="s">
        <v>146</v>
      </c>
      <c r="AH12" t="str">
        <f t="shared" ref="AH12:AH14" si="5">Z12</f>
        <v>INDCO2No</v>
      </c>
      <c r="AI12" t="str">
        <f t="shared" ref="AI12:AI14" si="6">AA12</f>
        <v>OILLPG</v>
      </c>
    </row>
    <row r="13" spans="1:35">
      <c r="A13" t="s">
        <v>526</v>
      </c>
      <c r="B13" t="str">
        <f t="shared" si="0"/>
        <v>COA</v>
      </c>
      <c r="D13" s="25" t="s">
        <v>527</v>
      </c>
      <c r="E13" s="25">
        <f>N13</f>
        <v>75.22</v>
      </c>
      <c r="F13" s="25" t="s">
        <v>514</v>
      </c>
      <c r="G13" s="26" t="s">
        <v>528</v>
      </c>
      <c r="H13" s="26">
        <v>19.6</v>
      </c>
      <c r="I13" s="26" t="s">
        <v>500</v>
      </c>
      <c r="J13" s="26">
        <v>8.89</v>
      </c>
      <c r="K13" s="26" t="s">
        <v>500</v>
      </c>
      <c r="L13" s="26">
        <v>157.2</v>
      </c>
      <c r="M13" s="26">
        <v>71.3</v>
      </c>
      <c r="N13" s="26">
        <v>75.22</v>
      </c>
      <c r="R13" t="s">
        <v>483</v>
      </c>
      <c r="S13" t="str">
        <f t="shared" si="3"/>
        <v>COMOIL</v>
      </c>
      <c r="T13" t="str">
        <f t="shared" si="1"/>
        <v>COMCO2No</v>
      </c>
      <c r="U13">
        <f t="shared" si="2"/>
        <v>83.12</v>
      </c>
      <c r="X13" t="s">
        <v>520</v>
      </c>
      <c r="Y13" t="s">
        <v>521</v>
      </c>
      <c r="Z13" t="str">
        <f>"INDCO2N"&amp;VLOOKUP(MID(AA13,1,3),$D$2:$F$27,3,FALSE)</f>
        <v>INDCO2Ng</v>
      </c>
      <c r="AA13" t="s">
        <v>102</v>
      </c>
      <c r="AB13">
        <f>VLOOKUP(MID(AA13,4,7),$D$2:$F$27,2,FALSE)*AD13</f>
        <v>4.4792</v>
      </c>
      <c r="AD13" s="31">
        <v>0.08</v>
      </c>
      <c r="AF13" t="str">
        <f t="shared" si="4"/>
        <v>ICH_feedstock</v>
      </c>
      <c r="AG13" t="s">
        <v>146</v>
      </c>
      <c r="AH13" t="str">
        <f t="shared" si="5"/>
        <v>INDCO2Ng</v>
      </c>
      <c r="AI13" t="str">
        <f t="shared" si="6"/>
        <v>GASNGA</v>
      </c>
    </row>
    <row r="14" spans="1:35">
      <c r="A14" t="s">
        <v>529</v>
      </c>
      <c r="B14" t="str">
        <f t="shared" si="0"/>
        <v>CoaG</v>
      </c>
      <c r="D14" s="25" t="s">
        <v>530</v>
      </c>
      <c r="E14" s="25">
        <f>N26</f>
        <v>76.81</v>
      </c>
      <c r="F14" s="25" t="s">
        <v>514</v>
      </c>
      <c r="G14" s="26" t="s">
        <v>531</v>
      </c>
      <c r="H14" s="26">
        <v>26</v>
      </c>
      <c r="I14" s="26" t="s">
        <v>500</v>
      </c>
      <c r="J14" s="26">
        <v>11.79</v>
      </c>
      <c r="K14" s="26" t="s">
        <v>500</v>
      </c>
      <c r="L14" s="26">
        <v>173.7</v>
      </c>
      <c r="M14" s="26">
        <v>78.79</v>
      </c>
      <c r="N14" s="26">
        <v>83.12</v>
      </c>
      <c r="R14" t="s">
        <v>483</v>
      </c>
      <c r="S14" t="str">
        <f t="shared" si="3"/>
        <v>ELCCOA</v>
      </c>
      <c r="T14" t="str">
        <f t="shared" si="1"/>
        <v>ELCCO2Nc</v>
      </c>
      <c r="U14">
        <f t="shared" si="2"/>
        <v>98.43</v>
      </c>
      <c r="X14" t="s">
        <v>520</v>
      </c>
      <c r="Y14" t="s">
        <v>521</v>
      </c>
      <c r="Z14" t="str">
        <f>"INDCO2N"&amp;VLOOKUP(MID(AA14,1,3),$D$2:$F$27,3,FALSE)</f>
        <v>INDCO2Ng</v>
      </c>
      <c r="AA14" t="s">
        <v>532</v>
      </c>
      <c r="AB14">
        <f>VLOOKUP(MID(AA14,4,7),$D$2:$F$27,2,FALSE)*AD14</f>
        <v>5.3232</v>
      </c>
      <c r="AD14" s="31">
        <v>0.08</v>
      </c>
      <c r="AF14" t="str">
        <f t="shared" si="4"/>
        <v>ICH_feedstock</v>
      </c>
      <c r="AG14" t="s">
        <v>146</v>
      </c>
      <c r="AH14" t="str">
        <f t="shared" si="5"/>
        <v>INDCO2Ng</v>
      </c>
      <c r="AI14" t="str">
        <f t="shared" si="6"/>
        <v>GASETH</v>
      </c>
    </row>
    <row r="15" spans="1:35">
      <c r="A15" t="s">
        <v>533</v>
      </c>
      <c r="B15" t="str">
        <f t="shared" si="0"/>
        <v>COB</v>
      </c>
      <c r="D15" s="25" t="s">
        <v>534</v>
      </c>
      <c r="E15" s="25">
        <f>N14</f>
        <v>83.12</v>
      </c>
      <c r="F15" s="25" t="s">
        <v>514</v>
      </c>
      <c r="G15" s="26" t="s">
        <v>535</v>
      </c>
      <c r="H15" s="26"/>
      <c r="I15" s="26"/>
      <c r="J15" s="26"/>
      <c r="K15" s="26"/>
      <c r="L15" s="26"/>
      <c r="M15" s="26"/>
      <c r="N15" s="26">
        <v>0</v>
      </c>
      <c r="R15" t="s">
        <v>483</v>
      </c>
      <c r="S15" t="str">
        <f t="shared" si="3"/>
        <v>ELCCoaG</v>
      </c>
      <c r="T15" t="str">
        <f t="shared" si="1"/>
        <v>ELCCO2Nc</v>
      </c>
      <c r="U15">
        <f t="shared" si="2"/>
        <v>98.43</v>
      </c>
    </row>
    <row r="16" spans="1:35">
      <c r="A16" t="s">
        <v>536</v>
      </c>
      <c r="B16" t="str">
        <f t="shared" si="0"/>
        <v>GAS</v>
      </c>
      <c r="D16" s="25" t="s">
        <v>537</v>
      </c>
      <c r="E16" s="25">
        <f>N16</f>
        <v>74.8</v>
      </c>
      <c r="F16" s="25" t="s">
        <v>514</v>
      </c>
      <c r="G16" s="26" t="s">
        <v>538</v>
      </c>
      <c r="H16" s="26">
        <v>21.1</v>
      </c>
      <c r="I16" s="26" t="s">
        <v>500</v>
      </c>
      <c r="J16" s="26">
        <v>9.57</v>
      </c>
      <c r="K16" s="26" t="s">
        <v>500</v>
      </c>
      <c r="L16" s="26">
        <v>156.3</v>
      </c>
      <c r="M16" s="26">
        <v>70.9</v>
      </c>
      <c r="N16" s="26">
        <v>74.8</v>
      </c>
      <c r="R16" t="s">
        <v>483</v>
      </c>
      <c r="S16" t="str">
        <f t="shared" si="3"/>
        <v>ELCCOB</v>
      </c>
      <c r="T16" t="str">
        <f t="shared" si="1"/>
        <v>ELCCO2Nc</v>
      </c>
      <c r="U16">
        <f t="shared" si="2"/>
        <v>103.08</v>
      </c>
    </row>
    <row r="17" spans="1:36">
      <c r="A17" t="s">
        <v>304</v>
      </c>
      <c r="B17" t="str">
        <f t="shared" si="0"/>
        <v>NGA</v>
      </c>
      <c r="D17" s="25" t="s">
        <v>539</v>
      </c>
      <c r="E17" s="25">
        <f>N10</f>
        <v>76.28</v>
      </c>
      <c r="F17" s="25" t="s">
        <v>514</v>
      </c>
      <c r="G17" s="26" t="s">
        <v>540</v>
      </c>
      <c r="H17" s="26">
        <v>18.4</v>
      </c>
      <c r="I17" s="26" t="s">
        <v>500</v>
      </c>
      <c r="J17" s="26">
        <v>8.35</v>
      </c>
      <c r="K17" s="26" t="s">
        <v>500</v>
      </c>
      <c r="L17" s="26">
        <v>152.6</v>
      </c>
      <c r="M17" s="26">
        <v>69.2</v>
      </c>
      <c r="N17" s="26">
        <v>73.01</v>
      </c>
      <c r="R17" t="s">
        <v>483</v>
      </c>
      <c r="S17" t="str">
        <f t="shared" si="3"/>
        <v>ELCGAS</v>
      </c>
      <c r="T17" t="str">
        <f t="shared" si="1"/>
        <v>ELCCO2Ng</v>
      </c>
      <c r="U17">
        <f t="shared" si="2"/>
        <v>55.99</v>
      </c>
    </row>
    <row r="18" spans="1:36">
      <c r="A18" t="s">
        <v>541</v>
      </c>
      <c r="B18" t="str">
        <f t="shared" si="0"/>
        <v>OIL</v>
      </c>
      <c r="D18" s="25" t="s">
        <v>542</v>
      </c>
      <c r="E18" s="25">
        <f>N8</f>
        <v>67.53</v>
      </c>
      <c r="F18" s="25" t="s">
        <v>514</v>
      </c>
      <c r="G18" s="26" t="s">
        <v>543</v>
      </c>
      <c r="H18" s="26"/>
      <c r="I18" s="26"/>
      <c r="J18" s="26"/>
      <c r="K18" s="26"/>
      <c r="L18" s="26"/>
      <c r="M18" s="26"/>
      <c r="N18" s="26">
        <v>0</v>
      </c>
      <c r="R18" t="s">
        <v>483</v>
      </c>
      <c r="S18" t="str">
        <f t="shared" si="3"/>
        <v>ELCNGA</v>
      </c>
      <c r="T18" t="str">
        <f t="shared" si="1"/>
        <v>ELCCO2Ng</v>
      </c>
      <c r="U18">
        <f t="shared" si="2"/>
        <v>55.99</v>
      </c>
      <c r="X18" t="s">
        <v>53</v>
      </c>
    </row>
    <row r="19" spans="1:36">
      <c r="A19" t="s">
        <v>544</v>
      </c>
      <c r="B19" t="str">
        <f t="shared" si="0"/>
        <v>OIL_CRD</v>
      </c>
      <c r="D19" s="25" t="s">
        <v>545</v>
      </c>
      <c r="E19" s="25">
        <f>N12</f>
        <v>55.99</v>
      </c>
      <c r="F19" s="25" t="s">
        <v>517</v>
      </c>
      <c r="G19" s="26" t="s">
        <v>546</v>
      </c>
      <c r="H19" s="26">
        <v>120.7</v>
      </c>
      <c r="I19" s="26" t="s">
        <v>525</v>
      </c>
      <c r="J19" s="26">
        <v>54.75</v>
      </c>
      <c r="K19" s="26" t="s">
        <v>525</v>
      </c>
      <c r="L19" s="26">
        <v>120.6</v>
      </c>
      <c r="M19" s="26">
        <v>54.7</v>
      </c>
      <c r="N19" s="26">
        <v>57.71</v>
      </c>
      <c r="R19" t="s">
        <v>483</v>
      </c>
      <c r="S19" t="str">
        <f t="shared" si="3"/>
        <v>ELCOIL</v>
      </c>
      <c r="T19" t="str">
        <f t="shared" si="1"/>
        <v>ELCCO2No</v>
      </c>
      <c r="U19">
        <f t="shared" si="2"/>
        <v>83.12</v>
      </c>
      <c r="X19" t="s">
        <v>73</v>
      </c>
      <c r="Y19" t="s">
        <v>76</v>
      </c>
      <c r="Z19" t="s">
        <v>253</v>
      </c>
      <c r="AA19" t="s">
        <v>430</v>
      </c>
      <c r="AB19" t="s">
        <v>75</v>
      </c>
      <c r="AC19" t="s">
        <v>77</v>
      </c>
    </row>
    <row r="20" spans="1:36">
      <c r="A20" t="s">
        <v>547</v>
      </c>
      <c r="B20" t="str">
        <f t="shared" si="0"/>
        <v>OIL_DST</v>
      </c>
      <c r="D20" s="25" t="s">
        <v>548</v>
      </c>
      <c r="E20" s="25">
        <f>N14</f>
        <v>83.12</v>
      </c>
      <c r="F20" s="25" t="s">
        <v>514</v>
      </c>
      <c r="G20" s="26" t="s">
        <v>549</v>
      </c>
      <c r="H20" s="26">
        <v>32.4</v>
      </c>
      <c r="I20" s="26" t="s">
        <v>500</v>
      </c>
      <c r="J20" s="26">
        <v>14.7</v>
      </c>
      <c r="K20" s="26" t="s">
        <v>500</v>
      </c>
      <c r="L20" s="26">
        <v>225.1</v>
      </c>
      <c r="M20" s="26">
        <v>102.1</v>
      </c>
      <c r="N20" s="26">
        <v>107.72</v>
      </c>
      <c r="R20" t="s">
        <v>483</v>
      </c>
      <c r="S20" t="str">
        <f t="shared" si="3"/>
        <v>ELCOIL_CRD</v>
      </c>
      <c r="T20" t="str">
        <f t="shared" si="1"/>
        <v>ELCCO2No</v>
      </c>
      <c r="U20">
        <f t="shared" si="2"/>
        <v>83.12</v>
      </c>
      <c r="X20" t="s">
        <v>520</v>
      </c>
      <c r="Y20" t="s">
        <v>550</v>
      </c>
      <c r="Z20" t="s">
        <v>551</v>
      </c>
      <c r="AA20" t="s">
        <v>550</v>
      </c>
      <c r="AB20">
        <f>VLOOKUP(MID(AA20,1,3),$D$2:$F$27,2,FALSE)</f>
        <v>98.43</v>
      </c>
      <c r="AC20" t="s">
        <v>127</v>
      </c>
    </row>
    <row r="21" spans="1:36">
      <c r="A21" t="s">
        <v>552</v>
      </c>
      <c r="B21" t="str">
        <f t="shared" si="0"/>
        <v>WAS</v>
      </c>
      <c r="D21" s="25" t="s">
        <v>553</v>
      </c>
      <c r="E21" s="25">
        <f>N14</f>
        <v>83.12</v>
      </c>
      <c r="F21" s="25" t="s">
        <v>514</v>
      </c>
      <c r="G21" s="26" t="s">
        <v>554</v>
      </c>
      <c r="H21" s="26">
        <v>22.09</v>
      </c>
      <c r="I21" s="26" t="s">
        <v>500</v>
      </c>
      <c r="J21" s="26">
        <v>10.02</v>
      </c>
      <c r="K21" s="26" t="s">
        <v>500</v>
      </c>
      <c r="L21" s="26">
        <v>160.1</v>
      </c>
      <c r="M21" s="26">
        <v>72.62</v>
      </c>
      <c r="N21" s="26">
        <v>76.61</v>
      </c>
      <c r="R21" t="s">
        <v>483</v>
      </c>
      <c r="S21" t="str">
        <f t="shared" si="3"/>
        <v>ELCOIL_DST</v>
      </c>
      <c r="T21" t="str">
        <f t="shared" si="1"/>
        <v>ELCCO2No</v>
      </c>
      <c r="U21">
        <f t="shared" si="2"/>
        <v>77.19</v>
      </c>
      <c r="X21" t="s">
        <v>520</v>
      </c>
      <c r="Y21" t="s">
        <v>555</v>
      </c>
      <c r="Z21" t="s">
        <v>556</v>
      </c>
      <c r="AA21" t="s">
        <v>555</v>
      </c>
      <c r="AB21">
        <f>VLOOKUP(MID(AA21,1,3),$D$2:$F$27,2,FALSE)</f>
        <v>98.43</v>
      </c>
      <c r="AC21" t="s">
        <v>127</v>
      </c>
    </row>
    <row r="22" spans="1:36">
      <c r="A22" t="s">
        <v>557</v>
      </c>
      <c r="B22" t="str">
        <f t="shared" si="0"/>
        <v>BFG</v>
      </c>
      <c r="D22" s="25" t="s">
        <v>558</v>
      </c>
      <c r="E22" s="25">
        <f>E10</f>
        <v>77.19</v>
      </c>
      <c r="F22" s="25" t="s">
        <v>514</v>
      </c>
      <c r="G22" s="26" t="s">
        <v>559</v>
      </c>
      <c r="H22" s="26"/>
      <c r="I22" s="26"/>
      <c r="J22" s="26"/>
      <c r="K22" s="26"/>
      <c r="L22" s="26"/>
      <c r="M22" s="26"/>
      <c r="N22" s="26">
        <v>0</v>
      </c>
      <c r="R22" t="s">
        <v>483</v>
      </c>
      <c r="S22" t="str">
        <f t="shared" si="3"/>
        <v>ELCWAS</v>
      </c>
      <c r="T22" t="str">
        <f t="shared" si="1"/>
        <v>ELCCO2Nw</v>
      </c>
      <c r="U22">
        <f t="shared" si="2"/>
        <v>43.98</v>
      </c>
      <c r="X22" t="s">
        <v>520</v>
      </c>
      <c r="Y22" t="s">
        <v>102</v>
      </c>
      <c r="Z22" t="s">
        <v>560</v>
      </c>
      <c r="AA22" t="s">
        <v>102</v>
      </c>
      <c r="AB22">
        <f>VLOOKUP(MID(AA22,1,3),$D$2:$F$27,2,FALSE)</f>
        <v>55.99</v>
      </c>
      <c r="AC22" t="s">
        <v>127</v>
      </c>
    </row>
    <row r="23" spans="1:36">
      <c r="A23" t="s">
        <v>561</v>
      </c>
      <c r="B23" t="str">
        <f t="shared" si="0"/>
        <v>BSL</v>
      </c>
      <c r="D23" s="25" t="s">
        <v>562</v>
      </c>
      <c r="E23" s="25">
        <f>N33</f>
        <v>120.4</v>
      </c>
      <c r="F23" s="25" t="s">
        <v>474</v>
      </c>
      <c r="G23" s="26" t="s">
        <v>563</v>
      </c>
      <c r="H23" s="26">
        <v>26.34</v>
      </c>
      <c r="I23" s="26" t="s">
        <v>500</v>
      </c>
      <c r="J23" s="26">
        <v>11.95</v>
      </c>
      <c r="K23" s="26" t="s">
        <v>500</v>
      </c>
      <c r="L23" s="26">
        <v>166.7</v>
      </c>
      <c r="M23" s="26">
        <v>75.61</v>
      </c>
      <c r="N23" s="26">
        <v>79.77</v>
      </c>
      <c r="R23" t="s">
        <v>483</v>
      </c>
      <c r="S23" t="str">
        <f t="shared" si="3"/>
        <v>INDBFG</v>
      </c>
      <c r="T23" t="str">
        <f t="shared" si="1"/>
        <v>INDCO2Nc</v>
      </c>
      <c r="U23">
        <f t="shared" si="2"/>
        <v>55.99</v>
      </c>
      <c r="X23" s="27" t="s">
        <v>564</v>
      </c>
      <c r="Y23" t="s">
        <v>565</v>
      </c>
      <c r="Z23" t="s">
        <v>566</v>
      </c>
      <c r="AA23" t="s">
        <v>565</v>
      </c>
      <c r="AB23">
        <v>1</v>
      </c>
      <c r="AC23" t="s">
        <v>567</v>
      </c>
    </row>
    <row r="24" spans="1:36">
      <c r="A24" t="s">
        <v>568</v>
      </c>
      <c r="B24" t="str">
        <f t="shared" si="0"/>
        <v>COA</v>
      </c>
      <c r="D24" s="25" t="s">
        <v>569</v>
      </c>
      <c r="E24" s="25">
        <f>N20</f>
        <v>107.72</v>
      </c>
      <c r="F24" s="25" t="s">
        <v>514</v>
      </c>
      <c r="G24" s="26" t="s">
        <v>570</v>
      </c>
      <c r="H24" s="26">
        <v>23.62</v>
      </c>
      <c r="I24" s="26" t="s">
        <v>500</v>
      </c>
      <c r="J24" s="26">
        <v>10.72</v>
      </c>
      <c r="K24" s="26" t="s">
        <v>500</v>
      </c>
      <c r="L24" s="26">
        <v>163.6</v>
      </c>
      <c r="M24" s="26">
        <v>74.21</v>
      </c>
      <c r="N24" s="26">
        <v>78.29</v>
      </c>
      <c r="R24" t="s">
        <v>483</v>
      </c>
      <c r="S24" t="str">
        <f t="shared" si="3"/>
        <v>ELCBSL</v>
      </c>
      <c r="T24" t="str">
        <f t="shared" si="1"/>
        <v>ELCCO2Nb</v>
      </c>
      <c r="U24">
        <f t="shared" si="2"/>
        <v>98.43</v>
      </c>
    </row>
    <row r="25" spans="1:36">
      <c r="A25" t="s">
        <v>571</v>
      </c>
      <c r="B25" t="str">
        <f t="shared" si="0"/>
        <v>COG</v>
      </c>
      <c r="D25" s="25" t="s">
        <v>572</v>
      </c>
      <c r="E25" s="25">
        <f>E2</f>
        <v>55.99</v>
      </c>
      <c r="F25" s="25" t="s">
        <v>514</v>
      </c>
      <c r="G25" s="26" t="s">
        <v>573</v>
      </c>
      <c r="H25" s="26">
        <v>24.74</v>
      </c>
      <c r="I25" s="26" t="s">
        <v>500</v>
      </c>
      <c r="J25" s="26">
        <v>11.22</v>
      </c>
      <c r="K25" s="26" t="s">
        <v>500</v>
      </c>
      <c r="L25" s="26">
        <v>156.6</v>
      </c>
      <c r="M25" s="26">
        <v>71.03</v>
      </c>
      <c r="N25" s="26">
        <v>74.94</v>
      </c>
      <c r="R25" t="s">
        <v>483</v>
      </c>
      <c r="S25" t="str">
        <f t="shared" si="3"/>
        <v>INDCOA</v>
      </c>
      <c r="T25" t="str">
        <f t="shared" si="1"/>
        <v>INDCO2Nc</v>
      </c>
      <c r="U25">
        <f t="shared" si="2"/>
        <v>98.43</v>
      </c>
    </row>
    <row r="26" spans="1:36">
      <c r="A26" t="s">
        <v>574</v>
      </c>
      <c r="B26" t="str">
        <f t="shared" si="0"/>
        <v>COK</v>
      </c>
      <c r="D26" s="25" t="s">
        <v>575</v>
      </c>
      <c r="E26" s="25">
        <f>N9</f>
        <v>77.19</v>
      </c>
      <c r="F26" s="25" t="s">
        <v>514</v>
      </c>
      <c r="G26" s="26" t="s">
        <v>576</v>
      </c>
      <c r="H26" s="26">
        <v>20.05</v>
      </c>
      <c r="I26" s="26" t="s">
        <v>500</v>
      </c>
      <c r="J26" s="26">
        <v>9.1</v>
      </c>
      <c r="K26" s="26" t="s">
        <v>500</v>
      </c>
      <c r="L26" s="26">
        <v>160.5</v>
      </c>
      <c r="M26" s="26">
        <v>72.8</v>
      </c>
      <c r="N26" s="26">
        <v>76.81</v>
      </c>
      <c r="R26" t="s">
        <v>483</v>
      </c>
      <c r="S26" t="str">
        <f t="shared" si="3"/>
        <v>INDCOG</v>
      </c>
      <c r="T26" t="str">
        <f t="shared" si="1"/>
        <v>INDCO2Nc</v>
      </c>
      <c r="U26">
        <f t="shared" si="2"/>
        <v>55.99</v>
      </c>
    </row>
    <row r="27" spans="1:36">
      <c r="A27" t="s">
        <v>577</v>
      </c>
      <c r="B27" t="str">
        <f t="shared" si="0"/>
        <v>HFO</v>
      </c>
      <c r="D27" s="25" t="s">
        <v>578</v>
      </c>
      <c r="E27" s="25">
        <f>N36</f>
        <v>43.98</v>
      </c>
      <c r="F27" s="25" t="s">
        <v>579</v>
      </c>
      <c r="G27" s="26" t="s">
        <v>580</v>
      </c>
      <c r="H27" s="26">
        <v>21.11</v>
      </c>
      <c r="I27" s="26" t="s">
        <v>500</v>
      </c>
      <c r="J27" s="26">
        <v>9.57</v>
      </c>
      <c r="K27" s="26" t="s">
        <v>500</v>
      </c>
      <c r="L27" s="26">
        <v>160.1</v>
      </c>
      <c r="M27" s="26">
        <v>72.62</v>
      </c>
      <c r="N27" s="26">
        <v>76.61</v>
      </c>
      <c r="R27" t="s">
        <v>483</v>
      </c>
      <c r="S27" t="str">
        <f t="shared" si="3"/>
        <v>INDCOK</v>
      </c>
      <c r="T27" t="str">
        <f t="shared" si="1"/>
        <v>INDCO2Nc</v>
      </c>
      <c r="U27">
        <f t="shared" si="2"/>
        <v>120.4</v>
      </c>
      <c r="X27" t="s">
        <v>53</v>
      </c>
    </row>
    <row r="28" spans="1:36">
      <c r="A28" t="s">
        <v>581</v>
      </c>
      <c r="B28" t="str">
        <f t="shared" si="0"/>
        <v>LPG</v>
      </c>
      <c r="G28" s="26" t="s">
        <v>582</v>
      </c>
      <c r="H28" s="26"/>
      <c r="I28" s="26"/>
      <c r="J28" s="26"/>
      <c r="K28" s="26"/>
      <c r="L28" s="26"/>
      <c r="M28" s="26"/>
      <c r="N28" s="26"/>
      <c r="R28" t="s">
        <v>483</v>
      </c>
      <c r="S28" t="str">
        <f t="shared" si="3"/>
        <v>INDHFO</v>
      </c>
      <c r="T28" t="str">
        <f t="shared" si="1"/>
        <v>INDCO2No</v>
      </c>
      <c r="U28">
        <f t="shared" si="2"/>
        <v>83.12</v>
      </c>
      <c r="X28" t="s">
        <v>73</v>
      </c>
      <c r="Y28" t="s">
        <v>253</v>
      </c>
      <c r="Z28" t="s">
        <v>430</v>
      </c>
      <c r="AA28" t="s">
        <v>75</v>
      </c>
    </row>
    <row r="29" spans="1:36">
      <c r="A29" t="s">
        <v>106</v>
      </c>
      <c r="B29" t="str">
        <f t="shared" si="0"/>
        <v>NGA</v>
      </c>
      <c r="G29" s="26" t="s">
        <v>583</v>
      </c>
      <c r="H29" s="30">
        <v>5685</v>
      </c>
      <c r="I29" s="26" t="s">
        <v>519</v>
      </c>
      <c r="J29" s="30">
        <v>2578.68</v>
      </c>
      <c r="K29" s="26" t="s">
        <v>519</v>
      </c>
      <c r="L29" s="26">
        <v>228.6</v>
      </c>
      <c r="M29" s="26">
        <v>103.7</v>
      </c>
      <c r="N29" s="26">
        <v>109.4</v>
      </c>
      <c r="R29" t="s">
        <v>483</v>
      </c>
      <c r="S29" t="str">
        <f t="shared" si="3"/>
        <v>INDLPG</v>
      </c>
      <c r="T29" t="str">
        <f t="shared" si="1"/>
        <v>INDCO2No</v>
      </c>
      <c r="U29">
        <f t="shared" si="2"/>
        <v>67.53</v>
      </c>
      <c r="X29" t="s">
        <v>484</v>
      </c>
      <c r="Y29" t="s">
        <v>584</v>
      </c>
      <c r="Z29" t="s">
        <v>585</v>
      </c>
      <c r="AA29">
        <v>0.001</v>
      </c>
    </row>
    <row r="30" spans="1:36">
      <c r="A30" t="s">
        <v>356</v>
      </c>
      <c r="B30" t="str">
        <f t="shared" si="0"/>
        <v>OIL</v>
      </c>
      <c r="G30" s="26" t="s">
        <v>586</v>
      </c>
      <c r="H30" s="30">
        <v>4931.3</v>
      </c>
      <c r="I30" s="26" t="s">
        <v>519</v>
      </c>
      <c r="J30" s="30">
        <v>2236.8</v>
      </c>
      <c r="K30" s="26" t="s">
        <v>519</v>
      </c>
      <c r="L30" s="26">
        <v>205.7</v>
      </c>
      <c r="M30" s="26">
        <v>93.3</v>
      </c>
      <c r="N30" s="26">
        <v>98.43</v>
      </c>
      <c r="R30" t="s">
        <v>483</v>
      </c>
      <c r="S30" t="str">
        <f t="shared" si="3"/>
        <v>INDNGA</v>
      </c>
      <c r="T30" t="str">
        <f t="shared" si="1"/>
        <v>INDCO2Ng</v>
      </c>
      <c r="U30">
        <f t="shared" si="2"/>
        <v>55.99</v>
      </c>
      <c r="X30" t="s">
        <v>484</v>
      </c>
      <c r="Y30" t="s">
        <v>587</v>
      </c>
      <c r="Z30" t="s">
        <v>585</v>
      </c>
      <c r="AA30">
        <v>-0.001</v>
      </c>
      <c r="AG30" s="32" t="s">
        <v>484</v>
      </c>
      <c r="AH30" s="32" t="s">
        <v>587</v>
      </c>
      <c r="AI30" s="32" t="s">
        <v>585</v>
      </c>
      <c r="AJ30" s="32">
        <v>-0.001</v>
      </c>
    </row>
    <row r="31" spans="1:36">
      <c r="A31" t="s">
        <v>588</v>
      </c>
      <c r="B31" t="str">
        <f t="shared" si="0"/>
        <v>OVC</v>
      </c>
      <c r="G31" s="26" t="s">
        <v>589</v>
      </c>
      <c r="H31" s="30">
        <v>3715.9</v>
      </c>
      <c r="I31" s="26" t="s">
        <v>519</v>
      </c>
      <c r="J31" s="30">
        <v>1685.51</v>
      </c>
      <c r="K31" s="26" t="s">
        <v>519</v>
      </c>
      <c r="L31" s="26">
        <v>214.3</v>
      </c>
      <c r="M31" s="26">
        <v>97.2</v>
      </c>
      <c r="N31" s="26">
        <v>102.55</v>
      </c>
      <c r="R31" t="s">
        <v>483</v>
      </c>
      <c r="S31" t="str">
        <f t="shared" si="3"/>
        <v>INDOIL</v>
      </c>
      <c r="T31" t="str">
        <f t="shared" si="1"/>
        <v>INDCO2No</v>
      </c>
      <c r="U31">
        <f t="shared" si="2"/>
        <v>83.12</v>
      </c>
      <c r="X31" t="s">
        <v>299</v>
      </c>
    </row>
    <row r="32" spans="1:36">
      <c r="A32" t="s">
        <v>590</v>
      </c>
      <c r="B32" t="str">
        <f t="shared" si="0"/>
        <v>PTC</v>
      </c>
      <c r="G32" s="26" t="s">
        <v>591</v>
      </c>
      <c r="H32" s="30">
        <v>2791.6</v>
      </c>
      <c r="I32" s="26" t="s">
        <v>519</v>
      </c>
      <c r="J32" s="30">
        <v>1266.25</v>
      </c>
      <c r="K32" s="26" t="s">
        <v>519</v>
      </c>
      <c r="L32" s="26">
        <v>215.4</v>
      </c>
      <c r="M32" s="26">
        <v>97.7</v>
      </c>
      <c r="N32" s="26">
        <v>103.08</v>
      </c>
      <c r="R32" t="s">
        <v>483</v>
      </c>
      <c r="S32" t="str">
        <f t="shared" si="3"/>
        <v>INDOVC</v>
      </c>
      <c r="T32" t="str">
        <f t="shared" si="1"/>
        <v>INDCO2Nc</v>
      </c>
      <c r="U32">
        <f t="shared" si="2"/>
        <v>120.4</v>
      </c>
      <c r="X32" t="s">
        <v>484</v>
      </c>
      <c r="Y32" t="s">
        <v>592</v>
      </c>
      <c r="Z32" t="s">
        <v>593</v>
      </c>
      <c r="AA32">
        <v>0.001</v>
      </c>
    </row>
    <row r="33" spans="1:30">
      <c r="A33" t="s">
        <v>594</v>
      </c>
      <c r="B33" t="str">
        <f t="shared" si="0"/>
        <v>COA</v>
      </c>
      <c r="G33" s="26" t="s">
        <v>595</v>
      </c>
      <c r="H33" s="30">
        <v>6239.68</v>
      </c>
      <c r="I33" s="26" t="s">
        <v>519</v>
      </c>
      <c r="J33" s="30">
        <v>2830.27</v>
      </c>
      <c r="K33" s="26" t="s">
        <v>519</v>
      </c>
      <c r="L33" s="26">
        <v>251.6</v>
      </c>
      <c r="M33" s="26">
        <v>114.12</v>
      </c>
      <c r="N33" s="26">
        <v>120.4</v>
      </c>
      <c r="R33" t="s">
        <v>483</v>
      </c>
      <c r="S33" t="str">
        <f t="shared" si="3"/>
        <v>INDPTC</v>
      </c>
      <c r="T33" t="str">
        <f t="shared" si="1"/>
        <v>INDCO2No</v>
      </c>
      <c r="U33">
        <f t="shared" si="2"/>
        <v>107.72</v>
      </c>
      <c r="X33" t="s">
        <v>484</v>
      </c>
      <c r="Y33" t="s">
        <v>596</v>
      </c>
      <c r="Z33" t="s">
        <v>593</v>
      </c>
      <c r="AA33">
        <v>-0.001</v>
      </c>
    </row>
    <row r="34" spans="1:30">
      <c r="A34" t="s">
        <v>597</v>
      </c>
      <c r="B34" t="str">
        <f t="shared" si="0"/>
        <v>HFO</v>
      </c>
      <c r="G34" s="26" t="s">
        <v>598</v>
      </c>
      <c r="H34" s="26"/>
      <c r="I34" s="26"/>
      <c r="J34" s="26"/>
      <c r="K34" s="26"/>
      <c r="L34" s="26"/>
      <c r="M34" s="26"/>
      <c r="N34" s="26"/>
      <c r="R34" t="s">
        <v>483</v>
      </c>
      <c r="S34" t="str">
        <f t="shared" si="3"/>
        <v>RESCOA</v>
      </c>
      <c r="T34" t="str">
        <f t="shared" si="1"/>
        <v>RESCO2Nc</v>
      </c>
      <c r="U34">
        <f t="shared" si="2"/>
        <v>98.43</v>
      </c>
      <c r="X34" t="s">
        <v>299</v>
      </c>
    </row>
    <row r="35" spans="1:30">
      <c r="A35" t="s">
        <v>599</v>
      </c>
      <c r="B35" t="str">
        <f t="shared" si="0"/>
        <v>KER</v>
      </c>
      <c r="G35" s="26" t="s">
        <v>600</v>
      </c>
      <c r="H35" s="26" t="s">
        <v>601</v>
      </c>
      <c r="I35" s="26"/>
      <c r="J35" s="26" t="s">
        <v>601</v>
      </c>
      <c r="K35" s="26"/>
      <c r="L35" s="26">
        <v>16.99</v>
      </c>
      <c r="M35" s="26">
        <v>7.71</v>
      </c>
      <c r="N35" s="26">
        <v>8.13</v>
      </c>
      <c r="R35" t="s">
        <v>483</v>
      </c>
      <c r="S35" t="str">
        <f t="shared" si="3"/>
        <v>RESHFO</v>
      </c>
      <c r="T35" t="str">
        <f t="shared" ref="T35:T54" si="7">LEFT(S35,3)&amp;"CO2N"&amp;VLOOKUP(MID(S35,4,7),$D$2:$F$27,3,FALSE)</f>
        <v>RESCO2No</v>
      </c>
      <c r="U35">
        <f t="shared" ref="U35:U54" si="8">VLOOKUP(MID(S35,4,7),$D$2:$F$27,2,FALSE)</f>
        <v>83.12</v>
      </c>
      <c r="X35" t="s">
        <v>484</v>
      </c>
      <c r="Y35" t="s">
        <v>602</v>
      </c>
      <c r="Z35" t="s">
        <v>603</v>
      </c>
      <c r="AA35">
        <v>0.001</v>
      </c>
    </row>
    <row r="36" spans="1:30">
      <c r="A36" t="s">
        <v>604</v>
      </c>
      <c r="B36" t="str">
        <f t="shared" si="0"/>
        <v>LPG</v>
      </c>
      <c r="G36" s="26" t="s">
        <v>605</v>
      </c>
      <c r="H36" s="30">
        <v>5771</v>
      </c>
      <c r="I36" s="26" t="s">
        <v>519</v>
      </c>
      <c r="J36" s="30">
        <v>2617.68</v>
      </c>
      <c r="K36" s="26" t="s">
        <v>519</v>
      </c>
      <c r="L36" s="26">
        <v>91.9</v>
      </c>
      <c r="M36" s="26">
        <v>41.69</v>
      </c>
      <c r="N36" s="26">
        <v>43.98</v>
      </c>
      <c r="R36" t="s">
        <v>483</v>
      </c>
      <c r="S36" t="str">
        <f t="shared" si="3"/>
        <v>RESKER</v>
      </c>
      <c r="T36" t="str">
        <f t="shared" si="7"/>
        <v>RESCO2No</v>
      </c>
      <c r="U36">
        <f t="shared" si="8"/>
        <v>76.28</v>
      </c>
      <c r="X36" s="27" t="s">
        <v>606</v>
      </c>
      <c r="Y36" t="s">
        <v>566</v>
      </c>
      <c r="Z36" t="s">
        <v>603</v>
      </c>
      <c r="AA36">
        <v>0.001</v>
      </c>
    </row>
    <row r="37" spans="1:30">
      <c r="A37" t="s">
        <v>297</v>
      </c>
      <c r="B37" t="str">
        <f t="shared" si="0"/>
        <v>NGA</v>
      </c>
      <c r="G37" s="26" t="s">
        <v>607</v>
      </c>
      <c r="H37" s="30">
        <v>6160</v>
      </c>
      <c r="I37" s="26" t="s">
        <v>519</v>
      </c>
      <c r="J37" s="30">
        <v>2794.13</v>
      </c>
      <c r="K37" s="26" t="s">
        <v>519</v>
      </c>
      <c r="L37" s="26">
        <v>189.54</v>
      </c>
      <c r="M37" s="26">
        <v>85.97</v>
      </c>
      <c r="N37" s="26">
        <v>90.7</v>
      </c>
      <c r="R37" t="s">
        <v>483</v>
      </c>
      <c r="S37" t="str">
        <f t="shared" si="3"/>
        <v>RESLPG</v>
      </c>
      <c r="T37" t="str">
        <f t="shared" si="7"/>
        <v>RESCO2No</v>
      </c>
      <c r="U37">
        <f t="shared" si="8"/>
        <v>67.53</v>
      </c>
      <c r="X37" t="s">
        <v>484</v>
      </c>
      <c r="Y37" t="s">
        <v>608</v>
      </c>
      <c r="Z37" t="s">
        <v>603</v>
      </c>
      <c r="AA37">
        <v>-0.001</v>
      </c>
    </row>
    <row r="38" spans="1:30">
      <c r="A38" t="s">
        <v>609</v>
      </c>
      <c r="B38" t="str">
        <f t="shared" si="0"/>
        <v>OIL</v>
      </c>
      <c r="G38" s="26" t="s">
        <v>610</v>
      </c>
      <c r="H38" s="26">
        <v>924</v>
      </c>
      <c r="I38" s="26" t="s">
        <v>611</v>
      </c>
      <c r="J38" s="26">
        <v>419.12</v>
      </c>
      <c r="K38" s="26" t="s">
        <v>611</v>
      </c>
      <c r="L38" s="26">
        <v>210</v>
      </c>
      <c r="M38" s="26">
        <v>95.25</v>
      </c>
      <c r="N38" s="26">
        <v>100.49</v>
      </c>
      <c r="R38" t="s">
        <v>483</v>
      </c>
      <c r="S38" t="str">
        <f t="shared" si="3"/>
        <v>RESNGA</v>
      </c>
      <c r="T38" t="str">
        <f t="shared" si="7"/>
        <v>RESCO2Ng</v>
      </c>
      <c r="U38">
        <f t="shared" si="8"/>
        <v>55.99</v>
      </c>
      <c r="X38" t="s">
        <v>484</v>
      </c>
      <c r="Y38" t="s">
        <v>565</v>
      </c>
      <c r="Z38" t="s">
        <v>603</v>
      </c>
      <c r="AA38">
        <v>-0.001</v>
      </c>
    </row>
    <row r="39" spans="1:30">
      <c r="A39" t="s">
        <v>612</v>
      </c>
      <c r="B39" t="str">
        <f t="shared" si="0"/>
        <v>BFG</v>
      </c>
      <c r="G39" s="26" t="s">
        <v>613</v>
      </c>
      <c r="H39" s="26"/>
      <c r="I39" s="26"/>
      <c r="J39" s="26"/>
      <c r="K39" s="26"/>
      <c r="L39" s="26"/>
      <c r="M39" s="26"/>
      <c r="N39" s="26"/>
      <c r="R39" t="s">
        <v>483</v>
      </c>
      <c r="S39" t="str">
        <f t="shared" si="3"/>
        <v>RESOIL</v>
      </c>
      <c r="T39" t="str">
        <f t="shared" si="7"/>
        <v>RESCO2No</v>
      </c>
      <c r="U39">
        <f t="shared" si="8"/>
        <v>83.12</v>
      </c>
      <c r="X39" t="s">
        <v>299</v>
      </c>
    </row>
    <row r="40" spans="1:30">
      <c r="A40" t="s">
        <v>614</v>
      </c>
      <c r="B40" t="str">
        <f t="shared" si="0"/>
        <v>BIO</v>
      </c>
      <c r="G40" s="26" t="s">
        <v>615</v>
      </c>
      <c r="H40" s="26"/>
      <c r="I40" s="26"/>
      <c r="J40" s="26"/>
      <c r="K40" s="26"/>
      <c r="L40" s="26"/>
      <c r="M40" s="26"/>
      <c r="N40" s="26"/>
      <c r="R40" t="s">
        <v>483</v>
      </c>
      <c r="S40" t="str">
        <f t="shared" si="3"/>
        <v>SUPBFG</v>
      </c>
      <c r="T40" t="str">
        <f t="shared" si="7"/>
        <v>SUPCO2Nc</v>
      </c>
      <c r="U40">
        <f t="shared" si="8"/>
        <v>55.99</v>
      </c>
      <c r="X40" t="s">
        <v>484</v>
      </c>
      <c r="Y40" t="s">
        <v>616</v>
      </c>
      <c r="Z40" t="s">
        <v>617</v>
      </c>
      <c r="AA40">
        <v>0.001</v>
      </c>
    </row>
    <row r="41" spans="1:30">
      <c r="A41" t="s">
        <v>618</v>
      </c>
      <c r="B41" t="str">
        <f t="shared" si="0"/>
        <v>COA</v>
      </c>
      <c r="G41" s="26" t="s">
        <v>619</v>
      </c>
      <c r="H41" s="26"/>
      <c r="I41" s="26"/>
      <c r="J41" s="26"/>
      <c r="K41" s="26"/>
      <c r="L41" s="26"/>
      <c r="M41" s="26"/>
      <c r="N41" s="26"/>
      <c r="R41" t="s">
        <v>483</v>
      </c>
      <c r="S41" t="str">
        <f t="shared" si="3"/>
        <v>SUPBIO</v>
      </c>
      <c r="T41" t="str">
        <f t="shared" si="7"/>
        <v>SUPCO2Nb</v>
      </c>
      <c r="U41">
        <f t="shared" si="8"/>
        <v>98.43</v>
      </c>
      <c r="X41" t="s">
        <v>484</v>
      </c>
      <c r="Y41" t="s">
        <v>620</v>
      </c>
      <c r="Z41" t="s">
        <v>621</v>
      </c>
      <c r="AA41">
        <v>0.001</v>
      </c>
    </row>
    <row r="42" spans="1:30">
      <c r="A42" t="s">
        <v>622</v>
      </c>
      <c r="B42" t="str">
        <f t="shared" si="0"/>
        <v>COG</v>
      </c>
      <c r="R42" t="s">
        <v>483</v>
      </c>
      <c r="S42" t="str">
        <f t="shared" si="3"/>
        <v>SUPCOA</v>
      </c>
      <c r="T42" t="str">
        <f t="shared" si="7"/>
        <v>SUPCO2Nc</v>
      </c>
      <c r="U42">
        <f t="shared" si="8"/>
        <v>98.43</v>
      </c>
    </row>
    <row r="43" spans="1:30">
      <c r="A43" t="s">
        <v>623</v>
      </c>
      <c r="B43" t="str">
        <f t="shared" si="0"/>
        <v>NGA</v>
      </c>
      <c r="R43" t="s">
        <v>483</v>
      </c>
      <c r="S43" t="str">
        <f t="shared" si="3"/>
        <v>SUPCOG</v>
      </c>
      <c r="T43" t="str">
        <f t="shared" si="7"/>
        <v>SUPCO2Nc</v>
      </c>
      <c r="U43">
        <f t="shared" si="8"/>
        <v>55.99</v>
      </c>
    </row>
    <row r="44" spans="1:30">
      <c r="A44" t="s">
        <v>624</v>
      </c>
      <c r="B44" t="str">
        <f t="shared" si="0"/>
        <v>OIL</v>
      </c>
      <c r="R44" t="s">
        <v>483</v>
      </c>
      <c r="S44" t="str">
        <f t="shared" si="3"/>
        <v>SUPNGA</v>
      </c>
      <c r="T44" t="str">
        <f t="shared" si="7"/>
        <v>SUPCO2Ng</v>
      </c>
      <c r="U44">
        <f t="shared" si="8"/>
        <v>55.99</v>
      </c>
    </row>
    <row r="45" spans="1:30">
      <c r="A45" t="s">
        <v>625</v>
      </c>
      <c r="B45" t="str">
        <f t="shared" si="0"/>
        <v>RFG</v>
      </c>
      <c r="R45" t="s">
        <v>483</v>
      </c>
      <c r="S45" t="str">
        <f t="shared" si="3"/>
        <v>SUPOIL</v>
      </c>
      <c r="T45" t="str">
        <f t="shared" si="7"/>
        <v>SUPCO2No</v>
      </c>
      <c r="U45">
        <f t="shared" si="8"/>
        <v>83.12</v>
      </c>
      <c r="X45" t="s">
        <v>89</v>
      </c>
    </row>
    <row r="46" spans="1:30">
      <c r="A46" t="s">
        <v>626</v>
      </c>
      <c r="B46" t="str">
        <f t="shared" si="0"/>
        <v>RPP</v>
      </c>
      <c r="R46" t="s">
        <v>483</v>
      </c>
      <c r="S46" t="str">
        <f t="shared" si="3"/>
        <v>SUPRFG</v>
      </c>
      <c r="T46" t="str">
        <f t="shared" si="7"/>
        <v>SUPCO2No</v>
      </c>
      <c r="U46">
        <f t="shared" si="8"/>
        <v>55.99</v>
      </c>
      <c r="X46" t="s">
        <v>56</v>
      </c>
      <c r="Y46" t="s">
        <v>465</v>
      </c>
      <c r="Z46" t="s">
        <v>287</v>
      </c>
      <c r="AA46" t="s">
        <v>125</v>
      </c>
      <c r="AB46">
        <v>2019</v>
      </c>
      <c r="AC46">
        <v>2050</v>
      </c>
      <c r="AD46" t="s">
        <v>309</v>
      </c>
    </row>
    <row r="47" spans="1:30">
      <c r="A47" t="s">
        <v>627</v>
      </c>
      <c r="B47" t="str">
        <f t="shared" si="0"/>
        <v>COA</v>
      </c>
      <c r="R47" t="s">
        <v>483</v>
      </c>
      <c r="S47" t="str">
        <f t="shared" si="3"/>
        <v>SUPRPP</v>
      </c>
      <c r="T47" t="str">
        <f t="shared" si="7"/>
        <v>SUPCO2No</v>
      </c>
      <c r="U47">
        <f t="shared" si="8"/>
        <v>77.19</v>
      </c>
      <c r="X47" t="s">
        <v>520</v>
      </c>
      <c r="Y47" t="s">
        <v>628</v>
      </c>
      <c r="Z47" t="s">
        <v>526</v>
      </c>
      <c r="AA47" t="s">
        <v>587</v>
      </c>
      <c r="AB47">
        <v>0.9</v>
      </c>
      <c r="AD47" t="str">
        <f>AA47</f>
        <v>CO2Captured_elc</v>
      </c>
    </row>
    <row r="48" spans="1:30">
      <c r="A48" t="s">
        <v>324</v>
      </c>
      <c r="B48" t="str">
        <f t="shared" si="0"/>
        <v>DST</v>
      </c>
      <c r="R48" t="s">
        <v>483</v>
      </c>
      <c r="S48" t="str">
        <f t="shared" si="3"/>
        <v>TRACOA</v>
      </c>
      <c r="T48" t="str">
        <f t="shared" si="7"/>
        <v>TRACO2Nc</v>
      </c>
      <c r="U48">
        <f t="shared" si="8"/>
        <v>98.43</v>
      </c>
      <c r="X48" t="s">
        <v>520</v>
      </c>
      <c r="Y48" t="s">
        <v>629</v>
      </c>
      <c r="Z48" t="s">
        <v>561</v>
      </c>
      <c r="AA48" t="s">
        <v>587</v>
      </c>
      <c r="AB48">
        <v>0.8</v>
      </c>
      <c r="AD48" t="str">
        <f>AA48</f>
        <v>CO2Captured_elc</v>
      </c>
    </row>
    <row r="49" spans="1:31">
      <c r="A49" t="s">
        <v>322</v>
      </c>
      <c r="B49" t="str">
        <f t="shared" si="0"/>
        <v>GSL</v>
      </c>
      <c r="R49" t="s">
        <v>483</v>
      </c>
      <c r="S49" t="str">
        <f t="shared" si="3"/>
        <v>TRADST</v>
      </c>
      <c r="T49" t="str">
        <f t="shared" si="7"/>
        <v>TRACO2No</v>
      </c>
      <c r="U49">
        <f t="shared" si="8"/>
        <v>77.19</v>
      </c>
      <c r="X49" t="s">
        <v>520</v>
      </c>
      <c r="Y49" t="s">
        <v>630</v>
      </c>
      <c r="Z49" t="s">
        <v>304</v>
      </c>
      <c r="AA49" t="s">
        <v>587</v>
      </c>
      <c r="AB49">
        <v>0.95</v>
      </c>
      <c r="AC49">
        <v>0.98</v>
      </c>
      <c r="AD49" t="str">
        <f>AA49</f>
        <v>CO2Captured_elc</v>
      </c>
    </row>
    <row r="50" spans="1:31">
      <c r="A50" t="s">
        <v>631</v>
      </c>
      <c r="B50" t="str">
        <f t="shared" si="0"/>
        <v>HFO</v>
      </c>
      <c r="R50" t="s">
        <v>483</v>
      </c>
      <c r="S50" t="str">
        <f t="shared" si="3"/>
        <v>TRAGSL</v>
      </c>
      <c r="T50" t="str">
        <f t="shared" si="7"/>
        <v>TRACO2No</v>
      </c>
      <c r="U50">
        <f t="shared" si="8"/>
        <v>75.22</v>
      </c>
    </row>
    <row r="51" spans="1:31">
      <c r="A51" t="s">
        <v>319</v>
      </c>
      <c r="B51" t="str">
        <f t="shared" si="0"/>
        <v>JTK</v>
      </c>
      <c r="R51" t="s">
        <v>483</v>
      </c>
      <c r="S51" t="str">
        <f t="shared" si="3"/>
        <v>TRAHFO</v>
      </c>
      <c r="T51" t="str">
        <f t="shared" si="7"/>
        <v>TRACO2No</v>
      </c>
      <c r="U51">
        <f t="shared" si="8"/>
        <v>83.12</v>
      </c>
    </row>
    <row r="52" spans="1:31">
      <c r="A52" t="s">
        <v>632</v>
      </c>
      <c r="B52" t="str">
        <f t="shared" si="0"/>
        <v>LPG</v>
      </c>
      <c r="R52" t="s">
        <v>483</v>
      </c>
      <c r="S52" t="str">
        <f t="shared" si="3"/>
        <v>TRAJTK</v>
      </c>
      <c r="T52" t="str">
        <f t="shared" si="7"/>
        <v>TRACO2No</v>
      </c>
      <c r="U52">
        <f t="shared" si="8"/>
        <v>74.8</v>
      </c>
      <c r="X52" t="s">
        <v>89</v>
      </c>
    </row>
    <row r="53" spans="1:31">
      <c r="A53" t="s">
        <v>111</v>
      </c>
      <c r="B53" t="str">
        <f t="shared" si="0"/>
        <v>NGA</v>
      </c>
      <c r="R53" t="s">
        <v>483</v>
      </c>
      <c r="S53" t="str">
        <f t="shared" si="3"/>
        <v>TRALPG</v>
      </c>
      <c r="T53" t="str">
        <f t="shared" si="7"/>
        <v>TRACO2No</v>
      </c>
      <c r="U53">
        <f t="shared" si="8"/>
        <v>67.53</v>
      </c>
      <c r="X53" t="s">
        <v>76</v>
      </c>
      <c r="Y53" t="s">
        <v>633</v>
      </c>
      <c r="Z53" t="s">
        <v>91</v>
      </c>
      <c r="AA53" t="s">
        <v>73</v>
      </c>
      <c r="AB53" t="s">
        <v>77</v>
      </c>
      <c r="AC53">
        <v>2019</v>
      </c>
      <c r="AD53">
        <v>2030</v>
      </c>
      <c r="AE53" t="s">
        <v>253</v>
      </c>
    </row>
    <row r="54" spans="1:31">
      <c r="A54" t="s">
        <v>634</v>
      </c>
      <c r="B54" t="str">
        <f t="shared" si="0"/>
        <v>BIO</v>
      </c>
      <c r="R54" t="s">
        <v>483</v>
      </c>
      <c r="S54" t="str">
        <f t="shared" si="3"/>
        <v>TRANGA</v>
      </c>
      <c r="T54" t="str">
        <f t="shared" si="7"/>
        <v>TRACO2Ng</v>
      </c>
      <c r="U54">
        <f t="shared" si="8"/>
        <v>55.99</v>
      </c>
      <c r="X54" t="s">
        <v>102</v>
      </c>
      <c r="Y54" t="s">
        <v>560</v>
      </c>
      <c r="Z54" t="s">
        <v>635</v>
      </c>
      <c r="AA54" t="s">
        <v>520</v>
      </c>
      <c r="AB54" t="s">
        <v>127</v>
      </c>
      <c r="AC54">
        <v>0.9</v>
      </c>
      <c r="AD54">
        <v>0.95</v>
      </c>
      <c r="AE54" t="s">
        <v>608</v>
      </c>
    </row>
    <row r="55" spans="1:31">
      <c r="R55" t="s">
        <v>483</v>
      </c>
      <c r="S55" t="str">
        <f t="shared" ref="S55" si="9">A54</f>
        <v>INDBIO</v>
      </c>
      <c r="T55" t="str">
        <f t="shared" ref="T55" si="10">LEFT(S55,3)&amp;"CO2N"&amp;VLOOKUP(MID(S55,4,7),$D$2:$F$27,3,FALSE)</f>
        <v>INDCO2Nb</v>
      </c>
      <c r="U55">
        <f t="shared" ref="U55" si="11">VLOOKUP(MID(S55,4,7),$D$2:$F$27,2,FALSE)</f>
        <v>98.43</v>
      </c>
      <c r="X55" t="s">
        <v>550</v>
      </c>
      <c r="Y55" t="s">
        <v>551</v>
      </c>
      <c r="Z55" t="s">
        <v>635</v>
      </c>
      <c r="AA55" t="s">
        <v>520</v>
      </c>
      <c r="AB55" t="s">
        <v>127</v>
      </c>
      <c r="AC55">
        <v>0.9</v>
      </c>
      <c r="AD55">
        <v>0.95</v>
      </c>
      <c r="AE55" t="s">
        <v>608</v>
      </c>
    </row>
  </sheetData>
  <sortState ref="D2:D27">
    <sortCondition ref="D2:D27"/>
  </sortState>
  <pageMargins left="0.7" right="0.7" top="0.75" bottom="0.75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0000"/>
  </sheetPr>
  <dimension ref="B2:V38"/>
  <sheetViews>
    <sheetView zoomScale="90" zoomScaleNormal="90" topLeftCell="K1" workbookViewId="0">
      <selection activeCell="A1" sqref="A1"/>
    </sheetView>
  </sheetViews>
  <sheetFormatPr defaultColWidth="9" defaultRowHeight="14.5"/>
  <cols>
    <col min="2" max="2" width="24" customWidth="1"/>
    <col min="3" max="3" width="12.7272727272727" customWidth="1"/>
    <col min="4" max="4" width="11.7272727272727" customWidth="1"/>
    <col min="5" max="5" width="6.6" customWidth="1"/>
    <col min="6" max="6" width="7.86363636363636" customWidth="1"/>
    <col min="7" max="7" width="5" customWidth="1"/>
    <col min="8" max="8" width="5.52727272727273" customWidth="1"/>
    <col min="9" max="9" width="10.8636363636364" customWidth="1"/>
    <col min="10" max="10" width="10.7272727272727" customWidth="1"/>
    <col min="12" max="12" width="13.8636363636364" customWidth="1"/>
    <col min="13" max="13" width="14.0636363636364" customWidth="1"/>
    <col min="14" max="14" width="9.72727272727273" customWidth="1"/>
    <col min="15" max="15" width="1.72727272727273" customWidth="1"/>
    <col min="16" max="18" width="10.8636363636364" customWidth="1"/>
    <col min="19" max="19" width="14.0636363636364" customWidth="1"/>
    <col min="20" max="20" width="10.8636363636364" customWidth="1"/>
    <col min="21" max="21" width="1.72727272727273" customWidth="1"/>
    <col min="22" max="22" width="9.6" customWidth="1"/>
  </cols>
  <sheetData>
    <row r="2" spans="2:22">
      <c r="B2" t="s">
        <v>636</v>
      </c>
      <c r="L2" t="s">
        <v>637</v>
      </c>
      <c r="R2" t="s">
        <v>637</v>
      </c>
    </row>
    <row r="3" spans="2:22">
      <c r="B3" t="s">
        <v>638</v>
      </c>
      <c r="C3" t="s">
        <v>639</v>
      </c>
      <c r="D3" t="s">
        <v>344</v>
      </c>
      <c r="E3" t="s">
        <v>58</v>
      </c>
      <c r="H3" t="s">
        <v>57</v>
      </c>
      <c r="I3" t="s">
        <v>638</v>
      </c>
      <c r="J3" t="s">
        <v>640</v>
      </c>
      <c r="L3" t="s">
        <v>252</v>
      </c>
      <c r="M3" t="s">
        <v>73</v>
      </c>
      <c r="N3">
        <v>2020</v>
      </c>
      <c r="O3">
        <v>0</v>
      </c>
      <c r="P3" t="s">
        <v>253</v>
      </c>
      <c r="R3" t="s">
        <v>252</v>
      </c>
      <c r="S3" t="s">
        <v>73</v>
      </c>
      <c r="T3">
        <v>2020</v>
      </c>
      <c r="U3">
        <v>0</v>
      </c>
      <c r="V3" t="s">
        <v>253</v>
      </c>
    </row>
    <row r="4" spans="2:22">
      <c r="B4" t="s">
        <v>7</v>
      </c>
      <c r="C4" t="s">
        <v>486</v>
      </c>
      <c r="D4">
        <v>0.08</v>
      </c>
      <c r="E4" t="s">
        <v>641</v>
      </c>
      <c r="H4">
        <v>2019</v>
      </c>
      <c r="I4" t="s">
        <v>7</v>
      </c>
      <c r="J4">
        <v>578305.3</v>
      </c>
      <c r="L4" t="str">
        <f>$I4</f>
        <v>Africa_North</v>
      </c>
      <c r="M4" t="s">
        <v>254</v>
      </c>
      <c r="N4" s="23">
        <f>-J4/1000/3</f>
        <v>-192.768433333333</v>
      </c>
      <c r="O4">
        <v>3</v>
      </c>
      <c r="P4" t="s">
        <v>383</v>
      </c>
      <c r="R4" t="str">
        <f>$I4</f>
        <v>Africa_North</v>
      </c>
      <c r="S4" t="s">
        <v>254</v>
      </c>
      <c r="T4" s="23">
        <f>-J4/1000/3</f>
        <v>-192.768433333333</v>
      </c>
      <c r="U4">
        <v>3</v>
      </c>
      <c r="V4" t="s">
        <v>585</v>
      </c>
    </row>
    <row r="5" spans="2:22">
      <c r="B5" t="s">
        <v>8</v>
      </c>
      <c r="C5" t="s">
        <v>486</v>
      </c>
      <c r="D5">
        <v>0.08</v>
      </c>
      <c r="E5" t="s">
        <v>641</v>
      </c>
      <c r="H5">
        <v>2019</v>
      </c>
      <c r="I5" t="s">
        <v>8</v>
      </c>
      <c r="J5">
        <v>417790.1</v>
      </c>
      <c r="L5" t="str">
        <f t="shared" ref="L5:L38" si="0">$I5</f>
        <v>Africa_Other</v>
      </c>
      <c r="M5" t="s">
        <v>254</v>
      </c>
      <c r="N5" s="23">
        <f t="shared" ref="N5:N38" si="1">-J5/1000/3</f>
        <v>-139.263366666667</v>
      </c>
      <c r="O5">
        <v>3</v>
      </c>
      <c r="P5" t="s">
        <v>383</v>
      </c>
      <c r="R5" t="str">
        <f t="shared" ref="R5:R38" si="2">$I5</f>
        <v>Africa_Other</v>
      </c>
      <c r="S5" t="s">
        <v>254</v>
      </c>
      <c r="T5" s="23">
        <f t="shared" ref="T5:T38" si="3">-J5/1000/3</f>
        <v>-139.263366666667</v>
      </c>
      <c r="U5">
        <v>3</v>
      </c>
      <c r="V5" t="s">
        <v>585</v>
      </c>
    </row>
    <row r="6" spans="2:22">
      <c r="B6" t="s">
        <v>9</v>
      </c>
      <c r="C6" t="s">
        <v>486</v>
      </c>
      <c r="D6">
        <v>0.1</v>
      </c>
      <c r="E6" t="s">
        <v>641</v>
      </c>
      <c r="H6">
        <v>2019</v>
      </c>
      <c r="I6" t="s">
        <v>9</v>
      </c>
      <c r="J6">
        <v>407908.6</v>
      </c>
      <c r="L6" t="str">
        <f t="shared" si="0"/>
        <v>Australia</v>
      </c>
      <c r="M6" t="s">
        <v>254</v>
      </c>
      <c r="N6" s="23">
        <f t="shared" si="1"/>
        <v>-135.969533333333</v>
      </c>
      <c r="O6">
        <v>3</v>
      </c>
      <c r="P6" t="s">
        <v>383</v>
      </c>
      <c r="R6" t="str">
        <f t="shared" si="2"/>
        <v>Australia</v>
      </c>
      <c r="S6" t="s">
        <v>254</v>
      </c>
      <c r="T6" s="23">
        <f t="shared" si="3"/>
        <v>-135.969533333333</v>
      </c>
      <c r="U6">
        <v>3</v>
      </c>
      <c r="V6" t="s">
        <v>585</v>
      </c>
    </row>
    <row r="7" spans="2:22">
      <c r="B7" t="s">
        <v>10</v>
      </c>
      <c r="C7" t="s">
        <v>486</v>
      </c>
      <c r="D7">
        <v>0.08</v>
      </c>
      <c r="E7" t="s">
        <v>641</v>
      </c>
      <c r="H7">
        <v>2019</v>
      </c>
      <c r="I7" t="s">
        <v>10</v>
      </c>
      <c r="J7">
        <v>68776.7</v>
      </c>
      <c r="L7" t="str">
        <f t="shared" si="0"/>
        <v>Austria</v>
      </c>
      <c r="M7" t="s">
        <v>254</v>
      </c>
      <c r="N7" s="23">
        <f t="shared" si="1"/>
        <v>-22.9255666666667</v>
      </c>
      <c r="O7">
        <v>3</v>
      </c>
      <c r="P7" t="s">
        <v>383</v>
      </c>
      <c r="R7" t="str">
        <f t="shared" si="2"/>
        <v>Austria</v>
      </c>
      <c r="S7" t="s">
        <v>254</v>
      </c>
      <c r="T7" s="23">
        <f t="shared" si="3"/>
        <v>-22.9255666666667</v>
      </c>
      <c r="U7">
        <v>3</v>
      </c>
      <c r="V7" t="s">
        <v>585</v>
      </c>
    </row>
    <row r="8" spans="2:22">
      <c r="B8" t="s">
        <v>11</v>
      </c>
      <c r="C8" t="s">
        <v>486</v>
      </c>
      <c r="D8">
        <v>0.08</v>
      </c>
      <c r="E8" t="s">
        <v>641</v>
      </c>
      <c r="H8">
        <v>2019</v>
      </c>
      <c r="I8" t="s">
        <v>11</v>
      </c>
      <c r="J8">
        <v>37667.2</v>
      </c>
      <c r="L8" t="str">
        <f t="shared" si="0"/>
        <v>Baltics</v>
      </c>
      <c r="M8" t="s">
        <v>254</v>
      </c>
      <c r="N8" s="23">
        <f t="shared" si="1"/>
        <v>-12.5557333333333</v>
      </c>
      <c r="O8">
        <v>3</v>
      </c>
      <c r="P8" t="s">
        <v>383</v>
      </c>
      <c r="R8" t="str">
        <f t="shared" si="2"/>
        <v>Baltics</v>
      </c>
      <c r="S8" t="s">
        <v>254</v>
      </c>
      <c r="T8" s="23">
        <f t="shared" si="3"/>
        <v>-12.5557333333333</v>
      </c>
      <c r="U8">
        <v>3</v>
      </c>
      <c r="V8" t="s">
        <v>585</v>
      </c>
    </row>
    <row r="9" spans="2:22">
      <c r="B9" t="s">
        <v>12</v>
      </c>
      <c r="C9" t="s">
        <v>486</v>
      </c>
      <c r="D9">
        <v>0.08</v>
      </c>
      <c r="E9" t="s">
        <v>641</v>
      </c>
      <c r="H9">
        <v>2019</v>
      </c>
      <c r="I9" t="s">
        <v>12</v>
      </c>
      <c r="J9">
        <v>267979.6</v>
      </c>
      <c r="L9" t="str">
        <f t="shared" si="0"/>
        <v>BeNeLux</v>
      </c>
      <c r="M9" t="s">
        <v>254</v>
      </c>
      <c r="N9" s="23">
        <f t="shared" si="1"/>
        <v>-89.3265333333333</v>
      </c>
      <c r="O9">
        <v>3</v>
      </c>
      <c r="P9" t="s">
        <v>383</v>
      </c>
      <c r="R9" t="str">
        <f t="shared" si="2"/>
        <v>BeNeLux</v>
      </c>
      <c r="S9" t="s">
        <v>254</v>
      </c>
      <c r="T9" s="23">
        <f t="shared" si="3"/>
        <v>-89.3265333333333</v>
      </c>
      <c r="U9">
        <v>3</v>
      </c>
      <c r="V9" t="s">
        <v>585</v>
      </c>
    </row>
    <row r="10" spans="2:22">
      <c r="B10" t="s">
        <v>13</v>
      </c>
      <c r="C10" t="s">
        <v>486</v>
      </c>
      <c r="D10">
        <v>0.0375</v>
      </c>
      <c r="E10" t="s">
        <v>641</v>
      </c>
      <c r="H10">
        <v>2019</v>
      </c>
      <c r="I10" t="s">
        <v>13</v>
      </c>
      <c r="J10">
        <v>468579.4</v>
      </c>
      <c r="L10" t="str">
        <f t="shared" si="0"/>
        <v>Brazil</v>
      </c>
      <c r="M10" t="s">
        <v>254</v>
      </c>
      <c r="N10" s="23">
        <f t="shared" si="1"/>
        <v>-156.193133333333</v>
      </c>
      <c r="O10">
        <v>3</v>
      </c>
      <c r="P10" t="s">
        <v>383</v>
      </c>
      <c r="R10" t="str">
        <f t="shared" si="2"/>
        <v>Brazil</v>
      </c>
      <c r="S10" t="s">
        <v>254</v>
      </c>
      <c r="T10" s="23">
        <f t="shared" si="3"/>
        <v>-156.193133333333</v>
      </c>
      <c r="U10">
        <v>3</v>
      </c>
      <c r="V10" t="s">
        <v>585</v>
      </c>
    </row>
    <row r="11" spans="2:22">
      <c r="B11" t="s">
        <v>14</v>
      </c>
      <c r="C11" t="s">
        <v>486</v>
      </c>
      <c r="D11">
        <v>0.04</v>
      </c>
      <c r="E11" t="s">
        <v>641</v>
      </c>
      <c r="H11">
        <v>2019</v>
      </c>
      <c r="I11" t="s">
        <v>14</v>
      </c>
      <c r="J11">
        <v>11813058.2</v>
      </c>
      <c r="L11" t="str">
        <f t="shared" si="0"/>
        <v>China</v>
      </c>
      <c r="M11" t="s">
        <v>254</v>
      </c>
      <c r="N11" s="23">
        <f t="shared" si="1"/>
        <v>-3937.68606666667</v>
      </c>
      <c r="O11">
        <v>3</v>
      </c>
      <c r="P11" t="s">
        <v>383</v>
      </c>
      <c r="R11" t="str">
        <f t="shared" si="2"/>
        <v>China</v>
      </c>
      <c r="S11" t="s">
        <v>254</v>
      </c>
      <c r="T11" s="23">
        <f t="shared" si="3"/>
        <v>-3937.68606666667</v>
      </c>
      <c r="U11">
        <v>3</v>
      </c>
      <c r="V11" t="s">
        <v>585</v>
      </c>
    </row>
    <row r="12" spans="2:22">
      <c r="B12" t="s">
        <v>15</v>
      </c>
      <c r="C12" t="s">
        <v>486</v>
      </c>
      <c r="D12">
        <v>0.08</v>
      </c>
      <c r="E12" t="s">
        <v>641</v>
      </c>
      <c r="H12">
        <v>2019</v>
      </c>
      <c r="I12" t="s">
        <v>15</v>
      </c>
      <c r="J12">
        <v>32798.3</v>
      </c>
      <c r="L12" t="str">
        <f t="shared" si="0"/>
        <v>CroSloven</v>
      </c>
      <c r="M12" t="s">
        <v>254</v>
      </c>
      <c r="N12" s="23">
        <f t="shared" si="1"/>
        <v>-10.9327666666667</v>
      </c>
      <c r="O12">
        <v>3</v>
      </c>
      <c r="P12" t="s">
        <v>383</v>
      </c>
      <c r="R12" t="str">
        <f t="shared" si="2"/>
        <v>CroSloven</v>
      </c>
      <c r="S12" t="s">
        <v>254</v>
      </c>
      <c r="T12" s="23">
        <f t="shared" si="3"/>
        <v>-10.9327666666667</v>
      </c>
      <c r="U12">
        <v>3</v>
      </c>
      <c r="V12" t="s">
        <v>585</v>
      </c>
    </row>
    <row r="13" spans="2:22">
      <c r="B13" t="s">
        <v>16</v>
      </c>
      <c r="C13" t="s">
        <v>486</v>
      </c>
      <c r="D13">
        <v>0.08</v>
      </c>
      <c r="E13" t="s">
        <v>641</v>
      </c>
      <c r="H13">
        <v>2019</v>
      </c>
      <c r="I13" t="s">
        <v>16</v>
      </c>
      <c r="J13">
        <v>138586.7</v>
      </c>
      <c r="L13" t="str">
        <f t="shared" si="0"/>
        <v>CzechSlovak</v>
      </c>
      <c r="M13" t="s">
        <v>254</v>
      </c>
      <c r="N13" s="23">
        <f t="shared" si="1"/>
        <v>-46.1955666666667</v>
      </c>
      <c r="O13">
        <v>3</v>
      </c>
      <c r="P13" t="s">
        <v>383</v>
      </c>
      <c r="R13" t="str">
        <f t="shared" si="2"/>
        <v>CzechSlovak</v>
      </c>
      <c r="S13" t="s">
        <v>254</v>
      </c>
      <c r="T13" s="23">
        <f t="shared" si="3"/>
        <v>-46.1955666666667</v>
      </c>
      <c r="U13">
        <v>3</v>
      </c>
      <c r="V13" t="s">
        <v>585</v>
      </c>
    </row>
    <row r="14" spans="2:22">
      <c r="B14" t="s">
        <v>17</v>
      </c>
      <c r="C14" t="s">
        <v>486</v>
      </c>
      <c r="D14">
        <v>0.08</v>
      </c>
      <c r="E14" t="s">
        <v>641</v>
      </c>
      <c r="H14">
        <v>2019</v>
      </c>
      <c r="I14" t="s">
        <v>17</v>
      </c>
      <c r="J14">
        <v>322904.3</v>
      </c>
      <c r="L14" t="str">
        <f t="shared" si="0"/>
        <v>France</v>
      </c>
      <c r="M14" t="s">
        <v>254</v>
      </c>
      <c r="N14" s="23">
        <f t="shared" si="1"/>
        <v>-107.634766666667</v>
      </c>
      <c r="O14">
        <v>3</v>
      </c>
      <c r="P14" t="s">
        <v>383</v>
      </c>
      <c r="R14" t="str">
        <f t="shared" si="2"/>
        <v>France</v>
      </c>
      <c r="S14" t="s">
        <v>254</v>
      </c>
      <c r="T14" s="23">
        <f t="shared" si="3"/>
        <v>-107.634766666667</v>
      </c>
      <c r="U14">
        <v>3</v>
      </c>
      <c r="V14" t="s">
        <v>585</v>
      </c>
    </row>
    <row r="15" spans="2:22">
      <c r="B15" t="s">
        <v>18</v>
      </c>
      <c r="C15" t="s">
        <v>486</v>
      </c>
      <c r="D15">
        <v>0.08</v>
      </c>
      <c r="E15" t="s">
        <v>641</v>
      </c>
      <c r="H15">
        <v>2019</v>
      </c>
      <c r="I15" t="s">
        <v>18</v>
      </c>
      <c r="J15">
        <v>696500.2</v>
      </c>
      <c r="L15" t="str">
        <f t="shared" si="0"/>
        <v>Germany</v>
      </c>
      <c r="M15" t="s">
        <v>254</v>
      </c>
      <c r="N15" s="23">
        <f t="shared" si="1"/>
        <v>-232.166733333333</v>
      </c>
      <c r="O15">
        <v>3</v>
      </c>
      <c r="P15" t="s">
        <v>383</v>
      </c>
      <c r="R15" t="str">
        <f t="shared" si="2"/>
        <v>Germany</v>
      </c>
      <c r="S15" t="s">
        <v>254</v>
      </c>
      <c r="T15" s="23">
        <f t="shared" si="3"/>
        <v>-232.166733333333</v>
      </c>
      <c r="U15">
        <v>3</v>
      </c>
      <c r="V15" t="s">
        <v>585</v>
      </c>
    </row>
    <row r="16" spans="2:22">
      <c r="B16" t="s">
        <v>19</v>
      </c>
      <c r="C16" t="s">
        <v>486</v>
      </c>
      <c r="D16">
        <v>0.08</v>
      </c>
      <c r="E16" t="s">
        <v>641</v>
      </c>
      <c r="H16">
        <v>2019</v>
      </c>
      <c r="I16" t="s">
        <v>19</v>
      </c>
      <c r="J16">
        <v>68709.5</v>
      </c>
      <c r="L16" t="str">
        <f t="shared" si="0"/>
        <v>GreeceCyp</v>
      </c>
      <c r="M16" t="s">
        <v>254</v>
      </c>
      <c r="N16" s="23">
        <f t="shared" si="1"/>
        <v>-22.9031666666667</v>
      </c>
      <c r="O16">
        <v>3</v>
      </c>
      <c r="P16" t="s">
        <v>383</v>
      </c>
      <c r="R16" t="str">
        <f t="shared" si="2"/>
        <v>GreeceCyp</v>
      </c>
      <c r="S16" t="s">
        <v>254</v>
      </c>
      <c r="T16" s="23">
        <f t="shared" si="3"/>
        <v>-22.9031666666667</v>
      </c>
      <c r="U16">
        <v>3</v>
      </c>
      <c r="V16" t="s">
        <v>585</v>
      </c>
    </row>
    <row r="17" spans="2:22">
      <c r="B17" t="s">
        <v>20</v>
      </c>
      <c r="C17" t="s">
        <v>486</v>
      </c>
      <c r="D17">
        <v>0.08</v>
      </c>
      <c r="E17" t="s">
        <v>641</v>
      </c>
      <c r="H17">
        <v>2019</v>
      </c>
      <c r="I17" t="s">
        <v>20</v>
      </c>
      <c r="J17">
        <v>177290.8</v>
      </c>
      <c r="L17" t="str">
        <f t="shared" si="0"/>
        <v>HunRomBul</v>
      </c>
      <c r="M17" t="s">
        <v>254</v>
      </c>
      <c r="N17" s="23">
        <f t="shared" si="1"/>
        <v>-59.0969333333333</v>
      </c>
      <c r="O17">
        <v>3</v>
      </c>
      <c r="P17" t="s">
        <v>383</v>
      </c>
      <c r="R17" t="str">
        <f t="shared" si="2"/>
        <v>HunRomBul</v>
      </c>
      <c r="S17" t="s">
        <v>254</v>
      </c>
      <c r="T17" s="23">
        <f t="shared" si="3"/>
        <v>-59.0969333333333</v>
      </c>
      <c r="U17">
        <v>3</v>
      </c>
      <c r="V17" t="s">
        <v>585</v>
      </c>
    </row>
    <row r="18" spans="2:22">
      <c r="B18" t="s">
        <v>21</v>
      </c>
      <c r="C18" t="s">
        <v>486</v>
      </c>
      <c r="D18">
        <v>0.08</v>
      </c>
      <c r="E18" t="s">
        <v>641</v>
      </c>
      <c r="H18">
        <v>2019</v>
      </c>
      <c r="I18" t="s">
        <v>21</v>
      </c>
      <c r="J18">
        <v>3176.8</v>
      </c>
      <c r="L18" t="str">
        <f t="shared" si="0"/>
        <v>Iceland</v>
      </c>
      <c r="M18" t="s">
        <v>254</v>
      </c>
      <c r="N18" s="23">
        <f t="shared" si="1"/>
        <v>-1.05893333333333</v>
      </c>
      <c r="O18">
        <v>3</v>
      </c>
      <c r="P18" t="s">
        <v>383</v>
      </c>
      <c r="R18" t="str">
        <f t="shared" si="2"/>
        <v>Iceland</v>
      </c>
      <c r="S18" t="s">
        <v>254</v>
      </c>
      <c r="T18" s="23">
        <f t="shared" si="3"/>
        <v>-1.05893333333333</v>
      </c>
      <c r="U18">
        <v>3</v>
      </c>
      <c r="V18" t="s">
        <v>585</v>
      </c>
    </row>
    <row r="19" spans="2:22">
      <c r="B19" t="s">
        <v>22</v>
      </c>
      <c r="C19" t="s">
        <v>486</v>
      </c>
      <c r="D19">
        <v>0.08</v>
      </c>
      <c r="E19" t="s">
        <v>641</v>
      </c>
      <c r="H19">
        <v>2019</v>
      </c>
      <c r="I19" t="s">
        <v>22</v>
      </c>
      <c r="J19">
        <v>2551485.1</v>
      </c>
      <c r="L19" t="str">
        <f t="shared" si="0"/>
        <v>India</v>
      </c>
      <c r="M19" t="s">
        <v>254</v>
      </c>
      <c r="N19" s="23">
        <f t="shared" si="1"/>
        <v>-850.495033333333</v>
      </c>
      <c r="O19">
        <v>3</v>
      </c>
      <c r="P19" t="s">
        <v>383</v>
      </c>
      <c r="R19" t="str">
        <f t="shared" si="2"/>
        <v>India</v>
      </c>
      <c r="S19" t="s">
        <v>254</v>
      </c>
      <c r="T19" s="23">
        <f t="shared" si="3"/>
        <v>-850.495033333333</v>
      </c>
      <c r="U19">
        <v>3</v>
      </c>
      <c r="V19" t="s">
        <v>585</v>
      </c>
    </row>
    <row r="20" spans="2:22">
      <c r="B20" t="s">
        <v>23</v>
      </c>
      <c r="C20" t="s">
        <v>486</v>
      </c>
      <c r="D20">
        <v>0.08</v>
      </c>
      <c r="E20" t="s">
        <v>641</v>
      </c>
      <c r="H20">
        <v>2019</v>
      </c>
      <c r="I20" t="s">
        <v>23</v>
      </c>
      <c r="J20">
        <v>36369</v>
      </c>
      <c r="L20" t="str">
        <f t="shared" si="0"/>
        <v>Ireland</v>
      </c>
      <c r="M20" t="s">
        <v>254</v>
      </c>
      <c r="N20" s="23">
        <f t="shared" si="1"/>
        <v>-12.123</v>
      </c>
      <c r="O20">
        <v>3</v>
      </c>
      <c r="P20" t="s">
        <v>383</v>
      </c>
      <c r="R20" t="str">
        <f t="shared" si="2"/>
        <v>Ireland</v>
      </c>
      <c r="S20" t="s">
        <v>254</v>
      </c>
      <c r="T20" s="23">
        <f t="shared" si="3"/>
        <v>-12.123</v>
      </c>
      <c r="U20">
        <v>3</v>
      </c>
      <c r="V20" t="s">
        <v>585</v>
      </c>
    </row>
    <row r="21" spans="2:22">
      <c r="B21" t="s">
        <v>24</v>
      </c>
      <c r="C21" t="s">
        <v>486</v>
      </c>
      <c r="D21">
        <v>0.08</v>
      </c>
      <c r="E21" t="s">
        <v>641</v>
      </c>
      <c r="H21">
        <v>2019</v>
      </c>
      <c r="I21" t="s">
        <v>24</v>
      </c>
      <c r="J21">
        <v>334235</v>
      </c>
      <c r="L21" t="str">
        <f t="shared" si="0"/>
        <v>ItalyMal</v>
      </c>
      <c r="M21" t="s">
        <v>254</v>
      </c>
      <c r="N21" s="23">
        <f t="shared" si="1"/>
        <v>-111.411666666667</v>
      </c>
      <c r="O21">
        <v>3</v>
      </c>
      <c r="P21" t="s">
        <v>383</v>
      </c>
      <c r="R21" t="str">
        <f t="shared" si="2"/>
        <v>ItalyMal</v>
      </c>
      <c r="S21" t="s">
        <v>254</v>
      </c>
      <c r="T21" s="23">
        <f t="shared" si="3"/>
        <v>-111.411666666667</v>
      </c>
      <c r="U21">
        <v>3</v>
      </c>
      <c r="V21" t="s">
        <v>585</v>
      </c>
    </row>
    <row r="22" spans="2:22">
      <c r="B22" t="s">
        <v>25</v>
      </c>
      <c r="C22" t="s">
        <v>486</v>
      </c>
      <c r="D22">
        <v>0.1</v>
      </c>
      <c r="E22" t="s">
        <v>641</v>
      </c>
      <c r="H22">
        <v>2019</v>
      </c>
      <c r="I22" t="s">
        <v>25</v>
      </c>
      <c r="J22">
        <v>1123813</v>
      </c>
      <c r="L22" t="str">
        <f t="shared" si="0"/>
        <v>Japan</v>
      </c>
      <c r="M22" t="s">
        <v>254</v>
      </c>
      <c r="N22" s="23">
        <f t="shared" si="1"/>
        <v>-374.604333333333</v>
      </c>
      <c r="O22">
        <v>3</v>
      </c>
      <c r="P22" t="s">
        <v>383</v>
      </c>
      <c r="R22" t="str">
        <f t="shared" si="2"/>
        <v>Japan</v>
      </c>
      <c r="S22" t="s">
        <v>254</v>
      </c>
      <c r="T22" s="23">
        <f t="shared" si="3"/>
        <v>-374.604333333333</v>
      </c>
      <c r="U22">
        <v>3</v>
      </c>
      <c r="V22" t="s">
        <v>585</v>
      </c>
    </row>
    <row r="23" spans="2:22">
      <c r="B23" t="s">
        <v>26</v>
      </c>
      <c r="C23" t="s">
        <v>486</v>
      </c>
      <c r="D23">
        <v>0.0375</v>
      </c>
      <c r="E23" t="s">
        <v>641</v>
      </c>
      <c r="H23">
        <v>2019</v>
      </c>
      <c r="I23" t="s">
        <v>26</v>
      </c>
      <c r="J23">
        <v>806801.1</v>
      </c>
      <c r="L23" t="str">
        <f t="shared" si="0"/>
        <v>LatAm</v>
      </c>
      <c r="M23" t="s">
        <v>254</v>
      </c>
      <c r="N23" s="23">
        <f t="shared" si="1"/>
        <v>-268.9337</v>
      </c>
      <c r="O23">
        <v>3</v>
      </c>
      <c r="P23" t="s">
        <v>383</v>
      </c>
      <c r="R23" t="str">
        <f t="shared" si="2"/>
        <v>LatAm</v>
      </c>
      <c r="S23" t="s">
        <v>254</v>
      </c>
      <c r="T23" s="23">
        <f t="shared" si="3"/>
        <v>-268.9337</v>
      </c>
      <c r="U23">
        <v>3</v>
      </c>
      <c r="V23" t="s">
        <v>585</v>
      </c>
    </row>
    <row r="24" spans="2:22">
      <c r="B24" t="s">
        <v>27</v>
      </c>
      <c r="C24" t="s">
        <v>486</v>
      </c>
      <c r="D24">
        <v>0.01</v>
      </c>
      <c r="E24" t="s">
        <v>641</v>
      </c>
      <c r="H24">
        <v>2019</v>
      </c>
      <c r="I24" t="s">
        <v>27</v>
      </c>
      <c r="J24">
        <v>1602111.4</v>
      </c>
      <c r="L24" t="str">
        <f t="shared" si="0"/>
        <v>MidEast</v>
      </c>
      <c r="M24" t="s">
        <v>254</v>
      </c>
      <c r="N24" s="23">
        <f t="shared" si="1"/>
        <v>-534.037133333333</v>
      </c>
      <c r="O24">
        <v>3</v>
      </c>
      <c r="P24" t="s">
        <v>383</v>
      </c>
      <c r="R24" t="str">
        <f t="shared" si="2"/>
        <v>MidEast</v>
      </c>
      <c r="S24" t="s">
        <v>254</v>
      </c>
      <c r="T24" s="23">
        <f t="shared" si="3"/>
        <v>-534.037133333333</v>
      </c>
      <c r="U24">
        <v>3</v>
      </c>
      <c r="V24" t="s">
        <v>585</v>
      </c>
    </row>
    <row r="25" spans="2:22">
      <c r="B25" t="s">
        <v>28</v>
      </c>
      <c r="C25" t="s">
        <v>486</v>
      </c>
      <c r="D25">
        <v>0.025</v>
      </c>
      <c r="E25" t="s">
        <v>641</v>
      </c>
      <c r="H25">
        <v>2019</v>
      </c>
      <c r="I25" t="s">
        <v>28</v>
      </c>
      <c r="J25">
        <v>6070661</v>
      </c>
      <c r="L25" t="str">
        <f t="shared" si="0"/>
        <v>NorthAm</v>
      </c>
      <c r="M25" t="s">
        <v>254</v>
      </c>
      <c r="N25" s="23">
        <f t="shared" si="1"/>
        <v>-2023.55366666667</v>
      </c>
      <c r="O25">
        <v>3</v>
      </c>
      <c r="P25" t="s">
        <v>383</v>
      </c>
      <c r="R25" t="str">
        <f t="shared" si="2"/>
        <v>NorthAm</v>
      </c>
      <c r="S25" t="s">
        <v>254</v>
      </c>
      <c r="T25" s="23">
        <f t="shared" si="3"/>
        <v>-2023.55366666667</v>
      </c>
      <c r="U25">
        <v>3</v>
      </c>
      <c r="V25" t="s">
        <v>585</v>
      </c>
    </row>
    <row r="26" spans="2:22">
      <c r="B26" t="s">
        <v>29</v>
      </c>
      <c r="C26" t="s">
        <v>486</v>
      </c>
      <c r="D26">
        <v>0.08</v>
      </c>
      <c r="E26" t="s">
        <v>641</v>
      </c>
      <c r="H26">
        <v>2019</v>
      </c>
      <c r="I26" t="s">
        <v>29</v>
      </c>
      <c r="J26">
        <v>45346.6</v>
      </c>
      <c r="L26" t="str">
        <f t="shared" si="0"/>
        <v>Norway</v>
      </c>
      <c r="M26" t="s">
        <v>254</v>
      </c>
      <c r="N26" s="23">
        <f t="shared" si="1"/>
        <v>-15.1155333333333</v>
      </c>
      <c r="O26">
        <v>3</v>
      </c>
      <c r="P26" t="s">
        <v>383</v>
      </c>
      <c r="R26" t="str">
        <f t="shared" si="2"/>
        <v>Norway</v>
      </c>
      <c r="S26" t="s">
        <v>254</v>
      </c>
      <c r="T26" s="23">
        <f t="shared" si="3"/>
        <v>-15.1155333333333</v>
      </c>
      <c r="U26">
        <v>3</v>
      </c>
      <c r="V26" t="s">
        <v>585</v>
      </c>
    </row>
    <row r="27" spans="2:22">
      <c r="B27" t="s">
        <v>30</v>
      </c>
      <c r="C27" t="s">
        <v>486</v>
      </c>
      <c r="D27">
        <v>0.08</v>
      </c>
      <c r="E27" t="s">
        <v>641</v>
      </c>
      <c r="H27">
        <v>2019</v>
      </c>
      <c r="I27" t="s">
        <v>30</v>
      </c>
      <c r="J27">
        <v>312070.7</v>
      </c>
      <c r="L27" t="str">
        <f t="shared" si="0"/>
        <v>Poland</v>
      </c>
      <c r="M27" t="s">
        <v>254</v>
      </c>
      <c r="N27" s="23">
        <f t="shared" si="1"/>
        <v>-104.023566666667</v>
      </c>
      <c r="O27">
        <v>3</v>
      </c>
      <c r="P27" t="s">
        <v>383</v>
      </c>
      <c r="R27" t="str">
        <f t="shared" si="2"/>
        <v>Poland</v>
      </c>
      <c r="S27" t="s">
        <v>254</v>
      </c>
      <c r="T27" s="23">
        <f t="shared" si="3"/>
        <v>-104.023566666667</v>
      </c>
      <c r="U27">
        <v>3</v>
      </c>
      <c r="V27" t="s">
        <v>585</v>
      </c>
    </row>
    <row r="28" spans="2:22">
      <c r="B28" t="s">
        <v>31</v>
      </c>
      <c r="C28" t="s">
        <v>486</v>
      </c>
      <c r="D28">
        <v>0.05</v>
      </c>
      <c r="E28" t="s">
        <v>641</v>
      </c>
      <c r="H28">
        <v>2019</v>
      </c>
      <c r="I28" t="s">
        <v>31</v>
      </c>
      <c r="J28">
        <v>3491433.3</v>
      </c>
      <c r="L28" t="str">
        <f t="shared" si="0"/>
        <v>ROW</v>
      </c>
      <c r="M28" t="s">
        <v>254</v>
      </c>
      <c r="N28" s="23">
        <f t="shared" si="1"/>
        <v>-1163.8111</v>
      </c>
      <c r="O28">
        <v>3</v>
      </c>
      <c r="P28" t="s">
        <v>383</v>
      </c>
      <c r="R28" t="str">
        <f t="shared" si="2"/>
        <v>ROW</v>
      </c>
      <c r="S28" t="s">
        <v>254</v>
      </c>
      <c r="T28" s="23">
        <f t="shared" si="3"/>
        <v>-1163.8111</v>
      </c>
      <c r="U28">
        <v>3</v>
      </c>
      <c r="V28" t="s">
        <v>585</v>
      </c>
    </row>
    <row r="29" spans="2:22">
      <c r="B29" t="s">
        <v>32</v>
      </c>
      <c r="C29" t="s">
        <v>486</v>
      </c>
      <c r="D29">
        <v>0.05</v>
      </c>
      <c r="E29" t="s">
        <v>641</v>
      </c>
      <c r="H29">
        <v>2019</v>
      </c>
      <c r="I29" t="s">
        <v>32</v>
      </c>
      <c r="J29">
        <v>1919249.5</v>
      </c>
      <c r="L29" t="str">
        <f t="shared" si="0"/>
        <v>Russia</v>
      </c>
      <c r="M29" t="s">
        <v>254</v>
      </c>
      <c r="N29" s="23">
        <f t="shared" si="1"/>
        <v>-639.749833333333</v>
      </c>
      <c r="O29">
        <v>3</v>
      </c>
      <c r="P29" t="s">
        <v>383</v>
      </c>
      <c r="R29" t="str">
        <f t="shared" si="2"/>
        <v>Russia</v>
      </c>
      <c r="S29" t="s">
        <v>254</v>
      </c>
      <c r="T29" s="23">
        <f t="shared" si="3"/>
        <v>-639.749833333333</v>
      </c>
      <c r="U29">
        <v>3</v>
      </c>
      <c r="V29" t="s">
        <v>585</v>
      </c>
    </row>
    <row r="30" spans="2:22">
      <c r="B30" t="s">
        <v>33</v>
      </c>
      <c r="C30" t="s">
        <v>486</v>
      </c>
      <c r="D30">
        <v>0.01</v>
      </c>
      <c r="E30" t="s">
        <v>641</v>
      </c>
      <c r="H30">
        <v>2019</v>
      </c>
      <c r="I30" t="s">
        <v>33</v>
      </c>
      <c r="J30">
        <v>579808.8</v>
      </c>
      <c r="L30" t="str">
        <f t="shared" si="0"/>
        <v>SaudiArabia</v>
      </c>
      <c r="M30" t="s">
        <v>254</v>
      </c>
      <c r="N30" s="23">
        <f t="shared" si="1"/>
        <v>-193.2696</v>
      </c>
      <c r="O30">
        <v>3</v>
      </c>
      <c r="P30" t="s">
        <v>383</v>
      </c>
      <c r="R30" t="str">
        <f t="shared" si="2"/>
        <v>SaudiArabia</v>
      </c>
      <c r="S30" t="s">
        <v>254</v>
      </c>
      <c r="T30" s="23">
        <f t="shared" si="3"/>
        <v>-193.2696</v>
      </c>
      <c r="U30">
        <v>3</v>
      </c>
      <c r="V30" t="s">
        <v>585</v>
      </c>
    </row>
    <row r="31" spans="2:22">
      <c r="B31" t="s">
        <v>34</v>
      </c>
      <c r="C31" t="s">
        <v>486</v>
      </c>
      <c r="D31">
        <v>0.08</v>
      </c>
      <c r="E31" t="s">
        <v>641</v>
      </c>
      <c r="H31">
        <v>2019</v>
      </c>
      <c r="I31" t="s">
        <v>34</v>
      </c>
      <c r="J31">
        <v>477544.6</v>
      </c>
      <c r="L31" t="str">
        <f t="shared" si="0"/>
        <v>SouthAfrica</v>
      </c>
      <c r="M31" t="s">
        <v>254</v>
      </c>
      <c r="N31" s="23">
        <f t="shared" si="1"/>
        <v>-159.181533333333</v>
      </c>
      <c r="O31">
        <v>3</v>
      </c>
      <c r="P31" t="s">
        <v>383</v>
      </c>
      <c r="R31" t="str">
        <f t="shared" si="2"/>
        <v>SouthAfrica</v>
      </c>
      <c r="S31" t="s">
        <v>254</v>
      </c>
      <c r="T31" s="23">
        <f t="shared" si="3"/>
        <v>-159.181533333333</v>
      </c>
      <c r="U31">
        <v>3</v>
      </c>
      <c r="V31" t="s">
        <v>585</v>
      </c>
    </row>
    <row r="32" spans="2:22">
      <c r="B32" t="s">
        <v>35</v>
      </c>
      <c r="C32" t="s">
        <v>486</v>
      </c>
      <c r="D32">
        <v>0.08</v>
      </c>
      <c r="E32" t="s">
        <v>641</v>
      </c>
      <c r="H32">
        <v>2019</v>
      </c>
      <c r="I32" t="s">
        <v>35</v>
      </c>
      <c r="J32">
        <v>300779.3</v>
      </c>
      <c r="L32" t="str">
        <f t="shared" si="0"/>
        <v>SpainPor</v>
      </c>
      <c r="M32" t="s">
        <v>254</v>
      </c>
      <c r="N32" s="23">
        <f t="shared" si="1"/>
        <v>-100.259766666667</v>
      </c>
      <c r="O32">
        <v>3</v>
      </c>
      <c r="P32" t="s">
        <v>383</v>
      </c>
      <c r="R32" t="str">
        <f t="shared" si="2"/>
        <v>SpainPor</v>
      </c>
      <c r="S32" t="s">
        <v>254</v>
      </c>
      <c r="T32" s="23">
        <f t="shared" si="3"/>
        <v>-100.259766666667</v>
      </c>
      <c r="U32">
        <v>3</v>
      </c>
      <c r="V32" t="s">
        <v>585</v>
      </c>
    </row>
    <row r="33" spans="2:22">
      <c r="B33" t="s">
        <v>36</v>
      </c>
      <c r="C33" t="s">
        <v>486</v>
      </c>
      <c r="D33">
        <v>0.08</v>
      </c>
      <c r="E33" t="s">
        <v>641</v>
      </c>
      <c r="H33">
        <v>2019</v>
      </c>
      <c r="I33" t="s">
        <v>36</v>
      </c>
      <c r="J33">
        <v>113715.7</v>
      </c>
      <c r="L33" t="str">
        <f t="shared" si="0"/>
        <v>SweFinDen</v>
      </c>
      <c r="M33" t="s">
        <v>254</v>
      </c>
      <c r="N33" s="23">
        <f t="shared" si="1"/>
        <v>-37.9052333333333</v>
      </c>
      <c r="O33">
        <v>3</v>
      </c>
      <c r="P33" t="s">
        <v>383</v>
      </c>
      <c r="R33" t="str">
        <f t="shared" si="2"/>
        <v>SweFinDen</v>
      </c>
      <c r="S33" t="s">
        <v>254</v>
      </c>
      <c r="T33" s="23">
        <f t="shared" si="3"/>
        <v>-37.9052333333333</v>
      </c>
      <c r="U33">
        <v>3</v>
      </c>
      <c r="V33" t="s">
        <v>585</v>
      </c>
    </row>
    <row r="34" spans="2:22">
      <c r="B34" t="s">
        <v>37</v>
      </c>
      <c r="C34" t="s">
        <v>486</v>
      </c>
      <c r="D34">
        <v>0.08</v>
      </c>
      <c r="E34" t="s">
        <v>641</v>
      </c>
      <c r="H34">
        <v>2019</v>
      </c>
      <c r="I34" t="s">
        <v>37</v>
      </c>
      <c r="J34">
        <v>38395.4</v>
      </c>
      <c r="L34" t="str">
        <f t="shared" si="0"/>
        <v>Switzerland</v>
      </c>
      <c r="M34" t="s">
        <v>254</v>
      </c>
      <c r="N34" s="23">
        <f t="shared" si="1"/>
        <v>-12.7984666666667</v>
      </c>
      <c r="O34">
        <v>3</v>
      </c>
      <c r="P34" t="s">
        <v>383</v>
      </c>
      <c r="R34" t="str">
        <f t="shared" si="2"/>
        <v>Switzerland</v>
      </c>
      <c r="S34" t="s">
        <v>254</v>
      </c>
      <c r="T34" s="23">
        <f t="shared" si="3"/>
        <v>-12.7984666666667</v>
      </c>
      <c r="U34">
        <v>3</v>
      </c>
      <c r="V34" t="s">
        <v>585</v>
      </c>
    </row>
    <row r="35" spans="2:22">
      <c r="B35" t="s">
        <v>38</v>
      </c>
      <c r="C35" t="s">
        <v>486</v>
      </c>
      <c r="D35">
        <v>0.0375</v>
      </c>
      <c r="E35" t="s">
        <v>641</v>
      </c>
      <c r="H35">
        <v>2019</v>
      </c>
      <c r="I35" t="s">
        <v>38</v>
      </c>
      <c r="J35">
        <v>414477.5</v>
      </c>
      <c r="L35" t="str">
        <f t="shared" si="0"/>
        <v>Turkey</v>
      </c>
      <c r="M35" t="s">
        <v>254</v>
      </c>
      <c r="N35" s="23">
        <f t="shared" si="1"/>
        <v>-138.159166666667</v>
      </c>
      <c r="O35">
        <v>3</v>
      </c>
      <c r="P35" t="s">
        <v>383</v>
      </c>
      <c r="R35" t="str">
        <f t="shared" si="2"/>
        <v>Turkey</v>
      </c>
      <c r="S35" t="s">
        <v>254</v>
      </c>
      <c r="T35" s="23">
        <f t="shared" si="3"/>
        <v>-138.159166666667</v>
      </c>
      <c r="U35">
        <v>3</v>
      </c>
      <c r="V35" t="s">
        <v>585</v>
      </c>
    </row>
    <row r="36" spans="2:22">
      <c r="B36" t="s">
        <v>39</v>
      </c>
      <c r="C36" t="s">
        <v>486</v>
      </c>
      <c r="D36">
        <v>0.08</v>
      </c>
      <c r="E36" t="s">
        <v>641</v>
      </c>
      <c r="H36">
        <v>2019</v>
      </c>
      <c r="I36" t="s">
        <v>39</v>
      </c>
      <c r="J36">
        <v>359013.1</v>
      </c>
      <c r="L36" t="str">
        <f t="shared" si="0"/>
        <v>UK</v>
      </c>
      <c r="M36" t="s">
        <v>254</v>
      </c>
      <c r="N36" s="23">
        <f t="shared" si="1"/>
        <v>-119.671033333333</v>
      </c>
      <c r="O36">
        <v>3</v>
      </c>
      <c r="P36" t="s">
        <v>383</v>
      </c>
      <c r="R36" t="str">
        <f t="shared" si="2"/>
        <v>UK</v>
      </c>
      <c r="S36" t="s">
        <v>254</v>
      </c>
      <c r="T36" s="23">
        <f t="shared" si="3"/>
        <v>-119.671033333333</v>
      </c>
      <c r="U36">
        <v>3</v>
      </c>
      <c r="V36" t="s">
        <v>585</v>
      </c>
    </row>
    <row r="37" spans="2:22">
      <c r="B37" t="s">
        <v>40</v>
      </c>
      <c r="C37" t="s">
        <v>486</v>
      </c>
      <c r="D37">
        <v>0.0375</v>
      </c>
      <c r="E37" t="s">
        <v>641</v>
      </c>
      <c r="H37">
        <v>2019</v>
      </c>
      <c r="I37" t="s">
        <v>40</v>
      </c>
      <c r="J37">
        <v>217019.8</v>
      </c>
      <c r="L37" t="str">
        <f t="shared" si="0"/>
        <v>Ukraine</v>
      </c>
      <c r="M37" t="s">
        <v>254</v>
      </c>
      <c r="N37" s="23">
        <f t="shared" si="1"/>
        <v>-72.3399333333333</v>
      </c>
      <c r="O37">
        <v>3</v>
      </c>
      <c r="P37" t="s">
        <v>383</v>
      </c>
      <c r="R37" t="str">
        <f t="shared" si="2"/>
        <v>Ukraine</v>
      </c>
      <c r="S37" t="s">
        <v>254</v>
      </c>
      <c r="T37" s="23">
        <f t="shared" si="3"/>
        <v>-72.3399333333333</v>
      </c>
      <c r="U37">
        <v>3</v>
      </c>
      <c r="V37" t="s">
        <v>585</v>
      </c>
    </row>
    <row r="38" spans="2:22">
      <c r="B38" t="s">
        <v>41</v>
      </c>
      <c r="C38" t="s">
        <v>486</v>
      </c>
      <c r="D38">
        <v>0.0375</v>
      </c>
      <c r="E38" t="s">
        <v>641</v>
      </c>
      <c r="H38">
        <v>2019</v>
      </c>
      <c r="I38" t="s">
        <v>41</v>
      </c>
      <c r="J38">
        <v>27581.5</v>
      </c>
      <c r="L38" t="str">
        <f t="shared" si="0"/>
        <v>WestBalkans</v>
      </c>
      <c r="M38" t="s">
        <v>254</v>
      </c>
      <c r="N38" s="23">
        <f t="shared" si="1"/>
        <v>-9.19383333333333</v>
      </c>
      <c r="O38">
        <v>3</v>
      </c>
      <c r="P38" t="s">
        <v>383</v>
      </c>
      <c r="R38" t="str">
        <f t="shared" si="2"/>
        <v>WestBalkans</v>
      </c>
      <c r="S38" t="s">
        <v>254</v>
      </c>
      <c r="T38" s="23">
        <f t="shared" si="3"/>
        <v>-9.19383333333333</v>
      </c>
      <c r="U38">
        <v>3</v>
      </c>
      <c r="V38" t="s">
        <v>585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H98"/>
  <sheetViews>
    <sheetView zoomScale="69" zoomScaleNormal="69" workbookViewId="0">
      <selection activeCell="L4" sqref="L4"/>
    </sheetView>
  </sheetViews>
  <sheetFormatPr defaultColWidth="9" defaultRowHeight="14.5"/>
  <cols>
    <col min="2" max="2" width="24.4" customWidth="1"/>
    <col min="3" max="3" width="19.8636363636364" customWidth="1"/>
    <col min="4" max="4" width="7.86363636363636" customWidth="1"/>
    <col min="5" max="5" width="8" customWidth="1"/>
    <col min="6" max="6" width="5.54545454545455" customWidth="1"/>
    <col min="7" max="7" width="2.54545454545455" customWidth="1"/>
    <col min="9" max="9" width="18.9090909090909" customWidth="1"/>
    <col min="13" max="13" width="25.4545454545455" customWidth="1"/>
    <col min="15" max="16" width="14"/>
    <col min="20" max="20" width="67.8181818181818" customWidth="1"/>
    <col min="21" max="25" width="9" style="14"/>
    <col min="26" max="26" width="21.2545454545455" customWidth="1"/>
    <col min="33" max="33" width="15.1454545454545" customWidth="1"/>
  </cols>
  <sheetData>
    <row r="1" spans="1:34">
      <c r="Z1" s="3" t="s">
        <v>639</v>
      </c>
      <c r="AA1" s="3" t="s">
        <v>642</v>
      </c>
      <c r="AF1" s="3" t="s">
        <v>639</v>
      </c>
      <c r="AG1" s="3" t="s">
        <v>643</v>
      </c>
      <c r="AH1" s="3"/>
    </row>
    <row r="2" ht="29" spans="1:34">
      <c r="Z2" s="4" t="s">
        <v>644</v>
      </c>
      <c r="AA2" s="4">
        <v>21.6</v>
      </c>
      <c r="AB2">
        <f>-AA2</f>
        <v>-21.6</v>
      </c>
      <c r="AF2" s="4" t="s">
        <v>645</v>
      </c>
      <c r="AG2" s="4">
        <v>120</v>
      </c>
      <c r="AH2" s="4">
        <f>-AG2</f>
        <v>-120</v>
      </c>
    </row>
    <row r="3" ht="29" spans="1:34">
      <c r="B3" t="s">
        <v>1</v>
      </c>
      <c r="Z3" s="4" t="s">
        <v>646</v>
      </c>
      <c r="AA3" s="4">
        <v>28.8</v>
      </c>
      <c r="AB3">
        <f t="shared" ref="AB3:AB34" si="0">-AA3</f>
        <v>-28.8</v>
      </c>
      <c r="AF3" s="4" t="s">
        <v>647</v>
      </c>
      <c r="AG3" s="4">
        <v>134</v>
      </c>
      <c r="AH3" s="4">
        <f t="shared" ref="AH3:AH19" si="1">-AG3</f>
        <v>-134</v>
      </c>
    </row>
    <row r="4" ht="29" spans="1:3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5"/>
      <c r="V4" s="15"/>
      <c r="W4" s="15"/>
      <c r="X4" s="15"/>
      <c r="Y4" s="15"/>
      <c r="Z4" s="16" t="s">
        <v>648</v>
      </c>
      <c r="AA4" s="4">
        <v>36</v>
      </c>
      <c r="AB4">
        <f t="shared" si="0"/>
        <v>-36</v>
      </c>
      <c r="AF4" s="4" t="s">
        <v>649</v>
      </c>
      <c r="AG4" s="4">
        <v>149</v>
      </c>
      <c r="AH4" s="4">
        <f t="shared" si="1"/>
        <v>-149</v>
      </c>
    </row>
    <row r="5" ht="29" spans="1:34">
      <c r="A5" s="8"/>
      <c r="B5" s="9"/>
      <c r="C5" s="9" t="s">
        <v>650</v>
      </c>
      <c r="D5" s="9"/>
      <c r="E5" s="9"/>
      <c r="F5" s="9"/>
      <c r="G5" s="9"/>
      <c r="H5" s="9"/>
      <c r="I5" s="9"/>
      <c r="J5" s="8"/>
      <c r="K5" s="8"/>
      <c r="L5" s="8"/>
      <c r="M5" s="9"/>
      <c r="N5" s="9" t="s">
        <v>651</v>
      </c>
      <c r="O5" s="9"/>
      <c r="P5" s="9"/>
      <c r="Q5" s="9"/>
      <c r="R5" s="9"/>
      <c r="S5" s="9"/>
      <c r="T5" s="9"/>
      <c r="U5" s="15"/>
      <c r="V5" s="15"/>
      <c r="W5" s="15"/>
      <c r="X5" s="15"/>
      <c r="Y5" s="15"/>
      <c r="Z5" s="16" t="s">
        <v>652</v>
      </c>
      <c r="AA5" s="4">
        <v>45</v>
      </c>
      <c r="AB5">
        <f t="shared" si="0"/>
        <v>-45</v>
      </c>
      <c r="AF5" s="4" t="s">
        <v>653</v>
      </c>
      <c r="AG5" s="4">
        <v>163</v>
      </c>
      <c r="AH5" s="4">
        <f t="shared" si="1"/>
        <v>-163</v>
      </c>
    </row>
    <row r="6" ht="29" spans="1:34">
      <c r="A6" s="8"/>
      <c r="B6" s="9" t="s">
        <v>4</v>
      </c>
      <c r="C6" s="9" t="s">
        <v>5</v>
      </c>
      <c r="D6" s="9" t="s">
        <v>77</v>
      </c>
      <c r="E6" s="9" t="s">
        <v>6</v>
      </c>
      <c r="F6" s="9">
        <v>2019</v>
      </c>
      <c r="G6" s="9">
        <v>0</v>
      </c>
      <c r="H6" s="9" t="s">
        <v>76</v>
      </c>
      <c r="I6" s="9" t="s">
        <v>91</v>
      </c>
      <c r="J6" s="8"/>
      <c r="K6" s="8"/>
      <c r="L6" s="8"/>
      <c r="M6" s="9" t="s">
        <v>4</v>
      </c>
      <c r="N6" s="9" t="s">
        <v>5</v>
      </c>
      <c r="O6" s="9" t="s">
        <v>77</v>
      </c>
      <c r="P6" s="9" t="s">
        <v>6</v>
      </c>
      <c r="Q6" s="9">
        <v>2019</v>
      </c>
      <c r="R6" s="9">
        <v>0</v>
      </c>
      <c r="S6" s="9" t="s">
        <v>76</v>
      </c>
      <c r="T6" s="9" t="s">
        <v>91</v>
      </c>
      <c r="U6" s="15"/>
      <c r="V6" s="15"/>
      <c r="W6" s="15"/>
      <c r="X6" s="15"/>
      <c r="Y6" s="15"/>
      <c r="Z6" s="16" t="s">
        <v>654</v>
      </c>
      <c r="AA6" s="4">
        <v>54</v>
      </c>
      <c r="AB6">
        <f t="shared" si="0"/>
        <v>-54</v>
      </c>
      <c r="AF6" s="4" t="s">
        <v>655</v>
      </c>
      <c r="AG6" s="4">
        <v>177</v>
      </c>
      <c r="AH6" s="4">
        <f t="shared" si="1"/>
        <v>-177</v>
      </c>
    </row>
    <row r="7" s="2" customFormat="1" ht="29" spans="1:34">
      <c r="A7" s="8"/>
      <c r="B7" s="9" t="s">
        <v>656</v>
      </c>
      <c r="C7" s="9" t="s">
        <v>303</v>
      </c>
      <c r="D7" s="9" t="s">
        <v>97</v>
      </c>
      <c r="E7" s="9">
        <f>1/0.05</f>
        <v>20</v>
      </c>
      <c r="F7" s="9">
        <v>0</v>
      </c>
      <c r="G7" s="9">
        <v>5</v>
      </c>
      <c r="H7" s="9" t="s">
        <v>657</v>
      </c>
      <c r="I7" s="9" t="s">
        <v>658</v>
      </c>
      <c r="J7" s="8"/>
      <c r="K7" s="8"/>
      <c r="L7" s="8"/>
      <c r="M7" s="9" t="s">
        <v>659</v>
      </c>
      <c r="N7" s="9" t="s">
        <v>660</v>
      </c>
      <c r="O7" s="9" t="s">
        <v>657</v>
      </c>
      <c r="P7" s="17">
        <v>1</v>
      </c>
      <c r="Q7" s="9">
        <v>0</v>
      </c>
      <c r="R7" s="9">
        <v>5</v>
      </c>
      <c r="S7" s="9"/>
      <c r="T7" s="9" t="s">
        <v>661</v>
      </c>
      <c r="U7" s="15"/>
      <c r="V7" s="15"/>
      <c r="W7" s="15"/>
      <c r="X7" s="15"/>
      <c r="Y7" s="15"/>
      <c r="Z7" s="16" t="s">
        <v>662</v>
      </c>
      <c r="AA7" s="4">
        <v>63</v>
      </c>
      <c r="AB7">
        <f t="shared" si="0"/>
        <v>-63</v>
      </c>
      <c r="AC7"/>
      <c r="AD7"/>
      <c r="AE7"/>
      <c r="AF7" s="4" t="s">
        <v>663</v>
      </c>
      <c r="AG7" s="4">
        <v>191</v>
      </c>
      <c r="AH7" s="4">
        <f t="shared" si="1"/>
        <v>-191</v>
      </c>
    </row>
    <row r="8" ht="29" spans="1:34">
      <c r="A8" s="8"/>
      <c r="B8" s="9"/>
      <c r="C8" s="9" t="s">
        <v>112</v>
      </c>
      <c r="D8" s="11"/>
      <c r="E8" s="12">
        <v>-120</v>
      </c>
      <c r="F8" s="11"/>
      <c r="G8" s="11"/>
      <c r="H8" s="11"/>
      <c r="I8" s="12" t="s">
        <v>645</v>
      </c>
      <c r="J8" s="8"/>
      <c r="K8" s="8"/>
      <c r="L8" s="8"/>
      <c r="M8" s="9"/>
      <c r="N8" s="9" t="s">
        <v>112</v>
      </c>
      <c r="O8" s="9"/>
      <c r="P8" s="18">
        <v>-21.6</v>
      </c>
      <c r="Q8" s="9"/>
      <c r="R8" s="9"/>
      <c r="S8" s="9"/>
      <c r="T8" s="12" t="s">
        <v>644</v>
      </c>
      <c r="U8" s="15"/>
      <c r="V8" s="15"/>
      <c r="W8" s="15"/>
      <c r="X8" s="15"/>
      <c r="Y8" s="15"/>
      <c r="Z8" s="16" t="s">
        <v>664</v>
      </c>
      <c r="AA8" s="4">
        <v>72</v>
      </c>
      <c r="AB8">
        <f t="shared" si="0"/>
        <v>-72</v>
      </c>
      <c r="AF8" s="4" t="s">
        <v>665</v>
      </c>
      <c r="AG8" s="4">
        <v>206</v>
      </c>
      <c r="AH8" s="4">
        <f t="shared" si="1"/>
        <v>-206</v>
      </c>
    </row>
    <row r="9" ht="29" spans="1:34">
      <c r="A9" s="8"/>
      <c r="B9" s="9"/>
      <c r="C9" s="9" t="s">
        <v>112</v>
      </c>
      <c r="D9" s="11"/>
      <c r="E9" s="12">
        <v>-134</v>
      </c>
      <c r="F9" s="11"/>
      <c r="G9" s="11"/>
      <c r="H9" s="11"/>
      <c r="I9" s="12" t="s">
        <v>647</v>
      </c>
      <c r="J9" s="8"/>
      <c r="K9" s="8"/>
      <c r="L9" s="8"/>
      <c r="M9" s="9"/>
      <c r="N9" s="9" t="s">
        <v>112</v>
      </c>
      <c r="O9" s="9"/>
      <c r="P9" s="18">
        <v>-28.8</v>
      </c>
      <c r="Q9" s="9"/>
      <c r="R9" s="9"/>
      <c r="S9" s="9"/>
      <c r="T9" s="12" t="s">
        <v>646</v>
      </c>
      <c r="U9" s="15"/>
      <c r="V9" s="15"/>
      <c r="W9" s="15"/>
      <c r="X9" s="15"/>
      <c r="Y9" s="15"/>
      <c r="Z9" s="16" t="s">
        <v>666</v>
      </c>
      <c r="AA9" s="4">
        <v>90</v>
      </c>
      <c r="AB9">
        <f t="shared" si="0"/>
        <v>-90</v>
      </c>
      <c r="AF9" s="4" t="s">
        <v>667</v>
      </c>
      <c r="AG9" s="4">
        <v>220</v>
      </c>
      <c r="AH9" s="4">
        <f t="shared" si="1"/>
        <v>-220</v>
      </c>
    </row>
    <row r="10" ht="29" spans="1:34">
      <c r="A10" s="8"/>
      <c r="B10" s="9"/>
      <c r="C10" s="9" t="s">
        <v>112</v>
      </c>
      <c r="D10" s="9"/>
      <c r="E10" s="12">
        <v>-149</v>
      </c>
      <c r="F10" s="9"/>
      <c r="G10" s="9"/>
      <c r="H10" s="9"/>
      <c r="I10" s="12" t="s">
        <v>649</v>
      </c>
      <c r="J10" s="8"/>
      <c r="K10" s="8"/>
      <c r="L10" s="8"/>
      <c r="M10" s="9"/>
      <c r="N10" s="9" t="s">
        <v>112</v>
      </c>
      <c r="O10" s="9"/>
      <c r="P10" s="18">
        <v>-36</v>
      </c>
      <c r="Q10" s="9"/>
      <c r="R10" s="9"/>
      <c r="S10" s="9"/>
      <c r="T10" s="12" t="s">
        <v>648</v>
      </c>
      <c r="U10" s="15"/>
      <c r="V10" s="15"/>
      <c r="W10" s="15"/>
      <c r="X10" s="15"/>
      <c r="Y10" s="15"/>
      <c r="Z10" s="16" t="s">
        <v>668</v>
      </c>
      <c r="AA10" s="4">
        <v>36</v>
      </c>
      <c r="AB10">
        <f t="shared" si="0"/>
        <v>-36</v>
      </c>
      <c r="AF10" s="4" t="s">
        <v>652</v>
      </c>
      <c r="AG10" s="4">
        <v>45</v>
      </c>
      <c r="AH10" s="4">
        <f t="shared" si="1"/>
        <v>-45</v>
      </c>
    </row>
    <row r="11" ht="29" spans="1:34">
      <c r="A11" s="8"/>
      <c r="B11" s="9"/>
      <c r="C11" s="9" t="s">
        <v>112</v>
      </c>
      <c r="D11" s="9"/>
      <c r="E11" s="12">
        <v>-163</v>
      </c>
      <c r="F11" s="9"/>
      <c r="G11" s="9"/>
      <c r="H11" s="9"/>
      <c r="I11" s="12" t="s">
        <v>653</v>
      </c>
      <c r="J11" s="8"/>
      <c r="K11" s="8"/>
      <c r="L11" s="8"/>
      <c r="M11" s="9"/>
      <c r="N11" s="9" t="s">
        <v>112</v>
      </c>
      <c r="O11" s="9"/>
      <c r="P11" s="18">
        <v>-45</v>
      </c>
      <c r="Q11" s="9"/>
      <c r="R11" s="9"/>
      <c r="S11" s="9"/>
      <c r="T11" s="12" t="s">
        <v>652</v>
      </c>
      <c r="U11" s="15"/>
      <c r="V11" s="15"/>
      <c r="W11" s="15"/>
      <c r="X11" s="15"/>
      <c r="Y11" s="15"/>
      <c r="Z11" s="16" t="s">
        <v>669</v>
      </c>
      <c r="AA11" s="4">
        <v>48</v>
      </c>
      <c r="AB11">
        <f t="shared" si="0"/>
        <v>-48</v>
      </c>
      <c r="AF11" s="4" t="s">
        <v>654</v>
      </c>
      <c r="AG11" s="4">
        <v>54</v>
      </c>
      <c r="AH11" s="4">
        <f t="shared" si="1"/>
        <v>-54</v>
      </c>
    </row>
    <row r="12" s="13" customFormat="1" ht="29" spans="1:34">
      <c r="A12" s="8"/>
      <c r="B12" s="9"/>
      <c r="C12" s="9" t="s">
        <v>112</v>
      </c>
      <c r="D12" s="9"/>
      <c r="E12" s="12">
        <v>-177</v>
      </c>
      <c r="F12" s="9"/>
      <c r="G12" s="9"/>
      <c r="H12" s="9"/>
      <c r="I12" s="12" t="s">
        <v>655</v>
      </c>
      <c r="J12" s="8"/>
      <c r="K12" s="8"/>
      <c r="L12" s="8"/>
      <c r="M12" s="9"/>
      <c r="N12" s="9" t="s">
        <v>112</v>
      </c>
      <c r="O12" s="9"/>
      <c r="P12" s="18">
        <v>-54</v>
      </c>
      <c r="Q12" s="9"/>
      <c r="R12" s="9"/>
      <c r="S12" s="9"/>
      <c r="T12" s="12" t="s">
        <v>654</v>
      </c>
      <c r="U12" s="15"/>
      <c r="V12" s="15"/>
      <c r="W12" s="15"/>
      <c r="X12" s="15"/>
      <c r="Y12" s="15"/>
      <c r="Z12" s="16" t="s">
        <v>670</v>
      </c>
      <c r="AA12" s="4">
        <v>60</v>
      </c>
      <c r="AB12">
        <f t="shared" si="0"/>
        <v>-60</v>
      </c>
      <c r="AC12"/>
      <c r="AD12"/>
      <c r="AE12"/>
      <c r="AF12" s="4" t="s">
        <v>662</v>
      </c>
      <c r="AG12" s="4">
        <v>63</v>
      </c>
      <c r="AH12" s="4">
        <f t="shared" si="1"/>
        <v>-63</v>
      </c>
    </row>
    <row r="13" s="13" customFormat="1" ht="29" spans="1:34">
      <c r="A13" s="8"/>
      <c r="B13" s="9"/>
      <c r="C13" s="9" t="s">
        <v>112</v>
      </c>
      <c r="D13" s="9"/>
      <c r="E13" s="12">
        <v>-191</v>
      </c>
      <c r="F13" s="9"/>
      <c r="G13" s="9"/>
      <c r="H13" s="9"/>
      <c r="I13" s="12" t="s">
        <v>663</v>
      </c>
      <c r="J13" s="8"/>
      <c r="K13" s="8"/>
      <c r="L13" s="8"/>
      <c r="M13" s="9"/>
      <c r="N13" s="9" t="s">
        <v>112</v>
      </c>
      <c r="O13" s="9"/>
      <c r="P13" s="18">
        <v>-63</v>
      </c>
      <c r="Q13" s="9"/>
      <c r="R13" s="9"/>
      <c r="S13" s="9"/>
      <c r="T13" s="12" t="s">
        <v>662</v>
      </c>
      <c r="U13" s="15"/>
      <c r="V13" s="15"/>
      <c r="W13" s="15"/>
      <c r="X13" s="15"/>
      <c r="Y13" s="15"/>
      <c r="Z13" s="16" t="s">
        <v>671</v>
      </c>
      <c r="AA13" s="4">
        <v>75</v>
      </c>
      <c r="AB13">
        <f t="shared" si="0"/>
        <v>-75</v>
      </c>
      <c r="AC13"/>
      <c r="AD13"/>
      <c r="AE13"/>
      <c r="AF13" s="4" t="s">
        <v>664</v>
      </c>
      <c r="AG13" s="4">
        <v>72</v>
      </c>
      <c r="AH13" s="4">
        <f t="shared" si="1"/>
        <v>-72</v>
      </c>
    </row>
    <row r="14" s="13" customFormat="1" ht="29" spans="1:34">
      <c r="A14" s="8"/>
      <c r="B14" s="9"/>
      <c r="C14" s="9" t="s">
        <v>112</v>
      </c>
      <c r="D14" s="9"/>
      <c r="E14" s="12">
        <v>-206</v>
      </c>
      <c r="F14" s="9"/>
      <c r="G14" s="9"/>
      <c r="H14" s="9"/>
      <c r="I14" s="12" t="s">
        <v>665</v>
      </c>
      <c r="J14" s="8"/>
      <c r="K14" s="8"/>
      <c r="L14" s="8"/>
      <c r="M14" s="9"/>
      <c r="N14" s="9" t="s">
        <v>112</v>
      </c>
      <c r="O14" s="9"/>
      <c r="P14" s="18">
        <v>-72</v>
      </c>
      <c r="Q14" s="9"/>
      <c r="R14" s="9"/>
      <c r="S14" s="9"/>
      <c r="T14" s="12" t="s">
        <v>664</v>
      </c>
      <c r="U14" s="15"/>
      <c r="V14" s="15"/>
      <c r="W14" s="15"/>
      <c r="X14" s="15"/>
      <c r="Y14" s="15"/>
      <c r="Z14" s="16" t="s">
        <v>672</v>
      </c>
      <c r="AA14" s="4">
        <v>90</v>
      </c>
      <c r="AB14">
        <f t="shared" si="0"/>
        <v>-90</v>
      </c>
      <c r="AC14"/>
      <c r="AD14"/>
      <c r="AE14"/>
      <c r="AF14" s="4" t="s">
        <v>666</v>
      </c>
      <c r="AG14" s="4">
        <v>90</v>
      </c>
      <c r="AH14" s="4">
        <f t="shared" si="1"/>
        <v>-90</v>
      </c>
    </row>
    <row r="15" s="13" customFormat="1" ht="29" spans="1:34">
      <c r="A15" s="8"/>
      <c r="B15" s="9"/>
      <c r="C15" s="9" t="s">
        <v>112</v>
      </c>
      <c r="D15" s="9"/>
      <c r="E15" s="12">
        <v>-220</v>
      </c>
      <c r="F15" s="9"/>
      <c r="G15" s="9"/>
      <c r="H15" s="9"/>
      <c r="I15" s="12" t="s">
        <v>667</v>
      </c>
      <c r="J15" s="8"/>
      <c r="K15" s="8"/>
      <c r="L15" s="8"/>
      <c r="M15" s="9"/>
      <c r="N15" s="9" t="s">
        <v>112</v>
      </c>
      <c r="O15" s="9"/>
      <c r="P15" s="18">
        <v>-90</v>
      </c>
      <c r="Q15" s="9"/>
      <c r="R15" s="9"/>
      <c r="S15" s="9"/>
      <c r="T15" s="12" t="s">
        <v>666</v>
      </c>
      <c r="U15" s="15"/>
      <c r="V15" s="15"/>
      <c r="W15" s="15"/>
      <c r="X15" s="15"/>
      <c r="Y15" s="15"/>
      <c r="Z15" s="16" t="s">
        <v>673</v>
      </c>
      <c r="AA15" s="4">
        <v>105</v>
      </c>
      <c r="AB15">
        <f t="shared" si="0"/>
        <v>-105</v>
      </c>
      <c r="AC15"/>
      <c r="AD15"/>
      <c r="AE15"/>
      <c r="AF15" s="4" t="s">
        <v>671</v>
      </c>
      <c r="AG15" s="4">
        <v>75</v>
      </c>
      <c r="AH15" s="4">
        <f t="shared" si="1"/>
        <v>-75</v>
      </c>
    </row>
    <row r="16" ht="29" spans="1:34">
      <c r="A16" s="8"/>
      <c r="B16" s="9"/>
      <c r="C16" s="9" t="s">
        <v>112</v>
      </c>
      <c r="D16" s="9"/>
      <c r="E16" s="12">
        <v>-45</v>
      </c>
      <c r="F16" s="9"/>
      <c r="G16" s="9"/>
      <c r="H16" s="9"/>
      <c r="I16" s="12" t="s">
        <v>652</v>
      </c>
      <c r="J16" s="8"/>
      <c r="K16" s="8"/>
      <c r="L16" s="8"/>
      <c r="M16" s="9"/>
      <c r="N16" s="9" t="s">
        <v>112</v>
      </c>
      <c r="O16" s="9"/>
      <c r="P16" s="18">
        <v>-36</v>
      </c>
      <c r="Q16" s="9"/>
      <c r="R16" s="9"/>
      <c r="S16" s="9"/>
      <c r="T16" s="12" t="s">
        <v>668</v>
      </c>
      <c r="U16" s="15"/>
      <c r="V16" s="15"/>
      <c r="W16" s="15"/>
      <c r="X16" s="15"/>
      <c r="Y16" s="15"/>
      <c r="Z16" s="16" t="s">
        <v>674</v>
      </c>
      <c r="AA16" s="4">
        <v>120</v>
      </c>
      <c r="AB16">
        <f t="shared" si="0"/>
        <v>-120</v>
      </c>
      <c r="AF16" s="4" t="s">
        <v>672</v>
      </c>
      <c r="AG16" s="4">
        <v>90</v>
      </c>
      <c r="AH16" s="4">
        <f t="shared" si="1"/>
        <v>-90</v>
      </c>
    </row>
    <row r="17" ht="29" spans="1:34">
      <c r="A17" s="8"/>
      <c r="B17" s="9"/>
      <c r="C17" s="9" t="s">
        <v>112</v>
      </c>
      <c r="D17" s="9"/>
      <c r="E17" s="12">
        <v>-54</v>
      </c>
      <c r="F17" s="9"/>
      <c r="G17" s="9"/>
      <c r="H17" s="9"/>
      <c r="I17" s="12" t="s">
        <v>654</v>
      </c>
      <c r="J17" s="8"/>
      <c r="K17" s="8"/>
      <c r="L17" s="8"/>
      <c r="M17" s="9"/>
      <c r="N17" s="9" t="s">
        <v>112</v>
      </c>
      <c r="O17" s="9"/>
      <c r="P17" s="18">
        <v>-48</v>
      </c>
      <c r="Q17" s="9"/>
      <c r="R17" s="9"/>
      <c r="S17" s="9"/>
      <c r="T17" s="12" t="s">
        <v>669</v>
      </c>
      <c r="U17" s="15"/>
      <c r="V17" s="15"/>
      <c r="W17" s="15"/>
      <c r="X17" s="15"/>
      <c r="Y17" s="15"/>
      <c r="Z17" s="16" t="s">
        <v>675</v>
      </c>
      <c r="AA17" s="4">
        <v>150</v>
      </c>
      <c r="AB17">
        <f t="shared" si="0"/>
        <v>-150</v>
      </c>
      <c r="AF17" s="4" t="s">
        <v>673</v>
      </c>
      <c r="AG17" s="4">
        <v>105</v>
      </c>
      <c r="AH17" s="4">
        <f t="shared" si="1"/>
        <v>-105</v>
      </c>
    </row>
    <row r="18" ht="29" spans="1:34">
      <c r="A18" s="8"/>
      <c r="B18" s="9"/>
      <c r="C18" s="9" t="s">
        <v>112</v>
      </c>
      <c r="D18" s="9"/>
      <c r="E18" s="12">
        <v>-63</v>
      </c>
      <c r="F18" s="9"/>
      <c r="G18" s="9"/>
      <c r="H18" s="9"/>
      <c r="I18" s="12" t="s">
        <v>662</v>
      </c>
      <c r="J18" s="8"/>
      <c r="K18" s="8"/>
      <c r="L18" s="8"/>
      <c r="M18" s="9"/>
      <c r="N18" s="9" t="s">
        <v>112</v>
      </c>
      <c r="O18" s="9"/>
      <c r="P18" s="18">
        <v>-60</v>
      </c>
      <c r="Q18" s="9"/>
      <c r="R18" s="9"/>
      <c r="S18" s="9"/>
      <c r="T18" s="12" t="s">
        <v>670</v>
      </c>
      <c r="U18" s="15"/>
      <c r="V18" s="15"/>
      <c r="W18" s="15"/>
      <c r="X18" s="15"/>
      <c r="Y18" s="15"/>
      <c r="Z18" s="16" t="s">
        <v>676</v>
      </c>
      <c r="AA18" s="4">
        <v>180</v>
      </c>
      <c r="AB18">
        <f t="shared" si="0"/>
        <v>-180</v>
      </c>
      <c r="AF18" s="4" t="s">
        <v>674</v>
      </c>
      <c r="AG18" s="4">
        <v>120</v>
      </c>
      <c r="AH18" s="4">
        <f t="shared" si="1"/>
        <v>-120</v>
      </c>
    </row>
    <row r="19" s="2" customFormat="1" ht="29" spans="1:34">
      <c r="A19" s="8"/>
      <c r="B19" s="9"/>
      <c r="C19" s="9" t="s">
        <v>112</v>
      </c>
      <c r="D19" s="9"/>
      <c r="E19" s="12">
        <v>-72</v>
      </c>
      <c r="F19" s="9"/>
      <c r="G19" s="9"/>
      <c r="H19" s="9"/>
      <c r="I19" s="12" t="s">
        <v>664</v>
      </c>
      <c r="J19" s="8"/>
      <c r="K19" s="8"/>
      <c r="L19" s="8"/>
      <c r="M19" s="9"/>
      <c r="N19" s="9" t="s">
        <v>112</v>
      </c>
      <c r="O19" s="9"/>
      <c r="P19" s="18">
        <v>-75</v>
      </c>
      <c r="Q19" s="9"/>
      <c r="R19" s="9"/>
      <c r="S19" s="9"/>
      <c r="T19" s="12" t="s">
        <v>671</v>
      </c>
      <c r="U19" s="15"/>
      <c r="V19" s="15"/>
      <c r="W19" s="15"/>
      <c r="X19" s="15"/>
      <c r="Y19" s="15"/>
      <c r="Z19" s="16" t="s">
        <v>677</v>
      </c>
      <c r="AA19" s="4">
        <v>214.8</v>
      </c>
      <c r="AB19">
        <f t="shared" si="0"/>
        <v>-214.8</v>
      </c>
      <c r="AC19"/>
      <c r="AD19"/>
      <c r="AE19"/>
      <c r="AF19" s="4" t="s">
        <v>675</v>
      </c>
      <c r="AG19" s="4">
        <v>150</v>
      </c>
      <c r="AH19" s="4">
        <f t="shared" si="1"/>
        <v>-150</v>
      </c>
    </row>
    <row r="20" spans="1:34">
      <c r="A20" s="8"/>
      <c r="B20" s="9"/>
      <c r="C20" s="9" t="s">
        <v>112</v>
      </c>
      <c r="D20" s="9"/>
      <c r="E20" s="12">
        <v>-90</v>
      </c>
      <c r="F20" s="9"/>
      <c r="G20" s="9"/>
      <c r="H20" s="9"/>
      <c r="I20" s="12" t="s">
        <v>666</v>
      </c>
      <c r="J20" s="8"/>
      <c r="K20" s="8"/>
      <c r="L20" s="8"/>
      <c r="M20" s="9"/>
      <c r="N20" s="9" t="s">
        <v>112</v>
      </c>
      <c r="O20" s="9"/>
      <c r="P20" s="18">
        <v>-90</v>
      </c>
      <c r="Q20" s="9"/>
      <c r="R20" s="9"/>
      <c r="S20" s="9"/>
      <c r="T20" s="12" t="s">
        <v>672</v>
      </c>
      <c r="U20" s="15"/>
      <c r="V20" s="15"/>
      <c r="W20" s="15"/>
      <c r="X20" s="15"/>
      <c r="Y20" s="15"/>
      <c r="Z20" s="16" t="s">
        <v>678</v>
      </c>
      <c r="AA20" s="4">
        <v>248.4</v>
      </c>
      <c r="AB20">
        <f t="shared" si="0"/>
        <v>-248.4</v>
      </c>
    </row>
    <row r="21" spans="1:34">
      <c r="A21" s="8"/>
      <c r="B21" s="9"/>
      <c r="C21" s="9" t="s">
        <v>112</v>
      </c>
      <c r="D21" s="9"/>
      <c r="E21" s="12">
        <v>-75</v>
      </c>
      <c r="F21" s="9"/>
      <c r="G21" s="9"/>
      <c r="H21" s="9"/>
      <c r="I21" s="12" t="s">
        <v>671</v>
      </c>
      <c r="J21" s="8"/>
      <c r="K21" s="8"/>
      <c r="L21" s="8"/>
      <c r="M21" s="9"/>
      <c r="N21" s="9" t="s">
        <v>112</v>
      </c>
      <c r="O21" s="9"/>
      <c r="P21" s="18">
        <v>-105</v>
      </c>
      <c r="Q21" s="9"/>
      <c r="R21" s="9"/>
      <c r="S21" s="9"/>
      <c r="T21" s="12" t="s">
        <v>673</v>
      </c>
      <c r="U21" s="15"/>
      <c r="V21" s="15"/>
      <c r="W21" s="15"/>
      <c r="X21" s="15"/>
      <c r="Y21" s="15"/>
      <c r="Z21" s="16" t="s">
        <v>679</v>
      </c>
      <c r="AA21" s="4">
        <v>283.2</v>
      </c>
      <c r="AB21">
        <f t="shared" si="0"/>
        <v>-283.2</v>
      </c>
    </row>
    <row r="22" spans="1:34">
      <c r="A22" s="8"/>
      <c r="B22" s="9"/>
      <c r="C22" s="9" t="s">
        <v>112</v>
      </c>
      <c r="D22" s="9"/>
      <c r="E22" s="12">
        <v>-90</v>
      </c>
      <c r="F22" s="9"/>
      <c r="G22" s="9"/>
      <c r="H22" s="9"/>
      <c r="I22" s="12" t="s">
        <v>672</v>
      </c>
      <c r="J22" s="8"/>
      <c r="K22" s="8"/>
      <c r="L22" s="8"/>
      <c r="M22" s="9"/>
      <c r="N22" s="9" t="s">
        <v>112</v>
      </c>
      <c r="O22" s="9"/>
      <c r="P22" s="18">
        <v>-120</v>
      </c>
      <c r="Q22" s="9"/>
      <c r="R22" s="9"/>
      <c r="S22" s="9"/>
      <c r="T22" s="12" t="s">
        <v>674</v>
      </c>
      <c r="U22" s="15"/>
      <c r="V22" s="15"/>
      <c r="W22" s="15"/>
      <c r="X22" s="15"/>
      <c r="Y22" s="15"/>
      <c r="Z22" s="16" t="s">
        <v>680</v>
      </c>
      <c r="AA22" s="4">
        <v>316.8</v>
      </c>
      <c r="AB22">
        <f t="shared" si="0"/>
        <v>-316.8</v>
      </c>
    </row>
    <row r="23" spans="1:34">
      <c r="A23" s="8"/>
      <c r="B23" s="9"/>
      <c r="C23" s="9" t="s">
        <v>112</v>
      </c>
      <c r="D23" s="9"/>
      <c r="E23" s="12">
        <v>-105</v>
      </c>
      <c r="F23" s="9"/>
      <c r="G23" s="9"/>
      <c r="H23" s="9"/>
      <c r="I23" s="12" t="s">
        <v>673</v>
      </c>
      <c r="J23" s="8"/>
      <c r="K23" s="8"/>
      <c r="L23" s="8"/>
      <c r="M23" s="9"/>
      <c r="N23" s="9" t="s">
        <v>112</v>
      </c>
      <c r="O23" s="9"/>
      <c r="P23" s="18">
        <v>-150</v>
      </c>
      <c r="Q23" s="9"/>
      <c r="R23" s="9"/>
      <c r="S23" s="9"/>
      <c r="T23" s="12" t="s">
        <v>675</v>
      </c>
      <c r="U23" s="15"/>
      <c r="V23" s="15"/>
      <c r="W23" s="15"/>
      <c r="X23" s="15"/>
      <c r="Y23" s="15"/>
      <c r="Z23" s="16" t="s">
        <v>681</v>
      </c>
      <c r="AA23" s="4">
        <v>420</v>
      </c>
      <c r="AB23">
        <f t="shared" si="0"/>
        <v>-420</v>
      </c>
    </row>
    <row r="24" spans="1:34">
      <c r="A24" s="8"/>
      <c r="B24" s="9"/>
      <c r="C24" s="9" t="s">
        <v>112</v>
      </c>
      <c r="D24" s="9"/>
      <c r="E24" s="12">
        <v>-120</v>
      </c>
      <c r="F24" s="9"/>
      <c r="G24" s="9"/>
      <c r="H24" s="9"/>
      <c r="I24" s="12" t="s">
        <v>674</v>
      </c>
      <c r="J24" s="8"/>
      <c r="K24" s="8"/>
      <c r="L24" s="8"/>
      <c r="M24" s="9"/>
      <c r="N24" s="9" t="s">
        <v>112</v>
      </c>
      <c r="O24" s="9"/>
      <c r="P24" s="18">
        <v>-180</v>
      </c>
      <c r="Q24" s="9"/>
      <c r="R24" s="9"/>
      <c r="S24" s="9"/>
      <c r="T24" s="12" t="s">
        <v>676</v>
      </c>
      <c r="U24" s="15"/>
      <c r="V24" s="15"/>
      <c r="W24" s="15"/>
      <c r="X24" s="15"/>
      <c r="Y24" s="15"/>
      <c r="Z24" s="16" t="s">
        <v>682</v>
      </c>
      <c r="AA24" s="4">
        <v>600</v>
      </c>
      <c r="AB24">
        <f t="shared" si="0"/>
        <v>-600</v>
      </c>
    </row>
    <row r="25" spans="1:34">
      <c r="A25" s="8"/>
      <c r="B25" s="9"/>
      <c r="C25" s="9" t="s">
        <v>112</v>
      </c>
      <c r="D25" s="9"/>
      <c r="E25" s="12">
        <v>-150</v>
      </c>
      <c r="F25" s="9"/>
      <c r="G25" s="9"/>
      <c r="H25" s="9"/>
      <c r="I25" s="12" t="s">
        <v>675</v>
      </c>
      <c r="J25" s="8"/>
      <c r="K25" s="8"/>
      <c r="L25" s="8"/>
      <c r="M25" s="9"/>
      <c r="N25" s="9" t="s">
        <v>112</v>
      </c>
      <c r="O25" s="9"/>
      <c r="P25" s="18">
        <v>-214.8</v>
      </c>
      <c r="Q25" s="9"/>
      <c r="R25" s="9"/>
      <c r="S25" s="9"/>
      <c r="T25" s="12" t="s">
        <v>677</v>
      </c>
      <c r="U25" s="15"/>
      <c r="V25" s="15"/>
      <c r="W25" s="15"/>
      <c r="X25" s="15"/>
      <c r="Y25" s="15"/>
      <c r="Z25" s="16" t="s">
        <v>683</v>
      </c>
      <c r="AA25" s="4">
        <v>720</v>
      </c>
      <c r="AB25">
        <f t="shared" si="0"/>
        <v>-720</v>
      </c>
    </row>
    <row r="26" spans="1:3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9" t="s">
        <v>112</v>
      </c>
      <c r="O26" s="9"/>
      <c r="P26" s="18">
        <v>-248.4</v>
      </c>
      <c r="Q26" s="9"/>
      <c r="R26" s="9"/>
      <c r="S26" s="9"/>
      <c r="T26" s="12" t="s">
        <v>678</v>
      </c>
      <c r="U26" s="15"/>
      <c r="V26" s="15"/>
      <c r="W26" s="15"/>
      <c r="X26" s="15"/>
      <c r="Y26" s="15"/>
      <c r="Z26" s="16" t="s">
        <v>645</v>
      </c>
      <c r="AA26" s="4">
        <v>120</v>
      </c>
      <c r="AB26">
        <f t="shared" si="0"/>
        <v>-120</v>
      </c>
    </row>
    <row r="27" spans="1:3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 t="s">
        <v>112</v>
      </c>
      <c r="O27" s="9"/>
      <c r="P27" s="18">
        <v>-283.2</v>
      </c>
      <c r="Q27" s="9"/>
      <c r="R27" s="9"/>
      <c r="S27" s="9"/>
      <c r="T27" s="12" t="s">
        <v>679</v>
      </c>
      <c r="U27" s="15"/>
      <c r="V27" s="15"/>
      <c r="W27" s="15"/>
      <c r="X27" s="15"/>
      <c r="Y27" s="15"/>
      <c r="Z27" s="16" t="s">
        <v>647</v>
      </c>
      <c r="AA27" s="4">
        <v>134</v>
      </c>
      <c r="AB27">
        <f t="shared" si="0"/>
        <v>-134</v>
      </c>
    </row>
    <row r="28" spans="1:3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9" t="s">
        <v>112</v>
      </c>
      <c r="O28" s="9"/>
      <c r="P28" s="18">
        <v>-316.8</v>
      </c>
      <c r="Q28" s="9"/>
      <c r="R28" s="9"/>
      <c r="S28" s="9"/>
      <c r="T28" s="12" t="s">
        <v>680</v>
      </c>
      <c r="U28" s="15"/>
      <c r="V28" s="15"/>
      <c r="W28" s="15"/>
      <c r="X28" s="15"/>
      <c r="Y28" s="15"/>
      <c r="Z28" s="16" t="s">
        <v>649</v>
      </c>
      <c r="AA28" s="4">
        <v>149</v>
      </c>
      <c r="AB28">
        <f t="shared" si="0"/>
        <v>-149</v>
      </c>
    </row>
    <row r="29" spans="1:3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9" t="s">
        <v>112</v>
      </c>
      <c r="O29" s="9"/>
      <c r="P29" s="18">
        <v>-420</v>
      </c>
      <c r="Q29" s="9"/>
      <c r="R29" s="9"/>
      <c r="S29" s="9"/>
      <c r="T29" s="12" t="s">
        <v>681</v>
      </c>
      <c r="U29" s="15"/>
      <c r="V29" s="15"/>
      <c r="W29" s="15"/>
      <c r="X29" s="15"/>
      <c r="Y29" s="15"/>
      <c r="Z29" s="16" t="s">
        <v>653</v>
      </c>
      <c r="AA29" s="4">
        <v>163</v>
      </c>
      <c r="AB29">
        <f t="shared" si="0"/>
        <v>-163</v>
      </c>
    </row>
    <row r="30" spans="1:3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9" t="s">
        <v>112</v>
      </c>
      <c r="O30" s="9"/>
      <c r="P30" s="18">
        <v>-600</v>
      </c>
      <c r="Q30" s="9"/>
      <c r="R30" s="9"/>
      <c r="S30" s="9"/>
      <c r="T30" s="12" t="s">
        <v>682</v>
      </c>
      <c r="U30" s="15"/>
      <c r="V30" s="15"/>
      <c r="W30" s="15"/>
      <c r="X30" s="15"/>
      <c r="Y30" s="15"/>
      <c r="Z30" s="16" t="s">
        <v>655</v>
      </c>
      <c r="AA30" s="4">
        <v>177</v>
      </c>
      <c r="AB30">
        <f t="shared" si="0"/>
        <v>-177</v>
      </c>
    </row>
    <row r="31" spans="1:3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9" t="s">
        <v>112</v>
      </c>
      <c r="O31" s="9"/>
      <c r="P31" s="18">
        <v>-720</v>
      </c>
      <c r="Q31" s="9"/>
      <c r="R31" s="9"/>
      <c r="S31" s="9"/>
      <c r="T31" s="12" t="s">
        <v>683</v>
      </c>
      <c r="U31" s="15"/>
      <c r="V31" s="15"/>
      <c r="W31" s="15"/>
      <c r="X31" s="15"/>
      <c r="Y31" s="15"/>
      <c r="Z31" s="16" t="s">
        <v>663</v>
      </c>
      <c r="AA31" s="4">
        <v>191</v>
      </c>
      <c r="AB31">
        <f t="shared" si="0"/>
        <v>-191</v>
      </c>
    </row>
    <row r="32" spans="1:3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9" t="s">
        <v>112</v>
      </c>
      <c r="O32" s="9"/>
      <c r="P32" s="18">
        <v>-120</v>
      </c>
      <c r="Q32" s="9"/>
      <c r="R32" s="9"/>
      <c r="S32" s="9"/>
      <c r="T32" s="12" t="s">
        <v>645</v>
      </c>
      <c r="U32" s="15"/>
      <c r="V32" s="15"/>
      <c r="W32" s="15"/>
      <c r="X32" s="15"/>
      <c r="Y32" s="15"/>
      <c r="Z32" s="16" t="s">
        <v>665</v>
      </c>
      <c r="AA32" s="4">
        <v>206</v>
      </c>
      <c r="AB32">
        <f t="shared" si="0"/>
        <v>-206</v>
      </c>
    </row>
    <row r="33" spans="1:28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9" t="s">
        <v>112</v>
      </c>
      <c r="O33" s="9"/>
      <c r="P33" s="18">
        <v>-134</v>
      </c>
      <c r="Q33" s="9"/>
      <c r="R33" s="9"/>
      <c r="S33" s="9"/>
      <c r="T33" s="12" t="s">
        <v>647</v>
      </c>
      <c r="U33" s="15"/>
      <c r="V33" s="15"/>
      <c r="W33" s="15"/>
      <c r="X33" s="15"/>
      <c r="Y33" s="15"/>
      <c r="Z33" s="16" t="s">
        <v>667</v>
      </c>
      <c r="AA33" s="4">
        <v>220</v>
      </c>
      <c r="AB33">
        <f t="shared" si="0"/>
        <v>-220</v>
      </c>
    </row>
    <row r="34" spans="1:28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9" t="s">
        <v>112</v>
      </c>
      <c r="O34" s="9"/>
      <c r="P34" s="18">
        <v>-149</v>
      </c>
      <c r="Q34" s="9"/>
      <c r="R34" s="9"/>
      <c r="S34" s="9"/>
      <c r="T34" s="12" t="s">
        <v>649</v>
      </c>
      <c r="U34" s="15"/>
      <c r="V34" s="15"/>
      <c r="W34" s="15"/>
      <c r="X34" s="15"/>
      <c r="Y34" s="15"/>
      <c r="Z34" s="16" t="s">
        <v>684</v>
      </c>
      <c r="AA34" s="4">
        <v>6</v>
      </c>
      <c r="AB34">
        <f t="shared" si="0"/>
        <v>-6</v>
      </c>
    </row>
    <row r="35" spans="1:28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  <c r="N35" s="9" t="s">
        <v>112</v>
      </c>
      <c r="O35" s="9"/>
      <c r="P35" s="18">
        <v>-163</v>
      </c>
      <c r="Q35" s="9"/>
      <c r="R35" s="9"/>
      <c r="S35" s="9"/>
      <c r="T35" s="12" t="s">
        <v>653</v>
      </c>
      <c r="U35" s="15"/>
      <c r="V35" s="15"/>
      <c r="W35" s="15"/>
      <c r="X35" s="15"/>
      <c r="Y35" s="15"/>
      <c r="Z35" s="16" t="s">
        <v>685</v>
      </c>
      <c r="AA35" s="4">
        <v>6.55</v>
      </c>
      <c r="AB35">
        <f t="shared" ref="AB35:AB66" si="2">-AA35</f>
        <v>-6.55</v>
      </c>
    </row>
    <row r="36" spans="1:28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9" t="s">
        <v>112</v>
      </c>
      <c r="O36" s="9"/>
      <c r="P36" s="18">
        <v>-177</v>
      </c>
      <c r="Q36" s="9"/>
      <c r="R36" s="9"/>
      <c r="S36" s="9"/>
      <c r="T36" s="12" t="s">
        <v>655</v>
      </c>
      <c r="U36" s="15"/>
      <c r="V36" s="15"/>
      <c r="W36" s="15"/>
      <c r="X36" s="15"/>
      <c r="Y36" s="15"/>
      <c r="Z36" s="16" t="s">
        <v>686</v>
      </c>
      <c r="AA36" s="4">
        <v>7.15</v>
      </c>
      <c r="AB36">
        <f t="shared" si="2"/>
        <v>-7.15</v>
      </c>
    </row>
    <row r="37" spans="1:28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  <c r="N37" s="9" t="s">
        <v>112</v>
      </c>
      <c r="O37" s="9"/>
      <c r="P37" s="18">
        <v>-191</v>
      </c>
      <c r="Q37" s="9"/>
      <c r="R37" s="9"/>
      <c r="S37" s="9"/>
      <c r="T37" s="12" t="s">
        <v>663</v>
      </c>
      <c r="U37" s="15"/>
      <c r="V37" s="15"/>
      <c r="W37" s="15"/>
      <c r="X37" s="15"/>
      <c r="Y37" s="15"/>
      <c r="Z37" s="16" t="s">
        <v>687</v>
      </c>
      <c r="AA37" s="4">
        <v>7.7</v>
      </c>
      <c r="AB37">
        <f t="shared" si="2"/>
        <v>-7.7</v>
      </c>
    </row>
    <row r="38" spans="1:2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9" t="s">
        <v>112</v>
      </c>
      <c r="O38" s="9"/>
      <c r="P38" s="18">
        <v>-206</v>
      </c>
      <c r="Q38" s="9"/>
      <c r="R38" s="9"/>
      <c r="S38" s="9"/>
      <c r="T38" s="12" t="s">
        <v>665</v>
      </c>
      <c r="U38" s="15"/>
      <c r="V38" s="15"/>
      <c r="W38" s="15"/>
      <c r="X38" s="15"/>
      <c r="Y38" s="15"/>
      <c r="Z38" s="16" t="s">
        <v>688</v>
      </c>
      <c r="AA38" s="4">
        <v>8.3</v>
      </c>
      <c r="AB38">
        <f t="shared" si="2"/>
        <v>-8.3</v>
      </c>
    </row>
    <row r="39" spans="1:28">
      <c r="M39" s="19"/>
      <c r="N39" s="19" t="s">
        <v>112</v>
      </c>
      <c r="O39" s="19"/>
      <c r="P39" s="20">
        <v>-220</v>
      </c>
      <c r="Q39" s="19"/>
      <c r="R39" s="19"/>
      <c r="S39" s="19"/>
      <c r="T39" s="21" t="s">
        <v>667</v>
      </c>
      <c r="Z39" s="4" t="s">
        <v>689</v>
      </c>
      <c r="AA39" s="4">
        <v>8.85</v>
      </c>
      <c r="AB39">
        <f t="shared" si="2"/>
        <v>-8.85</v>
      </c>
    </row>
    <row r="40" spans="1:28">
      <c r="M40" s="19"/>
      <c r="N40" s="22" t="s">
        <v>112</v>
      </c>
      <c r="O40" s="19"/>
      <c r="P40" s="20">
        <v>-6</v>
      </c>
      <c r="Q40" s="19"/>
      <c r="R40" s="19"/>
      <c r="S40" s="19"/>
      <c r="T40" s="21" t="s">
        <v>684</v>
      </c>
      <c r="Z40" s="4" t="s">
        <v>690</v>
      </c>
      <c r="AA40" s="4">
        <v>9.45</v>
      </c>
      <c r="AB40">
        <f t="shared" si="2"/>
        <v>-9.45</v>
      </c>
    </row>
    <row r="41" spans="1:28">
      <c r="M41" s="19"/>
      <c r="N41" s="19" t="s">
        <v>112</v>
      </c>
      <c r="O41" s="19"/>
      <c r="P41" s="20">
        <v>-6.55</v>
      </c>
      <c r="Q41" s="19"/>
      <c r="R41" s="19"/>
      <c r="S41" s="19"/>
      <c r="T41" s="21" t="s">
        <v>685</v>
      </c>
      <c r="Z41" s="4" t="s">
        <v>691</v>
      </c>
      <c r="AA41" s="4">
        <v>10</v>
      </c>
      <c r="AB41">
        <f t="shared" si="2"/>
        <v>-10</v>
      </c>
    </row>
    <row r="42" spans="1:28">
      <c r="M42" s="19"/>
      <c r="N42" s="19" t="s">
        <v>112</v>
      </c>
      <c r="O42" s="19"/>
      <c r="P42" s="20">
        <v>-7.15</v>
      </c>
      <c r="Q42" s="19"/>
      <c r="R42" s="19"/>
      <c r="S42" s="19"/>
      <c r="T42" s="21" t="s">
        <v>686</v>
      </c>
      <c r="Z42" s="4" t="s">
        <v>692</v>
      </c>
      <c r="AA42" s="4">
        <v>2</v>
      </c>
      <c r="AB42">
        <f t="shared" si="2"/>
        <v>-2</v>
      </c>
    </row>
    <row r="43" spans="1:28">
      <c r="M43" s="19"/>
      <c r="N43" s="19" t="s">
        <v>112</v>
      </c>
      <c r="O43" s="19"/>
      <c r="P43" s="20">
        <v>-7.7</v>
      </c>
      <c r="Q43" s="19"/>
      <c r="R43" s="19"/>
      <c r="S43" s="19"/>
      <c r="T43" s="21" t="s">
        <v>687</v>
      </c>
      <c r="Z43" s="4" t="s">
        <v>693</v>
      </c>
      <c r="AA43" s="4">
        <v>2.18</v>
      </c>
      <c r="AB43">
        <f t="shared" si="2"/>
        <v>-2.18</v>
      </c>
    </row>
    <row r="44" spans="1:28">
      <c r="M44" s="19"/>
      <c r="N44" s="19" t="s">
        <v>112</v>
      </c>
      <c r="O44" s="19"/>
      <c r="P44" s="20">
        <v>-8.3</v>
      </c>
      <c r="Q44" s="19"/>
      <c r="R44" s="19"/>
      <c r="S44" s="19"/>
      <c r="T44" s="21" t="s">
        <v>688</v>
      </c>
      <c r="Z44" s="4" t="s">
        <v>694</v>
      </c>
      <c r="AA44" s="4">
        <v>2.34</v>
      </c>
      <c r="AB44">
        <f t="shared" si="2"/>
        <v>-2.34</v>
      </c>
    </row>
    <row r="45" spans="1:28">
      <c r="M45" s="19"/>
      <c r="N45" s="19" t="s">
        <v>112</v>
      </c>
      <c r="O45" s="19"/>
      <c r="P45" s="20">
        <v>-8.85</v>
      </c>
      <c r="Q45" s="19"/>
      <c r="R45" s="19"/>
      <c r="S45" s="19"/>
      <c r="T45" s="21" t="s">
        <v>689</v>
      </c>
      <c r="Z45" s="4" t="s">
        <v>695</v>
      </c>
      <c r="AA45" s="4">
        <v>2.52</v>
      </c>
      <c r="AB45">
        <f t="shared" si="2"/>
        <v>-2.52</v>
      </c>
    </row>
    <row r="46" spans="1:28">
      <c r="M46" s="19"/>
      <c r="N46" s="19" t="s">
        <v>112</v>
      </c>
      <c r="O46" s="19"/>
      <c r="P46" s="20">
        <v>-9.45</v>
      </c>
      <c r="Q46" s="19"/>
      <c r="R46" s="19"/>
      <c r="S46" s="19"/>
      <c r="T46" s="21" t="s">
        <v>690</v>
      </c>
      <c r="Z46" s="4" t="s">
        <v>696</v>
      </c>
      <c r="AA46" s="4">
        <v>2.68</v>
      </c>
      <c r="AB46">
        <f t="shared" si="2"/>
        <v>-2.68</v>
      </c>
    </row>
    <row r="47" spans="1:28">
      <c r="M47" s="19"/>
      <c r="N47" s="19" t="s">
        <v>112</v>
      </c>
      <c r="O47" s="19"/>
      <c r="P47" s="20">
        <v>-10</v>
      </c>
      <c r="Q47" s="19"/>
      <c r="R47" s="19"/>
      <c r="S47" s="19"/>
      <c r="T47" s="21" t="s">
        <v>691</v>
      </c>
      <c r="Z47" s="4" t="s">
        <v>697</v>
      </c>
      <c r="AA47" s="4">
        <v>2.86</v>
      </c>
      <c r="AB47">
        <f t="shared" si="2"/>
        <v>-2.86</v>
      </c>
    </row>
    <row r="48" spans="1:28">
      <c r="M48" s="19"/>
      <c r="N48" s="19" t="s">
        <v>112</v>
      </c>
      <c r="O48" s="19"/>
      <c r="P48" s="20">
        <v>-2</v>
      </c>
      <c r="Q48" s="19"/>
      <c r="R48" s="19"/>
      <c r="S48" s="19"/>
      <c r="T48" s="21" t="s">
        <v>692</v>
      </c>
      <c r="Z48" s="4" t="s">
        <v>698</v>
      </c>
      <c r="AA48" s="4">
        <v>3.02</v>
      </c>
      <c r="AB48">
        <f t="shared" si="2"/>
        <v>-3.02</v>
      </c>
    </row>
    <row r="49" spans="13:28">
      <c r="M49" s="19"/>
      <c r="N49" s="19" t="s">
        <v>112</v>
      </c>
      <c r="O49" s="19"/>
      <c r="P49" s="20">
        <v>-2.18</v>
      </c>
      <c r="Q49" s="19"/>
      <c r="R49" s="19"/>
      <c r="S49" s="19"/>
      <c r="T49" s="21" t="s">
        <v>693</v>
      </c>
      <c r="Z49" s="4" t="s">
        <v>699</v>
      </c>
      <c r="AA49" s="4">
        <v>3.2</v>
      </c>
      <c r="AB49">
        <f t="shared" si="2"/>
        <v>-3.2</v>
      </c>
    </row>
    <row r="50" spans="13:28">
      <c r="M50" s="19"/>
      <c r="N50" s="19" t="s">
        <v>112</v>
      </c>
      <c r="O50" s="19"/>
      <c r="P50" s="20">
        <v>-2.34</v>
      </c>
      <c r="Q50" s="19"/>
      <c r="R50" s="19"/>
      <c r="S50" s="19"/>
      <c r="T50" s="21" t="s">
        <v>694</v>
      </c>
      <c r="Z50" s="4" t="s">
        <v>700</v>
      </c>
      <c r="AA50" s="4">
        <v>3.6</v>
      </c>
      <c r="AB50">
        <f t="shared" si="2"/>
        <v>-3.6</v>
      </c>
    </row>
    <row r="51" spans="13:28">
      <c r="M51" s="19"/>
      <c r="N51" s="19" t="s">
        <v>112</v>
      </c>
      <c r="O51" s="19"/>
      <c r="P51" s="20">
        <v>-2.52</v>
      </c>
      <c r="Q51" s="19"/>
      <c r="R51" s="19"/>
      <c r="S51" s="19"/>
      <c r="T51" s="21" t="s">
        <v>695</v>
      </c>
      <c r="Z51" s="4" t="s">
        <v>701</v>
      </c>
      <c r="AA51" s="4">
        <v>3.93</v>
      </c>
      <c r="AB51">
        <f t="shared" si="2"/>
        <v>-3.93</v>
      </c>
    </row>
    <row r="52" spans="13:28">
      <c r="M52" s="19"/>
      <c r="N52" s="19" t="s">
        <v>112</v>
      </c>
      <c r="O52" s="19"/>
      <c r="P52" s="20">
        <v>-2.68</v>
      </c>
      <c r="Q52" s="19"/>
      <c r="R52" s="19"/>
      <c r="S52" s="19"/>
      <c r="T52" s="21" t="s">
        <v>696</v>
      </c>
      <c r="Z52" s="4" t="s">
        <v>702</v>
      </c>
      <c r="AA52" s="4">
        <v>4.29</v>
      </c>
      <c r="AB52">
        <f t="shared" si="2"/>
        <v>-4.29</v>
      </c>
    </row>
    <row r="53" spans="13:28">
      <c r="M53" s="19"/>
      <c r="N53" s="19" t="s">
        <v>112</v>
      </c>
      <c r="O53" s="19"/>
      <c r="P53" s="20">
        <v>-2.86</v>
      </c>
      <c r="Q53" s="19"/>
      <c r="R53" s="19"/>
      <c r="S53" s="19"/>
      <c r="T53" s="21" t="s">
        <v>697</v>
      </c>
      <c r="Z53" s="4" t="s">
        <v>703</v>
      </c>
      <c r="AA53" s="4">
        <v>4.62</v>
      </c>
      <c r="AB53">
        <f t="shared" si="2"/>
        <v>-4.62</v>
      </c>
    </row>
    <row r="54" spans="13:28">
      <c r="M54" s="19"/>
      <c r="N54" s="19" t="s">
        <v>112</v>
      </c>
      <c r="O54" s="19"/>
      <c r="P54" s="20">
        <v>-3.02</v>
      </c>
      <c r="Q54" s="19"/>
      <c r="R54" s="19"/>
      <c r="S54" s="19"/>
      <c r="T54" s="21" t="s">
        <v>698</v>
      </c>
      <c r="Z54" s="4" t="s">
        <v>704</v>
      </c>
      <c r="AA54" s="4">
        <v>4.98</v>
      </c>
      <c r="AB54">
        <f t="shared" si="2"/>
        <v>-4.98</v>
      </c>
    </row>
    <row r="55" spans="13:28">
      <c r="M55" s="19"/>
      <c r="N55" s="19" t="s">
        <v>112</v>
      </c>
      <c r="O55" s="19"/>
      <c r="P55" s="20">
        <v>-3.2</v>
      </c>
      <c r="Q55" s="19"/>
      <c r="R55" s="19"/>
      <c r="S55" s="19"/>
      <c r="T55" s="21" t="s">
        <v>699</v>
      </c>
      <c r="Z55" s="4" t="s">
        <v>705</v>
      </c>
      <c r="AA55" s="4">
        <v>5.31</v>
      </c>
      <c r="AB55">
        <f t="shared" si="2"/>
        <v>-5.31</v>
      </c>
    </row>
    <row r="56" spans="13:28">
      <c r="M56" s="19"/>
      <c r="N56" s="19" t="s">
        <v>112</v>
      </c>
      <c r="O56" s="19"/>
      <c r="P56" s="20">
        <v>-3.6</v>
      </c>
      <c r="Q56" s="19"/>
      <c r="R56" s="19"/>
      <c r="S56" s="19"/>
      <c r="T56" s="21" t="s">
        <v>700</v>
      </c>
      <c r="Z56" s="4" t="s">
        <v>706</v>
      </c>
      <c r="AA56" s="4">
        <v>5.67</v>
      </c>
      <c r="AB56">
        <f t="shared" si="2"/>
        <v>-5.67</v>
      </c>
    </row>
    <row r="57" spans="13:28">
      <c r="M57" s="19"/>
      <c r="N57" s="19" t="s">
        <v>112</v>
      </c>
      <c r="O57" s="19"/>
      <c r="P57" s="20">
        <v>-3.93</v>
      </c>
      <c r="Q57" s="19"/>
      <c r="R57" s="19"/>
      <c r="S57" s="19"/>
      <c r="T57" s="21" t="s">
        <v>701</v>
      </c>
      <c r="Z57" s="4" t="s">
        <v>707</v>
      </c>
      <c r="AA57" s="4">
        <v>6</v>
      </c>
      <c r="AB57">
        <f t="shared" si="2"/>
        <v>-6</v>
      </c>
    </row>
    <row r="58" spans="13:28">
      <c r="M58" s="19"/>
      <c r="N58" s="19" t="s">
        <v>112</v>
      </c>
      <c r="O58" s="19"/>
      <c r="P58" s="20">
        <v>-4.29</v>
      </c>
      <c r="Q58" s="19"/>
      <c r="R58" s="19"/>
      <c r="S58" s="19"/>
      <c r="T58" s="21" t="s">
        <v>702</v>
      </c>
      <c r="Z58" s="4" t="s">
        <v>708</v>
      </c>
      <c r="AA58" s="4">
        <v>4.8</v>
      </c>
      <c r="AB58">
        <f t="shared" si="2"/>
        <v>-4.8</v>
      </c>
    </row>
    <row r="59" spans="13:28">
      <c r="M59" s="19"/>
      <c r="N59" s="19" t="s">
        <v>112</v>
      </c>
      <c r="O59" s="19"/>
      <c r="P59" s="20">
        <v>-4.62</v>
      </c>
      <c r="Q59" s="19"/>
      <c r="R59" s="19"/>
      <c r="S59" s="19"/>
      <c r="T59" s="21" t="s">
        <v>703</v>
      </c>
      <c r="Z59" s="4" t="s">
        <v>709</v>
      </c>
      <c r="AA59" s="4">
        <v>5.24</v>
      </c>
      <c r="AB59">
        <f t="shared" si="2"/>
        <v>-5.24</v>
      </c>
    </row>
    <row r="60" spans="13:28">
      <c r="M60" s="19"/>
      <c r="N60" s="19" t="s">
        <v>112</v>
      </c>
      <c r="O60" s="19"/>
      <c r="P60" s="20">
        <v>-4.98</v>
      </c>
      <c r="Q60" s="19"/>
      <c r="R60" s="19"/>
      <c r="S60" s="19"/>
      <c r="T60" s="21" t="s">
        <v>704</v>
      </c>
      <c r="Z60" s="4" t="s">
        <v>710</v>
      </c>
      <c r="AA60" s="4">
        <v>5.72</v>
      </c>
      <c r="AB60">
        <f t="shared" si="2"/>
        <v>-5.72</v>
      </c>
    </row>
    <row r="61" spans="13:28">
      <c r="M61" s="19"/>
      <c r="N61" s="19" t="s">
        <v>112</v>
      </c>
      <c r="O61" s="19"/>
      <c r="P61" s="20">
        <v>-5.31</v>
      </c>
      <c r="Q61" s="19"/>
      <c r="R61" s="19"/>
      <c r="S61" s="19"/>
      <c r="T61" s="21" t="s">
        <v>705</v>
      </c>
      <c r="Z61" s="4" t="s">
        <v>711</v>
      </c>
      <c r="AA61" s="4">
        <v>6.16</v>
      </c>
      <c r="AB61">
        <f t="shared" si="2"/>
        <v>-6.16</v>
      </c>
    </row>
    <row r="62" spans="13:28">
      <c r="M62" s="19"/>
      <c r="N62" s="19" t="s">
        <v>112</v>
      </c>
      <c r="O62" s="19"/>
      <c r="P62" s="20">
        <v>-5.67</v>
      </c>
      <c r="Q62" s="19"/>
      <c r="R62" s="19"/>
      <c r="S62" s="19"/>
      <c r="T62" s="21" t="s">
        <v>706</v>
      </c>
      <c r="Z62" s="4" t="s">
        <v>712</v>
      </c>
      <c r="AA62" s="4">
        <v>6.64</v>
      </c>
      <c r="AB62">
        <f t="shared" si="2"/>
        <v>-6.64</v>
      </c>
    </row>
    <row r="63" spans="13:28">
      <c r="M63" s="19"/>
      <c r="N63" s="19" t="s">
        <v>112</v>
      </c>
      <c r="O63" s="19"/>
      <c r="P63" s="20">
        <v>-6</v>
      </c>
      <c r="Q63" s="19"/>
      <c r="R63" s="19"/>
      <c r="S63" s="19"/>
      <c r="T63" s="21" t="s">
        <v>707</v>
      </c>
      <c r="Z63" s="4" t="s">
        <v>713</v>
      </c>
      <c r="AA63" s="4">
        <v>7.08</v>
      </c>
      <c r="AB63">
        <f t="shared" si="2"/>
        <v>-7.08</v>
      </c>
    </row>
    <row r="64" spans="13:28">
      <c r="M64" s="19"/>
      <c r="N64" s="19" t="s">
        <v>112</v>
      </c>
      <c r="O64" s="19"/>
      <c r="P64" s="20">
        <v>-4.8</v>
      </c>
      <c r="Q64" s="19"/>
      <c r="R64" s="19"/>
      <c r="S64" s="19"/>
      <c r="T64" s="21" t="s">
        <v>708</v>
      </c>
      <c r="Z64" s="4" t="s">
        <v>714</v>
      </c>
      <c r="AA64" s="4">
        <v>7.56</v>
      </c>
      <c r="AB64">
        <f t="shared" si="2"/>
        <v>-7.56</v>
      </c>
    </row>
    <row r="65" spans="13:28">
      <c r="M65" s="19"/>
      <c r="N65" s="19" t="s">
        <v>112</v>
      </c>
      <c r="O65" s="19"/>
      <c r="P65" s="20">
        <v>-5.24</v>
      </c>
      <c r="Q65" s="19"/>
      <c r="R65" s="19"/>
      <c r="S65" s="19"/>
      <c r="T65" s="21" t="s">
        <v>709</v>
      </c>
      <c r="Z65" s="4" t="s">
        <v>715</v>
      </c>
      <c r="AA65" s="4">
        <v>8</v>
      </c>
      <c r="AB65">
        <f t="shared" si="2"/>
        <v>-8</v>
      </c>
    </row>
    <row r="66" spans="13:28">
      <c r="M66" s="19"/>
      <c r="N66" s="19" t="s">
        <v>112</v>
      </c>
      <c r="O66" s="19"/>
      <c r="P66" s="20">
        <v>-5.72</v>
      </c>
      <c r="Q66" s="19"/>
      <c r="R66" s="19"/>
      <c r="S66" s="19"/>
      <c r="T66" s="21" t="s">
        <v>710</v>
      </c>
      <c r="Z66" s="4" t="s">
        <v>716</v>
      </c>
      <c r="AA66" s="4">
        <v>11</v>
      </c>
      <c r="AB66">
        <f t="shared" si="2"/>
        <v>-11</v>
      </c>
    </row>
    <row r="67" spans="13:28">
      <c r="M67" s="19"/>
      <c r="N67" s="19" t="s">
        <v>112</v>
      </c>
      <c r="O67" s="19"/>
      <c r="P67" s="20">
        <v>-6.16</v>
      </c>
      <c r="Q67" s="19"/>
      <c r="R67" s="19"/>
      <c r="S67" s="19"/>
      <c r="T67" s="21" t="s">
        <v>711</v>
      </c>
      <c r="Z67" s="4" t="s">
        <v>717</v>
      </c>
      <c r="AA67" s="4">
        <v>11</v>
      </c>
      <c r="AB67">
        <f t="shared" ref="AB67:AB92" si="3">-AA67</f>
        <v>-11</v>
      </c>
    </row>
    <row r="68" spans="13:28">
      <c r="M68" s="19"/>
      <c r="N68" s="19" t="s">
        <v>112</v>
      </c>
      <c r="O68" s="19"/>
      <c r="P68" s="20">
        <v>-6.64</v>
      </c>
      <c r="Q68" s="19"/>
      <c r="R68" s="19"/>
      <c r="S68" s="19"/>
      <c r="T68" s="21" t="s">
        <v>712</v>
      </c>
      <c r="Z68" s="4" t="s">
        <v>718</v>
      </c>
      <c r="AA68" s="4">
        <v>11</v>
      </c>
      <c r="AB68">
        <f t="shared" si="3"/>
        <v>-11</v>
      </c>
    </row>
    <row r="69" spans="13:28">
      <c r="M69" s="19"/>
      <c r="N69" s="19" t="s">
        <v>112</v>
      </c>
      <c r="O69" s="19"/>
      <c r="P69" s="20">
        <v>-7.08</v>
      </c>
      <c r="Q69" s="19"/>
      <c r="R69" s="19"/>
      <c r="S69" s="19"/>
      <c r="T69" s="21" t="s">
        <v>713</v>
      </c>
      <c r="Z69" s="4" t="s">
        <v>719</v>
      </c>
      <c r="AA69" s="4">
        <v>11</v>
      </c>
      <c r="AB69">
        <f t="shared" si="3"/>
        <v>-11</v>
      </c>
    </row>
    <row r="70" spans="13:28">
      <c r="M70" s="19"/>
      <c r="N70" s="19" t="s">
        <v>112</v>
      </c>
      <c r="O70" s="19"/>
      <c r="P70" s="20">
        <v>-7.56</v>
      </c>
      <c r="Q70" s="19"/>
      <c r="R70" s="19"/>
      <c r="S70" s="19"/>
      <c r="T70" s="21" t="s">
        <v>714</v>
      </c>
      <c r="Z70" s="4" t="s">
        <v>720</v>
      </c>
      <c r="AA70" s="4">
        <v>11</v>
      </c>
      <c r="AB70">
        <f t="shared" si="3"/>
        <v>-11</v>
      </c>
    </row>
    <row r="71" spans="13:28">
      <c r="M71" s="19"/>
      <c r="N71" s="19" t="s">
        <v>112</v>
      </c>
      <c r="O71" s="19"/>
      <c r="P71" s="20">
        <v>-8</v>
      </c>
      <c r="Q71" s="19"/>
      <c r="R71" s="19"/>
      <c r="S71" s="19"/>
      <c r="T71" s="21" t="s">
        <v>715</v>
      </c>
      <c r="Z71" s="4" t="s">
        <v>721</v>
      </c>
      <c r="AA71" s="4">
        <v>11</v>
      </c>
      <c r="AB71">
        <f t="shared" si="3"/>
        <v>-11</v>
      </c>
    </row>
    <row r="72" spans="13:28">
      <c r="M72" s="19"/>
      <c r="N72" s="19" t="s">
        <v>112</v>
      </c>
      <c r="O72" s="19"/>
      <c r="P72" s="20">
        <v>-11</v>
      </c>
      <c r="Q72" s="19"/>
      <c r="R72" s="19"/>
      <c r="S72" s="19"/>
      <c r="T72" s="21" t="s">
        <v>716</v>
      </c>
      <c r="Z72" s="4" t="s">
        <v>722</v>
      </c>
      <c r="AA72" s="4">
        <v>11</v>
      </c>
      <c r="AB72">
        <f t="shared" si="3"/>
        <v>-11</v>
      </c>
    </row>
    <row r="73" spans="13:28">
      <c r="M73" s="19"/>
      <c r="N73" s="19" t="s">
        <v>112</v>
      </c>
      <c r="O73" s="19"/>
      <c r="P73" s="20">
        <v>-11</v>
      </c>
      <c r="Q73" s="19"/>
      <c r="R73" s="19"/>
      <c r="S73" s="19"/>
      <c r="T73" s="21" t="s">
        <v>717</v>
      </c>
      <c r="Z73" s="4" t="s">
        <v>723</v>
      </c>
      <c r="AA73" s="4">
        <v>11</v>
      </c>
      <c r="AB73">
        <f t="shared" si="3"/>
        <v>-11</v>
      </c>
    </row>
    <row r="74" spans="13:28">
      <c r="M74" s="19"/>
      <c r="N74" s="19" t="s">
        <v>112</v>
      </c>
      <c r="O74" s="19"/>
      <c r="P74" s="20">
        <v>-11</v>
      </c>
      <c r="Q74" s="19"/>
      <c r="R74" s="19"/>
      <c r="S74" s="19"/>
      <c r="T74" s="21" t="s">
        <v>718</v>
      </c>
      <c r="Z74" s="4" t="s">
        <v>724</v>
      </c>
      <c r="AA74" s="4">
        <v>11</v>
      </c>
      <c r="AB74">
        <f t="shared" si="3"/>
        <v>-11</v>
      </c>
    </row>
    <row r="75" spans="13:28">
      <c r="M75" s="19"/>
      <c r="N75" s="19" t="s">
        <v>112</v>
      </c>
      <c r="O75" s="19"/>
      <c r="P75" s="20">
        <v>-11</v>
      </c>
      <c r="Q75" s="19"/>
      <c r="R75" s="19"/>
      <c r="S75" s="19"/>
      <c r="T75" s="21" t="s">
        <v>719</v>
      </c>
      <c r="Z75" s="4" t="s">
        <v>725</v>
      </c>
      <c r="AA75" s="4">
        <v>11</v>
      </c>
      <c r="AB75">
        <f t="shared" si="3"/>
        <v>-11</v>
      </c>
    </row>
    <row r="76" spans="13:28">
      <c r="M76" s="19"/>
      <c r="N76" s="19" t="s">
        <v>112</v>
      </c>
      <c r="O76" s="19"/>
      <c r="P76" s="20">
        <v>-11</v>
      </c>
      <c r="Q76" s="19"/>
      <c r="R76" s="19"/>
      <c r="S76" s="19"/>
      <c r="T76" s="21" t="s">
        <v>720</v>
      </c>
      <c r="Z76" s="4" t="s">
        <v>726</v>
      </c>
      <c r="AA76" s="4">
        <v>11</v>
      </c>
      <c r="AB76">
        <f t="shared" si="3"/>
        <v>-11</v>
      </c>
    </row>
    <row r="77" spans="13:28">
      <c r="M77" s="19"/>
      <c r="N77" s="19" t="s">
        <v>112</v>
      </c>
      <c r="O77" s="19"/>
      <c r="P77" s="20">
        <v>-11</v>
      </c>
      <c r="Q77" s="19"/>
      <c r="R77" s="19"/>
      <c r="S77" s="19"/>
      <c r="T77" s="21" t="s">
        <v>721</v>
      </c>
      <c r="Z77" s="4" t="s">
        <v>727</v>
      </c>
      <c r="AA77" s="4">
        <v>11</v>
      </c>
      <c r="AB77">
        <f t="shared" si="3"/>
        <v>-11</v>
      </c>
    </row>
    <row r="78" spans="13:28">
      <c r="M78" s="19"/>
      <c r="N78" s="19" t="s">
        <v>112</v>
      </c>
      <c r="O78" s="19"/>
      <c r="P78" s="20">
        <v>-11</v>
      </c>
      <c r="Q78" s="19"/>
      <c r="R78" s="19"/>
      <c r="S78" s="19"/>
      <c r="T78" s="21" t="s">
        <v>722</v>
      </c>
      <c r="Z78" s="4" t="s">
        <v>728</v>
      </c>
      <c r="AA78" s="4">
        <v>11</v>
      </c>
      <c r="AB78">
        <f t="shared" si="3"/>
        <v>-11</v>
      </c>
    </row>
    <row r="79" spans="13:28">
      <c r="M79" s="19"/>
      <c r="N79" s="19" t="s">
        <v>112</v>
      </c>
      <c r="O79" s="19"/>
      <c r="P79" s="20">
        <v>-11</v>
      </c>
      <c r="Q79" s="19"/>
      <c r="R79" s="19"/>
      <c r="S79" s="19"/>
      <c r="T79" s="21" t="s">
        <v>723</v>
      </c>
      <c r="Z79" s="4" t="s">
        <v>729</v>
      </c>
      <c r="AA79" s="4">
        <v>11</v>
      </c>
      <c r="AB79">
        <f t="shared" si="3"/>
        <v>-11</v>
      </c>
    </row>
    <row r="80" spans="13:28">
      <c r="M80" s="19"/>
      <c r="N80" s="19" t="s">
        <v>112</v>
      </c>
      <c r="O80" s="19"/>
      <c r="P80" s="20">
        <v>-11</v>
      </c>
      <c r="Q80" s="19"/>
      <c r="R80" s="19"/>
      <c r="S80" s="19"/>
      <c r="T80" s="21" t="s">
        <v>724</v>
      </c>
      <c r="Z80" s="4" t="s">
        <v>730</v>
      </c>
      <c r="AA80" s="4">
        <v>18</v>
      </c>
      <c r="AB80">
        <f t="shared" si="3"/>
        <v>-18</v>
      </c>
    </row>
    <row r="81" spans="13:28">
      <c r="M81" s="19"/>
      <c r="N81" s="19" t="s">
        <v>112</v>
      </c>
      <c r="O81" s="19"/>
      <c r="P81" s="20">
        <v>-11</v>
      </c>
      <c r="Q81" s="19"/>
      <c r="R81" s="19"/>
      <c r="S81" s="19"/>
      <c r="T81" s="21" t="s">
        <v>725</v>
      </c>
      <c r="Z81" s="4" t="s">
        <v>731</v>
      </c>
      <c r="AA81" s="4">
        <v>18</v>
      </c>
      <c r="AB81">
        <f t="shared" si="3"/>
        <v>-18</v>
      </c>
    </row>
    <row r="82" spans="13:28">
      <c r="M82" s="19"/>
      <c r="N82" s="19" t="s">
        <v>112</v>
      </c>
      <c r="O82" s="19"/>
      <c r="P82" s="20">
        <v>-11</v>
      </c>
      <c r="Q82" s="19"/>
      <c r="R82" s="19"/>
      <c r="S82" s="19"/>
      <c r="T82" s="21" t="s">
        <v>726</v>
      </c>
      <c r="Z82" s="4" t="s">
        <v>732</v>
      </c>
      <c r="AA82" s="4">
        <v>18</v>
      </c>
      <c r="AB82">
        <f t="shared" si="3"/>
        <v>-18</v>
      </c>
    </row>
    <row r="83" spans="13:28">
      <c r="M83" s="19"/>
      <c r="N83" s="19" t="s">
        <v>112</v>
      </c>
      <c r="O83" s="19"/>
      <c r="P83" s="20">
        <v>-11</v>
      </c>
      <c r="Q83" s="19"/>
      <c r="R83" s="19"/>
      <c r="S83" s="19"/>
      <c r="T83" s="21" t="s">
        <v>727</v>
      </c>
      <c r="Z83" s="4" t="s">
        <v>733</v>
      </c>
      <c r="AA83" s="4">
        <v>18</v>
      </c>
      <c r="AB83">
        <f t="shared" si="3"/>
        <v>-18</v>
      </c>
    </row>
    <row r="84" spans="13:28">
      <c r="M84" s="19"/>
      <c r="N84" s="19" t="s">
        <v>112</v>
      </c>
      <c r="O84" s="19"/>
      <c r="P84" s="20">
        <v>-11</v>
      </c>
      <c r="Q84" s="19"/>
      <c r="R84" s="19"/>
      <c r="S84" s="19"/>
      <c r="T84" s="21" t="s">
        <v>728</v>
      </c>
      <c r="Z84" s="4" t="s">
        <v>734</v>
      </c>
      <c r="AA84" s="4">
        <v>18</v>
      </c>
      <c r="AB84">
        <f t="shared" si="3"/>
        <v>-18</v>
      </c>
    </row>
    <row r="85" spans="13:28">
      <c r="M85" s="19"/>
      <c r="N85" s="19" t="s">
        <v>112</v>
      </c>
      <c r="O85" s="19"/>
      <c r="P85" s="20">
        <v>-11</v>
      </c>
      <c r="Q85" s="19"/>
      <c r="R85" s="19"/>
      <c r="S85" s="19"/>
      <c r="T85" s="21" t="s">
        <v>729</v>
      </c>
      <c r="Z85" s="4" t="s">
        <v>735</v>
      </c>
      <c r="AA85" s="4">
        <v>18</v>
      </c>
      <c r="AB85">
        <f t="shared" si="3"/>
        <v>-18</v>
      </c>
    </row>
    <row r="86" spans="13:28">
      <c r="M86" s="19"/>
      <c r="N86" s="19" t="s">
        <v>112</v>
      </c>
      <c r="O86" s="19"/>
      <c r="P86" s="20">
        <v>-18</v>
      </c>
      <c r="Q86" s="19"/>
      <c r="R86" s="19"/>
      <c r="S86" s="19"/>
      <c r="T86" s="21" t="s">
        <v>730</v>
      </c>
      <c r="Z86" s="4" t="s">
        <v>736</v>
      </c>
      <c r="AA86" s="4">
        <v>18</v>
      </c>
      <c r="AB86">
        <f t="shared" si="3"/>
        <v>-18</v>
      </c>
    </row>
    <row r="87" spans="13:28">
      <c r="M87" s="19"/>
      <c r="N87" s="19" t="s">
        <v>112</v>
      </c>
      <c r="O87" s="19"/>
      <c r="P87" s="20">
        <v>-18</v>
      </c>
      <c r="Q87" s="19"/>
      <c r="R87" s="19"/>
      <c r="S87" s="19"/>
      <c r="T87" s="21" t="s">
        <v>731</v>
      </c>
      <c r="Z87" s="4" t="s">
        <v>737</v>
      </c>
      <c r="AA87" s="4">
        <v>18</v>
      </c>
      <c r="AB87">
        <f t="shared" si="3"/>
        <v>-18</v>
      </c>
    </row>
    <row r="88" spans="13:28">
      <c r="M88" s="19"/>
      <c r="N88" s="19" t="s">
        <v>112</v>
      </c>
      <c r="O88" s="19"/>
      <c r="P88" s="20">
        <v>-18</v>
      </c>
      <c r="Q88" s="19"/>
      <c r="R88" s="19"/>
      <c r="S88" s="19"/>
      <c r="T88" s="21" t="s">
        <v>732</v>
      </c>
      <c r="Z88" s="4" t="s">
        <v>738</v>
      </c>
      <c r="AA88" s="4">
        <v>18</v>
      </c>
      <c r="AB88">
        <f t="shared" si="3"/>
        <v>-18</v>
      </c>
    </row>
    <row r="89" spans="13:28">
      <c r="M89" s="19"/>
      <c r="N89" s="19" t="s">
        <v>112</v>
      </c>
      <c r="O89" s="19"/>
      <c r="P89" s="20">
        <v>-18</v>
      </c>
      <c r="Q89" s="19"/>
      <c r="R89" s="19"/>
      <c r="S89" s="19"/>
      <c r="T89" s="21" t="s">
        <v>733</v>
      </c>
      <c r="Z89" s="4" t="s">
        <v>739</v>
      </c>
      <c r="AA89" s="4">
        <v>18</v>
      </c>
      <c r="AB89">
        <f t="shared" si="3"/>
        <v>-18</v>
      </c>
    </row>
    <row r="90" spans="13:28">
      <c r="M90" s="19"/>
      <c r="N90" s="19" t="s">
        <v>112</v>
      </c>
      <c r="O90" s="19"/>
      <c r="P90" s="20">
        <v>-18</v>
      </c>
      <c r="Q90" s="19"/>
      <c r="R90" s="19"/>
      <c r="S90" s="19"/>
      <c r="T90" s="21" t="s">
        <v>734</v>
      </c>
      <c r="Z90" s="4" t="s">
        <v>740</v>
      </c>
      <c r="AA90" s="4">
        <v>18</v>
      </c>
      <c r="AB90">
        <f t="shared" si="3"/>
        <v>-18</v>
      </c>
    </row>
    <row r="91" spans="13:28">
      <c r="M91" s="19"/>
      <c r="N91" s="19" t="s">
        <v>112</v>
      </c>
      <c r="O91" s="19"/>
      <c r="P91" s="20">
        <v>-18</v>
      </c>
      <c r="Q91" s="19"/>
      <c r="R91" s="19"/>
      <c r="S91" s="19"/>
      <c r="T91" s="21" t="s">
        <v>735</v>
      </c>
      <c r="Z91" s="4" t="s">
        <v>741</v>
      </c>
      <c r="AA91" s="4">
        <v>18</v>
      </c>
      <c r="AB91">
        <f t="shared" si="3"/>
        <v>-18</v>
      </c>
    </row>
    <row r="92" spans="13:28">
      <c r="M92" s="19"/>
      <c r="N92" s="19" t="s">
        <v>112</v>
      </c>
      <c r="O92" s="19"/>
      <c r="P92" s="20">
        <v>-18</v>
      </c>
      <c r="Q92" s="19"/>
      <c r="R92" s="19"/>
      <c r="S92" s="19"/>
      <c r="T92" s="21" t="s">
        <v>736</v>
      </c>
      <c r="Z92" s="4" t="s">
        <v>742</v>
      </c>
      <c r="AA92" s="4">
        <v>18</v>
      </c>
      <c r="AB92">
        <f t="shared" si="3"/>
        <v>-18</v>
      </c>
    </row>
    <row r="93" spans="13:28">
      <c r="M93" s="19"/>
      <c r="N93" s="19" t="s">
        <v>112</v>
      </c>
      <c r="O93" s="19"/>
      <c r="P93" s="20">
        <v>-18</v>
      </c>
      <c r="Q93" s="19"/>
      <c r="R93" s="19"/>
      <c r="S93" s="19"/>
      <c r="T93" s="21" t="s">
        <v>737</v>
      </c>
    </row>
    <row r="94" spans="13:28">
      <c r="M94" s="19"/>
      <c r="N94" s="19" t="s">
        <v>112</v>
      </c>
      <c r="O94" s="19"/>
      <c r="P94" s="20">
        <v>-18</v>
      </c>
      <c r="Q94" s="19"/>
      <c r="R94" s="19"/>
      <c r="S94" s="19"/>
      <c r="T94" s="21" t="s">
        <v>738</v>
      </c>
    </row>
    <row r="95" spans="13:28">
      <c r="M95" s="19"/>
      <c r="N95" s="19" t="s">
        <v>112</v>
      </c>
      <c r="O95" s="19"/>
      <c r="P95" s="20">
        <v>-18</v>
      </c>
      <c r="Q95" s="19"/>
      <c r="R95" s="19"/>
      <c r="S95" s="19"/>
      <c r="T95" s="21" t="s">
        <v>739</v>
      </c>
    </row>
    <row r="96" spans="13:28">
      <c r="M96" s="19"/>
      <c r="N96" s="19" t="s">
        <v>112</v>
      </c>
      <c r="O96" s="19"/>
      <c r="P96" s="20">
        <v>-18</v>
      </c>
      <c r="Q96" s="19"/>
      <c r="R96" s="19"/>
      <c r="S96" s="19"/>
      <c r="T96" s="21" t="s">
        <v>740</v>
      </c>
    </row>
    <row r="97" spans="13:20">
      <c r="M97" s="19"/>
      <c r="N97" s="19" t="s">
        <v>112</v>
      </c>
      <c r="O97" s="19"/>
      <c r="P97" s="20">
        <v>-18</v>
      </c>
      <c r="Q97" s="19"/>
      <c r="R97" s="19"/>
      <c r="S97" s="19"/>
      <c r="T97" s="21" t="s">
        <v>741</v>
      </c>
    </row>
    <row r="98" spans="13:20">
      <c r="M98" s="19"/>
      <c r="N98" s="19" t="s">
        <v>112</v>
      </c>
      <c r="O98" s="19"/>
      <c r="P98" s="20">
        <v>-18</v>
      </c>
      <c r="Q98" s="19"/>
      <c r="R98" s="19"/>
      <c r="S98" s="19"/>
      <c r="T98" s="21" t="s">
        <v>742</v>
      </c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zoomScale="74" zoomScaleNormal="74" workbookViewId="0">
      <selection activeCell="H33" sqref="H33"/>
    </sheetView>
  </sheetViews>
  <sheetFormatPr defaultColWidth="8.72727272727273" defaultRowHeight="14.5"/>
  <cols>
    <col min="1" max="1" width="8.72727272727273" style="6"/>
    <col min="2" max="2" width="24.4" customWidth="1"/>
    <col min="3" max="3" width="19.8636363636364" customWidth="1"/>
    <col min="4" max="4" width="7.86363636363636" customWidth="1"/>
    <col min="5" max="5" width="8" customWidth="1"/>
    <col min="6" max="6" width="5.54545454545455" customWidth="1"/>
    <col min="7" max="7" width="2.54545454545455" customWidth="1"/>
    <col min="8" max="8" width="9"/>
    <col min="9" max="9" width="18.9090909090909" customWidth="1"/>
    <col min="10" max="10" width="12.7272727272727" style="6" customWidth="1"/>
    <col min="11" max="11" width="10.1818181818182" style="6" customWidth="1"/>
    <col min="12" max="14" width="8.72727272727273" style="6"/>
  </cols>
  <sheetData>
    <row r="1" spans="1:13">
      <c r="A1" s="7"/>
      <c r="J1" s="7"/>
      <c r="K1" s="7"/>
      <c r="L1" s="7"/>
    </row>
    <row r="2" spans="1:13">
      <c r="A2" s="7"/>
      <c r="B2" t="s">
        <v>1</v>
      </c>
      <c r="J2" s="7"/>
      <c r="K2" s="7"/>
      <c r="L2" s="7"/>
    </row>
    <row r="3" spans="1:13">
      <c r="A3" s="7"/>
      <c r="B3" s="8"/>
      <c r="C3" s="9" t="s">
        <v>650</v>
      </c>
      <c r="J3" s="7"/>
      <c r="K3" s="7"/>
      <c r="L3" s="7"/>
    </row>
    <row r="4" spans="1:13">
      <c r="A4" s="7"/>
      <c r="D4" s="8"/>
      <c r="E4" s="8"/>
      <c r="F4" s="8"/>
      <c r="G4" s="8"/>
      <c r="H4" s="8"/>
      <c r="I4" s="8"/>
      <c r="J4" s="7"/>
      <c r="K4" s="7"/>
      <c r="L4" s="7"/>
    </row>
    <row r="5" spans="1:13">
      <c r="A5" s="7"/>
      <c r="B5" s="9"/>
      <c r="D5" s="9"/>
      <c r="E5" s="9"/>
      <c r="F5" s="9"/>
      <c r="G5" s="9"/>
      <c r="H5" s="9"/>
      <c r="I5" s="9"/>
      <c r="J5" s="7"/>
      <c r="K5" s="7"/>
      <c r="L5" s="7"/>
    </row>
    <row r="6" ht="16" spans="1:13">
      <c r="A6" s="7"/>
      <c r="B6" s="9" t="s">
        <v>4</v>
      </c>
      <c r="C6" s="9" t="s">
        <v>5</v>
      </c>
      <c r="D6" s="9" t="s">
        <v>77</v>
      </c>
      <c r="E6" s="9" t="s">
        <v>6</v>
      </c>
      <c r="F6" s="9">
        <v>2020</v>
      </c>
      <c r="G6" s="9">
        <v>0</v>
      </c>
      <c r="H6" s="9" t="s">
        <v>76</v>
      </c>
      <c r="I6" s="9" t="s">
        <v>91</v>
      </c>
      <c r="J6" s="7"/>
      <c r="K6" s="10"/>
      <c r="L6" s="7"/>
      <c r="M6" s="7"/>
    </row>
    <row r="7" spans="1:13">
      <c r="A7" s="7"/>
      <c r="B7" s="9" t="s">
        <v>656</v>
      </c>
      <c r="C7" s="9" t="s">
        <v>303</v>
      </c>
      <c r="D7" s="9" t="s">
        <v>97</v>
      </c>
      <c r="E7" s="9">
        <f>1/0.05</f>
        <v>20</v>
      </c>
      <c r="F7" s="9">
        <v>0</v>
      </c>
      <c r="G7" s="9">
        <v>3</v>
      </c>
      <c r="H7" s="9" t="s">
        <v>657</v>
      </c>
      <c r="I7" s="9" t="s">
        <v>658</v>
      </c>
      <c r="J7" s="7"/>
      <c r="L7" s="7"/>
      <c r="M7" s="7"/>
    </row>
    <row r="8" spans="1:13">
      <c r="A8" s="7"/>
      <c r="B8" s="9"/>
      <c r="C8" s="9" t="s">
        <v>112</v>
      </c>
      <c r="D8" s="11"/>
      <c r="E8" s="12">
        <v>-120</v>
      </c>
      <c r="F8" s="11"/>
      <c r="G8" s="11"/>
      <c r="H8" s="11"/>
      <c r="I8" s="12" t="s">
        <v>645</v>
      </c>
    </row>
    <row r="9" spans="1:13">
      <c r="A9" s="7"/>
      <c r="B9" s="9"/>
      <c r="C9" s="9" t="s">
        <v>112</v>
      </c>
      <c r="D9" s="11"/>
      <c r="E9" s="12">
        <v>-134</v>
      </c>
      <c r="F9" s="11"/>
      <c r="G9" s="11"/>
      <c r="H9" s="11"/>
      <c r="I9" s="12" t="s">
        <v>647</v>
      </c>
      <c r="J9" s="7"/>
      <c r="L9" s="7"/>
      <c r="M9" s="7"/>
    </row>
    <row r="10" spans="1:13">
      <c r="A10" s="7"/>
      <c r="B10" s="9"/>
      <c r="C10" s="9" t="s">
        <v>112</v>
      </c>
      <c r="D10" s="9"/>
      <c r="E10" s="12">
        <v>-149</v>
      </c>
      <c r="F10" s="9"/>
      <c r="G10" s="9"/>
      <c r="H10" s="9"/>
      <c r="I10" s="12" t="s">
        <v>649</v>
      </c>
      <c r="J10" s="7"/>
      <c r="L10" s="7"/>
      <c r="M10" s="7"/>
    </row>
    <row r="11" spans="1:13">
      <c r="A11" s="7"/>
      <c r="B11" s="9"/>
      <c r="C11" s="9" t="s">
        <v>112</v>
      </c>
      <c r="D11" s="9"/>
      <c r="E11" s="12">
        <v>-163</v>
      </c>
      <c r="F11" s="9"/>
      <c r="G11" s="9"/>
      <c r="H11" s="9"/>
      <c r="I11" s="12" t="s">
        <v>653</v>
      </c>
    </row>
    <row r="12" spans="1:13">
      <c r="A12" s="7"/>
      <c r="B12" s="9"/>
      <c r="C12" s="9" t="s">
        <v>112</v>
      </c>
      <c r="D12" s="9"/>
      <c r="E12" s="12">
        <v>-177</v>
      </c>
      <c r="F12" s="9"/>
      <c r="G12" s="9"/>
      <c r="H12" s="9"/>
      <c r="I12" s="12" t="s">
        <v>655</v>
      </c>
      <c r="J12" s="7"/>
      <c r="L12" s="7"/>
      <c r="M12" s="7"/>
    </row>
    <row r="13" spans="1:13">
      <c r="A13" s="7"/>
      <c r="B13" s="9"/>
      <c r="C13" s="9" t="s">
        <v>112</v>
      </c>
      <c r="D13" s="9"/>
      <c r="E13" s="12">
        <v>-191</v>
      </c>
      <c r="F13" s="9"/>
      <c r="G13" s="9"/>
      <c r="H13" s="9"/>
      <c r="I13" s="12" t="s">
        <v>663</v>
      </c>
      <c r="J13" s="7"/>
      <c r="L13" s="7"/>
      <c r="M13" s="7"/>
    </row>
    <row r="14" spans="1:13">
      <c r="A14" s="7"/>
      <c r="B14" s="9"/>
      <c r="C14" s="9" t="s">
        <v>112</v>
      </c>
      <c r="D14" s="9"/>
      <c r="E14" s="12">
        <v>-206</v>
      </c>
      <c r="F14" s="9"/>
      <c r="G14" s="9"/>
      <c r="H14" s="9"/>
      <c r="I14" s="12" t="s">
        <v>665</v>
      </c>
    </row>
    <row r="15" spans="1:13">
      <c r="A15" s="7"/>
      <c r="B15" s="9"/>
      <c r="C15" s="9" t="s">
        <v>112</v>
      </c>
      <c r="D15" s="9"/>
      <c r="E15" s="12">
        <v>-220</v>
      </c>
      <c r="F15" s="9"/>
      <c r="G15" s="9"/>
      <c r="H15" s="9"/>
      <c r="I15" s="12" t="s">
        <v>667</v>
      </c>
      <c r="J15" s="7"/>
      <c r="L15" s="7"/>
      <c r="M15" s="7"/>
    </row>
    <row r="16" spans="1:13">
      <c r="A16" s="7"/>
      <c r="B16" s="9"/>
      <c r="C16" s="9" t="s">
        <v>112</v>
      </c>
      <c r="D16" s="9"/>
      <c r="E16" s="12">
        <v>-45</v>
      </c>
      <c r="F16" s="9"/>
      <c r="G16" s="9"/>
      <c r="H16" s="9"/>
      <c r="I16" s="12" t="s">
        <v>652</v>
      </c>
      <c r="J16" s="7"/>
      <c r="L16" s="7"/>
      <c r="M16" s="7"/>
    </row>
    <row r="17" spans="1:13">
      <c r="A17" s="7"/>
      <c r="B17" s="9"/>
      <c r="C17" s="9" t="s">
        <v>112</v>
      </c>
      <c r="D17" s="9"/>
      <c r="E17" s="12">
        <v>-54</v>
      </c>
      <c r="F17" s="9"/>
      <c r="G17" s="9"/>
      <c r="H17" s="9"/>
      <c r="I17" s="12" t="s">
        <v>654</v>
      </c>
    </row>
    <row r="18" spans="1:13">
      <c r="A18" s="7"/>
      <c r="B18" s="9"/>
      <c r="C18" s="9" t="s">
        <v>112</v>
      </c>
      <c r="D18" s="9"/>
      <c r="E18" s="12">
        <v>-63</v>
      </c>
      <c r="F18" s="9"/>
      <c r="G18" s="9"/>
      <c r="H18" s="9"/>
      <c r="I18" s="12" t="s">
        <v>662</v>
      </c>
      <c r="J18" s="7"/>
      <c r="L18" s="7"/>
      <c r="M18" s="7"/>
    </row>
    <row r="19" spans="1:13">
      <c r="A19" s="7"/>
      <c r="B19" s="9"/>
      <c r="C19" s="9" t="s">
        <v>112</v>
      </c>
      <c r="D19" s="9"/>
      <c r="E19" s="12">
        <v>-72</v>
      </c>
      <c r="F19" s="9"/>
      <c r="G19" s="9"/>
      <c r="H19" s="9"/>
      <c r="I19" s="12" t="s">
        <v>664</v>
      </c>
      <c r="J19" s="7"/>
      <c r="L19" s="7"/>
      <c r="M19" s="7"/>
    </row>
    <row r="20" spans="1:13">
      <c r="A20" s="7"/>
      <c r="B20" s="9"/>
      <c r="C20" s="9" t="s">
        <v>112</v>
      </c>
      <c r="D20" s="9"/>
      <c r="E20" s="12">
        <v>-90</v>
      </c>
      <c r="F20" s="9"/>
      <c r="G20" s="9"/>
      <c r="H20" s="9"/>
      <c r="I20" s="12" t="s">
        <v>666</v>
      </c>
    </row>
    <row r="21" spans="1:13">
      <c r="A21" s="7"/>
      <c r="B21" s="9"/>
      <c r="C21" s="9" t="s">
        <v>112</v>
      </c>
      <c r="D21" s="9"/>
      <c r="E21" s="12">
        <v>-75</v>
      </c>
      <c r="F21" s="9"/>
      <c r="G21" s="9"/>
      <c r="H21" s="9"/>
      <c r="I21" s="12" t="s">
        <v>671</v>
      </c>
      <c r="J21" s="7"/>
      <c r="L21" s="7"/>
      <c r="M21" s="7"/>
    </row>
    <row r="22" spans="1:13">
      <c r="B22" s="9"/>
      <c r="C22" s="9" t="s">
        <v>112</v>
      </c>
      <c r="D22" s="9"/>
      <c r="E22" s="12">
        <v>-90</v>
      </c>
      <c r="F22" s="9"/>
      <c r="G22" s="9"/>
      <c r="H22" s="9"/>
      <c r="I22" s="12" t="s">
        <v>672</v>
      </c>
      <c r="J22" s="7"/>
      <c r="L22" s="7"/>
      <c r="M22" s="7"/>
    </row>
    <row r="23" spans="1:13">
      <c r="B23" s="9"/>
      <c r="C23" s="9" t="s">
        <v>112</v>
      </c>
      <c r="D23" s="9"/>
      <c r="E23" s="12">
        <v>-105</v>
      </c>
      <c r="F23" s="9"/>
      <c r="G23" s="9"/>
      <c r="H23" s="9"/>
      <c r="I23" s="12" t="s">
        <v>673</v>
      </c>
    </row>
    <row r="24" spans="1:13">
      <c r="B24" s="9"/>
      <c r="C24" s="9" t="s">
        <v>112</v>
      </c>
      <c r="D24" s="9"/>
      <c r="E24" s="12">
        <v>-120</v>
      </c>
      <c r="F24" s="9"/>
      <c r="G24" s="9"/>
      <c r="H24" s="9"/>
      <c r="I24" s="12" t="s">
        <v>674</v>
      </c>
      <c r="J24" s="7"/>
      <c r="L24" s="7"/>
      <c r="M24" s="7"/>
    </row>
    <row r="25" spans="1:13">
      <c r="B25" s="9"/>
      <c r="C25" s="9" t="s">
        <v>112</v>
      </c>
      <c r="D25" s="9"/>
      <c r="E25" s="12">
        <v>-150</v>
      </c>
      <c r="F25" s="9"/>
      <c r="G25" s="9"/>
      <c r="H25" s="9"/>
      <c r="I25" s="12" t="s">
        <v>675</v>
      </c>
      <c r="J25" s="7"/>
      <c r="L25" s="7"/>
      <c r="M25" s="7"/>
    </row>
    <row r="26" spans="1:13">
      <c r="B26" s="8"/>
      <c r="C26" s="8"/>
      <c r="D26" s="8"/>
      <c r="E26" s="8"/>
      <c r="F26" s="8"/>
      <c r="G26" s="8"/>
      <c r="H26" s="8"/>
      <c r="I26" s="8"/>
    </row>
    <row r="27" spans="1:13">
      <c r="B27" s="8"/>
      <c r="C27" s="8"/>
      <c r="D27" s="8"/>
      <c r="E27" s="8"/>
      <c r="F27" s="8"/>
      <c r="G27" s="8"/>
      <c r="H27" s="8"/>
      <c r="I27" s="8"/>
      <c r="J27" s="7"/>
      <c r="L27" s="7"/>
      <c r="M27" s="7"/>
    </row>
    <row r="28" spans="1:13">
      <c r="B28" s="8"/>
      <c r="C28" s="8"/>
      <c r="D28" s="8"/>
      <c r="E28" s="8"/>
      <c r="F28" s="8"/>
      <c r="G28" s="8"/>
      <c r="H28" s="8"/>
      <c r="I28" s="8"/>
    </row>
    <row r="29" spans="1:13">
      <c r="B29" s="8"/>
      <c r="C29" s="8"/>
      <c r="D29" s="8"/>
      <c r="E29" s="8"/>
      <c r="F29" s="8"/>
      <c r="G29" s="8"/>
      <c r="H29" s="8"/>
      <c r="I29" s="8"/>
    </row>
    <row r="30" spans="1:13">
      <c r="B30" s="8"/>
      <c r="C30" s="8"/>
      <c r="D30" s="8"/>
      <c r="E30" s="8"/>
      <c r="F30" s="8"/>
      <c r="G30" s="8"/>
      <c r="H30" s="8"/>
      <c r="I30" s="8"/>
    </row>
    <row r="31" spans="1:13">
      <c r="B31" s="8"/>
      <c r="C31" s="8"/>
      <c r="D31" s="8"/>
      <c r="E31" s="8"/>
      <c r="F31" s="8"/>
      <c r="G31" s="8"/>
      <c r="H31" s="8"/>
      <c r="I31" s="8"/>
    </row>
    <row r="32" spans="1:13">
      <c r="B32" s="8"/>
      <c r="C32" s="8"/>
      <c r="D32" s="8"/>
      <c r="E32" s="8"/>
      <c r="F32" s="8"/>
      <c r="G32" s="8"/>
      <c r="H32" s="8"/>
      <c r="I32" s="8"/>
    </row>
    <row r="33" spans="2:9">
      <c r="B33" s="8"/>
      <c r="C33" s="8"/>
      <c r="D33" s="8"/>
      <c r="E33" s="8"/>
      <c r="F33" s="8"/>
      <c r="G33" s="8"/>
      <c r="H33" s="8"/>
      <c r="I33" s="8"/>
    </row>
    <row r="34" spans="2:9">
      <c r="B34" s="8"/>
      <c r="C34" s="8"/>
      <c r="D34" s="8"/>
      <c r="E34" s="8"/>
      <c r="F34" s="8"/>
      <c r="G34" s="8"/>
      <c r="H34" s="8"/>
      <c r="I34" s="8"/>
    </row>
    <row r="35" spans="2:9">
      <c r="B35" s="8"/>
      <c r="C35" s="8"/>
      <c r="D35" s="8"/>
      <c r="E35" s="8"/>
      <c r="F35" s="8"/>
      <c r="G35" s="8"/>
      <c r="H35" s="8"/>
      <c r="I35" s="8"/>
    </row>
    <row r="36" spans="2:9">
      <c r="B36" s="8"/>
      <c r="C36" s="8"/>
      <c r="D36" s="8"/>
      <c r="E36" s="8"/>
      <c r="F36" s="8"/>
      <c r="G36" s="8"/>
      <c r="H36" s="8"/>
      <c r="I36" s="8"/>
    </row>
    <row r="37" spans="2:9">
      <c r="B37" s="8"/>
      <c r="C37" s="8"/>
      <c r="D37" s="8"/>
      <c r="E37" s="8"/>
      <c r="F37" s="8"/>
      <c r="G37" s="8"/>
      <c r="H37" s="8"/>
      <c r="I37" s="8"/>
    </row>
    <row r="38" spans="2:9">
      <c r="B38" s="8"/>
      <c r="C38" s="8"/>
      <c r="D38" s="8"/>
      <c r="E38" s="8"/>
      <c r="F38" s="8"/>
      <c r="G38" s="8"/>
      <c r="H38" s="8"/>
      <c r="I38" s="8"/>
    </row>
  </sheetData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8"/>
  <sheetViews>
    <sheetView tabSelected="1" zoomScale="71" zoomScaleNormal="71" workbookViewId="0">
      <selection activeCell="H32" sqref="H32"/>
    </sheetView>
  </sheetViews>
  <sheetFormatPr defaultColWidth="8.72727272727273" defaultRowHeight="14.5"/>
  <cols>
    <col min="4" max="4" width="27.1636363636364" customWidth="1"/>
    <col min="6" max="6" width="31.9090909090909" customWidth="1"/>
    <col min="7" max="7" width="19.5272727272727" customWidth="1"/>
    <col min="8" max="8" width="16.7545454545455" customWidth="1"/>
    <col min="9" max="10" width="8.72727272727273" customWidth="1"/>
  </cols>
  <sheetData>
    <row r="2" spans="2:14">
      <c r="B2" t="s">
        <v>743</v>
      </c>
    </row>
    <row r="3" spans="2:14">
      <c r="B3" t="s">
        <v>744</v>
      </c>
    </row>
    <row r="4" spans="2:14">
      <c r="H4" t="s">
        <v>745</v>
      </c>
    </row>
    <row r="8" ht="29" spans="2:14">
      <c r="D8" s="3" t="s">
        <v>4</v>
      </c>
      <c r="E8" s="3" t="s">
        <v>61</v>
      </c>
      <c r="F8" s="3" t="s">
        <v>62</v>
      </c>
      <c r="G8" s="3" t="s">
        <v>746</v>
      </c>
      <c r="H8" s="3" t="s">
        <v>57</v>
      </c>
      <c r="I8" s="3" t="s">
        <v>55</v>
      </c>
      <c r="J8" s="3" t="s">
        <v>6</v>
      </c>
      <c r="K8" s="3" t="s">
        <v>747</v>
      </c>
      <c r="L8" s="3" t="s">
        <v>748</v>
      </c>
      <c r="M8" s="3" t="s">
        <v>749</v>
      </c>
      <c r="N8" s="3" t="s">
        <v>353</v>
      </c>
    </row>
    <row r="9" spans="2:14">
      <c r="D9" s="4" t="s">
        <v>750</v>
      </c>
      <c r="F9" s="4" t="s">
        <v>751</v>
      </c>
      <c r="G9" s="4" t="s">
        <v>364</v>
      </c>
      <c r="H9" s="4" t="s">
        <v>752</v>
      </c>
      <c r="I9" s="4" t="s">
        <v>50</v>
      </c>
      <c r="J9">
        <v>1</v>
      </c>
      <c r="K9" s="4">
        <v>1.25</v>
      </c>
      <c r="L9">
        <v>0.05</v>
      </c>
      <c r="M9" s="4">
        <v>1</v>
      </c>
      <c r="N9" s="4"/>
    </row>
    <row r="10" spans="2:14">
      <c r="D10" s="4" t="s">
        <v>753</v>
      </c>
      <c r="F10" s="4" t="s">
        <v>754</v>
      </c>
      <c r="G10" s="4" t="s">
        <v>364</v>
      </c>
      <c r="H10" s="4" t="s">
        <v>752</v>
      </c>
      <c r="I10" s="4" t="s">
        <v>50</v>
      </c>
      <c r="J10">
        <v>1</v>
      </c>
      <c r="K10" s="4">
        <v>1.11</v>
      </c>
      <c r="L10">
        <v>0.05</v>
      </c>
      <c r="M10" s="4">
        <v>1</v>
      </c>
      <c r="N10" s="4"/>
    </row>
    <row r="11" spans="2:14">
      <c r="D11" s="4" t="s">
        <v>755</v>
      </c>
      <c r="F11" s="4" t="s">
        <v>756</v>
      </c>
      <c r="G11" s="4" t="s">
        <v>364</v>
      </c>
      <c r="H11" s="4" t="s">
        <v>752</v>
      </c>
      <c r="I11" s="4" t="s">
        <v>50</v>
      </c>
      <c r="J11">
        <v>1</v>
      </c>
      <c r="K11" s="4">
        <v>1.15</v>
      </c>
      <c r="L11">
        <v>0.08</v>
      </c>
      <c r="M11" s="4">
        <v>1</v>
      </c>
      <c r="N11" s="4"/>
    </row>
    <row r="12" ht="16" spans="2:14">
      <c r="D12" s="4" t="s">
        <v>757</v>
      </c>
      <c r="F12" s="5" t="s">
        <v>758</v>
      </c>
      <c r="G12" s="4" t="s">
        <v>364</v>
      </c>
      <c r="H12" s="4" t="s">
        <v>752</v>
      </c>
      <c r="I12" s="4" t="s">
        <v>50</v>
      </c>
      <c r="J12">
        <v>1</v>
      </c>
      <c r="K12" s="4">
        <v>1.12</v>
      </c>
      <c r="L12">
        <v>0.03</v>
      </c>
      <c r="M12" s="4">
        <v>1</v>
      </c>
      <c r="N12" s="4"/>
    </row>
    <row r="13" spans="2:14">
      <c r="D13" s="4" t="s">
        <v>759</v>
      </c>
      <c r="F13" s="4" t="s">
        <v>760</v>
      </c>
      <c r="G13" s="4" t="s">
        <v>364</v>
      </c>
      <c r="H13" s="4" t="s">
        <v>752</v>
      </c>
      <c r="I13" s="4" t="s">
        <v>50</v>
      </c>
      <c r="J13">
        <v>1</v>
      </c>
      <c r="K13" s="4">
        <v>1.2</v>
      </c>
      <c r="L13">
        <v>0.1</v>
      </c>
      <c r="M13" s="4">
        <v>1</v>
      </c>
      <c r="N13" s="4"/>
    </row>
    <row r="14" spans="2:14">
      <c r="D14" s="4" t="s">
        <v>761</v>
      </c>
      <c r="F14" s="4" t="s">
        <v>762</v>
      </c>
      <c r="G14" s="4" t="s">
        <v>364</v>
      </c>
      <c r="H14" s="4" t="s">
        <v>752</v>
      </c>
      <c r="I14" s="4" t="s">
        <v>50</v>
      </c>
      <c r="J14">
        <v>1</v>
      </c>
      <c r="K14" s="4">
        <v>1.06</v>
      </c>
      <c r="L14">
        <v>0.15</v>
      </c>
      <c r="M14" s="4">
        <v>1</v>
      </c>
      <c r="N14" s="4"/>
    </row>
    <row r="15" spans="2:14">
      <c r="D15" s="4" t="s">
        <v>763</v>
      </c>
      <c r="F15" s="4" t="s">
        <v>764</v>
      </c>
      <c r="G15" s="4" t="s">
        <v>364</v>
      </c>
      <c r="H15" s="4" t="s">
        <v>752</v>
      </c>
      <c r="I15" s="4" t="s">
        <v>50</v>
      </c>
      <c r="J15">
        <v>1</v>
      </c>
      <c r="K15" s="4">
        <v>1.06</v>
      </c>
      <c r="L15">
        <v>0.3</v>
      </c>
      <c r="M15" s="4">
        <v>1</v>
      </c>
      <c r="N15" s="4"/>
    </row>
    <row r="16" ht="16" spans="2:14">
      <c r="D16" s="4" t="s">
        <v>765</v>
      </c>
      <c r="F16" s="5" t="s">
        <v>766</v>
      </c>
      <c r="G16" t="str">
        <f>G15</f>
        <v>CAP,GROWTH</v>
      </c>
      <c r="H16" t="str">
        <f>H15</f>
        <v>2025, 2150</v>
      </c>
      <c r="I16" s="4" t="s">
        <v>50</v>
      </c>
      <c r="J16">
        <f>J12</f>
        <v>1</v>
      </c>
      <c r="K16">
        <f>K12</f>
        <v>1.12</v>
      </c>
      <c r="L16">
        <f>L12</f>
        <v>0.03</v>
      </c>
      <c r="M16">
        <f>M15</f>
        <v>1</v>
      </c>
    </row>
    <row r="17" ht="16" spans="4:13">
      <c r="D17" s="4" t="s">
        <v>767</v>
      </c>
      <c r="F17" s="5" t="s">
        <v>768</v>
      </c>
      <c r="G17" t="str">
        <f>G16</f>
        <v>CAP,GROWTH</v>
      </c>
      <c r="H17" t="str">
        <f>H16</f>
        <v>2025, 2150</v>
      </c>
      <c r="I17" s="4" t="s">
        <v>50</v>
      </c>
      <c r="J17">
        <f>J16</f>
        <v>1</v>
      </c>
      <c r="K17">
        <f>K16</f>
        <v>1.12</v>
      </c>
      <c r="L17">
        <f>L16</f>
        <v>0.03</v>
      </c>
      <c r="M17">
        <f>M16</f>
        <v>1</v>
      </c>
    </row>
    <row r="18" ht="16" spans="4:13">
      <c r="D18" s="4" t="s">
        <v>769</v>
      </c>
      <c r="F18" s="5" t="s">
        <v>770</v>
      </c>
      <c r="G18" t="str">
        <f>G17</f>
        <v>CAP,GROWTH</v>
      </c>
      <c r="H18" t="str">
        <f>H17</f>
        <v>2025, 2150</v>
      </c>
      <c r="I18" s="4" t="s">
        <v>50</v>
      </c>
      <c r="J18">
        <v>1</v>
      </c>
      <c r="K18">
        <v>1</v>
      </c>
      <c r="L18">
        <v>0</v>
      </c>
      <c r="M18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S10"/>
  <sheetViews>
    <sheetView topLeftCell="E1" workbookViewId="0">
      <selection activeCell="M19" sqref="M19"/>
    </sheetView>
  </sheetViews>
  <sheetFormatPr defaultColWidth="8.72727272727273" defaultRowHeight="14.5"/>
  <sheetData>
    <row r="6" spans="6:19">
      <c r="F6" t="s">
        <v>771</v>
      </c>
    </row>
    <row r="7" spans="6:19">
      <c r="L7" t="s">
        <v>772</v>
      </c>
    </row>
    <row r="8" spans="6:19">
      <c r="I8" t="s">
        <v>4</v>
      </c>
      <c r="J8" t="s">
        <v>61</v>
      </c>
      <c r="K8" t="s">
        <v>62</v>
      </c>
      <c r="L8" t="s">
        <v>64</v>
      </c>
      <c r="M8" t="s">
        <v>65</v>
      </c>
      <c r="N8" t="s">
        <v>66</v>
      </c>
      <c r="O8" t="s">
        <v>67</v>
      </c>
      <c r="P8" t="s">
        <v>57</v>
      </c>
      <c r="Q8" t="s">
        <v>773</v>
      </c>
      <c r="R8" t="s">
        <v>60</v>
      </c>
      <c r="S8" t="s">
        <v>55</v>
      </c>
    </row>
    <row r="9" spans="6:19">
      <c r="I9" t="s">
        <v>774</v>
      </c>
      <c r="O9" t="s">
        <v>775</v>
      </c>
      <c r="P9">
        <v>2020</v>
      </c>
      <c r="Q9">
        <v>1</v>
      </c>
      <c r="R9">
        <v>0</v>
      </c>
      <c r="S9" t="s">
        <v>246</v>
      </c>
    </row>
    <row r="10" spans="6:19">
      <c r="P10">
        <v>0</v>
      </c>
      <c r="R10">
        <v>3</v>
      </c>
      <c r="S10" t="s">
        <v>246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0:K15"/>
  <sheetViews>
    <sheetView topLeftCell="C6" workbookViewId="0">
      <selection activeCell="I26" sqref="I26"/>
    </sheetView>
  </sheetViews>
  <sheetFormatPr defaultColWidth="8.72727272727273" defaultRowHeight="14.5"/>
  <cols>
    <col min="8" max="8" width="12.8181818181818" customWidth="1"/>
    <col min="9" max="9" width="28.5454545454545" customWidth="1"/>
    <col min="10" max="10" width="13.9090909090909" customWidth="1"/>
    <col min="14" max="14" width="27.9090909090909" customWidth="1"/>
  </cols>
  <sheetData>
    <row r="10" spans="8:11">
      <c r="H10" t="s">
        <v>53</v>
      </c>
    </row>
    <row r="11" spans="8:11">
      <c r="H11" t="s">
        <v>73</v>
      </c>
      <c r="I11" t="s">
        <v>91</v>
      </c>
      <c r="J11" t="s">
        <v>244</v>
      </c>
      <c r="K11" t="s">
        <v>243</v>
      </c>
    </row>
    <row r="12" spans="8:11">
      <c r="H12" s="1" t="s">
        <v>82</v>
      </c>
      <c r="I12" t="s">
        <v>776</v>
      </c>
      <c r="J12">
        <v>2150</v>
      </c>
    </row>
    <row r="13" spans="8:11">
      <c r="H13" s="2"/>
      <c r="I13" s="2"/>
      <c r="J13" s="2"/>
      <c r="K13" s="2"/>
    </row>
    <row r="14" spans="8:11">
      <c r="H14" s="2"/>
      <c r="I14" s="2"/>
      <c r="J14" s="2"/>
      <c r="K14" s="2"/>
    </row>
    <row r="15" spans="8:11">
      <c r="H15" s="2"/>
      <c r="I15" s="2"/>
      <c r="J15" s="2"/>
      <c r="K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temp elec alignment</vt:lpstr>
      <vt:lpstr>INS</vt:lpstr>
      <vt:lpstr>RE costs</vt:lpstr>
      <vt:lpstr>HH2</vt:lpstr>
      <vt:lpstr>Transport</vt:lpstr>
      <vt:lpstr>Trade costs</vt:lpstr>
      <vt:lpstr>Cap decay limits</vt:lpstr>
      <vt:lpstr>demelast and reporting</vt:lpstr>
      <vt:lpstr>Thermal elec op costs</vt:lpstr>
      <vt:lpstr>emissions</vt:lpstr>
      <vt:lpstr>CO2 transp and sto</vt:lpstr>
      <vt:lpstr>car batteries</vt:lpstr>
      <vt:lpstr>2026electrificationrate-REMOVED</vt:lpstr>
      <vt:lpstr>growth rate</vt:lpstr>
      <vt:lpstr>materials_balance</vt:lpstr>
      <vt:lpstr>BND_onGasCar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2009-05-27T15:40:00Z</dcterms:created>
  <dcterms:modified xsi:type="dcterms:W3CDTF">2026-08-14T14:42:10Z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719005778182144</vt:r8>
  </property>
  <property fmtid="{D5CDD505-2E9C-101B-9397-08002B2CF9AE}" pid="3" name="{A44787D4-0540-4523-9961-78E4036D8C6D}">
    <vt:lpwstr>{C5BFA0EE-865B-4DB5-A9A9-320E07621DC8}</vt:lpwstr>
  </property>
  <property fmtid="{D5CDD505-2E9C-101B-9397-08002B2CF9AE}" pid="4" name="ICV">
    <vt:lpwstr>E34D16D1FAA0403A82D5146E5E24AD7B_12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