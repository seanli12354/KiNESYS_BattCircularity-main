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Default Extension="vml" ContentType="application/vnd.openxmlformats-officedocument.vmlDrawing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updateLinks="never"/>
  <bookViews>
    <workbookView xWindow="240" yWindow="120" windowWidth="18350" windowHeight="8710" activeTab="2"/>
  </bookViews>
  <sheets>
    <sheet name="drate" sheetId="16" r:id="rId3"/>
    <sheet name="BY_TRA" sheetId="12" r:id="rId4"/>
    <sheet name="Transport" sheetId="11" r:id="rId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6" l="1"/>
</calcChain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xli9</author>
    <author>Amit Kanudia</author>
  </authors>
  <commentList>
    <comment ref="M6" authorId="0">
      <text>
        <r>
          <rPr>
            <b/>
            <sz val="9"/>
            <rFont val="Times New Roman"/>
            <family val="2"/>
            <charset val="134"/>
          </rPr>
          <t>xli9:</t>
        </r>
        <r>
          <rPr>
            <sz val="9"/>
            <rFont val="Times New Roman"/>
            <family val="2"/>
            <charset val="134"/>
          </rPr>
          <t xml:space="preserve">
we removed this limit since we have already limited bio in sce files
I do not think the bio limit is reasonable so i removed all of them</t>
        </r>
      </text>
    </comment>
    <comment ref="B30" authorId="1">
      <text>
        <r>
          <rPr>
            <b/>
            <sz val="9"/>
            <rFont val="Tahoma"/>
            <family val="2"/>
            <charset val="134"/>
          </rPr>
          <t>Amit Kanudia:</t>
        </r>
        <r>
          <rPr>
            <sz val="9"/>
            <rFont val="Tahoma"/>
            <family val="2"/>
            <charset val="134"/>
          </rPr>
          <t xml:space="preserve">
12-03-2022
no role for LPG vehicles
</t>
        </r>
      </text>
    </comment>
    <comment ref="A67" authorId="0">
      <text>
        <r>
          <rPr>
            <b/>
            <sz val="9"/>
            <rFont val="Times New Roman"/>
            <family val="2"/>
            <charset val="134"/>
          </rPr>
          <t>xli9:</t>
        </r>
        <r>
          <rPr>
            <sz val="9"/>
            <rFont val="Times New Roman"/>
            <family val="2"/>
            <charset val="134"/>
          </rPr>
          <t xml:space="preserve">
Exclude CNG, why is there CNG??</t>
        </r>
      </text>
    </comment>
  </commentList>
</comments>
</file>

<file path=xl/sharedStrings.xml><?xml version="1.0" encoding="utf-8"?>
<sst xmlns="http://schemas.openxmlformats.org/spreadsheetml/2006/main" count="7592" uniqueCount="194">
  <si>
    <t>~TFM_INS-TS</t>
  </si>
  <si>
    <t>ActiveReg</t>
  </si>
  <si>
    <t>Status</t>
  </si>
  <si>
    <t>region</t>
  </si>
  <si>
    <t>attribute</t>
  </si>
  <si>
    <t>pset_set</t>
  </si>
  <si>
    <t>pset_co</t>
  </si>
  <si>
    <t>Africa_Other</t>
  </si>
  <si>
    <t>Eme</t>
  </si>
  <si>
    <t>NCAP_DRATE</t>
  </si>
  <si>
    <t>DMD</t>
  </si>
  <si>
    <t>C??</t>
  </si>
  <si>
    <t>Trd_*</t>
  </si>
  <si>
    <t>India</t>
  </si>
  <si>
    <t>ROW</t>
  </si>
  <si>
    <t>WestBalkans</t>
  </si>
  <si>
    <t>Brazil</t>
  </si>
  <si>
    <t>Africa_North</t>
  </si>
  <si>
    <t>Ukraine</t>
  </si>
  <si>
    <t>SouthAfrica</t>
  </si>
  <si>
    <t>LatAm</t>
  </si>
  <si>
    <t>MidEast</t>
  </si>
  <si>
    <t>Turkey</t>
  </si>
  <si>
    <t>Dev</t>
  </si>
  <si>
    <t>Russia</t>
  </si>
  <si>
    <t>HunRomBul</t>
  </si>
  <si>
    <t>CroSloven</t>
  </si>
  <si>
    <t>SpainPor</t>
  </si>
  <si>
    <t>GreeceCyp</t>
  </si>
  <si>
    <t>China</t>
  </si>
  <si>
    <t>ItalyMal</t>
  </si>
  <si>
    <t>Poland</t>
  </si>
  <si>
    <t>Baltics</t>
  </si>
  <si>
    <t>France</t>
  </si>
  <si>
    <t>Japan</t>
  </si>
  <si>
    <t>UK</t>
  </si>
  <si>
    <t>SaudiArabia</t>
  </si>
  <si>
    <t>SweFinDen</t>
  </si>
  <si>
    <t>Germany</t>
  </si>
  <si>
    <t>Australia</t>
  </si>
  <si>
    <t>CzechSlovak</t>
  </si>
  <si>
    <t>NorthAm</t>
  </si>
  <si>
    <t>Austria</t>
  </si>
  <si>
    <t>BeNeLux</t>
  </si>
  <si>
    <t>Norway</t>
  </si>
  <si>
    <t>Switzerland</t>
  </si>
  <si>
    <t>Iceland</t>
  </si>
  <si>
    <t>Ireland</t>
  </si>
  <si>
    <t>Trd_car_elc_250</t>
  </si>
  <si>
    <t>Trd_car_elc_200</t>
  </si>
  <si>
    <t>Trd_car_elc_160</t>
  </si>
  <si>
    <t>2024</t>
  </si>
  <si>
    <t>2023</t>
  </si>
  <si>
    <t>2022</t>
  </si>
  <si>
    <t>2021</t>
  </si>
  <si>
    <t>2020</t>
  </si>
  <si>
    <t>Trd_car_elc_120</t>
  </si>
  <si>
    <t>Base_KS_setup</t>
  </si>
  <si>
    <t>Trd_lcv_nga</t>
  </si>
  <si>
    <t>Dem</t>
  </si>
  <si>
    <t>Fuel</t>
  </si>
  <si>
    <t>2000</t>
  </si>
  <si>
    <t>PASTI</t>
  </si>
  <si>
    <t>Trd_lcv_lpg</t>
  </si>
  <si>
    <t>scenario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</si>
  <si>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</si>
  <si>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</si>
  <si>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</si>
  <si>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</si>
  <si>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</si>
  <si>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</si>
  <si>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</si>
  <si>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</si>
  <si>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</si>
  <si>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</si>
  <si>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</si>
  <si>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</si>
  <si>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</si>
  <si>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</si>
  <si>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</si>
  <si>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</si>
  <si>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</si>
  <si>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</si>
  <si>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</si>
  <si>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stage</t>
  </si>
  <si>
    <t>currency</t>
  </si>
  <si>
    <t>Trd_lcv_gsl</t>
  </si>
  <si>
    <t>Trd_lcv_elc</t>
  </si>
  <si>
    <t>Trd_lcv_dsl</t>
  </si>
  <si>
    <t>Trd_lcv_bdl</t>
  </si>
  <si>
    <t>Trd_hdt_gsl</t>
  </si>
  <si>
    <t>Trd_hdt_dsl</t>
  </si>
  <si>
    <t>Trd_hdt_bdl</t>
  </si>
  <si>
    <t>Trd_car_nga</t>
  </si>
  <si>
    <t>Trd_car_lpg</t>
  </si>
  <si>
    <t>Trd_car_gsl</t>
  </si>
  <si>
    <t>Trd_car_eth</t>
  </si>
  <si>
    <t>Trd_car_elc</t>
  </si>
  <si>
    <t>Trd_car_dsl</t>
  </si>
  <si>
    <t>Trd_car_bdl</t>
  </si>
  <si>
    <t>Trd_bus_nga</t>
  </si>
  <si>
    <t>Trd_bus_lpg</t>
  </si>
  <si>
    <t>Trd_bus_gsl</t>
  </si>
  <si>
    <t>Trd_bus_eth</t>
  </si>
  <si>
    <t>Trd_bus_elc</t>
  </si>
  <si>
    <t>Trd_bus_dsl</t>
  </si>
  <si>
    <t>Trd_bus_bdl</t>
  </si>
  <si>
    <t>Trd_3w_gsl</t>
  </si>
  <si>
    <t>Trd_3w_dsl</t>
  </si>
  <si>
    <t>Trd_3w_bdl</t>
  </si>
  <si>
    <t>Trd_2w_gsl</t>
  </si>
  <si>
    <t>-</t>
  </si>
  <si>
    <t>lim_type</t>
  </si>
  <si>
    <t>Trd_2w_elc</t>
  </si>
  <si>
    <t>commodity_group</t>
  </si>
  <si>
    <t>year</t>
  </si>
  <si>
    <t>time_slice</t>
  </si>
  <si>
    <t>process</t>
  </si>
  <si>
    <t>BASE</t>
  </si>
  <si>
    <t>year2</t>
  </si>
  <si>
    <t>sow</t>
  </si>
  <si>
    <t>commodity</t>
  </si>
  <si>
    <t>Australia_d</t>
  </si>
  <si>
    <t>Austria_d</t>
  </si>
  <si>
    <t>Brazil_d</t>
  </si>
  <si>
    <t>China_d</t>
  </si>
  <si>
    <t>France_d</t>
  </si>
  <si>
    <t>Germany_d</t>
  </si>
  <si>
    <t>Iceland_d</t>
  </si>
  <si>
    <t>India_d</t>
  </si>
  <si>
    <t>Ireland_d</t>
  </si>
  <si>
    <t>Japan_d</t>
  </si>
  <si>
    <t>Norway_d</t>
  </si>
  <si>
    <t>Poland_d</t>
  </si>
  <si>
    <t>Russia_d</t>
  </si>
  <si>
    <t>SaudiArabia_d</t>
  </si>
  <si>
    <t>SouthAfrica_d</t>
  </si>
  <si>
    <t>Switzerland_d</t>
  </si>
  <si>
    <t>Turkey_d</t>
  </si>
  <si>
    <t>UK_d</t>
  </si>
  <si>
    <t>Ukraine_d</t>
  </si>
  <si>
    <t>\I:</t>
  </si>
  <si>
    <t>WORLD</t>
  </si>
  <si>
    <t>Road</t>
  </si>
  <si>
    <t>BGS/GSL</t>
  </si>
  <si>
    <t>BDS/DST</t>
  </si>
  <si>
    <t>~UC_Sets: R_E: allregions</t>
  </si>
  <si>
    <t>~UC_T: UC_FLO~LO</t>
  </si>
  <si>
    <t>UC_N</t>
  </si>
  <si>
    <t>pset_pn</t>
  </si>
  <si>
    <t>cset_cn</t>
  </si>
  <si>
    <t>UC_RHSRT</t>
  </si>
  <si>
    <t>UC_RHSRT~0</t>
  </si>
  <si>
    <t>UCT_shareBGS_LO</t>
  </si>
  <si>
    <t>Trd*</t>
  </si>
  <si>
    <t>TRABGS</t>
  </si>
  <si>
    <t>TRAGSL</t>
  </si>
  <si>
    <t>ONLY 150cc SEGMENT ACTIVE for 2w</t>
  </si>
  <si>
    <t>UCT_shareBDS_LO</t>
  </si>
  <si>
    <t>TRABDS</t>
  </si>
  <si>
    <t>TRADST</t>
  </si>
  <si>
    <t>~TFM_FILL-R:w=BY_TRA; hcol=region</t>
  </si>
  <si>
    <t>Scenario</t>
  </si>
  <si>
    <t>Attribute</t>
  </si>
  <si>
    <t>PSET_CO</t>
  </si>
  <si>
    <t>AllRegions</t>
  </si>
  <si>
    <t>~TFM_INS</t>
  </si>
  <si>
    <t>Trd[_]*</t>
  </si>
  <si>
    <t>*1</t>
  </si>
  <si>
    <t>PSET_CI</t>
  </si>
  <si>
    <t>value</t>
  </si>
  <si>
    <t>START</t>
  </si>
  <si>
    <t>TRALPG</t>
  </si>
  <si>
    <t>2w_</t>
  </si>
  <si>
    <t>eth</t>
  </si>
  <si>
    <t>gsl</t>
  </si>
  <si>
    <t>3w_</t>
  </si>
  <si>
    <t>bdl</t>
  </si>
  <si>
    <t>dsl</t>
  </si>
  <si>
    <t>bus</t>
  </si>
  <si>
    <t>elc</t>
  </si>
  <si>
    <t>lpg</t>
  </si>
  <si>
    <t>nga</t>
  </si>
  <si>
    <t>car</t>
  </si>
  <si>
    <t>hdt</t>
  </si>
  <si>
    <t>lcv</t>
  </si>
  <si>
    <t>~TFM_INS: attribute=PRC_MARK; limtype=UP</t>
  </si>
  <si>
    <t>Year</t>
  </si>
  <si>
    <t>LimType</t>
  </si>
  <si>
    <t>CSET_CN</t>
  </si>
  <si>
    <t>Other_indexes</t>
  </si>
  <si>
    <t>UP</t>
  </si>
  <si>
    <t>CNGVeh</t>
  </si>
  <si>
    <t>Trd_car_elc_300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</si>
</sst>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6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1"/>
      <color rgb="FF3F3F76"/>
      <name val="Calibri"/>
      <family val="2"/>
      <charset val="134"/>
      <scheme val="minor"/>
    </font>
    <font>
      <u val="single"/>
      <sz val="11"/>
      <color rgb="FF0000FF"/>
      <name val="Calibri"/>
      <family val="2"/>
      <charset val="134"/>
      <scheme val="minor"/>
    </font>
    <font>
      <u val="single"/>
      <sz val="11"/>
      <color rgb="FF80008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b/>
      <sz val="18"/>
      <color theme="3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b/>
      <sz val="11"/>
      <color rgb="FFFFFFFF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0"/>
      <name val="Arial"/>
      <family val="2"/>
      <charset val="134"/>
    </font>
    <font>
      <sz val="11"/>
      <color indexed="8"/>
      <name val="Calibri"/>
      <family val="2"/>
      <charset val="134"/>
    </font>
    <font>
      <sz val="9"/>
      <name val="Tahoma"/>
      <family val="2"/>
      <charset val="134"/>
    </font>
    <font>
      <b/>
      <sz val="9"/>
      <name val="Times New Roman"/>
      <family val="2"/>
      <charset val="134"/>
    </font>
    <font>
      <b/>
      <sz val="9"/>
      <name val="Tahoma"/>
      <family val="2"/>
      <charset val="134"/>
    </font>
    <font>
      <sz val="9"/>
      <name val="Times New Roman"/>
      <family val="2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000264167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6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176" fontId="0" fillId="0" borderId="0" applyFont="0" applyFill="0" applyBorder="0" applyProtection="0">
      <alignment/>
    </xf>
    <xf numFmtId="177" fontId="0" fillId="0" borderId="0" applyFont="0" applyFill="0" applyBorder="0" applyProtection="0">
      <alignment/>
    </xf>
    <xf numFmtId="43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0" fontId="3" fillId="0" borderId="0" applyNumberFormat="0" applyFill="0" applyBorder="0" applyProtection="0">
      <alignment/>
    </xf>
    <xf numFmtId="0" fontId="4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2" applyNumberFormat="0" applyFill="0" applyProtection="0">
      <alignment/>
    </xf>
    <xf numFmtId="0" fontId="9" fillId="0" borderId="2" applyNumberFormat="0" applyFill="0" applyProtection="0">
      <alignment/>
    </xf>
    <xf numFmtId="0" fontId="10" fillId="0" borderId="3" applyNumberFormat="0" applyFill="0" applyProtection="0">
      <alignment/>
    </xf>
    <xf numFmtId="0" fontId="10" fillId="0" borderId="0" applyNumberFormat="0" applyFill="0" applyBorder="0" applyProtection="0">
      <alignment/>
    </xf>
    <xf numFmtId="0" fontId="2" fillId="3" borderId="4" applyNumberFormat="0" applyAlignment="0" applyProtection="0"/>
    <xf numFmtId="0" fontId="11" fillId="4" borderId="5" applyNumberFormat="0" applyProtection="0">
      <alignment/>
    </xf>
    <xf numFmtId="0" fontId="12" fillId="4" borderId="4" applyNumberFormat="0" applyProtection="0">
      <alignment/>
    </xf>
    <xf numFmtId="0" fontId="13" fillId="5" borderId="6" applyNumberFormat="0" applyProtection="0">
      <alignment/>
    </xf>
    <xf numFmtId="0" fontId="14" fillId="0" borderId="7" applyNumberFormat="0" applyFill="0" applyProtection="0">
      <alignment/>
    </xf>
    <xf numFmtId="0" fontId="15" fillId="0" borderId="8" applyNumberFormat="0" applyFill="0" applyProtection="0">
      <alignment/>
    </xf>
    <xf numFmtId="0" fontId="16" fillId="6" borderId="0" applyNumberFormat="0" applyBorder="0" applyProtection="0">
      <alignment/>
    </xf>
    <xf numFmtId="0" fontId="17" fillId="7" borderId="0" applyNumberFormat="0" applyBorder="0" applyProtection="0">
      <alignment/>
    </xf>
    <xf numFmtId="0" fontId="18" fillId="8" borderId="0" applyNumberFormat="0" applyBorder="0" applyProtection="0">
      <alignment/>
    </xf>
    <xf numFmtId="0" fontId="19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19" fillId="12" borderId="0" applyNumberFormat="0" applyBorder="0" applyProtection="0">
      <alignment/>
    </xf>
    <xf numFmtId="0" fontId="19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19" fillId="16" borderId="0" applyNumberFormat="0" applyBorder="0" applyProtection="0">
      <alignment/>
    </xf>
    <xf numFmtId="0" fontId="19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19" fillId="20" borderId="0" applyNumberFormat="0" applyBorder="0" applyProtection="0">
      <alignment/>
    </xf>
    <xf numFmtId="0" fontId="19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19" fillId="24" borderId="0" applyNumberFormat="0" applyBorder="0" applyProtection="0">
      <alignment/>
    </xf>
    <xf numFmtId="0" fontId="19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19" fillId="28" borderId="0" applyNumberFormat="0" applyBorder="0" applyProtection="0">
      <alignment/>
    </xf>
    <xf numFmtId="0" fontId="19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19" fillId="32" borderId="0" applyNumberFormat="0" applyBorder="0" applyProtection="0">
      <alignment/>
    </xf>
    <xf numFmtId="0" fontId="20" fillId="0" borderId="0">
      <alignment/>
      <protection/>
    </xf>
    <xf numFmtId="0" fontId="21" fillId="0" borderId="0">
      <alignment/>
      <protection/>
    </xf>
  </cellStyleXfs>
  <cellXfs count="9">
    <xf numFmtId="0" fontId="0" fillId="0" borderId="0" xfId="0"/>
    <xf numFmtId="0" fontId="0" fillId="33" borderId="0" xfId="0" applyFill="1"/>
    <xf numFmtId="9" fontId="0" fillId="33" borderId="0" xfId="15" applyFont="1" applyFill="1"/>
    <xf numFmtId="0" fontId="0" fillId="34" borderId="0" xfId="0" applyFill="1"/>
    <xf numFmtId="9" fontId="0" fillId="0" borderId="0" xfId="0" applyNumberFormat="1"/>
    <xf numFmtId="9" fontId="0" fillId="0" borderId="0" xfId="15" applyFont="1"/>
    <xf numFmtId="0" fontId="0" fillId="35" borderId="0" xfId="0" applyFill="1"/>
    <xf numFmtId="0" fontId="0" fillId="36" borderId="0" xfId="0" applyFill="1"/>
    <xf numFmtId="0" fontId="2" fillId="3" borderId="4" xfId="30"/>
  </cellXfs>
  <cellStyles count="5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Link" xfId="20" builtinId="8"/>
    <cellStyle name="Followed Hyperlink" xfId="21" builtinId="9"/>
    <cellStyle name="Note" xfId="22" builtinId="10"/>
    <cellStyle name="Warning Text" xfId="23" builtinId="11"/>
    <cellStyle name="Title" xfId="24" builtinId="15"/>
    <cellStyle name="Explanatory Text" xfId="25" builtinId="53"/>
    <cellStyle name="Heading 1" xfId="26" builtinId="16"/>
    <cellStyle name="Heading 2" xfId="27" builtinId="17"/>
    <cellStyle name="Heading 3" xfId="28" builtinId="18"/>
    <cellStyle name="Heading 4" xfId="29" builtinId="19"/>
    <cellStyle name="Input" xfId="30" builtinId="20"/>
    <cellStyle name="Output" xfId="31" builtinId="21"/>
    <cellStyle name="Calculation" xfId="32" builtinId="22"/>
    <cellStyle name="Check Cell" xfId="33" builtinId="23"/>
    <cellStyle name="Linked Cell" xfId="34" builtinId="24"/>
    <cellStyle name="Total" xfId="35" builtinId="25"/>
    <cellStyle name="Good" xfId="36" builtinId="26"/>
    <cellStyle name="Bad" xfId="37" builtinId="27"/>
    <cellStyle name="Neutral" xfId="38" builtinId="28"/>
    <cellStyle name="Accent1" xfId="39" builtinId="29"/>
    <cellStyle name="20% - Accent1" xfId="40" builtinId="30"/>
    <cellStyle name="40% - Accent1" xfId="41" builtinId="31"/>
    <cellStyle name="60% - Accent1" xfId="42" builtinId="32"/>
    <cellStyle name="Accent2" xfId="43" builtinId="33"/>
    <cellStyle name="20% - Accent2" xfId="44" builtinId="34"/>
    <cellStyle name="40% - Accent2" xfId="45" builtinId="35"/>
    <cellStyle name="60% - Accent2" xfId="46" builtinId="36"/>
    <cellStyle name="Accent3" xfId="47" builtinId="37"/>
    <cellStyle name="20% - Accent3" xfId="48" builtinId="38"/>
    <cellStyle name="40% - Accent3" xfId="49" builtinId="39"/>
    <cellStyle name="60% - Accent3" xfId="50" builtinId="40"/>
    <cellStyle name="Accent4" xfId="51" builtinId="41"/>
    <cellStyle name="20% - Accent4" xfId="52" builtinId="42"/>
    <cellStyle name="40% - Accent4" xfId="53" builtinId="43"/>
    <cellStyle name="60% - Accent4" xfId="54" builtinId="44"/>
    <cellStyle name="Accent5" xfId="55" builtinId="45"/>
    <cellStyle name="20% - Accent5" xfId="56" builtinId="46"/>
    <cellStyle name="40% - Accent5" xfId="57" builtinId="47"/>
    <cellStyle name="60% - Accent5" xfId="58" builtinId="48"/>
    <cellStyle name="Accent6" xfId="59" builtinId="49"/>
    <cellStyle name="20% - Accent6" xfId="60" builtinId="50"/>
    <cellStyle name="40% - Accent6" xfId="61" builtinId="51"/>
    <cellStyle name="60% - Accent6" xfId="62" builtinId="52"/>
    <cellStyle name="Normal 10" xfId="63"/>
    <cellStyle name="Normale_Scen_UC_IND-StrucConst" xfId="6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sharedStrings" Target="sharedStrings.xml" /><Relationship Id="rId7" Type="http://schemas.openxmlformats.org/officeDocument/2006/relationships/calcChain" Target="calcChain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etc="http://www.wps.cn/officeDocument/2017/etCustomData" mc:Ignorable="x14ac xr xr2 xr3" xr:uid="{00000000-0001-0000-0000-000000000000}">
  <dimension ref="B2:R38"/>
  <sheetViews>
    <sheetView zoomScale="65" zoomScaleNormal="65" workbookViewId="0" topLeftCell="A1">
      <selection pane="topLeft" activeCell="L40" sqref="L40"/>
    </sheetView>
  </sheetViews>
  <sheetFormatPr defaultColWidth="9.00428571428571" defaultRowHeight="14.5"/>
  <cols>
    <col min="6" max="6" width="12.2857142857143" customWidth="1"/>
    <col min="7" max="7" width="12.7142857142857" customWidth="1"/>
    <col min="9" max="9" width="7.85714285714286" customWidth="1"/>
    <col min="10" max="10" width="5" customWidth="1"/>
    <col min="11" max="11" width="5.85714285714286" customWidth="1"/>
    <col min="13" max="13" width="12.4285714285714" customWidth="1"/>
    <col min="14" max="14" width="12.7142857142857" customWidth="1"/>
    <col min="17" max="17" width="5" customWidth="1"/>
    <col min="18" max="18" width="5.85714285714286" customWidth="1"/>
  </cols>
  <sheetData>
    <row r="2" spans="13:13" ht="14.5">
      <c r="M2" t="s">
        <v>0</v>
      </c>
    </row>
    <row r="3" spans="2:18" ht="14.5">
      <c r="B3" t="s">
        <v>1</v>
      </c>
      <c r="C3" t="s">
        <v>2</v>
      </c>
      <c r="F3" t="s">
        <v>3</v>
      </c>
      <c r="G3" t="s">
        <v>4</v>
      </c>
      <c r="H3" t="s">
        <v>5</v>
      </c>
      <c r="I3" t="s">
        <v>6</v>
      </c>
      <c r="J3">
        <v>2019</v>
      </c>
      <c r="K3">
        <v>2050</v>
      </c>
      <c r="M3" t="s">
        <v>3</v>
      </c>
      <c r="N3" t="s">
        <v>4</v>
      </c>
      <c r="O3" t="s">
        <v>5</v>
      </c>
      <c r="P3" t="s">
        <v>6</v>
      </c>
      <c r="Q3">
        <v>2019</v>
      </c>
      <c r="R3">
        <v>2050</v>
      </c>
    </row>
    <row r="4" spans="2:18" ht="14.5">
      <c r="B4" t="s">
        <v>7</v>
      </c>
      <c r="C4" t="s">
        <v>8</v>
      </c>
      <c r="F4" t="str">
        <f>B4</f>
        <v>Africa_Other</v>
      </c>
      <c r="G4" t="s">
        <v>9</v>
      </c>
      <c r="H4" t="s">
        <v>10</v>
      </c>
      <c r="I4" t="s">
        <v>11</v>
      </c>
      <c r="J4">
        <f>Q4-0.1</f>
        <v>0.30000000000000004</v>
      </c>
      <c r="K4">
        <f>R4-0.1</f>
        <v>0.20000000000000004</v>
      </c>
      <c r="M4" t="str">
        <f>F4</f>
        <v>Africa_Other</v>
      </c>
      <c r="N4" t="s">
        <v>9</v>
      </c>
      <c r="O4" t="s">
        <v>10</v>
      </c>
      <c r="P4" t="s">
        <v>12</v>
      </c>
      <c r="Q4" s="8">
        <f>IF(C4="Eme",0.4,0.3)</f>
        <v>0.40000000000000002</v>
      </c>
      <c r="R4">
        <f>Q4-0.1</f>
        <v>0.30000000000000004</v>
      </c>
    </row>
    <row r="5" spans="2:18" ht="14.5">
      <c r="B5" t="s">
        <v>13</v>
      </c>
      <c r="C5" t="s">
        <v>8</v>
      </c>
      <c r="F5" t="str">
        <f t="shared" si="0" ref="F5:F24">B5</f>
        <v>India</v>
      </c>
      <c r="G5" t="s">
        <v>9</v>
      </c>
      <c r="H5" t="s">
        <v>10</v>
      </c>
      <c r="I5" t="s">
        <v>11</v>
      </c>
      <c r="J5">
        <f t="shared" si="1" ref="J5:K38">Q5-0.1</f>
        <v>0.30000000000000004</v>
      </c>
      <c r="K5">
        <f t="shared" si="1"/>
        <v>0.20000000000000004</v>
      </c>
      <c r="M5" t="str">
        <f t="shared" si="2" ref="M5:M24">F5</f>
        <v>India</v>
      </c>
      <c r="N5" t="s">
        <v>9</v>
      </c>
      <c r="O5" t="s">
        <v>10</v>
      </c>
      <c r="P5" t="s">
        <v>12</v>
      </c>
      <c r="Q5" s="8">
        <f t="shared" si="3" ref="Q5:Q38">IF(C5="Eme",0.4,0.3)</f>
        <v>0.40000000000000002</v>
      </c>
      <c r="R5">
        <f t="shared" si="4" ref="R5:R38">Q5-0.1</f>
        <v>0.30000000000000004</v>
      </c>
    </row>
    <row r="6" spans="2:18" ht="14.5">
      <c r="B6" t="s">
        <v>14</v>
      </c>
      <c r="C6" t="s">
        <v>8</v>
      </c>
      <c r="F6" t="str">
        <f t="shared" si="0"/>
        <v>ROW</v>
      </c>
      <c r="G6" t="s">
        <v>9</v>
      </c>
      <c r="H6" t="s">
        <v>10</v>
      </c>
      <c r="I6" t="s">
        <v>11</v>
      </c>
      <c r="J6">
        <f t="shared" si="1"/>
        <v>0.30000000000000004</v>
      </c>
      <c r="K6">
        <f t="shared" si="1"/>
        <v>0.20000000000000004</v>
      </c>
      <c r="M6" t="str">
        <f t="shared" si="2"/>
        <v>ROW</v>
      </c>
      <c r="N6" t="s">
        <v>9</v>
      </c>
      <c r="O6" t="s">
        <v>10</v>
      </c>
      <c r="P6" t="s">
        <v>12</v>
      </c>
      <c r="Q6" s="8">
        <f t="shared" si="3"/>
        <v>0.40000000000000002</v>
      </c>
      <c r="R6">
        <f t="shared" si="4"/>
        <v>0.30000000000000004</v>
      </c>
    </row>
    <row r="7" spans="2:18" ht="14.5">
      <c r="B7" t="s">
        <v>15</v>
      </c>
      <c r="C7" t="s">
        <v>8</v>
      </c>
      <c r="F7" t="str">
        <f t="shared" si="0"/>
        <v>WestBalkans</v>
      </c>
      <c r="G7" t="s">
        <v>9</v>
      </c>
      <c r="H7" t="s">
        <v>10</v>
      </c>
      <c r="I7" t="s">
        <v>11</v>
      </c>
      <c r="J7">
        <f t="shared" si="1"/>
        <v>0.30000000000000004</v>
      </c>
      <c r="K7">
        <f t="shared" si="1"/>
        <v>0.20000000000000004</v>
      </c>
      <c r="M7" t="str">
        <f t="shared" si="2"/>
        <v>WestBalkans</v>
      </c>
      <c r="N7" t="s">
        <v>9</v>
      </c>
      <c r="O7" t="s">
        <v>10</v>
      </c>
      <c r="P7" t="s">
        <v>12</v>
      </c>
      <c r="Q7" s="8">
        <f t="shared" si="3"/>
        <v>0.40000000000000002</v>
      </c>
      <c r="R7">
        <f t="shared" si="4"/>
        <v>0.30000000000000004</v>
      </c>
    </row>
    <row r="8" spans="2:18" ht="14.5">
      <c r="B8" t="s">
        <v>16</v>
      </c>
      <c r="C8" t="s">
        <v>8</v>
      </c>
      <c r="F8" t="str">
        <f t="shared" si="0"/>
        <v>Brazil</v>
      </c>
      <c r="G8" t="s">
        <v>9</v>
      </c>
      <c r="H8" t="s">
        <v>10</v>
      </c>
      <c r="I8" t="s">
        <v>11</v>
      </c>
      <c r="J8">
        <f t="shared" si="1"/>
        <v>0.30000000000000004</v>
      </c>
      <c r="K8">
        <f t="shared" si="1"/>
        <v>0.20000000000000004</v>
      </c>
      <c r="M8" t="str">
        <f t="shared" si="2"/>
        <v>Brazil</v>
      </c>
      <c r="N8" t="s">
        <v>9</v>
      </c>
      <c r="O8" t="s">
        <v>10</v>
      </c>
      <c r="P8" t="s">
        <v>12</v>
      </c>
      <c r="Q8" s="8">
        <f t="shared" si="3"/>
        <v>0.40000000000000002</v>
      </c>
      <c r="R8">
        <f t="shared" si="4"/>
        <v>0.30000000000000004</v>
      </c>
    </row>
    <row r="9" spans="2:18" ht="14.5">
      <c r="B9" t="s">
        <v>17</v>
      </c>
      <c r="C9" t="s">
        <v>8</v>
      </c>
      <c r="F9" t="str">
        <f t="shared" si="0"/>
        <v>Africa_North</v>
      </c>
      <c r="G9" t="s">
        <v>9</v>
      </c>
      <c r="H9" t="s">
        <v>10</v>
      </c>
      <c r="I9" t="s">
        <v>11</v>
      </c>
      <c r="J9">
        <f t="shared" si="1"/>
        <v>0.30000000000000004</v>
      </c>
      <c r="K9">
        <f t="shared" si="1"/>
        <v>0.20000000000000004</v>
      </c>
      <c r="M9" t="str">
        <f t="shared" si="2"/>
        <v>Africa_North</v>
      </c>
      <c r="N9" t="s">
        <v>9</v>
      </c>
      <c r="O9" t="s">
        <v>10</v>
      </c>
      <c r="P9" t="s">
        <v>12</v>
      </c>
      <c r="Q9" s="8">
        <f t="shared" si="3"/>
        <v>0.40000000000000002</v>
      </c>
      <c r="R9">
        <f t="shared" si="4"/>
        <v>0.30000000000000004</v>
      </c>
    </row>
    <row r="10" spans="2:18" ht="14.5">
      <c r="B10" t="s">
        <v>18</v>
      </c>
      <c r="C10" t="s">
        <v>8</v>
      </c>
      <c r="F10" t="str">
        <f t="shared" si="0"/>
        <v>Ukraine</v>
      </c>
      <c r="G10" t="s">
        <v>9</v>
      </c>
      <c r="H10" t="s">
        <v>10</v>
      </c>
      <c r="I10" t="s">
        <v>11</v>
      </c>
      <c r="J10">
        <f t="shared" si="1"/>
        <v>0.30000000000000004</v>
      </c>
      <c r="K10">
        <f t="shared" si="1"/>
        <v>0.20000000000000004</v>
      </c>
      <c r="M10" t="str">
        <f t="shared" si="2"/>
        <v>Ukraine</v>
      </c>
      <c r="N10" t="s">
        <v>9</v>
      </c>
      <c r="O10" t="s">
        <v>10</v>
      </c>
      <c r="P10" t="s">
        <v>12</v>
      </c>
      <c r="Q10" s="8">
        <f t="shared" si="3"/>
        <v>0.40000000000000002</v>
      </c>
      <c r="R10">
        <f t="shared" si="4"/>
        <v>0.30000000000000004</v>
      </c>
    </row>
    <row r="11" spans="2:18" ht="14.5">
      <c r="B11" t="s">
        <v>19</v>
      </c>
      <c r="C11" t="s">
        <v>8</v>
      </c>
      <c r="F11" t="str">
        <f t="shared" si="0"/>
        <v>SouthAfrica</v>
      </c>
      <c r="G11" t="s">
        <v>9</v>
      </c>
      <c r="H11" t="s">
        <v>10</v>
      </c>
      <c r="I11" t="s">
        <v>11</v>
      </c>
      <c r="J11">
        <f t="shared" si="1"/>
        <v>0.30000000000000004</v>
      </c>
      <c r="K11">
        <f t="shared" si="1"/>
        <v>0.20000000000000004</v>
      </c>
      <c r="M11" t="str">
        <f t="shared" si="2"/>
        <v>SouthAfrica</v>
      </c>
      <c r="N11" t="s">
        <v>9</v>
      </c>
      <c r="O11" t="s">
        <v>10</v>
      </c>
      <c r="P11" t="s">
        <v>12</v>
      </c>
      <c r="Q11" s="8">
        <f t="shared" si="3"/>
        <v>0.40000000000000002</v>
      </c>
      <c r="R11">
        <f t="shared" si="4"/>
        <v>0.30000000000000004</v>
      </c>
    </row>
    <row r="12" spans="2:18" ht="14.5">
      <c r="B12" t="s">
        <v>20</v>
      </c>
      <c r="C12" t="s">
        <v>8</v>
      </c>
      <c r="F12" t="str">
        <f t="shared" si="5" ref="F12:F22">B12</f>
        <v>LatAm</v>
      </c>
      <c r="G12" t="s">
        <v>9</v>
      </c>
      <c r="H12" t="s">
        <v>10</v>
      </c>
      <c r="I12" t="s">
        <v>11</v>
      </c>
      <c r="J12">
        <f t="shared" si="1"/>
        <v>0.30000000000000004</v>
      </c>
      <c r="K12">
        <f t="shared" si="1"/>
        <v>0.20000000000000004</v>
      </c>
      <c r="M12" t="str">
        <f t="shared" si="6" ref="M12:M22">F12</f>
        <v>LatAm</v>
      </c>
      <c r="N12" t="s">
        <v>9</v>
      </c>
      <c r="O12" t="s">
        <v>10</v>
      </c>
      <c r="P12" t="s">
        <v>12</v>
      </c>
      <c r="Q12" s="8">
        <f t="shared" si="3"/>
        <v>0.40000000000000002</v>
      </c>
      <c r="R12">
        <f t="shared" si="4"/>
        <v>0.30000000000000004</v>
      </c>
    </row>
    <row r="13" spans="2:18" ht="14.5">
      <c r="B13" t="s">
        <v>21</v>
      </c>
      <c r="C13" t="s">
        <v>8</v>
      </c>
      <c r="F13" t="str">
        <f t="shared" si="5"/>
        <v>MidEast</v>
      </c>
      <c r="G13" t="s">
        <v>9</v>
      </c>
      <c r="H13" t="s">
        <v>10</v>
      </c>
      <c r="I13" t="s">
        <v>11</v>
      </c>
      <c r="J13">
        <f t="shared" si="1"/>
        <v>0.30000000000000004</v>
      </c>
      <c r="K13">
        <f t="shared" si="1"/>
        <v>0.20000000000000004</v>
      </c>
      <c r="M13" t="str">
        <f t="shared" si="6"/>
        <v>MidEast</v>
      </c>
      <c r="N13" t="s">
        <v>9</v>
      </c>
      <c r="O13" t="s">
        <v>10</v>
      </c>
      <c r="P13" t="s">
        <v>12</v>
      </c>
      <c r="Q13" s="8">
        <f t="shared" si="3"/>
        <v>0.40000000000000002</v>
      </c>
      <c r="R13">
        <f t="shared" si="4"/>
        <v>0.30000000000000004</v>
      </c>
    </row>
    <row r="14" spans="2:18" ht="14.5">
      <c r="B14" t="s">
        <v>22</v>
      </c>
      <c r="C14" t="s">
        <v>23</v>
      </c>
      <c r="F14" t="str">
        <f t="shared" si="5"/>
        <v>Turkey</v>
      </c>
      <c r="G14" t="s">
        <v>9</v>
      </c>
      <c r="H14" t="s">
        <v>10</v>
      </c>
      <c r="I14" t="s">
        <v>11</v>
      </c>
      <c r="J14">
        <f t="shared" si="1"/>
        <v>0.19999999999999998</v>
      </c>
      <c r="K14">
        <f t="shared" si="1"/>
        <v>0.099999999999999978</v>
      </c>
      <c r="M14" t="str">
        <f t="shared" si="6"/>
        <v>Turkey</v>
      </c>
      <c r="N14" t="s">
        <v>9</v>
      </c>
      <c r="O14" t="s">
        <v>10</v>
      </c>
      <c r="P14" t="s">
        <v>12</v>
      </c>
      <c r="Q14" s="8">
        <f t="shared" si="3"/>
        <v>0.29999999999999999</v>
      </c>
      <c r="R14">
        <f t="shared" si="4"/>
        <v>0.19999999999999998</v>
      </c>
    </row>
    <row r="15" spans="2:18" ht="14.5">
      <c r="B15" t="s">
        <v>24</v>
      </c>
      <c r="C15" t="s">
        <v>23</v>
      </c>
      <c r="F15" t="str">
        <f t="shared" si="5"/>
        <v>Russia</v>
      </c>
      <c r="G15" t="s">
        <v>9</v>
      </c>
      <c r="H15" t="s">
        <v>10</v>
      </c>
      <c r="I15" t="s">
        <v>11</v>
      </c>
      <c r="J15">
        <f t="shared" si="1"/>
        <v>0.19999999999999998</v>
      </c>
      <c r="K15">
        <f t="shared" si="1"/>
        <v>0.099999999999999978</v>
      </c>
      <c r="M15" t="str">
        <f t="shared" si="6"/>
        <v>Russia</v>
      </c>
      <c r="N15" t="s">
        <v>9</v>
      </c>
      <c r="O15" t="s">
        <v>10</v>
      </c>
      <c r="P15" t="s">
        <v>12</v>
      </c>
      <c r="Q15" s="8">
        <f t="shared" si="3"/>
        <v>0.29999999999999999</v>
      </c>
      <c r="R15">
        <f t="shared" si="4"/>
        <v>0.19999999999999998</v>
      </c>
    </row>
    <row r="16" spans="2:18" ht="14.5">
      <c r="B16" t="s">
        <v>25</v>
      </c>
      <c r="C16" t="s">
        <v>23</v>
      </c>
      <c r="F16" t="str">
        <f t="shared" si="5"/>
        <v>HunRomBul</v>
      </c>
      <c r="G16" t="s">
        <v>9</v>
      </c>
      <c r="H16" t="s">
        <v>10</v>
      </c>
      <c r="I16" t="s">
        <v>11</v>
      </c>
      <c r="J16">
        <f t="shared" si="1"/>
        <v>0.19999999999999998</v>
      </c>
      <c r="K16">
        <f t="shared" si="1"/>
        <v>0.099999999999999978</v>
      </c>
      <c r="M16" t="str">
        <f t="shared" si="6"/>
        <v>HunRomBul</v>
      </c>
      <c r="N16" t="s">
        <v>9</v>
      </c>
      <c r="O16" t="s">
        <v>10</v>
      </c>
      <c r="P16" t="s">
        <v>12</v>
      </c>
      <c r="Q16" s="8">
        <f t="shared" si="3"/>
        <v>0.29999999999999999</v>
      </c>
      <c r="R16">
        <f t="shared" si="4"/>
        <v>0.19999999999999998</v>
      </c>
    </row>
    <row r="17" spans="2:18" ht="14.5">
      <c r="B17" t="s">
        <v>26</v>
      </c>
      <c r="C17" t="s">
        <v>23</v>
      </c>
      <c r="F17" t="str">
        <f t="shared" si="5"/>
        <v>CroSloven</v>
      </c>
      <c r="G17" t="s">
        <v>9</v>
      </c>
      <c r="H17" t="s">
        <v>10</v>
      </c>
      <c r="I17" t="s">
        <v>11</v>
      </c>
      <c r="J17">
        <f t="shared" si="1"/>
        <v>0.19999999999999998</v>
      </c>
      <c r="K17">
        <f t="shared" si="1"/>
        <v>0.099999999999999978</v>
      </c>
      <c r="M17" t="str">
        <f t="shared" si="6"/>
        <v>CroSloven</v>
      </c>
      <c r="N17" t="s">
        <v>9</v>
      </c>
      <c r="O17" t="s">
        <v>10</v>
      </c>
      <c r="P17" t="s">
        <v>12</v>
      </c>
      <c r="Q17" s="8">
        <f t="shared" si="3"/>
        <v>0.29999999999999999</v>
      </c>
      <c r="R17">
        <f t="shared" si="4"/>
        <v>0.19999999999999998</v>
      </c>
    </row>
    <row r="18" spans="2:18" ht="14.5">
      <c r="B18" t="s">
        <v>27</v>
      </c>
      <c r="C18" t="s">
        <v>23</v>
      </c>
      <c r="F18" t="str">
        <f t="shared" si="5"/>
        <v>SpainPor</v>
      </c>
      <c r="G18" t="s">
        <v>9</v>
      </c>
      <c r="H18" t="s">
        <v>10</v>
      </c>
      <c r="I18" t="s">
        <v>11</v>
      </c>
      <c r="J18">
        <f t="shared" si="1"/>
        <v>0.19999999999999998</v>
      </c>
      <c r="K18">
        <f t="shared" si="1"/>
        <v>0.099999999999999978</v>
      </c>
      <c r="M18" t="str">
        <f t="shared" si="6"/>
        <v>SpainPor</v>
      </c>
      <c r="N18" t="s">
        <v>9</v>
      </c>
      <c r="O18" t="s">
        <v>10</v>
      </c>
      <c r="P18" t="s">
        <v>12</v>
      </c>
      <c r="Q18" s="8">
        <f t="shared" si="3"/>
        <v>0.29999999999999999</v>
      </c>
      <c r="R18">
        <f t="shared" si="4"/>
        <v>0.19999999999999998</v>
      </c>
    </row>
    <row r="19" spans="2:18" ht="14.5">
      <c r="B19" t="s">
        <v>28</v>
      </c>
      <c r="C19" t="s">
        <v>23</v>
      </c>
      <c r="F19" t="str">
        <f t="shared" si="5"/>
        <v>GreeceCyp</v>
      </c>
      <c r="G19" t="s">
        <v>9</v>
      </c>
      <c r="H19" t="s">
        <v>10</v>
      </c>
      <c r="I19" t="s">
        <v>11</v>
      </c>
      <c r="J19">
        <f t="shared" si="1"/>
        <v>0.19999999999999998</v>
      </c>
      <c r="K19">
        <f t="shared" si="1"/>
        <v>0.099999999999999978</v>
      </c>
      <c r="M19" t="str">
        <f t="shared" si="6"/>
        <v>GreeceCyp</v>
      </c>
      <c r="N19" t="s">
        <v>9</v>
      </c>
      <c r="O19" t="s">
        <v>10</v>
      </c>
      <c r="P19" t="s">
        <v>12</v>
      </c>
      <c r="Q19" s="8">
        <f t="shared" si="3"/>
        <v>0.29999999999999999</v>
      </c>
      <c r="R19">
        <f t="shared" si="4"/>
        <v>0.19999999999999998</v>
      </c>
    </row>
    <row r="20" spans="2:18" ht="14.5">
      <c r="B20" t="s">
        <v>29</v>
      </c>
      <c r="C20" t="s">
        <v>23</v>
      </c>
      <c r="F20" t="str">
        <f t="shared" si="5"/>
        <v>China</v>
      </c>
      <c r="G20" t="s">
        <v>9</v>
      </c>
      <c r="H20" t="s">
        <v>10</v>
      </c>
      <c r="I20" t="s">
        <v>11</v>
      </c>
      <c r="J20">
        <f t="shared" si="1"/>
        <v>0.19999999999999998</v>
      </c>
      <c r="K20">
        <f t="shared" si="1"/>
        <v>0.099999999999999978</v>
      </c>
      <c r="M20" t="str">
        <f t="shared" si="6"/>
        <v>China</v>
      </c>
      <c r="N20" t="s">
        <v>9</v>
      </c>
      <c r="O20" t="s">
        <v>10</v>
      </c>
      <c r="P20" t="s">
        <v>12</v>
      </c>
      <c r="Q20" s="8">
        <f t="shared" si="3"/>
        <v>0.29999999999999999</v>
      </c>
      <c r="R20">
        <f t="shared" si="4"/>
        <v>0.19999999999999998</v>
      </c>
    </row>
    <row r="21" spans="2:18" ht="14.5">
      <c r="B21" t="s">
        <v>30</v>
      </c>
      <c r="C21" t="s">
        <v>23</v>
      </c>
      <c r="F21" t="str">
        <f t="shared" si="5"/>
        <v>ItalyMal</v>
      </c>
      <c r="G21" t="s">
        <v>9</v>
      </c>
      <c r="H21" t="s">
        <v>10</v>
      </c>
      <c r="I21" t="s">
        <v>11</v>
      </c>
      <c r="J21">
        <f t="shared" si="1"/>
        <v>0.19999999999999998</v>
      </c>
      <c r="K21">
        <f t="shared" si="1"/>
        <v>0.099999999999999978</v>
      </c>
      <c r="M21" t="str">
        <f t="shared" si="6"/>
        <v>ItalyMal</v>
      </c>
      <c r="N21" t="s">
        <v>9</v>
      </c>
      <c r="O21" t="s">
        <v>10</v>
      </c>
      <c r="P21" t="s">
        <v>12</v>
      </c>
      <c r="Q21" s="8">
        <f t="shared" si="3"/>
        <v>0.29999999999999999</v>
      </c>
      <c r="R21">
        <f t="shared" si="4"/>
        <v>0.19999999999999998</v>
      </c>
    </row>
    <row r="22" spans="2:18" ht="14.5">
      <c r="B22" t="s">
        <v>31</v>
      </c>
      <c r="C22" t="s">
        <v>23</v>
      </c>
      <c r="F22" t="str">
        <f t="shared" si="5"/>
        <v>Poland</v>
      </c>
      <c r="G22" t="s">
        <v>9</v>
      </c>
      <c r="H22" t="s">
        <v>10</v>
      </c>
      <c r="I22" t="s">
        <v>11</v>
      </c>
      <c r="J22">
        <f t="shared" si="1"/>
        <v>0.19999999999999998</v>
      </c>
      <c r="K22">
        <f t="shared" si="1"/>
        <v>0.099999999999999978</v>
      </c>
      <c r="M22" t="str">
        <f t="shared" si="6"/>
        <v>Poland</v>
      </c>
      <c r="N22" t="s">
        <v>9</v>
      </c>
      <c r="O22" t="s">
        <v>10</v>
      </c>
      <c r="P22" t="s">
        <v>12</v>
      </c>
      <c r="Q22" s="8">
        <f t="shared" si="3"/>
        <v>0.29999999999999999</v>
      </c>
      <c r="R22">
        <f t="shared" si="4"/>
        <v>0.19999999999999998</v>
      </c>
    </row>
    <row r="23" spans="2:18" ht="14.5">
      <c r="B23" t="s">
        <v>32</v>
      </c>
      <c r="C23" t="s">
        <v>23</v>
      </c>
      <c r="F23" t="str">
        <f t="shared" si="7" ref="F23">B23</f>
        <v>Baltics</v>
      </c>
      <c r="G23" t="s">
        <v>9</v>
      </c>
      <c r="H23" t="s">
        <v>10</v>
      </c>
      <c r="I23" t="s">
        <v>11</v>
      </c>
      <c r="J23">
        <f t="shared" si="1"/>
        <v>0.19999999999999998</v>
      </c>
      <c r="K23">
        <f t="shared" si="1"/>
        <v>0.099999999999999978</v>
      </c>
      <c r="M23" t="str">
        <f t="shared" si="8" ref="M23">F23</f>
        <v>Baltics</v>
      </c>
      <c r="N23" t="s">
        <v>9</v>
      </c>
      <c r="O23" t="s">
        <v>10</v>
      </c>
      <c r="P23" t="s">
        <v>12</v>
      </c>
      <c r="Q23" s="8">
        <f t="shared" si="3"/>
        <v>0.29999999999999999</v>
      </c>
      <c r="R23">
        <f t="shared" si="4"/>
        <v>0.19999999999999998</v>
      </c>
    </row>
    <row r="24" spans="2:18" ht="14.5">
      <c r="B24" t="s">
        <v>33</v>
      </c>
      <c r="C24" t="s">
        <v>23</v>
      </c>
      <c r="F24" t="str">
        <f t="shared" si="0"/>
        <v>France</v>
      </c>
      <c r="G24" t="s">
        <v>9</v>
      </c>
      <c r="H24" t="s">
        <v>10</v>
      </c>
      <c r="I24" t="s">
        <v>11</v>
      </c>
      <c r="J24">
        <f t="shared" si="1"/>
        <v>0.19999999999999998</v>
      </c>
      <c r="K24">
        <f t="shared" si="1"/>
        <v>0.099999999999999978</v>
      </c>
      <c r="M24" t="str">
        <f t="shared" si="2"/>
        <v>France</v>
      </c>
      <c r="N24" t="s">
        <v>9</v>
      </c>
      <c r="O24" t="s">
        <v>10</v>
      </c>
      <c r="P24" t="s">
        <v>12</v>
      </c>
      <c r="Q24" s="8">
        <f t="shared" si="3"/>
        <v>0.29999999999999999</v>
      </c>
      <c r="R24">
        <f t="shared" si="4"/>
        <v>0.19999999999999998</v>
      </c>
    </row>
    <row r="25" spans="2:18" ht="14.5">
      <c r="B25" t="s">
        <v>34</v>
      </c>
      <c r="C25" t="s">
        <v>23</v>
      </c>
      <c r="F25" t="str">
        <f t="shared" si="9" ref="F25:F30">B25</f>
        <v>Japan</v>
      </c>
      <c r="G25" t="s">
        <v>9</v>
      </c>
      <c r="H25" t="s">
        <v>10</v>
      </c>
      <c r="I25" t="s">
        <v>11</v>
      </c>
      <c r="J25">
        <f t="shared" si="1"/>
        <v>0.19999999999999998</v>
      </c>
      <c r="K25">
        <f t="shared" si="1"/>
        <v>0.099999999999999978</v>
      </c>
      <c r="M25" t="str">
        <f t="shared" si="10" ref="M25:M30">F25</f>
        <v>Japan</v>
      </c>
      <c r="N25" t="s">
        <v>9</v>
      </c>
      <c r="O25" t="s">
        <v>10</v>
      </c>
      <c r="P25" t="s">
        <v>12</v>
      </c>
      <c r="Q25" s="8">
        <f t="shared" si="3"/>
        <v>0.29999999999999999</v>
      </c>
      <c r="R25">
        <f t="shared" si="4"/>
        <v>0.19999999999999998</v>
      </c>
    </row>
    <row r="26" spans="2:18" ht="14.5">
      <c r="B26" t="s">
        <v>35</v>
      </c>
      <c r="C26" t="s">
        <v>23</v>
      </c>
      <c r="F26" t="str">
        <f t="shared" si="9"/>
        <v>UK</v>
      </c>
      <c r="G26" t="s">
        <v>9</v>
      </c>
      <c r="H26" t="s">
        <v>10</v>
      </c>
      <c r="I26" t="s">
        <v>11</v>
      </c>
      <c r="J26">
        <f t="shared" si="1"/>
        <v>0.19999999999999998</v>
      </c>
      <c r="K26">
        <f t="shared" si="1"/>
        <v>0.099999999999999978</v>
      </c>
      <c r="M26" t="str">
        <f t="shared" si="10"/>
        <v>UK</v>
      </c>
      <c r="N26" t="s">
        <v>9</v>
      </c>
      <c r="O26" t="s">
        <v>10</v>
      </c>
      <c r="P26" t="s">
        <v>12</v>
      </c>
      <c r="Q26" s="8">
        <f t="shared" si="3"/>
        <v>0.29999999999999999</v>
      </c>
      <c r="R26">
        <f t="shared" si="4"/>
        <v>0.19999999999999998</v>
      </c>
    </row>
    <row r="27" spans="2:18" ht="14.5">
      <c r="B27" t="s">
        <v>36</v>
      </c>
      <c r="C27" t="s">
        <v>23</v>
      </c>
      <c r="F27" t="str">
        <f t="shared" si="9"/>
        <v>SaudiArabia</v>
      </c>
      <c r="G27" t="s">
        <v>9</v>
      </c>
      <c r="H27" t="s">
        <v>10</v>
      </c>
      <c r="I27" t="s">
        <v>11</v>
      </c>
      <c r="J27">
        <f t="shared" si="1"/>
        <v>0.19999999999999998</v>
      </c>
      <c r="K27">
        <f t="shared" si="1"/>
        <v>0.099999999999999978</v>
      </c>
      <c r="M27" t="str">
        <f t="shared" si="10"/>
        <v>SaudiArabia</v>
      </c>
      <c r="N27" t="s">
        <v>9</v>
      </c>
      <c r="O27" t="s">
        <v>10</v>
      </c>
      <c r="P27" t="s">
        <v>12</v>
      </c>
      <c r="Q27" s="8">
        <f t="shared" si="3"/>
        <v>0.29999999999999999</v>
      </c>
      <c r="R27">
        <f t="shared" si="4"/>
        <v>0.19999999999999998</v>
      </c>
    </row>
    <row r="28" spans="2:18" ht="14.5">
      <c r="B28" t="s">
        <v>37</v>
      </c>
      <c r="C28" t="s">
        <v>23</v>
      </c>
      <c r="F28" t="str">
        <f t="shared" si="9"/>
        <v>SweFinDen</v>
      </c>
      <c r="G28" t="s">
        <v>9</v>
      </c>
      <c r="H28" t="s">
        <v>10</v>
      </c>
      <c r="I28" t="s">
        <v>11</v>
      </c>
      <c r="J28">
        <f t="shared" si="1"/>
        <v>0.19999999999999998</v>
      </c>
      <c r="K28">
        <f t="shared" si="1"/>
        <v>0.099999999999999978</v>
      </c>
      <c r="M28" t="str">
        <f t="shared" si="10"/>
        <v>SweFinDen</v>
      </c>
      <c r="N28" t="s">
        <v>9</v>
      </c>
      <c r="O28" t="s">
        <v>10</v>
      </c>
      <c r="P28" t="s">
        <v>12</v>
      </c>
      <c r="Q28" s="8">
        <f t="shared" si="3"/>
        <v>0.29999999999999999</v>
      </c>
      <c r="R28">
        <f t="shared" si="4"/>
        <v>0.19999999999999998</v>
      </c>
    </row>
    <row r="29" spans="2:18" ht="14.5">
      <c r="B29" t="s">
        <v>38</v>
      </c>
      <c r="C29" t="s">
        <v>23</v>
      </c>
      <c r="F29" t="str">
        <f t="shared" si="9"/>
        <v>Germany</v>
      </c>
      <c r="G29" t="s">
        <v>9</v>
      </c>
      <c r="H29" t="s">
        <v>10</v>
      </c>
      <c r="I29" t="s">
        <v>11</v>
      </c>
      <c r="J29">
        <f t="shared" si="1"/>
        <v>0.19999999999999998</v>
      </c>
      <c r="K29">
        <f t="shared" si="1"/>
        <v>0.099999999999999978</v>
      </c>
      <c r="M29" t="str">
        <f t="shared" si="10"/>
        <v>Germany</v>
      </c>
      <c r="N29" t="s">
        <v>9</v>
      </c>
      <c r="O29" t="s">
        <v>10</v>
      </c>
      <c r="P29" t="s">
        <v>12</v>
      </c>
      <c r="Q29" s="8">
        <f t="shared" si="3"/>
        <v>0.29999999999999999</v>
      </c>
      <c r="R29">
        <f t="shared" si="4"/>
        <v>0.19999999999999998</v>
      </c>
    </row>
    <row r="30" spans="2:18" ht="14.5">
      <c r="B30" t="s">
        <v>39</v>
      </c>
      <c r="C30" t="s">
        <v>23</v>
      </c>
      <c r="F30" t="str">
        <f t="shared" si="9"/>
        <v>Australia</v>
      </c>
      <c r="G30" t="s">
        <v>9</v>
      </c>
      <c r="H30" t="s">
        <v>10</v>
      </c>
      <c r="I30" t="s">
        <v>11</v>
      </c>
      <c r="J30">
        <f t="shared" si="1"/>
        <v>0.19999999999999998</v>
      </c>
      <c r="K30">
        <f t="shared" si="1"/>
        <v>0.099999999999999978</v>
      </c>
      <c r="M30" t="str">
        <f t="shared" si="10"/>
        <v>Australia</v>
      </c>
      <c r="N30" t="s">
        <v>9</v>
      </c>
      <c r="O30" t="s">
        <v>10</v>
      </c>
      <c r="P30" t="s">
        <v>12</v>
      </c>
      <c r="Q30" s="8">
        <f t="shared" si="3"/>
        <v>0.29999999999999999</v>
      </c>
      <c r="R30">
        <f t="shared" si="4"/>
        <v>0.19999999999999998</v>
      </c>
    </row>
    <row r="31" spans="2:18" ht="14.5">
      <c r="B31" t="s">
        <v>40</v>
      </c>
      <c r="C31" t="s">
        <v>23</v>
      </c>
      <c r="F31" t="str">
        <f t="shared" si="11" ref="F31:F33">B31</f>
        <v>CzechSlovak</v>
      </c>
      <c r="G31" t="s">
        <v>9</v>
      </c>
      <c r="H31" t="s">
        <v>10</v>
      </c>
      <c r="I31" t="s">
        <v>11</v>
      </c>
      <c r="J31">
        <f t="shared" si="1"/>
        <v>0.19999999999999998</v>
      </c>
      <c r="K31">
        <f t="shared" si="1"/>
        <v>0.099999999999999978</v>
      </c>
      <c r="M31" t="str">
        <f t="shared" si="12" ref="M31:M33">F31</f>
        <v>CzechSlovak</v>
      </c>
      <c r="N31" t="s">
        <v>9</v>
      </c>
      <c r="O31" t="s">
        <v>10</v>
      </c>
      <c r="P31" t="s">
        <v>12</v>
      </c>
      <c r="Q31" s="8">
        <f t="shared" si="3"/>
        <v>0.29999999999999999</v>
      </c>
      <c r="R31">
        <f t="shared" si="4"/>
        <v>0.19999999999999998</v>
      </c>
    </row>
    <row r="32" spans="2:18" ht="14.5">
      <c r="B32" t="s">
        <v>41</v>
      </c>
      <c r="C32" t="s">
        <v>23</v>
      </c>
      <c r="F32" t="str">
        <f t="shared" si="11"/>
        <v>NorthAm</v>
      </c>
      <c r="G32" t="s">
        <v>9</v>
      </c>
      <c r="H32" t="s">
        <v>10</v>
      </c>
      <c r="I32" t="s">
        <v>11</v>
      </c>
      <c r="J32">
        <f t="shared" si="1"/>
        <v>0.19999999999999998</v>
      </c>
      <c r="K32">
        <f t="shared" si="1"/>
        <v>0.099999999999999978</v>
      </c>
      <c r="M32" t="str">
        <f t="shared" si="12"/>
        <v>NorthAm</v>
      </c>
      <c r="N32" t="s">
        <v>9</v>
      </c>
      <c r="O32" t="s">
        <v>10</v>
      </c>
      <c r="P32" t="s">
        <v>12</v>
      </c>
      <c r="Q32" s="8">
        <f t="shared" si="3"/>
        <v>0.29999999999999999</v>
      </c>
      <c r="R32">
        <f t="shared" si="4"/>
        <v>0.19999999999999998</v>
      </c>
    </row>
    <row r="33" spans="2:18" ht="14.5">
      <c r="B33" t="s">
        <v>42</v>
      </c>
      <c r="C33" t="s">
        <v>23</v>
      </c>
      <c r="F33" t="str">
        <f t="shared" si="11"/>
        <v>Austria</v>
      </c>
      <c r="G33" t="s">
        <v>9</v>
      </c>
      <c r="H33" t="s">
        <v>10</v>
      </c>
      <c r="I33" t="s">
        <v>11</v>
      </c>
      <c r="J33">
        <f t="shared" si="1"/>
        <v>0.19999999999999998</v>
      </c>
      <c r="K33">
        <f t="shared" si="1"/>
        <v>0.099999999999999978</v>
      </c>
      <c r="M33" t="str">
        <f t="shared" si="12"/>
        <v>Austria</v>
      </c>
      <c r="N33" t="s">
        <v>9</v>
      </c>
      <c r="O33" t="s">
        <v>10</v>
      </c>
      <c r="P33" t="s">
        <v>12</v>
      </c>
      <c r="Q33" s="8">
        <f t="shared" si="3"/>
        <v>0.29999999999999999</v>
      </c>
      <c r="R33">
        <f t="shared" si="4"/>
        <v>0.19999999999999998</v>
      </c>
    </row>
    <row r="34" spans="2:18" ht="14.5">
      <c r="B34" t="s">
        <v>43</v>
      </c>
      <c r="C34" t="s">
        <v>23</v>
      </c>
      <c r="F34" t="str">
        <f t="shared" si="13" ref="F34:F38">B34</f>
        <v>BeNeLux</v>
      </c>
      <c r="G34" t="s">
        <v>9</v>
      </c>
      <c r="H34" t="s">
        <v>10</v>
      </c>
      <c r="I34" t="s">
        <v>11</v>
      </c>
      <c r="J34">
        <f t="shared" si="1"/>
        <v>0.19999999999999998</v>
      </c>
      <c r="K34">
        <f t="shared" si="1"/>
        <v>0.099999999999999978</v>
      </c>
      <c r="M34" t="str">
        <f t="shared" si="14" ref="M34:M38">F34</f>
        <v>BeNeLux</v>
      </c>
      <c r="N34" t="s">
        <v>9</v>
      </c>
      <c r="O34" t="s">
        <v>10</v>
      </c>
      <c r="P34" t="s">
        <v>12</v>
      </c>
      <c r="Q34" s="8">
        <f t="shared" si="3"/>
        <v>0.29999999999999999</v>
      </c>
      <c r="R34">
        <f t="shared" si="4"/>
        <v>0.19999999999999998</v>
      </c>
    </row>
    <row r="35" spans="2:18" ht="14.5">
      <c r="B35" t="s">
        <v>44</v>
      </c>
      <c r="C35" t="s">
        <v>23</v>
      </c>
      <c r="F35" t="str">
        <f t="shared" si="13"/>
        <v>Norway</v>
      </c>
      <c r="G35" t="s">
        <v>9</v>
      </c>
      <c r="H35" t="s">
        <v>10</v>
      </c>
      <c r="I35" t="s">
        <v>11</v>
      </c>
      <c r="J35">
        <f t="shared" si="1"/>
        <v>0.19999999999999998</v>
      </c>
      <c r="K35">
        <f t="shared" si="1"/>
        <v>0.099999999999999978</v>
      </c>
      <c r="M35" t="str">
        <f t="shared" si="14"/>
        <v>Norway</v>
      </c>
      <c r="N35" t="s">
        <v>9</v>
      </c>
      <c r="O35" t="s">
        <v>10</v>
      </c>
      <c r="P35" t="s">
        <v>12</v>
      </c>
      <c r="Q35" s="8">
        <f t="shared" si="3"/>
        <v>0.29999999999999999</v>
      </c>
      <c r="R35">
        <f t="shared" si="4"/>
        <v>0.19999999999999998</v>
      </c>
    </row>
    <row r="36" spans="2:18" ht="14.5">
      <c r="B36" t="s">
        <v>45</v>
      </c>
      <c r="C36" t="s">
        <v>23</v>
      </c>
      <c r="F36" t="str">
        <f t="shared" si="13"/>
        <v>Switzerland</v>
      </c>
      <c r="G36" t="s">
        <v>9</v>
      </c>
      <c r="H36" t="s">
        <v>10</v>
      </c>
      <c r="I36" t="s">
        <v>11</v>
      </c>
      <c r="J36">
        <f t="shared" si="1"/>
        <v>0.19999999999999998</v>
      </c>
      <c r="K36">
        <f t="shared" si="1"/>
        <v>0.099999999999999978</v>
      </c>
      <c r="M36" t="str">
        <f t="shared" si="14"/>
        <v>Switzerland</v>
      </c>
      <c r="N36" t="s">
        <v>9</v>
      </c>
      <c r="O36" t="s">
        <v>10</v>
      </c>
      <c r="P36" t="s">
        <v>12</v>
      </c>
      <c r="Q36" s="8">
        <f t="shared" si="3"/>
        <v>0.29999999999999999</v>
      </c>
      <c r="R36">
        <f t="shared" si="4"/>
        <v>0.19999999999999998</v>
      </c>
    </row>
    <row r="37" spans="2:18" ht="14.5">
      <c r="B37" t="s">
        <v>46</v>
      </c>
      <c r="C37" t="s">
        <v>23</v>
      </c>
      <c r="F37" t="str">
        <f t="shared" si="13"/>
        <v>Iceland</v>
      </c>
      <c r="G37" t="s">
        <v>9</v>
      </c>
      <c r="H37" t="s">
        <v>10</v>
      </c>
      <c r="I37" t="s">
        <v>11</v>
      </c>
      <c r="J37">
        <f t="shared" si="1"/>
        <v>0.19999999999999998</v>
      </c>
      <c r="K37">
        <f t="shared" si="1"/>
        <v>0.099999999999999978</v>
      </c>
      <c r="M37" t="str">
        <f t="shared" si="14"/>
        <v>Iceland</v>
      </c>
      <c r="N37" t="s">
        <v>9</v>
      </c>
      <c r="O37" t="s">
        <v>10</v>
      </c>
      <c r="P37" t="s">
        <v>12</v>
      </c>
      <c r="Q37" s="8">
        <f t="shared" si="3"/>
        <v>0.29999999999999999</v>
      </c>
      <c r="R37">
        <f t="shared" si="4"/>
        <v>0.19999999999999998</v>
      </c>
    </row>
    <row r="38" spans="2:18" ht="14.5">
      <c r="B38" t="s">
        <v>47</v>
      </c>
      <c r="C38" t="s">
        <v>23</v>
      </c>
      <c r="F38" t="str">
        <f t="shared" si="13"/>
        <v>Ireland</v>
      </c>
      <c r="G38" t="s">
        <v>9</v>
      </c>
      <c r="H38" t="s">
        <v>10</v>
      </c>
      <c r="I38" t="s">
        <v>11</v>
      </c>
      <c r="J38">
        <f t="shared" si="1"/>
        <v>0.19999999999999998</v>
      </c>
      <c r="K38">
        <f t="shared" si="1"/>
        <v>0.099999999999999978</v>
      </c>
      <c r="M38" t="str">
        <f t="shared" si="14"/>
        <v>Ireland</v>
      </c>
      <c r="N38" t="s">
        <v>9</v>
      </c>
      <c r="O38" t="s">
        <v>10</v>
      </c>
      <c r="P38" t="s">
        <v>12</v>
      </c>
      <c r="Q38" s="8">
        <f t="shared" si="3"/>
        <v>0.29999999999999999</v>
      </c>
      <c r="R38">
        <f t="shared" si="4"/>
        <v>0.19999999999999998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etc="http://www.wps.cn/officeDocument/2017/etCustomData" mc:Ignorable="x14ac xr xr2 xr3" xr:uid="{00000000-0001-0000-0100-000000000000}">
  <dimension ref="A1:BK999"/>
  <sheetViews>
    <sheetView zoomScale="19" zoomScaleNormal="19" workbookViewId="0" topLeftCell="A1">
      <selection pane="topLeft" activeCell="J21" sqref="J21"/>
    </sheetView>
  </sheetViews>
  <sheetFormatPr defaultColWidth="9.00428571428571" defaultRowHeight="14.5"/>
  <cols>
    <col min="3" max="3" width="12.1428571428571" customWidth="1"/>
    <col min="4" max="4" width="10.8571428571429" customWidth="1"/>
  </cols>
  <sheetData>
    <row r="1" spans="1:63" ht="14.5">
      <c r="A1" t="s">
        <v>64</v>
      </c>
      <c r="B1" t="s">
        <v>4</v>
      </c>
      <c r="C1" t="s">
        <v>117</v>
      </c>
      <c r="D1" t="s">
        <v>121</v>
      </c>
      <c r="E1" t="s">
        <v>112</v>
      </c>
      <c r="F1" t="s">
        <v>116</v>
      </c>
      <c r="G1" t="s">
        <v>115</v>
      </c>
      <c r="H1" t="s">
        <v>114</v>
      </c>
      <c r="I1" t="s">
        <v>85</v>
      </c>
      <c r="J1" t="s">
        <v>84</v>
      </c>
      <c r="K1" t="s">
        <v>120</v>
      </c>
      <c r="L1" t="s">
        <v>17</v>
      </c>
      <c r="M1" t="s">
        <v>7</v>
      </c>
      <c r="N1" t="s">
        <v>39</v>
      </c>
      <c r="O1" t="s">
        <v>42</v>
      </c>
      <c r="P1" t="s">
        <v>32</v>
      </c>
      <c r="Q1" t="s">
        <v>43</v>
      </c>
      <c r="R1" t="s">
        <v>16</v>
      </c>
      <c r="S1" t="s">
        <v>29</v>
      </c>
      <c r="T1" t="s">
        <v>26</v>
      </c>
      <c r="U1" t="s">
        <v>40</v>
      </c>
      <c r="V1" t="s">
        <v>33</v>
      </c>
      <c r="W1" t="s">
        <v>38</v>
      </c>
      <c r="X1" t="s">
        <v>28</v>
      </c>
      <c r="Y1" t="s">
        <v>25</v>
      </c>
      <c r="Z1" t="s">
        <v>46</v>
      </c>
      <c r="AA1" t="s">
        <v>13</v>
      </c>
      <c r="AB1" t="s">
        <v>47</v>
      </c>
      <c r="AC1" t="s">
        <v>30</v>
      </c>
      <c r="AD1" t="s">
        <v>34</v>
      </c>
      <c r="AE1" t="s">
        <v>20</v>
      </c>
      <c r="AF1" t="s">
        <v>21</v>
      </c>
      <c r="AG1" t="s">
        <v>41</v>
      </c>
      <c r="AH1" t="s">
        <v>44</v>
      </c>
      <c r="AI1" t="s">
        <v>31</v>
      </c>
      <c r="AJ1" t="s">
        <v>14</v>
      </c>
      <c r="AK1" t="s">
        <v>24</v>
      </c>
      <c r="AL1" t="s">
        <v>36</v>
      </c>
      <c r="AM1" t="s">
        <v>19</v>
      </c>
      <c r="AN1" t="s">
        <v>27</v>
      </c>
      <c r="AO1" t="s">
        <v>37</v>
      </c>
      <c r="AP1" t="s">
        <v>45</v>
      </c>
      <c r="AQ1" t="s">
        <v>22</v>
      </c>
      <c r="AR1" t="s">
        <v>35</v>
      </c>
      <c r="AS1" t="s">
        <v>18</v>
      </c>
      <c r="AT1" t="s">
        <v>15</v>
      </c>
      <c r="AU1" t="s">
        <v>119</v>
      </c>
      <c r="BJ1" t="s">
        <v>59</v>
      </c>
      <c r="BK1" t="s">
        <v>60</v>
      </c>
    </row>
    <row r="2" spans="1:63" ht="14.5">
      <c r="A2" t="s">
        <v>118</v>
      </c>
      <c r="B2" t="s">
        <v>62</v>
      </c>
      <c r="C2" t="s">
        <v>113</v>
      </c>
      <c r="D2" t="s">
        <v>111</v>
      </c>
      <c r="E2" t="s">
        <v>111</v>
      </c>
      <c r="F2" t="s">
        <v>111</v>
      </c>
      <c r="G2" t="s">
        <v>61</v>
      </c>
      <c r="H2" t="s">
        <v>111</v>
      </c>
      <c r="I2" t="s">
        <v>111</v>
      </c>
      <c r="J2" t="s">
        <v>111</v>
      </c>
      <c r="K2" t="s">
        <v>111</v>
      </c>
      <c r="L2">
        <v>0</v>
      </c>
      <c r="M2">
        <v>0</v>
      </c>
      <c r="N2">
        <v>0.0023586837469256909</v>
      </c>
      <c r="O2">
        <v>0.0014320579892048838</v>
      </c>
      <c r="P2">
        <v>0</v>
      </c>
      <c r="Q2">
        <v>0.06275783540927285</v>
      </c>
      <c r="R2">
        <v>0</v>
      </c>
      <c r="S2">
        <v>5.3148726301708074</v>
      </c>
      <c r="T2">
        <v>0</v>
      </c>
      <c r="U2">
        <v>0</v>
      </c>
      <c r="V2">
        <v>0.031926469288744173</v>
      </c>
      <c r="W2">
        <v>0.032768856341217636</v>
      </c>
      <c r="X2">
        <v>0.0020217289259363063</v>
      </c>
      <c r="Y2">
        <v>0</v>
      </c>
      <c r="Z2">
        <v>0.0021902063364309986</v>
      </c>
      <c r="AA2">
        <v>0</v>
      </c>
      <c r="AB2">
        <v>0.0026113998626677288</v>
      </c>
      <c r="AC2">
        <v>0.013478192839575376</v>
      </c>
      <c r="AD2">
        <v>0</v>
      </c>
      <c r="AE2">
        <v>0.039844907581994701</v>
      </c>
      <c r="AF2">
        <v>0</v>
      </c>
      <c r="AG2">
        <v>0.75932768909957771</v>
      </c>
      <c r="AH2">
        <v>0.14649110842513488</v>
      </c>
      <c r="AI2">
        <v>0</v>
      </c>
      <c r="AJ2">
        <v>0.047847584580492583</v>
      </c>
      <c r="AK2">
        <v>0</v>
      </c>
      <c r="AL2">
        <v>0</v>
      </c>
      <c r="AM2">
        <v>0</v>
      </c>
      <c r="AN2">
        <v>0.017521650691447989</v>
      </c>
      <c r="AO2">
        <v>0.036812314193090244</v>
      </c>
      <c r="AP2">
        <v>0</v>
      </c>
      <c r="AQ2">
        <v>0</v>
      </c>
      <c r="AR2">
        <v>0.062505119293530809</v>
      </c>
      <c r="AS2">
        <v>0</v>
      </c>
      <c r="AT2">
        <v>0</v>
      </c>
      <c r="AU2" t="s">
        <v>111</v>
      </c>
      <c r="BJ2" t="str">
        <f>MID(C2,5,3)</f>
        <v>2w_</v>
      </c>
      <c r="BK2" t="str">
        <f>RIGHT(C2,3)</f>
        <v>elc</v>
      </c>
    </row>
    <row r="3" spans="1:63" ht="14.5">
      <c r="A3" t="s">
        <v>118</v>
      </c>
      <c r="B3" t="s">
        <v>62</v>
      </c>
      <c r="C3" t="s">
        <v>113</v>
      </c>
      <c r="D3" t="s">
        <v>111</v>
      </c>
      <c r="E3" t="s">
        <v>111</v>
      </c>
      <c r="F3" t="s">
        <v>111</v>
      </c>
      <c r="G3" t="s">
        <v>83</v>
      </c>
      <c r="H3" t="s">
        <v>111</v>
      </c>
      <c r="I3" t="s">
        <v>111</v>
      </c>
      <c r="J3" t="s">
        <v>111</v>
      </c>
      <c r="K3" t="s">
        <v>111</v>
      </c>
      <c r="L3">
        <v>0</v>
      </c>
      <c r="M3">
        <v>0</v>
      </c>
      <c r="N3">
        <v>0.0023586837469256909</v>
      </c>
      <c r="O3">
        <v>0.0014320579892048838</v>
      </c>
      <c r="P3">
        <v>0</v>
      </c>
      <c r="Q3">
        <v>0.06275783540927285</v>
      </c>
      <c r="R3">
        <v>0</v>
      </c>
      <c r="S3">
        <v>5.3148726301708074</v>
      </c>
      <c r="T3">
        <v>0</v>
      </c>
      <c r="U3">
        <v>0</v>
      </c>
      <c r="V3">
        <v>0.031926469288744173</v>
      </c>
      <c r="W3">
        <v>0.032768856341217636</v>
      </c>
      <c r="X3">
        <v>0.0020217289259363063</v>
      </c>
      <c r="Y3">
        <v>0</v>
      </c>
      <c r="Z3">
        <v>0.0021902063364309986</v>
      </c>
      <c r="AA3">
        <v>0</v>
      </c>
      <c r="AB3">
        <v>0.0026113998626677288</v>
      </c>
      <c r="AC3">
        <v>0.013478192839575376</v>
      </c>
      <c r="AD3">
        <v>0</v>
      </c>
      <c r="AE3">
        <v>0.039844907581994701</v>
      </c>
      <c r="AF3">
        <v>0</v>
      </c>
      <c r="AG3">
        <v>0.75932768909957771</v>
      </c>
      <c r="AH3">
        <v>0.14649110842513488</v>
      </c>
      <c r="AI3">
        <v>0</v>
      </c>
      <c r="AJ3">
        <v>0.047847584580492583</v>
      </c>
      <c r="AK3">
        <v>0</v>
      </c>
      <c r="AL3">
        <v>0</v>
      </c>
      <c r="AM3">
        <v>0</v>
      </c>
      <c r="AN3">
        <v>0.017521650691447989</v>
      </c>
      <c r="AO3">
        <v>0.036812314193090244</v>
      </c>
      <c r="AP3">
        <v>0</v>
      </c>
      <c r="AQ3">
        <v>0</v>
      </c>
      <c r="AR3">
        <v>0.062505119293530809</v>
      </c>
      <c r="AS3">
        <v>0</v>
      </c>
      <c r="AT3">
        <v>0</v>
      </c>
      <c r="AU3" t="s">
        <v>111</v>
      </c>
      <c r="BJ3" t="str">
        <f t="shared" si="0" ref="BJ3:BJ66">MID(C3,5,3)</f>
        <v>2w_</v>
      </c>
      <c r="BK3" t="str">
        <f t="shared" si="1" ref="BK3:BK66">RIGHT(C3,3)</f>
        <v>elc</v>
      </c>
    </row>
    <row r="4" spans="1:63" ht="14.5">
      <c r="A4" t="s">
        <v>118</v>
      </c>
      <c r="B4" t="s">
        <v>62</v>
      </c>
      <c r="C4" t="s">
        <v>113</v>
      </c>
      <c r="D4" t="s">
        <v>111</v>
      </c>
      <c r="E4" t="s">
        <v>111</v>
      </c>
      <c r="F4" t="s">
        <v>111</v>
      </c>
      <c r="G4" t="s">
        <v>82</v>
      </c>
      <c r="H4" t="s">
        <v>111</v>
      </c>
      <c r="I4" t="s">
        <v>111</v>
      </c>
      <c r="J4" t="s">
        <v>111</v>
      </c>
      <c r="K4" t="s">
        <v>111</v>
      </c>
      <c r="L4">
        <v>0</v>
      </c>
      <c r="M4">
        <v>0</v>
      </c>
      <c r="N4">
        <v>0.0023586837469256909</v>
      </c>
      <c r="O4">
        <v>0.0014320579892048838</v>
      </c>
      <c r="P4">
        <v>0</v>
      </c>
      <c r="Q4">
        <v>0.06275783540927285</v>
      </c>
      <c r="R4">
        <v>0</v>
      </c>
      <c r="S4">
        <v>5.3148726301708074</v>
      </c>
      <c r="T4">
        <v>0</v>
      </c>
      <c r="U4">
        <v>0</v>
      </c>
      <c r="V4">
        <v>0.031926469288744173</v>
      </c>
      <c r="W4">
        <v>0.032768856341217636</v>
      </c>
      <c r="X4">
        <v>0.0020217289259363063</v>
      </c>
      <c r="Y4">
        <v>0</v>
      </c>
      <c r="Z4">
        <v>0.0021902063364309986</v>
      </c>
      <c r="AA4">
        <v>0</v>
      </c>
      <c r="AB4">
        <v>0.0026113998626677288</v>
      </c>
      <c r="AC4">
        <v>0.013478192839575376</v>
      </c>
      <c r="AD4">
        <v>0</v>
      </c>
      <c r="AE4">
        <v>0.039844907581994701</v>
      </c>
      <c r="AF4">
        <v>0</v>
      </c>
      <c r="AG4">
        <v>0.75932768909957771</v>
      </c>
      <c r="AH4">
        <v>0.14649110842513488</v>
      </c>
      <c r="AI4">
        <v>0</v>
      </c>
      <c r="AJ4">
        <v>0.047847584580492583</v>
      </c>
      <c r="AK4">
        <v>0</v>
      </c>
      <c r="AL4">
        <v>0</v>
      </c>
      <c r="AM4">
        <v>0</v>
      </c>
      <c r="AN4">
        <v>0.017521650691447989</v>
      </c>
      <c r="AO4">
        <v>0.036812314193090244</v>
      </c>
      <c r="AP4">
        <v>0</v>
      </c>
      <c r="AQ4">
        <v>0</v>
      </c>
      <c r="AR4">
        <v>0.062505119293530809</v>
      </c>
      <c r="AS4">
        <v>0</v>
      </c>
      <c r="AT4">
        <v>0</v>
      </c>
      <c r="AU4" t="s">
        <v>111</v>
      </c>
      <c r="BJ4" t="str">
        <f t="shared" si="0"/>
        <v>2w_</v>
      </c>
      <c r="BK4" t="str">
        <f t="shared" si="1"/>
        <v>elc</v>
      </c>
    </row>
    <row r="5" spans="1:63" ht="14.5">
      <c r="A5" t="s">
        <v>118</v>
      </c>
      <c r="B5" t="s">
        <v>62</v>
      </c>
      <c r="C5" t="s">
        <v>113</v>
      </c>
      <c r="D5" t="s">
        <v>111</v>
      </c>
      <c r="E5" t="s">
        <v>111</v>
      </c>
      <c r="F5" t="s">
        <v>111</v>
      </c>
      <c r="G5" t="s">
        <v>81</v>
      </c>
      <c r="H5" t="s">
        <v>111</v>
      </c>
      <c r="I5" t="s">
        <v>111</v>
      </c>
      <c r="J5" t="s">
        <v>111</v>
      </c>
      <c r="K5" t="s">
        <v>111</v>
      </c>
      <c r="L5">
        <v>0</v>
      </c>
      <c r="M5">
        <v>0</v>
      </c>
      <c r="N5">
        <v>0.0023586837469256909</v>
      </c>
      <c r="O5">
        <v>0.0014320579892048838</v>
      </c>
      <c r="P5">
        <v>0</v>
      </c>
      <c r="Q5">
        <v>0.06275783540927285</v>
      </c>
      <c r="R5">
        <v>0</v>
      </c>
      <c r="S5">
        <v>5.3148726301708074</v>
      </c>
      <c r="T5">
        <v>0</v>
      </c>
      <c r="U5">
        <v>0</v>
      </c>
      <c r="V5">
        <v>0.031926469288744173</v>
      </c>
      <c r="W5">
        <v>0.032768856341217636</v>
      </c>
      <c r="X5">
        <v>0.0020217289259363063</v>
      </c>
      <c r="Y5">
        <v>0</v>
      </c>
      <c r="Z5">
        <v>0.0021902063364309986</v>
      </c>
      <c r="AA5">
        <v>0</v>
      </c>
      <c r="AB5">
        <v>0.0026113998626677288</v>
      </c>
      <c r="AC5">
        <v>0.013478192839575376</v>
      </c>
      <c r="AD5">
        <v>0</v>
      </c>
      <c r="AE5">
        <v>0.039844907581994701</v>
      </c>
      <c r="AF5">
        <v>0</v>
      </c>
      <c r="AG5">
        <v>0.75932768909957771</v>
      </c>
      <c r="AH5">
        <v>0.14649110842513488</v>
      </c>
      <c r="AI5">
        <v>0</v>
      </c>
      <c r="AJ5">
        <v>0.047847584580492583</v>
      </c>
      <c r="AK5">
        <v>0</v>
      </c>
      <c r="AL5">
        <v>0</v>
      </c>
      <c r="AM5">
        <v>0</v>
      </c>
      <c r="AN5">
        <v>0.017521650691447989</v>
      </c>
      <c r="AO5">
        <v>0.036812314193090244</v>
      </c>
      <c r="AP5">
        <v>0</v>
      </c>
      <c r="AQ5">
        <v>0</v>
      </c>
      <c r="AR5">
        <v>0.062505119293530809</v>
      </c>
      <c r="AS5">
        <v>0</v>
      </c>
      <c r="AT5">
        <v>0</v>
      </c>
      <c r="AU5" t="s">
        <v>111</v>
      </c>
      <c r="BJ5" t="str">
        <f t="shared" si="0"/>
        <v>2w_</v>
      </c>
      <c r="BK5" t="str">
        <f t="shared" si="1"/>
        <v>elc</v>
      </c>
    </row>
    <row r="6" spans="1:63" ht="14.5">
      <c r="A6" t="s">
        <v>118</v>
      </c>
      <c r="B6" t="s">
        <v>62</v>
      </c>
      <c r="C6" t="s">
        <v>113</v>
      </c>
      <c r="D6" t="s">
        <v>111</v>
      </c>
      <c r="E6" t="s">
        <v>111</v>
      </c>
      <c r="F6" t="s">
        <v>111</v>
      </c>
      <c r="G6" t="s">
        <v>80</v>
      </c>
      <c r="H6" t="s">
        <v>111</v>
      </c>
      <c r="I6" t="s">
        <v>111</v>
      </c>
      <c r="J6" t="s">
        <v>111</v>
      </c>
      <c r="K6" t="s">
        <v>111</v>
      </c>
      <c r="L6">
        <v>0</v>
      </c>
      <c r="M6">
        <v>0</v>
      </c>
      <c r="N6">
        <v>0.0023586837469256909</v>
      </c>
      <c r="O6">
        <v>0.0014320579892048838</v>
      </c>
      <c r="P6">
        <v>0</v>
      </c>
      <c r="Q6">
        <v>0.06275783540927285</v>
      </c>
      <c r="R6">
        <v>0</v>
      </c>
      <c r="S6">
        <v>5.3148726301708074</v>
      </c>
      <c r="T6">
        <v>0</v>
      </c>
      <c r="U6">
        <v>0</v>
      </c>
      <c r="V6">
        <v>0.031926469288744173</v>
      </c>
      <c r="W6">
        <v>0.032768856341217636</v>
      </c>
      <c r="X6">
        <v>0.0020217289259363063</v>
      </c>
      <c r="Y6">
        <v>0</v>
      </c>
      <c r="Z6">
        <v>0.0021902063364309986</v>
      </c>
      <c r="AA6">
        <v>0</v>
      </c>
      <c r="AB6">
        <v>0.0026113998626677288</v>
      </c>
      <c r="AC6">
        <v>0.013478192839575376</v>
      </c>
      <c r="AD6">
        <v>0</v>
      </c>
      <c r="AE6">
        <v>0.039844907581994701</v>
      </c>
      <c r="AF6">
        <v>0</v>
      </c>
      <c r="AG6">
        <v>0.75932768909957771</v>
      </c>
      <c r="AH6">
        <v>0.14649110842513488</v>
      </c>
      <c r="AI6">
        <v>0</v>
      </c>
      <c r="AJ6">
        <v>0.047847584580492583</v>
      </c>
      <c r="AK6">
        <v>0</v>
      </c>
      <c r="AL6">
        <v>0</v>
      </c>
      <c r="AM6">
        <v>0</v>
      </c>
      <c r="AN6">
        <v>0.017521650691447989</v>
      </c>
      <c r="AO6">
        <v>0.036812314193090244</v>
      </c>
      <c r="AP6">
        <v>0</v>
      </c>
      <c r="AQ6">
        <v>0</v>
      </c>
      <c r="AR6">
        <v>0.062505119293530809</v>
      </c>
      <c r="AS6">
        <v>0</v>
      </c>
      <c r="AT6">
        <v>0</v>
      </c>
      <c r="AU6" t="s">
        <v>111</v>
      </c>
      <c r="BJ6" t="str">
        <f t="shared" si="0"/>
        <v>2w_</v>
      </c>
      <c r="BK6" t="str">
        <f t="shared" si="1"/>
        <v>elc</v>
      </c>
    </row>
    <row r="7" spans="1:63" ht="14.5">
      <c r="A7" t="s">
        <v>118</v>
      </c>
      <c r="B7" t="s">
        <v>62</v>
      </c>
      <c r="C7" t="s">
        <v>113</v>
      </c>
      <c r="D7" t="s">
        <v>111</v>
      </c>
      <c r="E7" t="s">
        <v>111</v>
      </c>
      <c r="F7" t="s">
        <v>111</v>
      </c>
      <c r="G7" t="s">
        <v>79</v>
      </c>
      <c r="H7" t="s">
        <v>111</v>
      </c>
      <c r="I7" t="s">
        <v>111</v>
      </c>
      <c r="J7" t="s">
        <v>111</v>
      </c>
      <c r="K7" t="s">
        <v>111</v>
      </c>
      <c r="L7">
        <v>0</v>
      </c>
      <c r="M7">
        <v>0</v>
      </c>
      <c r="N7">
        <v>0.0023586837469256909</v>
      </c>
      <c r="O7">
        <v>0.0014320579892048838</v>
      </c>
      <c r="P7">
        <v>0</v>
      </c>
      <c r="Q7">
        <v>0.06275783540927285</v>
      </c>
      <c r="R7">
        <v>0</v>
      </c>
      <c r="S7">
        <v>5.3148726301708074</v>
      </c>
      <c r="T7">
        <v>0</v>
      </c>
      <c r="U7">
        <v>0</v>
      </c>
      <c r="V7">
        <v>0.031926469288744173</v>
      </c>
      <c r="W7">
        <v>0.032768856341217636</v>
      </c>
      <c r="X7">
        <v>0.0020217289259363063</v>
      </c>
      <c r="Y7">
        <v>0</v>
      </c>
      <c r="Z7">
        <v>0.0021902063364309986</v>
      </c>
      <c r="AA7">
        <v>0</v>
      </c>
      <c r="AB7">
        <v>0.0026113998626677288</v>
      </c>
      <c r="AC7">
        <v>0.013478192839575376</v>
      </c>
      <c r="AD7">
        <v>0</v>
      </c>
      <c r="AE7">
        <v>0.039844907581994701</v>
      </c>
      <c r="AF7">
        <v>0</v>
      </c>
      <c r="AG7">
        <v>0.75932768909957771</v>
      </c>
      <c r="AH7">
        <v>0.14649110842513488</v>
      </c>
      <c r="AI7">
        <v>0</v>
      </c>
      <c r="AJ7">
        <v>0.047847584580492583</v>
      </c>
      <c r="AK7">
        <v>0</v>
      </c>
      <c r="AL7">
        <v>0</v>
      </c>
      <c r="AM7">
        <v>0</v>
      </c>
      <c r="AN7">
        <v>0.017521650691447989</v>
      </c>
      <c r="AO7">
        <v>0.036812314193090244</v>
      </c>
      <c r="AP7">
        <v>0</v>
      </c>
      <c r="AQ7">
        <v>0</v>
      </c>
      <c r="AR7">
        <v>0.062505119293530809</v>
      </c>
      <c r="AS7">
        <v>0</v>
      </c>
      <c r="AT7">
        <v>0</v>
      </c>
      <c r="AU7" t="s">
        <v>111</v>
      </c>
      <c r="BJ7" t="str">
        <f t="shared" si="0"/>
        <v>2w_</v>
      </c>
      <c r="BK7" t="str">
        <f t="shared" si="1"/>
        <v>elc</v>
      </c>
    </row>
    <row r="8" spans="1:63" ht="14.5">
      <c r="A8" t="s">
        <v>118</v>
      </c>
      <c r="B8" t="s">
        <v>62</v>
      </c>
      <c r="C8" t="s">
        <v>113</v>
      </c>
      <c r="D8" t="s">
        <v>111</v>
      </c>
      <c r="E8" t="s">
        <v>111</v>
      </c>
      <c r="F8" t="s">
        <v>111</v>
      </c>
      <c r="G8" t="s">
        <v>78</v>
      </c>
      <c r="H8" t="s">
        <v>111</v>
      </c>
      <c r="I8" t="s">
        <v>111</v>
      </c>
      <c r="J8" t="s">
        <v>111</v>
      </c>
      <c r="K8" t="s">
        <v>111</v>
      </c>
      <c r="L8">
        <v>0</v>
      </c>
      <c r="M8">
        <v>0</v>
      </c>
      <c r="N8">
        <v>0.0023586837469256909</v>
      </c>
      <c r="O8">
        <v>0.0014320579892048838</v>
      </c>
      <c r="P8">
        <v>0</v>
      </c>
      <c r="Q8">
        <v>0.06275783540927285</v>
      </c>
      <c r="R8">
        <v>0</v>
      </c>
      <c r="S8">
        <v>5.3148726301708074</v>
      </c>
      <c r="T8">
        <v>0</v>
      </c>
      <c r="U8">
        <v>0</v>
      </c>
      <c r="V8">
        <v>0.031926469288744173</v>
      </c>
      <c r="W8">
        <v>0.032768856341217636</v>
      </c>
      <c r="X8">
        <v>0.0020217289259363063</v>
      </c>
      <c r="Y8">
        <v>0</v>
      </c>
      <c r="Z8">
        <v>0.0021902063364309986</v>
      </c>
      <c r="AA8">
        <v>0</v>
      </c>
      <c r="AB8">
        <v>0.0026113998626677288</v>
      </c>
      <c r="AC8">
        <v>0.013478192839575376</v>
      </c>
      <c r="AD8">
        <v>0</v>
      </c>
      <c r="AE8">
        <v>0.039844907581994701</v>
      </c>
      <c r="AF8">
        <v>0</v>
      </c>
      <c r="AG8">
        <v>0.75932768909957771</v>
      </c>
      <c r="AH8">
        <v>0.14649110842513488</v>
      </c>
      <c r="AI8">
        <v>0</v>
      </c>
      <c r="AJ8">
        <v>0.047847584580492583</v>
      </c>
      <c r="AK8">
        <v>0</v>
      </c>
      <c r="AL8">
        <v>0</v>
      </c>
      <c r="AM8">
        <v>0</v>
      </c>
      <c r="AN8">
        <v>0.017521650691447989</v>
      </c>
      <c r="AO8">
        <v>0.036812314193090244</v>
      </c>
      <c r="AP8">
        <v>0</v>
      </c>
      <c r="AQ8">
        <v>0</v>
      </c>
      <c r="AR8">
        <v>0.062505119293530809</v>
      </c>
      <c r="AS8">
        <v>0</v>
      </c>
      <c r="AT8">
        <v>0</v>
      </c>
      <c r="AU8" t="s">
        <v>111</v>
      </c>
      <c r="BJ8" t="str">
        <f t="shared" si="0"/>
        <v>2w_</v>
      </c>
      <c r="BK8" t="str">
        <f t="shared" si="1"/>
        <v>elc</v>
      </c>
    </row>
    <row r="9" spans="1:63" ht="14.5">
      <c r="A9" t="s">
        <v>118</v>
      </c>
      <c r="B9" t="s">
        <v>62</v>
      </c>
      <c r="C9" t="s">
        <v>113</v>
      </c>
      <c r="D9" t="s">
        <v>111</v>
      </c>
      <c r="E9" t="s">
        <v>111</v>
      </c>
      <c r="F9" t="s">
        <v>111</v>
      </c>
      <c r="G9" t="s">
        <v>77</v>
      </c>
      <c r="H9" t="s">
        <v>111</v>
      </c>
      <c r="I9" t="s">
        <v>111</v>
      </c>
      <c r="J9" t="s">
        <v>111</v>
      </c>
      <c r="K9" t="s">
        <v>111</v>
      </c>
      <c r="L9">
        <v>0</v>
      </c>
      <c r="M9">
        <v>0</v>
      </c>
      <c r="N9">
        <v>0.0023586837469256909</v>
      </c>
      <c r="O9">
        <v>0.0014320579892048838</v>
      </c>
      <c r="P9">
        <v>0</v>
      </c>
      <c r="Q9">
        <v>0.06275783540927285</v>
      </c>
      <c r="R9">
        <v>0</v>
      </c>
      <c r="S9">
        <v>5.3148726301708074</v>
      </c>
      <c r="T9">
        <v>0</v>
      </c>
      <c r="U9">
        <v>0</v>
      </c>
      <c r="V9">
        <v>0.031926469288744173</v>
      </c>
      <c r="W9">
        <v>0.032768856341217636</v>
      </c>
      <c r="X9">
        <v>0.0020217289259363063</v>
      </c>
      <c r="Y9">
        <v>0</v>
      </c>
      <c r="Z9">
        <v>0.0021902063364309986</v>
      </c>
      <c r="AA9">
        <v>0</v>
      </c>
      <c r="AB9">
        <v>0.0026113998626677288</v>
      </c>
      <c r="AC9">
        <v>0.013478192839575376</v>
      </c>
      <c r="AD9">
        <v>0</v>
      </c>
      <c r="AE9">
        <v>0.039844907581994701</v>
      </c>
      <c r="AF9">
        <v>0</v>
      </c>
      <c r="AG9">
        <v>0.75932768909957771</v>
      </c>
      <c r="AH9">
        <v>0.14649110842513488</v>
      </c>
      <c r="AI9">
        <v>0</v>
      </c>
      <c r="AJ9">
        <v>0.047847584580492583</v>
      </c>
      <c r="AK9">
        <v>0</v>
      </c>
      <c r="AL9">
        <v>0</v>
      </c>
      <c r="AM9">
        <v>0</v>
      </c>
      <c r="AN9">
        <v>0.017521650691447989</v>
      </c>
      <c r="AO9">
        <v>0.036812314193090244</v>
      </c>
      <c r="AP9">
        <v>0</v>
      </c>
      <c r="AQ9">
        <v>0</v>
      </c>
      <c r="AR9">
        <v>0.062505119293530809</v>
      </c>
      <c r="AS9">
        <v>0</v>
      </c>
      <c r="AT9">
        <v>0</v>
      </c>
      <c r="AU9" t="s">
        <v>111</v>
      </c>
      <c r="BJ9" t="str">
        <f t="shared" si="0"/>
        <v>2w_</v>
      </c>
      <c r="BK9" t="str">
        <f t="shared" si="1"/>
        <v>elc</v>
      </c>
    </row>
    <row r="10" spans="1:63" ht="14.5">
      <c r="A10" t="s">
        <v>118</v>
      </c>
      <c r="B10" t="s">
        <v>62</v>
      </c>
      <c r="C10" t="s">
        <v>113</v>
      </c>
      <c r="D10" t="s">
        <v>111</v>
      </c>
      <c r="E10" t="s">
        <v>111</v>
      </c>
      <c r="F10" t="s">
        <v>111</v>
      </c>
      <c r="G10" t="s">
        <v>76</v>
      </c>
      <c r="H10" t="s">
        <v>111</v>
      </c>
      <c r="I10" t="s">
        <v>111</v>
      </c>
      <c r="J10" t="s">
        <v>111</v>
      </c>
      <c r="K10" t="s">
        <v>111</v>
      </c>
      <c r="L10">
        <v>0</v>
      </c>
      <c r="M10">
        <v>0</v>
      </c>
      <c r="N10">
        <v>0.0023586837469256909</v>
      </c>
      <c r="O10">
        <v>0.0014320579892048838</v>
      </c>
      <c r="P10">
        <v>0</v>
      </c>
      <c r="Q10">
        <v>0.06275783540927285</v>
      </c>
      <c r="R10">
        <v>0</v>
      </c>
      <c r="S10">
        <v>5.3148726301708074</v>
      </c>
      <c r="T10">
        <v>0</v>
      </c>
      <c r="U10">
        <v>0</v>
      </c>
      <c r="V10">
        <v>0.031926469288744173</v>
      </c>
      <c r="W10">
        <v>0.032768856341217636</v>
      </c>
      <c r="X10">
        <v>0.0020217289259363063</v>
      </c>
      <c r="Y10">
        <v>0</v>
      </c>
      <c r="Z10">
        <v>0.0021902063364309986</v>
      </c>
      <c r="AA10">
        <v>0</v>
      </c>
      <c r="AB10">
        <v>0.0026113998626677288</v>
      </c>
      <c r="AC10">
        <v>0.013478192839575376</v>
      </c>
      <c r="AD10">
        <v>0</v>
      </c>
      <c r="AE10">
        <v>0.039844907581994701</v>
      </c>
      <c r="AF10">
        <v>0</v>
      </c>
      <c r="AG10">
        <v>0.75932768909957771</v>
      </c>
      <c r="AH10">
        <v>0.14649110842513488</v>
      </c>
      <c r="AI10">
        <v>0</v>
      </c>
      <c r="AJ10">
        <v>0.047847584580492583</v>
      </c>
      <c r="AK10">
        <v>0</v>
      </c>
      <c r="AL10">
        <v>0</v>
      </c>
      <c r="AM10">
        <v>0</v>
      </c>
      <c r="AN10">
        <v>0.017521650691447989</v>
      </c>
      <c r="AO10">
        <v>0.036812314193090244</v>
      </c>
      <c r="AP10">
        <v>0</v>
      </c>
      <c r="AQ10">
        <v>0</v>
      </c>
      <c r="AR10">
        <v>0.062505119293530809</v>
      </c>
      <c r="AS10">
        <v>0</v>
      </c>
      <c r="AT10">
        <v>0</v>
      </c>
      <c r="AU10" t="s">
        <v>111</v>
      </c>
      <c r="BJ10" t="str">
        <f t="shared" si="0"/>
        <v>2w_</v>
      </c>
      <c r="BK10" t="str">
        <f t="shared" si="1"/>
        <v>elc</v>
      </c>
    </row>
    <row r="11" spans="1:63" ht="14.5">
      <c r="A11" t="s">
        <v>118</v>
      </c>
      <c r="B11" t="s">
        <v>62</v>
      </c>
      <c r="C11" t="s">
        <v>113</v>
      </c>
      <c r="D11" t="s">
        <v>111</v>
      </c>
      <c r="E11" t="s">
        <v>111</v>
      </c>
      <c r="F11" t="s">
        <v>111</v>
      </c>
      <c r="G11" t="s">
        <v>75</v>
      </c>
      <c r="H11" t="s">
        <v>111</v>
      </c>
      <c r="I11" t="s">
        <v>111</v>
      </c>
      <c r="J11" t="s">
        <v>111</v>
      </c>
      <c r="K11" t="s">
        <v>111</v>
      </c>
      <c r="L11">
        <v>0</v>
      </c>
      <c r="M11">
        <v>0</v>
      </c>
      <c r="N11">
        <v>0.0023586837469256909</v>
      </c>
      <c r="O11">
        <v>0.0014320579892048838</v>
      </c>
      <c r="P11">
        <v>0</v>
      </c>
      <c r="Q11">
        <v>0.06275783540927285</v>
      </c>
      <c r="R11">
        <v>0</v>
      </c>
      <c r="S11">
        <v>5.3148726301708074</v>
      </c>
      <c r="T11">
        <v>0</v>
      </c>
      <c r="U11">
        <v>0</v>
      </c>
      <c r="V11">
        <v>0.031926469288744173</v>
      </c>
      <c r="W11">
        <v>0.032768856341217636</v>
      </c>
      <c r="X11">
        <v>0.0020217289259363063</v>
      </c>
      <c r="Y11">
        <v>0</v>
      </c>
      <c r="Z11">
        <v>0.0021902063364309986</v>
      </c>
      <c r="AA11">
        <v>0</v>
      </c>
      <c r="AB11">
        <v>0.0026113998626677288</v>
      </c>
      <c r="AC11">
        <v>0.013478192839575376</v>
      </c>
      <c r="AD11">
        <v>0</v>
      </c>
      <c r="AE11">
        <v>0.039844907581994701</v>
      </c>
      <c r="AF11">
        <v>0</v>
      </c>
      <c r="AG11">
        <v>0.75932768909957771</v>
      </c>
      <c r="AH11">
        <v>0.14649110842513488</v>
      </c>
      <c r="AI11">
        <v>0</v>
      </c>
      <c r="AJ11">
        <v>0.047847584580492583</v>
      </c>
      <c r="AK11">
        <v>0</v>
      </c>
      <c r="AL11">
        <v>0</v>
      </c>
      <c r="AM11">
        <v>0</v>
      </c>
      <c r="AN11">
        <v>0.017521650691447989</v>
      </c>
      <c r="AO11">
        <v>0.036812314193090244</v>
      </c>
      <c r="AP11">
        <v>0</v>
      </c>
      <c r="AQ11">
        <v>0</v>
      </c>
      <c r="AR11">
        <v>0.062505119293530809</v>
      </c>
      <c r="AS11">
        <v>0</v>
      </c>
      <c r="AT11">
        <v>0</v>
      </c>
      <c r="AU11" t="s">
        <v>111</v>
      </c>
      <c r="BJ11" t="str">
        <f t="shared" si="0"/>
        <v>2w_</v>
      </c>
      <c r="BK11" t="str">
        <f t="shared" si="1"/>
        <v>elc</v>
      </c>
    </row>
    <row r="12" spans="1:63" ht="14.5">
      <c r="A12" t="s">
        <v>118</v>
      </c>
      <c r="B12" t="s">
        <v>62</v>
      </c>
      <c r="C12" t="s">
        <v>113</v>
      </c>
      <c r="D12" t="s">
        <v>111</v>
      </c>
      <c r="E12" t="s">
        <v>111</v>
      </c>
      <c r="F12" t="s">
        <v>111</v>
      </c>
      <c r="G12" t="s">
        <v>74</v>
      </c>
      <c r="H12" t="s">
        <v>111</v>
      </c>
      <c r="I12" t="s">
        <v>111</v>
      </c>
      <c r="J12" t="s">
        <v>111</v>
      </c>
      <c r="K12" t="s">
        <v>111</v>
      </c>
      <c r="L12">
        <v>0</v>
      </c>
      <c r="M12">
        <v>0</v>
      </c>
      <c r="N12">
        <v>0.0023586837469256909</v>
      </c>
      <c r="O12">
        <v>0.0014320579892048838</v>
      </c>
      <c r="P12">
        <v>0</v>
      </c>
      <c r="Q12">
        <v>0.06275783540927285</v>
      </c>
      <c r="R12">
        <v>0</v>
      </c>
      <c r="S12">
        <v>5.3148726301708074</v>
      </c>
      <c r="T12">
        <v>0</v>
      </c>
      <c r="U12">
        <v>0</v>
      </c>
      <c r="V12">
        <v>0.031926469288744173</v>
      </c>
      <c r="W12">
        <v>0.032768856341217636</v>
      </c>
      <c r="X12">
        <v>0.0020217289259363063</v>
      </c>
      <c r="Y12">
        <v>0</v>
      </c>
      <c r="Z12">
        <v>0.0021902063364309986</v>
      </c>
      <c r="AA12">
        <v>0</v>
      </c>
      <c r="AB12">
        <v>0.0026113998626677288</v>
      </c>
      <c r="AC12">
        <v>0.013478192839575376</v>
      </c>
      <c r="AD12">
        <v>0</v>
      </c>
      <c r="AE12">
        <v>0.039844907581994701</v>
      </c>
      <c r="AF12">
        <v>0</v>
      </c>
      <c r="AG12">
        <v>0.75932768909957771</v>
      </c>
      <c r="AH12">
        <v>0.14649110842513488</v>
      </c>
      <c r="AI12">
        <v>0</v>
      </c>
      <c r="AJ12">
        <v>0.047847584580492583</v>
      </c>
      <c r="AK12">
        <v>0</v>
      </c>
      <c r="AL12">
        <v>0</v>
      </c>
      <c r="AM12">
        <v>0</v>
      </c>
      <c r="AN12">
        <v>0.017521650691447989</v>
      </c>
      <c r="AO12">
        <v>0.036812314193090244</v>
      </c>
      <c r="AP12">
        <v>0</v>
      </c>
      <c r="AQ12">
        <v>0</v>
      </c>
      <c r="AR12">
        <v>0.062505119293530809</v>
      </c>
      <c r="AS12">
        <v>0</v>
      </c>
      <c r="AT12">
        <v>0</v>
      </c>
      <c r="AU12" t="s">
        <v>111</v>
      </c>
      <c r="BJ12" t="str">
        <f t="shared" si="0"/>
        <v>2w_</v>
      </c>
      <c r="BK12" t="str">
        <f t="shared" si="1"/>
        <v>elc</v>
      </c>
    </row>
    <row r="13" spans="1:63" ht="14.5">
      <c r="A13" t="s">
        <v>118</v>
      </c>
      <c r="B13" t="s">
        <v>62</v>
      </c>
      <c r="C13" t="s">
        <v>113</v>
      </c>
      <c r="D13" t="s">
        <v>111</v>
      </c>
      <c r="E13" t="s">
        <v>111</v>
      </c>
      <c r="F13" t="s">
        <v>111</v>
      </c>
      <c r="G13" t="s">
        <v>73</v>
      </c>
      <c r="H13" t="s">
        <v>111</v>
      </c>
      <c r="I13" t="s">
        <v>111</v>
      </c>
      <c r="J13" t="s">
        <v>111</v>
      </c>
      <c r="K13" t="s">
        <v>111</v>
      </c>
      <c r="L13">
        <v>0</v>
      </c>
      <c r="M13">
        <v>0</v>
      </c>
      <c r="N13">
        <v>0.0023586837469256909</v>
      </c>
      <c r="O13">
        <v>0.0014320579892048838</v>
      </c>
      <c r="P13">
        <v>0</v>
      </c>
      <c r="Q13">
        <v>0.06275783540927285</v>
      </c>
      <c r="R13">
        <v>0</v>
      </c>
      <c r="S13">
        <v>5.3148726301708074</v>
      </c>
      <c r="T13">
        <v>0</v>
      </c>
      <c r="U13">
        <v>0</v>
      </c>
      <c r="V13">
        <v>0.031926469288744173</v>
      </c>
      <c r="W13">
        <v>0.032768856341217636</v>
      </c>
      <c r="X13">
        <v>0.0020217289259363063</v>
      </c>
      <c r="Y13">
        <v>0</v>
      </c>
      <c r="Z13">
        <v>0.0021902063364309986</v>
      </c>
      <c r="AA13">
        <v>0</v>
      </c>
      <c r="AB13">
        <v>0.0026113998626677288</v>
      </c>
      <c r="AC13">
        <v>0.013478192839575376</v>
      </c>
      <c r="AD13">
        <v>0</v>
      </c>
      <c r="AE13">
        <v>0.039844907581994701</v>
      </c>
      <c r="AF13">
        <v>0</v>
      </c>
      <c r="AG13">
        <v>0.75932768909957771</v>
      </c>
      <c r="AH13">
        <v>0.14649110842513488</v>
      </c>
      <c r="AI13">
        <v>0</v>
      </c>
      <c r="AJ13">
        <v>0.047847584580492583</v>
      </c>
      <c r="AK13">
        <v>0</v>
      </c>
      <c r="AL13">
        <v>0</v>
      </c>
      <c r="AM13">
        <v>0</v>
      </c>
      <c r="AN13">
        <v>0.017521650691447989</v>
      </c>
      <c r="AO13">
        <v>0.036812314193090244</v>
      </c>
      <c r="AP13">
        <v>0</v>
      </c>
      <c r="AQ13">
        <v>0</v>
      </c>
      <c r="AR13">
        <v>0.062505119293530809</v>
      </c>
      <c r="AS13">
        <v>0</v>
      </c>
      <c r="AT13">
        <v>0</v>
      </c>
      <c r="AU13" t="s">
        <v>111</v>
      </c>
      <c r="BJ13" t="str">
        <f t="shared" si="0"/>
        <v>2w_</v>
      </c>
      <c r="BK13" t="str">
        <f t="shared" si="1"/>
        <v>elc</v>
      </c>
    </row>
    <row r="14" spans="1:63" ht="14.5">
      <c r="A14" t="s">
        <v>118</v>
      </c>
      <c r="B14" t="s">
        <v>62</v>
      </c>
      <c r="C14" t="s">
        <v>113</v>
      </c>
      <c r="D14" t="s">
        <v>111</v>
      </c>
      <c r="E14" t="s">
        <v>111</v>
      </c>
      <c r="F14" t="s">
        <v>111</v>
      </c>
      <c r="G14" t="s">
        <v>72</v>
      </c>
      <c r="H14" t="s">
        <v>111</v>
      </c>
      <c r="I14" t="s">
        <v>111</v>
      </c>
      <c r="J14" t="s">
        <v>111</v>
      </c>
      <c r="K14" t="s">
        <v>111</v>
      </c>
      <c r="L14">
        <v>0</v>
      </c>
      <c r="M14">
        <v>0</v>
      </c>
      <c r="N14">
        <v>0.0023586837469256909</v>
      </c>
      <c r="O14">
        <v>0.0014320579892048838</v>
      </c>
      <c r="P14">
        <v>0</v>
      </c>
      <c r="Q14">
        <v>0.06275783540927285</v>
      </c>
      <c r="R14">
        <v>0</v>
      </c>
      <c r="S14">
        <v>5.3148726301708074</v>
      </c>
      <c r="T14">
        <v>0</v>
      </c>
      <c r="U14">
        <v>0</v>
      </c>
      <c r="V14">
        <v>0.031926469288744173</v>
      </c>
      <c r="W14">
        <v>0.032768856341217636</v>
      </c>
      <c r="X14">
        <v>0.0020217289259363063</v>
      </c>
      <c r="Y14">
        <v>0</v>
      </c>
      <c r="Z14">
        <v>0.0021902063364309986</v>
      </c>
      <c r="AA14">
        <v>0</v>
      </c>
      <c r="AB14">
        <v>0.0026113998626677288</v>
      </c>
      <c r="AC14">
        <v>0.013478192839575376</v>
      </c>
      <c r="AD14">
        <v>0</v>
      </c>
      <c r="AE14">
        <v>0.039844907581994701</v>
      </c>
      <c r="AF14">
        <v>0</v>
      </c>
      <c r="AG14">
        <v>0.75932768909957771</v>
      </c>
      <c r="AH14">
        <v>0.14649110842513488</v>
      </c>
      <c r="AI14">
        <v>0</v>
      </c>
      <c r="AJ14">
        <v>0.047847584580492583</v>
      </c>
      <c r="AK14">
        <v>0</v>
      </c>
      <c r="AL14">
        <v>0</v>
      </c>
      <c r="AM14">
        <v>0</v>
      </c>
      <c r="AN14">
        <v>0.017521650691447989</v>
      </c>
      <c r="AO14">
        <v>0.036812314193090244</v>
      </c>
      <c r="AP14">
        <v>0</v>
      </c>
      <c r="AQ14">
        <v>0</v>
      </c>
      <c r="AR14">
        <v>0.062505119293530809</v>
      </c>
      <c r="AS14">
        <v>0</v>
      </c>
      <c r="AT14">
        <v>0</v>
      </c>
      <c r="AU14" t="s">
        <v>111</v>
      </c>
      <c r="BJ14" t="str">
        <f t="shared" si="0"/>
        <v>2w_</v>
      </c>
      <c r="BK14" t="str">
        <f t="shared" si="1"/>
        <v>elc</v>
      </c>
    </row>
    <row r="15" spans="1:63" ht="14.5">
      <c r="A15" t="s">
        <v>118</v>
      </c>
      <c r="B15" t="s">
        <v>62</v>
      </c>
      <c r="C15" t="s">
        <v>113</v>
      </c>
      <c r="D15" t="s">
        <v>111</v>
      </c>
      <c r="E15" t="s">
        <v>111</v>
      </c>
      <c r="F15" t="s">
        <v>111</v>
      </c>
      <c r="G15" t="s">
        <v>71</v>
      </c>
      <c r="H15" t="s">
        <v>111</v>
      </c>
      <c r="I15" t="s">
        <v>111</v>
      </c>
      <c r="J15" t="s">
        <v>111</v>
      </c>
      <c r="K15" t="s">
        <v>111</v>
      </c>
      <c r="L15">
        <v>0</v>
      </c>
      <c r="M15">
        <v>0</v>
      </c>
      <c r="N15">
        <v>0.0023586837469256909</v>
      </c>
      <c r="O15">
        <v>0.0014320579892048838</v>
      </c>
      <c r="P15">
        <v>0</v>
      </c>
      <c r="Q15">
        <v>0.06275783540927285</v>
      </c>
      <c r="R15">
        <v>0</v>
      </c>
      <c r="S15">
        <v>5.3148726301708074</v>
      </c>
      <c r="T15">
        <v>0</v>
      </c>
      <c r="U15">
        <v>0</v>
      </c>
      <c r="V15">
        <v>0.031926469288744173</v>
      </c>
      <c r="W15">
        <v>0.032768856341217636</v>
      </c>
      <c r="X15">
        <v>0.0020217289259363063</v>
      </c>
      <c r="Y15">
        <v>0</v>
      </c>
      <c r="Z15">
        <v>0.0021902063364309986</v>
      </c>
      <c r="AA15">
        <v>0</v>
      </c>
      <c r="AB15">
        <v>0.0026113998626677288</v>
      </c>
      <c r="AC15">
        <v>0.013478192839575376</v>
      </c>
      <c r="AD15">
        <v>0</v>
      </c>
      <c r="AE15">
        <v>0.039844907581994701</v>
      </c>
      <c r="AF15">
        <v>0</v>
      </c>
      <c r="AG15">
        <v>0.75932768909957771</v>
      </c>
      <c r="AH15">
        <v>0.14649110842513488</v>
      </c>
      <c r="AI15">
        <v>0</v>
      </c>
      <c r="AJ15">
        <v>0.047847584580492583</v>
      </c>
      <c r="AK15">
        <v>0</v>
      </c>
      <c r="AL15">
        <v>0</v>
      </c>
      <c r="AM15">
        <v>0</v>
      </c>
      <c r="AN15">
        <v>0.017521650691447989</v>
      </c>
      <c r="AO15">
        <v>0.036812314193090244</v>
      </c>
      <c r="AP15">
        <v>0</v>
      </c>
      <c r="AQ15">
        <v>0</v>
      </c>
      <c r="AR15">
        <v>0.062505119293530809</v>
      </c>
      <c r="AS15">
        <v>0</v>
      </c>
      <c r="AT15">
        <v>0</v>
      </c>
      <c r="AU15" t="s">
        <v>111</v>
      </c>
      <c r="BJ15" t="str">
        <f t="shared" si="0"/>
        <v>2w_</v>
      </c>
      <c r="BK15" t="str">
        <f t="shared" si="1"/>
        <v>elc</v>
      </c>
    </row>
    <row r="16" spans="1:63" ht="14.5">
      <c r="A16" t="s">
        <v>118</v>
      </c>
      <c r="B16" t="s">
        <v>62</v>
      </c>
      <c r="C16" t="s">
        <v>113</v>
      </c>
      <c r="D16" t="s">
        <v>111</v>
      </c>
      <c r="E16" t="s">
        <v>111</v>
      </c>
      <c r="F16" t="s">
        <v>111</v>
      </c>
      <c r="G16" t="s">
        <v>70</v>
      </c>
      <c r="H16" t="s">
        <v>111</v>
      </c>
      <c r="I16" t="s">
        <v>111</v>
      </c>
      <c r="J16" t="s">
        <v>111</v>
      </c>
      <c r="K16" t="s">
        <v>111</v>
      </c>
      <c r="L16">
        <v>0</v>
      </c>
      <c r="M16">
        <v>0</v>
      </c>
      <c r="N16">
        <v>0.0023586837469256909</v>
      </c>
      <c r="O16">
        <v>0.0014320579892048838</v>
      </c>
      <c r="P16">
        <v>0</v>
      </c>
      <c r="Q16">
        <v>0.06275783540927285</v>
      </c>
      <c r="R16">
        <v>0</v>
      </c>
      <c r="S16">
        <v>5.3148726301708074</v>
      </c>
      <c r="T16">
        <v>0</v>
      </c>
      <c r="U16">
        <v>0</v>
      </c>
      <c r="V16">
        <v>0.031926469288744173</v>
      </c>
      <c r="W16">
        <v>0.032768856341217636</v>
      </c>
      <c r="X16">
        <v>0.0020217289259363063</v>
      </c>
      <c r="Y16">
        <v>0</v>
      </c>
      <c r="Z16">
        <v>0.0021902063364309986</v>
      </c>
      <c r="AA16">
        <v>0</v>
      </c>
      <c r="AB16">
        <v>0.0026113998626677288</v>
      </c>
      <c r="AC16">
        <v>0.013478192839575376</v>
      </c>
      <c r="AD16">
        <v>0</v>
      </c>
      <c r="AE16">
        <v>0.039844907581994701</v>
      </c>
      <c r="AF16">
        <v>0</v>
      </c>
      <c r="AG16">
        <v>0.75932768909957771</v>
      </c>
      <c r="AH16">
        <v>0.14649110842513488</v>
      </c>
      <c r="AI16">
        <v>0</v>
      </c>
      <c r="AJ16">
        <v>0.047847584580492583</v>
      </c>
      <c r="AK16">
        <v>0</v>
      </c>
      <c r="AL16">
        <v>0</v>
      </c>
      <c r="AM16">
        <v>0</v>
      </c>
      <c r="AN16">
        <v>0.017521650691447989</v>
      </c>
      <c r="AO16">
        <v>0.036812314193090244</v>
      </c>
      <c r="AP16">
        <v>0</v>
      </c>
      <c r="AQ16">
        <v>0</v>
      </c>
      <c r="AR16">
        <v>0.062505119293530809</v>
      </c>
      <c r="AS16">
        <v>0</v>
      </c>
      <c r="AT16">
        <v>0</v>
      </c>
      <c r="AU16" t="s">
        <v>111</v>
      </c>
      <c r="BJ16" t="str">
        <f t="shared" si="0"/>
        <v>2w_</v>
      </c>
      <c r="BK16" t="str">
        <f t="shared" si="1"/>
        <v>elc</v>
      </c>
    </row>
    <row r="17" spans="1:63" ht="14.5">
      <c r="A17" t="s">
        <v>118</v>
      </c>
      <c r="B17" t="s">
        <v>62</v>
      </c>
      <c r="C17" t="s">
        <v>113</v>
      </c>
      <c r="D17" t="s">
        <v>111</v>
      </c>
      <c r="E17" t="s">
        <v>111</v>
      </c>
      <c r="F17" t="s">
        <v>111</v>
      </c>
      <c r="G17" t="s">
        <v>69</v>
      </c>
      <c r="H17" t="s">
        <v>111</v>
      </c>
      <c r="I17" t="s">
        <v>111</v>
      </c>
      <c r="J17" t="s">
        <v>111</v>
      </c>
      <c r="K17" t="s">
        <v>111</v>
      </c>
      <c r="L17">
        <v>0</v>
      </c>
      <c r="M17">
        <v>0</v>
      </c>
      <c r="N17">
        <v>0.0023586837469256909</v>
      </c>
      <c r="O17">
        <v>0.0014320579892048838</v>
      </c>
      <c r="P17">
        <v>0</v>
      </c>
      <c r="Q17">
        <v>0.06275783540927285</v>
      </c>
      <c r="R17">
        <v>0</v>
      </c>
      <c r="S17">
        <v>5.3148726301708074</v>
      </c>
      <c r="T17">
        <v>0</v>
      </c>
      <c r="U17">
        <v>0</v>
      </c>
      <c r="V17">
        <v>0.031926469288744173</v>
      </c>
      <c r="W17">
        <v>0.032768856341217636</v>
      </c>
      <c r="X17">
        <v>0.0020217289259363063</v>
      </c>
      <c r="Y17">
        <v>0</v>
      </c>
      <c r="Z17">
        <v>0.0021902063364309986</v>
      </c>
      <c r="AA17">
        <v>0</v>
      </c>
      <c r="AB17">
        <v>0.0026113998626677288</v>
      </c>
      <c r="AC17">
        <v>0.013478192839575376</v>
      </c>
      <c r="AD17">
        <v>0</v>
      </c>
      <c r="AE17">
        <v>0.039844907581994701</v>
      </c>
      <c r="AF17">
        <v>0</v>
      </c>
      <c r="AG17">
        <v>0.75932768909957771</v>
      </c>
      <c r="AH17">
        <v>0.14649110842513488</v>
      </c>
      <c r="AI17">
        <v>0</v>
      </c>
      <c r="AJ17">
        <v>0.047847584580492583</v>
      </c>
      <c r="AK17">
        <v>0</v>
      </c>
      <c r="AL17">
        <v>0</v>
      </c>
      <c r="AM17">
        <v>0</v>
      </c>
      <c r="AN17">
        <v>0.017521650691447989</v>
      </c>
      <c r="AO17">
        <v>0.036812314193090244</v>
      </c>
      <c r="AP17">
        <v>0</v>
      </c>
      <c r="AQ17">
        <v>0</v>
      </c>
      <c r="AR17">
        <v>0.062505119293530809</v>
      </c>
      <c r="AS17">
        <v>0</v>
      </c>
      <c r="AT17">
        <v>0</v>
      </c>
      <c r="AU17" t="s">
        <v>111</v>
      </c>
      <c r="BJ17" t="str">
        <f t="shared" si="0"/>
        <v>2w_</v>
      </c>
      <c r="BK17" t="str">
        <f t="shared" si="1"/>
        <v>elc</v>
      </c>
    </row>
    <row r="18" spans="1:63" ht="14.5">
      <c r="A18" t="s">
        <v>118</v>
      </c>
      <c r="B18" t="s">
        <v>62</v>
      </c>
      <c r="C18" t="s">
        <v>113</v>
      </c>
      <c r="D18" t="s">
        <v>111</v>
      </c>
      <c r="E18" t="s">
        <v>111</v>
      </c>
      <c r="F18" t="s">
        <v>111</v>
      </c>
      <c r="G18" t="s">
        <v>68</v>
      </c>
      <c r="H18" t="s">
        <v>111</v>
      </c>
      <c r="I18" t="s">
        <v>111</v>
      </c>
      <c r="J18" t="s">
        <v>111</v>
      </c>
      <c r="K18" t="s">
        <v>111</v>
      </c>
      <c r="L18">
        <v>0</v>
      </c>
      <c r="M18">
        <v>0</v>
      </c>
      <c r="N18">
        <v>0.0023586837469256909</v>
      </c>
      <c r="O18">
        <v>0.0014320579892048838</v>
      </c>
      <c r="P18">
        <v>0</v>
      </c>
      <c r="Q18">
        <v>0.06275783540927285</v>
      </c>
      <c r="R18">
        <v>0</v>
      </c>
      <c r="S18">
        <v>5.3148726301708074</v>
      </c>
      <c r="T18">
        <v>0</v>
      </c>
      <c r="U18">
        <v>0</v>
      </c>
      <c r="V18">
        <v>0.031926469288744173</v>
      </c>
      <c r="W18">
        <v>0.032768856341217636</v>
      </c>
      <c r="X18">
        <v>0.0020217289259363063</v>
      </c>
      <c r="Y18">
        <v>0</v>
      </c>
      <c r="Z18">
        <v>0.0021902063364309986</v>
      </c>
      <c r="AA18">
        <v>0</v>
      </c>
      <c r="AB18">
        <v>0.0026113998626677288</v>
      </c>
      <c r="AC18">
        <v>0.013478192839575376</v>
      </c>
      <c r="AD18">
        <v>0</v>
      </c>
      <c r="AE18">
        <v>0.039844907581994701</v>
      </c>
      <c r="AF18">
        <v>0</v>
      </c>
      <c r="AG18">
        <v>0.75932768909957771</v>
      </c>
      <c r="AH18">
        <v>0.14649110842513488</v>
      </c>
      <c r="AI18">
        <v>0</v>
      </c>
      <c r="AJ18">
        <v>0.047847584580492583</v>
      </c>
      <c r="AK18">
        <v>0</v>
      </c>
      <c r="AL18">
        <v>0</v>
      </c>
      <c r="AM18">
        <v>0</v>
      </c>
      <c r="AN18">
        <v>0.017521650691447989</v>
      </c>
      <c r="AO18">
        <v>0.036812314193090244</v>
      </c>
      <c r="AP18">
        <v>0</v>
      </c>
      <c r="AQ18">
        <v>0</v>
      </c>
      <c r="AR18">
        <v>0.062505119293530809</v>
      </c>
      <c r="AS18">
        <v>0</v>
      </c>
      <c r="AT18">
        <v>0</v>
      </c>
      <c r="AU18" t="s">
        <v>111</v>
      </c>
      <c r="BJ18" t="str">
        <f t="shared" si="0"/>
        <v>2w_</v>
      </c>
      <c r="BK18" t="str">
        <f t="shared" si="1"/>
        <v>elc</v>
      </c>
    </row>
    <row r="19" spans="1:63" ht="14.5">
      <c r="A19" t="s">
        <v>118</v>
      </c>
      <c r="B19" t="s">
        <v>62</v>
      </c>
      <c r="C19" t="s">
        <v>113</v>
      </c>
      <c r="D19" t="s">
        <v>111</v>
      </c>
      <c r="E19" t="s">
        <v>111</v>
      </c>
      <c r="F19" t="s">
        <v>111</v>
      </c>
      <c r="G19" t="s">
        <v>67</v>
      </c>
      <c r="H19" t="s">
        <v>111</v>
      </c>
      <c r="I19" t="s">
        <v>111</v>
      </c>
      <c r="J19" t="s">
        <v>111</v>
      </c>
      <c r="K19" t="s">
        <v>111</v>
      </c>
      <c r="L19">
        <v>0</v>
      </c>
      <c r="M19">
        <v>0</v>
      </c>
      <c r="N19">
        <v>0.0023586837469256909</v>
      </c>
      <c r="O19">
        <v>0.0014320579892048838</v>
      </c>
      <c r="P19">
        <v>0</v>
      </c>
      <c r="Q19">
        <v>0.06275783540927285</v>
      </c>
      <c r="R19">
        <v>0</v>
      </c>
      <c r="S19">
        <v>5.3148726301708074</v>
      </c>
      <c r="T19">
        <v>0</v>
      </c>
      <c r="U19">
        <v>0</v>
      </c>
      <c r="V19">
        <v>0.031926469288744173</v>
      </c>
      <c r="W19">
        <v>0.032768856341217636</v>
      </c>
      <c r="X19">
        <v>0.0020217289259363063</v>
      </c>
      <c r="Y19">
        <v>0</v>
      </c>
      <c r="Z19">
        <v>0.0021902063364309986</v>
      </c>
      <c r="AA19">
        <v>0</v>
      </c>
      <c r="AB19">
        <v>0.0026113998626677288</v>
      </c>
      <c r="AC19">
        <v>0.013478192839575376</v>
      </c>
      <c r="AD19">
        <v>0</v>
      </c>
      <c r="AE19">
        <v>0.039844907581994701</v>
      </c>
      <c r="AF19">
        <v>0</v>
      </c>
      <c r="AG19">
        <v>0.75932768909957771</v>
      </c>
      <c r="AH19">
        <v>0.14649110842513488</v>
      </c>
      <c r="AI19">
        <v>0</v>
      </c>
      <c r="AJ19">
        <v>0.047847584580492583</v>
      </c>
      <c r="AK19">
        <v>0</v>
      </c>
      <c r="AL19">
        <v>0</v>
      </c>
      <c r="AM19">
        <v>0</v>
      </c>
      <c r="AN19">
        <v>0.017521650691447989</v>
      </c>
      <c r="AO19">
        <v>0.036812314193090244</v>
      </c>
      <c r="AP19">
        <v>0</v>
      </c>
      <c r="AQ19">
        <v>0</v>
      </c>
      <c r="AR19">
        <v>0.062505119293530809</v>
      </c>
      <c r="AS19">
        <v>0</v>
      </c>
      <c r="AT19">
        <v>0</v>
      </c>
      <c r="AU19" t="s">
        <v>111</v>
      </c>
      <c r="BJ19" t="str">
        <f t="shared" si="0"/>
        <v>2w_</v>
      </c>
      <c r="BK19" t="str">
        <f t="shared" si="1"/>
        <v>elc</v>
      </c>
    </row>
    <row r="20" spans="1:63" ht="14.5">
      <c r="A20" t="s">
        <v>118</v>
      </c>
      <c r="B20" t="s">
        <v>62</v>
      </c>
      <c r="C20" t="s">
        <v>113</v>
      </c>
      <c r="D20" t="s">
        <v>111</v>
      </c>
      <c r="E20" t="s">
        <v>111</v>
      </c>
      <c r="F20" t="s">
        <v>111</v>
      </c>
      <c r="G20" t="s">
        <v>66</v>
      </c>
      <c r="H20" t="s">
        <v>111</v>
      </c>
      <c r="I20" t="s">
        <v>111</v>
      </c>
      <c r="J20" t="s">
        <v>111</v>
      </c>
      <c r="K20" t="s">
        <v>111</v>
      </c>
      <c r="L20">
        <v>0</v>
      </c>
      <c r="M20">
        <v>0</v>
      </c>
      <c r="N20">
        <v>0.0023586837469256909</v>
      </c>
      <c r="O20">
        <v>0.0014320579892048838</v>
      </c>
      <c r="P20">
        <v>0</v>
      </c>
      <c r="Q20">
        <v>0.06275783540927285</v>
      </c>
      <c r="R20">
        <v>0</v>
      </c>
      <c r="S20">
        <v>5.3148726301708074</v>
      </c>
      <c r="T20">
        <v>0</v>
      </c>
      <c r="U20">
        <v>0</v>
      </c>
      <c r="V20">
        <v>0.031926469288744173</v>
      </c>
      <c r="W20">
        <v>0.032768856341217636</v>
      </c>
      <c r="X20">
        <v>0.0020217289259363063</v>
      </c>
      <c r="Y20">
        <v>0</v>
      </c>
      <c r="Z20">
        <v>0.0021902063364309986</v>
      </c>
      <c r="AA20">
        <v>0</v>
      </c>
      <c r="AB20">
        <v>0.0026113998626677288</v>
      </c>
      <c r="AC20">
        <v>0.013478192839575376</v>
      </c>
      <c r="AD20">
        <v>0</v>
      </c>
      <c r="AE20">
        <v>0.039844907581994701</v>
      </c>
      <c r="AF20">
        <v>0</v>
      </c>
      <c r="AG20">
        <v>0.75932768909957771</v>
      </c>
      <c r="AH20">
        <v>0.14649110842513488</v>
      </c>
      <c r="AI20">
        <v>0</v>
      </c>
      <c r="AJ20">
        <v>0.047847584580492583</v>
      </c>
      <c r="AK20">
        <v>0</v>
      </c>
      <c r="AL20">
        <v>0</v>
      </c>
      <c r="AM20">
        <v>0</v>
      </c>
      <c r="AN20">
        <v>0.017521650691447989</v>
      </c>
      <c r="AO20">
        <v>0.036812314193090244</v>
      </c>
      <c r="AP20">
        <v>0</v>
      </c>
      <c r="AQ20">
        <v>0</v>
      </c>
      <c r="AR20">
        <v>0.062505119293530809</v>
      </c>
      <c r="AS20">
        <v>0</v>
      </c>
      <c r="AT20">
        <v>0</v>
      </c>
      <c r="AU20" t="s">
        <v>111</v>
      </c>
      <c r="BJ20" t="str">
        <f t="shared" si="0"/>
        <v>2w_</v>
      </c>
      <c r="BK20" t="str">
        <f t="shared" si="1"/>
        <v>elc</v>
      </c>
    </row>
    <row r="21" spans="1:63" ht="14.5">
      <c r="A21" t="s">
        <v>118</v>
      </c>
      <c r="B21" t="s">
        <v>62</v>
      </c>
      <c r="C21" t="s">
        <v>113</v>
      </c>
      <c r="D21" t="s">
        <v>111</v>
      </c>
      <c r="E21" t="s">
        <v>111</v>
      </c>
      <c r="F21" t="s">
        <v>111</v>
      </c>
      <c r="G21" t="s">
        <v>65</v>
      </c>
      <c r="H21" t="s">
        <v>111</v>
      </c>
      <c r="I21" t="s">
        <v>111</v>
      </c>
      <c r="J21" t="s">
        <v>111</v>
      </c>
      <c r="K21" t="s">
        <v>111</v>
      </c>
      <c r="L21">
        <v>0</v>
      </c>
      <c r="M21">
        <v>0</v>
      </c>
      <c r="N21">
        <v>0.0023586837469256909</v>
      </c>
      <c r="O21">
        <v>0.0014320579892048838</v>
      </c>
      <c r="P21">
        <v>0</v>
      </c>
      <c r="Q21">
        <v>0.06275783540927285</v>
      </c>
      <c r="R21">
        <v>0</v>
      </c>
      <c r="S21">
        <v>5.3148726301708074</v>
      </c>
      <c r="T21">
        <v>0</v>
      </c>
      <c r="U21">
        <v>0</v>
      </c>
      <c r="V21">
        <v>0.031926469288744173</v>
      </c>
      <c r="W21">
        <v>0.032768856341217636</v>
      </c>
      <c r="X21">
        <v>0.0020217289259363063</v>
      </c>
      <c r="Y21">
        <v>0</v>
      </c>
      <c r="Z21">
        <v>0.0021902063364309986</v>
      </c>
      <c r="AA21">
        <v>0</v>
      </c>
      <c r="AB21">
        <v>0.0026113998626677288</v>
      </c>
      <c r="AC21">
        <v>0.013478192839575376</v>
      </c>
      <c r="AD21">
        <v>0</v>
      </c>
      <c r="AE21">
        <v>0.039844907581994701</v>
      </c>
      <c r="AF21">
        <v>0</v>
      </c>
      <c r="AG21">
        <v>0.75932768909957771</v>
      </c>
      <c r="AH21">
        <v>0.14649110842513488</v>
      </c>
      <c r="AI21">
        <v>0</v>
      </c>
      <c r="AJ21">
        <v>0.047847584580492583</v>
      </c>
      <c r="AK21">
        <v>0</v>
      </c>
      <c r="AL21">
        <v>0</v>
      </c>
      <c r="AM21">
        <v>0</v>
      </c>
      <c r="AN21">
        <v>0.017521650691447989</v>
      </c>
      <c r="AO21">
        <v>0.036812314193090244</v>
      </c>
      <c r="AP21">
        <v>0</v>
      </c>
      <c r="AQ21">
        <v>0</v>
      </c>
      <c r="AR21">
        <v>0.062505119293530809</v>
      </c>
      <c r="AS21">
        <v>0</v>
      </c>
      <c r="AT21">
        <v>0</v>
      </c>
      <c r="AU21" t="s">
        <v>111</v>
      </c>
      <c r="BJ21" t="str">
        <f t="shared" si="0"/>
        <v>2w_</v>
      </c>
      <c r="BK21" t="str">
        <f t="shared" si="1"/>
        <v>elc</v>
      </c>
    </row>
    <row r="22" spans="1:63" ht="14.5">
      <c r="A22" t="s">
        <v>118</v>
      </c>
      <c r="B22" t="s">
        <v>62</v>
      </c>
      <c r="C22" t="s">
        <v>110</v>
      </c>
      <c r="D22" t="s">
        <v>111</v>
      </c>
      <c r="E22" t="s">
        <v>111</v>
      </c>
      <c r="F22" t="s">
        <v>111</v>
      </c>
      <c r="G22" t="s">
        <v>61</v>
      </c>
      <c r="H22" t="s">
        <v>111</v>
      </c>
      <c r="I22" t="s">
        <v>111</v>
      </c>
      <c r="J22" t="s">
        <v>111</v>
      </c>
      <c r="K22" t="s">
        <v>111</v>
      </c>
      <c r="L22">
        <v>2.9842403720924833</v>
      </c>
      <c r="M22">
        <v>5.1820281919957427</v>
      </c>
      <c r="N22">
        <v>0.12197764519815715</v>
      </c>
      <c r="O22">
        <v>0.0039592191466252665</v>
      </c>
      <c r="P22">
        <v>0.003622264325635882</v>
      </c>
      <c r="Q22">
        <v>0.015499921765511682</v>
      </c>
      <c r="R22">
        <v>0.14446937949919858</v>
      </c>
      <c r="S22">
        <v>6.4355001260762528</v>
      </c>
      <c r="T22">
        <v>0.006065186777808919</v>
      </c>
      <c r="U22">
        <v>0.014320579892048838</v>
      </c>
      <c r="V22">
        <v>0.019037947385900218</v>
      </c>
      <c r="W22">
        <v>0.041782397802683661</v>
      </c>
      <c r="X22">
        <v>0.0065706190092929958</v>
      </c>
      <c r="Y22">
        <v>0.022323256890546716</v>
      </c>
      <c r="Z22">
        <v>0.00033695482098938443</v>
      </c>
      <c r="AA22">
        <v>6.3995301989356355</v>
      </c>
      <c r="AB22">
        <v>0.0018532515154416141</v>
      </c>
      <c r="AC22">
        <v>0.018869469975405527</v>
      </c>
      <c r="AD22">
        <v>0.29736262952313169</v>
      </c>
      <c r="AE22">
        <v>0.27470241781159566</v>
      </c>
      <c r="AF22">
        <v>0.55100537102289082</v>
      </c>
      <c r="AG22">
        <v>0.17487955209349051</v>
      </c>
      <c r="AH22">
        <v>0.0027798772731624215</v>
      </c>
      <c r="AI22">
        <v>0.031252559646765404</v>
      </c>
      <c r="AJ22">
        <v>18.860119479123071</v>
      </c>
      <c r="AK22">
        <v>0.4515194601257751</v>
      </c>
      <c r="AL22">
        <v>0.16999370718914442</v>
      </c>
      <c r="AM22">
        <v>1.3200205112259134</v>
      </c>
      <c r="AN22">
        <v>0.01684774104946922</v>
      </c>
      <c r="AO22">
        <v>0.010951031682154994</v>
      </c>
      <c r="AP22">
        <v>0.0058124706620668815</v>
      </c>
      <c r="AQ22">
        <v>0.016595024933727182</v>
      </c>
      <c r="AR22">
        <v>0.052143758548107232</v>
      </c>
      <c r="AS22">
        <v>0.01684774104946922</v>
      </c>
      <c r="AT22">
        <v>0.011035270387402339</v>
      </c>
      <c r="AU22" t="s">
        <v>111</v>
      </c>
      <c r="BJ22" t="str">
        <f t="shared" si="0"/>
        <v>2w_</v>
      </c>
      <c r="BK22" t="str">
        <f t="shared" si="1"/>
        <v>gsl</v>
      </c>
    </row>
    <row r="23" spans="1:63" ht="14.5">
      <c r="A23" t="s">
        <v>118</v>
      </c>
      <c r="B23" t="s">
        <v>62</v>
      </c>
      <c r="C23" t="s">
        <v>110</v>
      </c>
      <c r="D23" t="s">
        <v>111</v>
      </c>
      <c r="E23" t="s">
        <v>111</v>
      </c>
      <c r="F23" t="s">
        <v>111</v>
      </c>
      <c r="G23" t="s">
        <v>83</v>
      </c>
      <c r="H23" t="s">
        <v>111</v>
      </c>
      <c r="I23" t="s">
        <v>111</v>
      </c>
      <c r="J23" t="s">
        <v>111</v>
      </c>
      <c r="K23" t="s">
        <v>111</v>
      </c>
      <c r="L23">
        <v>2.9842403720924833</v>
      </c>
      <c r="M23">
        <v>5.1820281919957427</v>
      </c>
      <c r="N23">
        <v>0.12197764519815715</v>
      </c>
      <c r="O23">
        <v>0.0039592191466252665</v>
      </c>
      <c r="P23">
        <v>0.003622264325635882</v>
      </c>
      <c r="Q23">
        <v>0.015499921765511682</v>
      </c>
      <c r="R23">
        <v>0.14446937949919858</v>
      </c>
      <c r="S23">
        <v>6.4355001260762528</v>
      </c>
      <c r="T23">
        <v>0.006065186777808919</v>
      </c>
      <c r="U23">
        <v>0.014320579892048838</v>
      </c>
      <c r="V23">
        <v>0.019037947385900218</v>
      </c>
      <c r="W23">
        <v>0.041782397802683661</v>
      </c>
      <c r="X23">
        <v>0.0065706190092929958</v>
      </c>
      <c r="Y23">
        <v>0.022323256890546716</v>
      </c>
      <c r="Z23">
        <v>0.00033695482098938443</v>
      </c>
      <c r="AA23">
        <v>6.3995301989356355</v>
      </c>
      <c r="AB23">
        <v>0.0018532515154416141</v>
      </c>
      <c r="AC23">
        <v>0.018869469975405527</v>
      </c>
      <c r="AD23">
        <v>0.29736262952313169</v>
      </c>
      <c r="AE23">
        <v>0.27470241781159566</v>
      </c>
      <c r="AF23">
        <v>0.55100537102289082</v>
      </c>
      <c r="AG23">
        <v>0.17487955209349051</v>
      </c>
      <c r="AH23">
        <v>0.0027798772731624215</v>
      </c>
      <c r="AI23">
        <v>0.031252559646765404</v>
      </c>
      <c r="AJ23">
        <v>18.860119479123071</v>
      </c>
      <c r="AK23">
        <v>0.4515194601257751</v>
      </c>
      <c r="AL23">
        <v>0.16999370718914442</v>
      </c>
      <c r="AM23">
        <v>1.3200205112259134</v>
      </c>
      <c r="AN23">
        <v>0.01684774104946922</v>
      </c>
      <c r="AO23">
        <v>0.010951031682154994</v>
      </c>
      <c r="AP23">
        <v>0.0058124706620668815</v>
      </c>
      <c r="AQ23">
        <v>0.016595024933727182</v>
      </c>
      <c r="AR23">
        <v>0.052143758548107232</v>
      </c>
      <c r="AS23">
        <v>0.01684774104946922</v>
      </c>
      <c r="AT23">
        <v>0.011035270387402339</v>
      </c>
      <c r="AU23" t="s">
        <v>111</v>
      </c>
      <c r="BJ23" t="str">
        <f t="shared" si="0"/>
        <v>2w_</v>
      </c>
      <c r="BK23" t="str">
        <f t="shared" si="1"/>
        <v>gsl</v>
      </c>
    </row>
    <row r="24" spans="1:63" ht="14.5">
      <c r="A24" t="s">
        <v>118</v>
      </c>
      <c r="B24" t="s">
        <v>62</v>
      </c>
      <c r="C24" t="s">
        <v>110</v>
      </c>
      <c r="D24" t="s">
        <v>111</v>
      </c>
      <c r="E24" t="s">
        <v>111</v>
      </c>
      <c r="F24" t="s">
        <v>111</v>
      </c>
      <c r="G24" t="s">
        <v>82</v>
      </c>
      <c r="H24" t="s">
        <v>111</v>
      </c>
      <c r="I24" t="s">
        <v>111</v>
      </c>
      <c r="J24" t="s">
        <v>111</v>
      </c>
      <c r="K24" t="s">
        <v>111</v>
      </c>
      <c r="L24">
        <v>2.9842403720924833</v>
      </c>
      <c r="M24">
        <v>5.1820281919957427</v>
      </c>
      <c r="N24">
        <v>0.12197764519815715</v>
      </c>
      <c r="O24">
        <v>0.0039592191466252665</v>
      </c>
      <c r="P24">
        <v>0.003622264325635882</v>
      </c>
      <c r="Q24">
        <v>0.015499921765511682</v>
      </c>
      <c r="R24">
        <v>0.14446937949919858</v>
      </c>
      <c r="S24">
        <v>6.4355001260762528</v>
      </c>
      <c r="T24">
        <v>0.006065186777808919</v>
      </c>
      <c r="U24">
        <v>0.014320579892048838</v>
      </c>
      <c r="V24">
        <v>0.019037947385900218</v>
      </c>
      <c r="W24">
        <v>0.041782397802683661</v>
      </c>
      <c r="X24">
        <v>0.0065706190092929958</v>
      </c>
      <c r="Y24">
        <v>0.022323256890546716</v>
      </c>
      <c r="Z24">
        <v>0.00033695482098938443</v>
      </c>
      <c r="AA24">
        <v>6.3995301989356355</v>
      </c>
      <c r="AB24">
        <v>0.0018532515154416141</v>
      </c>
      <c r="AC24">
        <v>0.018869469975405527</v>
      </c>
      <c r="AD24">
        <v>0.29736262952313169</v>
      </c>
      <c r="AE24">
        <v>0.27470241781159566</v>
      </c>
      <c r="AF24">
        <v>0.55100537102289082</v>
      </c>
      <c r="AG24">
        <v>0.17487955209349051</v>
      </c>
      <c r="AH24">
        <v>0.0027798772731624215</v>
      </c>
      <c r="AI24">
        <v>0.031252559646765404</v>
      </c>
      <c r="AJ24">
        <v>18.860119479123071</v>
      </c>
      <c r="AK24">
        <v>0.4515194601257751</v>
      </c>
      <c r="AL24">
        <v>0.16999370718914442</v>
      </c>
      <c r="AM24">
        <v>1.3200205112259134</v>
      </c>
      <c r="AN24">
        <v>0.01684774104946922</v>
      </c>
      <c r="AO24">
        <v>0.010951031682154994</v>
      </c>
      <c r="AP24">
        <v>0.0058124706620668815</v>
      </c>
      <c r="AQ24">
        <v>0.016595024933727182</v>
      </c>
      <c r="AR24">
        <v>0.052143758548107232</v>
      </c>
      <c r="AS24">
        <v>0.01684774104946922</v>
      </c>
      <c r="AT24">
        <v>0.011035270387402339</v>
      </c>
      <c r="AU24" t="s">
        <v>111</v>
      </c>
      <c r="BJ24" t="str">
        <f t="shared" si="0"/>
        <v>2w_</v>
      </c>
      <c r="BK24" t="str">
        <f t="shared" si="1"/>
        <v>gsl</v>
      </c>
    </row>
    <row r="25" spans="1:63" ht="14.5">
      <c r="A25" t="s">
        <v>118</v>
      </c>
      <c r="B25" t="s">
        <v>62</v>
      </c>
      <c r="C25" t="s">
        <v>110</v>
      </c>
      <c r="D25" t="s">
        <v>111</v>
      </c>
      <c r="E25" t="s">
        <v>111</v>
      </c>
      <c r="F25" t="s">
        <v>111</v>
      </c>
      <c r="G25" t="s">
        <v>81</v>
      </c>
      <c r="H25" t="s">
        <v>111</v>
      </c>
      <c r="I25" t="s">
        <v>111</v>
      </c>
      <c r="J25" t="s">
        <v>111</v>
      </c>
      <c r="K25" t="s">
        <v>111</v>
      </c>
      <c r="L25">
        <v>2.9842403720924833</v>
      </c>
      <c r="M25">
        <v>5.1820281919957427</v>
      </c>
      <c r="N25">
        <v>0.12197764519815715</v>
      </c>
      <c r="O25">
        <v>0.0039592191466252665</v>
      </c>
      <c r="P25">
        <v>0.003622264325635882</v>
      </c>
      <c r="Q25">
        <v>0.015499921765511682</v>
      </c>
      <c r="R25">
        <v>0.14446937949919858</v>
      </c>
      <c r="S25">
        <v>6.4355001260762528</v>
      </c>
      <c r="T25">
        <v>0.006065186777808919</v>
      </c>
      <c r="U25">
        <v>0.014320579892048838</v>
      </c>
      <c r="V25">
        <v>0.019037947385900218</v>
      </c>
      <c r="W25">
        <v>0.041782397802683661</v>
      </c>
      <c r="X25">
        <v>0.0065706190092929958</v>
      </c>
      <c r="Y25">
        <v>0.022323256890546716</v>
      </c>
      <c r="Z25">
        <v>0.00033695482098938443</v>
      </c>
      <c r="AA25">
        <v>6.3995301989356355</v>
      </c>
      <c r="AB25">
        <v>0.0018532515154416141</v>
      </c>
      <c r="AC25">
        <v>0.018869469975405527</v>
      </c>
      <c r="AD25">
        <v>0.29736262952313169</v>
      </c>
      <c r="AE25">
        <v>0.27470241781159566</v>
      </c>
      <c r="AF25">
        <v>0.55100537102289082</v>
      </c>
      <c r="AG25">
        <v>0.17487955209349051</v>
      </c>
      <c r="AH25">
        <v>0.0027798772731624215</v>
      </c>
      <c r="AI25">
        <v>0.031252559646765404</v>
      </c>
      <c r="AJ25">
        <v>18.860119479123071</v>
      </c>
      <c r="AK25">
        <v>0.4515194601257751</v>
      </c>
      <c r="AL25">
        <v>0.16999370718914442</v>
      </c>
      <c r="AM25">
        <v>1.3200205112259134</v>
      </c>
      <c r="AN25">
        <v>0.01684774104946922</v>
      </c>
      <c r="AO25">
        <v>0.010951031682154994</v>
      </c>
      <c r="AP25">
        <v>0.0058124706620668815</v>
      </c>
      <c r="AQ25">
        <v>0.016595024933727182</v>
      </c>
      <c r="AR25">
        <v>0.052143758548107232</v>
      </c>
      <c r="AS25">
        <v>0.01684774104946922</v>
      </c>
      <c r="AT25">
        <v>0.011035270387402339</v>
      </c>
      <c r="AU25" t="s">
        <v>111</v>
      </c>
      <c r="BJ25" t="str">
        <f t="shared" si="0"/>
        <v>2w_</v>
      </c>
      <c r="BK25" t="str">
        <f t="shared" si="1"/>
        <v>gsl</v>
      </c>
    </row>
    <row r="26" spans="1:63" ht="14.5">
      <c r="A26" t="s">
        <v>118</v>
      </c>
      <c r="B26" t="s">
        <v>62</v>
      </c>
      <c r="C26" t="s">
        <v>110</v>
      </c>
      <c r="D26" t="s">
        <v>111</v>
      </c>
      <c r="E26" t="s">
        <v>111</v>
      </c>
      <c r="F26" t="s">
        <v>111</v>
      </c>
      <c r="G26" t="s">
        <v>80</v>
      </c>
      <c r="H26" t="s">
        <v>111</v>
      </c>
      <c r="I26" t="s">
        <v>111</v>
      </c>
      <c r="J26" t="s">
        <v>111</v>
      </c>
      <c r="K26" t="s">
        <v>111</v>
      </c>
      <c r="L26">
        <v>2.9842403720924833</v>
      </c>
      <c r="M26">
        <v>5.1820281919957427</v>
      </c>
      <c r="N26">
        <v>0.12197764519815715</v>
      </c>
      <c r="O26">
        <v>0.0039592191466252665</v>
      </c>
      <c r="P26">
        <v>0.003622264325635882</v>
      </c>
      <c r="Q26">
        <v>0.015499921765511682</v>
      </c>
      <c r="R26">
        <v>0.14446937949919858</v>
      </c>
      <c r="S26">
        <v>6.4355001260762528</v>
      </c>
      <c r="T26">
        <v>0.006065186777808919</v>
      </c>
      <c r="U26">
        <v>0.014320579892048838</v>
      </c>
      <c r="V26">
        <v>0.019037947385900218</v>
      </c>
      <c r="W26">
        <v>0.041782397802683661</v>
      </c>
      <c r="X26">
        <v>0.0065706190092929958</v>
      </c>
      <c r="Y26">
        <v>0.022323256890546716</v>
      </c>
      <c r="Z26">
        <v>0.00033695482098938443</v>
      </c>
      <c r="AA26">
        <v>6.3995301989356355</v>
      </c>
      <c r="AB26">
        <v>0.0018532515154416141</v>
      </c>
      <c r="AC26">
        <v>0.018869469975405527</v>
      </c>
      <c r="AD26">
        <v>0.29736262952313169</v>
      </c>
      <c r="AE26">
        <v>0.27470241781159566</v>
      </c>
      <c r="AF26">
        <v>0.55100537102289082</v>
      </c>
      <c r="AG26">
        <v>0.17487955209349051</v>
      </c>
      <c r="AH26">
        <v>0.0027798772731624215</v>
      </c>
      <c r="AI26">
        <v>0.031252559646765404</v>
      </c>
      <c r="AJ26">
        <v>18.860119479123071</v>
      </c>
      <c r="AK26">
        <v>0.4515194601257751</v>
      </c>
      <c r="AL26">
        <v>0.16999370718914442</v>
      </c>
      <c r="AM26">
        <v>1.3200205112259134</v>
      </c>
      <c r="AN26">
        <v>0.01684774104946922</v>
      </c>
      <c r="AO26">
        <v>0.010951031682154994</v>
      </c>
      <c r="AP26">
        <v>0.0058124706620668815</v>
      </c>
      <c r="AQ26">
        <v>0.016595024933727182</v>
      </c>
      <c r="AR26">
        <v>0.052143758548107232</v>
      </c>
      <c r="AS26">
        <v>0.01684774104946922</v>
      </c>
      <c r="AT26">
        <v>0.011035270387402339</v>
      </c>
      <c r="AU26" t="s">
        <v>111</v>
      </c>
      <c r="BJ26" t="str">
        <f t="shared" si="0"/>
        <v>2w_</v>
      </c>
      <c r="BK26" t="str">
        <f t="shared" si="1"/>
        <v>gsl</v>
      </c>
    </row>
    <row r="27" spans="1:63" ht="14.5">
      <c r="A27" t="s">
        <v>118</v>
      </c>
      <c r="B27" t="s">
        <v>62</v>
      </c>
      <c r="C27" t="s">
        <v>110</v>
      </c>
      <c r="D27" t="s">
        <v>111</v>
      </c>
      <c r="E27" t="s">
        <v>111</v>
      </c>
      <c r="F27" t="s">
        <v>111</v>
      </c>
      <c r="G27" t="s">
        <v>79</v>
      </c>
      <c r="H27" t="s">
        <v>111</v>
      </c>
      <c r="I27" t="s">
        <v>111</v>
      </c>
      <c r="J27" t="s">
        <v>111</v>
      </c>
      <c r="K27" t="s">
        <v>111</v>
      </c>
      <c r="L27">
        <v>2.9842403720924833</v>
      </c>
      <c r="M27">
        <v>5.1820281919957427</v>
      </c>
      <c r="N27">
        <v>0.12197764519815715</v>
      </c>
      <c r="O27">
        <v>0.0039592191466252665</v>
      </c>
      <c r="P27">
        <v>0.003622264325635882</v>
      </c>
      <c r="Q27">
        <v>0.015499921765511682</v>
      </c>
      <c r="R27">
        <v>0.14446937949919858</v>
      </c>
      <c r="S27">
        <v>6.4355001260762528</v>
      </c>
      <c r="T27">
        <v>0.006065186777808919</v>
      </c>
      <c r="U27">
        <v>0.014320579892048838</v>
      </c>
      <c r="V27">
        <v>0.019037947385900218</v>
      </c>
      <c r="W27">
        <v>0.041782397802683661</v>
      </c>
      <c r="X27">
        <v>0.0065706190092929958</v>
      </c>
      <c r="Y27">
        <v>0.022323256890546716</v>
      </c>
      <c r="Z27">
        <v>0.00033695482098938443</v>
      </c>
      <c r="AA27">
        <v>6.3995301989356355</v>
      </c>
      <c r="AB27">
        <v>0.0018532515154416141</v>
      </c>
      <c r="AC27">
        <v>0.018869469975405527</v>
      </c>
      <c r="AD27">
        <v>0.29736262952313169</v>
      </c>
      <c r="AE27">
        <v>0.27470241781159566</v>
      </c>
      <c r="AF27">
        <v>0.55100537102289082</v>
      </c>
      <c r="AG27">
        <v>0.17487955209349051</v>
      </c>
      <c r="AH27">
        <v>0.0027798772731624215</v>
      </c>
      <c r="AI27">
        <v>0.031252559646765404</v>
      </c>
      <c r="AJ27">
        <v>18.860119479123071</v>
      </c>
      <c r="AK27">
        <v>0.4515194601257751</v>
      </c>
      <c r="AL27">
        <v>0.16999370718914442</v>
      </c>
      <c r="AM27">
        <v>1.3200205112259134</v>
      </c>
      <c r="AN27">
        <v>0.01684774104946922</v>
      </c>
      <c r="AO27">
        <v>0.010951031682154994</v>
      </c>
      <c r="AP27">
        <v>0.0058124706620668815</v>
      </c>
      <c r="AQ27">
        <v>0.016595024933727182</v>
      </c>
      <c r="AR27">
        <v>0.052143758548107232</v>
      </c>
      <c r="AS27">
        <v>0.01684774104946922</v>
      </c>
      <c r="AT27">
        <v>0.011035270387402339</v>
      </c>
      <c r="AU27" t="s">
        <v>111</v>
      </c>
      <c r="BJ27" t="str">
        <f t="shared" si="0"/>
        <v>2w_</v>
      </c>
      <c r="BK27" t="str">
        <f t="shared" si="1"/>
        <v>gsl</v>
      </c>
    </row>
    <row r="28" spans="1:63" ht="14.5">
      <c r="A28" t="s">
        <v>118</v>
      </c>
      <c r="B28" t="s">
        <v>62</v>
      </c>
      <c r="C28" t="s">
        <v>110</v>
      </c>
      <c r="D28" t="s">
        <v>111</v>
      </c>
      <c r="E28" t="s">
        <v>111</v>
      </c>
      <c r="F28" t="s">
        <v>111</v>
      </c>
      <c r="G28" t="s">
        <v>78</v>
      </c>
      <c r="H28" t="s">
        <v>111</v>
      </c>
      <c r="I28" t="s">
        <v>111</v>
      </c>
      <c r="J28" t="s">
        <v>111</v>
      </c>
      <c r="K28" t="s">
        <v>111</v>
      </c>
      <c r="L28">
        <v>2.9842403720924833</v>
      </c>
      <c r="M28">
        <v>5.1820281919957427</v>
      </c>
      <c r="N28">
        <v>0.12197764519815715</v>
      </c>
      <c r="O28">
        <v>0.0039592191466252665</v>
      </c>
      <c r="P28">
        <v>0.003622264325635882</v>
      </c>
      <c r="Q28">
        <v>0.015499921765511682</v>
      </c>
      <c r="R28">
        <v>0.14446937949919858</v>
      </c>
      <c r="S28">
        <v>6.4355001260762528</v>
      </c>
      <c r="T28">
        <v>0.006065186777808919</v>
      </c>
      <c r="U28">
        <v>0.014320579892048838</v>
      </c>
      <c r="V28">
        <v>0.019037947385900218</v>
      </c>
      <c r="W28">
        <v>0.041782397802683661</v>
      </c>
      <c r="X28">
        <v>0.0065706190092929958</v>
      </c>
      <c r="Y28">
        <v>0.022323256890546716</v>
      </c>
      <c r="Z28">
        <v>0.00033695482098938443</v>
      </c>
      <c r="AA28">
        <v>6.3995301989356355</v>
      </c>
      <c r="AB28">
        <v>0.0018532515154416141</v>
      </c>
      <c r="AC28">
        <v>0.018869469975405527</v>
      </c>
      <c r="AD28">
        <v>0.29736262952313169</v>
      </c>
      <c r="AE28">
        <v>0.27470241781159566</v>
      </c>
      <c r="AF28">
        <v>0.55100537102289082</v>
      </c>
      <c r="AG28">
        <v>0.17487955209349051</v>
      </c>
      <c r="AH28">
        <v>0.0027798772731624215</v>
      </c>
      <c r="AI28">
        <v>0.031252559646765404</v>
      </c>
      <c r="AJ28">
        <v>18.860119479123071</v>
      </c>
      <c r="AK28">
        <v>0.4515194601257751</v>
      </c>
      <c r="AL28">
        <v>0.16999370718914442</v>
      </c>
      <c r="AM28">
        <v>1.3200205112259134</v>
      </c>
      <c r="AN28">
        <v>0.01684774104946922</v>
      </c>
      <c r="AO28">
        <v>0.010951031682154994</v>
      </c>
      <c r="AP28">
        <v>0.0058124706620668815</v>
      </c>
      <c r="AQ28">
        <v>0.016595024933727182</v>
      </c>
      <c r="AR28">
        <v>0.052143758548107232</v>
      </c>
      <c r="AS28">
        <v>0.01684774104946922</v>
      </c>
      <c r="AT28">
        <v>0.011035270387402339</v>
      </c>
      <c r="AU28" t="s">
        <v>111</v>
      </c>
      <c r="BJ28" t="str">
        <f t="shared" si="0"/>
        <v>2w_</v>
      </c>
      <c r="BK28" t="str">
        <f t="shared" si="1"/>
        <v>gsl</v>
      </c>
    </row>
    <row r="29" spans="1:63" ht="14.5">
      <c r="A29" t="s">
        <v>118</v>
      </c>
      <c r="B29" t="s">
        <v>62</v>
      </c>
      <c r="C29" t="s">
        <v>110</v>
      </c>
      <c r="D29" t="s">
        <v>111</v>
      </c>
      <c r="E29" t="s">
        <v>111</v>
      </c>
      <c r="F29" t="s">
        <v>111</v>
      </c>
      <c r="G29" t="s">
        <v>77</v>
      </c>
      <c r="H29" t="s">
        <v>111</v>
      </c>
      <c r="I29" t="s">
        <v>111</v>
      </c>
      <c r="J29" t="s">
        <v>111</v>
      </c>
      <c r="K29" t="s">
        <v>111</v>
      </c>
      <c r="L29">
        <v>2.9842403720924833</v>
      </c>
      <c r="M29">
        <v>5.1820281919957427</v>
      </c>
      <c r="N29">
        <v>0.12197764519815715</v>
      </c>
      <c r="O29">
        <v>0.0039592191466252665</v>
      </c>
      <c r="P29">
        <v>0.003622264325635882</v>
      </c>
      <c r="Q29">
        <v>0.015499921765511682</v>
      </c>
      <c r="R29">
        <v>0.14446937949919858</v>
      </c>
      <c r="S29">
        <v>6.4355001260762528</v>
      </c>
      <c r="T29">
        <v>0.006065186777808919</v>
      </c>
      <c r="U29">
        <v>0.014320579892048838</v>
      </c>
      <c r="V29">
        <v>0.019037947385900218</v>
      </c>
      <c r="W29">
        <v>0.041782397802683661</v>
      </c>
      <c r="X29">
        <v>0.0065706190092929958</v>
      </c>
      <c r="Y29">
        <v>0.022323256890546716</v>
      </c>
      <c r="Z29">
        <v>0.00033695482098938443</v>
      </c>
      <c r="AA29">
        <v>6.3995301989356355</v>
      </c>
      <c r="AB29">
        <v>0.0018532515154416141</v>
      </c>
      <c r="AC29">
        <v>0.018869469975405527</v>
      </c>
      <c r="AD29">
        <v>0.29736262952313169</v>
      </c>
      <c r="AE29">
        <v>0.27470241781159566</v>
      </c>
      <c r="AF29">
        <v>0.55100537102289082</v>
      </c>
      <c r="AG29">
        <v>0.17487955209349051</v>
      </c>
      <c r="AH29">
        <v>0.0027798772731624215</v>
      </c>
      <c r="AI29">
        <v>0.031252559646765404</v>
      </c>
      <c r="AJ29">
        <v>18.860119479123071</v>
      </c>
      <c r="AK29">
        <v>0.4515194601257751</v>
      </c>
      <c r="AL29">
        <v>0.16999370718914442</v>
      </c>
      <c r="AM29">
        <v>1.3200205112259134</v>
      </c>
      <c r="AN29">
        <v>0.01684774104946922</v>
      </c>
      <c r="AO29">
        <v>0.010951031682154994</v>
      </c>
      <c r="AP29">
        <v>0.0058124706620668815</v>
      </c>
      <c r="AQ29">
        <v>0.016595024933727182</v>
      </c>
      <c r="AR29">
        <v>0.052143758548107232</v>
      </c>
      <c r="AS29">
        <v>0.01684774104946922</v>
      </c>
      <c r="AT29">
        <v>0.011035270387402339</v>
      </c>
      <c r="AU29" t="s">
        <v>111</v>
      </c>
      <c r="BJ29" t="str">
        <f t="shared" si="0"/>
        <v>2w_</v>
      </c>
      <c r="BK29" t="str">
        <f t="shared" si="1"/>
        <v>gsl</v>
      </c>
    </row>
    <row r="30" spans="1:63" ht="14.5">
      <c r="A30" t="s">
        <v>118</v>
      </c>
      <c r="B30" t="s">
        <v>62</v>
      </c>
      <c r="C30" t="s">
        <v>110</v>
      </c>
      <c r="D30" t="s">
        <v>111</v>
      </c>
      <c r="E30" t="s">
        <v>111</v>
      </c>
      <c r="F30" t="s">
        <v>111</v>
      </c>
      <c r="G30" t="s">
        <v>76</v>
      </c>
      <c r="H30" t="s">
        <v>111</v>
      </c>
      <c r="I30" t="s">
        <v>111</v>
      </c>
      <c r="J30" t="s">
        <v>111</v>
      </c>
      <c r="K30" t="s">
        <v>111</v>
      </c>
      <c r="L30">
        <v>2.9842403720924833</v>
      </c>
      <c r="M30">
        <v>5.1820281919957427</v>
      </c>
      <c r="N30">
        <v>0.12197764519815715</v>
      </c>
      <c r="O30">
        <v>0.0039592191466252665</v>
      </c>
      <c r="P30">
        <v>0.003622264325635882</v>
      </c>
      <c r="Q30">
        <v>0.015499921765511682</v>
      </c>
      <c r="R30">
        <v>0.14446937949919858</v>
      </c>
      <c r="S30">
        <v>6.4355001260762528</v>
      </c>
      <c r="T30">
        <v>0.006065186777808919</v>
      </c>
      <c r="U30">
        <v>0.014320579892048838</v>
      </c>
      <c r="V30">
        <v>0.019037947385900218</v>
      </c>
      <c r="W30">
        <v>0.041782397802683661</v>
      </c>
      <c r="X30">
        <v>0.0065706190092929958</v>
      </c>
      <c r="Y30">
        <v>0.022323256890546716</v>
      </c>
      <c r="Z30">
        <v>0.00033695482098938443</v>
      </c>
      <c r="AA30">
        <v>6.3995301989356355</v>
      </c>
      <c r="AB30">
        <v>0.0018532515154416141</v>
      </c>
      <c r="AC30">
        <v>0.018869469975405527</v>
      </c>
      <c r="AD30">
        <v>0.29736262952313169</v>
      </c>
      <c r="AE30">
        <v>0.27470241781159566</v>
      </c>
      <c r="AF30">
        <v>0.55100537102289082</v>
      </c>
      <c r="AG30">
        <v>0.17487955209349051</v>
      </c>
      <c r="AH30">
        <v>0.0027798772731624215</v>
      </c>
      <c r="AI30">
        <v>0.031252559646765404</v>
      </c>
      <c r="AJ30">
        <v>18.860119479123071</v>
      </c>
      <c r="AK30">
        <v>0.4515194601257751</v>
      </c>
      <c r="AL30">
        <v>0.16999370718914442</v>
      </c>
      <c r="AM30">
        <v>1.3200205112259134</v>
      </c>
      <c r="AN30">
        <v>0.01684774104946922</v>
      </c>
      <c r="AO30">
        <v>0.010951031682154994</v>
      </c>
      <c r="AP30">
        <v>0.0058124706620668815</v>
      </c>
      <c r="AQ30">
        <v>0.016595024933727182</v>
      </c>
      <c r="AR30">
        <v>0.052143758548107232</v>
      </c>
      <c r="AS30">
        <v>0.01684774104946922</v>
      </c>
      <c r="AT30">
        <v>0.011035270387402339</v>
      </c>
      <c r="AU30" t="s">
        <v>111</v>
      </c>
      <c r="BJ30" t="str">
        <f t="shared" si="0"/>
        <v>2w_</v>
      </c>
      <c r="BK30" t="str">
        <f t="shared" si="1"/>
        <v>gsl</v>
      </c>
    </row>
    <row r="31" spans="1:63" ht="14.5">
      <c r="A31" t="s">
        <v>118</v>
      </c>
      <c r="B31" t="s">
        <v>62</v>
      </c>
      <c r="C31" t="s">
        <v>110</v>
      </c>
      <c r="D31" t="s">
        <v>111</v>
      </c>
      <c r="E31" t="s">
        <v>111</v>
      </c>
      <c r="F31" t="s">
        <v>111</v>
      </c>
      <c r="G31" t="s">
        <v>75</v>
      </c>
      <c r="H31" t="s">
        <v>111</v>
      </c>
      <c r="I31" t="s">
        <v>111</v>
      </c>
      <c r="J31" t="s">
        <v>111</v>
      </c>
      <c r="K31" t="s">
        <v>111</v>
      </c>
      <c r="L31">
        <v>2.9842403720924833</v>
      </c>
      <c r="M31">
        <v>5.1820281919957427</v>
      </c>
      <c r="N31">
        <v>0.12197764519815715</v>
      </c>
      <c r="O31">
        <v>0.0039592191466252665</v>
      </c>
      <c r="P31">
        <v>0.003622264325635882</v>
      </c>
      <c r="Q31">
        <v>0.015499921765511682</v>
      </c>
      <c r="R31">
        <v>0.14446937949919858</v>
      </c>
      <c r="S31">
        <v>6.4355001260762528</v>
      </c>
      <c r="T31">
        <v>0.006065186777808919</v>
      </c>
      <c r="U31">
        <v>0.014320579892048838</v>
      </c>
      <c r="V31">
        <v>0.019037947385900218</v>
      </c>
      <c r="W31">
        <v>0.041782397802683661</v>
      </c>
      <c r="X31">
        <v>0.0065706190092929958</v>
      </c>
      <c r="Y31">
        <v>0.022323256890546716</v>
      </c>
      <c r="Z31">
        <v>0.00033695482098938443</v>
      </c>
      <c r="AA31">
        <v>6.3995301989356355</v>
      </c>
      <c r="AB31">
        <v>0.0018532515154416141</v>
      </c>
      <c r="AC31">
        <v>0.018869469975405527</v>
      </c>
      <c r="AD31">
        <v>0.29736262952313169</v>
      </c>
      <c r="AE31">
        <v>0.27470241781159566</v>
      </c>
      <c r="AF31">
        <v>0.55100537102289082</v>
      </c>
      <c r="AG31">
        <v>0.17487955209349051</v>
      </c>
      <c r="AH31">
        <v>0.0027798772731624215</v>
      </c>
      <c r="AI31">
        <v>0.031252559646765404</v>
      </c>
      <c r="AJ31">
        <v>18.860119479123071</v>
      </c>
      <c r="AK31">
        <v>0.4515194601257751</v>
      </c>
      <c r="AL31">
        <v>0.16999370718914442</v>
      </c>
      <c r="AM31">
        <v>1.3200205112259134</v>
      </c>
      <c r="AN31">
        <v>0.01684774104946922</v>
      </c>
      <c r="AO31">
        <v>0.010951031682154994</v>
      </c>
      <c r="AP31">
        <v>0.0058124706620668815</v>
      </c>
      <c r="AQ31">
        <v>0.016595024933727182</v>
      </c>
      <c r="AR31">
        <v>0.052143758548107232</v>
      </c>
      <c r="AS31">
        <v>0.01684774104946922</v>
      </c>
      <c r="AT31">
        <v>0.011035270387402339</v>
      </c>
      <c r="AU31" t="s">
        <v>111</v>
      </c>
      <c r="BJ31" t="str">
        <f t="shared" si="0"/>
        <v>2w_</v>
      </c>
      <c r="BK31" t="str">
        <f t="shared" si="1"/>
        <v>gsl</v>
      </c>
    </row>
    <row r="32" spans="1:63" ht="14.5">
      <c r="A32" t="s">
        <v>118</v>
      </c>
      <c r="B32" t="s">
        <v>62</v>
      </c>
      <c r="C32" t="s">
        <v>110</v>
      </c>
      <c r="D32" t="s">
        <v>111</v>
      </c>
      <c r="E32" t="s">
        <v>111</v>
      </c>
      <c r="F32" t="s">
        <v>111</v>
      </c>
      <c r="G32" t="s">
        <v>74</v>
      </c>
      <c r="H32" t="s">
        <v>111</v>
      </c>
      <c r="I32" t="s">
        <v>111</v>
      </c>
      <c r="J32" t="s">
        <v>111</v>
      </c>
      <c r="K32" t="s">
        <v>111</v>
      </c>
      <c r="L32">
        <v>2.9842403720924833</v>
      </c>
      <c r="M32">
        <v>5.1820281919957427</v>
      </c>
      <c r="N32">
        <v>0.12197764519815715</v>
      </c>
      <c r="O32">
        <v>0.0039592191466252665</v>
      </c>
      <c r="P32">
        <v>0.003622264325635882</v>
      </c>
      <c r="Q32">
        <v>0.015499921765511682</v>
      </c>
      <c r="R32">
        <v>0.14446937949919858</v>
      </c>
      <c r="S32">
        <v>6.4355001260762528</v>
      </c>
      <c r="T32">
        <v>0.006065186777808919</v>
      </c>
      <c r="U32">
        <v>0.014320579892048838</v>
      </c>
      <c r="V32">
        <v>0.019037947385900218</v>
      </c>
      <c r="W32">
        <v>0.041782397802683661</v>
      </c>
      <c r="X32">
        <v>0.0065706190092929958</v>
      </c>
      <c r="Y32">
        <v>0.022323256890546716</v>
      </c>
      <c r="Z32">
        <v>0.00033695482098938443</v>
      </c>
      <c r="AA32">
        <v>6.3995301989356355</v>
      </c>
      <c r="AB32">
        <v>0.0018532515154416141</v>
      </c>
      <c r="AC32">
        <v>0.018869469975405527</v>
      </c>
      <c r="AD32">
        <v>0.29736262952313169</v>
      </c>
      <c r="AE32">
        <v>0.27470241781159566</v>
      </c>
      <c r="AF32">
        <v>0.55100537102289082</v>
      </c>
      <c r="AG32">
        <v>0.17487955209349051</v>
      </c>
      <c r="AH32">
        <v>0.0027798772731624215</v>
      </c>
      <c r="AI32">
        <v>0.031252559646765404</v>
      </c>
      <c r="AJ32">
        <v>18.860119479123071</v>
      </c>
      <c r="AK32">
        <v>0.4515194601257751</v>
      </c>
      <c r="AL32">
        <v>0.16999370718914442</v>
      </c>
      <c r="AM32">
        <v>1.3200205112259134</v>
      </c>
      <c r="AN32">
        <v>0.01684774104946922</v>
      </c>
      <c r="AO32">
        <v>0.010951031682154994</v>
      </c>
      <c r="AP32">
        <v>0.0058124706620668815</v>
      </c>
      <c r="AQ32">
        <v>0.016595024933727182</v>
      </c>
      <c r="AR32">
        <v>0.052143758548107232</v>
      </c>
      <c r="AS32">
        <v>0.01684774104946922</v>
      </c>
      <c r="AT32">
        <v>0.011035270387402339</v>
      </c>
      <c r="AU32" t="s">
        <v>111</v>
      </c>
      <c r="BJ32" t="str">
        <f t="shared" si="0"/>
        <v>2w_</v>
      </c>
      <c r="BK32" t="str">
        <f t="shared" si="1"/>
        <v>gsl</v>
      </c>
    </row>
    <row r="33" spans="1:63" ht="14.5">
      <c r="A33" t="s">
        <v>118</v>
      </c>
      <c r="B33" t="s">
        <v>62</v>
      </c>
      <c r="C33" t="s">
        <v>110</v>
      </c>
      <c r="D33" t="s">
        <v>111</v>
      </c>
      <c r="E33" t="s">
        <v>111</v>
      </c>
      <c r="F33" t="s">
        <v>111</v>
      </c>
      <c r="G33" t="s">
        <v>73</v>
      </c>
      <c r="H33" t="s">
        <v>111</v>
      </c>
      <c r="I33" t="s">
        <v>111</v>
      </c>
      <c r="J33" t="s">
        <v>111</v>
      </c>
      <c r="K33" t="s">
        <v>111</v>
      </c>
      <c r="L33">
        <v>2.9842403720924833</v>
      </c>
      <c r="M33">
        <v>5.1820281919957427</v>
      </c>
      <c r="N33">
        <v>0.12197764519815715</v>
      </c>
      <c r="O33">
        <v>0.0039592191466252665</v>
      </c>
      <c r="P33">
        <v>0.003622264325635882</v>
      </c>
      <c r="Q33">
        <v>0.015499921765511682</v>
      </c>
      <c r="R33">
        <v>0.14446937949919858</v>
      </c>
      <c r="S33">
        <v>6.4355001260762528</v>
      </c>
      <c r="T33">
        <v>0.006065186777808919</v>
      </c>
      <c r="U33">
        <v>0.014320579892048838</v>
      </c>
      <c r="V33">
        <v>0.019037947385900218</v>
      </c>
      <c r="W33">
        <v>0.041782397802683661</v>
      </c>
      <c r="X33">
        <v>0.0065706190092929958</v>
      </c>
      <c r="Y33">
        <v>0.022323256890546716</v>
      </c>
      <c r="Z33">
        <v>0.00033695482098938443</v>
      </c>
      <c r="AA33">
        <v>6.3995301989356355</v>
      </c>
      <c r="AB33">
        <v>0.0018532515154416141</v>
      </c>
      <c r="AC33">
        <v>0.018869469975405527</v>
      </c>
      <c r="AD33">
        <v>0.29736262952313169</v>
      </c>
      <c r="AE33">
        <v>0.27470241781159566</v>
      </c>
      <c r="AF33">
        <v>0.55100537102289082</v>
      </c>
      <c r="AG33">
        <v>0.17487955209349051</v>
      </c>
      <c r="AH33">
        <v>0.0027798772731624215</v>
      </c>
      <c r="AI33">
        <v>0.031252559646765404</v>
      </c>
      <c r="AJ33">
        <v>18.860119479123071</v>
      </c>
      <c r="AK33">
        <v>0.4515194601257751</v>
      </c>
      <c r="AL33">
        <v>0.16999370718914442</v>
      </c>
      <c r="AM33">
        <v>1.3200205112259134</v>
      </c>
      <c r="AN33">
        <v>0.01684774104946922</v>
      </c>
      <c r="AO33">
        <v>0.010951031682154994</v>
      </c>
      <c r="AP33">
        <v>0.0058124706620668815</v>
      </c>
      <c r="AQ33">
        <v>0.016595024933727182</v>
      </c>
      <c r="AR33">
        <v>0.052143758548107232</v>
      </c>
      <c r="AS33">
        <v>0.01684774104946922</v>
      </c>
      <c r="AT33">
        <v>0.011035270387402339</v>
      </c>
      <c r="AU33" t="s">
        <v>111</v>
      </c>
      <c r="BJ33" t="str">
        <f t="shared" si="0"/>
        <v>2w_</v>
      </c>
      <c r="BK33" t="str">
        <f t="shared" si="1"/>
        <v>gsl</v>
      </c>
    </row>
    <row r="34" spans="1:63" ht="14.5">
      <c r="A34" t="s">
        <v>118</v>
      </c>
      <c r="B34" t="s">
        <v>62</v>
      </c>
      <c r="C34" t="s">
        <v>110</v>
      </c>
      <c r="D34" t="s">
        <v>111</v>
      </c>
      <c r="E34" t="s">
        <v>111</v>
      </c>
      <c r="F34" t="s">
        <v>111</v>
      </c>
      <c r="G34" t="s">
        <v>72</v>
      </c>
      <c r="H34" t="s">
        <v>111</v>
      </c>
      <c r="I34" t="s">
        <v>111</v>
      </c>
      <c r="J34" t="s">
        <v>111</v>
      </c>
      <c r="K34" t="s">
        <v>111</v>
      </c>
      <c r="L34">
        <v>2.9842403720924833</v>
      </c>
      <c r="M34">
        <v>5.1820281919957427</v>
      </c>
      <c r="N34">
        <v>0.12197764519815715</v>
      </c>
      <c r="O34">
        <v>0.0039592191466252665</v>
      </c>
      <c r="P34">
        <v>0.003622264325635882</v>
      </c>
      <c r="Q34">
        <v>0.015499921765511682</v>
      </c>
      <c r="R34">
        <v>0.14446937949919858</v>
      </c>
      <c r="S34">
        <v>6.4355001260762528</v>
      </c>
      <c r="T34">
        <v>0.006065186777808919</v>
      </c>
      <c r="U34">
        <v>0.014320579892048838</v>
      </c>
      <c r="V34">
        <v>0.019037947385900218</v>
      </c>
      <c r="W34">
        <v>0.041782397802683661</v>
      </c>
      <c r="X34">
        <v>0.0065706190092929958</v>
      </c>
      <c r="Y34">
        <v>0.022323256890546716</v>
      </c>
      <c r="Z34">
        <v>0.00033695482098938443</v>
      </c>
      <c r="AA34">
        <v>6.3995301989356355</v>
      </c>
      <c r="AB34">
        <v>0.0018532515154416141</v>
      </c>
      <c r="AC34">
        <v>0.018869469975405527</v>
      </c>
      <c r="AD34">
        <v>0.29736262952313169</v>
      </c>
      <c r="AE34">
        <v>0.27470241781159566</v>
      </c>
      <c r="AF34">
        <v>0.55100537102289082</v>
      </c>
      <c r="AG34">
        <v>0.17487955209349051</v>
      </c>
      <c r="AH34">
        <v>0.0027798772731624215</v>
      </c>
      <c r="AI34">
        <v>0.031252559646765404</v>
      </c>
      <c r="AJ34">
        <v>18.860119479123071</v>
      </c>
      <c r="AK34">
        <v>0.4515194601257751</v>
      </c>
      <c r="AL34">
        <v>0.16999370718914442</v>
      </c>
      <c r="AM34">
        <v>1.3200205112259134</v>
      </c>
      <c r="AN34">
        <v>0.01684774104946922</v>
      </c>
      <c r="AO34">
        <v>0.010951031682154994</v>
      </c>
      <c r="AP34">
        <v>0.0058124706620668815</v>
      </c>
      <c r="AQ34">
        <v>0.016595024933727182</v>
      </c>
      <c r="AR34">
        <v>0.052143758548107232</v>
      </c>
      <c r="AS34">
        <v>0.01684774104946922</v>
      </c>
      <c r="AT34">
        <v>0.011035270387402339</v>
      </c>
      <c r="AU34" t="s">
        <v>111</v>
      </c>
      <c r="BJ34" t="str">
        <f t="shared" si="0"/>
        <v>2w_</v>
      </c>
      <c r="BK34" t="str">
        <f t="shared" si="1"/>
        <v>gsl</v>
      </c>
    </row>
    <row r="35" spans="1:63" ht="14.5">
      <c r="A35" t="s">
        <v>118</v>
      </c>
      <c r="B35" t="s">
        <v>62</v>
      </c>
      <c r="C35" t="s">
        <v>110</v>
      </c>
      <c r="D35" t="s">
        <v>111</v>
      </c>
      <c r="E35" t="s">
        <v>111</v>
      </c>
      <c r="F35" t="s">
        <v>111</v>
      </c>
      <c r="G35" t="s">
        <v>71</v>
      </c>
      <c r="H35" t="s">
        <v>111</v>
      </c>
      <c r="I35" t="s">
        <v>111</v>
      </c>
      <c r="J35" t="s">
        <v>111</v>
      </c>
      <c r="K35" t="s">
        <v>111</v>
      </c>
      <c r="L35">
        <v>2.9842403720924833</v>
      </c>
      <c r="M35">
        <v>5.1820281919957427</v>
      </c>
      <c r="N35">
        <v>0.12197764519815715</v>
      </c>
      <c r="O35">
        <v>0.0039592191466252665</v>
      </c>
      <c r="P35">
        <v>0.003622264325635882</v>
      </c>
      <c r="Q35">
        <v>0.015499921765511682</v>
      </c>
      <c r="R35">
        <v>0.14446937949919858</v>
      </c>
      <c r="S35">
        <v>6.4355001260762528</v>
      </c>
      <c r="T35">
        <v>0.006065186777808919</v>
      </c>
      <c r="U35">
        <v>0.014320579892048838</v>
      </c>
      <c r="V35">
        <v>0.019037947385900218</v>
      </c>
      <c r="W35">
        <v>0.041782397802683661</v>
      </c>
      <c r="X35">
        <v>0.0065706190092929958</v>
      </c>
      <c r="Y35">
        <v>0.022323256890546716</v>
      </c>
      <c r="Z35">
        <v>0.00033695482098938443</v>
      </c>
      <c r="AA35">
        <v>6.3995301989356355</v>
      </c>
      <c r="AB35">
        <v>0.0018532515154416141</v>
      </c>
      <c r="AC35">
        <v>0.018869469975405527</v>
      </c>
      <c r="AD35">
        <v>0.29736262952313169</v>
      </c>
      <c r="AE35">
        <v>0.27470241781159566</v>
      </c>
      <c r="AF35">
        <v>0.55100537102289082</v>
      </c>
      <c r="AG35">
        <v>0.17487955209349051</v>
      </c>
      <c r="AH35">
        <v>0.0027798772731624215</v>
      </c>
      <c r="AI35">
        <v>0.031252559646765404</v>
      </c>
      <c r="AJ35">
        <v>18.860119479123071</v>
      </c>
      <c r="AK35">
        <v>0.4515194601257751</v>
      </c>
      <c r="AL35">
        <v>0.16999370718914442</v>
      </c>
      <c r="AM35">
        <v>1.3200205112259134</v>
      </c>
      <c r="AN35">
        <v>0.01684774104946922</v>
      </c>
      <c r="AO35">
        <v>0.010951031682154994</v>
      </c>
      <c r="AP35">
        <v>0.0058124706620668815</v>
      </c>
      <c r="AQ35">
        <v>0.016595024933727182</v>
      </c>
      <c r="AR35">
        <v>0.052143758548107232</v>
      </c>
      <c r="AS35">
        <v>0.01684774104946922</v>
      </c>
      <c r="AT35">
        <v>0.011035270387402339</v>
      </c>
      <c r="AU35" t="s">
        <v>111</v>
      </c>
      <c r="BJ35" t="str">
        <f t="shared" si="0"/>
        <v>2w_</v>
      </c>
      <c r="BK35" t="str">
        <f t="shared" si="1"/>
        <v>gsl</v>
      </c>
    </row>
    <row r="36" spans="1:63" ht="14.5">
      <c r="A36" t="s">
        <v>118</v>
      </c>
      <c r="B36" t="s">
        <v>62</v>
      </c>
      <c r="C36" t="s">
        <v>110</v>
      </c>
      <c r="D36" t="s">
        <v>111</v>
      </c>
      <c r="E36" t="s">
        <v>111</v>
      </c>
      <c r="F36" t="s">
        <v>111</v>
      </c>
      <c r="G36" t="s">
        <v>70</v>
      </c>
      <c r="H36" t="s">
        <v>111</v>
      </c>
      <c r="I36" t="s">
        <v>111</v>
      </c>
      <c r="J36" t="s">
        <v>111</v>
      </c>
      <c r="K36" t="s">
        <v>111</v>
      </c>
      <c r="L36">
        <v>2.9842403720924833</v>
      </c>
      <c r="M36">
        <v>5.1820281919957427</v>
      </c>
      <c r="N36">
        <v>0.12197764519815715</v>
      </c>
      <c r="O36">
        <v>0.0039592191466252665</v>
      </c>
      <c r="P36">
        <v>0.003622264325635882</v>
      </c>
      <c r="Q36">
        <v>0.015499921765511682</v>
      </c>
      <c r="R36">
        <v>0.14446937949919858</v>
      </c>
      <c r="S36">
        <v>6.4355001260762528</v>
      </c>
      <c r="T36">
        <v>0.006065186777808919</v>
      </c>
      <c r="U36">
        <v>0.014320579892048838</v>
      </c>
      <c r="V36">
        <v>0.019037947385900218</v>
      </c>
      <c r="W36">
        <v>0.041782397802683661</v>
      </c>
      <c r="X36">
        <v>0.0065706190092929958</v>
      </c>
      <c r="Y36">
        <v>0.022323256890546716</v>
      </c>
      <c r="Z36">
        <v>0.00033695482098938443</v>
      </c>
      <c r="AA36">
        <v>6.3995301989356355</v>
      </c>
      <c r="AB36">
        <v>0.0018532515154416141</v>
      </c>
      <c r="AC36">
        <v>0.018869469975405527</v>
      </c>
      <c r="AD36">
        <v>0.29736262952313169</v>
      </c>
      <c r="AE36">
        <v>0.27470241781159566</v>
      </c>
      <c r="AF36">
        <v>0.55100537102289082</v>
      </c>
      <c r="AG36">
        <v>0.17487955209349051</v>
      </c>
      <c r="AH36">
        <v>0.0027798772731624215</v>
      </c>
      <c r="AI36">
        <v>0.031252559646765404</v>
      </c>
      <c r="AJ36">
        <v>18.860119479123071</v>
      </c>
      <c r="AK36">
        <v>0.4515194601257751</v>
      </c>
      <c r="AL36">
        <v>0.16999370718914442</v>
      </c>
      <c r="AM36">
        <v>1.3200205112259134</v>
      </c>
      <c r="AN36">
        <v>0.01684774104946922</v>
      </c>
      <c r="AO36">
        <v>0.010951031682154994</v>
      </c>
      <c r="AP36">
        <v>0.0058124706620668815</v>
      </c>
      <c r="AQ36">
        <v>0.016595024933727182</v>
      </c>
      <c r="AR36">
        <v>0.052143758548107232</v>
      </c>
      <c r="AS36">
        <v>0.01684774104946922</v>
      </c>
      <c r="AT36">
        <v>0.011035270387402339</v>
      </c>
      <c r="AU36" t="s">
        <v>111</v>
      </c>
      <c r="BJ36" t="str">
        <f t="shared" si="0"/>
        <v>2w_</v>
      </c>
      <c r="BK36" t="str">
        <f t="shared" si="1"/>
        <v>gsl</v>
      </c>
    </row>
    <row r="37" spans="1:63" ht="14.5">
      <c r="A37" t="s">
        <v>118</v>
      </c>
      <c r="B37" t="s">
        <v>62</v>
      </c>
      <c r="C37" t="s">
        <v>110</v>
      </c>
      <c r="D37" t="s">
        <v>111</v>
      </c>
      <c r="E37" t="s">
        <v>111</v>
      </c>
      <c r="F37" t="s">
        <v>111</v>
      </c>
      <c r="G37" t="s">
        <v>69</v>
      </c>
      <c r="H37" t="s">
        <v>111</v>
      </c>
      <c r="I37" t="s">
        <v>111</v>
      </c>
      <c r="J37" t="s">
        <v>111</v>
      </c>
      <c r="K37" t="s">
        <v>111</v>
      </c>
      <c r="L37">
        <v>2.9842403720924833</v>
      </c>
      <c r="M37">
        <v>5.1820281919957427</v>
      </c>
      <c r="N37">
        <v>0.12197764519815715</v>
      </c>
      <c r="O37">
        <v>0.0039592191466252665</v>
      </c>
      <c r="P37">
        <v>0.003622264325635882</v>
      </c>
      <c r="Q37">
        <v>0.015499921765511682</v>
      </c>
      <c r="R37">
        <v>0.14446937949919858</v>
      </c>
      <c r="S37">
        <v>6.4355001260762528</v>
      </c>
      <c r="T37">
        <v>0.006065186777808919</v>
      </c>
      <c r="U37">
        <v>0.014320579892048838</v>
      </c>
      <c r="V37">
        <v>0.019037947385900218</v>
      </c>
      <c r="W37">
        <v>0.041782397802683661</v>
      </c>
      <c r="X37">
        <v>0.0065706190092929958</v>
      </c>
      <c r="Y37">
        <v>0.022323256890546716</v>
      </c>
      <c r="Z37">
        <v>0.00033695482098938443</v>
      </c>
      <c r="AA37">
        <v>6.3995301989356355</v>
      </c>
      <c r="AB37">
        <v>0.0018532515154416141</v>
      </c>
      <c r="AC37">
        <v>0.018869469975405527</v>
      </c>
      <c r="AD37">
        <v>0.29736262952313169</v>
      </c>
      <c r="AE37">
        <v>0.27470241781159566</v>
      </c>
      <c r="AF37">
        <v>0.55100537102289082</v>
      </c>
      <c r="AG37">
        <v>0.17487955209349051</v>
      </c>
      <c r="AH37">
        <v>0.0027798772731624215</v>
      </c>
      <c r="AI37">
        <v>0.031252559646765404</v>
      </c>
      <c r="AJ37">
        <v>18.860119479123071</v>
      </c>
      <c r="AK37">
        <v>0.4515194601257751</v>
      </c>
      <c r="AL37">
        <v>0.16999370718914442</v>
      </c>
      <c r="AM37">
        <v>1.3200205112259134</v>
      </c>
      <c r="AN37">
        <v>0.01684774104946922</v>
      </c>
      <c r="AO37">
        <v>0.010951031682154994</v>
      </c>
      <c r="AP37">
        <v>0.0058124706620668815</v>
      </c>
      <c r="AQ37">
        <v>0.016595024933727182</v>
      </c>
      <c r="AR37">
        <v>0.052143758548107232</v>
      </c>
      <c r="AS37">
        <v>0.01684774104946922</v>
      </c>
      <c r="AT37">
        <v>0.011035270387402339</v>
      </c>
      <c r="AU37" t="s">
        <v>111</v>
      </c>
      <c r="BJ37" t="str">
        <f t="shared" si="0"/>
        <v>2w_</v>
      </c>
      <c r="BK37" t="str">
        <f t="shared" si="1"/>
        <v>gsl</v>
      </c>
    </row>
    <row r="38" spans="1:63" ht="14.5">
      <c r="A38" t="s">
        <v>118</v>
      </c>
      <c r="B38" t="s">
        <v>62</v>
      </c>
      <c r="C38" t="s">
        <v>110</v>
      </c>
      <c r="D38" t="s">
        <v>111</v>
      </c>
      <c r="E38" t="s">
        <v>111</v>
      </c>
      <c r="F38" t="s">
        <v>111</v>
      </c>
      <c r="G38" t="s">
        <v>68</v>
      </c>
      <c r="H38" t="s">
        <v>111</v>
      </c>
      <c r="I38" t="s">
        <v>111</v>
      </c>
      <c r="J38" t="s">
        <v>111</v>
      </c>
      <c r="K38" t="s">
        <v>111</v>
      </c>
      <c r="L38">
        <v>2.9842403720924833</v>
      </c>
      <c r="M38">
        <v>5.1820281919957427</v>
      </c>
      <c r="N38">
        <v>0.12197764519815715</v>
      </c>
      <c r="O38">
        <v>0.0039592191466252665</v>
      </c>
      <c r="P38">
        <v>0.003622264325635882</v>
      </c>
      <c r="Q38">
        <v>0.015499921765511682</v>
      </c>
      <c r="R38">
        <v>0.14446937949919858</v>
      </c>
      <c r="S38">
        <v>6.4355001260762528</v>
      </c>
      <c r="T38">
        <v>0.006065186777808919</v>
      </c>
      <c r="U38">
        <v>0.014320579892048838</v>
      </c>
      <c r="V38">
        <v>0.019037947385900218</v>
      </c>
      <c r="W38">
        <v>0.041782397802683661</v>
      </c>
      <c r="X38">
        <v>0.0065706190092929958</v>
      </c>
      <c r="Y38">
        <v>0.022323256890546716</v>
      </c>
      <c r="Z38">
        <v>0.00033695482098938443</v>
      </c>
      <c r="AA38">
        <v>6.3995301989356355</v>
      </c>
      <c r="AB38">
        <v>0.0018532515154416141</v>
      </c>
      <c r="AC38">
        <v>0.018869469975405527</v>
      </c>
      <c r="AD38">
        <v>0.29736262952313169</v>
      </c>
      <c r="AE38">
        <v>0.27470241781159566</v>
      </c>
      <c r="AF38">
        <v>0.55100537102289082</v>
      </c>
      <c r="AG38">
        <v>0.17487955209349051</v>
      </c>
      <c r="AH38">
        <v>0.0027798772731624215</v>
      </c>
      <c r="AI38">
        <v>0.031252559646765404</v>
      </c>
      <c r="AJ38">
        <v>18.860119479123071</v>
      </c>
      <c r="AK38">
        <v>0.4515194601257751</v>
      </c>
      <c r="AL38">
        <v>0.16999370718914442</v>
      </c>
      <c r="AM38">
        <v>1.3200205112259134</v>
      </c>
      <c r="AN38">
        <v>0.01684774104946922</v>
      </c>
      <c r="AO38">
        <v>0.010951031682154994</v>
      </c>
      <c r="AP38">
        <v>0.0058124706620668815</v>
      </c>
      <c r="AQ38">
        <v>0.016595024933727182</v>
      </c>
      <c r="AR38">
        <v>0.052143758548107232</v>
      </c>
      <c r="AS38">
        <v>0.01684774104946922</v>
      </c>
      <c r="AT38">
        <v>0.011035270387402339</v>
      </c>
      <c r="AU38" t="s">
        <v>111</v>
      </c>
      <c r="BJ38" t="str">
        <f t="shared" si="0"/>
        <v>2w_</v>
      </c>
      <c r="BK38" t="str">
        <f t="shared" si="1"/>
        <v>gsl</v>
      </c>
    </row>
    <row r="39" spans="1:63" ht="14.5">
      <c r="A39" t="s">
        <v>118</v>
      </c>
      <c r="B39" t="s">
        <v>62</v>
      </c>
      <c r="C39" t="s">
        <v>110</v>
      </c>
      <c r="D39" t="s">
        <v>111</v>
      </c>
      <c r="E39" t="s">
        <v>111</v>
      </c>
      <c r="F39" t="s">
        <v>111</v>
      </c>
      <c r="G39" t="s">
        <v>67</v>
      </c>
      <c r="H39" t="s">
        <v>111</v>
      </c>
      <c r="I39" t="s">
        <v>111</v>
      </c>
      <c r="J39" t="s">
        <v>111</v>
      </c>
      <c r="K39" t="s">
        <v>111</v>
      </c>
      <c r="L39">
        <v>2.9842403720924833</v>
      </c>
      <c r="M39">
        <v>5.1820281919957427</v>
      </c>
      <c r="N39">
        <v>0.12197764519815715</v>
      </c>
      <c r="O39">
        <v>0.0039592191466252665</v>
      </c>
      <c r="P39">
        <v>0.003622264325635882</v>
      </c>
      <c r="Q39">
        <v>0.015499921765511682</v>
      </c>
      <c r="R39">
        <v>0.14446937949919858</v>
      </c>
      <c r="S39">
        <v>6.4355001260762528</v>
      </c>
      <c r="T39">
        <v>0.006065186777808919</v>
      </c>
      <c r="U39">
        <v>0.014320579892048838</v>
      </c>
      <c r="V39">
        <v>0.019037947385900218</v>
      </c>
      <c r="W39">
        <v>0.041782397802683661</v>
      </c>
      <c r="X39">
        <v>0.0065706190092929958</v>
      </c>
      <c r="Y39">
        <v>0.022323256890546716</v>
      </c>
      <c r="Z39">
        <v>0.00033695482098938443</v>
      </c>
      <c r="AA39">
        <v>6.3995301989356355</v>
      </c>
      <c r="AB39">
        <v>0.0018532515154416141</v>
      </c>
      <c r="AC39">
        <v>0.018869469975405527</v>
      </c>
      <c r="AD39">
        <v>0.29736262952313169</v>
      </c>
      <c r="AE39">
        <v>0.27470241781159566</v>
      </c>
      <c r="AF39">
        <v>0.55100537102289082</v>
      </c>
      <c r="AG39">
        <v>0.17487955209349051</v>
      </c>
      <c r="AH39">
        <v>0.0027798772731624215</v>
      </c>
      <c r="AI39">
        <v>0.031252559646765404</v>
      </c>
      <c r="AJ39">
        <v>18.860119479123071</v>
      </c>
      <c r="AK39">
        <v>0.4515194601257751</v>
      </c>
      <c r="AL39">
        <v>0.16999370718914442</v>
      </c>
      <c r="AM39">
        <v>1.3200205112259134</v>
      </c>
      <c r="AN39">
        <v>0.01684774104946922</v>
      </c>
      <c r="AO39">
        <v>0.010951031682154994</v>
      </c>
      <c r="AP39">
        <v>0.0058124706620668815</v>
      </c>
      <c r="AQ39">
        <v>0.016595024933727182</v>
      </c>
      <c r="AR39">
        <v>0.052143758548107232</v>
      </c>
      <c r="AS39">
        <v>0.01684774104946922</v>
      </c>
      <c r="AT39">
        <v>0.011035270387402339</v>
      </c>
      <c r="AU39" t="s">
        <v>111</v>
      </c>
      <c r="BJ39" t="str">
        <f t="shared" si="0"/>
        <v>2w_</v>
      </c>
      <c r="BK39" t="str">
        <f t="shared" si="1"/>
        <v>gsl</v>
      </c>
    </row>
    <row r="40" spans="1:63" ht="14.5">
      <c r="A40" t="s">
        <v>118</v>
      </c>
      <c r="B40" t="s">
        <v>62</v>
      </c>
      <c r="C40" t="s">
        <v>110</v>
      </c>
      <c r="D40" t="s">
        <v>111</v>
      </c>
      <c r="E40" t="s">
        <v>111</v>
      </c>
      <c r="F40" t="s">
        <v>111</v>
      </c>
      <c r="G40" t="s">
        <v>66</v>
      </c>
      <c r="H40" t="s">
        <v>111</v>
      </c>
      <c r="I40" t="s">
        <v>111</v>
      </c>
      <c r="J40" t="s">
        <v>111</v>
      </c>
      <c r="K40" t="s">
        <v>111</v>
      </c>
      <c r="L40">
        <v>2.9842403720924833</v>
      </c>
      <c r="M40">
        <v>5.1820281919957427</v>
      </c>
      <c r="N40">
        <v>0.12197764519815715</v>
      </c>
      <c r="O40">
        <v>0.0039592191466252665</v>
      </c>
      <c r="P40">
        <v>0.003622264325635882</v>
      </c>
      <c r="Q40">
        <v>0.015499921765511682</v>
      </c>
      <c r="R40">
        <v>0.14446937949919858</v>
      </c>
      <c r="S40">
        <v>6.4355001260762528</v>
      </c>
      <c r="T40">
        <v>0.006065186777808919</v>
      </c>
      <c r="U40">
        <v>0.014320579892048838</v>
      </c>
      <c r="V40">
        <v>0.019037947385900218</v>
      </c>
      <c r="W40">
        <v>0.041782397802683661</v>
      </c>
      <c r="X40">
        <v>0.0065706190092929958</v>
      </c>
      <c r="Y40">
        <v>0.022323256890546716</v>
      </c>
      <c r="Z40">
        <v>0.00033695482098938443</v>
      </c>
      <c r="AA40">
        <v>6.3995301989356355</v>
      </c>
      <c r="AB40">
        <v>0.0018532515154416141</v>
      </c>
      <c r="AC40">
        <v>0.018869469975405527</v>
      </c>
      <c r="AD40">
        <v>0.29736262952313169</v>
      </c>
      <c r="AE40">
        <v>0.27470241781159566</v>
      </c>
      <c r="AF40">
        <v>0.55100537102289082</v>
      </c>
      <c r="AG40">
        <v>0.17487955209349051</v>
      </c>
      <c r="AH40">
        <v>0.0027798772731624215</v>
      </c>
      <c r="AI40">
        <v>0.031252559646765404</v>
      </c>
      <c r="AJ40">
        <v>18.860119479123071</v>
      </c>
      <c r="AK40">
        <v>0.4515194601257751</v>
      </c>
      <c r="AL40">
        <v>0.16999370718914442</v>
      </c>
      <c r="AM40">
        <v>1.3200205112259134</v>
      </c>
      <c r="AN40">
        <v>0.01684774104946922</v>
      </c>
      <c r="AO40">
        <v>0.010951031682154994</v>
      </c>
      <c r="AP40">
        <v>0.0058124706620668815</v>
      </c>
      <c r="AQ40">
        <v>0.016595024933727182</v>
      </c>
      <c r="AR40">
        <v>0.052143758548107232</v>
      </c>
      <c r="AS40">
        <v>0.01684774104946922</v>
      </c>
      <c r="AT40">
        <v>0.011035270387402339</v>
      </c>
      <c r="AU40" t="s">
        <v>111</v>
      </c>
      <c r="BJ40" t="str">
        <f t="shared" si="0"/>
        <v>2w_</v>
      </c>
      <c r="BK40" t="str">
        <f t="shared" si="1"/>
        <v>gsl</v>
      </c>
    </row>
    <row r="41" spans="1:63" ht="14.5">
      <c r="A41" t="s">
        <v>118</v>
      </c>
      <c r="B41" t="s">
        <v>62</v>
      </c>
      <c r="C41" t="s">
        <v>110</v>
      </c>
      <c r="D41" t="s">
        <v>111</v>
      </c>
      <c r="E41" t="s">
        <v>111</v>
      </c>
      <c r="F41" t="s">
        <v>111</v>
      </c>
      <c r="G41" t="s">
        <v>65</v>
      </c>
      <c r="H41" t="s">
        <v>111</v>
      </c>
      <c r="I41" t="s">
        <v>111</v>
      </c>
      <c r="J41" t="s">
        <v>111</v>
      </c>
      <c r="K41" t="s">
        <v>111</v>
      </c>
      <c r="L41">
        <v>2.9842403720924833</v>
      </c>
      <c r="M41">
        <v>5.1820281919957427</v>
      </c>
      <c r="N41">
        <v>0.12197764519815715</v>
      </c>
      <c r="O41">
        <v>0.0039592191466252665</v>
      </c>
      <c r="P41">
        <v>0.003622264325635882</v>
      </c>
      <c r="Q41">
        <v>0.015499921765511682</v>
      </c>
      <c r="R41">
        <v>0.14446937949919858</v>
      </c>
      <c r="S41">
        <v>6.4355001260762528</v>
      </c>
      <c r="T41">
        <v>0.006065186777808919</v>
      </c>
      <c r="U41">
        <v>0.014320579892048838</v>
      </c>
      <c r="V41">
        <v>0.019037947385900218</v>
      </c>
      <c r="W41">
        <v>0.041782397802683661</v>
      </c>
      <c r="X41">
        <v>0.0065706190092929958</v>
      </c>
      <c r="Y41">
        <v>0.022323256890546716</v>
      </c>
      <c r="Z41">
        <v>0.00033695482098938443</v>
      </c>
      <c r="AA41">
        <v>6.3995301989356355</v>
      </c>
      <c r="AB41">
        <v>0.0018532515154416141</v>
      </c>
      <c r="AC41">
        <v>0.018869469975405527</v>
      </c>
      <c r="AD41">
        <v>0.29736262952313169</v>
      </c>
      <c r="AE41">
        <v>0.27470241781159566</v>
      </c>
      <c r="AF41">
        <v>0.55100537102289082</v>
      </c>
      <c r="AG41">
        <v>0.17487955209349051</v>
      </c>
      <c r="AH41">
        <v>0.0027798772731624215</v>
      </c>
      <c r="AI41">
        <v>0.031252559646765404</v>
      </c>
      <c r="AJ41">
        <v>18.860119479123071</v>
      </c>
      <c r="AK41">
        <v>0.4515194601257751</v>
      </c>
      <c r="AL41">
        <v>0.16999370718914442</v>
      </c>
      <c r="AM41">
        <v>1.3200205112259134</v>
      </c>
      <c r="AN41">
        <v>0.01684774104946922</v>
      </c>
      <c r="AO41">
        <v>0.010951031682154994</v>
      </c>
      <c r="AP41">
        <v>0.0058124706620668815</v>
      </c>
      <c r="AQ41">
        <v>0.016595024933727182</v>
      </c>
      <c r="AR41">
        <v>0.052143758548107232</v>
      </c>
      <c r="AS41">
        <v>0.01684774104946922</v>
      </c>
      <c r="AT41">
        <v>0.011035270387402339</v>
      </c>
      <c r="AU41" t="s">
        <v>111</v>
      </c>
      <c r="BJ41" t="str">
        <f t="shared" si="0"/>
        <v>2w_</v>
      </c>
      <c r="BK41" t="str">
        <f t="shared" si="1"/>
        <v>gsl</v>
      </c>
    </row>
    <row r="42" spans="1:63" ht="14.5">
      <c r="A42" t="s">
        <v>118</v>
      </c>
      <c r="B42" t="s">
        <v>62</v>
      </c>
      <c r="C42" t="s">
        <v>109</v>
      </c>
      <c r="D42" t="s">
        <v>111</v>
      </c>
      <c r="E42" t="s">
        <v>111</v>
      </c>
      <c r="F42" t="s">
        <v>111</v>
      </c>
      <c r="G42" t="s">
        <v>61</v>
      </c>
      <c r="H42" t="s">
        <v>111</v>
      </c>
      <c r="I42" t="s">
        <v>111</v>
      </c>
      <c r="J42" t="s">
        <v>111</v>
      </c>
      <c r="K42" t="s">
        <v>111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0.0015162966944522298</v>
      </c>
      <c r="S42">
        <v>0.0074972447670138024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0.00033695482098938443</v>
      </c>
      <c r="AB42">
        <v>0</v>
      </c>
      <c r="AC42">
        <v>0</v>
      </c>
      <c r="AD42">
        <v>0</v>
      </c>
      <c r="AE42">
        <v>0.00016847741049469221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111</v>
      </c>
      <c r="BJ42" t="str">
        <f t="shared" si="0"/>
        <v>3w_</v>
      </c>
      <c r="BK42" t="str">
        <f t="shared" si="1"/>
        <v>bdl</v>
      </c>
    </row>
    <row r="43" spans="1:63" ht="14.5">
      <c r="A43" t="s">
        <v>118</v>
      </c>
      <c r="B43" t="s">
        <v>62</v>
      </c>
      <c r="C43" t="s">
        <v>109</v>
      </c>
      <c r="D43" t="s">
        <v>111</v>
      </c>
      <c r="E43" t="s">
        <v>111</v>
      </c>
      <c r="F43" t="s">
        <v>111</v>
      </c>
      <c r="G43" t="s">
        <v>83</v>
      </c>
      <c r="H43" t="s">
        <v>111</v>
      </c>
      <c r="I43" t="s">
        <v>111</v>
      </c>
      <c r="J43" t="s">
        <v>111</v>
      </c>
      <c r="K43" t="s">
        <v>111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0.0015162966944522298</v>
      </c>
      <c r="S43">
        <v>0.0074972447670138024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0.00033695482098938443</v>
      </c>
      <c r="AB43">
        <v>0</v>
      </c>
      <c r="AC43">
        <v>0</v>
      </c>
      <c r="AD43">
        <v>0</v>
      </c>
      <c r="AE43">
        <v>0.00016847741049469221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111</v>
      </c>
      <c r="BJ43" t="str">
        <f t="shared" si="0"/>
        <v>3w_</v>
      </c>
      <c r="BK43" t="str">
        <f t="shared" si="1"/>
        <v>bdl</v>
      </c>
    </row>
    <row r="44" spans="1:63" ht="14.5">
      <c r="A44" t="s">
        <v>118</v>
      </c>
      <c r="B44" t="s">
        <v>62</v>
      </c>
      <c r="C44" t="s">
        <v>109</v>
      </c>
      <c r="D44" t="s">
        <v>111</v>
      </c>
      <c r="E44" t="s">
        <v>111</v>
      </c>
      <c r="F44" t="s">
        <v>111</v>
      </c>
      <c r="G44" t="s">
        <v>82</v>
      </c>
      <c r="H44" t="s">
        <v>111</v>
      </c>
      <c r="I44" t="s">
        <v>111</v>
      </c>
      <c r="J44" t="s">
        <v>111</v>
      </c>
      <c r="K44" t="s">
        <v>111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0.0015162966944522298</v>
      </c>
      <c r="S44">
        <v>0.0074972447670138024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0.00033695482098938443</v>
      </c>
      <c r="AB44">
        <v>0</v>
      </c>
      <c r="AC44">
        <v>0</v>
      </c>
      <c r="AD44">
        <v>0</v>
      </c>
      <c r="AE44">
        <v>0.00016847741049469221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t="s">
        <v>111</v>
      </c>
      <c r="BJ44" t="str">
        <f t="shared" si="0"/>
        <v>3w_</v>
      </c>
      <c r="BK44" t="str">
        <f t="shared" si="1"/>
        <v>bdl</v>
      </c>
    </row>
    <row r="45" spans="1:63" ht="14.5">
      <c r="A45" t="s">
        <v>118</v>
      </c>
      <c r="B45" t="s">
        <v>62</v>
      </c>
      <c r="C45" t="s">
        <v>109</v>
      </c>
      <c r="D45" t="s">
        <v>111</v>
      </c>
      <c r="E45" t="s">
        <v>111</v>
      </c>
      <c r="F45" t="s">
        <v>111</v>
      </c>
      <c r="G45" t="s">
        <v>81</v>
      </c>
      <c r="H45" t="s">
        <v>111</v>
      </c>
      <c r="I45" t="s">
        <v>111</v>
      </c>
      <c r="J45" t="s">
        <v>111</v>
      </c>
      <c r="K45" t="s">
        <v>111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0.0015162966944522298</v>
      </c>
      <c r="S45">
        <v>0.0074972447670138024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0.00033695482098938443</v>
      </c>
      <c r="AB45">
        <v>0</v>
      </c>
      <c r="AC45">
        <v>0</v>
      </c>
      <c r="AD45">
        <v>0</v>
      </c>
      <c r="AE45">
        <v>0.00016847741049469221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 t="s">
        <v>111</v>
      </c>
      <c r="BJ45" t="str">
        <f t="shared" si="0"/>
        <v>3w_</v>
      </c>
      <c r="BK45" t="str">
        <f t="shared" si="1"/>
        <v>bdl</v>
      </c>
    </row>
    <row r="46" spans="1:63" ht="14.5">
      <c r="A46" t="s">
        <v>118</v>
      </c>
      <c r="B46" t="s">
        <v>62</v>
      </c>
      <c r="C46" t="s">
        <v>109</v>
      </c>
      <c r="D46" t="s">
        <v>111</v>
      </c>
      <c r="E46" t="s">
        <v>111</v>
      </c>
      <c r="F46" t="s">
        <v>111</v>
      </c>
      <c r="G46" t="s">
        <v>80</v>
      </c>
      <c r="H46" t="s">
        <v>111</v>
      </c>
      <c r="I46" t="s">
        <v>111</v>
      </c>
      <c r="J46" t="s">
        <v>111</v>
      </c>
      <c r="K46" t="s">
        <v>111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0.0015162966944522298</v>
      </c>
      <c r="S46">
        <v>0.0074972447670138024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0.00033695482098938443</v>
      </c>
      <c r="AB46">
        <v>0</v>
      </c>
      <c r="AC46">
        <v>0</v>
      </c>
      <c r="AD46">
        <v>0</v>
      </c>
      <c r="AE46">
        <v>0.00016847741049469221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 t="s">
        <v>111</v>
      </c>
      <c r="BJ46" t="str">
        <f t="shared" si="0"/>
        <v>3w_</v>
      </c>
      <c r="BK46" t="str">
        <f t="shared" si="1"/>
        <v>bdl</v>
      </c>
    </row>
    <row r="47" spans="1:63" ht="14.5">
      <c r="A47" t="s">
        <v>118</v>
      </c>
      <c r="B47" t="s">
        <v>62</v>
      </c>
      <c r="C47" t="s">
        <v>109</v>
      </c>
      <c r="D47" t="s">
        <v>111</v>
      </c>
      <c r="E47" t="s">
        <v>111</v>
      </c>
      <c r="F47" t="s">
        <v>111</v>
      </c>
      <c r="G47" t="s">
        <v>79</v>
      </c>
      <c r="H47" t="s">
        <v>111</v>
      </c>
      <c r="I47" t="s">
        <v>111</v>
      </c>
      <c r="J47" t="s">
        <v>111</v>
      </c>
      <c r="K47" t="s">
        <v>111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0.0015162966944522298</v>
      </c>
      <c r="S47">
        <v>0.0074972447670138024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0.00033695482098938443</v>
      </c>
      <c r="AB47">
        <v>0</v>
      </c>
      <c r="AC47">
        <v>0</v>
      </c>
      <c r="AD47">
        <v>0</v>
      </c>
      <c r="AE47">
        <v>0.00016847741049469221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t="s">
        <v>111</v>
      </c>
      <c r="BJ47" t="str">
        <f t="shared" si="0"/>
        <v>3w_</v>
      </c>
      <c r="BK47" t="str">
        <f t="shared" si="1"/>
        <v>bdl</v>
      </c>
    </row>
    <row r="48" spans="1:63" ht="14.5">
      <c r="A48" t="s">
        <v>118</v>
      </c>
      <c r="B48" t="s">
        <v>62</v>
      </c>
      <c r="C48" t="s">
        <v>109</v>
      </c>
      <c r="D48" t="s">
        <v>111</v>
      </c>
      <c r="E48" t="s">
        <v>111</v>
      </c>
      <c r="F48" t="s">
        <v>111</v>
      </c>
      <c r="G48" t="s">
        <v>78</v>
      </c>
      <c r="H48" t="s">
        <v>111</v>
      </c>
      <c r="I48" t="s">
        <v>111</v>
      </c>
      <c r="J48" t="s">
        <v>111</v>
      </c>
      <c r="K48" t="s">
        <v>111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0.0015162966944522298</v>
      </c>
      <c r="S48">
        <v>0.0074972447670138024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0.00033695482098938443</v>
      </c>
      <c r="AB48">
        <v>0</v>
      </c>
      <c r="AC48">
        <v>0</v>
      </c>
      <c r="AD48">
        <v>0</v>
      </c>
      <c r="AE48">
        <v>0.00016847741049469221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t="s">
        <v>111</v>
      </c>
      <c r="BJ48" t="str">
        <f t="shared" si="0"/>
        <v>3w_</v>
      </c>
      <c r="BK48" t="str">
        <f t="shared" si="1"/>
        <v>bdl</v>
      </c>
    </row>
    <row r="49" spans="1:63" ht="14.5">
      <c r="A49" t="s">
        <v>118</v>
      </c>
      <c r="B49" t="s">
        <v>62</v>
      </c>
      <c r="C49" t="s">
        <v>109</v>
      </c>
      <c r="D49" t="s">
        <v>111</v>
      </c>
      <c r="E49" t="s">
        <v>111</v>
      </c>
      <c r="F49" t="s">
        <v>111</v>
      </c>
      <c r="G49" t="s">
        <v>77</v>
      </c>
      <c r="H49" t="s">
        <v>111</v>
      </c>
      <c r="I49" t="s">
        <v>111</v>
      </c>
      <c r="J49" t="s">
        <v>111</v>
      </c>
      <c r="K49" t="s">
        <v>111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0.0015162966944522298</v>
      </c>
      <c r="S49">
        <v>0.0074972447670138024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0.00033695482098938443</v>
      </c>
      <c r="AB49">
        <v>0</v>
      </c>
      <c r="AC49">
        <v>0</v>
      </c>
      <c r="AD49">
        <v>0</v>
      </c>
      <c r="AE49">
        <v>0.00016847741049469221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t="s">
        <v>111</v>
      </c>
      <c r="BJ49" t="str">
        <f t="shared" si="0"/>
        <v>3w_</v>
      </c>
      <c r="BK49" t="str">
        <f t="shared" si="1"/>
        <v>bdl</v>
      </c>
    </row>
    <row r="50" spans="1:63" ht="14.5">
      <c r="A50" t="s">
        <v>118</v>
      </c>
      <c r="B50" t="s">
        <v>62</v>
      </c>
      <c r="C50" t="s">
        <v>109</v>
      </c>
      <c r="D50" t="s">
        <v>111</v>
      </c>
      <c r="E50" t="s">
        <v>111</v>
      </c>
      <c r="F50" t="s">
        <v>111</v>
      </c>
      <c r="G50" t="s">
        <v>76</v>
      </c>
      <c r="H50" t="s">
        <v>111</v>
      </c>
      <c r="I50" t="s">
        <v>111</v>
      </c>
      <c r="J50" t="s">
        <v>111</v>
      </c>
      <c r="K50" t="s">
        <v>111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0.0015162966944522298</v>
      </c>
      <c r="S50">
        <v>0.0074972447670138024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0.00033695482098938443</v>
      </c>
      <c r="AB50">
        <v>0</v>
      </c>
      <c r="AC50">
        <v>0</v>
      </c>
      <c r="AD50">
        <v>0</v>
      </c>
      <c r="AE50">
        <v>0.00016847741049469221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s">
        <v>111</v>
      </c>
      <c r="BJ50" t="str">
        <f t="shared" si="0"/>
        <v>3w_</v>
      </c>
      <c r="BK50" t="str">
        <f t="shared" si="1"/>
        <v>bdl</v>
      </c>
    </row>
    <row r="51" spans="1:63" ht="14.5">
      <c r="A51" t="s">
        <v>118</v>
      </c>
      <c r="B51" t="s">
        <v>62</v>
      </c>
      <c r="C51" t="s">
        <v>109</v>
      </c>
      <c r="D51" t="s">
        <v>111</v>
      </c>
      <c r="E51" t="s">
        <v>111</v>
      </c>
      <c r="F51" t="s">
        <v>111</v>
      </c>
      <c r="G51" t="s">
        <v>75</v>
      </c>
      <c r="H51" t="s">
        <v>111</v>
      </c>
      <c r="I51" t="s">
        <v>111</v>
      </c>
      <c r="J51" t="s">
        <v>111</v>
      </c>
      <c r="K51" t="s">
        <v>111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0.0015162966944522298</v>
      </c>
      <c r="S51">
        <v>0.0074972447670138024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0.00033695482098938443</v>
      </c>
      <c r="AB51">
        <v>0</v>
      </c>
      <c r="AC51">
        <v>0</v>
      </c>
      <c r="AD51">
        <v>0</v>
      </c>
      <c r="AE51">
        <v>0.00016847741049469221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111</v>
      </c>
      <c r="BJ51" t="str">
        <f t="shared" si="0"/>
        <v>3w_</v>
      </c>
      <c r="BK51" t="str">
        <f t="shared" si="1"/>
        <v>bdl</v>
      </c>
    </row>
    <row r="52" spans="1:63" ht="14.5">
      <c r="A52" t="s">
        <v>118</v>
      </c>
      <c r="B52" t="s">
        <v>62</v>
      </c>
      <c r="C52" t="s">
        <v>109</v>
      </c>
      <c r="D52" t="s">
        <v>111</v>
      </c>
      <c r="E52" t="s">
        <v>111</v>
      </c>
      <c r="F52" t="s">
        <v>111</v>
      </c>
      <c r="G52" t="s">
        <v>74</v>
      </c>
      <c r="H52" t="s">
        <v>111</v>
      </c>
      <c r="I52" t="s">
        <v>111</v>
      </c>
      <c r="J52" t="s">
        <v>111</v>
      </c>
      <c r="K52" t="s">
        <v>111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0.0015162966944522298</v>
      </c>
      <c r="S52">
        <v>0.0074972447670138024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0.00033695482098938443</v>
      </c>
      <c r="AB52">
        <v>0</v>
      </c>
      <c r="AC52">
        <v>0</v>
      </c>
      <c r="AD52">
        <v>0</v>
      </c>
      <c r="AE52">
        <v>0.00016847741049469221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 t="s">
        <v>111</v>
      </c>
      <c r="BJ52" t="str">
        <f t="shared" si="0"/>
        <v>3w_</v>
      </c>
      <c r="BK52" t="str">
        <f t="shared" si="1"/>
        <v>bdl</v>
      </c>
    </row>
    <row r="53" spans="1:63" ht="14.5">
      <c r="A53" t="s">
        <v>118</v>
      </c>
      <c r="B53" t="s">
        <v>62</v>
      </c>
      <c r="C53" t="s">
        <v>109</v>
      </c>
      <c r="D53" t="s">
        <v>111</v>
      </c>
      <c r="E53" t="s">
        <v>111</v>
      </c>
      <c r="F53" t="s">
        <v>111</v>
      </c>
      <c r="G53" t="s">
        <v>73</v>
      </c>
      <c r="H53" t="s">
        <v>111</v>
      </c>
      <c r="I53" t="s">
        <v>111</v>
      </c>
      <c r="J53" t="s">
        <v>111</v>
      </c>
      <c r="K53" t="s">
        <v>111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0.0015162966944522298</v>
      </c>
      <c r="S53">
        <v>0.0074972447670138024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0.00033695482098938443</v>
      </c>
      <c r="AB53">
        <v>0</v>
      </c>
      <c r="AC53">
        <v>0</v>
      </c>
      <c r="AD53">
        <v>0</v>
      </c>
      <c r="AE53">
        <v>0.00016847741049469221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 t="s">
        <v>111</v>
      </c>
      <c r="BJ53" t="str">
        <f t="shared" si="0"/>
        <v>3w_</v>
      </c>
      <c r="BK53" t="str">
        <f t="shared" si="1"/>
        <v>bdl</v>
      </c>
    </row>
    <row r="54" spans="1:63" ht="14.5">
      <c r="A54" t="s">
        <v>118</v>
      </c>
      <c r="B54" t="s">
        <v>62</v>
      </c>
      <c r="C54" t="s">
        <v>109</v>
      </c>
      <c r="D54" t="s">
        <v>111</v>
      </c>
      <c r="E54" t="s">
        <v>111</v>
      </c>
      <c r="F54" t="s">
        <v>111</v>
      </c>
      <c r="G54" t="s">
        <v>72</v>
      </c>
      <c r="H54" t="s">
        <v>111</v>
      </c>
      <c r="I54" t="s">
        <v>111</v>
      </c>
      <c r="J54" t="s">
        <v>111</v>
      </c>
      <c r="K54" t="s">
        <v>111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0.0015162966944522298</v>
      </c>
      <c r="S54">
        <v>0.0074972447670138024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0.00033695482098938443</v>
      </c>
      <c r="AB54">
        <v>0</v>
      </c>
      <c r="AC54">
        <v>0</v>
      </c>
      <c r="AD54">
        <v>0</v>
      </c>
      <c r="AE54">
        <v>0.00016847741049469221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 t="s">
        <v>111</v>
      </c>
      <c r="BJ54" t="str">
        <f t="shared" si="0"/>
        <v>3w_</v>
      </c>
      <c r="BK54" t="str">
        <f t="shared" si="1"/>
        <v>bdl</v>
      </c>
    </row>
    <row r="55" spans="1:63" ht="14.5">
      <c r="A55" t="s">
        <v>118</v>
      </c>
      <c r="B55" t="s">
        <v>62</v>
      </c>
      <c r="C55" t="s">
        <v>109</v>
      </c>
      <c r="D55" t="s">
        <v>111</v>
      </c>
      <c r="E55" t="s">
        <v>111</v>
      </c>
      <c r="F55" t="s">
        <v>111</v>
      </c>
      <c r="G55" t="s">
        <v>71</v>
      </c>
      <c r="H55" t="s">
        <v>111</v>
      </c>
      <c r="I55" t="s">
        <v>111</v>
      </c>
      <c r="J55" t="s">
        <v>111</v>
      </c>
      <c r="K55" t="s">
        <v>111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0.0015162966944522298</v>
      </c>
      <c r="S55">
        <v>0.0074972447670138024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0.00033695482098938443</v>
      </c>
      <c r="AB55">
        <v>0</v>
      </c>
      <c r="AC55">
        <v>0</v>
      </c>
      <c r="AD55">
        <v>0</v>
      </c>
      <c r="AE55">
        <v>0.00016847741049469221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111</v>
      </c>
      <c r="BJ55" t="str">
        <f t="shared" si="0"/>
        <v>3w_</v>
      </c>
      <c r="BK55" t="str">
        <f t="shared" si="1"/>
        <v>bdl</v>
      </c>
    </row>
    <row r="56" spans="1:63" ht="14.5">
      <c r="A56" t="s">
        <v>118</v>
      </c>
      <c r="B56" t="s">
        <v>62</v>
      </c>
      <c r="C56" t="s">
        <v>109</v>
      </c>
      <c r="D56" t="s">
        <v>111</v>
      </c>
      <c r="E56" t="s">
        <v>111</v>
      </c>
      <c r="F56" t="s">
        <v>111</v>
      </c>
      <c r="G56" t="s">
        <v>70</v>
      </c>
      <c r="H56" t="s">
        <v>111</v>
      </c>
      <c r="I56" t="s">
        <v>111</v>
      </c>
      <c r="J56" t="s">
        <v>111</v>
      </c>
      <c r="K56" t="s">
        <v>111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0.0015162966944522298</v>
      </c>
      <c r="S56">
        <v>0.0074972447670138024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0.00033695482098938443</v>
      </c>
      <c r="AB56">
        <v>0</v>
      </c>
      <c r="AC56">
        <v>0</v>
      </c>
      <c r="AD56">
        <v>0</v>
      </c>
      <c r="AE56">
        <v>0.00016847741049469221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111</v>
      </c>
      <c r="BJ56" t="str">
        <f t="shared" si="0"/>
        <v>3w_</v>
      </c>
      <c r="BK56" t="str">
        <f t="shared" si="1"/>
        <v>bdl</v>
      </c>
    </row>
    <row r="57" spans="1:63" ht="14.5">
      <c r="A57" t="s">
        <v>118</v>
      </c>
      <c r="B57" t="s">
        <v>62</v>
      </c>
      <c r="C57" t="s">
        <v>109</v>
      </c>
      <c r="D57" t="s">
        <v>111</v>
      </c>
      <c r="E57" t="s">
        <v>111</v>
      </c>
      <c r="F57" t="s">
        <v>111</v>
      </c>
      <c r="G57" t="s">
        <v>69</v>
      </c>
      <c r="H57" t="s">
        <v>111</v>
      </c>
      <c r="I57" t="s">
        <v>111</v>
      </c>
      <c r="J57" t="s">
        <v>111</v>
      </c>
      <c r="K57" t="s">
        <v>111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0.0015162966944522298</v>
      </c>
      <c r="S57">
        <v>0.0074972447670138024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0.00033695482098938443</v>
      </c>
      <c r="AB57">
        <v>0</v>
      </c>
      <c r="AC57">
        <v>0</v>
      </c>
      <c r="AD57">
        <v>0</v>
      </c>
      <c r="AE57">
        <v>0.00016847741049469221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111</v>
      </c>
      <c r="BJ57" t="str">
        <f t="shared" si="0"/>
        <v>3w_</v>
      </c>
      <c r="BK57" t="str">
        <f t="shared" si="1"/>
        <v>bdl</v>
      </c>
    </row>
    <row r="58" spans="1:63" ht="14.5">
      <c r="A58" t="s">
        <v>118</v>
      </c>
      <c r="B58" t="s">
        <v>62</v>
      </c>
      <c r="C58" t="s">
        <v>109</v>
      </c>
      <c r="D58" t="s">
        <v>111</v>
      </c>
      <c r="E58" t="s">
        <v>111</v>
      </c>
      <c r="F58" t="s">
        <v>111</v>
      </c>
      <c r="G58" t="s">
        <v>68</v>
      </c>
      <c r="H58" t="s">
        <v>111</v>
      </c>
      <c r="I58" t="s">
        <v>111</v>
      </c>
      <c r="J58" t="s">
        <v>111</v>
      </c>
      <c r="K58" t="s">
        <v>111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0.0015162966944522298</v>
      </c>
      <c r="S58">
        <v>0.0074972447670138024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0.00033695482098938443</v>
      </c>
      <c r="AB58">
        <v>0</v>
      </c>
      <c r="AC58">
        <v>0</v>
      </c>
      <c r="AD58">
        <v>0</v>
      </c>
      <c r="AE58">
        <v>0.00016847741049469221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s">
        <v>111</v>
      </c>
      <c r="BJ58" t="str">
        <f t="shared" si="0"/>
        <v>3w_</v>
      </c>
      <c r="BK58" t="str">
        <f t="shared" si="1"/>
        <v>bdl</v>
      </c>
    </row>
    <row r="59" spans="1:63" ht="14.5">
      <c r="A59" t="s">
        <v>118</v>
      </c>
      <c r="B59" t="s">
        <v>62</v>
      </c>
      <c r="C59" t="s">
        <v>109</v>
      </c>
      <c r="D59" t="s">
        <v>111</v>
      </c>
      <c r="E59" t="s">
        <v>111</v>
      </c>
      <c r="F59" t="s">
        <v>111</v>
      </c>
      <c r="G59" t="s">
        <v>67</v>
      </c>
      <c r="H59" t="s">
        <v>111</v>
      </c>
      <c r="I59" t="s">
        <v>111</v>
      </c>
      <c r="J59" t="s">
        <v>111</v>
      </c>
      <c r="K59" t="s">
        <v>111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0.0015162966944522298</v>
      </c>
      <c r="S59">
        <v>0.0074972447670138024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0.00033695482098938443</v>
      </c>
      <c r="AB59">
        <v>0</v>
      </c>
      <c r="AC59">
        <v>0</v>
      </c>
      <c r="AD59">
        <v>0</v>
      </c>
      <c r="AE59">
        <v>0.00016847741049469221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">
        <v>111</v>
      </c>
      <c r="BJ59" t="str">
        <f t="shared" si="0"/>
        <v>3w_</v>
      </c>
      <c r="BK59" t="str">
        <f t="shared" si="1"/>
        <v>bdl</v>
      </c>
    </row>
    <row r="60" spans="1:63" ht="14.5">
      <c r="A60" t="s">
        <v>118</v>
      </c>
      <c r="B60" t="s">
        <v>62</v>
      </c>
      <c r="C60" t="s">
        <v>109</v>
      </c>
      <c r="D60" t="s">
        <v>111</v>
      </c>
      <c r="E60" t="s">
        <v>111</v>
      </c>
      <c r="F60" t="s">
        <v>111</v>
      </c>
      <c r="G60" t="s">
        <v>66</v>
      </c>
      <c r="H60" t="s">
        <v>111</v>
      </c>
      <c r="I60" t="s">
        <v>111</v>
      </c>
      <c r="J60" t="s">
        <v>111</v>
      </c>
      <c r="K60" t="s">
        <v>111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0.0015162966944522298</v>
      </c>
      <c r="S60">
        <v>0.0074972447670138024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0.00033695482098938443</v>
      </c>
      <c r="AB60">
        <v>0</v>
      </c>
      <c r="AC60">
        <v>0</v>
      </c>
      <c r="AD60">
        <v>0</v>
      </c>
      <c r="AE60">
        <v>0.00016847741049469221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 t="s">
        <v>111</v>
      </c>
      <c r="BJ60" t="str">
        <f t="shared" si="0"/>
        <v>3w_</v>
      </c>
      <c r="BK60" t="str">
        <f t="shared" si="1"/>
        <v>bdl</v>
      </c>
    </row>
    <row r="61" spans="1:63" ht="14.5">
      <c r="A61" t="s">
        <v>118</v>
      </c>
      <c r="B61" t="s">
        <v>62</v>
      </c>
      <c r="C61" t="s">
        <v>109</v>
      </c>
      <c r="D61" t="s">
        <v>111</v>
      </c>
      <c r="E61" t="s">
        <v>111</v>
      </c>
      <c r="F61" t="s">
        <v>111</v>
      </c>
      <c r="G61" t="s">
        <v>65</v>
      </c>
      <c r="H61" t="s">
        <v>111</v>
      </c>
      <c r="I61" t="s">
        <v>111</v>
      </c>
      <c r="J61" t="s">
        <v>111</v>
      </c>
      <c r="K61" t="s">
        <v>111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0.0015162966944522298</v>
      </c>
      <c r="S61">
        <v>0.0074972447670138024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0.00033695482098938443</v>
      </c>
      <c r="AB61">
        <v>0</v>
      </c>
      <c r="AC61">
        <v>0</v>
      </c>
      <c r="AD61">
        <v>0</v>
      </c>
      <c r="AE61">
        <v>0.00016847741049469221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t="s">
        <v>111</v>
      </c>
      <c r="BJ61" t="str">
        <f t="shared" si="0"/>
        <v>3w_</v>
      </c>
      <c r="BK61" t="str">
        <f t="shared" si="1"/>
        <v>bdl</v>
      </c>
    </row>
    <row r="62" spans="1:63" ht="14.5">
      <c r="A62" t="s">
        <v>118</v>
      </c>
      <c r="B62" t="s">
        <v>62</v>
      </c>
      <c r="C62" t="s">
        <v>108</v>
      </c>
      <c r="D62" t="s">
        <v>111</v>
      </c>
      <c r="E62" t="s">
        <v>111</v>
      </c>
      <c r="F62" t="s">
        <v>111</v>
      </c>
      <c r="G62" t="s">
        <v>61</v>
      </c>
      <c r="H62" t="s">
        <v>111</v>
      </c>
      <c r="I62" t="s">
        <v>111</v>
      </c>
      <c r="J62" t="s">
        <v>111</v>
      </c>
      <c r="K62" t="s">
        <v>111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0.0032853095046464979</v>
      </c>
      <c r="S62">
        <v>0.76766732091906498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0.50138877363220402</v>
      </c>
      <c r="AB62">
        <v>0</v>
      </c>
      <c r="AC62">
        <v>0</v>
      </c>
      <c r="AD62">
        <v>0.0015162966944522298</v>
      </c>
      <c r="AE62">
        <v>0.003369548209893844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t="s">
        <v>111</v>
      </c>
      <c r="BJ62" t="str">
        <f t="shared" si="0"/>
        <v>3w_</v>
      </c>
      <c r="BK62" t="str">
        <f t="shared" si="1"/>
        <v>dsl</v>
      </c>
    </row>
    <row r="63" spans="1:63" ht="14.5">
      <c r="A63" t="s">
        <v>118</v>
      </c>
      <c r="B63" t="s">
        <v>62</v>
      </c>
      <c r="C63" t="s">
        <v>108</v>
      </c>
      <c r="D63" t="s">
        <v>111</v>
      </c>
      <c r="E63" t="s">
        <v>111</v>
      </c>
      <c r="F63" t="s">
        <v>111</v>
      </c>
      <c r="G63" t="s">
        <v>83</v>
      </c>
      <c r="H63" t="s">
        <v>111</v>
      </c>
      <c r="I63" t="s">
        <v>111</v>
      </c>
      <c r="J63" t="s">
        <v>111</v>
      </c>
      <c r="K63" t="s">
        <v>111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0.0032853095046464979</v>
      </c>
      <c r="S63">
        <v>0.76766732091906498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0.50138877363220402</v>
      </c>
      <c r="AB63">
        <v>0</v>
      </c>
      <c r="AC63">
        <v>0</v>
      </c>
      <c r="AD63">
        <v>0.0015162966944522298</v>
      </c>
      <c r="AE63">
        <v>0.003369548209893844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s">
        <v>111</v>
      </c>
      <c r="BJ63" t="str">
        <f t="shared" si="0"/>
        <v>3w_</v>
      </c>
      <c r="BK63" t="str">
        <f t="shared" si="1"/>
        <v>dsl</v>
      </c>
    </row>
    <row r="64" spans="1:63" ht="14.5">
      <c r="A64" t="s">
        <v>118</v>
      </c>
      <c r="B64" t="s">
        <v>62</v>
      </c>
      <c r="C64" t="s">
        <v>108</v>
      </c>
      <c r="D64" t="s">
        <v>111</v>
      </c>
      <c r="E64" t="s">
        <v>111</v>
      </c>
      <c r="F64" t="s">
        <v>111</v>
      </c>
      <c r="G64" t="s">
        <v>82</v>
      </c>
      <c r="H64" t="s">
        <v>111</v>
      </c>
      <c r="I64" t="s">
        <v>111</v>
      </c>
      <c r="J64" t="s">
        <v>111</v>
      </c>
      <c r="K64" t="s">
        <v>111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0.0032853095046464979</v>
      </c>
      <c r="S64">
        <v>0.76766732091906498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0.50138877363220402</v>
      </c>
      <c r="AB64">
        <v>0</v>
      </c>
      <c r="AC64">
        <v>0</v>
      </c>
      <c r="AD64">
        <v>0.0015162966944522298</v>
      </c>
      <c r="AE64">
        <v>0.003369548209893844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t="s">
        <v>111</v>
      </c>
      <c r="BJ64" t="str">
        <f t="shared" si="0"/>
        <v>3w_</v>
      </c>
      <c r="BK64" t="str">
        <f t="shared" si="1"/>
        <v>dsl</v>
      </c>
    </row>
    <row r="65" spans="1:63" ht="14.5">
      <c r="A65" t="s">
        <v>118</v>
      </c>
      <c r="B65" t="s">
        <v>62</v>
      </c>
      <c r="C65" t="s">
        <v>108</v>
      </c>
      <c r="D65" t="s">
        <v>111</v>
      </c>
      <c r="E65" t="s">
        <v>111</v>
      </c>
      <c r="F65" t="s">
        <v>111</v>
      </c>
      <c r="G65" t="s">
        <v>81</v>
      </c>
      <c r="H65" t="s">
        <v>111</v>
      </c>
      <c r="I65" t="s">
        <v>111</v>
      </c>
      <c r="J65" t="s">
        <v>111</v>
      </c>
      <c r="K65" t="s">
        <v>111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0.0032853095046464979</v>
      </c>
      <c r="S65">
        <v>0.76766732091906498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0.50138877363220402</v>
      </c>
      <c r="AB65">
        <v>0</v>
      </c>
      <c r="AC65">
        <v>0</v>
      </c>
      <c r="AD65">
        <v>0.0015162966944522298</v>
      </c>
      <c r="AE65">
        <v>0.003369548209893844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s">
        <v>111</v>
      </c>
      <c r="BJ65" t="str">
        <f t="shared" si="0"/>
        <v>3w_</v>
      </c>
      <c r="BK65" t="str">
        <f t="shared" si="1"/>
        <v>dsl</v>
      </c>
    </row>
    <row r="66" spans="1:63" ht="14.5">
      <c r="A66" t="s">
        <v>118</v>
      </c>
      <c r="B66" t="s">
        <v>62</v>
      </c>
      <c r="C66" t="s">
        <v>108</v>
      </c>
      <c r="D66" t="s">
        <v>111</v>
      </c>
      <c r="E66" t="s">
        <v>111</v>
      </c>
      <c r="F66" t="s">
        <v>111</v>
      </c>
      <c r="G66" t="s">
        <v>80</v>
      </c>
      <c r="H66" t="s">
        <v>111</v>
      </c>
      <c r="I66" t="s">
        <v>111</v>
      </c>
      <c r="J66" t="s">
        <v>111</v>
      </c>
      <c r="K66" t="s">
        <v>111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0.0032853095046464979</v>
      </c>
      <c r="S66">
        <v>0.76766732091906498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0.50138877363220402</v>
      </c>
      <c r="AB66">
        <v>0</v>
      </c>
      <c r="AC66">
        <v>0</v>
      </c>
      <c r="AD66">
        <v>0.0015162966944522298</v>
      </c>
      <c r="AE66">
        <v>0.003369548209893844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t="s">
        <v>111</v>
      </c>
      <c r="BJ66" t="str">
        <f t="shared" si="0"/>
        <v>3w_</v>
      </c>
      <c r="BK66" t="str">
        <f t="shared" si="1"/>
        <v>dsl</v>
      </c>
    </row>
    <row r="67" spans="1:63" ht="14.5">
      <c r="A67" t="s">
        <v>118</v>
      </c>
      <c r="B67" t="s">
        <v>62</v>
      </c>
      <c r="C67" t="s">
        <v>108</v>
      </c>
      <c r="D67" t="s">
        <v>111</v>
      </c>
      <c r="E67" t="s">
        <v>111</v>
      </c>
      <c r="F67" t="s">
        <v>111</v>
      </c>
      <c r="G67" t="s">
        <v>79</v>
      </c>
      <c r="H67" t="s">
        <v>111</v>
      </c>
      <c r="I67" t="s">
        <v>111</v>
      </c>
      <c r="J67" t="s">
        <v>111</v>
      </c>
      <c r="K67" t="s">
        <v>111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0.0032853095046464979</v>
      </c>
      <c r="S67">
        <v>0.76766732091906498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0.50138877363220402</v>
      </c>
      <c r="AB67">
        <v>0</v>
      </c>
      <c r="AC67">
        <v>0</v>
      </c>
      <c r="AD67">
        <v>0.0015162966944522298</v>
      </c>
      <c r="AE67">
        <v>0.003369548209893844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t="s">
        <v>111</v>
      </c>
      <c r="BJ67" t="str">
        <f t="shared" si="2" ref="BJ67:BJ130">MID(C67,5,3)</f>
        <v>3w_</v>
      </c>
      <c r="BK67" t="str">
        <f t="shared" si="3" ref="BK67:BK130">RIGHT(C67,3)</f>
        <v>dsl</v>
      </c>
    </row>
    <row r="68" spans="1:63" ht="14.5">
      <c r="A68" t="s">
        <v>118</v>
      </c>
      <c r="B68" t="s">
        <v>62</v>
      </c>
      <c r="C68" t="s">
        <v>108</v>
      </c>
      <c r="D68" t="s">
        <v>111</v>
      </c>
      <c r="E68" t="s">
        <v>111</v>
      </c>
      <c r="F68" t="s">
        <v>111</v>
      </c>
      <c r="G68" t="s">
        <v>78</v>
      </c>
      <c r="H68" t="s">
        <v>111</v>
      </c>
      <c r="I68" t="s">
        <v>111</v>
      </c>
      <c r="J68" t="s">
        <v>111</v>
      </c>
      <c r="K68" t="s">
        <v>111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0.0032853095046464979</v>
      </c>
      <c r="S68">
        <v>0.76766732091906498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0.50138877363220402</v>
      </c>
      <c r="AB68">
        <v>0</v>
      </c>
      <c r="AC68">
        <v>0</v>
      </c>
      <c r="AD68">
        <v>0.0015162966944522298</v>
      </c>
      <c r="AE68">
        <v>0.003369548209893844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t="s">
        <v>111</v>
      </c>
      <c r="BJ68" t="str">
        <f t="shared" si="2"/>
        <v>3w_</v>
      </c>
      <c r="BK68" t="str">
        <f t="shared" si="3"/>
        <v>dsl</v>
      </c>
    </row>
    <row r="69" spans="1:63" ht="14.5">
      <c r="A69" t="s">
        <v>118</v>
      </c>
      <c r="B69" t="s">
        <v>62</v>
      </c>
      <c r="C69" t="s">
        <v>108</v>
      </c>
      <c r="D69" t="s">
        <v>111</v>
      </c>
      <c r="E69" t="s">
        <v>111</v>
      </c>
      <c r="F69" t="s">
        <v>111</v>
      </c>
      <c r="G69" t="s">
        <v>77</v>
      </c>
      <c r="H69" t="s">
        <v>111</v>
      </c>
      <c r="I69" t="s">
        <v>111</v>
      </c>
      <c r="J69" t="s">
        <v>111</v>
      </c>
      <c r="K69" t="s">
        <v>111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0.0032853095046464979</v>
      </c>
      <c r="S69">
        <v>0.76766732091906498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0.50138877363220402</v>
      </c>
      <c r="AB69">
        <v>0</v>
      </c>
      <c r="AC69">
        <v>0</v>
      </c>
      <c r="AD69">
        <v>0.0015162966944522298</v>
      </c>
      <c r="AE69">
        <v>0.003369548209893844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t="s">
        <v>111</v>
      </c>
      <c r="BJ69" t="str">
        <f t="shared" si="2"/>
        <v>3w_</v>
      </c>
      <c r="BK69" t="str">
        <f t="shared" si="3"/>
        <v>dsl</v>
      </c>
    </row>
    <row r="70" spans="1:63" ht="14.5">
      <c r="A70" t="s">
        <v>118</v>
      </c>
      <c r="B70" t="s">
        <v>62</v>
      </c>
      <c r="C70" t="s">
        <v>108</v>
      </c>
      <c r="D70" t="s">
        <v>111</v>
      </c>
      <c r="E70" t="s">
        <v>111</v>
      </c>
      <c r="F70" t="s">
        <v>111</v>
      </c>
      <c r="G70" t="s">
        <v>76</v>
      </c>
      <c r="H70" t="s">
        <v>111</v>
      </c>
      <c r="I70" t="s">
        <v>111</v>
      </c>
      <c r="J70" t="s">
        <v>111</v>
      </c>
      <c r="K70" t="s">
        <v>111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0.0032853095046464979</v>
      </c>
      <c r="S70">
        <v>0.76766732091906498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0.50138877363220402</v>
      </c>
      <c r="AB70">
        <v>0</v>
      </c>
      <c r="AC70">
        <v>0</v>
      </c>
      <c r="AD70">
        <v>0.0015162966944522298</v>
      </c>
      <c r="AE70">
        <v>0.003369548209893844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t="s">
        <v>111</v>
      </c>
      <c r="BJ70" t="str">
        <f t="shared" si="2"/>
        <v>3w_</v>
      </c>
      <c r="BK70" t="str">
        <f t="shared" si="3"/>
        <v>dsl</v>
      </c>
    </row>
    <row r="71" spans="1:63" ht="14.5">
      <c r="A71" t="s">
        <v>118</v>
      </c>
      <c r="B71" t="s">
        <v>62</v>
      </c>
      <c r="C71" t="s">
        <v>108</v>
      </c>
      <c r="D71" t="s">
        <v>111</v>
      </c>
      <c r="E71" t="s">
        <v>111</v>
      </c>
      <c r="F71" t="s">
        <v>111</v>
      </c>
      <c r="G71" t="s">
        <v>75</v>
      </c>
      <c r="H71" t="s">
        <v>111</v>
      </c>
      <c r="I71" t="s">
        <v>111</v>
      </c>
      <c r="J71" t="s">
        <v>111</v>
      </c>
      <c r="K71" t="s">
        <v>111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0.0032853095046464979</v>
      </c>
      <c r="S71">
        <v>0.76766732091906498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0.50138877363220402</v>
      </c>
      <c r="AB71">
        <v>0</v>
      </c>
      <c r="AC71">
        <v>0</v>
      </c>
      <c r="AD71">
        <v>0.0015162966944522298</v>
      </c>
      <c r="AE71">
        <v>0.003369548209893844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t="s">
        <v>111</v>
      </c>
      <c r="BJ71" t="str">
        <f t="shared" si="2"/>
        <v>3w_</v>
      </c>
      <c r="BK71" t="str">
        <f t="shared" si="3"/>
        <v>dsl</v>
      </c>
    </row>
    <row r="72" spans="1:63" ht="14.5">
      <c r="A72" t="s">
        <v>118</v>
      </c>
      <c r="B72" t="s">
        <v>62</v>
      </c>
      <c r="C72" t="s">
        <v>108</v>
      </c>
      <c r="D72" t="s">
        <v>111</v>
      </c>
      <c r="E72" t="s">
        <v>111</v>
      </c>
      <c r="F72" t="s">
        <v>111</v>
      </c>
      <c r="G72" t="s">
        <v>74</v>
      </c>
      <c r="H72" t="s">
        <v>111</v>
      </c>
      <c r="I72" t="s">
        <v>111</v>
      </c>
      <c r="J72" t="s">
        <v>111</v>
      </c>
      <c r="K72" t="s">
        <v>111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0.0032853095046464979</v>
      </c>
      <c r="S72">
        <v>0.76766732091906498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0.50138877363220402</v>
      </c>
      <c r="AB72">
        <v>0</v>
      </c>
      <c r="AC72">
        <v>0</v>
      </c>
      <c r="AD72">
        <v>0.0015162966944522298</v>
      </c>
      <c r="AE72">
        <v>0.003369548209893844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t="s">
        <v>111</v>
      </c>
      <c r="BJ72" t="str">
        <f t="shared" si="2"/>
        <v>3w_</v>
      </c>
      <c r="BK72" t="str">
        <f t="shared" si="3"/>
        <v>dsl</v>
      </c>
    </row>
    <row r="73" spans="1:63" ht="14.5">
      <c r="A73" t="s">
        <v>118</v>
      </c>
      <c r="B73" t="s">
        <v>62</v>
      </c>
      <c r="C73" t="s">
        <v>108</v>
      </c>
      <c r="D73" t="s">
        <v>111</v>
      </c>
      <c r="E73" t="s">
        <v>111</v>
      </c>
      <c r="F73" t="s">
        <v>111</v>
      </c>
      <c r="G73" t="s">
        <v>73</v>
      </c>
      <c r="H73" t="s">
        <v>111</v>
      </c>
      <c r="I73" t="s">
        <v>111</v>
      </c>
      <c r="J73" t="s">
        <v>111</v>
      </c>
      <c r="K73" t="s">
        <v>111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0.0032853095046464979</v>
      </c>
      <c r="S73">
        <v>0.76766732091906498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0.50138877363220402</v>
      </c>
      <c r="AB73">
        <v>0</v>
      </c>
      <c r="AC73">
        <v>0</v>
      </c>
      <c r="AD73">
        <v>0.0015162966944522298</v>
      </c>
      <c r="AE73">
        <v>0.003369548209893844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t="s">
        <v>111</v>
      </c>
      <c r="BJ73" t="str">
        <f t="shared" si="2"/>
        <v>3w_</v>
      </c>
      <c r="BK73" t="str">
        <f t="shared" si="3"/>
        <v>dsl</v>
      </c>
    </row>
    <row r="74" spans="1:63" ht="14.5">
      <c r="A74" t="s">
        <v>118</v>
      </c>
      <c r="B74" t="s">
        <v>62</v>
      </c>
      <c r="C74" t="s">
        <v>108</v>
      </c>
      <c r="D74" t="s">
        <v>111</v>
      </c>
      <c r="E74" t="s">
        <v>111</v>
      </c>
      <c r="F74" t="s">
        <v>111</v>
      </c>
      <c r="G74" t="s">
        <v>72</v>
      </c>
      <c r="H74" t="s">
        <v>111</v>
      </c>
      <c r="I74" t="s">
        <v>111</v>
      </c>
      <c r="J74" t="s">
        <v>111</v>
      </c>
      <c r="K74" t="s">
        <v>111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0.0032853095046464979</v>
      </c>
      <c r="S74">
        <v>0.76766732091906498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0.50138877363220402</v>
      </c>
      <c r="AB74">
        <v>0</v>
      </c>
      <c r="AC74">
        <v>0</v>
      </c>
      <c r="AD74">
        <v>0.0015162966944522298</v>
      </c>
      <c r="AE74">
        <v>0.003369548209893844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 t="s">
        <v>111</v>
      </c>
      <c r="BJ74" t="str">
        <f t="shared" si="2"/>
        <v>3w_</v>
      </c>
      <c r="BK74" t="str">
        <f t="shared" si="3"/>
        <v>dsl</v>
      </c>
    </row>
    <row r="75" spans="1:63" ht="14.5">
      <c r="A75" t="s">
        <v>118</v>
      </c>
      <c r="B75" t="s">
        <v>62</v>
      </c>
      <c r="C75" t="s">
        <v>108</v>
      </c>
      <c r="D75" t="s">
        <v>111</v>
      </c>
      <c r="E75" t="s">
        <v>111</v>
      </c>
      <c r="F75" t="s">
        <v>111</v>
      </c>
      <c r="G75" t="s">
        <v>71</v>
      </c>
      <c r="H75" t="s">
        <v>111</v>
      </c>
      <c r="I75" t="s">
        <v>111</v>
      </c>
      <c r="J75" t="s">
        <v>111</v>
      </c>
      <c r="K75" t="s">
        <v>111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0.0032853095046464979</v>
      </c>
      <c r="S75">
        <v>0.76766732091906498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0.50138877363220402</v>
      </c>
      <c r="AB75">
        <v>0</v>
      </c>
      <c r="AC75">
        <v>0</v>
      </c>
      <c r="AD75">
        <v>0.0015162966944522298</v>
      </c>
      <c r="AE75">
        <v>0.003369548209893844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 t="s">
        <v>111</v>
      </c>
      <c r="BJ75" t="str">
        <f t="shared" si="2"/>
        <v>3w_</v>
      </c>
      <c r="BK75" t="str">
        <f t="shared" si="3"/>
        <v>dsl</v>
      </c>
    </row>
    <row r="76" spans="1:63" ht="14.5">
      <c r="A76" t="s">
        <v>118</v>
      </c>
      <c r="B76" t="s">
        <v>62</v>
      </c>
      <c r="C76" t="s">
        <v>108</v>
      </c>
      <c r="D76" t="s">
        <v>111</v>
      </c>
      <c r="E76" t="s">
        <v>111</v>
      </c>
      <c r="F76" t="s">
        <v>111</v>
      </c>
      <c r="G76" t="s">
        <v>70</v>
      </c>
      <c r="H76" t="s">
        <v>111</v>
      </c>
      <c r="I76" t="s">
        <v>111</v>
      </c>
      <c r="J76" t="s">
        <v>111</v>
      </c>
      <c r="K76" t="s">
        <v>111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0.0032853095046464979</v>
      </c>
      <c r="S76">
        <v>0.76766732091906498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0.50138877363220402</v>
      </c>
      <c r="AB76">
        <v>0</v>
      </c>
      <c r="AC76">
        <v>0</v>
      </c>
      <c r="AD76">
        <v>0.0015162966944522298</v>
      </c>
      <c r="AE76">
        <v>0.003369548209893844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 t="s">
        <v>111</v>
      </c>
      <c r="BJ76" t="str">
        <f t="shared" si="2"/>
        <v>3w_</v>
      </c>
      <c r="BK76" t="str">
        <f t="shared" si="3"/>
        <v>dsl</v>
      </c>
    </row>
    <row r="77" spans="1:63" ht="14.5">
      <c r="A77" t="s">
        <v>118</v>
      </c>
      <c r="B77" t="s">
        <v>62</v>
      </c>
      <c r="C77" t="s">
        <v>108</v>
      </c>
      <c r="D77" t="s">
        <v>111</v>
      </c>
      <c r="E77" t="s">
        <v>111</v>
      </c>
      <c r="F77" t="s">
        <v>111</v>
      </c>
      <c r="G77" t="s">
        <v>69</v>
      </c>
      <c r="H77" t="s">
        <v>111</v>
      </c>
      <c r="I77" t="s">
        <v>111</v>
      </c>
      <c r="J77" t="s">
        <v>111</v>
      </c>
      <c r="K77" t="s">
        <v>111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0.0032853095046464979</v>
      </c>
      <c r="S77">
        <v>0.76766732091906498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0.50138877363220402</v>
      </c>
      <c r="AB77">
        <v>0</v>
      </c>
      <c r="AC77">
        <v>0</v>
      </c>
      <c r="AD77">
        <v>0.0015162966944522298</v>
      </c>
      <c r="AE77">
        <v>0.003369548209893844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 t="s">
        <v>111</v>
      </c>
      <c r="BJ77" t="str">
        <f t="shared" si="2"/>
        <v>3w_</v>
      </c>
      <c r="BK77" t="str">
        <f t="shared" si="3"/>
        <v>dsl</v>
      </c>
    </row>
    <row r="78" spans="1:63" ht="14.5">
      <c r="A78" t="s">
        <v>118</v>
      </c>
      <c r="B78" t="s">
        <v>62</v>
      </c>
      <c r="C78" t="s">
        <v>108</v>
      </c>
      <c r="D78" t="s">
        <v>111</v>
      </c>
      <c r="E78" t="s">
        <v>111</v>
      </c>
      <c r="F78" t="s">
        <v>111</v>
      </c>
      <c r="G78" t="s">
        <v>68</v>
      </c>
      <c r="H78" t="s">
        <v>111</v>
      </c>
      <c r="I78" t="s">
        <v>111</v>
      </c>
      <c r="J78" t="s">
        <v>111</v>
      </c>
      <c r="K78" t="s">
        <v>111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0.0032853095046464979</v>
      </c>
      <c r="S78">
        <v>0.76766732091906498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0.50138877363220402</v>
      </c>
      <c r="AB78">
        <v>0</v>
      </c>
      <c r="AC78">
        <v>0</v>
      </c>
      <c r="AD78">
        <v>0.0015162966944522298</v>
      </c>
      <c r="AE78">
        <v>0.003369548209893844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t="s">
        <v>111</v>
      </c>
      <c r="BJ78" t="str">
        <f t="shared" si="2"/>
        <v>3w_</v>
      </c>
      <c r="BK78" t="str">
        <f t="shared" si="3"/>
        <v>dsl</v>
      </c>
    </row>
    <row r="79" spans="1:63" ht="14.5">
      <c r="A79" t="s">
        <v>118</v>
      </c>
      <c r="B79" t="s">
        <v>62</v>
      </c>
      <c r="C79" t="s">
        <v>108</v>
      </c>
      <c r="D79" t="s">
        <v>111</v>
      </c>
      <c r="E79" t="s">
        <v>111</v>
      </c>
      <c r="F79" t="s">
        <v>111</v>
      </c>
      <c r="G79" t="s">
        <v>67</v>
      </c>
      <c r="H79" t="s">
        <v>111</v>
      </c>
      <c r="I79" t="s">
        <v>111</v>
      </c>
      <c r="J79" t="s">
        <v>111</v>
      </c>
      <c r="K79" t="s">
        <v>111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0.0032853095046464979</v>
      </c>
      <c r="S79">
        <v>0.76766732091906498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0.50138877363220402</v>
      </c>
      <c r="AB79">
        <v>0</v>
      </c>
      <c r="AC79">
        <v>0</v>
      </c>
      <c r="AD79">
        <v>0.0015162966944522298</v>
      </c>
      <c r="AE79">
        <v>0.003369548209893844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t="s">
        <v>111</v>
      </c>
      <c r="BJ79" t="str">
        <f t="shared" si="2"/>
        <v>3w_</v>
      </c>
      <c r="BK79" t="str">
        <f t="shared" si="3"/>
        <v>dsl</v>
      </c>
    </row>
    <row r="80" spans="1:63" ht="14.5">
      <c r="A80" t="s">
        <v>118</v>
      </c>
      <c r="B80" t="s">
        <v>62</v>
      </c>
      <c r="C80" t="s">
        <v>108</v>
      </c>
      <c r="D80" t="s">
        <v>111</v>
      </c>
      <c r="E80" t="s">
        <v>111</v>
      </c>
      <c r="F80" t="s">
        <v>111</v>
      </c>
      <c r="G80" t="s">
        <v>66</v>
      </c>
      <c r="H80" t="s">
        <v>111</v>
      </c>
      <c r="I80" t="s">
        <v>111</v>
      </c>
      <c r="J80" t="s">
        <v>111</v>
      </c>
      <c r="K80" t="s">
        <v>111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0.0032853095046464979</v>
      </c>
      <c r="S80">
        <v>0.76766732091906498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0.50138877363220402</v>
      </c>
      <c r="AB80">
        <v>0</v>
      </c>
      <c r="AC80">
        <v>0</v>
      </c>
      <c r="AD80">
        <v>0.0015162966944522298</v>
      </c>
      <c r="AE80">
        <v>0.003369548209893844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 t="s">
        <v>111</v>
      </c>
      <c r="BJ80" t="str">
        <f t="shared" si="2"/>
        <v>3w_</v>
      </c>
      <c r="BK80" t="str">
        <f t="shared" si="3"/>
        <v>dsl</v>
      </c>
    </row>
    <row r="81" spans="1:63" ht="14.5">
      <c r="A81" t="s">
        <v>118</v>
      </c>
      <c r="B81" t="s">
        <v>62</v>
      </c>
      <c r="C81" t="s">
        <v>108</v>
      </c>
      <c r="D81" t="s">
        <v>111</v>
      </c>
      <c r="E81" t="s">
        <v>111</v>
      </c>
      <c r="F81" t="s">
        <v>111</v>
      </c>
      <c r="G81" t="s">
        <v>65</v>
      </c>
      <c r="H81" t="s">
        <v>111</v>
      </c>
      <c r="I81" t="s">
        <v>111</v>
      </c>
      <c r="J81" t="s">
        <v>111</v>
      </c>
      <c r="K81" t="s">
        <v>111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0.0032853095046464979</v>
      </c>
      <c r="S81">
        <v>0.76766732091906498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0.50138877363220402</v>
      </c>
      <c r="AB81">
        <v>0</v>
      </c>
      <c r="AC81">
        <v>0</v>
      </c>
      <c r="AD81">
        <v>0.0015162966944522298</v>
      </c>
      <c r="AE81">
        <v>0.003369548209893844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t="s">
        <v>111</v>
      </c>
      <c r="BJ81" t="str">
        <f t="shared" si="2"/>
        <v>3w_</v>
      </c>
      <c r="BK81" t="str">
        <f t="shared" si="3"/>
        <v>dsl</v>
      </c>
    </row>
    <row r="82" spans="1:63" ht="14.5">
      <c r="A82" t="s">
        <v>118</v>
      </c>
      <c r="B82" t="s">
        <v>62</v>
      </c>
      <c r="C82" t="s">
        <v>107</v>
      </c>
      <c r="D82" t="s">
        <v>111</v>
      </c>
      <c r="E82" t="s">
        <v>111</v>
      </c>
      <c r="F82" t="s">
        <v>111</v>
      </c>
      <c r="G82" t="s">
        <v>61</v>
      </c>
      <c r="H82" t="s">
        <v>111</v>
      </c>
      <c r="I82" t="s">
        <v>111</v>
      </c>
      <c r="J82" t="s">
        <v>111</v>
      </c>
      <c r="K82" t="s">
        <v>111</v>
      </c>
      <c r="L82">
        <v>0.23595261339781642</v>
      </c>
      <c r="M82">
        <v>0.40965282361784411</v>
      </c>
      <c r="N82">
        <v>0</v>
      </c>
      <c r="O82">
        <v>0.0010951031682154993</v>
      </c>
      <c r="P82">
        <v>0.00033695482098938443</v>
      </c>
      <c r="Q82">
        <v>0.0042961739676146511</v>
      </c>
      <c r="R82">
        <v>0.013309715429080684</v>
      </c>
      <c r="S82">
        <v>0</v>
      </c>
      <c r="T82">
        <v>0.00058967093673142272</v>
      </c>
      <c r="U82">
        <v>0.0013478192839575377</v>
      </c>
      <c r="V82">
        <v>0.0052227997253354577</v>
      </c>
      <c r="W82">
        <v>0.011540702618886416</v>
      </c>
      <c r="X82">
        <v>0.0017690128101942682</v>
      </c>
      <c r="Y82">
        <v>0.0020217289259363063</v>
      </c>
      <c r="Z82">
        <v>8.4238705247346107E-05</v>
      </c>
      <c r="AA82">
        <v>0.44267439607480374</v>
      </c>
      <c r="AB82">
        <v>0.00050543223148407659</v>
      </c>
      <c r="AC82">
        <v>0.0052227997253354577</v>
      </c>
      <c r="AD82">
        <v>0.023502598764009563</v>
      </c>
      <c r="AE82">
        <v>0.025355850279451173</v>
      </c>
      <c r="AF82">
        <v>0.05441820358978558</v>
      </c>
      <c r="AG82">
        <v>0.048353016811976658</v>
      </c>
      <c r="AH82">
        <v>0.00042119352623673051</v>
      </c>
      <c r="AI82">
        <v>0.0028641159784097677</v>
      </c>
      <c r="AJ82">
        <v>1.4909408441727787</v>
      </c>
      <c r="AK82">
        <v>0.017858605512437373</v>
      </c>
      <c r="AL82">
        <v>0.023502598764009563</v>
      </c>
      <c r="AM82">
        <v>0.10437175580146182</v>
      </c>
      <c r="AN82">
        <v>0.0032853095046464979</v>
      </c>
      <c r="AO82">
        <v>0.0030325933889044595</v>
      </c>
      <c r="AP82">
        <v>0.0016005353996995759</v>
      </c>
      <c r="AQ82">
        <v>0.0022744450416783447</v>
      </c>
      <c r="AR82">
        <v>0.0082553931142399176</v>
      </c>
      <c r="AS82">
        <v>0.00092662575772080704</v>
      </c>
      <c r="AT82">
        <v>0.00058967093673142272</v>
      </c>
      <c r="AU82" t="s">
        <v>111</v>
      </c>
      <c r="BJ82" t="str">
        <f t="shared" si="2"/>
        <v>3w_</v>
      </c>
      <c r="BK82" t="str">
        <f t="shared" si="3"/>
        <v>gsl</v>
      </c>
    </row>
    <row r="83" spans="1:63" ht="14.5">
      <c r="A83" t="s">
        <v>118</v>
      </c>
      <c r="B83" t="s">
        <v>62</v>
      </c>
      <c r="C83" t="s">
        <v>107</v>
      </c>
      <c r="D83" t="s">
        <v>111</v>
      </c>
      <c r="E83" t="s">
        <v>111</v>
      </c>
      <c r="F83" t="s">
        <v>111</v>
      </c>
      <c r="G83" t="s">
        <v>83</v>
      </c>
      <c r="H83" t="s">
        <v>111</v>
      </c>
      <c r="I83" t="s">
        <v>111</v>
      </c>
      <c r="J83" t="s">
        <v>111</v>
      </c>
      <c r="K83" t="s">
        <v>111</v>
      </c>
      <c r="L83">
        <v>0.23595261339781642</v>
      </c>
      <c r="M83">
        <v>0.40965282361784411</v>
      </c>
      <c r="N83">
        <v>0</v>
      </c>
      <c r="O83">
        <v>0.0010951031682154993</v>
      </c>
      <c r="P83">
        <v>0.00033695482098938443</v>
      </c>
      <c r="Q83">
        <v>0.0042961739676146511</v>
      </c>
      <c r="R83">
        <v>0.013309715429080684</v>
      </c>
      <c r="S83">
        <v>0</v>
      </c>
      <c r="T83">
        <v>0.00058967093673142272</v>
      </c>
      <c r="U83">
        <v>0.0013478192839575377</v>
      </c>
      <c r="V83">
        <v>0.0052227997253354577</v>
      </c>
      <c r="W83">
        <v>0.011540702618886416</v>
      </c>
      <c r="X83">
        <v>0.0017690128101942682</v>
      </c>
      <c r="Y83">
        <v>0.0020217289259363063</v>
      </c>
      <c r="Z83">
        <v>8.4238705247346107E-05</v>
      </c>
      <c r="AA83">
        <v>0.44267439607480374</v>
      </c>
      <c r="AB83">
        <v>0.00050543223148407659</v>
      </c>
      <c r="AC83">
        <v>0.0052227997253354577</v>
      </c>
      <c r="AD83">
        <v>0.023502598764009563</v>
      </c>
      <c r="AE83">
        <v>0.025355850279451173</v>
      </c>
      <c r="AF83">
        <v>0.05441820358978558</v>
      </c>
      <c r="AG83">
        <v>0.048353016811976658</v>
      </c>
      <c r="AH83">
        <v>0.00042119352623673051</v>
      </c>
      <c r="AI83">
        <v>0.0028641159784097677</v>
      </c>
      <c r="AJ83">
        <v>1.4909408441727787</v>
      </c>
      <c r="AK83">
        <v>0.017858605512437373</v>
      </c>
      <c r="AL83">
        <v>0.023502598764009563</v>
      </c>
      <c r="AM83">
        <v>0.10437175580146182</v>
      </c>
      <c r="AN83">
        <v>0.0032853095046464979</v>
      </c>
      <c r="AO83">
        <v>0.0030325933889044595</v>
      </c>
      <c r="AP83">
        <v>0.0016005353996995759</v>
      </c>
      <c r="AQ83">
        <v>0.0022744450416783447</v>
      </c>
      <c r="AR83">
        <v>0.0082553931142399176</v>
      </c>
      <c r="AS83">
        <v>0.00092662575772080704</v>
      </c>
      <c r="AT83">
        <v>0.00058967093673142272</v>
      </c>
      <c r="AU83" t="s">
        <v>111</v>
      </c>
      <c r="BJ83" t="str">
        <f t="shared" si="2"/>
        <v>3w_</v>
      </c>
      <c r="BK83" t="str">
        <f t="shared" si="3"/>
        <v>gsl</v>
      </c>
    </row>
    <row r="84" spans="1:63" ht="14.5">
      <c r="A84" t="s">
        <v>118</v>
      </c>
      <c r="B84" t="s">
        <v>62</v>
      </c>
      <c r="C84" t="s">
        <v>107</v>
      </c>
      <c r="D84" t="s">
        <v>111</v>
      </c>
      <c r="E84" t="s">
        <v>111</v>
      </c>
      <c r="F84" t="s">
        <v>111</v>
      </c>
      <c r="G84" t="s">
        <v>82</v>
      </c>
      <c r="H84" t="s">
        <v>111</v>
      </c>
      <c r="I84" t="s">
        <v>111</v>
      </c>
      <c r="J84" t="s">
        <v>111</v>
      </c>
      <c r="K84" t="s">
        <v>111</v>
      </c>
      <c r="L84">
        <v>0.23595261339781642</v>
      </c>
      <c r="M84">
        <v>0.40965282361784411</v>
      </c>
      <c r="N84">
        <v>0</v>
      </c>
      <c r="O84">
        <v>0.0010951031682154993</v>
      </c>
      <c r="P84">
        <v>0.00033695482098938443</v>
      </c>
      <c r="Q84">
        <v>0.0042961739676146511</v>
      </c>
      <c r="R84">
        <v>0.013309715429080684</v>
      </c>
      <c r="S84">
        <v>0</v>
      </c>
      <c r="T84">
        <v>0.00058967093673142272</v>
      </c>
      <c r="U84">
        <v>0.0013478192839575377</v>
      </c>
      <c r="V84">
        <v>0.0052227997253354577</v>
      </c>
      <c r="W84">
        <v>0.011540702618886416</v>
      </c>
      <c r="X84">
        <v>0.0017690128101942682</v>
      </c>
      <c r="Y84">
        <v>0.0020217289259363063</v>
      </c>
      <c r="Z84">
        <v>8.4238705247346107E-05</v>
      </c>
      <c r="AA84">
        <v>0.44267439607480374</v>
      </c>
      <c r="AB84">
        <v>0.00050543223148407659</v>
      </c>
      <c r="AC84">
        <v>0.0052227997253354577</v>
      </c>
      <c r="AD84">
        <v>0.023502598764009563</v>
      </c>
      <c r="AE84">
        <v>0.025355850279451173</v>
      </c>
      <c r="AF84">
        <v>0.05441820358978558</v>
      </c>
      <c r="AG84">
        <v>0.048353016811976658</v>
      </c>
      <c r="AH84">
        <v>0.00042119352623673051</v>
      </c>
      <c r="AI84">
        <v>0.0028641159784097677</v>
      </c>
      <c r="AJ84">
        <v>1.4909408441727787</v>
      </c>
      <c r="AK84">
        <v>0.017858605512437373</v>
      </c>
      <c r="AL84">
        <v>0.023502598764009563</v>
      </c>
      <c r="AM84">
        <v>0.10437175580146182</v>
      </c>
      <c r="AN84">
        <v>0.0032853095046464979</v>
      </c>
      <c r="AO84">
        <v>0.0030325933889044595</v>
      </c>
      <c r="AP84">
        <v>0.0016005353996995759</v>
      </c>
      <c r="AQ84">
        <v>0.0022744450416783447</v>
      </c>
      <c r="AR84">
        <v>0.0082553931142399176</v>
      </c>
      <c r="AS84">
        <v>0.00092662575772080704</v>
      </c>
      <c r="AT84">
        <v>0.00058967093673142272</v>
      </c>
      <c r="AU84" t="s">
        <v>111</v>
      </c>
      <c r="BJ84" t="str">
        <f t="shared" si="2"/>
        <v>3w_</v>
      </c>
      <c r="BK84" t="str">
        <f t="shared" si="3"/>
        <v>gsl</v>
      </c>
    </row>
    <row r="85" spans="1:63" ht="14.5">
      <c r="A85" t="s">
        <v>118</v>
      </c>
      <c r="B85" t="s">
        <v>62</v>
      </c>
      <c r="C85" t="s">
        <v>107</v>
      </c>
      <c r="D85" t="s">
        <v>111</v>
      </c>
      <c r="E85" t="s">
        <v>111</v>
      </c>
      <c r="F85" t="s">
        <v>111</v>
      </c>
      <c r="G85" t="s">
        <v>81</v>
      </c>
      <c r="H85" t="s">
        <v>111</v>
      </c>
      <c r="I85" t="s">
        <v>111</v>
      </c>
      <c r="J85" t="s">
        <v>111</v>
      </c>
      <c r="K85" t="s">
        <v>111</v>
      </c>
      <c r="L85">
        <v>0.23595261339781642</v>
      </c>
      <c r="M85">
        <v>0.40965282361784411</v>
      </c>
      <c r="N85">
        <v>0</v>
      </c>
      <c r="O85">
        <v>0.0010951031682154993</v>
      </c>
      <c r="P85">
        <v>0.00033695482098938443</v>
      </c>
      <c r="Q85">
        <v>0.0042961739676146511</v>
      </c>
      <c r="R85">
        <v>0.013309715429080684</v>
      </c>
      <c r="S85">
        <v>0</v>
      </c>
      <c r="T85">
        <v>0.00058967093673142272</v>
      </c>
      <c r="U85">
        <v>0.0013478192839575377</v>
      </c>
      <c r="V85">
        <v>0.0052227997253354577</v>
      </c>
      <c r="W85">
        <v>0.011540702618886416</v>
      </c>
      <c r="X85">
        <v>0.0017690128101942682</v>
      </c>
      <c r="Y85">
        <v>0.0020217289259363063</v>
      </c>
      <c r="Z85">
        <v>8.4238705247346107E-05</v>
      </c>
      <c r="AA85">
        <v>0.44267439607480374</v>
      </c>
      <c r="AB85">
        <v>0.00050543223148407659</v>
      </c>
      <c r="AC85">
        <v>0.0052227997253354577</v>
      </c>
      <c r="AD85">
        <v>0.023502598764009563</v>
      </c>
      <c r="AE85">
        <v>0.025355850279451173</v>
      </c>
      <c r="AF85">
        <v>0.05441820358978558</v>
      </c>
      <c r="AG85">
        <v>0.048353016811976658</v>
      </c>
      <c r="AH85">
        <v>0.00042119352623673051</v>
      </c>
      <c r="AI85">
        <v>0.0028641159784097677</v>
      </c>
      <c r="AJ85">
        <v>1.4909408441727787</v>
      </c>
      <c r="AK85">
        <v>0.017858605512437373</v>
      </c>
      <c r="AL85">
        <v>0.023502598764009563</v>
      </c>
      <c r="AM85">
        <v>0.10437175580146182</v>
      </c>
      <c r="AN85">
        <v>0.0032853095046464979</v>
      </c>
      <c r="AO85">
        <v>0.0030325933889044595</v>
      </c>
      <c r="AP85">
        <v>0.0016005353996995759</v>
      </c>
      <c r="AQ85">
        <v>0.0022744450416783447</v>
      </c>
      <c r="AR85">
        <v>0.0082553931142399176</v>
      </c>
      <c r="AS85">
        <v>0.00092662575772080704</v>
      </c>
      <c r="AT85">
        <v>0.00058967093673142272</v>
      </c>
      <c r="AU85" t="s">
        <v>111</v>
      </c>
      <c r="BJ85" t="str">
        <f t="shared" si="2"/>
        <v>3w_</v>
      </c>
      <c r="BK85" t="str">
        <f t="shared" si="3"/>
        <v>gsl</v>
      </c>
    </row>
    <row r="86" spans="1:63" ht="14.5">
      <c r="A86" t="s">
        <v>118</v>
      </c>
      <c r="B86" t="s">
        <v>62</v>
      </c>
      <c r="C86" t="s">
        <v>107</v>
      </c>
      <c r="D86" t="s">
        <v>111</v>
      </c>
      <c r="E86" t="s">
        <v>111</v>
      </c>
      <c r="F86" t="s">
        <v>111</v>
      </c>
      <c r="G86" t="s">
        <v>80</v>
      </c>
      <c r="H86" t="s">
        <v>111</v>
      </c>
      <c r="I86" t="s">
        <v>111</v>
      </c>
      <c r="J86" t="s">
        <v>111</v>
      </c>
      <c r="K86" t="s">
        <v>111</v>
      </c>
      <c r="L86">
        <v>0.23595261339781642</v>
      </c>
      <c r="M86">
        <v>0.40965282361784411</v>
      </c>
      <c r="N86">
        <v>0</v>
      </c>
      <c r="O86">
        <v>0.0010951031682154993</v>
      </c>
      <c r="P86">
        <v>0.00033695482098938443</v>
      </c>
      <c r="Q86">
        <v>0.0042961739676146511</v>
      </c>
      <c r="R86">
        <v>0.013309715429080684</v>
      </c>
      <c r="S86">
        <v>0</v>
      </c>
      <c r="T86">
        <v>0.00058967093673142272</v>
      </c>
      <c r="U86">
        <v>0.0013478192839575377</v>
      </c>
      <c r="V86">
        <v>0.0052227997253354577</v>
      </c>
      <c r="W86">
        <v>0.011540702618886416</v>
      </c>
      <c r="X86">
        <v>0.0017690128101942682</v>
      </c>
      <c r="Y86">
        <v>0.0020217289259363063</v>
      </c>
      <c r="Z86">
        <v>8.4238705247346107E-05</v>
      </c>
      <c r="AA86">
        <v>0.44267439607480374</v>
      </c>
      <c r="AB86">
        <v>0.00050543223148407659</v>
      </c>
      <c r="AC86">
        <v>0.0052227997253354577</v>
      </c>
      <c r="AD86">
        <v>0.023502598764009563</v>
      </c>
      <c r="AE86">
        <v>0.025355850279451173</v>
      </c>
      <c r="AF86">
        <v>0.05441820358978558</v>
      </c>
      <c r="AG86">
        <v>0.048353016811976658</v>
      </c>
      <c r="AH86">
        <v>0.00042119352623673051</v>
      </c>
      <c r="AI86">
        <v>0.0028641159784097677</v>
      </c>
      <c r="AJ86">
        <v>1.4909408441727787</v>
      </c>
      <c r="AK86">
        <v>0.017858605512437373</v>
      </c>
      <c r="AL86">
        <v>0.023502598764009563</v>
      </c>
      <c r="AM86">
        <v>0.10437175580146182</v>
      </c>
      <c r="AN86">
        <v>0.0032853095046464979</v>
      </c>
      <c r="AO86">
        <v>0.0030325933889044595</v>
      </c>
      <c r="AP86">
        <v>0.0016005353996995759</v>
      </c>
      <c r="AQ86">
        <v>0.0022744450416783447</v>
      </c>
      <c r="AR86">
        <v>0.0082553931142399176</v>
      </c>
      <c r="AS86">
        <v>0.00092662575772080704</v>
      </c>
      <c r="AT86">
        <v>0.00058967093673142272</v>
      </c>
      <c r="AU86" t="s">
        <v>111</v>
      </c>
      <c r="BJ86" t="str">
        <f t="shared" si="2"/>
        <v>3w_</v>
      </c>
      <c r="BK86" t="str">
        <f t="shared" si="3"/>
        <v>gsl</v>
      </c>
    </row>
    <row r="87" spans="1:63" ht="14.5">
      <c r="A87" t="s">
        <v>118</v>
      </c>
      <c r="B87" t="s">
        <v>62</v>
      </c>
      <c r="C87" t="s">
        <v>107</v>
      </c>
      <c r="D87" t="s">
        <v>111</v>
      </c>
      <c r="E87" t="s">
        <v>111</v>
      </c>
      <c r="F87" t="s">
        <v>111</v>
      </c>
      <c r="G87" t="s">
        <v>79</v>
      </c>
      <c r="H87" t="s">
        <v>111</v>
      </c>
      <c r="I87" t="s">
        <v>111</v>
      </c>
      <c r="J87" t="s">
        <v>111</v>
      </c>
      <c r="K87" t="s">
        <v>111</v>
      </c>
      <c r="L87">
        <v>0.23595261339781642</v>
      </c>
      <c r="M87">
        <v>0.40965282361784411</v>
      </c>
      <c r="N87">
        <v>0</v>
      </c>
      <c r="O87">
        <v>0.0010951031682154993</v>
      </c>
      <c r="P87">
        <v>0.00033695482098938443</v>
      </c>
      <c r="Q87">
        <v>0.0042961739676146511</v>
      </c>
      <c r="R87">
        <v>0.013309715429080684</v>
      </c>
      <c r="S87">
        <v>0</v>
      </c>
      <c r="T87">
        <v>0.00058967093673142272</v>
      </c>
      <c r="U87">
        <v>0.0013478192839575377</v>
      </c>
      <c r="V87">
        <v>0.0052227997253354577</v>
      </c>
      <c r="W87">
        <v>0.011540702618886416</v>
      </c>
      <c r="X87">
        <v>0.0017690128101942682</v>
      </c>
      <c r="Y87">
        <v>0.0020217289259363063</v>
      </c>
      <c r="Z87">
        <v>8.4238705247346107E-05</v>
      </c>
      <c r="AA87">
        <v>0.44267439607480374</v>
      </c>
      <c r="AB87">
        <v>0.00050543223148407659</v>
      </c>
      <c r="AC87">
        <v>0.0052227997253354577</v>
      </c>
      <c r="AD87">
        <v>0.023502598764009563</v>
      </c>
      <c r="AE87">
        <v>0.025355850279451173</v>
      </c>
      <c r="AF87">
        <v>0.05441820358978558</v>
      </c>
      <c r="AG87">
        <v>0.048353016811976658</v>
      </c>
      <c r="AH87">
        <v>0.00042119352623673051</v>
      </c>
      <c r="AI87">
        <v>0.0028641159784097677</v>
      </c>
      <c r="AJ87">
        <v>1.4909408441727787</v>
      </c>
      <c r="AK87">
        <v>0.017858605512437373</v>
      </c>
      <c r="AL87">
        <v>0.023502598764009563</v>
      </c>
      <c r="AM87">
        <v>0.10437175580146182</v>
      </c>
      <c r="AN87">
        <v>0.0032853095046464979</v>
      </c>
      <c r="AO87">
        <v>0.0030325933889044595</v>
      </c>
      <c r="AP87">
        <v>0.0016005353996995759</v>
      </c>
      <c r="AQ87">
        <v>0.0022744450416783447</v>
      </c>
      <c r="AR87">
        <v>0.0082553931142399176</v>
      </c>
      <c r="AS87">
        <v>0.00092662575772080704</v>
      </c>
      <c r="AT87">
        <v>0.00058967093673142272</v>
      </c>
      <c r="AU87" t="s">
        <v>111</v>
      </c>
      <c r="BJ87" t="str">
        <f t="shared" si="2"/>
        <v>3w_</v>
      </c>
      <c r="BK87" t="str">
        <f t="shared" si="3"/>
        <v>gsl</v>
      </c>
    </row>
    <row r="88" spans="1:63" ht="14.5">
      <c r="A88" t="s">
        <v>118</v>
      </c>
      <c r="B88" t="s">
        <v>62</v>
      </c>
      <c r="C88" t="s">
        <v>107</v>
      </c>
      <c r="D88" t="s">
        <v>111</v>
      </c>
      <c r="E88" t="s">
        <v>111</v>
      </c>
      <c r="F88" t="s">
        <v>111</v>
      </c>
      <c r="G88" t="s">
        <v>78</v>
      </c>
      <c r="H88" t="s">
        <v>111</v>
      </c>
      <c r="I88" t="s">
        <v>111</v>
      </c>
      <c r="J88" t="s">
        <v>111</v>
      </c>
      <c r="K88" t="s">
        <v>111</v>
      </c>
      <c r="L88">
        <v>0.23595261339781642</v>
      </c>
      <c r="M88">
        <v>0.40965282361784411</v>
      </c>
      <c r="N88">
        <v>0</v>
      </c>
      <c r="O88">
        <v>0.0010951031682154993</v>
      </c>
      <c r="P88">
        <v>0.00033695482098938443</v>
      </c>
      <c r="Q88">
        <v>0.0042961739676146511</v>
      </c>
      <c r="R88">
        <v>0.013309715429080684</v>
      </c>
      <c r="S88">
        <v>0</v>
      </c>
      <c r="T88">
        <v>0.00058967093673142272</v>
      </c>
      <c r="U88">
        <v>0.0013478192839575377</v>
      </c>
      <c r="V88">
        <v>0.0052227997253354577</v>
      </c>
      <c r="W88">
        <v>0.011540702618886416</v>
      </c>
      <c r="X88">
        <v>0.0017690128101942682</v>
      </c>
      <c r="Y88">
        <v>0.0020217289259363063</v>
      </c>
      <c r="Z88">
        <v>8.4238705247346107E-05</v>
      </c>
      <c r="AA88">
        <v>0.44267439607480374</v>
      </c>
      <c r="AB88">
        <v>0.00050543223148407659</v>
      </c>
      <c r="AC88">
        <v>0.0052227997253354577</v>
      </c>
      <c r="AD88">
        <v>0.023502598764009563</v>
      </c>
      <c r="AE88">
        <v>0.025355850279451173</v>
      </c>
      <c r="AF88">
        <v>0.05441820358978558</v>
      </c>
      <c r="AG88">
        <v>0.048353016811976658</v>
      </c>
      <c r="AH88">
        <v>0.00042119352623673051</v>
      </c>
      <c r="AI88">
        <v>0.0028641159784097677</v>
      </c>
      <c r="AJ88">
        <v>1.4909408441727787</v>
      </c>
      <c r="AK88">
        <v>0.017858605512437373</v>
      </c>
      <c r="AL88">
        <v>0.023502598764009563</v>
      </c>
      <c r="AM88">
        <v>0.10437175580146182</v>
      </c>
      <c r="AN88">
        <v>0.0032853095046464979</v>
      </c>
      <c r="AO88">
        <v>0.0030325933889044595</v>
      </c>
      <c r="AP88">
        <v>0.0016005353996995759</v>
      </c>
      <c r="AQ88">
        <v>0.0022744450416783447</v>
      </c>
      <c r="AR88">
        <v>0.0082553931142399176</v>
      </c>
      <c r="AS88">
        <v>0.00092662575772080704</v>
      </c>
      <c r="AT88">
        <v>0.00058967093673142272</v>
      </c>
      <c r="AU88" t="s">
        <v>111</v>
      </c>
      <c r="BJ88" t="str">
        <f t="shared" si="2"/>
        <v>3w_</v>
      </c>
      <c r="BK88" t="str">
        <f t="shared" si="3"/>
        <v>gsl</v>
      </c>
    </row>
    <row r="89" spans="1:63" ht="14.5">
      <c r="A89" t="s">
        <v>118</v>
      </c>
      <c r="B89" t="s">
        <v>62</v>
      </c>
      <c r="C89" t="s">
        <v>107</v>
      </c>
      <c r="D89" t="s">
        <v>111</v>
      </c>
      <c r="E89" t="s">
        <v>111</v>
      </c>
      <c r="F89" t="s">
        <v>111</v>
      </c>
      <c r="G89" t="s">
        <v>77</v>
      </c>
      <c r="H89" t="s">
        <v>111</v>
      </c>
      <c r="I89" t="s">
        <v>111</v>
      </c>
      <c r="J89" t="s">
        <v>111</v>
      </c>
      <c r="K89" t="s">
        <v>111</v>
      </c>
      <c r="L89">
        <v>0.23595261339781642</v>
      </c>
      <c r="M89">
        <v>0.40965282361784411</v>
      </c>
      <c r="N89">
        <v>0</v>
      </c>
      <c r="O89">
        <v>0.0010951031682154993</v>
      </c>
      <c r="P89">
        <v>0.00033695482098938443</v>
      </c>
      <c r="Q89">
        <v>0.0042961739676146511</v>
      </c>
      <c r="R89">
        <v>0.013309715429080684</v>
      </c>
      <c r="S89">
        <v>0</v>
      </c>
      <c r="T89">
        <v>0.00058967093673142272</v>
      </c>
      <c r="U89">
        <v>0.0013478192839575377</v>
      </c>
      <c r="V89">
        <v>0.0052227997253354577</v>
      </c>
      <c r="W89">
        <v>0.011540702618886416</v>
      </c>
      <c r="X89">
        <v>0.0017690128101942682</v>
      </c>
      <c r="Y89">
        <v>0.0020217289259363063</v>
      </c>
      <c r="Z89">
        <v>8.4238705247346107E-05</v>
      </c>
      <c r="AA89">
        <v>0.44267439607480374</v>
      </c>
      <c r="AB89">
        <v>0.00050543223148407659</v>
      </c>
      <c r="AC89">
        <v>0.0052227997253354577</v>
      </c>
      <c r="AD89">
        <v>0.023502598764009563</v>
      </c>
      <c r="AE89">
        <v>0.025355850279451173</v>
      </c>
      <c r="AF89">
        <v>0.05441820358978558</v>
      </c>
      <c r="AG89">
        <v>0.048353016811976658</v>
      </c>
      <c r="AH89">
        <v>0.00042119352623673051</v>
      </c>
      <c r="AI89">
        <v>0.0028641159784097677</v>
      </c>
      <c r="AJ89">
        <v>1.4909408441727787</v>
      </c>
      <c r="AK89">
        <v>0.017858605512437373</v>
      </c>
      <c r="AL89">
        <v>0.023502598764009563</v>
      </c>
      <c r="AM89">
        <v>0.10437175580146182</v>
      </c>
      <c r="AN89">
        <v>0.0032853095046464979</v>
      </c>
      <c r="AO89">
        <v>0.0030325933889044595</v>
      </c>
      <c r="AP89">
        <v>0.0016005353996995759</v>
      </c>
      <c r="AQ89">
        <v>0.0022744450416783447</v>
      </c>
      <c r="AR89">
        <v>0.0082553931142399176</v>
      </c>
      <c r="AS89">
        <v>0.00092662575772080704</v>
      </c>
      <c r="AT89">
        <v>0.00058967093673142272</v>
      </c>
      <c r="AU89" t="s">
        <v>111</v>
      </c>
      <c r="BJ89" t="str">
        <f t="shared" si="2"/>
        <v>3w_</v>
      </c>
      <c r="BK89" t="str">
        <f t="shared" si="3"/>
        <v>gsl</v>
      </c>
    </row>
    <row r="90" spans="1:63" ht="14.5">
      <c r="A90" t="s">
        <v>118</v>
      </c>
      <c r="B90" t="s">
        <v>62</v>
      </c>
      <c r="C90" t="s">
        <v>107</v>
      </c>
      <c r="D90" t="s">
        <v>111</v>
      </c>
      <c r="E90" t="s">
        <v>111</v>
      </c>
      <c r="F90" t="s">
        <v>111</v>
      </c>
      <c r="G90" t="s">
        <v>76</v>
      </c>
      <c r="H90" t="s">
        <v>111</v>
      </c>
      <c r="I90" t="s">
        <v>111</v>
      </c>
      <c r="J90" t="s">
        <v>111</v>
      </c>
      <c r="K90" t="s">
        <v>111</v>
      </c>
      <c r="L90">
        <v>0.23595261339781642</v>
      </c>
      <c r="M90">
        <v>0.40965282361784411</v>
      </c>
      <c r="N90">
        <v>0</v>
      </c>
      <c r="O90">
        <v>0.0010951031682154993</v>
      </c>
      <c r="P90">
        <v>0.00033695482098938443</v>
      </c>
      <c r="Q90">
        <v>0.0042961739676146511</v>
      </c>
      <c r="R90">
        <v>0.013309715429080684</v>
      </c>
      <c r="S90">
        <v>0</v>
      </c>
      <c r="T90">
        <v>0.00058967093673142272</v>
      </c>
      <c r="U90">
        <v>0.0013478192839575377</v>
      </c>
      <c r="V90">
        <v>0.0052227997253354577</v>
      </c>
      <c r="W90">
        <v>0.011540702618886416</v>
      </c>
      <c r="X90">
        <v>0.0017690128101942682</v>
      </c>
      <c r="Y90">
        <v>0.0020217289259363063</v>
      </c>
      <c r="Z90">
        <v>8.4238705247346107E-05</v>
      </c>
      <c r="AA90">
        <v>0.44267439607480374</v>
      </c>
      <c r="AB90">
        <v>0.00050543223148407659</v>
      </c>
      <c r="AC90">
        <v>0.0052227997253354577</v>
      </c>
      <c r="AD90">
        <v>0.023502598764009563</v>
      </c>
      <c r="AE90">
        <v>0.025355850279451173</v>
      </c>
      <c r="AF90">
        <v>0.05441820358978558</v>
      </c>
      <c r="AG90">
        <v>0.048353016811976658</v>
      </c>
      <c r="AH90">
        <v>0.00042119352623673051</v>
      </c>
      <c r="AI90">
        <v>0.0028641159784097677</v>
      </c>
      <c r="AJ90">
        <v>1.4909408441727787</v>
      </c>
      <c r="AK90">
        <v>0.017858605512437373</v>
      </c>
      <c r="AL90">
        <v>0.023502598764009563</v>
      </c>
      <c r="AM90">
        <v>0.10437175580146182</v>
      </c>
      <c r="AN90">
        <v>0.0032853095046464979</v>
      </c>
      <c r="AO90">
        <v>0.0030325933889044595</v>
      </c>
      <c r="AP90">
        <v>0.0016005353996995759</v>
      </c>
      <c r="AQ90">
        <v>0.0022744450416783447</v>
      </c>
      <c r="AR90">
        <v>0.0082553931142399176</v>
      </c>
      <c r="AS90">
        <v>0.00092662575772080704</v>
      </c>
      <c r="AT90">
        <v>0.00058967093673142272</v>
      </c>
      <c r="AU90" t="s">
        <v>111</v>
      </c>
      <c r="BJ90" t="str">
        <f t="shared" si="2"/>
        <v>3w_</v>
      </c>
      <c r="BK90" t="str">
        <f t="shared" si="3"/>
        <v>gsl</v>
      </c>
    </row>
    <row r="91" spans="1:63" ht="14.5">
      <c r="A91" t="s">
        <v>118</v>
      </c>
      <c r="B91" t="s">
        <v>62</v>
      </c>
      <c r="C91" t="s">
        <v>107</v>
      </c>
      <c r="D91" t="s">
        <v>111</v>
      </c>
      <c r="E91" t="s">
        <v>111</v>
      </c>
      <c r="F91" t="s">
        <v>111</v>
      </c>
      <c r="G91" t="s">
        <v>75</v>
      </c>
      <c r="H91" t="s">
        <v>111</v>
      </c>
      <c r="I91" t="s">
        <v>111</v>
      </c>
      <c r="J91" t="s">
        <v>111</v>
      </c>
      <c r="K91" t="s">
        <v>111</v>
      </c>
      <c r="L91">
        <v>0.23595261339781642</v>
      </c>
      <c r="M91">
        <v>0.40965282361784411</v>
      </c>
      <c r="N91">
        <v>0</v>
      </c>
      <c r="O91">
        <v>0.0010951031682154993</v>
      </c>
      <c r="P91">
        <v>0.00033695482098938443</v>
      </c>
      <c r="Q91">
        <v>0.0042961739676146511</v>
      </c>
      <c r="R91">
        <v>0.013309715429080684</v>
      </c>
      <c r="S91">
        <v>0</v>
      </c>
      <c r="T91">
        <v>0.00058967093673142272</v>
      </c>
      <c r="U91">
        <v>0.0013478192839575377</v>
      </c>
      <c r="V91">
        <v>0.0052227997253354577</v>
      </c>
      <c r="W91">
        <v>0.011540702618886416</v>
      </c>
      <c r="X91">
        <v>0.0017690128101942682</v>
      </c>
      <c r="Y91">
        <v>0.0020217289259363063</v>
      </c>
      <c r="Z91">
        <v>8.4238705247346107E-05</v>
      </c>
      <c r="AA91">
        <v>0.44267439607480374</v>
      </c>
      <c r="AB91">
        <v>0.00050543223148407659</v>
      </c>
      <c r="AC91">
        <v>0.0052227997253354577</v>
      </c>
      <c r="AD91">
        <v>0.023502598764009563</v>
      </c>
      <c r="AE91">
        <v>0.025355850279451173</v>
      </c>
      <c r="AF91">
        <v>0.05441820358978558</v>
      </c>
      <c r="AG91">
        <v>0.048353016811976658</v>
      </c>
      <c r="AH91">
        <v>0.00042119352623673051</v>
      </c>
      <c r="AI91">
        <v>0.0028641159784097677</v>
      </c>
      <c r="AJ91">
        <v>1.4909408441727787</v>
      </c>
      <c r="AK91">
        <v>0.017858605512437373</v>
      </c>
      <c r="AL91">
        <v>0.023502598764009563</v>
      </c>
      <c r="AM91">
        <v>0.10437175580146182</v>
      </c>
      <c r="AN91">
        <v>0.0032853095046464979</v>
      </c>
      <c r="AO91">
        <v>0.0030325933889044595</v>
      </c>
      <c r="AP91">
        <v>0.0016005353996995759</v>
      </c>
      <c r="AQ91">
        <v>0.0022744450416783447</v>
      </c>
      <c r="AR91">
        <v>0.0082553931142399176</v>
      </c>
      <c r="AS91">
        <v>0.00092662575772080704</v>
      </c>
      <c r="AT91">
        <v>0.00058967093673142272</v>
      </c>
      <c r="AU91" t="s">
        <v>111</v>
      </c>
      <c r="BJ91" t="str">
        <f t="shared" si="2"/>
        <v>3w_</v>
      </c>
      <c r="BK91" t="str">
        <f t="shared" si="3"/>
        <v>gsl</v>
      </c>
    </row>
    <row r="92" spans="1:63" ht="14.5">
      <c r="A92" t="s">
        <v>118</v>
      </c>
      <c r="B92" t="s">
        <v>62</v>
      </c>
      <c r="C92" t="s">
        <v>107</v>
      </c>
      <c r="D92" t="s">
        <v>111</v>
      </c>
      <c r="E92" t="s">
        <v>111</v>
      </c>
      <c r="F92" t="s">
        <v>111</v>
      </c>
      <c r="G92" t="s">
        <v>74</v>
      </c>
      <c r="H92" t="s">
        <v>111</v>
      </c>
      <c r="I92" t="s">
        <v>111</v>
      </c>
      <c r="J92" t="s">
        <v>111</v>
      </c>
      <c r="K92" t="s">
        <v>111</v>
      </c>
      <c r="L92">
        <v>0.23595261339781642</v>
      </c>
      <c r="M92">
        <v>0.40965282361784411</v>
      </c>
      <c r="N92">
        <v>0</v>
      </c>
      <c r="O92">
        <v>0.0010951031682154993</v>
      </c>
      <c r="P92">
        <v>0.00033695482098938443</v>
      </c>
      <c r="Q92">
        <v>0.0042961739676146511</v>
      </c>
      <c r="R92">
        <v>0.013309715429080684</v>
      </c>
      <c r="S92">
        <v>0</v>
      </c>
      <c r="T92">
        <v>0.00058967093673142272</v>
      </c>
      <c r="U92">
        <v>0.0013478192839575377</v>
      </c>
      <c r="V92">
        <v>0.0052227997253354577</v>
      </c>
      <c r="W92">
        <v>0.011540702618886416</v>
      </c>
      <c r="X92">
        <v>0.0017690128101942682</v>
      </c>
      <c r="Y92">
        <v>0.0020217289259363063</v>
      </c>
      <c r="Z92">
        <v>8.4238705247346107E-05</v>
      </c>
      <c r="AA92">
        <v>0.44267439607480374</v>
      </c>
      <c r="AB92">
        <v>0.00050543223148407659</v>
      </c>
      <c r="AC92">
        <v>0.0052227997253354577</v>
      </c>
      <c r="AD92">
        <v>0.023502598764009563</v>
      </c>
      <c r="AE92">
        <v>0.025355850279451173</v>
      </c>
      <c r="AF92">
        <v>0.05441820358978558</v>
      </c>
      <c r="AG92">
        <v>0.048353016811976658</v>
      </c>
      <c r="AH92">
        <v>0.00042119352623673051</v>
      </c>
      <c r="AI92">
        <v>0.0028641159784097677</v>
      </c>
      <c r="AJ92">
        <v>1.4909408441727787</v>
      </c>
      <c r="AK92">
        <v>0.017858605512437373</v>
      </c>
      <c r="AL92">
        <v>0.023502598764009563</v>
      </c>
      <c r="AM92">
        <v>0.10437175580146182</v>
      </c>
      <c r="AN92">
        <v>0.0032853095046464979</v>
      </c>
      <c r="AO92">
        <v>0.0030325933889044595</v>
      </c>
      <c r="AP92">
        <v>0.0016005353996995759</v>
      </c>
      <c r="AQ92">
        <v>0.0022744450416783447</v>
      </c>
      <c r="AR92">
        <v>0.0082553931142399176</v>
      </c>
      <c r="AS92">
        <v>0.00092662575772080704</v>
      </c>
      <c r="AT92">
        <v>0.00058967093673142272</v>
      </c>
      <c r="AU92" t="s">
        <v>111</v>
      </c>
      <c r="BJ92" t="str">
        <f t="shared" si="2"/>
        <v>3w_</v>
      </c>
      <c r="BK92" t="str">
        <f t="shared" si="3"/>
        <v>gsl</v>
      </c>
    </row>
    <row r="93" spans="1:63" ht="14.5">
      <c r="A93" t="s">
        <v>118</v>
      </c>
      <c r="B93" t="s">
        <v>62</v>
      </c>
      <c r="C93" t="s">
        <v>107</v>
      </c>
      <c r="D93" t="s">
        <v>111</v>
      </c>
      <c r="E93" t="s">
        <v>111</v>
      </c>
      <c r="F93" t="s">
        <v>111</v>
      </c>
      <c r="G93" t="s">
        <v>73</v>
      </c>
      <c r="H93" t="s">
        <v>111</v>
      </c>
      <c r="I93" t="s">
        <v>111</v>
      </c>
      <c r="J93" t="s">
        <v>111</v>
      </c>
      <c r="K93" t="s">
        <v>111</v>
      </c>
      <c r="L93">
        <v>0.23595261339781642</v>
      </c>
      <c r="M93">
        <v>0.40965282361784411</v>
      </c>
      <c r="N93">
        <v>0</v>
      </c>
      <c r="O93">
        <v>0.0010951031682154993</v>
      </c>
      <c r="P93">
        <v>0.00033695482098938443</v>
      </c>
      <c r="Q93">
        <v>0.0042961739676146511</v>
      </c>
      <c r="R93">
        <v>0.013309715429080684</v>
      </c>
      <c r="S93">
        <v>0</v>
      </c>
      <c r="T93">
        <v>0.00058967093673142272</v>
      </c>
      <c r="U93">
        <v>0.0013478192839575377</v>
      </c>
      <c r="V93">
        <v>0.0052227997253354577</v>
      </c>
      <c r="W93">
        <v>0.011540702618886416</v>
      </c>
      <c r="X93">
        <v>0.0017690128101942682</v>
      </c>
      <c r="Y93">
        <v>0.0020217289259363063</v>
      </c>
      <c r="Z93">
        <v>8.4238705247346107E-05</v>
      </c>
      <c r="AA93">
        <v>0.44267439607480374</v>
      </c>
      <c r="AB93">
        <v>0.00050543223148407659</v>
      </c>
      <c r="AC93">
        <v>0.0052227997253354577</v>
      </c>
      <c r="AD93">
        <v>0.023502598764009563</v>
      </c>
      <c r="AE93">
        <v>0.025355850279451173</v>
      </c>
      <c r="AF93">
        <v>0.05441820358978558</v>
      </c>
      <c r="AG93">
        <v>0.048353016811976658</v>
      </c>
      <c r="AH93">
        <v>0.00042119352623673051</v>
      </c>
      <c r="AI93">
        <v>0.0028641159784097677</v>
      </c>
      <c r="AJ93">
        <v>1.4909408441727787</v>
      </c>
      <c r="AK93">
        <v>0.017858605512437373</v>
      </c>
      <c r="AL93">
        <v>0.023502598764009563</v>
      </c>
      <c r="AM93">
        <v>0.10437175580146182</v>
      </c>
      <c r="AN93">
        <v>0.0032853095046464979</v>
      </c>
      <c r="AO93">
        <v>0.0030325933889044595</v>
      </c>
      <c r="AP93">
        <v>0.0016005353996995759</v>
      </c>
      <c r="AQ93">
        <v>0.0022744450416783447</v>
      </c>
      <c r="AR93">
        <v>0.0082553931142399176</v>
      </c>
      <c r="AS93">
        <v>0.00092662575772080704</v>
      </c>
      <c r="AT93">
        <v>0.00058967093673142272</v>
      </c>
      <c r="AU93" t="s">
        <v>111</v>
      </c>
      <c r="BJ93" t="str">
        <f t="shared" si="2"/>
        <v>3w_</v>
      </c>
      <c r="BK93" t="str">
        <f t="shared" si="3"/>
        <v>gsl</v>
      </c>
    </row>
    <row r="94" spans="1:63" ht="14.5">
      <c r="A94" t="s">
        <v>118</v>
      </c>
      <c r="B94" t="s">
        <v>62</v>
      </c>
      <c r="C94" t="s">
        <v>107</v>
      </c>
      <c r="D94" t="s">
        <v>111</v>
      </c>
      <c r="E94" t="s">
        <v>111</v>
      </c>
      <c r="F94" t="s">
        <v>111</v>
      </c>
      <c r="G94" t="s">
        <v>72</v>
      </c>
      <c r="H94" t="s">
        <v>111</v>
      </c>
      <c r="I94" t="s">
        <v>111</v>
      </c>
      <c r="J94" t="s">
        <v>111</v>
      </c>
      <c r="K94" t="s">
        <v>111</v>
      </c>
      <c r="L94">
        <v>0.23595261339781642</v>
      </c>
      <c r="M94">
        <v>0.40965282361784411</v>
      </c>
      <c r="N94">
        <v>0</v>
      </c>
      <c r="O94">
        <v>0.0010951031682154993</v>
      </c>
      <c r="P94">
        <v>0.00033695482098938443</v>
      </c>
      <c r="Q94">
        <v>0.0042961739676146511</v>
      </c>
      <c r="R94">
        <v>0.013309715429080684</v>
      </c>
      <c r="S94">
        <v>0</v>
      </c>
      <c r="T94">
        <v>0.00058967093673142272</v>
      </c>
      <c r="U94">
        <v>0.0013478192839575377</v>
      </c>
      <c r="V94">
        <v>0.0052227997253354577</v>
      </c>
      <c r="W94">
        <v>0.011540702618886416</v>
      </c>
      <c r="X94">
        <v>0.0017690128101942682</v>
      </c>
      <c r="Y94">
        <v>0.0020217289259363063</v>
      </c>
      <c r="Z94">
        <v>8.4238705247346107E-05</v>
      </c>
      <c r="AA94">
        <v>0.44267439607480374</v>
      </c>
      <c r="AB94">
        <v>0.00050543223148407659</v>
      </c>
      <c r="AC94">
        <v>0.0052227997253354577</v>
      </c>
      <c r="AD94">
        <v>0.023502598764009563</v>
      </c>
      <c r="AE94">
        <v>0.025355850279451173</v>
      </c>
      <c r="AF94">
        <v>0.05441820358978558</v>
      </c>
      <c r="AG94">
        <v>0.048353016811976658</v>
      </c>
      <c r="AH94">
        <v>0.00042119352623673051</v>
      </c>
      <c r="AI94">
        <v>0.0028641159784097677</v>
      </c>
      <c r="AJ94">
        <v>1.4909408441727787</v>
      </c>
      <c r="AK94">
        <v>0.017858605512437373</v>
      </c>
      <c r="AL94">
        <v>0.023502598764009563</v>
      </c>
      <c r="AM94">
        <v>0.10437175580146182</v>
      </c>
      <c r="AN94">
        <v>0.0032853095046464979</v>
      </c>
      <c r="AO94">
        <v>0.0030325933889044595</v>
      </c>
      <c r="AP94">
        <v>0.0016005353996995759</v>
      </c>
      <c r="AQ94">
        <v>0.0022744450416783447</v>
      </c>
      <c r="AR94">
        <v>0.0082553931142399176</v>
      </c>
      <c r="AS94">
        <v>0.00092662575772080704</v>
      </c>
      <c r="AT94">
        <v>0.00058967093673142272</v>
      </c>
      <c r="AU94" t="s">
        <v>111</v>
      </c>
      <c r="BJ94" t="str">
        <f t="shared" si="2"/>
        <v>3w_</v>
      </c>
      <c r="BK94" t="str">
        <f t="shared" si="3"/>
        <v>gsl</v>
      </c>
    </row>
    <row r="95" spans="1:63" ht="14.5">
      <c r="A95" t="s">
        <v>118</v>
      </c>
      <c r="B95" t="s">
        <v>62</v>
      </c>
      <c r="C95" t="s">
        <v>107</v>
      </c>
      <c r="D95" t="s">
        <v>111</v>
      </c>
      <c r="E95" t="s">
        <v>111</v>
      </c>
      <c r="F95" t="s">
        <v>111</v>
      </c>
      <c r="G95" t="s">
        <v>71</v>
      </c>
      <c r="H95" t="s">
        <v>111</v>
      </c>
      <c r="I95" t="s">
        <v>111</v>
      </c>
      <c r="J95" t="s">
        <v>111</v>
      </c>
      <c r="K95" t="s">
        <v>111</v>
      </c>
      <c r="L95">
        <v>0.23595261339781642</v>
      </c>
      <c r="M95">
        <v>0.40965282361784411</v>
      </c>
      <c r="N95">
        <v>0</v>
      </c>
      <c r="O95">
        <v>0.0010951031682154993</v>
      </c>
      <c r="P95">
        <v>0.00033695482098938443</v>
      </c>
      <c r="Q95">
        <v>0.0042961739676146511</v>
      </c>
      <c r="R95">
        <v>0.013309715429080684</v>
      </c>
      <c r="S95">
        <v>0</v>
      </c>
      <c r="T95">
        <v>0.00058967093673142272</v>
      </c>
      <c r="U95">
        <v>0.0013478192839575377</v>
      </c>
      <c r="V95">
        <v>0.0052227997253354577</v>
      </c>
      <c r="W95">
        <v>0.011540702618886416</v>
      </c>
      <c r="X95">
        <v>0.0017690128101942682</v>
      </c>
      <c r="Y95">
        <v>0.0020217289259363063</v>
      </c>
      <c r="Z95">
        <v>8.4238705247346107E-05</v>
      </c>
      <c r="AA95">
        <v>0.44267439607480374</v>
      </c>
      <c r="AB95">
        <v>0.00050543223148407659</v>
      </c>
      <c r="AC95">
        <v>0.0052227997253354577</v>
      </c>
      <c r="AD95">
        <v>0.023502598764009563</v>
      </c>
      <c r="AE95">
        <v>0.025355850279451173</v>
      </c>
      <c r="AF95">
        <v>0.05441820358978558</v>
      </c>
      <c r="AG95">
        <v>0.048353016811976658</v>
      </c>
      <c r="AH95">
        <v>0.00042119352623673051</v>
      </c>
      <c r="AI95">
        <v>0.0028641159784097677</v>
      </c>
      <c r="AJ95">
        <v>1.4909408441727787</v>
      </c>
      <c r="AK95">
        <v>0.017858605512437373</v>
      </c>
      <c r="AL95">
        <v>0.023502598764009563</v>
      </c>
      <c r="AM95">
        <v>0.10437175580146182</v>
      </c>
      <c r="AN95">
        <v>0.0032853095046464979</v>
      </c>
      <c r="AO95">
        <v>0.0030325933889044595</v>
      </c>
      <c r="AP95">
        <v>0.0016005353996995759</v>
      </c>
      <c r="AQ95">
        <v>0.0022744450416783447</v>
      </c>
      <c r="AR95">
        <v>0.0082553931142399176</v>
      </c>
      <c r="AS95">
        <v>0.00092662575772080704</v>
      </c>
      <c r="AT95">
        <v>0.00058967093673142272</v>
      </c>
      <c r="AU95" t="s">
        <v>111</v>
      </c>
      <c r="BJ95" t="str">
        <f t="shared" si="2"/>
        <v>3w_</v>
      </c>
      <c r="BK95" t="str">
        <f t="shared" si="3"/>
        <v>gsl</v>
      </c>
    </row>
    <row r="96" spans="1:63" ht="14.5">
      <c r="A96" t="s">
        <v>118</v>
      </c>
      <c r="B96" t="s">
        <v>62</v>
      </c>
      <c r="C96" t="s">
        <v>107</v>
      </c>
      <c r="D96" t="s">
        <v>111</v>
      </c>
      <c r="E96" t="s">
        <v>111</v>
      </c>
      <c r="F96" t="s">
        <v>111</v>
      </c>
      <c r="G96" t="s">
        <v>70</v>
      </c>
      <c r="H96" t="s">
        <v>111</v>
      </c>
      <c r="I96" t="s">
        <v>111</v>
      </c>
      <c r="J96" t="s">
        <v>111</v>
      </c>
      <c r="K96" t="s">
        <v>111</v>
      </c>
      <c r="L96">
        <v>0.23595261339781642</v>
      </c>
      <c r="M96">
        <v>0.40965282361784411</v>
      </c>
      <c r="N96">
        <v>0</v>
      </c>
      <c r="O96">
        <v>0.0010951031682154993</v>
      </c>
      <c r="P96">
        <v>0.00033695482098938443</v>
      </c>
      <c r="Q96">
        <v>0.0042961739676146511</v>
      </c>
      <c r="R96">
        <v>0.013309715429080684</v>
      </c>
      <c r="S96">
        <v>0</v>
      </c>
      <c r="T96">
        <v>0.00058967093673142272</v>
      </c>
      <c r="U96">
        <v>0.0013478192839575377</v>
      </c>
      <c r="V96">
        <v>0.0052227997253354577</v>
      </c>
      <c r="W96">
        <v>0.011540702618886416</v>
      </c>
      <c r="X96">
        <v>0.0017690128101942682</v>
      </c>
      <c r="Y96">
        <v>0.0020217289259363063</v>
      </c>
      <c r="Z96">
        <v>8.4238705247346107E-05</v>
      </c>
      <c r="AA96">
        <v>0.44267439607480374</v>
      </c>
      <c r="AB96">
        <v>0.00050543223148407659</v>
      </c>
      <c r="AC96">
        <v>0.0052227997253354577</v>
      </c>
      <c r="AD96">
        <v>0.023502598764009563</v>
      </c>
      <c r="AE96">
        <v>0.025355850279451173</v>
      </c>
      <c r="AF96">
        <v>0.05441820358978558</v>
      </c>
      <c r="AG96">
        <v>0.048353016811976658</v>
      </c>
      <c r="AH96">
        <v>0.00042119352623673051</v>
      </c>
      <c r="AI96">
        <v>0.0028641159784097677</v>
      </c>
      <c r="AJ96">
        <v>1.4909408441727787</v>
      </c>
      <c r="AK96">
        <v>0.017858605512437373</v>
      </c>
      <c r="AL96">
        <v>0.023502598764009563</v>
      </c>
      <c r="AM96">
        <v>0.10437175580146182</v>
      </c>
      <c r="AN96">
        <v>0.0032853095046464979</v>
      </c>
      <c r="AO96">
        <v>0.0030325933889044595</v>
      </c>
      <c r="AP96">
        <v>0.0016005353996995759</v>
      </c>
      <c r="AQ96">
        <v>0.0022744450416783447</v>
      </c>
      <c r="AR96">
        <v>0.0082553931142399176</v>
      </c>
      <c r="AS96">
        <v>0.00092662575772080704</v>
      </c>
      <c r="AT96">
        <v>0.00058967093673142272</v>
      </c>
      <c r="AU96" t="s">
        <v>111</v>
      </c>
      <c r="BJ96" t="str">
        <f t="shared" si="2"/>
        <v>3w_</v>
      </c>
      <c r="BK96" t="str">
        <f t="shared" si="3"/>
        <v>gsl</v>
      </c>
    </row>
    <row r="97" spans="1:63" ht="14.5">
      <c r="A97" t="s">
        <v>118</v>
      </c>
      <c r="B97" t="s">
        <v>62</v>
      </c>
      <c r="C97" t="s">
        <v>107</v>
      </c>
      <c r="D97" t="s">
        <v>111</v>
      </c>
      <c r="E97" t="s">
        <v>111</v>
      </c>
      <c r="F97" t="s">
        <v>111</v>
      </c>
      <c r="G97" t="s">
        <v>69</v>
      </c>
      <c r="H97" t="s">
        <v>111</v>
      </c>
      <c r="I97" t="s">
        <v>111</v>
      </c>
      <c r="J97" t="s">
        <v>111</v>
      </c>
      <c r="K97" t="s">
        <v>111</v>
      </c>
      <c r="L97">
        <v>0.23595261339781642</v>
      </c>
      <c r="M97">
        <v>0.40965282361784411</v>
      </c>
      <c r="N97">
        <v>0</v>
      </c>
      <c r="O97">
        <v>0.0010951031682154993</v>
      </c>
      <c r="P97">
        <v>0.00033695482098938443</v>
      </c>
      <c r="Q97">
        <v>0.0042961739676146511</v>
      </c>
      <c r="R97">
        <v>0.013309715429080684</v>
      </c>
      <c r="S97">
        <v>0</v>
      </c>
      <c r="T97">
        <v>0.00058967093673142272</v>
      </c>
      <c r="U97">
        <v>0.0013478192839575377</v>
      </c>
      <c r="V97">
        <v>0.0052227997253354577</v>
      </c>
      <c r="W97">
        <v>0.011540702618886416</v>
      </c>
      <c r="X97">
        <v>0.0017690128101942682</v>
      </c>
      <c r="Y97">
        <v>0.0020217289259363063</v>
      </c>
      <c r="Z97">
        <v>8.4238705247346107E-05</v>
      </c>
      <c r="AA97">
        <v>0.44267439607480374</v>
      </c>
      <c r="AB97">
        <v>0.00050543223148407659</v>
      </c>
      <c r="AC97">
        <v>0.0052227997253354577</v>
      </c>
      <c r="AD97">
        <v>0.023502598764009563</v>
      </c>
      <c r="AE97">
        <v>0.025355850279451173</v>
      </c>
      <c r="AF97">
        <v>0.05441820358978558</v>
      </c>
      <c r="AG97">
        <v>0.048353016811976658</v>
      </c>
      <c r="AH97">
        <v>0.00042119352623673051</v>
      </c>
      <c r="AI97">
        <v>0.0028641159784097677</v>
      </c>
      <c r="AJ97">
        <v>1.4909408441727787</v>
      </c>
      <c r="AK97">
        <v>0.017858605512437373</v>
      </c>
      <c r="AL97">
        <v>0.023502598764009563</v>
      </c>
      <c r="AM97">
        <v>0.10437175580146182</v>
      </c>
      <c r="AN97">
        <v>0.0032853095046464979</v>
      </c>
      <c r="AO97">
        <v>0.0030325933889044595</v>
      </c>
      <c r="AP97">
        <v>0.0016005353996995759</v>
      </c>
      <c r="AQ97">
        <v>0.0022744450416783447</v>
      </c>
      <c r="AR97">
        <v>0.0082553931142399176</v>
      </c>
      <c r="AS97">
        <v>0.00092662575772080704</v>
      </c>
      <c r="AT97">
        <v>0.00058967093673142272</v>
      </c>
      <c r="AU97" t="s">
        <v>111</v>
      </c>
      <c r="BJ97" t="str">
        <f t="shared" si="2"/>
        <v>3w_</v>
      </c>
      <c r="BK97" t="str">
        <f t="shared" si="3"/>
        <v>gsl</v>
      </c>
    </row>
    <row r="98" spans="1:63" ht="14.5">
      <c r="A98" t="s">
        <v>118</v>
      </c>
      <c r="B98" t="s">
        <v>62</v>
      </c>
      <c r="C98" t="s">
        <v>107</v>
      </c>
      <c r="D98" t="s">
        <v>111</v>
      </c>
      <c r="E98" t="s">
        <v>111</v>
      </c>
      <c r="F98" t="s">
        <v>111</v>
      </c>
      <c r="G98" t="s">
        <v>68</v>
      </c>
      <c r="H98" t="s">
        <v>111</v>
      </c>
      <c r="I98" t="s">
        <v>111</v>
      </c>
      <c r="J98" t="s">
        <v>111</v>
      </c>
      <c r="K98" t="s">
        <v>111</v>
      </c>
      <c r="L98">
        <v>0.23595261339781642</v>
      </c>
      <c r="M98">
        <v>0.40965282361784411</v>
      </c>
      <c r="N98">
        <v>0</v>
      </c>
      <c r="O98">
        <v>0.0010951031682154993</v>
      </c>
      <c r="P98">
        <v>0.00033695482098938443</v>
      </c>
      <c r="Q98">
        <v>0.0042961739676146511</v>
      </c>
      <c r="R98">
        <v>0.013309715429080684</v>
      </c>
      <c r="S98">
        <v>0</v>
      </c>
      <c r="T98">
        <v>0.00058967093673142272</v>
      </c>
      <c r="U98">
        <v>0.0013478192839575377</v>
      </c>
      <c r="V98">
        <v>0.0052227997253354577</v>
      </c>
      <c r="W98">
        <v>0.011540702618886416</v>
      </c>
      <c r="X98">
        <v>0.0017690128101942682</v>
      </c>
      <c r="Y98">
        <v>0.0020217289259363063</v>
      </c>
      <c r="Z98">
        <v>8.4238705247346107E-05</v>
      </c>
      <c r="AA98">
        <v>0.44267439607480374</v>
      </c>
      <c r="AB98">
        <v>0.00050543223148407659</v>
      </c>
      <c r="AC98">
        <v>0.0052227997253354577</v>
      </c>
      <c r="AD98">
        <v>0.023502598764009563</v>
      </c>
      <c r="AE98">
        <v>0.025355850279451173</v>
      </c>
      <c r="AF98">
        <v>0.05441820358978558</v>
      </c>
      <c r="AG98">
        <v>0.048353016811976658</v>
      </c>
      <c r="AH98">
        <v>0.00042119352623673051</v>
      </c>
      <c r="AI98">
        <v>0.0028641159784097677</v>
      </c>
      <c r="AJ98">
        <v>1.4909408441727787</v>
      </c>
      <c r="AK98">
        <v>0.017858605512437373</v>
      </c>
      <c r="AL98">
        <v>0.023502598764009563</v>
      </c>
      <c r="AM98">
        <v>0.10437175580146182</v>
      </c>
      <c r="AN98">
        <v>0.0032853095046464979</v>
      </c>
      <c r="AO98">
        <v>0.0030325933889044595</v>
      </c>
      <c r="AP98">
        <v>0.0016005353996995759</v>
      </c>
      <c r="AQ98">
        <v>0.0022744450416783447</v>
      </c>
      <c r="AR98">
        <v>0.0082553931142399176</v>
      </c>
      <c r="AS98">
        <v>0.00092662575772080704</v>
      </c>
      <c r="AT98">
        <v>0.00058967093673142272</v>
      </c>
      <c r="AU98" t="s">
        <v>111</v>
      </c>
      <c r="BJ98" t="str">
        <f t="shared" si="2"/>
        <v>3w_</v>
      </c>
      <c r="BK98" t="str">
        <f t="shared" si="3"/>
        <v>gsl</v>
      </c>
    </row>
    <row r="99" spans="1:63" ht="14.5">
      <c r="A99" t="s">
        <v>118</v>
      </c>
      <c r="B99" t="s">
        <v>62</v>
      </c>
      <c r="C99" t="s">
        <v>107</v>
      </c>
      <c r="D99" t="s">
        <v>111</v>
      </c>
      <c r="E99" t="s">
        <v>111</v>
      </c>
      <c r="F99" t="s">
        <v>111</v>
      </c>
      <c r="G99" t="s">
        <v>67</v>
      </c>
      <c r="H99" t="s">
        <v>111</v>
      </c>
      <c r="I99" t="s">
        <v>111</v>
      </c>
      <c r="J99" t="s">
        <v>111</v>
      </c>
      <c r="K99" t="s">
        <v>111</v>
      </c>
      <c r="L99">
        <v>0.23595261339781642</v>
      </c>
      <c r="M99">
        <v>0.40965282361784411</v>
      </c>
      <c r="N99">
        <v>0</v>
      </c>
      <c r="O99">
        <v>0.0010951031682154993</v>
      </c>
      <c r="P99">
        <v>0.00033695482098938443</v>
      </c>
      <c r="Q99">
        <v>0.0042961739676146511</v>
      </c>
      <c r="R99">
        <v>0.013309715429080684</v>
      </c>
      <c r="S99">
        <v>0</v>
      </c>
      <c r="T99">
        <v>0.00058967093673142272</v>
      </c>
      <c r="U99">
        <v>0.0013478192839575377</v>
      </c>
      <c r="V99">
        <v>0.0052227997253354577</v>
      </c>
      <c r="W99">
        <v>0.011540702618886416</v>
      </c>
      <c r="X99">
        <v>0.0017690128101942682</v>
      </c>
      <c r="Y99">
        <v>0.0020217289259363063</v>
      </c>
      <c r="Z99">
        <v>8.4238705247346107E-05</v>
      </c>
      <c r="AA99">
        <v>0.44267439607480374</v>
      </c>
      <c r="AB99">
        <v>0.00050543223148407659</v>
      </c>
      <c r="AC99">
        <v>0.0052227997253354577</v>
      </c>
      <c r="AD99">
        <v>0.023502598764009563</v>
      </c>
      <c r="AE99">
        <v>0.025355850279451173</v>
      </c>
      <c r="AF99">
        <v>0.05441820358978558</v>
      </c>
      <c r="AG99">
        <v>0.048353016811976658</v>
      </c>
      <c r="AH99">
        <v>0.00042119352623673051</v>
      </c>
      <c r="AI99">
        <v>0.0028641159784097677</v>
      </c>
      <c r="AJ99">
        <v>1.4909408441727787</v>
      </c>
      <c r="AK99">
        <v>0.017858605512437373</v>
      </c>
      <c r="AL99">
        <v>0.023502598764009563</v>
      </c>
      <c r="AM99">
        <v>0.10437175580146182</v>
      </c>
      <c r="AN99">
        <v>0.0032853095046464979</v>
      </c>
      <c r="AO99">
        <v>0.0030325933889044595</v>
      </c>
      <c r="AP99">
        <v>0.0016005353996995759</v>
      </c>
      <c r="AQ99">
        <v>0.0022744450416783447</v>
      </c>
      <c r="AR99">
        <v>0.0082553931142399176</v>
      </c>
      <c r="AS99">
        <v>0.00092662575772080704</v>
      </c>
      <c r="AT99">
        <v>0.00058967093673142272</v>
      </c>
      <c r="AU99" t="s">
        <v>111</v>
      </c>
      <c r="BJ99" t="str">
        <f t="shared" si="2"/>
        <v>3w_</v>
      </c>
      <c r="BK99" t="str">
        <f t="shared" si="3"/>
        <v>gsl</v>
      </c>
    </row>
    <row r="100" spans="1:63" ht="14.5">
      <c r="A100" t="s">
        <v>118</v>
      </c>
      <c r="B100" t="s">
        <v>62</v>
      </c>
      <c r="C100" t="s">
        <v>107</v>
      </c>
      <c r="D100" t="s">
        <v>111</v>
      </c>
      <c r="E100" t="s">
        <v>111</v>
      </c>
      <c r="F100" t="s">
        <v>111</v>
      </c>
      <c r="G100" t="s">
        <v>66</v>
      </c>
      <c r="H100" t="s">
        <v>111</v>
      </c>
      <c r="I100" t="s">
        <v>111</v>
      </c>
      <c r="J100" t="s">
        <v>111</v>
      </c>
      <c r="K100" t="s">
        <v>111</v>
      </c>
      <c r="L100">
        <v>0.23595261339781642</v>
      </c>
      <c r="M100">
        <v>0.40965282361784411</v>
      </c>
      <c r="N100">
        <v>0</v>
      </c>
      <c r="O100">
        <v>0.0010951031682154993</v>
      </c>
      <c r="P100">
        <v>0.00033695482098938443</v>
      </c>
      <c r="Q100">
        <v>0.0042961739676146511</v>
      </c>
      <c r="R100">
        <v>0.013309715429080684</v>
      </c>
      <c r="S100">
        <v>0</v>
      </c>
      <c r="T100">
        <v>0.00058967093673142272</v>
      </c>
      <c r="U100">
        <v>0.0013478192839575377</v>
      </c>
      <c r="V100">
        <v>0.0052227997253354577</v>
      </c>
      <c r="W100">
        <v>0.011540702618886416</v>
      </c>
      <c r="X100">
        <v>0.0017690128101942682</v>
      </c>
      <c r="Y100">
        <v>0.0020217289259363063</v>
      </c>
      <c r="Z100">
        <v>8.4238705247346107E-05</v>
      </c>
      <c r="AA100">
        <v>0.44267439607480374</v>
      </c>
      <c r="AB100">
        <v>0.00050543223148407659</v>
      </c>
      <c r="AC100">
        <v>0.0052227997253354577</v>
      </c>
      <c r="AD100">
        <v>0.023502598764009563</v>
      </c>
      <c r="AE100">
        <v>0.025355850279451173</v>
      </c>
      <c r="AF100">
        <v>0.05441820358978558</v>
      </c>
      <c r="AG100">
        <v>0.048353016811976658</v>
      </c>
      <c r="AH100">
        <v>0.00042119352623673051</v>
      </c>
      <c r="AI100">
        <v>0.0028641159784097677</v>
      </c>
      <c r="AJ100">
        <v>1.4909408441727787</v>
      </c>
      <c r="AK100">
        <v>0.017858605512437373</v>
      </c>
      <c r="AL100">
        <v>0.023502598764009563</v>
      </c>
      <c r="AM100">
        <v>0.10437175580146182</v>
      </c>
      <c r="AN100">
        <v>0.0032853095046464979</v>
      </c>
      <c r="AO100">
        <v>0.0030325933889044595</v>
      </c>
      <c r="AP100">
        <v>0.0016005353996995759</v>
      </c>
      <c r="AQ100">
        <v>0.0022744450416783447</v>
      </c>
      <c r="AR100">
        <v>0.0082553931142399176</v>
      </c>
      <c r="AS100">
        <v>0.00092662575772080704</v>
      </c>
      <c r="AT100">
        <v>0.00058967093673142272</v>
      </c>
      <c r="AU100" t="s">
        <v>111</v>
      </c>
      <c r="BJ100" t="str">
        <f t="shared" si="2"/>
        <v>3w_</v>
      </c>
      <c r="BK100" t="str">
        <f t="shared" si="3"/>
        <v>gsl</v>
      </c>
    </row>
    <row r="101" spans="1:63" ht="14.5">
      <c r="A101" t="s">
        <v>118</v>
      </c>
      <c r="B101" t="s">
        <v>62</v>
      </c>
      <c r="C101" t="s">
        <v>107</v>
      </c>
      <c r="D101" t="s">
        <v>111</v>
      </c>
      <c r="E101" t="s">
        <v>111</v>
      </c>
      <c r="F101" t="s">
        <v>111</v>
      </c>
      <c r="G101" t="s">
        <v>65</v>
      </c>
      <c r="H101" t="s">
        <v>111</v>
      </c>
      <c r="I101" t="s">
        <v>111</v>
      </c>
      <c r="J101" t="s">
        <v>111</v>
      </c>
      <c r="K101" t="s">
        <v>111</v>
      </c>
      <c r="L101">
        <v>0.23595261339781642</v>
      </c>
      <c r="M101">
        <v>0.40965282361784411</v>
      </c>
      <c r="N101">
        <v>0</v>
      </c>
      <c r="O101">
        <v>0.0010951031682154993</v>
      </c>
      <c r="P101">
        <v>0.00033695482098938443</v>
      </c>
      <c r="Q101">
        <v>0.0042961739676146511</v>
      </c>
      <c r="R101">
        <v>0.013309715429080684</v>
      </c>
      <c r="S101">
        <v>0</v>
      </c>
      <c r="T101">
        <v>0.00058967093673142272</v>
      </c>
      <c r="U101">
        <v>0.0013478192839575377</v>
      </c>
      <c r="V101">
        <v>0.0052227997253354577</v>
      </c>
      <c r="W101">
        <v>0.011540702618886416</v>
      </c>
      <c r="X101">
        <v>0.0017690128101942682</v>
      </c>
      <c r="Y101">
        <v>0.0020217289259363063</v>
      </c>
      <c r="Z101">
        <v>8.4238705247346107E-05</v>
      </c>
      <c r="AA101">
        <v>0.44267439607480374</v>
      </c>
      <c r="AB101">
        <v>0.00050543223148407659</v>
      </c>
      <c r="AC101">
        <v>0.0052227997253354577</v>
      </c>
      <c r="AD101">
        <v>0.023502598764009563</v>
      </c>
      <c r="AE101">
        <v>0.025355850279451173</v>
      </c>
      <c r="AF101">
        <v>0.05441820358978558</v>
      </c>
      <c r="AG101">
        <v>0.048353016811976658</v>
      </c>
      <c r="AH101">
        <v>0.00042119352623673051</v>
      </c>
      <c r="AI101">
        <v>0.0028641159784097677</v>
      </c>
      <c r="AJ101">
        <v>1.4909408441727787</v>
      </c>
      <c r="AK101">
        <v>0.017858605512437373</v>
      </c>
      <c r="AL101">
        <v>0.023502598764009563</v>
      </c>
      <c r="AM101">
        <v>0.10437175580146182</v>
      </c>
      <c r="AN101">
        <v>0.0032853095046464979</v>
      </c>
      <c r="AO101">
        <v>0.0030325933889044595</v>
      </c>
      <c r="AP101">
        <v>0.0016005353996995759</v>
      </c>
      <c r="AQ101">
        <v>0.0022744450416783447</v>
      </c>
      <c r="AR101">
        <v>0.0082553931142399176</v>
      </c>
      <c r="AS101">
        <v>0.00092662575772080704</v>
      </c>
      <c r="AT101">
        <v>0.00058967093673142272</v>
      </c>
      <c r="AU101" t="s">
        <v>111</v>
      </c>
      <c r="BJ101" t="str">
        <f t="shared" si="2"/>
        <v>3w_</v>
      </c>
      <c r="BK101" t="str">
        <f t="shared" si="3"/>
        <v>gsl</v>
      </c>
    </row>
    <row r="102" spans="1:63" ht="14.5">
      <c r="A102" t="s">
        <v>118</v>
      </c>
      <c r="B102" t="s">
        <v>62</v>
      </c>
      <c r="C102" t="s">
        <v>106</v>
      </c>
      <c r="D102" t="s">
        <v>111</v>
      </c>
      <c r="E102" t="s">
        <v>111</v>
      </c>
      <c r="F102" t="s">
        <v>111</v>
      </c>
      <c r="G102" t="s">
        <v>61</v>
      </c>
      <c r="H102" t="s">
        <v>111</v>
      </c>
      <c r="I102" t="s">
        <v>111</v>
      </c>
      <c r="J102" t="s">
        <v>111</v>
      </c>
      <c r="K102" t="s">
        <v>111</v>
      </c>
      <c r="L102">
        <v>0</v>
      </c>
      <c r="M102">
        <v>0</v>
      </c>
      <c r="N102">
        <v>0</v>
      </c>
      <c r="O102">
        <v>8.4238705247346107E-05</v>
      </c>
      <c r="P102">
        <v>8.4238705247346107E-05</v>
      </c>
      <c r="Q102">
        <v>0.00025271611574203829</v>
      </c>
      <c r="R102">
        <v>0.010529838155918262</v>
      </c>
      <c r="S102">
        <v>0.0021059676311836525</v>
      </c>
      <c r="T102">
        <v>8.4238705247346107E-05</v>
      </c>
      <c r="U102">
        <v>0.00025271611574203829</v>
      </c>
      <c r="V102">
        <v>0.00075814834722611488</v>
      </c>
      <c r="W102">
        <v>0.00058967093673142272</v>
      </c>
      <c r="X102">
        <v>8.4238705247346107E-05</v>
      </c>
      <c r="Y102">
        <v>0.00033695482098938443</v>
      </c>
      <c r="Z102">
        <v>0</v>
      </c>
      <c r="AA102">
        <v>8.4238705247346107E-05</v>
      </c>
      <c r="AB102">
        <v>8.4238705247346107E-05</v>
      </c>
      <c r="AC102">
        <v>0.00033695482098938443</v>
      </c>
      <c r="AD102">
        <v>0</v>
      </c>
      <c r="AE102">
        <v>0.0011793418734628454</v>
      </c>
      <c r="AF102">
        <v>0</v>
      </c>
      <c r="AG102">
        <v>0.0013478192839575377</v>
      </c>
      <c r="AH102">
        <v>8.4238705247346107E-05</v>
      </c>
      <c r="AI102">
        <v>0.00050543223148407659</v>
      </c>
      <c r="AJ102">
        <v>0.0068233351250350342</v>
      </c>
      <c r="AK102">
        <v>0</v>
      </c>
      <c r="AL102">
        <v>0</v>
      </c>
      <c r="AM102">
        <v>0</v>
      </c>
      <c r="AN102">
        <v>0.00050543223148407659</v>
      </c>
      <c r="AO102">
        <v>0.00050543223148407659</v>
      </c>
      <c r="AP102">
        <v>8.4238705247346107E-05</v>
      </c>
      <c r="AQ102">
        <v>8.4238705247346107E-05</v>
      </c>
      <c r="AR102">
        <v>0.00033695482098938443</v>
      </c>
      <c r="AS102">
        <v>0</v>
      </c>
      <c r="AT102">
        <v>8.4238705247346107E-05</v>
      </c>
      <c r="AU102" t="s">
        <v>111</v>
      </c>
      <c r="BJ102" t="str">
        <f t="shared" si="2"/>
        <v>bus</v>
      </c>
      <c r="BK102" t="str">
        <f t="shared" si="3"/>
        <v>bdl</v>
      </c>
    </row>
    <row r="103" spans="1:63" ht="14.5">
      <c r="A103" t="s">
        <v>118</v>
      </c>
      <c r="B103" t="s">
        <v>62</v>
      </c>
      <c r="C103" t="s">
        <v>106</v>
      </c>
      <c r="D103" t="s">
        <v>111</v>
      </c>
      <c r="E103" t="s">
        <v>111</v>
      </c>
      <c r="F103" t="s">
        <v>111</v>
      </c>
      <c r="G103" t="s">
        <v>83</v>
      </c>
      <c r="H103" t="s">
        <v>111</v>
      </c>
      <c r="I103" t="s">
        <v>111</v>
      </c>
      <c r="J103" t="s">
        <v>111</v>
      </c>
      <c r="K103" t="s">
        <v>111</v>
      </c>
      <c r="L103">
        <v>0</v>
      </c>
      <c r="M103">
        <v>0</v>
      </c>
      <c r="N103">
        <v>0</v>
      </c>
      <c r="O103">
        <v>8.4238705247346107E-05</v>
      </c>
      <c r="P103">
        <v>8.4238705247346107E-05</v>
      </c>
      <c r="Q103">
        <v>0.00025271611574203829</v>
      </c>
      <c r="R103">
        <v>0.010529838155918262</v>
      </c>
      <c r="S103">
        <v>0.0021059676311836525</v>
      </c>
      <c r="T103">
        <v>8.4238705247346107E-05</v>
      </c>
      <c r="U103">
        <v>0.00025271611574203829</v>
      </c>
      <c r="V103">
        <v>0.00075814834722611488</v>
      </c>
      <c r="W103">
        <v>0.00058967093673142272</v>
      </c>
      <c r="X103">
        <v>8.4238705247346107E-05</v>
      </c>
      <c r="Y103">
        <v>0.00033695482098938443</v>
      </c>
      <c r="Z103">
        <v>0</v>
      </c>
      <c r="AA103">
        <v>8.4238705247346107E-05</v>
      </c>
      <c r="AB103">
        <v>8.4238705247346107E-05</v>
      </c>
      <c r="AC103">
        <v>0.00033695482098938443</v>
      </c>
      <c r="AD103">
        <v>0</v>
      </c>
      <c r="AE103">
        <v>0.0011793418734628454</v>
      </c>
      <c r="AF103">
        <v>0</v>
      </c>
      <c r="AG103">
        <v>0.0013478192839575377</v>
      </c>
      <c r="AH103">
        <v>8.4238705247346107E-05</v>
      </c>
      <c r="AI103">
        <v>0.00050543223148407659</v>
      </c>
      <c r="AJ103">
        <v>0.0068233351250350342</v>
      </c>
      <c r="AK103">
        <v>0</v>
      </c>
      <c r="AL103">
        <v>0</v>
      </c>
      <c r="AM103">
        <v>0</v>
      </c>
      <c r="AN103">
        <v>0.00050543223148407659</v>
      </c>
      <c r="AO103">
        <v>0.00050543223148407659</v>
      </c>
      <c r="AP103">
        <v>8.4238705247346107E-05</v>
      </c>
      <c r="AQ103">
        <v>8.4238705247346107E-05</v>
      </c>
      <c r="AR103">
        <v>0.00033695482098938443</v>
      </c>
      <c r="AS103">
        <v>0</v>
      </c>
      <c r="AT103">
        <v>8.4238705247346107E-05</v>
      </c>
      <c r="AU103" t="s">
        <v>111</v>
      </c>
      <c r="BJ103" t="str">
        <f t="shared" si="2"/>
        <v>bus</v>
      </c>
      <c r="BK103" t="str">
        <f t="shared" si="3"/>
        <v>bdl</v>
      </c>
    </row>
    <row r="104" spans="1:63" ht="14.5">
      <c r="A104" t="s">
        <v>118</v>
      </c>
      <c r="B104" t="s">
        <v>62</v>
      </c>
      <c r="C104" t="s">
        <v>106</v>
      </c>
      <c r="D104" t="s">
        <v>111</v>
      </c>
      <c r="E104" t="s">
        <v>111</v>
      </c>
      <c r="F104" t="s">
        <v>111</v>
      </c>
      <c r="G104" t="s">
        <v>82</v>
      </c>
      <c r="H104" t="s">
        <v>111</v>
      </c>
      <c r="I104" t="s">
        <v>111</v>
      </c>
      <c r="J104" t="s">
        <v>111</v>
      </c>
      <c r="K104" t="s">
        <v>111</v>
      </c>
      <c r="L104">
        <v>0</v>
      </c>
      <c r="M104">
        <v>0</v>
      </c>
      <c r="N104">
        <v>0</v>
      </c>
      <c r="O104">
        <v>8.4238705247346107E-05</v>
      </c>
      <c r="P104">
        <v>8.4238705247346107E-05</v>
      </c>
      <c r="Q104">
        <v>0.00025271611574203829</v>
      </c>
      <c r="R104">
        <v>0.010529838155918262</v>
      </c>
      <c r="S104">
        <v>0.0021059676311836525</v>
      </c>
      <c r="T104">
        <v>8.4238705247346107E-05</v>
      </c>
      <c r="U104">
        <v>0.00025271611574203829</v>
      </c>
      <c r="V104">
        <v>0.00075814834722611488</v>
      </c>
      <c r="W104">
        <v>0.00058967093673142272</v>
      </c>
      <c r="X104">
        <v>8.4238705247346107E-05</v>
      </c>
      <c r="Y104">
        <v>0.00033695482098938443</v>
      </c>
      <c r="Z104">
        <v>0</v>
      </c>
      <c r="AA104">
        <v>8.4238705247346107E-05</v>
      </c>
      <c r="AB104">
        <v>8.4238705247346107E-05</v>
      </c>
      <c r="AC104">
        <v>0.00033695482098938443</v>
      </c>
      <c r="AD104">
        <v>0</v>
      </c>
      <c r="AE104">
        <v>0.0011793418734628454</v>
      </c>
      <c r="AF104">
        <v>0</v>
      </c>
      <c r="AG104">
        <v>0.0013478192839575377</v>
      </c>
      <c r="AH104">
        <v>8.4238705247346107E-05</v>
      </c>
      <c r="AI104">
        <v>0.00050543223148407659</v>
      </c>
      <c r="AJ104">
        <v>0.0068233351250350342</v>
      </c>
      <c r="AK104">
        <v>0</v>
      </c>
      <c r="AL104">
        <v>0</v>
      </c>
      <c r="AM104">
        <v>0</v>
      </c>
      <c r="AN104">
        <v>0.00050543223148407659</v>
      </c>
      <c r="AO104">
        <v>0.00050543223148407659</v>
      </c>
      <c r="AP104">
        <v>8.4238705247346107E-05</v>
      </c>
      <c r="AQ104">
        <v>8.4238705247346107E-05</v>
      </c>
      <c r="AR104">
        <v>0.00033695482098938443</v>
      </c>
      <c r="AS104">
        <v>0</v>
      </c>
      <c r="AT104">
        <v>8.4238705247346107E-05</v>
      </c>
      <c r="AU104" t="s">
        <v>111</v>
      </c>
      <c r="BJ104" t="str">
        <f t="shared" si="2"/>
        <v>bus</v>
      </c>
      <c r="BK104" t="str">
        <f t="shared" si="3"/>
        <v>bdl</v>
      </c>
    </row>
    <row r="105" spans="1:63" ht="14.5">
      <c r="A105" t="s">
        <v>118</v>
      </c>
      <c r="B105" t="s">
        <v>62</v>
      </c>
      <c r="C105" t="s">
        <v>106</v>
      </c>
      <c r="D105" t="s">
        <v>111</v>
      </c>
      <c r="E105" t="s">
        <v>111</v>
      </c>
      <c r="F105" t="s">
        <v>111</v>
      </c>
      <c r="G105" t="s">
        <v>81</v>
      </c>
      <c r="H105" t="s">
        <v>111</v>
      </c>
      <c r="I105" t="s">
        <v>111</v>
      </c>
      <c r="J105" t="s">
        <v>111</v>
      </c>
      <c r="K105" t="s">
        <v>111</v>
      </c>
      <c r="L105">
        <v>0</v>
      </c>
      <c r="M105">
        <v>0</v>
      </c>
      <c r="N105">
        <v>0</v>
      </c>
      <c r="O105">
        <v>8.4238705247346107E-05</v>
      </c>
      <c r="P105">
        <v>8.4238705247346107E-05</v>
      </c>
      <c r="Q105">
        <v>0.00025271611574203829</v>
      </c>
      <c r="R105">
        <v>0.010529838155918262</v>
      </c>
      <c r="S105">
        <v>0.0021059676311836525</v>
      </c>
      <c r="T105">
        <v>8.4238705247346107E-05</v>
      </c>
      <c r="U105">
        <v>0.00025271611574203829</v>
      </c>
      <c r="V105">
        <v>0.00075814834722611488</v>
      </c>
      <c r="W105">
        <v>0.00058967093673142272</v>
      </c>
      <c r="X105">
        <v>8.4238705247346107E-05</v>
      </c>
      <c r="Y105">
        <v>0.00033695482098938443</v>
      </c>
      <c r="Z105">
        <v>0</v>
      </c>
      <c r="AA105">
        <v>8.4238705247346107E-05</v>
      </c>
      <c r="AB105">
        <v>8.4238705247346107E-05</v>
      </c>
      <c r="AC105">
        <v>0.00033695482098938443</v>
      </c>
      <c r="AD105">
        <v>0</v>
      </c>
      <c r="AE105">
        <v>0.0011793418734628454</v>
      </c>
      <c r="AF105">
        <v>0</v>
      </c>
      <c r="AG105">
        <v>0.0013478192839575377</v>
      </c>
      <c r="AH105">
        <v>8.4238705247346107E-05</v>
      </c>
      <c r="AI105">
        <v>0.00050543223148407659</v>
      </c>
      <c r="AJ105">
        <v>0.0068233351250350342</v>
      </c>
      <c r="AK105">
        <v>0</v>
      </c>
      <c r="AL105">
        <v>0</v>
      </c>
      <c r="AM105">
        <v>0</v>
      </c>
      <c r="AN105">
        <v>0.00050543223148407659</v>
      </c>
      <c r="AO105">
        <v>0.00050543223148407659</v>
      </c>
      <c r="AP105">
        <v>8.4238705247346107E-05</v>
      </c>
      <c r="AQ105">
        <v>8.4238705247346107E-05</v>
      </c>
      <c r="AR105">
        <v>0.00033695482098938443</v>
      </c>
      <c r="AS105">
        <v>0</v>
      </c>
      <c r="AT105">
        <v>8.4238705247346107E-05</v>
      </c>
      <c r="AU105" t="s">
        <v>111</v>
      </c>
      <c r="BJ105" t="str">
        <f t="shared" si="2"/>
        <v>bus</v>
      </c>
      <c r="BK105" t="str">
        <f t="shared" si="3"/>
        <v>bdl</v>
      </c>
    </row>
    <row r="106" spans="1:63" ht="14.5">
      <c r="A106" t="s">
        <v>118</v>
      </c>
      <c r="B106" t="s">
        <v>62</v>
      </c>
      <c r="C106" t="s">
        <v>106</v>
      </c>
      <c r="D106" t="s">
        <v>111</v>
      </c>
      <c r="E106" t="s">
        <v>111</v>
      </c>
      <c r="F106" t="s">
        <v>111</v>
      </c>
      <c r="G106" t="s">
        <v>80</v>
      </c>
      <c r="H106" t="s">
        <v>111</v>
      </c>
      <c r="I106" t="s">
        <v>111</v>
      </c>
      <c r="J106" t="s">
        <v>111</v>
      </c>
      <c r="K106" t="s">
        <v>111</v>
      </c>
      <c r="L106">
        <v>0</v>
      </c>
      <c r="M106">
        <v>0</v>
      </c>
      <c r="N106">
        <v>0</v>
      </c>
      <c r="O106">
        <v>8.4238705247346107E-05</v>
      </c>
      <c r="P106">
        <v>8.4238705247346107E-05</v>
      </c>
      <c r="Q106">
        <v>0.00025271611574203829</v>
      </c>
      <c r="R106">
        <v>0.010529838155918262</v>
      </c>
      <c r="S106">
        <v>0.0021059676311836525</v>
      </c>
      <c r="T106">
        <v>8.4238705247346107E-05</v>
      </c>
      <c r="U106">
        <v>0.00025271611574203829</v>
      </c>
      <c r="V106">
        <v>0.00075814834722611488</v>
      </c>
      <c r="W106">
        <v>0.00058967093673142272</v>
      </c>
      <c r="X106">
        <v>8.4238705247346107E-05</v>
      </c>
      <c r="Y106">
        <v>0.00033695482098938443</v>
      </c>
      <c r="Z106">
        <v>0</v>
      </c>
      <c r="AA106">
        <v>8.4238705247346107E-05</v>
      </c>
      <c r="AB106">
        <v>8.4238705247346107E-05</v>
      </c>
      <c r="AC106">
        <v>0.00033695482098938443</v>
      </c>
      <c r="AD106">
        <v>0</v>
      </c>
      <c r="AE106">
        <v>0.0011793418734628454</v>
      </c>
      <c r="AF106">
        <v>0</v>
      </c>
      <c r="AG106">
        <v>0.0013478192839575377</v>
      </c>
      <c r="AH106">
        <v>8.4238705247346107E-05</v>
      </c>
      <c r="AI106">
        <v>0.00050543223148407659</v>
      </c>
      <c r="AJ106">
        <v>0.0068233351250350342</v>
      </c>
      <c r="AK106">
        <v>0</v>
      </c>
      <c r="AL106">
        <v>0</v>
      </c>
      <c r="AM106">
        <v>0</v>
      </c>
      <c r="AN106">
        <v>0.00050543223148407659</v>
      </c>
      <c r="AO106">
        <v>0.00050543223148407659</v>
      </c>
      <c r="AP106">
        <v>8.4238705247346107E-05</v>
      </c>
      <c r="AQ106">
        <v>8.4238705247346107E-05</v>
      </c>
      <c r="AR106">
        <v>0.00033695482098938443</v>
      </c>
      <c r="AS106">
        <v>0</v>
      </c>
      <c r="AT106">
        <v>8.4238705247346107E-05</v>
      </c>
      <c r="AU106" t="s">
        <v>111</v>
      </c>
      <c r="BJ106" t="str">
        <f t="shared" si="2"/>
        <v>bus</v>
      </c>
      <c r="BK106" t="str">
        <f t="shared" si="3"/>
        <v>bdl</v>
      </c>
    </row>
    <row r="107" spans="1:63" ht="14.5">
      <c r="A107" t="s">
        <v>118</v>
      </c>
      <c r="B107" t="s">
        <v>62</v>
      </c>
      <c r="C107" t="s">
        <v>106</v>
      </c>
      <c r="D107" t="s">
        <v>111</v>
      </c>
      <c r="E107" t="s">
        <v>111</v>
      </c>
      <c r="F107" t="s">
        <v>111</v>
      </c>
      <c r="G107" t="s">
        <v>79</v>
      </c>
      <c r="H107" t="s">
        <v>111</v>
      </c>
      <c r="I107" t="s">
        <v>111</v>
      </c>
      <c r="J107" t="s">
        <v>111</v>
      </c>
      <c r="K107" t="s">
        <v>111</v>
      </c>
      <c r="L107">
        <v>0</v>
      </c>
      <c r="M107">
        <v>0</v>
      </c>
      <c r="N107">
        <v>0</v>
      </c>
      <c r="O107">
        <v>8.4238705247346107E-05</v>
      </c>
      <c r="P107">
        <v>8.4238705247346107E-05</v>
      </c>
      <c r="Q107">
        <v>0.00025271611574203829</v>
      </c>
      <c r="R107">
        <v>0.010529838155918262</v>
      </c>
      <c r="S107">
        <v>0.0021059676311836525</v>
      </c>
      <c r="T107">
        <v>8.4238705247346107E-05</v>
      </c>
      <c r="U107">
        <v>0.00025271611574203829</v>
      </c>
      <c r="V107">
        <v>0.00075814834722611488</v>
      </c>
      <c r="W107">
        <v>0.00058967093673142272</v>
      </c>
      <c r="X107">
        <v>8.4238705247346107E-05</v>
      </c>
      <c r="Y107">
        <v>0.00033695482098938443</v>
      </c>
      <c r="Z107">
        <v>0</v>
      </c>
      <c r="AA107">
        <v>8.4238705247346107E-05</v>
      </c>
      <c r="AB107">
        <v>8.4238705247346107E-05</v>
      </c>
      <c r="AC107">
        <v>0.00033695482098938443</v>
      </c>
      <c r="AD107">
        <v>0</v>
      </c>
      <c r="AE107">
        <v>0.0011793418734628454</v>
      </c>
      <c r="AF107">
        <v>0</v>
      </c>
      <c r="AG107">
        <v>0.0013478192839575377</v>
      </c>
      <c r="AH107">
        <v>8.4238705247346107E-05</v>
      </c>
      <c r="AI107">
        <v>0.00050543223148407659</v>
      </c>
      <c r="AJ107">
        <v>0.0068233351250350342</v>
      </c>
      <c r="AK107">
        <v>0</v>
      </c>
      <c r="AL107">
        <v>0</v>
      </c>
      <c r="AM107">
        <v>0</v>
      </c>
      <c r="AN107">
        <v>0.00050543223148407659</v>
      </c>
      <c r="AO107">
        <v>0.00050543223148407659</v>
      </c>
      <c r="AP107">
        <v>8.4238705247346107E-05</v>
      </c>
      <c r="AQ107">
        <v>8.4238705247346107E-05</v>
      </c>
      <c r="AR107">
        <v>0.00033695482098938443</v>
      </c>
      <c r="AS107">
        <v>0</v>
      </c>
      <c r="AT107">
        <v>8.4238705247346107E-05</v>
      </c>
      <c r="AU107" t="s">
        <v>111</v>
      </c>
      <c r="BJ107" t="str">
        <f t="shared" si="2"/>
        <v>bus</v>
      </c>
      <c r="BK107" t="str">
        <f t="shared" si="3"/>
        <v>bdl</v>
      </c>
    </row>
    <row r="108" spans="1:63" ht="14.5">
      <c r="A108" t="s">
        <v>118</v>
      </c>
      <c r="B108" t="s">
        <v>62</v>
      </c>
      <c r="C108" t="s">
        <v>106</v>
      </c>
      <c r="D108" t="s">
        <v>111</v>
      </c>
      <c r="E108" t="s">
        <v>111</v>
      </c>
      <c r="F108" t="s">
        <v>111</v>
      </c>
      <c r="G108" t="s">
        <v>78</v>
      </c>
      <c r="H108" t="s">
        <v>111</v>
      </c>
      <c r="I108" t="s">
        <v>111</v>
      </c>
      <c r="J108" t="s">
        <v>111</v>
      </c>
      <c r="K108" t="s">
        <v>111</v>
      </c>
      <c r="L108">
        <v>0</v>
      </c>
      <c r="M108">
        <v>0</v>
      </c>
      <c r="N108">
        <v>0</v>
      </c>
      <c r="O108">
        <v>8.4238705247346107E-05</v>
      </c>
      <c r="P108">
        <v>8.4238705247346107E-05</v>
      </c>
      <c r="Q108">
        <v>0.00025271611574203829</v>
      </c>
      <c r="R108">
        <v>0.010529838155918262</v>
      </c>
      <c r="S108">
        <v>0.0021059676311836525</v>
      </c>
      <c r="T108">
        <v>8.4238705247346107E-05</v>
      </c>
      <c r="U108">
        <v>0.00025271611574203829</v>
      </c>
      <c r="V108">
        <v>0.00075814834722611488</v>
      </c>
      <c r="W108">
        <v>0.00058967093673142272</v>
      </c>
      <c r="X108">
        <v>8.4238705247346107E-05</v>
      </c>
      <c r="Y108">
        <v>0.00033695482098938443</v>
      </c>
      <c r="Z108">
        <v>0</v>
      </c>
      <c r="AA108">
        <v>8.4238705247346107E-05</v>
      </c>
      <c r="AB108">
        <v>8.4238705247346107E-05</v>
      </c>
      <c r="AC108">
        <v>0.00033695482098938443</v>
      </c>
      <c r="AD108">
        <v>0</v>
      </c>
      <c r="AE108">
        <v>0.0011793418734628454</v>
      </c>
      <c r="AF108">
        <v>0</v>
      </c>
      <c r="AG108">
        <v>0.0013478192839575377</v>
      </c>
      <c r="AH108">
        <v>8.4238705247346107E-05</v>
      </c>
      <c r="AI108">
        <v>0.00050543223148407659</v>
      </c>
      <c r="AJ108">
        <v>0.0068233351250350342</v>
      </c>
      <c r="AK108">
        <v>0</v>
      </c>
      <c r="AL108">
        <v>0</v>
      </c>
      <c r="AM108">
        <v>0</v>
      </c>
      <c r="AN108">
        <v>0.00050543223148407659</v>
      </c>
      <c r="AO108">
        <v>0.00050543223148407659</v>
      </c>
      <c r="AP108">
        <v>8.4238705247346107E-05</v>
      </c>
      <c r="AQ108">
        <v>8.4238705247346107E-05</v>
      </c>
      <c r="AR108">
        <v>0.00033695482098938443</v>
      </c>
      <c r="AS108">
        <v>0</v>
      </c>
      <c r="AT108">
        <v>8.4238705247346107E-05</v>
      </c>
      <c r="AU108" t="s">
        <v>111</v>
      </c>
      <c r="BJ108" t="str">
        <f t="shared" si="2"/>
        <v>bus</v>
      </c>
      <c r="BK108" t="str">
        <f t="shared" si="3"/>
        <v>bdl</v>
      </c>
    </row>
    <row r="109" spans="1:63" ht="14.5">
      <c r="A109" t="s">
        <v>118</v>
      </c>
      <c r="B109" t="s">
        <v>62</v>
      </c>
      <c r="C109" t="s">
        <v>106</v>
      </c>
      <c r="D109" t="s">
        <v>111</v>
      </c>
      <c r="E109" t="s">
        <v>111</v>
      </c>
      <c r="F109" t="s">
        <v>111</v>
      </c>
      <c r="G109" t="s">
        <v>77</v>
      </c>
      <c r="H109" t="s">
        <v>111</v>
      </c>
      <c r="I109" t="s">
        <v>111</v>
      </c>
      <c r="J109" t="s">
        <v>111</v>
      </c>
      <c r="K109" t="s">
        <v>111</v>
      </c>
      <c r="L109">
        <v>0</v>
      </c>
      <c r="M109">
        <v>0</v>
      </c>
      <c r="N109">
        <v>0</v>
      </c>
      <c r="O109">
        <v>8.4238705247346107E-05</v>
      </c>
      <c r="P109">
        <v>8.4238705247346107E-05</v>
      </c>
      <c r="Q109">
        <v>0.00025271611574203829</v>
      </c>
      <c r="R109">
        <v>0.010529838155918262</v>
      </c>
      <c r="S109">
        <v>0.0021059676311836525</v>
      </c>
      <c r="T109">
        <v>8.4238705247346107E-05</v>
      </c>
      <c r="U109">
        <v>0.00025271611574203829</v>
      </c>
      <c r="V109">
        <v>0.00075814834722611488</v>
      </c>
      <c r="W109">
        <v>0.00058967093673142272</v>
      </c>
      <c r="X109">
        <v>8.4238705247346107E-05</v>
      </c>
      <c r="Y109">
        <v>0.00033695482098938443</v>
      </c>
      <c r="Z109">
        <v>0</v>
      </c>
      <c r="AA109">
        <v>8.4238705247346107E-05</v>
      </c>
      <c r="AB109">
        <v>8.4238705247346107E-05</v>
      </c>
      <c r="AC109">
        <v>0.00033695482098938443</v>
      </c>
      <c r="AD109">
        <v>0</v>
      </c>
      <c r="AE109">
        <v>0.0011793418734628454</v>
      </c>
      <c r="AF109">
        <v>0</v>
      </c>
      <c r="AG109">
        <v>0.0013478192839575377</v>
      </c>
      <c r="AH109">
        <v>8.4238705247346107E-05</v>
      </c>
      <c r="AI109">
        <v>0.00050543223148407659</v>
      </c>
      <c r="AJ109">
        <v>0.0068233351250350342</v>
      </c>
      <c r="AK109">
        <v>0</v>
      </c>
      <c r="AL109">
        <v>0</v>
      </c>
      <c r="AM109">
        <v>0</v>
      </c>
      <c r="AN109">
        <v>0.00050543223148407659</v>
      </c>
      <c r="AO109">
        <v>0.00050543223148407659</v>
      </c>
      <c r="AP109">
        <v>8.4238705247346107E-05</v>
      </c>
      <c r="AQ109">
        <v>8.4238705247346107E-05</v>
      </c>
      <c r="AR109">
        <v>0.00033695482098938443</v>
      </c>
      <c r="AS109">
        <v>0</v>
      </c>
      <c r="AT109">
        <v>8.4238705247346107E-05</v>
      </c>
      <c r="AU109" t="s">
        <v>111</v>
      </c>
      <c r="BJ109" t="str">
        <f t="shared" si="2"/>
        <v>bus</v>
      </c>
      <c r="BK109" t="str">
        <f t="shared" si="3"/>
        <v>bdl</v>
      </c>
    </row>
    <row r="110" spans="1:63" ht="14.5">
      <c r="A110" t="s">
        <v>118</v>
      </c>
      <c r="B110" t="s">
        <v>62</v>
      </c>
      <c r="C110" t="s">
        <v>106</v>
      </c>
      <c r="D110" t="s">
        <v>111</v>
      </c>
      <c r="E110" t="s">
        <v>111</v>
      </c>
      <c r="F110" t="s">
        <v>111</v>
      </c>
      <c r="G110" t="s">
        <v>76</v>
      </c>
      <c r="H110" t="s">
        <v>111</v>
      </c>
      <c r="I110" t="s">
        <v>111</v>
      </c>
      <c r="J110" t="s">
        <v>111</v>
      </c>
      <c r="K110" t="s">
        <v>111</v>
      </c>
      <c r="L110">
        <v>0</v>
      </c>
      <c r="M110">
        <v>0</v>
      </c>
      <c r="N110">
        <v>0</v>
      </c>
      <c r="O110">
        <v>8.4238705247346107E-05</v>
      </c>
      <c r="P110">
        <v>8.4238705247346107E-05</v>
      </c>
      <c r="Q110">
        <v>0.00025271611574203829</v>
      </c>
      <c r="R110">
        <v>0.010529838155918262</v>
      </c>
      <c r="S110">
        <v>0.0021059676311836525</v>
      </c>
      <c r="T110">
        <v>8.4238705247346107E-05</v>
      </c>
      <c r="U110">
        <v>0.00025271611574203829</v>
      </c>
      <c r="V110">
        <v>0.00075814834722611488</v>
      </c>
      <c r="W110">
        <v>0.00058967093673142272</v>
      </c>
      <c r="X110">
        <v>8.4238705247346107E-05</v>
      </c>
      <c r="Y110">
        <v>0.00033695482098938443</v>
      </c>
      <c r="Z110">
        <v>0</v>
      </c>
      <c r="AA110">
        <v>8.4238705247346107E-05</v>
      </c>
      <c r="AB110">
        <v>8.4238705247346107E-05</v>
      </c>
      <c r="AC110">
        <v>0.00033695482098938443</v>
      </c>
      <c r="AD110">
        <v>0</v>
      </c>
      <c r="AE110">
        <v>0.0011793418734628454</v>
      </c>
      <c r="AF110">
        <v>0</v>
      </c>
      <c r="AG110">
        <v>0.0013478192839575377</v>
      </c>
      <c r="AH110">
        <v>8.4238705247346107E-05</v>
      </c>
      <c r="AI110">
        <v>0.00050543223148407659</v>
      </c>
      <c r="AJ110">
        <v>0.0068233351250350342</v>
      </c>
      <c r="AK110">
        <v>0</v>
      </c>
      <c r="AL110">
        <v>0</v>
      </c>
      <c r="AM110">
        <v>0</v>
      </c>
      <c r="AN110">
        <v>0.00050543223148407659</v>
      </c>
      <c r="AO110">
        <v>0.00050543223148407659</v>
      </c>
      <c r="AP110">
        <v>8.4238705247346107E-05</v>
      </c>
      <c r="AQ110">
        <v>8.4238705247346107E-05</v>
      </c>
      <c r="AR110">
        <v>0.00033695482098938443</v>
      </c>
      <c r="AS110">
        <v>0</v>
      </c>
      <c r="AT110">
        <v>8.4238705247346107E-05</v>
      </c>
      <c r="AU110" t="s">
        <v>111</v>
      </c>
      <c r="BJ110" t="str">
        <f t="shared" si="2"/>
        <v>bus</v>
      </c>
      <c r="BK110" t="str">
        <f t="shared" si="3"/>
        <v>bdl</v>
      </c>
    </row>
    <row r="111" spans="1:63" ht="14.5">
      <c r="A111" t="s">
        <v>118</v>
      </c>
      <c r="B111" t="s">
        <v>62</v>
      </c>
      <c r="C111" t="s">
        <v>106</v>
      </c>
      <c r="D111" t="s">
        <v>111</v>
      </c>
      <c r="E111" t="s">
        <v>111</v>
      </c>
      <c r="F111" t="s">
        <v>111</v>
      </c>
      <c r="G111" t="s">
        <v>75</v>
      </c>
      <c r="H111" t="s">
        <v>111</v>
      </c>
      <c r="I111" t="s">
        <v>111</v>
      </c>
      <c r="J111" t="s">
        <v>111</v>
      </c>
      <c r="K111" t="s">
        <v>111</v>
      </c>
      <c r="L111">
        <v>0</v>
      </c>
      <c r="M111">
        <v>0</v>
      </c>
      <c r="N111">
        <v>0</v>
      </c>
      <c r="O111">
        <v>8.4238705247346107E-05</v>
      </c>
      <c r="P111">
        <v>8.4238705247346107E-05</v>
      </c>
      <c r="Q111">
        <v>0.00025271611574203829</v>
      </c>
      <c r="R111">
        <v>0.010529838155918262</v>
      </c>
      <c r="S111">
        <v>0.0021059676311836525</v>
      </c>
      <c r="T111">
        <v>8.4238705247346107E-05</v>
      </c>
      <c r="U111">
        <v>0.00025271611574203829</v>
      </c>
      <c r="V111">
        <v>0.00075814834722611488</v>
      </c>
      <c r="W111">
        <v>0.00058967093673142272</v>
      </c>
      <c r="X111">
        <v>8.4238705247346107E-05</v>
      </c>
      <c r="Y111">
        <v>0.00033695482098938443</v>
      </c>
      <c r="Z111">
        <v>0</v>
      </c>
      <c r="AA111">
        <v>8.4238705247346107E-05</v>
      </c>
      <c r="AB111">
        <v>8.4238705247346107E-05</v>
      </c>
      <c r="AC111">
        <v>0.00033695482098938443</v>
      </c>
      <c r="AD111">
        <v>0</v>
      </c>
      <c r="AE111">
        <v>0.0011793418734628454</v>
      </c>
      <c r="AF111">
        <v>0</v>
      </c>
      <c r="AG111">
        <v>0.0013478192839575377</v>
      </c>
      <c r="AH111">
        <v>8.4238705247346107E-05</v>
      </c>
      <c r="AI111">
        <v>0.00050543223148407659</v>
      </c>
      <c r="AJ111">
        <v>0.0068233351250350342</v>
      </c>
      <c r="AK111">
        <v>0</v>
      </c>
      <c r="AL111">
        <v>0</v>
      </c>
      <c r="AM111">
        <v>0</v>
      </c>
      <c r="AN111">
        <v>0.00050543223148407659</v>
      </c>
      <c r="AO111">
        <v>0.00050543223148407659</v>
      </c>
      <c r="AP111">
        <v>8.4238705247346107E-05</v>
      </c>
      <c r="AQ111">
        <v>8.4238705247346107E-05</v>
      </c>
      <c r="AR111">
        <v>0.00033695482098938443</v>
      </c>
      <c r="AS111">
        <v>0</v>
      </c>
      <c r="AT111">
        <v>8.4238705247346107E-05</v>
      </c>
      <c r="AU111" t="s">
        <v>111</v>
      </c>
      <c r="BJ111" t="str">
        <f t="shared" si="2"/>
        <v>bus</v>
      </c>
      <c r="BK111" t="str">
        <f t="shared" si="3"/>
        <v>bdl</v>
      </c>
    </row>
    <row r="112" spans="1:63" ht="14.5">
      <c r="A112" t="s">
        <v>118</v>
      </c>
      <c r="B112" t="s">
        <v>62</v>
      </c>
      <c r="C112" t="s">
        <v>106</v>
      </c>
      <c r="D112" t="s">
        <v>111</v>
      </c>
      <c r="E112" t="s">
        <v>111</v>
      </c>
      <c r="F112" t="s">
        <v>111</v>
      </c>
      <c r="G112" t="s">
        <v>74</v>
      </c>
      <c r="H112" t="s">
        <v>111</v>
      </c>
      <c r="I112" t="s">
        <v>111</v>
      </c>
      <c r="J112" t="s">
        <v>111</v>
      </c>
      <c r="K112" t="s">
        <v>111</v>
      </c>
      <c r="L112">
        <v>0</v>
      </c>
      <c r="M112">
        <v>0</v>
      </c>
      <c r="N112">
        <v>0</v>
      </c>
      <c r="O112">
        <v>8.4238705247346107E-05</v>
      </c>
      <c r="P112">
        <v>8.4238705247346107E-05</v>
      </c>
      <c r="Q112">
        <v>0.00025271611574203829</v>
      </c>
      <c r="R112">
        <v>0.010529838155918262</v>
      </c>
      <c r="S112">
        <v>0.0021059676311836525</v>
      </c>
      <c r="T112">
        <v>8.4238705247346107E-05</v>
      </c>
      <c r="U112">
        <v>0.00025271611574203829</v>
      </c>
      <c r="V112">
        <v>0.00075814834722611488</v>
      </c>
      <c r="W112">
        <v>0.00058967093673142272</v>
      </c>
      <c r="X112">
        <v>8.4238705247346107E-05</v>
      </c>
      <c r="Y112">
        <v>0.00033695482098938443</v>
      </c>
      <c r="Z112">
        <v>0</v>
      </c>
      <c r="AA112">
        <v>8.4238705247346107E-05</v>
      </c>
      <c r="AB112">
        <v>8.4238705247346107E-05</v>
      </c>
      <c r="AC112">
        <v>0.00033695482098938443</v>
      </c>
      <c r="AD112">
        <v>0</v>
      </c>
      <c r="AE112">
        <v>0.0011793418734628454</v>
      </c>
      <c r="AF112">
        <v>0</v>
      </c>
      <c r="AG112">
        <v>0.0013478192839575377</v>
      </c>
      <c r="AH112">
        <v>8.4238705247346107E-05</v>
      </c>
      <c r="AI112">
        <v>0.00050543223148407659</v>
      </c>
      <c r="AJ112">
        <v>0.0068233351250350342</v>
      </c>
      <c r="AK112">
        <v>0</v>
      </c>
      <c r="AL112">
        <v>0</v>
      </c>
      <c r="AM112">
        <v>0</v>
      </c>
      <c r="AN112">
        <v>0.00050543223148407659</v>
      </c>
      <c r="AO112">
        <v>0.00050543223148407659</v>
      </c>
      <c r="AP112">
        <v>8.4238705247346107E-05</v>
      </c>
      <c r="AQ112">
        <v>8.4238705247346107E-05</v>
      </c>
      <c r="AR112">
        <v>0.00033695482098938443</v>
      </c>
      <c r="AS112">
        <v>0</v>
      </c>
      <c r="AT112">
        <v>8.4238705247346107E-05</v>
      </c>
      <c r="AU112" t="s">
        <v>111</v>
      </c>
      <c r="BJ112" t="str">
        <f t="shared" si="2"/>
        <v>bus</v>
      </c>
      <c r="BK112" t="str">
        <f t="shared" si="3"/>
        <v>bdl</v>
      </c>
    </row>
    <row r="113" spans="1:63" ht="14.5">
      <c r="A113" t="s">
        <v>118</v>
      </c>
      <c r="B113" t="s">
        <v>62</v>
      </c>
      <c r="C113" t="s">
        <v>106</v>
      </c>
      <c r="D113" t="s">
        <v>111</v>
      </c>
      <c r="E113" t="s">
        <v>111</v>
      </c>
      <c r="F113" t="s">
        <v>111</v>
      </c>
      <c r="G113" t="s">
        <v>73</v>
      </c>
      <c r="H113" t="s">
        <v>111</v>
      </c>
      <c r="I113" t="s">
        <v>111</v>
      </c>
      <c r="J113" t="s">
        <v>111</v>
      </c>
      <c r="K113" t="s">
        <v>111</v>
      </c>
      <c r="L113">
        <v>0</v>
      </c>
      <c r="M113">
        <v>0</v>
      </c>
      <c r="N113">
        <v>0</v>
      </c>
      <c r="O113">
        <v>8.4238705247346107E-05</v>
      </c>
      <c r="P113">
        <v>8.4238705247346107E-05</v>
      </c>
      <c r="Q113">
        <v>0.00025271611574203829</v>
      </c>
      <c r="R113">
        <v>0.010529838155918262</v>
      </c>
      <c r="S113">
        <v>0.0021059676311836525</v>
      </c>
      <c r="T113">
        <v>8.4238705247346107E-05</v>
      </c>
      <c r="U113">
        <v>0.00025271611574203829</v>
      </c>
      <c r="V113">
        <v>0.00075814834722611488</v>
      </c>
      <c r="W113">
        <v>0.00058967093673142272</v>
      </c>
      <c r="X113">
        <v>8.4238705247346107E-05</v>
      </c>
      <c r="Y113">
        <v>0.00033695482098938443</v>
      </c>
      <c r="Z113">
        <v>0</v>
      </c>
      <c r="AA113">
        <v>8.4238705247346107E-05</v>
      </c>
      <c r="AB113">
        <v>8.4238705247346107E-05</v>
      </c>
      <c r="AC113">
        <v>0.00033695482098938443</v>
      </c>
      <c r="AD113">
        <v>0</v>
      </c>
      <c r="AE113">
        <v>0.0011793418734628454</v>
      </c>
      <c r="AF113">
        <v>0</v>
      </c>
      <c r="AG113">
        <v>0.0013478192839575377</v>
      </c>
      <c r="AH113">
        <v>8.4238705247346107E-05</v>
      </c>
      <c r="AI113">
        <v>0.00050543223148407659</v>
      </c>
      <c r="AJ113">
        <v>0.0068233351250350342</v>
      </c>
      <c r="AK113">
        <v>0</v>
      </c>
      <c r="AL113">
        <v>0</v>
      </c>
      <c r="AM113">
        <v>0</v>
      </c>
      <c r="AN113">
        <v>0.00050543223148407659</v>
      </c>
      <c r="AO113">
        <v>0.00050543223148407659</v>
      </c>
      <c r="AP113">
        <v>8.4238705247346107E-05</v>
      </c>
      <c r="AQ113">
        <v>8.4238705247346107E-05</v>
      </c>
      <c r="AR113">
        <v>0.00033695482098938443</v>
      </c>
      <c r="AS113">
        <v>0</v>
      </c>
      <c r="AT113">
        <v>8.4238705247346107E-05</v>
      </c>
      <c r="AU113" t="s">
        <v>111</v>
      </c>
      <c r="BJ113" t="str">
        <f t="shared" si="2"/>
        <v>bus</v>
      </c>
      <c r="BK113" t="str">
        <f t="shared" si="3"/>
        <v>bdl</v>
      </c>
    </row>
    <row r="114" spans="1:63" ht="14.5">
      <c r="A114" t="s">
        <v>118</v>
      </c>
      <c r="B114" t="s">
        <v>62</v>
      </c>
      <c r="C114" t="s">
        <v>106</v>
      </c>
      <c r="D114" t="s">
        <v>111</v>
      </c>
      <c r="E114" t="s">
        <v>111</v>
      </c>
      <c r="F114" t="s">
        <v>111</v>
      </c>
      <c r="G114" t="s">
        <v>72</v>
      </c>
      <c r="H114" t="s">
        <v>111</v>
      </c>
      <c r="I114" t="s">
        <v>111</v>
      </c>
      <c r="J114" t="s">
        <v>111</v>
      </c>
      <c r="K114" t="s">
        <v>111</v>
      </c>
      <c r="L114">
        <v>0</v>
      </c>
      <c r="M114">
        <v>0</v>
      </c>
      <c r="N114">
        <v>0</v>
      </c>
      <c r="O114">
        <v>8.4238705247346107E-05</v>
      </c>
      <c r="P114">
        <v>8.4238705247346107E-05</v>
      </c>
      <c r="Q114">
        <v>0.00025271611574203829</v>
      </c>
      <c r="R114">
        <v>0.010529838155918262</v>
      </c>
      <c r="S114">
        <v>0.0021059676311836525</v>
      </c>
      <c r="T114">
        <v>8.4238705247346107E-05</v>
      </c>
      <c r="U114">
        <v>0.00025271611574203829</v>
      </c>
      <c r="V114">
        <v>0.00075814834722611488</v>
      </c>
      <c r="W114">
        <v>0.00058967093673142272</v>
      </c>
      <c r="X114">
        <v>8.4238705247346107E-05</v>
      </c>
      <c r="Y114">
        <v>0.00033695482098938443</v>
      </c>
      <c r="Z114">
        <v>0</v>
      </c>
      <c r="AA114">
        <v>8.4238705247346107E-05</v>
      </c>
      <c r="AB114">
        <v>8.4238705247346107E-05</v>
      </c>
      <c r="AC114">
        <v>0.00033695482098938443</v>
      </c>
      <c r="AD114">
        <v>0</v>
      </c>
      <c r="AE114">
        <v>0.0011793418734628454</v>
      </c>
      <c r="AF114">
        <v>0</v>
      </c>
      <c r="AG114">
        <v>0.0013478192839575377</v>
      </c>
      <c r="AH114">
        <v>8.4238705247346107E-05</v>
      </c>
      <c r="AI114">
        <v>0.00050543223148407659</v>
      </c>
      <c r="AJ114">
        <v>0.0068233351250350342</v>
      </c>
      <c r="AK114">
        <v>0</v>
      </c>
      <c r="AL114">
        <v>0</v>
      </c>
      <c r="AM114">
        <v>0</v>
      </c>
      <c r="AN114">
        <v>0.00050543223148407659</v>
      </c>
      <c r="AO114">
        <v>0.00050543223148407659</v>
      </c>
      <c r="AP114">
        <v>8.4238705247346107E-05</v>
      </c>
      <c r="AQ114">
        <v>8.4238705247346107E-05</v>
      </c>
      <c r="AR114">
        <v>0.00033695482098938443</v>
      </c>
      <c r="AS114">
        <v>0</v>
      </c>
      <c r="AT114">
        <v>8.4238705247346107E-05</v>
      </c>
      <c r="AU114" t="s">
        <v>111</v>
      </c>
      <c r="BJ114" t="str">
        <f t="shared" si="2"/>
        <v>bus</v>
      </c>
      <c r="BK114" t="str">
        <f t="shared" si="3"/>
        <v>bdl</v>
      </c>
    </row>
    <row r="115" spans="1:63" ht="14.5">
      <c r="A115" t="s">
        <v>118</v>
      </c>
      <c r="B115" t="s">
        <v>62</v>
      </c>
      <c r="C115" t="s">
        <v>106</v>
      </c>
      <c r="D115" t="s">
        <v>111</v>
      </c>
      <c r="E115" t="s">
        <v>111</v>
      </c>
      <c r="F115" t="s">
        <v>111</v>
      </c>
      <c r="G115" t="s">
        <v>71</v>
      </c>
      <c r="H115" t="s">
        <v>111</v>
      </c>
      <c r="I115" t="s">
        <v>111</v>
      </c>
      <c r="J115" t="s">
        <v>111</v>
      </c>
      <c r="K115" t="s">
        <v>111</v>
      </c>
      <c r="L115">
        <v>0</v>
      </c>
      <c r="M115">
        <v>0</v>
      </c>
      <c r="N115">
        <v>0</v>
      </c>
      <c r="O115">
        <v>8.4238705247346107E-05</v>
      </c>
      <c r="P115">
        <v>8.4238705247346107E-05</v>
      </c>
      <c r="Q115">
        <v>0.00025271611574203829</v>
      </c>
      <c r="R115">
        <v>0.010529838155918262</v>
      </c>
      <c r="S115">
        <v>0.0021059676311836525</v>
      </c>
      <c r="T115">
        <v>8.4238705247346107E-05</v>
      </c>
      <c r="U115">
        <v>0.00025271611574203829</v>
      </c>
      <c r="V115">
        <v>0.00075814834722611488</v>
      </c>
      <c r="W115">
        <v>0.00058967093673142272</v>
      </c>
      <c r="X115">
        <v>8.4238705247346107E-05</v>
      </c>
      <c r="Y115">
        <v>0.00033695482098938443</v>
      </c>
      <c r="Z115">
        <v>0</v>
      </c>
      <c r="AA115">
        <v>8.4238705247346107E-05</v>
      </c>
      <c r="AB115">
        <v>8.4238705247346107E-05</v>
      </c>
      <c r="AC115">
        <v>0.00033695482098938443</v>
      </c>
      <c r="AD115">
        <v>0</v>
      </c>
      <c r="AE115">
        <v>0.0011793418734628454</v>
      </c>
      <c r="AF115">
        <v>0</v>
      </c>
      <c r="AG115">
        <v>0.0013478192839575377</v>
      </c>
      <c r="AH115">
        <v>8.4238705247346107E-05</v>
      </c>
      <c r="AI115">
        <v>0.00050543223148407659</v>
      </c>
      <c r="AJ115">
        <v>0.0068233351250350342</v>
      </c>
      <c r="AK115">
        <v>0</v>
      </c>
      <c r="AL115">
        <v>0</v>
      </c>
      <c r="AM115">
        <v>0</v>
      </c>
      <c r="AN115">
        <v>0.00050543223148407659</v>
      </c>
      <c r="AO115">
        <v>0.00050543223148407659</v>
      </c>
      <c r="AP115">
        <v>8.4238705247346107E-05</v>
      </c>
      <c r="AQ115">
        <v>8.4238705247346107E-05</v>
      </c>
      <c r="AR115">
        <v>0.00033695482098938443</v>
      </c>
      <c r="AS115">
        <v>0</v>
      </c>
      <c r="AT115">
        <v>8.4238705247346107E-05</v>
      </c>
      <c r="AU115" t="s">
        <v>111</v>
      </c>
      <c r="BJ115" t="str">
        <f t="shared" si="2"/>
        <v>bus</v>
      </c>
      <c r="BK115" t="str">
        <f t="shared" si="3"/>
        <v>bdl</v>
      </c>
    </row>
    <row r="116" spans="1:63" ht="14.5">
      <c r="A116" t="s">
        <v>118</v>
      </c>
      <c r="B116" t="s">
        <v>62</v>
      </c>
      <c r="C116" t="s">
        <v>106</v>
      </c>
      <c r="D116" t="s">
        <v>111</v>
      </c>
      <c r="E116" t="s">
        <v>111</v>
      </c>
      <c r="F116" t="s">
        <v>111</v>
      </c>
      <c r="G116" t="s">
        <v>70</v>
      </c>
      <c r="H116" t="s">
        <v>111</v>
      </c>
      <c r="I116" t="s">
        <v>111</v>
      </c>
      <c r="J116" t="s">
        <v>111</v>
      </c>
      <c r="K116" t="s">
        <v>111</v>
      </c>
      <c r="L116">
        <v>0</v>
      </c>
      <c r="M116">
        <v>0</v>
      </c>
      <c r="N116">
        <v>0</v>
      </c>
      <c r="O116">
        <v>8.4238705247346107E-05</v>
      </c>
      <c r="P116">
        <v>8.4238705247346107E-05</v>
      </c>
      <c r="Q116">
        <v>0.00025271611574203829</v>
      </c>
      <c r="R116">
        <v>0.010529838155918262</v>
      </c>
      <c r="S116">
        <v>0.0021059676311836525</v>
      </c>
      <c r="T116">
        <v>8.4238705247346107E-05</v>
      </c>
      <c r="U116">
        <v>0.00025271611574203829</v>
      </c>
      <c r="V116">
        <v>0.00075814834722611488</v>
      </c>
      <c r="W116">
        <v>0.00058967093673142272</v>
      </c>
      <c r="X116">
        <v>8.4238705247346107E-05</v>
      </c>
      <c r="Y116">
        <v>0.00033695482098938443</v>
      </c>
      <c r="Z116">
        <v>0</v>
      </c>
      <c r="AA116">
        <v>8.4238705247346107E-05</v>
      </c>
      <c r="AB116">
        <v>8.4238705247346107E-05</v>
      </c>
      <c r="AC116">
        <v>0.00033695482098938443</v>
      </c>
      <c r="AD116">
        <v>0</v>
      </c>
      <c r="AE116">
        <v>0.0011793418734628454</v>
      </c>
      <c r="AF116">
        <v>0</v>
      </c>
      <c r="AG116">
        <v>0.0013478192839575377</v>
      </c>
      <c r="AH116">
        <v>8.4238705247346107E-05</v>
      </c>
      <c r="AI116">
        <v>0.00050543223148407659</v>
      </c>
      <c r="AJ116">
        <v>0.0068233351250350342</v>
      </c>
      <c r="AK116">
        <v>0</v>
      </c>
      <c r="AL116">
        <v>0</v>
      </c>
      <c r="AM116">
        <v>0</v>
      </c>
      <c r="AN116">
        <v>0.00050543223148407659</v>
      </c>
      <c r="AO116">
        <v>0.00050543223148407659</v>
      </c>
      <c r="AP116">
        <v>8.4238705247346107E-05</v>
      </c>
      <c r="AQ116">
        <v>8.4238705247346107E-05</v>
      </c>
      <c r="AR116">
        <v>0.00033695482098938443</v>
      </c>
      <c r="AS116">
        <v>0</v>
      </c>
      <c r="AT116">
        <v>8.4238705247346107E-05</v>
      </c>
      <c r="AU116" t="s">
        <v>111</v>
      </c>
      <c r="BJ116" t="str">
        <f t="shared" si="2"/>
        <v>bus</v>
      </c>
      <c r="BK116" t="str">
        <f t="shared" si="3"/>
        <v>bdl</v>
      </c>
    </row>
    <row r="117" spans="1:63" ht="14.5">
      <c r="A117" t="s">
        <v>118</v>
      </c>
      <c r="B117" t="s">
        <v>62</v>
      </c>
      <c r="C117" t="s">
        <v>106</v>
      </c>
      <c r="D117" t="s">
        <v>111</v>
      </c>
      <c r="E117" t="s">
        <v>111</v>
      </c>
      <c r="F117" t="s">
        <v>111</v>
      </c>
      <c r="G117" t="s">
        <v>69</v>
      </c>
      <c r="H117" t="s">
        <v>111</v>
      </c>
      <c r="I117" t="s">
        <v>111</v>
      </c>
      <c r="J117" t="s">
        <v>111</v>
      </c>
      <c r="K117" t="s">
        <v>111</v>
      </c>
      <c r="L117">
        <v>0</v>
      </c>
      <c r="M117">
        <v>0</v>
      </c>
      <c r="N117">
        <v>0</v>
      </c>
      <c r="O117">
        <v>8.4238705247346107E-05</v>
      </c>
      <c r="P117">
        <v>8.4238705247346107E-05</v>
      </c>
      <c r="Q117">
        <v>0.00025271611574203829</v>
      </c>
      <c r="R117">
        <v>0.010529838155918262</v>
      </c>
      <c r="S117">
        <v>0.0021059676311836525</v>
      </c>
      <c r="T117">
        <v>8.4238705247346107E-05</v>
      </c>
      <c r="U117">
        <v>0.00025271611574203829</v>
      </c>
      <c r="V117">
        <v>0.00075814834722611488</v>
      </c>
      <c r="W117">
        <v>0.00058967093673142272</v>
      </c>
      <c r="X117">
        <v>8.4238705247346107E-05</v>
      </c>
      <c r="Y117">
        <v>0.00033695482098938443</v>
      </c>
      <c r="Z117">
        <v>0</v>
      </c>
      <c r="AA117">
        <v>8.4238705247346107E-05</v>
      </c>
      <c r="AB117">
        <v>8.4238705247346107E-05</v>
      </c>
      <c r="AC117">
        <v>0.00033695482098938443</v>
      </c>
      <c r="AD117">
        <v>0</v>
      </c>
      <c r="AE117">
        <v>0.0011793418734628454</v>
      </c>
      <c r="AF117">
        <v>0</v>
      </c>
      <c r="AG117">
        <v>0.0013478192839575377</v>
      </c>
      <c r="AH117">
        <v>8.4238705247346107E-05</v>
      </c>
      <c r="AI117">
        <v>0.00050543223148407659</v>
      </c>
      <c r="AJ117">
        <v>0.0068233351250350342</v>
      </c>
      <c r="AK117">
        <v>0</v>
      </c>
      <c r="AL117">
        <v>0</v>
      </c>
      <c r="AM117">
        <v>0</v>
      </c>
      <c r="AN117">
        <v>0.00050543223148407659</v>
      </c>
      <c r="AO117">
        <v>0.00050543223148407659</v>
      </c>
      <c r="AP117">
        <v>8.4238705247346107E-05</v>
      </c>
      <c r="AQ117">
        <v>8.4238705247346107E-05</v>
      </c>
      <c r="AR117">
        <v>0.00033695482098938443</v>
      </c>
      <c r="AS117">
        <v>0</v>
      </c>
      <c r="AT117">
        <v>8.4238705247346107E-05</v>
      </c>
      <c r="AU117" t="s">
        <v>111</v>
      </c>
      <c r="BJ117" t="str">
        <f t="shared" si="2"/>
        <v>bus</v>
      </c>
      <c r="BK117" t="str">
        <f t="shared" si="3"/>
        <v>bdl</v>
      </c>
    </row>
    <row r="118" spans="1:63" ht="14.5">
      <c r="A118" t="s">
        <v>118</v>
      </c>
      <c r="B118" t="s">
        <v>62</v>
      </c>
      <c r="C118" t="s">
        <v>106</v>
      </c>
      <c r="D118" t="s">
        <v>111</v>
      </c>
      <c r="E118" t="s">
        <v>111</v>
      </c>
      <c r="F118" t="s">
        <v>111</v>
      </c>
      <c r="G118" t="s">
        <v>68</v>
      </c>
      <c r="H118" t="s">
        <v>111</v>
      </c>
      <c r="I118" t="s">
        <v>111</v>
      </c>
      <c r="J118" t="s">
        <v>111</v>
      </c>
      <c r="K118" t="s">
        <v>111</v>
      </c>
      <c r="L118">
        <v>0</v>
      </c>
      <c r="M118">
        <v>0</v>
      </c>
      <c r="N118">
        <v>0</v>
      </c>
      <c r="O118">
        <v>8.4238705247346107E-05</v>
      </c>
      <c r="P118">
        <v>8.4238705247346107E-05</v>
      </c>
      <c r="Q118">
        <v>0.00025271611574203829</v>
      </c>
      <c r="R118">
        <v>0.010529838155918262</v>
      </c>
      <c r="S118">
        <v>0.0021059676311836525</v>
      </c>
      <c r="T118">
        <v>8.4238705247346107E-05</v>
      </c>
      <c r="U118">
        <v>0.00025271611574203829</v>
      </c>
      <c r="V118">
        <v>0.00075814834722611488</v>
      </c>
      <c r="W118">
        <v>0.00058967093673142272</v>
      </c>
      <c r="X118">
        <v>8.4238705247346107E-05</v>
      </c>
      <c r="Y118">
        <v>0.00033695482098938443</v>
      </c>
      <c r="Z118">
        <v>0</v>
      </c>
      <c r="AA118">
        <v>8.4238705247346107E-05</v>
      </c>
      <c r="AB118">
        <v>8.4238705247346107E-05</v>
      </c>
      <c r="AC118">
        <v>0.00033695482098938443</v>
      </c>
      <c r="AD118">
        <v>0</v>
      </c>
      <c r="AE118">
        <v>0.0011793418734628454</v>
      </c>
      <c r="AF118">
        <v>0</v>
      </c>
      <c r="AG118">
        <v>0.0013478192839575377</v>
      </c>
      <c r="AH118">
        <v>8.4238705247346107E-05</v>
      </c>
      <c r="AI118">
        <v>0.00050543223148407659</v>
      </c>
      <c r="AJ118">
        <v>0.0068233351250350342</v>
      </c>
      <c r="AK118">
        <v>0</v>
      </c>
      <c r="AL118">
        <v>0</v>
      </c>
      <c r="AM118">
        <v>0</v>
      </c>
      <c r="AN118">
        <v>0.00050543223148407659</v>
      </c>
      <c r="AO118">
        <v>0.00050543223148407659</v>
      </c>
      <c r="AP118">
        <v>8.4238705247346107E-05</v>
      </c>
      <c r="AQ118">
        <v>8.4238705247346107E-05</v>
      </c>
      <c r="AR118">
        <v>0.00033695482098938443</v>
      </c>
      <c r="AS118">
        <v>0</v>
      </c>
      <c r="AT118">
        <v>8.4238705247346107E-05</v>
      </c>
      <c r="AU118" t="s">
        <v>111</v>
      </c>
      <c r="BJ118" t="str">
        <f t="shared" si="2"/>
        <v>bus</v>
      </c>
      <c r="BK118" t="str">
        <f t="shared" si="3"/>
        <v>bdl</v>
      </c>
    </row>
    <row r="119" spans="1:63" ht="14.5">
      <c r="A119" t="s">
        <v>118</v>
      </c>
      <c r="B119" t="s">
        <v>62</v>
      </c>
      <c r="C119" t="s">
        <v>106</v>
      </c>
      <c r="D119" t="s">
        <v>111</v>
      </c>
      <c r="E119" t="s">
        <v>111</v>
      </c>
      <c r="F119" t="s">
        <v>111</v>
      </c>
      <c r="G119" t="s">
        <v>67</v>
      </c>
      <c r="H119" t="s">
        <v>111</v>
      </c>
      <c r="I119" t="s">
        <v>111</v>
      </c>
      <c r="J119" t="s">
        <v>111</v>
      </c>
      <c r="K119" t="s">
        <v>111</v>
      </c>
      <c r="L119">
        <v>0</v>
      </c>
      <c r="M119">
        <v>0</v>
      </c>
      <c r="N119">
        <v>0</v>
      </c>
      <c r="O119">
        <v>8.4238705247346107E-05</v>
      </c>
      <c r="P119">
        <v>8.4238705247346107E-05</v>
      </c>
      <c r="Q119">
        <v>0.00025271611574203829</v>
      </c>
      <c r="R119">
        <v>0.010529838155918262</v>
      </c>
      <c r="S119">
        <v>0.0021059676311836525</v>
      </c>
      <c r="T119">
        <v>8.4238705247346107E-05</v>
      </c>
      <c r="U119">
        <v>0.00025271611574203829</v>
      </c>
      <c r="V119">
        <v>0.00075814834722611488</v>
      </c>
      <c r="W119">
        <v>0.00058967093673142272</v>
      </c>
      <c r="X119">
        <v>8.4238705247346107E-05</v>
      </c>
      <c r="Y119">
        <v>0.00033695482098938443</v>
      </c>
      <c r="Z119">
        <v>0</v>
      </c>
      <c r="AA119">
        <v>8.4238705247346107E-05</v>
      </c>
      <c r="AB119">
        <v>8.4238705247346107E-05</v>
      </c>
      <c r="AC119">
        <v>0.00033695482098938443</v>
      </c>
      <c r="AD119">
        <v>0</v>
      </c>
      <c r="AE119">
        <v>0.0011793418734628454</v>
      </c>
      <c r="AF119">
        <v>0</v>
      </c>
      <c r="AG119">
        <v>0.0013478192839575377</v>
      </c>
      <c r="AH119">
        <v>8.4238705247346107E-05</v>
      </c>
      <c r="AI119">
        <v>0.00050543223148407659</v>
      </c>
      <c r="AJ119">
        <v>0.0068233351250350342</v>
      </c>
      <c r="AK119">
        <v>0</v>
      </c>
      <c r="AL119">
        <v>0</v>
      </c>
      <c r="AM119">
        <v>0</v>
      </c>
      <c r="AN119">
        <v>0.00050543223148407659</v>
      </c>
      <c r="AO119">
        <v>0.00050543223148407659</v>
      </c>
      <c r="AP119">
        <v>8.4238705247346107E-05</v>
      </c>
      <c r="AQ119">
        <v>8.4238705247346107E-05</v>
      </c>
      <c r="AR119">
        <v>0.00033695482098938443</v>
      </c>
      <c r="AS119">
        <v>0</v>
      </c>
      <c r="AT119">
        <v>8.4238705247346107E-05</v>
      </c>
      <c r="AU119" t="s">
        <v>111</v>
      </c>
      <c r="BJ119" t="str">
        <f t="shared" si="2"/>
        <v>bus</v>
      </c>
      <c r="BK119" t="str">
        <f t="shared" si="3"/>
        <v>bdl</v>
      </c>
    </row>
    <row r="120" spans="1:63" ht="14.5">
      <c r="A120" t="s">
        <v>118</v>
      </c>
      <c r="B120" t="s">
        <v>62</v>
      </c>
      <c r="C120" t="s">
        <v>106</v>
      </c>
      <c r="D120" t="s">
        <v>111</v>
      </c>
      <c r="E120" t="s">
        <v>111</v>
      </c>
      <c r="F120" t="s">
        <v>111</v>
      </c>
      <c r="G120" t="s">
        <v>66</v>
      </c>
      <c r="H120" t="s">
        <v>111</v>
      </c>
      <c r="I120" t="s">
        <v>111</v>
      </c>
      <c r="J120" t="s">
        <v>111</v>
      </c>
      <c r="K120" t="s">
        <v>111</v>
      </c>
      <c r="L120">
        <v>0</v>
      </c>
      <c r="M120">
        <v>0</v>
      </c>
      <c r="N120">
        <v>0</v>
      </c>
      <c r="O120">
        <v>8.4238705247346107E-05</v>
      </c>
      <c r="P120">
        <v>8.4238705247346107E-05</v>
      </c>
      <c r="Q120">
        <v>0.00025271611574203829</v>
      </c>
      <c r="R120">
        <v>0.010529838155918262</v>
      </c>
      <c r="S120">
        <v>0.0021059676311836525</v>
      </c>
      <c r="T120">
        <v>8.4238705247346107E-05</v>
      </c>
      <c r="U120">
        <v>0.00025271611574203829</v>
      </c>
      <c r="V120">
        <v>0.00075814834722611488</v>
      </c>
      <c r="W120">
        <v>0.00058967093673142272</v>
      </c>
      <c r="X120">
        <v>8.4238705247346107E-05</v>
      </c>
      <c r="Y120">
        <v>0.00033695482098938443</v>
      </c>
      <c r="Z120">
        <v>0</v>
      </c>
      <c r="AA120">
        <v>8.4238705247346107E-05</v>
      </c>
      <c r="AB120">
        <v>8.4238705247346107E-05</v>
      </c>
      <c r="AC120">
        <v>0.00033695482098938443</v>
      </c>
      <c r="AD120">
        <v>0</v>
      </c>
      <c r="AE120">
        <v>0.0011793418734628454</v>
      </c>
      <c r="AF120">
        <v>0</v>
      </c>
      <c r="AG120">
        <v>0.0013478192839575377</v>
      </c>
      <c r="AH120">
        <v>8.4238705247346107E-05</v>
      </c>
      <c r="AI120">
        <v>0.00050543223148407659</v>
      </c>
      <c r="AJ120">
        <v>0.0068233351250350342</v>
      </c>
      <c r="AK120">
        <v>0</v>
      </c>
      <c r="AL120">
        <v>0</v>
      </c>
      <c r="AM120">
        <v>0</v>
      </c>
      <c r="AN120">
        <v>0.00050543223148407659</v>
      </c>
      <c r="AO120">
        <v>0.00050543223148407659</v>
      </c>
      <c r="AP120">
        <v>8.4238705247346107E-05</v>
      </c>
      <c r="AQ120">
        <v>8.4238705247346107E-05</v>
      </c>
      <c r="AR120">
        <v>0.00033695482098938443</v>
      </c>
      <c r="AS120">
        <v>0</v>
      </c>
      <c r="AT120">
        <v>8.4238705247346107E-05</v>
      </c>
      <c r="AU120" t="s">
        <v>111</v>
      </c>
      <c r="BJ120" t="str">
        <f t="shared" si="2"/>
        <v>bus</v>
      </c>
      <c r="BK120" t="str">
        <f t="shared" si="3"/>
        <v>bdl</v>
      </c>
    </row>
    <row r="121" spans="1:63" ht="14.5">
      <c r="A121" t="s">
        <v>118</v>
      </c>
      <c r="B121" t="s">
        <v>62</v>
      </c>
      <c r="C121" t="s">
        <v>106</v>
      </c>
      <c r="D121" t="s">
        <v>111</v>
      </c>
      <c r="E121" t="s">
        <v>111</v>
      </c>
      <c r="F121" t="s">
        <v>111</v>
      </c>
      <c r="G121" t="s">
        <v>65</v>
      </c>
      <c r="H121" t="s">
        <v>111</v>
      </c>
      <c r="I121" t="s">
        <v>111</v>
      </c>
      <c r="J121" t="s">
        <v>111</v>
      </c>
      <c r="K121" t="s">
        <v>111</v>
      </c>
      <c r="L121">
        <v>0</v>
      </c>
      <c r="M121">
        <v>0</v>
      </c>
      <c r="N121">
        <v>0</v>
      </c>
      <c r="O121">
        <v>8.4238705247346107E-05</v>
      </c>
      <c r="P121">
        <v>8.4238705247346107E-05</v>
      </c>
      <c r="Q121">
        <v>0.00025271611574203829</v>
      </c>
      <c r="R121">
        <v>0.010529838155918262</v>
      </c>
      <c r="S121">
        <v>0.0021059676311836525</v>
      </c>
      <c r="T121">
        <v>8.4238705247346107E-05</v>
      </c>
      <c r="U121">
        <v>0.00025271611574203829</v>
      </c>
      <c r="V121">
        <v>0.00075814834722611488</v>
      </c>
      <c r="W121">
        <v>0.00058967093673142272</v>
      </c>
      <c r="X121">
        <v>8.4238705247346107E-05</v>
      </c>
      <c r="Y121">
        <v>0.00033695482098938443</v>
      </c>
      <c r="Z121">
        <v>0</v>
      </c>
      <c r="AA121">
        <v>8.4238705247346107E-05</v>
      </c>
      <c r="AB121">
        <v>8.4238705247346107E-05</v>
      </c>
      <c r="AC121">
        <v>0.00033695482098938443</v>
      </c>
      <c r="AD121">
        <v>0</v>
      </c>
      <c r="AE121">
        <v>0.0011793418734628454</v>
      </c>
      <c r="AF121">
        <v>0</v>
      </c>
      <c r="AG121">
        <v>0.0013478192839575377</v>
      </c>
      <c r="AH121">
        <v>8.4238705247346107E-05</v>
      </c>
      <c r="AI121">
        <v>0.00050543223148407659</v>
      </c>
      <c r="AJ121">
        <v>0.0068233351250350342</v>
      </c>
      <c r="AK121">
        <v>0</v>
      </c>
      <c r="AL121">
        <v>0</v>
      </c>
      <c r="AM121">
        <v>0</v>
      </c>
      <c r="AN121">
        <v>0.00050543223148407659</v>
      </c>
      <c r="AO121">
        <v>0.00050543223148407659</v>
      </c>
      <c r="AP121">
        <v>8.4238705247346107E-05</v>
      </c>
      <c r="AQ121">
        <v>8.4238705247346107E-05</v>
      </c>
      <c r="AR121">
        <v>0.00033695482098938443</v>
      </c>
      <c r="AS121">
        <v>0</v>
      </c>
      <c r="AT121">
        <v>8.4238705247346107E-05</v>
      </c>
      <c r="AU121" t="s">
        <v>111</v>
      </c>
      <c r="BJ121" t="str">
        <f t="shared" si="2"/>
        <v>bus</v>
      </c>
      <c r="BK121" t="str">
        <f t="shared" si="3"/>
        <v>bdl</v>
      </c>
    </row>
    <row r="122" spans="1:63" ht="14.5">
      <c r="A122" t="s">
        <v>118</v>
      </c>
      <c r="B122" t="s">
        <v>62</v>
      </c>
      <c r="C122" t="s">
        <v>105</v>
      </c>
      <c r="D122" t="s">
        <v>111</v>
      </c>
      <c r="E122" t="s">
        <v>111</v>
      </c>
      <c r="F122" t="s">
        <v>111</v>
      </c>
      <c r="G122" t="s">
        <v>61</v>
      </c>
      <c r="H122" t="s">
        <v>111</v>
      </c>
      <c r="I122" t="s">
        <v>111</v>
      </c>
      <c r="J122" t="s">
        <v>111</v>
      </c>
      <c r="K122" t="s">
        <v>111</v>
      </c>
      <c r="L122">
        <v>0.060736106483336535</v>
      </c>
      <c r="M122">
        <v>0.053997010063548852</v>
      </c>
      <c r="N122">
        <v>0.01465753471303822</v>
      </c>
      <c r="O122">
        <v>0.0017690128101942682</v>
      </c>
      <c r="P122">
        <v>0.0020217289259363063</v>
      </c>
      <c r="Q122">
        <v>0.0037907417361305743</v>
      </c>
      <c r="R122">
        <v>0.023165643943020179</v>
      </c>
      <c r="S122">
        <v>0.21211305981281747</v>
      </c>
      <c r="T122">
        <v>0.001684774104946922</v>
      </c>
      <c r="U122">
        <v>0.003622264325635882</v>
      </c>
      <c r="V122">
        <v>0.0089293027562186867</v>
      </c>
      <c r="W122">
        <v>0.0096032123981974558</v>
      </c>
      <c r="X122">
        <v>0.00075814834722611488</v>
      </c>
      <c r="Y122">
        <v>0.0055597545463248431</v>
      </c>
      <c r="Z122">
        <v>8.4238705247346107E-05</v>
      </c>
      <c r="AA122">
        <v>0.079184382932505334</v>
      </c>
      <c r="AB122">
        <v>0.00084238705247346101</v>
      </c>
      <c r="AC122">
        <v>0.0062336641883036113</v>
      </c>
      <c r="AD122">
        <v>0.0074972447670138024</v>
      </c>
      <c r="AE122">
        <v>0.023755314879751598</v>
      </c>
      <c r="AF122">
        <v>0.023418360058762216</v>
      </c>
      <c r="AG122">
        <v>0.042624784855157125</v>
      </c>
      <c r="AH122">
        <v>0.00058967093673142272</v>
      </c>
      <c r="AI122">
        <v>0.0082553931142399176</v>
      </c>
      <c r="AJ122">
        <v>0.096116362687221901</v>
      </c>
      <c r="AK122">
        <v>0.011540702618886416</v>
      </c>
      <c r="AL122">
        <v>0.013309715429080684</v>
      </c>
      <c r="AM122">
        <v>0.018953708680652874</v>
      </c>
      <c r="AN122">
        <v>0.0074130060617664563</v>
      </c>
      <c r="AO122">
        <v>0.0022744450416783447</v>
      </c>
      <c r="AP122">
        <v>0.00075814834722611488</v>
      </c>
      <c r="AQ122">
        <v>0.012804283197596607</v>
      </c>
      <c r="AR122">
        <v>0.0070760512407770726</v>
      </c>
      <c r="AS122">
        <v>0.0030325933889044595</v>
      </c>
      <c r="AT122">
        <v>0.0045488900833566895</v>
      </c>
      <c r="AU122" t="s">
        <v>111</v>
      </c>
      <c r="BJ122" t="str">
        <f t="shared" si="2"/>
        <v>bus</v>
      </c>
      <c r="BK122" t="str">
        <f t="shared" si="3"/>
        <v>dsl</v>
      </c>
    </row>
    <row r="123" spans="1:63" ht="14.5">
      <c r="A123" t="s">
        <v>118</v>
      </c>
      <c r="B123" t="s">
        <v>62</v>
      </c>
      <c r="C123" t="s">
        <v>105</v>
      </c>
      <c r="D123" t="s">
        <v>111</v>
      </c>
      <c r="E123" t="s">
        <v>111</v>
      </c>
      <c r="F123" t="s">
        <v>111</v>
      </c>
      <c r="G123" t="s">
        <v>83</v>
      </c>
      <c r="H123" t="s">
        <v>111</v>
      </c>
      <c r="I123" t="s">
        <v>111</v>
      </c>
      <c r="J123" t="s">
        <v>111</v>
      </c>
      <c r="K123" t="s">
        <v>111</v>
      </c>
      <c r="L123">
        <v>0.060736106483336535</v>
      </c>
      <c r="M123">
        <v>0.053997010063548852</v>
      </c>
      <c r="N123">
        <v>0.01465753471303822</v>
      </c>
      <c r="O123">
        <v>0.0017690128101942682</v>
      </c>
      <c r="P123">
        <v>0.0020217289259363063</v>
      </c>
      <c r="Q123">
        <v>0.0037907417361305743</v>
      </c>
      <c r="R123">
        <v>0.023165643943020179</v>
      </c>
      <c r="S123">
        <v>0.21211305981281747</v>
      </c>
      <c r="T123">
        <v>0.001684774104946922</v>
      </c>
      <c r="U123">
        <v>0.003622264325635882</v>
      </c>
      <c r="V123">
        <v>0.0089293027562186867</v>
      </c>
      <c r="W123">
        <v>0.0096032123981974558</v>
      </c>
      <c r="X123">
        <v>0.00075814834722611488</v>
      </c>
      <c r="Y123">
        <v>0.0055597545463248431</v>
      </c>
      <c r="Z123">
        <v>8.4238705247346107E-05</v>
      </c>
      <c r="AA123">
        <v>0.079184382932505334</v>
      </c>
      <c r="AB123">
        <v>0.00084238705247346101</v>
      </c>
      <c r="AC123">
        <v>0.0062336641883036113</v>
      </c>
      <c r="AD123">
        <v>0.0074972447670138024</v>
      </c>
      <c r="AE123">
        <v>0.023755314879751598</v>
      </c>
      <c r="AF123">
        <v>0.023418360058762216</v>
      </c>
      <c r="AG123">
        <v>0.042624784855157125</v>
      </c>
      <c r="AH123">
        <v>0.00058967093673142272</v>
      </c>
      <c r="AI123">
        <v>0.0082553931142399176</v>
      </c>
      <c r="AJ123">
        <v>0.096116362687221901</v>
      </c>
      <c r="AK123">
        <v>0.011540702618886416</v>
      </c>
      <c r="AL123">
        <v>0.013309715429080684</v>
      </c>
      <c r="AM123">
        <v>0.018953708680652874</v>
      </c>
      <c r="AN123">
        <v>0.0074130060617664563</v>
      </c>
      <c r="AO123">
        <v>0.0022744450416783447</v>
      </c>
      <c r="AP123">
        <v>0.00075814834722611488</v>
      </c>
      <c r="AQ123">
        <v>0.012804283197596607</v>
      </c>
      <c r="AR123">
        <v>0.0070760512407770726</v>
      </c>
      <c r="AS123">
        <v>0.0030325933889044595</v>
      </c>
      <c r="AT123">
        <v>0.0045488900833566895</v>
      </c>
      <c r="AU123" t="s">
        <v>111</v>
      </c>
      <c r="BJ123" t="str">
        <f t="shared" si="2"/>
        <v>bus</v>
      </c>
      <c r="BK123" t="str">
        <f t="shared" si="3"/>
        <v>dsl</v>
      </c>
    </row>
    <row r="124" spans="1:63" ht="14.5">
      <c r="A124" t="s">
        <v>118</v>
      </c>
      <c r="B124" t="s">
        <v>62</v>
      </c>
      <c r="C124" t="s">
        <v>105</v>
      </c>
      <c r="D124" t="s">
        <v>111</v>
      </c>
      <c r="E124" t="s">
        <v>111</v>
      </c>
      <c r="F124" t="s">
        <v>111</v>
      </c>
      <c r="G124" t="s">
        <v>82</v>
      </c>
      <c r="H124" t="s">
        <v>111</v>
      </c>
      <c r="I124" t="s">
        <v>111</v>
      </c>
      <c r="J124" t="s">
        <v>111</v>
      </c>
      <c r="K124" t="s">
        <v>111</v>
      </c>
      <c r="L124">
        <v>0.060736106483336535</v>
      </c>
      <c r="M124">
        <v>0.053997010063548852</v>
      </c>
      <c r="N124">
        <v>0.01465753471303822</v>
      </c>
      <c r="O124">
        <v>0.0017690128101942682</v>
      </c>
      <c r="P124">
        <v>0.0020217289259363063</v>
      </c>
      <c r="Q124">
        <v>0.0037907417361305743</v>
      </c>
      <c r="R124">
        <v>0.023165643943020179</v>
      </c>
      <c r="S124">
        <v>0.21211305981281747</v>
      </c>
      <c r="T124">
        <v>0.001684774104946922</v>
      </c>
      <c r="U124">
        <v>0.003622264325635882</v>
      </c>
      <c r="V124">
        <v>0.0089293027562186867</v>
      </c>
      <c r="W124">
        <v>0.0096032123981974558</v>
      </c>
      <c r="X124">
        <v>0.00075814834722611488</v>
      </c>
      <c r="Y124">
        <v>0.0055597545463248431</v>
      </c>
      <c r="Z124">
        <v>8.4238705247346107E-05</v>
      </c>
      <c r="AA124">
        <v>0.079184382932505334</v>
      </c>
      <c r="AB124">
        <v>0.00084238705247346101</v>
      </c>
      <c r="AC124">
        <v>0.0062336641883036113</v>
      </c>
      <c r="AD124">
        <v>0.0074972447670138024</v>
      </c>
      <c r="AE124">
        <v>0.023755314879751598</v>
      </c>
      <c r="AF124">
        <v>0.023418360058762216</v>
      </c>
      <c r="AG124">
        <v>0.042624784855157125</v>
      </c>
      <c r="AH124">
        <v>0.00058967093673142272</v>
      </c>
      <c r="AI124">
        <v>0.0082553931142399176</v>
      </c>
      <c r="AJ124">
        <v>0.096116362687221901</v>
      </c>
      <c r="AK124">
        <v>0.011540702618886416</v>
      </c>
      <c r="AL124">
        <v>0.013309715429080684</v>
      </c>
      <c r="AM124">
        <v>0.018953708680652874</v>
      </c>
      <c r="AN124">
        <v>0.0074130060617664563</v>
      </c>
      <c r="AO124">
        <v>0.0022744450416783447</v>
      </c>
      <c r="AP124">
        <v>0.00075814834722611488</v>
      </c>
      <c r="AQ124">
        <v>0.012804283197596607</v>
      </c>
      <c r="AR124">
        <v>0.0070760512407770726</v>
      </c>
      <c r="AS124">
        <v>0.0030325933889044595</v>
      </c>
      <c r="AT124">
        <v>0.0045488900833566895</v>
      </c>
      <c r="AU124" t="s">
        <v>111</v>
      </c>
      <c r="BJ124" t="str">
        <f t="shared" si="2"/>
        <v>bus</v>
      </c>
      <c r="BK124" t="str">
        <f t="shared" si="3"/>
        <v>dsl</v>
      </c>
    </row>
    <row r="125" spans="1:63" ht="14.5">
      <c r="A125" t="s">
        <v>118</v>
      </c>
      <c r="B125" t="s">
        <v>62</v>
      </c>
      <c r="C125" t="s">
        <v>105</v>
      </c>
      <c r="D125" t="s">
        <v>111</v>
      </c>
      <c r="E125" t="s">
        <v>111</v>
      </c>
      <c r="F125" t="s">
        <v>111</v>
      </c>
      <c r="G125" t="s">
        <v>81</v>
      </c>
      <c r="H125" t="s">
        <v>111</v>
      </c>
      <c r="I125" t="s">
        <v>111</v>
      </c>
      <c r="J125" t="s">
        <v>111</v>
      </c>
      <c r="K125" t="s">
        <v>111</v>
      </c>
      <c r="L125">
        <v>0.060736106483336535</v>
      </c>
      <c r="M125">
        <v>0.053997010063548852</v>
      </c>
      <c r="N125">
        <v>0.01465753471303822</v>
      </c>
      <c r="O125">
        <v>0.0017690128101942682</v>
      </c>
      <c r="P125">
        <v>0.0020217289259363063</v>
      </c>
      <c r="Q125">
        <v>0.0037907417361305743</v>
      </c>
      <c r="R125">
        <v>0.023165643943020179</v>
      </c>
      <c r="S125">
        <v>0.21211305981281747</v>
      </c>
      <c r="T125">
        <v>0.001684774104946922</v>
      </c>
      <c r="U125">
        <v>0.003622264325635882</v>
      </c>
      <c r="V125">
        <v>0.0089293027562186867</v>
      </c>
      <c r="W125">
        <v>0.0096032123981974558</v>
      </c>
      <c r="X125">
        <v>0.00075814834722611488</v>
      </c>
      <c r="Y125">
        <v>0.0055597545463248431</v>
      </c>
      <c r="Z125">
        <v>8.4238705247346107E-05</v>
      </c>
      <c r="AA125">
        <v>0.079184382932505334</v>
      </c>
      <c r="AB125">
        <v>0.00084238705247346101</v>
      </c>
      <c r="AC125">
        <v>0.0062336641883036113</v>
      </c>
      <c r="AD125">
        <v>0.0074972447670138024</v>
      </c>
      <c r="AE125">
        <v>0.023755314879751598</v>
      </c>
      <c r="AF125">
        <v>0.023418360058762216</v>
      </c>
      <c r="AG125">
        <v>0.042624784855157125</v>
      </c>
      <c r="AH125">
        <v>0.00058967093673142272</v>
      </c>
      <c r="AI125">
        <v>0.0082553931142399176</v>
      </c>
      <c r="AJ125">
        <v>0.096116362687221901</v>
      </c>
      <c r="AK125">
        <v>0.011540702618886416</v>
      </c>
      <c r="AL125">
        <v>0.013309715429080684</v>
      </c>
      <c r="AM125">
        <v>0.018953708680652874</v>
      </c>
      <c r="AN125">
        <v>0.0074130060617664563</v>
      </c>
      <c r="AO125">
        <v>0.0022744450416783447</v>
      </c>
      <c r="AP125">
        <v>0.00075814834722611488</v>
      </c>
      <c r="AQ125">
        <v>0.012804283197596607</v>
      </c>
      <c r="AR125">
        <v>0.0070760512407770726</v>
      </c>
      <c r="AS125">
        <v>0.0030325933889044595</v>
      </c>
      <c r="AT125">
        <v>0.0045488900833566895</v>
      </c>
      <c r="AU125" t="s">
        <v>111</v>
      </c>
      <c r="BJ125" t="str">
        <f t="shared" si="2"/>
        <v>bus</v>
      </c>
      <c r="BK125" t="str">
        <f t="shared" si="3"/>
        <v>dsl</v>
      </c>
    </row>
    <row r="126" spans="1:63" ht="14.5">
      <c r="A126" t="s">
        <v>118</v>
      </c>
      <c r="B126" t="s">
        <v>62</v>
      </c>
      <c r="C126" t="s">
        <v>105</v>
      </c>
      <c r="D126" t="s">
        <v>111</v>
      </c>
      <c r="E126" t="s">
        <v>111</v>
      </c>
      <c r="F126" t="s">
        <v>111</v>
      </c>
      <c r="G126" t="s">
        <v>80</v>
      </c>
      <c r="H126" t="s">
        <v>111</v>
      </c>
      <c r="I126" t="s">
        <v>111</v>
      </c>
      <c r="J126" t="s">
        <v>111</v>
      </c>
      <c r="K126" t="s">
        <v>111</v>
      </c>
      <c r="L126">
        <v>0.060736106483336535</v>
      </c>
      <c r="M126">
        <v>0.053997010063548852</v>
      </c>
      <c r="N126">
        <v>0.01465753471303822</v>
      </c>
      <c r="O126">
        <v>0.0017690128101942682</v>
      </c>
      <c r="P126">
        <v>0.0020217289259363063</v>
      </c>
      <c r="Q126">
        <v>0.0037907417361305743</v>
      </c>
      <c r="R126">
        <v>0.023165643943020179</v>
      </c>
      <c r="S126">
        <v>0.21211305981281747</v>
      </c>
      <c r="T126">
        <v>0.001684774104946922</v>
      </c>
      <c r="U126">
        <v>0.003622264325635882</v>
      </c>
      <c r="V126">
        <v>0.0089293027562186867</v>
      </c>
      <c r="W126">
        <v>0.0096032123981974558</v>
      </c>
      <c r="X126">
        <v>0.00075814834722611488</v>
      </c>
      <c r="Y126">
        <v>0.0055597545463248431</v>
      </c>
      <c r="Z126">
        <v>8.4238705247346107E-05</v>
      </c>
      <c r="AA126">
        <v>0.079184382932505334</v>
      </c>
      <c r="AB126">
        <v>0.00084238705247346101</v>
      </c>
      <c r="AC126">
        <v>0.0062336641883036113</v>
      </c>
      <c r="AD126">
        <v>0.0074972447670138024</v>
      </c>
      <c r="AE126">
        <v>0.023755314879751598</v>
      </c>
      <c r="AF126">
        <v>0.023418360058762216</v>
      </c>
      <c r="AG126">
        <v>0.042624784855157125</v>
      </c>
      <c r="AH126">
        <v>0.00058967093673142272</v>
      </c>
      <c r="AI126">
        <v>0.0082553931142399176</v>
      </c>
      <c r="AJ126">
        <v>0.096116362687221901</v>
      </c>
      <c r="AK126">
        <v>0.011540702618886416</v>
      </c>
      <c r="AL126">
        <v>0.013309715429080684</v>
      </c>
      <c r="AM126">
        <v>0.018953708680652874</v>
      </c>
      <c r="AN126">
        <v>0.0074130060617664563</v>
      </c>
      <c r="AO126">
        <v>0.0022744450416783447</v>
      </c>
      <c r="AP126">
        <v>0.00075814834722611488</v>
      </c>
      <c r="AQ126">
        <v>0.012804283197596607</v>
      </c>
      <c r="AR126">
        <v>0.0070760512407770726</v>
      </c>
      <c r="AS126">
        <v>0.0030325933889044595</v>
      </c>
      <c r="AT126">
        <v>0.0045488900833566895</v>
      </c>
      <c r="AU126" t="s">
        <v>111</v>
      </c>
      <c r="BJ126" t="str">
        <f t="shared" si="2"/>
        <v>bus</v>
      </c>
      <c r="BK126" t="str">
        <f t="shared" si="3"/>
        <v>dsl</v>
      </c>
    </row>
    <row r="127" spans="1:63" ht="14.5">
      <c r="A127" t="s">
        <v>118</v>
      </c>
      <c r="B127" t="s">
        <v>62</v>
      </c>
      <c r="C127" t="s">
        <v>105</v>
      </c>
      <c r="D127" t="s">
        <v>111</v>
      </c>
      <c r="E127" t="s">
        <v>111</v>
      </c>
      <c r="F127" t="s">
        <v>111</v>
      </c>
      <c r="G127" t="s">
        <v>79</v>
      </c>
      <c r="H127" t="s">
        <v>111</v>
      </c>
      <c r="I127" t="s">
        <v>111</v>
      </c>
      <c r="J127" t="s">
        <v>111</v>
      </c>
      <c r="K127" t="s">
        <v>111</v>
      </c>
      <c r="L127">
        <v>0.060736106483336535</v>
      </c>
      <c r="M127">
        <v>0.053997010063548852</v>
      </c>
      <c r="N127">
        <v>0.01465753471303822</v>
      </c>
      <c r="O127">
        <v>0.0017690128101942682</v>
      </c>
      <c r="P127">
        <v>0.0020217289259363063</v>
      </c>
      <c r="Q127">
        <v>0.0037907417361305743</v>
      </c>
      <c r="R127">
        <v>0.023165643943020179</v>
      </c>
      <c r="S127">
        <v>0.21211305981281747</v>
      </c>
      <c r="T127">
        <v>0.001684774104946922</v>
      </c>
      <c r="U127">
        <v>0.003622264325635882</v>
      </c>
      <c r="V127">
        <v>0.0089293027562186867</v>
      </c>
      <c r="W127">
        <v>0.0096032123981974558</v>
      </c>
      <c r="X127">
        <v>0.00075814834722611488</v>
      </c>
      <c r="Y127">
        <v>0.0055597545463248431</v>
      </c>
      <c r="Z127">
        <v>8.4238705247346107E-05</v>
      </c>
      <c r="AA127">
        <v>0.079184382932505334</v>
      </c>
      <c r="AB127">
        <v>0.00084238705247346101</v>
      </c>
      <c r="AC127">
        <v>0.0062336641883036113</v>
      </c>
      <c r="AD127">
        <v>0.0074972447670138024</v>
      </c>
      <c r="AE127">
        <v>0.023755314879751598</v>
      </c>
      <c r="AF127">
        <v>0.023418360058762216</v>
      </c>
      <c r="AG127">
        <v>0.042624784855157125</v>
      </c>
      <c r="AH127">
        <v>0.00058967093673142272</v>
      </c>
      <c r="AI127">
        <v>0.0082553931142399176</v>
      </c>
      <c r="AJ127">
        <v>0.096116362687221901</v>
      </c>
      <c r="AK127">
        <v>0.011540702618886416</v>
      </c>
      <c r="AL127">
        <v>0.013309715429080684</v>
      </c>
      <c r="AM127">
        <v>0.018953708680652874</v>
      </c>
      <c r="AN127">
        <v>0.0074130060617664563</v>
      </c>
      <c r="AO127">
        <v>0.0022744450416783447</v>
      </c>
      <c r="AP127">
        <v>0.00075814834722611488</v>
      </c>
      <c r="AQ127">
        <v>0.012804283197596607</v>
      </c>
      <c r="AR127">
        <v>0.0070760512407770726</v>
      </c>
      <c r="AS127">
        <v>0.0030325933889044595</v>
      </c>
      <c r="AT127">
        <v>0.0045488900833566895</v>
      </c>
      <c r="AU127" t="s">
        <v>111</v>
      </c>
      <c r="BJ127" t="str">
        <f t="shared" si="2"/>
        <v>bus</v>
      </c>
      <c r="BK127" t="str">
        <f t="shared" si="3"/>
        <v>dsl</v>
      </c>
    </row>
    <row r="128" spans="1:63" ht="14.5">
      <c r="A128" t="s">
        <v>118</v>
      </c>
      <c r="B128" t="s">
        <v>62</v>
      </c>
      <c r="C128" t="s">
        <v>105</v>
      </c>
      <c r="D128" t="s">
        <v>111</v>
      </c>
      <c r="E128" t="s">
        <v>111</v>
      </c>
      <c r="F128" t="s">
        <v>111</v>
      </c>
      <c r="G128" t="s">
        <v>78</v>
      </c>
      <c r="H128" t="s">
        <v>111</v>
      </c>
      <c r="I128" t="s">
        <v>111</v>
      </c>
      <c r="J128" t="s">
        <v>111</v>
      </c>
      <c r="K128" t="s">
        <v>111</v>
      </c>
      <c r="L128">
        <v>0.060736106483336535</v>
      </c>
      <c r="M128">
        <v>0.053997010063548852</v>
      </c>
      <c r="N128">
        <v>0.01465753471303822</v>
      </c>
      <c r="O128">
        <v>0.0017690128101942682</v>
      </c>
      <c r="P128">
        <v>0.0020217289259363063</v>
      </c>
      <c r="Q128">
        <v>0.0037907417361305743</v>
      </c>
      <c r="R128">
        <v>0.023165643943020179</v>
      </c>
      <c r="S128">
        <v>0.21211305981281747</v>
      </c>
      <c r="T128">
        <v>0.001684774104946922</v>
      </c>
      <c r="U128">
        <v>0.003622264325635882</v>
      </c>
      <c r="V128">
        <v>0.0089293027562186867</v>
      </c>
      <c r="W128">
        <v>0.0096032123981974558</v>
      </c>
      <c r="X128">
        <v>0.00075814834722611488</v>
      </c>
      <c r="Y128">
        <v>0.0055597545463248431</v>
      </c>
      <c r="Z128">
        <v>8.4238705247346107E-05</v>
      </c>
      <c r="AA128">
        <v>0.079184382932505334</v>
      </c>
      <c r="AB128">
        <v>0.00084238705247346101</v>
      </c>
      <c r="AC128">
        <v>0.0062336641883036113</v>
      </c>
      <c r="AD128">
        <v>0.0074972447670138024</v>
      </c>
      <c r="AE128">
        <v>0.023755314879751598</v>
      </c>
      <c r="AF128">
        <v>0.023418360058762216</v>
      </c>
      <c r="AG128">
        <v>0.042624784855157125</v>
      </c>
      <c r="AH128">
        <v>0.00058967093673142272</v>
      </c>
      <c r="AI128">
        <v>0.0082553931142399176</v>
      </c>
      <c r="AJ128">
        <v>0.096116362687221901</v>
      </c>
      <c r="AK128">
        <v>0.011540702618886416</v>
      </c>
      <c r="AL128">
        <v>0.013309715429080684</v>
      </c>
      <c r="AM128">
        <v>0.018953708680652874</v>
      </c>
      <c r="AN128">
        <v>0.0074130060617664563</v>
      </c>
      <c r="AO128">
        <v>0.0022744450416783447</v>
      </c>
      <c r="AP128">
        <v>0.00075814834722611488</v>
      </c>
      <c r="AQ128">
        <v>0.012804283197596607</v>
      </c>
      <c r="AR128">
        <v>0.0070760512407770726</v>
      </c>
      <c r="AS128">
        <v>0.0030325933889044595</v>
      </c>
      <c r="AT128">
        <v>0.0045488900833566895</v>
      </c>
      <c r="AU128" t="s">
        <v>111</v>
      </c>
      <c r="BJ128" t="str">
        <f t="shared" si="2"/>
        <v>bus</v>
      </c>
      <c r="BK128" t="str">
        <f t="shared" si="3"/>
        <v>dsl</v>
      </c>
    </row>
    <row r="129" spans="1:63" ht="14.5">
      <c r="A129" t="s">
        <v>118</v>
      </c>
      <c r="B129" t="s">
        <v>62</v>
      </c>
      <c r="C129" t="s">
        <v>105</v>
      </c>
      <c r="D129" t="s">
        <v>111</v>
      </c>
      <c r="E129" t="s">
        <v>111</v>
      </c>
      <c r="F129" t="s">
        <v>111</v>
      </c>
      <c r="G129" t="s">
        <v>77</v>
      </c>
      <c r="H129" t="s">
        <v>111</v>
      </c>
      <c r="I129" t="s">
        <v>111</v>
      </c>
      <c r="J129" t="s">
        <v>111</v>
      </c>
      <c r="K129" t="s">
        <v>111</v>
      </c>
      <c r="L129">
        <v>0.060736106483336535</v>
      </c>
      <c r="M129">
        <v>0.053997010063548852</v>
      </c>
      <c r="N129">
        <v>0.01465753471303822</v>
      </c>
      <c r="O129">
        <v>0.0017690128101942682</v>
      </c>
      <c r="P129">
        <v>0.0020217289259363063</v>
      </c>
      <c r="Q129">
        <v>0.0037907417361305743</v>
      </c>
      <c r="R129">
        <v>0.023165643943020179</v>
      </c>
      <c r="S129">
        <v>0.21211305981281747</v>
      </c>
      <c r="T129">
        <v>0.001684774104946922</v>
      </c>
      <c r="U129">
        <v>0.003622264325635882</v>
      </c>
      <c r="V129">
        <v>0.0089293027562186867</v>
      </c>
      <c r="W129">
        <v>0.0096032123981974558</v>
      </c>
      <c r="X129">
        <v>0.00075814834722611488</v>
      </c>
      <c r="Y129">
        <v>0.0055597545463248431</v>
      </c>
      <c r="Z129">
        <v>8.4238705247346107E-05</v>
      </c>
      <c r="AA129">
        <v>0.079184382932505334</v>
      </c>
      <c r="AB129">
        <v>0.00084238705247346101</v>
      </c>
      <c r="AC129">
        <v>0.0062336641883036113</v>
      </c>
      <c r="AD129">
        <v>0.0074972447670138024</v>
      </c>
      <c r="AE129">
        <v>0.023755314879751598</v>
      </c>
      <c r="AF129">
        <v>0.023418360058762216</v>
      </c>
      <c r="AG129">
        <v>0.042624784855157125</v>
      </c>
      <c r="AH129">
        <v>0.00058967093673142272</v>
      </c>
      <c r="AI129">
        <v>0.0082553931142399176</v>
      </c>
      <c r="AJ129">
        <v>0.096116362687221901</v>
      </c>
      <c r="AK129">
        <v>0.011540702618886416</v>
      </c>
      <c r="AL129">
        <v>0.013309715429080684</v>
      </c>
      <c r="AM129">
        <v>0.018953708680652874</v>
      </c>
      <c r="AN129">
        <v>0.0074130060617664563</v>
      </c>
      <c r="AO129">
        <v>0.0022744450416783447</v>
      </c>
      <c r="AP129">
        <v>0.00075814834722611488</v>
      </c>
      <c r="AQ129">
        <v>0.012804283197596607</v>
      </c>
      <c r="AR129">
        <v>0.0070760512407770726</v>
      </c>
      <c r="AS129">
        <v>0.0030325933889044595</v>
      </c>
      <c r="AT129">
        <v>0.0045488900833566895</v>
      </c>
      <c r="AU129" t="s">
        <v>111</v>
      </c>
      <c r="BJ129" t="str">
        <f t="shared" si="2"/>
        <v>bus</v>
      </c>
      <c r="BK129" t="str">
        <f t="shared" si="3"/>
        <v>dsl</v>
      </c>
    </row>
    <row r="130" spans="1:63" ht="14.5">
      <c r="A130" t="s">
        <v>118</v>
      </c>
      <c r="B130" t="s">
        <v>62</v>
      </c>
      <c r="C130" t="s">
        <v>105</v>
      </c>
      <c r="D130" t="s">
        <v>111</v>
      </c>
      <c r="E130" t="s">
        <v>111</v>
      </c>
      <c r="F130" t="s">
        <v>111</v>
      </c>
      <c r="G130" t="s">
        <v>76</v>
      </c>
      <c r="H130" t="s">
        <v>111</v>
      </c>
      <c r="I130" t="s">
        <v>111</v>
      </c>
      <c r="J130" t="s">
        <v>111</v>
      </c>
      <c r="K130" t="s">
        <v>111</v>
      </c>
      <c r="L130">
        <v>0.060736106483336535</v>
      </c>
      <c r="M130">
        <v>0.053997010063548852</v>
      </c>
      <c r="N130">
        <v>0.01465753471303822</v>
      </c>
      <c r="O130">
        <v>0.0017690128101942682</v>
      </c>
      <c r="P130">
        <v>0.0020217289259363063</v>
      </c>
      <c r="Q130">
        <v>0.0037907417361305743</v>
      </c>
      <c r="R130">
        <v>0.023165643943020179</v>
      </c>
      <c r="S130">
        <v>0.21211305981281747</v>
      </c>
      <c r="T130">
        <v>0.001684774104946922</v>
      </c>
      <c r="U130">
        <v>0.003622264325635882</v>
      </c>
      <c r="V130">
        <v>0.0089293027562186867</v>
      </c>
      <c r="W130">
        <v>0.0096032123981974558</v>
      </c>
      <c r="X130">
        <v>0.00075814834722611488</v>
      </c>
      <c r="Y130">
        <v>0.0055597545463248431</v>
      </c>
      <c r="Z130">
        <v>8.4238705247346107E-05</v>
      </c>
      <c r="AA130">
        <v>0.079184382932505334</v>
      </c>
      <c r="AB130">
        <v>0.00084238705247346101</v>
      </c>
      <c r="AC130">
        <v>0.0062336641883036113</v>
      </c>
      <c r="AD130">
        <v>0.0074972447670138024</v>
      </c>
      <c r="AE130">
        <v>0.023755314879751598</v>
      </c>
      <c r="AF130">
        <v>0.023418360058762216</v>
      </c>
      <c r="AG130">
        <v>0.042624784855157125</v>
      </c>
      <c r="AH130">
        <v>0.00058967093673142272</v>
      </c>
      <c r="AI130">
        <v>0.0082553931142399176</v>
      </c>
      <c r="AJ130">
        <v>0.096116362687221901</v>
      </c>
      <c r="AK130">
        <v>0.011540702618886416</v>
      </c>
      <c r="AL130">
        <v>0.013309715429080684</v>
      </c>
      <c r="AM130">
        <v>0.018953708680652874</v>
      </c>
      <c r="AN130">
        <v>0.0074130060617664563</v>
      </c>
      <c r="AO130">
        <v>0.0022744450416783447</v>
      </c>
      <c r="AP130">
        <v>0.00075814834722611488</v>
      </c>
      <c r="AQ130">
        <v>0.012804283197596607</v>
      </c>
      <c r="AR130">
        <v>0.0070760512407770726</v>
      </c>
      <c r="AS130">
        <v>0.0030325933889044595</v>
      </c>
      <c r="AT130">
        <v>0.0045488900833566895</v>
      </c>
      <c r="AU130" t="s">
        <v>111</v>
      </c>
      <c r="BJ130" t="str">
        <f t="shared" si="2"/>
        <v>bus</v>
      </c>
      <c r="BK130" t="str">
        <f t="shared" si="3"/>
        <v>dsl</v>
      </c>
    </row>
    <row r="131" spans="1:63" ht="14.5">
      <c r="A131" t="s">
        <v>118</v>
      </c>
      <c r="B131" t="s">
        <v>62</v>
      </c>
      <c r="C131" t="s">
        <v>105</v>
      </c>
      <c r="D131" t="s">
        <v>111</v>
      </c>
      <c r="E131" t="s">
        <v>111</v>
      </c>
      <c r="F131" t="s">
        <v>111</v>
      </c>
      <c r="G131" t="s">
        <v>75</v>
      </c>
      <c r="H131" t="s">
        <v>111</v>
      </c>
      <c r="I131" t="s">
        <v>111</v>
      </c>
      <c r="J131" t="s">
        <v>111</v>
      </c>
      <c r="K131" t="s">
        <v>111</v>
      </c>
      <c r="L131">
        <v>0.060736106483336535</v>
      </c>
      <c r="M131">
        <v>0.053997010063548852</v>
      </c>
      <c r="N131">
        <v>0.01465753471303822</v>
      </c>
      <c r="O131">
        <v>0.0017690128101942682</v>
      </c>
      <c r="P131">
        <v>0.0020217289259363063</v>
      </c>
      <c r="Q131">
        <v>0.0037907417361305743</v>
      </c>
      <c r="R131">
        <v>0.023165643943020179</v>
      </c>
      <c r="S131">
        <v>0.21211305981281747</v>
      </c>
      <c r="T131">
        <v>0.001684774104946922</v>
      </c>
      <c r="U131">
        <v>0.003622264325635882</v>
      </c>
      <c r="V131">
        <v>0.0089293027562186867</v>
      </c>
      <c r="W131">
        <v>0.0096032123981974558</v>
      </c>
      <c r="X131">
        <v>0.00075814834722611488</v>
      </c>
      <c r="Y131">
        <v>0.0055597545463248431</v>
      </c>
      <c r="Z131">
        <v>8.4238705247346107E-05</v>
      </c>
      <c r="AA131">
        <v>0.079184382932505334</v>
      </c>
      <c r="AB131">
        <v>0.00084238705247346101</v>
      </c>
      <c r="AC131">
        <v>0.0062336641883036113</v>
      </c>
      <c r="AD131">
        <v>0.0074972447670138024</v>
      </c>
      <c r="AE131">
        <v>0.023755314879751598</v>
      </c>
      <c r="AF131">
        <v>0.023418360058762216</v>
      </c>
      <c r="AG131">
        <v>0.042624784855157125</v>
      </c>
      <c r="AH131">
        <v>0.00058967093673142272</v>
      </c>
      <c r="AI131">
        <v>0.0082553931142399176</v>
      </c>
      <c r="AJ131">
        <v>0.096116362687221901</v>
      </c>
      <c r="AK131">
        <v>0.011540702618886416</v>
      </c>
      <c r="AL131">
        <v>0.013309715429080684</v>
      </c>
      <c r="AM131">
        <v>0.018953708680652874</v>
      </c>
      <c r="AN131">
        <v>0.0074130060617664563</v>
      </c>
      <c r="AO131">
        <v>0.0022744450416783447</v>
      </c>
      <c r="AP131">
        <v>0.00075814834722611488</v>
      </c>
      <c r="AQ131">
        <v>0.012804283197596607</v>
      </c>
      <c r="AR131">
        <v>0.0070760512407770726</v>
      </c>
      <c r="AS131">
        <v>0.0030325933889044595</v>
      </c>
      <c r="AT131">
        <v>0.0045488900833566895</v>
      </c>
      <c r="AU131" t="s">
        <v>111</v>
      </c>
      <c r="BJ131" t="str">
        <f t="shared" si="4" ref="BJ131:BJ194">MID(C131,5,3)</f>
        <v>bus</v>
      </c>
      <c r="BK131" t="str">
        <f t="shared" si="5" ref="BK131:BK194">RIGHT(C131,3)</f>
        <v>dsl</v>
      </c>
    </row>
    <row r="132" spans="1:63" ht="14.5">
      <c r="A132" t="s">
        <v>118</v>
      </c>
      <c r="B132" t="s">
        <v>62</v>
      </c>
      <c r="C132" t="s">
        <v>105</v>
      </c>
      <c r="D132" t="s">
        <v>111</v>
      </c>
      <c r="E132" t="s">
        <v>111</v>
      </c>
      <c r="F132" t="s">
        <v>111</v>
      </c>
      <c r="G132" t="s">
        <v>74</v>
      </c>
      <c r="H132" t="s">
        <v>111</v>
      </c>
      <c r="I132" t="s">
        <v>111</v>
      </c>
      <c r="J132" t="s">
        <v>111</v>
      </c>
      <c r="K132" t="s">
        <v>111</v>
      </c>
      <c r="L132">
        <v>0.060736106483336535</v>
      </c>
      <c r="M132">
        <v>0.053997010063548852</v>
      </c>
      <c r="N132">
        <v>0.01465753471303822</v>
      </c>
      <c r="O132">
        <v>0.0017690128101942682</v>
      </c>
      <c r="P132">
        <v>0.0020217289259363063</v>
      </c>
      <c r="Q132">
        <v>0.0037907417361305743</v>
      </c>
      <c r="R132">
        <v>0.023165643943020179</v>
      </c>
      <c r="S132">
        <v>0.21211305981281747</v>
      </c>
      <c r="T132">
        <v>0.001684774104946922</v>
      </c>
      <c r="U132">
        <v>0.003622264325635882</v>
      </c>
      <c r="V132">
        <v>0.0089293027562186867</v>
      </c>
      <c r="W132">
        <v>0.0096032123981974558</v>
      </c>
      <c r="X132">
        <v>0.00075814834722611488</v>
      </c>
      <c r="Y132">
        <v>0.0055597545463248431</v>
      </c>
      <c r="Z132">
        <v>8.4238705247346107E-05</v>
      </c>
      <c r="AA132">
        <v>0.079184382932505334</v>
      </c>
      <c r="AB132">
        <v>0.00084238705247346101</v>
      </c>
      <c r="AC132">
        <v>0.0062336641883036113</v>
      </c>
      <c r="AD132">
        <v>0.0074972447670138024</v>
      </c>
      <c r="AE132">
        <v>0.023755314879751598</v>
      </c>
      <c r="AF132">
        <v>0.023418360058762216</v>
      </c>
      <c r="AG132">
        <v>0.042624784855157125</v>
      </c>
      <c r="AH132">
        <v>0.00058967093673142272</v>
      </c>
      <c r="AI132">
        <v>0.0082553931142399176</v>
      </c>
      <c r="AJ132">
        <v>0.096116362687221901</v>
      </c>
      <c r="AK132">
        <v>0.011540702618886416</v>
      </c>
      <c r="AL132">
        <v>0.013309715429080684</v>
      </c>
      <c r="AM132">
        <v>0.018953708680652874</v>
      </c>
      <c r="AN132">
        <v>0.0074130060617664563</v>
      </c>
      <c r="AO132">
        <v>0.0022744450416783447</v>
      </c>
      <c r="AP132">
        <v>0.00075814834722611488</v>
      </c>
      <c r="AQ132">
        <v>0.012804283197596607</v>
      </c>
      <c r="AR132">
        <v>0.0070760512407770726</v>
      </c>
      <c r="AS132">
        <v>0.0030325933889044595</v>
      </c>
      <c r="AT132">
        <v>0.0045488900833566895</v>
      </c>
      <c r="AU132" t="s">
        <v>111</v>
      </c>
      <c r="BJ132" t="str">
        <f t="shared" si="4"/>
        <v>bus</v>
      </c>
      <c r="BK132" t="str">
        <f t="shared" si="5"/>
        <v>dsl</v>
      </c>
    </row>
    <row r="133" spans="1:63" ht="14.5">
      <c r="A133" t="s">
        <v>118</v>
      </c>
      <c r="B133" t="s">
        <v>62</v>
      </c>
      <c r="C133" t="s">
        <v>105</v>
      </c>
      <c r="D133" t="s">
        <v>111</v>
      </c>
      <c r="E133" t="s">
        <v>111</v>
      </c>
      <c r="F133" t="s">
        <v>111</v>
      </c>
      <c r="G133" t="s">
        <v>73</v>
      </c>
      <c r="H133" t="s">
        <v>111</v>
      </c>
      <c r="I133" t="s">
        <v>111</v>
      </c>
      <c r="J133" t="s">
        <v>111</v>
      </c>
      <c r="K133" t="s">
        <v>111</v>
      </c>
      <c r="L133">
        <v>0.060736106483336535</v>
      </c>
      <c r="M133">
        <v>0.053997010063548852</v>
      </c>
      <c r="N133">
        <v>0.01465753471303822</v>
      </c>
      <c r="O133">
        <v>0.0017690128101942682</v>
      </c>
      <c r="P133">
        <v>0.0020217289259363063</v>
      </c>
      <c r="Q133">
        <v>0.0037907417361305743</v>
      </c>
      <c r="R133">
        <v>0.023165643943020179</v>
      </c>
      <c r="S133">
        <v>0.21211305981281747</v>
      </c>
      <c r="T133">
        <v>0.001684774104946922</v>
      </c>
      <c r="U133">
        <v>0.003622264325635882</v>
      </c>
      <c r="V133">
        <v>0.0089293027562186867</v>
      </c>
      <c r="W133">
        <v>0.0096032123981974558</v>
      </c>
      <c r="X133">
        <v>0.00075814834722611488</v>
      </c>
      <c r="Y133">
        <v>0.0055597545463248431</v>
      </c>
      <c r="Z133">
        <v>8.4238705247346107E-05</v>
      </c>
      <c r="AA133">
        <v>0.079184382932505334</v>
      </c>
      <c r="AB133">
        <v>0.00084238705247346101</v>
      </c>
      <c r="AC133">
        <v>0.0062336641883036113</v>
      </c>
      <c r="AD133">
        <v>0.0074972447670138024</v>
      </c>
      <c r="AE133">
        <v>0.023755314879751598</v>
      </c>
      <c r="AF133">
        <v>0.023418360058762216</v>
      </c>
      <c r="AG133">
        <v>0.042624784855157125</v>
      </c>
      <c r="AH133">
        <v>0.00058967093673142272</v>
      </c>
      <c r="AI133">
        <v>0.0082553931142399176</v>
      </c>
      <c r="AJ133">
        <v>0.096116362687221901</v>
      </c>
      <c r="AK133">
        <v>0.011540702618886416</v>
      </c>
      <c r="AL133">
        <v>0.013309715429080684</v>
      </c>
      <c r="AM133">
        <v>0.018953708680652874</v>
      </c>
      <c r="AN133">
        <v>0.0074130060617664563</v>
      </c>
      <c r="AO133">
        <v>0.0022744450416783447</v>
      </c>
      <c r="AP133">
        <v>0.00075814834722611488</v>
      </c>
      <c r="AQ133">
        <v>0.012804283197596607</v>
      </c>
      <c r="AR133">
        <v>0.0070760512407770726</v>
      </c>
      <c r="AS133">
        <v>0.0030325933889044595</v>
      </c>
      <c r="AT133">
        <v>0.0045488900833566895</v>
      </c>
      <c r="AU133" t="s">
        <v>111</v>
      </c>
      <c r="BJ133" t="str">
        <f t="shared" si="4"/>
        <v>bus</v>
      </c>
      <c r="BK133" t="str">
        <f t="shared" si="5"/>
        <v>dsl</v>
      </c>
    </row>
    <row r="134" spans="1:63" ht="14.5">
      <c r="A134" t="s">
        <v>118</v>
      </c>
      <c r="B134" t="s">
        <v>62</v>
      </c>
      <c r="C134" t="s">
        <v>105</v>
      </c>
      <c r="D134" t="s">
        <v>111</v>
      </c>
      <c r="E134" t="s">
        <v>111</v>
      </c>
      <c r="F134" t="s">
        <v>111</v>
      </c>
      <c r="G134" t="s">
        <v>72</v>
      </c>
      <c r="H134" t="s">
        <v>111</v>
      </c>
      <c r="I134" t="s">
        <v>111</v>
      </c>
      <c r="J134" t="s">
        <v>111</v>
      </c>
      <c r="K134" t="s">
        <v>111</v>
      </c>
      <c r="L134">
        <v>0.060736106483336535</v>
      </c>
      <c r="M134">
        <v>0.053997010063548852</v>
      </c>
      <c r="N134">
        <v>0.01465753471303822</v>
      </c>
      <c r="O134">
        <v>0.0017690128101942682</v>
      </c>
      <c r="P134">
        <v>0.0020217289259363063</v>
      </c>
      <c r="Q134">
        <v>0.0037907417361305743</v>
      </c>
      <c r="R134">
        <v>0.023165643943020179</v>
      </c>
      <c r="S134">
        <v>0.21211305981281747</v>
      </c>
      <c r="T134">
        <v>0.001684774104946922</v>
      </c>
      <c r="U134">
        <v>0.003622264325635882</v>
      </c>
      <c r="V134">
        <v>0.0089293027562186867</v>
      </c>
      <c r="W134">
        <v>0.0096032123981974558</v>
      </c>
      <c r="X134">
        <v>0.00075814834722611488</v>
      </c>
      <c r="Y134">
        <v>0.0055597545463248431</v>
      </c>
      <c r="Z134">
        <v>8.4238705247346107E-05</v>
      </c>
      <c r="AA134">
        <v>0.079184382932505334</v>
      </c>
      <c r="AB134">
        <v>0.00084238705247346101</v>
      </c>
      <c r="AC134">
        <v>0.0062336641883036113</v>
      </c>
      <c r="AD134">
        <v>0.0074972447670138024</v>
      </c>
      <c r="AE134">
        <v>0.023755314879751598</v>
      </c>
      <c r="AF134">
        <v>0.023418360058762216</v>
      </c>
      <c r="AG134">
        <v>0.042624784855157125</v>
      </c>
      <c r="AH134">
        <v>0.00058967093673142272</v>
      </c>
      <c r="AI134">
        <v>0.0082553931142399176</v>
      </c>
      <c r="AJ134">
        <v>0.096116362687221901</v>
      </c>
      <c r="AK134">
        <v>0.011540702618886416</v>
      </c>
      <c r="AL134">
        <v>0.013309715429080684</v>
      </c>
      <c r="AM134">
        <v>0.018953708680652874</v>
      </c>
      <c r="AN134">
        <v>0.0074130060617664563</v>
      </c>
      <c r="AO134">
        <v>0.0022744450416783447</v>
      </c>
      <c r="AP134">
        <v>0.00075814834722611488</v>
      </c>
      <c r="AQ134">
        <v>0.012804283197596607</v>
      </c>
      <c r="AR134">
        <v>0.0070760512407770726</v>
      </c>
      <c r="AS134">
        <v>0.0030325933889044595</v>
      </c>
      <c r="AT134">
        <v>0.0045488900833566895</v>
      </c>
      <c r="AU134" t="s">
        <v>111</v>
      </c>
      <c r="BJ134" t="str">
        <f t="shared" si="4"/>
        <v>bus</v>
      </c>
      <c r="BK134" t="str">
        <f t="shared" si="5"/>
        <v>dsl</v>
      </c>
    </row>
    <row r="135" spans="1:63" ht="14.5">
      <c r="A135" t="s">
        <v>118</v>
      </c>
      <c r="B135" t="s">
        <v>62</v>
      </c>
      <c r="C135" t="s">
        <v>105</v>
      </c>
      <c r="D135" t="s">
        <v>111</v>
      </c>
      <c r="E135" t="s">
        <v>111</v>
      </c>
      <c r="F135" t="s">
        <v>111</v>
      </c>
      <c r="G135" t="s">
        <v>71</v>
      </c>
      <c r="H135" t="s">
        <v>111</v>
      </c>
      <c r="I135" t="s">
        <v>111</v>
      </c>
      <c r="J135" t="s">
        <v>111</v>
      </c>
      <c r="K135" t="s">
        <v>111</v>
      </c>
      <c r="L135">
        <v>0.060736106483336535</v>
      </c>
      <c r="M135">
        <v>0.053997010063548852</v>
      </c>
      <c r="N135">
        <v>0.01465753471303822</v>
      </c>
      <c r="O135">
        <v>0.0017690128101942682</v>
      </c>
      <c r="P135">
        <v>0.0020217289259363063</v>
      </c>
      <c r="Q135">
        <v>0.0037907417361305743</v>
      </c>
      <c r="R135">
        <v>0.023165643943020179</v>
      </c>
      <c r="S135">
        <v>0.21211305981281747</v>
      </c>
      <c r="T135">
        <v>0.001684774104946922</v>
      </c>
      <c r="U135">
        <v>0.003622264325635882</v>
      </c>
      <c r="V135">
        <v>0.0089293027562186867</v>
      </c>
      <c r="W135">
        <v>0.0096032123981974558</v>
      </c>
      <c r="X135">
        <v>0.00075814834722611488</v>
      </c>
      <c r="Y135">
        <v>0.0055597545463248431</v>
      </c>
      <c r="Z135">
        <v>8.4238705247346107E-05</v>
      </c>
      <c r="AA135">
        <v>0.079184382932505334</v>
      </c>
      <c r="AB135">
        <v>0.00084238705247346101</v>
      </c>
      <c r="AC135">
        <v>0.0062336641883036113</v>
      </c>
      <c r="AD135">
        <v>0.0074972447670138024</v>
      </c>
      <c r="AE135">
        <v>0.023755314879751598</v>
      </c>
      <c r="AF135">
        <v>0.023418360058762216</v>
      </c>
      <c r="AG135">
        <v>0.042624784855157125</v>
      </c>
      <c r="AH135">
        <v>0.00058967093673142272</v>
      </c>
      <c r="AI135">
        <v>0.0082553931142399176</v>
      </c>
      <c r="AJ135">
        <v>0.096116362687221901</v>
      </c>
      <c r="AK135">
        <v>0.011540702618886416</v>
      </c>
      <c r="AL135">
        <v>0.013309715429080684</v>
      </c>
      <c r="AM135">
        <v>0.018953708680652874</v>
      </c>
      <c r="AN135">
        <v>0.0074130060617664563</v>
      </c>
      <c r="AO135">
        <v>0.0022744450416783447</v>
      </c>
      <c r="AP135">
        <v>0.00075814834722611488</v>
      </c>
      <c r="AQ135">
        <v>0.012804283197596607</v>
      </c>
      <c r="AR135">
        <v>0.0070760512407770726</v>
      </c>
      <c r="AS135">
        <v>0.0030325933889044595</v>
      </c>
      <c r="AT135">
        <v>0.0045488900833566895</v>
      </c>
      <c r="AU135" t="s">
        <v>111</v>
      </c>
      <c r="BJ135" t="str">
        <f t="shared" si="4"/>
        <v>bus</v>
      </c>
      <c r="BK135" t="str">
        <f t="shared" si="5"/>
        <v>dsl</v>
      </c>
    </row>
    <row r="136" spans="1:63" ht="14.5">
      <c r="A136" t="s">
        <v>118</v>
      </c>
      <c r="B136" t="s">
        <v>62</v>
      </c>
      <c r="C136" t="s">
        <v>105</v>
      </c>
      <c r="D136" t="s">
        <v>111</v>
      </c>
      <c r="E136" t="s">
        <v>111</v>
      </c>
      <c r="F136" t="s">
        <v>111</v>
      </c>
      <c r="G136" t="s">
        <v>70</v>
      </c>
      <c r="H136" t="s">
        <v>111</v>
      </c>
      <c r="I136" t="s">
        <v>111</v>
      </c>
      <c r="J136" t="s">
        <v>111</v>
      </c>
      <c r="K136" t="s">
        <v>111</v>
      </c>
      <c r="L136">
        <v>0.060736106483336535</v>
      </c>
      <c r="M136">
        <v>0.053997010063548852</v>
      </c>
      <c r="N136">
        <v>0.01465753471303822</v>
      </c>
      <c r="O136">
        <v>0.0017690128101942682</v>
      </c>
      <c r="P136">
        <v>0.0020217289259363063</v>
      </c>
      <c r="Q136">
        <v>0.0037907417361305743</v>
      </c>
      <c r="R136">
        <v>0.023165643943020179</v>
      </c>
      <c r="S136">
        <v>0.21211305981281747</v>
      </c>
      <c r="T136">
        <v>0.001684774104946922</v>
      </c>
      <c r="U136">
        <v>0.003622264325635882</v>
      </c>
      <c r="V136">
        <v>0.0089293027562186867</v>
      </c>
      <c r="W136">
        <v>0.0096032123981974558</v>
      </c>
      <c r="X136">
        <v>0.00075814834722611488</v>
      </c>
      <c r="Y136">
        <v>0.0055597545463248431</v>
      </c>
      <c r="Z136">
        <v>8.4238705247346107E-05</v>
      </c>
      <c r="AA136">
        <v>0.079184382932505334</v>
      </c>
      <c r="AB136">
        <v>0.00084238705247346101</v>
      </c>
      <c r="AC136">
        <v>0.0062336641883036113</v>
      </c>
      <c r="AD136">
        <v>0.0074972447670138024</v>
      </c>
      <c r="AE136">
        <v>0.023755314879751598</v>
      </c>
      <c r="AF136">
        <v>0.023418360058762216</v>
      </c>
      <c r="AG136">
        <v>0.042624784855157125</v>
      </c>
      <c r="AH136">
        <v>0.00058967093673142272</v>
      </c>
      <c r="AI136">
        <v>0.0082553931142399176</v>
      </c>
      <c r="AJ136">
        <v>0.096116362687221901</v>
      </c>
      <c r="AK136">
        <v>0.011540702618886416</v>
      </c>
      <c r="AL136">
        <v>0.013309715429080684</v>
      </c>
      <c r="AM136">
        <v>0.018953708680652874</v>
      </c>
      <c r="AN136">
        <v>0.0074130060617664563</v>
      </c>
      <c r="AO136">
        <v>0.0022744450416783447</v>
      </c>
      <c r="AP136">
        <v>0.00075814834722611488</v>
      </c>
      <c r="AQ136">
        <v>0.012804283197596607</v>
      </c>
      <c r="AR136">
        <v>0.0070760512407770726</v>
      </c>
      <c r="AS136">
        <v>0.0030325933889044595</v>
      </c>
      <c r="AT136">
        <v>0.0045488900833566895</v>
      </c>
      <c r="AU136" t="s">
        <v>111</v>
      </c>
      <c r="BJ136" t="str">
        <f t="shared" si="4"/>
        <v>bus</v>
      </c>
      <c r="BK136" t="str">
        <f t="shared" si="5"/>
        <v>dsl</v>
      </c>
    </row>
    <row r="137" spans="1:63" ht="14.5">
      <c r="A137" t="s">
        <v>118</v>
      </c>
      <c r="B137" t="s">
        <v>62</v>
      </c>
      <c r="C137" t="s">
        <v>105</v>
      </c>
      <c r="D137" t="s">
        <v>111</v>
      </c>
      <c r="E137" t="s">
        <v>111</v>
      </c>
      <c r="F137" t="s">
        <v>111</v>
      </c>
      <c r="G137" t="s">
        <v>69</v>
      </c>
      <c r="H137" t="s">
        <v>111</v>
      </c>
      <c r="I137" t="s">
        <v>111</v>
      </c>
      <c r="J137" t="s">
        <v>111</v>
      </c>
      <c r="K137" t="s">
        <v>111</v>
      </c>
      <c r="L137">
        <v>0.060736106483336535</v>
      </c>
      <c r="M137">
        <v>0.053997010063548852</v>
      </c>
      <c r="N137">
        <v>0.01465753471303822</v>
      </c>
      <c r="O137">
        <v>0.0017690128101942682</v>
      </c>
      <c r="P137">
        <v>0.0020217289259363063</v>
      </c>
      <c r="Q137">
        <v>0.0037907417361305743</v>
      </c>
      <c r="R137">
        <v>0.023165643943020179</v>
      </c>
      <c r="S137">
        <v>0.21211305981281747</v>
      </c>
      <c r="T137">
        <v>0.001684774104946922</v>
      </c>
      <c r="U137">
        <v>0.003622264325635882</v>
      </c>
      <c r="V137">
        <v>0.0089293027562186867</v>
      </c>
      <c r="W137">
        <v>0.0096032123981974558</v>
      </c>
      <c r="X137">
        <v>0.00075814834722611488</v>
      </c>
      <c r="Y137">
        <v>0.0055597545463248431</v>
      </c>
      <c r="Z137">
        <v>8.4238705247346107E-05</v>
      </c>
      <c r="AA137">
        <v>0.079184382932505334</v>
      </c>
      <c r="AB137">
        <v>0.00084238705247346101</v>
      </c>
      <c r="AC137">
        <v>0.0062336641883036113</v>
      </c>
      <c r="AD137">
        <v>0.0074972447670138024</v>
      </c>
      <c r="AE137">
        <v>0.023755314879751598</v>
      </c>
      <c r="AF137">
        <v>0.023418360058762216</v>
      </c>
      <c r="AG137">
        <v>0.042624784855157125</v>
      </c>
      <c r="AH137">
        <v>0.00058967093673142272</v>
      </c>
      <c r="AI137">
        <v>0.0082553931142399176</v>
      </c>
      <c r="AJ137">
        <v>0.096116362687221901</v>
      </c>
      <c r="AK137">
        <v>0.011540702618886416</v>
      </c>
      <c r="AL137">
        <v>0.013309715429080684</v>
      </c>
      <c r="AM137">
        <v>0.018953708680652874</v>
      </c>
      <c r="AN137">
        <v>0.0074130060617664563</v>
      </c>
      <c r="AO137">
        <v>0.0022744450416783447</v>
      </c>
      <c r="AP137">
        <v>0.00075814834722611488</v>
      </c>
      <c r="AQ137">
        <v>0.012804283197596607</v>
      </c>
      <c r="AR137">
        <v>0.0070760512407770726</v>
      </c>
      <c r="AS137">
        <v>0.0030325933889044595</v>
      </c>
      <c r="AT137">
        <v>0.0045488900833566895</v>
      </c>
      <c r="AU137" t="s">
        <v>111</v>
      </c>
      <c r="BJ137" t="str">
        <f t="shared" si="4"/>
        <v>bus</v>
      </c>
      <c r="BK137" t="str">
        <f t="shared" si="5"/>
        <v>dsl</v>
      </c>
    </row>
    <row r="138" spans="1:63" ht="14.5">
      <c r="A138" t="s">
        <v>118</v>
      </c>
      <c r="B138" t="s">
        <v>62</v>
      </c>
      <c r="C138" t="s">
        <v>105</v>
      </c>
      <c r="D138" t="s">
        <v>111</v>
      </c>
      <c r="E138" t="s">
        <v>111</v>
      </c>
      <c r="F138" t="s">
        <v>111</v>
      </c>
      <c r="G138" t="s">
        <v>68</v>
      </c>
      <c r="H138" t="s">
        <v>111</v>
      </c>
      <c r="I138" t="s">
        <v>111</v>
      </c>
      <c r="J138" t="s">
        <v>111</v>
      </c>
      <c r="K138" t="s">
        <v>111</v>
      </c>
      <c r="L138">
        <v>0.060736106483336535</v>
      </c>
      <c r="M138">
        <v>0.053997010063548852</v>
      </c>
      <c r="N138">
        <v>0.01465753471303822</v>
      </c>
      <c r="O138">
        <v>0.0017690128101942682</v>
      </c>
      <c r="P138">
        <v>0.0020217289259363063</v>
      </c>
      <c r="Q138">
        <v>0.0037907417361305743</v>
      </c>
      <c r="R138">
        <v>0.023165643943020179</v>
      </c>
      <c r="S138">
        <v>0.21211305981281747</v>
      </c>
      <c r="T138">
        <v>0.001684774104946922</v>
      </c>
      <c r="U138">
        <v>0.003622264325635882</v>
      </c>
      <c r="V138">
        <v>0.0089293027562186867</v>
      </c>
      <c r="W138">
        <v>0.0096032123981974558</v>
      </c>
      <c r="X138">
        <v>0.00075814834722611488</v>
      </c>
      <c r="Y138">
        <v>0.0055597545463248431</v>
      </c>
      <c r="Z138">
        <v>8.4238705247346107E-05</v>
      </c>
      <c r="AA138">
        <v>0.079184382932505334</v>
      </c>
      <c r="AB138">
        <v>0.00084238705247346101</v>
      </c>
      <c r="AC138">
        <v>0.0062336641883036113</v>
      </c>
      <c r="AD138">
        <v>0.0074972447670138024</v>
      </c>
      <c r="AE138">
        <v>0.023755314879751598</v>
      </c>
      <c r="AF138">
        <v>0.023418360058762216</v>
      </c>
      <c r="AG138">
        <v>0.042624784855157125</v>
      </c>
      <c r="AH138">
        <v>0.00058967093673142272</v>
      </c>
      <c r="AI138">
        <v>0.0082553931142399176</v>
      </c>
      <c r="AJ138">
        <v>0.096116362687221901</v>
      </c>
      <c r="AK138">
        <v>0.011540702618886416</v>
      </c>
      <c r="AL138">
        <v>0.013309715429080684</v>
      </c>
      <c r="AM138">
        <v>0.018953708680652874</v>
      </c>
      <c r="AN138">
        <v>0.0074130060617664563</v>
      </c>
      <c r="AO138">
        <v>0.0022744450416783447</v>
      </c>
      <c r="AP138">
        <v>0.00075814834722611488</v>
      </c>
      <c r="AQ138">
        <v>0.012804283197596607</v>
      </c>
      <c r="AR138">
        <v>0.0070760512407770726</v>
      </c>
      <c r="AS138">
        <v>0.0030325933889044595</v>
      </c>
      <c r="AT138">
        <v>0.0045488900833566895</v>
      </c>
      <c r="AU138" t="s">
        <v>111</v>
      </c>
      <c r="BJ138" t="str">
        <f t="shared" si="4"/>
        <v>bus</v>
      </c>
      <c r="BK138" t="str">
        <f t="shared" si="5"/>
        <v>dsl</v>
      </c>
    </row>
    <row r="139" spans="1:63" ht="14.5">
      <c r="A139" t="s">
        <v>118</v>
      </c>
      <c r="B139" t="s">
        <v>62</v>
      </c>
      <c r="C139" t="s">
        <v>105</v>
      </c>
      <c r="D139" t="s">
        <v>111</v>
      </c>
      <c r="E139" t="s">
        <v>111</v>
      </c>
      <c r="F139" t="s">
        <v>111</v>
      </c>
      <c r="G139" t="s">
        <v>67</v>
      </c>
      <c r="H139" t="s">
        <v>111</v>
      </c>
      <c r="I139" t="s">
        <v>111</v>
      </c>
      <c r="J139" t="s">
        <v>111</v>
      </c>
      <c r="K139" t="s">
        <v>111</v>
      </c>
      <c r="L139">
        <v>0.060736106483336535</v>
      </c>
      <c r="M139">
        <v>0.053997010063548852</v>
      </c>
      <c r="N139">
        <v>0.01465753471303822</v>
      </c>
      <c r="O139">
        <v>0.0017690128101942682</v>
      </c>
      <c r="P139">
        <v>0.0020217289259363063</v>
      </c>
      <c r="Q139">
        <v>0.0037907417361305743</v>
      </c>
      <c r="R139">
        <v>0.023165643943020179</v>
      </c>
      <c r="S139">
        <v>0.21211305981281747</v>
      </c>
      <c r="T139">
        <v>0.001684774104946922</v>
      </c>
      <c r="U139">
        <v>0.003622264325635882</v>
      </c>
      <c r="V139">
        <v>0.0089293027562186867</v>
      </c>
      <c r="W139">
        <v>0.0096032123981974558</v>
      </c>
      <c r="X139">
        <v>0.00075814834722611488</v>
      </c>
      <c r="Y139">
        <v>0.0055597545463248431</v>
      </c>
      <c r="Z139">
        <v>8.4238705247346107E-05</v>
      </c>
      <c r="AA139">
        <v>0.079184382932505334</v>
      </c>
      <c r="AB139">
        <v>0.00084238705247346101</v>
      </c>
      <c r="AC139">
        <v>0.0062336641883036113</v>
      </c>
      <c r="AD139">
        <v>0.0074972447670138024</v>
      </c>
      <c r="AE139">
        <v>0.023755314879751598</v>
      </c>
      <c r="AF139">
        <v>0.023418360058762216</v>
      </c>
      <c r="AG139">
        <v>0.042624784855157125</v>
      </c>
      <c r="AH139">
        <v>0.00058967093673142272</v>
      </c>
      <c r="AI139">
        <v>0.0082553931142399176</v>
      </c>
      <c r="AJ139">
        <v>0.096116362687221901</v>
      </c>
      <c r="AK139">
        <v>0.011540702618886416</v>
      </c>
      <c r="AL139">
        <v>0.013309715429080684</v>
      </c>
      <c r="AM139">
        <v>0.018953708680652874</v>
      </c>
      <c r="AN139">
        <v>0.0074130060617664563</v>
      </c>
      <c r="AO139">
        <v>0.0022744450416783447</v>
      </c>
      <c r="AP139">
        <v>0.00075814834722611488</v>
      </c>
      <c r="AQ139">
        <v>0.012804283197596607</v>
      </c>
      <c r="AR139">
        <v>0.0070760512407770726</v>
      </c>
      <c r="AS139">
        <v>0.0030325933889044595</v>
      </c>
      <c r="AT139">
        <v>0.0045488900833566895</v>
      </c>
      <c r="AU139" t="s">
        <v>111</v>
      </c>
      <c r="BJ139" t="str">
        <f t="shared" si="4"/>
        <v>bus</v>
      </c>
      <c r="BK139" t="str">
        <f t="shared" si="5"/>
        <v>dsl</v>
      </c>
    </row>
    <row r="140" spans="1:63" ht="14.5">
      <c r="A140" t="s">
        <v>118</v>
      </c>
      <c r="B140" t="s">
        <v>62</v>
      </c>
      <c r="C140" t="s">
        <v>105</v>
      </c>
      <c r="D140" t="s">
        <v>111</v>
      </c>
      <c r="E140" t="s">
        <v>111</v>
      </c>
      <c r="F140" t="s">
        <v>111</v>
      </c>
      <c r="G140" t="s">
        <v>66</v>
      </c>
      <c r="H140" t="s">
        <v>111</v>
      </c>
      <c r="I140" t="s">
        <v>111</v>
      </c>
      <c r="J140" t="s">
        <v>111</v>
      </c>
      <c r="K140" t="s">
        <v>111</v>
      </c>
      <c r="L140">
        <v>0.060736106483336535</v>
      </c>
      <c r="M140">
        <v>0.053997010063548852</v>
      </c>
      <c r="N140">
        <v>0.01465753471303822</v>
      </c>
      <c r="O140">
        <v>0.0017690128101942682</v>
      </c>
      <c r="P140">
        <v>0.0020217289259363063</v>
      </c>
      <c r="Q140">
        <v>0.0037907417361305743</v>
      </c>
      <c r="R140">
        <v>0.023165643943020179</v>
      </c>
      <c r="S140">
        <v>0.21211305981281747</v>
      </c>
      <c r="T140">
        <v>0.001684774104946922</v>
      </c>
      <c r="U140">
        <v>0.003622264325635882</v>
      </c>
      <c r="V140">
        <v>0.0089293027562186867</v>
      </c>
      <c r="W140">
        <v>0.0096032123981974558</v>
      </c>
      <c r="X140">
        <v>0.00075814834722611488</v>
      </c>
      <c r="Y140">
        <v>0.0055597545463248431</v>
      </c>
      <c r="Z140">
        <v>8.4238705247346107E-05</v>
      </c>
      <c r="AA140">
        <v>0.079184382932505334</v>
      </c>
      <c r="AB140">
        <v>0.00084238705247346101</v>
      </c>
      <c r="AC140">
        <v>0.0062336641883036113</v>
      </c>
      <c r="AD140">
        <v>0.0074972447670138024</v>
      </c>
      <c r="AE140">
        <v>0.023755314879751598</v>
      </c>
      <c r="AF140">
        <v>0.023418360058762216</v>
      </c>
      <c r="AG140">
        <v>0.042624784855157125</v>
      </c>
      <c r="AH140">
        <v>0.00058967093673142272</v>
      </c>
      <c r="AI140">
        <v>0.0082553931142399176</v>
      </c>
      <c r="AJ140">
        <v>0.096116362687221901</v>
      </c>
      <c r="AK140">
        <v>0.011540702618886416</v>
      </c>
      <c r="AL140">
        <v>0.013309715429080684</v>
      </c>
      <c r="AM140">
        <v>0.018953708680652874</v>
      </c>
      <c r="AN140">
        <v>0.0074130060617664563</v>
      </c>
      <c r="AO140">
        <v>0.0022744450416783447</v>
      </c>
      <c r="AP140">
        <v>0.00075814834722611488</v>
      </c>
      <c r="AQ140">
        <v>0.012804283197596607</v>
      </c>
      <c r="AR140">
        <v>0.0070760512407770726</v>
      </c>
      <c r="AS140">
        <v>0.0030325933889044595</v>
      </c>
      <c r="AT140">
        <v>0.0045488900833566895</v>
      </c>
      <c r="AU140" t="s">
        <v>111</v>
      </c>
      <c r="BJ140" t="str">
        <f t="shared" si="4"/>
        <v>bus</v>
      </c>
      <c r="BK140" t="str">
        <f t="shared" si="5"/>
        <v>dsl</v>
      </c>
    </row>
    <row r="141" spans="1:63" ht="14.5">
      <c r="A141" t="s">
        <v>118</v>
      </c>
      <c r="B141" t="s">
        <v>62</v>
      </c>
      <c r="C141" t="s">
        <v>105</v>
      </c>
      <c r="D141" t="s">
        <v>111</v>
      </c>
      <c r="E141" t="s">
        <v>111</v>
      </c>
      <c r="F141" t="s">
        <v>111</v>
      </c>
      <c r="G141" t="s">
        <v>65</v>
      </c>
      <c r="H141" t="s">
        <v>111</v>
      </c>
      <c r="I141" t="s">
        <v>111</v>
      </c>
      <c r="J141" t="s">
        <v>111</v>
      </c>
      <c r="K141" t="s">
        <v>111</v>
      </c>
      <c r="L141">
        <v>0.060736106483336535</v>
      </c>
      <c r="M141">
        <v>0.053997010063548852</v>
      </c>
      <c r="N141">
        <v>0.01465753471303822</v>
      </c>
      <c r="O141">
        <v>0.0017690128101942682</v>
      </c>
      <c r="P141">
        <v>0.0020217289259363063</v>
      </c>
      <c r="Q141">
        <v>0.0037907417361305743</v>
      </c>
      <c r="R141">
        <v>0.023165643943020179</v>
      </c>
      <c r="S141">
        <v>0.21211305981281747</v>
      </c>
      <c r="T141">
        <v>0.001684774104946922</v>
      </c>
      <c r="U141">
        <v>0.003622264325635882</v>
      </c>
      <c r="V141">
        <v>0.0089293027562186867</v>
      </c>
      <c r="W141">
        <v>0.0096032123981974558</v>
      </c>
      <c r="X141">
        <v>0.00075814834722611488</v>
      </c>
      <c r="Y141">
        <v>0.0055597545463248431</v>
      </c>
      <c r="Z141">
        <v>8.4238705247346107E-05</v>
      </c>
      <c r="AA141">
        <v>0.079184382932505334</v>
      </c>
      <c r="AB141">
        <v>0.00084238705247346101</v>
      </c>
      <c r="AC141">
        <v>0.0062336641883036113</v>
      </c>
      <c r="AD141">
        <v>0.0074972447670138024</v>
      </c>
      <c r="AE141">
        <v>0.023755314879751598</v>
      </c>
      <c r="AF141">
        <v>0.023418360058762216</v>
      </c>
      <c r="AG141">
        <v>0.042624784855157125</v>
      </c>
      <c r="AH141">
        <v>0.00058967093673142272</v>
      </c>
      <c r="AI141">
        <v>0.0082553931142399176</v>
      </c>
      <c r="AJ141">
        <v>0.096116362687221901</v>
      </c>
      <c r="AK141">
        <v>0.011540702618886416</v>
      </c>
      <c r="AL141">
        <v>0.013309715429080684</v>
      </c>
      <c r="AM141">
        <v>0.018953708680652874</v>
      </c>
      <c r="AN141">
        <v>0.0074130060617664563</v>
      </c>
      <c r="AO141">
        <v>0.0022744450416783447</v>
      </c>
      <c r="AP141">
        <v>0.00075814834722611488</v>
      </c>
      <c r="AQ141">
        <v>0.012804283197596607</v>
      </c>
      <c r="AR141">
        <v>0.0070760512407770726</v>
      </c>
      <c r="AS141">
        <v>0.0030325933889044595</v>
      </c>
      <c r="AT141">
        <v>0.0045488900833566895</v>
      </c>
      <c r="AU141" t="s">
        <v>111</v>
      </c>
      <c r="BJ141" t="str">
        <f t="shared" si="4"/>
        <v>bus</v>
      </c>
      <c r="BK141" t="str">
        <f t="shared" si="5"/>
        <v>dsl</v>
      </c>
    </row>
    <row r="142" spans="1:63" ht="14.5">
      <c r="A142" t="s">
        <v>118</v>
      </c>
      <c r="B142" t="s">
        <v>62</v>
      </c>
      <c r="C142" t="s">
        <v>104</v>
      </c>
      <c r="D142" t="s">
        <v>111</v>
      </c>
      <c r="E142" t="s">
        <v>111</v>
      </c>
      <c r="F142" t="s">
        <v>111</v>
      </c>
      <c r="G142" t="s">
        <v>61</v>
      </c>
      <c r="H142" t="s">
        <v>111</v>
      </c>
      <c r="I142" t="s">
        <v>111</v>
      </c>
      <c r="J142" t="s">
        <v>111</v>
      </c>
      <c r="K142" t="s">
        <v>111</v>
      </c>
      <c r="L142">
        <v>0</v>
      </c>
      <c r="M142">
        <v>0</v>
      </c>
      <c r="N142">
        <v>0</v>
      </c>
      <c r="O142">
        <v>0</v>
      </c>
      <c r="P142">
        <v>0.00025271611574203829</v>
      </c>
      <c r="Q142">
        <v>0</v>
      </c>
      <c r="R142">
        <v>0</v>
      </c>
      <c r="S142">
        <v>0.018448276449168795</v>
      </c>
      <c r="T142">
        <v>0</v>
      </c>
      <c r="U142">
        <v>0.00025271611574203829</v>
      </c>
      <c r="V142">
        <v>0</v>
      </c>
      <c r="W142">
        <v>0</v>
      </c>
      <c r="X142">
        <v>0</v>
      </c>
      <c r="Y142">
        <v>0.00033695482098938443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0.0010951031682154993</v>
      </c>
      <c r="AF142">
        <v>0</v>
      </c>
      <c r="AG142">
        <v>0</v>
      </c>
      <c r="AH142">
        <v>0</v>
      </c>
      <c r="AI142">
        <v>8.4238705247346107E-05</v>
      </c>
      <c r="AJ142">
        <v>0</v>
      </c>
      <c r="AK142">
        <v>0.00042119352623673051</v>
      </c>
      <c r="AL142">
        <v>0</v>
      </c>
      <c r="AM142">
        <v>0.00016847741049469221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 t="s">
        <v>111</v>
      </c>
      <c r="BJ142" t="str">
        <f t="shared" si="4"/>
        <v>bus</v>
      </c>
      <c r="BK142" t="str">
        <f t="shared" si="5"/>
        <v>elc</v>
      </c>
    </row>
    <row r="143" spans="1:63" ht="14.5">
      <c r="A143" t="s">
        <v>118</v>
      </c>
      <c r="B143" t="s">
        <v>62</v>
      </c>
      <c r="C143" t="s">
        <v>104</v>
      </c>
      <c r="D143" t="s">
        <v>111</v>
      </c>
      <c r="E143" t="s">
        <v>111</v>
      </c>
      <c r="F143" t="s">
        <v>111</v>
      </c>
      <c r="G143" t="s">
        <v>83</v>
      </c>
      <c r="H143" t="s">
        <v>111</v>
      </c>
      <c r="I143" t="s">
        <v>111</v>
      </c>
      <c r="J143" t="s">
        <v>111</v>
      </c>
      <c r="K143" t="s">
        <v>111</v>
      </c>
      <c r="L143">
        <v>0</v>
      </c>
      <c r="M143">
        <v>0</v>
      </c>
      <c r="N143">
        <v>0</v>
      </c>
      <c r="O143">
        <v>0</v>
      </c>
      <c r="P143">
        <v>0.00025271611574203829</v>
      </c>
      <c r="Q143">
        <v>0</v>
      </c>
      <c r="R143">
        <v>0</v>
      </c>
      <c r="S143">
        <v>0.018448276449168795</v>
      </c>
      <c r="T143">
        <v>0</v>
      </c>
      <c r="U143">
        <v>0.00025271611574203829</v>
      </c>
      <c r="V143">
        <v>0</v>
      </c>
      <c r="W143">
        <v>0</v>
      </c>
      <c r="X143">
        <v>0</v>
      </c>
      <c r="Y143">
        <v>0.00033695482098938443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0.0010951031682154993</v>
      </c>
      <c r="AF143">
        <v>0</v>
      </c>
      <c r="AG143">
        <v>0</v>
      </c>
      <c r="AH143">
        <v>0</v>
      </c>
      <c r="AI143">
        <v>8.4238705247346107E-05</v>
      </c>
      <c r="AJ143">
        <v>0</v>
      </c>
      <c r="AK143">
        <v>0.00042119352623673051</v>
      </c>
      <c r="AL143">
        <v>0</v>
      </c>
      <c r="AM143">
        <v>0.00016847741049469221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 t="s">
        <v>111</v>
      </c>
      <c r="BJ143" t="str">
        <f t="shared" si="4"/>
        <v>bus</v>
      </c>
      <c r="BK143" t="str">
        <f t="shared" si="5"/>
        <v>elc</v>
      </c>
    </row>
    <row r="144" spans="1:63" ht="14.5">
      <c r="A144" t="s">
        <v>118</v>
      </c>
      <c r="B144" t="s">
        <v>62</v>
      </c>
      <c r="C144" t="s">
        <v>104</v>
      </c>
      <c r="D144" t="s">
        <v>111</v>
      </c>
      <c r="E144" t="s">
        <v>111</v>
      </c>
      <c r="F144" t="s">
        <v>111</v>
      </c>
      <c r="G144" t="s">
        <v>82</v>
      </c>
      <c r="H144" t="s">
        <v>111</v>
      </c>
      <c r="I144" t="s">
        <v>111</v>
      </c>
      <c r="J144" t="s">
        <v>111</v>
      </c>
      <c r="K144" t="s">
        <v>111</v>
      </c>
      <c r="L144">
        <v>0</v>
      </c>
      <c r="M144">
        <v>0</v>
      </c>
      <c r="N144">
        <v>0</v>
      </c>
      <c r="O144">
        <v>0</v>
      </c>
      <c r="P144">
        <v>0.00025271611574203829</v>
      </c>
      <c r="Q144">
        <v>0</v>
      </c>
      <c r="R144">
        <v>0</v>
      </c>
      <c r="S144">
        <v>0.018448276449168795</v>
      </c>
      <c r="T144">
        <v>0</v>
      </c>
      <c r="U144">
        <v>0.00025271611574203829</v>
      </c>
      <c r="V144">
        <v>0</v>
      </c>
      <c r="W144">
        <v>0</v>
      </c>
      <c r="X144">
        <v>0</v>
      </c>
      <c r="Y144">
        <v>0.00033695482098938443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0.0010951031682154993</v>
      </c>
      <c r="AF144">
        <v>0</v>
      </c>
      <c r="AG144">
        <v>0</v>
      </c>
      <c r="AH144">
        <v>0</v>
      </c>
      <c r="AI144">
        <v>8.4238705247346107E-05</v>
      </c>
      <c r="AJ144">
        <v>0</v>
      </c>
      <c r="AK144">
        <v>0.00042119352623673051</v>
      </c>
      <c r="AL144">
        <v>0</v>
      </c>
      <c r="AM144">
        <v>0.00016847741049469221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 t="s">
        <v>111</v>
      </c>
      <c r="BJ144" t="str">
        <f t="shared" si="4"/>
        <v>bus</v>
      </c>
      <c r="BK144" t="str">
        <f t="shared" si="5"/>
        <v>elc</v>
      </c>
    </row>
    <row r="145" spans="1:63" ht="14.5">
      <c r="A145" t="s">
        <v>118</v>
      </c>
      <c r="B145" t="s">
        <v>62</v>
      </c>
      <c r="C145" t="s">
        <v>104</v>
      </c>
      <c r="D145" t="s">
        <v>111</v>
      </c>
      <c r="E145" t="s">
        <v>111</v>
      </c>
      <c r="F145" t="s">
        <v>111</v>
      </c>
      <c r="G145" t="s">
        <v>81</v>
      </c>
      <c r="H145" t="s">
        <v>111</v>
      </c>
      <c r="I145" t="s">
        <v>111</v>
      </c>
      <c r="J145" t="s">
        <v>111</v>
      </c>
      <c r="K145" t="s">
        <v>111</v>
      </c>
      <c r="L145">
        <v>0</v>
      </c>
      <c r="M145">
        <v>0</v>
      </c>
      <c r="N145">
        <v>0</v>
      </c>
      <c r="O145">
        <v>0</v>
      </c>
      <c r="P145">
        <v>0.00025271611574203829</v>
      </c>
      <c r="Q145">
        <v>0</v>
      </c>
      <c r="R145">
        <v>0</v>
      </c>
      <c r="S145">
        <v>0.018448276449168795</v>
      </c>
      <c r="T145">
        <v>0</v>
      </c>
      <c r="U145">
        <v>0.00025271611574203829</v>
      </c>
      <c r="V145">
        <v>0</v>
      </c>
      <c r="W145">
        <v>0</v>
      </c>
      <c r="X145">
        <v>0</v>
      </c>
      <c r="Y145">
        <v>0.00033695482098938443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0.0010951031682154993</v>
      </c>
      <c r="AF145">
        <v>0</v>
      </c>
      <c r="AG145">
        <v>0</v>
      </c>
      <c r="AH145">
        <v>0</v>
      </c>
      <c r="AI145">
        <v>8.4238705247346107E-05</v>
      </c>
      <c r="AJ145">
        <v>0</v>
      </c>
      <c r="AK145">
        <v>0.00042119352623673051</v>
      </c>
      <c r="AL145">
        <v>0</v>
      </c>
      <c r="AM145">
        <v>0.00016847741049469221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 t="s">
        <v>111</v>
      </c>
      <c r="BJ145" t="str">
        <f t="shared" si="4"/>
        <v>bus</v>
      </c>
      <c r="BK145" t="str">
        <f t="shared" si="5"/>
        <v>elc</v>
      </c>
    </row>
    <row r="146" spans="1:63" ht="14.5">
      <c r="A146" t="s">
        <v>118</v>
      </c>
      <c r="B146" t="s">
        <v>62</v>
      </c>
      <c r="C146" t="s">
        <v>104</v>
      </c>
      <c r="D146" t="s">
        <v>111</v>
      </c>
      <c r="E146" t="s">
        <v>111</v>
      </c>
      <c r="F146" t="s">
        <v>111</v>
      </c>
      <c r="G146" t="s">
        <v>80</v>
      </c>
      <c r="H146" t="s">
        <v>111</v>
      </c>
      <c r="I146" t="s">
        <v>111</v>
      </c>
      <c r="J146" t="s">
        <v>111</v>
      </c>
      <c r="K146" t="s">
        <v>111</v>
      </c>
      <c r="L146">
        <v>0</v>
      </c>
      <c r="M146">
        <v>0</v>
      </c>
      <c r="N146">
        <v>0</v>
      </c>
      <c r="O146">
        <v>0</v>
      </c>
      <c r="P146">
        <v>0.00025271611574203829</v>
      </c>
      <c r="Q146">
        <v>0</v>
      </c>
      <c r="R146">
        <v>0</v>
      </c>
      <c r="S146">
        <v>0.018448276449168795</v>
      </c>
      <c r="T146">
        <v>0</v>
      </c>
      <c r="U146">
        <v>0.00025271611574203829</v>
      </c>
      <c r="V146">
        <v>0</v>
      </c>
      <c r="W146">
        <v>0</v>
      </c>
      <c r="X146">
        <v>0</v>
      </c>
      <c r="Y146">
        <v>0.00033695482098938443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0.0010951031682154993</v>
      </c>
      <c r="AF146">
        <v>0</v>
      </c>
      <c r="AG146">
        <v>0</v>
      </c>
      <c r="AH146">
        <v>0</v>
      </c>
      <c r="AI146">
        <v>8.4238705247346107E-05</v>
      </c>
      <c r="AJ146">
        <v>0</v>
      </c>
      <c r="AK146">
        <v>0.00042119352623673051</v>
      </c>
      <c r="AL146">
        <v>0</v>
      </c>
      <c r="AM146">
        <v>0.00016847741049469221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 t="s">
        <v>111</v>
      </c>
      <c r="BJ146" t="str">
        <f t="shared" si="4"/>
        <v>bus</v>
      </c>
      <c r="BK146" t="str">
        <f t="shared" si="5"/>
        <v>elc</v>
      </c>
    </row>
    <row r="147" spans="1:63" ht="14.5">
      <c r="A147" t="s">
        <v>118</v>
      </c>
      <c r="B147" t="s">
        <v>62</v>
      </c>
      <c r="C147" t="s">
        <v>104</v>
      </c>
      <c r="D147" t="s">
        <v>111</v>
      </c>
      <c r="E147" t="s">
        <v>111</v>
      </c>
      <c r="F147" t="s">
        <v>111</v>
      </c>
      <c r="G147" t="s">
        <v>79</v>
      </c>
      <c r="H147" t="s">
        <v>111</v>
      </c>
      <c r="I147" t="s">
        <v>111</v>
      </c>
      <c r="J147" t="s">
        <v>111</v>
      </c>
      <c r="K147" t="s">
        <v>111</v>
      </c>
      <c r="L147">
        <v>0</v>
      </c>
      <c r="M147">
        <v>0</v>
      </c>
      <c r="N147">
        <v>0</v>
      </c>
      <c r="O147">
        <v>0</v>
      </c>
      <c r="P147">
        <v>0.00025271611574203829</v>
      </c>
      <c r="Q147">
        <v>0</v>
      </c>
      <c r="R147">
        <v>0</v>
      </c>
      <c r="S147">
        <v>0.018448276449168795</v>
      </c>
      <c r="T147">
        <v>0</v>
      </c>
      <c r="U147">
        <v>0.00025271611574203829</v>
      </c>
      <c r="V147">
        <v>0</v>
      </c>
      <c r="W147">
        <v>0</v>
      </c>
      <c r="X147">
        <v>0</v>
      </c>
      <c r="Y147">
        <v>0.00033695482098938443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0.0010951031682154993</v>
      </c>
      <c r="AF147">
        <v>0</v>
      </c>
      <c r="AG147">
        <v>0</v>
      </c>
      <c r="AH147">
        <v>0</v>
      </c>
      <c r="AI147">
        <v>8.4238705247346107E-05</v>
      </c>
      <c r="AJ147">
        <v>0</v>
      </c>
      <c r="AK147">
        <v>0.00042119352623673051</v>
      </c>
      <c r="AL147">
        <v>0</v>
      </c>
      <c r="AM147">
        <v>0.00016847741049469221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 t="s">
        <v>111</v>
      </c>
      <c r="BJ147" t="str">
        <f t="shared" si="4"/>
        <v>bus</v>
      </c>
      <c r="BK147" t="str">
        <f t="shared" si="5"/>
        <v>elc</v>
      </c>
    </row>
    <row r="148" spans="1:63" ht="14.5">
      <c r="A148" t="s">
        <v>118</v>
      </c>
      <c r="B148" t="s">
        <v>62</v>
      </c>
      <c r="C148" t="s">
        <v>104</v>
      </c>
      <c r="D148" t="s">
        <v>111</v>
      </c>
      <c r="E148" t="s">
        <v>111</v>
      </c>
      <c r="F148" t="s">
        <v>111</v>
      </c>
      <c r="G148" t="s">
        <v>78</v>
      </c>
      <c r="H148" t="s">
        <v>111</v>
      </c>
      <c r="I148" t="s">
        <v>111</v>
      </c>
      <c r="J148" t="s">
        <v>111</v>
      </c>
      <c r="K148" t="s">
        <v>111</v>
      </c>
      <c r="L148">
        <v>0</v>
      </c>
      <c r="M148">
        <v>0</v>
      </c>
      <c r="N148">
        <v>0</v>
      </c>
      <c r="O148">
        <v>0</v>
      </c>
      <c r="P148">
        <v>0.00025271611574203829</v>
      </c>
      <c r="Q148">
        <v>0</v>
      </c>
      <c r="R148">
        <v>0</v>
      </c>
      <c r="S148">
        <v>0.018448276449168795</v>
      </c>
      <c r="T148">
        <v>0</v>
      </c>
      <c r="U148">
        <v>0.00025271611574203829</v>
      </c>
      <c r="V148">
        <v>0</v>
      </c>
      <c r="W148">
        <v>0</v>
      </c>
      <c r="X148">
        <v>0</v>
      </c>
      <c r="Y148">
        <v>0.00033695482098938443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0.0010951031682154993</v>
      </c>
      <c r="AF148">
        <v>0</v>
      </c>
      <c r="AG148">
        <v>0</v>
      </c>
      <c r="AH148">
        <v>0</v>
      </c>
      <c r="AI148">
        <v>8.4238705247346107E-05</v>
      </c>
      <c r="AJ148">
        <v>0</v>
      </c>
      <c r="AK148">
        <v>0.00042119352623673051</v>
      </c>
      <c r="AL148">
        <v>0</v>
      </c>
      <c r="AM148">
        <v>0.00016847741049469221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 t="s">
        <v>111</v>
      </c>
      <c r="BJ148" t="str">
        <f t="shared" si="4"/>
        <v>bus</v>
      </c>
      <c r="BK148" t="str">
        <f t="shared" si="5"/>
        <v>elc</v>
      </c>
    </row>
    <row r="149" spans="1:63" ht="14.5">
      <c r="A149" t="s">
        <v>118</v>
      </c>
      <c r="B149" t="s">
        <v>62</v>
      </c>
      <c r="C149" t="s">
        <v>104</v>
      </c>
      <c r="D149" t="s">
        <v>111</v>
      </c>
      <c r="E149" t="s">
        <v>111</v>
      </c>
      <c r="F149" t="s">
        <v>111</v>
      </c>
      <c r="G149" t="s">
        <v>77</v>
      </c>
      <c r="H149" t="s">
        <v>111</v>
      </c>
      <c r="I149" t="s">
        <v>111</v>
      </c>
      <c r="J149" t="s">
        <v>111</v>
      </c>
      <c r="K149" t="s">
        <v>111</v>
      </c>
      <c r="L149">
        <v>0</v>
      </c>
      <c r="M149">
        <v>0</v>
      </c>
      <c r="N149">
        <v>0</v>
      </c>
      <c r="O149">
        <v>0</v>
      </c>
      <c r="P149">
        <v>0.00025271611574203829</v>
      </c>
      <c r="Q149">
        <v>0</v>
      </c>
      <c r="R149">
        <v>0</v>
      </c>
      <c r="S149">
        <v>0.018448276449168795</v>
      </c>
      <c r="T149">
        <v>0</v>
      </c>
      <c r="U149">
        <v>0.00025271611574203829</v>
      </c>
      <c r="V149">
        <v>0</v>
      </c>
      <c r="W149">
        <v>0</v>
      </c>
      <c r="X149">
        <v>0</v>
      </c>
      <c r="Y149">
        <v>0.00033695482098938443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0.0010951031682154993</v>
      </c>
      <c r="AF149">
        <v>0</v>
      </c>
      <c r="AG149">
        <v>0</v>
      </c>
      <c r="AH149">
        <v>0</v>
      </c>
      <c r="AI149">
        <v>8.4238705247346107E-05</v>
      </c>
      <c r="AJ149">
        <v>0</v>
      </c>
      <c r="AK149">
        <v>0.00042119352623673051</v>
      </c>
      <c r="AL149">
        <v>0</v>
      </c>
      <c r="AM149">
        <v>0.00016847741049469221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 t="s">
        <v>111</v>
      </c>
      <c r="BJ149" t="str">
        <f t="shared" si="4"/>
        <v>bus</v>
      </c>
      <c r="BK149" t="str">
        <f t="shared" si="5"/>
        <v>elc</v>
      </c>
    </row>
    <row r="150" spans="1:63" ht="14.5">
      <c r="A150" t="s">
        <v>118</v>
      </c>
      <c r="B150" t="s">
        <v>62</v>
      </c>
      <c r="C150" t="s">
        <v>104</v>
      </c>
      <c r="D150" t="s">
        <v>111</v>
      </c>
      <c r="E150" t="s">
        <v>111</v>
      </c>
      <c r="F150" t="s">
        <v>111</v>
      </c>
      <c r="G150" t="s">
        <v>76</v>
      </c>
      <c r="H150" t="s">
        <v>111</v>
      </c>
      <c r="I150" t="s">
        <v>111</v>
      </c>
      <c r="J150" t="s">
        <v>111</v>
      </c>
      <c r="K150" t="s">
        <v>111</v>
      </c>
      <c r="L150">
        <v>0</v>
      </c>
      <c r="M150">
        <v>0</v>
      </c>
      <c r="N150">
        <v>0</v>
      </c>
      <c r="O150">
        <v>0</v>
      </c>
      <c r="P150">
        <v>0.00025271611574203829</v>
      </c>
      <c r="Q150">
        <v>0</v>
      </c>
      <c r="R150">
        <v>0</v>
      </c>
      <c r="S150">
        <v>0.018448276449168795</v>
      </c>
      <c r="T150">
        <v>0</v>
      </c>
      <c r="U150">
        <v>0.00025271611574203829</v>
      </c>
      <c r="V150">
        <v>0</v>
      </c>
      <c r="W150">
        <v>0</v>
      </c>
      <c r="X150">
        <v>0</v>
      </c>
      <c r="Y150">
        <v>0.00033695482098938443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0.0010951031682154993</v>
      </c>
      <c r="AF150">
        <v>0</v>
      </c>
      <c r="AG150">
        <v>0</v>
      </c>
      <c r="AH150">
        <v>0</v>
      </c>
      <c r="AI150">
        <v>8.4238705247346107E-05</v>
      </c>
      <c r="AJ150">
        <v>0</v>
      </c>
      <c r="AK150">
        <v>0.00042119352623673051</v>
      </c>
      <c r="AL150">
        <v>0</v>
      </c>
      <c r="AM150">
        <v>0.00016847741049469221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 t="s">
        <v>111</v>
      </c>
      <c r="BJ150" t="str">
        <f t="shared" si="4"/>
        <v>bus</v>
      </c>
      <c r="BK150" t="str">
        <f t="shared" si="5"/>
        <v>elc</v>
      </c>
    </row>
    <row r="151" spans="1:63" ht="14.5">
      <c r="A151" t="s">
        <v>118</v>
      </c>
      <c r="B151" t="s">
        <v>62</v>
      </c>
      <c r="C151" t="s">
        <v>104</v>
      </c>
      <c r="D151" t="s">
        <v>111</v>
      </c>
      <c r="E151" t="s">
        <v>111</v>
      </c>
      <c r="F151" t="s">
        <v>111</v>
      </c>
      <c r="G151" t="s">
        <v>75</v>
      </c>
      <c r="H151" t="s">
        <v>111</v>
      </c>
      <c r="I151" t="s">
        <v>111</v>
      </c>
      <c r="J151" t="s">
        <v>111</v>
      </c>
      <c r="K151" t="s">
        <v>111</v>
      </c>
      <c r="L151">
        <v>0</v>
      </c>
      <c r="M151">
        <v>0</v>
      </c>
      <c r="N151">
        <v>0</v>
      </c>
      <c r="O151">
        <v>0</v>
      </c>
      <c r="P151">
        <v>0.00025271611574203829</v>
      </c>
      <c r="Q151">
        <v>0</v>
      </c>
      <c r="R151">
        <v>0</v>
      </c>
      <c r="S151">
        <v>0.018448276449168795</v>
      </c>
      <c r="T151">
        <v>0</v>
      </c>
      <c r="U151">
        <v>0.00025271611574203829</v>
      </c>
      <c r="V151">
        <v>0</v>
      </c>
      <c r="W151">
        <v>0</v>
      </c>
      <c r="X151">
        <v>0</v>
      </c>
      <c r="Y151">
        <v>0.00033695482098938443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0.0010951031682154993</v>
      </c>
      <c r="AF151">
        <v>0</v>
      </c>
      <c r="AG151">
        <v>0</v>
      </c>
      <c r="AH151">
        <v>0</v>
      </c>
      <c r="AI151">
        <v>8.4238705247346107E-05</v>
      </c>
      <c r="AJ151">
        <v>0</v>
      </c>
      <c r="AK151">
        <v>0.00042119352623673051</v>
      </c>
      <c r="AL151">
        <v>0</v>
      </c>
      <c r="AM151">
        <v>0.00016847741049469221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 t="s">
        <v>111</v>
      </c>
      <c r="BJ151" t="str">
        <f t="shared" si="4"/>
        <v>bus</v>
      </c>
      <c r="BK151" t="str">
        <f t="shared" si="5"/>
        <v>elc</v>
      </c>
    </row>
    <row r="152" spans="1:63" ht="14.5">
      <c r="A152" t="s">
        <v>118</v>
      </c>
      <c r="B152" t="s">
        <v>62</v>
      </c>
      <c r="C152" t="s">
        <v>104</v>
      </c>
      <c r="D152" t="s">
        <v>111</v>
      </c>
      <c r="E152" t="s">
        <v>111</v>
      </c>
      <c r="F152" t="s">
        <v>111</v>
      </c>
      <c r="G152" t="s">
        <v>74</v>
      </c>
      <c r="H152" t="s">
        <v>111</v>
      </c>
      <c r="I152" t="s">
        <v>111</v>
      </c>
      <c r="J152" t="s">
        <v>111</v>
      </c>
      <c r="K152" t="s">
        <v>111</v>
      </c>
      <c r="L152">
        <v>0</v>
      </c>
      <c r="M152">
        <v>0</v>
      </c>
      <c r="N152">
        <v>0</v>
      </c>
      <c r="O152">
        <v>0</v>
      </c>
      <c r="P152">
        <v>0.00025271611574203829</v>
      </c>
      <c r="Q152">
        <v>0</v>
      </c>
      <c r="R152">
        <v>0</v>
      </c>
      <c r="S152">
        <v>0.018448276449168795</v>
      </c>
      <c r="T152">
        <v>0</v>
      </c>
      <c r="U152">
        <v>0.00025271611574203829</v>
      </c>
      <c r="V152">
        <v>0</v>
      </c>
      <c r="W152">
        <v>0</v>
      </c>
      <c r="X152">
        <v>0</v>
      </c>
      <c r="Y152">
        <v>0.00033695482098938443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0.0010951031682154993</v>
      </c>
      <c r="AF152">
        <v>0</v>
      </c>
      <c r="AG152">
        <v>0</v>
      </c>
      <c r="AH152">
        <v>0</v>
      </c>
      <c r="AI152">
        <v>8.4238705247346107E-05</v>
      </c>
      <c r="AJ152">
        <v>0</v>
      </c>
      <c r="AK152">
        <v>0.00042119352623673051</v>
      </c>
      <c r="AL152">
        <v>0</v>
      </c>
      <c r="AM152">
        <v>0.00016847741049469221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 t="s">
        <v>111</v>
      </c>
      <c r="BJ152" t="str">
        <f t="shared" si="4"/>
        <v>bus</v>
      </c>
      <c r="BK152" t="str">
        <f t="shared" si="5"/>
        <v>elc</v>
      </c>
    </row>
    <row r="153" spans="1:63" ht="14.5">
      <c r="A153" t="s">
        <v>118</v>
      </c>
      <c r="B153" t="s">
        <v>62</v>
      </c>
      <c r="C153" t="s">
        <v>104</v>
      </c>
      <c r="D153" t="s">
        <v>111</v>
      </c>
      <c r="E153" t="s">
        <v>111</v>
      </c>
      <c r="F153" t="s">
        <v>111</v>
      </c>
      <c r="G153" t="s">
        <v>73</v>
      </c>
      <c r="H153" t="s">
        <v>111</v>
      </c>
      <c r="I153" t="s">
        <v>111</v>
      </c>
      <c r="J153" t="s">
        <v>111</v>
      </c>
      <c r="K153" t="s">
        <v>111</v>
      </c>
      <c r="L153">
        <v>0</v>
      </c>
      <c r="M153">
        <v>0</v>
      </c>
      <c r="N153">
        <v>0</v>
      </c>
      <c r="O153">
        <v>0</v>
      </c>
      <c r="P153">
        <v>0.00025271611574203829</v>
      </c>
      <c r="Q153">
        <v>0</v>
      </c>
      <c r="R153">
        <v>0</v>
      </c>
      <c r="S153">
        <v>0.018448276449168795</v>
      </c>
      <c r="T153">
        <v>0</v>
      </c>
      <c r="U153">
        <v>0.00025271611574203829</v>
      </c>
      <c r="V153">
        <v>0</v>
      </c>
      <c r="W153">
        <v>0</v>
      </c>
      <c r="X153">
        <v>0</v>
      </c>
      <c r="Y153">
        <v>0.00033695482098938443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0.0010951031682154993</v>
      </c>
      <c r="AF153">
        <v>0</v>
      </c>
      <c r="AG153">
        <v>0</v>
      </c>
      <c r="AH153">
        <v>0</v>
      </c>
      <c r="AI153">
        <v>8.4238705247346107E-05</v>
      </c>
      <c r="AJ153">
        <v>0</v>
      </c>
      <c r="AK153">
        <v>0.00042119352623673051</v>
      </c>
      <c r="AL153">
        <v>0</v>
      </c>
      <c r="AM153">
        <v>0.00016847741049469221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 t="s">
        <v>111</v>
      </c>
      <c r="BJ153" t="str">
        <f t="shared" si="4"/>
        <v>bus</v>
      </c>
      <c r="BK153" t="str">
        <f t="shared" si="5"/>
        <v>elc</v>
      </c>
    </row>
    <row r="154" spans="1:63" ht="14.5">
      <c r="A154" t="s">
        <v>118</v>
      </c>
      <c r="B154" t="s">
        <v>62</v>
      </c>
      <c r="C154" t="s">
        <v>104</v>
      </c>
      <c r="D154" t="s">
        <v>111</v>
      </c>
      <c r="E154" t="s">
        <v>111</v>
      </c>
      <c r="F154" t="s">
        <v>111</v>
      </c>
      <c r="G154" t="s">
        <v>72</v>
      </c>
      <c r="H154" t="s">
        <v>111</v>
      </c>
      <c r="I154" t="s">
        <v>111</v>
      </c>
      <c r="J154" t="s">
        <v>111</v>
      </c>
      <c r="K154" t="s">
        <v>111</v>
      </c>
      <c r="L154">
        <v>0</v>
      </c>
      <c r="M154">
        <v>0</v>
      </c>
      <c r="N154">
        <v>0</v>
      </c>
      <c r="O154">
        <v>0</v>
      </c>
      <c r="P154">
        <v>0.00025271611574203829</v>
      </c>
      <c r="Q154">
        <v>0</v>
      </c>
      <c r="R154">
        <v>0</v>
      </c>
      <c r="S154">
        <v>0.018448276449168795</v>
      </c>
      <c r="T154">
        <v>0</v>
      </c>
      <c r="U154">
        <v>0.00025271611574203829</v>
      </c>
      <c r="V154">
        <v>0</v>
      </c>
      <c r="W154">
        <v>0</v>
      </c>
      <c r="X154">
        <v>0</v>
      </c>
      <c r="Y154">
        <v>0.00033695482098938443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0.0010951031682154993</v>
      </c>
      <c r="AF154">
        <v>0</v>
      </c>
      <c r="AG154">
        <v>0</v>
      </c>
      <c r="AH154">
        <v>0</v>
      </c>
      <c r="AI154">
        <v>8.4238705247346107E-05</v>
      </c>
      <c r="AJ154">
        <v>0</v>
      </c>
      <c r="AK154">
        <v>0.00042119352623673051</v>
      </c>
      <c r="AL154">
        <v>0</v>
      </c>
      <c r="AM154">
        <v>0.00016847741049469221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 t="s">
        <v>111</v>
      </c>
      <c r="BJ154" t="str">
        <f t="shared" si="4"/>
        <v>bus</v>
      </c>
      <c r="BK154" t="str">
        <f t="shared" si="5"/>
        <v>elc</v>
      </c>
    </row>
    <row r="155" spans="1:63" ht="14.5">
      <c r="A155" t="s">
        <v>118</v>
      </c>
      <c r="B155" t="s">
        <v>62</v>
      </c>
      <c r="C155" t="s">
        <v>104</v>
      </c>
      <c r="D155" t="s">
        <v>111</v>
      </c>
      <c r="E155" t="s">
        <v>111</v>
      </c>
      <c r="F155" t="s">
        <v>111</v>
      </c>
      <c r="G155" t="s">
        <v>71</v>
      </c>
      <c r="H155" t="s">
        <v>111</v>
      </c>
      <c r="I155" t="s">
        <v>111</v>
      </c>
      <c r="J155" t="s">
        <v>111</v>
      </c>
      <c r="K155" t="s">
        <v>111</v>
      </c>
      <c r="L155">
        <v>0</v>
      </c>
      <c r="M155">
        <v>0</v>
      </c>
      <c r="N155">
        <v>0</v>
      </c>
      <c r="O155">
        <v>0</v>
      </c>
      <c r="P155">
        <v>0.00025271611574203829</v>
      </c>
      <c r="Q155">
        <v>0</v>
      </c>
      <c r="R155">
        <v>0</v>
      </c>
      <c r="S155">
        <v>0.018448276449168795</v>
      </c>
      <c r="T155">
        <v>0</v>
      </c>
      <c r="U155">
        <v>0.00025271611574203829</v>
      </c>
      <c r="V155">
        <v>0</v>
      </c>
      <c r="W155">
        <v>0</v>
      </c>
      <c r="X155">
        <v>0</v>
      </c>
      <c r="Y155">
        <v>0.00033695482098938443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0.0010951031682154993</v>
      </c>
      <c r="AF155">
        <v>0</v>
      </c>
      <c r="AG155">
        <v>0</v>
      </c>
      <c r="AH155">
        <v>0</v>
      </c>
      <c r="AI155">
        <v>8.4238705247346107E-05</v>
      </c>
      <c r="AJ155">
        <v>0</v>
      </c>
      <c r="AK155">
        <v>0.00042119352623673051</v>
      </c>
      <c r="AL155">
        <v>0</v>
      </c>
      <c r="AM155">
        <v>0.00016847741049469221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 t="s">
        <v>111</v>
      </c>
      <c r="BJ155" t="str">
        <f t="shared" si="4"/>
        <v>bus</v>
      </c>
      <c r="BK155" t="str">
        <f t="shared" si="5"/>
        <v>elc</v>
      </c>
    </row>
    <row r="156" spans="1:63" ht="14.5">
      <c r="A156" t="s">
        <v>118</v>
      </c>
      <c r="B156" t="s">
        <v>62</v>
      </c>
      <c r="C156" t="s">
        <v>104</v>
      </c>
      <c r="D156" t="s">
        <v>111</v>
      </c>
      <c r="E156" t="s">
        <v>111</v>
      </c>
      <c r="F156" t="s">
        <v>111</v>
      </c>
      <c r="G156" t="s">
        <v>70</v>
      </c>
      <c r="H156" t="s">
        <v>111</v>
      </c>
      <c r="I156" t="s">
        <v>111</v>
      </c>
      <c r="J156" t="s">
        <v>111</v>
      </c>
      <c r="K156" t="s">
        <v>111</v>
      </c>
      <c r="L156">
        <v>0</v>
      </c>
      <c r="M156">
        <v>0</v>
      </c>
      <c r="N156">
        <v>0</v>
      </c>
      <c r="O156">
        <v>0</v>
      </c>
      <c r="P156">
        <v>0.00025271611574203829</v>
      </c>
      <c r="Q156">
        <v>0</v>
      </c>
      <c r="R156">
        <v>0</v>
      </c>
      <c r="S156">
        <v>0.018448276449168795</v>
      </c>
      <c r="T156">
        <v>0</v>
      </c>
      <c r="U156">
        <v>0.00025271611574203829</v>
      </c>
      <c r="V156">
        <v>0</v>
      </c>
      <c r="W156">
        <v>0</v>
      </c>
      <c r="X156">
        <v>0</v>
      </c>
      <c r="Y156">
        <v>0.00033695482098938443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0.0010951031682154993</v>
      </c>
      <c r="AF156">
        <v>0</v>
      </c>
      <c r="AG156">
        <v>0</v>
      </c>
      <c r="AH156">
        <v>0</v>
      </c>
      <c r="AI156">
        <v>8.4238705247346107E-05</v>
      </c>
      <c r="AJ156">
        <v>0</v>
      </c>
      <c r="AK156">
        <v>0.00042119352623673051</v>
      </c>
      <c r="AL156">
        <v>0</v>
      </c>
      <c r="AM156">
        <v>0.00016847741049469221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 t="s">
        <v>111</v>
      </c>
      <c r="BJ156" t="str">
        <f t="shared" si="4"/>
        <v>bus</v>
      </c>
      <c r="BK156" t="str">
        <f t="shared" si="5"/>
        <v>elc</v>
      </c>
    </row>
    <row r="157" spans="1:63" ht="14.5">
      <c r="A157" t="s">
        <v>118</v>
      </c>
      <c r="B157" t="s">
        <v>62</v>
      </c>
      <c r="C157" t="s">
        <v>104</v>
      </c>
      <c r="D157" t="s">
        <v>111</v>
      </c>
      <c r="E157" t="s">
        <v>111</v>
      </c>
      <c r="F157" t="s">
        <v>111</v>
      </c>
      <c r="G157" t="s">
        <v>69</v>
      </c>
      <c r="H157" t="s">
        <v>111</v>
      </c>
      <c r="I157" t="s">
        <v>111</v>
      </c>
      <c r="J157" t="s">
        <v>111</v>
      </c>
      <c r="K157" t="s">
        <v>111</v>
      </c>
      <c r="L157">
        <v>0</v>
      </c>
      <c r="M157">
        <v>0</v>
      </c>
      <c r="N157">
        <v>0</v>
      </c>
      <c r="O157">
        <v>0</v>
      </c>
      <c r="P157">
        <v>0.00025271611574203829</v>
      </c>
      <c r="Q157">
        <v>0</v>
      </c>
      <c r="R157">
        <v>0</v>
      </c>
      <c r="S157">
        <v>0.018448276449168795</v>
      </c>
      <c r="T157">
        <v>0</v>
      </c>
      <c r="U157">
        <v>0.00025271611574203829</v>
      </c>
      <c r="V157">
        <v>0</v>
      </c>
      <c r="W157">
        <v>0</v>
      </c>
      <c r="X157">
        <v>0</v>
      </c>
      <c r="Y157">
        <v>0.00033695482098938443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0.0010951031682154993</v>
      </c>
      <c r="AF157">
        <v>0</v>
      </c>
      <c r="AG157">
        <v>0</v>
      </c>
      <c r="AH157">
        <v>0</v>
      </c>
      <c r="AI157">
        <v>8.4238705247346107E-05</v>
      </c>
      <c r="AJ157">
        <v>0</v>
      </c>
      <c r="AK157">
        <v>0.00042119352623673051</v>
      </c>
      <c r="AL157">
        <v>0</v>
      </c>
      <c r="AM157">
        <v>0.00016847741049469221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 t="s">
        <v>111</v>
      </c>
      <c r="BJ157" t="str">
        <f t="shared" si="4"/>
        <v>bus</v>
      </c>
      <c r="BK157" t="str">
        <f t="shared" si="5"/>
        <v>elc</v>
      </c>
    </row>
    <row r="158" spans="1:63" ht="14.5">
      <c r="A158" t="s">
        <v>118</v>
      </c>
      <c r="B158" t="s">
        <v>62</v>
      </c>
      <c r="C158" t="s">
        <v>104</v>
      </c>
      <c r="D158" t="s">
        <v>111</v>
      </c>
      <c r="E158" t="s">
        <v>111</v>
      </c>
      <c r="F158" t="s">
        <v>111</v>
      </c>
      <c r="G158" t="s">
        <v>68</v>
      </c>
      <c r="H158" t="s">
        <v>111</v>
      </c>
      <c r="I158" t="s">
        <v>111</v>
      </c>
      <c r="J158" t="s">
        <v>111</v>
      </c>
      <c r="K158" t="s">
        <v>111</v>
      </c>
      <c r="L158">
        <v>0</v>
      </c>
      <c r="M158">
        <v>0</v>
      </c>
      <c r="N158">
        <v>0</v>
      </c>
      <c r="O158">
        <v>0</v>
      </c>
      <c r="P158">
        <v>0.00025271611574203829</v>
      </c>
      <c r="Q158">
        <v>0</v>
      </c>
      <c r="R158">
        <v>0</v>
      </c>
      <c r="S158">
        <v>0.018448276449168795</v>
      </c>
      <c r="T158">
        <v>0</v>
      </c>
      <c r="U158">
        <v>0.00025271611574203829</v>
      </c>
      <c r="V158">
        <v>0</v>
      </c>
      <c r="W158">
        <v>0</v>
      </c>
      <c r="X158">
        <v>0</v>
      </c>
      <c r="Y158">
        <v>0.00033695482098938443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0.0010951031682154993</v>
      </c>
      <c r="AF158">
        <v>0</v>
      </c>
      <c r="AG158">
        <v>0</v>
      </c>
      <c r="AH158">
        <v>0</v>
      </c>
      <c r="AI158">
        <v>8.4238705247346107E-05</v>
      </c>
      <c r="AJ158">
        <v>0</v>
      </c>
      <c r="AK158">
        <v>0.00042119352623673051</v>
      </c>
      <c r="AL158">
        <v>0</v>
      </c>
      <c r="AM158">
        <v>0.00016847741049469221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 t="s">
        <v>111</v>
      </c>
      <c r="BJ158" t="str">
        <f t="shared" si="4"/>
        <v>bus</v>
      </c>
      <c r="BK158" t="str">
        <f t="shared" si="5"/>
        <v>elc</v>
      </c>
    </row>
    <row r="159" spans="1:63" ht="14.5">
      <c r="A159" t="s">
        <v>118</v>
      </c>
      <c r="B159" t="s">
        <v>62</v>
      </c>
      <c r="C159" t="s">
        <v>104</v>
      </c>
      <c r="D159" t="s">
        <v>111</v>
      </c>
      <c r="E159" t="s">
        <v>111</v>
      </c>
      <c r="F159" t="s">
        <v>111</v>
      </c>
      <c r="G159" t="s">
        <v>67</v>
      </c>
      <c r="H159" t="s">
        <v>111</v>
      </c>
      <c r="I159" t="s">
        <v>111</v>
      </c>
      <c r="J159" t="s">
        <v>111</v>
      </c>
      <c r="K159" t="s">
        <v>111</v>
      </c>
      <c r="L159">
        <v>0</v>
      </c>
      <c r="M159">
        <v>0</v>
      </c>
      <c r="N159">
        <v>0</v>
      </c>
      <c r="O159">
        <v>0</v>
      </c>
      <c r="P159">
        <v>0.00025271611574203829</v>
      </c>
      <c r="Q159">
        <v>0</v>
      </c>
      <c r="R159">
        <v>0</v>
      </c>
      <c r="S159">
        <v>0.018448276449168795</v>
      </c>
      <c r="T159">
        <v>0</v>
      </c>
      <c r="U159">
        <v>0.00025271611574203829</v>
      </c>
      <c r="V159">
        <v>0</v>
      </c>
      <c r="W159">
        <v>0</v>
      </c>
      <c r="X159">
        <v>0</v>
      </c>
      <c r="Y159">
        <v>0.00033695482098938443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0.0010951031682154993</v>
      </c>
      <c r="AF159">
        <v>0</v>
      </c>
      <c r="AG159">
        <v>0</v>
      </c>
      <c r="AH159">
        <v>0</v>
      </c>
      <c r="AI159">
        <v>8.4238705247346107E-05</v>
      </c>
      <c r="AJ159">
        <v>0</v>
      </c>
      <c r="AK159">
        <v>0.00042119352623673051</v>
      </c>
      <c r="AL159">
        <v>0</v>
      </c>
      <c r="AM159">
        <v>0.00016847741049469221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 t="s">
        <v>111</v>
      </c>
      <c r="BJ159" t="str">
        <f t="shared" si="4"/>
        <v>bus</v>
      </c>
      <c r="BK159" t="str">
        <f t="shared" si="5"/>
        <v>elc</v>
      </c>
    </row>
    <row r="160" spans="1:63" ht="14.5">
      <c r="A160" t="s">
        <v>118</v>
      </c>
      <c r="B160" t="s">
        <v>62</v>
      </c>
      <c r="C160" t="s">
        <v>104</v>
      </c>
      <c r="D160" t="s">
        <v>111</v>
      </c>
      <c r="E160" t="s">
        <v>111</v>
      </c>
      <c r="F160" t="s">
        <v>111</v>
      </c>
      <c r="G160" t="s">
        <v>66</v>
      </c>
      <c r="H160" t="s">
        <v>111</v>
      </c>
      <c r="I160" t="s">
        <v>111</v>
      </c>
      <c r="J160" t="s">
        <v>111</v>
      </c>
      <c r="K160" t="s">
        <v>111</v>
      </c>
      <c r="L160">
        <v>0</v>
      </c>
      <c r="M160">
        <v>0</v>
      </c>
      <c r="N160">
        <v>0</v>
      </c>
      <c r="O160">
        <v>0</v>
      </c>
      <c r="P160">
        <v>0.00025271611574203829</v>
      </c>
      <c r="Q160">
        <v>0</v>
      </c>
      <c r="R160">
        <v>0</v>
      </c>
      <c r="S160">
        <v>0.018448276449168795</v>
      </c>
      <c r="T160">
        <v>0</v>
      </c>
      <c r="U160">
        <v>0.00025271611574203829</v>
      </c>
      <c r="V160">
        <v>0</v>
      </c>
      <c r="W160">
        <v>0</v>
      </c>
      <c r="X160">
        <v>0</v>
      </c>
      <c r="Y160">
        <v>0.00033695482098938443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0.0010951031682154993</v>
      </c>
      <c r="AF160">
        <v>0</v>
      </c>
      <c r="AG160">
        <v>0</v>
      </c>
      <c r="AH160">
        <v>0</v>
      </c>
      <c r="AI160">
        <v>8.4238705247346107E-05</v>
      </c>
      <c r="AJ160">
        <v>0</v>
      </c>
      <c r="AK160">
        <v>0.00042119352623673051</v>
      </c>
      <c r="AL160">
        <v>0</v>
      </c>
      <c r="AM160">
        <v>0.00016847741049469221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 t="s">
        <v>111</v>
      </c>
      <c r="BJ160" t="str">
        <f t="shared" si="4"/>
        <v>bus</v>
      </c>
      <c r="BK160" t="str">
        <f t="shared" si="5"/>
        <v>elc</v>
      </c>
    </row>
    <row r="161" spans="1:63" ht="14.5">
      <c r="A161" t="s">
        <v>118</v>
      </c>
      <c r="B161" t="s">
        <v>62</v>
      </c>
      <c r="C161" t="s">
        <v>104</v>
      </c>
      <c r="D161" t="s">
        <v>111</v>
      </c>
      <c r="E161" t="s">
        <v>111</v>
      </c>
      <c r="F161" t="s">
        <v>111</v>
      </c>
      <c r="G161" t="s">
        <v>65</v>
      </c>
      <c r="H161" t="s">
        <v>111</v>
      </c>
      <c r="I161" t="s">
        <v>111</v>
      </c>
      <c r="J161" t="s">
        <v>111</v>
      </c>
      <c r="K161" t="s">
        <v>111</v>
      </c>
      <c r="L161">
        <v>0</v>
      </c>
      <c r="M161">
        <v>0</v>
      </c>
      <c r="N161">
        <v>0</v>
      </c>
      <c r="O161">
        <v>0</v>
      </c>
      <c r="P161">
        <v>0.00025271611574203829</v>
      </c>
      <c r="Q161">
        <v>0</v>
      </c>
      <c r="R161">
        <v>0</v>
      </c>
      <c r="S161">
        <v>0.018448276449168795</v>
      </c>
      <c r="T161">
        <v>0</v>
      </c>
      <c r="U161">
        <v>0.00025271611574203829</v>
      </c>
      <c r="V161">
        <v>0</v>
      </c>
      <c r="W161">
        <v>0</v>
      </c>
      <c r="X161">
        <v>0</v>
      </c>
      <c r="Y161">
        <v>0.00033695482098938443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0.0010951031682154993</v>
      </c>
      <c r="AF161">
        <v>0</v>
      </c>
      <c r="AG161">
        <v>0</v>
      </c>
      <c r="AH161">
        <v>0</v>
      </c>
      <c r="AI161">
        <v>8.4238705247346107E-05</v>
      </c>
      <c r="AJ161">
        <v>0</v>
      </c>
      <c r="AK161">
        <v>0.00042119352623673051</v>
      </c>
      <c r="AL161">
        <v>0</v>
      </c>
      <c r="AM161">
        <v>0.00016847741049469221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 t="s">
        <v>111</v>
      </c>
      <c r="BJ161" t="str">
        <f t="shared" si="4"/>
        <v>bus</v>
      </c>
      <c r="BK161" t="str">
        <f t="shared" si="5"/>
        <v>elc</v>
      </c>
    </row>
    <row r="162" spans="1:63" ht="14.5">
      <c r="A162" t="s">
        <v>118</v>
      </c>
      <c r="B162" t="s">
        <v>62</v>
      </c>
      <c r="C162" t="s">
        <v>103</v>
      </c>
      <c r="D162" t="s">
        <v>111</v>
      </c>
      <c r="E162" t="s">
        <v>111</v>
      </c>
      <c r="F162" t="s">
        <v>111</v>
      </c>
      <c r="G162" t="s">
        <v>61</v>
      </c>
      <c r="H162" t="s">
        <v>111</v>
      </c>
      <c r="I162" t="s">
        <v>111</v>
      </c>
      <c r="J162" t="s">
        <v>111</v>
      </c>
      <c r="K162" t="s">
        <v>111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t="s">
        <v>111</v>
      </c>
      <c r="BJ162" t="str">
        <f t="shared" si="4"/>
        <v>bus</v>
      </c>
      <c r="BK162" t="str">
        <f t="shared" si="5"/>
        <v>eth</v>
      </c>
    </row>
    <row r="163" spans="1:63" ht="14.5">
      <c r="A163" t="s">
        <v>118</v>
      </c>
      <c r="B163" t="s">
        <v>62</v>
      </c>
      <c r="C163" t="s">
        <v>103</v>
      </c>
      <c r="D163" t="s">
        <v>111</v>
      </c>
      <c r="E163" t="s">
        <v>111</v>
      </c>
      <c r="F163" t="s">
        <v>111</v>
      </c>
      <c r="G163" t="s">
        <v>83</v>
      </c>
      <c r="H163" t="s">
        <v>111</v>
      </c>
      <c r="I163" t="s">
        <v>111</v>
      </c>
      <c r="J163" t="s">
        <v>111</v>
      </c>
      <c r="K163" t="s">
        <v>111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t="s">
        <v>111</v>
      </c>
      <c r="BJ163" t="str">
        <f t="shared" si="4"/>
        <v>bus</v>
      </c>
      <c r="BK163" t="str">
        <f t="shared" si="5"/>
        <v>eth</v>
      </c>
    </row>
    <row r="164" spans="1:63" ht="14.5">
      <c r="A164" t="s">
        <v>118</v>
      </c>
      <c r="B164" t="s">
        <v>62</v>
      </c>
      <c r="C164" t="s">
        <v>103</v>
      </c>
      <c r="D164" t="s">
        <v>111</v>
      </c>
      <c r="E164" t="s">
        <v>111</v>
      </c>
      <c r="F164" t="s">
        <v>111</v>
      </c>
      <c r="G164" t="s">
        <v>82</v>
      </c>
      <c r="H164" t="s">
        <v>111</v>
      </c>
      <c r="I164" t="s">
        <v>111</v>
      </c>
      <c r="J164" t="s">
        <v>111</v>
      </c>
      <c r="K164" t="s">
        <v>111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 t="s">
        <v>111</v>
      </c>
      <c r="BJ164" t="str">
        <f t="shared" si="4"/>
        <v>bus</v>
      </c>
      <c r="BK164" t="str">
        <f t="shared" si="5"/>
        <v>eth</v>
      </c>
    </row>
    <row r="165" spans="1:63" ht="14.5">
      <c r="A165" t="s">
        <v>118</v>
      </c>
      <c r="B165" t="s">
        <v>62</v>
      </c>
      <c r="C165" t="s">
        <v>103</v>
      </c>
      <c r="D165" t="s">
        <v>111</v>
      </c>
      <c r="E165" t="s">
        <v>111</v>
      </c>
      <c r="F165" t="s">
        <v>111</v>
      </c>
      <c r="G165" t="s">
        <v>81</v>
      </c>
      <c r="H165" t="s">
        <v>111</v>
      </c>
      <c r="I165" t="s">
        <v>111</v>
      </c>
      <c r="J165" t="s">
        <v>111</v>
      </c>
      <c r="K165" t="s">
        <v>111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 t="s">
        <v>111</v>
      </c>
      <c r="BJ165" t="str">
        <f t="shared" si="4"/>
        <v>bus</v>
      </c>
      <c r="BK165" t="str">
        <f t="shared" si="5"/>
        <v>eth</v>
      </c>
    </row>
    <row r="166" spans="1:63" ht="14.5">
      <c r="A166" t="s">
        <v>118</v>
      </c>
      <c r="B166" t="s">
        <v>62</v>
      </c>
      <c r="C166" t="s">
        <v>103</v>
      </c>
      <c r="D166" t="s">
        <v>111</v>
      </c>
      <c r="E166" t="s">
        <v>111</v>
      </c>
      <c r="F166" t="s">
        <v>111</v>
      </c>
      <c r="G166" t="s">
        <v>80</v>
      </c>
      <c r="H166" t="s">
        <v>111</v>
      </c>
      <c r="I166" t="s">
        <v>111</v>
      </c>
      <c r="J166" t="s">
        <v>111</v>
      </c>
      <c r="K166" t="s">
        <v>111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 t="s">
        <v>111</v>
      </c>
      <c r="BJ166" t="str">
        <f t="shared" si="4"/>
        <v>bus</v>
      </c>
      <c r="BK166" t="str">
        <f t="shared" si="5"/>
        <v>eth</v>
      </c>
    </row>
    <row r="167" spans="1:63" ht="14.5">
      <c r="A167" t="s">
        <v>118</v>
      </c>
      <c r="B167" t="s">
        <v>62</v>
      </c>
      <c r="C167" t="s">
        <v>103</v>
      </c>
      <c r="D167" t="s">
        <v>111</v>
      </c>
      <c r="E167" t="s">
        <v>111</v>
      </c>
      <c r="F167" t="s">
        <v>111</v>
      </c>
      <c r="G167" t="s">
        <v>79</v>
      </c>
      <c r="H167" t="s">
        <v>111</v>
      </c>
      <c r="I167" t="s">
        <v>111</v>
      </c>
      <c r="J167" t="s">
        <v>111</v>
      </c>
      <c r="K167" t="s">
        <v>111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t="s">
        <v>111</v>
      </c>
      <c r="BJ167" t="str">
        <f t="shared" si="4"/>
        <v>bus</v>
      </c>
      <c r="BK167" t="str">
        <f t="shared" si="5"/>
        <v>eth</v>
      </c>
    </row>
    <row r="168" spans="1:63" ht="14.5">
      <c r="A168" t="s">
        <v>118</v>
      </c>
      <c r="B168" t="s">
        <v>62</v>
      </c>
      <c r="C168" t="s">
        <v>103</v>
      </c>
      <c r="D168" t="s">
        <v>111</v>
      </c>
      <c r="E168" t="s">
        <v>111</v>
      </c>
      <c r="F168" t="s">
        <v>111</v>
      </c>
      <c r="G168" t="s">
        <v>78</v>
      </c>
      <c r="H168" t="s">
        <v>111</v>
      </c>
      <c r="I168" t="s">
        <v>111</v>
      </c>
      <c r="J168" t="s">
        <v>111</v>
      </c>
      <c r="K168" t="s">
        <v>111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t="s">
        <v>111</v>
      </c>
      <c r="BJ168" t="str">
        <f t="shared" si="4"/>
        <v>bus</v>
      </c>
      <c r="BK168" t="str">
        <f t="shared" si="5"/>
        <v>eth</v>
      </c>
    </row>
    <row r="169" spans="1:63" ht="14.5">
      <c r="A169" t="s">
        <v>118</v>
      </c>
      <c r="B169" t="s">
        <v>62</v>
      </c>
      <c r="C169" t="s">
        <v>103</v>
      </c>
      <c r="D169" t="s">
        <v>111</v>
      </c>
      <c r="E169" t="s">
        <v>111</v>
      </c>
      <c r="F169" t="s">
        <v>111</v>
      </c>
      <c r="G169" t="s">
        <v>77</v>
      </c>
      <c r="H169" t="s">
        <v>111</v>
      </c>
      <c r="I169" t="s">
        <v>111</v>
      </c>
      <c r="J169" t="s">
        <v>111</v>
      </c>
      <c r="K169" t="s">
        <v>111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t="s">
        <v>111</v>
      </c>
      <c r="BJ169" t="str">
        <f t="shared" si="4"/>
        <v>bus</v>
      </c>
      <c r="BK169" t="str">
        <f t="shared" si="5"/>
        <v>eth</v>
      </c>
    </row>
    <row r="170" spans="1:63" ht="14.5">
      <c r="A170" t="s">
        <v>118</v>
      </c>
      <c r="B170" t="s">
        <v>62</v>
      </c>
      <c r="C170" t="s">
        <v>103</v>
      </c>
      <c r="D170" t="s">
        <v>111</v>
      </c>
      <c r="E170" t="s">
        <v>111</v>
      </c>
      <c r="F170" t="s">
        <v>111</v>
      </c>
      <c r="G170" t="s">
        <v>76</v>
      </c>
      <c r="H170" t="s">
        <v>111</v>
      </c>
      <c r="I170" t="s">
        <v>111</v>
      </c>
      <c r="J170" t="s">
        <v>111</v>
      </c>
      <c r="K170" t="s">
        <v>111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t="s">
        <v>111</v>
      </c>
      <c r="BJ170" t="str">
        <f t="shared" si="4"/>
        <v>bus</v>
      </c>
      <c r="BK170" t="str">
        <f t="shared" si="5"/>
        <v>eth</v>
      </c>
    </row>
    <row r="171" spans="1:63" ht="14.5">
      <c r="A171" t="s">
        <v>118</v>
      </c>
      <c r="B171" t="s">
        <v>62</v>
      </c>
      <c r="C171" t="s">
        <v>103</v>
      </c>
      <c r="D171" t="s">
        <v>111</v>
      </c>
      <c r="E171" t="s">
        <v>111</v>
      </c>
      <c r="F171" t="s">
        <v>111</v>
      </c>
      <c r="G171" t="s">
        <v>75</v>
      </c>
      <c r="H171" t="s">
        <v>111</v>
      </c>
      <c r="I171" t="s">
        <v>111</v>
      </c>
      <c r="J171" t="s">
        <v>111</v>
      </c>
      <c r="K171" t="s">
        <v>111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 t="s">
        <v>111</v>
      </c>
      <c r="BJ171" t="str">
        <f t="shared" si="4"/>
        <v>bus</v>
      </c>
      <c r="BK171" t="str">
        <f t="shared" si="5"/>
        <v>eth</v>
      </c>
    </row>
    <row r="172" spans="1:63" ht="14.5">
      <c r="A172" t="s">
        <v>118</v>
      </c>
      <c r="B172" t="s">
        <v>62</v>
      </c>
      <c r="C172" t="s">
        <v>103</v>
      </c>
      <c r="D172" t="s">
        <v>111</v>
      </c>
      <c r="E172" t="s">
        <v>111</v>
      </c>
      <c r="F172" t="s">
        <v>111</v>
      </c>
      <c r="G172" t="s">
        <v>74</v>
      </c>
      <c r="H172" t="s">
        <v>111</v>
      </c>
      <c r="I172" t="s">
        <v>111</v>
      </c>
      <c r="J172" t="s">
        <v>111</v>
      </c>
      <c r="K172" t="s">
        <v>111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 t="s">
        <v>111</v>
      </c>
      <c r="BJ172" t="str">
        <f t="shared" si="4"/>
        <v>bus</v>
      </c>
      <c r="BK172" t="str">
        <f t="shared" si="5"/>
        <v>eth</v>
      </c>
    </row>
    <row r="173" spans="1:63" ht="14.5">
      <c r="A173" t="s">
        <v>118</v>
      </c>
      <c r="B173" t="s">
        <v>62</v>
      </c>
      <c r="C173" t="s">
        <v>103</v>
      </c>
      <c r="D173" t="s">
        <v>111</v>
      </c>
      <c r="E173" t="s">
        <v>111</v>
      </c>
      <c r="F173" t="s">
        <v>111</v>
      </c>
      <c r="G173" t="s">
        <v>73</v>
      </c>
      <c r="H173" t="s">
        <v>111</v>
      </c>
      <c r="I173" t="s">
        <v>111</v>
      </c>
      <c r="J173" t="s">
        <v>111</v>
      </c>
      <c r="K173" t="s">
        <v>111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t="s">
        <v>111</v>
      </c>
      <c r="BJ173" t="str">
        <f t="shared" si="4"/>
        <v>bus</v>
      </c>
      <c r="BK173" t="str">
        <f t="shared" si="5"/>
        <v>eth</v>
      </c>
    </row>
    <row r="174" spans="1:63" ht="14.5">
      <c r="A174" t="s">
        <v>118</v>
      </c>
      <c r="B174" t="s">
        <v>62</v>
      </c>
      <c r="C174" t="s">
        <v>103</v>
      </c>
      <c r="D174" t="s">
        <v>111</v>
      </c>
      <c r="E174" t="s">
        <v>111</v>
      </c>
      <c r="F174" t="s">
        <v>111</v>
      </c>
      <c r="G174" t="s">
        <v>72</v>
      </c>
      <c r="H174" t="s">
        <v>111</v>
      </c>
      <c r="I174" t="s">
        <v>111</v>
      </c>
      <c r="J174" t="s">
        <v>111</v>
      </c>
      <c r="K174" t="s">
        <v>111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 t="s">
        <v>111</v>
      </c>
      <c r="BJ174" t="str">
        <f t="shared" si="4"/>
        <v>bus</v>
      </c>
      <c r="BK174" t="str">
        <f t="shared" si="5"/>
        <v>eth</v>
      </c>
    </row>
    <row r="175" spans="1:63" ht="14.5">
      <c r="A175" t="s">
        <v>118</v>
      </c>
      <c r="B175" t="s">
        <v>62</v>
      </c>
      <c r="C175" t="s">
        <v>103</v>
      </c>
      <c r="D175" t="s">
        <v>111</v>
      </c>
      <c r="E175" t="s">
        <v>111</v>
      </c>
      <c r="F175" t="s">
        <v>111</v>
      </c>
      <c r="G175" t="s">
        <v>71</v>
      </c>
      <c r="H175" t="s">
        <v>111</v>
      </c>
      <c r="I175" t="s">
        <v>111</v>
      </c>
      <c r="J175" t="s">
        <v>111</v>
      </c>
      <c r="K175" t="s">
        <v>111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 t="s">
        <v>111</v>
      </c>
      <c r="BJ175" t="str">
        <f t="shared" si="4"/>
        <v>bus</v>
      </c>
      <c r="BK175" t="str">
        <f t="shared" si="5"/>
        <v>eth</v>
      </c>
    </row>
    <row r="176" spans="1:63" ht="14.5">
      <c r="A176" t="s">
        <v>118</v>
      </c>
      <c r="B176" t="s">
        <v>62</v>
      </c>
      <c r="C176" t="s">
        <v>103</v>
      </c>
      <c r="D176" t="s">
        <v>111</v>
      </c>
      <c r="E176" t="s">
        <v>111</v>
      </c>
      <c r="F176" t="s">
        <v>111</v>
      </c>
      <c r="G176" t="s">
        <v>70</v>
      </c>
      <c r="H176" t="s">
        <v>111</v>
      </c>
      <c r="I176" t="s">
        <v>111</v>
      </c>
      <c r="J176" t="s">
        <v>111</v>
      </c>
      <c r="K176" t="s">
        <v>111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 t="s">
        <v>111</v>
      </c>
      <c r="BJ176" t="str">
        <f t="shared" si="4"/>
        <v>bus</v>
      </c>
      <c r="BK176" t="str">
        <f t="shared" si="5"/>
        <v>eth</v>
      </c>
    </row>
    <row r="177" spans="1:63" ht="14.5">
      <c r="A177" t="s">
        <v>118</v>
      </c>
      <c r="B177" t="s">
        <v>62</v>
      </c>
      <c r="C177" t="s">
        <v>103</v>
      </c>
      <c r="D177" t="s">
        <v>111</v>
      </c>
      <c r="E177" t="s">
        <v>111</v>
      </c>
      <c r="F177" t="s">
        <v>111</v>
      </c>
      <c r="G177" t="s">
        <v>69</v>
      </c>
      <c r="H177" t="s">
        <v>111</v>
      </c>
      <c r="I177" t="s">
        <v>111</v>
      </c>
      <c r="J177" t="s">
        <v>111</v>
      </c>
      <c r="K177" t="s">
        <v>111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 t="s">
        <v>111</v>
      </c>
      <c r="BJ177" t="str">
        <f t="shared" si="4"/>
        <v>bus</v>
      </c>
      <c r="BK177" t="str">
        <f t="shared" si="5"/>
        <v>eth</v>
      </c>
    </row>
    <row r="178" spans="1:63" ht="14.5">
      <c r="A178" t="s">
        <v>118</v>
      </c>
      <c r="B178" t="s">
        <v>62</v>
      </c>
      <c r="C178" t="s">
        <v>103</v>
      </c>
      <c r="D178" t="s">
        <v>111</v>
      </c>
      <c r="E178" t="s">
        <v>111</v>
      </c>
      <c r="F178" t="s">
        <v>111</v>
      </c>
      <c r="G178" t="s">
        <v>68</v>
      </c>
      <c r="H178" t="s">
        <v>111</v>
      </c>
      <c r="I178" t="s">
        <v>111</v>
      </c>
      <c r="J178" t="s">
        <v>111</v>
      </c>
      <c r="K178" t="s">
        <v>111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 t="s">
        <v>111</v>
      </c>
      <c r="BJ178" t="str">
        <f t="shared" si="4"/>
        <v>bus</v>
      </c>
      <c r="BK178" t="str">
        <f t="shared" si="5"/>
        <v>eth</v>
      </c>
    </row>
    <row r="179" spans="1:63" ht="14.5">
      <c r="A179" t="s">
        <v>118</v>
      </c>
      <c r="B179" t="s">
        <v>62</v>
      </c>
      <c r="C179" t="s">
        <v>103</v>
      </c>
      <c r="D179" t="s">
        <v>111</v>
      </c>
      <c r="E179" t="s">
        <v>111</v>
      </c>
      <c r="F179" t="s">
        <v>111</v>
      </c>
      <c r="G179" t="s">
        <v>67</v>
      </c>
      <c r="H179" t="s">
        <v>111</v>
      </c>
      <c r="I179" t="s">
        <v>111</v>
      </c>
      <c r="J179" t="s">
        <v>111</v>
      </c>
      <c r="K179" t="s">
        <v>111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t="s">
        <v>111</v>
      </c>
      <c r="BJ179" t="str">
        <f t="shared" si="4"/>
        <v>bus</v>
      </c>
      <c r="BK179" t="str">
        <f t="shared" si="5"/>
        <v>eth</v>
      </c>
    </row>
    <row r="180" spans="1:63" ht="14.5">
      <c r="A180" t="s">
        <v>118</v>
      </c>
      <c r="B180" t="s">
        <v>62</v>
      </c>
      <c r="C180" t="s">
        <v>103</v>
      </c>
      <c r="D180" t="s">
        <v>111</v>
      </c>
      <c r="E180" t="s">
        <v>111</v>
      </c>
      <c r="F180" t="s">
        <v>111</v>
      </c>
      <c r="G180" t="s">
        <v>66</v>
      </c>
      <c r="H180" t="s">
        <v>111</v>
      </c>
      <c r="I180" t="s">
        <v>111</v>
      </c>
      <c r="J180" t="s">
        <v>111</v>
      </c>
      <c r="K180" t="s">
        <v>111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t="s">
        <v>111</v>
      </c>
      <c r="BJ180" t="str">
        <f t="shared" si="4"/>
        <v>bus</v>
      </c>
      <c r="BK180" t="str">
        <f t="shared" si="5"/>
        <v>eth</v>
      </c>
    </row>
    <row r="181" spans="1:63" ht="14.5">
      <c r="A181" t="s">
        <v>118</v>
      </c>
      <c r="B181" t="s">
        <v>62</v>
      </c>
      <c r="C181" t="s">
        <v>103</v>
      </c>
      <c r="D181" t="s">
        <v>111</v>
      </c>
      <c r="E181" t="s">
        <v>111</v>
      </c>
      <c r="F181" t="s">
        <v>111</v>
      </c>
      <c r="G181" t="s">
        <v>65</v>
      </c>
      <c r="H181" t="s">
        <v>111</v>
      </c>
      <c r="I181" t="s">
        <v>111</v>
      </c>
      <c r="J181" t="s">
        <v>111</v>
      </c>
      <c r="K181" t="s">
        <v>111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 t="s">
        <v>111</v>
      </c>
      <c r="BJ181" t="str">
        <f t="shared" si="4"/>
        <v>bus</v>
      </c>
      <c r="BK181" t="str">
        <f t="shared" si="5"/>
        <v>eth</v>
      </c>
    </row>
    <row r="182" spans="1:63" ht="14.5">
      <c r="A182" t="s">
        <v>118</v>
      </c>
      <c r="B182" t="s">
        <v>62</v>
      </c>
      <c r="C182" t="s">
        <v>102</v>
      </c>
      <c r="D182" t="s">
        <v>111</v>
      </c>
      <c r="E182" t="s">
        <v>111</v>
      </c>
      <c r="F182" t="s">
        <v>111</v>
      </c>
      <c r="G182" t="s">
        <v>61</v>
      </c>
      <c r="H182" t="s">
        <v>111</v>
      </c>
      <c r="I182" t="s">
        <v>111</v>
      </c>
      <c r="J182" t="s">
        <v>111</v>
      </c>
      <c r="K182" t="s">
        <v>111</v>
      </c>
      <c r="L182">
        <v>0</v>
      </c>
      <c r="M182">
        <v>0</v>
      </c>
      <c r="N182">
        <v>0.00058967093673142272</v>
      </c>
      <c r="O182">
        <v>0</v>
      </c>
      <c r="P182">
        <v>8.4238705247346107E-05</v>
      </c>
      <c r="Q182">
        <v>8.4238705247346107E-05</v>
      </c>
      <c r="R182">
        <v>0.0021059676311836525</v>
      </c>
      <c r="S182">
        <v>0.011540702618886416</v>
      </c>
      <c r="T182">
        <v>8.4238705247346107E-05</v>
      </c>
      <c r="U182">
        <v>0.00016847741049469221</v>
      </c>
      <c r="V182">
        <v>8.4238705247346107E-05</v>
      </c>
      <c r="W182">
        <v>0.00016847741049469221</v>
      </c>
      <c r="X182">
        <v>0</v>
      </c>
      <c r="Y182">
        <v>0.00025271611574203829</v>
      </c>
      <c r="Z182">
        <v>0</v>
      </c>
      <c r="AA182">
        <v>0</v>
      </c>
      <c r="AB182">
        <v>0</v>
      </c>
      <c r="AC182">
        <v>8.4238705247346107E-05</v>
      </c>
      <c r="AD182">
        <v>0</v>
      </c>
      <c r="AE182">
        <v>0.0039592191466252665</v>
      </c>
      <c r="AF182">
        <v>0.013646670250070068</v>
      </c>
      <c r="AG182">
        <v>0.0035380256203885363</v>
      </c>
      <c r="AH182">
        <v>0</v>
      </c>
      <c r="AI182">
        <v>0.00033695482098938443</v>
      </c>
      <c r="AJ182">
        <v>0</v>
      </c>
      <c r="AK182">
        <v>0.0044646513781093434</v>
      </c>
      <c r="AL182">
        <v>0.0058967093673142276</v>
      </c>
      <c r="AM182">
        <v>0</v>
      </c>
      <c r="AN182">
        <v>8.4238705247346107E-05</v>
      </c>
      <c r="AO182">
        <v>8.4238705247346107E-05</v>
      </c>
      <c r="AP182">
        <v>0</v>
      </c>
      <c r="AQ182">
        <v>0.00058967093673142272</v>
      </c>
      <c r="AR182">
        <v>0.00016847741049469221</v>
      </c>
      <c r="AS182">
        <v>0.00025271611574203829</v>
      </c>
      <c r="AT182">
        <v>0.00016847741049469221</v>
      </c>
      <c r="AU182" t="s">
        <v>111</v>
      </c>
      <c r="BJ182" t="str">
        <f t="shared" si="4"/>
        <v>bus</v>
      </c>
      <c r="BK182" t="str">
        <f t="shared" si="5"/>
        <v>gsl</v>
      </c>
    </row>
    <row r="183" spans="1:63" ht="14.5">
      <c r="A183" t="s">
        <v>118</v>
      </c>
      <c r="B183" t="s">
        <v>62</v>
      </c>
      <c r="C183" t="s">
        <v>102</v>
      </c>
      <c r="D183" t="s">
        <v>111</v>
      </c>
      <c r="E183" t="s">
        <v>111</v>
      </c>
      <c r="F183" t="s">
        <v>111</v>
      </c>
      <c r="G183" t="s">
        <v>83</v>
      </c>
      <c r="H183" t="s">
        <v>111</v>
      </c>
      <c r="I183" t="s">
        <v>111</v>
      </c>
      <c r="J183" t="s">
        <v>111</v>
      </c>
      <c r="K183" t="s">
        <v>111</v>
      </c>
      <c r="L183">
        <v>0</v>
      </c>
      <c r="M183">
        <v>0</v>
      </c>
      <c r="N183">
        <v>0.00058967093673142272</v>
      </c>
      <c r="O183">
        <v>0</v>
      </c>
      <c r="P183">
        <v>8.4238705247346107E-05</v>
      </c>
      <c r="Q183">
        <v>8.4238705247346107E-05</v>
      </c>
      <c r="R183">
        <v>0.0021059676311836525</v>
      </c>
      <c r="S183">
        <v>0.011540702618886416</v>
      </c>
      <c r="T183">
        <v>8.4238705247346107E-05</v>
      </c>
      <c r="U183">
        <v>0.00016847741049469221</v>
      </c>
      <c r="V183">
        <v>8.4238705247346107E-05</v>
      </c>
      <c r="W183">
        <v>0.00016847741049469221</v>
      </c>
      <c r="X183">
        <v>0</v>
      </c>
      <c r="Y183">
        <v>0.00025271611574203829</v>
      </c>
      <c r="Z183">
        <v>0</v>
      </c>
      <c r="AA183">
        <v>0</v>
      </c>
      <c r="AB183">
        <v>0</v>
      </c>
      <c r="AC183">
        <v>8.4238705247346107E-05</v>
      </c>
      <c r="AD183">
        <v>0</v>
      </c>
      <c r="AE183">
        <v>0.0039592191466252665</v>
      </c>
      <c r="AF183">
        <v>0.013646670250070068</v>
      </c>
      <c r="AG183">
        <v>0.0035380256203885363</v>
      </c>
      <c r="AH183">
        <v>0</v>
      </c>
      <c r="AI183">
        <v>0.00033695482098938443</v>
      </c>
      <c r="AJ183">
        <v>0</v>
      </c>
      <c r="AK183">
        <v>0.0044646513781093434</v>
      </c>
      <c r="AL183">
        <v>0.0058967093673142276</v>
      </c>
      <c r="AM183">
        <v>0</v>
      </c>
      <c r="AN183">
        <v>8.4238705247346107E-05</v>
      </c>
      <c r="AO183">
        <v>8.4238705247346107E-05</v>
      </c>
      <c r="AP183">
        <v>0</v>
      </c>
      <c r="AQ183">
        <v>0.00058967093673142272</v>
      </c>
      <c r="AR183">
        <v>0.00016847741049469221</v>
      </c>
      <c r="AS183">
        <v>0.00025271611574203829</v>
      </c>
      <c r="AT183">
        <v>0.00016847741049469221</v>
      </c>
      <c r="AU183" t="s">
        <v>111</v>
      </c>
      <c r="BJ183" t="str">
        <f t="shared" si="4"/>
        <v>bus</v>
      </c>
      <c r="BK183" t="str">
        <f t="shared" si="5"/>
        <v>gsl</v>
      </c>
    </row>
    <row r="184" spans="1:63" ht="14.5">
      <c r="A184" t="s">
        <v>118</v>
      </c>
      <c r="B184" t="s">
        <v>62</v>
      </c>
      <c r="C184" t="s">
        <v>102</v>
      </c>
      <c r="D184" t="s">
        <v>111</v>
      </c>
      <c r="E184" t="s">
        <v>111</v>
      </c>
      <c r="F184" t="s">
        <v>111</v>
      </c>
      <c r="G184" t="s">
        <v>82</v>
      </c>
      <c r="H184" t="s">
        <v>111</v>
      </c>
      <c r="I184" t="s">
        <v>111</v>
      </c>
      <c r="J184" t="s">
        <v>111</v>
      </c>
      <c r="K184" t="s">
        <v>111</v>
      </c>
      <c r="L184">
        <v>0</v>
      </c>
      <c r="M184">
        <v>0</v>
      </c>
      <c r="N184">
        <v>0.00058967093673142272</v>
      </c>
      <c r="O184">
        <v>0</v>
      </c>
      <c r="P184">
        <v>8.4238705247346107E-05</v>
      </c>
      <c r="Q184">
        <v>8.4238705247346107E-05</v>
      </c>
      <c r="R184">
        <v>0.0021059676311836525</v>
      </c>
      <c r="S184">
        <v>0.011540702618886416</v>
      </c>
      <c r="T184">
        <v>8.4238705247346107E-05</v>
      </c>
      <c r="U184">
        <v>0.00016847741049469221</v>
      </c>
      <c r="V184">
        <v>8.4238705247346107E-05</v>
      </c>
      <c r="W184">
        <v>0.00016847741049469221</v>
      </c>
      <c r="X184">
        <v>0</v>
      </c>
      <c r="Y184">
        <v>0.00025271611574203829</v>
      </c>
      <c r="Z184">
        <v>0</v>
      </c>
      <c r="AA184">
        <v>0</v>
      </c>
      <c r="AB184">
        <v>0</v>
      </c>
      <c r="AC184">
        <v>8.4238705247346107E-05</v>
      </c>
      <c r="AD184">
        <v>0</v>
      </c>
      <c r="AE184">
        <v>0.0039592191466252665</v>
      </c>
      <c r="AF184">
        <v>0.013646670250070068</v>
      </c>
      <c r="AG184">
        <v>0.0035380256203885363</v>
      </c>
      <c r="AH184">
        <v>0</v>
      </c>
      <c r="AI184">
        <v>0.00033695482098938443</v>
      </c>
      <c r="AJ184">
        <v>0</v>
      </c>
      <c r="AK184">
        <v>0.0044646513781093434</v>
      </c>
      <c r="AL184">
        <v>0.0058967093673142276</v>
      </c>
      <c r="AM184">
        <v>0</v>
      </c>
      <c r="AN184">
        <v>8.4238705247346107E-05</v>
      </c>
      <c r="AO184">
        <v>8.4238705247346107E-05</v>
      </c>
      <c r="AP184">
        <v>0</v>
      </c>
      <c r="AQ184">
        <v>0.00058967093673142272</v>
      </c>
      <c r="AR184">
        <v>0.00016847741049469221</v>
      </c>
      <c r="AS184">
        <v>0.00025271611574203829</v>
      </c>
      <c r="AT184">
        <v>0.00016847741049469221</v>
      </c>
      <c r="AU184" t="s">
        <v>111</v>
      </c>
      <c r="BJ184" t="str">
        <f t="shared" si="4"/>
        <v>bus</v>
      </c>
      <c r="BK184" t="str">
        <f t="shared" si="5"/>
        <v>gsl</v>
      </c>
    </row>
    <row r="185" spans="1:63" ht="14.5">
      <c r="A185" t="s">
        <v>118</v>
      </c>
      <c r="B185" t="s">
        <v>62</v>
      </c>
      <c r="C185" t="s">
        <v>102</v>
      </c>
      <c r="D185" t="s">
        <v>111</v>
      </c>
      <c r="E185" t="s">
        <v>111</v>
      </c>
      <c r="F185" t="s">
        <v>111</v>
      </c>
      <c r="G185" t="s">
        <v>81</v>
      </c>
      <c r="H185" t="s">
        <v>111</v>
      </c>
      <c r="I185" t="s">
        <v>111</v>
      </c>
      <c r="J185" t="s">
        <v>111</v>
      </c>
      <c r="K185" t="s">
        <v>111</v>
      </c>
      <c r="L185">
        <v>0</v>
      </c>
      <c r="M185">
        <v>0</v>
      </c>
      <c r="N185">
        <v>0.00058967093673142272</v>
      </c>
      <c r="O185">
        <v>0</v>
      </c>
      <c r="P185">
        <v>8.4238705247346107E-05</v>
      </c>
      <c r="Q185">
        <v>8.4238705247346107E-05</v>
      </c>
      <c r="R185">
        <v>0.0021059676311836525</v>
      </c>
      <c r="S185">
        <v>0.011540702618886416</v>
      </c>
      <c r="T185">
        <v>8.4238705247346107E-05</v>
      </c>
      <c r="U185">
        <v>0.00016847741049469221</v>
      </c>
      <c r="V185">
        <v>8.4238705247346107E-05</v>
      </c>
      <c r="W185">
        <v>0.00016847741049469221</v>
      </c>
      <c r="X185">
        <v>0</v>
      </c>
      <c r="Y185">
        <v>0.00025271611574203829</v>
      </c>
      <c r="Z185">
        <v>0</v>
      </c>
      <c r="AA185">
        <v>0</v>
      </c>
      <c r="AB185">
        <v>0</v>
      </c>
      <c r="AC185">
        <v>8.4238705247346107E-05</v>
      </c>
      <c r="AD185">
        <v>0</v>
      </c>
      <c r="AE185">
        <v>0.0039592191466252665</v>
      </c>
      <c r="AF185">
        <v>0.013646670250070068</v>
      </c>
      <c r="AG185">
        <v>0.0035380256203885363</v>
      </c>
      <c r="AH185">
        <v>0</v>
      </c>
      <c r="AI185">
        <v>0.00033695482098938443</v>
      </c>
      <c r="AJ185">
        <v>0</v>
      </c>
      <c r="AK185">
        <v>0.0044646513781093434</v>
      </c>
      <c r="AL185">
        <v>0.0058967093673142276</v>
      </c>
      <c r="AM185">
        <v>0</v>
      </c>
      <c r="AN185">
        <v>8.4238705247346107E-05</v>
      </c>
      <c r="AO185">
        <v>8.4238705247346107E-05</v>
      </c>
      <c r="AP185">
        <v>0</v>
      </c>
      <c r="AQ185">
        <v>0.00058967093673142272</v>
      </c>
      <c r="AR185">
        <v>0.00016847741049469221</v>
      </c>
      <c r="AS185">
        <v>0.00025271611574203829</v>
      </c>
      <c r="AT185">
        <v>0.00016847741049469221</v>
      </c>
      <c r="AU185" t="s">
        <v>111</v>
      </c>
      <c r="BJ185" t="str">
        <f t="shared" si="4"/>
        <v>bus</v>
      </c>
      <c r="BK185" t="str">
        <f t="shared" si="5"/>
        <v>gsl</v>
      </c>
    </row>
    <row r="186" spans="1:63" ht="14.5">
      <c r="A186" t="s">
        <v>118</v>
      </c>
      <c r="B186" t="s">
        <v>62</v>
      </c>
      <c r="C186" t="s">
        <v>102</v>
      </c>
      <c r="D186" t="s">
        <v>111</v>
      </c>
      <c r="E186" t="s">
        <v>111</v>
      </c>
      <c r="F186" t="s">
        <v>111</v>
      </c>
      <c r="G186" t="s">
        <v>80</v>
      </c>
      <c r="H186" t="s">
        <v>111</v>
      </c>
      <c r="I186" t="s">
        <v>111</v>
      </c>
      <c r="J186" t="s">
        <v>111</v>
      </c>
      <c r="K186" t="s">
        <v>111</v>
      </c>
      <c r="L186">
        <v>0</v>
      </c>
      <c r="M186">
        <v>0</v>
      </c>
      <c r="N186">
        <v>0.00058967093673142272</v>
      </c>
      <c r="O186">
        <v>0</v>
      </c>
      <c r="P186">
        <v>8.4238705247346107E-05</v>
      </c>
      <c r="Q186">
        <v>8.4238705247346107E-05</v>
      </c>
      <c r="R186">
        <v>0.0021059676311836525</v>
      </c>
      <c r="S186">
        <v>0.011540702618886416</v>
      </c>
      <c r="T186">
        <v>8.4238705247346107E-05</v>
      </c>
      <c r="U186">
        <v>0.00016847741049469221</v>
      </c>
      <c r="V186">
        <v>8.4238705247346107E-05</v>
      </c>
      <c r="W186">
        <v>0.00016847741049469221</v>
      </c>
      <c r="X186">
        <v>0</v>
      </c>
      <c r="Y186">
        <v>0.00025271611574203829</v>
      </c>
      <c r="Z186">
        <v>0</v>
      </c>
      <c r="AA186">
        <v>0</v>
      </c>
      <c r="AB186">
        <v>0</v>
      </c>
      <c r="AC186">
        <v>8.4238705247346107E-05</v>
      </c>
      <c r="AD186">
        <v>0</v>
      </c>
      <c r="AE186">
        <v>0.0039592191466252665</v>
      </c>
      <c r="AF186">
        <v>0.013646670250070068</v>
      </c>
      <c r="AG186">
        <v>0.0035380256203885363</v>
      </c>
      <c r="AH186">
        <v>0</v>
      </c>
      <c r="AI186">
        <v>0.00033695482098938443</v>
      </c>
      <c r="AJ186">
        <v>0</v>
      </c>
      <c r="AK186">
        <v>0.0044646513781093434</v>
      </c>
      <c r="AL186">
        <v>0.0058967093673142276</v>
      </c>
      <c r="AM186">
        <v>0</v>
      </c>
      <c r="AN186">
        <v>8.4238705247346107E-05</v>
      </c>
      <c r="AO186">
        <v>8.4238705247346107E-05</v>
      </c>
      <c r="AP186">
        <v>0</v>
      </c>
      <c r="AQ186">
        <v>0.00058967093673142272</v>
      </c>
      <c r="AR186">
        <v>0.00016847741049469221</v>
      </c>
      <c r="AS186">
        <v>0.00025271611574203829</v>
      </c>
      <c r="AT186">
        <v>0.00016847741049469221</v>
      </c>
      <c r="AU186" t="s">
        <v>111</v>
      </c>
      <c r="BJ186" t="str">
        <f t="shared" si="4"/>
        <v>bus</v>
      </c>
      <c r="BK186" t="str">
        <f t="shared" si="5"/>
        <v>gsl</v>
      </c>
    </row>
    <row r="187" spans="1:63" ht="14.5">
      <c r="A187" t="s">
        <v>118</v>
      </c>
      <c r="B187" t="s">
        <v>62</v>
      </c>
      <c r="C187" t="s">
        <v>102</v>
      </c>
      <c r="D187" t="s">
        <v>111</v>
      </c>
      <c r="E187" t="s">
        <v>111</v>
      </c>
      <c r="F187" t="s">
        <v>111</v>
      </c>
      <c r="G187" t="s">
        <v>79</v>
      </c>
      <c r="H187" t="s">
        <v>111</v>
      </c>
      <c r="I187" t="s">
        <v>111</v>
      </c>
      <c r="J187" t="s">
        <v>111</v>
      </c>
      <c r="K187" t="s">
        <v>111</v>
      </c>
      <c r="L187">
        <v>0</v>
      </c>
      <c r="M187">
        <v>0</v>
      </c>
      <c r="N187">
        <v>0.00058967093673142272</v>
      </c>
      <c r="O187">
        <v>0</v>
      </c>
      <c r="P187">
        <v>8.4238705247346107E-05</v>
      </c>
      <c r="Q187">
        <v>8.4238705247346107E-05</v>
      </c>
      <c r="R187">
        <v>0.0021059676311836525</v>
      </c>
      <c r="S187">
        <v>0.011540702618886416</v>
      </c>
      <c r="T187">
        <v>8.4238705247346107E-05</v>
      </c>
      <c r="U187">
        <v>0.00016847741049469221</v>
      </c>
      <c r="V187">
        <v>8.4238705247346107E-05</v>
      </c>
      <c r="W187">
        <v>0.00016847741049469221</v>
      </c>
      <c r="X187">
        <v>0</v>
      </c>
      <c r="Y187">
        <v>0.00025271611574203829</v>
      </c>
      <c r="Z187">
        <v>0</v>
      </c>
      <c r="AA187">
        <v>0</v>
      </c>
      <c r="AB187">
        <v>0</v>
      </c>
      <c r="AC187">
        <v>8.4238705247346107E-05</v>
      </c>
      <c r="AD187">
        <v>0</v>
      </c>
      <c r="AE187">
        <v>0.0039592191466252665</v>
      </c>
      <c r="AF187">
        <v>0.013646670250070068</v>
      </c>
      <c r="AG187">
        <v>0.0035380256203885363</v>
      </c>
      <c r="AH187">
        <v>0</v>
      </c>
      <c r="AI187">
        <v>0.00033695482098938443</v>
      </c>
      <c r="AJ187">
        <v>0</v>
      </c>
      <c r="AK187">
        <v>0.0044646513781093434</v>
      </c>
      <c r="AL187">
        <v>0.0058967093673142276</v>
      </c>
      <c r="AM187">
        <v>0</v>
      </c>
      <c r="AN187">
        <v>8.4238705247346107E-05</v>
      </c>
      <c r="AO187">
        <v>8.4238705247346107E-05</v>
      </c>
      <c r="AP187">
        <v>0</v>
      </c>
      <c r="AQ187">
        <v>0.00058967093673142272</v>
      </c>
      <c r="AR187">
        <v>0.00016847741049469221</v>
      </c>
      <c r="AS187">
        <v>0.00025271611574203829</v>
      </c>
      <c r="AT187">
        <v>0.00016847741049469221</v>
      </c>
      <c r="AU187" t="s">
        <v>111</v>
      </c>
      <c r="BJ187" t="str">
        <f t="shared" si="4"/>
        <v>bus</v>
      </c>
      <c r="BK187" t="str">
        <f t="shared" si="5"/>
        <v>gsl</v>
      </c>
    </row>
    <row r="188" spans="1:63" ht="14.5">
      <c r="A188" t="s">
        <v>118</v>
      </c>
      <c r="B188" t="s">
        <v>62</v>
      </c>
      <c r="C188" t="s">
        <v>102</v>
      </c>
      <c r="D188" t="s">
        <v>111</v>
      </c>
      <c r="E188" t="s">
        <v>111</v>
      </c>
      <c r="F188" t="s">
        <v>111</v>
      </c>
      <c r="G188" t="s">
        <v>78</v>
      </c>
      <c r="H188" t="s">
        <v>111</v>
      </c>
      <c r="I188" t="s">
        <v>111</v>
      </c>
      <c r="J188" t="s">
        <v>111</v>
      </c>
      <c r="K188" t="s">
        <v>111</v>
      </c>
      <c r="L188">
        <v>0</v>
      </c>
      <c r="M188">
        <v>0</v>
      </c>
      <c r="N188">
        <v>0.00058967093673142272</v>
      </c>
      <c r="O188">
        <v>0</v>
      </c>
      <c r="P188">
        <v>8.4238705247346107E-05</v>
      </c>
      <c r="Q188">
        <v>8.4238705247346107E-05</v>
      </c>
      <c r="R188">
        <v>0.0021059676311836525</v>
      </c>
      <c r="S188">
        <v>0.011540702618886416</v>
      </c>
      <c r="T188">
        <v>8.4238705247346107E-05</v>
      </c>
      <c r="U188">
        <v>0.00016847741049469221</v>
      </c>
      <c r="V188">
        <v>8.4238705247346107E-05</v>
      </c>
      <c r="W188">
        <v>0.00016847741049469221</v>
      </c>
      <c r="X188">
        <v>0</v>
      </c>
      <c r="Y188">
        <v>0.00025271611574203829</v>
      </c>
      <c r="Z188">
        <v>0</v>
      </c>
      <c r="AA188">
        <v>0</v>
      </c>
      <c r="AB188">
        <v>0</v>
      </c>
      <c r="AC188">
        <v>8.4238705247346107E-05</v>
      </c>
      <c r="AD188">
        <v>0</v>
      </c>
      <c r="AE188">
        <v>0.0039592191466252665</v>
      </c>
      <c r="AF188">
        <v>0.013646670250070068</v>
      </c>
      <c r="AG188">
        <v>0.0035380256203885363</v>
      </c>
      <c r="AH188">
        <v>0</v>
      </c>
      <c r="AI188">
        <v>0.00033695482098938443</v>
      </c>
      <c r="AJ188">
        <v>0</v>
      </c>
      <c r="AK188">
        <v>0.0044646513781093434</v>
      </c>
      <c r="AL188">
        <v>0.0058967093673142276</v>
      </c>
      <c r="AM188">
        <v>0</v>
      </c>
      <c r="AN188">
        <v>8.4238705247346107E-05</v>
      </c>
      <c r="AO188">
        <v>8.4238705247346107E-05</v>
      </c>
      <c r="AP188">
        <v>0</v>
      </c>
      <c r="AQ188">
        <v>0.00058967093673142272</v>
      </c>
      <c r="AR188">
        <v>0.00016847741049469221</v>
      </c>
      <c r="AS188">
        <v>0.00025271611574203829</v>
      </c>
      <c r="AT188">
        <v>0.00016847741049469221</v>
      </c>
      <c r="AU188" t="s">
        <v>111</v>
      </c>
      <c r="BJ188" t="str">
        <f t="shared" si="4"/>
        <v>bus</v>
      </c>
      <c r="BK188" t="str">
        <f t="shared" si="5"/>
        <v>gsl</v>
      </c>
    </row>
    <row r="189" spans="1:63" ht="14.5">
      <c r="A189" t="s">
        <v>118</v>
      </c>
      <c r="B189" t="s">
        <v>62</v>
      </c>
      <c r="C189" t="s">
        <v>102</v>
      </c>
      <c r="D189" t="s">
        <v>111</v>
      </c>
      <c r="E189" t="s">
        <v>111</v>
      </c>
      <c r="F189" t="s">
        <v>111</v>
      </c>
      <c r="G189" t="s">
        <v>77</v>
      </c>
      <c r="H189" t="s">
        <v>111</v>
      </c>
      <c r="I189" t="s">
        <v>111</v>
      </c>
      <c r="J189" t="s">
        <v>111</v>
      </c>
      <c r="K189" t="s">
        <v>111</v>
      </c>
      <c r="L189">
        <v>0</v>
      </c>
      <c r="M189">
        <v>0</v>
      </c>
      <c r="N189">
        <v>0.00058967093673142272</v>
      </c>
      <c r="O189">
        <v>0</v>
      </c>
      <c r="P189">
        <v>8.4238705247346107E-05</v>
      </c>
      <c r="Q189">
        <v>8.4238705247346107E-05</v>
      </c>
      <c r="R189">
        <v>0.0021059676311836525</v>
      </c>
      <c r="S189">
        <v>0.011540702618886416</v>
      </c>
      <c r="T189">
        <v>8.4238705247346107E-05</v>
      </c>
      <c r="U189">
        <v>0.00016847741049469221</v>
      </c>
      <c r="V189">
        <v>8.4238705247346107E-05</v>
      </c>
      <c r="W189">
        <v>0.00016847741049469221</v>
      </c>
      <c r="X189">
        <v>0</v>
      </c>
      <c r="Y189">
        <v>0.00025271611574203829</v>
      </c>
      <c r="Z189">
        <v>0</v>
      </c>
      <c r="AA189">
        <v>0</v>
      </c>
      <c r="AB189">
        <v>0</v>
      </c>
      <c r="AC189">
        <v>8.4238705247346107E-05</v>
      </c>
      <c r="AD189">
        <v>0</v>
      </c>
      <c r="AE189">
        <v>0.0039592191466252665</v>
      </c>
      <c r="AF189">
        <v>0.013646670250070068</v>
      </c>
      <c r="AG189">
        <v>0.0035380256203885363</v>
      </c>
      <c r="AH189">
        <v>0</v>
      </c>
      <c r="AI189">
        <v>0.00033695482098938443</v>
      </c>
      <c r="AJ189">
        <v>0</v>
      </c>
      <c r="AK189">
        <v>0.0044646513781093434</v>
      </c>
      <c r="AL189">
        <v>0.0058967093673142276</v>
      </c>
      <c r="AM189">
        <v>0</v>
      </c>
      <c r="AN189">
        <v>8.4238705247346107E-05</v>
      </c>
      <c r="AO189">
        <v>8.4238705247346107E-05</v>
      </c>
      <c r="AP189">
        <v>0</v>
      </c>
      <c r="AQ189">
        <v>0.00058967093673142272</v>
      </c>
      <c r="AR189">
        <v>0.00016847741049469221</v>
      </c>
      <c r="AS189">
        <v>0.00025271611574203829</v>
      </c>
      <c r="AT189">
        <v>0.00016847741049469221</v>
      </c>
      <c r="AU189" t="s">
        <v>111</v>
      </c>
      <c r="BJ189" t="str">
        <f t="shared" si="4"/>
        <v>bus</v>
      </c>
      <c r="BK189" t="str">
        <f t="shared" si="5"/>
        <v>gsl</v>
      </c>
    </row>
    <row r="190" spans="1:63" ht="14.5">
      <c r="A190" t="s">
        <v>118</v>
      </c>
      <c r="B190" t="s">
        <v>62</v>
      </c>
      <c r="C190" t="s">
        <v>102</v>
      </c>
      <c r="D190" t="s">
        <v>111</v>
      </c>
      <c r="E190" t="s">
        <v>111</v>
      </c>
      <c r="F190" t="s">
        <v>111</v>
      </c>
      <c r="G190" t="s">
        <v>76</v>
      </c>
      <c r="H190" t="s">
        <v>111</v>
      </c>
      <c r="I190" t="s">
        <v>111</v>
      </c>
      <c r="J190" t="s">
        <v>111</v>
      </c>
      <c r="K190" t="s">
        <v>111</v>
      </c>
      <c r="L190">
        <v>0</v>
      </c>
      <c r="M190">
        <v>0</v>
      </c>
      <c r="N190">
        <v>0.00058967093673142272</v>
      </c>
      <c r="O190">
        <v>0</v>
      </c>
      <c r="P190">
        <v>8.4238705247346107E-05</v>
      </c>
      <c r="Q190">
        <v>8.4238705247346107E-05</v>
      </c>
      <c r="R190">
        <v>0.0021059676311836525</v>
      </c>
      <c r="S190">
        <v>0.011540702618886416</v>
      </c>
      <c r="T190">
        <v>8.4238705247346107E-05</v>
      </c>
      <c r="U190">
        <v>0.00016847741049469221</v>
      </c>
      <c r="V190">
        <v>8.4238705247346107E-05</v>
      </c>
      <c r="W190">
        <v>0.00016847741049469221</v>
      </c>
      <c r="X190">
        <v>0</v>
      </c>
      <c r="Y190">
        <v>0.00025271611574203829</v>
      </c>
      <c r="Z190">
        <v>0</v>
      </c>
      <c r="AA190">
        <v>0</v>
      </c>
      <c r="AB190">
        <v>0</v>
      </c>
      <c r="AC190">
        <v>8.4238705247346107E-05</v>
      </c>
      <c r="AD190">
        <v>0</v>
      </c>
      <c r="AE190">
        <v>0.0039592191466252665</v>
      </c>
      <c r="AF190">
        <v>0.013646670250070068</v>
      </c>
      <c r="AG190">
        <v>0.0035380256203885363</v>
      </c>
      <c r="AH190">
        <v>0</v>
      </c>
      <c r="AI190">
        <v>0.00033695482098938443</v>
      </c>
      <c r="AJ190">
        <v>0</v>
      </c>
      <c r="AK190">
        <v>0.0044646513781093434</v>
      </c>
      <c r="AL190">
        <v>0.0058967093673142276</v>
      </c>
      <c r="AM190">
        <v>0</v>
      </c>
      <c r="AN190">
        <v>8.4238705247346107E-05</v>
      </c>
      <c r="AO190">
        <v>8.4238705247346107E-05</v>
      </c>
      <c r="AP190">
        <v>0</v>
      </c>
      <c r="AQ190">
        <v>0.00058967093673142272</v>
      </c>
      <c r="AR190">
        <v>0.00016847741049469221</v>
      </c>
      <c r="AS190">
        <v>0.00025271611574203829</v>
      </c>
      <c r="AT190">
        <v>0.00016847741049469221</v>
      </c>
      <c r="AU190" t="s">
        <v>111</v>
      </c>
      <c r="BJ190" t="str">
        <f t="shared" si="4"/>
        <v>bus</v>
      </c>
      <c r="BK190" t="str">
        <f t="shared" si="5"/>
        <v>gsl</v>
      </c>
    </row>
    <row r="191" spans="1:63" ht="14.5">
      <c r="A191" t="s">
        <v>118</v>
      </c>
      <c r="B191" t="s">
        <v>62</v>
      </c>
      <c r="C191" t="s">
        <v>102</v>
      </c>
      <c r="D191" t="s">
        <v>111</v>
      </c>
      <c r="E191" t="s">
        <v>111</v>
      </c>
      <c r="F191" t="s">
        <v>111</v>
      </c>
      <c r="G191" t="s">
        <v>75</v>
      </c>
      <c r="H191" t="s">
        <v>111</v>
      </c>
      <c r="I191" t="s">
        <v>111</v>
      </c>
      <c r="J191" t="s">
        <v>111</v>
      </c>
      <c r="K191" t="s">
        <v>111</v>
      </c>
      <c r="L191">
        <v>0</v>
      </c>
      <c r="M191">
        <v>0</v>
      </c>
      <c r="N191">
        <v>0.00058967093673142272</v>
      </c>
      <c r="O191">
        <v>0</v>
      </c>
      <c r="P191">
        <v>8.4238705247346107E-05</v>
      </c>
      <c r="Q191">
        <v>8.4238705247346107E-05</v>
      </c>
      <c r="R191">
        <v>0.0021059676311836525</v>
      </c>
      <c r="S191">
        <v>0.011540702618886416</v>
      </c>
      <c r="T191">
        <v>8.4238705247346107E-05</v>
      </c>
      <c r="U191">
        <v>0.00016847741049469221</v>
      </c>
      <c r="V191">
        <v>8.4238705247346107E-05</v>
      </c>
      <c r="W191">
        <v>0.00016847741049469221</v>
      </c>
      <c r="X191">
        <v>0</v>
      </c>
      <c r="Y191">
        <v>0.00025271611574203829</v>
      </c>
      <c r="Z191">
        <v>0</v>
      </c>
      <c r="AA191">
        <v>0</v>
      </c>
      <c r="AB191">
        <v>0</v>
      </c>
      <c r="AC191">
        <v>8.4238705247346107E-05</v>
      </c>
      <c r="AD191">
        <v>0</v>
      </c>
      <c r="AE191">
        <v>0.0039592191466252665</v>
      </c>
      <c r="AF191">
        <v>0.013646670250070068</v>
      </c>
      <c r="AG191">
        <v>0.0035380256203885363</v>
      </c>
      <c r="AH191">
        <v>0</v>
      </c>
      <c r="AI191">
        <v>0.00033695482098938443</v>
      </c>
      <c r="AJ191">
        <v>0</v>
      </c>
      <c r="AK191">
        <v>0.0044646513781093434</v>
      </c>
      <c r="AL191">
        <v>0.0058967093673142276</v>
      </c>
      <c r="AM191">
        <v>0</v>
      </c>
      <c r="AN191">
        <v>8.4238705247346107E-05</v>
      </c>
      <c r="AO191">
        <v>8.4238705247346107E-05</v>
      </c>
      <c r="AP191">
        <v>0</v>
      </c>
      <c r="AQ191">
        <v>0.00058967093673142272</v>
      </c>
      <c r="AR191">
        <v>0.00016847741049469221</v>
      </c>
      <c r="AS191">
        <v>0.00025271611574203829</v>
      </c>
      <c r="AT191">
        <v>0.00016847741049469221</v>
      </c>
      <c r="AU191" t="s">
        <v>111</v>
      </c>
      <c r="BJ191" t="str">
        <f t="shared" si="4"/>
        <v>bus</v>
      </c>
      <c r="BK191" t="str">
        <f t="shared" si="5"/>
        <v>gsl</v>
      </c>
    </row>
    <row r="192" spans="1:63" ht="14.5">
      <c r="A192" t="s">
        <v>118</v>
      </c>
      <c r="B192" t="s">
        <v>62</v>
      </c>
      <c r="C192" t="s">
        <v>102</v>
      </c>
      <c r="D192" t="s">
        <v>111</v>
      </c>
      <c r="E192" t="s">
        <v>111</v>
      </c>
      <c r="F192" t="s">
        <v>111</v>
      </c>
      <c r="G192" t="s">
        <v>74</v>
      </c>
      <c r="H192" t="s">
        <v>111</v>
      </c>
      <c r="I192" t="s">
        <v>111</v>
      </c>
      <c r="J192" t="s">
        <v>111</v>
      </c>
      <c r="K192" t="s">
        <v>111</v>
      </c>
      <c r="L192">
        <v>0</v>
      </c>
      <c r="M192">
        <v>0</v>
      </c>
      <c r="N192">
        <v>0.00058967093673142272</v>
      </c>
      <c r="O192">
        <v>0</v>
      </c>
      <c r="P192">
        <v>8.4238705247346107E-05</v>
      </c>
      <c r="Q192">
        <v>8.4238705247346107E-05</v>
      </c>
      <c r="R192">
        <v>0.0021059676311836525</v>
      </c>
      <c r="S192">
        <v>0.011540702618886416</v>
      </c>
      <c r="T192">
        <v>8.4238705247346107E-05</v>
      </c>
      <c r="U192">
        <v>0.00016847741049469221</v>
      </c>
      <c r="V192">
        <v>8.4238705247346107E-05</v>
      </c>
      <c r="W192">
        <v>0.00016847741049469221</v>
      </c>
      <c r="X192">
        <v>0</v>
      </c>
      <c r="Y192">
        <v>0.00025271611574203829</v>
      </c>
      <c r="Z192">
        <v>0</v>
      </c>
      <c r="AA192">
        <v>0</v>
      </c>
      <c r="AB192">
        <v>0</v>
      </c>
      <c r="AC192">
        <v>8.4238705247346107E-05</v>
      </c>
      <c r="AD192">
        <v>0</v>
      </c>
      <c r="AE192">
        <v>0.0039592191466252665</v>
      </c>
      <c r="AF192">
        <v>0.013646670250070068</v>
      </c>
      <c r="AG192">
        <v>0.0035380256203885363</v>
      </c>
      <c r="AH192">
        <v>0</v>
      </c>
      <c r="AI192">
        <v>0.00033695482098938443</v>
      </c>
      <c r="AJ192">
        <v>0</v>
      </c>
      <c r="AK192">
        <v>0.0044646513781093434</v>
      </c>
      <c r="AL192">
        <v>0.0058967093673142276</v>
      </c>
      <c r="AM192">
        <v>0</v>
      </c>
      <c r="AN192">
        <v>8.4238705247346107E-05</v>
      </c>
      <c r="AO192">
        <v>8.4238705247346107E-05</v>
      </c>
      <c r="AP192">
        <v>0</v>
      </c>
      <c r="AQ192">
        <v>0.00058967093673142272</v>
      </c>
      <c r="AR192">
        <v>0.00016847741049469221</v>
      </c>
      <c r="AS192">
        <v>0.00025271611574203829</v>
      </c>
      <c r="AT192">
        <v>0.00016847741049469221</v>
      </c>
      <c r="AU192" t="s">
        <v>111</v>
      </c>
      <c r="BJ192" t="str">
        <f t="shared" si="4"/>
        <v>bus</v>
      </c>
      <c r="BK192" t="str">
        <f t="shared" si="5"/>
        <v>gsl</v>
      </c>
    </row>
    <row r="193" spans="1:63" ht="14.5">
      <c r="A193" t="s">
        <v>118</v>
      </c>
      <c r="B193" t="s">
        <v>62</v>
      </c>
      <c r="C193" t="s">
        <v>102</v>
      </c>
      <c r="D193" t="s">
        <v>111</v>
      </c>
      <c r="E193" t="s">
        <v>111</v>
      </c>
      <c r="F193" t="s">
        <v>111</v>
      </c>
      <c r="G193" t="s">
        <v>73</v>
      </c>
      <c r="H193" t="s">
        <v>111</v>
      </c>
      <c r="I193" t="s">
        <v>111</v>
      </c>
      <c r="J193" t="s">
        <v>111</v>
      </c>
      <c r="K193" t="s">
        <v>111</v>
      </c>
      <c r="L193">
        <v>0</v>
      </c>
      <c r="M193">
        <v>0</v>
      </c>
      <c r="N193">
        <v>0.00058967093673142272</v>
      </c>
      <c r="O193">
        <v>0</v>
      </c>
      <c r="P193">
        <v>8.4238705247346107E-05</v>
      </c>
      <c r="Q193">
        <v>8.4238705247346107E-05</v>
      </c>
      <c r="R193">
        <v>0.0021059676311836525</v>
      </c>
      <c r="S193">
        <v>0.011540702618886416</v>
      </c>
      <c r="T193">
        <v>8.4238705247346107E-05</v>
      </c>
      <c r="U193">
        <v>0.00016847741049469221</v>
      </c>
      <c r="V193">
        <v>8.4238705247346107E-05</v>
      </c>
      <c r="W193">
        <v>0.00016847741049469221</v>
      </c>
      <c r="X193">
        <v>0</v>
      </c>
      <c r="Y193">
        <v>0.00025271611574203829</v>
      </c>
      <c r="Z193">
        <v>0</v>
      </c>
      <c r="AA193">
        <v>0</v>
      </c>
      <c r="AB193">
        <v>0</v>
      </c>
      <c r="AC193">
        <v>8.4238705247346107E-05</v>
      </c>
      <c r="AD193">
        <v>0</v>
      </c>
      <c r="AE193">
        <v>0.0039592191466252665</v>
      </c>
      <c r="AF193">
        <v>0.013646670250070068</v>
      </c>
      <c r="AG193">
        <v>0.0035380256203885363</v>
      </c>
      <c r="AH193">
        <v>0</v>
      </c>
      <c r="AI193">
        <v>0.00033695482098938443</v>
      </c>
      <c r="AJ193">
        <v>0</v>
      </c>
      <c r="AK193">
        <v>0.0044646513781093434</v>
      </c>
      <c r="AL193">
        <v>0.0058967093673142276</v>
      </c>
      <c r="AM193">
        <v>0</v>
      </c>
      <c r="AN193">
        <v>8.4238705247346107E-05</v>
      </c>
      <c r="AO193">
        <v>8.4238705247346107E-05</v>
      </c>
      <c r="AP193">
        <v>0</v>
      </c>
      <c r="AQ193">
        <v>0.00058967093673142272</v>
      </c>
      <c r="AR193">
        <v>0.00016847741049469221</v>
      </c>
      <c r="AS193">
        <v>0.00025271611574203829</v>
      </c>
      <c r="AT193">
        <v>0.00016847741049469221</v>
      </c>
      <c r="AU193" t="s">
        <v>111</v>
      </c>
      <c r="BJ193" t="str">
        <f t="shared" si="4"/>
        <v>bus</v>
      </c>
      <c r="BK193" t="str">
        <f t="shared" si="5"/>
        <v>gsl</v>
      </c>
    </row>
    <row r="194" spans="1:63" ht="14.5">
      <c r="A194" t="s">
        <v>118</v>
      </c>
      <c r="B194" t="s">
        <v>62</v>
      </c>
      <c r="C194" t="s">
        <v>102</v>
      </c>
      <c r="D194" t="s">
        <v>111</v>
      </c>
      <c r="E194" t="s">
        <v>111</v>
      </c>
      <c r="F194" t="s">
        <v>111</v>
      </c>
      <c r="G194" t="s">
        <v>72</v>
      </c>
      <c r="H194" t="s">
        <v>111</v>
      </c>
      <c r="I194" t="s">
        <v>111</v>
      </c>
      <c r="J194" t="s">
        <v>111</v>
      </c>
      <c r="K194" t="s">
        <v>111</v>
      </c>
      <c r="L194">
        <v>0</v>
      </c>
      <c r="M194">
        <v>0</v>
      </c>
      <c r="N194">
        <v>0.00058967093673142272</v>
      </c>
      <c r="O194">
        <v>0</v>
      </c>
      <c r="P194">
        <v>8.4238705247346107E-05</v>
      </c>
      <c r="Q194">
        <v>8.4238705247346107E-05</v>
      </c>
      <c r="R194">
        <v>0.0021059676311836525</v>
      </c>
      <c r="S194">
        <v>0.011540702618886416</v>
      </c>
      <c r="T194">
        <v>8.4238705247346107E-05</v>
      </c>
      <c r="U194">
        <v>0.00016847741049469221</v>
      </c>
      <c r="V194">
        <v>8.4238705247346107E-05</v>
      </c>
      <c r="W194">
        <v>0.00016847741049469221</v>
      </c>
      <c r="X194">
        <v>0</v>
      </c>
      <c r="Y194">
        <v>0.00025271611574203829</v>
      </c>
      <c r="Z194">
        <v>0</v>
      </c>
      <c r="AA194">
        <v>0</v>
      </c>
      <c r="AB194">
        <v>0</v>
      </c>
      <c r="AC194">
        <v>8.4238705247346107E-05</v>
      </c>
      <c r="AD194">
        <v>0</v>
      </c>
      <c r="AE194">
        <v>0.0039592191466252665</v>
      </c>
      <c r="AF194">
        <v>0.013646670250070068</v>
      </c>
      <c r="AG194">
        <v>0.0035380256203885363</v>
      </c>
      <c r="AH194">
        <v>0</v>
      </c>
      <c r="AI194">
        <v>0.00033695482098938443</v>
      </c>
      <c r="AJ194">
        <v>0</v>
      </c>
      <c r="AK194">
        <v>0.0044646513781093434</v>
      </c>
      <c r="AL194">
        <v>0.0058967093673142276</v>
      </c>
      <c r="AM194">
        <v>0</v>
      </c>
      <c r="AN194">
        <v>8.4238705247346107E-05</v>
      </c>
      <c r="AO194">
        <v>8.4238705247346107E-05</v>
      </c>
      <c r="AP194">
        <v>0</v>
      </c>
      <c r="AQ194">
        <v>0.00058967093673142272</v>
      </c>
      <c r="AR194">
        <v>0.00016847741049469221</v>
      </c>
      <c r="AS194">
        <v>0.00025271611574203829</v>
      </c>
      <c r="AT194">
        <v>0.00016847741049469221</v>
      </c>
      <c r="AU194" t="s">
        <v>111</v>
      </c>
      <c r="BJ194" t="str">
        <f t="shared" si="4"/>
        <v>bus</v>
      </c>
      <c r="BK194" t="str">
        <f t="shared" si="5"/>
        <v>gsl</v>
      </c>
    </row>
    <row r="195" spans="1:63" ht="14.5">
      <c r="A195" t="s">
        <v>118</v>
      </c>
      <c r="B195" t="s">
        <v>62</v>
      </c>
      <c r="C195" t="s">
        <v>102</v>
      </c>
      <c r="D195" t="s">
        <v>111</v>
      </c>
      <c r="E195" t="s">
        <v>111</v>
      </c>
      <c r="F195" t="s">
        <v>111</v>
      </c>
      <c r="G195" t="s">
        <v>71</v>
      </c>
      <c r="H195" t="s">
        <v>111</v>
      </c>
      <c r="I195" t="s">
        <v>111</v>
      </c>
      <c r="J195" t="s">
        <v>111</v>
      </c>
      <c r="K195" t="s">
        <v>111</v>
      </c>
      <c r="L195">
        <v>0</v>
      </c>
      <c r="M195">
        <v>0</v>
      </c>
      <c r="N195">
        <v>0.00058967093673142272</v>
      </c>
      <c r="O195">
        <v>0</v>
      </c>
      <c r="P195">
        <v>8.4238705247346107E-05</v>
      </c>
      <c r="Q195">
        <v>8.4238705247346107E-05</v>
      </c>
      <c r="R195">
        <v>0.0021059676311836525</v>
      </c>
      <c r="S195">
        <v>0.011540702618886416</v>
      </c>
      <c r="T195">
        <v>8.4238705247346107E-05</v>
      </c>
      <c r="U195">
        <v>0.00016847741049469221</v>
      </c>
      <c r="V195">
        <v>8.4238705247346107E-05</v>
      </c>
      <c r="W195">
        <v>0.00016847741049469221</v>
      </c>
      <c r="X195">
        <v>0</v>
      </c>
      <c r="Y195">
        <v>0.00025271611574203829</v>
      </c>
      <c r="Z195">
        <v>0</v>
      </c>
      <c r="AA195">
        <v>0</v>
      </c>
      <c r="AB195">
        <v>0</v>
      </c>
      <c r="AC195">
        <v>8.4238705247346107E-05</v>
      </c>
      <c r="AD195">
        <v>0</v>
      </c>
      <c r="AE195">
        <v>0.0039592191466252665</v>
      </c>
      <c r="AF195">
        <v>0.013646670250070068</v>
      </c>
      <c r="AG195">
        <v>0.0035380256203885363</v>
      </c>
      <c r="AH195">
        <v>0</v>
      </c>
      <c r="AI195">
        <v>0.00033695482098938443</v>
      </c>
      <c r="AJ195">
        <v>0</v>
      </c>
      <c r="AK195">
        <v>0.0044646513781093434</v>
      </c>
      <c r="AL195">
        <v>0.0058967093673142276</v>
      </c>
      <c r="AM195">
        <v>0</v>
      </c>
      <c r="AN195">
        <v>8.4238705247346107E-05</v>
      </c>
      <c r="AO195">
        <v>8.4238705247346107E-05</v>
      </c>
      <c r="AP195">
        <v>0</v>
      </c>
      <c r="AQ195">
        <v>0.00058967093673142272</v>
      </c>
      <c r="AR195">
        <v>0.00016847741049469221</v>
      </c>
      <c r="AS195">
        <v>0.00025271611574203829</v>
      </c>
      <c r="AT195">
        <v>0.00016847741049469221</v>
      </c>
      <c r="AU195" t="s">
        <v>111</v>
      </c>
      <c r="BJ195" t="str">
        <f t="shared" si="6" ref="BJ195:BJ258">MID(C195,5,3)</f>
        <v>bus</v>
      </c>
      <c r="BK195" t="str">
        <f t="shared" si="7" ref="BK195:BK258">RIGHT(C195,3)</f>
        <v>gsl</v>
      </c>
    </row>
    <row r="196" spans="1:63" ht="14.5">
      <c r="A196" t="s">
        <v>118</v>
      </c>
      <c r="B196" t="s">
        <v>62</v>
      </c>
      <c r="C196" t="s">
        <v>102</v>
      </c>
      <c r="D196" t="s">
        <v>111</v>
      </c>
      <c r="E196" t="s">
        <v>111</v>
      </c>
      <c r="F196" t="s">
        <v>111</v>
      </c>
      <c r="G196" t="s">
        <v>70</v>
      </c>
      <c r="H196" t="s">
        <v>111</v>
      </c>
      <c r="I196" t="s">
        <v>111</v>
      </c>
      <c r="J196" t="s">
        <v>111</v>
      </c>
      <c r="K196" t="s">
        <v>111</v>
      </c>
      <c r="L196">
        <v>0</v>
      </c>
      <c r="M196">
        <v>0</v>
      </c>
      <c r="N196">
        <v>0.00058967093673142272</v>
      </c>
      <c r="O196">
        <v>0</v>
      </c>
      <c r="P196">
        <v>8.4238705247346107E-05</v>
      </c>
      <c r="Q196">
        <v>8.4238705247346107E-05</v>
      </c>
      <c r="R196">
        <v>0.0021059676311836525</v>
      </c>
      <c r="S196">
        <v>0.011540702618886416</v>
      </c>
      <c r="T196">
        <v>8.4238705247346107E-05</v>
      </c>
      <c r="U196">
        <v>0.00016847741049469221</v>
      </c>
      <c r="V196">
        <v>8.4238705247346107E-05</v>
      </c>
      <c r="W196">
        <v>0.00016847741049469221</v>
      </c>
      <c r="X196">
        <v>0</v>
      </c>
      <c r="Y196">
        <v>0.00025271611574203829</v>
      </c>
      <c r="Z196">
        <v>0</v>
      </c>
      <c r="AA196">
        <v>0</v>
      </c>
      <c r="AB196">
        <v>0</v>
      </c>
      <c r="AC196">
        <v>8.4238705247346107E-05</v>
      </c>
      <c r="AD196">
        <v>0</v>
      </c>
      <c r="AE196">
        <v>0.0039592191466252665</v>
      </c>
      <c r="AF196">
        <v>0.013646670250070068</v>
      </c>
      <c r="AG196">
        <v>0.0035380256203885363</v>
      </c>
      <c r="AH196">
        <v>0</v>
      </c>
      <c r="AI196">
        <v>0.00033695482098938443</v>
      </c>
      <c r="AJ196">
        <v>0</v>
      </c>
      <c r="AK196">
        <v>0.0044646513781093434</v>
      </c>
      <c r="AL196">
        <v>0.0058967093673142276</v>
      </c>
      <c r="AM196">
        <v>0</v>
      </c>
      <c r="AN196">
        <v>8.4238705247346107E-05</v>
      </c>
      <c r="AO196">
        <v>8.4238705247346107E-05</v>
      </c>
      <c r="AP196">
        <v>0</v>
      </c>
      <c r="AQ196">
        <v>0.00058967093673142272</v>
      </c>
      <c r="AR196">
        <v>0.00016847741049469221</v>
      </c>
      <c r="AS196">
        <v>0.00025271611574203829</v>
      </c>
      <c r="AT196">
        <v>0.00016847741049469221</v>
      </c>
      <c r="AU196" t="s">
        <v>111</v>
      </c>
      <c r="BJ196" t="str">
        <f t="shared" si="6"/>
        <v>bus</v>
      </c>
      <c r="BK196" t="str">
        <f t="shared" si="7"/>
        <v>gsl</v>
      </c>
    </row>
    <row r="197" spans="1:63" ht="14.5">
      <c r="A197" t="s">
        <v>118</v>
      </c>
      <c r="B197" t="s">
        <v>62</v>
      </c>
      <c r="C197" t="s">
        <v>102</v>
      </c>
      <c r="D197" t="s">
        <v>111</v>
      </c>
      <c r="E197" t="s">
        <v>111</v>
      </c>
      <c r="F197" t="s">
        <v>111</v>
      </c>
      <c r="G197" t="s">
        <v>69</v>
      </c>
      <c r="H197" t="s">
        <v>111</v>
      </c>
      <c r="I197" t="s">
        <v>111</v>
      </c>
      <c r="J197" t="s">
        <v>111</v>
      </c>
      <c r="K197" t="s">
        <v>111</v>
      </c>
      <c r="L197">
        <v>0</v>
      </c>
      <c r="M197">
        <v>0</v>
      </c>
      <c r="N197">
        <v>0.00058967093673142272</v>
      </c>
      <c r="O197">
        <v>0</v>
      </c>
      <c r="P197">
        <v>8.4238705247346107E-05</v>
      </c>
      <c r="Q197">
        <v>8.4238705247346107E-05</v>
      </c>
      <c r="R197">
        <v>0.0021059676311836525</v>
      </c>
      <c r="S197">
        <v>0.011540702618886416</v>
      </c>
      <c r="T197">
        <v>8.4238705247346107E-05</v>
      </c>
      <c r="U197">
        <v>0.00016847741049469221</v>
      </c>
      <c r="V197">
        <v>8.4238705247346107E-05</v>
      </c>
      <c r="W197">
        <v>0.00016847741049469221</v>
      </c>
      <c r="X197">
        <v>0</v>
      </c>
      <c r="Y197">
        <v>0.00025271611574203829</v>
      </c>
      <c r="Z197">
        <v>0</v>
      </c>
      <c r="AA197">
        <v>0</v>
      </c>
      <c r="AB197">
        <v>0</v>
      </c>
      <c r="AC197">
        <v>8.4238705247346107E-05</v>
      </c>
      <c r="AD197">
        <v>0</v>
      </c>
      <c r="AE197">
        <v>0.0039592191466252665</v>
      </c>
      <c r="AF197">
        <v>0.013646670250070068</v>
      </c>
      <c r="AG197">
        <v>0.0035380256203885363</v>
      </c>
      <c r="AH197">
        <v>0</v>
      </c>
      <c r="AI197">
        <v>0.00033695482098938443</v>
      </c>
      <c r="AJ197">
        <v>0</v>
      </c>
      <c r="AK197">
        <v>0.0044646513781093434</v>
      </c>
      <c r="AL197">
        <v>0.0058967093673142276</v>
      </c>
      <c r="AM197">
        <v>0</v>
      </c>
      <c r="AN197">
        <v>8.4238705247346107E-05</v>
      </c>
      <c r="AO197">
        <v>8.4238705247346107E-05</v>
      </c>
      <c r="AP197">
        <v>0</v>
      </c>
      <c r="AQ197">
        <v>0.00058967093673142272</v>
      </c>
      <c r="AR197">
        <v>0.00016847741049469221</v>
      </c>
      <c r="AS197">
        <v>0.00025271611574203829</v>
      </c>
      <c r="AT197">
        <v>0.00016847741049469221</v>
      </c>
      <c r="AU197" t="s">
        <v>111</v>
      </c>
      <c r="BJ197" t="str">
        <f t="shared" si="6"/>
        <v>bus</v>
      </c>
      <c r="BK197" t="str">
        <f t="shared" si="7"/>
        <v>gsl</v>
      </c>
    </row>
    <row r="198" spans="1:63" ht="14.5">
      <c r="A198" t="s">
        <v>118</v>
      </c>
      <c r="B198" t="s">
        <v>62</v>
      </c>
      <c r="C198" t="s">
        <v>102</v>
      </c>
      <c r="D198" t="s">
        <v>111</v>
      </c>
      <c r="E198" t="s">
        <v>111</v>
      </c>
      <c r="F198" t="s">
        <v>111</v>
      </c>
      <c r="G198" t="s">
        <v>68</v>
      </c>
      <c r="H198" t="s">
        <v>111</v>
      </c>
      <c r="I198" t="s">
        <v>111</v>
      </c>
      <c r="J198" t="s">
        <v>111</v>
      </c>
      <c r="K198" t="s">
        <v>111</v>
      </c>
      <c r="L198">
        <v>0</v>
      </c>
      <c r="M198">
        <v>0</v>
      </c>
      <c r="N198">
        <v>0.00058967093673142272</v>
      </c>
      <c r="O198">
        <v>0</v>
      </c>
      <c r="P198">
        <v>8.4238705247346107E-05</v>
      </c>
      <c r="Q198">
        <v>8.4238705247346107E-05</v>
      </c>
      <c r="R198">
        <v>0.0021059676311836525</v>
      </c>
      <c r="S198">
        <v>0.011540702618886416</v>
      </c>
      <c r="T198">
        <v>8.4238705247346107E-05</v>
      </c>
      <c r="U198">
        <v>0.00016847741049469221</v>
      </c>
      <c r="V198">
        <v>8.4238705247346107E-05</v>
      </c>
      <c r="W198">
        <v>0.00016847741049469221</v>
      </c>
      <c r="X198">
        <v>0</v>
      </c>
      <c r="Y198">
        <v>0.00025271611574203829</v>
      </c>
      <c r="Z198">
        <v>0</v>
      </c>
      <c r="AA198">
        <v>0</v>
      </c>
      <c r="AB198">
        <v>0</v>
      </c>
      <c r="AC198">
        <v>8.4238705247346107E-05</v>
      </c>
      <c r="AD198">
        <v>0</v>
      </c>
      <c r="AE198">
        <v>0.0039592191466252665</v>
      </c>
      <c r="AF198">
        <v>0.013646670250070068</v>
      </c>
      <c r="AG198">
        <v>0.0035380256203885363</v>
      </c>
      <c r="AH198">
        <v>0</v>
      </c>
      <c r="AI198">
        <v>0.00033695482098938443</v>
      </c>
      <c r="AJ198">
        <v>0</v>
      </c>
      <c r="AK198">
        <v>0.0044646513781093434</v>
      </c>
      <c r="AL198">
        <v>0.0058967093673142276</v>
      </c>
      <c r="AM198">
        <v>0</v>
      </c>
      <c r="AN198">
        <v>8.4238705247346107E-05</v>
      </c>
      <c r="AO198">
        <v>8.4238705247346107E-05</v>
      </c>
      <c r="AP198">
        <v>0</v>
      </c>
      <c r="AQ198">
        <v>0.00058967093673142272</v>
      </c>
      <c r="AR198">
        <v>0.00016847741049469221</v>
      </c>
      <c r="AS198">
        <v>0.00025271611574203829</v>
      </c>
      <c r="AT198">
        <v>0.00016847741049469221</v>
      </c>
      <c r="AU198" t="s">
        <v>111</v>
      </c>
      <c r="BJ198" t="str">
        <f t="shared" si="6"/>
        <v>bus</v>
      </c>
      <c r="BK198" t="str">
        <f t="shared" si="7"/>
        <v>gsl</v>
      </c>
    </row>
    <row r="199" spans="1:63" ht="14.5">
      <c r="A199" t="s">
        <v>118</v>
      </c>
      <c r="B199" t="s">
        <v>62</v>
      </c>
      <c r="C199" t="s">
        <v>102</v>
      </c>
      <c r="D199" t="s">
        <v>111</v>
      </c>
      <c r="E199" t="s">
        <v>111</v>
      </c>
      <c r="F199" t="s">
        <v>111</v>
      </c>
      <c r="G199" t="s">
        <v>67</v>
      </c>
      <c r="H199" t="s">
        <v>111</v>
      </c>
      <c r="I199" t="s">
        <v>111</v>
      </c>
      <c r="J199" t="s">
        <v>111</v>
      </c>
      <c r="K199" t="s">
        <v>111</v>
      </c>
      <c r="L199">
        <v>0</v>
      </c>
      <c r="M199">
        <v>0</v>
      </c>
      <c r="N199">
        <v>0.00058967093673142272</v>
      </c>
      <c r="O199">
        <v>0</v>
      </c>
      <c r="P199">
        <v>8.4238705247346107E-05</v>
      </c>
      <c r="Q199">
        <v>8.4238705247346107E-05</v>
      </c>
      <c r="R199">
        <v>0.0021059676311836525</v>
      </c>
      <c r="S199">
        <v>0.011540702618886416</v>
      </c>
      <c r="T199">
        <v>8.4238705247346107E-05</v>
      </c>
      <c r="U199">
        <v>0.00016847741049469221</v>
      </c>
      <c r="V199">
        <v>8.4238705247346107E-05</v>
      </c>
      <c r="W199">
        <v>0.00016847741049469221</v>
      </c>
      <c r="X199">
        <v>0</v>
      </c>
      <c r="Y199">
        <v>0.00025271611574203829</v>
      </c>
      <c r="Z199">
        <v>0</v>
      </c>
      <c r="AA199">
        <v>0</v>
      </c>
      <c r="AB199">
        <v>0</v>
      </c>
      <c r="AC199">
        <v>8.4238705247346107E-05</v>
      </c>
      <c r="AD199">
        <v>0</v>
      </c>
      <c r="AE199">
        <v>0.0039592191466252665</v>
      </c>
      <c r="AF199">
        <v>0.013646670250070068</v>
      </c>
      <c r="AG199">
        <v>0.0035380256203885363</v>
      </c>
      <c r="AH199">
        <v>0</v>
      </c>
      <c r="AI199">
        <v>0.00033695482098938443</v>
      </c>
      <c r="AJ199">
        <v>0</v>
      </c>
      <c r="AK199">
        <v>0.0044646513781093434</v>
      </c>
      <c r="AL199">
        <v>0.0058967093673142276</v>
      </c>
      <c r="AM199">
        <v>0</v>
      </c>
      <c r="AN199">
        <v>8.4238705247346107E-05</v>
      </c>
      <c r="AO199">
        <v>8.4238705247346107E-05</v>
      </c>
      <c r="AP199">
        <v>0</v>
      </c>
      <c r="AQ199">
        <v>0.00058967093673142272</v>
      </c>
      <c r="AR199">
        <v>0.00016847741049469221</v>
      </c>
      <c r="AS199">
        <v>0.00025271611574203829</v>
      </c>
      <c r="AT199">
        <v>0.00016847741049469221</v>
      </c>
      <c r="AU199" t="s">
        <v>111</v>
      </c>
      <c r="BJ199" t="str">
        <f t="shared" si="6"/>
        <v>bus</v>
      </c>
      <c r="BK199" t="str">
        <f t="shared" si="7"/>
        <v>gsl</v>
      </c>
    </row>
    <row r="200" spans="1:63" ht="14.5">
      <c r="A200" t="s">
        <v>118</v>
      </c>
      <c r="B200" t="s">
        <v>62</v>
      </c>
      <c r="C200" t="s">
        <v>102</v>
      </c>
      <c r="D200" t="s">
        <v>111</v>
      </c>
      <c r="E200" t="s">
        <v>111</v>
      </c>
      <c r="F200" t="s">
        <v>111</v>
      </c>
      <c r="G200" t="s">
        <v>66</v>
      </c>
      <c r="H200" t="s">
        <v>111</v>
      </c>
      <c r="I200" t="s">
        <v>111</v>
      </c>
      <c r="J200" t="s">
        <v>111</v>
      </c>
      <c r="K200" t="s">
        <v>111</v>
      </c>
      <c r="L200">
        <v>0</v>
      </c>
      <c r="M200">
        <v>0</v>
      </c>
      <c r="N200">
        <v>0.00058967093673142272</v>
      </c>
      <c r="O200">
        <v>0</v>
      </c>
      <c r="P200">
        <v>8.4238705247346107E-05</v>
      </c>
      <c r="Q200">
        <v>8.4238705247346107E-05</v>
      </c>
      <c r="R200">
        <v>0.0021059676311836525</v>
      </c>
      <c r="S200">
        <v>0.011540702618886416</v>
      </c>
      <c r="T200">
        <v>8.4238705247346107E-05</v>
      </c>
      <c r="U200">
        <v>0.00016847741049469221</v>
      </c>
      <c r="V200">
        <v>8.4238705247346107E-05</v>
      </c>
      <c r="W200">
        <v>0.00016847741049469221</v>
      </c>
      <c r="X200">
        <v>0</v>
      </c>
      <c r="Y200">
        <v>0.00025271611574203829</v>
      </c>
      <c r="Z200">
        <v>0</v>
      </c>
      <c r="AA200">
        <v>0</v>
      </c>
      <c r="AB200">
        <v>0</v>
      </c>
      <c r="AC200">
        <v>8.4238705247346107E-05</v>
      </c>
      <c r="AD200">
        <v>0</v>
      </c>
      <c r="AE200">
        <v>0.0039592191466252665</v>
      </c>
      <c r="AF200">
        <v>0.013646670250070068</v>
      </c>
      <c r="AG200">
        <v>0.0035380256203885363</v>
      </c>
      <c r="AH200">
        <v>0</v>
      </c>
      <c r="AI200">
        <v>0.00033695482098938443</v>
      </c>
      <c r="AJ200">
        <v>0</v>
      </c>
      <c r="AK200">
        <v>0.0044646513781093434</v>
      </c>
      <c r="AL200">
        <v>0.0058967093673142276</v>
      </c>
      <c r="AM200">
        <v>0</v>
      </c>
      <c r="AN200">
        <v>8.4238705247346107E-05</v>
      </c>
      <c r="AO200">
        <v>8.4238705247346107E-05</v>
      </c>
      <c r="AP200">
        <v>0</v>
      </c>
      <c r="AQ200">
        <v>0.00058967093673142272</v>
      </c>
      <c r="AR200">
        <v>0.00016847741049469221</v>
      </c>
      <c r="AS200">
        <v>0.00025271611574203829</v>
      </c>
      <c r="AT200">
        <v>0.00016847741049469221</v>
      </c>
      <c r="AU200" t="s">
        <v>111</v>
      </c>
      <c r="BJ200" t="str">
        <f t="shared" si="6"/>
        <v>bus</v>
      </c>
      <c r="BK200" t="str">
        <f t="shared" si="7"/>
        <v>gsl</v>
      </c>
    </row>
    <row r="201" spans="1:63" ht="14.5">
      <c r="A201" t="s">
        <v>118</v>
      </c>
      <c r="B201" t="s">
        <v>62</v>
      </c>
      <c r="C201" t="s">
        <v>102</v>
      </c>
      <c r="D201" t="s">
        <v>111</v>
      </c>
      <c r="E201" t="s">
        <v>111</v>
      </c>
      <c r="F201" t="s">
        <v>111</v>
      </c>
      <c r="G201" t="s">
        <v>65</v>
      </c>
      <c r="H201" t="s">
        <v>111</v>
      </c>
      <c r="I201" t="s">
        <v>111</v>
      </c>
      <c r="J201" t="s">
        <v>111</v>
      </c>
      <c r="K201" t="s">
        <v>111</v>
      </c>
      <c r="L201">
        <v>0</v>
      </c>
      <c r="M201">
        <v>0</v>
      </c>
      <c r="N201">
        <v>0.00058967093673142272</v>
      </c>
      <c r="O201">
        <v>0</v>
      </c>
      <c r="P201">
        <v>8.4238705247346107E-05</v>
      </c>
      <c r="Q201">
        <v>8.4238705247346107E-05</v>
      </c>
      <c r="R201">
        <v>0.0021059676311836525</v>
      </c>
      <c r="S201">
        <v>0.011540702618886416</v>
      </c>
      <c r="T201">
        <v>8.4238705247346107E-05</v>
      </c>
      <c r="U201">
        <v>0.00016847741049469221</v>
      </c>
      <c r="V201">
        <v>8.4238705247346107E-05</v>
      </c>
      <c r="W201">
        <v>0.00016847741049469221</v>
      </c>
      <c r="X201">
        <v>0</v>
      </c>
      <c r="Y201">
        <v>0.00025271611574203829</v>
      </c>
      <c r="Z201">
        <v>0</v>
      </c>
      <c r="AA201">
        <v>0</v>
      </c>
      <c r="AB201">
        <v>0</v>
      </c>
      <c r="AC201">
        <v>8.4238705247346107E-05</v>
      </c>
      <c r="AD201">
        <v>0</v>
      </c>
      <c r="AE201">
        <v>0.0039592191466252665</v>
      </c>
      <c r="AF201">
        <v>0.013646670250070068</v>
      </c>
      <c r="AG201">
        <v>0.0035380256203885363</v>
      </c>
      <c r="AH201">
        <v>0</v>
      </c>
      <c r="AI201">
        <v>0.00033695482098938443</v>
      </c>
      <c r="AJ201">
        <v>0</v>
      </c>
      <c r="AK201">
        <v>0.0044646513781093434</v>
      </c>
      <c r="AL201">
        <v>0.0058967093673142276</v>
      </c>
      <c r="AM201">
        <v>0</v>
      </c>
      <c r="AN201">
        <v>8.4238705247346107E-05</v>
      </c>
      <c r="AO201">
        <v>8.4238705247346107E-05</v>
      </c>
      <c r="AP201">
        <v>0</v>
      </c>
      <c r="AQ201">
        <v>0.00058967093673142272</v>
      </c>
      <c r="AR201">
        <v>0.00016847741049469221</v>
      </c>
      <c r="AS201">
        <v>0.00025271611574203829</v>
      </c>
      <c r="AT201">
        <v>0.00016847741049469221</v>
      </c>
      <c r="AU201" t="s">
        <v>111</v>
      </c>
      <c r="BJ201" t="str">
        <f t="shared" si="6"/>
        <v>bus</v>
      </c>
      <c r="BK201" t="str">
        <f t="shared" si="7"/>
        <v>gsl</v>
      </c>
    </row>
    <row r="202" spans="1:63" ht="14.5">
      <c r="A202" t="s">
        <v>118</v>
      </c>
      <c r="B202" t="s">
        <v>62</v>
      </c>
      <c r="C202" t="s">
        <v>101</v>
      </c>
      <c r="D202" t="s">
        <v>111</v>
      </c>
      <c r="E202" t="s">
        <v>111</v>
      </c>
      <c r="F202" t="s">
        <v>111</v>
      </c>
      <c r="G202" t="s">
        <v>61</v>
      </c>
      <c r="H202" t="s">
        <v>111</v>
      </c>
      <c r="I202" t="s">
        <v>111</v>
      </c>
      <c r="J202" t="s">
        <v>111</v>
      </c>
      <c r="K202" t="s">
        <v>111</v>
      </c>
      <c r="L202">
        <v>0.00092662575772080704</v>
      </c>
      <c r="M202">
        <v>0</v>
      </c>
      <c r="N202">
        <v>0.001684774104946922</v>
      </c>
      <c r="O202">
        <v>0</v>
      </c>
      <c r="P202">
        <v>0</v>
      </c>
      <c r="Q202">
        <v>0</v>
      </c>
      <c r="R202">
        <v>0</v>
      </c>
      <c r="S202">
        <v>0.0069075738302823804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0.00092662575772080704</v>
      </c>
      <c r="AB202">
        <v>0</v>
      </c>
      <c r="AC202">
        <v>0</v>
      </c>
      <c r="AD202">
        <v>0</v>
      </c>
      <c r="AE202">
        <v>0.0032010707993991518</v>
      </c>
      <c r="AF202">
        <v>8.4238705247346107E-05</v>
      </c>
      <c r="AG202">
        <v>8.4238705247346107E-05</v>
      </c>
      <c r="AH202">
        <v>0</v>
      </c>
      <c r="AI202">
        <v>0</v>
      </c>
      <c r="AJ202">
        <v>0.0089293027562186867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0.003369548209893844</v>
      </c>
      <c r="AR202">
        <v>0</v>
      </c>
      <c r="AS202">
        <v>0</v>
      </c>
      <c r="AT202">
        <v>0</v>
      </c>
      <c r="AU202" t="s">
        <v>111</v>
      </c>
      <c r="BJ202" t="str">
        <f t="shared" si="6"/>
        <v>bus</v>
      </c>
      <c r="BK202" t="str">
        <f t="shared" si="7"/>
        <v>lpg</v>
      </c>
    </row>
    <row r="203" spans="1:63" ht="14.5">
      <c r="A203" t="s">
        <v>118</v>
      </c>
      <c r="B203" t="s">
        <v>62</v>
      </c>
      <c r="C203" t="s">
        <v>101</v>
      </c>
      <c r="D203" t="s">
        <v>111</v>
      </c>
      <c r="E203" t="s">
        <v>111</v>
      </c>
      <c r="F203" t="s">
        <v>111</v>
      </c>
      <c r="G203" t="s">
        <v>83</v>
      </c>
      <c r="H203" t="s">
        <v>111</v>
      </c>
      <c r="I203" t="s">
        <v>111</v>
      </c>
      <c r="J203" t="s">
        <v>111</v>
      </c>
      <c r="K203" t="s">
        <v>111</v>
      </c>
      <c r="L203">
        <v>0.00092662575772080704</v>
      </c>
      <c r="M203">
        <v>0</v>
      </c>
      <c r="N203">
        <v>0.001684774104946922</v>
      </c>
      <c r="O203">
        <v>0</v>
      </c>
      <c r="P203">
        <v>0</v>
      </c>
      <c r="Q203">
        <v>0</v>
      </c>
      <c r="R203">
        <v>0</v>
      </c>
      <c r="S203">
        <v>0.0069075738302823804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0.00092662575772080704</v>
      </c>
      <c r="AB203">
        <v>0</v>
      </c>
      <c r="AC203">
        <v>0</v>
      </c>
      <c r="AD203">
        <v>0</v>
      </c>
      <c r="AE203">
        <v>0.0032010707993991518</v>
      </c>
      <c r="AF203">
        <v>8.4238705247346107E-05</v>
      </c>
      <c r="AG203">
        <v>8.4238705247346107E-05</v>
      </c>
      <c r="AH203">
        <v>0</v>
      </c>
      <c r="AI203">
        <v>0</v>
      </c>
      <c r="AJ203">
        <v>0.0089293027562186867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0.003369548209893844</v>
      </c>
      <c r="AR203">
        <v>0</v>
      </c>
      <c r="AS203">
        <v>0</v>
      </c>
      <c r="AT203">
        <v>0</v>
      </c>
      <c r="AU203" t="s">
        <v>111</v>
      </c>
      <c r="BJ203" t="str">
        <f t="shared" si="6"/>
        <v>bus</v>
      </c>
      <c r="BK203" t="str">
        <f t="shared" si="7"/>
        <v>lpg</v>
      </c>
    </row>
    <row r="204" spans="1:63" ht="14.5">
      <c r="A204" t="s">
        <v>118</v>
      </c>
      <c r="B204" t="s">
        <v>62</v>
      </c>
      <c r="C204" t="s">
        <v>101</v>
      </c>
      <c r="D204" t="s">
        <v>111</v>
      </c>
      <c r="E204" t="s">
        <v>111</v>
      </c>
      <c r="F204" t="s">
        <v>111</v>
      </c>
      <c r="G204" t="s">
        <v>82</v>
      </c>
      <c r="H204" t="s">
        <v>111</v>
      </c>
      <c r="I204" t="s">
        <v>111</v>
      </c>
      <c r="J204" t="s">
        <v>111</v>
      </c>
      <c r="K204" t="s">
        <v>111</v>
      </c>
      <c r="L204">
        <v>0.00092662575772080704</v>
      </c>
      <c r="M204">
        <v>0</v>
      </c>
      <c r="N204">
        <v>0.001684774104946922</v>
      </c>
      <c r="O204">
        <v>0</v>
      </c>
      <c r="P204">
        <v>0</v>
      </c>
      <c r="Q204">
        <v>0</v>
      </c>
      <c r="R204">
        <v>0</v>
      </c>
      <c r="S204">
        <v>0.0069075738302823804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0.00092662575772080704</v>
      </c>
      <c r="AB204">
        <v>0</v>
      </c>
      <c r="AC204">
        <v>0</v>
      </c>
      <c r="AD204">
        <v>0</v>
      </c>
      <c r="AE204">
        <v>0.0032010707993991518</v>
      </c>
      <c r="AF204">
        <v>8.4238705247346107E-05</v>
      </c>
      <c r="AG204">
        <v>8.4238705247346107E-05</v>
      </c>
      <c r="AH204">
        <v>0</v>
      </c>
      <c r="AI204">
        <v>0</v>
      </c>
      <c r="AJ204">
        <v>0.0089293027562186867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0.003369548209893844</v>
      </c>
      <c r="AR204">
        <v>0</v>
      </c>
      <c r="AS204">
        <v>0</v>
      </c>
      <c r="AT204">
        <v>0</v>
      </c>
      <c r="AU204" t="s">
        <v>111</v>
      </c>
      <c r="BJ204" t="str">
        <f t="shared" si="6"/>
        <v>bus</v>
      </c>
      <c r="BK204" t="str">
        <f t="shared" si="7"/>
        <v>lpg</v>
      </c>
    </row>
    <row r="205" spans="1:63" ht="14.5">
      <c r="A205" t="s">
        <v>118</v>
      </c>
      <c r="B205" t="s">
        <v>62</v>
      </c>
      <c r="C205" t="s">
        <v>101</v>
      </c>
      <c r="D205" t="s">
        <v>111</v>
      </c>
      <c r="E205" t="s">
        <v>111</v>
      </c>
      <c r="F205" t="s">
        <v>111</v>
      </c>
      <c r="G205" t="s">
        <v>81</v>
      </c>
      <c r="H205" t="s">
        <v>111</v>
      </c>
      <c r="I205" t="s">
        <v>111</v>
      </c>
      <c r="J205" t="s">
        <v>111</v>
      </c>
      <c r="K205" t="s">
        <v>111</v>
      </c>
      <c r="L205">
        <v>0.00092662575772080704</v>
      </c>
      <c r="M205">
        <v>0</v>
      </c>
      <c r="N205">
        <v>0.001684774104946922</v>
      </c>
      <c r="O205">
        <v>0</v>
      </c>
      <c r="P205">
        <v>0</v>
      </c>
      <c r="Q205">
        <v>0</v>
      </c>
      <c r="R205">
        <v>0</v>
      </c>
      <c r="S205">
        <v>0.0069075738302823804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0.00092662575772080704</v>
      </c>
      <c r="AB205">
        <v>0</v>
      </c>
      <c r="AC205">
        <v>0</v>
      </c>
      <c r="AD205">
        <v>0</v>
      </c>
      <c r="AE205">
        <v>0.0032010707993991518</v>
      </c>
      <c r="AF205">
        <v>8.4238705247346107E-05</v>
      </c>
      <c r="AG205">
        <v>8.4238705247346107E-05</v>
      </c>
      <c r="AH205">
        <v>0</v>
      </c>
      <c r="AI205">
        <v>0</v>
      </c>
      <c r="AJ205">
        <v>0.0089293027562186867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0.003369548209893844</v>
      </c>
      <c r="AR205">
        <v>0</v>
      </c>
      <c r="AS205">
        <v>0</v>
      </c>
      <c r="AT205">
        <v>0</v>
      </c>
      <c r="AU205" t="s">
        <v>111</v>
      </c>
      <c r="BJ205" t="str">
        <f t="shared" si="6"/>
        <v>bus</v>
      </c>
      <c r="BK205" t="str">
        <f t="shared" si="7"/>
        <v>lpg</v>
      </c>
    </row>
    <row r="206" spans="1:63" ht="14.5">
      <c r="A206" t="s">
        <v>118</v>
      </c>
      <c r="B206" t="s">
        <v>62</v>
      </c>
      <c r="C206" t="s">
        <v>101</v>
      </c>
      <c r="D206" t="s">
        <v>111</v>
      </c>
      <c r="E206" t="s">
        <v>111</v>
      </c>
      <c r="F206" t="s">
        <v>111</v>
      </c>
      <c r="G206" t="s">
        <v>80</v>
      </c>
      <c r="H206" t="s">
        <v>111</v>
      </c>
      <c r="I206" t="s">
        <v>111</v>
      </c>
      <c r="J206" t="s">
        <v>111</v>
      </c>
      <c r="K206" t="s">
        <v>111</v>
      </c>
      <c r="L206">
        <v>0.00092662575772080704</v>
      </c>
      <c r="M206">
        <v>0</v>
      </c>
      <c r="N206">
        <v>0.001684774104946922</v>
      </c>
      <c r="O206">
        <v>0</v>
      </c>
      <c r="P206">
        <v>0</v>
      </c>
      <c r="Q206">
        <v>0</v>
      </c>
      <c r="R206">
        <v>0</v>
      </c>
      <c r="S206">
        <v>0.0069075738302823804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0.00092662575772080704</v>
      </c>
      <c r="AB206">
        <v>0</v>
      </c>
      <c r="AC206">
        <v>0</v>
      </c>
      <c r="AD206">
        <v>0</v>
      </c>
      <c r="AE206">
        <v>0.0032010707993991518</v>
      </c>
      <c r="AF206">
        <v>8.4238705247346107E-05</v>
      </c>
      <c r="AG206">
        <v>8.4238705247346107E-05</v>
      </c>
      <c r="AH206">
        <v>0</v>
      </c>
      <c r="AI206">
        <v>0</v>
      </c>
      <c r="AJ206">
        <v>0.0089293027562186867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0.003369548209893844</v>
      </c>
      <c r="AR206">
        <v>0</v>
      </c>
      <c r="AS206">
        <v>0</v>
      </c>
      <c r="AT206">
        <v>0</v>
      </c>
      <c r="AU206" t="s">
        <v>111</v>
      </c>
      <c r="BJ206" t="str">
        <f t="shared" si="6"/>
        <v>bus</v>
      </c>
      <c r="BK206" t="str">
        <f t="shared" si="7"/>
        <v>lpg</v>
      </c>
    </row>
    <row r="207" spans="1:63" ht="14.5">
      <c r="A207" t="s">
        <v>118</v>
      </c>
      <c r="B207" t="s">
        <v>62</v>
      </c>
      <c r="C207" t="s">
        <v>101</v>
      </c>
      <c r="D207" t="s">
        <v>111</v>
      </c>
      <c r="E207" t="s">
        <v>111</v>
      </c>
      <c r="F207" t="s">
        <v>111</v>
      </c>
      <c r="G207" t="s">
        <v>79</v>
      </c>
      <c r="H207" t="s">
        <v>111</v>
      </c>
      <c r="I207" t="s">
        <v>111</v>
      </c>
      <c r="J207" t="s">
        <v>111</v>
      </c>
      <c r="K207" t="s">
        <v>111</v>
      </c>
      <c r="L207">
        <v>0.00092662575772080704</v>
      </c>
      <c r="M207">
        <v>0</v>
      </c>
      <c r="N207">
        <v>0.001684774104946922</v>
      </c>
      <c r="O207">
        <v>0</v>
      </c>
      <c r="P207">
        <v>0</v>
      </c>
      <c r="Q207">
        <v>0</v>
      </c>
      <c r="R207">
        <v>0</v>
      </c>
      <c r="S207">
        <v>0.0069075738302823804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0.00092662575772080704</v>
      </c>
      <c r="AB207">
        <v>0</v>
      </c>
      <c r="AC207">
        <v>0</v>
      </c>
      <c r="AD207">
        <v>0</v>
      </c>
      <c r="AE207">
        <v>0.0032010707993991518</v>
      </c>
      <c r="AF207">
        <v>8.4238705247346107E-05</v>
      </c>
      <c r="AG207">
        <v>8.4238705247346107E-05</v>
      </c>
      <c r="AH207">
        <v>0</v>
      </c>
      <c r="AI207">
        <v>0</v>
      </c>
      <c r="AJ207">
        <v>0.0089293027562186867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0.003369548209893844</v>
      </c>
      <c r="AR207">
        <v>0</v>
      </c>
      <c r="AS207">
        <v>0</v>
      </c>
      <c r="AT207">
        <v>0</v>
      </c>
      <c r="AU207" t="s">
        <v>111</v>
      </c>
      <c r="BJ207" t="str">
        <f t="shared" si="6"/>
        <v>bus</v>
      </c>
      <c r="BK207" t="str">
        <f t="shared" si="7"/>
        <v>lpg</v>
      </c>
    </row>
    <row r="208" spans="1:63" ht="14.5">
      <c r="A208" t="s">
        <v>118</v>
      </c>
      <c r="B208" t="s">
        <v>62</v>
      </c>
      <c r="C208" t="s">
        <v>101</v>
      </c>
      <c r="D208" t="s">
        <v>111</v>
      </c>
      <c r="E208" t="s">
        <v>111</v>
      </c>
      <c r="F208" t="s">
        <v>111</v>
      </c>
      <c r="G208" t="s">
        <v>78</v>
      </c>
      <c r="H208" t="s">
        <v>111</v>
      </c>
      <c r="I208" t="s">
        <v>111</v>
      </c>
      <c r="J208" t="s">
        <v>111</v>
      </c>
      <c r="K208" t="s">
        <v>111</v>
      </c>
      <c r="L208">
        <v>0.00092662575772080704</v>
      </c>
      <c r="M208">
        <v>0</v>
      </c>
      <c r="N208">
        <v>0.001684774104946922</v>
      </c>
      <c r="O208">
        <v>0</v>
      </c>
      <c r="P208">
        <v>0</v>
      </c>
      <c r="Q208">
        <v>0</v>
      </c>
      <c r="R208">
        <v>0</v>
      </c>
      <c r="S208">
        <v>0.0069075738302823804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0.00092662575772080704</v>
      </c>
      <c r="AB208">
        <v>0</v>
      </c>
      <c r="AC208">
        <v>0</v>
      </c>
      <c r="AD208">
        <v>0</v>
      </c>
      <c r="AE208">
        <v>0.0032010707993991518</v>
      </c>
      <c r="AF208">
        <v>8.4238705247346107E-05</v>
      </c>
      <c r="AG208">
        <v>8.4238705247346107E-05</v>
      </c>
      <c r="AH208">
        <v>0</v>
      </c>
      <c r="AI208">
        <v>0</v>
      </c>
      <c r="AJ208">
        <v>0.0089293027562186867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0.003369548209893844</v>
      </c>
      <c r="AR208">
        <v>0</v>
      </c>
      <c r="AS208">
        <v>0</v>
      </c>
      <c r="AT208">
        <v>0</v>
      </c>
      <c r="AU208" t="s">
        <v>111</v>
      </c>
      <c r="BJ208" t="str">
        <f t="shared" si="6"/>
        <v>bus</v>
      </c>
      <c r="BK208" t="str">
        <f t="shared" si="7"/>
        <v>lpg</v>
      </c>
    </row>
    <row r="209" spans="1:63" ht="14.5">
      <c r="A209" t="s">
        <v>118</v>
      </c>
      <c r="B209" t="s">
        <v>62</v>
      </c>
      <c r="C209" t="s">
        <v>101</v>
      </c>
      <c r="D209" t="s">
        <v>111</v>
      </c>
      <c r="E209" t="s">
        <v>111</v>
      </c>
      <c r="F209" t="s">
        <v>111</v>
      </c>
      <c r="G209" t="s">
        <v>77</v>
      </c>
      <c r="H209" t="s">
        <v>111</v>
      </c>
      <c r="I209" t="s">
        <v>111</v>
      </c>
      <c r="J209" t="s">
        <v>111</v>
      </c>
      <c r="K209" t="s">
        <v>111</v>
      </c>
      <c r="L209">
        <v>0.00092662575772080704</v>
      </c>
      <c r="M209">
        <v>0</v>
      </c>
      <c r="N209">
        <v>0.001684774104946922</v>
      </c>
      <c r="O209">
        <v>0</v>
      </c>
      <c r="P209">
        <v>0</v>
      </c>
      <c r="Q209">
        <v>0</v>
      </c>
      <c r="R209">
        <v>0</v>
      </c>
      <c r="S209">
        <v>0.0069075738302823804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0.00092662575772080704</v>
      </c>
      <c r="AB209">
        <v>0</v>
      </c>
      <c r="AC209">
        <v>0</v>
      </c>
      <c r="AD209">
        <v>0</v>
      </c>
      <c r="AE209">
        <v>0.0032010707993991518</v>
      </c>
      <c r="AF209">
        <v>8.4238705247346107E-05</v>
      </c>
      <c r="AG209">
        <v>8.4238705247346107E-05</v>
      </c>
      <c r="AH209">
        <v>0</v>
      </c>
      <c r="AI209">
        <v>0</v>
      </c>
      <c r="AJ209">
        <v>0.0089293027562186867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0.003369548209893844</v>
      </c>
      <c r="AR209">
        <v>0</v>
      </c>
      <c r="AS209">
        <v>0</v>
      </c>
      <c r="AT209">
        <v>0</v>
      </c>
      <c r="AU209" t="s">
        <v>111</v>
      </c>
      <c r="BJ209" t="str">
        <f t="shared" si="6"/>
        <v>bus</v>
      </c>
      <c r="BK209" t="str">
        <f t="shared" si="7"/>
        <v>lpg</v>
      </c>
    </row>
    <row r="210" spans="1:63" ht="14.5">
      <c r="A210" t="s">
        <v>118</v>
      </c>
      <c r="B210" t="s">
        <v>62</v>
      </c>
      <c r="C210" t="s">
        <v>101</v>
      </c>
      <c r="D210" t="s">
        <v>111</v>
      </c>
      <c r="E210" t="s">
        <v>111</v>
      </c>
      <c r="F210" t="s">
        <v>111</v>
      </c>
      <c r="G210" t="s">
        <v>76</v>
      </c>
      <c r="H210" t="s">
        <v>111</v>
      </c>
      <c r="I210" t="s">
        <v>111</v>
      </c>
      <c r="J210" t="s">
        <v>111</v>
      </c>
      <c r="K210" t="s">
        <v>111</v>
      </c>
      <c r="L210">
        <v>0.00092662575772080704</v>
      </c>
      <c r="M210">
        <v>0</v>
      </c>
      <c r="N210">
        <v>0.001684774104946922</v>
      </c>
      <c r="O210">
        <v>0</v>
      </c>
      <c r="P210">
        <v>0</v>
      </c>
      <c r="Q210">
        <v>0</v>
      </c>
      <c r="R210">
        <v>0</v>
      </c>
      <c r="S210">
        <v>0.0069075738302823804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0.00092662575772080704</v>
      </c>
      <c r="AB210">
        <v>0</v>
      </c>
      <c r="AC210">
        <v>0</v>
      </c>
      <c r="AD210">
        <v>0</v>
      </c>
      <c r="AE210">
        <v>0.0032010707993991518</v>
      </c>
      <c r="AF210">
        <v>8.4238705247346107E-05</v>
      </c>
      <c r="AG210">
        <v>8.4238705247346107E-05</v>
      </c>
      <c r="AH210">
        <v>0</v>
      </c>
      <c r="AI210">
        <v>0</v>
      </c>
      <c r="AJ210">
        <v>0.0089293027562186867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0.003369548209893844</v>
      </c>
      <c r="AR210">
        <v>0</v>
      </c>
      <c r="AS210">
        <v>0</v>
      </c>
      <c r="AT210">
        <v>0</v>
      </c>
      <c r="AU210" t="s">
        <v>111</v>
      </c>
      <c r="BJ210" t="str">
        <f t="shared" si="6"/>
        <v>bus</v>
      </c>
      <c r="BK210" t="str">
        <f t="shared" si="7"/>
        <v>lpg</v>
      </c>
    </row>
    <row r="211" spans="1:63" ht="14.5">
      <c r="A211" t="s">
        <v>118</v>
      </c>
      <c r="B211" t="s">
        <v>62</v>
      </c>
      <c r="C211" t="s">
        <v>101</v>
      </c>
      <c r="D211" t="s">
        <v>111</v>
      </c>
      <c r="E211" t="s">
        <v>111</v>
      </c>
      <c r="F211" t="s">
        <v>111</v>
      </c>
      <c r="G211" t="s">
        <v>75</v>
      </c>
      <c r="H211" t="s">
        <v>111</v>
      </c>
      <c r="I211" t="s">
        <v>111</v>
      </c>
      <c r="J211" t="s">
        <v>111</v>
      </c>
      <c r="K211" t="s">
        <v>111</v>
      </c>
      <c r="L211">
        <v>0.00092662575772080704</v>
      </c>
      <c r="M211">
        <v>0</v>
      </c>
      <c r="N211">
        <v>0.001684774104946922</v>
      </c>
      <c r="O211">
        <v>0</v>
      </c>
      <c r="P211">
        <v>0</v>
      </c>
      <c r="Q211">
        <v>0</v>
      </c>
      <c r="R211">
        <v>0</v>
      </c>
      <c r="S211">
        <v>0.0069075738302823804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0.00092662575772080704</v>
      </c>
      <c r="AB211">
        <v>0</v>
      </c>
      <c r="AC211">
        <v>0</v>
      </c>
      <c r="AD211">
        <v>0</v>
      </c>
      <c r="AE211">
        <v>0.0032010707993991518</v>
      </c>
      <c r="AF211">
        <v>8.4238705247346107E-05</v>
      </c>
      <c r="AG211">
        <v>8.4238705247346107E-05</v>
      </c>
      <c r="AH211">
        <v>0</v>
      </c>
      <c r="AI211">
        <v>0</v>
      </c>
      <c r="AJ211">
        <v>0.0089293027562186867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0.003369548209893844</v>
      </c>
      <c r="AR211">
        <v>0</v>
      </c>
      <c r="AS211">
        <v>0</v>
      </c>
      <c r="AT211">
        <v>0</v>
      </c>
      <c r="AU211" t="s">
        <v>111</v>
      </c>
      <c r="BJ211" t="str">
        <f t="shared" si="6"/>
        <v>bus</v>
      </c>
      <c r="BK211" t="str">
        <f t="shared" si="7"/>
        <v>lpg</v>
      </c>
    </row>
    <row r="212" spans="1:63" ht="14.5">
      <c r="A212" t="s">
        <v>118</v>
      </c>
      <c r="B212" t="s">
        <v>62</v>
      </c>
      <c r="C212" t="s">
        <v>101</v>
      </c>
      <c r="D212" t="s">
        <v>111</v>
      </c>
      <c r="E212" t="s">
        <v>111</v>
      </c>
      <c r="F212" t="s">
        <v>111</v>
      </c>
      <c r="G212" t="s">
        <v>74</v>
      </c>
      <c r="H212" t="s">
        <v>111</v>
      </c>
      <c r="I212" t="s">
        <v>111</v>
      </c>
      <c r="J212" t="s">
        <v>111</v>
      </c>
      <c r="K212" t="s">
        <v>111</v>
      </c>
      <c r="L212">
        <v>0.00092662575772080704</v>
      </c>
      <c r="M212">
        <v>0</v>
      </c>
      <c r="N212">
        <v>0.001684774104946922</v>
      </c>
      <c r="O212">
        <v>0</v>
      </c>
      <c r="P212">
        <v>0</v>
      </c>
      <c r="Q212">
        <v>0</v>
      </c>
      <c r="R212">
        <v>0</v>
      </c>
      <c r="S212">
        <v>0.0069075738302823804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0.00092662575772080704</v>
      </c>
      <c r="AB212">
        <v>0</v>
      </c>
      <c r="AC212">
        <v>0</v>
      </c>
      <c r="AD212">
        <v>0</v>
      </c>
      <c r="AE212">
        <v>0.0032010707993991518</v>
      </c>
      <c r="AF212">
        <v>8.4238705247346107E-05</v>
      </c>
      <c r="AG212">
        <v>8.4238705247346107E-05</v>
      </c>
      <c r="AH212">
        <v>0</v>
      </c>
      <c r="AI212">
        <v>0</v>
      </c>
      <c r="AJ212">
        <v>0.0089293027562186867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0.003369548209893844</v>
      </c>
      <c r="AR212">
        <v>0</v>
      </c>
      <c r="AS212">
        <v>0</v>
      </c>
      <c r="AT212">
        <v>0</v>
      </c>
      <c r="AU212" t="s">
        <v>111</v>
      </c>
      <c r="BJ212" t="str">
        <f t="shared" si="6"/>
        <v>bus</v>
      </c>
      <c r="BK212" t="str">
        <f t="shared" si="7"/>
        <v>lpg</v>
      </c>
    </row>
    <row r="213" spans="1:63" ht="14.5">
      <c r="A213" t="s">
        <v>118</v>
      </c>
      <c r="B213" t="s">
        <v>62</v>
      </c>
      <c r="C213" t="s">
        <v>101</v>
      </c>
      <c r="D213" t="s">
        <v>111</v>
      </c>
      <c r="E213" t="s">
        <v>111</v>
      </c>
      <c r="F213" t="s">
        <v>111</v>
      </c>
      <c r="G213" t="s">
        <v>73</v>
      </c>
      <c r="H213" t="s">
        <v>111</v>
      </c>
      <c r="I213" t="s">
        <v>111</v>
      </c>
      <c r="J213" t="s">
        <v>111</v>
      </c>
      <c r="K213" t="s">
        <v>111</v>
      </c>
      <c r="L213">
        <v>0.00092662575772080704</v>
      </c>
      <c r="M213">
        <v>0</v>
      </c>
      <c r="N213">
        <v>0.001684774104946922</v>
      </c>
      <c r="O213">
        <v>0</v>
      </c>
      <c r="P213">
        <v>0</v>
      </c>
      <c r="Q213">
        <v>0</v>
      </c>
      <c r="R213">
        <v>0</v>
      </c>
      <c r="S213">
        <v>0.0069075738302823804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0.00092662575772080704</v>
      </c>
      <c r="AB213">
        <v>0</v>
      </c>
      <c r="AC213">
        <v>0</v>
      </c>
      <c r="AD213">
        <v>0</v>
      </c>
      <c r="AE213">
        <v>0.0032010707993991518</v>
      </c>
      <c r="AF213">
        <v>8.4238705247346107E-05</v>
      </c>
      <c r="AG213">
        <v>8.4238705247346107E-05</v>
      </c>
      <c r="AH213">
        <v>0</v>
      </c>
      <c r="AI213">
        <v>0</v>
      </c>
      <c r="AJ213">
        <v>0.0089293027562186867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0.003369548209893844</v>
      </c>
      <c r="AR213">
        <v>0</v>
      </c>
      <c r="AS213">
        <v>0</v>
      </c>
      <c r="AT213">
        <v>0</v>
      </c>
      <c r="AU213" t="s">
        <v>111</v>
      </c>
      <c r="BJ213" t="str">
        <f t="shared" si="6"/>
        <v>bus</v>
      </c>
      <c r="BK213" t="str">
        <f t="shared" si="7"/>
        <v>lpg</v>
      </c>
    </row>
    <row r="214" spans="1:63" ht="14.5">
      <c r="A214" t="s">
        <v>118</v>
      </c>
      <c r="B214" t="s">
        <v>62</v>
      </c>
      <c r="C214" t="s">
        <v>101</v>
      </c>
      <c r="D214" t="s">
        <v>111</v>
      </c>
      <c r="E214" t="s">
        <v>111</v>
      </c>
      <c r="F214" t="s">
        <v>111</v>
      </c>
      <c r="G214" t="s">
        <v>72</v>
      </c>
      <c r="H214" t="s">
        <v>111</v>
      </c>
      <c r="I214" t="s">
        <v>111</v>
      </c>
      <c r="J214" t="s">
        <v>111</v>
      </c>
      <c r="K214" t="s">
        <v>111</v>
      </c>
      <c r="L214">
        <v>0.00092662575772080704</v>
      </c>
      <c r="M214">
        <v>0</v>
      </c>
      <c r="N214">
        <v>0.001684774104946922</v>
      </c>
      <c r="O214">
        <v>0</v>
      </c>
      <c r="P214">
        <v>0</v>
      </c>
      <c r="Q214">
        <v>0</v>
      </c>
      <c r="R214">
        <v>0</v>
      </c>
      <c r="S214">
        <v>0.0069075738302823804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0.00092662575772080704</v>
      </c>
      <c r="AB214">
        <v>0</v>
      </c>
      <c r="AC214">
        <v>0</v>
      </c>
      <c r="AD214">
        <v>0</v>
      </c>
      <c r="AE214">
        <v>0.0032010707993991518</v>
      </c>
      <c r="AF214">
        <v>8.4238705247346107E-05</v>
      </c>
      <c r="AG214">
        <v>8.4238705247346107E-05</v>
      </c>
      <c r="AH214">
        <v>0</v>
      </c>
      <c r="AI214">
        <v>0</v>
      </c>
      <c r="AJ214">
        <v>0.0089293027562186867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0.003369548209893844</v>
      </c>
      <c r="AR214">
        <v>0</v>
      </c>
      <c r="AS214">
        <v>0</v>
      </c>
      <c r="AT214">
        <v>0</v>
      </c>
      <c r="AU214" t="s">
        <v>111</v>
      </c>
      <c r="BJ214" t="str">
        <f t="shared" si="6"/>
        <v>bus</v>
      </c>
      <c r="BK214" t="str">
        <f t="shared" si="7"/>
        <v>lpg</v>
      </c>
    </row>
    <row r="215" spans="1:63" ht="14.5">
      <c r="A215" t="s">
        <v>118</v>
      </c>
      <c r="B215" t="s">
        <v>62</v>
      </c>
      <c r="C215" t="s">
        <v>101</v>
      </c>
      <c r="D215" t="s">
        <v>111</v>
      </c>
      <c r="E215" t="s">
        <v>111</v>
      </c>
      <c r="F215" t="s">
        <v>111</v>
      </c>
      <c r="G215" t="s">
        <v>71</v>
      </c>
      <c r="H215" t="s">
        <v>111</v>
      </c>
      <c r="I215" t="s">
        <v>111</v>
      </c>
      <c r="J215" t="s">
        <v>111</v>
      </c>
      <c r="K215" t="s">
        <v>111</v>
      </c>
      <c r="L215">
        <v>0.00092662575772080704</v>
      </c>
      <c r="M215">
        <v>0</v>
      </c>
      <c r="N215">
        <v>0.001684774104946922</v>
      </c>
      <c r="O215">
        <v>0</v>
      </c>
      <c r="P215">
        <v>0</v>
      </c>
      <c r="Q215">
        <v>0</v>
      </c>
      <c r="R215">
        <v>0</v>
      </c>
      <c r="S215">
        <v>0.0069075738302823804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0.00092662575772080704</v>
      </c>
      <c r="AB215">
        <v>0</v>
      </c>
      <c r="AC215">
        <v>0</v>
      </c>
      <c r="AD215">
        <v>0</v>
      </c>
      <c r="AE215">
        <v>0.0032010707993991518</v>
      </c>
      <c r="AF215">
        <v>8.4238705247346107E-05</v>
      </c>
      <c r="AG215">
        <v>8.4238705247346107E-05</v>
      </c>
      <c r="AH215">
        <v>0</v>
      </c>
      <c r="AI215">
        <v>0</v>
      </c>
      <c r="AJ215">
        <v>0.0089293027562186867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0.003369548209893844</v>
      </c>
      <c r="AR215">
        <v>0</v>
      </c>
      <c r="AS215">
        <v>0</v>
      </c>
      <c r="AT215">
        <v>0</v>
      </c>
      <c r="AU215" t="s">
        <v>111</v>
      </c>
      <c r="BJ215" t="str">
        <f t="shared" si="6"/>
        <v>bus</v>
      </c>
      <c r="BK215" t="str">
        <f t="shared" si="7"/>
        <v>lpg</v>
      </c>
    </row>
    <row r="216" spans="1:63" ht="14.5">
      <c r="A216" t="s">
        <v>118</v>
      </c>
      <c r="B216" t="s">
        <v>62</v>
      </c>
      <c r="C216" t="s">
        <v>101</v>
      </c>
      <c r="D216" t="s">
        <v>111</v>
      </c>
      <c r="E216" t="s">
        <v>111</v>
      </c>
      <c r="F216" t="s">
        <v>111</v>
      </c>
      <c r="G216" t="s">
        <v>70</v>
      </c>
      <c r="H216" t="s">
        <v>111</v>
      </c>
      <c r="I216" t="s">
        <v>111</v>
      </c>
      <c r="J216" t="s">
        <v>111</v>
      </c>
      <c r="K216" t="s">
        <v>111</v>
      </c>
      <c r="L216">
        <v>0.00092662575772080704</v>
      </c>
      <c r="M216">
        <v>0</v>
      </c>
      <c r="N216">
        <v>0.001684774104946922</v>
      </c>
      <c r="O216">
        <v>0</v>
      </c>
      <c r="P216">
        <v>0</v>
      </c>
      <c r="Q216">
        <v>0</v>
      </c>
      <c r="R216">
        <v>0</v>
      </c>
      <c r="S216">
        <v>0.0069075738302823804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0.00092662575772080704</v>
      </c>
      <c r="AB216">
        <v>0</v>
      </c>
      <c r="AC216">
        <v>0</v>
      </c>
      <c r="AD216">
        <v>0</v>
      </c>
      <c r="AE216">
        <v>0.0032010707993991518</v>
      </c>
      <c r="AF216">
        <v>8.4238705247346107E-05</v>
      </c>
      <c r="AG216">
        <v>8.4238705247346107E-05</v>
      </c>
      <c r="AH216">
        <v>0</v>
      </c>
      <c r="AI216">
        <v>0</v>
      </c>
      <c r="AJ216">
        <v>0.0089293027562186867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0.003369548209893844</v>
      </c>
      <c r="AR216">
        <v>0</v>
      </c>
      <c r="AS216">
        <v>0</v>
      </c>
      <c r="AT216">
        <v>0</v>
      </c>
      <c r="AU216" t="s">
        <v>111</v>
      </c>
      <c r="BJ216" t="str">
        <f t="shared" si="6"/>
        <v>bus</v>
      </c>
      <c r="BK216" t="str">
        <f t="shared" si="7"/>
        <v>lpg</v>
      </c>
    </row>
    <row r="217" spans="1:63" ht="14.5">
      <c r="A217" t="s">
        <v>118</v>
      </c>
      <c r="B217" t="s">
        <v>62</v>
      </c>
      <c r="C217" t="s">
        <v>101</v>
      </c>
      <c r="D217" t="s">
        <v>111</v>
      </c>
      <c r="E217" t="s">
        <v>111</v>
      </c>
      <c r="F217" t="s">
        <v>111</v>
      </c>
      <c r="G217" t="s">
        <v>69</v>
      </c>
      <c r="H217" t="s">
        <v>111</v>
      </c>
      <c r="I217" t="s">
        <v>111</v>
      </c>
      <c r="J217" t="s">
        <v>111</v>
      </c>
      <c r="K217" t="s">
        <v>111</v>
      </c>
      <c r="L217">
        <v>0.00092662575772080704</v>
      </c>
      <c r="M217">
        <v>0</v>
      </c>
      <c r="N217">
        <v>0.001684774104946922</v>
      </c>
      <c r="O217">
        <v>0</v>
      </c>
      <c r="P217">
        <v>0</v>
      </c>
      <c r="Q217">
        <v>0</v>
      </c>
      <c r="R217">
        <v>0</v>
      </c>
      <c r="S217">
        <v>0.0069075738302823804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0.00092662575772080704</v>
      </c>
      <c r="AB217">
        <v>0</v>
      </c>
      <c r="AC217">
        <v>0</v>
      </c>
      <c r="AD217">
        <v>0</v>
      </c>
      <c r="AE217">
        <v>0.0032010707993991518</v>
      </c>
      <c r="AF217">
        <v>8.4238705247346107E-05</v>
      </c>
      <c r="AG217">
        <v>8.4238705247346107E-05</v>
      </c>
      <c r="AH217">
        <v>0</v>
      </c>
      <c r="AI217">
        <v>0</v>
      </c>
      <c r="AJ217">
        <v>0.0089293027562186867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0.003369548209893844</v>
      </c>
      <c r="AR217">
        <v>0</v>
      </c>
      <c r="AS217">
        <v>0</v>
      </c>
      <c r="AT217">
        <v>0</v>
      </c>
      <c r="AU217" t="s">
        <v>111</v>
      </c>
      <c r="BJ217" t="str">
        <f t="shared" si="6"/>
        <v>bus</v>
      </c>
      <c r="BK217" t="str">
        <f t="shared" si="7"/>
        <v>lpg</v>
      </c>
    </row>
    <row r="218" spans="1:63" ht="14.5">
      <c r="A218" t="s">
        <v>118</v>
      </c>
      <c r="B218" t="s">
        <v>62</v>
      </c>
      <c r="C218" t="s">
        <v>101</v>
      </c>
      <c r="D218" t="s">
        <v>111</v>
      </c>
      <c r="E218" t="s">
        <v>111</v>
      </c>
      <c r="F218" t="s">
        <v>111</v>
      </c>
      <c r="G218" t="s">
        <v>68</v>
      </c>
      <c r="H218" t="s">
        <v>111</v>
      </c>
      <c r="I218" t="s">
        <v>111</v>
      </c>
      <c r="J218" t="s">
        <v>111</v>
      </c>
      <c r="K218" t="s">
        <v>111</v>
      </c>
      <c r="L218">
        <v>0.00092662575772080704</v>
      </c>
      <c r="M218">
        <v>0</v>
      </c>
      <c r="N218">
        <v>0.001684774104946922</v>
      </c>
      <c r="O218">
        <v>0</v>
      </c>
      <c r="P218">
        <v>0</v>
      </c>
      <c r="Q218">
        <v>0</v>
      </c>
      <c r="R218">
        <v>0</v>
      </c>
      <c r="S218">
        <v>0.0069075738302823804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0.00092662575772080704</v>
      </c>
      <c r="AB218">
        <v>0</v>
      </c>
      <c r="AC218">
        <v>0</v>
      </c>
      <c r="AD218">
        <v>0</v>
      </c>
      <c r="AE218">
        <v>0.0032010707993991518</v>
      </c>
      <c r="AF218">
        <v>8.4238705247346107E-05</v>
      </c>
      <c r="AG218">
        <v>8.4238705247346107E-05</v>
      </c>
      <c r="AH218">
        <v>0</v>
      </c>
      <c r="AI218">
        <v>0</v>
      </c>
      <c r="AJ218">
        <v>0.0089293027562186867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0.003369548209893844</v>
      </c>
      <c r="AR218">
        <v>0</v>
      </c>
      <c r="AS218">
        <v>0</v>
      </c>
      <c r="AT218">
        <v>0</v>
      </c>
      <c r="AU218" t="s">
        <v>111</v>
      </c>
      <c r="BJ218" t="str">
        <f t="shared" si="6"/>
        <v>bus</v>
      </c>
      <c r="BK218" t="str">
        <f t="shared" si="7"/>
        <v>lpg</v>
      </c>
    </row>
    <row r="219" spans="1:63" ht="14.5">
      <c r="A219" t="s">
        <v>118</v>
      </c>
      <c r="B219" t="s">
        <v>62</v>
      </c>
      <c r="C219" t="s">
        <v>101</v>
      </c>
      <c r="D219" t="s">
        <v>111</v>
      </c>
      <c r="E219" t="s">
        <v>111</v>
      </c>
      <c r="F219" t="s">
        <v>111</v>
      </c>
      <c r="G219" t="s">
        <v>67</v>
      </c>
      <c r="H219" t="s">
        <v>111</v>
      </c>
      <c r="I219" t="s">
        <v>111</v>
      </c>
      <c r="J219" t="s">
        <v>111</v>
      </c>
      <c r="K219" t="s">
        <v>111</v>
      </c>
      <c r="L219">
        <v>0.00092662575772080704</v>
      </c>
      <c r="M219">
        <v>0</v>
      </c>
      <c r="N219">
        <v>0.001684774104946922</v>
      </c>
      <c r="O219">
        <v>0</v>
      </c>
      <c r="P219">
        <v>0</v>
      </c>
      <c r="Q219">
        <v>0</v>
      </c>
      <c r="R219">
        <v>0</v>
      </c>
      <c r="S219">
        <v>0.0069075738302823804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0.00092662575772080704</v>
      </c>
      <c r="AB219">
        <v>0</v>
      </c>
      <c r="AC219">
        <v>0</v>
      </c>
      <c r="AD219">
        <v>0</v>
      </c>
      <c r="AE219">
        <v>0.0032010707993991518</v>
      </c>
      <c r="AF219">
        <v>8.4238705247346107E-05</v>
      </c>
      <c r="AG219">
        <v>8.4238705247346107E-05</v>
      </c>
      <c r="AH219">
        <v>0</v>
      </c>
      <c r="AI219">
        <v>0</v>
      </c>
      <c r="AJ219">
        <v>0.0089293027562186867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0.003369548209893844</v>
      </c>
      <c r="AR219">
        <v>0</v>
      </c>
      <c r="AS219">
        <v>0</v>
      </c>
      <c r="AT219">
        <v>0</v>
      </c>
      <c r="AU219" t="s">
        <v>111</v>
      </c>
      <c r="BJ219" t="str">
        <f t="shared" si="6"/>
        <v>bus</v>
      </c>
      <c r="BK219" t="str">
        <f t="shared" si="7"/>
        <v>lpg</v>
      </c>
    </row>
    <row r="220" spans="1:63" ht="14.5">
      <c r="A220" t="s">
        <v>118</v>
      </c>
      <c r="B220" t="s">
        <v>62</v>
      </c>
      <c r="C220" t="s">
        <v>101</v>
      </c>
      <c r="D220" t="s">
        <v>111</v>
      </c>
      <c r="E220" t="s">
        <v>111</v>
      </c>
      <c r="F220" t="s">
        <v>111</v>
      </c>
      <c r="G220" t="s">
        <v>66</v>
      </c>
      <c r="H220" t="s">
        <v>111</v>
      </c>
      <c r="I220" t="s">
        <v>111</v>
      </c>
      <c r="J220" t="s">
        <v>111</v>
      </c>
      <c r="K220" t="s">
        <v>111</v>
      </c>
      <c r="L220">
        <v>0.00092662575772080704</v>
      </c>
      <c r="M220">
        <v>0</v>
      </c>
      <c r="N220">
        <v>0.001684774104946922</v>
      </c>
      <c r="O220">
        <v>0</v>
      </c>
      <c r="P220">
        <v>0</v>
      </c>
      <c r="Q220">
        <v>0</v>
      </c>
      <c r="R220">
        <v>0</v>
      </c>
      <c r="S220">
        <v>0.0069075738302823804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0.00092662575772080704</v>
      </c>
      <c r="AB220">
        <v>0</v>
      </c>
      <c r="AC220">
        <v>0</v>
      </c>
      <c r="AD220">
        <v>0</v>
      </c>
      <c r="AE220">
        <v>0.0032010707993991518</v>
      </c>
      <c r="AF220">
        <v>8.4238705247346107E-05</v>
      </c>
      <c r="AG220">
        <v>8.4238705247346107E-05</v>
      </c>
      <c r="AH220">
        <v>0</v>
      </c>
      <c r="AI220">
        <v>0</v>
      </c>
      <c r="AJ220">
        <v>0.0089293027562186867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0.003369548209893844</v>
      </c>
      <c r="AR220">
        <v>0</v>
      </c>
      <c r="AS220">
        <v>0</v>
      </c>
      <c r="AT220">
        <v>0</v>
      </c>
      <c r="AU220" t="s">
        <v>111</v>
      </c>
      <c r="BJ220" t="str">
        <f t="shared" si="6"/>
        <v>bus</v>
      </c>
      <c r="BK220" t="str">
        <f t="shared" si="7"/>
        <v>lpg</v>
      </c>
    </row>
    <row r="221" spans="1:63" ht="14.5">
      <c r="A221" t="s">
        <v>118</v>
      </c>
      <c r="B221" t="s">
        <v>62</v>
      </c>
      <c r="C221" t="s">
        <v>101</v>
      </c>
      <c r="D221" t="s">
        <v>111</v>
      </c>
      <c r="E221" t="s">
        <v>111</v>
      </c>
      <c r="F221" t="s">
        <v>111</v>
      </c>
      <c r="G221" t="s">
        <v>65</v>
      </c>
      <c r="H221" t="s">
        <v>111</v>
      </c>
      <c r="I221" t="s">
        <v>111</v>
      </c>
      <c r="J221" t="s">
        <v>111</v>
      </c>
      <c r="K221" t="s">
        <v>111</v>
      </c>
      <c r="L221">
        <v>0.00092662575772080704</v>
      </c>
      <c r="M221">
        <v>0</v>
      </c>
      <c r="N221">
        <v>0.001684774104946922</v>
      </c>
      <c r="O221">
        <v>0</v>
      </c>
      <c r="P221">
        <v>0</v>
      </c>
      <c r="Q221">
        <v>0</v>
      </c>
      <c r="R221">
        <v>0</v>
      </c>
      <c r="S221">
        <v>0.0069075738302823804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0.00092662575772080704</v>
      </c>
      <c r="AB221">
        <v>0</v>
      </c>
      <c r="AC221">
        <v>0</v>
      </c>
      <c r="AD221">
        <v>0</v>
      </c>
      <c r="AE221">
        <v>0.0032010707993991518</v>
      </c>
      <c r="AF221">
        <v>8.4238705247346107E-05</v>
      </c>
      <c r="AG221">
        <v>8.4238705247346107E-05</v>
      </c>
      <c r="AH221">
        <v>0</v>
      </c>
      <c r="AI221">
        <v>0</v>
      </c>
      <c r="AJ221">
        <v>0.0089293027562186867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0.003369548209893844</v>
      </c>
      <c r="AR221">
        <v>0</v>
      </c>
      <c r="AS221">
        <v>0</v>
      </c>
      <c r="AT221">
        <v>0</v>
      </c>
      <c r="AU221" t="s">
        <v>111</v>
      </c>
      <c r="BJ221" t="str">
        <f t="shared" si="6"/>
        <v>bus</v>
      </c>
      <c r="BK221" t="str">
        <f t="shared" si="7"/>
        <v>lpg</v>
      </c>
    </row>
    <row r="222" spans="1:63" ht="14.5">
      <c r="A222" t="s">
        <v>118</v>
      </c>
      <c r="B222" t="s">
        <v>62</v>
      </c>
      <c r="C222" t="s">
        <v>100</v>
      </c>
      <c r="D222" t="s">
        <v>111</v>
      </c>
      <c r="E222" t="s">
        <v>111</v>
      </c>
      <c r="F222" t="s">
        <v>111</v>
      </c>
      <c r="G222" t="s">
        <v>61</v>
      </c>
      <c r="H222" t="s">
        <v>111</v>
      </c>
      <c r="I222" t="s">
        <v>111</v>
      </c>
      <c r="J222" t="s">
        <v>111</v>
      </c>
      <c r="K222" t="s">
        <v>111</v>
      </c>
      <c r="L222">
        <v>0.0017690128101942682</v>
      </c>
      <c r="M222">
        <v>0</v>
      </c>
      <c r="N222">
        <v>0.00025271611574203829</v>
      </c>
      <c r="O222">
        <v>0</v>
      </c>
      <c r="P222">
        <v>0</v>
      </c>
      <c r="Q222">
        <v>0.00016847741049469221</v>
      </c>
      <c r="R222">
        <v>0.0037065030308832281</v>
      </c>
      <c r="S222">
        <v>0.072698002628459685</v>
      </c>
      <c r="T222">
        <v>8.4238705247346107E-05</v>
      </c>
      <c r="U222">
        <v>0.00050543223148407659</v>
      </c>
      <c r="V222">
        <v>0.00033695482098938443</v>
      </c>
      <c r="W222">
        <v>0.00042119352623673051</v>
      </c>
      <c r="X222">
        <v>0</v>
      </c>
      <c r="Y222">
        <v>0.00058967093673142272</v>
      </c>
      <c r="Z222">
        <v>0</v>
      </c>
      <c r="AA222">
        <v>0.010866792976907647</v>
      </c>
      <c r="AB222">
        <v>0</v>
      </c>
      <c r="AC222">
        <v>0.0018532515154416141</v>
      </c>
      <c r="AD222">
        <v>0</v>
      </c>
      <c r="AE222">
        <v>0.0071602899460244188</v>
      </c>
      <c r="AF222">
        <v>0.013056999313338645</v>
      </c>
      <c r="AG222">
        <v>0</v>
      </c>
      <c r="AH222">
        <v>8.4238705247346107E-05</v>
      </c>
      <c r="AI222">
        <v>8.4238705247346107E-05</v>
      </c>
      <c r="AJ222">
        <v>0.0037907417361305743</v>
      </c>
      <c r="AK222">
        <v>0</v>
      </c>
      <c r="AL222">
        <v>0</v>
      </c>
      <c r="AM222">
        <v>0</v>
      </c>
      <c r="AN222">
        <v>0.00042119352623673051</v>
      </c>
      <c r="AO222">
        <v>0.00025271611574203829</v>
      </c>
      <c r="AP222">
        <v>0</v>
      </c>
      <c r="AQ222">
        <v>0.00016847741049469221</v>
      </c>
      <c r="AR222">
        <v>0</v>
      </c>
      <c r="AS222">
        <v>0</v>
      </c>
      <c r="AT222">
        <v>0.00016847741049469221</v>
      </c>
      <c r="AU222" t="s">
        <v>111</v>
      </c>
      <c r="BJ222" t="str">
        <f t="shared" si="6"/>
        <v>bus</v>
      </c>
      <c r="BK222" t="str">
        <f t="shared" si="7"/>
        <v>nga</v>
      </c>
    </row>
    <row r="223" spans="1:63" ht="14.5">
      <c r="A223" t="s">
        <v>118</v>
      </c>
      <c r="B223" t="s">
        <v>62</v>
      </c>
      <c r="C223" t="s">
        <v>100</v>
      </c>
      <c r="D223" t="s">
        <v>111</v>
      </c>
      <c r="E223" t="s">
        <v>111</v>
      </c>
      <c r="F223" t="s">
        <v>111</v>
      </c>
      <c r="G223" t="s">
        <v>83</v>
      </c>
      <c r="H223" t="s">
        <v>111</v>
      </c>
      <c r="I223" t="s">
        <v>111</v>
      </c>
      <c r="J223" t="s">
        <v>111</v>
      </c>
      <c r="K223" t="s">
        <v>111</v>
      </c>
      <c r="L223">
        <v>0.0017690128101942682</v>
      </c>
      <c r="M223">
        <v>0</v>
      </c>
      <c r="N223">
        <v>0.00025271611574203829</v>
      </c>
      <c r="O223">
        <v>0</v>
      </c>
      <c r="P223">
        <v>0</v>
      </c>
      <c r="Q223">
        <v>0.00016847741049469221</v>
      </c>
      <c r="R223">
        <v>0.0037065030308832281</v>
      </c>
      <c r="S223">
        <v>0.072698002628459685</v>
      </c>
      <c r="T223">
        <v>8.4238705247346107E-05</v>
      </c>
      <c r="U223">
        <v>0.00050543223148407659</v>
      </c>
      <c r="V223">
        <v>0.00033695482098938443</v>
      </c>
      <c r="W223">
        <v>0.00042119352623673051</v>
      </c>
      <c r="X223">
        <v>0</v>
      </c>
      <c r="Y223">
        <v>0.00058967093673142272</v>
      </c>
      <c r="Z223">
        <v>0</v>
      </c>
      <c r="AA223">
        <v>0.010866792976907647</v>
      </c>
      <c r="AB223">
        <v>0</v>
      </c>
      <c r="AC223">
        <v>0.0018532515154416141</v>
      </c>
      <c r="AD223">
        <v>0</v>
      </c>
      <c r="AE223">
        <v>0.0071602899460244188</v>
      </c>
      <c r="AF223">
        <v>0.013056999313338645</v>
      </c>
      <c r="AG223">
        <v>0</v>
      </c>
      <c r="AH223">
        <v>8.4238705247346107E-05</v>
      </c>
      <c r="AI223">
        <v>8.4238705247346107E-05</v>
      </c>
      <c r="AJ223">
        <v>0.0037907417361305743</v>
      </c>
      <c r="AK223">
        <v>0</v>
      </c>
      <c r="AL223">
        <v>0</v>
      </c>
      <c r="AM223">
        <v>0</v>
      </c>
      <c r="AN223">
        <v>0.00042119352623673051</v>
      </c>
      <c r="AO223">
        <v>0.00025271611574203829</v>
      </c>
      <c r="AP223">
        <v>0</v>
      </c>
      <c r="AQ223">
        <v>0.00016847741049469221</v>
      </c>
      <c r="AR223">
        <v>0</v>
      </c>
      <c r="AS223">
        <v>0</v>
      </c>
      <c r="AT223">
        <v>0.00016847741049469221</v>
      </c>
      <c r="AU223" t="s">
        <v>111</v>
      </c>
      <c r="BJ223" t="str">
        <f t="shared" si="6"/>
        <v>bus</v>
      </c>
      <c r="BK223" t="str">
        <f t="shared" si="7"/>
        <v>nga</v>
      </c>
    </row>
    <row r="224" spans="1:63" ht="14.5">
      <c r="A224" t="s">
        <v>118</v>
      </c>
      <c r="B224" t="s">
        <v>62</v>
      </c>
      <c r="C224" t="s">
        <v>100</v>
      </c>
      <c r="D224" t="s">
        <v>111</v>
      </c>
      <c r="E224" t="s">
        <v>111</v>
      </c>
      <c r="F224" t="s">
        <v>111</v>
      </c>
      <c r="G224" t="s">
        <v>82</v>
      </c>
      <c r="H224" t="s">
        <v>111</v>
      </c>
      <c r="I224" t="s">
        <v>111</v>
      </c>
      <c r="J224" t="s">
        <v>111</v>
      </c>
      <c r="K224" t="s">
        <v>111</v>
      </c>
      <c r="L224">
        <v>0.0017690128101942682</v>
      </c>
      <c r="M224">
        <v>0</v>
      </c>
      <c r="N224">
        <v>0.00025271611574203829</v>
      </c>
      <c r="O224">
        <v>0</v>
      </c>
      <c r="P224">
        <v>0</v>
      </c>
      <c r="Q224">
        <v>0.00016847741049469221</v>
      </c>
      <c r="R224">
        <v>0.0037065030308832281</v>
      </c>
      <c r="S224">
        <v>0.072698002628459685</v>
      </c>
      <c r="T224">
        <v>8.4238705247346107E-05</v>
      </c>
      <c r="U224">
        <v>0.00050543223148407659</v>
      </c>
      <c r="V224">
        <v>0.00033695482098938443</v>
      </c>
      <c r="W224">
        <v>0.00042119352623673051</v>
      </c>
      <c r="X224">
        <v>0</v>
      </c>
      <c r="Y224">
        <v>0.00058967093673142272</v>
      </c>
      <c r="Z224">
        <v>0</v>
      </c>
      <c r="AA224">
        <v>0.010866792976907647</v>
      </c>
      <c r="AB224">
        <v>0</v>
      </c>
      <c r="AC224">
        <v>0.0018532515154416141</v>
      </c>
      <c r="AD224">
        <v>0</v>
      </c>
      <c r="AE224">
        <v>0.0071602899460244188</v>
      </c>
      <c r="AF224">
        <v>0.013056999313338645</v>
      </c>
      <c r="AG224">
        <v>0</v>
      </c>
      <c r="AH224">
        <v>8.4238705247346107E-05</v>
      </c>
      <c r="AI224">
        <v>8.4238705247346107E-05</v>
      </c>
      <c r="AJ224">
        <v>0.0037907417361305743</v>
      </c>
      <c r="AK224">
        <v>0</v>
      </c>
      <c r="AL224">
        <v>0</v>
      </c>
      <c r="AM224">
        <v>0</v>
      </c>
      <c r="AN224">
        <v>0.00042119352623673051</v>
      </c>
      <c r="AO224">
        <v>0.00025271611574203829</v>
      </c>
      <c r="AP224">
        <v>0</v>
      </c>
      <c r="AQ224">
        <v>0.00016847741049469221</v>
      </c>
      <c r="AR224">
        <v>0</v>
      </c>
      <c r="AS224">
        <v>0</v>
      </c>
      <c r="AT224">
        <v>0.00016847741049469221</v>
      </c>
      <c r="AU224" t="s">
        <v>111</v>
      </c>
      <c r="BJ224" t="str">
        <f t="shared" si="6"/>
        <v>bus</v>
      </c>
      <c r="BK224" t="str">
        <f t="shared" si="7"/>
        <v>nga</v>
      </c>
    </row>
    <row r="225" spans="1:63" ht="14.5">
      <c r="A225" t="s">
        <v>118</v>
      </c>
      <c r="B225" t="s">
        <v>62</v>
      </c>
      <c r="C225" t="s">
        <v>100</v>
      </c>
      <c r="D225" t="s">
        <v>111</v>
      </c>
      <c r="E225" t="s">
        <v>111</v>
      </c>
      <c r="F225" t="s">
        <v>111</v>
      </c>
      <c r="G225" t="s">
        <v>81</v>
      </c>
      <c r="H225" t="s">
        <v>111</v>
      </c>
      <c r="I225" t="s">
        <v>111</v>
      </c>
      <c r="J225" t="s">
        <v>111</v>
      </c>
      <c r="K225" t="s">
        <v>111</v>
      </c>
      <c r="L225">
        <v>0.0017690128101942682</v>
      </c>
      <c r="M225">
        <v>0</v>
      </c>
      <c r="N225">
        <v>0.00025271611574203829</v>
      </c>
      <c r="O225">
        <v>0</v>
      </c>
      <c r="P225">
        <v>0</v>
      </c>
      <c r="Q225">
        <v>0.00016847741049469221</v>
      </c>
      <c r="R225">
        <v>0.0037065030308832281</v>
      </c>
      <c r="S225">
        <v>0.072698002628459685</v>
      </c>
      <c r="T225">
        <v>8.4238705247346107E-05</v>
      </c>
      <c r="U225">
        <v>0.00050543223148407659</v>
      </c>
      <c r="V225">
        <v>0.00033695482098938443</v>
      </c>
      <c r="W225">
        <v>0.00042119352623673051</v>
      </c>
      <c r="X225">
        <v>0</v>
      </c>
      <c r="Y225">
        <v>0.00058967093673142272</v>
      </c>
      <c r="Z225">
        <v>0</v>
      </c>
      <c r="AA225">
        <v>0.010866792976907647</v>
      </c>
      <c r="AB225">
        <v>0</v>
      </c>
      <c r="AC225">
        <v>0.0018532515154416141</v>
      </c>
      <c r="AD225">
        <v>0</v>
      </c>
      <c r="AE225">
        <v>0.0071602899460244188</v>
      </c>
      <c r="AF225">
        <v>0.013056999313338645</v>
      </c>
      <c r="AG225">
        <v>0</v>
      </c>
      <c r="AH225">
        <v>8.4238705247346107E-05</v>
      </c>
      <c r="AI225">
        <v>8.4238705247346107E-05</v>
      </c>
      <c r="AJ225">
        <v>0.0037907417361305743</v>
      </c>
      <c r="AK225">
        <v>0</v>
      </c>
      <c r="AL225">
        <v>0</v>
      </c>
      <c r="AM225">
        <v>0</v>
      </c>
      <c r="AN225">
        <v>0.00042119352623673051</v>
      </c>
      <c r="AO225">
        <v>0.00025271611574203829</v>
      </c>
      <c r="AP225">
        <v>0</v>
      </c>
      <c r="AQ225">
        <v>0.00016847741049469221</v>
      </c>
      <c r="AR225">
        <v>0</v>
      </c>
      <c r="AS225">
        <v>0</v>
      </c>
      <c r="AT225">
        <v>0.00016847741049469221</v>
      </c>
      <c r="AU225" t="s">
        <v>111</v>
      </c>
      <c r="BJ225" t="str">
        <f t="shared" si="6"/>
        <v>bus</v>
      </c>
      <c r="BK225" t="str">
        <f t="shared" si="7"/>
        <v>nga</v>
      </c>
    </row>
    <row r="226" spans="1:63" ht="14.5">
      <c r="A226" t="s">
        <v>118</v>
      </c>
      <c r="B226" t="s">
        <v>62</v>
      </c>
      <c r="C226" t="s">
        <v>100</v>
      </c>
      <c r="D226" t="s">
        <v>111</v>
      </c>
      <c r="E226" t="s">
        <v>111</v>
      </c>
      <c r="F226" t="s">
        <v>111</v>
      </c>
      <c r="G226" t="s">
        <v>80</v>
      </c>
      <c r="H226" t="s">
        <v>111</v>
      </c>
      <c r="I226" t="s">
        <v>111</v>
      </c>
      <c r="J226" t="s">
        <v>111</v>
      </c>
      <c r="K226" t="s">
        <v>111</v>
      </c>
      <c r="L226">
        <v>0.0017690128101942682</v>
      </c>
      <c r="M226">
        <v>0</v>
      </c>
      <c r="N226">
        <v>0.00025271611574203829</v>
      </c>
      <c r="O226">
        <v>0</v>
      </c>
      <c r="P226">
        <v>0</v>
      </c>
      <c r="Q226">
        <v>0.00016847741049469221</v>
      </c>
      <c r="R226">
        <v>0.0037065030308832281</v>
      </c>
      <c r="S226">
        <v>0.072698002628459685</v>
      </c>
      <c r="T226">
        <v>8.4238705247346107E-05</v>
      </c>
      <c r="U226">
        <v>0.00050543223148407659</v>
      </c>
      <c r="V226">
        <v>0.00033695482098938443</v>
      </c>
      <c r="W226">
        <v>0.00042119352623673051</v>
      </c>
      <c r="X226">
        <v>0</v>
      </c>
      <c r="Y226">
        <v>0.00058967093673142272</v>
      </c>
      <c r="Z226">
        <v>0</v>
      </c>
      <c r="AA226">
        <v>0.010866792976907647</v>
      </c>
      <c r="AB226">
        <v>0</v>
      </c>
      <c r="AC226">
        <v>0.0018532515154416141</v>
      </c>
      <c r="AD226">
        <v>0</v>
      </c>
      <c r="AE226">
        <v>0.0071602899460244188</v>
      </c>
      <c r="AF226">
        <v>0.013056999313338645</v>
      </c>
      <c r="AG226">
        <v>0</v>
      </c>
      <c r="AH226">
        <v>8.4238705247346107E-05</v>
      </c>
      <c r="AI226">
        <v>8.4238705247346107E-05</v>
      </c>
      <c r="AJ226">
        <v>0.0037907417361305743</v>
      </c>
      <c r="AK226">
        <v>0</v>
      </c>
      <c r="AL226">
        <v>0</v>
      </c>
      <c r="AM226">
        <v>0</v>
      </c>
      <c r="AN226">
        <v>0.00042119352623673051</v>
      </c>
      <c r="AO226">
        <v>0.00025271611574203829</v>
      </c>
      <c r="AP226">
        <v>0</v>
      </c>
      <c r="AQ226">
        <v>0.00016847741049469221</v>
      </c>
      <c r="AR226">
        <v>0</v>
      </c>
      <c r="AS226">
        <v>0</v>
      </c>
      <c r="AT226">
        <v>0.00016847741049469221</v>
      </c>
      <c r="AU226" t="s">
        <v>111</v>
      </c>
      <c r="BJ226" t="str">
        <f t="shared" si="6"/>
        <v>bus</v>
      </c>
      <c r="BK226" t="str">
        <f t="shared" si="7"/>
        <v>nga</v>
      </c>
    </row>
    <row r="227" spans="1:63" ht="14.5">
      <c r="A227" t="s">
        <v>118</v>
      </c>
      <c r="B227" t="s">
        <v>62</v>
      </c>
      <c r="C227" t="s">
        <v>100</v>
      </c>
      <c r="D227" t="s">
        <v>111</v>
      </c>
      <c r="E227" t="s">
        <v>111</v>
      </c>
      <c r="F227" t="s">
        <v>111</v>
      </c>
      <c r="G227" t="s">
        <v>79</v>
      </c>
      <c r="H227" t="s">
        <v>111</v>
      </c>
      <c r="I227" t="s">
        <v>111</v>
      </c>
      <c r="J227" t="s">
        <v>111</v>
      </c>
      <c r="K227" t="s">
        <v>111</v>
      </c>
      <c r="L227">
        <v>0.0017690128101942682</v>
      </c>
      <c r="M227">
        <v>0</v>
      </c>
      <c r="N227">
        <v>0.00025271611574203829</v>
      </c>
      <c r="O227">
        <v>0</v>
      </c>
      <c r="P227">
        <v>0</v>
      </c>
      <c r="Q227">
        <v>0.00016847741049469221</v>
      </c>
      <c r="R227">
        <v>0.0037065030308832281</v>
      </c>
      <c r="S227">
        <v>0.072698002628459685</v>
      </c>
      <c r="T227">
        <v>8.4238705247346107E-05</v>
      </c>
      <c r="U227">
        <v>0.00050543223148407659</v>
      </c>
      <c r="V227">
        <v>0.00033695482098938443</v>
      </c>
      <c r="W227">
        <v>0.00042119352623673051</v>
      </c>
      <c r="X227">
        <v>0</v>
      </c>
      <c r="Y227">
        <v>0.00058967093673142272</v>
      </c>
      <c r="Z227">
        <v>0</v>
      </c>
      <c r="AA227">
        <v>0.010866792976907647</v>
      </c>
      <c r="AB227">
        <v>0</v>
      </c>
      <c r="AC227">
        <v>0.0018532515154416141</v>
      </c>
      <c r="AD227">
        <v>0</v>
      </c>
      <c r="AE227">
        <v>0.0071602899460244188</v>
      </c>
      <c r="AF227">
        <v>0.013056999313338645</v>
      </c>
      <c r="AG227">
        <v>0</v>
      </c>
      <c r="AH227">
        <v>8.4238705247346107E-05</v>
      </c>
      <c r="AI227">
        <v>8.4238705247346107E-05</v>
      </c>
      <c r="AJ227">
        <v>0.0037907417361305743</v>
      </c>
      <c r="AK227">
        <v>0</v>
      </c>
      <c r="AL227">
        <v>0</v>
      </c>
      <c r="AM227">
        <v>0</v>
      </c>
      <c r="AN227">
        <v>0.00042119352623673051</v>
      </c>
      <c r="AO227">
        <v>0.00025271611574203829</v>
      </c>
      <c r="AP227">
        <v>0</v>
      </c>
      <c r="AQ227">
        <v>0.00016847741049469221</v>
      </c>
      <c r="AR227">
        <v>0</v>
      </c>
      <c r="AS227">
        <v>0</v>
      </c>
      <c r="AT227">
        <v>0.00016847741049469221</v>
      </c>
      <c r="AU227" t="s">
        <v>111</v>
      </c>
      <c r="BJ227" t="str">
        <f t="shared" si="6"/>
        <v>bus</v>
      </c>
      <c r="BK227" t="str">
        <f t="shared" si="7"/>
        <v>nga</v>
      </c>
    </row>
    <row r="228" spans="1:63" ht="14.5">
      <c r="A228" t="s">
        <v>118</v>
      </c>
      <c r="B228" t="s">
        <v>62</v>
      </c>
      <c r="C228" t="s">
        <v>100</v>
      </c>
      <c r="D228" t="s">
        <v>111</v>
      </c>
      <c r="E228" t="s">
        <v>111</v>
      </c>
      <c r="F228" t="s">
        <v>111</v>
      </c>
      <c r="G228" t="s">
        <v>78</v>
      </c>
      <c r="H228" t="s">
        <v>111</v>
      </c>
      <c r="I228" t="s">
        <v>111</v>
      </c>
      <c r="J228" t="s">
        <v>111</v>
      </c>
      <c r="K228" t="s">
        <v>111</v>
      </c>
      <c r="L228">
        <v>0.0017690128101942682</v>
      </c>
      <c r="M228">
        <v>0</v>
      </c>
      <c r="N228">
        <v>0.00025271611574203829</v>
      </c>
      <c r="O228">
        <v>0</v>
      </c>
      <c r="P228">
        <v>0</v>
      </c>
      <c r="Q228">
        <v>0.00016847741049469221</v>
      </c>
      <c r="R228">
        <v>0.0037065030308832281</v>
      </c>
      <c r="S228">
        <v>0.072698002628459685</v>
      </c>
      <c r="T228">
        <v>8.4238705247346107E-05</v>
      </c>
      <c r="U228">
        <v>0.00050543223148407659</v>
      </c>
      <c r="V228">
        <v>0.00033695482098938443</v>
      </c>
      <c r="W228">
        <v>0.00042119352623673051</v>
      </c>
      <c r="X228">
        <v>0</v>
      </c>
      <c r="Y228">
        <v>0.00058967093673142272</v>
      </c>
      <c r="Z228">
        <v>0</v>
      </c>
      <c r="AA228">
        <v>0.010866792976907647</v>
      </c>
      <c r="AB228">
        <v>0</v>
      </c>
      <c r="AC228">
        <v>0.0018532515154416141</v>
      </c>
      <c r="AD228">
        <v>0</v>
      </c>
      <c r="AE228">
        <v>0.0071602899460244188</v>
      </c>
      <c r="AF228">
        <v>0.013056999313338645</v>
      </c>
      <c r="AG228">
        <v>0</v>
      </c>
      <c r="AH228">
        <v>8.4238705247346107E-05</v>
      </c>
      <c r="AI228">
        <v>8.4238705247346107E-05</v>
      </c>
      <c r="AJ228">
        <v>0.0037907417361305743</v>
      </c>
      <c r="AK228">
        <v>0</v>
      </c>
      <c r="AL228">
        <v>0</v>
      </c>
      <c r="AM228">
        <v>0</v>
      </c>
      <c r="AN228">
        <v>0.00042119352623673051</v>
      </c>
      <c r="AO228">
        <v>0.00025271611574203829</v>
      </c>
      <c r="AP228">
        <v>0</v>
      </c>
      <c r="AQ228">
        <v>0.00016847741049469221</v>
      </c>
      <c r="AR228">
        <v>0</v>
      </c>
      <c r="AS228">
        <v>0</v>
      </c>
      <c r="AT228">
        <v>0.00016847741049469221</v>
      </c>
      <c r="AU228" t="s">
        <v>111</v>
      </c>
      <c r="BJ228" t="str">
        <f t="shared" si="6"/>
        <v>bus</v>
      </c>
      <c r="BK228" t="str">
        <f t="shared" si="7"/>
        <v>nga</v>
      </c>
    </row>
    <row r="229" spans="1:63" ht="14.5">
      <c r="A229" t="s">
        <v>118</v>
      </c>
      <c r="B229" t="s">
        <v>62</v>
      </c>
      <c r="C229" t="s">
        <v>100</v>
      </c>
      <c r="D229" t="s">
        <v>111</v>
      </c>
      <c r="E229" t="s">
        <v>111</v>
      </c>
      <c r="F229" t="s">
        <v>111</v>
      </c>
      <c r="G229" t="s">
        <v>77</v>
      </c>
      <c r="H229" t="s">
        <v>111</v>
      </c>
      <c r="I229" t="s">
        <v>111</v>
      </c>
      <c r="J229" t="s">
        <v>111</v>
      </c>
      <c r="K229" t="s">
        <v>111</v>
      </c>
      <c r="L229">
        <v>0.0017690128101942682</v>
      </c>
      <c r="M229">
        <v>0</v>
      </c>
      <c r="N229">
        <v>0.00025271611574203829</v>
      </c>
      <c r="O229">
        <v>0</v>
      </c>
      <c r="P229">
        <v>0</v>
      </c>
      <c r="Q229">
        <v>0.00016847741049469221</v>
      </c>
      <c r="R229">
        <v>0.0037065030308832281</v>
      </c>
      <c r="S229">
        <v>0.072698002628459685</v>
      </c>
      <c r="T229">
        <v>8.4238705247346107E-05</v>
      </c>
      <c r="U229">
        <v>0.00050543223148407659</v>
      </c>
      <c r="V229">
        <v>0.00033695482098938443</v>
      </c>
      <c r="W229">
        <v>0.00042119352623673051</v>
      </c>
      <c r="X229">
        <v>0</v>
      </c>
      <c r="Y229">
        <v>0.00058967093673142272</v>
      </c>
      <c r="Z229">
        <v>0</v>
      </c>
      <c r="AA229">
        <v>0.010866792976907647</v>
      </c>
      <c r="AB229">
        <v>0</v>
      </c>
      <c r="AC229">
        <v>0.0018532515154416141</v>
      </c>
      <c r="AD229">
        <v>0</v>
      </c>
      <c r="AE229">
        <v>0.0071602899460244188</v>
      </c>
      <c r="AF229">
        <v>0.013056999313338645</v>
      </c>
      <c r="AG229">
        <v>0</v>
      </c>
      <c r="AH229">
        <v>8.4238705247346107E-05</v>
      </c>
      <c r="AI229">
        <v>8.4238705247346107E-05</v>
      </c>
      <c r="AJ229">
        <v>0.0037907417361305743</v>
      </c>
      <c r="AK229">
        <v>0</v>
      </c>
      <c r="AL229">
        <v>0</v>
      </c>
      <c r="AM229">
        <v>0</v>
      </c>
      <c r="AN229">
        <v>0.00042119352623673051</v>
      </c>
      <c r="AO229">
        <v>0.00025271611574203829</v>
      </c>
      <c r="AP229">
        <v>0</v>
      </c>
      <c r="AQ229">
        <v>0.00016847741049469221</v>
      </c>
      <c r="AR229">
        <v>0</v>
      </c>
      <c r="AS229">
        <v>0</v>
      </c>
      <c r="AT229">
        <v>0.00016847741049469221</v>
      </c>
      <c r="AU229" t="s">
        <v>111</v>
      </c>
      <c r="BJ229" t="str">
        <f t="shared" si="6"/>
        <v>bus</v>
      </c>
      <c r="BK229" t="str">
        <f t="shared" si="7"/>
        <v>nga</v>
      </c>
    </row>
    <row r="230" spans="1:63" ht="14.5">
      <c r="A230" t="s">
        <v>118</v>
      </c>
      <c r="B230" t="s">
        <v>62</v>
      </c>
      <c r="C230" t="s">
        <v>100</v>
      </c>
      <c r="D230" t="s">
        <v>111</v>
      </c>
      <c r="E230" t="s">
        <v>111</v>
      </c>
      <c r="F230" t="s">
        <v>111</v>
      </c>
      <c r="G230" t="s">
        <v>76</v>
      </c>
      <c r="H230" t="s">
        <v>111</v>
      </c>
      <c r="I230" t="s">
        <v>111</v>
      </c>
      <c r="J230" t="s">
        <v>111</v>
      </c>
      <c r="K230" t="s">
        <v>111</v>
      </c>
      <c r="L230">
        <v>0.0017690128101942682</v>
      </c>
      <c r="M230">
        <v>0</v>
      </c>
      <c r="N230">
        <v>0.00025271611574203829</v>
      </c>
      <c r="O230">
        <v>0</v>
      </c>
      <c r="P230">
        <v>0</v>
      </c>
      <c r="Q230">
        <v>0.00016847741049469221</v>
      </c>
      <c r="R230">
        <v>0.0037065030308832281</v>
      </c>
      <c r="S230">
        <v>0.072698002628459685</v>
      </c>
      <c r="T230">
        <v>8.4238705247346107E-05</v>
      </c>
      <c r="U230">
        <v>0.00050543223148407659</v>
      </c>
      <c r="V230">
        <v>0.00033695482098938443</v>
      </c>
      <c r="W230">
        <v>0.00042119352623673051</v>
      </c>
      <c r="X230">
        <v>0</v>
      </c>
      <c r="Y230">
        <v>0.00058967093673142272</v>
      </c>
      <c r="Z230">
        <v>0</v>
      </c>
      <c r="AA230">
        <v>0.010866792976907647</v>
      </c>
      <c r="AB230">
        <v>0</v>
      </c>
      <c r="AC230">
        <v>0.0018532515154416141</v>
      </c>
      <c r="AD230">
        <v>0</v>
      </c>
      <c r="AE230">
        <v>0.0071602899460244188</v>
      </c>
      <c r="AF230">
        <v>0.013056999313338645</v>
      </c>
      <c r="AG230">
        <v>0</v>
      </c>
      <c r="AH230">
        <v>8.4238705247346107E-05</v>
      </c>
      <c r="AI230">
        <v>8.4238705247346107E-05</v>
      </c>
      <c r="AJ230">
        <v>0.0037907417361305743</v>
      </c>
      <c r="AK230">
        <v>0</v>
      </c>
      <c r="AL230">
        <v>0</v>
      </c>
      <c r="AM230">
        <v>0</v>
      </c>
      <c r="AN230">
        <v>0.00042119352623673051</v>
      </c>
      <c r="AO230">
        <v>0.00025271611574203829</v>
      </c>
      <c r="AP230">
        <v>0</v>
      </c>
      <c r="AQ230">
        <v>0.00016847741049469221</v>
      </c>
      <c r="AR230">
        <v>0</v>
      </c>
      <c r="AS230">
        <v>0</v>
      </c>
      <c r="AT230">
        <v>0.00016847741049469221</v>
      </c>
      <c r="AU230" t="s">
        <v>111</v>
      </c>
      <c r="BJ230" t="str">
        <f t="shared" si="6"/>
        <v>bus</v>
      </c>
      <c r="BK230" t="str">
        <f t="shared" si="7"/>
        <v>nga</v>
      </c>
    </row>
    <row r="231" spans="1:63" ht="14.5">
      <c r="A231" t="s">
        <v>118</v>
      </c>
      <c r="B231" t="s">
        <v>62</v>
      </c>
      <c r="C231" t="s">
        <v>100</v>
      </c>
      <c r="D231" t="s">
        <v>111</v>
      </c>
      <c r="E231" t="s">
        <v>111</v>
      </c>
      <c r="F231" t="s">
        <v>111</v>
      </c>
      <c r="G231" t="s">
        <v>75</v>
      </c>
      <c r="H231" t="s">
        <v>111</v>
      </c>
      <c r="I231" t="s">
        <v>111</v>
      </c>
      <c r="J231" t="s">
        <v>111</v>
      </c>
      <c r="K231" t="s">
        <v>111</v>
      </c>
      <c r="L231">
        <v>0.0017690128101942682</v>
      </c>
      <c r="M231">
        <v>0</v>
      </c>
      <c r="N231">
        <v>0.00025271611574203829</v>
      </c>
      <c r="O231">
        <v>0</v>
      </c>
      <c r="P231">
        <v>0</v>
      </c>
      <c r="Q231">
        <v>0.00016847741049469221</v>
      </c>
      <c r="R231">
        <v>0.0037065030308832281</v>
      </c>
      <c r="S231">
        <v>0.072698002628459685</v>
      </c>
      <c r="T231">
        <v>8.4238705247346107E-05</v>
      </c>
      <c r="U231">
        <v>0.00050543223148407659</v>
      </c>
      <c r="V231">
        <v>0.00033695482098938443</v>
      </c>
      <c r="W231">
        <v>0.00042119352623673051</v>
      </c>
      <c r="X231">
        <v>0</v>
      </c>
      <c r="Y231">
        <v>0.00058967093673142272</v>
      </c>
      <c r="Z231">
        <v>0</v>
      </c>
      <c r="AA231">
        <v>0.010866792976907647</v>
      </c>
      <c r="AB231">
        <v>0</v>
      </c>
      <c r="AC231">
        <v>0.0018532515154416141</v>
      </c>
      <c r="AD231">
        <v>0</v>
      </c>
      <c r="AE231">
        <v>0.0071602899460244188</v>
      </c>
      <c r="AF231">
        <v>0.013056999313338645</v>
      </c>
      <c r="AG231">
        <v>0</v>
      </c>
      <c r="AH231">
        <v>8.4238705247346107E-05</v>
      </c>
      <c r="AI231">
        <v>8.4238705247346107E-05</v>
      </c>
      <c r="AJ231">
        <v>0.0037907417361305743</v>
      </c>
      <c r="AK231">
        <v>0</v>
      </c>
      <c r="AL231">
        <v>0</v>
      </c>
      <c r="AM231">
        <v>0</v>
      </c>
      <c r="AN231">
        <v>0.00042119352623673051</v>
      </c>
      <c r="AO231">
        <v>0.00025271611574203829</v>
      </c>
      <c r="AP231">
        <v>0</v>
      </c>
      <c r="AQ231">
        <v>0.00016847741049469221</v>
      </c>
      <c r="AR231">
        <v>0</v>
      </c>
      <c r="AS231">
        <v>0</v>
      </c>
      <c r="AT231">
        <v>0.00016847741049469221</v>
      </c>
      <c r="AU231" t="s">
        <v>111</v>
      </c>
      <c r="BJ231" t="str">
        <f t="shared" si="6"/>
        <v>bus</v>
      </c>
      <c r="BK231" t="str">
        <f t="shared" si="7"/>
        <v>nga</v>
      </c>
    </row>
    <row r="232" spans="1:63" ht="14.5">
      <c r="A232" t="s">
        <v>118</v>
      </c>
      <c r="B232" t="s">
        <v>62</v>
      </c>
      <c r="C232" t="s">
        <v>100</v>
      </c>
      <c r="D232" t="s">
        <v>111</v>
      </c>
      <c r="E232" t="s">
        <v>111</v>
      </c>
      <c r="F232" t="s">
        <v>111</v>
      </c>
      <c r="G232" t="s">
        <v>74</v>
      </c>
      <c r="H232" t="s">
        <v>111</v>
      </c>
      <c r="I232" t="s">
        <v>111</v>
      </c>
      <c r="J232" t="s">
        <v>111</v>
      </c>
      <c r="K232" t="s">
        <v>111</v>
      </c>
      <c r="L232">
        <v>0.0017690128101942682</v>
      </c>
      <c r="M232">
        <v>0</v>
      </c>
      <c r="N232">
        <v>0.00025271611574203829</v>
      </c>
      <c r="O232">
        <v>0</v>
      </c>
      <c r="P232">
        <v>0</v>
      </c>
      <c r="Q232">
        <v>0.00016847741049469221</v>
      </c>
      <c r="R232">
        <v>0.0037065030308832281</v>
      </c>
      <c r="S232">
        <v>0.072698002628459685</v>
      </c>
      <c r="T232">
        <v>8.4238705247346107E-05</v>
      </c>
      <c r="U232">
        <v>0.00050543223148407659</v>
      </c>
      <c r="V232">
        <v>0.00033695482098938443</v>
      </c>
      <c r="W232">
        <v>0.00042119352623673051</v>
      </c>
      <c r="X232">
        <v>0</v>
      </c>
      <c r="Y232">
        <v>0.00058967093673142272</v>
      </c>
      <c r="Z232">
        <v>0</v>
      </c>
      <c r="AA232">
        <v>0.010866792976907647</v>
      </c>
      <c r="AB232">
        <v>0</v>
      </c>
      <c r="AC232">
        <v>0.0018532515154416141</v>
      </c>
      <c r="AD232">
        <v>0</v>
      </c>
      <c r="AE232">
        <v>0.0071602899460244188</v>
      </c>
      <c r="AF232">
        <v>0.013056999313338645</v>
      </c>
      <c r="AG232">
        <v>0</v>
      </c>
      <c r="AH232">
        <v>8.4238705247346107E-05</v>
      </c>
      <c r="AI232">
        <v>8.4238705247346107E-05</v>
      </c>
      <c r="AJ232">
        <v>0.0037907417361305743</v>
      </c>
      <c r="AK232">
        <v>0</v>
      </c>
      <c r="AL232">
        <v>0</v>
      </c>
      <c r="AM232">
        <v>0</v>
      </c>
      <c r="AN232">
        <v>0.00042119352623673051</v>
      </c>
      <c r="AO232">
        <v>0.00025271611574203829</v>
      </c>
      <c r="AP232">
        <v>0</v>
      </c>
      <c r="AQ232">
        <v>0.00016847741049469221</v>
      </c>
      <c r="AR232">
        <v>0</v>
      </c>
      <c r="AS232">
        <v>0</v>
      </c>
      <c r="AT232">
        <v>0.00016847741049469221</v>
      </c>
      <c r="AU232" t="s">
        <v>111</v>
      </c>
      <c r="BJ232" t="str">
        <f t="shared" si="6"/>
        <v>bus</v>
      </c>
      <c r="BK232" t="str">
        <f t="shared" si="7"/>
        <v>nga</v>
      </c>
    </row>
    <row r="233" spans="1:63" ht="14.5">
      <c r="A233" t="s">
        <v>118</v>
      </c>
      <c r="B233" t="s">
        <v>62</v>
      </c>
      <c r="C233" t="s">
        <v>100</v>
      </c>
      <c r="D233" t="s">
        <v>111</v>
      </c>
      <c r="E233" t="s">
        <v>111</v>
      </c>
      <c r="F233" t="s">
        <v>111</v>
      </c>
      <c r="G233" t="s">
        <v>73</v>
      </c>
      <c r="H233" t="s">
        <v>111</v>
      </c>
      <c r="I233" t="s">
        <v>111</v>
      </c>
      <c r="J233" t="s">
        <v>111</v>
      </c>
      <c r="K233" t="s">
        <v>111</v>
      </c>
      <c r="L233">
        <v>0.0017690128101942682</v>
      </c>
      <c r="M233">
        <v>0</v>
      </c>
      <c r="N233">
        <v>0.00025271611574203829</v>
      </c>
      <c r="O233">
        <v>0</v>
      </c>
      <c r="P233">
        <v>0</v>
      </c>
      <c r="Q233">
        <v>0.00016847741049469221</v>
      </c>
      <c r="R233">
        <v>0.0037065030308832281</v>
      </c>
      <c r="S233">
        <v>0.072698002628459685</v>
      </c>
      <c r="T233">
        <v>8.4238705247346107E-05</v>
      </c>
      <c r="U233">
        <v>0.00050543223148407659</v>
      </c>
      <c r="V233">
        <v>0.00033695482098938443</v>
      </c>
      <c r="W233">
        <v>0.00042119352623673051</v>
      </c>
      <c r="X233">
        <v>0</v>
      </c>
      <c r="Y233">
        <v>0.00058967093673142272</v>
      </c>
      <c r="Z233">
        <v>0</v>
      </c>
      <c r="AA233">
        <v>0.010866792976907647</v>
      </c>
      <c r="AB233">
        <v>0</v>
      </c>
      <c r="AC233">
        <v>0.0018532515154416141</v>
      </c>
      <c r="AD233">
        <v>0</v>
      </c>
      <c r="AE233">
        <v>0.0071602899460244188</v>
      </c>
      <c r="AF233">
        <v>0.013056999313338645</v>
      </c>
      <c r="AG233">
        <v>0</v>
      </c>
      <c r="AH233">
        <v>8.4238705247346107E-05</v>
      </c>
      <c r="AI233">
        <v>8.4238705247346107E-05</v>
      </c>
      <c r="AJ233">
        <v>0.0037907417361305743</v>
      </c>
      <c r="AK233">
        <v>0</v>
      </c>
      <c r="AL233">
        <v>0</v>
      </c>
      <c r="AM233">
        <v>0</v>
      </c>
      <c r="AN233">
        <v>0.00042119352623673051</v>
      </c>
      <c r="AO233">
        <v>0.00025271611574203829</v>
      </c>
      <c r="AP233">
        <v>0</v>
      </c>
      <c r="AQ233">
        <v>0.00016847741049469221</v>
      </c>
      <c r="AR233">
        <v>0</v>
      </c>
      <c r="AS233">
        <v>0</v>
      </c>
      <c r="AT233">
        <v>0.00016847741049469221</v>
      </c>
      <c r="AU233" t="s">
        <v>111</v>
      </c>
      <c r="BJ233" t="str">
        <f t="shared" si="6"/>
        <v>bus</v>
      </c>
      <c r="BK233" t="str">
        <f t="shared" si="7"/>
        <v>nga</v>
      </c>
    </row>
    <row r="234" spans="1:63" ht="14.5">
      <c r="A234" t="s">
        <v>118</v>
      </c>
      <c r="B234" t="s">
        <v>62</v>
      </c>
      <c r="C234" t="s">
        <v>100</v>
      </c>
      <c r="D234" t="s">
        <v>111</v>
      </c>
      <c r="E234" t="s">
        <v>111</v>
      </c>
      <c r="F234" t="s">
        <v>111</v>
      </c>
      <c r="G234" t="s">
        <v>72</v>
      </c>
      <c r="H234" t="s">
        <v>111</v>
      </c>
      <c r="I234" t="s">
        <v>111</v>
      </c>
      <c r="J234" t="s">
        <v>111</v>
      </c>
      <c r="K234" t="s">
        <v>111</v>
      </c>
      <c r="L234">
        <v>0.0017690128101942682</v>
      </c>
      <c r="M234">
        <v>0</v>
      </c>
      <c r="N234">
        <v>0.00025271611574203829</v>
      </c>
      <c r="O234">
        <v>0</v>
      </c>
      <c r="P234">
        <v>0</v>
      </c>
      <c r="Q234">
        <v>0.00016847741049469221</v>
      </c>
      <c r="R234">
        <v>0.0037065030308832281</v>
      </c>
      <c r="S234">
        <v>0.072698002628459685</v>
      </c>
      <c r="T234">
        <v>8.4238705247346107E-05</v>
      </c>
      <c r="U234">
        <v>0.00050543223148407659</v>
      </c>
      <c r="V234">
        <v>0.00033695482098938443</v>
      </c>
      <c r="W234">
        <v>0.00042119352623673051</v>
      </c>
      <c r="X234">
        <v>0</v>
      </c>
      <c r="Y234">
        <v>0.00058967093673142272</v>
      </c>
      <c r="Z234">
        <v>0</v>
      </c>
      <c r="AA234">
        <v>0.010866792976907647</v>
      </c>
      <c r="AB234">
        <v>0</v>
      </c>
      <c r="AC234">
        <v>0.0018532515154416141</v>
      </c>
      <c r="AD234">
        <v>0</v>
      </c>
      <c r="AE234">
        <v>0.0071602899460244188</v>
      </c>
      <c r="AF234">
        <v>0.013056999313338645</v>
      </c>
      <c r="AG234">
        <v>0</v>
      </c>
      <c r="AH234">
        <v>8.4238705247346107E-05</v>
      </c>
      <c r="AI234">
        <v>8.4238705247346107E-05</v>
      </c>
      <c r="AJ234">
        <v>0.0037907417361305743</v>
      </c>
      <c r="AK234">
        <v>0</v>
      </c>
      <c r="AL234">
        <v>0</v>
      </c>
      <c r="AM234">
        <v>0</v>
      </c>
      <c r="AN234">
        <v>0.00042119352623673051</v>
      </c>
      <c r="AO234">
        <v>0.00025271611574203829</v>
      </c>
      <c r="AP234">
        <v>0</v>
      </c>
      <c r="AQ234">
        <v>0.00016847741049469221</v>
      </c>
      <c r="AR234">
        <v>0</v>
      </c>
      <c r="AS234">
        <v>0</v>
      </c>
      <c r="AT234">
        <v>0.00016847741049469221</v>
      </c>
      <c r="AU234" t="s">
        <v>111</v>
      </c>
      <c r="BJ234" t="str">
        <f t="shared" si="6"/>
        <v>bus</v>
      </c>
      <c r="BK234" t="str">
        <f t="shared" si="7"/>
        <v>nga</v>
      </c>
    </row>
    <row r="235" spans="1:63" ht="14.5">
      <c r="A235" t="s">
        <v>118</v>
      </c>
      <c r="B235" t="s">
        <v>62</v>
      </c>
      <c r="C235" t="s">
        <v>100</v>
      </c>
      <c r="D235" t="s">
        <v>111</v>
      </c>
      <c r="E235" t="s">
        <v>111</v>
      </c>
      <c r="F235" t="s">
        <v>111</v>
      </c>
      <c r="G235" t="s">
        <v>71</v>
      </c>
      <c r="H235" t="s">
        <v>111</v>
      </c>
      <c r="I235" t="s">
        <v>111</v>
      </c>
      <c r="J235" t="s">
        <v>111</v>
      </c>
      <c r="K235" t="s">
        <v>111</v>
      </c>
      <c r="L235">
        <v>0.0017690128101942682</v>
      </c>
      <c r="M235">
        <v>0</v>
      </c>
      <c r="N235">
        <v>0.00025271611574203829</v>
      </c>
      <c r="O235">
        <v>0</v>
      </c>
      <c r="P235">
        <v>0</v>
      </c>
      <c r="Q235">
        <v>0.00016847741049469221</v>
      </c>
      <c r="R235">
        <v>0.0037065030308832281</v>
      </c>
      <c r="S235">
        <v>0.072698002628459685</v>
      </c>
      <c r="T235">
        <v>8.4238705247346107E-05</v>
      </c>
      <c r="U235">
        <v>0.00050543223148407659</v>
      </c>
      <c r="V235">
        <v>0.00033695482098938443</v>
      </c>
      <c r="W235">
        <v>0.00042119352623673051</v>
      </c>
      <c r="X235">
        <v>0</v>
      </c>
      <c r="Y235">
        <v>0.00058967093673142272</v>
      </c>
      <c r="Z235">
        <v>0</v>
      </c>
      <c r="AA235">
        <v>0.010866792976907647</v>
      </c>
      <c r="AB235">
        <v>0</v>
      </c>
      <c r="AC235">
        <v>0.0018532515154416141</v>
      </c>
      <c r="AD235">
        <v>0</v>
      </c>
      <c r="AE235">
        <v>0.0071602899460244188</v>
      </c>
      <c r="AF235">
        <v>0.013056999313338645</v>
      </c>
      <c r="AG235">
        <v>0</v>
      </c>
      <c r="AH235">
        <v>8.4238705247346107E-05</v>
      </c>
      <c r="AI235">
        <v>8.4238705247346107E-05</v>
      </c>
      <c r="AJ235">
        <v>0.0037907417361305743</v>
      </c>
      <c r="AK235">
        <v>0</v>
      </c>
      <c r="AL235">
        <v>0</v>
      </c>
      <c r="AM235">
        <v>0</v>
      </c>
      <c r="AN235">
        <v>0.00042119352623673051</v>
      </c>
      <c r="AO235">
        <v>0.00025271611574203829</v>
      </c>
      <c r="AP235">
        <v>0</v>
      </c>
      <c r="AQ235">
        <v>0.00016847741049469221</v>
      </c>
      <c r="AR235">
        <v>0</v>
      </c>
      <c r="AS235">
        <v>0</v>
      </c>
      <c r="AT235">
        <v>0.00016847741049469221</v>
      </c>
      <c r="AU235" t="s">
        <v>111</v>
      </c>
      <c r="BJ235" t="str">
        <f t="shared" si="6"/>
        <v>bus</v>
      </c>
      <c r="BK235" t="str">
        <f t="shared" si="7"/>
        <v>nga</v>
      </c>
    </row>
    <row r="236" spans="1:63" ht="14.5">
      <c r="A236" t="s">
        <v>118</v>
      </c>
      <c r="B236" t="s">
        <v>62</v>
      </c>
      <c r="C236" t="s">
        <v>100</v>
      </c>
      <c r="D236" t="s">
        <v>111</v>
      </c>
      <c r="E236" t="s">
        <v>111</v>
      </c>
      <c r="F236" t="s">
        <v>111</v>
      </c>
      <c r="G236" t="s">
        <v>70</v>
      </c>
      <c r="H236" t="s">
        <v>111</v>
      </c>
      <c r="I236" t="s">
        <v>111</v>
      </c>
      <c r="J236" t="s">
        <v>111</v>
      </c>
      <c r="K236" t="s">
        <v>111</v>
      </c>
      <c r="L236">
        <v>0.0017690128101942682</v>
      </c>
      <c r="M236">
        <v>0</v>
      </c>
      <c r="N236">
        <v>0.00025271611574203829</v>
      </c>
      <c r="O236">
        <v>0</v>
      </c>
      <c r="P236">
        <v>0</v>
      </c>
      <c r="Q236">
        <v>0.00016847741049469221</v>
      </c>
      <c r="R236">
        <v>0.0037065030308832281</v>
      </c>
      <c r="S236">
        <v>0.072698002628459685</v>
      </c>
      <c r="T236">
        <v>8.4238705247346107E-05</v>
      </c>
      <c r="U236">
        <v>0.00050543223148407659</v>
      </c>
      <c r="V236">
        <v>0.00033695482098938443</v>
      </c>
      <c r="W236">
        <v>0.00042119352623673051</v>
      </c>
      <c r="X236">
        <v>0</v>
      </c>
      <c r="Y236">
        <v>0.00058967093673142272</v>
      </c>
      <c r="Z236">
        <v>0</v>
      </c>
      <c r="AA236">
        <v>0.010866792976907647</v>
      </c>
      <c r="AB236">
        <v>0</v>
      </c>
      <c r="AC236">
        <v>0.0018532515154416141</v>
      </c>
      <c r="AD236">
        <v>0</v>
      </c>
      <c r="AE236">
        <v>0.0071602899460244188</v>
      </c>
      <c r="AF236">
        <v>0.013056999313338645</v>
      </c>
      <c r="AG236">
        <v>0</v>
      </c>
      <c r="AH236">
        <v>8.4238705247346107E-05</v>
      </c>
      <c r="AI236">
        <v>8.4238705247346107E-05</v>
      </c>
      <c r="AJ236">
        <v>0.0037907417361305743</v>
      </c>
      <c r="AK236">
        <v>0</v>
      </c>
      <c r="AL236">
        <v>0</v>
      </c>
      <c r="AM236">
        <v>0</v>
      </c>
      <c r="AN236">
        <v>0.00042119352623673051</v>
      </c>
      <c r="AO236">
        <v>0.00025271611574203829</v>
      </c>
      <c r="AP236">
        <v>0</v>
      </c>
      <c r="AQ236">
        <v>0.00016847741049469221</v>
      </c>
      <c r="AR236">
        <v>0</v>
      </c>
      <c r="AS236">
        <v>0</v>
      </c>
      <c r="AT236">
        <v>0.00016847741049469221</v>
      </c>
      <c r="AU236" t="s">
        <v>111</v>
      </c>
      <c r="BJ236" t="str">
        <f t="shared" si="6"/>
        <v>bus</v>
      </c>
      <c r="BK236" t="str">
        <f t="shared" si="7"/>
        <v>nga</v>
      </c>
    </row>
    <row r="237" spans="1:63" ht="14.5">
      <c r="A237" t="s">
        <v>118</v>
      </c>
      <c r="B237" t="s">
        <v>62</v>
      </c>
      <c r="C237" t="s">
        <v>100</v>
      </c>
      <c r="D237" t="s">
        <v>111</v>
      </c>
      <c r="E237" t="s">
        <v>111</v>
      </c>
      <c r="F237" t="s">
        <v>111</v>
      </c>
      <c r="G237" t="s">
        <v>69</v>
      </c>
      <c r="H237" t="s">
        <v>111</v>
      </c>
      <c r="I237" t="s">
        <v>111</v>
      </c>
      <c r="J237" t="s">
        <v>111</v>
      </c>
      <c r="K237" t="s">
        <v>111</v>
      </c>
      <c r="L237">
        <v>0.0017690128101942682</v>
      </c>
      <c r="M237">
        <v>0</v>
      </c>
      <c r="N237">
        <v>0.00025271611574203829</v>
      </c>
      <c r="O237">
        <v>0</v>
      </c>
      <c r="P237">
        <v>0</v>
      </c>
      <c r="Q237">
        <v>0.00016847741049469221</v>
      </c>
      <c r="R237">
        <v>0.0037065030308832281</v>
      </c>
      <c r="S237">
        <v>0.072698002628459685</v>
      </c>
      <c r="T237">
        <v>8.4238705247346107E-05</v>
      </c>
      <c r="U237">
        <v>0.00050543223148407659</v>
      </c>
      <c r="V237">
        <v>0.00033695482098938443</v>
      </c>
      <c r="W237">
        <v>0.00042119352623673051</v>
      </c>
      <c r="X237">
        <v>0</v>
      </c>
      <c r="Y237">
        <v>0.00058967093673142272</v>
      </c>
      <c r="Z237">
        <v>0</v>
      </c>
      <c r="AA237">
        <v>0.010866792976907647</v>
      </c>
      <c r="AB237">
        <v>0</v>
      </c>
      <c r="AC237">
        <v>0.0018532515154416141</v>
      </c>
      <c r="AD237">
        <v>0</v>
      </c>
      <c r="AE237">
        <v>0.0071602899460244188</v>
      </c>
      <c r="AF237">
        <v>0.013056999313338645</v>
      </c>
      <c r="AG237">
        <v>0</v>
      </c>
      <c r="AH237">
        <v>8.4238705247346107E-05</v>
      </c>
      <c r="AI237">
        <v>8.4238705247346107E-05</v>
      </c>
      <c r="AJ237">
        <v>0.0037907417361305743</v>
      </c>
      <c r="AK237">
        <v>0</v>
      </c>
      <c r="AL237">
        <v>0</v>
      </c>
      <c r="AM237">
        <v>0</v>
      </c>
      <c r="AN237">
        <v>0.00042119352623673051</v>
      </c>
      <c r="AO237">
        <v>0.00025271611574203829</v>
      </c>
      <c r="AP237">
        <v>0</v>
      </c>
      <c r="AQ237">
        <v>0.00016847741049469221</v>
      </c>
      <c r="AR237">
        <v>0</v>
      </c>
      <c r="AS237">
        <v>0</v>
      </c>
      <c r="AT237">
        <v>0.00016847741049469221</v>
      </c>
      <c r="AU237" t="s">
        <v>111</v>
      </c>
      <c r="BJ237" t="str">
        <f t="shared" si="6"/>
        <v>bus</v>
      </c>
      <c r="BK237" t="str">
        <f t="shared" si="7"/>
        <v>nga</v>
      </c>
    </row>
    <row r="238" spans="1:63" ht="14.5">
      <c r="A238" t="s">
        <v>118</v>
      </c>
      <c r="B238" t="s">
        <v>62</v>
      </c>
      <c r="C238" t="s">
        <v>100</v>
      </c>
      <c r="D238" t="s">
        <v>111</v>
      </c>
      <c r="E238" t="s">
        <v>111</v>
      </c>
      <c r="F238" t="s">
        <v>111</v>
      </c>
      <c r="G238" t="s">
        <v>68</v>
      </c>
      <c r="H238" t="s">
        <v>111</v>
      </c>
      <c r="I238" t="s">
        <v>111</v>
      </c>
      <c r="J238" t="s">
        <v>111</v>
      </c>
      <c r="K238" t="s">
        <v>111</v>
      </c>
      <c r="L238">
        <v>0.0017690128101942682</v>
      </c>
      <c r="M238">
        <v>0</v>
      </c>
      <c r="N238">
        <v>0.00025271611574203829</v>
      </c>
      <c r="O238">
        <v>0</v>
      </c>
      <c r="P238">
        <v>0</v>
      </c>
      <c r="Q238">
        <v>0.00016847741049469221</v>
      </c>
      <c r="R238">
        <v>0.0037065030308832281</v>
      </c>
      <c r="S238">
        <v>0.072698002628459685</v>
      </c>
      <c r="T238">
        <v>8.4238705247346107E-05</v>
      </c>
      <c r="U238">
        <v>0.00050543223148407659</v>
      </c>
      <c r="V238">
        <v>0.00033695482098938443</v>
      </c>
      <c r="W238">
        <v>0.00042119352623673051</v>
      </c>
      <c r="X238">
        <v>0</v>
      </c>
      <c r="Y238">
        <v>0.00058967093673142272</v>
      </c>
      <c r="Z238">
        <v>0</v>
      </c>
      <c r="AA238">
        <v>0.010866792976907647</v>
      </c>
      <c r="AB238">
        <v>0</v>
      </c>
      <c r="AC238">
        <v>0.0018532515154416141</v>
      </c>
      <c r="AD238">
        <v>0</v>
      </c>
      <c r="AE238">
        <v>0.0071602899460244188</v>
      </c>
      <c r="AF238">
        <v>0.013056999313338645</v>
      </c>
      <c r="AG238">
        <v>0</v>
      </c>
      <c r="AH238">
        <v>8.4238705247346107E-05</v>
      </c>
      <c r="AI238">
        <v>8.4238705247346107E-05</v>
      </c>
      <c r="AJ238">
        <v>0.0037907417361305743</v>
      </c>
      <c r="AK238">
        <v>0</v>
      </c>
      <c r="AL238">
        <v>0</v>
      </c>
      <c r="AM238">
        <v>0</v>
      </c>
      <c r="AN238">
        <v>0.00042119352623673051</v>
      </c>
      <c r="AO238">
        <v>0.00025271611574203829</v>
      </c>
      <c r="AP238">
        <v>0</v>
      </c>
      <c r="AQ238">
        <v>0.00016847741049469221</v>
      </c>
      <c r="AR238">
        <v>0</v>
      </c>
      <c r="AS238">
        <v>0</v>
      </c>
      <c r="AT238">
        <v>0.00016847741049469221</v>
      </c>
      <c r="AU238" t="s">
        <v>111</v>
      </c>
      <c r="BJ238" t="str">
        <f t="shared" si="6"/>
        <v>bus</v>
      </c>
      <c r="BK238" t="str">
        <f t="shared" si="7"/>
        <v>nga</v>
      </c>
    </row>
    <row r="239" spans="1:63" ht="14.5">
      <c r="A239" t="s">
        <v>118</v>
      </c>
      <c r="B239" t="s">
        <v>62</v>
      </c>
      <c r="C239" t="s">
        <v>100</v>
      </c>
      <c r="D239" t="s">
        <v>111</v>
      </c>
      <c r="E239" t="s">
        <v>111</v>
      </c>
      <c r="F239" t="s">
        <v>111</v>
      </c>
      <c r="G239" t="s">
        <v>67</v>
      </c>
      <c r="H239" t="s">
        <v>111</v>
      </c>
      <c r="I239" t="s">
        <v>111</v>
      </c>
      <c r="J239" t="s">
        <v>111</v>
      </c>
      <c r="K239" t="s">
        <v>111</v>
      </c>
      <c r="L239">
        <v>0.0017690128101942682</v>
      </c>
      <c r="M239">
        <v>0</v>
      </c>
      <c r="N239">
        <v>0.00025271611574203829</v>
      </c>
      <c r="O239">
        <v>0</v>
      </c>
      <c r="P239">
        <v>0</v>
      </c>
      <c r="Q239">
        <v>0.00016847741049469221</v>
      </c>
      <c r="R239">
        <v>0.0037065030308832281</v>
      </c>
      <c r="S239">
        <v>0.072698002628459685</v>
      </c>
      <c r="T239">
        <v>8.4238705247346107E-05</v>
      </c>
      <c r="U239">
        <v>0.00050543223148407659</v>
      </c>
      <c r="V239">
        <v>0.00033695482098938443</v>
      </c>
      <c r="W239">
        <v>0.00042119352623673051</v>
      </c>
      <c r="X239">
        <v>0</v>
      </c>
      <c r="Y239">
        <v>0.00058967093673142272</v>
      </c>
      <c r="Z239">
        <v>0</v>
      </c>
      <c r="AA239">
        <v>0.010866792976907647</v>
      </c>
      <c r="AB239">
        <v>0</v>
      </c>
      <c r="AC239">
        <v>0.0018532515154416141</v>
      </c>
      <c r="AD239">
        <v>0</v>
      </c>
      <c r="AE239">
        <v>0.0071602899460244188</v>
      </c>
      <c r="AF239">
        <v>0.013056999313338645</v>
      </c>
      <c r="AG239">
        <v>0</v>
      </c>
      <c r="AH239">
        <v>8.4238705247346107E-05</v>
      </c>
      <c r="AI239">
        <v>8.4238705247346107E-05</v>
      </c>
      <c r="AJ239">
        <v>0.0037907417361305743</v>
      </c>
      <c r="AK239">
        <v>0</v>
      </c>
      <c r="AL239">
        <v>0</v>
      </c>
      <c r="AM239">
        <v>0</v>
      </c>
      <c r="AN239">
        <v>0.00042119352623673051</v>
      </c>
      <c r="AO239">
        <v>0.00025271611574203829</v>
      </c>
      <c r="AP239">
        <v>0</v>
      </c>
      <c r="AQ239">
        <v>0.00016847741049469221</v>
      </c>
      <c r="AR239">
        <v>0</v>
      </c>
      <c r="AS239">
        <v>0</v>
      </c>
      <c r="AT239">
        <v>0.00016847741049469221</v>
      </c>
      <c r="AU239" t="s">
        <v>111</v>
      </c>
      <c r="BJ239" t="str">
        <f t="shared" si="6"/>
        <v>bus</v>
      </c>
      <c r="BK239" t="str">
        <f t="shared" si="7"/>
        <v>nga</v>
      </c>
    </row>
    <row r="240" spans="1:63" ht="14.5">
      <c r="A240" t="s">
        <v>118</v>
      </c>
      <c r="B240" t="s">
        <v>62</v>
      </c>
      <c r="C240" t="s">
        <v>100</v>
      </c>
      <c r="D240" t="s">
        <v>111</v>
      </c>
      <c r="E240" t="s">
        <v>111</v>
      </c>
      <c r="F240" t="s">
        <v>111</v>
      </c>
      <c r="G240" t="s">
        <v>66</v>
      </c>
      <c r="H240" t="s">
        <v>111</v>
      </c>
      <c r="I240" t="s">
        <v>111</v>
      </c>
      <c r="J240" t="s">
        <v>111</v>
      </c>
      <c r="K240" t="s">
        <v>111</v>
      </c>
      <c r="L240">
        <v>0.0017690128101942682</v>
      </c>
      <c r="M240">
        <v>0</v>
      </c>
      <c r="N240">
        <v>0.00025271611574203829</v>
      </c>
      <c r="O240">
        <v>0</v>
      </c>
      <c r="P240">
        <v>0</v>
      </c>
      <c r="Q240">
        <v>0.00016847741049469221</v>
      </c>
      <c r="R240">
        <v>0.0037065030308832281</v>
      </c>
      <c r="S240">
        <v>0.072698002628459685</v>
      </c>
      <c r="T240">
        <v>8.4238705247346107E-05</v>
      </c>
      <c r="U240">
        <v>0.00050543223148407659</v>
      </c>
      <c r="V240">
        <v>0.00033695482098938443</v>
      </c>
      <c r="W240">
        <v>0.00042119352623673051</v>
      </c>
      <c r="X240">
        <v>0</v>
      </c>
      <c r="Y240">
        <v>0.00058967093673142272</v>
      </c>
      <c r="Z240">
        <v>0</v>
      </c>
      <c r="AA240">
        <v>0.010866792976907647</v>
      </c>
      <c r="AB240">
        <v>0</v>
      </c>
      <c r="AC240">
        <v>0.0018532515154416141</v>
      </c>
      <c r="AD240">
        <v>0</v>
      </c>
      <c r="AE240">
        <v>0.0071602899460244188</v>
      </c>
      <c r="AF240">
        <v>0.013056999313338645</v>
      </c>
      <c r="AG240">
        <v>0</v>
      </c>
      <c r="AH240">
        <v>8.4238705247346107E-05</v>
      </c>
      <c r="AI240">
        <v>8.4238705247346107E-05</v>
      </c>
      <c r="AJ240">
        <v>0.0037907417361305743</v>
      </c>
      <c r="AK240">
        <v>0</v>
      </c>
      <c r="AL240">
        <v>0</v>
      </c>
      <c r="AM240">
        <v>0</v>
      </c>
      <c r="AN240">
        <v>0.00042119352623673051</v>
      </c>
      <c r="AO240">
        <v>0.00025271611574203829</v>
      </c>
      <c r="AP240">
        <v>0</v>
      </c>
      <c r="AQ240">
        <v>0.00016847741049469221</v>
      </c>
      <c r="AR240">
        <v>0</v>
      </c>
      <c r="AS240">
        <v>0</v>
      </c>
      <c r="AT240">
        <v>0.00016847741049469221</v>
      </c>
      <c r="AU240" t="s">
        <v>111</v>
      </c>
      <c r="BJ240" t="str">
        <f t="shared" si="6"/>
        <v>bus</v>
      </c>
      <c r="BK240" t="str">
        <f t="shared" si="7"/>
        <v>nga</v>
      </c>
    </row>
    <row r="241" spans="1:63" ht="14.5">
      <c r="A241" t="s">
        <v>118</v>
      </c>
      <c r="B241" t="s">
        <v>62</v>
      </c>
      <c r="C241" t="s">
        <v>100</v>
      </c>
      <c r="D241" t="s">
        <v>111</v>
      </c>
      <c r="E241" t="s">
        <v>111</v>
      </c>
      <c r="F241" t="s">
        <v>111</v>
      </c>
      <c r="G241" t="s">
        <v>65</v>
      </c>
      <c r="H241" t="s">
        <v>111</v>
      </c>
      <c r="I241" t="s">
        <v>111</v>
      </c>
      <c r="J241" t="s">
        <v>111</v>
      </c>
      <c r="K241" t="s">
        <v>111</v>
      </c>
      <c r="L241">
        <v>0.0017690128101942682</v>
      </c>
      <c r="M241">
        <v>0</v>
      </c>
      <c r="N241">
        <v>0.00025271611574203829</v>
      </c>
      <c r="O241">
        <v>0</v>
      </c>
      <c r="P241">
        <v>0</v>
      </c>
      <c r="Q241">
        <v>0.00016847741049469221</v>
      </c>
      <c r="R241">
        <v>0.0037065030308832281</v>
      </c>
      <c r="S241">
        <v>0.072698002628459685</v>
      </c>
      <c r="T241">
        <v>8.4238705247346107E-05</v>
      </c>
      <c r="U241">
        <v>0.00050543223148407659</v>
      </c>
      <c r="V241">
        <v>0.00033695482098938443</v>
      </c>
      <c r="W241">
        <v>0.00042119352623673051</v>
      </c>
      <c r="X241">
        <v>0</v>
      </c>
      <c r="Y241">
        <v>0.00058967093673142272</v>
      </c>
      <c r="Z241">
        <v>0</v>
      </c>
      <c r="AA241">
        <v>0.010866792976907647</v>
      </c>
      <c r="AB241">
        <v>0</v>
      </c>
      <c r="AC241">
        <v>0.0018532515154416141</v>
      </c>
      <c r="AD241">
        <v>0</v>
      </c>
      <c r="AE241">
        <v>0.0071602899460244188</v>
      </c>
      <c r="AF241">
        <v>0.013056999313338645</v>
      </c>
      <c r="AG241">
        <v>0</v>
      </c>
      <c r="AH241">
        <v>8.4238705247346107E-05</v>
      </c>
      <c r="AI241">
        <v>8.4238705247346107E-05</v>
      </c>
      <c r="AJ241">
        <v>0.0037907417361305743</v>
      </c>
      <c r="AK241">
        <v>0</v>
      </c>
      <c r="AL241">
        <v>0</v>
      </c>
      <c r="AM241">
        <v>0</v>
      </c>
      <c r="AN241">
        <v>0.00042119352623673051</v>
      </c>
      <c r="AO241">
        <v>0.00025271611574203829</v>
      </c>
      <c r="AP241">
        <v>0</v>
      </c>
      <c r="AQ241">
        <v>0.00016847741049469221</v>
      </c>
      <c r="AR241">
        <v>0</v>
      </c>
      <c r="AS241">
        <v>0</v>
      </c>
      <c r="AT241">
        <v>0.00016847741049469221</v>
      </c>
      <c r="AU241" t="s">
        <v>111</v>
      </c>
      <c r="BJ241" t="str">
        <f t="shared" si="6"/>
        <v>bus</v>
      </c>
      <c r="BK241" t="str">
        <f t="shared" si="7"/>
        <v>nga</v>
      </c>
    </row>
    <row r="242" spans="1:63" ht="14.5">
      <c r="A242" t="s">
        <v>118</v>
      </c>
      <c r="B242" t="s">
        <v>62</v>
      </c>
      <c r="C242" t="s">
        <v>99</v>
      </c>
      <c r="D242" t="s">
        <v>111</v>
      </c>
      <c r="E242" t="s">
        <v>111</v>
      </c>
      <c r="F242" t="s">
        <v>111</v>
      </c>
      <c r="G242" t="s">
        <v>61</v>
      </c>
      <c r="H242" t="s">
        <v>111</v>
      </c>
      <c r="I242" t="s">
        <v>111</v>
      </c>
      <c r="J242" t="s">
        <v>111</v>
      </c>
      <c r="K242" t="s">
        <v>111</v>
      </c>
      <c r="L242">
        <v>0</v>
      </c>
      <c r="M242">
        <v>0</v>
      </c>
      <c r="N242">
        <v>0</v>
      </c>
      <c r="O242">
        <v>0.013225476723833337</v>
      </c>
      <c r="P242">
        <v>0.00084238705247346101</v>
      </c>
      <c r="Q242">
        <v>0.027377579205387484</v>
      </c>
      <c r="R242">
        <v>0.16712959121073465</v>
      </c>
      <c r="S242">
        <v>0.0084238705247346099</v>
      </c>
      <c r="T242">
        <v>0.0047173674938513818</v>
      </c>
      <c r="U242">
        <v>0.012383089671359876</v>
      </c>
      <c r="V242">
        <v>0.078341995880031878</v>
      </c>
      <c r="W242">
        <v>0.058630138852152881</v>
      </c>
      <c r="X242">
        <v>0.0053070384305828047</v>
      </c>
      <c r="Y242">
        <v>0.019206424796394912</v>
      </c>
      <c r="Z242">
        <v>0.00050543223148407659</v>
      </c>
      <c r="AA242">
        <v>0.0010951031682154993</v>
      </c>
      <c r="AB242">
        <v>0.0050543223148407654</v>
      </c>
      <c r="AC242">
        <v>0.039002520529521245</v>
      </c>
      <c r="AD242">
        <v>8.4238705247346107E-05</v>
      </c>
      <c r="AE242">
        <v>0.019037947385900218</v>
      </c>
      <c r="AF242">
        <v>0</v>
      </c>
      <c r="AG242">
        <v>0.0074130060617664563</v>
      </c>
      <c r="AH242">
        <v>0.012972760608091299</v>
      </c>
      <c r="AI242">
        <v>0.026029759921429946</v>
      </c>
      <c r="AJ242">
        <v>0.084491421363088126</v>
      </c>
      <c r="AK242">
        <v>0</v>
      </c>
      <c r="AL242">
        <v>0</v>
      </c>
      <c r="AM242">
        <v>0</v>
      </c>
      <c r="AN242">
        <v>0.054502442295032927</v>
      </c>
      <c r="AO242">
        <v>0.053070384305828042</v>
      </c>
      <c r="AP242">
        <v>0.0046331287886040356</v>
      </c>
      <c r="AQ242">
        <v>0.0017690128101942682</v>
      </c>
      <c r="AR242">
        <v>0.039170997940015939</v>
      </c>
      <c r="AS242">
        <v>0</v>
      </c>
      <c r="AT242">
        <v>0.0037065030308832281</v>
      </c>
      <c r="AU242" t="s">
        <v>111</v>
      </c>
      <c r="BJ242" t="str">
        <f t="shared" si="6"/>
        <v>car</v>
      </c>
      <c r="BK242" t="str">
        <f t="shared" si="7"/>
        <v>bdl</v>
      </c>
    </row>
    <row r="243" spans="1:63" ht="14.5">
      <c r="A243" t="s">
        <v>118</v>
      </c>
      <c r="B243" t="s">
        <v>62</v>
      </c>
      <c r="C243" t="s">
        <v>99</v>
      </c>
      <c r="D243" t="s">
        <v>111</v>
      </c>
      <c r="E243" t="s">
        <v>111</v>
      </c>
      <c r="F243" t="s">
        <v>111</v>
      </c>
      <c r="G243" t="s">
        <v>83</v>
      </c>
      <c r="H243" t="s">
        <v>111</v>
      </c>
      <c r="I243" t="s">
        <v>111</v>
      </c>
      <c r="J243" t="s">
        <v>111</v>
      </c>
      <c r="K243" t="s">
        <v>111</v>
      </c>
      <c r="L243">
        <v>0</v>
      </c>
      <c r="M243">
        <v>0</v>
      </c>
      <c r="N243">
        <v>0</v>
      </c>
      <c r="O243">
        <v>0.013225476723833337</v>
      </c>
      <c r="P243">
        <v>0.00084238705247346101</v>
      </c>
      <c r="Q243">
        <v>0.027377579205387484</v>
      </c>
      <c r="R243">
        <v>0.16712959121073465</v>
      </c>
      <c r="S243">
        <v>0.0084238705247346099</v>
      </c>
      <c r="T243">
        <v>0.0047173674938513818</v>
      </c>
      <c r="U243">
        <v>0.012383089671359876</v>
      </c>
      <c r="V243">
        <v>0.078341995880031878</v>
      </c>
      <c r="W243">
        <v>0.058630138852152881</v>
      </c>
      <c r="X243">
        <v>0.0053070384305828047</v>
      </c>
      <c r="Y243">
        <v>0.019206424796394912</v>
      </c>
      <c r="Z243">
        <v>0.00050543223148407659</v>
      </c>
      <c r="AA243">
        <v>0.0010951031682154993</v>
      </c>
      <c r="AB243">
        <v>0.0050543223148407654</v>
      </c>
      <c r="AC243">
        <v>0.039002520529521245</v>
      </c>
      <c r="AD243">
        <v>8.4238705247346107E-05</v>
      </c>
      <c r="AE243">
        <v>0.019037947385900218</v>
      </c>
      <c r="AF243">
        <v>0</v>
      </c>
      <c r="AG243">
        <v>0.0074130060617664563</v>
      </c>
      <c r="AH243">
        <v>0.012972760608091299</v>
      </c>
      <c r="AI243">
        <v>0.026029759921429946</v>
      </c>
      <c r="AJ243">
        <v>0.084491421363088126</v>
      </c>
      <c r="AK243">
        <v>0</v>
      </c>
      <c r="AL243">
        <v>0</v>
      </c>
      <c r="AM243">
        <v>0</v>
      </c>
      <c r="AN243">
        <v>0.054502442295032927</v>
      </c>
      <c r="AO243">
        <v>0.053070384305828042</v>
      </c>
      <c r="AP243">
        <v>0.0046331287886040356</v>
      </c>
      <c r="AQ243">
        <v>0.0017690128101942682</v>
      </c>
      <c r="AR243">
        <v>0.039170997940015939</v>
      </c>
      <c r="AS243">
        <v>0</v>
      </c>
      <c r="AT243">
        <v>0.0037065030308832281</v>
      </c>
      <c r="AU243" t="s">
        <v>111</v>
      </c>
      <c r="BJ243" t="str">
        <f t="shared" si="6"/>
        <v>car</v>
      </c>
      <c r="BK243" t="str">
        <f t="shared" si="7"/>
        <v>bdl</v>
      </c>
    </row>
    <row r="244" spans="1:63" ht="14.5">
      <c r="A244" t="s">
        <v>118</v>
      </c>
      <c r="B244" t="s">
        <v>62</v>
      </c>
      <c r="C244" t="s">
        <v>99</v>
      </c>
      <c r="D244" t="s">
        <v>111</v>
      </c>
      <c r="E244" t="s">
        <v>111</v>
      </c>
      <c r="F244" t="s">
        <v>111</v>
      </c>
      <c r="G244" t="s">
        <v>82</v>
      </c>
      <c r="H244" t="s">
        <v>111</v>
      </c>
      <c r="I244" t="s">
        <v>111</v>
      </c>
      <c r="J244" t="s">
        <v>111</v>
      </c>
      <c r="K244" t="s">
        <v>111</v>
      </c>
      <c r="L244">
        <v>0</v>
      </c>
      <c r="M244">
        <v>0</v>
      </c>
      <c r="N244">
        <v>0</v>
      </c>
      <c r="O244">
        <v>0.013225476723833337</v>
      </c>
      <c r="P244">
        <v>0.00084238705247346101</v>
      </c>
      <c r="Q244">
        <v>0.027377579205387484</v>
      </c>
      <c r="R244">
        <v>0.16712959121073465</v>
      </c>
      <c r="S244">
        <v>0.0084238705247346099</v>
      </c>
      <c r="T244">
        <v>0.0047173674938513818</v>
      </c>
      <c r="U244">
        <v>0.012383089671359876</v>
      </c>
      <c r="V244">
        <v>0.078341995880031878</v>
      </c>
      <c r="W244">
        <v>0.058630138852152881</v>
      </c>
      <c r="X244">
        <v>0.0053070384305828047</v>
      </c>
      <c r="Y244">
        <v>0.019206424796394912</v>
      </c>
      <c r="Z244">
        <v>0.00050543223148407659</v>
      </c>
      <c r="AA244">
        <v>0.0010951031682154993</v>
      </c>
      <c r="AB244">
        <v>0.0050543223148407654</v>
      </c>
      <c r="AC244">
        <v>0.039002520529521245</v>
      </c>
      <c r="AD244">
        <v>8.4238705247346107E-05</v>
      </c>
      <c r="AE244">
        <v>0.019037947385900218</v>
      </c>
      <c r="AF244">
        <v>0</v>
      </c>
      <c r="AG244">
        <v>0.0074130060617664563</v>
      </c>
      <c r="AH244">
        <v>0.012972760608091299</v>
      </c>
      <c r="AI244">
        <v>0.026029759921429946</v>
      </c>
      <c r="AJ244">
        <v>0.084491421363088126</v>
      </c>
      <c r="AK244">
        <v>0</v>
      </c>
      <c r="AL244">
        <v>0</v>
      </c>
      <c r="AM244">
        <v>0</v>
      </c>
      <c r="AN244">
        <v>0.054502442295032927</v>
      </c>
      <c r="AO244">
        <v>0.053070384305828042</v>
      </c>
      <c r="AP244">
        <v>0.0046331287886040356</v>
      </c>
      <c r="AQ244">
        <v>0.0017690128101942682</v>
      </c>
      <c r="AR244">
        <v>0.039170997940015939</v>
      </c>
      <c r="AS244">
        <v>0</v>
      </c>
      <c r="AT244">
        <v>0.0037065030308832281</v>
      </c>
      <c r="AU244" t="s">
        <v>111</v>
      </c>
      <c r="BJ244" t="str">
        <f t="shared" si="6"/>
        <v>car</v>
      </c>
      <c r="BK244" t="str">
        <f t="shared" si="7"/>
        <v>bdl</v>
      </c>
    </row>
    <row r="245" spans="1:63" ht="14.5">
      <c r="A245" t="s">
        <v>118</v>
      </c>
      <c r="B245" t="s">
        <v>62</v>
      </c>
      <c r="C245" t="s">
        <v>99</v>
      </c>
      <c r="D245" t="s">
        <v>111</v>
      </c>
      <c r="E245" t="s">
        <v>111</v>
      </c>
      <c r="F245" t="s">
        <v>111</v>
      </c>
      <c r="G245" t="s">
        <v>81</v>
      </c>
      <c r="H245" t="s">
        <v>111</v>
      </c>
      <c r="I245" t="s">
        <v>111</v>
      </c>
      <c r="J245" t="s">
        <v>111</v>
      </c>
      <c r="K245" t="s">
        <v>111</v>
      </c>
      <c r="L245">
        <v>0</v>
      </c>
      <c r="M245">
        <v>0</v>
      </c>
      <c r="N245">
        <v>0</v>
      </c>
      <c r="O245">
        <v>0.013225476723833337</v>
      </c>
      <c r="P245">
        <v>0.00084238705247346101</v>
      </c>
      <c r="Q245">
        <v>0.027377579205387484</v>
      </c>
      <c r="R245">
        <v>0.16712959121073465</v>
      </c>
      <c r="S245">
        <v>0.0084238705247346099</v>
      </c>
      <c r="T245">
        <v>0.0047173674938513818</v>
      </c>
      <c r="U245">
        <v>0.012383089671359876</v>
      </c>
      <c r="V245">
        <v>0.078341995880031878</v>
      </c>
      <c r="W245">
        <v>0.058630138852152881</v>
      </c>
      <c r="X245">
        <v>0.0053070384305828047</v>
      </c>
      <c r="Y245">
        <v>0.019206424796394912</v>
      </c>
      <c r="Z245">
        <v>0.00050543223148407659</v>
      </c>
      <c r="AA245">
        <v>0.0010951031682154993</v>
      </c>
      <c r="AB245">
        <v>0.0050543223148407654</v>
      </c>
      <c r="AC245">
        <v>0.039002520529521245</v>
      </c>
      <c r="AD245">
        <v>8.4238705247346107E-05</v>
      </c>
      <c r="AE245">
        <v>0.019037947385900218</v>
      </c>
      <c r="AF245">
        <v>0</v>
      </c>
      <c r="AG245">
        <v>0.0074130060617664563</v>
      </c>
      <c r="AH245">
        <v>0.012972760608091299</v>
      </c>
      <c r="AI245">
        <v>0.026029759921429946</v>
      </c>
      <c r="AJ245">
        <v>0.084491421363088126</v>
      </c>
      <c r="AK245">
        <v>0</v>
      </c>
      <c r="AL245">
        <v>0</v>
      </c>
      <c r="AM245">
        <v>0</v>
      </c>
      <c r="AN245">
        <v>0.054502442295032927</v>
      </c>
      <c r="AO245">
        <v>0.053070384305828042</v>
      </c>
      <c r="AP245">
        <v>0.0046331287886040356</v>
      </c>
      <c r="AQ245">
        <v>0.0017690128101942682</v>
      </c>
      <c r="AR245">
        <v>0.039170997940015939</v>
      </c>
      <c r="AS245">
        <v>0</v>
      </c>
      <c r="AT245">
        <v>0.0037065030308832281</v>
      </c>
      <c r="AU245" t="s">
        <v>111</v>
      </c>
      <c r="BJ245" t="str">
        <f t="shared" si="6"/>
        <v>car</v>
      </c>
      <c r="BK245" t="str">
        <f t="shared" si="7"/>
        <v>bdl</v>
      </c>
    </row>
    <row r="246" spans="1:63" ht="14.5">
      <c r="A246" t="s">
        <v>118</v>
      </c>
      <c r="B246" t="s">
        <v>62</v>
      </c>
      <c r="C246" t="s">
        <v>99</v>
      </c>
      <c r="D246" t="s">
        <v>111</v>
      </c>
      <c r="E246" t="s">
        <v>111</v>
      </c>
      <c r="F246" t="s">
        <v>111</v>
      </c>
      <c r="G246" t="s">
        <v>80</v>
      </c>
      <c r="H246" t="s">
        <v>111</v>
      </c>
      <c r="I246" t="s">
        <v>111</v>
      </c>
      <c r="J246" t="s">
        <v>111</v>
      </c>
      <c r="K246" t="s">
        <v>111</v>
      </c>
      <c r="L246">
        <v>0</v>
      </c>
      <c r="M246">
        <v>0</v>
      </c>
      <c r="N246">
        <v>0</v>
      </c>
      <c r="O246">
        <v>0.013225476723833337</v>
      </c>
      <c r="P246">
        <v>0.00084238705247346101</v>
      </c>
      <c r="Q246">
        <v>0.027377579205387484</v>
      </c>
      <c r="R246">
        <v>0.16712959121073465</v>
      </c>
      <c r="S246">
        <v>0.0084238705247346099</v>
      </c>
      <c r="T246">
        <v>0.0047173674938513818</v>
      </c>
      <c r="U246">
        <v>0.012383089671359876</v>
      </c>
      <c r="V246">
        <v>0.078341995880031878</v>
      </c>
      <c r="W246">
        <v>0.058630138852152881</v>
      </c>
      <c r="X246">
        <v>0.0053070384305828047</v>
      </c>
      <c r="Y246">
        <v>0.019206424796394912</v>
      </c>
      <c r="Z246">
        <v>0.00050543223148407659</v>
      </c>
      <c r="AA246">
        <v>0.0010951031682154993</v>
      </c>
      <c r="AB246">
        <v>0.0050543223148407654</v>
      </c>
      <c r="AC246">
        <v>0.039002520529521245</v>
      </c>
      <c r="AD246">
        <v>8.4238705247346107E-05</v>
      </c>
      <c r="AE246">
        <v>0.019037947385900218</v>
      </c>
      <c r="AF246">
        <v>0</v>
      </c>
      <c r="AG246">
        <v>0.0074130060617664563</v>
      </c>
      <c r="AH246">
        <v>0.012972760608091299</v>
      </c>
      <c r="AI246">
        <v>0.026029759921429946</v>
      </c>
      <c r="AJ246">
        <v>0.084491421363088126</v>
      </c>
      <c r="AK246">
        <v>0</v>
      </c>
      <c r="AL246">
        <v>0</v>
      </c>
      <c r="AM246">
        <v>0</v>
      </c>
      <c r="AN246">
        <v>0.054502442295032927</v>
      </c>
      <c r="AO246">
        <v>0.053070384305828042</v>
      </c>
      <c r="AP246">
        <v>0.0046331287886040356</v>
      </c>
      <c r="AQ246">
        <v>0.0017690128101942682</v>
      </c>
      <c r="AR246">
        <v>0.039170997940015939</v>
      </c>
      <c r="AS246">
        <v>0</v>
      </c>
      <c r="AT246">
        <v>0.0037065030308832281</v>
      </c>
      <c r="AU246" t="s">
        <v>111</v>
      </c>
      <c r="BJ246" t="str">
        <f t="shared" si="6"/>
        <v>car</v>
      </c>
      <c r="BK246" t="str">
        <f t="shared" si="7"/>
        <v>bdl</v>
      </c>
    </row>
    <row r="247" spans="1:63" ht="14.5">
      <c r="A247" t="s">
        <v>118</v>
      </c>
      <c r="B247" t="s">
        <v>62</v>
      </c>
      <c r="C247" t="s">
        <v>99</v>
      </c>
      <c r="D247" t="s">
        <v>111</v>
      </c>
      <c r="E247" t="s">
        <v>111</v>
      </c>
      <c r="F247" t="s">
        <v>111</v>
      </c>
      <c r="G247" t="s">
        <v>79</v>
      </c>
      <c r="H247" t="s">
        <v>111</v>
      </c>
      <c r="I247" t="s">
        <v>111</v>
      </c>
      <c r="J247" t="s">
        <v>111</v>
      </c>
      <c r="K247" t="s">
        <v>111</v>
      </c>
      <c r="L247">
        <v>0</v>
      </c>
      <c r="M247">
        <v>0</v>
      </c>
      <c r="N247">
        <v>0</v>
      </c>
      <c r="O247">
        <v>0.013225476723833337</v>
      </c>
      <c r="P247">
        <v>0.00084238705247346101</v>
      </c>
      <c r="Q247">
        <v>0.027377579205387484</v>
      </c>
      <c r="R247">
        <v>0.16712959121073465</v>
      </c>
      <c r="S247">
        <v>0.0084238705247346099</v>
      </c>
      <c r="T247">
        <v>0.0047173674938513818</v>
      </c>
      <c r="U247">
        <v>0.012383089671359876</v>
      </c>
      <c r="V247">
        <v>0.078341995880031878</v>
      </c>
      <c r="W247">
        <v>0.058630138852152881</v>
      </c>
      <c r="X247">
        <v>0.0053070384305828047</v>
      </c>
      <c r="Y247">
        <v>0.019206424796394912</v>
      </c>
      <c r="Z247">
        <v>0.00050543223148407659</v>
      </c>
      <c r="AA247">
        <v>0.0010951031682154993</v>
      </c>
      <c r="AB247">
        <v>0.0050543223148407654</v>
      </c>
      <c r="AC247">
        <v>0.039002520529521245</v>
      </c>
      <c r="AD247">
        <v>8.4238705247346107E-05</v>
      </c>
      <c r="AE247">
        <v>0.019037947385900218</v>
      </c>
      <c r="AF247">
        <v>0</v>
      </c>
      <c r="AG247">
        <v>0.0074130060617664563</v>
      </c>
      <c r="AH247">
        <v>0.012972760608091299</v>
      </c>
      <c r="AI247">
        <v>0.026029759921429946</v>
      </c>
      <c r="AJ247">
        <v>0.084491421363088126</v>
      </c>
      <c r="AK247">
        <v>0</v>
      </c>
      <c r="AL247">
        <v>0</v>
      </c>
      <c r="AM247">
        <v>0</v>
      </c>
      <c r="AN247">
        <v>0.054502442295032927</v>
      </c>
      <c r="AO247">
        <v>0.053070384305828042</v>
      </c>
      <c r="AP247">
        <v>0.0046331287886040356</v>
      </c>
      <c r="AQ247">
        <v>0.0017690128101942682</v>
      </c>
      <c r="AR247">
        <v>0.039170997940015939</v>
      </c>
      <c r="AS247">
        <v>0</v>
      </c>
      <c r="AT247">
        <v>0.0037065030308832281</v>
      </c>
      <c r="AU247" t="s">
        <v>111</v>
      </c>
      <c r="BJ247" t="str">
        <f t="shared" si="6"/>
        <v>car</v>
      </c>
      <c r="BK247" t="str">
        <f t="shared" si="7"/>
        <v>bdl</v>
      </c>
    </row>
    <row r="248" spans="1:63" ht="14.5">
      <c r="A248" t="s">
        <v>118</v>
      </c>
      <c r="B248" t="s">
        <v>62</v>
      </c>
      <c r="C248" t="s">
        <v>99</v>
      </c>
      <c r="D248" t="s">
        <v>111</v>
      </c>
      <c r="E248" t="s">
        <v>111</v>
      </c>
      <c r="F248" t="s">
        <v>111</v>
      </c>
      <c r="G248" t="s">
        <v>78</v>
      </c>
      <c r="H248" t="s">
        <v>111</v>
      </c>
      <c r="I248" t="s">
        <v>111</v>
      </c>
      <c r="J248" t="s">
        <v>111</v>
      </c>
      <c r="K248" t="s">
        <v>111</v>
      </c>
      <c r="L248">
        <v>0</v>
      </c>
      <c r="M248">
        <v>0</v>
      </c>
      <c r="N248">
        <v>0</v>
      </c>
      <c r="O248">
        <v>0.013225476723833337</v>
      </c>
      <c r="P248">
        <v>0.00084238705247346101</v>
      </c>
      <c r="Q248">
        <v>0.027377579205387484</v>
      </c>
      <c r="R248">
        <v>0.16712959121073465</v>
      </c>
      <c r="S248">
        <v>0.0084238705247346099</v>
      </c>
      <c r="T248">
        <v>0.0047173674938513818</v>
      </c>
      <c r="U248">
        <v>0.012383089671359876</v>
      </c>
      <c r="V248">
        <v>0.078341995880031878</v>
      </c>
      <c r="W248">
        <v>0.058630138852152881</v>
      </c>
      <c r="X248">
        <v>0.0053070384305828047</v>
      </c>
      <c r="Y248">
        <v>0.019206424796394912</v>
      </c>
      <c r="Z248">
        <v>0.00050543223148407659</v>
      </c>
      <c r="AA248">
        <v>0.0010951031682154993</v>
      </c>
      <c r="AB248">
        <v>0.0050543223148407654</v>
      </c>
      <c r="AC248">
        <v>0.039002520529521245</v>
      </c>
      <c r="AD248">
        <v>8.4238705247346107E-05</v>
      </c>
      <c r="AE248">
        <v>0.019037947385900218</v>
      </c>
      <c r="AF248">
        <v>0</v>
      </c>
      <c r="AG248">
        <v>0.0074130060617664563</v>
      </c>
      <c r="AH248">
        <v>0.012972760608091299</v>
      </c>
      <c r="AI248">
        <v>0.026029759921429946</v>
      </c>
      <c r="AJ248">
        <v>0.084491421363088126</v>
      </c>
      <c r="AK248">
        <v>0</v>
      </c>
      <c r="AL248">
        <v>0</v>
      </c>
      <c r="AM248">
        <v>0</v>
      </c>
      <c r="AN248">
        <v>0.054502442295032927</v>
      </c>
      <c r="AO248">
        <v>0.053070384305828042</v>
      </c>
      <c r="AP248">
        <v>0.0046331287886040356</v>
      </c>
      <c r="AQ248">
        <v>0.0017690128101942682</v>
      </c>
      <c r="AR248">
        <v>0.039170997940015939</v>
      </c>
      <c r="AS248">
        <v>0</v>
      </c>
      <c r="AT248">
        <v>0.0037065030308832281</v>
      </c>
      <c r="AU248" t="s">
        <v>111</v>
      </c>
      <c r="BJ248" t="str">
        <f t="shared" si="6"/>
        <v>car</v>
      </c>
      <c r="BK248" t="str">
        <f t="shared" si="7"/>
        <v>bdl</v>
      </c>
    </row>
    <row r="249" spans="1:63" ht="14.5">
      <c r="A249" t="s">
        <v>118</v>
      </c>
      <c r="B249" t="s">
        <v>62</v>
      </c>
      <c r="C249" t="s">
        <v>99</v>
      </c>
      <c r="D249" t="s">
        <v>111</v>
      </c>
      <c r="E249" t="s">
        <v>111</v>
      </c>
      <c r="F249" t="s">
        <v>111</v>
      </c>
      <c r="G249" t="s">
        <v>77</v>
      </c>
      <c r="H249" t="s">
        <v>111</v>
      </c>
      <c r="I249" t="s">
        <v>111</v>
      </c>
      <c r="J249" t="s">
        <v>111</v>
      </c>
      <c r="K249" t="s">
        <v>111</v>
      </c>
      <c r="L249">
        <v>0</v>
      </c>
      <c r="M249">
        <v>0</v>
      </c>
      <c r="N249">
        <v>0</v>
      </c>
      <c r="O249">
        <v>0.013225476723833337</v>
      </c>
      <c r="P249">
        <v>0.00084238705247346101</v>
      </c>
      <c r="Q249">
        <v>0.027377579205387484</v>
      </c>
      <c r="R249">
        <v>0.16712959121073465</v>
      </c>
      <c r="S249">
        <v>0.0084238705247346099</v>
      </c>
      <c r="T249">
        <v>0.0047173674938513818</v>
      </c>
      <c r="U249">
        <v>0.012383089671359876</v>
      </c>
      <c r="V249">
        <v>0.078341995880031878</v>
      </c>
      <c r="W249">
        <v>0.058630138852152881</v>
      </c>
      <c r="X249">
        <v>0.0053070384305828047</v>
      </c>
      <c r="Y249">
        <v>0.019206424796394912</v>
      </c>
      <c r="Z249">
        <v>0.00050543223148407659</v>
      </c>
      <c r="AA249">
        <v>0.0010951031682154993</v>
      </c>
      <c r="AB249">
        <v>0.0050543223148407654</v>
      </c>
      <c r="AC249">
        <v>0.039002520529521245</v>
      </c>
      <c r="AD249">
        <v>8.4238705247346107E-05</v>
      </c>
      <c r="AE249">
        <v>0.019037947385900218</v>
      </c>
      <c r="AF249">
        <v>0</v>
      </c>
      <c r="AG249">
        <v>0.0074130060617664563</v>
      </c>
      <c r="AH249">
        <v>0.012972760608091299</v>
      </c>
      <c r="AI249">
        <v>0.026029759921429946</v>
      </c>
      <c r="AJ249">
        <v>0.084491421363088126</v>
      </c>
      <c r="AK249">
        <v>0</v>
      </c>
      <c r="AL249">
        <v>0</v>
      </c>
      <c r="AM249">
        <v>0</v>
      </c>
      <c r="AN249">
        <v>0.054502442295032927</v>
      </c>
      <c r="AO249">
        <v>0.053070384305828042</v>
      </c>
      <c r="AP249">
        <v>0.0046331287886040356</v>
      </c>
      <c r="AQ249">
        <v>0.0017690128101942682</v>
      </c>
      <c r="AR249">
        <v>0.039170997940015939</v>
      </c>
      <c r="AS249">
        <v>0</v>
      </c>
      <c r="AT249">
        <v>0.0037065030308832281</v>
      </c>
      <c r="AU249" t="s">
        <v>111</v>
      </c>
      <c r="BJ249" t="str">
        <f t="shared" si="6"/>
        <v>car</v>
      </c>
      <c r="BK249" t="str">
        <f t="shared" si="7"/>
        <v>bdl</v>
      </c>
    </row>
    <row r="250" spans="1:63" ht="14.5">
      <c r="A250" t="s">
        <v>118</v>
      </c>
      <c r="B250" t="s">
        <v>62</v>
      </c>
      <c r="C250" t="s">
        <v>99</v>
      </c>
      <c r="D250" t="s">
        <v>111</v>
      </c>
      <c r="E250" t="s">
        <v>111</v>
      </c>
      <c r="F250" t="s">
        <v>111</v>
      </c>
      <c r="G250" t="s">
        <v>76</v>
      </c>
      <c r="H250" t="s">
        <v>111</v>
      </c>
      <c r="I250" t="s">
        <v>111</v>
      </c>
      <c r="J250" t="s">
        <v>111</v>
      </c>
      <c r="K250" t="s">
        <v>111</v>
      </c>
      <c r="L250">
        <v>0</v>
      </c>
      <c r="M250">
        <v>0</v>
      </c>
      <c r="N250">
        <v>0</v>
      </c>
      <c r="O250">
        <v>0.013225476723833337</v>
      </c>
      <c r="P250">
        <v>0.00084238705247346101</v>
      </c>
      <c r="Q250">
        <v>0.027377579205387484</v>
      </c>
      <c r="R250">
        <v>0.16712959121073465</v>
      </c>
      <c r="S250">
        <v>0.0084238705247346099</v>
      </c>
      <c r="T250">
        <v>0.0047173674938513818</v>
      </c>
      <c r="U250">
        <v>0.012383089671359876</v>
      </c>
      <c r="V250">
        <v>0.078341995880031878</v>
      </c>
      <c r="W250">
        <v>0.058630138852152881</v>
      </c>
      <c r="X250">
        <v>0.0053070384305828047</v>
      </c>
      <c r="Y250">
        <v>0.019206424796394912</v>
      </c>
      <c r="Z250">
        <v>0.00050543223148407659</v>
      </c>
      <c r="AA250">
        <v>0.0010951031682154993</v>
      </c>
      <c r="AB250">
        <v>0.0050543223148407654</v>
      </c>
      <c r="AC250">
        <v>0.039002520529521245</v>
      </c>
      <c r="AD250">
        <v>8.4238705247346107E-05</v>
      </c>
      <c r="AE250">
        <v>0.019037947385900218</v>
      </c>
      <c r="AF250">
        <v>0</v>
      </c>
      <c r="AG250">
        <v>0.0074130060617664563</v>
      </c>
      <c r="AH250">
        <v>0.012972760608091299</v>
      </c>
      <c r="AI250">
        <v>0.026029759921429946</v>
      </c>
      <c r="AJ250">
        <v>0.084491421363088126</v>
      </c>
      <c r="AK250">
        <v>0</v>
      </c>
      <c r="AL250">
        <v>0</v>
      </c>
      <c r="AM250">
        <v>0</v>
      </c>
      <c r="AN250">
        <v>0.054502442295032927</v>
      </c>
      <c r="AO250">
        <v>0.053070384305828042</v>
      </c>
      <c r="AP250">
        <v>0.0046331287886040356</v>
      </c>
      <c r="AQ250">
        <v>0.0017690128101942682</v>
      </c>
      <c r="AR250">
        <v>0.039170997940015939</v>
      </c>
      <c r="AS250">
        <v>0</v>
      </c>
      <c r="AT250">
        <v>0.0037065030308832281</v>
      </c>
      <c r="AU250" t="s">
        <v>111</v>
      </c>
      <c r="BJ250" t="str">
        <f t="shared" si="6"/>
        <v>car</v>
      </c>
      <c r="BK250" t="str">
        <f t="shared" si="7"/>
        <v>bdl</v>
      </c>
    </row>
    <row r="251" spans="1:63" ht="14.5">
      <c r="A251" t="s">
        <v>118</v>
      </c>
      <c r="B251" t="s">
        <v>62</v>
      </c>
      <c r="C251" t="s">
        <v>99</v>
      </c>
      <c r="D251" t="s">
        <v>111</v>
      </c>
      <c r="E251" t="s">
        <v>111</v>
      </c>
      <c r="F251" t="s">
        <v>111</v>
      </c>
      <c r="G251" t="s">
        <v>75</v>
      </c>
      <c r="H251" t="s">
        <v>111</v>
      </c>
      <c r="I251" t="s">
        <v>111</v>
      </c>
      <c r="J251" t="s">
        <v>111</v>
      </c>
      <c r="K251" t="s">
        <v>111</v>
      </c>
      <c r="L251">
        <v>0</v>
      </c>
      <c r="M251">
        <v>0</v>
      </c>
      <c r="N251">
        <v>0</v>
      </c>
      <c r="O251">
        <v>0.013225476723833337</v>
      </c>
      <c r="P251">
        <v>0.00084238705247346101</v>
      </c>
      <c r="Q251">
        <v>0.027377579205387484</v>
      </c>
      <c r="R251">
        <v>0.16712959121073465</v>
      </c>
      <c r="S251">
        <v>0.0084238705247346099</v>
      </c>
      <c r="T251">
        <v>0.0047173674938513818</v>
      </c>
      <c r="U251">
        <v>0.012383089671359876</v>
      </c>
      <c r="V251">
        <v>0.078341995880031878</v>
      </c>
      <c r="W251">
        <v>0.058630138852152881</v>
      </c>
      <c r="X251">
        <v>0.0053070384305828047</v>
      </c>
      <c r="Y251">
        <v>0.019206424796394912</v>
      </c>
      <c r="Z251">
        <v>0.00050543223148407659</v>
      </c>
      <c r="AA251">
        <v>0.0010951031682154993</v>
      </c>
      <c r="AB251">
        <v>0.0050543223148407654</v>
      </c>
      <c r="AC251">
        <v>0.039002520529521245</v>
      </c>
      <c r="AD251">
        <v>8.4238705247346107E-05</v>
      </c>
      <c r="AE251">
        <v>0.019037947385900218</v>
      </c>
      <c r="AF251">
        <v>0</v>
      </c>
      <c r="AG251">
        <v>0.0074130060617664563</v>
      </c>
      <c r="AH251">
        <v>0.012972760608091299</v>
      </c>
      <c r="AI251">
        <v>0.026029759921429946</v>
      </c>
      <c r="AJ251">
        <v>0.084491421363088126</v>
      </c>
      <c r="AK251">
        <v>0</v>
      </c>
      <c r="AL251">
        <v>0</v>
      </c>
      <c r="AM251">
        <v>0</v>
      </c>
      <c r="AN251">
        <v>0.054502442295032927</v>
      </c>
      <c r="AO251">
        <v>0.053070384305828042</v>
      </c>
      <c r="AP251">
        <v>0.0046331287886040356</v>
      </c>
      <c r="AQ251">
        <v>0.0017690128101942682</v>
      </c>
      <c r="AR251">
        <v>0.039170997940015939</v>
      </c>
      <c r="AS251">
        <v>0</v>
      </c>
      <c r="AT251">
        <v>0.0037065030308832281</v>
      </c>
      <c r="AU251" t="s">
        <v>111</v>
      </c>
      <c r="BJ251" t="str">
        <f t="shared" si="6"/>
        <v>car</v>
      </c>
      <c r="BK251" t="str">
        <f t="shared" si="7"/>
        <v>bdl</v>
      </c>
    </row>
    <row r="252" spans="1:63" ht="14.5">
      <c r="A252" t="s">
        <v>118</v>
      </c>
      <c r="B252" t="s">
        <v>62</v>
      </c>
      <c r="C252" t="s">
        <v>99</v>
      </c>
      <c r="D252" t="s">
        <v>111</v>
      </c>
      <c r="E252" t="s">
        <v>111</v>
      </c>
      <c r="F252" t="s">
        <v>111</v>
      </c>
      <c r="G252" t="s">
        <v>74</v>
      </c>
      <c r="H252" t="s">
        <v>111</v>
      </c>
      <c r="I252" t="s">
        <v>111</v>
      </c>
      <c r="J252" t="s">
        <v>111</v>
      </c>
      <c r="K252" t="s">
        <v>111</v>
      </c>
      <c r="L252">
        <v>0</v>
      </c>
      <c r="M252">
        <v>0</v>
      </c>
      <c r="N252">
        <v>0</v>
      </c>
      <c r="O252">
        <v>0.013225476723833337</v>
      </c>
      <c r="P252">
        <v>0.00084238705247346101</v>
      </c>
      <c r="Q252">
        <v>0.027377579205387484</v>
      </c>
      <c r="R252">
        <v>0.16712959121073465</v>
      </c>
      <c r="S252">
        <v>0.0084238705247346099</v>
      </c>
      <c r="T252">
        <v>0.0047173674938513818</v>
      </c>
      <c r="U252">
        <v>0.012383089671359876</v>
      </c>
      <c r="V252">
        <v>0.078341995880031878</v>
      </c>
      <c r="W252">
        <v>0.058630138852152881</v>
      </c>
      <c r="X252">
        <v>0.0053070384305828047</v>
      </c>
      <c r="Y252">
        <v>0.019206424796394912</v>
      </c>
      <c r="Z252">
        <v>0.00050543223148407659</v>
      </c>
      <c r="AA252">
        <v>0.0010951031682154993</v>
      </c>
      <c r="AB252">
        <v>0.0050543223148407654</v>
      </c>
      <c r="AC252">
        <v>0.039002520529521245</v>
      </c>
      <c r="AD252">
        <v>8.4238705247346107E-05</v>
      </c>
      <c r="AE252">
        <v>0.019037947385900218</v>
      </c>
      <c r="AF252">
        <v>0</v>
      </c>
      <c r="AG252">
        <v>0.0074130060617664563</v>
      </c>
      <c r="AH252">
        <v>0.012972760608091299</v>
      </c>
      <c r="AI252">
        <v>0.026029759921429946</v>
      </c>
      <c r="AJ252">
        <v>0.084491421363088126</v>
      </c>
      <c r="AK252">
        <v>0</v>
      </c>
      <c r="AL252">
        <v>0</v>
      </c>
      <c r="AM252">
        <v>0</v>
      </c>
      <c r="AN252">
        <v>0.054502442295032927</v>
      </c>
      <c r="AO252">
        <v>0.053070384305828042</v>
      </c>
      <c r="AP252">
        <v>0.0046331287886040356</v>
      </c>
      <c r="AQ252">
        <v>0.0017690128101942682</v>
      </c>
      <c r="AR252">
        <v>0.039170997940015939</v>
      </c>
      <c r="AS252">
        <v>0</v>
      </c>
      <c r="AT252">
        <v>0.0037065030308832281</v>
      </c>
      <c r="AU252" t="s">
        <v>111</v>
      </c>
      <c r="BJ252" t="str">
        <f t="shared" si="6"/>
        <v>car</v>
      </c>
      <c r="BK252" t="str">
        <f t="shared" si="7"/>
        <v>bdl</v>
      </c>
    </row>
    <row r="253" spans="1:63" ht="14.5">
      <c r="A253" t="s">
        <v>118</v>
      </c>
      <c r="B253" t="s">
        <v>62</v>
      </c>
      <c r="C253" t="s">
        <v>99</v>
      </c>
      <c r="D253" t="s">
        <v>111</v>
      </c>
      <c r="E253" t="s">
        <v>111</v>
      </c>
      <c r="F253" t="s">
        <v>111</v>
      </c>
      <c r="G253" t="s">
        <v>73</v>
      </c>
      <c r="H253" t="s">
        <v>111</v>
      </c>
      <c r="I253" t="s">
        <v>111</v>
      </c>
      <c r="J253" t="s">
        <v>111</v>
      </c>
      <c r="K253" t="s">
        <v>111</v>
      </c>
      <c r="L253">
        <v>0</v>
      </c>
      <c r="M253">
        <v>0</v>
      </c>
      <c r="N253">
        <v>0</v>
      </c>
      <c r="O253">
        <v>0.013225476723833337</v>
      </c>
      <c r="P253">
        <v>0.00084238705247346101</v>
      </c>
      <c r="Q253">
        <v>0.027377579205387484</v>
      </c>
      <c r="R253">
        <v>0.16712959121073465</v>
      </c>
      <c r="S253">
        <v>0.0084238705247346099</v>
      </c>
      <c r="T253">
        <v>0.0047173674938513818</v>
      </c>
      <c r="U253">
        <v>0.012383089671359876</v>
      </c>
      <c r="V253">
        <v>0.078341995880031878</v>
      </c>
      <c r="W253">
        <v>0.058630138852152881</v>
      </c>
      <c r="X253">
        <v>0.0053070384305828047</v>
      </c>
      <c r="Y253">
        <v>0.019206424796394912</v>
      </c>
      <c r="Z253">
        <v>0.00050543223148407659</v>
      </c>
      <c r="AA253">
        <v>0.0010951031682154993</v>
      </c>
      <c r="AB253">
        <v>0.0050543223148407654</v>
      </c>
      <c r="AC253">
        <v>0.039002520529521245</v>
      </c>
      <c r="AD253">
        <v>8.4238705247346107E-05</v>
      </c>
      <c r="AE253">
        <v>0.019037947385900218</v>
      </c>
      <c r="AF253">
        <v>0</v>
      </c>
      <c r="AG253">
        <v>0.0074130060617664563</v>
      </c>
      <c r="AH253">
        <v>0.012972760608091299</v>
      </c>
      <c r="AI253">
        <v>0.026029759921429946</v>
      </c>
      <c r="AJ253">
        <v>0.084491421363088126</v>
      </c>
      <c r="AK253">
        <v>0</v>
      </c>
      <c r="AL253">
        <v>0</v>
      </c>
      <c r="AM253">
        <v>0</v>
      </c>
      <c r="AN253">
        <v>0.054502442295032927</v>
      </c>
      <c r="AO253">
        <v>0.053070384305828042</v>
      </c>
      <c r="AP253">
        <v>0.0046331287886040356</v>
      </c>
      <c r="AQ253">
        <v>0.0017690128101942682</v>
      </c>
      <c r="AR253">
        <v>0.039170997940015939</v>
      </c>
      <c r="AS253">
        <v>0</v>
      </c>
      <c r="AT253">
        <v>0.0037065030308832281</v>
      </c>
      <c r="AU253" t="s">
        <v>111</v>
      </c>
      <c r="BJ253" t="str">
        <f t="shared" si="6"/>
        <v>car</v>
      </c>
      <c r="BK253" t="str">
        <f t="shared" si="7"/>
        <v>bdl</v>
      </c>
    </row>
    <row r="254" spans="1:63" ht="14.5">
      <c r="A254" t="s">
        <v>118</v>
      </c>
      <c r="B254" t="s">
        <v>62</v>
      </c>
      <c r="C254" t="s">
        <v>99</v>
      </c>
      <c r="D254" t="s">
        <v>111</v>
      </c>
      <c r="E254" t="s">
        <v>111</v>
      </c>
      <c r="F254" t="s">
        <v>111</v>
      </c>
      <c r="G254" t="s">
        <v>72</v>
      </c>
      <c r="H254" t="s">
        <v>111</v>
      </c>
      <c r="I254" t="s">
        <v>111</v>
      </c>
      <c r="J254" t="s">
        <v>111</v>
      </c>
      <c r="K254" t="s">
        <v>111</v>
      </c>
      <c r="L254">
        <v>0</v>
      </c>
      <c r="M254">
        <v>0</v>
      </c>
      <c r="N254">
        <v>0</v>
      </c>
      <c r="O254">
        <v>0.013225476723833337</v>
      </c>
      <c r="P254">
        <v>0.00084238705247346101</v>
      </c>
      <c r="Q254">
        <v>0.027377579205387484</v>
      </c>
      <c r="R254">
        <v>0.16712959121073465</v>
      </c>
      <c r="S254">
        <v>0.0084238705247346099</v>
      </c>
      <c r="T254">
        <v>0.0047173674938513818</v>
      </c>
      <c r="U254">
        <v>0.012383089671359876</v>
      </c>
      <c r="V254">
        <v>0.078341995880031878</v>
      </c>
      <c r="W254">
        <v>0.058630138852152881</v>
      </c>
      <c r="X254">
        <v>0.0053070384305828047</v>
      </c>
      <c r="Y254">
        <v>0.019206424796394912</v>
      </c>
      <c r="Z254">
        <v>0.00050543223148407659</v>
      </c>
      <c r="AA254">
        <v>0.0010951031682154993</v>
      </c>
      <c r="AB254">
        <v>0.0050543223148407654</v>
      </c>
      <c r="AC254">
        <v>0.039002520529521245</v>
      </c>
      <c r="AD254">
        <v>8.4238705247346107E-05</v>
      </c>
      <c r="AE254">
        <v>0.019037947385900218</v>
      </c>
      <c r="AF254">
        <v>0</v>
      </c>
      <c r="AG254">
        <v>0.0074130060617664563</v>
      </c>
      <c r="AH254">
        <v>0.012972760608091299</v>
      </c>
      <c r="AI254">
        <v>0.026029759921429946</v>
      </c>
      <c r="AJ254">
        <v>0.084491421363088126</v>
      </c>
      <c r="AK254">
        <v>0</v>
      </c>
      <c r="AL254">
        <v>0</v>
      </c>
      <c r="AM254">
        <v>0</v>
      </c>
      <c r="AN254">
        <v>0.054502442295032927</v>
      </c>
      <c r="AO254">
        <v>0.053070384305828042</v>
      </c>
      <c r="AP254">
        <v>0.0046331287886040356</v>
      </c>
      <c r="AQ254">
        <v>0.0017690128101942682</v>
      </c>
      <c r="AR254">
        <v>0.039170997940015939</v>
      </c>
      <c r="AS254">
        <v>0</v>
      </c>
      <c r="AT254">
        <v>0.0037065030308832281</v>
      </c>
      <c r="AU254" t="s">
        <v>111</v>
      </c>
      <c r="BJ254" t="str">
        <f t="shared" si="6"/>
        <v>car</v>
      </c>
      <c r="BK254" t="str">
        <f t="shared" si="7"/>
        <v>bdl</v>
      </c>
    </row>
    <row r="255" spans="1:63" ht="14.5">
      <c r="A255" t="s">
        <v>118</v>
      </c>
      <c r="B255" t="s">
        <v>62</v>
      </c>
      <c r="C255" t="s">
        <v>99</v>
      </c>
      <c r="D255" t="s">
        <v>111</v>
      </c>
      <c r="E255" t="s">
        <v>111</v>
      </c>
      <c r="F255" t="s">
        <v>111</v>
      </c>
      <c r="G255" t="s">
        <v>71</v>
      </c>
      <c r="H255" t="s">
        <v>111</v>
      </c>
      <c r="I255" t="s">
        <v>111</v>
      </c>
      <c r="J255" t="s">
        <v>111</v>
      </c>
      <c r="K255" t="s">
        <v>111</v>
      </c>
      <c r="L255">
        <v>0</v>
      </c>
      <c r="M255">
        <v>0</v>
      </c>
      <c r="N255">
        <v>0</v>
      </c>
      <c r="O255">
        <v>0.013225476723833337</v>
      </c>
      <c r="P255">
        <v>0.00084238705247346101</v>
      </c>
      <c r="Q255">
        <v>0.027377579205387484</v>
      </c>
      <c r="R255">
        <v>0.16712959121073465</v>
      </c>
      <c r="S255">
        <v>0.0084238705247346099</v>
      </c>
      <c r="T255">
        <v>0.0047173674938513818</v>
      </c>
      <c r="U255">
        <v>0.012383089671359876</v>
      </c>
      <c r="V255">
        <v>0.078341995880031878</v>
      </c>
      <c r="W255">
        <v>0.058630138852152881</v>
      </c>
      <c r="X255">
        <v>0.0053070384305828047</v>
      </c>
      <c r="Y255">
        <v>0.019206424796394912</v>
      </c>
      <c r="Z255">
        <v>0.00050543223148407659</v>
      </c>
      <c r="AA255">
        <v>0.0010951031682154993</v>
      </c>
      <c r="AB255">
        <v>0.0050543223148407654</v>
      </c>
      <c r="AC255">
        <v>0.039002520529521245</v>
      </c>
      <c r="AD255">
        <v>8.4238705247346107E-05</v>
      </c>
      <c r="AE255">
        <v>0.019037947385900218</v>
      </c>
      <c r="AF255">
        <v>0</v>
      </c>
      <c r="AG255">
        <v>0.0074130060617664563</v>
      </c>
      <c r="AH255">
        <v>0.012972760608091299</v>
      </c>
      <c r="AI255">
        <v>0.026029759921429946</v>
      </c>
      <c r="AJ255">
        <v>0.084491421363088126</v>
      </c>
      <c r="AK255">
        <v>0</v>
      </c>
      <c r="AL255">
        <v>0</v>
      </c>
      <c r="AM255">
        <v>0</v>
      </c>
      <c r="AN255">
        <v>0.054502442295032927</v>
      </c>
      <c r="AO255">
        <v>0.053070384305828042</v>
      </c>
      <c r="AP255">
        <v>0.0046331287886040356</v>
      </c>
      <c r="AQ255">
        <v>0.0017690128101942682</v>
      </c>
      <c r="AR255">
        <v>0.039170997940015939</v>
      </c>
      <c r="AS255">
        <v>0</v>
      </c>
      <c r="AT255">
        <v>0.0037065030308832281</v>
      </c>
      <c r="AU255" t="s">
        <v>111</v>
      </c>
      <c r="BJ255" t="str">
        <f t="shared" si="6"/>
        <v>car</v>
      </c>
      <c r="BK255" t="str">
        <f t="shared" si="7"/>
        <v>bdl</v>
      </c>
    </row>
    <row r="256" spans="1:63" ht="14.5">
      <c r="A256" t="s">
        <v>118</v>
      </c>
      <c r="B256" t="s">
        <v>62</v>
      </c>
      <c r="C256" t="s">
        <v>99</v>
      </c>
      <c r="D256" t="s">
        <v>111</v>
      </c>
      <c r="E256" t="s">
        <v>111</v>
      </c>
      <c r="F256" t="s">
        <v>111</v>
      </c>
      <c r="G256" t="s">
        <v>70</v>
      </c>
      <c r="H256" t="s">
        <v>111</v>
      </c>
      <c r="I256" t="s">
        <v>111</v>
      </c>
      <c r="J256" t="s">
        <v>111</v>
      </c>
      <c r="K256" t="s">
        <v>111</v>
      </c>
      <c r="L256">
        <v>0</v>
      </c>
      <c r="M256">
        <v>0</v>
      </c>
      <c r="N256">
        <v>0</v>
      </c>
      <c r="O256">
        <v>0.013225476723833337</v>
      </c>
      <c r="P256">
        <v>0.00084238705247346101</v>
      </c>
      <c r="Q256">
        <v>0.027377579205387484</v>
      </c>
      <c r="R256">
        <v>0.16712959121073465</v>
      </c>
      <c r="S256">
        <v>0.0084238705247346099</v>
      </c>
      <c r="T256">
        <v>0.0047173674938513818</v>
      </c>
      <c r="U256">
        <v>0.012383089671359876</v>
      </c>
      <c r="V256">
        <v>0.078341995880031878</v>
      </c>
      <c r="W256">
        <v>0.058630138852152881</v>
      </c>
      <c r="X256">
        <v>0.0053070384305828047</v>
      </c>
      <c r="Y256">
        <v>0.019206424796394912</v>
      </c>
      <c r="Z256">
        <v>0.00050543223148407659</v>
      </c>
      <c r="AA256">
        <v>0.0010951031682154993</v>
      </c>
      <c r="AB256">
        <v>0.0050543223148407654</v>
      </c>
      <c r="AC256">
        <v>0.039002520529521245</v>
      </c>
      <c r="AD256">
        <v>8.4238705247346107E-05</v>
      </c>
      <c r="AE256">
        <v>0.019037947385900218</v>
      </c>
      <c r="AF256">
        <v>0</v>
      </c>
      <c r="AG256">
        <v>0.0074130060617664563</v>
      </c>
      <c r="AH256">
        <v>0.012972760608091299</v>
      </c>
      <c r="AI256">
        <v>0.026029759921429946</v>
      </c>
      <c r="AJ256">
        <v>0.084491421363088126</v>
      </c>
      <c r="AK256">
        <v>0</v>
      </c>
      <c r="AL256">
        <v>0</v>
      </c>
      <c r="AM256">
        <v>0</v>
      </c>
      <c r="AN256">
        <v>0.054502442295032927</v>
      </c>
      <c r="AO256">
        <v>0.053070384305828042</v>
      </c>
      <c r="AP256">
        <v>0.0046331287886040356</v>
      </c>
      <c r="AQ256">
        <v>0.0017690128101942682</v>
      </c>
      <c r="AR256">
        <v>0.039170997940015939</v>
      </c>
      <c r="AS256">
        <v>0</v>
      </c>
      <c r="AT256">
        <v>0.0037065030308832281</v>
      </c>
      <c r="AU256" t="s">
        <v>111</v>
      </c>
      <c r="BJ256" t="str">
        <f t="shared" si="6"/>
        <v>car</v>
      </c>
      <c r="BK256" t="str">
        <f t="shared" si="7"/>
        <v>bdl</v>
      </c>
    </row>
    <row r="257" spans="1:63" ht="14.5">
      <c r="A257" t="s">
        <v>118</v>
      </c>
      <c r="B257" t="s">
        <v>62</v>
      </c>
      <c r="C257" t="s">
        <v>99</v>
      </c>
      <c r="D257" t="s">
        <v>111</v>
      </c>
      <c r="E257" t="s">
        <v>111</v>
      </c>
      <c r="F257" t="s">
        <v>111</v>
      </c>
      <c r="G257" t="s">
        <v>69</v>
      </c>
      <c r="H257" t="s">
        <v>111</v>
      </c>
      <c r="I257" t="s">
        <v>111</v>
      </c>
      <c r="J257" t="s">
        <v>111</v>
      </c>
      <c r="K257" t="s">
        <v>111</v>
      </c>
      <c r="L257">
        <v>0</v>
      </c>
      <c r="M257">
        <v>0</v>
      </c>
      <c r="N257">
        <v>0</v>
      </c>
      <c r="O257">
        <v>0.013225476723833337</v>
      </c>
      <c r="P257">
        <v>0.00084238705247346101</v>
      </c>
      <c r="Q257">
        <v>0.027377579205387484</v>
      </c>
      <c r="R257">
        <v>0.16712959121073465</v>
      </c>
      <c r="S257">
        <v>0.0084238705247346099</v>
      </c>
      <c r="T257">
        <v>0.0047173674938513818</v>
      </c>
      <c r="U257">
        <v>0.012383089671359876</v>
      </c>
      <c r="V257">
        <v>0.078341995880031878</v>
      </c>
      <c r="W257">
        <v>0.058630138852152881</v>
      </c>
      <c r="X257">
        <v>0.0053070384305828047</v>
      </c>
      <c r="Y257">
        <v>0.019206424796394912</v>
      </c>
      <c r="Z257">
        <v>0.00050543223148407659</v>
      </c>
      <c r="AA257">
        <v>0.0010951031682154993</v>
      </c>
      <c r="AB257">
        <v>0.0050543223148407654</v>
      </c>
      <c r="AC257">
        <v>0.039002520529521245</v>
      </c>
      <c r="AD257">
        <v>8.4238705247346107E-05</v>
      </c>
      <c r="AE257">
        <v>0.019037947385900218</v>
      </c>
      <c r="AF257">
        <v>0</v>
      </c>
      <c r="AG257">
        <v>0.0074130060617664563</v>
      </c>
      <c r="AH257">
        <v>0.012972760608091299</v>
      </c>
      <c r="AI257">
        <v>0.026029759921429946</v>
      </c>
      <c r="AJ257">
        <v>0.084491421363088126</v>
      </c>
      <c r="AK257">
        <v>0</v>
      </c>
      <c r="AL257">
        <v>0</v>
      </c>
      <c r="AM257">
        <v>0</v>
      </c>
      <c r="AN257">
        <v>0.054502442295032927</v>
      </c>
      <c r="AO257">
        <v>0.053070384305828042</v>
      </c>
      <c r="AP257">
        <v>0.0046331287886040356</v>
      </c>
      <c r="AQ257">
        <v>0.0017690128101942682</v>
      </c>
      <c r="AR257">
        <v>0.039170997940015939</v>
      </c>
      <c r="AS257">
        <v>0</v>
      </c>
      <c r="AT257">
        <v>0.0037065030308832281</v>
      </c>
      <c r="AU257" t="s">
        <v>111</v>
      </c>
      <c r="BJ257" t="str">
        <f t="shared" si="6"/>
        <v>car</v>
      </c>
      <c r="BK257" t="str">
        <f t="shared" si="7"/>
        <v>bdl</v>
      </c>
    </row>
    <row r="258" spans="1:63" ht="14.5">
      <c r="A258" t="s">
        <v>118</v>
      </c>
      <c r="B258" t="s">
        <v>62</v>
      </c>
      <c r="C258" t="s">
        <v>99</v>
      </c>
      <c r="D258" t="s">
        <v>111</v>
      </c>
      <c r="E258" t="s">
        <v>111</v>
      </c>
      <c r="F258" t="s">
        <v>111</v>
      </c>
      <c r="G258" t="s">
        <v>68</v>
      </c>
      <c r="H258" t="s">
        <v>111</v>
      </c>
      <c r="I258" t="s">
        <v>111</v>
      </c>
      <c r="J258" t="s">
        <v>111</v>
      </c>
      <c r="K258" t="s">
        <v>111</v>
      </c>
      <c r="L258">
        <v>0</v>
      </c>
      <c r="M258">
        <v>0</v>
      </c>
      <c r="N258">
        <v>0</v>
      </c>
      <c r="O258">
        <v>0.013225476723833337</v>
      </c>
      <c r="P258">
        <v>0.00084238705247346101</v>
      </c>
      <c r="Q258">
        <v>0.027377579205387484</v>
      </c>
      <c r="R258">
        <v>0.16712959121073465</v>
      </c>
      <c r="S258">
        <v>0.0084238705247346099</v>
      </c>
      <c r="T258">
        <v>0.0047173674938513818</v>
      </c>
      <c r="U258">
        <v>0.012383089671359876</v>
      </c>
      <c r="V258">
        <v>0.078341995880031878</v>
      </c>
      <c r="W258">
        <v>0.058630138852152881</v>
      </c>
      <c r="X258">
        <v>0.0053070384305828047</v>
      </c>
      <c r="Y258">
        <v>0.019206424796394912</v>
      </c>
      <c r="Z258">
        <v>0.00050543223148407659</v>
      </c>
      <c r="AA258">
        <v>0.0010951031682154993</v>
      </c>
      <c r="AB258">
        <v>0.0050543223148407654</v>
      </c>
      <c r="AC258">
        <v>0.039002520529521245</v>
      </c>
      <c r="AD258">
        <v>8.4238705247346107E-05</v>
      </c>
      <c r="AE258">
        <v>0.019037947385900218</v>
      </c>
      <c r="AF258">
        <v>0</v>
      </c>
      <c r="AG258">
        <v>0.0074130060617664563</v>
      </c>
      <c r="AH258">
        <v>0.012972760608091299</v>
      </c>
      <c r="AI258">
        <v>0.026029759921429946</v>
      </c>
      <c r="AJ258">
        <v>0.084491421363088126</v>
      </c>
      <c r="AK258">
        <v>0</v>
      </c>
      <c r="AL258">
        <v>0</v>
      </c>
      <c r="AM258">
        <v>0</v>
      </c>
      <c r="AN258">
        <v>0.054502442295032927</v>
      </c>
      <c r="AO258">
        <v>0.053070384305828042</v>
      </c>
      <c r="AP258">
        <v>0.0046331287886040356</v>
      </c>
      <c r="AQ258">
        <v>0.0017690128101942682</v>
      </c>
      <c r="AR258">
        <v>0.039170997940015939</v>
      </c>
      <c r="AS258">
        <v>0</v>
      </c>
      <c r="AT258">
        <v>0.0037065030308832281</v>
      </c>
      <c r="AU258" t="s">
        <v>111</v>
      </c>
      <c r="BJ258" t="str">
        <f t="shared" si="6"/>
        <v>car</v>
      </c>
      <c r="BK258" t="str">
        <f t="shared" si="7"/>
        <v>bdl</v>
      </c>
    </row>
    <row r="259" spans="1:63" ht="14.5">
      <c r="A259" t="s">
        <v>118</v>
      </c>
      <c r="B259" t="s">
        <v>62</v>
      </c>
      <c r="C259" t="s">
        <v>99</v>
      </c>
      <c r="D259" t="s">
        <v>111</v>
      </c>
      <c r="E259" t="s">
        <v>111</v>
      </c>
      <c r="F259" t="s">
        <v>111</v>
      </c>
      <c r="G259" t="s">
        <v>67</v>
      </c>
      <c r="H259" t="s">
        <v>111</v>
      </c>
      <c r="I259" t="s">
        <v>111</v>
      </c>
      <c r="J259" t="s">
        <v>111</v>
      </c>
      <c r="K259" t="s">
        <v>111</v>
      </c>
      <c r="L259">
        <v>0</v>
      </c>
      <c r="M259">
        <v>0</v>
      </c>
      <c r="N259">
        <v>0</v>
      </c>
      <c r="O259">
        <v>0.013225476723833337</v>
      </c>
      <c r="P259">
        <v>0.00084238705247346101</v>
      </c>
      <c r="Q259">
        <v>0.027377579205387484</v>
      </c>
      <c r="R259">
        <v>0.16712959121073465</v>
      </c>
      <c r="S259">
        <v>0.0084238705247346099</v>
      </c>
      <c r="T259">
        <v>0.0047173674938513818</v>
      </c>
      <c r="U259">
        <v>0.012383089671359876</v>
      </c>
      <c r="V259">
        <v>0.078341995880031878</v>
      </c>
      <c r="W259">
        <v>0.058630138852152881</v>
      </c>
      <c r="X259">
        <v>0.0053070384305828047</v>
      </c>
      <c r="Y259">
        <v>0.019206424796394912</v>
      </c>
      <c r="Z259">
        <v>0.00050543223148407659</v>
      </c>
      <c r="AA259">
        <v>0.0010951031682154993</v>
      </c>
      <c r="AB259">
        <v>0.0050543223148407654</v>
      </c>
      <c r="AC259">
        <v>0.039002520529521245</v>
      </c>
      <c r="AD259">
        <v>8.4238705247346107E-05</v>
      </c>
      <c r="AE259">
        <v>0.019037947385900218</v>
      </c>
      <c r="AF259">
        <v>0</v>
      </c>
      <c r="AG259">
        <v>0.0074130060617664563</v>
      </c>
      <c r="AH259">
        <v>0.012972760608091299</v>
      </c>
      <c r="AI259">
        <v>0.026029759921429946</v>
      </c>
      <c r="AJ259">
        <v>0.084491421363088126</v>
      </c>
      <c r="AK259">
        <v>0</v>
      </c>
      <c r="AL259">
        <v>0</v>
      </c>
      <c r="AM259">
        <v>0</v>
      </c>
      <c r="AN259">
        <v>0.054502442295032927</v>
      </c>
      <c r="AO259">
        <v>0.053070384305828042</v>
      </c>
      <c r="AP259">
        <v>0.0046331287886040356</v>
      </c>
      <c r="AQ259">
        <v>0.0017690128101942682</v>
      </c>
      <c r="AR259">
        <v>0.039170997940015939</v>
      </c>
      <c r="AS259">
        <v>0</v>
      </c>
      <c r="AT259">
        <v>0.0037065030308832281</v>
      </c>
      <c r="AU259" t="s">
        <v>111</v>
      </c>
      <c r="BJ259" t="str">
        <f t="shared" si="8" ref="BJ259:BJ322">MID(C259,5,3)</f>
        <v>car</v>
      </c>
      <c r="BK259" t="str">
        <f t="shared" si="9" ref="BK259:BK322">RIGHT(C259,3)</f>
        <v>bdl</v>
      </c>
    </row>
    <row r="260" spans="1:63" ht="14.5">
      <c r="A260" t="s">
        <v>118</v>
      </c>
      <c r="B260" t="s">
        <v>62</v>
      </c>
      <c r="C260" t="s">
        <v>99</v>
      </c>
      <c r="D260" t="s">
        <v>111</v>
      </c>
      <c r="E260" t="s">
        <v>111</v>
      </c>
      <c r="F260" t="s">
        <v>111</v>
      </c>
      <c r="G260" t="s">
        <v>66</v>
      </c>
      <c r="H260" t="s">
        <v>111</v>
      </c>
      <c r="I260" t="s">
        <v>111</v>
      </c>
      <c r="J260" t="s">
        <v>111</v>
      </c>
      <c r="K260" t="s">
        <v>111</v>
      </c>
      <c r="L260">
        <v>0</v>
      </c>
      <c r="M260">
        <v>0</v>
      </c>
      <c r="N260">
        <v>0</v>
      </c>
      <c r="O260">
        <v>0.013225476723833337</v>
      </c>
      <c r="P260">
        <v>0.00084238705247346101</v>
      </c>
      <c r="Q260">
        <v>0.027377579205387484</v>
      </c>
      <c r="R260">
        <v>0.16712959121073465</v>
      </c>
      <c r="S260">
        <v>0.0084238705247346099</v>
      </c>
      <c r="T260">
        <v>0.0047173674938513818</v>
      </c>
      <c r="U260">
        <v>0.012383089671359876</v>
      </c>
      <c r="V260">
        <v>0.078341995880031878</v>
      </c>
      <c r="W260">
        <v>0.058630138852152881</v>
      </c>
      <c r="X260">
        <v>0.0053070384305828047</v>
      </c>
      <c r="Y260">
        <v>0.019206424796394912</v>
      </c>
      <c r="Z260">
        <v>0.00050543223148407659</v>
      </c>
      <c r="AA260">
        <v>0.0010951031682154993</v>
      </c>
      <c r="AB260">
        <v>0.0050543223148407654</v>
      </c>
      <c r="AC260">
        <v>0.039002520529521245</v>
      </c>
      <c r="AD260">
        <v>8.4238705247346107E-05</v>
      </c>
      <c r="AE260">
        <v>0.019037947385900218</v>
      </c>
      <c r="AF260">
        <v>0</v>
      </c>
      <c r="AG260">
        <v>0.0074130060617664563</v>
      </c>
      <c r="AH260">
        <v>0.012972760608091299</v>
      </c>
      <c r="AI260">
        <v>0.026029759921429946</v>
      </c>
      <c r="AJ260">
        <v>0.084491421363088126</v>
      </c>
      <c r="AK260">
        <v>0</v>
      </c>
      <c r="AL260">
        <v>0</v>
      </c>
      <c r="AM260">
        <v>0</v>
      </c>
      <c r="AN260">
        <v>0.054502442295032927</v>
      </c>
      <c r="AO260">
        <v>0.053070384305828042</v>
      </c>
      <c r="AP260">
        <v>0.0046331287886040356</v>
      </c>
      <c r="AQ260">
        <v>0.0017690128101942682</v>
      </c>
      <c r="AR260">
        <v>0.039170997940015939</v>
      </c>
      <c r="AS260">
        <v>0</v>
      </c>
      <c r="AT260">
        <v>0.0037065030308832281</v>
      </c>
      <c r="AU260" t="s">
        <v>111</v>
      </c>
      <c r="BJ260" t="str">
        <f t="shared" si="8"/>
        <v>car</v>
      </c>
      <c r="BK260" t="str">
        <f t="shared" si="9"/>
        <v>bdl</v>
      </c>
    </row>
    <row r="261" spans="1:63" ht="14.5">
      <c r="A261" t="s">
        <v>118</v>
      </c>
      <c r="B261" t="s">
        <v>62</v>
      </c>
      <c r="C261" t="s">
        <v>99</v>
      </c>
      <c r="D261" t="s">
        <v>111</v>
      </c>
      <c r="E261" t="s">
        <v>111</v>
      </c>
      <c r="F261" t="s">
        <v>111</v>
      </c>
      <c r="G261" t="s">
        <v>65</v>
      </c>
      <c r="H261" t="s">
        <v>111</v>
      </c>
      <c r="I261" t="s">
        <v>111</v>
      </c>
      <c r="J261" t="s">
        <v>111</v>
      </c>
      <c r="K261" t="s">
        <v>111</v>
      </c>
      <c r="L261">
        <v>0</v>
      </c>
      <c r="M261">
        <v>0</v>
      </c>
      <c r="N261">
        <v>0</v>
      </c>
      <c r="O261">
        <v>0.013225476723833337</v>
      </c>
      <c r="P261">
        <v>0.00084238705247346101</v>
      </c>
      <c r="Q261">
        <v>0.027377579205387484</v>
      </c>
      <c r="R261">
        <v>0.16712959121073465</v>
      </c>
      <c r="S261">
        <v>0.0084238705247346099</v>
      </c>
      <c r="T261">
        <v>0.0047173674938513818</v>
      </c>
      <c r="U261">
        <v>0.012383089671359876</v>
      </c>
      <c r="V261">
        <v>0.078341995880031878</v>
      </c>
      <c r="W261">
        <v>0.058630138852152881</v>
      </c>
      <c r="X261">
        <v>0.0053070384305828047</v>
      </c>
      <c r="Y261">
        <v>0.019206424796394912</v>
      </c>
      <c r="Z261">
        <v>0.00050543223148407659</v>
      </c>
      <c r="AA261">
        <v>0.0010951031682154993</v>
      </c>
      <c r="AB261">
        <v>0.0050543223148407654</v>
      </c>
      <c r="AC261">
        <v>0.039002520529521245</v>
      </c>
      <c r="AD261">
        <v>8.4238705247346107E-05</v>
      </c>
      <c r="AE261">
        <v>0.019037947385900218</v>
      </c>
      <c r="AF261">
        <v>0</v>
      </c>
      <c r="AG261">
        <v>0.0074130060617664563</v>
      </c>
      <c r="AH261">
        <v>0.012972760608091299</v>
      </c>
      <c r="AI261">
        <v>0.026029759921429946</v>
      </c>
      <c r="AJ261">
        <v>0.084491421363088126</v>
      </c>
      <c r="AK261">
        <v>0</v>
      </c>
      <c r="AL261">
        <v>0</v>
      </c>
      <c r="AM261">
        <v>0</v>
      </c>
      <c r="AN261">
        <v>0.054502442295032927</v>
      </c>
      <c r="AO261">
        <v>0.053070384305828042</v>
      </c>
      <c r="AP261">
        <v>0.0046331287886040356</v>
      </c>
      <c r="AQ261">
        <v>0.0017690128101942682</v>
      </c>
      <c r="AR261">
        <v>0.039170997940015939</v>
      </c>
      <c r="AS261">
        <v>0</v>
      </c>
      <c r="AT261">
        <v>0.0037065030308832281</v>
      </c>
      <c r="AU261" t="s">
        <v>111</v>
      </c>
      <c r="BJ261" t="str">
        <f t="shared" si="8"/>
        <v>car</v>
      </c>
      <c r="BK261" t="str">
        <f t="shared" si="9"/>
        <v>bdl</v>
      </c>
    </row>
    <row r="262" spans="1:63" ht="14.5">
      <c r="A262" t="s">
        <v>118</v>
      </c>
      <c r="B262" t="s">
        <v>62</v>
      </c>
      <c r="C262" t="s">
        <v>98</v>
      </c>
      <c r="D262" t="s">
        <v>111</v>
      </c>
      <c r="E262" t="s">
        <v>111</v>
      </c>
      <c r="F262" t="s">
        <v>111</v>
      </c>
      <c r="G262" t="s">
        <v>61</v>
      </c>
      <c r="H262" t="s">
        <v>111</v>
      </c>
      <c r="I262" t="s">
        <v>111</v>
      </c>
      <c r="J262" t="s">
        <v>111</v>
      </c>
      <c r="K262" t="s">
        <v>111</v>
      </c>
      <c r="L262">
        <v>0.41192726865952239</v>
      </c>
      <c r="M262">
        <v>0.36610141300496618</v>
      </c>
      <c r="N262">
        <v>0.042624784855157125</v>
      </c>
      <c r="O262">
        <v>0.19164305443771237</v>
      </c>
      <c r="P262">
        <v>0.02249173430104141</v>
      </c>
      <c r="Q262">
        <v>0.40619903670270291</v>
      </c>
      <c r="R262">
        <v>0.36862857416238654</v>
      </c>
      <c r="S262">
        <v>0.8626885804380714</v>
      </c>
      <c r="T262">
        <v>0.089293027562186864</v>
      </c>
      <c r="U262">
        <v>0.19130609961672299</v>
      </c>
      <c r="V262">
        <v>0.95307671116847381</v>
      </c>
      <c r="W262">
        <v>1.029312739417322</v>
      </c>
      <c r="X262">
        <v>0.083227840784377949</v>
      </c>
      <c r="Y262">
        <v>0.29845773269134723</v>
      </c>
      <c r="Z262">
        <v>0.0057282319568195354</v>
      </c>
      <c r="AA262">
        <v>1.6904180981984942</v>
      </c>
      <c r="AB262">
        <v>0.091398995193370511</v>
      </c>
      <c r="AC262">
        <v>0.66683359073799175</v>
      </c>
      <c r="AD262">
        <v>0.16746654603172403</v>
      </c>
      <c r="AE262">
        <v>0.37848450267632605</v>
      </c>
      <c r="AF262">
        <v>0.55488035146426873</v>
      </c>
      <c r="AG262">
        <v>0.2278656976940712</v>
      </c>
      <c r="AH262">
        <v>0.06562195138768262</v>
      </c>
      <c r="AI262">
        <v>0.4392206091596626</v>
      </c>
      <c r="AJ262">
        <v>1.1900401890292585</v>
      </c>
      <c r="AK262">
        <v>0.12989608349140769</v>
      </c>
      <c r="AL262">
        <v>0.31555818985655848</v>
      </c>
      <c r="AM262">
        <v>0.12863250291269748</v>
      </c>
      <c r="AN262">
        <v>0.79588728717692603</v>
      </c>
      <c r="AO262">
        <v>0.23890096808147351</v>
      </c>
      <c r="AP262">
        <v>0.084322943952593432</v>
      </c>
      <c r="AQ262">
        <v>0.30460715817440348</v>
      </c>
      <c r="AR262">
        <v>0.75140925080632714</v>
      </c>
      <c r="AS262">
        <v>0.03369548209893844</v>
      </c>
      <c r="AT262">
        <v>0.1390781023633684</v>
      </c>
      <c r="AU262" t="s">
        <v>111</v>
      </c>
      <c r="BJ262" t="str">
        <f t="shared" si="8"/>
        <v>car</v>
      </c>
      <c r="BK262" t="str">
        <f t="shared" si="9"/>
        <v>dsl</v>
      </c>
    </row>
    <row r="263" spans="1:63" ht="14.5">
      <c r="A263" t="s">
        <v>118</v>
      </c>
      <c r="B263" t="s">
        <v>62</v>
      </c>
      <c r="C263" t="s">
        <v>98</v>
      </c>
      <c r="D263" t="s">
        <v>111</v>
      </c>
      <c r="E263" t="s">
        <v>111</v>
      </c>
      <c r="F263" t="s">
        <v>111</v>
      </c>
      <c r="G263" t="s">
        <v>83</v>
      </c>
      <c r="H263" t="s">
        <v>111</v>
      </c>
      <c r="I263" t="s">
        <v>111</v>
      </c>
      <c r="J263" t="s">
        <v>111</v>
      </c>
      <c r="K263" t="s">
        <v>111</v>
      </c>
      <c r="L263">
        <v>0.41192726865952239</v>
      </c>
      <c r="M263">
        <v>0.36610141300496618</v>
      </c>
      <c r="N263">
        <v>0.042624784855157125</v>
      </c>
      <c r="O263">
        <v>0.19164305443771237</v>
      </c>
      <c r="P263">
        <v>0.02249173430104141</v>
      </c>
      <c r="Q263">
        <v>0.40619903670270291</v>
      </c>
      <c r="R263">
        <v>0.36862857416238654</v>
      </c>
      <c r="S263">
        <v>0.8626885804380714</v>
      </c>
      <c r="T263">
        <v>0.089293027562186864</v>
      </c>
      <c r="U263">
        <v>0.19130609961672299</v>
      </c>
      <c r="V263">
        <v>0.95307671116847381</v>
      </c>
      <c r="W263">
        <v>1.029312739417322</v>
      </c>
      <c r="X263">
        <v>0.083227840784377949</v>
      </c>
      <c r="Y263">
        <v>0.29845773269134723</v>
      </c>
      <c r="Z263">
        <v>0.0057282319568195354</v>
      </c>
      <c r="AA263">
        <v>1.6904180981984942</v>
      </c>
      <c r="AB263">
        <v>0.091398995193370511</v>
      </c>
      <c r="AC263">
        <v>0.66683359073799175</v>
      </c>
      <c r="AD263">
        <v>0.16746654603172403</v>
      </c>
      <c r="AE263">
        <v>0.37848450267632605</v>
      </c>
      <c r="AF263">
        <v>0.55488035146426873</v>
      </c>
      <c r="AG263">
        <v>0.2278656976940712</v>
      </c>
      <c r="AH263">
        <v>0.06562195138768262</v>
      </c>
      <c r="AI263">
        <v>0.4392206091596626</v>
      </c>
      <c r="AJ263">
        <v>1.1900401890292585</v>
      </c>
      <c r="AK263">
        <v>0.12989608349140769</v>
      </c>
      <c r="AL263">
        <v>0.31555818985655848</v>
      </c>
      <c r="AM263">
        <v>0.12863250291269748</v>
      </c>
      <c r="AN263">
        <v>0.79588728717692603</v>
      </c>
      <c r="AO263">
        <v>0.23890096808147351</v>
      </c>
      <c r="AP263">
        <v>0.084322943952593432</v>
      </c>
      <c r="AQ263">
        <v>0.30460715817440348</v>
      </c>
      <c r="AR263">
        <v>0.75140925080632714</v>
      </c>
      <c r="AS263">
        <v>0.03369548209893844</v>
      </c>
      <c r="AT263">
        <v>0.1390781023633684</v>
      </c>
      <c r="AU263" t="s">
        <v>111</v>
      </c>
      <c r="BJ263" t="str">
        <f t="shared" si="8"/>
        <v>car</v>
      </c>
      <c r="BK263" t="str">
        <f t="shared" si="9"/>
        <v>dsl</v>
      </c>
    </row>
    <row r="264" spans="1:63" ht="14.5">
      <c r="A264" t="s">
        <v>118</v>
      </c>
      <c r="B264" t="s">
        <v>62</v>
      </c>
      <c r="C264" t="s">
        <v>98</v>
      </c>
      <c r="D264" t="s">
        <v>111</v>
      </c>
      <c r="E264" t="s">
        <v>111</v>
      </c>
      <c r="F264" t="s">
        <v>111</v>
      </c>
      <c r="G264" t="s">
        <v>82</v>
      </c>
      <c r="H264" t="s">
        <v>111</v>
      </c>
      <c r="I264" t="s">
        <v>111</v>
      </c>
      <c r="J264" t="s">
        <v>111</v>
      </c>
      <c r="K264" t="s">
        <v>111</v>
      </c>
      <c r="L264">
        <v>0.41192726865952239</v>
      </c>
      <c r="M264">
        <v>0.36610141300496618</v>
      </c>
      <c r="N264">
        <v>0.042624784855157125</v>
      </c>
      <c r="O264">
        <v>0.19164305443771237</v>
      </c>
      <c r="P264">
        <v>0.02249173430104141</v>
      </c>
      <c r="Q264">
        <v>0.40619903670270291</v>
      </c>
      <c r="R264">
        <v>0.36862857416238654</v>
      </c>
      <c r="S264">
        <v>0.8626885804380714</v>
      </c>
      <c r="T264">
        <v>0.089293027562186864</v>
      </c>
      <c r="U264">
        <v>0.19130609961672299</v>
      </c>
      <c r="V264">
        <v>0.95307671116847381</v>
      </c>
      <c r="W264">
        <v>1.029312739417322</v>
      </c>
      <c r="X264">
        <v>0.083227840784377949</v>
      </c>
      <c r="Y264">
        <v>0.29845773269134723</v>
      </c>
      <c r="Z264">
        <v>0.0057282319568195354</v>
      </c>
      <c r="AA264">
        <v>1.6904180981984942</v>
      </c>
      <c r="AB264">
        <v>0.091398995193370511</v>
      </c>
      <c r="AC264">
        <v>0.66683359073799175</v>
      </c>
      <c r="AD264">
        <v>0.16746654603172403</v>
      </c>
      <c r="AE264">
        <v>0.37848450267632605</v>
      </c>
      <c r="AF264">
        <v>0.55488035146426873</v>
      </c>
      <c r="AG264">
        <v>0.2278656976940712</v>
      </c>
      <c r="AH264">
        <v>0.06562195138768262</v>
      </c>
      <c r="AI264">
        <v>0.4392206091596626</v>
      </c>
      <c r="AJ264">
        <v>1.1900401890292585</v>
      </c>
      <c r="AK264">
        <v>0.12989608349140769</v>
      </c>
      <c r="AL264">
        <v>0.31555818985655848</v>
      </c>
      <c r="AM264">
        <v>0.12863250291269748</v>
      </c>
      <c r="AN264">
        <v>0.79588728717692603</v>
      </c>
      <c r="AO264">
        <v>0.23890096808147351</v>
      </c>
      <c r="AP264">
        <v>0.084322943952593432</v>
      </c>
      <c r="AQ264">
        <v>0.30460715817440348</v>
      </c>
      <c r="AR264">
        <v>0.75140925080632714</v>
      </c>
      <c r="AS264">
        <v>0.03369548209893844</v>
      </c>
      <c r="AT264">
        <v>0.1390781023633684</v>
      </c>
      <c r="AU264" t="s">
        <v>111</v>
      </c>
      <c r="BJ264" t="str">
        <f t="shared" si="8"/>
        <v>car</v>
      </c>
      <c r="BK264" t="str">
        <f t="shared" si="9"/>
        <v>dsl</v>
      </c>
    </row>
    <row r="265" spans="1:63" ht="14.5">
      <c r="A265" t="s">
        <v>118</v>
      </c>
      <c r="B265" t="s">
        <v>62</v>
      </c>
      <c r="C265" t="s">
        <v>98</v>
      </c>
      <c r="D265" t="s">
        <v>111</v>
      </c>
      <c r="E265" t="s">
        <v>111</v>
      </c>
      <c r="F265" t="s">
        <v>111</v>
      </c>
      <c r="G265" t="s">
        <v>81</v>
      </c>
      <c r="H265" t="s">
        <v>111</v>
      </c>
      <c r="I265" t="s">
        <v>111</v>
      </c>
      <c r="J265" t="s">
        <v>111</v>
      </c>
      <c r="K265" t="s">
        <v>111</v>
      </c>
      <c r="L265">
        <v>0.41192726865952239</v>
      </c>
      <c r="M265">
        <v>0.36610141300496618</v>
      </c>
      <c r="N265">
        <v>0.042624784855157125</v>
      </c>
      <c r="O265">
        <v>0.19164305443771237</v>
      </c>
      <c r="P265">
        <v>0.02249173430104141</v>
      </c>
      <c r="Q265">
        <v>0.40619903670270291</v>
      </c>
      <c r="R265">
        <v>0.36862857416238654</v>
      </c>
      <c r="S265">
        <v>0.8626885804380714</v>
      </c>
      <c r="T265">
        <v>0.089293027562186864</v>
      </c>
      <c r="U265">
        <v>0.19130609961672299</v>
      </c>
      <c r="V265">
        <v>0.95307671116847381</v>
      </c>
      <c r="W265">
        <v>1.029312739417322</v>
      </c>
      <c r="X265">
        <v>0.083227840784377949</v>
      </c>
      <c r="Y265">
        <v>0.29845773269134723</v>
      </c>
      <c r="Z265">
        <v>0.0057282319568195354</v>
      </c>
      <c r="AA265">
        <v>1.6904180981984942</v>
      </c>
      <c r="AB265">
        <v>0.091398995193370511</v>
      </c>
      <c r="AC265">
        <v>0.66683359073799175</v>
      </c>
      <c r="AD265">
        <v>0.16746654603172403</v>
      </c>
      <c r="AE265">
        <v>0.37848450267632605</v>
      </c>
      <c r="AF265">
        <v>0.55488035146426873</v>
      </c>
      <c r="AG265">
        <v>0.2278656976940712</v>
      </c>
      <c r="AH265">
        <v>0.06562195138768262</v>
      </c>
      <c r="AI265">
        <v>0.4392206091596626</v>
      </c>
      <c r="AJ265">
        <v>1.1900401890292585</v>
      </c>
      <c r="AK265">
        <v>0.12989608349140769</v>
      </c>
      <c r="AL265">
        <v>0.31555818985655848</v>
      </c>
      <c r="AM265">
        <v>0.12863250291269748</v>
      </c>
      <c r="AN265">
        <v>0.79588728717692603</v>
      </c>
      <c r="AO265">
        <v>0.23890096808147351</v>
      </c>
      <c r="AP265">
        <v>0.084322943952593432</v>
      </c>
      <c r="AQ265">
        <v>0.30460715817440348</v>
      </c>
      <c r="AR265">
        <v>0.75140925080632714</v>
      </c>
      <c r="AS265">
        <v>0.03369548209893844</v>
      </c>
      <c r="AT265">
        <v>0.1390781023633684</v>
      </c>
      <c r="AU265" t="s">
        <v>111</v>
      </c>
      <c r="BJ265" t="str">
        <f t="shared" si="8"/>
        <v>car</v>
      </c>
      <c r="BK265" t="str">
        <f t="shared" si="9"/>
        <v>dsl</v>
      </c>
    </row>
    <row r="266" spans="1:63" ht="14.5">
      <c r="A266" t="s">
        <v>118</v>
      </c>
      <c r="B266" t="s">
        <v>62</v>
      </c>
      <c r="C266" t="s">
        <v>98</v>
      </c>
      <c r="D266" t="s">
        <v>111</v>
      </c>
      <c r="E266" t="s">
        <v>111</v>
      </c>
      <c r="F266" t="s">
        <v>111</v>
      </c>
      <c r="G266" t="s">
        <v>80</v>
      </c>
      <c r="H266" t="s">
        <v>111</v>
      </c>
      <c r="I266" t="s">
        <v>111</v>
      </c>
      <c r="J266" t="s">
        <v>111</v>
      </c>
      <c r="K266" t="s">
        <v>111</v>
      </c>
      <c r="L266">
        <v>0.41192726865952239</v>
      </c>
      <c r="M266">
        <v>0.36610141300496618</v>
      </c>
      <c r="N266">
        <v>0.042624784855157125</v>
      </c>
      <c r="O266">
        <v>0.19164305443771237</v>
      </c>
      <c r="P266">
        <v>0.02249173430104141</v>
      </c>
      <c r="Q266">
        <v>0.40619903670270291</v>
      </c>
      <c r="R266">
        <v>0.36862857416238654</v>
      </c>
      <c r="S266">
        <v>0.8626885804380714</v>
      </c>
      <c r="T266">
        <v>0.089293027562186864</v>
      </c>
      <c r="U266">
        <v>0.19130609961672299</v>
      </c>
      <c r="V266">
        <v>0.95307671116847381</v>
      </c>
      <c r="W266">
        <v>1.029312739417322</v>
      </c>
      <c r="X266">
        <v>0.083227840784377949</v>
      </c>
      <c r="Y266">
        <v>0.29845773269134723</v>
      </c>
      <c r="Z266">
        <v>0.0057282319568195354</v>
      </c>
      <c r="AA266">
        <v>1.6904180981984942</v>
      </c>
      <c r="AB266">
        <v>0.091398995193370511</v>
      </c>
      <c r="AC266">
        <v>0.66683359073799175</v>
      </c>
      <c r="AD266">
        <v>0.16746654603172403</v>
      </c>
      <c r="AE266">
        <v>0.37848450267632605</v>
      </c>
      <c r="AF266">
        <v>0.55488035146426873</v>
      </c>
      <c r="AG266">
        <v>0.2278656976940712</v>
      </c>
      <c r="AH266">
        <v>0.06562195138768262</v>
      </c>
      <c r="AI266">
        <v>0.4392206091596626</v>
      </c>
      <c r="AJ266">
        <v>1.1900401890292585</v>
      </c>
      <c r="AK266">
        <v>0.12989608349140769</v>
      </c>
      <c r="AL266">
        <v>0.31555818985655848</v>
      </c>
      <c r="AM266">
        <v>0.12863250291269748</v>
      </c>
      <c r="AN266">
        <v>0.79588728717692603</v>
      </c>
      <c r="AO266">
        <v>0.23890096808147351</v>
      </c>
      <c r="AP266">
        <v>0.084322943952593432</v>
      </c>
      <c r="AQ266">
        <v>0.30460715817440348</v>
      </c>
      <c r="AR266">
        <v>0.75140925080632714</v>
      </c>
      <c r="AS266">
        <v>0.03369548209893844</v>
      </c>
      <c r="AT266">
        <v>0.1390781023633684</v>
      </c>
      <c r="AU266" t="s">
        <v>111</v>
      </c>
      <c r="BJ266" t="str">
        <f t="shared" si="8"/>
        <v>car</v>
      </c>
      <c r="BK266" t="str">
        <f t="shared" si="9"/>
        <v>dsl</v>
      </c>
    </row>
    <row r="267" spans="1:63" ht="14.5">
      <c r="A267" t="s">
        <v>118</v>
      </c>
      <c r="B267" t="s">
        <v>62</v>
      </c>
      <c r="C267" t="s">
        <v>98</v>
      </c>
      <c r="D267" t="s">
        <v>111</v>
      </c>
      <c r="E267" t="s">
        <v>111</v>
      </c>
      <c r="F267" t="s">
        <v>111</v>
      </c>
      <c r="G267" t="s">
        <v>79</v>
      </c>
      <c r="H267" t="s">
        <v>111</v>
      </c>
      <c r="I267" t="s">
        <v>111</v>
      </c>
      <c r="J267" t="s">
        <v>111</v>
      </c>
      <c r="K267" t="s">
        <v>111</v>
      </c>
      <c r="L267">
        <v>0.41192726865952239</v>
      </c>
      <c r="M267">
        <v>0.36610141300496618</v>
      </c>
      <c r="N267">
        <v>0.042624784855157125</v>
      </c>
      <c r="O267">
        <v>0.19164305443771237</v>
      </c>
      <c r="P267">
        <v>0.02249173430104141</v>
      </c>
      <c r="Q267">
        <v>0.40619903670270291</v>
      </c>
      <c r="R267">
        <v>0.36862857416238654</v>
      </c>
      <c r="S267">
        <v>0.8626885804380714</v>
      </c>
      <c r="T267">
        <v>0.089293027562186864</v>
      </c>
      <c r="U267">
        <v>0.19130609961672299</v>
      </c>
      <c r="V267">
        <v>0.95307671116847381</v>
      </c>
      <c r="W267">
        <v>1.029312739417322</v>
      </c>
      <c r="X267">
        <v>0.083227840784377949</v>
      </c>
      <c r="Y267">
        <v>0.29845773269134723</v>
      </c>
      <c r="Z267">
        <v>0.0057282319568195354</v>
      </c>
      <c r="AA267">
        <v>1.6904180981984942</v>
      </c>
      <c r="AB267">
        <v>0.091398995193370511</v>
      </c>
      <c r="AC267">
        <v>0.66683359073799175</v>
      </c>
      <c r="AD267">
        <v>0.16746654603172403</v>
      </c>
      <c r="AE267">
        <v>0.37848450267632605</v>
      </c>
      <c r="AF267">
        <v>0.55488035146426873</v>
      </c>
      <c r="AG267">
        <v>0.2278656976940712</v>
      </c>
      <c r="AH267">
        <v>0.06562195138768262</v>
      </c>
      <c r="AI267">
        <v>0.4392206091596626</v>
      </c>
      <c r="AJ267">
        <v>1.1900401890292585</v>
      </c>
      <c r="AK267">
        <v>0.12989608349140769</v>
      </c>
      <c r="AL267">
        <v>0.31555818985655848</v>
      </c>
      <c r="AM267">
        <v>0.12863250291269748</v>
      </c>
      <c r="AN267">
        <v>0.79588728717692603</v>
      </c>
      <c r="AO267">
        <v>0.23890096808147351</v>
      </c>
      <c r="AP267">
        <v>0.084322943952593432</v>
      </c>
      <c r="AQ267">
        <v>0.30460715817440348</v>
      </c>
      <c r="AR267">
        <v>0.75140925080632714</v>
      </c>
      <c r="AS267">
        <v>0.03369548209893844</v>
      </c>
      <c r="AT267">
        <v>0.1390781023633684</v>
      </c>
      <c r="AU267" t="s">
        <v>111</v>
      </c>
      <c r="BJ267" t="str">
        <f t="shared" si="8"/>
        <v>car</v>
      </c>
      <c r="BK267" t="str">
        <f t="shared" si="9"/>
        <v>dsl</v>
      </c>
    </row>
    <row r="268" spans="1:63" ht="14.5">
      <c r="A268" t="s">
        <v>118</v>
      </c>
      <c r="B268" t="s">
        <v>62</v>
      </c>
      <c r="C268" t="s">
        <v>98</v>
      </c>
      <c r="D268" t="s">
        <v>111</v>
      </c>
      <c r="E268" t="s">
        <v>111</v>
      </c>
      <c r="F268" t="s">
        <v>111</v>
      </c>
      <c r="G268" t="s">
        <v>78</v>
      </c>
      <c r="H268" t="s">
        <v>111</v>
      </c>
      <c r="I268" t="s">
        <v>111</v>
      </c>
      <c r="J268" t="s">
        <v>111</v>
      </c>
      <c r="K268" t="s">
        <v>111</v>
      </c>
      <c r="L268">
        <v>0.41192726865952239</v>
      </c>
      <c r="M268">
        <v>0.36610141300496618</v>
      </c>
      <c r="N268">
        <v>0.042624784855157125</v>
      </c>
      <c r="O268">
        <v>0.19164305443771237</v>
      </c>
      <c r="P268">
        <v>0.02249173430104141</v>
      </c>
      <c r="Q268">
        <v>0.40619903670270291</v>
      </c>
      <c r="R268">
        <v>0.36862857416238654</v>
      </c>
      <c r="S268">
        <v>0.8626885804380714</v>
      </c>
      <c r="T268">
        <v>0.089293027562186864</v>
      </c>
      <c r="U268">
        <v>0.19130609961672299</v>
      </c>
      <c r="V268">
        <v>0.95307671116847381</v>
      </c>
      <c r="W268">
        <v>1.029312739417322</v>
      </c>
      <c r="X268">
        <v>0.083227840784377949</v>
      </c>
      <c r="Y268">
        <v>0.29845773269134723</v>
      </c>
      <c r="Z268">
        <v>0.0057282319568195354</v>
      </c>
      <c r="AA268">
        <v>1.6904180981984942</v>
      </c>
      <c r="AB268">
        <v>0.091398995193370511</v>
      </c>
      <c r="AC268">
        <v>0.66683359073799175</v>
      </c>
      <c r="AD268">
        <v>0.16746654603172403</v>
      </c>
      <c r="AE268">
        <v>0.37848450267632605</v>
      </c>
      <c r="AF268">
        <v>0.55488035146426873</v>
      </c>
      <c r="AG268">
        <v>0.2278656976940712</v>
      </c>
      <c r="AH268">
        <v>0.06562195138768262</v>
      </c>
      <c r="AI268">
        <v>0.4392206091596626</v>
      </c>
      <c r="AJ268">
        <v>1.1900401890292585</v>
      </c>
      <c r="AK268">
        <v>0.12989608349140769</v>
      </c>
      <c r="AL268">
        <v>0.31555818985655848</v>
      </c>
      <c r="AM268">
        <v>0.12863250291269748</v>
      </c>
      <c r="AN268">
        <v>0.79588728717692603</v>
      </c>
      <c r="AO268">
        <v>0.23890096808147351</v>
      </c>
      <c r="AP268">
        <v>0.084322943952593432</v>
      </c>
      <c r="AQ268">
        <v>0.30460715817440348</v>
      </c>
      <c r="AR268">
        <v>0.75140925080632714</v>
      </c>
      <c r="AS268">
        <v>0.03369548209893844</v>
      </c>
      <c r="AT268">
        <v>0.1390781023633684</v>
      </c>
      <c r="AU268" t="s">
        <v>111</v>
      </c>
      <c r="BJ268" t="str">
        <f t="shared" si="8"/>
        <v>car</v>
      </c>
      <c r="BK268" t="str">
        <f t="shared" si="9"/>
        <v>dsl</v>
      </c>
    </row>
    <row r="269" spans="1:63" ht="14.5">
      <c r="A269" t="s">
        <v>118</v>
      </c>
      <c r="B269" t="s">
        <v>62</v>
      </c>
      <c r="C269" t="s">
        <v>98</v>
      </c>
      <c r="D269" t="s">
        <v>111</v>
      </c>
      <c r="E269" t="s">
        <v>111</v>
      </c>
      <c r="F269" t="s">
        <v>111</v>
      </c>
      <c r="G269" t="s">
        <v>77</v>
      </c>
      <c r="H269" t="s">
        <v>111</v>
      </c>
      <c r="I269" t="s">
        <v>111</v>
      </c>
      <c r="J269" t="s">
        <v>111</v>
      </c>
      <c r="K269" t="s">
        <v>111</v>
      </c>
      <c r="L269">
        <v>0.41192726865952239</v>
      </c>
      <c r="M269">
        <v>0.36610141300496618</v>
      </c>
      <c r="N269">
        <v>0.042624784855157125</v>
      </c>
      <c r="O269">
        <v>0.19164305443771237</v>
      </c>
      <c r="P269">
        <v>0.02249173430104141</v>
      </c>
      <c r="Q269">
        <v>0.40619903670270291</v>
      </c>
      <c r="R269">
        <v>0.36862857416238654</v>
      </c>
      <c r="S269">
        <v>0.8626885804380714</v>
      </c>
      <c r="T269">
        <v>0.089293027562186864</v>
      </c>
      <c r="U269">
        <v>0.19130609961672299</v>
      </c>
      <c r="V269">
        <v>0.95307671116847381</v>
      </c>
      <c r="W269">
        <v>1.029312739417322</v>
      </c>
      <c r="X269">
        <v>0.083227840784377949</v>
      </c>
      <c r="Y269">
        <v>0.29845773269134723</v>
      </c>
      <c r="Z269">
        <v>0.0057282319568195354</v>
      </c>
      <c r="AA269">
        <v>1.6904180981984942</v>
      </c>
      <c r="AB269">
        <v>0.091398995193370511</v>
      </c>
      <c r="AC269">
        <v>0.66683359073799175</v>
      </c>
      <c r="AD269">
        <v>0.16746654603172403</v>
      </c>
      <c r="AE269">
        <v>0.37848450267632605</v>
      </c>
      <c r="AF269">
        <v>0.55488035146426873</v>
      </c>
      <c r="AG269">
        <v>0.2278656976940712</v>
      </c>
      <c r="AH269">
        <v>0.06562195138768262</v>
      </c>
      <c r="AI269">
        <v>0.4392206091596626</v>
      </c>
      <c r="AJ269">
        <v>1.1900401890292585</v>
      </c>
      <c r="AK269">
        <v>0.12989608349140769</v>
      </c>
      <c r="AL269">
        <v>0.31555818985655848</v>
      </c>
      <c r="AM269">
        <v>0.12863250291269748</v>
      </c>
      <c r="AN269">
        <v>0.79588728717692603</v>
      </c>
      <c r="AO269">
        <v>0.23890096808147351</v>
      </c>
      <c r="AP269">
        <v>0.084322943952593432</v>
      </c>
      <c r="AQ269">
        <v>0.30460715817440348</v>
      </c>
      <c r="AR269">
        <v>0.75140925080632714</v>
      </c>
      <c r="AS269">
        <v>0.03369548209893844</v>
      </c>
      <c r="AT269">
        <v>0.1390781023633684</v>
      </c>
      <c r="AU269" t="s">
        <v>111</v>
      </c>
      <c r="BJ269" t="str">
        <f t="shared" si="8"/>
        <v>car</v>
      </c>
      <c r="BK269" t="str">
        <f t="shared" si="9"/>
        <v>dsl</v>
      </c>
    </row>
    <row r="270" spans="1:63" ht="14.5">
      <c r="A270" t="s">
        <v>118</v>
      </c>
      <c r="B270" t="s">
        <v>62</v>
      </c>
      <c r="C270" t="s">
        <v>98</v>
      </c>
      <c r="D270" t="s">
        <v>111</v>
      </c>
      <c r="E270" t="s">
        <v>111</v>
      </c>
      <c r="F270" t="s">
        <v>111</v>
      </c>
      <c r="G270" t="s">
        <v>76</v>
      </c>
      <c r="H270" t="s">
        <v>111</v>
      </c>
      <c r="I270" t="s">
        <v>111</v>
      </c>
      <c r="J270" t="s">
        <v>111</v>
      </c>
      <c r="K270" t="s">
        <v>111</v>
      </c>
      <c r="L270">
        <v>0.41192726865952239</v>
      </c>
      <c r="M270">
        <v>0.36610141300496618</v>
      </c>
      <c r="N270">
        <v>0.042624784855157125</v>
      </c>
      <c r="O270">
        <v>0.19164305443771237</v>
      </c>
      <c r="P270">
        <v>0.02249173430104141</v>
      </c>
      <c r="Q270">
        <v>0.40619903670270291</v>
      </c>
      <c r="R270">
        <v>0.36862857416238654</v>
      </c>
      <c r="S270">
        <v>0.8626885804380714</v>
      </c>
      <c r="T270">
        <v>0.089293027562186864</v>
      </c>
      <c r="U270">
        <v>0.19130609961672299</v>
      </c>
      <c r="V270">
        <v>0.95307671116847381</v>
      </c>
      <c r="W270">
        <v>1.029312739417322</v>
      </c>
      <c r="X270">
        <v>0.083227840784377949</v>
      </c>
      <c r="Y270">
        <v>0.29845773269134723</v>
      </c>
      <c r="Z270">
        <v>0.0057282319568195354</v>
      </c>
      <c r="AA270">
        <v>1.6904180981984942</v>
      </c>
      <c r="AB270">
        <v>0.091398995193370511</v>
      </c>
      <c r="AC270">
        <v>0.66683359073799175</v>
      </c>
      <c r="AD270">
        <v>0.16746654603172403</v>
      </c>
      <c r="AE270">
        <v>0.37848450267632605</v>
      </c>
      <c r="AF270">
        <v>0.55488035146426873</v>
      </c>
      <c r="AG270">
        <v>0.2278656976940712</v>
      </c>
      <c r="AH270">
        <v>0.06562195138768262</v>
      </c>
      <c r="AI270">
        <v>0.4392206091596626</v>
      </c>
      <c r="AJ270">
        <v>1.1900401890292585</v>
      </c>
      <c r="AK270">
        <v>0.12989608349140769</v>
      </c>
      <c r="AL270">
        <v>0.31555818985655848</v>
      </c>
      <c r="AM270">
        <v>0.12863250291269748</v>
      </c>
      <c r="AN270">
        <v>0.79588728717692603</v>
      </c>
      <c r="AO270">
        <v>0.23890096808147351</v>
      </c>
      <c r="AP270">
        <v>0.084322943952593432</v>
      </c>
      <c r="AQ270">
        <v>0.30460715817440348</v>
      </c>
      <c r="AR270">
        <v>0.75140925080632714</v>
      </c>
      <c r="AS270">
        <v>0.03369548209893844</v>
      </c>
      <c r="AT270">
        <v>0.1390781023633684</v>
      </c>
      <c r="AU270" t="s">
        <v>111</v>
      </c>
      <c r="BJ270" t="str">
        <f t="shared" si="8"/>
        <v>car</v>
      </c>
      <c r="BK270" t="str">
        <f t="shared" si="9"/>
        <v>dsl</v>
      </c>
    </row>
    <row r="271" spans="1:63" ht="14.5">
      <c r="A271" t="s">
        <v>118</v>
      </c>
      <c r="B271" t="s">
        <v>62</v>
      </c>
      <c r="C271" t="s">
        <v>98</v>
      </c>
      <c r="D271" t="s">
        <v>111</v>
      </c>
      <c r="E271" t="s">
        <v>111</v>
      </c>
      <c r="F271" t="s">
        <v>111</v>
      </c>
      <c r="G271" t="s">
        <v>75</v>
      </c>
      <c r="H271" t="s">
        <v>111</v>
      </c>
      <c r="I271" t="s">
        <v>111</v>
      </c>
      <c r="J271" t="s">
        <v>111</v>
      </c>
      <c r="K271" t="s">
        <v>111</v>
      </c>
      <c r="L271">
        <v>0.41192726865952239</v>
      </c>
      <c r="M271">
        <v>0.36610141300496618</v>
      </c>
      <c r="N271">
        <v>0.042624784855157125</v>
      </c>
      <c r="O271">
        <v>0.19164305443771237</v>
      </c>
      <c r="P271">
        <v>0.02249173430104141</v>
      </c>
      <c r="Q271">
        <v>0.40619903670270291</v>
      </c>
      <c r="R271">
        <v>0.36862857416238654</v>
      </c>
      <c r="S271">
        <v>0.8626885804380714</v>
      </c>
      <c r="T271">
        <v>0.089293027562186864</v>
      </c>
      <c r="U271">
        <v>0.19130609961672299</v>
      </c>
      <c r="V271">
        <v>0.95307671116847381</v>
      </c>
      <c r="W271">
        <v>1.029312739417322</v>
      </c>
      <c r="X271">
        <v>0.083227840784377949</v>
      </c>
      <c r="Y271">
        <v>0.29845773269134723</v>
      </c>
      <c r="Z271">
        <v>0.0057282319568195354</v>
      </c>
      <c r="AA271">
        <v>1.6904180981984942</v>
      </c>
      <c r="AB271">
        <v>0.091398995193370511</v>
      </c>
      <c r="AC271">
        <v>0.66683359073799175</v>
      </c>
      <c r="AD271">
        <v>0.16746654603172403</v>
      </c>
      <c r="AE271">
        <v>0.37848450267632605</v>
      </c>
      <c r="AF271">
        <v>0.55488035146426873</v>
      </c>
      <c r="AG271">
        <v>0.2278656976940712</v>
      </c>
      <c r="AH271">
        <v>0.06562195138768262</v>
      </c>
      <c r="AI271">
        <v>0.4392206091596626</v>
      </c>
      <c r="AJ271">
        <v>1.1900401890292585</v>
      </c>
      <c r="AK271">
        <v>0.12989608349140769</v>
      </c>
      <c r="AL271">
        <v>0.31555818985655848</v>
      </c>
      <c r="AM271">
        <v>0.12863250291269748</v>
      </c>
      <c r="AN271">
        <v>0.79588728717692603</v>
      </c>
      <c r="AO271">
        <v>0.23890096808147351</v>
      </c>
      <c r="AP271">
        <v>0.084322943952593432</v>
      </c>
      <c r="AQ271">
        <v>0.30460715817440348</v>
      </c>
      <c r="AR271">
        <v>0.75140925080632714</v>
      </c>
      <c r="AS271">
        <v>0.03369548209893844</v>
      </c>
      <c r="AT271">
        <v>0.1390781023633684</v>
      </c>
      <c r="AU271" t="s">
        <v>111</v>
      </c>
      <c r="BJ271" t="str">
        <f t="shared" si="8"/>
        <v>car</v>
      </c>
      <c r="BK271" t="str">
        <f t="shared" si="9"/>
        <v>dsl</v>
      </c>
    </row>
    <row r="272" spans="1:63" ht="14.5">
      <c r="A272" t="s">
        <v>118</v>
      </c>
      <c r="B272" t="s">
        <v>62</v>
      </c>
      <c r="C272" t="s">
        <v>98</v>
      </c>
      <c r="D272" t="s">
        <v>111</v>
      </c>
      <c r="E272" t="s">
        <v>111</v>
      </c>
      <c r="F272" t="s">
        <v>111</v>
      </c>
      <c r="G272" t="s">
        <v>74</v>
      </c>
      <c r="H272" t="s">
        <v>111</v>
      </c>
      <c r="I272" t="s">
        <v>111</v>
      </c>
      <c r="J272" t="s">
        <v>111</v>
      </c>
      <c r="K272" t="s">
        <v>111</v>
      </c>
      <c r="L272">
        <v>0.41192726865952239</v>
      </c>
      <c r="M272">
        <v>0.36610141300496618</v>
      </c>
      <c r="N272">
        <v>0.042624784855157125</v>
      </c>
      <c r="O272">
        <v>0.19164305443771237</v>
      </c>
      <c r="P272">
        <v>0.02249173430104141</v>
      </c>
      <c r="Q272">
        <v>0.40619903670270291</v>
      </c>
      <c r="R272">
        <v>0.36862857416238654</v>
      </c>
      <c r="S272">
        <v>0.8626885804380714</v>
      </c>
      <c r="T272">
        <v>0.089293027562186864</v>
      </c>
      <c r="U272">
        <v>0.19130609961672299</v>
      </c>
      <c r="V272">
        <v>0.95307671116847381</v>
      </c>
      <c r="W272">
        <v>1.029312739417322</v>
      </c>
      <c r="X272">
        <v>0.083227840784377949</v>
      </c>
      <c r="Y272">
        <v>0.29845773269134723</v>
      </c>
      <c r="Z272">
        <v>0.0057282319568195354</v>
      </c>
      <c r="AA272">
        <v>1.6904180981984942</v>
      </c>
      <c r="AB272">
        <v>0.091398995193370511</v>
      </c>
      <c r="AC272">
        <v>0.66683359073799175</v>
      </c>
      <c r="AD272">
        <v>0.16746654603172403</v>
      </c>
      <c r="AE272">
        <v>0.37848450267632605</v>
      </c>
      <c r="AF272">
        <v>0.55488035146426873</v>
      </c>
      <c r="AG272">
        <v>0.2278656976940712</v>
      </c>
      <c r="AH272">
        <v>0.06562195138768262</v>
      </c>
      <c r="AI272">
        <v>0.4392206091596626</v>
      </c>
      <c r="AJ272">
        <v>1.1900401890292585</v>
      </c>
      <c r="AK272">
        <v>0.12989608349140769</v>
      </c>
      <c r="AL272">
        <v>0.31555818985655848</v>
      </c>
      <c r="AM272">
        <v>0.12863250291269748</v>
      </c>
      <c r="AN272">
        <v>0.79588728717692603</v>
      </c>
      <c r="AO272">
        <v>0.23890096808147351</v>
      </c>
      <c r="AP272">
        <v>0.084322943952593432</v>
      </c>
      <c r="AQ272">
        <v>0.30460715817440348</v>
      </c>
      <c r="AR272">
        <v>0.75140925080632714</v>
      </c>
      <c r="AS272">
        <v>0.03369548209893844</v>
      </c>
      <c r="AT272">
        <v>0.1390781023633684</v>
      </c>
      <c r="AU272" t="s">
        <v>111</v>
      </c>
      <c r="BJ272" t="str">
        <f t="shared" si="8"/>
        <v>car</v>
      </c>
      <c r="BK272" t="str">
        <f t="shared" si="9"/>
        <v>dsl</v>
      </c>
    </row>
    <row r="273" spans="1:63" ht="14.5">
      <c r="A273" t="s">
        <v>118</v>
      </c>
      <c r="B273" t="s">
        <v>62</v>
      </c>
      <c r="C273" t="s">
        <v>98</v>
      </c>
      <c r="D273" t="s">
        <v>111</v>
      </c>
      <c r="E273" t="s">
        <v>111</v>
      </c>
      <c r="F273" t="s">
        <v>111</v>
      </c>
      <c r="G273" t="s">
        <v>73</v>
      </c>
      <c r="H273" t="s">
        <v>111</v>
      </c>
      <c r="I273" t="s">
        <v>111</v>
      </c>
      <c r="J273" t="s">
        <v>111</v>
      </c>
      <c r="K273" t="s">
        <v>111</v>
      </c>
      <c r="L273">
        <v>0.41192726865952239</v>
      </c>
      <c r="M273">
        <v>0.36610141300496618</v>
      </c>
      <c r="N273">
        <v>0.042624784855157125</v>
      </c>
      <c r="O273">
        <v>0.19164305443771237</v>
      </c>
      <c r="P273">
        <v>0.02249173430104141</v>
      </c>
      <c r="Q273">
        <v>0.40619903670270291</v>
      </c>
      <c r="R273">
        <v>0.36862857416238654</v>
      </c>
      <c r="S273">
        <v>0.8626885804380714</v>
      </c>
      <c r="T273">
        <v>0.089293027562186864</v>
      </c>
      <c r="U273">
        <v>0.19130609961672299</v>
      </c>
      <c r="V273">
        <v>0.95307671116847381</v>
      </c>
      <c r="W273">
        <v>1.029312739417322</v>
      </c>
      <c r="X273">
        <v>0.083227840784377949</v>
      </c>
      <c r="Y273">
        <v>0.29845773269134723</v>
      </c>
      <c r="Z273">
        <v>0.0057282319568195354</v>
      </c>
      <c r="AA273">
        <v>1.6904180981984942</v>
      </c>
      <c r="AB273">
        <v>0.091398995193370511</v>
      </c>
      <c r="AC273">
        <v>0.66683359073799175</v>
      </c>
      <c r="AD273">
        <v>0.16746654603172403</v>
      </c>
      <c r="AE273">
        <v>0.37848450267632605</v>
      </c>
      <c r="AF273">
        <v>0.55488035146426873</v>
      </c>
      <c r="AG273">
        <v>0.2278656976940712</v>
      </c>
      <c r="AH273">
        <v>0.06562195138768262</v>
      </c>
      <c r="AI273">
        <v>0.4392206091596626</v>
      </c>
      <c r="AJ273">
        <v>1.1900401890292585</v>
      </c>
      <c r="AK273">
        <v>0.12989608349140769</v>
      </c>
      <c r="AL273">
        <v>0.31555818985655848</v>
      </c>
      <c r="AM273">
        <v>0.12863250291269748</v>
      </c>
      <c r="AN273">
        <v>0.79588728717692603</v>
      </c>
      <c r="AO273">
        <v>0.23890096808147351</v>
      </c>
      <c r="AP273">
        <v>0.084322943952593432</v>
      </c>
      <c r="AQ273">
        <v>0.30460715817440348</v>
      </c>
      <c r="AR273">
        <v>0.75140925080632714</v>
      </c>
      <c r="AS273">
        <v>0.03369548209893844</v>
      </c>
      <c r="AT273">
        <v>0.1390781023633684</v>
      </c>
      <c r="AU273" t="s">
        <v>111</v>
      </c>
      <c r="BJ273" t="str">
        <f t="shared" si="8"/>
        <v>car</v>
      </c>
      <c r="BK273" t="str">
        <f t="shared" si="9"/>
        <v>dsl</v>
      </c>
    </row>
    <row r="274" spans="1:63" ht="14.5">
      <c r="A274" t="s">
        <v>118</v>
      </c>
      <c r="B274" t="s">
        <v>62</v>
      </c>
      <c r="C274" t="s">
        <v>98</v>
      </c>
      <c r="D274" t="s">
        <v>111</v>
      </c>
      <c r="E274" t="s">
        <v>111</v>
      </c>
      <c r="F274" t="s">
        <v>111</v>
      </c>
      <c r="G274" t="s">
        <v>72</v>
      </c>
      <c r="H274" t="s">
        <v>111</v>
      </c>
      <c r="I274" t="s">
        <v>111</v>
      </c>
      <c r="J274" t="s">
        <v>111</v>
      </c>
      <c r="K274" t="s">
        <v>111</v>
      </c>
      <c r="L274">
        <v>0.41192726865952239</v>
      </c>
      <c r="M274">
        <v>0.36610141300496618</v>
      </c>
      <c r="N274">
        <v>0.042624784855157125</v>
      </c>
      <c r="O274">
        <v>0.19164305443771237</v>
      </c>
      <c r="P274">
        <v>0.02249173430104141</v>
      </c>
      <c r="Q274">
        <v>0.40619903670270291</v>
      </c>
      <c r="R274">
        <v>0.36862857416238654</v>
      </c>
      <c r="S274">
        <v>0.8626885804380714</v>
      </c>
      <c r="T274">
        <v>0.089293027562186864</v>
      </c>
      <c r="U274">
        <v>0.19130609961672299</v>
      </c>
      <c r="V274">
        <v>0.95307671116847381</v>
      </c>
      <c r="W274">
        <v>1.029312739417322</v>
      </c>
      <c r="X274">
        <v>0.083227840784377949</v>
      </c>
      <c r="Y274">
        <v>0.29845773269134723</v>
      </c>
      <c r="Z274">
        <v>0.0057282319568195354</v>
      </c>
      <c r="AA274">
        <v>1.6904180981984942</v>
      </c>
      <c r="AB274">
        <v>0.091398995193370511</v>
      </c>
      <c r="AC274">
        <v>0.66683359073799175</v>
      </c>
      <c r="AD274">
        <v>0.16746654603172403</v>
      </c>
      <c r="AE274">
        <v>0.37848450267632605</v>
      </c>
      <c r="AF274">
        <v>0.55488035146426873</v>
      </c>
      <c r="AG274">
        <v>0.2278656976940712</v>
      </c>
      <c r="AH274">
        <v>0.06562195138768262</v>
      </c>
      <c r="AI274">
        <v>0.4392206091596626</v>
      </c>
      <c r="AJ274">
        <v>1.1900401890292585</v>
      </c>
      <c r="AK274">
        <v>0.12989608349140769</v>
      </c>
      <c r="AL274">
        <v>0.31555818985655848</v>
      </c>
      <c r="AM274">
        <v>0.12863250291269748</v>
      </c>
      <c r="AN274">
        <v>0.79588728717692603</v>
      </c>
      <c r="AO274">
        <v>0.23890096808147351</v>
      </c>
      <c r="AP274">
        <v>0.084322943952593432</v>
      </c>
      <c r="AQ274">
        <v>0.30460715817440348</v>
      </c>
      <c r="AR274">
        <v>0.75140925080632714</v>
      </c>
      <c r="AS274">
        <v>0.03369548209893844</v>
      </c>
      <c r="AT274">
        <v>0.1390781023633684</v>
      </c>
      <c r="AU274" t="s">
        <v>111</v>
      </c>
      <c r="BJ274" t="str">
        <f t="shared" si="8"/>
        <v>car</v>
      </c>
      <c r="BK274" t="str">
        <f t="shared" si="9"/>
        <v>dsl</v>
      </c>
    </row>
    <row r="275" spans="1:63" ht="14.5">
      <c r="A275" t="s">
        <v>118</v>
      </c>
      <c r="B275" t="s">
        <v>62</v>
      </c>
      <c r="C275" t="s">
        <v>98</v>
      </c>
      <c r="D275" t="s">
        <v>111</v>
      </c>
      <c r="E275" t="s">
        <v>111</v>
      </c>
      <c r="F275" t="s">
        <v>111</v>
      </c>
      <c r="G275" t="s">
        <v>71</v>
      </c>
      <c r="H275" t="s">
        <v>111</v>
      </c>
      <c r="I275" t="s">
        <v>111</v>
      </c>
      <c r="J275" t="s">
        <v>111</v>
      </c>
      <c r="K275" t="s">
        <v>111</v>
      </c>
      <c r="L275">
        <v>0.41192726865952239</v>
      </c>
      <c r="M275">
        <v>0.36610141300496618</v>
      </c>
      <c r="N275">
        <v>0.042624784855157125</v>
      </c>
      <c r="O275">
        <v>0.19164305443771237</v>
      </c>
      <c r="P275">
        <v>0.02249173430104141</v>
      </c>
      <c r="Q275">
        <v>0.40619903670270291</v>
      </c>
      <c r="R275">
        <v>0.36862857416238654</v>
      </c>
      <c r="S275">
        <v>0.8626885804380714</v>
      </c>
      <c r="T275">
        <v>0.089293027562186864</v>
      </c>
      <c r="U275">
        <v>0.19130609961672299</v>
      </c>
      <c r="V275">
        <v>0.95307671116847381</v>
      </c>
      <c r="W275">
        <v>1.029312739417322</v>
      </c>
      <c r="X275">
        <v>0.083227840784377949</v>
      </c>
      <c r="Y275">
        <v>0.29845773269134723</v>
      </c>
      <c r="Z275">
        <v>0.0057282319568195354</v>
      </c>
      <c r="AA275">
        <v>1.6904180981984942</v>
      </c>
      <c r="AB275">
        <v>0.091398995193370511</v>
      </c>
      <c r="AC275">
        <v>0.66683359073799175</v>
      </c>
      <c r="AD275">
        <v>0.16746654603172403</v>
      </c>
      <c r="AE275">
        <v>0.37848450267632605</v>
      </c>
      <c r="AF275">
        <v>0.55488035146426873</v>
      </c>
      <c r="AG275">
        <v>0.2278656976940712</v>
      </c>
      <c r="AH275">
        <v>0.06562195138768262</v>
      </c>
      <c r="AI275">
        <v>0.4392206091596626</v>
      </c>
      <c r="AJ275">
        <v>1.1900401890292585</v>
      </c>
      <c r="AK275">
        <v>0.12989608349140769</v>
      </c>
      <c r="AL275">
        <v>0.31555818985655848</v>
      </c>
      <c r="AM275">
        <v>0.12863250291269748</v>
      </c>
      <c r="AN275">
        <v>0.79588728717692603</v>
      </c>
      <c r="AO275">
        <v>0.23890096808147351</v>
      </c>
      <c r="AP275">
        <v>0.084322943952593432</v>
      </c>
      <c r="AQ275">
        <v>0.30460715817440348</v>
      </c>
      <c r="AR275">
        <v>0.75140925080632714</v>
      </c>
      <c r="AS275">
        <v>0.03369548209893844</v>
      </c>
      <c r="AT275">
        <v>0.1390781023633684</v>
      </c>
      <c r="AU275" t="s">
        <v>111</v>
      </c>
      <c r="BJ275" t="str">
        <f t="shared" si="8"/>
        <v>car</v>
      </c>
      <c r="BK275" t="str">
        <f t="shared" si="9"/>
        <v>dsl</v>
      </c>
    </row>
    <row r="276" spans="1:63" ht="14.5">
      <c r="A276" t="s">
        <v>118</v>
      </c>
      <c r="B276" t="s">
        <v>62</v>
      </c>
      <c r="C276" t="s">
        <v>98</v>
      </c>
      <c r="D276" t="s">
        <v>111</v>
      </c>
      <c r="E276" t="s">
        <v>111</v>
      </c>
      <c r="F276" t="s">
        <v>111</v>
      </c>
      <c r="G276" t="s">
        <v>70</v>
      </c>
      <c r="H276" t="s">
        <v>111</v>
      </c>
      <c r="I276" t="s">
        <v>111</v>
      </c>
      <c r="J276" t="s">
        <v>111</v>
      </c>
      <c r="K276" t="s">
        <v>111</v>
      </c>
      <c r="L276">
        <v>0.41192726865952239</v>
      </c>
      <c r="M276">
        <v>0.36610141300496618</v>
      </c>
      <c r="N276">
        <v>0.042624784855157125</v>
      </c>
      <c r="O276">
        <v>0.19164305443771237</v>
      </c>
      <c r="P276">
        <v>0.02249173430104141</v>
      </c>
      <c r="Q276">
        <v>0.40619903670270291</v>
      </c>
      <c r="R276">
        <v>0.36862857416238654</v>
      </c>
      <c r="S276">
        <v>0.8626885804380714</v>
      </c>
      <c r="T276">
        <v>0.089293027562186864</v>
      </c>
      <c r="U276">
        <v>0.19130609961672299</v>
      </c>
      <c r="V276">
        <v>0.95307671116847381</v>
      </c>
      <c r="W276">
        <v>1.029312739417322</v>
      </c>
      <c r="X276">
        <v>0.083227840784377949</v>
      </c>
      <c r="Y276">
        <v>0.29845773269134723</v>
      </c>
      <c r="Z276">
        <v>0.0057282319568195354</v>
      </c>
      <c r="AA276">
        <v>1.6904180981984942</v>
      </c>
      <c r="AB276">
        <v>0.091398995193370511</v>
      </c>
      <c r="AC276">
        <v>0.66683359073799175</v>
      </c>
      <c r="AD276">
        <v>0.16746654603172403</v>
      </c>
      <c r="AE276">
        <v>0.37848450267632605</v>
      </c>
      <c r="AF276">
        <v>0.55488035146426873</v>
      </c>
      <c r="AG276">
        <v>0.2278656976940712</v>
      </c>
      <c r="AH276">
        <v>0.06562195138768262</v>
      </c>
      <c r="AI276">
        <v>0.4392206091596626</v>
      </c>
      <c r="AJ276">
        <v>1.1900401890292585</v>
      </c>
      <c r="AK276">
        <v>0.12989608349140769</v>
      </c>
      <c r="AL276">
        <v>0.31555818985655848</v>
      </c>
      <c r="AM276">
        <v>0.12863250291269748</v>
      </c>
      <c r="AN276">
        <v>0.79588728717692603</v>
      </c>
      <c r="AO276">
        <v>0.23890096808147351</v>
      </c>
      <c r="AP276">
        <v>0.084322943952593432</v>
      </c>
      <c r="AQ276">
        <v>0.30460715817440348</v>
      </c>
      <c r="AR276">
        <v>0.75140925080632714</v>
      </c>
      <c r="AS276">
        <v>0.03369548209893844</v>
      </c>
      <c r="AT276">
        <v>0.1390781023633684</v>
      </c>
      <c r="AU276" t="s">
        <v>111</v>
      </c>
      <c r="BJ276" t="str">
        <f t="shared" si="8"/>
        <v>car</v>
      </c>
      <c r="BK276" t="str">
        <f t="shared" si="9"/>
        <v>dsl</v>
      </c>
    </row>
    <row r="277" spans="1:63" ht="14.5">
      <c r="A277" t="s">
        <v>118</v>
      </c>
      <c r="B277" t="s">
        <v>62</v>
      </c>
      <c r="C277" t="s">
        <v>98</v>
      </c>
      <c r="D277" t="s">
        <v>111</v>
      </c>
      <c r="E277" t="s">
        <v>111</v>
      </c>
      <c r="F277" t="s">
        <v>111</v>
      </c>
      <c r="G277" t="s">
        <v>69</v>
      </c>
      <c r="H277" t="s">
        <v>111</v>
      </c>
      <c r="I277" t="s">
        <v>111</v>
      </c>
      <c r="J277" t="s">
        <v>111</v>
      </c>
      <c r="K277" t="s">
        <v>111</v>
      </c>
      <c r="L277">
        <v>0.41192726865952239</v>
      </c>
      <c r="M277">
        <v>0.36610141300496618</v>
      </c>
      <c r="N277">
        <v>0.042624784855157125</v>
      </c>
      <c r="O277">
        <v>0.19164305443771237</v>
      </c>
      <c r="P277">
        <v>0.02249173430104141</v>
      </c>
      <c r="Q277">
        <v>0.40619903670270291</v>
      </c>
      <c r="R277">
        <v>0.36862857416238654</v>
      </c>
      <c r="S277">
        <v>0.8626885804380714</v>
      </c>
      <c r="T277">
        <v>0.089293027562186864</v>
      </c>
      <c r="U277">
        <v>0.19130609961672299</v>
      </c>
      <c r="V277">
        <v>0.95307671116847381</v>
      </c>
      <c r="W277">
        <v>1.029312739417322</v>
      </c>
      <c r="X277">
        <v>0.083227840784377949</v>
      </c>
      <c r="Y277">
        <v>0.29845773269134723</v>
      </c>
      <c r="Z277">
        <v>0.0057282319568195354</v>
      </c>
      <c r="AA277">
        <v>1.6904180981984942</v>
      </c>
      <c r="AB277">
        <v>0.091398995193370511</v>
      </c>
      <c r="AC277">
        <v>0.66683359073799175</v>
      </c>
      <c r="AD277">
        <v>0.16746654603172403</v>
      </c>
      <c r="AE277">
        <v>0.37848450267632605</v>
      </c>
      <c r="AF277">
        <v>0.55488035146426873</v>
      </c>
      <c r="AG277">
        <v>0.2278656976940712</v>
      </c>
      <c r="AH277">
        <v>0.06562195138768262</v>
      </c>
      <c r="AI277">
        <v>0.4392206091596626</v>
      </c>
      <c r="AJ277">
        <v>1.1900401890292585</v>
      </c>
      <c r="AK277">
        <v>0.12989608349140769</v>
      </c>
      <c r="AL277">
        <v>0.31555818985655848</v>
      </c>
      <c r="AM277">
        <v>0.12863250291269748</v>
      </c>
      <c r="AN277">
        <v>0.79588728717692603</v>
      </c>
      <c r="AO277">
        <v>0.23890096808147351</v>
      </c>
      <c r="AP277">
        <v>0.084322943952593432</v>
      </c>
      <c r="AQ277">
        <v>0.30460715817440348</v>
      </c>
      <c r="AR277">
        <v>0.75140925080632714</v>
      </c>
      <c r="AS277">
        <v>0.03369548209893844</v>
      </c>
      <c r="AT277">
        <v>0.1390781023633684</v>
      </c>
      <c r="AU277" t="s">
        <v>111</v>
      </c>
      <c r="BJ277" t="str">
        <f t="shared" si="8"/>
        <v>car</v>
      </c>
      <c r="BK277" t="str">
        <f t="shared" si="9"/>
        <v>dsl</v>
      </c>
    </row>
    <row r="278" spans="1:63" ht="14.5">
      <c r="A278" t="s">
        <v>118</v>
      </c>
      <c r="B278" t="s">
        <v>62</v>
      </c>
      <c r="C278" t="s">
        <v>98</v>
      </c>
      <c r="D278" t="s">
        <v>111</v>
      </c>
      <c r="E278" t="s">
        <v>111</v>
      </c>
      <c r="F278" t="s">
        <v>111</v>
      </c>
      <c r="G278" t="s">
        <v>68</v>
      </c>
      <c r="H278" t="s">
        <v>111</v>
      </c>
      <c r="I278" t="s">
        <v>111</v>
      </c>
      <c r="J278" t="s">
        <v>111</v>
      </c>
      <c r="K278" t="s">
        <v>111</v>
      </c>
      <c r="L278">
        <v>0.41192726865952239</v>
      </c>
      <c r="M278">
        <v>0.36610141300496618</v>
      </c>
      <c r="N278">
        <v>0.042624784855157125</v>
      </c>
      <c r="O278">
        <v>0.19164305443771237</v>
      </c>
      <c r="P278">
        <v>0.02249173430104141</v>
      </c>
      <c r="Q278">
        <v>0.40619903670270291</v>
      </c>
      <c r="R278">
        <v>0.36862857416238654</v>
      </c>
      <c r="S278">
        <v>0.8626885804380714</v>
      </c>
      <c r="T278">
        <v>0.089293027562186864</v>
      </c>
      <c r="U278">
        <v>0.19130609961672299</v>
      </c>
      <c r="V278">
        <v>0.95307671116847381</v>
      </c>
      <c r="W278">
        <v>1.029312739417322</v>
      </c>
      <c r="X278">
        <v>0.083227840784377949</v>
      </c>
      <c r="Y278">
        <v>0.29845773269134723</v>
      </c>
      <c r="Z278">
        <v>0.0057282319568195354</v>
      </c>
      <c r="AA278">
        <v>1.6904180981984942</v>
      </c>
      <c r="AB278">
        <v>0.091398995193370511</v>
      </c>
      <c r="AC278">
        <v>0.66683359073799175</v>
      </c>
      <c r="AD278">
        <v>0.16746654603172403</v>
      </c>
      <c r="AE278">
        <v>0.37848450267632605</v>
      </c>
      <c r="AF278">
        <v>0.55488035146426873</v>
      </c>
      <c r="AG278">
        <v>0.2278656976940712</v>
      </c>
      <c r="AH278">
        <v>0.06562195138768262</v>
      </c>
      <c r="AI278">
        <v>0.4392206091596626</v>
      </c>
      <c r="AJ278">
        <v>1.1900401890292585</v>
      </c>
      <c r="AK278">
        <v>0.12989608349140769</v>
      </c>
      <c r="AL278">
        <v>0.31555818985655848</v>
      </c>
      <c r="AM278">
        <v>0.12863250291269748</v>
      </c>
      <c r="AN278">
        <v>0.79588728717692603</v>
      </c>
      <c r="AO278">
        <v>0.23890096808147351</v>
      </c>
      <c r="AP278">
        <v>0.084322943952593432</v>
      </c>
      <c r="AQ278">
        <v>0.30460715817440348</v>
      </c>
      <c r="AR278">
        <v>0.75140925080632714</v>
      </c>
      <c r="AS278">
        <v>0.03369548209893844</v>
      </c>
      <c r="AT278">
        <v>0.1390781023633684</v>
      </c>
      <c r="AU278" t="s">
        <v>111</v>
      </c>
      <c r="BJ278" t="str">
        <f t="shared" si="8"/>
        <v>car</v>
      </c>
      <c r="BK278" t="str">
        <f t="shared" si="9"/>
        <v>dsl</v>
      </c>
    </row>
    <row r="279" spans="1:63" ht="14.5">
      <c r="A279" t="s">
        <v>118</v>
      </c>
      <c r="B279" t="s">
        <v>62</v>
      </c>
      <c r="C279" t="s">
        <v>98</v>
      </c>
      <c r="D279" t="s">
        <v>111</v>
      </c>
      <c r="E279" t="s">
        <v>111</v>
      </c>
      <c r="F279" t="s">
        <v>111</v>
      </c>
      <c r="G279" t="s">
        <v>67</v>
      </c>
      <c r="H279" t="s">
        <v>111</v>
      </c>
      <c r="I279" t="s">
        <v>111</v>
      </c>
      <c r="J279" t="s">
        <v>111</v>
      </c>
      <c r="K279" t="s">
        <v>111</v>
      </c>
      <c r="L279">
        <v>0.41192726865952239</v>
      </c>
      <c r="M279">
        <v>0.36610141300496618</v>
      </c>
      <c r="N279">
        <v>0.042624784855157125</v>
      </c>
      <c r="O279">
        <v>0.19164305443771237</v>
      </c>
      <c r="P279">
        <v>0.02249173430104141</v>
      </c>
      <c r="Q279">
        <v>0.40619903670270291</v>
      </c>
      <c r="R279">
        <v>0.36862857416238654</v>
      </c>
      <c r="S279">
        <v>0.8626885804380714</v>
      </c>
      <c r="T279">
        <v>0.089293027562186864</v>
      </c>
      <c r="U279">
        <v>0.19130609961672299</v>
      </c>
      <c r="V279">
        <v>0.95307671116847381</v>
      </c>
      <c r="W279">
        <v>1.029312739417322</v>
      </c>
      <c r="X279">
        <v>0.083227840784377949</v>
      </c>
      <c r="Y279">
        <v>0.29845773269134723</v>
      </c>
      <c r="Z279">
        <v>0.0057282319568195354</v>
      </c>
      <c r="AA279">
        <v>1.6904180981984942</v>
      </c>
      <c r="AB279">
        <v>0.091398995193370511</v>
      </c>
      <c r="AC279">
        <v>0.66683359073799175</v>
      </c>
      <c r="AD279">
        <v>0.16746654603172403</v>
      </c>
      <c r="AE279">
        <v>0.37848450267632605</v>
      </c>
      <c r="AF279">
        <v>0.55488035146426873</v>
      </c>
      <c r="AG279">
        <v>0.2278656976940712</v>
      </c>
      <c r="AH279">
        <v>0.06562195138768262</v>
      </c>
      <c r="AI279">
        <v>0.4392206091596626</v>
      </c>
      <c r="AJ279">
        <v>1.1900401890292585</v>
      </c>
      <c r="AK279">
        <v>0.12989608349140769</v>
      </c>
      <c r="AL279">
        <v>0.31555818985655848</v>
      </c>
      <c r="AM279">
        <v>0.12863250291269748</v>
      </c>
      <c r="AN279">
        <v>0.79588728717692603</v>
      </c>
      <c r="AO279">
        <v>0.23890096808147351</v>
      </c>
      <c r="AP279">
        <v>0.084322943952593432</v>
      </c>
      <c r="AQ279">
        <v>0.30460715817440348</v>
      </c>
      <c r="AR279">
        <v>0.75140925080632714</v>
      </c>
      <c r="AS279">
        <v>0.03369548209893844</v>
      </c>
      <c r="AT279">
        <v>0.1390781023633684</v>
      </c>
      <c r="AU279" t="s">
        <v>111</v>
      </c>
      <c r="BJ279" t="str">
        <f t="shared" si="8"/>
        <v>car</v>
      </c>
      <c r="BK279" t="str">
        <f t="shared" si="9"/>
        <v>dsl</v>
      </c>
    </row>
    <row r="280" spans="1:63" ht="14.5">
      <c r="A280" t="s">
        <v>118</v>
      </c>
      <c r="B280" t="s">
        <v>62</v>
      </c>
      <c r="C280" t="s">
        <v>98</v>
      </c>
      <c r="D280" t="s">
        <v>111</v>
      </c>
      <c r="E280" t="s">
        <v>111</v>
      </c>
      <c r="F280" t="s">
        <v>111</v>
      </c>
      <c r="G280" t="s">
        <v>66</v>
      </c>
      <c r="H280" t="s">
        <v>111</v>
      </c>
      <c r="I280" t="s">
        <v>111</v>
      </c>
      <c r="J280" t="s">
        <v>111</v>
      </c>
      <c r="K280" t="s">
        <v>111</v>
      </c>
      <c r="L280">
        <v>0.41192726865952239</v>
      </c>
      <c r="M280">
        <v>0.36610141300496618</v>
      </c>
      <c r="N280">
        <v>0.042624784855157125</v>
      </c>
      <c r="O280">
        <v>0.19164305443771237</v>
      </c>
      <c r="P280">
        <v>0.02249173430104141</v>
      </c>
      <c r="Q280">
        <v>0.40619903670270291</v>
      </c>
      <c r="R280">
        <v>0.36862857416238654</v>
      </c>
      <c r="S280">
        <v>0.8626885804380714</v>
      </c>
      <c r="T280">
        <v>0.089293027562186864</v>
      </c>
      <c r="U280">
        <v>0.19130609961672299</v>
      </c>
      <c r="V280">
        <v>0.95307671116847381</v>
      </c>
      <c r="W280">
        <v>1.029312739417322</v>
      </c>
      <c r="X280">
        <v>0.083227840784377949</v>
      </c>
      <c r="Y280">
        <v>0.29845773269134723</v>
      </c>
      <c r="Z280">
        <v>0.0057282319568195354</v>
      </c>
      <c r="AA280">
        <v>1.6904180981984942</v>
      </c>
      <c r="AB280">
        <v>0.091398995193370511</v>
      </c>
      <c r="AC280">
        <v>0.66683359073799175</v>
      </c>
      <c r="AD280">
        <v>0.16746654603172403</v>
      </c>
      <c r="AE280">
        <v>0.37848450267632605</v>
      </c>
      <c r="AF280">
        <v>0.55488035146426873</v>
      </c>
      <c r="AG280">
        <v>0.2278656976940712</v>
      </c>
      <c r="AH280">
        <v>0.06562195138768262</v>
      </c>
      <c r="AI280">
        <v>0.4392206091596626</v>
      </c>
      <c r="AJ280">
        <v>1.1900401890292585</v>
      </c>
      <c r="AK280">
        <v>0.12989608349140769</v>
      </c>
      <c r="AL280">
        <v>0.31555818985655848</v>
      </c>
      <c r="AM280">
        <v>0.12863250291269748</v>
      </c>
      <c r="AN280">
        <v>0.79588728717692603</v>
      </c>
      <c r="AO280">
        <v>0.23890096808147351</v>
      </c>
      <c r="AP280">
        <v>0.084322943952593432</v>
      </c>
      <c r="AQ280">
        <v>0.30460715817440348</v>
      </c>
      <c r="AR280">
        <v>0.75140925080632714</v>
      </c>
      <c r="AS280">
        <v>0.03369548209893844</v>
      </c>
      <c r="AT280">
        <v>0.1390781023633684</v>
      </c>
      <c r="AU280" t="s">
        <v>111</v>
      </c>
      <c r="BJ280" t="str">
        <f t="shared" si="8"/>
        <v>car</v>
      </c>
      <c r="BK280" t="str">
        <f t="shared" si="9"/>
        <v>dsl</v>
      </c>
    </row>
    <row r="281" spans="1:63" ht="14.5">
      <c r="A281" t="s">
        <v>118</v>
      </c>
      <c r="B281" t="s">
        <v>62</v>
      </c>
      <c r="C281" t="s">
        <v>98</v>
      </c>
      <c r="D281" t="s">
        <v>111</v>
      </c>
      <c r="E281" t="s">
        <v>111</v>
      </c>
      <c r="F281" t="s">
        <v>111</v>
      </c>
      <c r="G281" t="s">
        <v>65</v>
      </c>
      <c r="H281" t="s">
        <v>111</v>
      </c>
      <c r="I281" t="s">
        <v>111</v>
      </c>
      <c r="J281" t="s">
        <v>111</v>
      </c>
      <c r="K281" t="s">
        <v>111</v>
      </c>
      <c r="L281">
        <v>0.41192726865952239</v>
      </c>
      <c r="M281">
        <v>0.36610141300496618</v>
      </c>
      <c r="N281">
        <v>0.042624784855157125</v>
      </c>
      <c r="O281">
        <v>0.19164305443771237</v>
      </c>
      <c r="P281">
        <v>0.02249173430104141</v>
      </c>
      <c r="Q281">
        <v>0.40619903670270291</v>
      </c>
      <c r="R281">
        <v>0.36862857416238654</v>
      </c>
      <c r="S281">
        <v>0.8626885804380714</v>
      </c>
      <c r="T281">
        <v>0.089293027562186864</v>
      </c>
      <c r="U281">
        <v>0.19130609961672299</v>
      </c>
      <c r="V281">
        <v>0.95307671116847381</v>
      </c>
      <c r="W281">
        <v>1.029312739417322</v>
      </c>
      <c r="X281">
        <v>0.083227840784377949</v>
      </c>
      <c r="Y281">
        <v>0.29845773269134723</v>
      </c>
      <c r="Z281">
        <v>0.0057282319568195354</v>
      </c>
      <c r="AA281">
        <v>1.6904180981984942</v>
      </c>
      <c r="AB281">
        <v>0.091398995193370511</v>
      </c>
      <c r="AC281">
        <v>0.66683359073799175</v>
      </c>
      <c r="AD281">
        <v>0.16746654603172403</v>
      </c>
      <c r="AE281">
        <v>0.37848450267632605</v>
      </c>
      <c r="AF281">
        <v>0.55488035146426873</v>
      </c>
      <c r="AG281">
        <v>0.2278656976940712</v>
      </c>
      <c r="AH281">
        <v>0.06562195138768262</v>
      </c>
      <c r="AI281">
        <v>0.4392206091596626</v>
      </c>
      <c r="AJ281">
        <v>1.1900401890292585</v>
      </c>
      <c r="AK281">
        <v>0.12989608349140769</v>
      </c>
      <c r="AL281">
        <v>0.31555818985655848</v>
      </c>
      <c r="AM281">
        <v>0.12863250291269748</v>
      </c>
      <c r="AN281">
        <v>0.79588728717692603</v>
      </c>
      <c r="AO281">
        <v>0.23890096808147351</v>
      </c>
      <c r="AP281">
        <v>0.084322943952593432</v>
      </c>
      <c r="AQ281">
        <v>0.30460715817440348</v>
      </c>
      <c r="AR281">
        <v>0.75140925080632714</v>
      </c>
      <c r="AS281">
        <v>0.03369548209893844</v>
      </c>
      <c r="AT281">
        <v>0.1390781023633684</v>
      </c>
      <c r="AU281" t="s">
        <v>111</v>
      </c>
      <c r="BJ281" t="str">
        <f t="shared" si="8"/>
        <v>car</v>
      </c>
      <c r="BK281" t="str">
        <f t="shared" si="9"/>
        <v>dsl</v>
      </c>
    </row>
    <row r="282" spans="1:63" ht="14.5">
      <c r="A282" t="s">
        <v>118</v>
      </c>
      <c r="B282" t="s">
        <v>62</v>
      </c>
      <c r="C282" t="s">
        <v>97</v>
      </c>
      <c r="D282" t="s">
        <v>111</v>
      </c>
      <c r="E282" t="s">
        <v>111</v>
      </c>
      <c r="F282" t="s">
        <v>111</v>
      </c>
      <c r="G282" t="s">
        <v>61</v>
      </c>
      <c r="H282" t="s">
        <v>111</v>
      </c>
      <c r="I282" t="s">
        <v>111</v>
      </c>
      <c r="J282" t="s">
        <v>111</v>
      </c>
      <c r="K282" t="s">
        <v>111</v>
      </c>
      <c r="L282">
        <v>0</v>
      </c>
      <c r="M282">
        <v>0</v>
      </c>
      <c r="N282">
        <v>0.0012635805787101914</v>
      </c>
      <c r="O282">
        <v>0.0025271611574203827</v>
      </c>
      <c r="P282">
        <v>0</v>
      </c>
      <c r="Q282">
        <v>0.013478192839575376</v>
      </c>
      <c r="R282">
        <v>0.00067390964197876885</v>
      </c>
      <c r="S282">
        <v>0.21902063364309987</v>
      </c>
      <c r="T282">
        <v>0</v>
      </c>
      <c r="U282">
        <v>0</v>
      </c>
      <c r="V282">
        <v>0.012635805787101915</v>
      </c>
      <c r="W282">
        <v>0.01684774104946922</v>
      </c>
      <c r="X282">
        <v>0.00025271611574203829</v>
      </c>
      <c r="Y282">
        <v>0</v>
      </c>
      <c r="Z282">
        <v>0.00067390964197876885</v>
      </c>
      <c r="AA282">
        <v>0.00067390964197876885</v>
      </c>
      <c r="AB282">
        <v>0</v>
      </c>
      <c r="AC282">
        <v>0.0021059676311836525</v>
      </c>
      <c r="AD282">
        <v>0.0050543223148407654</v>
      </c>
      <c r="AE282">
        <v>2.5271611574203829E-05</v>
      </c>
      <c r="AF282">
        <v>0.00067390964197876885</v>
      </c>
      <c r="AG282">
        <v>0.09026177267253134</v>
      </c>
      <c r="AH282">
        <v>0.01684774104946922</v>
      </c>
      <c r="AI282">
        <v>0.00067390964197876885</v>
      </c>
      <c r="AJ282">
        <v>0.004885844904346074</v>
      </c>
      <c r="AK282">
        <v>0</v>
      </c>
      <c r="AL282">
        <v>0</v>
      </c>
      <c r="AM282">
        <v>4.2119352623673053E-05</v>
      </c>
      <c r="AN282">
        <v>0.0029483546836571138</v>
      </c>
      <c r="AO282">
        <v>0.0098559285139394933</v>
      </c>
      <c r="AP282">
        <v>0.0029483546836571138</v>
      </c>
      <c r="AQ282">
        <v>0.00025271611574203829</v>
      </c>
      <c r="AR282">
        <v>0.010951031682154994</v>
      </c>
      <c r="AS282">
        <v>0</v>
      </c>
      <c r="AT282">
        <v>0</v>
      </c>
      <c r="AU282" t="s">
        <v>111</v>
      </c>
      <c r="BJ282" t="str">
        <f t="shared" si="8"/>
        <v>car</v>
      </c>
      <c r="BK282" t="str">
        <f t="shared" si="9"/>
        <v>elc</v>
      </c>
    </row>
    <row r="283" spans="1:63" ht="14.5">
      <c r="A283" t="s">
        <v>118</v>
      </c>
      <c r="B283" t="s">
        <v>62</v>
      </c>
      <c r="C283" t="s">
        <v>97</v>
      </c>
      <c r="D283" t="s">
        <v>111</v>
      </c>
      <c r="E283" t="s">
        <v>111</v>
      </c>
      <c r="F283" t="s">
        <v>111</v>
      </c>
      <c r="G283" t="s">
        <v>83</v>
      </c>
      <c r="H283" t="s">
        <v>111</v>
      </c>
      <c r="I283" t="s">
        <v>111</v>
      </c>
      <c r="J283" t="s">
        <v>111</v>
      </c>
      <c r="K283" t="s">
        <v>111</v>
      </c>
      <c r="L283">
        <v>0</v>
      </c>
      <c r="M283">
        <v>0</v>
      </c>
      <c r="N283">
        <v>0.0012635805787101914</v>
      </c>
      <c r="O283">
        <v>0.0025271611574203827</v>
      </c>
      <c r="P283">
        <v>0</v>
      </c>
      <c r="Q283">
        <v>0.013478192839575376</v>
      </c>
      <c r="R283">
        <v>0.00067390964197876885</v>
      </c>
      <c r="S283">
        <v>0.21902063364309987</v>
      </c>
      <c r="T283">
        <v>0</v>
      </c>
      <c r="U283">
        <v>0</v>
      </c>
      <c r="V283">
        <v>0.012635805787101915</v>
      </c>
      <c r="W283">
        <v>0.01684774104946922</v>
      </c>
      <c r="X283">
        <v>0.00025271611574203829</v>
      </c>
      <c r="Y283">
        <v>0</v>
      </c>
      <c r="Z283">
        <v>0.00067390964197876885</v>
      </c>
      <c r="AA283">
        <v>0.00067390964197876885</v>
      </c>
      <c r="AB283">
        <v>0</v>
      </c>
      <c r="AC283">
        <v>0.0021059676311836525</v>
      </c>
      <c r="AD283">
        <v>0.0050543223148407654</v>
      </c>
      <c r="AE283">
        <v>2.5271611574203829E-05</v>
      </c>
      <c r="AF283">
        <v>0.00067390964197876885</v>
      </c>
      <c r="AG283">
        <v>0.09026177267253134</v>
      </c>
      <c r="AH283">
        <v>0.01684774104946922</v>
      </c>
      <c r="AI283">
        <v>0.00067390964197876885</v>
      </c>
      <c r="AJ283">
        <v>0.004885844904346074</v>
      </c>
      <c r="AK283">
        <v>0</v>
      </c>
      <c r="AL283">
        <v>0</v>
      </c>
      <c r="AM283">
        <v>4.2119352623673053E-05</v>
      </c>
      <c r="AN283">
        <v>0.0029483546836571138</v>
      </c>
      <c r="AO283">
        <v>0.0098559285139394933</v>
      </c>
      <c r="AP283">
        <v>0.0029483546836571138</v>
      </c>
      <c r="AQ283">
        <v>0.00025271611574203829</v>
      </c>
      <c r="AR283">
        <v>0.010951031682154994</v>
      </c>
      <c r="AS283">
        <v>0</v>
      </c>
      <c r="AT283">
        <v>0</v>
      </c>
      <c r="AU283" t="s">
        <v>111</v>
      </c>
      <c r="BJ283" t="str">
        <f t="shared" si="8"/>
        <v>car</v>
      </c>
      <c r="BK283" t="str">
        <f t="shared" si="9"/>
        <v>elc</v>
      </c>
    </row>
    <row r="284" spans="1:63" ht="14.5">
      <c r="A284" t="s">
        <v>118</v>
      </c>
      <c r="B284" t="s">
        <v>62</v>
      </c>
      <c r="C284" t="s">
        <v>97</v>
      </c>
      <c r="D284" t="s">
        <v>111</v>
      </c>
      <c r="E284" t="s">
        <v>111</v>
      </c>
      <c r="F284" t="s">
        <v>111</v>
      </c>
      <c r="G284" t="s">
        <v>82</v>
      </c>
      <c r="H284" t="s">
        <v>111</v>
      </c>
      <c r="I284" t="s">
        <v>111</v>
      </c>
      <c r="J284" t="s">
        <v>111</v>
      </c>
      <c r="K284" t="s">
        <v>111</v>
      </c>
      <c r="L284">
        <v>0</v>
      </c>
      <c r="M284">
        <v>0</v>
      </c>
      <c r="N284">
        <v>0.0012635805787101914</v>
      </c>
      <c r="O284">
        <v>0.0025271611574203827</v>
      </c>
      <c r="P284">
        <v>0</v>
      </c>
      <c r="Q284">
        <v>0.013478192839575376</v>
      </c>
      <c r="R284">
        <v>0.00067390964197876885</v>
      </c>
      <c r="S284">
        <v>0.21902063364309987</v>
      </c>
      <c r="T284">
        <v>0</v>
      </c>
      <c r="U284">
        <v>0</v>
      </c>
      <c r="V284">
        <v>0.012635805787101915</v>
      </c>
      <c r="W284">
        <v>0.01684774104946922</v>
      </c>
      <c r="X284">
        <v>0.00025271611574203829</v>
      </c>
      <c r="Y284">
        <v>0</v>
      </c>
      <c r="Z284">
        <v>0.00067390964197876885</v>
      </c>
      <c r="AA284">
        <v>0.00067390964197876885</v>
      </c>
      <c r="AB284">
        <v>0</v>
      </c>
      <c r="AC284">
        <v>0.0021059676311836525</v>
      </c>
      <c r="AD284">
        <v>0.0050543223148407654</v>
      </c>
      <c r="AE284">
        <v>2.5271611574203829E-05</v>
      </c>
      <c r="AF284">
        <v>0.00067390964197876885</v>
      </c>
      <c r="AG284">
        <v>0.09026177267253134</v>
      </c>
      <c r="AH284">
        <v>0.01684774104946922</v>
      </c>
      <c r="AI284">
        <v>0.00067390964197876885</v>
      </c>
      <c r="AJ284">
        <v>0.004885844904346074</v>
      </c>
      <c r="AK284">
        <v>0</v>
      </c>
      <c r="AL284">
        <v>0</v>
      </c>
      <c r="AM284">
        <v>4.2119352623673053E-05</v>
      </c>
      <c r="AN284">
        <v>0.0029483546836571138</v>
      </c>
      <c r="AO284">
        <v>0.0098559285139394933</v>
      </c>
      <c r="AP284">
        <v>0.0029483546836571138</v>
      </c>
      <c r="AQ284">
        <v>0.00025271611574203829</v>
      </c>
      <c r="AR284">
        <v>0.010951031682154994</v>
      </c>
      <c r="AS284">
        <v>0</v>
      </c>
      <c r="AT284">
        <v>0</v>
      </c>
      <c r="AU284" t="s">
        <v>111</v>
      </c>
      <c r="BJ284" t="str">
        <f t="shared" si="8"/>
        <v>car</v>
      </c>
      <c r="BK284" t="str">
        <f t="shared" si="9"/>
        <v>elc</v>
      </c>
    </row>
    <row r="285" spans="1:63" ht="14.5">
      <c r="A285" t="s">
        <v>118</v>
      </c>
      <c r="B285" t="s">
        <v>62</v>
      </c>
      <c r="C285" t="s">
        <v>97</v>
      </c>
      <c r="D285" t="s">
        <v>111</v>
      </c>
      <c r="E285" t="s">
        <v>111</v>
      </c>
      <c r="F285" t="s">
        <v>111</v>
      </c>
      <c r="G285" t="s">
        <v>81</v>
      </c>
      <c r="H285" t="s">
        <v>111</v>
      </c>
      <c r="I285" t="s">
        <v>111</v>
      </c>
      <c r="J285" t="s">
        <v>111</v>
      </c>
      <c r="K285" t="s">
        <v>111</v>
      </c>
      <c r="L285">
        <v>0</v>
      </c>
      <c r="M285">
        <v>0</v>
      </c>
      <c r="N285">
        <v>0.0012635805787101914</v>
      </c>
      <c r="O285">
        <v>0.0025271611574203827</v>
      </c>
      <c r="P285">
        <v>0</v>
      </c>
      <c r="Q285">
        <v>0.013478192839575376</v>
      </c>
      <c r="R285">
        <v>0.00067390964197876885</v>
      </c>
      <c r="S285">
        <v>0.21902063364309987</v>
      </c>
      <c r="T285">
        <v>0</v>
      </c>
      <c r="U285">
        <v>0</v>
      </c>
      <c r="V285">
        <v>0.012635805787101915</v>
      </c>
      <c r="W285">
        <v>0.01684774104946922</v>
      </c>
      <c r="X285">
        <v>0.00025271611574203829</v>
      </c>
      <c r="Y285">
        <v>0</v>
      </c>
      <c r="Z285">
        <v>0.00067390964197876885</v>
      </c>
      <c r="AA285">
        <v>0.00067390964197876885</v>
      </c>
      <c r="AB285">
        <v>0</v>
      </c>
      <c r="AC285">
        <v>0.0021059676311836525</v>
      </c>
      <c r="AD285">
        <v>0.0050543223148407654</v>
      </c>
      <c r="AE285">
        <v>2.5271611574203829E-05</v>
      </c>
      <c r="AF285">
        <v>0.00067390964197876885</v>
      </c>
      <c r="AG285">
        <v>0.09026177267253134</v>
      </c>
      <c r="AH285">
        <v>0.01684774104946922</v>
      </c>
      <c r="AI285">
        <v>0.00067390964197876885</v>
      </c>
      <c r="AJ285">
        <v>0.004885844904346074</v>
      </c>
      <c r="AK285">
        <v>0</v>
      </c>
      <c r="AL285">
        <v>0</v>
      </c>
      <c r="AM285">
        <v>4.2119352623673053E-05</v>
      </c>
      <c r="AN285">
        <v>0.0029483546836571138</v>
      </c>
      <c r="AO285">
        <v>0.0098559285139394933</v>
      </c>
      <c r="AP285">
        <v>0.0029483546836571138</v>
      </c>
      <c r="AQ285">
        <v>0.00025271611574203829</v>
      </c>
      <c r="AR285">
        <v>0.010951031682154994</v>
      </c>
      <c r="AS285">
        <v>0</v>
      </c>
      <c r="AT285">
        <v>0</v>
      </c>
      <c r="AU285" t="s">
        <v>111</v>
      </c>
      <c r="BJ285" t="str">
        <f t="shared" si="8"/>
        <v>car</v>
      </c>
      <c r="BK285" t="str">
        <f t="shared" si="9"/>
        <v>elc</v>
      </c>
    </row>
    <row r="286" spans="1:63" ht="14.5">
      <c r="A286" t="s">
        <v>118</v>
      </c>
      <c r="B286" t="s">
        <v>62</v>
      </c>
      <c r="C286" t="s">
        <v>97</v>
      </c>
      <c r="D286" t="s">
        <v>111</v>
      </c>
      <c r="E286" t="s">
        <v>111</v>
      </c>
      <c r="F286" t="s">
        <v>111</v>
      </c>
      <c r="G286" t="s">
        <v>80</v>
      </c>
      <c r="H286" t="s">
        <v>111</v>
      </c>
      <c r="I286" t="s">
        <v>111</v>
      </c>
      <c r="J286" t="s">
        <v>111</v>
      </c>
      <c r="K286" t="s">
        <v>111</v>
      </c>
      <c r="L286">
        <v>0</v>
      </c>
      <c r="M286">
        <v>0</v>
      </c>
      <c r="N286">
        <v>0.0012635805787101914</v>
      </c>
      <c r="O286">
        <v>0.0025271611574203827</v>
      </c>
      <c r="P286">
        <v>0</v>
      </c>
      <c r="Q286">
        <v>0.013478192839575376</v>
      </c>
      <c r="R286">
        <v>0.00067390964197876885</v>
      </c>
      <c r="S286">
        <v>0.21902063364309987</v>
      </c>
      <c r="T286">
        <v>0</v>
      </c>
      <c r="U286">
        <v>0</v>
      </c>
      <c r="V286">
        <v>0.012635805787101915</v>
      </c>
      <c r="W286">
        <v>0.01684774104946922</v>
      </c>
      <c r="X286">
        <v>0.00025271611574203829</v>
      </c>
      <c r="Y286">
        <v>0</v>
      </c>
      <c r="Z286">
        <v>0.00067390964197876885</v>
      </c>
      <c r="AA286">
        <v>0.00067390964197876885</v>
      </c>
      <c r="AB286">
        <v>0</v>
      </c>
      <c r="AC286">
        <v>0.0021059676311836525</v>
      </c>
      <c r="AD286">
        <v>0.0050543223148407654</v>
      </c>
      <c r="AE286">
        <v>2.5271611574203829E-05</v>
      </c>
      <c r="AF286">
        <v>0.00067390964197876885</v>
      </c>
      <c r="AG286">
        <v>0.09026177267253134</v>
      </c>
      <c r="AH286">
        <v>0.01684774104946922</v>
      </c>
      <c r="AI286">
        <v>0.00067390964197876885</v>
      </c>
      <c r="AJ286">
        <v>0.004885844904346074</v>
      </c>
      <c r="AK286">
        <v>0</v>
      </c>
      <c r="AL286">
        <v>0</v>
      </c>
      <c r="AM286">
        <v>4.2119352623673053E-05</v>
      </c>
      <c r="AN286">
        <v>0.0029483546836571138</v>
      </c>
      <c r="AO286">
        <v>0.0098559285139394933</v>
      </c>
      <c r="AP286">
        <v>0.0029483546836571138</v>
      </c>
      <c r="AQ286">
        <v>0.00025271611574203829</v>
      </c>
      <c r="AR286">
        <v>0.010951031682154994</v>
      </c>
      <c r="AS286">
        <v>0</v>
      </c>
      <c r="AT286">
        <v>0</v>
      </c>
      <c r="AU286" t="s">
        <v>111</v>
      </c>
      <c r="BJ286" t="str">
        <f t="shared" si="8"/>
        <v>car</v>
      </c>
      <c r="BK286" t="str">
        <f t="shared" si="9"/>
        <v>elc</v>
      </c>
    </row>
    <row r="287" spans="1:63" ht="14.5">
      <c r="A287" t="s">
        <v>118</v>
      </c>
      <c r="B287" t="s">
        <v>62</v>
      </c>
      <c r="C287" t="s">
        <v>97</v>
      </c>
      <c r="D287" t="s">
        <v>111</v>
      </c>
      <c r="E287" t="s">
        <v>111</v>
      </c>
      <c r="F287" t="s">
        <v>111</v>
      </c>
      <c r="G287" t="s">
        <v>79</v>
      </c>
      <c r="H287" t="s">
        <v>111</v>
      </c>
      <c r="I287" t="s">
        <v>111</v>
      </c>
      <c r="J287" t="s">
        <v>111</v>
      </c>
      <c r="K287" t="s">
        <v>111</v>
      </c>
      <c r="L287">
        <v>0</v>
      </c>
      <c r="M287">
        <v>0</v>
      </c>
      <c r="N287">
        <v>0.0012635805787101914</v>
      </c>
      <c r="O287">
        <v>0.0025271611574203827</v>
      </c>
      <c r="P287">
        <v>0</v>
      </c>
      <c r="Q287">
        <v>0.013478192839575376</v>
      </c>
      <c r="R287">
        <v>0.00067390964197876885</v>
      </c>
      <c r="S287">
        <v>0.21902063364309987</v>
      </c>
      <c r="T287">
        <v>0</v>
      </c>
      <c r="U287">
        <v>0</v>
      </c>
      <c r="V287">
        <v>0.012635805787101915</v>
      </c>
      <c r="W287">
        <v>0.01684774104946922</v>
      </c>
      <c r="X287">
        <v>0.00025271611574203829</v>
      </c>
      <c r="Y287">
        <v>0</v>
      </c>
      <c r="Z287">
        <v>0.00067390964197876885</v>
      </c>
      <c r="AA287">
        <v>0.00067390964197876885</v>
      </c>
      <c r="AB287">
        <v>0</v>
      </c>
      <c r="AC287">
        <v>0.0021059676311836525</v>
      </c>
      <c r="AD287">
        <v>0.0050543223148407654</v>
      </c>
      <c r="AE287">
        <v>2.5271611574203829E-05</v>
      </c>
      <c r="AF287">
        <v>0.00067390964197876885</v>
      </c>
      <c r="AG287">
        <v>0.09026177267253134</v>
      </c>
      <c r="AH287">
        <v>0.01684774104946922</v>
      </c>
      <c r="AI287">
        <v>0.00067390964197876885</v>
      </c>
      <c r="AJ287">
        <v>0.004885844904346074</v>
      </c>
      <c r="AK287">
        <v>0</v>
      </c>
      <c r="AL287">
        <v>0</v>
      </c>
      <c r="AM287">
        <v>4.2119352623673053E-05</v>
      </c>
      <c r="AN287">
        <v>0.0029483546836571138</v>
      </c>
      <c r="AO287">
        <v>0.0098559285139394933</v>
      </c>
      <c r="AP287">
        <v>0.0029483546836571138</v>
      </c>
      <c r="AQ287">
        <v>0.00025271611574203829</v>
      </c>
      <c r="AR287">
        <v>0.010951031682154994</v>
      </c>
      <c r="AS287">
        <v>0</v>
      </c>
      <c r="AT287">
        <v>0</v>
      </c>
      <c r="AU287" t="s">
        <v>111</v>
      </c>
      <c r="BJ287" t="str">
        <f t="shared" si="8"/>
        <v>car</v>
      </c>
      <c r="BK287" t="str">
        <f t="shared" si="9"/>
        <v>elc</v>
      </c>
    </row>
    <row r="288" spans="1:63" ht="14.5">
      <c r="A288" t="s">
        <v>118</v>
      </c>
      <c r="B288" t="s">
        <v>62</v>
      </c>
      <c r="C288" t="s">
        <v>97</v>
      </c>
      <c r="D288" t="s">
        <v>111</v>
      </c>
      <c r="E288" t="s">
        <v>111</v>
      </c>
      <c r="F288" t="s">
        <v>111</v>
      </c>
      <c r="G288" t="s">
        <v>78</v>
      </c>
      <c r="H288" t="s">
        <v>111</v>
      </c>
      <c r="I288" t="s">
        <v>111</v>
      </c>
      <c r="J288" t="s">
        <v>111</v>
      </c>
      <c r="K288" t="s">
        <v>111</v>
      </c>
      <c r="L288">
        <v>0</v>
      </c>
      <c r="M288">
        <v>0</v>
      </c>
      <c r="N288">
        <v>0.0012635805787101914</v>
      </c>
      <c r="O288">
        <v>0.0025271611574203827</v>
      </c>
      <c r="P288">
        <v>0</v>
      </c>
      <c r="Q288">
        <v>0.013478192839575376</v>
      </c>
      <c r="R288">
        <v>0.00067390964197876885</v>
      </c>
      <c r="S288">
        <v>0.21902063364309987</v>
      </c>
      <c r="T288">
        <v>0</v>
      </c>
      <c r="U288">
        <v>0</v>
      </c>
      <c r="V288">
        <v>0.012635805787101915</v>
      </c>
      <c r="W288">
        <v>0.01684774104946922</v>
      </c>
      <c r="X288">
        <v>0.00025271611574203829</v>
      </c>
      <c r="Y288">
        <v>0</v>
      </c>
      <c r="Z288">
        <v>0.00067390964197876885</v>
      </c>
      <c r="AA288">
        <v>0.00067390964197876885</v>
      </c>
      <c r="AB288">
        <v>0</v>
      </c>
      <c r="AC288">
        <v>0.0021059676311836525</v>
      </c>
      <c r="AD288">
        <v>0.0050543223148407654</v>
      </c>
      <c r="AE288">
        <v>2.5271611574203829E-05</v>
      </c>
      <c r="AF288">
        <v>0.00067390964197876885</v>
      </c>
      <c r="AG288">
        <v>0.09026177267253134</v>
      </c>
      <c r="AH288">
        <v>0.01684774104946922</v>
      </c>
      <c r="AI288">
        <v>0.00067390964197876885</v>
      </c>
      <c r="AJ288">
        <v>0.004885844904346074</v>
      </c>
      <c r="AK288">
        <v>0</v>
      </c>
      <c r="AL288">
        <v>0</v>
      </c>
      <c r="AM288">
        <v>4.2119352623673053E-05</v>
      </c>
      <c r="AN288">
        <v>0.0029483546836571138</v>
      </c>
      <c r="AO288">
        <v>0.0098559285139394933</v>
      </c>
      <c r="AP288">
        <v>0.0029483546836571138</v>
      </c>
      <c r="AQ288">
        <v>0.00025271611574203829</v>
      </c>
      <c r="AR288">
        <v>0.010951031682154994</v>
      </c>
      <c r="AS288">
        <v>0</v>
      </c>
      <c r="AT288">
        <v>0</v>
      </c>
      <c r="AU288" t="s">
        <v>111</v>
      </c>
      <c r="BJ288" t="str">
        <f t="shared" si="8"/>
        <v>car</v>
      </c>
      <c r="BK288" t="str">
        <f t="shared" si="9"/>
        <v>elc</v>
      </c>
    </row>
    <row r="289" spans="1:63" ht="14.5">
      <c r="A289" t="s">
        <v>118</v>
      </c>
      <c r="B289" t="s">
        <v>62</v>
      </c>
      <c r="C289" t="s">
        <v>97</v>
      </c>
      <c r="D289" t="s">
        <v>111</v>
      </c>
      <c r="E289" t="s">
        <v>111</v>
      </c>
      <c r="F289" t="s">
        <v>111</v>
      </c>
      <c r="G289" t="s">
        <v>77</v>
      </c>
      <c r="H289" t="s">
        <v>111</v>
      </c>
      <c r="I289" t="s">
        <v>111</v>
      </c>
      <c r="J289" t="s">
        <v>111</v>
      </c>
      <c r="K289" t="s">
        <v>111</v>
      </c>
      <c r="L289">
        <v>0</v>
      </c>
      <c r="M289">
        <v>0</v>
      </c>
      <c r="N289">
        <v>0.0012635805787101914</v>
      </c>
      <c r="O289">
        <v>0.0025271611574203827</v>
      </c>
      <c r="P289">
        <v>0</v>
      </c>
      <c r="Q289">
        <v>0.013478192839575376</v>
      </c>
      <c r="R289">
        <v>0.00067390964197876885</v>
      </c>
      <c r="S289">
        <v>0.21902063364309987</v>
      </c>
      <c r="T289">
        <v>0</v>
      </c>
      <c r="U289">
        <v>0</v>
      </c>
      <c r="V289">
        <v>0.012635805787101915</v>
      </c>
      <c r="W289">
        <v>0.01684774104946922</v>
      </c>
      <c r="X289">
        <v>0.00025271611574203829</v>
      </c>
      <c r="Y289">
        <v>0</v>
      </c>
      <c r="Z289">
        <v>0.00067390964197876885</v>
      </c>
      <c r="AA289">
        <v>0.00067390964197876885</v>
      </c>
      <c r="AB289">
        <v>0</v>
      </c>
      <c r="AC289">
        <v>0.0021059676311836525</v>
      </c>
      <c r="AD289">
        <v>0.0050543223148407654</v>
      </c>
      <c r="AE289">
        <v>2.5271611574203829E-05</v>
      </c>
      <c r="AF289">
        <v>0.00067390964197876885</v>
      </c>
      <c r="AG289">
        <v>0.09026177267253134</v>
      </c>
      <c r="AH289">
        <v>0.01684774104946922</v>
      </c>
      <c r="AI289">
        <v>0.00067390964197876885</v>
      </c>
      <c r="AJ289">
        <v>0.004885844904346074</v>
      </c>
      <c r="AK289">
        <v>0</v>
      </c>
      <c r="AL289">
        <v>0</v>
      </c>
      <c r="AM289">
        <v>4.2119352623673053E-05</v>
      </c>
      <c r="AN289">
        <v>0.0029483546836571138</v>
      </c>
      <c r="AO289">
        <v>0.0098559285139394933</v>
      </c>
      <c r="AP289">
        <v>0.0029483546836571138</v>
      </c>
      <c r="AQ289">
        <v>0.00025271611574203829</v>
      </c>
      <c r="AR289">
        <v>0.010951031682154994</v>
      </c>
      <c r="AS289">
        <v>0</v>
      </c>
      <c r="AT289">
        <v>0</v>
      </c>
      <c r="AU289" t="s">
        <v>111</v>
      </c>
      <c r="BJ289" t="str">
        <f t="shared" si="8"/>
        <v>car</v>
      </c>
      <c r="BK289" t="str">
        <f t="shared" si="9"/>
        <v>elc</v>
      </c>
    </row>
    <row r="290" spans="1:63" ht="14.5">
      <c r="A290" t="s">
        <v>118</v>
      </c>
      <c r="B290" t="s">
        <v>62</v>
      </c>
      <c r="C290" t="s">
        <v>97</v>
      </c>
      <c r="D290" t="s">
        <v>111</v>
      </c>
      <c r="E290" t="s">
        <v>111</v>
      </c>
      <c r="F290" t="s">
        <v>111</v>
      </c>
      <c r="G290" t="s">
        <v>76</v>
      </c>
      <c r="H290" t="s">
        <v>111</v>
      </c>
      <c r="I290" t="s">
        <v>111</v>
      </c>
      <c r="J290" t="s">
        <v>111</v>
      </c>
      <c r="K290" t="s">
        <v>111</v>
      </c>
      <c r="L290">
        <v>0</v>
      </c>
      <c r="M290">
        <v>0</v>
      </c>
      <c r="N290">
        <v>0.0012635805787101914</v>
      </c>
      <c r="O290">
        <v>0.0025271611574203827</v>
      </c>
      <c r="P290">
        <v>0</v>
      </c>
      <c r="Q290">
        <v>0.013478192839575376</v>
      </c>
      <c r="R290">
        <v>0.00067390964197876885</v>
      </c>
      <c r="S290">
        <v>0.21902063364309987</v>
      </c>
      <c r="T290">
        <v>0</v>
      </c>
      <c r="U290">
        <v>0</v>
      </c>
      <c r="V290">
        <v>0.012635805787101915</v>
      </c>
      <c r="W290">
        <v>0.01684774104946922</v>
      </c>
      <c r="X290">
        <v>0.00025271611574203829</v>
      </c>
      <c r="Y290">
        <v>0</v>
      </c>
      <c r="Z290">
        <v>0.00067390964197876885</v>
      </c>
      <c r="AA290">
        <v>0.00067390964197876885</v>
      </c>
      <c r="AB290">
        <v>0</v>
      </c>
      <c r="AC290">
        <v>0.0021059676311836525</v>
      </c>
      <c r="AD290">
        <v>0.0050543223148407654</v>
      </c>
      <c r="AE290">
        <v>2.5271611574203829E-05</v>
      </c>
      <c r="AF290">
        <v>0.00067390964197876885</v>
      </c>
      <c r="AG290">
        <v>0.09026177267253134</v>
      </c>
      <c r="AH290">
        <v>0.01684774104946922</v>
      </c>
      <c r="AI290">
        <v>0.00067390964197876885</v>
      </c>
      <c r="AJ290">
        <v>0.004885844904346074</v>
      </c>
      <c r="AK290">
        <v>0</v>
      </c>
      <c r="AL290">
        <v>0</v>
      </c>
      <c r="AM290">
        <v>4.2119352623673053E-05</v>
      </c>
      <c r="AN290">
        <v>0.0029483546836571138</v>
      </c>
      <c r="AO290">
        <v>0.0098559285139394933</v>
      </c>
      <c r="AP290">
        <v>0.0029483546836571138</v>
      </c>
      <c r="AQ290">
        <v>0.00025271611574203829</v>
      </c>
      <c r="AR290">
        <v>0.010951031682154994</v>
      </c>
      <c r="AS290">
        <v>0</v>
      </c>
      <c r="AT290">
        <v>0</v>
      </c>
      <c r="AU290" t="s">
        <v>111</v>
      </c>
      <c r="BJ290" t="str">
        <f t="shared" si="8"/>
        <v>car</v>
      </c>
      <c r="BK290" t="str">
        <f t="shared" si="9"/>
        <v>elc</v>
      </c>
    </row>
    <row r="291" spans="1:63" ht="14.5">
      <c r="A291" t="s">
        <v>118</v>
      </c>
      <c r="B291" t="s">
        <v>62</v>
      </c>
      <c r="C291" t="s">
        <v>97</v>
      </c>
      <c r="D291" t="s">
        <v>111</v>
      </c>
      <c r="E291" t="s">
        <v>111</v>
      </c>
      <c r="F291" t="s">
        <v>111</v>
      </c>
      <c r="G291" t="s">
        <v>75</v>
      </c>
      <c r="H291" t="s">
        <v>111</v>
      </c>
      <c r="I291" t="s">
        <v>111</v>
      </c>
      <c r="J291" t="s">
        <v>111</v>
      </c>
      <c r="K291" t="s">
        <v>111</v>
      </c>
      <c r="L291">
        <v>0</v>
      </c>
      <c r="M291">
        <v>0</v>
      </c>
      <c r="N291">
        <v>0.0012635805787101914</v>
      </c>
      <c r="O291">
        <v>0.0025271611574203827</v>
      </c>
      <c r="P291">
        <v>0</v>
      </c>
      <c r="Q291">
        <v>0.013478192839575376</v>
      </c>
      <c r="R291">
        <v>0.00067390964197876885</v>
      </c>
      <c r="S291">
        <v>0.21902063364309987</v>
      </c>
      <c r="T291">
        <v>0</v>
      </c>
      <c r="U291">
        <v>0</v>
      </c>
      <c r="V291">
        <v>0.012635805787101915</v>
      </c>
      <c r="W291">
        <v>0.01684774104946922</v>
      </c>
      <c r="X291">
        <v>0.00025271611574203829</v>
      </c>
      <c r="Y291">
        <v>0</v>
      </c>
      <c r="Z291">
        <v>0.00067390964197876885</v>
      </c>
      <c r="AA291">
        <v>0.00067390964197876885</v>
      </c>
      <c r="AB291">
        <v>0</v>
      </c>
      <c r="AC291">
        <v>0.0021059676311836525</v>
      </c>
      <c r="AD291">
        <v>0.0050543223148407654</v>
      </c>
      <c r="AE291">
        <v>2.5271611574203829E-05</v>
      </c>
      <c r="AF291">
        <v>0.00067390964197876885</v>
      </c>
      <c r="AG291">
        <v>0.09026177267253134</v>
      </c>
      <c r="AH291">
        <v>0.01684774104946922</v>
      </c>
      <c r="AI291">
        <v>0.00067390964197876885</v>
      </c>
      <c r="AJ291">
        <v>0.004885844904346074</v>
      </c>
      <c r="AK291">
        <v>0</v>
      </c>
      <c r="AL291">
        <v>0</v>
      </c>
      <c r="AM291">
        <v>4.2119352623673053E-05</v>
      </c>
      <c r="AN291">
        <v>0.0029483546836571138</v>
      </c>
      <c r="AO291">
        <v>0.0098559285139394933</v>
      </c>
      <c r="AP291">
        <v>0.0029483546836571138</v>
      </c>
      <c r="AQ291">
        <v>0.00025271611574203829</v>
      </c>
      <c r="AR291">
        <v>0.010951031682154994</v>
      </c>
      <c r="AS291">
        <v>0</v>
      </c>
      <c r="AT291">
        <v>0</v>
      </c>
      <c r="AU291" t="s">
        <v>111</v>
      </c>
      <c r="BJ291" t="str">
        <f t="shared" si="8"/>
        <v>car</v>
      </c>
      <c r="BK291" t="str">
        <f t="shared" si="9"/>
        <v>elc</v>
      </c>
    </row>
    <row r="292" spans="1:63" ht="14.5">
      <c r="A292" t="s">
        <v>118</v>
      </c>
      <c r="B292" t="s">
        <v>62</v>
      </c>
      <c r="C292" t="s">
        <v>97</v>
      </c>
      <c r="D292" t="s">
        <v>111</v>
      </c>
      <c r="E292" t="s">
        <v>111</v>
      </c>
      <c r="F292" t="s">
        <v>111</v>
      </c>
      <c r="G292" t="s">
        <v>74</v>
      </c>
      <c r="H292" t="s">
        <v>111</v>
      </c>
      <c r="I292" t="s">
        <v>111</v>
      </c>
      <c r="J292" t="s">
        <v>111</v>
      </c>
      <c r="K292" t="s">
        <v>111</v>
      </c>
      <c r="L292">
        <v>0</v>
      </c>
      <c r="M292">
        <v>0</v>
      </c>
      <c r="N292">
        <v>0.0012635805787101914</v>
      </c>
      <c r="O292">
        <v>0.0025271611574203827</v>
      </c>
      <c r="P292">
        <v>0</v>
      </c>
      <c r="Q292">
        <v>0.013478192839575376</v>
      </c>
      <c r="R292">
        <v>0.00067390964197876885</v>
      </c>
      <c r="S292">
        <v>0.21902063364309987</v>
      </c>
      <c r="T292">
        <v>0</v>
      </c>
      <c r="U292">
        <v>0</v>
      </c>
      <c r="V292">
        <v>0.012635805787101915</v>
      </c>
      <c r="W292">
        <v>0.01684774104946922</v>
      </c>
      <c r="X292">
        <v>0.00025271611574203829</v>
      </c>
      <c r="Y292">
        <v>0</v>
      </c>
      <c r="Z292">
        <v>0.00067390964197876885</v>
      </c>
      <c r="AA292">
        <v>0.00067390964197876885</v>
      </c>
      <c r="AB292">
        <v>0</v>
      </c>
      <c r="AC292">
        <v>0.0021059676311836525</v>
      </c>
      <c r="AD292">
        <v>0.0050543223148407654</v>
      </c>
      <c r="AE292">
        <v>2.5271611574203829E-05</v>
      </c>
      <c r="AF292">
        <v>0.00067390964197876885</v>
      </c>
      <c r="AG292">
        <v>0.09026177267253134</v>
      </c>
      <c r="AH292">
        <v>0.01684774104946922</v>
      </c>
      <c r="AI292">
        <v>0.00067390964197876885</v>
      </c>
      <c r="AJ292">
        <v>0.004885844904346074</v>
      </c>
      <c r="AK292">
        <v>0</v>
      </c>
      <c r="AL292">
        <v>0</v>
      </c>
      <c r="AM292">
        <v>4.2119352623673053E-05</v>
      </c>
      <c r="AN292">
        <v>0.0029483546836571138</v>
      </c>
      <c r="AO292">
        <v>0.0098559285139394933</v>
      </c>
      <c r="AP292">
        <v>0.0029483546836571138</v>
      </c>
      <c r="AQ292">
        <v>0.00025271611574203829</v>
      </c>
      <c r="AR292">
        <v>0.010951031682154994</v>
      </c>
      <c r="AS292">
        <v>0</v>
      </c>
      <c r="AT292">
        <v>0</v>
      </c>
      <c r="AU292" t="s">
        <v>111</v>
      </c>
      <c r="BJ292" t="str">
        <f t="shared" si="8"/>
        <v>car</v>
      </c>
      <c r="BK292" t="str">
        <f t="shared" si="9"/>
        <v>elc</v>
      </c>
    </row>
    <row r="293" spans="1:63" ht="14.5">
      <c r="A293" t="s">
        <v>118</v>
      </c>
      <c r="B293" t="s">
        <v>62</v>
      </c>
      <c r="C293" t="s">
        <v>97</v>
      </c>
      <c r="D293" t="s">
        <v>111</v>
      </c>
      <c r="E293" t="s">
        <v>111</v>
      </c>
      <c r="F293" t="s">
        <v>111</v>
      </c>
      <c r="G293" t="s">
        <v>73</v>
      </c>
      <c r="H293" t="s">
        <v>111</v>
      </c>
      <c r="I293" t="s">
        <v>111</v>
      </c>
      <c r="J293" t="s">
        <v>111</v>
      </c>
      <c r="K293" t="s">
        <v>111</v>
      </c>
      <c r="L293">
        <v>0</v>
      </c>
      <c r="M293">
        <v>0</v>
      </c>
      <c r="N293">
        <v>0.0012635805787101914</v>
      </c>
      <c r="O293">
        <v>0.0025271611574203827</v>
      </c>
      <c r="P293">
        <v>0</v>
      </c>
      <c r="Q293">
        <v>0.013478192839575376</v>
      </c>
      <c r="R293">
        <v>0.00067390964197876885</v>
      </c>
      <c r="S293">
        <v>0.21902063364309987</v>
      </c>
      <c r="T293">
        <v>0</v>
      </c>
      <c r="U293">
        <v>0</v>
      </c>
      <c r="V293">
        <v>0.012635805787101915</v>
      </c>
      <c r="W293">
        <v>0.01684774104946922</v>
      </c>
      <c r="X293">
        <v>0.00025271611574203829</v>
      </c>
      <c r="Y293">
        <v>0</v>
      </c>
      <c r="Z293">
        <v>0.00067390964197876885</v>
      </c>
      <c r="AA293">
        <v>0.00067390964197876885</v>
      </c>
      <c r="AB293">
        <v>0</v>
      </c>
      <c r="AC293">
        <v>0.0021059676311836525</v>
      </c>
      <c r="AD293">
        <v>0.0050543223148407654</v>
      </c>
      <c r="AE293">
        <v>2.5271611574203829E-05</v>
      </c>
      <c r="AF293">
        <v>0.00067390964197876885</v>
      </c>
      <c r="AG293">
        <v>0.09026177267253134</v>
      </c>
      <c r="AH293">
        <v>0.01684774104946922</v>
      </c>
      <c r="AI293">
        <v>0.00067390964197876885</v>
      </c>
      <c r="AJ293">
        <v>0.004885844904346074</v>
      </c>
      <c r="AK293">
        <v>0</v>
      </c>
      <c r="AL293">
        <v>0</v>
      </c>
      <c r="AM293">
        <v>4.2119352623673053E-05</v>
      </c>
      <c r="AN293">
        <v>0.0029483546836571138</v>
      </c>
      <c r="AO293">
        <v>0.0098559285139394933</v>
      </c>
      <c r="AP293">
        <v>0.0029483546836571138</v>
      </c>
      <c r="AQ293">
        <v>0.00025271611574203829</v>
      </c>
      <c r="AR293">
        <v>0.010951031682154994</v>
      </c>
      <c r="AS293">
        <v>0</v>
      </c>
      <c r="AT293">
        <v>0</v>
      </c>
      <c r="AU293" t="s">
        <v>111</v>
      </c>
      <c r="BJ293" t="str">
        <f t="shared" si="8"/>
        <v>car</v>
      </c>
      <c r="BK293" t="str">
        <f t="shared" si="9"/>
        <v>elc</v>
      </c>
    </row>
    <row r="294" spans="1:63" ht="14.5">
      <c r="A294" t="s">
        <v>118</v>
      </c>
      <c r="B294" t="s">
        <v>62</v>
      </c>
      <c r="C294" t="s">
        <v>97</v>
      </c>
      <c r="D294" t="s">
        <v>111</v>
      </c>
      <c r="E294" t="s">
        <v>111</v>
      </c>
      <c r="F294" t="s">
        <v>111</v>
      </c>
      <c r="G294" t="s">
        <v>72</v>
      </c>
      <c r="H294" t="s">
        <v>111</v>
      </c>
      <c r="I294" t="s">
        <v>111</v>
      </c>
      <c r="J294" t="s">
        <v>111</v>
      </c>
      <c r="K294" t="s">
        <v>111</v>
      </c>
      <c r="L294">
        <v>0</v>
      </c>
      <c r="M294">
        <v>0</v>
      </c>
      <c r="N294">
        <v>0.0012635805787101914</v>
      </c>
      <c r="O294">
        <v>0.0025271611574203827</v>
      </c>
      <c r="P294">
        <v>0</v>
      </c>
      <c r="Q294">
        <v>0.013478192839575376</v>
      </c>
      <c r="R294">
        <v>0.00067390964197876885</v>
      </c>
      <c r="S294">
        <v>0.21902063364309987</v>
      </c>
      <c r="T294">
        <v>0</v>
      </c>
      <c r="U294">
        <v>0</v>
      </c>
      <c r="V294">
        <v>0.012635805787101915</v>
      </c>
      <c r="W294">
        <v>0.01684774104946922</v>
      </c>
      <c r="X294">
        <v>0.00025271611574203829</v>
      </c>
      <c r="Y294">
        <v>0</v>
      </c>
      <c r="Z294">
        <v>0.00067390964197876885</v>
      </c>
      <c r="AA294">
        <v>0.00067390964197876885</v>
      </c>
      <c r="AB294">
        <v>0</v>
      </c>
      <c r="AC294">
        <v>0.0021059676311836525</v>
      </c>
      <c r="AD294">
        <v>0.0050543223148407654</v>
      </c>
      <c r="AE294">
        <v>2.5271611574203829E-05</v>
      </c>
      <c r="AF294">
        <v>0.00067390964197876885</v>
      </c>
      <c r="AG294">
        <v>0.09026177267253134</v>
      </c>
      <c r="AH294">
        <v>0.01684774104946922</v>
      </c>
      <c r="AI294">
        <v>0.00067390964197876885</v>
      </c>
      <c r="AJ294">
        <v>0.004885844904346074</v>
      </c>
      <c r="AK294">
        <v>0</v>
      </c>
      <c r="AL294">
        <v>0</v>
      </c>
      <c r="AM294">
        <v>4.2119352623673053E-05</v>
      </c>
      <c r="AN294">
        <v>0.0029483546836571138</v>
      </c>
      <c r="AO294">
        <v>0.0098559285139394933</v>
      </c>
      <c r="AP294">
        <v>0.0029483546836571138</v>
      </c>
      <c r="AQ294">
        <v>0.00025271611574203829</v>
      </c>
      <c r="AR294">
        <v>0.010951031682154994</v>
      </c>
      <c r="AS294">
        <v>0</v>
      </c>
      <c r="AT294">
        <v>0</v>
      </c>
      <c r="AU294" t="s">
        <v>111</v>
      </c>
      <c r="BJ294" t="str">
        <f t="shared" si="8"/>
        <v>car</v>
      </c>
      <c r="BK294" t="str">
        <f t="shared" si="9"/>
        <v>elc</v>
      </c>
    </row>
    <row r="295" spans="1:63" ht="14.5">
      <c r="A295" t="s">
        <v>118</v>
      </c>
      <c r="B295" t="s">
        <v>62</v>
      </c>
      <c r="C295" t="s">
        <v>97</v>
      </c>
      <c r="D295" t="s">
        <v>111</v>
      </c>
      <c r="E295" t="s">
        <v>111</v>
      </c>
      <c r="F295" t="s">
        <v>111</v>
      </c>
      <c r="G295" t="s">
        <v>71</v>
      </c>
      <c r="H295" t="s">
        <v>111</v>
      </c>
      <c r="I295" t="s">
        <v>111</v>
      </c>
      <c r="J295" t="s">
        <v>111</v>
      </c>
      <c r="K295" t="s">
        <v>111</v>
      </c>
      <c r="L295">
        <v>0</v>
      </c>
      <c r="M295">
        <v>0</v>
      </c>
      <c r="N295">
        <v>0.0012635805787101914</v>
      </c>
      <c r="O295">
        <v>0.0025271611574203827</v>
      </c>
      <c r="P295">
        <v>0</v>
      </c>
      <c r="Q295">
        <v>0.013478192839575376</v>
      </c>
      <c r="R295">
        <v>0.00067390964197876885</v>
      </c>
      <c r="S295">
        <v>0.21902063364309987</v>
      </c>
      <c r="T295">
        <v>0</v>
      </c>
      <c r="U295">
        <v>0</v>
      </c>
      <c r="V295">
        <v>0.012635805787101915</v>
      </c>
      <c r="W295">
        <v>0.01684774104946922</v>
      </c>
      <c r="X295">
        <v>0.00025271611574203829</v>
      </c>
      <c r="Y295">
        <v>0</v>
      </c>
      <c r="Z295">
        <v>0.00067390964197876885</v>
      </c>
      <c r="AA295">
        <v>0.00067390964197876885</v>
      </c>
      <c r="AB295">
        <v>0</v>
      </c>
      <c r="AC295">
        <v>0.0021059676311836525</v>
      </c>
      <c r="AD295">
        <v>0.0050543223148407654</v>
      </c>
      <c r="AE295">
        <v>2.5271611574203829E-05</v>
      </c>
      <c r="AF295">
        <v>0.00067390964197876885</v>
      </c>
      <c r="AG295">
        <v>0.09026177267253134</v>
      </c>
      <c r="AH295">
        <v>0.01684774104946922</v>
      </c>
      <c r="AI295">
        <v>0.00067390964197876885</v>
      </c>
      <c r="AJ295">
        <v>0.004885844904346074</v>
      </c>
      <c r="AK295">
        <v>0</v>
      </c>
      <c r="AL295">
        <v>0</v>
      </c>
      <c r="AM295">
        <v>4.2119352623673053E-05</v>
      </c>
      <c r="AN295">
        <v>0.0029483546836571138</v>
      </c>
      <c r="AO295">
        <v>0.0098559285139394933</v>
      </c>
      <c r="AP295">
        <v>0.0029483546836571138</v>
      </c>
      <c r="AQ295">
        <v>0.00025271611574203829</v>
      </c>
      <c r="AR295">
        <v>0.010951031682154994</v>
      </c>
      <c r="AS295">
        <v>0</v>
      </c>
      <c r="AT295">
        <v>0</v>
      </c>
      <c r="AU295" t="s">
        <v>111</v>
      </c>
      <c r="BJ295" t="str">
        <f t="shared" si="8"/>
        <v>car</v>
      </c>
      <c r="BK295" t="str">
        <f t="shared" si="9"/>
        <v>elc</v>
      </c>
    </row>
    <row r="296" spans="1:63" ht="14.5">
      <c r="A296" t="s">
        <v>118</v>
      </c>
      <c r="B296" t="s">
        <v>62</v>
      </c>
      <c r="C296" t="s">
        <v>97</v>
      </c>
      <c r="D296" t="s">
        <v>111</v>
      </c>
      <c r="E296" t="s">
        <v>111</v>
      </c>
      <c r="F296" t="s">
        <v>111</v>
      </c>
      <c r="G296" t="s">
        <v>70</v>
      </c>
      <c r="H296" t="s">
        <v>111</v>
      </c>
      <c r="I296" t="s">
        <v>111</v>
      </c>
      <c r="J296" t="s">
        <v>111</v>
      </c>
      <c r="K296" t="s">
        <v>111</v>
      </c>
      <c r="L296">
        <v>0</v>
      </c>
      <c r="M296">
        <v>0</v>
      </c>
      <c r="N296">
        <v>0.0012635805787101914</v>
      </c>
      <c r="O296">
        <v>0.0025271611574203827</v>
      </c>
      <c r="P296">
        <v>0</v>
      </c>
      <c r="Q296">
        <v>0.013478192839575376</v>
      </c>
      <c r="R296">
        <v>0.00067390964197876885</v>
      </c>
      <c r="S296">
        <v>0.21902063364309987</v>
      </c>
      <c r="T296">
        <v>0</v>
      </c>
      <c r="U296">
        <v>0</v>
      </c>
      <c r="V296">
        <v>0.012635805787101915</v>
      </c>
      <c r="W296">
        <v>0.01684774104946922</v>
      </c>
      <c r="X296">
        <v>0.00025271611574203829</v>
      </c>
      <c r="Y296">
        <v>0</v>
      </c>
      <c r="Z296">
        <v>0.00067390964197876885</v>
      </c>
      <c r="AA296">
        <v>0.00067390964197876885</v>
      </c>
      <c r="AB296">
        <v>0</v>
      </c>
      <c r="AC296">
        <v>0.0021059676311836525</v>
      </c>
      <c r="AD296">
        <v>0.0050543223148407654</v>
      </c>
      <c r="AE296">
        <v>2.5271611574203829E-05</v>
      </c>
      <c r="AF296">
        <v>0.00067390964197876885</v>
      </c>
      <c r="AG296">
        <v>0.09026177267253134</v>
      </c>
      <c r="AH296">
        <v>0.01684774104946922</v>
      </c>
      <c r="AI296">
        <v>0.00067390964197876885</v>
      </c>
      <c r="AJ296">
        <v>0.004885844904346074</v>
      </c>
      <c r="AK296">
        <v>0</v>
      </c>
      <c r="AL296">
        <v>0</v>
      </c>
      <c r="AM296">
        <v>4.2119352623673053E-05</v>
      </c>
      <c r="AN296">
        <v>0.0029483546836571138</v>
      </c>
      <c r="AO296">
        <v>0.0098559285139394933</v>
      </c>
      <c r="AP296">
        <v>0.0029483546836571138</v>
      </c>
      <c r="AQ296">
        <v>0.00025271611574203829</v>
      </c>
      <c r="AR296">
        <v>0.010951031682154994</v>
      </c>
      <c r="AS296">
        <v>0</v>
      </c>
      <c r="AT296">
        <v>0</v>
      </c>
      <c r="AU296" t="s">
        <v>111</v>
      </c>
      <c r="BJ296" t="str">
        <f t="shared" si="8"/>
        <v>car</v>
      </c>
      <c r="BK296" t="str">
        <f t="shared" si="9"/>
        <v>elc</v>
      </c>
    </row>
    <row r="297" spans="1:63" ht="14.5">
      <c r="A297" t="s">
        <v>118</v>
      </c>
      <c r="B297" t="s">
        <v>62</v>
      </c>
      <c r="C297" t="s">
        <v>97</v>
      </c>
      <c r="D297" t="s">
        <v>111</v>
      </c>
      <c r="E297" t="s">
        <v>111</v>
      </c>
      <c r="F297" t="s">
        <v>111</v>
      </c>
      <c r="G297" t="s">
        <v>69</v>
      </c>
      <c r="H297" t="s">
        <v>111</v>
      </c>
      <c r="I297" t="s">
        <v>111</v>
      </c>
      <c r="J297" t="s">
        <v>111</v>
      </c>
      <c r="K297" t="s">
        <v>111</v>
      </c>
      <c r="L297">
        <v>0</v>
      </c>
      <c r="M297">
        <v>0</v>
      </c>
      <c r="N297">
        <v>0.0012635805787101914</v>
      </c>
      <c r="O297">
        <v>0.0025271611574203827</v>
      </c>
      <c r="P297">
        <v>0</v>
      </c>
      <c r="Q297">
        <v>0.013478192839575376</v>
      </c>
      <c r="R297">
        <v>0.00067390964197876885</v>
      </c>
      <c r="S297">
        <v>0.21902063364309987</v>
      </c>
      <c r="T297">
        <v>0</v>
      </c>
      <c r="U297">
        <v>0</v>
      </c>
      <c r="V297">
        <v>0.012635805787101915</v>
      </c>
      <c r="W297">
        <v>0.01684774104946922</v>
      </c>
      <c r="X297">
        <v>0.00025271611574203829</v>
      </c>
      <c r="Y297">
        <v>0</v>
      </c>
      <c r="Z297">
        <v>0.00067390964197876885</v>
      </c>
      <c r="AA297">
        <v>0.00067390964197876885</v>
      </c>
      <c r="AB297">
        <v>0</v>
      </c>
      <c r="AC297">
        <v>0.0021059676311836525</v>
      </c>
      <c r="AD297">
        <v>0.0050543223148407654</v>
      </c>
      <c r="AE297">
        <v>2.5271611574203829E-05</v>
      </c>
      <c r="AF297">
        <v>0.00067390964197876885</v>
      </c>
      <c r="AG297">
        <v>0.09026177267253134</v>
      </c>
      <c r="AH297">
        <v>0.01684774104946922</v>
      </c>
      <c r="AI297">
        <v>0.00067390964197876885</v>
      </c>
      <c r="AJ297">
        <v>0.004885844904346074</v>
      </c>
      <c r="AK297">
        <v>0</v>
      </c>
      <c r="AL297">
        <v>0</v>
      </c>
      <c r="AM297">
        <v>4.2119352623673053E-05</v>
      </c>
      <c r="AN297">
        <v>0.0029483546836571138</v>
      </c>
      <c r="AO297">
        <v>0.0098559285139394933</v>
      </c>
      <c r="AP297">
        <v>0.0029483546836571138</v>
      </c>
      <c r="AQ297">
        <v>0.00025271611574203829</v>
      </c>
      <c r="AR297">
        <v>0.010951031682154994</v>
      </c>
      <c r="AS297">
        <v>0</v>
      </c>
      <c r="AT297">
        <v>0</v>
      </c>
      <c r="AU297" t="s">
        <v>111</v>
      </c>
      <c r="BJ297" t="str">
        <f t="shared" si="8"/>
        <v>car</v>
      </c>
      <c r="BK297" t="str">
        <f t="shared" si="9"/>
        <v>elc</v>
      </c>
    </row>
    <row r="298" spans="1:63" ht="14.5">
      <c r="A298" t="s">
        <v>118</v>
      </c>
      <c r="B298" t="s">
        <v>62</v>
      </c>
      <c r="C298" t="s">
        <v>97</v>
      </c>
      <c r="D298" t="s">
        <v>111</v>
      </c>
      <c r="E298" t="s">
        <v>111</v>
      </c>
      <c r="F298" t="s">
        <v>111</v>
      </c>
      <c r="G298" t="s">
        <v>68</v>
      </c>
      <c r="H298" t="s">
        <v>111</v>
      </c>
      <c r="I298" t="s">
        <v>111</v>
      </c>
      <c r="J298" t="s">
        <v>111</v>
      </c>
      <c r="K298" t="s">
        <v>111</v>
      </c>
      <c r="L298">
        <v>0</v>
      </c>
      <c r="M298">
        <v>0</v>
      </c>
      <c r="N298">
        <v>0.0012635805787101914</v>
      </c>
      <c r="O298">
        <v>0.0025271611574203827</v>
      </c>
      <c r="P298">
        <v>0</v>
      </c>
      <c r="Q298">
        <v>0.013478192839575376</v>
      </c>
      <c r="R298">
        <v>0.00067390964197876885</v>
      </c>
      <c r="S298">
        <v>0.21902063364309987</v>
      </c>
      <c r="T298">
        <v>0</v>
      </c>
      <c r="U298">
        <v>0</v>
      </c>
      <c r="V298">
        <v>0.012635805787101915</v>
      </c>
      <c r="W298">
        <v>0.01684774104946922</v>
      </c>
      <c r="X298">
        <v>0.00025271611574203829</v>
      </c>
      <c r="Y298">
        <v>0</v>
      </c>
      <c r="Z298">
        <v>0.00067390964197876885</v>
      </c>
      <c r="AA298">
        <v>0.00067390964197876885</v>
      </c>
      <c r="AB298">
        <v>0</v>
      </c>
      <c r="AC298">
        <v>0.0021059676311836525</v>
      </c>
      <c r="AD298">
        <v>0.0050543223148407654</v>
      </c>
      <c r="AE298">
        <v>2.5271611574203829E-05</v>
      </c>
      <c r="AF298">
        <v>0.00067390964197876885</v>
      </c>
      <c r="AG298">
        <v>0.09026177267253134</v>
      </c>
      <c r="AH298">
        <v>0.01684774104946922</v>
      </c>
      <c r="AI298">
        <v>0.00067390964197876885</v>
      </c>
      <c r="AJ298">
        <v>0.004885844904346074</v>
      </c>
      <c r="AK298">
        <v>0</v>
      </c>
      <c r="AL298">
        <v>0</v>
      </c>
      <c r="AM298">
        <v>4.2119352623673053E-05</v>
      </c>
      <c r="AN298">
        <v>0.0029483546836571138</v>
      </c>
      <c r="AO298">
        <v>0.0098559285139394933</v>
      </c>
      <c r="AP298">
        <v>0.0029483546836571138</v>
      </c>
      <c r="AQ298">
        <v>0.00025271611574203829</v>
      </c>
      <c r="AR298">
        <v>0.010951031682154994</v>
      </c>
      <c r="AS298">
        <v>0</v>
      </c>
      <c r="AT298">
        <v>0</v>
      </c>
      <c r="AU298" t="s">
        <v>111</v>
      </c>
      <c r="BJ298" t="str">
        <f t="shared" si="8"/>
        <v>car</v>
      </c>
      <c r="BK298" t="str">
        <f t="shared" si="9"/>
        <v>elc</v>
      </c>
    </row>
    <row r="299" spans="1:63" ht="14.5">
      <c r="A299" t="s">
        <v>118</v>
      </c>
      <c r="B299" t="s">
        <v>62</v>
      </c>
      <c r="C299" t="s">
        <v>97</v>
      </c>
      <c r="D299" t="s">
        <v>111</v>
      </c>
      <c r="E299" t="s">
        <v>111</v>
      </c>
      <c r="F299" t="s">
        <v>111</v>
      </c>
      <c r="G299" t="s">
        <v>67</v>
      </c>
      <c r="H299" t="s">
        <v>111</v>
      </c>
      <c r="I299" t="s">
        <v>111</v>
      </c>
      <c r="J299" t="s">
        <v>111</v>
      </c>
      <c r="K299" t="s">
        <v>111</v>
      </c>
      <c r="L299">
        <v>0</v>
      </c>
      <c r="M299">
        <v>0</v>
      </c>
      <c r="N299">
        <v>0.0012635805787101914</v>
      </c>
      <c r="O299">
        <v>0.0025271611574203827</v>
      </c>
      <c r="P299">
        <v>0</v>
      </c>
      <c r="Q299">
        <v>0.013478192839575376</v>
      </c>
      <c r="R299">
        <v>0.00067390964197876885</v>
      </c>
      <c r="S299">
        <v>0.21902063364309987</v>
      </c>
      <c r="T299">
        <v>0</v>
      </c>
      <c r="U299">
        <v>0</v>
      </c>
      <c r="V299">
        <v>0.012635805787101915</v>
      </c>
      <c r="W299">
        <v>0.01684774104946922</v>
      </c>
      <c r="X299">
        <v>0.00025271611574203829</v>
      </c>
      <c r="Y299">
        <v>0</v>
      </c>
      <c r="Z299">
        <v>0.00067390964197876885</v>
      </c>
      <c r="AA299">
        <v>0.00067390964197876885</v>
      </c>
      <c r="AB299">
        <v>0</v>
      </c>
      <c r="AC299">
        <v>0.0021059676311836525</v>
      </c>
      <c r="AD299">
        <v>0.0050543223148407654</v>
      </c>
      <c r="AE299">
        <v>2.5271611574203829E-05</v>
      </c>
      <c r="AF299">
        <v>0.00067390964197876885</v>
      </c>
      <c r="AG299">
        <v>0.09026177267253134</v>
      </c>
      <c r="AH299">
        <v>0.01684774104946922</v>
      </c>
      <c r="AI299">
        <v>0.00067390964197876885</v>
      </c>
      <c r="AJ299">
        <v>0.004885844904346074</v>
      </c>
      <c r="AK299">
        <v>0</v>
      </c>
      <c r="AL299">
        <v>0</v>
      </c>
      <c r="AM299">
        <v>4.2119352623673053E-05</v>
      </c>
      <c r="AN299">
        <v>0.0029483546836571138</v>
      </c>
      <c r="AO299">
        <v>0.0098559285139394933</v>
      </c>
      <c r="AP299">
        <v>0.0029483546836571138</v>
      </c>
      <c r="AQ299">
        <v>0.00025271611574203829</v>
      </c>
      <c r="AR299">
        <v>0.010951031682154994</v>
      </c>
      <c r="AS299">
        <v>0</v>
      </c>
      <c r="AT299">
        <v>0</v>
      </c>
      <c r="AU299" t="s">
        <v>111</v>
      </c>
      <c r="BJ299" t="str">
        <f t="shared" si="8"/>
        <v>car</v>
      </c>
      <c r="BK299" t="str">
        <f t="shared" si="9"/>
        <v>elc</v>
      </c>
    </row>
    <row r="300" spans="1:63" ht="14.5">
      <c r="A300" t="s">
        <v>118</v>
      </c>
      <c r="B300" t="s">
        <v>62</v>
      </c>
      <c r="C300" t="s">
        <v>97</v>
      </c>
      <c r="D300" t="s">
        <v>111</v>
      </c>
      <c r="E300" t="s">
        <v>111</v>
      </c>
      <c r="F300" t="s">
        <v>111</v>
      </c>
      <c r="G300" t="s">
        <v>66</v>
      </c>
      <c r="H300" t="s">
        <v>111</v>
      </c>
      <c r="I300" t="s">
        <v>111</v>
      </c>
      <c r="J300" t="s">
        <v>111</v>
      </c>
      <c r="K300" t="s">
        <v>111</v>
      </c>
      <c r="L300">
        <v>0</v>
      </c>
      <c r="M300">
        <v>0</v>
      </c>
      <c r="N300">
        <v>0.0012635805787101914</v>
      </c>
      <c r="O300">
        <v>0.0025271611574203827</v>
      </c>
      <c r="P300">
        <v>0</v>
      </c>
      <c r="Q300">
        <v>0.013478192839575376</v>
      </c>
      <c r="R300">
        <v>0.00067390964197876885</v>
      </c>
      <c r="S300">
        <v>0.21902063364309987</v>
      </c>
      <c r="T300">
        <v>0</v>
      </c>
      <c r="U300">
        <v>0</v>
      </c>
      <c r="V300">
        <v>0.012635805787101915</v>
      </c>
      <c r="W300">
        <v>0.01684774104946922</v>
      </c>
      <c r="X300">
        <v>0.00025271611574203829</v>
      </c>
      <c r="Y300">
        <v>0</v>
      </c>
      <c r="Z300">
        <v>0.00067390964197876885</v>
      </c>
      <c r="AA300">
        <v>0.00067390964197876885</v>
      </c>
      <c r="AB300">
        <v>0</v>
      </c>
      <c r="AC300">
        <v>0.0021059676311836525</v>
      </c>
      <c r="AD300">
        <v>0.0050543223148407654</v>
      </c>
      <c r="AE300">
        <v>2.5271611574203829E-05</v>
      </c>
      <c r="AF300">
        <v>0.00067390964197876885</v>
      </c>
      <c r="AG300">
        <v>0.09026177267253134</v>
      </c>
      <c r="AH300">
        <v>0.01684774104946922</v>
      </c>
      <c r="AI300">
        <v>0.00067390964197876885</v>
      </c>
      <c r="AJ300">
        <v>0.004885844904346074</v>
      </c>
      <c r="AK300">
        <v>0</v>
      </c>
      <c r="AL300">
        <v>0</v>
      </c>
      <c r="AM300">
        <v>4.2119352623673053E-05</v>
      </c>
      <c r="AN300">
        <v>0.0029483546836571138</v>
      </c>
      <c r="AO300">
        <v>0.0098559285139394933</v>
      </c>
      <c r="AP300">
        <v>0.0029483546836571138</v>
      </c>
      <c r="AQ300">
        <v>0.00025271611574203829</v>
      </c>
      <c r="AR300">
        <v>0.010951031682154994</v>
      </c>
      <c r="AS300">
        <v>0</v>
      </c>
      <c r="AT300">
        <v>0</v>
      </c>
      <c r="AU300" t="s">
        <v>111</v>
      </c>
      <c r="BJ300" t="str">
        <f t="shared" si="8"/>
        <v>car</v>
      </c>
      <c r="BK300" t="str">
        <f t="shared" si="9"/>
        <v>elc</v>
      </c>
    </row>
    <row r="301" spans="1:63" ht="14.5">
      <c r="A301" t="s">
        <v>118</v>
      </c>
      <c r="B301" t="s">
        <v>62</v>
      </c>
      <c r="C301" t="s">
        <v>97</v>
      </c>
      <c r="D301" t="s">
        <v>111</v>
      </c>
      <c r="E301" t="s">
        <v>111</v>
      </c>
      <c r="F301" t="s">
        <v>111</v>
      </c>
      <c r="G301" t="s">
        <v>65</v>
      </c>
      <c r="H301" t="s">
        <v>111</v>
      </c>
      <c r="I301" t="s">
        <v>111</v>
      </c>
      <c r="J301" t="s">
        <v>111</v>
      </c>
      <c r="K301" t="s">
        <v>111</v>
      </c>
      <c r="L301">
        <v>0</v>
      </c>
      <c r="M301">
        <v>0</v>
      </c>
      <c r="N301">
        <v>0.0012635805787101914</v>
      </c>
      <c r="O301">
        <v>0.0025271611574203827</v>
      </c>
      <c r="P301">
        <v>0</v>
      </c>
      <c r="Q301">
        <v>0.013478192839575376</v>
      </c>
      <c r="R301">
        <v>0.00067390964197876885</v>
      </c>
      <c r="S301">
        <v>0.21902063364309987</v>
      </c>
      <c r="T301">
        <v>0</v>
      </c>
      <c r="U301">
        <v>0</v>
      </c>
      <c r="V301">
        <v>0.012635805787101915</v>
      </c>
      <c r="W301">
        <v>0.01684774104946922</v>
      </c>
      <c r="X301">
        <v>0.00025271611574203829</v>
      </c>
      <c r="Y301">
        <v>0</v>
      </c>
      <c r="Z301">
        <v>0.00067390964197876885</v>
      </c>
      <c r="AA301">
        <v>0.00067390964197876885</v>
      </c>
      <c r="AB301">
        <v>0</v>
      </c>
      <c r="AC301">
        <v>0.0021059676311836525</v>
      </c>
      <c r="AD301">
        <v>0.0050543223148407654</v>
      </c>
      <c r="AE301">
        <v>2.5271611574203829E-05</v>
      </c>
      <c r="AF301">
        <v>0.00067390964197876885</v>
      </c>
      <c r="AG301">
        <v>0.09026177267253134</v>
      </c>
      <c r="AH301">
        <v>0.01684774104946922</v>
      </c>
      <c r="AI301">
        <v>0.00067390964197876885</v>
      </c>
      <c r="AJ301">
        <v>0.004885844904346074</v>
      </c>
      <c r="AK301">
        <v>0</v>
      </c>
      <c r="AL301">
        <v>0</v>
      </c>
      <c r="AM301">
        <v>4.2119352623673053E-05</v>
      </c>
      <c r="AN301">
        <v>0.0029483546836571138</v>
      </c>
      <c r="AO301">
        <v>0.0098559285139394933</v>
      </c>
      <c r="AP301">
        <v>0.0029483546836571138</v>
      </c>
      <c r="AQ301">
        <v>0.00025271611574203829</v>
      </c>
      <c r="AR301">
        <v>0.010951031682154994</v>
      </c>
      <c r="AS301">
        <v>0</v>
      </c>
      <c r="AT301">
        <v>0</v>
      </c>
      <c r="AU301" t="s">
        <v>111</v>
      </c>
      <c r="BJ301" t="str">
        <f t="shared" si="8"/>
        <v>car</v>
      </c>
      <c r="BK301" t="str">
        <f t="shared" si="9"/>
        <v>elc</v>
      </c>
    </row>
    <row r="302" spans="1:63" ht="14.5">
      <c r="A302" t="s">
        <v>118</v>
      </c>
      <c r="B302" t="s">
        <v>62</v>
      </c>
      <c r="C302" t="s">
        <v>96</v>
      </c>
      <c r="D302" t="s">
        <v>111</v>
      </c>
      <c r="E302" t="s">
        <v>111</v>
      </c>
      <c r="F302" t="s">
        <v>111</v>
      </c>
      <c r="G302" t="s">
        <v>61</v>
      </c>
      <c r="H302" t="s">
        <v>111</v>
      </c>
      <c r="I302" t="s">
        <v>111</v>
      </c>
      <c r="J302" t="s">
        <v>111</v>
      </c>
      <c r="K302" t="s">
        <v>111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 t="s">
        <v>111</v>
      </c>
      <c r="BJ302" t="str">
        <f t="shared" si="8"/>
        <v>car</v>
      </c>
      <c r="BK302" t="str">
        <f t="shared" si="9"/>
        <v>eth</v>
      </c>
    </row>
    <row r="303" spans="1:63" ht="14.5">
      <c r="A303" t="s">
        <v>118</v>
      </c>
      <c r="B303" t="s">
        <v>62</v>
      </c>
      <c r="C303" t="s">
        <v>96</v>
      </c>
      <c r="D303" t="s">
        <v>111</v>
      </c>
      <c r="E303" t="s">
        <v>111</v>
      </c>
      <c r="F303" t="s">
        <v>111</v>
      </c>
      <c r="G303" t="s">
        <v>83</v>
      </c>
      <c r="H303" t="s">
        <v>111</v>
      </c>
      <c r="I303" t="s">
        <v>111</v>
      </c>
      <c r="J303" t="s">
        <v>111</v>
      </c>
      <c r="K303" t="s">
        <v>111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 t="s">
        <v>111</v>
      </c>
      <c r="BJ303" t="str">
        <f t="shared" si="8"/>
        <v>car</v>
      </c>
      <c r="BK303" t="str">
        <f t="shared" si="9"/>
        <v>eth</v>
      </c>
    </row>
    <row r="304" spans="1:63" ht="14.5">
      <c r="A304" t="s">
        <v>118</v>
      </c>
      <c r="B304" t="s">
        <v>62</v>
      </c>
      <c r="C304" t="s">
        <v>96</v>
      </c>
      <c r="D304" t="s">
        <v>111</v>
      </c>
      <c r="E304" t="s">
        <v>111</v>
      </c>
      <c r="F304" t="s">
        <v>111</v>
      </c>
      <c r="G304" t="s">
        <v>82</v>
      </c>
      <c r="H304" t="s">
        <v>111</v>
      </c>
      <c r="I304" t="s">
        <v>111</v>
      </c>
      <c r="J304" t="s">
        <v>111</v>
      </c>
      <c r="K304" t="s">
        <v>111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 t="s">
        <v>111</v>
      </c>
      <c r="BJ304" t="str">
        <f t="shared" si="8"/>
        <v>car</v>
      </c>
      <c r="BK304" t="str">
        <f t="shared" si="9"/>
        <v>eth</v>
      </c>
    </row>
    <row r="305" spans="1:63" ht="14.5">
      <c r="A305" t="s">
        <v>118</v>
      </c>
      <c r="B305" t="s">
        <v>62</v>
      </c>
      <c r="C305" t="s">
        <v>96</v>
      </c>
      <c r="D305" t="s">
        <v>111</v>
      </c>
      <c r="E305" t="s">
        <v>111</v>
      </c>
      <c r="F305" t="s">
        <v>111</v>
      </c>
      <c r="G305" t="s">
        <v>81</v>
      </c>
      <c r="H305" t="s">
        <v>111</v>
      </c>
      <c r="I305" t="s">
        <v>111</v>
      </c>
      <c r="J305" t="s">
        <v>111</v>
      </c>
      <c r="K305" t="s">
        <v>111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 t="s">
        <v>111</v>
      </c>
      <c r="BJ305" t="str">
        <f t="shared" si="8"/>
        <v>car</v>
      </c>
      <c r="BK305" t="str">
        <f t="shared" si="9"/>
        <v>eth</v>
      </c>
    </row>
    <row r="306" spans="1:63" ht="14.5">
      <c r="A306" t="s">
        <v>118</v>
      </c>
      <c r="B306" t="s">
        <v>62</v>
      </c>
      <c r="C306" t="s">
        <v>96</v>
      </c>
      <c r="D306" t="s">
        <v>111</v>
      </c>
      <c r="E306" t="s">
        <v>111</v>
      </c>
      <c r="F306" t="s">
        <v>111</v>
      </c>
      <c r="G306" t="s">
        <v>80</v>
      </c>
      <c r="H306" t="s">
        <v>111</v>
      </c>
      <c r="I306" t="s">
        <v>111</v>
      </c>
      <c r="J306" t="s">
        <v>111</v>
      </c>
      <c r="K306" t="s">
        <v>111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 t="s">
        <v>111</v>
      </c>
      <c r="BJ306" t="str">
        <f t="shared" si="8"/>
        <v>car</v>
      </c>
      <c r="BK306" t="str">
        <f t="shared" si="9"/>
        <v>eth</v>
      </c>
    </row>
    <row r="307" spans="1:63" ht="14.5">
      <c r="A307" t="s">
        <v>118</v>
      </c>
      <c r="B307" t="s">
        <v>62</v>
      </c>
      <c r="C307" t="s">
        <v>96</v>
      </c>
      <c r="D307" t="s">
        <v>111</v>
      </c>
      <c r="E307" t="s">
        <v>111</v>
      </c>
      <c r="F307" t="s">
        <v>111</v>
      </c>
      <c r="G307" t="s">
        <v>79</v>
      </c>
      <c r="H307" t="s">
        <v>111</v>
      </c>
      <c r="I307" t="s">
        <v>111</v>
      </c>
      <c r="J307" t="s">
        <v>111</v>
      </c>
      <c r="K307" t="s">
        <v>111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 t="s">
        <v>111</v>
      </c>
      <c r="BJ307" t="str">
        <f t="shared" si="8"/>
        <v>car</v>
      </c>
      <c r="BK307" t="str">
        <f t="shared" si="9"/>
        <v>eth</v>
      </c>
    </row>
    <row r="308" spans="1:63" ht="14.5">
      <c r="A308" t="s">
        <v>118</v>
      </c>
      <c r="B308" t="s">
        <v>62</v>
      </c>
      <c r="C308" t="s">
        <v>96</v>
      </c>
      <c r="D308" t="s">
        <v>111</v>
      </c>
      <c r="E308" t="s">
        <v>111</v>
      </c>
      <c r="F308" t="s">
        <v>111</v>
      </c>
      <c r="G308" t="s">
        <v>78</v>
      </c>
      <c r="H308" t="s">
        <v>111</v>
      </c>
      <c r="I308" t="s">
        <v>111</v>
      </c>
      <c r="J308" t="s">
        <v>111</v>
      </c>
      <c r="K308" t="s">
        <v>111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 t="s">
        <v>111</v>
      </c>
      <c r="BJ308" t="str">
        <f t="shared" si="8"/>
        <v>car</v>
      </c>
      <c r="BK308" t="str">
        <f t="shared" si="9"/>
        <v>eth</v>
      </c>
    </row>
    <row r="309" spans="1:63" ht="14.5">
      <c r="A309" t="s">
        <v>118</v>
      </c>
      <c r="B309" t="s">
        <v>62</v>
      </c>
      <c r="C309" t="s">
        <v>96</v>
      </c>
      <c r="D309" t="s">
        <v>111</v>
      </c>
      <c r="E309" t="s">
        <v>111</v>
      </c>
      <c r="F309" t="s">
        <v>111</v>
      </c>
      <c r="G309" t="s">
        <v>77</v>
      </c>
      <c r="H309" t="s">
        <v>111</v>
      </c>
      <c r="I309" t="s">
        <v>111</v>
      </c>
      <c r="J309" t="s">
        <v>111</v>
      </c>
      <c r="K309" t="s">
        <v>111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 t="s">
        <v>111</v>
      </c>
      <c r="BJ309" t="str">
        <f t="shared" si="8"/>
        <v>car</v>
      </c>
      <c r="BK309" t="str">
        <f t="shared" si="9"/>
        <v>eth</v>
      </c>
    </row>
    <row r="310" spans="1:63" ht="14.5">
      <c r="A310" t="s">
        <v>118</v>
      </c>
      <c r="B310" t="s">
        <v>62</v>
      </c>
      <c r="C310" t="s">
        <v>96</v>
      </c>
      <c r="D310" t="s">
        <v>111</v>
      </c>
      <c r="E310" t="s">
        <v>111</v>
      </c>
      <c r="F310" t="s">
        <v>111</v>
      </c>
      <c r="G310" t="s">
        <v>76</v>
      </c>
      <c r="H310" t="s">
        <v>111</v>
      </c>
      <c r="I310" t="s">
        <v>111</v>
      </c>
      <c r="J310" t="s">
        <v>111</v>
      </c>
      <c r="K310" t="s">
        <v>111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 t="s">
        <v>111</v>
      </c>
      <c r="BJ310" t="str">
        <f t="shared" si="8"/>
        <v>car</v>
      </c>
      <c r="BK310" t="str">
        <f t="shared" si="9"/>
        <v>eth</v>
      </c>
    </row>
    <row r="311" spans="1:63" ht="14.5">
      <c r="A311" t="s">
        <v>118</v>
      </c>
      <c r="B311" t="s">
        <v>62</v>
      </c>
      <c r="C311" t="s">
        <v>96</v>
      </c>
      <c r="D311" t="s">
        <v>111</v>
      </c>
      <c r="E311" t="s">
        <v>111</v>
      </c>
      <c r="F311" t="s">
        <v>111</v>
      </c>
      <c r="G311" t="s">
        <v>75</v>
      </c>
      <c r="H311" t="s">
        <v>111</v>
      </c>
      <c r="I311" t="s">
        <v>111</v>
      </c>
      <c r="J311" t="s">
        <v>111</v>
      </c>
      <c r="K311" t="s">
        <v>111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 t="s">
        <v>111</v>
      </c>
      <c r="BJ311" t="str">
        <f t="shared" si="8"/>
        <v>car</v>
      </c>
      <c r="BK311" t="str">
        <f t="shared" si="9"/>
        <v>eth</v>
      </c>
    </row>
    <row r="312" spans="1:63" ht="14.5">
      <c r="A312" t="s">
        <v>118</v>
      </c>
      <c r="B312" t="s">
        <v>62</v>
      </c>
      <c r="C312" t="s">
        <v>96</v>
      </c>
      <c r="D312" t="s">
        <v>111</v>
      </c>
      <c r="E312" t="s">
        <v>111</v>
      </c>
      <c r="F312" t="s">
        <v>111</v>
      </c>
      <c r="G312" t="s">
        <v>74</v>
      </c>
      <c r="H312" t="s">
        <v>111</v>
      </c>
      <c r="I312" t="s">
        <v>111</v>
      </c>
      <c r="J312" t="s">
        <v>111</v>
      </c>
      <c r="K312" t="s">
        <v>111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 t="s">
        <v>111</v>
      </c>
      <c r="BJ312" t="str">
        <f t="shared" si="8"/>
        <v>car</v>
      </c>
      <c r="BK312" t="str">
        <f t="shared" si="9"/>
        <v>eth</v>
      </c>
    </row>
    <row r="313" spans="1:63" ht="14.5">
      <c r="A313" t="s">
        <v>118</v>
      </c>
      <c r="B313" t="s">
        <v>62</v>
      </c>
      <c r="C313" t="s">
        <v>96</v>
      </c>
      <c r="D313" t="s">
        <v>111</v>
      </c>
      <c r="E313" t="s">
        <v>111</v>
      </c>
      <c r="F313" t="s">
        <v>111</v>
      </c>
      <c r="G313" t="s">
        <v>73</v>
      </c>
      <c r="H313" t="s">
        <v>111</v>
      </c>
      <c r="I313" t="s">
        <v>111</v>
      </c>
      <c r="J313" t="s">
        <v>111</v>
      </c>
      <c r="K313" t="s">
        <v>111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 t="s">
        <v>111</v>
      </c>
      <c r="BJ313" t="str">
        <f t="shared" si="8"/>
        <v>car</v>
      </c>
      <c r="BK313" t="str">
        <f t="shared" si="9"/>
        <v>eth</v>
      </c>
    </row>
    <row r="314" spans="1:63" ht="14.5">
      <c r="A314" t="s">
        <v>118</v>
      </c>
      <c r="B314" t="s">
        <v>62</v>
      </c>
      <c r="C314" t="s">
        <v>96</v>
      </c>
      <c r="D314" t="s">
        <v>111</v>
      </c>
      <c r="E314" t="s">
        <v>111</v>
      </c>
      <c r="F314" t="s">
        <v>111</v>
      </c>
      <c r="G314" t="s">
        <v>72</v>
      </c>
      <c r="H314" t="s">
        <v>111</v>
      </c>
      <c r="I314" t="s">
        <v>111</v>
      </c>
      <c r="J314" t="s">
        <v>111</v>
      </c>
      <c r="K314" t="s">
        <v>111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 t="s">
        <v>111</v>
      </c>
      <c r="BJ314" t="str">
        <f t="shared" si="8"/>
        <v>car</v>
      </c>
      <c r="BK314" t="str">
        <f t="shared" si="9"/>
        <v>eth</v>
      </c>
    </row>
    <row r="315" spans="1:63" ht="14.5">
      <c r="A315" t="s">
        <v>118</v>
      </c>
      <c r="B315" t="s">
        <v>62</v>
      </c>
      <c r="C315" t="s">
        <v>96</v>
      </c>
      <c r="D315" t="s">
        <v>111</v>
      </c>
      <c r="E315" t="s">
        <v>111</v>
      </c>
      <c r="F315" t="s">
        <v>111</v>
      </c>
      <c r="G315" t="s">
        <v>71</v>
      </c>
      <c r="H315" t="s">
        <v>111</v>
      </c>
      <c r="I315" t="s">
        <v>111</v>
      </c>
      <c r="J315" t="s">
        <v>111</v>
      </c>
      <c r="K315" t="s">
        <v>111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 t="s">
        <v>111</v>
      </c>
      <c r="BJ315" t="str">
        <f t="shared" si="8"/>
        <v>car</v>
      </c>
      <c r="BK315" t="str">
        <f t="shared" si="9"/>
        <v>eth</v>
      </c>
    </row>
    <row r="316" spans="1:63" ht="14.5">
      <c r="A316" t="s">
        <v>118</v>
      </c>
      <c r="B316" t="s">
        <v>62</v>
      </c>
      <c r="C316" t="s">
        <v>96</v>
      </c>
      <c r="D316" t="s">
        <v>111</v>
      </c>
      <c r="E316" t="s">
        <v>111</v>
      </c>
      <c r="F316" t="s">
        <v>111</v>
      </c>
      <c r="G316" t="s">
        <v>70</v>
      </c>
      <c r="H316" t="s">
        <v>111</v>
      </c>
      <c r="I316" t="s">
        <v>111</v>
      </c>
      <c r="J316" t="s">
        <v>111</v>
      </c>
      <c r="K316" t="s">
        <v>111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 t="s">
        <v>111</v>
      </c>
      <c r="BJ316" t="str">
        <f t="shared" si="8"/>
        <v>car</v>
      </c>
      <c r="BK316" t="str">
        <f t="shared" si="9"/>
        <v>eth</v>
      </c>
    </row>
    <row r="317" spans="1:63" ht="14.5">
      <c r="A317" t="s">
        <v>118</v>
      </c>
      <c r="B317" t="s">
        <v>62</v>
      </c>
      <c r="C317" t="s">
        <v>96</v>
      </c>
      <c r="D317" t="s">
        <v>111</v>
      </c>
      <c r="E317" t="s">
        <v>111</v>
      </c>
      <c r="F317" t="s">
        <v>111</v>
      </c>
      <c r="G317" t="s">
        <v>69</v>
      </c>
      <c r="H317" t="s">
        <v>111</v>
      </c>
      <c r="I317" t="s">
        <v>111</v>
      </c>
      <c r="J317" t="s">
        <v>111</v>
      </c>
      <c r="K317" t="s">
        <v>111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 t="s">
        <v>111</v>
      </c>
      <c r="BJ317" t="str">
        <f t="shared" si="8"/>
        <v>car</v>
      </c>
      <c r="BK317" t="str">
        <f t="shared" si="9"/>
        <v>eth</v>
      </c>
    </row>
    <row r="318" spans="1:63" ht="14.5">
      <c r="A318" t="s">
        <v>118</v>
      </c>
      <c r="B318" t="s">
        <v>62</v>
      </c>
      <c r="C318" t="s">
        <v>96</v>
      </c>
      <c r="D318" t="s">
        <v>111</v>
      </c>
      <c r="E318" t="s">
        <v>111</v>
      </c>
      <c r="F318" t="s">
        <v>111</v>
      </c>
      <c r="G318" t="s">
        <v>68</v>
      </c>
      <c r="H318" t="s">
        <v>111</v>
      </c>
      <c r="I318" t="s">
        <v>111</v>
      </c>
      <c r="J318" t="s">
        <v>111</v>
      </c>
      <c r="K318" t="s">
        <v>111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 t="s">
        <v>111</v>
      </c>
      <c r="BJ318" t="str">
        <f t="shared" si="8"/>
        <v>car</v>
      </c>
      <c r="BK318" t="str">
        <f t="shared" si="9"/>
        <v>eth</v>
      </c>
    </row>
    <row r="319" spans="1:63" ht="14.5">
      <c r="A319" t="s">
        <v>118</v>
      </c>
      <c r="B319" t="s">
        <v>62</v>
      </c>
      <c r="C319" t="s">
        <v>96</v>
      </c>
      <c r="D319" t="s">
        <v>111</v>
      </c>
      <c r="E319" t="s">
        <v>111</v>
      </c>
      <c r="F319" t="s">
        <v>111</v>
      </c>
      <c r="G319" t="s">
        <v>67</v>
      </c>
      <c r="H319" t="s">
        <v>111</v>
      </c>
      <c r="I319" t="s">
        <v>111</v>
      </c>
      <c r="J319" t="s">
        <v>111</v>
      </c>
      <c r="K319" t="s">
        <v>111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 t="s">
        <v>111</v>
      </c>
      <c r="BJ319" t="str">
        <f t="shared" si="8"/>
        <v>car</v>
      </c>
      <c r="BK319" t="str">
        <f t="shared" si="9"/>
        <v>eth</v>
      </c>
    </row>
    <row r="320" spans="1:63" ht="14.5">
      <c r="A320" t="s">
        <v>118</v>
      </c>
      <c r="B320" t="s">
        <v>62</v>
      </c>
      <c r="C320" t="s">
        <v>96</v>
      </c>
      <c r="D320" t="s">
        <v>111</v>
      </c>
      <c r="E320" t="s">
        <v>111</v>
      </c>
      <c r="F320" t="s">
        <v>111</v>
      </c>
      <c r="G320" t="s">
        <v>66</v>
      </c>
      <c r="H320" t="s">
        <v>111</v>
      </c>
      <c r="I320" t="s">
        <v>111</v>
      </c>
      <c r="J320" t="s">
        <v>111</v>
      </c>
      <c r="K320" t="s">
        <v>111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 t="s">
        <v>111</v>
      </c>
      <c r="BJ320" t="str">
        <f t="shared" si="8"/>
        <v>car</v>
      </c>
      <c r="BK320" t="str">
        <f t="shared" si="9"/>
        <v>eth</v>
      </c>
    </row>
    <row r="321" spans="1:63" ht="14.5">
      <c r="A321" t="s">
        <v>118</v>
      </c>
      <c r="B321" t="s">
        <v>62</v>
      </c>
      <c r="C321" t="s">
        <v>96</v>
      </c>
      <c r="D321" t="s">
        <v>111</v>
      </c>
      <c r="E321" t="s">
        <v>111</v>
      </c>
      <c r="F321" t="s">
        <v>111</v>
      </c>
      <c r="G321" t="s">
        <v>65</v>
      </c>
      <c r="H321" t="s">
        <v>111</v>
      </c>
      <c r="I321" t="s">
        <v>111</v>
      </c>
      <c r="J321" t="s">
        <v>111</v>
      </c>
      <c r="K321" t="s">
        <v>111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 t="s">
        <v>111</v>
      </c>
      <c r="BJ321" t="str">
        <f t="shared" si="8"/>
        <v>car</v>
      </c>
      <c r="BK321" t="str">
        <f t="shared" si="9"/>
        <v>eth</v>
      </c>
    </row>
    <row r="322" spans="1:63" ht="14.5">
      <c r="A322" t="s">
        <v>118</v>
      </c>
      <c r="B322" t="s">
        <v>62</v>
      </c>
      <c r="C322" t="s">
        <v>95</v>
      </c>
      <c r="D322" t="s">
        <v>111</v>
      </c>
      <c r="E322" t="s">
        <v>111</v>
      </c>
      <c r="F322" t="s">
        <v>111</v>
      </c>
      <c r="G322" t="s">
        <v>61</v>
      </c>
      <c r="H322" t="s">
        <v>111</v>
      </c>
      <c r="I322" t="s">
        <v>111</v>
      </c>
      <c r="J322" t="s">
        <v>111</v>
      </c>
      <c r="K322" t="s">
        <v>111</v>
      </c>
      <c r="L322">
        <v>1.2877570871161799</v>
      </c>
      <c r="M322">
        <v>2.2362006694960495</v>
      </c>
      <c r="N322">
        <v>1.6416438878602808</v>
      </c>
      <c r="O322">
        <v>0.217588575653895</v>
      </c>
      <c r="P322">
        <v>0.064863803040456497</v>
      </c>
      <c r="Q322">
        <v>0.84171314283148224</v>
      </c>
      <c r="R322">
        <v>2.5917722443450972</v>
      </c>
      <c r="S322">
        <v>23.857833384037619</v>
      </c>
      <c r="T322">
        <v>0.10841521365333442</v>
      </c>
      <c r="U322">
        <v>0.25709652841490027</v>
      </c>
      <c r="V322">
        <v>1.0339458682059259</v>
      </c>
      <c r="W322">
        <v>2.2702331064159771</v>
      </c>
      <c r="X322">
        <v>0.35506614261756381</v>
      </c>
      <c r="Y322">
        <v>0.40072352086162538</v>
      </c>
      <c r="Z322">
        <v>0.016426547523232488</v>
      </c>
      <c r="AA322">
        <v>2.1966927167350443</v>
      </c>
      <c r="AB322">
        <v>0.10125492370731001</v>
      </c>
      <c r="AC322">
        <v>1.0256904750916862</v>
      </c>
      <c r="AD322">
        <v>4.5956425647689665</v>
      </c>
      <c r="AE322">
        <v>4.927964256969747</v>
      </c>
      <c r="AF322">
        <v>5.2417534340161112</v>
      </c>
      <c r="AG322">
        <v>19.169780959612314</v>
      </c>
      <c r="AH322">
        <v>0.087608253457239951</v>
      </c>
      <c r="AI322">
        <v>0.56069282212633564</v>
      </c>
      <c r="AJ322">
        <v>8.1387225074723428</v>
      </c>
      <c r="AK322">
        <v>3.4718982367693698</v>
      </c>
      <c r="AL322">
        <v>2.264504874459158</v>
      </c>
      <c r="AM322">
        <v>0.56962212488255426</v>
      </c>
      <c r="AN322">
        <v>0.85182178746116377</v>
      </c>
      <c r="AO322">
        <v>0.59742089761417849</v>
      </c>
      <c r="AP322">
        <v>0.31378917704636422</v>
      </c>
      <c r="AQ322">
        <v>0.22062116904279946</v>
      </c>
      <c r="AR322">
        <v>1.6192363922644868</v>
      </c>
      <c r="AS322">
        <v>0.17311053928329626</v>
      </c>
      <c r="AT322">
        <v>0.11287986503144377</v>
      </c>
      <c r="AU322" t="s">
        <v>111</v>
      </c>
      <c r="BJ322" t="str">
        <f t="shared" si="8"/>
        <v>car</v>
      </c>
      <c r="BK322" t="str">
        <f t="shared" si="9"/>
        <v>gsl</v>
      </c>
    </row>
    <row r="323" spans="1:63" ht="14.5">
      <c r="A323" t="s">
        <v>118</v>
      </c>
      <c r="B323" t="s">
        <v>62</v>
      </c>
      <c r="C323" t="s">
        <v>95</v>
      </c>
      <c r="D323" t="s">
        <v>111</v>
      </c>
      <c r="E323" t="s">
        <v>111</v>
      </c>
      <c r="F323" t="s">
        <v>111</v>
      </c>
      <c r="G323" t="s">
        <v>83</v>
      </c>
      <c r="H323" t="s">
        <v>111</v>
      </c>
      <c r="I323" t="s">
        <v>111</v>
      </c>
      <c r="J323" t="s">
        <v>111</v>
      </c>
      <c r="K323" t="s">
        <v>111</v>
      </c>
      <c r="L323">
        <v>1.2877570871161799</v>
      </c>
      <c r="M323">
        <v>2.2362006694960495</v>
      </c>
      <c r="N323">
        <v>1.6416438878602808</v>
      </c>
      <c r="O323">
        <v>0.217588575653895</v>
      </c>
      <c r="P323">
        <v>0.064863803040456497</v>
      </c>
      <c r="Q323">
        <v>0.84171314283148224</v>
      </c>
      <c r="R323">
        <v>2.5917722443450972</v>
      </c>
      <c r="S323">
        <v>23.857833384037619</v>
      </c>
      <c r="T323">
        <v>0.10841521365333442</v>
      </c>
      <c r="U323">
        <v>0.25709652841490027</v>
      </c>
      <c r="V323">
        <v>1.0339458682059259</v>
      </c>
      <c r="W323">
        <v>2.2702331064159771</v>
      </c>
      <c r="X323">
        <v>0.35506614261756381</v>
      </c>
      <c r="Y323">
        <v>0.40072352086162538</v>
      </c>
      <c r="Z323">
        <v>0.016426547523232488</v>
      </c>
      <c r="AA323">
        <v>2.1966927167350443</v>
      </c>
      <c r="AB323">
        <v>0.10125492370731001</v>
      </c>
      <c r="AC323">
        <v>1.0256904750916862</v>
      </c>
      <c r="AD323">
        <v>4.5956425647689665</v>
      </c>
      <c r="AE323">
        <v>4.927964256969747</v>
      </c>
      <c r="AF323">
        <v>5.2417534340161112</v>
      </c>
      <c r="AG323">
        <v>19.169780959612314</v>
      </c>
      <c r="AH323">
        <v>0.087608253457239951</v>
      </c>
      <c r="AI323">
        <v>0.56069282212633564</v>
      </c>
      <c r="AJ323">
        <v>8.1387225074723428</v>
      </c>
      <c r="AK323">
        <v>3.4718982367693698</v>
      </c>
      <c r="AL323">
        <v>2.264504874459158</v>
      </c>
      <c r="AM323">
        <v>0.56962212488255426</v>
      </c>
      <c r="AN323">
        <v>0.85182178746116377</v>
      </c>
      <c r="AO323">
        <v>0.59742089761417849</v>
      </c>
      <c r="AP323">
        <v>0.31378917704636422</v>
      </c>
      <c r="AQ323">
        <v>0.22062116904279946</v>
      </c>
      <c r="AR323">
        <v>1.6192363922644868</v>
      </c>
      <c r="AS323">
        <v>0.17311053928329626</v>
      </c>
      <c r="AT323">
        <v>0.11287986503144377</v>
      </c>
      <c r="AU323" t="s">
        <v>111</v>
      </c>
      <c r="BJ323" t="str">
        <f t="shared" si="10" ref="BJ323:BJ386">MID(C323,5,3)</f>
        <v>car</v>
      </c>
      <c r="BK323" t="str">
        <f t="shared" si="11" ref="BK323:BK386">RIGHT(C323,3)</f>
        <v>gsl</v>
      </c>
    </row>
    <row r="324" spans="1:63" ht="14.5">
      <c r="A324" t="s">
        <v>118</v>
      </c>
      <c r="B324" t="s">
        <v>62</v>
      </c>
      <c r="C324" t="s">
        <v>95</v>
      </c>
      <c r="D324" t="s">
        <v>111</v>
      </c>
      <c r="E324" t="s">
        <v>111</v>
      </c>
      <c r="F324" t="s">
        <v>111</v>
      </c>
      <c r="G324" t="s">
        <v>82</v>
      </c>
      <c r="H324" t="s">
        <v>111</v>
      </c>
      <c r="I324" t="s">
        <v>111</v>
      </c>
      <c r="J324" t="s">
        <v>111</v>
      </c>
      <c r="K324" t="s">
        <v>111</v>
      </c>
      <c r="L324">
        <v>1.2877570871161799</v>
      </c>
      <c r="M324">
        <v>2.2362006694960495</v>
      </c>
      <c r="N324">
        <v>1.6416438878602808</v>
      </c>
      <c r="O324">
        <v>0.217588575653895</v>
      </c>
      <c r="P324">
        <v>0.064863803040456497</v>
      </c>
      <c r="Q324">
        <v>0.84171314283148224</v>
      </c>
      <c r="R324">
        <v>2.5917722443450972</v>
      </c>
      <c r="S324">
        <v>23.857833384037619</v>
      </c>
      <c r="T324">
        <v>0.10841521365333442</v>
      </c>
      <c r="U324">
        <v>0.25709652841490027</v>
      </c>
      <c r="V324">
        <v>1.0339458682059259</v>
      </c>
      <c r="W324">
        <v>2.2702331064159771</v>
      </c>
      <c r="X324">
        <v>0.35506614261756381</v>
      </c>
      <c r="Y324">
        <v>0.40072352086162538</v>
      </c>
      <c r="Z324">
        <v>0.016426547523232488</v>
      </c>
      <c r="AA324">
        <v>2.1966927167350443</v>
      </c>
      <c r="AB324">
        <v>0.10125492370731001</v>
      </c>
      <c r="AC324">
        <v>1.0256904750916862</v>
      </c>
      <c r="AD324">
        <v>4.5956425647689665</v>
      </c>
      <c r="AE324">
        <v>4.927964256969747</v>
      </c>
      <c r="AF324">
        <v>5.2417534340161112</v>
      </c>
      <c r="AG324">
        <v>19.169780959612314</v>
      </c>
      <c r="AH324">
        <v>0.087608253457239951</v>
      </c>
      <c r="AI324">
        <v>0.56069282212633564</v>
      </c>
      <c r="AJ324">
        <v>8.1387225074723428</v>
      </c>
      <c r="AK324">
        <v>3.4718982367693698</v>
      </c>
      <c r="AL324">
        <v>2.264504874459158</v>
      </c>
      <c r="AM324">
        <v>0.56962212488255426</v>
      </c>
      <c r="AN324">
        <v>0.85182178746116377</v>
      </c>
      <c r="AO324">
        <v>0.59742089761417849</v>
      </c>
      <c r="AP324">
        <v>0.31378917704636422</v>
      </c>
      <c r="AQ324">
        <v>0.22062116904279946</v>
      </c>
      <c r="AR324">
        <v>1.6192363922644868</v>
      </c>
      <c r="AS324">
        <v>0.17311053928329626</v>
      </c>
      <c r="AT324">
        <v>0.11287986503144377</v>
      </c>
      <c r="AU324" t="s">
        <v>111</v>
      </c>
      <c r="BJ324" t="str">
        <f t="shared" si="10"/>
        <v>car</v>
      </c>
      <c r="BK324" t="str">
        <f t="shared" si="11"/>
        <v>gsl</v>
      </c>
    </row>
    <row r="325" spans="1:63" ht="14.5">
      <c r="A325" t="s">
        <v>118</v>
      </c>
      <c r="B325" t="s">
        <v>62</v>
      </c>
      <c r="C325" t="s">
        <v>95</v>
      </c>
      <c r="D325" t="s">
        <v>111</v>
      </c>
      <c r="E325" t="s">
        <v>111</v>
      </c>
      <c r="F325" t="s">
        <v>111</v>
      </c>
      <c r="G325" t="s">
        <v>81</v>
      </c>
      <c r="H325" t="s">
        <v>111</v>
      </c>
      <c r="I325" t="s">
        <v>111</v>
      </c>
      <c r="J325" t="s">
        <v>111</v>
      </c>
      <c r="K325" t="s">
        <v>111</v>
      </c>
      <c r="L325">
        <v>1.2877570871161799</v>
      </c>
      <c r="M325">
        <v>2.2362006694960495</v>
      </c>
      <c r="N325">
        <v>1.6416438878602808</v>
      </c>
      <c r="O325">
        <v>0.217588575653895</v>
      </c>
      <c r="P325">
        <v>0.064863803040456497</v>
      </c>
      <c r="Q325">
        <v>0.84171314283148224</v>
      </c>
      <c r="R325">
        <v>2.5917722443450972</v>
      </c>
      <c r="S325">
        <v>23.857833384037619</v>
      </c>
      <c r="T325">
        <v>0.10841521365333442</v>
      </c>
      <c r="U325">
        <v>0.25709652841490027</v>
      </c>
      <c r="V325">
        <v>1.0339458682059259</v>
      </c>
      <c r="W325">
        <v>2.2702331064159771</v>
      </c>
      <c r="X325">
        <v>0.35506614261756381</v>
      </c>
      <c r="Y325">
        <v>0.40072352086162538</v>
      </c>
      <c r="Z325">
        <v>0.016426547523232488</v>
      </c>
      <c r="AA325">
        <v>2.1966927167350443</v>
      </c>
      <c r="AB325">
        <v>0.10125492370731001</v>
      </c>
      <c r="AC325">
        <v>1.0256904750916862</v>
      </c>
      <c r="AD325">
        <v>4.5956425647689665</v>
      </c>
      <c r="AE325">
        <v>4.927964256969747</v>
      </c>
      <c r="AF325">
        <v>5.2417534340161112</v>
      </c>
      <c r="AG325">
        <v>19.169780959612314</v>
      </c>
      <c r="AH325">
        <v>0.087608253457239951</v>
      </c>
      <c r="AI325">
        <v>0.56069282212633564</v>
      </c>
      <c r="AJ325">
        <v>8.1387225074723428</v>
      </c>
      <c r="AK325">
        <v>3.4718982367693698</v>
      </c>
      <c r="AL325">
        <v>2.264504874459158</v>
      </c>
      <c r="AM325">
        <v>0.56962212488255426</v>
      </c>
      <c r="AN325">
        <v>0.85182178746116377</v>
      </c>
      <c r="AO325">
        <v>0.59742089761417849</v>
      </c>
      <c r="AP325">
        <v>0.31378917704636422</v>
      </c>
      <c r="AQ325">
        <v>0.22062116904279946</v>
      </c>
      <c r="AR325">
        <v>1.6192363922644868</v>
      </c>
      <c r="AS325">
        <v>0.17311053928329626</v>
      </c>
      <c r="AT325">
        <v>0.11287986503144377</v>
      </c>
      <c r="AU325" t="s">
        <v>111</v>
      </c>
      <c r="BJ325" t="str">
        <f t="shared" si="10"/>
        <v>car</v>
      </c>
      <c r="BK325" t="str">
        <f t="shared" si="11"/>
        <v>gsl</v>
      </c>
    </row>
    <row r="326" spans="1:63" ht="14.5">
      <c r="A326" t="s">
        <v>118</v>
      </c>
      <c r="B326" t="s">
        <v>62</v>
      </c>
      <c r="C326" t="s">
        <v>95</v>
      </c>
      <c r="D326" t="s">
        <v>111</v>
      </c>
      <c r="E326" t="s">
        <v>111</v>
      </c>
      <c r="F326" t="s">
        <v>111</v>
      </c>
      <c r="G326" t="s">
        <v>80</v>
      </c>
      <c r="H326" t="s">
        <v>111</v>
      </c>
      <c r="I326" t="s">
        <v>111</v>
      </c>
      <c r="J326" t="s">
        <v>111</v>
      </c>
      <c r="K326" t="s">
        <v>111</v>
      </c>
      <c r="L326">
        <v>1.2877570871161799</v>
      </c>
      <c r="M326">
        <v>2.2362006694960495</v>
      </c>
      <c r="N326">
        <v>1.6416438878602808</v>
      </c>
      <c r="O326">
        <v>0.217588575653895</v>
      </c>
      <c r="P326">
        <v>0.064863803040456497</v>
      </c>
      <c r="Q326">
        <v>0.84171314283148224</v>
      </c>
      <c r="R326">
        <v>2.5917722443450972</v>
      </c>
      <c r="S326">
        <v>23.857833384037619</v>
      </c>
      <c r="T326">
        <v>0.10841521365333442</v>
      </c>
      <c r="U326">
        <v>0.25709652841490027</v>
      </c>
      <c r="V326">
        <v>1.0339458682059259</v>
      </c>
      <c r="W326">
        <v>2.2702331064159771</v>
      </c>
      <c r="X326">
        <v>0.35506614261756381</v>
      </c>
      <c r="Y326">
        <v>0.40072352086162538</v>
      </c>
      <c r="Z326">
        <v>0.016426547523232488</v>
      </c>
      <c r="AA326">
        <v>2.1966927167350443</v>
      </c>
      <c r="AB326">
        <v>0.10125492370731001</v>
      </c>
      <c r="AC326">
        <v>1.0256904750916862</v>
      </c>
      <c r="AD326">
        <v>4.5956425647689665</v>
      </c>
      <c r="AE326">
        <v>4.927964256969747</v>
      </c>
      <c r="AF326">
        <v>5.2417534340161112</v>
      </c>
      <c r="AG326">
        <v>19.169780959612314</v>
      </c>
      <c r="AH326">
        <v>0.087608253457239951</v>
      </c>
      <c r="AI326">
        <v>0.56069282212633564</v>
      </c>
      <c r="AJ326">
        <v>8.1387225074723428</v>
      </c>
      <c r="AK326">
        <v>3.4718982367693698</v>
      </c>
      <c r="AL326">
        <v>2.264504874459158</v>
      </c>
      <c r="AM326">
        <v>0.56962212488255426</v>
      </c>
      <c r="AN326">
        <v>0.85182178746116377</v>
      </c>
      <c r="AO326">
        <v>0.59742089761417849</v>
      </c>
      <c r="AP326">
        <v>0.31378917704636422</v>
      </c>
      <c r="AQ326">
        <v>0.22062116904279946</v>
      </c>
      <c r="AR326">
        <v>1.6192363922644868</v>
      </c>
      <c r="AS326">
        <v>0.17311053928329626</v>
      </c>
      <c r="AT326">
        <v>0.11287986503144377</v>
      </c>
      <c r="AU326" t="s">
        <v>111</v>
      </c>
      <c r="BJ326" t="str">
        <f t="shared" si="10"/>
        <v>car</v>
      </c>
      <c r="BK326" t="str">
        <f t="shared" si="11"/>
        <v>gsl</v>
      </c>
    </row>
    <row r="327" spans="1:63" ht="14.5">
      <c r="A327" t="s">
        <v>118</v>
      </c>
      <c r="B327" t="s">
        <v>62</v>
      </c>
      <c r="C327" t="s">
        <v>95</v>
      </c>
      <c r="D327" t="s">
        <v>111</v>
      </c>
      <c r="E327" t="s">
        <v>111</v>
      </c>
      <c r="F327" t="s">
        <v>111</v>
      </c>
      <c r="G327" t="s">
        <v>79</v>
      </c>
      <c r="H327" t="s">
        <v>111</v>
      </c>
      <c r="I327" t="s">
        <v>111</v>
      </c>
      <c r="J327" t="s">
        <v>111</v>
      </c>
      <c r="K327" t="s">
        <v>111</v>
      </c>
      <c r="L327">
        <v>1.2877570871161799</v>
      </c>
      <c r="M327">
        <v>2.2362006694960495</v>
      </c>
      <c r="N327">
        <v>1.6416438878602808</v>
      </c>
      <c r="O327">
        <v>0.217588575653895</v>
      </c>
      <c r="P327">
        <v>0.064863803040456497</v>
      </c>
      <c r="Q327">
        <v>0.84171314283148224</v>
      </c>
      <c r="R327">
        <v>2.5917722443450972</v>
      </c>
      <c r="S327">
        <v>23.857833384037619</v>
      </c>
      <c r="T327">
        <v>0.10841521365333442</v>
      </c>
      <c r="U327">
        <v>0.25709652841490027</v>
      </c>
      <c r="V327">
        <v>1.0339458682059259</v>
      </c>
      <c r="W327">
        <v>2.2702331064159771</v>
      </c>
      <c r="X327">
        <v>0.35506614261756381</v>
      </c>
      <c r="Y327">
        <v>0.40072352086162538</v>
      </c>
      <c r="Z327">
        <v>0.016426547523232488</v>
      </c>
      <c r="AA327">
        <v>2.1966927167350443</v>
      </c>
      <c r="AB327">
        <v>0.10125492370731001</v>
      </c>
      <c r="AC327">
        <v>1.0256904750916862</v>
      </c>
      <c r="AD327">
        <v>4.5956425647689665</v>
      </c>
      <c r="AE327">
        <v>4.927964256969747</v>
      </c>
      <c r="AF327">
        <v>5.2417534340161112</v>
      </c>
      <c r="AG327">
        <v>19.169780959612314</v>
      </c>
      <c r="AH327">
        <v>0.087608253457239951</v>
      </c>
      <c r="AI327">
        <v>0.56069282212633564</v>
      </c>
      <c r="AJ327">
        <v>8.1387225074723428</v>
      </c>
      <c r="AK327">
        <v>3.4718982367693698</v>
      </c>
      <c r="AL327">
        <v>2.264504874459158</v>
      </c>
      <c r="AM327">
        <v>0.56962212488255426</v>
      </c>
      <c r="AN327">
        <v>0.85182178746116377</v>
      </c>
      <c r="AO327">
        <v>0.59742089761417849</v>
      </c>
      <c r="AP327">
        <v>0.31378917704636422</v>
      </c>
      <c r="AQ327">
        <v>0.22062116904279946</v>
      </c>
      <c r="AR327">
        <v>1.6192363922644868</v>
      </c>
      <c r="AS327">
        <v>0.17311053928329626</v>
      </c>
      <c r="AT327">
        <v>0.11287986503144377</v>
      </c>
      <c r="AU327" t="s">
        <v>111</v>
      </c>
      <c r="BJ327" t="str">
        <f t="shared" si="10"/>
        <v>car</v>
      </c>
      <c r="BK327" t="str">
        <f t="shared" si="11"/>
        <v>gsl</v>
      </c>
    </row>
    <row r="328" spans="1:63" ht="14.5">
      <c r="A328" t="s">
        <v>118</v>
      </c>
      <c r="B328" t="s">
        <v>62</v>
      </c>
      <c r="C328" t="s">
        <v>95</v>
      </c>
      <c r="D328" t="s">
        <v>111</v>
      </c>
      <c r="E328" t="s">
        <v>111</v>
      </c>
      <c r="F328" t="s">
        <v>111</v>
      </c>
      <c r="G328" t="s">
        <v>78</v>
      </c>
      <c r="H328" t="s">
        <v>111</v>
      </c>
      <c r="I328" t="s">
        <v>111</v>
      </c>
      <c r="J328" t="s">
        <v>111</v>
      </c>
      <c r="K328" t="s">
        <v>111</v>
      </c>
      <c r="L328">
        <v>1.2877570871161799</v>
      </c>
      <c r="M328">
        <v>2.2362006694960495</v>
      </c>
      <c r="N328">
        <v>1.6416438878602808</v>
      </c>
      <c r="O328">
        <v>0.217588575653895</v>
      </c>
      <c r="P328">
        <v>0.064863803040456497</v>
      </c>
      <c r="Q328">
        <v>0.84171314283148224</v>
      </c>
      <c r="R328">
        <v>2.5917722443450972</v>
      </c>
      <c r="S328">
        <v>23.857833384037619</v>
      </c>
      <c r="T328">
        <v>0.10841521365333442</v>
      </c>
      <c r="U328">
        <v>0.25709652841490027</v>
      </c>
      <c r="V328">
        <v>1.0339458682059259</v>
      </c>
      <c r="W328">
        <v>2.2702331064159771</v>
      </c>
      <c r="X328">
        <v>0.35506614261756381</v>
      </c>
      <c r="Y328">
        <v>0.40072352086162538</v>
      </c>
      <c r="Z328">
        <v>0.016426547523232488</v>
      </c>
      <c r="AA328">
        <v>2.1966927167350443</v>
      </c>
      <c r="AB328">
        <v>0.10125492370731001</v>
      </c>
      <c r="AC328">
        <v>1.0256904750916862</v>
      </c>
      <c r="AD328">
        <v>4.5956425647689665</v>
      </c>
      <c r="AE328">
        <v>4.927964256969747</v>
      </c>
      <c r="AF328">
        <v>5.2417534340161112</v>
      </c>
      <c r="AG328">
        <v>19.169780959612314</v>
      </c>
      <c r="AH328">
        <v>0.087608253457239951</v>
      </c>
      <c r="AI328">
        <v>0.56069282212633564</v>
      </c>
      <c r="AJ328">
        <v>8.1387225074723428</v>
      </c>
      <c r="AK328">
        <v>3.4718982367693698</v>
      </c>
      <c r="AL328">
        <v>2.264504874459158</v>
      </c>
      <c r="AM328">
        <v>0.56962212488255426</v>
      </c>
      <c r="AN328">
        <v>0.85182178746116377</v>
      </c>
      <c r="AO328">
        <v>0.59742089761417849</v>
      </c>
      <c r="AP328">
        <v>0.31378917704636422</v>
      </c>
      <c r="AQ328">
        <v>0.22062116904279946</v>
      </c>
      <c r="AR328">
        <v>1.6192363922644868</v>
      </c>
      <c r="AS328">
        <v>0.17311053928329626</v>
      </c>
      <c r="AT328">
        <v>0.11287986503144377</v>
      </c>
      <c r="AU328" t="s">
        <v>111</v>
      </c>
      <c r="BJ328" t="str">
        <f t="shared" si="10"/>
        <v>car</v>
      </c>
      <c r="BK328" t="str">
        <f t="shared" si="11"/>
        <v>gsl</v>
      </c>
    </row>
    <row r="329" spans="1:63" ht="14.5">
      <c r="A329" t="s">
        <v>118</v>
      </c>
      <c r="B329" t="s">
        <v>62</v>
      </c>
      <c r="C329" t="s">
        <v>95</v>
      </c>
      <c r="D329" t="s">
        <v>111</v>
      </c>
      <c r="E329" t="s">
        <v>111</v>
      </c>
      <c r="F329" t="s">
        <v>111</v>
      </c>
      <c r="G329" t="s">
        <v>77</v>
      </c>
      <c r="H329" t="s">
        <v>111</v>
      </c>
      <c r="I329" t="s">
        <v>111</v>
      </c>
      <c r="J329" t="s">
        <v>111</v>
      </c>
      <c r="K329" t="s">
        <v>111</v>
      </c>
      <c r="L329">
        <v>1.2877570871161799</v>
      </c>
      <c r="M329">
        <v>2.2362006694960495</v>
      </c>
      <c r="N329">
        <v>1.6416438878602808</v>
      </c>
      <c r="O329">
        <v>0.217588575653895</v>
      </c>
      <c r="P329">
        <v>0.064863803040456497</v>
      </c>
      <c r="Q329">
        <v>0.84171314283148224</v>
      </c>
      <c r="R329">
        <v>2.5917722443450972</v>
      </c>
      <c r="S329">
        <v>23.857833384037619</v>
      </c>
      <c r="T329">
        <v>0.10841521365333442</v>
      </c>
      <c r="U329">
        <v>0.25709652841490027</v>
      </c>
      <c r="V329">
        <v>1.0339458682059259</v>
      </c>
      <c r="W329">
        <v>2.2702331064159771</v>
      </c>
      <c r="X329">
        <v>0.35506614261756381</v>
      </c>
      <c r="Y329">
        <v>0.40072352086162538</v>
      </c>
      <c r="Z329">
        <v>0.016426547523232488</v>
      </c>
      <c r="AA329">
        <v>2.1966927167350443</v>
      </c>
      <c r="AB329">
        <v>0.10125492370731001</v>
      </c>
      <c r="AC329">
        <v>1.0256904750916862</v>
      </c>
      <c r="AD329">
        <v>4.5956425647689665</v>
      </c>
      <c r="AE329">
        <v>4.927964256969747</v>
      </c>
      <c r="AF329">
        <v>5.2417534340161112</v>
      </c>
      <c r="AG329">
        <v>19.169780959612314</v>
      </c>
      <c r="AH329">
        <v>0.087608253457239951</v>
      </c>
      <c r="AI329">
        <v>0.56069282212633564</v>
      </c>
      <c r="AJ329">
        <v>8.1387225074723428</v>
      </c>
      <c r="AK329">
        <v>3.4718982367693698</v>
      </c>
      <c r="AL329">
        <v>2.264504874459158</v>
      </c>
      <c r="AM329">
        <v>0.56962212488255426</v>
      </c>
      <c r="AN329">
        <v>0.85182178746116377</v>
      </c>
      <c r="AO329">
        <v>0.59742089761417849</v>
      </c>
      <c r="AP329">
        <v>0.31378917704636422</v>
      </c>
      <c r="AQ329">
        <v>0.22062116904279946</v>
      </c>
      <c r="AR329">
        <v>1.6192363922644868</v>
      </c>
      <c r="AS329">
        <v>0.17311053928329626</v>
      </c>
      <c r="AT329">
        <v>0.11287986503144377</v>
      </c>
      <c r="AU329" t="s">
        <v>111</v>
      </c>
      <c r="BJ329" t="str">
        <f t="shared" si="10"/>
        <v>car</v>
      </c>
      <c r="BK329" t="str">
        <f t="shared" si="11"/>
        <v>gsl</v>
      </c>
    </row>
    <row r="330" spans="1:63" ht="14.5">
      <c r="A330" t="s">
        <v>118</v>
      </c>
      <c r="B330" t="s">
        <v>62</v>
      </c>
      <c r="C330" t="s">
        <v>95</v>
      </c>
      <c r="D330" t="s">
        <v>111</v>
      </c>
      <c r="E330" t="s">
        <v>111</v>
      </c>
      <c r="F330" t="s">
        <v>111</v>
      </c>
      <c r="G330" t="s">
        <v>76</v>
      </c>
      <c r="H330" t="s">
        <v>111</v>
      </c>
      <c r="I330" t="s">
        <v>111</v>
      </c>
      <c r="J330" t="s">
        <v>111</v>
      </c>
      <c r="K330" t="s">
        <v>111</v>
      </c>
      <c r="L330">
        <v>1.2877570871161799</v>
      </c>
      <c r="M330">
        <v>2.2362006694960495</v>
      </c>
      <c r="N330">
        <v>1.6416438878602808</v>
      </c>
      <c r="O330">
        <v>0.217588575653895</v>
      </c>
      <c r="P330">
        <v>0.064863803040456497</v>
      </c>
      <c r="Q330">
        <v>0.84171314283148224</v>
      </c>
      <c r="R330">
        <v>2.5917722443450972</v>
      </c>
      <c r="S330">
        <v>23.857833384037619</v>
      </c>
      <c r="T330">
        <v>0.10841521365333442</v>
      </c>
      <c r="U330">
        <v>0.25709652841490027</v>
      </c>
      <c r="V330">
        <v>1.0339458682059259</v>
      </c>
      <c r="W330">
        <v>2.2702331064159771</v>
      </c>
      <c r="X330">
        <v>0.35506614261756381</v>
      </c>
      <c r="Y330">
        <v>0.40072352086162538</v>
      </c>
      <c r="Z330">
        <v>0.016426547523232488</v>
      </c>
      <c r="AA330">
        <v>2.1966927167350443</v>
      </c>
      <c r="AB330">
        <v>0.10125492370731001</v>
      </c>
      <c r="AC330">
        <v>1.0256904750916862</v>
      </c>
      <c r="AD330">
        <v>4.5956425647689665</v>
      </c>
      <c r="AE330">
        <v>4.927964256969747</v>
      </c>
      <c r="AF330">
        <v>5.2417534340161112</v>
      </c>
      <c r="AG330">
        <v>19.169780959612314</v>
      </c>
      <c r="AH330">
        <v>0.087608253457239951</v>
      </c>
      <c r="AI330">
        <v>0.56069282212633564</v>
      </c>
      <c r="AJ330">
        <v>8.1387225074723428</v>
      </c>
      <c r="AK330">
        <v>3.4718982367693698</v>
      </c>
      <c r="AL330">
        <v>2.264504874459158</v>
      </c>
      <c r="AM330">
        <v>0.56962212488255426</v>
      </c>
      <c r="AN330">
        <v>0.85182178746116377</v>
      </c>
      <c r="AO330">
        <v>0.59742089761417849</v>
      </c>
      <c r="AP330">
        <v>0.31378917704636422</v>
      </c>
      <c r="AQ330">
        <v>0.22062116904279946</v>
      </c>
      <c r="AR330">
        <v>1.6192363922644868</v>
      </c>
      <c r="AS330">
        <v>0.17311053928329626</v>
      </c>
      <c r="AT330">
        <v>0.11287986503144377</v>
      </c>
      <c r="AU330" t="s">
        <v>111</v>
      </c>
      <c r="BJ330" t="str">
        <f t="shared" si="10"/>
        <v>car</v>
      </c>
      <c r="BK330" t="str">
        <f t="shared" si="11"/>
        <v>gsl</v>
      </c>
    </row>
    <row r="331" spans="1:63" ht="14.5">
      <c r="A331" t="s">
        <v>118</v>
      </c>
      <c r="B331" t="s">
        <v>62</v>
      </c>
      <c r="C331" t="s">
        <v>95</v>
      </c>
      <c r="D331" t="s">
        <v>111</v>
      </c>
      <c r="E331" t="s">
        <v>111</v>
      </c>
      <c r="F331" t="s">
        <v>111</v>
      </c>
      <c r="G331" t="s">
        <v>75</v>
      </c>
      <c r="H331" t="s">
        <v>111</v>
      </c>
      <c r="I331" t="s">
        <v>111</v>
      </c>
      <c r="J331" t="s">
        <v>111</v>
      </c>
      <c r="K331" t="s">
        <v>111</v>
      </c>
      <c r="L331">
        <v>1.2877570871161799</v>
      </c>
      <c r="M331">
        <v>2.2362006694960495</v>
      </c>
      <c r="N331">
        <v>1.6416438878602808</v>
      </c>
      <c r="O331">
        <v>0.217588575653895</v>
      </c>
      <c r="P331">
        <v>0.064863803040456497</v>
      </c>
      <c r="Q331">
        <v>0.84171314283148224</v>
      </c>
      <c r="R331">
        <v>2.5917722443450972</v>
      </c>
      <c r="S331">
        <v>23.857833384037619</v>
      </c>
      <c r="T331">
        <v>0.10841521365333442</v>
      </c>
      <c r="U331">
        <v>0.25709652841490027</v>
      </c>
      <c r="V331">
        <v>1.0339458682059259</v>
      </c>
      <c r="W331">
        <v>2.2702331064159771</v>
      </c>
      <c r="X331">
        <v>0.35506614261756381</v>
      </c>
      <c r="Y331">
        <v>0.40072352086162538</v>
      </c>
      <c r="Z331">
        <v>0.016426547523232488</v>
      </c>
      <c r="AA331">
        <v>2.1966927167350443</v>
      </c>
      <c r="AB331">
        <v>0.10125492370731001</v>
      </c>
      <c r="AC331">
        <v>1.0256904750916862</v>
      </c>
      <c r="AD331">
        <v>4.5956425647689665</v>
      </c>
      <c r="AE331">
        <v>4.927964256969747</v>
      </c>
      <c r="AF331">
        <v>5.2417534340161112</v>
      </c>
      <c r="AG331">
        <v>19.169780959612314</v>
      </c>
      <c r="AH331">
        <v>0.087608253457239951</v>
      </c>
      <c r="AI331">
        <v>0.56069282212633564</v>
      </c>
      <c r="AJ331">
        <v>8.1387225074723428</v>
      </c>
      <c r="AK331">
        <v>3.4718982367693698</v>
      </c>
      <c r="AL331">
        <v>2.264504874459158</v>
      </c>
      <c r="AM331">
        <v>0.56962212488255426</v>
      </c>
      <c r="AN331">
        <v>0.85182178746116377</v>
      </c>
      <c r="AO331">
        <v>0.59742089761417849</v>
      </c>
      <c r="AP331">
        <v>0.31378917704636422</v>
      </c>
      <c r="AQ331">
        <v>0.22062116904279946</v>
      </c>
      <c r="AR331">
        <v>1.6192363922644868</v>
      </c>
      <c r="AS331">
        <v>0.17311053928329626</v>
      </c>
      <c r="AT331">
        <v>0.11287986503144377</v>
      </c>
      <c r="AU331" t="s">
        <v>111</v>
      </c>
      <c r="BJ331" t="str">
        <f t="shared" si="10"/>
        <v>car</v>
      </c>
      <c r="BK331" t="str">
        <f t="shared" si="11"/>
        <v>gsl</v>
      </c>
    </row>
    <row r="332" spans="1:63" ht="14.5">
      <c r="A332" t="s">
        <v>118</v>
      </c>
      <c r="B332" t="s">
        <v>62</v>
      </c>
      <c r="C332" t="s">
        <v>95</v>
      </c>
      <c r="D332" t="s">
        <v>111</v>
      </c>
      <c r="E332" t="s">
        <v>111</v>
      </c>
      <c r="F332" t="s">
        <v>111</v>
      </c>
      <c r="G332" t="s">
        <v>74</v>
      </c>
      <c r="H332" t="s">
        <v>111</v>
      </c>
      <c r="I332" t="s">
        <v>111</v>
      </c>
      <c r="J332" t="s">
        <v>111</v>
      </c>
      <c r="K332" t="s">
        <v>111</v>
      </c>
      <c r="L332">
        <v>1.2877570871161799</v>
      </c>
      <c r="M332">
        <v>2.2362006694960495</v>
      </c>
      <c r="N332">
        <v>1.6416438878602808</v>
      </c>
      <c r="O332">
        <v>0.217588575653895</v>
      </c>
      <c r="P332">
        <v>0.064863803040456497</v>
      </c>
      <c r="Q332">
        <v>0.84171314283148224</v>
      </c>
      <c r="R332">
        <v>2.5917722443450972</v>
      </c>
      <c r="S332">
        <v>23.857833384037619</v>
      </c>
      <c r="T332">
        <v>0.10841521365333442</v>
      </c>
      <c r="U332">
        <v>0.25709652841490027</v>
      </c>
      <c r="V332">
        <v>1.0339458682059259</v>
      </c>
      <c r="W332">
        <v>2.2702331064159771</v>
      </c>
      <c r="X332">
        <v>0.35506614261756381</v>
      </c>
      <c r="Y332">
        <v>0.40072352086162538</v>
      </c>
      <c r="Z332">
        <v>0.016426547523232488</v>
      </c>
      <c r="AA332">
        <v>2.1966927167350443</v>
      </c>
      <c r="AB332">
        <v>0.10125492370731001</v>
      </c>
      <c r="AC332">
        <v>1.0256904750916862</v>
      </c>
      <c r="AD332">
        <v>4.5956425647689665</v>
      </c>
      <c r="AE332">
        <v>4.927964256969747</v>
      </c>
      <c r="AF332">
        <v>5.2417534340161112</v>
      </c>
      <c r="AG332">
        <v>19.169780959612314</v>
      </c>
      <c r="AH332">
        <v>0.087608253457239951</v>
      </c>
      <c r="AI332">
        <v>0.56069282212633564</v>
      </c>
      <c r="AJ332">
        <v>8.1387225074723428</v>
      </c>
      <c r="AK332">
        <v>3.4718982367693698</v>
      </c>
      <c r="AL332">
        <v>2.264504874459158</v>
      </c>
      <c r="AM332">
        <v>0.56962212488255426</v>
      </c>
      <c r="AN332">
        <v>0.85182178746116377</v>
      </c>
      <c r="AO332">
        <v>0.59742089761417849</v>
      </c>
      <c r="AP332">
        <v>0.31378917704636422</v>
      </c>
      <c r="AQ332">
        <v>0.22062116904279946</v>
      </c>
      <c r="AR332">
        <v>1.6192363922644868</v>
      </c>
      <c r="AS332">
        <v>0.17311053928329626</v>
      </c>
      <c r="AT332">
        <v>0.11287986503144377</v>
      </c>
      <c r="AU332" t="s">
        <v>111</v>
      </c>
      <c r="BJ332" t="str">
        <f t="shared" si="10"/>
        <v>car</v>
      </c>
      <c r="BK332" t="str">
        <f t="shared" si="11"/>
        <v>gsl</v>
      </c>
    </row>
    <row r="333" spans="1:63" ht="14.5">
      <c r="A333" t="s">
        <v>118</v>
      </c>
      <c r="B333" t="s">
        <v>62</v>
      </c>
      <c r="C333" t="s">
        <v>95</v>
      </c>
      <c r="D333" t="s">
        <v>111</v>
      </c>
      <c r="E333" t="s">
        <v>111</v>
      </c>
      <c r="F333" t="s">
        <v>111</v>
      </c>
      <c r="G333" t="s">
        <v>73</v>
      </c>
      <c r="H333" t="s">
        <v>111</v>
      </c>
      <c r="I333" t="s">
        <v>111</v>
      </c>
      <c r="J333" t="s">
        <v>111</v>
      </c>
      <c r="K333" t="s">
        <v>111</v>
      </c>
      <c r="L333">
        <v>1.2877570871161799</v>
      </c>
      <c r="M333">
        <v>2.2362006694960495</v>
      </c>
      <c r="N333">
        <v>1.6416438878602808</v>
      </c>
      <c r="O333">
        <v>0.217588575653895</v>
      </c>
      <c r="P333">
        <v>0.064863803040456497</v>
      </c>
      <c r="Q333">
        <v>0.84171314283148224</v>
      </c>
      <c r="R333">
        <v>2.5917722443450972</v>
      </c>
      <c r="S333">
        <v>23.857833384037619</v>
      </c>
      <c r="T333">
        <v>0.10841521365333442</v>
      </c>
      <c r="U333">
        <v>0.25709652841490027</v>
      </c>
      <c r="V333">
        <v>1.0339458682059259</v>
      </c>
      <c r="W333">
        <v>2.2702331064159771</v>
      </c>
      <c r="X333">
        <v>0.35506614261756381</v>
      </c>
      <c r="Y333">
        <v>0.40072352086162538</v>
      </c>
      <c r="Z333">
        <v>0.016426547523232488</v>
      </c>
      <c r="AA333">
        <v>2.1966927167350443</v>
      </c>
      <c r="AB333">
        <v>0.10125492370731001</v>
      </c>
      <c r="AC333">
        <v>1.0256904750916862</v>
      </c>
      <c r="AD333">
        <v>4.5956425647689665</v>
      </c>
      <c r="AE333">
        <v>4.927964256969747</v>
      </c>
      <c r="AF333">
        <v>5.2417534340161112</v>
      </c>
      <c r="AG333">
        <v>19.169780959612314</v>
      </c>
      <c r="AH333">
        <v>0.087608253457239951</v>
      </c>
      <c r="AI333">
        <v>0.56069282212633564</v>
      </c>
      <c r="AJ333">
        <v>8.1387225074723428</v>
      </c>
      <c r="AK333">
        <v>3.4718982367693698</v>
      </c>
      <c r="AL333">
        <v>2.264504874459158</v>
      </c>
      <c r="AM333">
        <v>0.56962212488255426</v>
      </c>
      <c r="AN333">
        <v>0.85182178746116377</v>
      </c>
      <c r="AO333">
        <v>0.59742089761417849</v>
      </c>
      <c r="AP333">
        <v>0.31378917704636422</v>
      </c>
      <c r="AQ333">
        <v>0.22062116904279946</v>
      </c>
      <c r="AR333">
        <v>1.6192363922644868</v>
      </c>
      <c r="AS333">
        <v>0.17311053928329626</v>
      </c>
      <c r="AT333">
        <v>0.11287986503144377</v>
      </c>
      <c r="AU333" t="s">
        <v>111</v>
      </c>
      <c r="BJ333" t="str">
        <f t="shared" si="10"/>
        <v>car</v>
      </c>
      <c r="BK333" t="str">
        <f t="shared" si="11"/>
        <v>gsl</v>
      </c>
    </row>
    <row r="334" spans="1:63" ht="14.5">
      <c r="A334" t="s">
        <v>118</v>
      </c>
      <c r="B334" t="s">
        <v>62</v>
      </c>
      <c r="C334" t="s">
        <v>95</v>
      </c>
      <c r="D334" t="s">
        <v>111</v>
      </c>
      <c r="E334" t="s">
        <v>111</v>
      </c>
      <c r="F334" t="s">
        <v>111</v>
      </c>
      <c r="G334" t="s">
        <v>72</v>
      </c>
      <c r="H334" t="s">
        <v>111</v>
      </c>
      <c r="I334" t="s">
        <v>111</v>
      </c>
      <c r="J334" t="s">
        <v>111</v>
      </c>
      <c r="K334" t="s">
        <v>111</v>
      </c>
      <c r="L334">
        <v>1.2877570871161799</v>
      </c>
      <c r="M334">
        <v>2.2362006694960495</v>
      </c>
      <c r="N334">
        <v>1.6416438878602808</v>
      </c>
      <c r="O334">
        <v>0.217588575653895</v>
      </c>
      <c r="P334">
        <v>0.064863803040456497</v>
      </c>
      <c r="Q334">
        <v>0.84171314283148224</v>
      </c>
      <c r="R334">
        <v>2.5917722443450972</v>
      </c>
      <c r="S334">
        <v>23.857833384037619</v>
      </c>
      <c r="T334">
        <v>0.10841521365333442</v>
      </c>
      <c r="U334">
        <v>0.25709652841490027</v>
      </c>
      <c r="V334">
        <v>1.0339458682059259</v>
      </c>
      <c r="W334">
        <v>2.2702331064159771</v>
      </c>
      <c r="X334">
        <v>0.35506614261756381</v>
      </c>
      <c r="Y334">
        <v>0.40072352086162538</v>
      </c>
      <c r="Z334">
        <v>0.016426547523232488</v>
      </c>
      <c r="AA334">
        <v>2.1966927167350443</v>
      </c>
      <c r="AB334">
        <v>0.10125492370731001</v>
      </c>
      <c r="AC334">
        <v>1.0256904750916862</v>
      </c>
      <c r="AD334">
        <v>4.5956425647689665</v>
      </c>
      <c r="AE334">
        <v>4.927964256969747</v>
      </c>
      <c r="AF334">
        <v>5.2417534340161112</v>
      </c>
      <c r="AG334">
        <v>19.169780959612314</v>
      </c>
      <c r="AH334">
        <v>0.087608253457239951</v>
      </c>
      <c r="AI334">
        <v>0.56069282212633564</v>
      </c>
      <c r="AJ334">
        <v>8.1387225074723428</v>
      </c>
      <c r="AK334">
        <v>3.4718982367693698</v>
      </c>
      <c r="AL334">
        <v>2.264504874459158</v>
      </c>
      <c r="AM334">
        <v>0.56962212488255426</v>
      </c>
      <c r="AN334">
        <v>0.85182178746116377</v>
      </c>
      <c r="AO334">
        <v>0.59742089761417849</v>
      </c>
      <c r="AP334">
        <v>0.31378917704636422</v>
      </c>
      <c r="AQ334">
        <v>0.22062116904279946</v>
      </c>
      <c r="AR334">
        <v>1.6192363922644868</v>
      </c>
      <c r="AS334">
        <v>0.17311053928329626</v>
      </c>
      <c r="AT334">
        <v>0.11287986503144377</v>
      </c>
      <c r="AU334" t="s">
        <v>111</v>
      </c>
      <c r="BJ334" t="str">
        <f t="shared" si="10"/>
        <v>car</v>
      </c>
      <c r="BK334" t="str">
        <f t="shared" si="11"/>
        <v>gsl</v>
      </c>
    </row>
    <row r="335" spans="1:63" ht="14.5">
      <c r="A335" t="s">
        <v>118</v>
      </c>
      <c r="B335" t="s">
        <v>62</v>
      </c>
      <c r="C335" t="s">
        <v>95</v>
      </c>
      <c r="D335" t="s">
        <v>111</v>
      </c>
      <c r="E335" t="s">
        <v>111</v>
      </c>
      <c r="F335" t="s">
        <v>111</v>
      </c>
      <c r="G335" t="s">
        <v>71</v>
      </c>
      <c r="H335" t="s">
        <v>111</v>
      </c>
      <c r="I335" t="s">
        <v>111</v>
      </c>
      <c r="J335" t="s">
        <v>111</v>
      </c>
      <c r="K335" t="s">
        <v>111</v>
      </c>
      <c r="L335">
        <v>1.2877570871161799</v>
      </c>
      <c r="M335">
        <v>2.2362006694960495</v>
      </c>
      <c r="N335">
        <v>1.6416438878602808</v>
      </c>
      <c r="O335">
        <v>0.217588575653895</v>
      </c>
      <c r="P335">
        <v>0.064863803040456497</v>
      </c>
      <c r="Q335">
        <v>0.84171314283148224</v>
      </c>
      <c r="R335">
        <v>2.5917722443450972</v>
      </c>
      <c r="S335">
        <v>23.857833384037619</v>
      </c>
      <c r="T335">
        <v>0.10841521365333442</v>
      </c>
      <c r="U335">
        <v>0.25709652841490027</v>
      </c>
      <c r="V335">
        <v>1.0339458682059259</v>
      </c>
      <c r="W335">
        <v>2.2702331064159771</v>
      </c>
      <c r="X335">
        <v>0.35506614261756381</v>
      </c>
      <c r="Y335">
        <v>0.40072352086162538</v>
      </c>
      <c r="Z335">
        <v>0.016426547523232488</v>
      </c>
      <c r="AA335">
        <v>2.1966927167350443</v>
      </c>
      <c r="AB335">
        <v>0.10125492370731001</v>
      </c>
      <c r="AC335">
        <v>1.0256904750916862</v>
      </c>
      <c r="AD335">
        <v>4.5956425647689665</v>
      </c>
      <c r="AE335">
        <v>4.927964256969747</v>
      </c>
      <c r="AF335">
        <v>5.2417534340161112</v>
      </c>
      <c r="AG335">
        <v>19.169780959612314</v>
      </c>
      <c r="AH335">
        <v>0.087608253457239951</v>
      </c>
      <c r="AI335">
        <v>0.56069282212633564</v>
      </c>
      <c r="AJ335">
        <v>8.1387225074723428</v>
      </c>
      <c r="AK335">
        <v>3.4718982367693698</v>
      </c>
      <c r="AL335">
        <v>2.264504874459158</v>
      </c>
      <c r="AM335">
        <v>0.56962212488255426</v>
      </c>
      <c r="AN335">
        <v>0.85182178746116377</v>
      </c>
      <c r="AO335">
        <v>0.59742089761417849</v>
      </c>
      <c r="AP335">
        <v>0.31378917704636422</v>
      </c>
      <c r="AQ335">
        <v>0.22062116904279946</v>
      </c>
      <c r="AR335">
        <v>1.6192363922644868</v>
      </c>
      <c r="AS335">
        <v>0.17311053928329626</v>
      </c>
      <c r="AT335">
        <v>0.11287986503144377</v>
      </c>
      <c r="AU335" t="s">
        <v>111</v>
      </c>
      <c r="BJ335" t="str">
        <f t="shared" si="10"/>
        <v>car</v>
      </c>
      <c r="BK335" t="str">
        <f t="shared" si="11"/>
        <v>gsl</v>
      </c>
    </row>
    <row r="336" spans="1:63" ht="14.5">
      <c r="A336" t="s">
        <v>118</v>
      </c>
      <c r="B336" t="s">
        <v>62</v>
      </c>
      <c r="C336" t="s">
        <v>95</v>
      </c>
      <c r="D336" t="s">
        <v>111</v>
      </c>
      <c r="E336" t="s">
        <v>111</v>
      </c>
      <c r="F336" t="s">
        <v>111</v>
      </c>
      <c r="G336" t="s">
        <v>70</v>
      </c>
      <c r="H336" t="s">
        <v>111</v>
      </c>
      <c r="I336" t="s">
        <v>111</v>
      </c>
      <c r="J336" t="s">
        <v>111</v>
      </c>
      <c r="K336" t="s">
        <v>111</v>
      </c>
      <c r="L336">
        <v>1.2877570871161799</v>
      </c>
      <c r="M336">
        <v>2.2362006694960495</v>
      </c>
      <c r="N336">
        <v>1.6416438878602808</v>
      </c>
      <c r="O336">
        <v>0.217588575653895</v>
      </c>
      <c r="P336">
        <v>0.064863803040456497</v>
      </c>
      <c r="Q336">
        <v>0.84171314283148224</v>
      </c>
      <c r="R336">
        <v>2.5917722443450972</v>
      </c>
      <c r="S336">
        <v>23.857833384037619</v>
      </c>
      <c r="T336">
        <v>0.10841521365333442</v>
      </c>
      <c r="U336">
        <v>0.25709652841490027</v>
      </c>
      <c r="V336">
        <v>1.0339458682059259</v>
      </c>
      <c r="W336">
        <v>2.2702331064159771</v>
      </c>
      <c r="X336">
        <v>0.35506614261756381</v>
      </c>
      <c r="Y336">
        <v>0.40072352086162538</v>
      </c>
      <c r="Z336">
        <v>0.016426547523232488</v>
      </c>
      <c r="AA336">
        <v>2.1966927167350443</v>
      </c>
      <c r="AB336">
        <v>0.10125492370731001</v>
      </c>
      <c r="AC336">
        <v>1.0256904750916862</v>
      </c>
      <c r="AD336">
        <v>4.5956425647689665</v>
      </c>
      <c r="AE336">
        <v>4.927964256969747</v>
      </c>
      <c r="AF336">
        <v>5.2417534340161112</v>
      </c>
      <c r="AG336">
        <v>19.169780959612314</v>
      </c>
      <c r="AH336">
        <v>0.087608253457239951</v>
      </c>
      <c r="AI336">
        <v>0.56069282212633564</v>
      </c>
      <c r="AJ336">
        <v>8.1387225074723428</v>
      </c>
      <c r="AK336">
        <v>3.4718982367693698</v>
      </c>
      <c r="AL336">
        <v>2.264504874459158</v>
      </c>
      <c r="AM336">
        <v>0.56962212488255426</v>
      </c>
      <c r="AN336">
        <v>0.85182178746116377</v>
      </c>
      <c r="AO336">
        <v>0.59742089761417849</v>
      </c>
      <c r="AP336">
        <v>0.31378917704636422</v>
      </c>
      <c r="AQ336">
        <v>0.22062116904279946</v>
      </c>
      <c r="AR336">
        <v>1.6192363922644868</v>
      </c>
      <c r="AS336">
        <v>0.17311053928329626</v>
      </c>
      <c r="AT336">
        <v>0.11287986503144377</v>
      </c>
      <c r="AU336" t="s">
        <v>111</v>
      </c>
      <c r="BJ336" t="str">
        <f t="shared" si="10"/>
        <v>car</v>
      </c>
      <c r="BK336" t="str">
        <f t="shared" si="11"/>
        <v>gsl</v>
      </c>
    </row>
    <row r="337" spans="1:63" ht="14.5">
      <c r="A337" t="s">
        <v>118</v>
      </c>
      <c r="B337" t="s">
        <v>62</v>
      </c>
      <c r="C337" t="s">
        <v>95</v>
      </c>
      <c r="D337" t="s">
        <v>111</v>
      </c>
      <c r="E337" t="s">
        <v>111</v>
      </c>
      <c r="F337" t="s">
        <v>111</v>
      </c>
      <c r="G337" t="s">
        <v>69</v>
      </c>
      <c r="H337" t="s">
        <v>111</v>
      </c>
      <c r="I337" t="s">
        <v>111</v>
      </c>
      <c r="J337" t="s">
        <v>111</v>
      </c>
      <c r="K337" t="s">
        <v>111</v>
      </c>
      <c r="L337">
        <v>1.2877570871161799</v>
      </c>
      <c r="M337">
        <v>2.2362006694960495</v>
      </c>
      <c r="N337">
        <v>1.6416438878602808</v>
      </c>
      <c r="O337">
        <v>0.217588575653895</v>
      </c>
      <c r="P337">
        <v>0.064863803040456497</v>
      </c>
      <c r="Q337">
        <v>0.84171314283148224</v>
      </c>
      <c r="R337">
        <v>2.5917722443450972</v>
      </c>
      <c r="S337">
        <v>23.857833384037619</v>
      </c>
      <c r="T337">
        <v>0.10841521365333442</v>
      </c>
      <c r="U337">
        <v>0.25709652841490027</v>
      </c>
      <c r="V337">
        <v>1.0339458682059259</v>
      </c>
      <c r="W337">
        <v>2.2702331064159771</v>
      </c>
      <c r="X337">
        <v>0.35506614261756381</v>
      </c>
      <c r="Y337">
        <v>0.40072352086162538</v>
      </c>
      <c r="Z337">
        <v>0.016426547523232488</v>
      </c>
      <c r="AA337">
        <v>2.1966927167350443</v>
      </c>
      <c r="AB337">
        <v>0.10125492370731001</v>
      </c>
      <c r="AC337">
        <v>1.0256904750916862</v>
      </c>
      <c r="AD337">
        <v>4.5956425647689665</v>
      </c>
      <c r="AE337">
        <v>4.927964256969747</v>
      </c>
      <c r="AF337">
        <v>5.2417534340161112</v>
      </c>
      <c r="AG337">
        <v>19.169780959612314</v>
      </c>
      <c r="AH337">
        <v>0.087608253457239951</v>
      </c>
      <c r="AI337">
        <v>0.56069282212633564</v>
      </c>
      <c r="AJ337">
        <v>8.1387225074723428</v>
      </c>
      <c r="AK337">
        <v>3.4718982367693698</v>
      </c>
      <c r="AL337">
        <v>2.264504874459158</v>
      </c>
      <c r="AM337">
        <v>0.56962212488255426</v>
      </c>
      <c r="AN337">
        <v>0.85182178746116377</v>
      </c>
      <c r="AO337">
        <v>0.59742089761417849</v>
      </c>
      <c r="AP337">
        <v>0.31378917704636422</v>
      </c>
      <c r="AQ337">
        <v>0.22062116904279946</v>
      </c>
      <c r="AR337">
        <v>1.6192363922644868</v>
      </c>
      <c r="AS337">
        <v>0.17311053928329626</v>
      </c>
      <c r="AT337">
        <v>0.11287986503144377</v>
      </c>
      <c r="AU337" t="s">
        <v>111</v>
      </c>
      <c r="BJ337" t="str">
        <f t="shared" si="10"/>
        <v>car</v>
      </c>
      <c r="BK337" t="str">
        <f t="shared" si="11"/>
        <v>gsl</v>
      </c>
    </row>
    <row r="338" spans="1:63" ht="14.5">
      <c r="A338" t="s">
        <v>118</v>
      </c>
      <c r="B338" t="s">
        <v>62</v>
      </c>
      <c r="C338" t="s">
        <v>95</v>
      </c>
      <c r="D338" t="s">
        <v>111</v>
      </c>
      <c r="E338" t="s">
        <v>111</v>
      </c>
      <c r="F338" t="s">
        <v>111</v>
      </c>
      <c r="G338" t="s">
        <v>68</v>
      </c>
      <c r="H338" t="s">
        <v>111</v>
      </c>
      <c r="I338" t="s">
        <v>111</v>
      </c>
      <c r="J338" t="s">
        <v>111</v>
      </c>
      <c r="K338" t="s">
        <v>111</v>
      </c>
      <c r="L338">
        <v>1.2877570871161799</v>
      </c>
      <c r="M338">
        <v>2.2362006694960495</v>
      </c>
      <c r="N338">
        <v>1.6416438878602808</v>
      </c>
      <c r="O338">
        <v>0.217588575653895</v>
      </c>
      <c r="P338">
        <v>0.064863803040456497</v>
      </c>
      <c r="Q338">
        <v>0.84171314283148224</v>
      </c>
      <c r="R338">
        <v>2.5917722443450972</v>
      </c>
      <c r="S338">
        <v>23.857833384037619</v>
      </c>
      <c r="T338">
        <v>0.10841521365333442</v>
      </c>
      <c r="U338">
        <v>0.25709652841490027</v>
      </c>
      <c r="V338">
        <v>1.0339458682059259</v>
      </c>
      <c r="W338">
        <v>2.2702331064159771</v>
      </c>
      <c r="X338">
        <v>0.35506614261756381</v>
      </c>
      <c r="Y338">
        <v>0.40072352086162538</v>
      </c>
      <c r="Z338">
        <v>0.016426547523232488</v>
      </c>
      <c r="AA338">
        <v>2.1966927167350443</v>
      </c>
      <c r="AB338">
        <v>0.10125492370731001</v>
      </c>
      <c r="AC338">
        <v>1.0256904750916862</v>
      </c>
      <c r="AD338">
        <v>4.5956425647689665</v>
      </c>
      <c r="AE338">
        <v>4.927964256969747</v>
      </c>
      <c r="AF338">
        <v>5.2417534340161112</v>
      </c>
      <c r="AG338">
        <v>19.169780959612314</v>
      </c>
      <c r="AH338">
        <v>0.087608253457239951</v>
      </c>
      <c r="AI338">
        <v>0.56069282212633564</v>
      </c>
      <c r="AJ338">
        <v>8.1387225074723428</v>
      </c>
      <c r="AK338">
        <v>3.4718982367693698</v>
      </c>
      <c r="AL338">
        <v>2.264504874459158</v>
      </c>
      <c r="AM338">
        <v>0.56962212488255426</v>
      </c>
      <c r="AN338">
        <v>0.85182178746116377</v>
      </c>
      <c r="AO338">
        <v>0.59742089761417849</v>
      </c>
      <c r="AP338">
        <v>0.31378917704636422</v>
      </c>
      <c r="AQ338">
        <v>0.22062116904279946</v>
      </c>
      <c r="AR338">
        <v>1.6192363922644868</v>
      </c>
      <c r="AS338">
        <v>0.17311053928329626</v>
      </c>
      <c r="AT338">
        <v>0.11287986503144377</v>
      </c>
      <c r="AU338" t="s">
        <v>111</v>
      </c>
      <c r="BJ338" t="str">
        <f t="shared" si="10"/>
        <v>car</v>
      </c>
      <c r="BK338" t="str">
        <f t="shared" si="11"/>
        <v>gsl</v>
      </c>
    </row>
    <row r="339" spans="1:63" ht="14.5">
      <c r="A339" t="s">
        <v>118</v>
      </c>
      <c r="B339" t="s">
        <v>62</v>
      </c>
      <c r="C339" t="s">
        <v>95</v>
      </c>
      <c r="D339" t="s">
        <v>111</v>
      </c>
      <c r="E339" t="s">
        <v>111</v>
      </c>
      <c r="F339" t="s">
        <v>111</v>
      </c>
      <c r="G339" t="s">
        <v>67</v>
      </c>
      <c r="H339" t="s">
        <v>111</v>
      </c>
      <c r="I339" t="s">
        <v>111</v>
      </c>
      <c r="J339" t="s">
        <v>111</v>
      </c>
      <c r="K339" t="s">
        <v>111</v>
      </c>
      <c r="L339">
        <v>1.2877570871161799</v>
      </c>
      <c r="M339">
        <v>2.2362006694960495</v>
      </c>
      <c r="N339">
        <v>1.6416438878602808</v>
      </c>
      <c r="O339">
        <v>0.217588575653895</v>
      </c>
      <c r="P339">
        <v>0.064863803040456497</v>
      </c>
      <c r="Q339">
        <v>0.84171314283148224</v>
      </c>
      <c r="R339">
        <v>2.5917722443450972</v>
      </c>
      <c r="S339">
        <v>23.857833384037619</v>
      </c>
      <c r="T339">
        <v>0.10841521365333442</v>
      </c>
      <c r="U339">
        <v>0.25709652841490027</v>
      </c>
      <c r="V339">
        <v>1.0339458682059259</v>
      </c>
      <c r="W339">
        <v>2.2702331064159771</v>
      </c>
      <c r="X339">
        <v>0.35506614261756381</v>
      </c>
      <c r="Y339">
        <v>0.40072352086162538</v>
      </c>
      <c r="Z339">
        <v>0.016426547523232488</v>
      </c>
      <c r="AA339">
        <v>2.1966927167350443</v>
      </c>
      <c r="AB339">
        <v>0.10125492370731001</v>
      </c>
      <c r="AC339">
        <v>1.0256904750916862</v>
      </c>
      <c r="AD339">
        <v>4.5956425647689665</v>
      </c>
      <c r="AE339">
        <v>4.927964256969747</v>
      </c>
      <c r="AF339">
        <v>5.2417534340161112</v>
      </c>
      <c r="AG339">
        <v>19.169780959612314</v>
      </c>
      <c r="AH339">
        <v>0.087608253457239951</v>
      </c>
      <c r="AI339">
        <v>0.56069282212633564</v>
      </c>
      <c r="AJ339">
        <v>8.1387225074723428</v>
      </c>
      <c r="AK339">
        <v>3.4718982367693698</v>
      </c>
      <c r="AL339">
        <v>2.264504874459158</v>
      </c>
      <c r="AM339">
        <v>0.56962212488255426</v>
      </c>
      <c r="AN339">
        <v>0.85182178746116377</v>
      </c>
      <c r="AO339">
        <v>0.59742089761417849</v>
      </c>
      <c r="AP339">
        <v>0.31378917704636422</v>
      </c>
      <c r="AQ339">
        <v>0.22062116904279946</v>
      </c>
      <c r="AR339">
        <v>1.6192363922644868</v>
      </c>
      <c r="AS339">
        <v>0.17311053928329626</v>
      </c>
      <c r="AT339">
        <v>0.11287986503144377</v>
      </c>
      <c r="AU339" t="s">
        <v>111</v>
      </c>
      <c r="BJ339" t="str">
        <f t="shared" si="10"/>
        <v>car</v>
      </c>
      <c r="BK339" t="str">
        <f t="shared" si="11"/>
        <v>gsl</v>
      </c>
    </row>
    <row r="340" spans="1:63" ht="14.5">
      <c r="A340" t="s">
        <v>118</v>
      </c>
      <c r="B340" t="s">
        <v>62</v>
      </c>
      <c r="C340" t="s">
        <v>95</v>
      </c>
      <c r="D340" t="s">
        <v>111</v>
      </c>
      <c r="E340" t="s">
        <v>111</v>
      </c>
      <c r="F340" t="s">
        <v>111</v>
      </c>
      <c r="G340" t="s">
        <v>66</v>
      </c>
      <c r="H340" t="s">
        <v>111</v>
      </c>
      <c r="I340" t="s">
        <v>111</v>
      </c>
      <c r="J340" t="s">
        <v>111</v>
      </c>
      <c r="K340" t="s">
        <v>111</v>
      </c>
      <c r="L340">
        <v>1.2877570871161799</v>
      </c>
      <c r="M340">
        <v>2.2362006694960495</v>
      </c>
      <c r="N340">
        <v>1.6416438878602808</v>
      </c>
      <c r="O340">
        <v>0.217588575653895</v>
      </c>
      <c r="P340">
        <v>0.064863803040456497</v>
      </c>
      <c r="Q340">
        <v>0.84171314283148224</v>
      </c>
      <c r="R340">
        <v>2.5917722443450972</v>
      </c>
      <c r="S340">
        <v>23.857833384037619</v>
      </c>
      <c r="T340">
        <v>0.10841521365333442</v>
      </c>
      <c r="U340">
        <v>0.25709652841490027</v>
      </c>
      <c r="V340">
        <v>1.0339458682059259</v>
      </c>
      <c r="W340">
        <v>2.2702331064159771</v>
      </c>
      <c r="X340">
        <v>0.35506614261756381</v>
      </c>
      <c r="Y340">
        <v>0.40072352086162538</v>
      </c>
      <c r="Z340">
        <v>0.016426547523232488</v>
      </c>
      <c r="AA340">
        <v>2.1966927167350443</v>
      </c>
      <c r="AB340">
        <v>0.10125492370731001</v>
      </c>
      <c r="AC340">
        <v>1.0256904750916862</v>
      </c>
      <c r="AD340">
        <v>4.5956425647689665</v>
      </c>
      <c r="AE340">
        <v>4.927964256969747</v>
      </c>
      <c r="AF340">
        <v>5.2417534340161112</v>
      </c>
      <c r="AG340">
        <v>19.169780959612314</v>
      </c>
      <c r="AH340">
        <v>0.087608253457239951</v>
      </c>
      <c r="AI340">
        <v>0.56069282212633564</v>
      </c>
      <c r="AJ340">
        <v>8.1387225074723428</v>
      </c>
      <c r="AK340">
        <v>3.4718982367693698</v>
      </c>
      <c r="AL340">
        <v>2.264504874459158</v>
      </c>
      <c r="AM340">
        <v>0.56962212488255426</v>
      </c>
      <c r="AN340">
        <v>0.85182178746116377</v>
      </c>
      <c r="AO340">
        <v>0.59742089761417849</v>
      </c>
      <c r="AP340">
        <v>0.31378917704636422</v>
      </c>
      <c r="AQ340">
        <v>0.22062116904279946</v>
      </c>
      <c r="AR340">
        <v>1.6192363922644868</v>
      </c>
      <c r="AS340">
        <v>0.17311053928329626</v>
      </c>
      <c r="AT340">
        <v>0.11287986503144377</v>
      </c>
      <c r="AU340" t="s">
        <v>111</v>
      </c>
      <c r="BJ340" t="str">
        <f t="shared" si="10"/>
        <v>car</v>
      </c>
      <c r="BK340" t="str">
        <f t="shared" si="11"/>
        <v>gsl</v>
      </c>
    </row>
    <row r="341" spans="1:63" ht="14.5">
      <c r="A341" t="s">
        <v>118</v>
      </c>
      <c r="B341" t="s">
        <v>62</v>
      </c>
      <c r="C341" t="s">
        <v>95</v>
      </c>
      <c r="D341" t="s">
        <v>111</v>
      </c>
      <c r="E341" t="s">
        <v>111</v>
      </c>
      <c r="F341" t="s">
        <v>111</v>
      </c>
      <c r="G341" t="s">
        <v>65</v>
      </c>
      <c r="H341" t="s">
        <v>111</v>
      </c>
      <c r="I341" t="s">
        <v>111</v>
      </c>
      <c r="J341" t="s">
        <v>111</v>
      </c>
      <c r="K341" t="s">
        <v>111</v>
      </c>
      <c r="L341">
        <v>1.2877570871161799</v>
      </c>
      <c r="M341">
        <v>2.2362006694960495</v>
      </c>
      <c r="N341">
        <v>1.6416438878602808</v>
      </c>
      <c r="O341">
        <v>0.217588575653895</v>
      </c>
      <c r="P341">
        <v>0.064863803040456497</v>
      </c>
      <c r="Q341">
        <v>0.84171314283148224</v>
      </c>
      <c r="R341">
        <v>2.5917722443450972</v>
      </c>
      <c r="S341">
        <v>23.857833384037619</v>
      </c>
      <c r="T341">
        <v>0.10841521365333442</v>
      </c>
      <c r="U341">
        <v>0.25709652841490027</v>
      </c>
      <c r="V341">
        <v>1.0339458682059259</v>
      </c>
      <c r="W341">
        <v>2.2702331064159771</v>
      </c>
      <c r="X341">
        <v>0.35506614261756381</v>
      </c>
      <c r="Y341">
        <v>0.40072352086162538</v>
      </c>
      <c r="Z341">
        <v>0.016426547523232488</v>
      </c>
      <c r="AA341">
        <v>2.1966927167350443</v>
      </c>
      <c r="AB341">
        <v>0.10125492370731001</v>
      </c>
      <c r="AC341">
        <v>1.0256904750916862</v>
      </c>
      <c r="AD341">
        <v>4.5956425647689665</v>
      </c>
      <c r="AE341">
        <v>4.927964256969747</v>
      </c>
      <c r="AF341">
        <v>5.2417534340161112</v>
      </c>
      <c r="AG341">
        <v>19.169780959612314</v>
      </c>
      <c r="AH341">
        <v>0.087608253457239951</v>
      </c>
      <c r="AI341">
        <v>0.56069282212633564</v>
      </c>
      <c r="AJ341">
        <v>8.1387225074723428</v>
      </c>
      <c r="AK341">
        <v>3.4718982367693698</v>
      </c>
      <c r="AL341">
        <v>2.264504874459158</v>
      </c>
      <c r="AM341">
        <v>0.56962212488255426</v>
      </c>
      <c r="AN341">
        <v>0.85182178746116377</v>
      </c>
      <c r="AO341">
        <v>0.59742089761417849</v>
      </c>
      <c r="AP341">
        <v>0.31378917704636422</v>
      </c>
      <c r="AQ341">
        <v>0.22062116904279946</v>
      </c>
      <c r="AR341">
        <v>1.6192363922644868</v>
      </c>
      <c r="AS341">
        <v>0.17311053928329626</v>
      </c>
      <c r="AT341">
        <v>0.11287986503144377</v>
      </c>
      <c r="AU341" t="s">
        <v>111</v>
      </c>
      <c r="BJ341" t="str">
        <f t="shared" si="10"/>
        <v>car</v>
      </c>
      <c r="BK341" t="str">
        <f t="shared" si="11"/>
        <v>gsl</v>
      </c>
    </row>
    <row r="342" spans="1:63" ht="14.5">
      <c r="A342" t="s">
        <v>118</v>
      </c>
      <c r="B342" t="s">
        <v>62</v>
      </c>
      <c r="C342" t="s">
        <v>94</v>
      </c>
      <c r="D342" t="s">
        <v>111</v>
      </c>
      <c r="E342" t="s">
        <v>111</v>
      </c>
      <c r="F342" t="s">
        <v>111</v>
      </c>
      <c r="G342" t="s">
        <v>61</v>
      </c>
      <c r="H342" t="s">
        <v>111</v>
      </c>
      <c r="I342" t="s">
        <v>111</v>
      </c>
      <c r="J342" t="s">
        <v>111</v>
      </c>
      <c r="K342" t="s">
        <v>111</v>
      </c>
      <c r="L342">
        <v>0.086007718057540358</v>
      </c>
      <c r="M342">
        <v>8.4238705247346107E-05</v>
      </c>
      <c r="N342">
        <v>0.01272004449234926</v>
      </c>
      <c r="O342">
        <v>0.00058967093673142272</v>
      </c>
      <c r="P342">
        <v>0.013141238018585992</v>
      </c>
      <c r="Q342">
        <v>0.020470005375105103</v>
      </c>
      <c r="R342">
        <v>0</v>
      </c>
      <c r="S342">
        <v>0.15685246917055845</v>
      </c>
      <c r="T342">
        <v>0.0069918125355297265</v>
      </c>
      <c r="U342">
        <v>0.0076657221775084947</v>
      </c>
      <c r="V342">
        <v>0.006065186777808919</v>
      </c>
      <c r="W342">
        <v>0.039002520529521245</v>
      </c>
      <c r="X342">
        <v>0.02527161157420383</v>
      </c>
      <c r="Y342">
        <v>0.044393797665351398</v>
      </c>
      <c r="Z342">
        <v>0</v>
      </c>
      <c r="AA342">
        <v>0.0068233351250350342</v>
      </c>
      <c r="AB342">
        <v>0.00016847741049469221</v>
      </c>
      <c r="AC342">
        <v>0.19046371256424954</v>
      </c>
      <c r="AD342">
        <v>0.056776887336711275</v>
      </c>
      <c r="AE342">
        <v>0.057787751799679425</v>
      </c>
      <c r="AF342">
        <v>0.0056439932515721892</v>
      </c>
      <c r="AG342">
        <v>0.070928989818265412</v>
      </c>
      <c r="AH342">
        <v>0.00050543223148407659</v>
      </c>
      <c r="AI342">
        <v>0.16940403625241301</v>
      </c>
      <c r="AJ342">
        <v>0.54266573920340355</v>
      </c>
      <c r="AK342">
        <v>0.11321681985243316</v>
      </c>
      <c r="AL342">
        <v>0</v>
      </c>
      <c r="AM342">
        <v>0.0013478192839575377</v>
      </c>
      <c r="AN342">
        <v>0.014152102481554145</v>
      </c>
      <c r="AO342">
        <v>0</v>
      </c>
      <c r="AP342">
        <v>0.00016847741049469221</v>
      </c>
      <c r="AQ342">
        <v>0.30898757084726552</v>
      </c>
      <c r="AR342">
        <v>0.007244528651271764</v>
      </c>
      <c r="AS342">
        <v>0.15853724327550536</v>
      </c>
      <c r="AT342">
        <v>0.019964573143621024</v>
      </c>
      <c r="AU342" t="s">
        <v>111</v>
      </c>
      <c r="BJ342" t="str">
        <f t="shared" si="10"/>
        <v>car</v>
      </c>
      <c r="BK342" t="str">
        <f t="shared" si="11"/>
        <v>lpg</v>
      </c>
    </row>
    <row r="343" spans="1:63" ht="14.5">
      <c r="A343" t="s">
        <v>118</v>
      </c>
      <c r="B343" t="s">
        <v>62</v>
      </c>
      <c r="C343" t="s">
        <v>94</v>
      </c>
      <c r="D343" t="s">
        <v>111</v>
      </c>
      <c r="E343" t="s">
        <v>111</v>
      </c>
      <c r="F343" t="s">
        <v>111</v>
      </c>
      <c r="G343" t="s">
        <v>83</v>
      </c>
      <c r="H343" t="s">
        <v>111</v>
      </c>
      <c r="I343" t="s">
        <v>111</v>
      </c>
      <c r="J343" t="s">
        <v>111</v>
      </c>
      <c r="K343" t="s">
        <v>111</v>
      </c>
      <c r="L343">
        <v>0.086007718057540358</v>
      </c>
      <c r="M343">
        <v>8.4238705247346107E-05</v>
      </c>
      <c r="N343">
        <v>0.01272004449234926</v>
      </c>
      <c r="O343">
        <v>0.00058967093673142272</v>
      </c>
      <c r="P343">
        <v>0.013141238018585992</v>
      </c>
      <c r="Q343">
        <v>0.020470005375105103</v>
      </c>
      <c r="R343">
        <v>0</v>
      </c>
      <c r="S343">
        <v>0.15685246917055845</v>
      </c>
      <c r="T343">
        <v>0.0069918125355297265</v>
      </c>
      <c r="U343">
        <v>0.0076657221775084947</v>
      </c>
      <c r="V343">
        <v>0.006065186777808919</v>
      </c>
      <c r="W343">
        <v>0.039002520529521245</v>
      </c>
      <c r="X343">
        <v>0.02527161157420383</v>
      </c>
      <c r="Y343">
        <v>0.044393797665351398</v>
      </c>
      <c r="Z343">
        <v>0</v>
      </c>
      <c r="AA343">
        <v>0.0068233351250350342</v>
      </c>
      <c r="AB343">
        <v>0.00016847741049469221</v>
      </c>
      <c r="AC343">
        <v>0.19046371256424954</v>
      </c>
      <c r="AD343">
        <v>0.056776887336711275</v>
      </c>
      <c r="AE343">
        <v>0.057787751799679425</v>
      </c>
      <c r="AF343">
        <v>0.0056439932515721892</v>
      </c>
      <c r="AG343">
        <v>0.070928989818265412</v>
      </c>
      <c r="AH343">
        <v>0.00050543223148407659</v>
      </c>
      <c r="AI343">
        <v>0.16940403625241301</v>
      </c>
      <c r="AJ343">
        <v>0.54266573920340355</v>
      </c>
      <c r="AK343">
        <v>0.11321681985243316</v>
      </c>
      <c r="AL343">
        <v>0</v>
      </c>
      <c r="AM343">
        <v>0.0013478192839575377</v>
      </c>
      <c r="AN343">
        <v>0.014152102481554145</v>
      </c>
      <c r="AO343">
        <v>0</v>
      </c>
      <c r="AP343">
        <v>0.00016847741049469221</v>
      </c>
      <c r="AQ343">
        <v>0.30898757084726552</v>
      </c>
      <c r="AR343">
        <v>0.007244528651271764</v>
      </c>
      <c r="AS343">
        <v>0.15853724327550536</v>
      </c>
      <c r="AT343">
        <v>0.019964573143621024</v>
      </c>
      <c r="AU343" t="s">
        <v>111</v>
      </c>
      <c r="BJ343" t="str">
        <f t="shared" si="10"/>
        <v>car</v>
      </c>
      <c r="BK343" t="str">
        <f t="shared" si="11"/>
        <v>lpg</v>
      </c>
    </row>
    <row r="344" spans="1:63" ht="14.5">
      <c r="A344" t="s">
        <v>118</v>
      </c>
      <c r="B344" t="s">
        <v>62</v>
      </c>
      <c r="C344" t="s">
        <v>94</v>
      </c>
      <c r="D344" t="s">
        <v>111</v>
      </c>
      <c r="E344" t="s">
        <v>111</v>
      </c>
      <c r="F344" t="s">
        <v>111</v>
      </c>
      <c r="G344" t="s">
        <v>82</v>
      </c>
      <c r="H344" t="s">
        <v>111</v>
      </c>
      <c r="I344" t="s">
        <v>111</v>
      </c>
      <c r="J344" t="s">
        <v>111</v>
      </c>
      <c r="K344" t="s">
        <v>111</v>
      </c>
      <c r="L344">
        <v>0.086007718057540358</v>
      </c>
      <c r="M344">
        <v>8.4238705247346107E-05</v>
      </c>
      <c r="N344">
        <v>0.01272004449234926</v>
      </c>
      <c r="O344">
        <v>0.00058967093673142272</v>
      </c>
      <c r="P344">
        <v>0.013141238018585992</v>
      </c>
      <c r="Q344">
        <v>0.020470005375105103</v>
      </c>
      <c r="R344">
        <v>0</v>
      </c>
      <c r="S344">
        <v>0.15685246917055845</v>
      </c>
      <c r="T344">
        <v>0.0069918125355297265</v>
      </c>
      <c r="U344">
        <v>0.0076657221775084947</v>
      </c>
      <c r="V344">
        <v>0.006065186777808919</v>
      </c>
      <c r="W344">
        <v>0.039002520529521245</v>
      </c>
      <c r="X344">
        <v>0.02527161157420383</v>
      </c>
      <c r="Y344">
        <v>0.044393797665351398</v>
      </c>
      <c r="Z344">
        <v>0</v>
      </c>
      <c r="AA344">
        <v>0.0068233351250350342</v>
      </c>
      <c r="AB344">
        <v>0.00016847741049469221</v>
      </c>
      <c r="AC344">
        <v>0.19046371256424954</v>
      </c>
      <c r="AD344">
        <v>0.056776887336711275</v>
      </c>
      <c r="AE344">
        <v>0.057787751799679425</v>
      </c>
      <c r="AF344">
        <v>0.0056439932515721892</v>
      </c>
      <c r="AG344">
        <v>0.070928989818265412</v>
      </c>
      <c r="AH344">
        <v>0.00050543223148407659</v>
      </c>
      <c r="AI344">
        <v>0.16940403625241301</v>
      </c>
      <c r="AJ344">
        <v>0.54266573920340355</v>
      </c>
      <c r="AK344">
        <v>0.11321681985243316</v>
      </c>
      <c r="AL344">
        <v>0</v>
      </c>
      <c r="AM344">
        <v>0.0013478192839575377</v>
      </c>
      <c r="AN344">
        <v>0.014152102481554145</v>
      </c>
      <c r="AO344">
        <v>0</v>
      </c>
      <c r="AP344">
        <v>0.00016847741049469221</v>
      </c>
      <c r="AQ344">
        <v>0.30898757084726552</v>
      </c>
      <c r="AR344">
        <v>0.007244528651271764</v>
      </c>
      <c r="AS344">
        <v>0.15853724327550536</v>
      </c>
      <c r="AT344">
        <v>0.019964573143621024</v>
      </c>
      <c r="AU344" t="s">
        <v>111</v>
      </c>
      <c r="BJ344" t="str">
        <f t="shared" si="10"/>
        <v>car</v>
      </c>
      <c r="BK344" t="str">
        <f t="shared" si="11"/>
        <v>lpg</v>
      </c>
    </row>
    <row r="345" spans="1:63" ht="14.5">
      <c r="A345" t="s">
        <v>118</v>
      </c>
      <c r="B345" t="s">
        <v>62</v>
      </c>
      <c r="C345" t="s">
        <v>94</v>
      </c>
      <c r="D345" t="s">
        <v>111</v>
      </c>
      <c r="E345" t="s">
        <v>111</v>
      </c>
      <c r="F345" t="s">
        <v>111</v>
      </c>
      <c r="G345" t="s">
        <v>81</v>
      </c>
      <c r="H345" t="s">
        <v>111</v>
      </c>
      <c r="I345" t="s">
        <v>111</v>
      </c>
      <c r="J345" t="s">
        <v>111</v>
      </c>
      <c r="K345" t="s">
        <v>111</v>
      </c>
      <c r="L345">
        <v>0.086007718057540358</v>
      </c>
      <c r="M345">
        <v>8.4238705247346107E-05</v>
      </c>
      <c r="N345">
        <v>0.01272004449234926</v>
      </c>
      <c r="O345">
        <v>0.00058967093673142272</v>
      </c>
      <c r="P345">
        <v>0.013141238018585992</v>
      </c>
      <c r="Q345">
        <v>0.020470005375105103</v>
      </c>
      <c r="R345">
        <v>0</v>
      </c>
      <c r="S345">
        <v>0.15685246917055845</v>
      </c>
      <c r="T345">
        <v>0.0069918125355297265</v>
      </c>
      <c r="U345">
        <v>0.0076657221775084947</v>
      </c>
      <c r="V345">
        <v>0.006065186777808919</v>
      </c>
      <c r="W345">
        <v>0.039002520529521245</v>
      </c>
      <c r="X345">
        <v>0.02527161157420383</v>
      </c>
      <c r="Y345">
        <v>0.044393797665351398</v>
      </c>
      <c r="Z345">
        <v>0</v>
      </c>
      <c r="AA345">
        <v>0.0068233351250350342</v>
      </c>
      <c r="AB345">
        <v>0.00016847741049469221</v>
      </c>
      <c r="AC345">
        <v>0.19046371256424954</v>
      </c>
      <c r="AD345">
        <v>0.056776887336711275</v>
      </c>
      <c r="AE345">
        <v>0.057787751799679425</v>
      </c>
      <c r="AF345">
        <v>0.0056439932515721892</v>
      </c>
      <c r="AG345">
        <v>0.070928989818265412</v>
      </c>
      <c r="AH345">
        <v>0.00050543223148407659</v>
      </c>
      <c r="AI345">
        <v>0.16940403625241301</v>
      </c>
      <c r="AJ345">
        <v>0.54266573920340355</v>
      </c>
      <c r="AK345">
        <v>0.11321681985243316</v>
      </c>
      <c r="AL345">
        <v>0</v>
      </c>
      <c r="AM345">
        <v>0.0013478192839575377</v>
      </c>
      <c r="AN345">
        <v>0.014152102481554145</v>
      </c>
      <c r="AO345">
        <v>0</v>
      </c>
      <c r="AP345">
        <v>0.00016847741049469221</v>
      </c>
      <c r="AQ345">
        <v>0.30898757084726552</v>
      </c>
      <c r="AR345">
        <v>0.007244528651271764</v>
      </c>
      <c r="AS345">
        <v>0.15853724327550536</v>
      </c>
      <c r="AT345">
        <v>0.019964573143621024</v>
      </c>
      <c r="AU345" t="s">
        <v>111</v>
      </c>
      <c r="BJ345" t="str">
        <f t="shared" si="10"/>
        <v>car</v>
      </c>
      <c r="BK345" t="str">
        <f t="shared" si="11"/>
        <v>lpg</v>
      </c>
    </row>
    <row r="346" spans="1:63" ht="14.5">
      <c r="A346" t="s">
        <v>118</v>
      </c>
      <c r="B346" t="s">
        <v>62</v>
      </c>
      <c r="C346" t="s">
        <v>94</v>
      </c>
      <c r="D346" t="s">
        <v>111</v>
      </c>
      <c r="E346" t="s">
        <v>111</v>
      </c>
      <c r="F346" t="s">
        <v>111</v>
      </c>
      <c r="G346" t="s">
        <v>80</v>
      </c>
      <c r="H346" t="s">
        <v>111</v>
      </c>
      <c r="I346" t="s">
        <v>111</v>
      </c>
      <c r="J346" t="s">
        <v>111</v>
      </c>
      <c r="K346" t="s">
        <v>111</v>
      </c>
      <c r="L346">
        <v>0.086007718057540358</v>
      </c>
      <c r="M346">
        <v>8.4238705247346107E-05</v>
      </c>
      <c r="N346">
        <v>0.01272004449234926</v>
      </c>
      <c r="O346">
        <v>0.00058967093673142272</v>
      </c>
      <c r="P346">
        <v>0.013141238018585992</v>
      </c>
      <c r="Q346">
        <v>0.020470005375105103</v>
      </c>
      <c r="R346">
        <v>0</v>
      </c>
      <c r="S346">
        <v>0.15685246917055845</v>
      </c>
      <c r="T346">
        <v>0.0069918125355297265</v>
      </c>
      <c r="U346">
        <v>0.0076657221775084947</v>
      </c>
      <c r="V346">
        <v>0.006065186777808919</v>
      </c>
      <c r="W346">
        <v>0.039002520529521245</v>
      </c>
      <c r="X346">
        <v>0.02527161157420383</v>
      </c>
      <c r="Y346">
        <v>0.044393797665351398</v>
      </c>
      <c r="Z346">
        <v>0</v>
      </c>
      <c r="AA346">
        <v>0.0068233351250350342</v>
      </c>
      <c r="AB346">
        <v>0.00016847741049469221</v>
      </c>
      <c r="AC346">
        <v>0.19046371256424954</v>
      </c>
      <c r="AD346">
        <v>0.056776887336711275</v>
      </c>
      <c r="AE346">
        <v>0.057787751799679425</v>
      </c>
      <c r="AF346">
        <v>0.0056439932515721892</v>
      </c>
      <c r="AG346">
        <v>0.070928989818265412</v>
      </c>
      <c r="AH346">
        <v>0.00050543223148407659</v>
      </c>
      <c r="AI346">
        <v>0.16940403625241301</v>
      </c>
      <c r="AJ346">
        <v>0.54266573920340355</v>
      </c>
      <c r="AK346">
        <v>0.11321681985243316</v>
      </c>
      <c r="AL346">
        <v>0</v>
      </c>
      <c r="AM346">
        <v>0.0013478192839575377</v>
      </c>
      <c r="AN346">
        <v>0.014152102481554145</v>
      </c>
      <c r="AO346">
        <v>0</v>
      </c>
      <c r="AP346">
        <v>0.00016847741049469221</v>
      </c>
      <c r="AQ346">
        <v>0.30898757084726552</v>
      </c>
      <c r="AR346">
        <v>0.007244528651271764</v>
      </c>
      <c r="AS346">
        <v>0.15853724327550536</v>
      </c>
      <c r="AT346">
        <v>0.019964573143621024</v>
      </c>
      <c r="AU346" t="s">
        <v>111</v>
      </c>
      <c r="BJ346" t="str">
        <f t="shared" si="10"/>
        <v>car</v>
      </c>
      <c r="BK346" t="str">
        <f t="shared" si="11"/>
        <v>lpg</v>
      </c>
    </row>
    <row r="347" spans="1:63" ht="14.5">
      <c r="A347" t="s">
        <v>118</v>
      </c>
      <c r="B347" t="s">
        <v>62</v>
      </c>
      <c r="C347" t="s">
        <v>94</v>
      </c>
      <c r="D347" t="s">
        <v>111</v>
      </c>
      <c r="E347" t="s">
        <v>111</v>
      </c>
      <c r="F347" t="s">
        <v>111</v>
      </c>
      <c r="G347" t="s">
        <v>79</v>
      </c>
      <c r="H347" t="s">
        <v>111</v>
      </c>
      <c r="I347" t="s">
        <v>111</v>
      </c>
      <c r="J347" t="s">
        <v>111</v>
      </c>
      <c r="K347" t="s">
        <v>111</v>
      </c>
      <c r="L347">
        <v>0.086007718057540358</v>
      </c>
      <c r="M347">
        <v>8.4238705247346107E-05</v>
      </c>
      <c r="N347">
        <v>0.01272004449234926</v>
      </c>
      <c r="O347">
        <v>0.00058967093673142272</v>
      </c>
      <c r="P347">
        <v>0.013141238018585992</v>
      </c>
      <c r="Q347">
        <v>0.020470005375105103</v>
      </c>
      <c r="R347">
        <v>0</v>
      </c>
      <c r="S347">
        <v>0.15685246917055845</v>
      </c>
      <c r="T347">
        <v>0.0069918125355297265</v>
      </c>
      <c r="U347">
        <v>0.0076657221775084947</v>
      </c>
      <c r="V347">
        <v>0.006065186777808919</v>
      </c>
      <c r="W347">
        <v>0.039002520529521245</v>
      </c>
      <c r="X347">
        <v>0.02527161157420383</v>
      </c>
      <c r="Y347">
        <v>0.044393797665351398</v>
      </c>
      <c r="Z347">
        <v>0</v>
      </c>
      <c r="AA347">
        <v>0.0068233351250350342</v>
      </c>
      <c r="AB347">
        <v>0.00016847741049469221</v>
      </c>
      <c r="AC347">
        <v>0.19046371256424954</v>
      </c>
      <c r="AD347">
        <v>0.056776887336711275</v>
      </c>
      <c r="AE347">
        <v>0.057787751799679425</v>
      </c>
      <c r="AF347">
        <v>0.0056439932515721892</v>
      </c>
      <c r="AG347">
        <v>0.070928989818265412</v>
      </c>
      <c r="AH347">
        <v>0.00050543223148407659</v>
      </c>
      <c r="AI347">
        <v>0.16940403625241301</v>
      </c>
      <c r="AJ347">
        <v>0.54266573920340355</v>
      </c>
      <c r="AK347">
        <v>0.11321681985243316</v>
      </c>
      <c r="AL347">
        <v>0</v>
      </c>
      <c r="AM347">
        <v>0.0013478192839575377</v>
      </c>
      <c r="AN347">
        <v>0.014152102481554145</v>
      </c>
      <c r="AO347">
        <v>0</v>
      </c>
      <c r="AP347">
        <v>0.00016847741049469221</v>
      </c>
      <c r="AQ347">
        <v>0.30898757084726552</v>
      </c>
      <c r="AR347">
        <v>0.007244528651271764</v>
      </c>
      <c r="AS347">
        <v>0.15853724327550536</v>
      </c>
      <c r="AT347">
        <v>0.019964573143621024</v>
      </c>
      <c r="AU347" t="s">
        <v>111</v>
      </c>
      <c r="BJ347" t="str">
        <f t="shared" si="10"/>
        <v>car</v>
      </c>
      <c r="BK347" t="str">
        <f t="shared" si="11"/>
        <v>lpg</v>
      </c>
    </row>
    <row r="348" spans="1:63" ht="14.5">
      <c r="A348" t="s">
        <v>118</v>
      </c>
      <c r="B348" t="s">
        <v>62</v>
      </c>
      <c r="C348" t="s">
        <v>94</v>
      </c>
      <c r="D348" t="s">
        <v>111</v>
      </c>
      <c r="E348" t="s">
        <v>111</v>
      </c>
      <c r="F348" t="s">
        <v>111</v>
      </c>
      <c r="G348" t="s">
        <v>78</v>
      </c>
      <c r="H348" t="s">
        <v>111</v>
      </c>
      <c r="I348" t="s">
        <v>111</v>
      </c>
      <c r="J348" t="s">
        <v>111</v>
      </c>
      <c r="K348" t="s">
        <v>111</v>
      </c>
      <c r="L348">
        <v>0.086007718057540358</v>
      </c>
      <c r="M348">
        <v>8.4238705247346107E-05</v>
      </c>
      <c r="N348">
        <v>0.01272004449234926</v>
      </c>
      <c r="O348">
        <v>0.00058967093673142272</v>
      </c>
      <c r="P348">
        <v>0.013141238018585992</v>
      </c>
      <c r="Q348">
        <v>0.020470005375105103</v>
      </c>
      <c r="R348">
        <v>0</v>
      </c>
      <c r="S348">
        <v>0.15685246917055845</v>
      </c>
      <c r="T348">
        <v>0.0069918125355297265</v>
      </c>
      <c r="U348">
        <v>0.0076657221775084947</v>
      </c>
      <c r="V348">
        <v>0.006065186777808919</v>
      </c>
      <c r="W348">
        <v>0.039002520529521245</v>
      </c>
      <c r="X348">
        <v>0.02527161157420383</v>
      </c>
      <c r="Y348">
        <v>0.044393797665351398</v>
      </c>
      <c r="Z348">
        <v>0</v>
      </c>
      <c r="AA348">
        <v>0.0068233351250350342</v>
      </c>
      <c r="AB348">
        <v>0.00016847741049469221</v>
      </c>
      <c r="AC348">
        <v>0.19046371256424954</v>
      </c>
      <c r="AD348">
        <v>0.056776887336711275</v>
      </c>
      <c r="AE348">
        <v>0.057787751799679425</v>
      </c>
      <c r="AF348">
        <v>0.0056439932515721892</v>
      </c>
      <c r="AG348">
        <v>0.070928989818265412</v>
      </c>
      <c r="AH348">
        <v>0.00050543223148407659</v>
      </c>
      <c r="AI348">
        <v>0.16940403625241301</v>
      </c>
      <c r="AJ348">
        <v>0.54266573920340355</v>
      </c>
      <c r="AK348">
        <v>0.11321681985243316</v>
      </c>
      <c r="AL348">
        <v>0</v>
      </c>
      <c r="AM348">
        <v>0.0013478192839575377</v>
      </c>
      <c r="AN348">
        <v>0.014152102481554145</v>
      </c>
      <c r="AO348">
        <v>0</v>
      </c>
      <c r="AP348">
        <v>0.00016847741049469221</v>
      </c>
      <c r="AQ348">
        <v>0.30898757084726552</v>
      </c>
      <c r="AR348">
        <v>0.007244528651271764</v>
      </c>
      <c r="AS348">
        <v>0.15853724327550536</v>
      </c>
      <c r="AT348">
        <v>0.019964573143621024</v>
      </c>
      <c r="AU348" t="s">
        <v>111</v>
      </c>
      <c r="BJ348" t="str">
        <f t="shared" si="10"/>
        <v>car</v>
      </c>
      <c r="BK348" t="str">
        <f t="shared" si="11"/>
        <v>lpg</v>
      </c>
    </row>
    <row r="349" spans="1:63" ht="14.5">
      <c r="A349" t="s">
        <v>118</v>
      </c>
      <c r="B349" t="s">
        <v>62</v>
      </c>
      <c r="C349" t="s">
        <v>94</v>
      </c>
      <c r="D349" t="s">
        <v>111</v>
      </c>
      <c r="E349" t="s">
        <v>111</v>
      </c>
      <c r="F349" t="s">
        <v>111</v>
      </c>
      <c r="G349" t="s">
        <v>77</v>
      </c>
      <c r="H349" t="s">
        <v>111</v>
      </c>
      <c r="I349" t="s">
        <v>111</v>
      </c>
      <c r="J349" t="s">
        <v>111</v>
      </c>
      <c r="K349" t="s">
        <v>111</v>
      </c>
      <c r="L349">
        <v>0.086007718057540358</v>
      </c>
      <c r="M349">
        <v>8.4238705247346107E-05</v>
      </c>
      <c r="N349">
        <v>0.01272004449234926</v>
      </c>
      <c r="O349">
        <v>0.00058967093673142272</v>
      </c>
      <c r="P349">
        <v>0.013141238018585992</v>
      </c>
      <c r="Q349">
        <v>0.020470005375105103</v>
      </c>
      <c r="R349">
        <v>0</v>
      </c>
      <c r="S349">
        <v>0.15685246917055845</v>
      </c>
      <c r="T349">
        <v>0.0069918125355297265</v>
      </c>
      <c r="U349">
        <v>0.0076657221775084947</v>
      </c>
      <c r="V349">
        <v>0.006065186777808919</v>
      </c>
      <c r="W349">
        <v>0.039002520529521245</v>
      </c>
      <c r="X349">
        <v>0.02527161157420383</v>
      </c>
      <c r="Y349">
        <v>0.044393797665351398</v>
      </c>
      <c r="Z349">
        <v>0</v>
      </c>
      <c r="AA349">
        <v>0.0068233351250350342</v>
      </c>
      <c r="AB349">
        <v>0.00016847741049469221</v>
      </c>
      <c r="AC349">
        <v>0.19046371256424954</v>
      </c>
      <c r="AD349">
        <v>0.056776887336711275</v>
      </c>
      <c r="AE349">
        <v>0.057787751799679425</v>
      </c>
      <c r="AF349">
        <v>0.0056439932515721892</v>
      </c>
      <c r="AG349">
        <v>0.070928989818265412</v>
      </c>
      <c r="AH349">
        <v>0.00050543223148407659</v>
      </c>
      <c r="AI349">
        <v>0.16940403625241301</v>
      </c>
      <c r="AJ349">
        <v>0.54266573920340355</v>
      </c>
      <c r="AK349">
        <v>0.11321681985243316</v>
      </c>
      <c r="AL349">
        <v>0</v>
      </c>
      <c r="AM349">
        <v>0.0013478192839575377</v>
      </c>
      <c r="AN349">
        <v>0.014152102481554145</v>
      </c>
      <c r="AO349">
        <v>0</v>
      </c>
      <c r="AP349">
        <v>0.00016847741049469221</v>
      </c>
      <c r="AQ349">
        <v>0.30898757084726552</v>
      </c>
      <c r="AR349">
        <v>0.007244528651271764</v>
      </c>
      <c r="AS349">
        <v>0.15853724327550536</v>
      </c>
      <c r="AT349">
        <v>0.019964573143621024</v>
      </c>
      <c r="AU349" t="s">
        <v>111</v>
      </c>
      <c r="BJ349" t="str">
        <f t="shared" si="10"/>
        <v>car</v>
      </c>
      <c r="BK349" t="str">
        <f t="shared" si="11"/>
        <v>lpg</v>
      </c>
    </row>
    <row r="350" spans="1:63" ht="14.5">
      <c r="A350" t="s">
        <v>118</v>
      </c>
      <c r="B350" t="s">
        <v>62</v>
      </c>
      <c r="C350" t="s">
        <v>94</v>
      </c>
      <c r="D350" t="s">
        <v>111</v>
      </c>
      <c r="E350" t="s">
        <v>111</v>
      </c>
      <c r="F350" t="s">
        <v>111</v>
      </c>
      <c r="G350" t="s">
        <v>76</v>
      </c>
      <c r="H350" t="s">
        <v>111</v>
      </c>
      <c r="I350" t="s">
        <v>111</v>
      </c>
      <c r="J350" t="s">
        <v>111</v>
      </c>
      <c r="K350" t="s">
        <v>111</v>
      </c>
      <c r="L350">
        <v>0.086007718057540358</v>
      </c>
      <c r="M350">
        <v>8.4238705247346107E-05</v>
      </c>
      <c r="N350">
        <v>0.01272004449234926</v>
      </c>
      <c r="O350">
        <v>0.00058967093673142272</v>
      </c>
      <c r="P350">
        <v>0.013141238018585992</v>
      </c>
      <c r="Q350">
        <v>0.020470005375105103</v>
      </c>
      <c r="R350">
        <v>0</v>
      </c>
      <c r="S350">
        <v>0.15685246917055845</v>
      </c>
      <c r="T350">
        <v>0.0069918125355297265</v>
      </c>
      <c r="U350">
        <v>0.0076657221775084947</v>
      </c>
      <c r="V350">
        <v>0.006065186777808919</v>
      </c>
      <c r="W350">
        <v>0.039002520529521245</v>
      </c>
      <c r="X350">
        <v>0.02527161157420383</v>
      </c>
      <c r="Y350">
        <v>0.044393797665351398</v>
      </c>
      <c r="Z350">
        <v>0</v>
      </c>
      <c r="AA350">
        <v>0.0068233351250350342</v>
      </c>
      <c r="AB350">
        <v>0.00016847741049469221</v>
      </c>
      <c r="AC350">
        <v>0.19046371256424954</v>
      </c>
      <c r="AD350">
        <v>0.056776887336711275</v>
      </c>
      <c r="AE350">
        <v>0.057787751799679425</v>
      </c>
      <c r="AF350">
        <v>0.0056439932515721892</v>
      </c>
      <c r="AG350">
        <v>0.070928989818265412</v>
      </c>
      <c r="AH350">
        <v>0.00050543223148407659</v>
      </c>
      <c r="AI350">
        <v>0.16940403625241301</v>
      </c>
      <c r="AJ350">
        <v>0.54266573920340355</v>
      </c>
      <c r="AK350">
        <v>0.11321681985243316</v>
      </c>
      <c r="AL350">
        <v>0</v>
      </c>
      <c r="AM350">
        <v>0.0013478192839575377</v>
      </c>
      <c r="AN350">
        <v>0.014152102481554145</v>
      </c>
      <c r="AO350">
        <v>0</v>
      </c>
      <c r="AP350">
        <v>0.00016847741049469221</v>
      </c>
      <c r="AQ350">
        <v>0.30898757084726552</v>
      </c>
      <c r="AR350">
        <v>0.007244528651271764</v>
      </c>
      <c r="AS350">
        <v>0.15853724327550536</v>
      </c>
      <c r="AT350">
        <v>0.019964573143621024</v>
      </c>
      <c r="AU350" t="s">
        <v>111</v>
      </c>
      <c r="BJ350" t="str">
        <f t="shared" si="10"/>
        <v>car</v>
      </c>
      <c r="BK350" t="str">
        <f t="shared" si="11"/>
        <v>lpg</v>
      </c>
    </row>
    <row r="351" spans="1:63" ht="14.5">
      <c r="A351" t="s">
        <v>118</v>
      </c>
      <c r="B351" t="s">
        <v>62</v>
      </c>
      <c r="C351" t="s">
        <v>94</v>
      </c>
      <c r="D351" t="s">
        <v>111</v>
      </c>
      <c r="E351" t="s">
        <v>111</v>
      </c>
      <c r="F351" t="s">
        <v>111</v>
      </c>
      <c r="G351" t="s">
        <v>75</v>
      </c>
      <c r="H351" t="s">
        <v>111</v>
      </c>
      <c r="I351" t="s">
        <v>111</v>
      </c>
      <c r="J351" t="s">
        <v>111</v>
      </c>
      <c r="K351" t="s">
        <v>111</v>
      </c>
      <c r="L351">
        <v>0.086007718057540358</v>
      </c>
      <c r="M351">
        <v>8.4238705247346107E-05</v>
      </c>
      <c r="N351">
        <v>0.01272004449234926</v>
      </c>
      <c r="O351">
        <v>0.00058967093673142272</v>
      </c>
      <c r="P351">
        <v>0.013141238018585992</v>
      </c>
      <c r="Q351">
        <v>0.020470005375105103</v>
      </c>
      <c r="R351">
        <v>0</v>
      </c>
      <c r="S351">
        <v>0.15685246917055845</v>
      </c>
      <c r="T351">
        <v>0.0069918125355297265</v>
      </c>
      <c r="U351">
        <v>0.0076657221775084947</v>
      </c>
      <c r="V351">
        <v>0.006065186777808919</v>
      </c>
      <c r="W351">
        <v>0.039002520529521245</v>
      </c>
      <c r="X351">
        <v>0.02527161157420383</v>
      </c>
      <c r="Y351">
        <v>0.044393797665351398</v>
      </c>
      <c r="Z351">
        <v>0</v>
      </c>
      <c r="AA351">
        <v>0.0068233351250350342</v>
      </c>
      <c r="AB351">
        <v>0.00016847741049469221</v>
      </c>
      <c r="AC351">
        <v>0.19046371256424954</v>
      </c>
      <c r="AD351">
        <v>0.056776887336711275</v>
      </c>
      <c r="AE351">
        <v>0.057787751799679425</v>
      </c>
      <c r="AF351">
        <v>0.0056439932515721892</v>
      </c>
      <c r="AG351">
        <v>0.070928989818265412</v>
      </c>
      <c r="AH351">
        <v>0.00050543223148407659</v>
      </c>
      <c r="AI351">
        <v>0.16940403625241301</v>
      </c>
      <c r="AJ351">
        <v>0.54266573920340355</v>
      </c>
      <c r="AK351">
        <v>0.11321681985243316</v>
      </c>
      <c r="AL351">
        <v>0</v>
      </c>
      <c r="AM351">
        <v>0.0013478192839575377</v>
      </c>
      <c r="AN351">
        <v>0.014152102481554145</v>
      </c>
      <c r="AO351">
        <v>0</v>
      </c>
      <c r="AP351">
        <v>0.00016847741049469221</v>
      </c>
      <c r="AQ351">
        <v>0.30898757084726552</v>
      </c>
      <c r="AR351">
        <v>0.007244528651271764</v>
      </c>
      <c r="AS351">
        <v>0.15853724327550536</v>
      </c>
      <c r="AT351">
        <v>0.019964573143621024</v>
      </c>
      <c r="AU351" t="s">
        <v>111</v>
      </c>
      <c r="BJ351" t="str">
        <f t="shared" si="10"/>
        <v>car</v>
      </c>
      <c r="BK351" t="str">
        <f t="shared" si="11"/>
        <v>lpg</v>
      </c>
    </row>
    <row r="352" spans="1:63" ht="14.5">
      <c r="A352" t="s">
        <v>118</v>
      </c>
      <c r="B352" t="s">
        <v>62</v>
      </c>
      <c r="C352" t="s">
        <v>94</v>
      </c>
      <c r="D352" t="s">
        <v>111</v>
      </c>
      <c r="E352" t="s">
        <v>111</v>
      </c>
      <c r="F352" t="s">
        <v>111</v>
      </c>
      <c r="G352" t="s">
        <v>74</v>
      </c>
      <c r="H352" t="s">
        <v>111</v>
      </c>
      <c r="I352" t="s">
        <v>111</v>
      </c>
      <c r="J352" t="s">
        <v>111</v>
      </c>
      <c r="K352" t="s">
        <v>111</v>
      </c>
      <c r="L352">
        <v>0.086007718057540358</v>
      </c>
      <c r="M352">
        <v>8.4238705247346107E-05</v>
      </c>
      <c r="N352">
        <v>0.01272004449234926</v>
      </c>
      <c r="O352">
        <v>0.00058967093673142272</v>
      </c>
      <c r="P352">
        <v>0.013141238018585992</v>
      </c>
      <c r="Q352">
        <v>0.020470005375105103</v>
      </c>
      <c r="R352">
        <v>0</v>
      </c>
      <c r="S352">
        <v>0.15685246917055845</v>
      </c>
      <c r="T352">
        <v>0.0069918125355297265</v>
      </c>
      <c r="U352">
        <v>0.0076657221775084947</v>
      </c>
      <c r="V352">
        <v>0.006065186777808919</v>
      </c>
      <c r="W352">
        <v>0.039002520529521245</v>
      </c>
      <c r="X352">
        <v>0.02527161157420383</v>
      </c>
      <c r="Y352">
        <v>0.044393797665351398</v>
      </c>
      <c r="Z352">
        <v>0</v>
      </c>
      <c r="AA352">
        <v>0.0068233351250350342</v>
      </c>
      <c r="AB352">
        <v>0.00016847741049469221</v>
      </c>
      <c r="AC352">
        <v>0.19046371256424954</v>
      </c>
      <c r="AD352">
        <v>0.056776887336711275</v>
      </c>
      <c r="AE352">
        <v>0.057787751799679425</v>
      </c>
      <c r="AF352">
        <v>0.0056439932515721892</v>
      </c>
      <c r="AG352">
        <v>0.070928989818265412</v>
      </c>
      <c r="AH352">
        <v>0.00050543223148407659</v>
      </c>
      <c r="AI352">
        <v>0.16940403625241301</v>
      </c>
      <c r="AJ352">
        <v>0.54266573920340355</v>
      </c>
      <c r="AK352">
        <v>0.11321681985243316</v>
      </c>
      <c r="AL352">
        <v>0</v>
      </c>
      <c r="AM352">
        <v>0.0013478192839575377</v>
      </c>
      <c r="AN352">
        <v>0.014152102481554145</v>
      </c>
      <c r="AO352">
        <v>0</v>
      </c>
      <c r="AP352">
        <v>0.00016847741049469221</v>
      </c>
      <c r="AQ352">
        <v>0.30898757084726552</v>
      </c>
      <c r="AR352">
        <v>0.007244528651271764</v>
      </c>
      <c r="AS352">
        <v>0.15853724327550536</v>
      </c>
      <c r="AT352">
        <v>0.019964573143621024</v>
      </c>
      <c r="AU352" t="s">
        <v>111</v>
      </c>
      <c r="BJ352" t="str">
        <f t="shared" si="10"/>
        <v>car</v>
      </c>
      <c r="BK352" t="str">
        <f t="shared" si="11"/>
        <v>lpg</v>
      </c>
    </row>
    <row r="353" spans="1:63" ht="14.5">
      <c r="A353" t="s">
        <v>118</v>
      </c>
      <c r="B353" t="s">
        <v>62</v>
      </c>
      <c r="C353" t="s">
        <v>94</v>
      </c>
      <c r="D353" t="s">
        <v>111</v>
      </c>
      <c r="E353" t="s">
        <v>111</v>
      </c>
      <c r="F353" t="s">
        <v>111</v>
      </c>
      <c r="G353" t="s">
        <v>73</v>
      </c>
      <c r="H353" t="s">
        <v>111</v>
      </c>
      <c r="I353" t="s">
        <v>111</v>
      </c>
      <c r="J353" t="s">
        <v>111</v>
      </c>
      <c r="K353" t="s">
        <v>111</v>
      </c>
      <c r="L353">
        <v>0.086007718057540358</v>
      </c>
      <c r="M353">
        <v>8.4238705247346107E-05</v>
      </c>
      <c r="N353">
        <v>0.01272004449234926</v>
      </c>
      <c r="O353">
        <v>0.00058967093673142272</v>
      </c>
      <c r="P353">
        <v>0.013141238018585992</v>
      </c>
      <c r="Q353">
        <v>0.020470005375105103</v>
      </c>
      <c r="R353">
        <v>0</v>
      </c>
      <c r="S353">
        <v>0.15685246917055845</v>
      </c>
      <c r="T353">
        <v>0.0069918125355297265</v>
      </c>
      <c r="U353">
        <v>0.0076657221775084947</v>
      </c>
      <c r="V353">
        <v>0.006065186777808919</v>
      </c>
      <c r="W353">
        <v>0.039002520529521245</v>
      </c>
      <c r="X353">
        <v>0.02527161157420383</v>
      </c>
      <c r="Y353">
        <v>0.044393797665351398</v>
      </c>
      <c r="Z353">
        <v>0</v>
      </c>
      <c r="AA353">
        <v>0.0068233351250350342</v>
      </c>
      <c r="AB353">
        <v>0.00016847741049469221</v>
      </c>
      <c r="AC353">
        <v>0.19046371256424954</v>
      </c>
      <c r="AD353">
        <v>0.056776887336711275</v>
      </c>
      <c r="AE353">
        <v>0.057787751799679425</v>
      </c>
      <c r="AF353">
        <v>0.0056439932515721892</v>
      </c>
      <c r="AG353">
        <v>0.070928989818265412</v>
      </c>
      <c r="AH353">
        <v>0.00050543223148407659</v>
      </c>
      <c r="AI353">
        <v>0.16940403625241301</v>
      </c>
      <c r="AJ353">
        <v>0.54266573920340355</v>
      </c>
      <c r="AK353">
        <v>0.11321681985243316</v>
      </c>
      <c r="AL353">
        <v>0</v>
      </c>
      <c r="AM353">
        <v>0.0013478192839575377</v>
      </c>
      <c r="AN353">
        <v>0.014152102481554145</v>
      </c>
      <c r="AO353">
        <v>0</v>
      </c>
      <c r="AP353">
        <v>0.00016847741049469221</v>
      </c>
      <c r="AQ353">
        <v>0.30898757084726552</v>
      </c>
      <c r="AR353">
        <v>0.007244528651271764</v>
      </c>
      <c r="AS353">
        <v>0.15853724327550536</v>
      </c>
      <c r="AT353">
        <v>0.019964573143621024</v>
      </c>
      <c r="AU353" t="s">
        <v>111</v>
      </c>
      <c r="BJ353" t="str">
        <f t="shared" si="10"/>
        <v>car</v>
      </c>
      <c r="BK353" t="str">
        <f t="shared" si="11"/>
        <v>lpg</v>
      </c>
    </row>
    <row r="354" spans="1:63" ht="14.5">
      <c r="A354" t="s">
        <v>118</v>
      </c>
      <c r="B354" t="s">
        <v>62</v>
      </c>
      <c r="C354" t="s">
        <v>94</v>
      </c>
      <c r="D354" t="s">
        <v>111</v>
      </c>
      <c r="E354" t="s">
        <v>111</v>
      </c>
      <c r="F354" t="s">
        <v>111</v>
      </c>
      <c r="G354" t="s">
        <v>72</v>
      </c>
      <c r="H354" t="s">
        <v>111</v>
      </c>
      <c r="I354" t="s">
        <v>111</v>
      </c>
      <c r="J354" t="s">
        <v>111</v>
      </c>
      <c r="K354" t="s">
        <v>111</v>
      </c>
      <c r="L354">
        <v>0.086007718057540358</v>
      </c>
      <c r="M354">
        <v>8.4238705247346107E-05</v>
      </c>
      <c r="N354">
        <v>0.01272004449234926</v>
      </c>
      <c r="O354">
        <v>0.00058967093673142272</v>
      </c>
      <c r="P354">
        <v>0.013141238018585992</v>
      </c>
      <c r="Q354">
        <v>0.020470005375105103</v>
      </c>
      <c r="R354">
        <v>0</v>
      </c>
      <c r="S354">
        <v>0.15685246917055845</v>
      </c>
      <c r="T354">
        <v>0.0069918125355297265</v>
      </c>
      <c r="U354">
        <v>0.0076657221775084947</v>
      </c>
      <c r="V354">
        <v>0.006065186777808919</v>
      </c>
      <c r="W354">
        <v>0.039002520529521245</v>
      </c>
      <c r="X354">
        <v>0.02527161157420383</v>
      </c>
      <c r="Y354">
        <v>0.044393797665351398</v>
      </c>
      <c r="Z354">
        <v>0</v>
      </c>
      <c r="AA354">
        <v>0.0068233351250350342</v>
      </c>
      <c r="AB354">
        <v>0.00016847741049469221</v>
      </c>
      <c r="AC354">
        <v>0.19046371256424954</v>
      </c>
      <c r="AD354">
        <v>0.056776887336711275</v>
      </c>
      <c r="AE354">
        <v>0.057787751799679425</v>
      </c>
      <c r="AF354">
        <v>0.0056439932515721892</v>
      </c>
      <c r="AG354">
        <v>0.070928989818265412</v>
      </c>
      <c r="AH354">
        <v>0.00050543223148407659</v>
      </c>
      <c r="AI354">
        <v>0.16940403625241301</v>
      </c>
      <c r="AJ354">
        <v>0.54266573920340355</v>
      </c>
      <c r="AK354">
        <v>0.11321681985243316</v>
      </c>
      <c r="AL354">
        <v>0</v>
      </c>
      <c r="AM354">
        <v>0.0013478192839575377</v>
      </c>
      <c r="AN354">
        <v>0.014152102481554145</v>
      </c>
      <c r="AO354">
        <v>0</v>
      </c>
      <c r="AP354">
        <v>0.00016847741049469221</v>
      </c>
      <c r="AQ354">
        <v>0.30898757084726552</v>
      </c>
      <c r="AR354">
        <v>0.007244528651271764</v>
      </c>
      <c r="AS354">
        <v>0.15853724327550536</v>
      </c>
      <c r="AT354">
        <v>0.019964573143621024</v>
      </c>
      <c r="AU354" t="s">
        <v>111</v>
      </c>
      <c r="BJ354" t="str">
        <f t="shared" si="10"/>
        <v>car</v>
      </c>
      <c r="BK354" t="str">
        <f t="shared" si="11"/>
        <v>lpg</v>
      </c>
    </row>
    <row r="355" spans="1:63" ht="14.5">
      <c r="A355" t="s">
        <v>118</v>
      </c>
      <c r="B355" t="s">
        <v>62</v>
      </c>
      <c r="C355" t="s">
        <v>94</v>
      </c>
      <c r="D355" t="s">
        <v>111</v>
      </c>
      <c r="E355" t="s">
        <v>111</v>
      </c>
      <c r="F355" t="s">
        <v>111</v>
      </c>
      <c r="G355" t="s">
        <v>71</v>
      </c>
      <c r="H355" t="s">
        <v>111</v>
      </c>
      <c r="I355" t="s">
        <v>111</v>
      </c>
      <c r="J355" t="s">
        <v>111</v>
      </c>
      <c r="K355" t="s">
        <v>111</v>
      </c>
      <c r="L355">
        <v>0.086007718057540358</v>
      </c>
      <c r="M355">
        <v>8.4238705247346107E-05</v>
      </c>
      <c r="N355">
        <v>0.01272004449234926</v>
      </c>
      <c r="O355">
        <v>0.00058967093673142272</v>
      </c>
      <c r="P355">
        <v>0.013141238018585992</v>
      </c>
      <c r="Q355">
        <v>0.020470005375105103</v>
      </c>
      <c r="R355">
        <v>0</v>
      </c>
      <c r="S355">
        <v>0.15685246917055845</v>
      </c>
      <c r="T355">
        <v>0.0069918125355297265</v>
      </c>
      <c r="U355">
        <v>0.0076657221775084947</v>
      </c>
      <c r="V355">
        <v>0.006065186777808919</v>
      </c>
      <c r="W355">
        <v>0.039002520529521245</v>
      </c>
      <c r="X355">
        <v>0.02527161157420383</v>
      </c>
      <c r="Y355">
        <v>0.044393797665351398</v>
      </c>
      <c r="Z355">
        <v>0</v>
      </c>
      <c r="AA355">
        <v>0.0068233351250350342</v>
      </c>
      <c r="AB355">
        <v>0.00016847741049469221</v>
      </c>
      <c r="AC355">
        <v>0.19046371256424954</v>
      </c>
      <c r="AD355">
        <v>0.056776887336711275</v>
      </c>
      <c r="AE355">
        <v>0.057787751799679425</v>
      </c>
      <c r="AF355">
        <v>0.0056439932515721892</v>
      </c>
      <c r="AG355">
        <v>0.070928989818265412</v>
      </c>
      <c r="AH355">
        <v>0.00050543223148407659</v>
      </c>
      <c r="AI355">
        <v>0.16940403625241301</v>
      </c>
      <c r="AJ355">
        <v>0.54266573920340355</v>
      </c>
      <c r="AK355">
        <v>0.11321681985243316</v>
      </c>
      <c r="AL355">
        <v>0</v>
      </c>
      <c r="AM355">
        <v>0.0013478192839575377</v>
      </c>
      <c r="AN355">
        <v>0.014152102481554145</v>
      </c>
      <c r="AO355">
        <v>0</v>
      </c>
      <c r="AP355">
        <v>0.00016847741049469221</v>
      </c>
      <c r="AQ355">
        <v>0.30898757084726552</v>
      </c>
      <c r="AR355">
        <v>0.007244528651271764</v>
      </c>
      <c r="AS355">
        <v>0.15853724327550536</v>
      </c>
      <c r="AT355">
        <v>0.019964573143621024</v>
      </c>
      <c r="AU355" t="s">
        <v>111</v>
      </c>
      <c r="BJ355" t="str">
        <f t="shared" si="10"/>
        <v>car</v>
      </c>
      <c r="BK355" t="str">
        <f t="shared" si="11"/>
        <v>lpg</v>
      </c>
    </row>
    <row r="356" spans="1:63" ht="14.5">
      <c r="A356" t="s">
        <v>118</v>
      </c>
      <c r="B356" t="s">
        <v>62</v>
      </c>
      <c r="C356" t="s">
        <v>94</v>
      </c>
      <c r="D356" t="s">
        <v>111</v>
      </c>
      <c r="E356" t="s">
        <v>111</v>
      </c>
      <c r="F356" t="s">
        <v>111</v>
      </c>
      <c r="G356" t="s">
        <v>70</v>
      </c>
      <c r="H356" t="s">
        <v>111</v>
      </c>
      <c r="I356" t="s">
        <v>111</v>
      </c>
      <c r="J356" t="s">
        <v>111</v>
      </c>
      <c r="K356" t="s">
        <v>111</v>
      </c>
      <c r="L356">
        <v>0.086007718057540358</v>
      </c>
      <c r="M356">
        <v>8.4238705247346107E-05</v>
      </c>
      <c r="N356">
        <v>0.01272004449234926</v>
      </c>
      <c r="O356">
        <v>0.00058967093673142272</v>
      </c>
      <c r="P356">
        <v>0.013141238018585992</v>
      </c>
      <c r="Q356">
        <v>0.020470005375105103</v>
      </c>
      <c r="R356">
        <v>0</v>
      </c>
      <c r="S356">
        <v>0.15685246917055845</v>
      </c>
      <c r="T356">
        <v>0.0069918125355297265</v>
      </c>
      <c r="U356">
        <v>0.0076657221775084947</v>
      </c>
      <c r="V356">
        <v>0.006065186777808919</v>
      </c>
      <c r="W356">
        <v>0.039002520529521245</v>
      </c>
      <c r="X356">
        <v>0.02527161157420383</v>
      </c>
      <c r="Y356">
        <v>0.044393797665351398</v>
      </c>
      <c r="Z356">
        <v>0</v>
      </c>
      <c r="AA356">
        <v>0.0068233351250350342</v>
      </c>
      <c r="AB356">
        <v>0.00016847741049469221</v>
      </c>
      <c r="AC356">
        <v>0.19046371256424954</v>
      </c>
      <c r="AD356">
        <v>0.056776887336711275</v>
      </c>
      <c r="AE356">
        <v>0.057787751799679425</v>
      </c>
      <c r="AF356">
        <v>0.0056439932515721892</v>
      </c>
      <c r="AG356">
        <v>0.070928989818265412</v>
      </c>
      <c r="AH356">
        <v>0.00050543223148407659</v>
      </c>
      <c r="AI356">
        <v>0.16940403625241301</v>
      </c>
      <c r="AJ356">
        <v>0.54266573920340355</v>
      </c>
      <c r="AK356">
        <v>0.11321681985243316</v>
      </c>
      <c r="AL356">
        <v>0</v>
      </c>
      <c r="AM356">
        <v>0.0013478192839575377</v>
      </c>
      <c r="AN356">
        <v>0.014152102481554145</v>
      </c>
      <c r="AO356">
        <v>0</v>
      </c>
      <c r="AP356">
        <v>0.00016847741049469221</v>
      </c>
      <c r="AQ356">
        <v>0.30898757084726552</v>
      </c>
      <c r="AR356">
        <v>0.007244528651271764</v>
      </c>
      <c r="AS356">
        <v>0.15853724327550536</v>
      </c>
      <c r="AT356">
        <v>0.019964573143621024</v>
      </c>
      <c r="AU356" t="s">
        <v>111</v>
      </c>
      <c r="BJ356" t="str">
        <f t="shared" si="10"/>
        <v>car</v>
      </c>
      <c r="BK356" t="str">
        <f t="shared" si="11"/>
        <v>lpg</v>
      </c>
    </row>
    <row r="357" spans="1:63" ht="14.5">
      <c r="A357" t="s">
        <v>118</v>
      </c>
      <c r="B357" t="s">
        <v>62</v>
      </c>
      <c r="C357" t="s">
        <v>94</v>
      </c>
      <c r="D357" t="s">
        <v>111</v>
      </c>
      <c r="E357" t="s">
        <v>111</v>
      </c>
      <c r="F357" t="s">
        <v>111</v>
      </c>
      <c r="G357" t="s">
        <v>69</v>
      </c>
      <c r="H357" t="s">
        <v>111</v>
      </c>
      <c r="I357" t="s">
        <v>111</v>
      </c>
      <c r="J357" t="s">
        <v>111</v>
      </c>
      <c r="K357" t="s">
        <v>111</v>
      </c>
      <c r="L357">
        <v>0.086007718057540358</v>
      </c>
      <c r="M357">
        <v>8.4238705247346107E-05</v>
      </c>
      <c r="N357">
        <v>0.01272004449234926</v>
      </c>
      <c r="O357">
        <v>0.00058967093673142272</v>
      </c>
      <c r="P357">
        <v>0.013141238018585992</v>
      </c>
      <c r="Q357">
        <v>0.020470005375105103</v>
      </c>
      <c r="R357">
        <v>0</v>
      </c>
      <c r="S357">
        <v>0.15685246917055845</v>
      </c>
      <c r="T357">
        <v>0.0069918125355297265</v>
      </c>
      <c r="U357">
        <v>0.0076657221775084947</v>
      </c>
      <c r="V357">
        <v>0.006065186777808919</v>
      </c>
      <c r="W357">
        <v>0.039002520529521245</v>
      </c>
      <c r="X357">
        <v>0.02527161157420383</v>
      </c>
      <c r="Y357">
        <v>0.044393797665351398</v>
      </c>
      <c r="Z357">
        <v>0</v>
      </c>
      <c r="AA357">
        <v>0.0068233351250350342</v>
      </c>
      <c r="AB357">
        <v>0.00016847741049469221</v>
      </c>
      <c r="AC357">
        <v>0.19046371256424954</v>
      </c>
      <c r="AD357">
        <v>0.056776887336711275</v>
      </c>
      <c r="AE357">
        <v>0.057787751799679425</v>
      </c>
      <c r="AF357">
        <v>0.0056439932515721892</v>
      </c>
      <c r="AG357">
        <v>0.070928989818265412</v>
      </c>
      <c r="AH357">
        <v>0.00050543223148407659</v>
      </c>
      <c r="AI357">
        <v>0.16940403625241301</v>
      </c>
      <c r="AJ357">
        <v>0.54266573920340355</v>
      </c>
      <c r="AK357">
        <v>0.11321681985243316</v>
      </c>
      <c r="AL357">
        <v>0</v>
      </c>
      <c r="AM357">
        <v>0.0013478192839575377</v>
      </c>
      <c r="AN357">
        <v>0.014152102481554145</v>
      </c>
      <c r="AO357">
        <v>0</v>
      </c>
      <c r="AP357">
        <v>0.00016847741049469221</v>
      </c>
      <c r="AQ357">
        <v>0.30898757084726552</v>
      </c>
      <c r="AR357">
        <v>0.007244528651271764</v>
      </c>
      <c r="AS357">
        <v>0.15853724327550536</v>
      </c>
      <c r="AT357">
        <v>0.019964573143621024</v>
      </c>
      <c r="AU357" t="s">
        <v>111</v>
      </c>
      <c r="BJ357" t="str">
        <f t="shared" si="10"/>
        <v>car</v>
      </c>
      <c r="BK357" t="str">
        <f t="shared" si="11"/>
        <v>lpg</v>
      </c>
    </row>
    <row r="358" spans="1:63" ht="14.5">
      <c r="A358" t="s">
        <v>118</v>
      </c>
      <c r="B358" t="s">
        <v>62</v>
      </c>
      <c r="C358" t="s">
        <v>94</v>
      </c>
      <c r="D358" t="s">
        <v>111</v>
      </c>
      <c r="E358" t="s">
        <v>111</v>
      </c>
      <c r="F358" t="s">
        <v>111</v>
      </c>
      <c r="G358" t="s">
        <v>68</v>
      </c>
      <c r="H358" t="s">
        <v>111</v>
      </c>
      <c r="I358" t="s">
        <v>111</v>
      </c>
      <c r="J358" t="s">
        <v>111</v>
      </c>
      <c r="K358" t="s">
        <v>111</v>
      </c>
      <c r="L358">
        <v>0.086007718057540358</v>
      </c>
      <c r="M358">
        <v>8.4238705247346107E-05</v>
      </c>
      <c r="N358">
        <v>0.01272004449234926</v>
      </c>
      <c r="O358">
        <v>0.00058967093673142272</v>
      </c>
      <c r="P358">
        <v>0.013141238018585992</v>
      </c>
      <c r="Q358">
        <v>0.020470005375105103</v>
      </c>
      <c r="R358">
        <v>0</v>
      </c>
      <c r="S358">
        <v>0.15685246917055845</v>
      </c>
      <c r="T358">
        <v>0.0069918125355297265</v>
      </c>
      <c r="U358">
        <v>0.0076657221775084947</v>
      </c>
      <c r="V358">
        <v>0.006065186777808919</v>
      </c>
      <c r="W358">
        <v>0.039002520529521245</v>
      </c>
      <c r="X358">
        <v>0.02527161157420383</v>
      </c>
      <c r="Y358">
        <v>0.044393797665351398</v>
      </c>
      <c r="Z358">
        <v>0</v>
      </c>
      <c r="AA358">
        <v>0.0068233351250350342</v>
      </c>
      <c r="AB358">
        <v>0.00016847741049469221</v>
      </c>
      <c r="AC358">
        <v>0.19046371256424954</v>
      </c>
      <c r="AD358">
        <v>0.056776887336711275</v>
      </c>
      <c r="AE358">
        <v>0.057787751799679425</v>
      </c>
      <c r="AF358">
        <v>0.0056439932515721892</v>
      </c>
      <c r="AG358">
        <v>0.070928989818265412</v>
      </c>
      <c r="AH358">
        <v>0.00050543223148407659</v>
      </c>
      <c r="AI358">
        <v>0.16940403625241301</v>
      </c>
      <c r="AJ358">
        <v>0.54266573920340355</v>
      </c>
      <c r="AK358">
        <v>0.11321681985243316</v>
      </c>
      <c r="AL358">
        <v>0</v>
      </c>
      <c r="AM358">
        <v>0.0013478192839575377</v>
      </c>
      <c r="AN358">
        <v>0.014152102481554145</v>
      </c>
      <c r="AO358">
        <v>0</v>
      </c>
      <c r="AP358">
        <v>0.00016847741049469221</v>
      </c>
      <c r="AQ358">
        <v>0.30898757084726552</v>
      </c>
      <c r="AR358">
        <v>0.007244528651271764</v>
      </c>
      <c r="AS358">
        <v>0.15853724327550536</v>
      </c>
      <c r="AT358">
        <v>0.019964573143621024</v>
      </c>
      <c r="AU358" t="s">
        <v>111</v>
      </c>
      <c r="BJ358" t="str">
        <f t="shared" si="10"/>
        <v>car</v>
      </c>
      <c r="BK358" t="str">
        <f t="shared" si="11"/>
        <v>lpg</v>
      </c>
    </row>
    <row r="359" spans="1:63" ht="14.5">
      <c r="A359" t="s">
        <v>118</v>
      </c>
      <c r="B359" t="s">
        <v>62</v>
      </c>
      <c r="C359" t="s">
        <v>94</v>
      </c>
      <c r="D359" t="s">
        <v>111</v>
      </c>
      <c r="E359" t="s">
        <v>111</v>
      </c>
      <c r="F359" t="s">
        <v>111</v>
      </c>
      <c r="G359" t="s">
        <v>67</v>
      </c>
      <c r="H359" t="s">
        <v>111</v>
      </c>
      <c r="I359" t="s">
        <v>111</v>
      </c>
      <c r="J359" t="s">
        <v>111</v>
      </c>
      <c r="K359" t="s">
        <v>111</v>
      </c>
      <c r="L359">
        <v>0.086007718057540358</v>
      </c>
      <c r="M359">
        <v>8.4238705247346107E-05</v>
      </c>
      <c r="N359">
        <v>0.01272004449234926</v>
      </c>
      <c r="O359">
        <v>0.00058967093673142272</v>
      </c>
      <c r="P359">
        <v>0.013141238018585992</v>
      </c>
      <c r="Q359">
        <v>0.020470005375105103</v>
      </c>
      <c r="R359">
        <v>0</v>
      </c>
      <c r="S359">
        <v>0.15685246917055845</v>
      </c>
      <c r="T359">
        <v>0.0069918125355297265</v>
      </c>
      <c r="U359">
        <v>0.0076657221775084947</v>
      </c>
      <c r="V359">
        <v>0.006065186777808919</v>
      </c>
      <c r="W359">
        <v>0.039002520529521245</v>
      </c>
      <c r="X359">
        <v>0.02527161157420383</v>
      </c>
      <c r="Y359">
        <v>0.044393797665351398</v>
      </c>
      <c r="Z359">
        <v>0</v>
      </c>
      <c r="AA359">
        <v>0.0068233351250350342</v>
      </c>
      <c r="AB359">
        <v>0.00016847741049469221</v>
      </c>
      <c r="AC359">
        <v>0.19046371256424954</v>
      </c>
      <c r="AD359">
        <v>0.056776887336711275</v>
      </c>
      <c r="AE359">
        <v>0.057787751799679425</v>
      </c>
      <c r="AF359">
        <v>0.0056439932515721892</v>
      </c>
      <c r="AG359">
        <v>0.070928989818265412</v>
      </c>
      <c r="AH359">
        <v>0.00050543223148407659</v>
      </c>
      <c r="AI359">
        <v>0.16940403625241301</v>
      </c>
      <c r="AJ359">
        <v>0.54266573920340355</v>
      </c>
      <c r="AK359">
        <v>0.11321681985243316</v>
      </c>
      <c r="AL359">
        <v>0</v>
      </c>
      <c r="AM359">
        <v>0.0013478192839575377</v>
      </c>
      <c r="AN359">
        <v>0.014152102481554145</v>
      </c>
      <c r="AO359">
        <v>0</v>
      </c>
      <c r="AP359">
        <v>0.00016847741049469221</v>
      </c>
      <c r="AQ359">
        <v>0.30898757084726552</v>
      </c>
      <c r="AR359">
        <v>0.007244528651271764</v>
      </c>
      <c r="AS359">
        <v>0.15853724327550536</v>
      </c>
      <c r="AT359">
        <v>0.019964573143621024</v>
      </c>
      <c r="AU359" t="s">
        <v>111</v>
      </c>
      <c r="BJ359" t="str">
        <f t="shared" si="10"/>
        <v>car</v>
      </c>
      <c r="BK359" t="str">
        <f t="shared" si="11"/>
        <v>lpg</v>
      </c>
    </row>
    <row r="360" spans="1:63" ht="14.5">
      <c r="A360" t="s">
        <v>118</v>
      </c>
      <c r="B360" t="s">
        <v>62</v>
      </c>
      <c r="C360" t="s">
        <v>94</v>
      </c>
      <c r="D360" t="s">
        <v>111</v>
      </c>
      <c r="E360" t="s">
        <v>111</v>
      </c>
      <c r="F360" t="s">
        <v>111</v>
      </c>
      <c r="G360" t="s">
        <v>66</v>
      </c>
      <c r="H360" t="s">
        <v>111</v>
      </c>
      <c r="I360" t="s">
        <v>111</v>
      </c>
      <c r="J360" t="s">
        <v>111</v>
      </c>
      <c r="K360" t="s">
        <v>111</v>
      </c>
      <c r="L360">
        <v>0.086007718057540358</v>
      </c>
      <c r="M360">
        <v>8.4238705247346107E-05</v>
      </c>
      <c r="N360">
        <v>0.01272004449234926</v>
      </c>
      <c r="O360">
        <v>0.00058967093673142272</v>
      </c>
      <c r="P360">
        <v>0.013141238018585992</v>
      </c>
      <c r="Q360">
        <v>0.020470005375105103</v>
      </c>
      <c r="R360">
        <v>0</v>
      </c>
      <c r="S360">
        <v>0.15685246917055845</v>
      </c>
      <c r="T360">
        <v>0.0069918125355297265</v>
      </c>
      <c r="U360">
        <v>0.0076657221775084947</v>
      </c>
      <c r="V360">
        <v>0.006065186777808919</v>
      </c>
      <c r="W360">
        <v>0.039002520529521245</v>
      </c>
      <c r="X360">
        <v>0.02527161157420383</v>
      </c>
      <c r="Y360">
        <v>0.044393797665351398</v>
      </c>
      <c r="Z360">
        <v>0</v>
      </c>
      <c r="AA360">
        <v>0.0068233351250350342</v>
      </c>
      <c r="AB360">
        <v>0.00016847741049469221</v>
      </c>
      <c r="AC360">
        <v>0.19046371256424954</v>
      </c>
      <c r="AD360">
        <v>0.056776887336711275</v>
      </c>
      <c r="AE360">
        <v>0.057787751799679425</v>
      </c>
      <c r="AF360">
        <v>0.0056439932515721892</v>
      </c>
      <c r="AG360">
        <v>0.070928989818265412</v>
      </c>
      <c r="AH360">
        <v>0.00050543223148407659</v>
      </c>
      <c r="AI360">
        <v>0.16940403625241301</v>
      </c>
      <c r="AJ360">
        <v>0.54266573920340355</v>
      </c>
      <c r="AK360">
        <v>0.11321681985243316</v>
      </c>
      <c r="AL360">
        <v>0</v>
      </c>
      <c r="AM360">
        <v>0.0013478192839575377</v>
      </c>
      <c r="AN360">
        <v>0.014152102481554145</v>
      </c>
      <c r="AO360">
        <v>0</v>
      </c>
      <c r="AP360">
        <v>0.00016847741049469221</v>
      </c>
      <c r="AQ360">
        <v>0.30898757084726552</v>
      </c>
      <c r="AR360">
        <v>0.007244528651271764</v>
      </c>
      <c r="AS360">
        <v>0.15853724327550536</v>
      </c>
      <c r="AT360">
        <v>0.019964573143621024</v>
      </c>
      <c r="AU360" t="s">
        <v>111</v>
      </c>
      <c r="BJ360" t="str">
        <f t="shared" si="10"/>
        <v>car</v>
      </c>
      <c r="BK360" t="str">
        <f t="shared" si="11"/>
        <v>lpg</v>
      </c>
    </row>
    <row r="361" spans="1:63" ht="14.5">
      <c r="A361" t="s">
        <v>118</v>
      </c>
      <c r="B361" t="s">
        <v>62</v>
      </c>
      <c r="C361" t="s">
        <v>94</v>
      </c>
      <c r="D361" t="s">
        <v>111</v>
      </c>
      <c r="E361" t="s">
        <v>111</v>
      </c>
      <c r="F361" t="s">
        <v>111</v>
      </c>
      <c r="G361" t="s">
        <v>65</v>
      </c>
      <c r="H361" t="s">
        <v>111</v>
      </c>
      <c r="I361" t="s">
        <v>111</v>
      </c>
      <c r="J361" t="s">
        <v>111</v>
      </c>
      <c r="K361" t="s">
        <v>111</v>
      </c>
      <c r="L361">
        <v>0.086007718057540358</v>
      </c>
      <c r="M361">
        <v>8.4238705247346107E-05</v>
      </c>
      <c r="N361">
        <v>0.01272004449234926</v>
      </c>
      <c r="O361">
        <v>0.00058967093673142272</v>
      </c>
      <c r="P361">
        <v>0.013141238018585992</v>
      </c>
      <c r="Q361">
        <v>0.020470005375105103</v>
      </c>
      <c r="R361">
        <v>0</v>
      </c>
      <c r="S361">
        <v>0.15685246917055845</v>
      </c>
      <c r="T361">
        <v>0.0069918125355297265</v>
      </c>
      <c r="U361">
        <v>0.0076657221775084947</v>
      </c>
      <c r="V361">
        <v>0.006065186777808919</v>
      </c>
      <c r="W361">
        <v>0.039002520529521245</v>
      </c>
      <c r="X361">
        <v>0.02527161157420383</v>
      </c>
      <c r="Y361">
        <v>0.044393797665351398</v>
      </c>
      <c r="Z361">
        <v>0</v>
      </c>
      <c r="AA361">
        <v>0.0068233351250350342</v>
      </c>
      <c r="AB361">
        <v>0.00016847741049469221</v>
      </c>
      <c r="AC361">
        <v>0.19046371256424954</v>
      </c>
      <c r="AD361">
        <v>0.056776887336711275</v>
      </c>
      <c r="AE361">
        <v>0.057787751799679425</v>
      </c>
      <c r="AF361">
        <v>0.0056439932515721892</v>
      </c>
      <c r="AG361">
        <v>0.070928989818265412</v>
      </c>
      <c r="AH361">
        <v>0.00050543223148407659</v>
      </c>
      <c r="AI361">
        <v>0.16940403625241301</v>
      </c>
      <c r="AJ361">
        <v>0.54266573920340355</v>
      </c>
      <c r="AK361">
        <v>0.11321681985243316</v>
      </c>
      <c r="AL361">
        <v>0</v>
      </c>
      <c r="AM361">
        <v>0.0013478192839575377</v>
      </c>
      <c r="AN361">
        <v>0.014152102481554145</v>
      </c>
      <c r="AO361">
        <v>0</v>
      </c>
      <c r="AP361">
        <v>0.00016847741049469221</v>
      </c>
      <c r="AQ361">
        <v>0.30898757084726552</v>
      </c>
      <c r="AR361">
        <v>0.007244528651271764</v>
      </c>
      <c r="AS361">
        <v>0.15853724327550536</v>
      </c>
      <c r="AT361">
        <v>0.019964573143621024</v>
      </c>
      <c r="AU361" t="s">
        <v>111</v>
      </c>
      <c r="BJ361" t="str">
        <f t="shared" si="10"/>
        <v>car</v>
      </c>
      <c r="BK361" t="str">
        <f t="shared" si="11"/>
        <v>lpg</v>
      </c>
    </row>
    <row r="362" spans="1:63" ht="14.5">
      <c r="A362" t="s">
        <v>118</v>
      </c>
      <c r="B362" t="s">
        <v>62</v>
      </c>
      <c r="C362" t="s">
        <v>93</v>
      </c>
      <c r="D362" t="s">
        <v>111</v>
      </c>
      <c r="E362" t="s">
        <v>111</v>
      </c>
      <c r="F362" t="s">
        <v>111</v>
      </c>
      <c r="G362" t="s">
        <v>61</v>
      </c>
      <c r="H362" t="s">
        <v>111</v>
      </c>
      <c r="I362" t="s">
        <v>111</v>
      </c>
      <c r="J362" t="s">
        <v>111</v>
      </c>
      <c r="K362" t="s">
        <v>111</v>
      </c>
      <c r="L362">
        <v>0.015331444355016989</v>
      </c>
      <c r="M362">
        <v>8.4238705247346107E-05</v>
      </c>
      <c r="N362">
        <v>0.0023586837469256909</v>
      </c>
      <c r="O362">
        <v>0.0016005353996995759</v>
      </c>
      <c r="P362">
        <v>0.001684774104946922</v>
      </c>
      <c r="Q362">
        <v>0.0079184382932505331</v>
      </c>
      <c r="R362">
        <v>0.12686349010250322</v>
      </c>
      <c r="S362">
        <v>1.8596536570404125</v>
      </c>
      <c r="T362">
        <v>0</v>
      </c>
      <c r="U362">
        <v>0</v>
      </c>
      <c r="V362">
        <v>0.013983625071059453</v>
      </c>
      <c r="W362">
        <v>0.017100457165211261</v>
      </c>
      <c r="X362">
        <v>0.0015162966944522298</v>
      </c>
      <c r="Y362">
        <v>0</v>
      </c>
      <c r="Z362">
        <v>0.00016847741049469221</v>
      </c>
      <c r="AA362">
        <v>0.092999530593070104</v>
      </c>
      <c r="AB362">
        <v>0</v>
      </c>
      <c r="AC362">
        <v>0.08263816984764652</v>
      </c>
      <c r="AD362">
        <v>0.0040434578518726127</v>
      </c>
      <c r="AE362">
        <v>0.24395529039631431</v>
      </c>
      <c r="AF362">
        <v>0.57442373108165301</v>
      </c>
      <c r="AG362">
        <v>0.064189893398477735</v>
      </c>
      <c r="AH362">
        <v>0.004885844904346074</v>
      </c>
      <c r="AI362">
        <v>0</v>
      </c>
      <c r="AJ362">
        <v>0.98980478665631666</v>
      </c>
      <c r="AK362">
        <v>0.01878523127015818</v>
      </c>
      <c r="AL362">
        <v>0</v>
      </c>
      <c r="AM362">
        <v>0</v>
      </c>
      <c r="AN362">
        <v>0.018195560333426758</v>
      </c>
      <c r="AO362">
        <v>0.010866792976907647</v>
      </c>
      <c r="AP362">
        <v>0.0011793418734628454</v>
      </c>
      <c r="AQ362">
        <v>0.0069075738302823804</v>
      </c>
      <c r="AR362">
        <v>0.0011793418734628454</v>
      </c>
      <c r="AS362">
        <v>0.0028641159784097677</v>
      </c>
      <c r="AT362">
        <v>0</v>
      </c>
      <c r="AU362" t="s">
        <v>111</v>
      </c>
      <c r="BJ362" t="str">
        <f t="shared" si="10"/>
        <v>car</v>
      </c>
      <c r="BK362" t="str">
        <f t="shared" si="11"/>
        <v>nga</v>
      </c>
    </row>
    <row r="363" spans="1:63" ht="14.5">
      <c r="A363" t="s">
        <v>118</v>
      </c>
      <c r="B363" t="s">
        <v>62</v>
      </c>
      <c r="C363" t="s">
        <v>93</v>
      </c>
      <c r="D363" t="s">
        <v>111</v>
      </c>
      <c r="E363" t="s">
        <v>111</v>
      </c>
      <c r="F363" t="s">
        <v>111</v>
      </c>
      <c r="G363" t="s">
        <v>83</v>
      </c>
      <c r="H363" t="s">
        <v>111</v>
      </c>
      <c r="I363" t="s">
        <v>111</v>
      </c>
      <c r="J363" t="s">
        <v>111</v>
      </c>
      <c r="K363" t="s">
        <v>111</v>
      </c>
      <c r="L363">
        <v>0.015331444355016989</v>
      </c>
      <c r="M363">
        <v>8.4238705247346107E-05</v>
      </c>
      <c r="N363">
        <v>0.0023586837469256909</v>
      </c>
      <c r="O363">
        <v>0.0016005353996995759</v>
      </c>
      <c r="P363">
        <v>0.001684774104946922</v>
      </c>
      <c r="Q363">
        <v>0.0079184382932505331</v>
      </c>
      <c r="R363">
        <v>0.12686349010250322</v>
      </c>
      <c r="S363">
        <v>1.8596536570404125</v>
      </c>
      <c r="T363">
        <v>0</v>
      </c>
      <c r="U363">
        <v>0</v>
      </c>
      <c r="V363">
        <v>0.013983625071059453</v>
      </c>
      <c r="W363">
        <v>0.017100457165211261</v>
      </c>
      <c r="X363">
        <v>0.0015162966944522298</v>
      </c>
      <c r="Y363">
        <v>0</v>
      </c>
      <c r="Z363">
        <v>0.00016847741049469221</v>
      </c>
      <c r="AA363">
        <v>0.092999530593070104</v>
      </c>
      <c r="AB363">
        <v>0</v>
      </c>
      <c r="AC363">
        <v>0.08263816984764652</v>
      </c>
      <c r="AD363">
        <v>0.0040434578518726127</v>
      </c>
      <c r="AE363">
        <v>0.24395529039631431</v>
      </c>
      <c r="AF363">
        <v>0.57442373108165301</v>
      </c>
      <c r="AG363">
        <v>0.064189893398477735</v>
      </c>
      <c r="AH363">
        <v>0.004885844904346074</v>
      </c>
      <c r="AI363">
        <v>0</v>
      </c>
      <c r="AJ363">
        <v>0.98980478665631666</v>
      </c>
      <c r="AK363">
        <v>0.01878523127015818</v>
      </c>
      <c r="AL363">
        <v>0</v>
      </c>
      <c r="AM363">
        <v>0</v>
      </c>
      <c r="AN363">
        <v>0.018195560333426758</v>
      </c>
      <c r="AO363">
        <v>0.010866792976907647</v>
      </c>
      <c r="AP363">
        <v>0.0011793418734628454</v>
      </c>
      <c r="AQ363">
        <v>0.0069075738302823804</v>
      </c>
      <c r="AR363">
        <v>0.0011793418734628454</v>
      </c>
      <c r="AS363">
        <v>0.0028641159784097677</v>
      </c>
      <c r="AT363">
        <v>0</v>
      </c>
      <c r="AU363" t="s">
        <v>111</v>
      </c>
      <c r="BJ363" t="str">
        <f t="shared" si="10"/>
        <v>car</v>
      </c>
      <c r="BK363" t="str">
        <f t="shared" si="11"/>
        <v>nga</v>
      </c>
    </row>
    <row r="364" spans="1:63" ht="14.5">
      <c r="A364" t="s">
        <v>118</v>
      </c>
      <c r="B364" t="s">
        <v>62</v>
      </c>
      <c r="C364" t="s">
        <v>93</v>
      </c>
      <c r="D364" t="s">
        <v>111</v>
      </c>
      <c r="E364" t="s">
        <v>111</v>
      </c>
      <c r="F364" t="s">
        <v>111</v>
      </c>
      <c r="G364" t="s">
        <v>82</v>
      </c>
      <c r="H364" t="s">
        <v>111</v>
      </c>
      <c r="I364" t="s">
        <v>111</v>
      </c>
      <c r="J364" t="s">
        <v>111</v>
      </c>
      <c r="K364" t="s">
        <v>111</v>
      </c>
      <c r="L364">
        <v>0.015331444355016989</v>
      </c>
      <c r="M364">
        <v>8.4238705247346107E-05</v>
      </c>
      <c r="N364">
        <v>0.0023586837469256909</v>
      </c>
      <c r="O364">
        <v>0.0016005353996995759</v>
      </c>
      <c r="P364">
        <v>0.001684774104946922</v>
      </c>
      <c r="Q364">
        <v>0.0079184382932505331</v>
      </c>
      <c r="R364">
        <v>0.12686349010250322</v>
      </c>
      <c r="S364">
        <v>1.8596536570404125</v>
      </c>
      <c r="T364">
        <v>0</v>
      </c>
      <c r="U364">
        <v>0</v>
      </c>
      <c r="V364">
        <v>0.013983625071059453</v>
      </c>
      <c r="W364">
        <v>0.017100457165211261</v>
      </c>
      <c r="X364">
        <v>0.0015162966944522298</v>
      </c>
      <c r="Y364">
        <v>0</v>
      </c>
      <c r="Z364">
        <v>0.00016847741049469221</v>
      </c>
      <c r="AA364">
        <v>0.092999530593070104</v>
      </c>
      <c r="AB364">
        <v>0</v>
      </c>
      <c r="AC364">
        <v>0.08263816984764652</v>
      </c>
      <c r="AD364">
        <v>0.0040434578518726127</v>
      </c>
      <c r="AE364">
        <v>0.24395529039631431</v>
      </c>
      <c r="AF364">
        <v>0.57442373108165301</v>
      </c>
      <c r="AG364">
        <v>0.064189893398477735</v>
      </c>
      <c r="AH364">
        <v>0.004885844904346074</v>
      </c>
      <c r="AI364">
        <v>0</v>
      </c>
      <c r="AJ364">
        <v>0.98980478665631666</v>
      </c>
      <c r="AK364">
        <v>0.01878523127015818</v>
      </c>
      <c r="AL364">
        <v>0</v>
      </c>
      <c r="AM364">
        <v>0</v>
      </c>
      <c r="AN364">
        <v>0.018195560333426758</v>
      </c>
      <c r="AO364">
        <v>0.010866792976907647</v>
      </c>
      <c r="AP364">
        <v>0.0011793418734628454</v>
      </c>
      <c r="AQ364">
        <v>0.0069075738302823804</v>
      </c>
      <c r="AR364">
        <v>0.0011793418734628454</v>
      </c>
      <c r="AS364">
        <v>0.0028641159784097677</v>
      </c>
      <c r="AT364">
        <v>0</v>
      </c>
      <c r="AU364" t="s">
        <v>111</v>
      </c>
      <c r="BJ364" t="str">
        <f t="shared" si="10"/>
        <v>car</v>
      </c>
      <c r="BK364" t="str">
        <f t="shared" si="11"/>
        <v>nga</v>
      </c>
    </row>
    <row r="365" spans="1:63" ht="14.5">
      <c r="A365" t="s">
        <v>118</v>
      </c>
      <c r="B365" t="s">
        <v>62</v>
      </c>
      <c r="C365" t="s">
        <v>93</v>
      </c>
      <c r="D365" t="s">
        <v>111</v>
      </c>
      <c r="E365" t="s">
        <v>111</v>
      </c>
      <c r="F365" t="s">
        <v>111</v>
      </c>
      <c r="G365" t="s">
        <v>81</v>
      </c>
      <c r="H365" t="s">
        <v>111</v>
      </c>
      <c r="I365" t="s">
        <v>111</v>
      </c>
      <c r="J365" t="s">
        <v>111</v>
      </c>
      <c r="K365" t="s">
        <v>111</v>
      </c>
      <c r="L365">
        <v>0.015331444355016989</v>
      </c>
      <c r="M365">
        <v>8.4238705247346107E-05</v>
      </c>
      <c r="N365">
        <v>0.0023586837469256909</v>
      </c>
      <c r="O365">
        <v>0.0016005353996995759</v>
      </c>
      <c r="P365">
        <v>0.001684774104946922</v>
      </c>
      <c r="Q365">
        <v>0.0079184382932505331</v>
      </c>
      <c r="R365">
        <v>0.12686349010250322</v>
      </c>
      <c r="S365">
        <v>1.8596536570404125</v>
      </c>
      <c r="T365">
        <v>0</v>
      </c>
      <c r="U365">
        <v>0</v>
      </c>
      <c r="V365">
        <v>0.013983625071059453</v>
      </c>
      <c r="W365">
        <v>0.017100457165211261</v>
      </c>
      <c r="X365">
        <v>0.0015162966944522298</v>
      </c>
      <c r="Y365">
        <v>0</v>
      </c>
      <c r="Z365">
        <v>0.00016847741049469221</v>
      </c>
      <c r="AA365">
        <v>0.092999530593070104</v>
      </c>
      <c r="AB365">
        <v>0</v>
      </c>
      <c r="AC365">
        <v>0.08263816984764652</v>
      </c>
      <c r="AD365">
        <v>0.0040434578518726127</v>
      </c>
      <c r="AE365">
        <v>0.24395529039631431</v>
      </c>
      <c r="AF365">
        <v>0.57442373108165301</v>
      </c>
      <c r="AG365">
        <v>0.064189893398477735</v>
      </c>
      <c r="AH365">
        <v>0.004885844904346074</v>
      </c>
      <c r="AI365">
        <v>0</v>
      </c>
      <c r="AJ365">
        <v>0.98980478665631666</v>
      </c>
      <c r="AK365">
        <v>0.01878523127015818</v>
      </c>
      <c r="AL365">
        <v>0</v>
      </c>
      <c r="AM365">
        <v>0</v>
      </c>
      <c r="AN365">
        <v>0.018195560333426758</v>
      </c>
      <c r="AO365">
        <v>0.010866792976907647</v>
      </c>
      <c r="AP365">
        <v>0.0011793418734628454</v>
      </c>
      <c r="AQ365">
        <v>0.0069075738302823804</v>
      </c>
      <c r="AR365">
        <v>0.0011793418734628454</v>
      </c>
      <c r="AS365">
        <v>0.0028641159784097677</v>
      </c>
      <c r="AT365">
        <v>0</v>
      </c>
      <c r="AU365" t="s">
        <v>111</v>
      </c>
      <c r="BJ365" t="str">
        <f t="shared" si="10"/>
        <v>car</v>
      </c>
      <c r="BK365" t="str">
        <f t="shared" si="11"/>
        <v>nga</v>
      </c>
    </row>
    <row r="366" spans="1:63" ht="14.5">
      <c r="A366" t="s">
        <v>118</v>
      </c>
      <c r="B366" t="s">
        <v>62</v>
      </c>
      <c r="C366" t="s">
        <v>93</v>
      </c>
      <c r="D366" t="s">
        <v>111</v>
      </c>
      <c r="E366" t="s">
        <v>111</v>
      </c>
      <c r="F366" t="s">
        <v>111</v>
      </c>
      <c r="G366" t="s">
        <v>80</v>
      </c>
      <c r="H366" t="s">
        <v>111</v>
      </c>
      <c r="I366" t="s">
        <v>111</v>
      </c>
      <c r="J366" t="s">
        <v>111</v>
      </c>
      <c r="K366" t="s">
        <v>111</v>
      </c>
      <c r="L366">
        <v>0.015331444355016989</v>
      </c>
      <c r="M366">
        <v>8.4238705247346107E-05</v>
      </c>
      <c r="N366">
        <v>0.0023586837469256909</v>
      </c>
      <c r="O366">
        <v>0.0016005353996995759</v>
      </c>
      <c r="P366">
        <v>0.001684774104946922</v>
      </c>
      <c r="Q366">
        <v>0.0079184382932505331</v>
      </c>
      <c r="R366">
        <v>0.12686349010250322</v>
      </c>
      <c r="S366">
        <v>1.8596536570404125</v>
      </c>
      <c r="T366">
        <v>0</v>
      </c>
      <c r="U366">
        <v>0</v>
      </c>
      <c r="V366">
        <v>0.013983625071059453</v>
      </c>
      <c r="W366">
        <v>0.017100457165211261</v>
      </c>
      <c r="X366">
        <v>0.0015162966944522298</v>
      </c>
      <c r="Y366">
        <v>0</v>
      </c>
      <c r="Z366">
        <v>0.00016847741049469221</v>
      </c>
      <c r="AA366">
        <v>0.092999530593070104</v>
      </c>
      <c r="AB366">
        <v>0</v>
      </c>
      <c r="AC366">
        <v>0.08263816984764652</v>
      </c>
      <c r="AD366">
        <v>0.0040434578518726127</v>
      </c>
      <c r="AE366">
        <v>0.24395529039631431</v>
      </c>
      <c r="AF366">
        <v>0.57442373108165301</v>
      </c>
      <c r="AG366">
        <v>0.064189893398477735</v>
      </c>
      <c r="AH366">
        <v>0.004885844904346074</v>
      </c>
      <c r="AI366">
        <v>0</v>
      </c>
      <c r="AJ366">
        <v>0.98980478665631666</v>
      </c>
      <c r="AK366">
        <v>0.01878523127015818</v>
      </c>
      <c r="AL366">
        <v>0</v>
      </c>
      <c r="AM366">
        <v>0</v>
      </c>
      <c r="AN366">
        <v>0.018195560333426758</v>
      </c>
      <c r="AO366">
        <v>0.010866792976907647</v>
      </c>
      <c r="AP366">
        <v>0.0011793418734628454</v>
      </c>
      <c r="AQ366">
        <v>0.0069075738302823804</v>
      </c>
      <c r="AR366">
        <v>0.0011793418734628454</v>
      </c>
      <c r="AS366">
        <v>0.0028641159784097677</v>
      </c>
      <c r="AT366">
        <v>0</v>
      </c>
      <c r="AU366" t="s">
        <v>111</v>
      </c>
      <c r="BJ366" t="str">
        <f t="shared" si="10"/>
        <v>car</v>
      </c>
      <c r="BK366" t="str">
        <f t="shared" si="11"/>
        <v>nga</v>
      </c>
    </row>
    <row r="367" spans="1:63" ht="14.5">
      <c r="A367" t="s">
        <v>118</v>
      </c>
      <c r="B367" t="s">
        <v>62</v>
      </c>
      <c r="C367" t="s">
        <v>93</v>
      </c>
      <c r="D367" t="s">
        <v>111</v>
      </c>
      <c r="E367" t="s">
        <v>111</v>
      </c>
      <c r="F367" t="s">
        <v>111</v>
      </c>
      <c r="G367" t="s">
        <v>79</v>
      </c>
      <c r="H367" t="s">
        <v>111</v>
      </c>
      <c r="I367" t="s">
        <v>111</v>
      </c>
      <c r="J367" t="s">
        <v>111</v>
      </c>
      <c r="K367" t="s">
        <v>111</v>
      </c>
      <c r="L367">
        <v>0.015331444355016989</v>
      </c>
      <c r="M367">
        <v>8.4238705247346107E-05</v>
      </c>
      <c r="N367">
        <v>0.0023586837469256909</v>
      </c>
      <c r="O367">
        <v>0.0016005353996995759</v>
      </c>
      <c r="P367">
        <v>0.001684774104946922</v>
      </c>
      <c r="Q367">
        <v>0.0079184382932505331</v>
      </c>
      <c r="R367">
        <v>0.12686349010250322</v>
      </c>
      <c r="S367">
        <v>1.8596536570404125</v>
      </c>
      <c r="T367">
        <v>0</v>
      </c>
      <c r="U367">
        <v>0</v>
      </c>
      <c r="V367">
        <v>0.013983625071059453</v>
      </c>
      <c r="W367">
        <v>0.017100457165211261</v>
      </c>
      <c r="X367">
        <v>0.0015162966944522298</v>
      </c>
      <c r="Y367">
        <v>0</v>
      </c>
      <c r="Z367">
        <v>0.00016847741049469221</v>
      </c>
      <c r="AA367">
        <v>0.092999530593070104</v>
      </c>
      <c r="AB367">
        <v>0</v>
      </c>
      <c r="AC367">
        <v>0.08263816984764652</v>
      </c>
      <c r="AD367">
        <v>0.0040434578518726127</v>
      </c>
      <c r="AE367">
        <v>0.24395529039631431</v>
      </c>
      <c r="AF367">
        <v>0.57442373108165301</v>
      </c>
      <c r="AG367">
        <v>0.064189893398477735</v>
      </c>
      <c r="AH367">
        <v>0.004885844904346074</v>
      </c>
      <c r="AI367">
        <v>0</v>
      </c>
      <c r="AJ367">
        <v>0.98980478665631666</v>
      </c>
      <c r="AK367">
        <v>0.01878523127015818</v>
      </c>
      <c r="AL367">
        <v>0</v>
      </c>
      <c r="AM367">
        <v>0</v>
      </c>
      <c r="AN367">
        <v>0.018195560333426758</v>
      </c>
      <c r="AO367">
        <v>0.010866792976907647</v>
      </c>
      <c r="AP367">
        <v>0.0011793418734628454</v>
      </c>
      <c r="AQ367">
        <v>0.0069075738302823804</v>
      </c>
      <c r="AR367">
        <v>0.0011793418734628454</v>
      </c>
      <c r="AS367">
        <v>0.0028641159784097677</v>
      </c>
      <c r="AT367">
        <v>0</v>
      </c>
      <c r="AU367" t="s">
        <v>111</v>
      </c>
      <c r="BJ367" t="str">
        <f t="shared" si="10"/>
        <v>car</v>
      </c>
      <c r="BK367" t="str">
        <f t="shared" si="11"/>
        <v>nga</v>
      </c>
    </row>
    <row r="368" spans="1:63" ht="14.5">
      <c r="A368" t="s">
        <v>118</v>
      </c>
      <c r="B368" t="s">
        <v>62</v>
      </c>
      <c r="C368" t="s">
        <v>93</v>
      </c>
      <c r="D368" t="s">
        <v>111</v>
      </c>
      <c r="E368" t="s">
        <v>111</v>
      </c>
      <c r="F368" t="s">
        <v>111</v>
      </c>
      <c r="G368" t="s">
        <v>78</v>
      </c>
      <c r="H368" t="s">
        <v>111</v>
      </c>
      <c r="I368" t="s">
        <v>111</v>
      </c>
      <c r="J368" t="s">
        <v>111</v>
      </c>
      <c r="K368" t="s">
        <v>111</v>
      </c>
      <c r="L368">
        <v>0.015331444355016989</v>
      </c>
      <c r="M368">
        <v>8.4238705247346107E-05</v>
      </c>
      <c r="N368">
        <v>0.0023586837469256909</v>
      </c>
      <c r="O368">
        <v>0.0016005353996995759</v>
      </c>
      <c r="P368">
        <v>0.001684774104946922</v>
      </c>
      <c r="Q368">
        <v>0.0079184382932505331</v>
      </c>
      <c r="R368">
        <v>0.12686349010250322</v>
      </c>
      <c r="S368">
        <v>1.8596536570404125</v>
      </c>
      <c r="T368">
        <v>0</v>
      </c>
      <c r="U368">
        <v>0</v>
      </c>
      <c r="V368">
        <v>0.013983625071059453</v>
      </c>
      <c r="W368">
        <v>0.017100457165211261</v>
      </c>
      <c r="X368">
        <v>0.0015162966944522298</v>
      </c>
      <c r="Y368">
        <v>0</v>
      </c>
      <c r="Z368">
        <v>0.00016847741049469221</v>
      </c>
      <c r="AA368">
        <v>0.092999530593070104</v>
      </c>
      <c r="AB368">
        <v>0</v>
      </c>
      <c r="AC368">
        <v>0.08263816984764652</v>
      </c>
      <c r="AD368">
        <v>0.0040434578518726127</v>
      </c>
      <c r="AE368">
        <v>0.24395529039631431</v>
      </c>
      <c r="AF368">
        <v>0.57442373108165301</v>
      </c>
      <c r="AG368">
        <v>0.064189893398477735</v>
      </c>
      <c r="AH368">
        <v>0.004885844904346074</v>
      </c>
      <c r="AI368">
        <v>0</v>
      </c>
      <c r="AJ368">
        <v>0.98980478665631666</v>
      </c>
      <c r="AK368">
        <v>0.01878523127015818</v>
      </c>
      <c r="AL368">
        <v>0</v>
      </c>
      <c r="AM368">
        <v>0</v>
      </c>
      <c r="AN368">
        <v>0.018195560333426758</v>
      </c>
      <c r="AO368">
        <v>0.010866792976907647</v>
      </c>
      <c r="AP368">
        <v>0.0011793418734628454</v>
      </c>
      <c r="AQ368">
        <v>0.0069075738302823804</v>
      </c>
      <c r="AR368">
        <v>0.0011793418734628454</v>
      </c>
      <c r="AS368">
        <v>0.0028641159784097677</v>
      </c>
      <c r="AT368">
        <v>0</v>
      </c>
      <c r="AU368" t="s">
        <v>111</v>
      </c>
      <c r="BJ368" t="str">
        <f t="shared" si="10"/>
        <v>car</v>
      </c>
      <c r="BK368" t="str">
        <f t="shared" si="11"/>
        <v>nga</v>
      </c>
    </row>
    <row r="369" spans="1:63" ht="14.5">
      <c r="A369" t="s">
        <v>118</v>
      </c>
      <c r="B369" t="s">
        <v>62</v>
      </c>
      <c r="C369" t="s">
        <v>93</v>
      </c>
      <c r="D369" t="s">
        <v>111</v>
      </c>
      <c r="E369" t="s">
        <v>111</v>
      </c>
      <c r="F369" t="s">
        <v>111</v>
      </c>
      <c r="G369" t="s">
        <v>77</v>
      </c>
      <c r="H369" t="s">
        <v>111</v>
      </c>
      <c r="I369" t="s">
        <v>111</v>
      </c>
      <c r="J369" t="s">
        <v>111</v>
      </c>
      <c r="K369" t="s">
        <v>111</v>
      </c>
      <c r="L369">
        <v>0.015331444355016989</v>
      </c>
      <c r="M369">
        <v>8.4238705247346107E-05</v>
      </c>
      <c r="N369">
        <v>0.0023586837469256909</v>
      </c>
      <c r="O369">
        <v>0.0016005353996995759</v>
      </c>
      <c r="P369">
        <v>0.001684774104946922</v>
      </c>
      <c r="Q369">
        <v>0.0079184382932505331</v>
      </c>
      <c r="R369">
        <v>0.12686349010250322</v>
      </c>
      <c r="S369">
        <v>1.8596536570404125</v>
      </c>
      <c r="T369">
        <v>0</v>
      </c>
      <c r="U369">
        <v>0</v>
      </c>
      <c r="V369">
        <v>0.013983625071059453</v>
      </c>
      <c r="W369">
        <v>0.017100457165211261</v>
      </c>
      <c r="X369">
        <v>0.0015162966944522298</v>
      </c>
      <c r="Y369">
        <v>0</v>
      </c>
      <c r="Z369">
        <v>0.00016847741049469221</v>
      </c>
      <c r="AA369">
        <v>0.092999530593070104</v>
      </c>
      <c r="AB369">
        <v>0</v>
      </c>
      <c r="AC369">
        <v>0.08263816984764652</v>
      </c>
      <c r="AD369">
        <v>0.0040434578518726127</v>
      </c>
      <c r="AE369">
        <v>0.24395529039631431</v>
      </c>
      <c r="AF369">
        <v>0.57442373108165301</v>
      </c>
      <c r="AG369">
        <v>0.064189893398477735</v>
      </c>
      <c r="AH369">
        <v>0.004885844904346074</v>
      </c>
      <c r="AI369">
        <v>0</v>
      </c>
      <c r="AJ369">
        <v>0.98980478665631666</v>
      </c>
      <c r="AK369">
        <v>0.01878523127015818</v>
      </c>
      <c r="AL369">
        <v>0</v>
      </c>
      <c r="AM369">
        <v>0</v>
      </c>
      <c r="AN369">
        <v>0.018195560333426758</v>
      </c>
      <c r="AO369">
        <v>0.010866792976907647</v>
      </c>
      <c r="AP369">
        <v>0.0011793418734628454</v>
      </c>
      <c r="AQ369">
        <v>0.0069075738302823804</v>
      </c>
      <c r="AR369">
        <v>0.0011793418734628454</v>
      </c>
      <c r="AS369">
        <v>0.0028641159784097677</v>
      </c>
      <c r="AT369">
        <v>0</v>
      </c>
      <c r="AU369" t="s">
        <v>111</v>
      </c>
      <c r="BJ369" t="str">
        <f t="shared" si="10"/>
        <v>car</v>
      </c>
      <c r="BK369" t="str">
        <f t="shared" si="11"/>
        <v>nga</v>
      </c>
    </row>
    <row r="370" spans="1:63" ht="14.5">
      <c r="A370" t="s">
        <v>118</v>
      </c>
      <c r="B370" t="s">
        <v>62</v>
      </c>
      <c r="C370" t="s">
        <v>93</v>
      </c>
      <c r="D370" t="s">
        <v>111</v>
      </c>
      <c r="E370" t="s">
        <v>111</v>
      </c>
      <c r="F370" t="s">
        <v>111</v>
      </c>
      <c r="G370" t="s">
        <v>76</v>
      </c>
      <c r="H370" t="s">
        <v>111</v>
      </c>
      <c r="I370" t="s">
        <v>111</v>
      </c>
      <c r="J370" t="s">
        <v>111</v>
      </c>
      <c r="K370" t="s">
        <v>111</v>
      </c>
      <c r="L370">
        <v>0.015331444355016989</v>
      </c>
      <c r="M370">
        <v>8.4238705247346107E-05</v>
      </c>
      <c r="N370">
        <v>0.0023586837469256909</v>
      </c>
      <c r="O370">
        <v>0.0016005353996995759</v>
      </c>
      <c r="P370">
        <v>0.001684774104946922</v>
      </c>
      <c r="Q370">
        <v>0.0079184382932505331</v>
      </c>
      <c r="R370">
        <v>0.12686349010250322</v>
      </c>
      <c r="S370">
        <v>1.8596536570404125</v>
      </c>
      <c r="T370">
        <v>0</v>
      </c>
      <c r="U370">
        <v>0</v>
      </c>
      <c r="V370">
        <v>0.013983625071059453</v>
      </c>
      <c r="W370">
        <v>0.017100457165211261</v>
      </c>
      <c r="X370">
        <v>0.0015162966944522298</v>
      </c>
      <c r="Y370">
        <v>0</v>
      </c>
      <c r="Z370">
        <v>0.00016847741049469221</v>
      </c>
      <c r="AA370">
        <v>0.092999530593070104</v>
      </c>
      <c r="AB370">
        <v>0</v>
      </c>
      <c r="AC370">
        <v>0.08263816984764652</v>
      </c>
      <c r="AD370">
        <v>0.0040434578518726127</v>
      </c>
      <c r="AE370">
        <v>0.24395529039631431</v>
      </c>
      <c r="AF370">
        <v>0.57442373108165301</v>
      </c>
      <c r="AG370">
        <v>0.064189893398477735</v>
      </c>
      <c r="AH370">
        <v>0.004885844904346074</v>
      </c>
      <c r="AI370">
        <v>0</v>
      </c>
      <c r="AJ370">
        <v>0.98980478665631666</v>
      </c>
      <c r="AK370">
        <v>0.01878523127015818</v>
      </c>
      <c r="AL370">
        <v>0</v>
      </c>
      <c r="AM370">
        <v>0</v>
      </c>
      <c r="AN370">
        <v>0.018195560333426758</v>
      </c>
      <c r="AO370">
        <v>0.010866792976907647</v>
      </c>
      <c r="AP370">
        <v>0.0011793418734628454</v>
      </c>
      <c r="AQ370">
        <v>0.0069075738302823804</v>
      </c>
      <c r="AR370">
        <v>0.0011793418734628454</v>
      </c>
      <c r="AS370">
        <v>0.0028641159784097677</v>
      </c>
      <c r="AT370">
        <v>0</v>
      </c>
      <c r="AU370" t="s">
        <v>111</v>
      </c>
      <c r="BJ370" t="str">
        <f t="shared" si="10"/>
        <v>car</v>
      </c>
      <c r="BK370" t="str">
        <f t="shared" si="11"/>
        <v>nga</v>
      </c>
    </row>
    <row r="371" spans="1:63" ht="14.5">
      <c r="A371" t="s">
        <v>118</v>
      </c>
      <c r="B371" t="s">
        <v>62</v>
      </c>
      <c r="C371" t="s">
        <v>93</v>
      </c>
      <c r="D371" t="s">
        <v>111</v>
      </c>
      <c r="E371" t="s">
        <v>111</v>
      </c>
      <c r="F371" t="s">
        <v>111</v>
      </c>
      <c r="G371" t="s">
        <v>75</v>
      </c>
      <c r="H371" t="s">
        <v>111</v>
      </c>
      <c r="I371" t="s">
        <v>111</v>
      </c>
      <c r="J371" t="s">
        <v>111</v>
      </c>
      <c r="K371" t="s">
        <v>111</v>
      </c>
      <c r="L371">
        <v>0.015331444355016989</v>
      </c>
      <c r="M371">
        <v>8.4238705247346107E-05</v>
      </c>
      <c r="N371">
        <v>0.0023586837469256909</v>
      </c>
      <c r="O371">
        <v>0.0016005353996995759</v>
      </c>
      <c r="P371">
        <v>0.001684774104946922</v>
      </c>
      <c r="Q371">
        <v>0.0079184382932505331</v>
      </c>
      <c r="R371">
        <v>0.12686349010250322</v>
      </c>
      <c r="S371">
        <v>1.8596536570404125</v>
      </c>
      <c r="T371">
        <v>0</v>
      </c>
      <c r="U371">
        <v>0</v>
      </c>
      <c r="V371">
        <v>0.013983625071059453</v>
      </c>
      <c r="W371">
        <v>0.017100457165211261</v>
      </c>
      <c r="X371">
        <v>0.0015162966944522298</v>
      </c>
      <c r="Y371">
        <v>0</v>
      </c>
      <c r="Z371">
        <v>0.00016847741049469221</v>
      </c>
      <c r="AA371">
        <v>0.092999530593070104</v>
      </c>
      <c r="AB371">
        <v>0</v>
      </c>
      <c r="AC371">
        <v>0.08263816984764652</v>
      </c>
      <c r="AD371">
        <v>0.0040434578518726127</v>
      </c>
      <c r="AE371">
        <v>0.24395529039631431</v>
      </c>
      <c r="AF371">
        <v>0.57442373108165301</v>
      </c>
      <c r="AG371">
        <v>0.064189893398477735</v>
      </c>
      <c r="AH371">
        <v>0.004885844904346074</v>
      </c>
      <c r="AI371">
        <v>0</v>
      </c>
      <c r="AJ371">
        <v>0.98980478665631666</v>
      </c>
      <c r="AK371">
        <v>0.01878523127015818</v>
      </c>
      <c r="AL371">
        <v>0</v>
      </c>
      <c r="AM371">
        <v>0</v>
      </c>
      <c r="AN371">
        <v>0.018195560333426758</v>
      </c>
      <c r="AO371">
        <v>0.010866792976907647</v>
      </c>
      <c r="AP371">
        <v>0.0011793418734628454</v>
      </c>
      <c r="AQ371">
        <v>0.0069075738302823804</v>
      </c>
      <c r="AR371">
        <v>0.0011793418734628454</v>
      </c>
      <c r="AS371">
        <v>0.0028641159784097677</v>
      </c>
      <c r="AT371">
        <v>0</v>
      </c>
      <c r="AU371" t="s">
        <v>111</v>
      </c>
      <c r="BJ371" t="str">
        <f t="shared" si="10"/>
        <v>car</v>
      </c>
      <c r="BK371" t="str">
        <f t="shared" si="11"/>
        <v>nga</v>
      </c>
    </row>
    <row r="372" spans="1:63" ht="14.5">
      <c r="A372" t="s">
        <v>118</v>
      </c>
      <c r="B372" t="s">
        <v>62</v>
      </c>
      <c r="C372" t="s">
        <v>93</v>
      </c>
      <c r="D372" t="s">
        <v>111</v>
      </c>
      <c r="E372" t="s">
        <v>111</v>
      </c>
      <c r="F372" t="s">
        <v>111</v>
      </c>
      <c r="G372" t="s">
        <v>74</v>
      </c>
      <c r="H372" t="s">
        <v>111</v>
      </c>
      <c r="I372" t="s">
        <v>111</v>
      </c>
      <c r="J372" t="s">
        <v>111</v>
      </c>
      <c r="K372" t="s">
        <v>111</v>
      </c>
      <c r="L372">
        <v>0.015331444355016989</v>
      </c>
      <c r="M372">
        <v>8.4238705247346107E-05</v>
      </c>
      <c r="N372">
        <v>0.0023586837469256909</v>
      </c>
      <c r="O372">
        <v>0.0016005353996995759</v>
      </c>
      <c r="P372">
        <v>0.001684774104946922</v>
      </c>
      <c r="Q372">
        <v>0.0079184382932505331</v>
      </c>
      <c r="R372">
        <v>0.12686349010250322</v>
      </c>
      <c r="S372">
        <v>1.8596536570404125</v>
      </c>
      <c r="T372">
        <v>0</v>
      </c>
      <c r="U372">
        <v>0</v>
      </c>
      <c r="V372">
        <v>0.013983625071059453</v>
      </c>
      <c r="W372">
        <v>0.017100457165211261</v>
      </c>
      <c r="X372">
        <v>0.0015162966944522298</v>
      </c>
      <c r="Y372">
        <v>0</v>
      </c>
      <c r="Z372">
        <v>0.00016847741049469221</v>
      </c>
      <c r="AA372">
        <v>0.092999530593070104</v>
      </c>
      <c r="AB372">
        <v>0</v>
      </c>
      <c r="AC372">
        <v>0.08263816984764652</v>
      </c>
      <c r="AD372">
        <v>0.0040434578518726127</v>
      </c>
      <c r="AE372">
        <v>0.24395529039631431</v>
      </c>
      <c r="AF372">
        <v>0.57442373108165301</v>
      </c>
      <c r="AG372">
        <v>0.064189893398477735</v>
      </c>
      <c r="AH372">
        <v>0.004885844904346074</v>
      </c>
      <c r="AI372">
        <v>0</v>
      </c>
      <c r="AJ372">
        <v>0.98980478665631666</v>
      </c>
      <c r="AK372">
        <v>0.01878523127015818</v>
      </c>
      <c r="AL372">
        <v>0</v>
      </c>
      <c r="AM372">
        <v>0</v>
      </c>
      <c r="AN372">
        <v>0.018195560333426758</v>
      </c>
      <c r="AO372">
        <v>0.010866792976907647</v>
      </c>
      <c r="AP372">
        <v>0.0011793418734628454</v>
      </c>
      <c r="AQ372">
        <v>0.0069075738302823804</v>
      </c>
      <c r="AR372">
        <v>0.0011793418734628454</v>
      </c>
      <c r="AS372">
        <v>0.0028641159784097677</v>
      </c>
      <c r="AT372">
        <v>0</v>
      </c>
      <c r="AU372" t="s">
        <v>111</v>
      </c>
      <c r="BJ372" t="str">
        <f t="shared" si="10"/>
        <v>car</v>
      </c>
      <c r="BK372" t="str">
        <f t="shared" si="11"/>
        <v>nga</v>
      </c>
    </row>
    <row r="373" spans="1:63" ht="14.5">
      <c r="A373" t="s">
        <v>118</v>
      </c>
      <c r="B373" t="s">
        <v>62</v>
      </c>
      <c r="C373" t="s">
        <v>93</v>
      </c>
      <c r="D373" t="s">
        <v>111</v>
      </c>
      <c r="E373" t="s">
        <v>111</v>
      </c>
      <c r="F373" t="s">
        <v>111</v>
      </c>
      <c r="G373" t="s">
        <v>73</v>
      </c>
      <c r="H373" t="s">
        <v>111</v>
      </c>
      <c r="I373" t="s">
        <v>111</v>
      </c>
      <c r="J373" t="s">
        <v>111</v>
      </c>
      <c r="K373" t="s">
        <v>111</v>
      </c>
      <c r="L373">
        <v>0.015331444355016989</v>
      </c>
      <c r="M373">
        <v>8.4238705247346107E-05</v>
      </c>
      <c r="N373">
        <v>0.0023586837469256909</v>
      </c>
      <c r="O373">
        <v>0.0016005353996995759</v>
      </c>
      <c r="P373">
        <v>0.001684774104946922</v>
      </c>
      <c r="Q373">
        <v>0.0079184382932505331</v>
      </c>
      <c r="R373">
        <v>0.12686349010250322</v>
      </c>
      <c r="S373">
        <v>1.8596536570404125</v>
      </c>
      <c r="T373">
        <v>0</v>
      </c>
      <c r="U373">
        <v>0</v>
      </c>
      <c r="V373">
        <v>0.013983625071059453</v>
      </c>
      <c r="W373">
        <v>0.017100457165211261</v>
      </c>
      <c r="X373">
        <v>0.0015162966944522298</v>
      </c>
      <c r="Y373">
        <v>0</v>
      </c>
      <c r="Z373">
        <v>0.00016847741049469221</v>
      </c>
      <c r="AA373">
        <v>0.092999530593070104</v>
      </c>
      <c r="AB373">
        <v>0</v>
      </c>
      <c r="AC373">
        <v>0.08263816984764652</v>
      </c>
      <c r="AD373">
        <v>0.0040434578518726127</v>
      </c>
      <c r="AE373">
        <v>0.24395529039631431</v>
      </c>
      <c r="AF373">
        <v>0.57442373108165301</v>
      </c>
      <c r="AG373">
        <v>0.064189893398477735</v>
      </c>
      <c r="AH373">
        <v>0.004885844904346074</v>
      </c>
      <c r="AI373">
        <v>0</v>
      </c>
      <c r="AJ373">
        <v>0.98980478665631666</v>
      </c>
      <c r="AK373">
        <v>0.01878523127015818</v>
      </c>
      <c r="AL373">
        <v>0</v>
      </c>
      <c r="AM373">
        <v>0</v>
      </c>
      <c r="AN373">
        <v>0.018195560333426758</v>
      </c>
      <c r="AO373">
        <v>0.010866792976907647</v>
      </c>
      <c r="AP373">
        <v>0.0011793418734628454</v>
      </c>
      <c r="AQ373">
        <v>0.0069075738302823804</v>
      </c>
      <c r="AR373">
        <v>0.0011793418734628454</v>
      </c>
      <c r="AS373">
        <v>0.0028641159784097677</v>
      </c>
      <c r="AT373">
        <v>0</v>
      </c>
      <c r="AU373" t="s">
        <v>111</v>
      </c>
      <c r="BJ373" t="str">
        <f t="shared" si="10"/>
        <v>car</v>
      </c>
      <c r="BK373" t="str">
        <f t="shared" si="11"/>
        <v>nga</v>
      </c>
    </row>
    <row r="374" spans="1:63" ht="14.5">
      <c r="A374" t="s">
        <v>118</v>
      </c>
      <c r="B374" t="s">
        <v>62</v>
      </c>
      <c r="C374" t="s">
        <v>93</v>
      </c>
      <c r="D374" t="s">
        <v>111</v>
      </c>
      <c r="E374" t="s">
        <v>111</v>
      </c>
      <c r="F374" t="s">
        <v>111</v>
      </c>
      <c r="G374" t="s">
        <v>72</v>
      </c>
      <c r="H374" t="s">
        <v>111</v>
      </c>
      <c r="I374" t="s">
        <v>111</v>
      </c>
      <c r="J374" t="s">
        <v>111</v>
      </c>
      <c r="K374" t="s">
        <v>111</v>
      </c>
      <c r="L374">
        <v>0.015331444355016989</v>
      </c>
      <c r="M374">
        <v>8.4238705247346107E-05</v>
      </c>
      <c r="N374">
        <v>0.0023586837469256909</v>
      </c>
      <c r="O374">
        <v>0.0016005353996995759</v>
      </c>
      <c r="P374">
        <v>0.001684774104946922</v>
      </c>
      <c r="Q374">
        <v>0.0079184382932505331</v>
      </c>
      <c r="R374">
        <v>0.12686349010250322</v>
      </c>
      <c r="S374">
        <v>1.8596536570404125</v>
      </c>
      <c r="T374">
        <v>0</v>
      </c>
      <c r="U374">
        <v>0</v>
      </c>
      <c r="V374">
        <v>0.013983625071059453</v>
      </c>
      <c r="W374">
        <v>0.017100457165211261</v>
      </c>
      <c r="X374">
        <v>0.0015162966944522298</v>
      </c>
      <c r="Y374">
        <v>0</v>
      </c>
      <c r="Z374">
        <v>0.00016847741049469221</v>
      </c>
      <c r="AA374">
        <v>0.092999530593070104</v>
      </c>
      <c r="AB374">
        <v>0</v>
      </c>
      <c r="AC374">
        <v>0.08263816984764652</v>
      </c>
      <c r="AD374">
        <v>0.0040434578518726127</v>
      </c>
      <c r="AE374">
        <v>0.24395529039631431</v>
      </c>
      <c r="AF374">
        <v>0.57442373108165301</v>
      </c>
      <c r="AG374">
        <v>0.064189893398477735</v>
      </c>
      <c r="AH374">
        <v>0.004885844904346074</v>
      </c>
      <c r="AI374">
        <v>0</v>
      </c>
      <c r="AJ374">
        <v>0.98980478665631666</v>
      </c>
      <c r="AK374">
        <v>0.01878523127015818</v>
      </c>
      <c r="AL374">
        <v>0</v>
      </c>
      <c r="AM374">
        <v>0</v>
      </c>
      <c r="AN374">
        <v>0.018195560333426758</v>
      </c>
      <c r="AO374">
        <v>0.010866792976907647</v>
      </c>
      <c r="AP374">
        <v>0.0011793418734628454</v>
      </c>
      <c r="AQ374">
        <v>0.0069075738302823804</v>
      </c>
      <c r="AR374">
        <v>0.0011793418734628454</v>
      </c>
      <c r="AS374">
        <v>0.0028641159784097677</v>
      </c>
      <c r="AT374">
        <v>0</v>
      </c>
      <c r="AU374" t="s">
        <v>111</v>
      </c>
      <c r="BJ374" t="str">
        <f t="shared" si="10"/>
        <v>car</v>
      </c>
      <c r="BK374" t="str">
        <f t="shared" si="11"/>
        <v>nga</v>
      </c>
    </row>
    <row r="375" spans="1:63" ht="14.5">
      <c r="A375" t="s">
        <v>118</v>
      </c>
      <c r="B375" t="s">
        <v>62</v>
      </c>
      <c r="C375" t="s">
        <v>93</v>
      </c>
      <c r="D375" t="s">
        <v>111</v>
      </c>
      <c r="E375" t="s">
        <v>111</v>
      </c>
      <c r="F375" t="s">
        <v>111</v>
      </c>
      <c r="G375" t="s">
        <v>71</v>
      </c>
      <c r="H375" t="s">
        <v>111</v>
      </c>
      <c r="I375" t="s">
        <v>111</v>
      </c>
      <c r="J375" t="s">
        <v>111</v>
      </c>
      <c r="K375" t="s">
        <v>111</v>
      </c>
      <c r="L375">
        <v>0.015331444355016989</v>
      </c>
      <c r="M375">
        <v>8.4238705247346107E-05</v>
      </c>
      <c r="N375">
        <v>0.0023586837469256909</v>
      </c>
      <c r="O375">
        <v>0.0016005353996995759</v>
      </c>
      <c r="P375">
        <v>0.001684774104946922</v>
      </c>
      <c r="Q375">
        <v>0.0079184382932505331</v>
      </c>
      <c r="R375">
        <v>0.12686349010250322</v>
      </c>
      <c r="S375">
        <v>1.8596536570404125</v>
      </c>
      <c r="T375">
        <v>0</v>
      </c>
      <c r="U375">
        <v>0</v>
      </c>
      <c r="V375">
        <v>0.013983625071059453</v>
      </c>
      <c r="W375">
        <v>0.017100457165211261</v>
      </c>
      <c r="X375">
        <v>0.0015162966944522298</v>
      </c>
      <c r="Y375">
        <v>0</v>
      </c>
      <c r="Z375">
        <v>0.00016847741049469221</v>
      </c>
      <c r="AA375">
        <v>0.092999530593070104</v>
      </c>
      <c r="AB375">
        <v>0</v>
      </c>
      <c r="AC375">
        <v>0.08263816984764652</v>
      </c>
      <c r="AD375">
        <v>0.0040434578518726127</v>
      </c>
      <c r="AE375">
        <v>0.24395529039631431</v>
      </c>
      <c r="AF375">
        <v>0.57442373108165301</v>
      </c>
      <c r="AG375">
        <v>0.064189893398477735</v>
      </c>
      <c r="AH375">
        <v>0.004885844904346074</v>
      </c>
      <c r="AI375">
        <v>0</v>
      </c>
      <c r="AJ375">
        <v>0.98980478665631666</v>
      </c>
      <c r="AK375">
        <v>0.01878523127015818</v>
      </c>
      <c r="AL375">
        <v>0</v>
      </c>
      <c r="AM375">
        <v>0</v>
      </c>
      <c r="AN375">
        <v>0.018195560333426758</v>
      </c>
      <c r="AO375">
        <v>0.010866792976907647</v>
      </c>
      <c r="AP375">
        <v>0.0011793418734628454</v>
      </c>
      <c r="AQ375">
        <v>0.0069075738302823804</v>
      </c>
      <c r="AR375">
        <v>0.0011793418734628454</v>
      </c>
      <c r="AS375">
        <v>0.0028641159784097677</v>
      </c>
      <c r="AT375">
        <v>0</v>
      </c>
      <c r="AU375" t="s">
        <v>111</v>
      </c>
      <c r="BJ375" t="str">
        <f t="shared" si="10"/>
        <v>car</v>
      </c>
      <c r="BK375" t="str">
        <f t="shared" si="11"/>
        <v>nga</v>
      </c>
    </row>
    <row r="376" spans="1:63" ht="14.5">
      <c r="A376" t="s">
        <v>118</v>
      </c>
      <c r="B376" t="s">
        <v>62</v>
      </c>
      <c r="C376" t="s">
        <v>93</v>
      </c>
      <c r="D376" t="s">
        <v>111</v>
      </c>
      <c r="E376" t="s">
        <v>111</v>
      </c>
      <c r="F376" t="s">
        <v>111</v>
      </c>
      <c r="G376" t="s">
        <v>70</v>
      </c>
      <c r="H376" t="s">
        <v>111</v>
      </c>
      <c r="I376" t="s">
        <v>111</v>
      </c>
      <c r="J376" t="s">
        <v>111</v>
      </c>
      <c r="K376" t="s">
        <v>111</v>
      </c>
      <c r="L376">
        <v>0.015331444355016989</v>
      </c>
      <c r="M376">
        <v>8.4238705247346107E-05</v>
      </c>
      <c r="N376">
        <v>0.0023586837469256909</v>
      </c>
      <c r="O376">
        <v>0.0016005353996995759</v>
      </c>
      <c r="P376">
        <v>0.001684774104946922</v>
      </c>
      <c r="Q376">
        <v>0.0079184382932505331</v>
      </c>
      <c r="R376">
        <v>0.12686349010250322</v>
      </c>
      <c r="S376">
        <v>1.8596536570404125</v>
      </c>
      <c r="T376">
        <v>0</v>
      </c>
      <c r="U376">
        <v>0</v>
      </c>
      <c r="V376">
        <v>0.013983625071059453</v>
      </c>
      <c r="W376">
        <v>0.017100457165211261</v>
      </c>
      <c r="X376">
        <v>0.0015162966944522298</v>
      </c>
      <c r="Y376">
        <v>0</v>
      </c>
      <c r="Z376">
        <v>0.00016847741049469221</v>
      </c>
      <c r="AA376">
        <v>0.092999530593070104</v>
      </c>
      <c r="AB376">
        <v>0</v>
      </c>
      <c r="AC376">
        <v>0.08263816984764652</v>
      </c>
      <c r="AD376">
        <v>0.0040434578518726127</v>
      </c>
      <c r="AE376">
        <v>0.24395529039631431</v>
      </c>
      <c r="AF376">
        <v>0.57442373108165301</v>
      </c>
      <c r="AG376">
        <v>0.064189893398477735</v>
      </c>
      <c r="AH376">
        <v>0.004885844904346074</v>
      </c>
      <c r="AI376">
        <v>0</v>
      </c>
      <c r="AJ376">
        <v>0.98980478665631666</v>
      </c>
      <c r="AK376">
        <v>0.01878523127015818</v>
      </c>
      <c r="AL376">
        <v>0</v>
      </c>
      <c r="AM376">
        <v>0</v>
      </c>
      <c r="AN376">
        <v>0.018195560333426758</v>
      </c>
      <c r="AO376">
        <v>0.010866792976907647</v>
      </c>
      <c r="AP376">
        <v>0.0011793418734628454</v>
      </c>
      <c r="AQ376">
        <v>0.0069075738302823804</v>
      </c>
      <c r="AR376">
        <v>0.0011793418734628454</v>
      </c>
      <c r="AS376">
        <v>0.0028641159784097677</v>
      </c>
      <c r="AT376">
        <v>0</v>
      </c>
      <c r="AU376" t="s">
        <v>111</v>
      </c>
      <c r="BJ376" t="str">
        <f t="shared" si="10"/>
        <v>car</v>
      </c>
      <c r="BK376" t="str">
        <f t="shared" si="11"/>
        <v>nga</v>
      </c>
    </row>
    <row r="377" spans="1:63" ht="14.5">
      <c r="A377" t="s">
        <v>118</v>
      </c>
      <c r="B377" t="s">
        <v>62</v>
      </c>
      <c r="C377" t="s">
        <v>93</v>
      </c>
      <c r="D377" t="s">
        <v>111</v>
      </c>
      <c r="E377" t="s">
        <v>111</v>
      </c>
      <c r="F377" t="s">
        <v>111</v>
      </c>
      <c r="G377" t="s">
        <v>69</v>
      </c>
      <c r="H377" t="s">
        <v>111</v>
      </c>
      <c r="I377" t="s">
        <v>111</v>
      </c>
      <c r="J377" t="s">
        <v>111</v>
      </c>
      <c r="K377" t="s">
        <v>111</v>
      </c>
      <c r="L377">
        <v>0.015331444355016989</v>
      </c>
      <c r="M377">
        <v>8.4238705247346107E-05</v>
      </c>
      <c r="N377">
        <v>0.0023586837469256909</v>
      </c>
      <c r="O377">
        <v>0.0016005353996995759</v>
      </c>
      <c r="P377">
        <v>0.001684774104946922</v>
      </c>
      <c r="Q377">
        <v>0.0079184382932505331</v>
      </c>
      <c r="R377">
        <v>0.12686349010250322</v>
      </c>
      <c r="S377">
        <v>1.8596536570404125</v>
      </c>
      <c r="T377">
        <v>0</v>
      </c>
      <c r="U377">
        <v>0</v>
      </c>
      <c r="V377">
        <v>0.013983625071059453</v>
      </c>
      <c r="W377">
        <v>0.017100457165211261</v>
      </c>
      <c r="X377">
        <v>0.0015162966944522298</v>
      </c>
      <c r="Y377">
        <v>0</v>
      </c>
      <c r="Z377">
        <v>0.00016847741049469221</v>
      </c>
      <c r="AA377">
        <v>0.092999530593070104</v>
      </c>
      <c r="AB377">
        <v>0</v>
      </c>
      <c r="AC377">
        <v>0.08263816984764652</v>
      </c>
      <c r="AD377">
        <v>0.0040434578518726127</v>
      </c>
      <c r="AE377">
        <v>0.24395529039631431</v>
      </c>
      <c r="AF377">
        <v>0.57442373108165301</v>
      </c>
      <c r="AG377">
        <v>0.064189893398477735</v>
      </c>
      <c r="AH377">
        <v>0.004885844904346074</v>
      </c>
      <c r="AI377">
        <v>0</v>
      </c>
      <c r="AJ377">
        <v>0.98980478665631666</v>
      </c>
      <c r="AK377">
        <v>0.01878523127015818</v>
      </c>
      <c r="AL377">
        <v>0</v>
      </c>
      <c r="AM377">
        <v>0</v>
      </c>
      <c r="AN377">
        <v>0.018195560333426758</v>
      </c>
      <c r="AO377">
        <v>0.010866792976907647</v>
      </c>
      <c r="AP377">
        <v>0.0011793418734628454</v>
      </c>
      <c r="AQ377">
        <v>0.0069075738302823804</v>
      </c>
      <c r="AR377">
        <v>0.0011793418734628454</v>
      </c>
      <c r="AS377">
        <v>0.0028641159784097677</v>
      </c>
      <c r="AT377">
        <v>0</v>
      </c>
      <c r="AU377" t="s">
        <v>111</v>
      </c>
      <c r="BJ377" t="str">
        <f t="shared" si="10"/>
        <v>car</v>
      </c>
      <c r="BK377" t="str">
        <f t="shared" si="11"/>
        <v>nga</v>
      </c>
    </row>
    <row r="378" spans="1:63" ht="14.5">
      <c r="A378" t="s">
        <v>118</v>
      </c>
      <c r="B378" t="s">
        <v>62</v>
      </c>
      <c r="C378" t="s">
        <v>93</v>
      </c>
      <c r="D378" t="s">
        <v>111</v>
      </c>
      <c r="E378" t="s">
        <v>111</v>
      </c>
      <c r="F378" t="s">
        <v>111</v>
      </c>
      <c r="G378" t="s">
        <v>68</v>
      </c>
      <c r="H378" t="s">
        <v>111</v>
      </c>
      <c r="I378" t="s">
        <v>111</v>
      </c>
      <c r="J378" t="s">
        <v>111</v>
      </c>
      <c r="K378" t="s">
        <v>111</v>
      </c>
      <c r="L378">
        <v>0.015331444355016989</v>
      </c>
      <c r="M378">
        <v>8.4238705247346107E-05</v>
      </c>
      <c r="N378">
        <v>0.0023586837469256909</v>
      </c>
      <c r="O378">
        <v>0.0016005353996995759</v>
      </c>
      <c r="P378">
        <v>0.001684774104946922</v>
      </c>
      <c r="Q378">
        <v>0.0079184382932505331</v>
      </c>
      <c r="R378">
        <v>0.12686349010250322</v>
      </c>
      <c r="S378">
        <v>1.8596536570404125</v>
      </c>
      <c r="T378">
        <v>0</v>
      </c>
      <c r="U378">
        <v>0</v>
      </c>
      <c r="V378">
        <v>0.013983625071059453</v>
      </c>
      <c r="W378">
        <v>0.017100457165211261</v>
      </c>
      <c r="X378">
        <v>0.0015162966944522298</v>
      </c>
      <c r="Y378">
        <v>0</v>
      </c>
      <c r="Z378">
        <v>0.00016847741049469221</v>
      </c>
      <c r="AA378">
        <v>0.092999530593070104</v>
      </c>
      <c r="AB378">
        <v>0</v>
      </c>
      <c r="AC378">
        <v>0.08263816984764652</v>
      </c>
      <c r="AD378">
        <v>0.0040434578518726127</v>
      </c>
      <c r="AE378">
        <v>0.24395529039631431</v>
      </c>
      <c r="AF378">
        <v>0.57442373108165301</v>
      </c>
      <c r="AG378">
        <v>0.064189893398477735</v>
      </c>
      <c r="AH378">
        <v>0.004885844904346074</v>
      </c>
      <c r="AI378">
        <v>0</v>
      </c>
      <c r="AJ378">
        <v>0.98980478665631666</v>
      </c>
      <c r="AK378">
        <v>0.01878523127015818</v>
      </c>
      <c r="AL378">
        <v>0</v>
      </c>
      <c r="AM378">
        <v>0</v>
      </c>
      <c r="AN378">
        <v>0.018195560333426758</v>
      </c>
      <c r="AO378">
        <v>0.010866792976907647</v>
      </c>
      <c r="AP378">
        <v>0.0011793418734628454</v>
      </c>
      <c r="AQ378">
        <v>0.0069075738302823804</v>
      </c>
      <c r="AR378">
        <v>0.0011793418734628454</v>
      </c>
      <c r="AS378">
        <v>0.0028641159784097677</v>
      </c>
      <c r="AT378">
        <v>0</v>
      </c>
      <c r="AU378" t="s">
        <v>111</v>
      </c>
      <c r="BJ378" t="str">
        <f t="shared" si="10"/>
        <v>car</v>
      </c>
      <c r="BK378" t="str">
        <f t="shared" si="11"/>
        <v>nga</v>
      </c>
    </row>
    <row r="379" spans="1:63" ht="14.5">
      <c r="A379" t="s">
        <v>118</v>
      </c>
      <c r="B379" t="s">
        <v>62</v>
      </c>
      <c r="C379" t="s">
        <v>93</v>
      </c>
      <c r="D379" t="s">
        <v>111</v>
      </c>
      <c r="E379" t="s">
        <v>111</v>
      </c>
      <c r="F379" t="s">
        <v>111</v>
      </c>
      <c r="G379" t="s">
        <v>67</v>
      </c>
      <c r="H379" t="s">
        <v>111</v>
      </c>
      <c r="I379" t="s">
        <v>111</v>
      </c>
      <c r="J379" t="s">
        <v>111</v>
      </c>
      <c r="K379" t="s">
        <v>111</v>
      </c>
      <c r="L379">
        <v>0.015331444355016989</v>
      </c>
      <c r="M379">
        <v>8.4238705247346107E-05</v>
      </c>
      <c r="N379">
        <v>0.0023586837469256909</v>
      </c>
      <c r="O379">
        <v>0.0016005353996995759</v>
      </c>
      <c r="P379">
        <v>0.001684774104946922</v>
      </c>
      <c r="Q379">
        <v>0.0079184382932505331</v>
      </c>
      <c r="R379">
        <v>0.12686349010250322</v>
      </c>
      <c r="S379">
        <v>1.8596536570404125</v>
      </c>
      <c r="T379">
        <v>0</v>
      </c>
      <c r="U379">
        <v>0</v>
      </c>
      <c r="V379">
        <v>0.013983625071059453</v>
      </c>
      <c r="W379">
        <v>0.017100457165211261</v>
      </c>
      <c r="X379">
        <v>0.0015162966944522298</v>
      </c>
      <c r="Y379">
        <v>0</v>
      </c>
      <c r="Z379">
        <v>0.00016847741049469221</v>
      </c>
      <c r="AA379">
        <v>0.092999530593070104</v>
      </c>
      <c r="AB379">
        <v>0</v>
      </c>
      <c r="AC379">
        <v>0.08263816984764652</v>
      </c>
      <c r="AD379">
        <v>0.0040434578518726127</v>
      </c>
      <c r="AE379">
        <v>0.24395529039631431</v>
      </c>
      <c r="AF379">
        <v>0.57442373108165301</v>
      </c>
      <c r="AG379">
        <v>0.064189893398477735</v>
      </c>
      <c r="AH379">
        <v>0.004885844904346074</v>
      </c>
      <c r="AI379">
        <v>0</v>
      </c>
      <c r="AJ379">
        <v>0.98980478665631666</v>
      </c>
      <c r="AK379">
        <v>0.01878523127015818</v>
      </c>
      <c r="AL379">
        <v>0</v>
      </c>
      <c r="AM379">
        <v>0</v>
      </c>
      <c r="AN379">
        <v>0.018195560333426758</v>
      </c>
      <c r="AO379">
        <v>0.010866792976907647</v>
      </c>
      <c r="AP379">
        <v>0.0011793418734628454</v>
      </c>
      <c r="AQ379">
        <v>0.0069075738302823804</v>
      </c>
      <c r="AR379">
        <v>0.0011793418734628454</v>
      </c>
      <c r="AS379">
        <v>0.0028641159784097677</v>
      </c>
      <c r="AT379">
        <v>0</v>
      </c>
      <c r="AU379" t="s">
        <v>111</v>
      </c>
      <c r="BJ379" t="str">
        <f t="shared" si="10"/>
        <v>car</v>
      </c>
      <c r="BK379" t="str">
        <f t="shared" si="11"/>
        <v>nga</v>
      </c>
    </row>
    <row r="380" spans="1:63" ht="14.5">
      <c r="A380" t="s">
        <v>118</v>
      </c>
      <c r="B380" t="s">
        <v>62</v>
      </c>
      <c r="C380" t="s">
        <v>93</v>
      </c>
      <c r="D380" t="s">
        <v>111</v>
      </c>
      <c r="E380" t="s">
        <v>111</v>
      </c>
      <c r="F380" t="s">
        <v>111</v>
      </c>
      <c r="G380" t="s">
        <v>66</v>
      </c>
      <c r="H380" t="s">
        <v>111</v>
      </c>
      <c r="I380" t="s">
        <v>111</v>
      </c>
      <c r="J380" t="s">
        <v>111</v>
      </c>
      <c r="K380" t="s">
        <v>111</v>
      </c>
      <c r="L380">
        <v>0.015331444355016989</v>
      </c>
      <c r="M380">
        <v>8.4238705247346107E-05</v>
      </c>
      <c r="N380">
        <v>0.0023586837469256909</v>
      </c>
      <c r="O380">
        <v>0.0016005353996995759</v>
      </c>
      <c r="P380">
        <v>0.001684774104946922</v>
      </c>
      <c r="Q380">
        <v>0.0079184382932505331</v>
      </c>
      <c r="R380">
        <v>0.12686349010250322</v>
      </c>
      <c r="S380">
        <v>1.8596536570404125</v>
      </c>
      <c r="T380">
        <v>0</v>
      </c>
      <c r="U380">
        <v>0</v>
      </c>
      <c r="V380">
        <v>0.013983625071059453</v>
      </c>
      <c r="W380">
        <v>0.017100457165211261</v>
      </c>
      <c r="X380">
        <v>0.0015162966944522298</v>
      </c>
      <c r="Y380">
        <v>0</v>
      </c>
      <c r="Z380">
        <v>0.00016847741049469221</v>
      </c>
      <c r="AA380">
        <v>0.092999530593070104</v>
      </c>
      <c r="AB380">
        <v>0</v>
      </c>
      <c r="AC380">
        <v>0.08263816984764652</v>
      </c>
      <c r="AD380">
        <v>0.0040434578518726127</v>
      </c>
      <c r="AE380">
        <v>0.24395529039631431</v>
      </c>
      <c r="AF380">
        <v>0.57442373108165301</v>
      </c>
      <c r="AG380">
        <v>0.064189893398477735</v>
      </c>
      <c r="AH380">
        <v>0.004885844904346074</v>
      </c>
      <c r="AI380">
        <v>0</v>
      </c>
      <c r="AJ380">
        <v>0.98980478665631666</v>
      </c>
      <c r="AK380">
        <v>0.01878523127015818</v>
      </c>
      <c r="AL380">
        <v>0</v>
      </c>
      <c r="AM380">
        <v>0</v>
      </c>
      <c r="AN380">
        <v>0.018195560333426758</v>
      </c>
      <c r="AO380">
        <v>0.010866792976907647</v>
      </c>
      <c r="AP380">
        <v>0.0011793418734628454</v>
      </c>
      <c r="AQ380">
        <v>0.0069075738302823804</v>
      </c>
      <c r="AR380">
        <v>0.0011793418734628454</v>
      </c>
      <c r="AS380">
        <v>0.0028641159784097677</v>
      </c>
      <c r="AT380">
        <v>0</v>
      </c>
      <c r="AU380" t="s">
        <v>111</v>
      </c>
      <c r="BJ380" t="str">
        <f t="shared" si="10"/>
        <v>car</v>
      </c>
      <c r="BK380" t="str">
        <f t="shared" si="11"/>
        <v>nga</v>
      </c>
    </row>
    <row r="381" spans="1:63" ht="14.5">
      <c r="A381" t="s">
        <v>118</v>
      </c>
      <c r="B381" t="s">
        <v>62</v>
      </c>
      <c r="C381" t="s">
        <v>93</v>
      </c>
      <c r="D381" t="s">
        <v>111</v>
      </c>
      <c r="E381" t="s">
        <v>111</v>
      </c>
      <c r="F381" t="s">
        <v>111</v>
      </c>
      <c r="G381" t="s">
        <v>65</v>
      </c>
      <c r="H381" t="s">
        <v>111</v>
      </c>
      <c r="I381" t="s">
        <v>111</v>
      </c>
      <c r="J381" t="s">
        <v>111</v>
      </c>
      <c r="K381" t="s">
        <v>111</v>
      </c>
      <c r="L381">
        <v>0.015331444355016989</v>
      </c>
      <c r="M381">
        <v>8.4238705247346107E-05</v>
      </c>
      <c r="N381">
        <v>0.0023586837469256909</v>
      </c>
      <c r="O381">
        <v>0.0016005353996995759</v>
      </c>
      <c r="P381">
        <v>0.001684774104946922</v>
      </c>
      <c r="Q381">
        <v>0.0079184382932505331</v>
      </c>
      <c r="R381">
        <v>0.12686349010250322</v>
      </c>
      <c r="S381">
        <v>1.8596536570404125</v>
      </c>
      <c r="T381">
        <v>0</v>
      </c>
      <c r="U381">
        <v>0</v>
      </c>
      <c r="V381">
        <v>0.013983625071059453</v>
      </c>
      <c r="W381">
        <v>0.017100457165211261</v>
      </c>
      <c r="X381">
        <v>0.0015162966944522298</v>
      </c>
      <c r="Y381">
        <v>0</v>
      </c>
      <c r="Z381">
        <v>0.00016847741049469221</v>
      </c>
      <c r="AA381">
        <v>0.092999530593070104</v>
      </c>
      <c r="AB381">
        <v>0</v>
      </c>
      <c r="AC381">
        <v>0.08263816984764652</v>
      </c>
      <c r="AD381">
        <v>0.0040434578518726127</v>
      </c>
      <c r="AE381">
        <v>0.24395529039631431</v>
      </c>
      <c r="AF381">
        <v>0.57442373108165301</v>
      </c>
      <c r="AG381">
        <v>0.064189893398477735</v>
      </c>
      <c r="AH381">
        <v>0.004885844904346074</v>
      </c>
      <c r="AI381">
        <v>0</v>
      </c>
      <c r="AJ381">
        <v>0.98980478665631666</v>
      </c>
      <c r="AK381">
        <v>0.01878523127015818</v>
      </c>
      <c r="AL381">
        <v>0</v>
      </c>
      <c r="AM381">
        <v>0</v>
      </c>
      <c r="AN381">
        <v>0.018195560333426758</v>
      </c>
      <c r="AO381">
        <v>0.010866792976907647</v>
      </c>
      <c r="AP381">
        <v>0.0011793418734628454</v>
      </c>
      <c r="AQ381">
        <v>0.0069075738302823804</v>
      </c>
      <c r="AR381">
        <v>0.0011793418734628454</v>
      </c>
      <c r="AS381">
        <v>0.0028641159784097677</v>
      </c>
      <c r="AT381">
        <v>0</v>
      </c>
      <c r="AU381" t="s">
        <v>111</v>
      </c>
      <c r="BJ381" t="str">
        <f t="shared" si="10"/>
        <v>car</v>
      </c>
      <c r="BK381" t="str">
        <f t="shared" si="11"/>
        <v>nga</v>
      </c>
    </row>
    <row r="382" spans="1:63" ht="14.5">
      <c r="A382" t="s">
        <v>118</v>
      </c>
      <c r="B382" t="s">
        <v>62</v>
      </c>
      <c r="C382" t="s">
        <v>92</v>
      </c>
      <c r="D382" t="s">
        <v>111</v>
      </c>
      <c r="E382" t="s">
        <v>111</v>
      </c>
      <c r="F382" t="s">
        <v>111</v>
      </c>
      <c r="G382" t="s">
        <v>61</v>
      </c>
      <c r="H382" t="s">
        <v>111</v>
      </c>
      <c r="I382" t="s">
        <v>111</v>
      </c>
      <c r="J382" t="s">
        <v>111</v>
      </c>
      <c r="K382" t="s">
        <v>111</v>
      </c>
      <c r="L382">
        <v>0</v>
      </c>
      <c r="M382">
        <v>0</v>
      </c>
      <c r="N382">
        <v>0</v>
      </c>
      <c r="O382">
        <v>0.0013478192839575377</v>
      </c>
      <c r="P382">
        <v>0.00042119352623673051</v>
      </c>
      <c r="Q382">
        <v>0.0027798772731624215</v>
      </c>
      <c r="R382">
        <v>0.056861126041958622</v>
      </c>
      <c r="S382">
        <v>0.0021902063364309986</v>
      </c>
      <c r="T382">
        <v>0.00042119352623673051</v>
      </c>
      <c r="U382">
        <v>0.0011793418734628454</v>
      </c>
      <c r="V382">
        <v>0.0079184382932505331</v>
      </c>
      <c r="W382">
        <v>0.0059809480725615729</v>
      </c>
      <c r="X382">
        <v>0.00050543223148407659</v>
      </c>
      <c r="Y382">
        <v>0.0018532515154416141</v>
      </c>
      <c r="Z382">
        <v>8.4238705247346107E-05</v>
      </c>
      <c r="AA382">
        <v>8.4238705247346107E-05</v>
      </c>
      <c r="AB382">
        <v>0.00050543223148407659</v>
      </c>
      <c r="AC382">
        <v>0.0039592191466252665</v>
      </c>
      <c r="AD382">
        <v>8.4238705247346107E-05</v>
      </c>
      <c r="AE382">
        <v>0.0064863803040456497</v>
      </c>
      <c r="AF382">
        <v>0</v>
      </c>
      <c r="AG382">
        <v>0.021312392427578562</v>
      </c>
      <c r="AH382">
        <v>0.0013478192839575377</v>
      </c>
      <c r="AI382">
        <v>0.002442922452173037</v>
      </c>
      <c r="AJ382">
        <v>0.023081405237772832</v>
      </c>
      <c r="AK382">
        <v>0</v>
      </c>
      <c r="AL382">
        <v>0</v>
      </c>
      <c r="AM382">
        <v>0</v>
      </c>
      <c r="AN382">
        <v>0.015836876586501066</v>
      </c>
      <c r="AO382">
        <v>0.0053912771358301508</v>
      </c>
      <c r="AP382">
        <v>0.00050543223148407659</v>
      </c>
      <c r="AQ382">
        <v>0.00033695482098938443</v>
      </c>
      <c r="AR382">
        <v>0.0039592191466252665</v>
      </c>
      <c r="AS382">
        <v>0</v>
      </c>
      <c r="AT382">
        <v>0.0010108644629681532</v>
      </c>
      <c r="AU382" t="s">
        <v>111</v>
      </c>
      <c r="BJ382" t="str">
        <f t="shared" si="10"/>
        <v>hdt</v>
      </c>
      <c r="BK382" t="str">
        <f t="shared" si="11"/>
        <v>bdl</v>
      </c>
    </row>
    <row r="383" spans="1:63" ht="14.5">
      <c r="A383" t="s">
        <v>118</v>
      </c>
      <c r="B383" t="s">
        <v>62</v>
      </c>
      <c r="C383" t="s">
        <v>92</v>
      </c>
      <c r="D383" t="s">
        <v>111</v>
      </c>
      <c r="E383" t="s">
        <v>111</v>
      </c>
      <c r="F383" t="s">
        <v>111</v>
      </c>
      <c r="G383" t="s">
        <v>83</v>
      </c>
      <c r="H383" t="s">
        <v>111</v>
      </c>
      <c r="I383" t="s">
        <v>111</v>
      </c>
      <c r="J383" t="s">
        <v>111</v>
      </c>
      <c r="K383" t="s">
        <v>111</v>
      </c>
      <c r="L383">
        <v>0</v>
      </c>
      <c r="M383">
        <v>0</v>
      </c>
      <c r="N383">
        <v>0</v>
      </c>
      <c r="O383">
        <v>0.0013478192839575377</v>
      </c>
      <c r="P383">
        <v>0.00042119352623673051</v>
      </c>
      <c r="Q383">
        <v>0.0027798772731624215</v>
      </c>
      <c r="R383">
        <v>0.056861126041958622</v>
      </c>
      <c r="S383">
        <v>0.0021902063364309986</v>
      </c>
      <c r="T383">
        <v>0.00042119352623673051</v>
      </c>
      <c r="U383">
        <v>0.0011793418734628454</v>
      </c>
      <c r="V383">
        <v>0.0079184382932505331</v>
      </c>
      <c r="W383">
        <v>0.0059809480725615729</v>
      </c>
      <c r="X383">
        <v>0.00050543223148407659</v>
      </c>
      <c r="Y383">
        <v>0.0018532515154416141</v>
      </c>
      <c r="Z383">
        <v>8.4238705247346107E-05</v>
      </c>
      <c r="AA383">
        <v>8.4238705247346107E-05</v>
      </c>
      <c r="AB383">
        <v>0.00050543223148407659</v>
      </c>
      <c r="AC383">
        <v>0.0039592191466252665</v>
      </c>
      <c r="AD383">
        <v>8.4238705247346107E-05</v>
      </c>
      <c r="AE383">
        <v>0.0064863803040456497</v>
      </c>
      <c r="AF383">
        <v>0</v>
      </c>
      <c r="AG383">
        <v>0.021312392427578562</v>
      </c>
      <c r="AH383">
        <v>0.0013478192839575377</v>
      </c>
      <c r="AI383">
        <v>0.002442922452173037</v>
      </c>
      <c r="AJ383">
        <v>0.023081405237772832</v>
      </c>
      <c r="AK383">
        <v>0</v>
      </c>
      <c r="AL383">
        <v>0</v>
      </c>
      <c r="AM383">
        <v>0</v>
      </c>
      <c r="AN383">
        <v>0.015836876586501066</v>
      </c>
      <c r="AO383">
        <v>0.0053912771358301508</v>
      </c>
      <c r="AP383">
        <v>0.00050543223148407659</v>
      </c>
      <c r="AQ383">
        <v>0.00033695482098938443</v>
      </c>
      <c r="AR383">
        <v>0.0039592191466252665</v>
      </c>
      <c r="AS383">
        <v>0</v>
      </c>
      <c r="AT383">
        <v>0.0010108644629681532</v>
      </c>
      <c r="AU383" t="s">
        <v>111</v>
      </c>
      <c r="BJ383" t="str">
        <f t="shared" si="10"/>
        <v>hdt</v>
      </c>
      <c r="BK383" t="str">
        <f t="shared" si="11"/>
        <v>bdl</v>
      </c>
    </row>
    <row r="384" spans="1:63" ht="14.5">
      <c r="A384" t="s">
        <v>118</v>
      </c>
      <c r="B384" t="s">
        <v>62</v>
      </c>
      <c r="C384" t="s">
        <v>92</v>
      </c>
      <c r="D384" t="s">
        <v>111</v>
      </c>
      <c r="E384" t="s">
        <v>111</v>
      </c>
      <c r="F384" t="s">
        <v>111</v>
      </c>
      <c r="G384" t="s">
        <v>82</v>
      </c>
      <c r="H384" t="s">
        <v>111</v>
      </c>
      <c r="I384" t="s">
        <v>111</v>
      </c>
      <c r="J384" t="s">
        <v>111</v>
      </c>
      <c r="K384" t="s">
        <v>111</v>
      </c>
      <c r="L384">
        <v>0</v>
      </c>
      <c r="M384">
        <v>0</v>
      </c>
      <c r="N384">
        <v>0</v>
      </c>
      <c r="O384">
        <v>0.0013478192839575377</v>
      </c>
      <c r="P384">
        <v>0.00042119352623673051</v>
      </c>
      <c r="Q384">
        <v>0.0027798772731624215</v>
      </c>
      <c r="R384">
        <v>0.056861126041958622</v>
      </c>
      <c r="S384">
        <v>0.0021902063364309986</v>
      </c>
      <c r="T384">
        <v>0.00042119352623673051</v>
      </c>
      <c r="U384">
        <v>0.0011793418734628454</v>
      </c>
      <c r="V384">
        <v>0.0079184382932505331</v>
      </c>
      <c r="W384">
        <v>0.0059809480725615729</v>
      </c>
      <c r="X384">
        <v>0.00050543223148407659</v>
      </c>
      <c r="Y384">
        <v>0.0018532515154416141</v>
      </c>
      <c r="Z384">
        <v>8.4238705247346107E-05</v>
      </c>
      <c r="AA384">
        <v>8.4238705247346107E-05</v>
      </c>
      <c r="AB384">
        <v>0.00050543223148407659</v>
      </c>
      <c r="AC384">
        <v>0.0039592191466252665</v>
      </c>
      <c r="AD384">
        <v>8.4238705247346107E-05</v>
      </c>
      <c r="AE384">
        <v>0.0064863803040456497</v>
      </c>
      <c r="AF384">
        <v>0</v>
      </c>
      <c r="AG384">
        <v>0.021312392427578562</v>
      </c>
      <c r="AH384">
        <v>0.0013478192839575377</v>
      </c>
      <c r="AI384">
        <v>0.002442922452173037</v>
      </c>
      <c r="AJ384">
        <v>0.023081405237772832</v>
      </c>
      <c r="AK384">
        <v>0</v>
      </c>
      <c r="AL384">
        <v>0</v>
      </c>
      <c r="AM384">
        <v>0</v>
      </c>
      <c r="AN384">
        <v>0.015836876586501066</v>
      </c>
      <c r="AO384">
        <v>0.0053912771358301508</v>
      </c>
      <c r="AP384">
        <v>0.00050543223148407659</v>
      </c>
      <c r="AQ384">
        <v>0.00033695482098938443</v>
      </c>
      <c r="AR384">
        <v>0.0039592191466252665</v>
      </c>
      <c r="AS384">
        <v>0</v>
      </c>
      <c r="AT384">
        <v>0.0010108644629681532</v>
      </c>
      <c r="AU384" t="s">
        <v>111</v>
      </c>
      <c r="BJ384" t="str">
        <f t="shared" si="10"/>
        <v>hdt</v>
      </c>
      <c r="BK384" t="str">
        <f t="shared" si="11"/>
        <v>bdl</v>
      </c>
    </row>
    <row r="385" spans="1:63" ht="14.5">
      <c r="A385" t="s">
        <v>118</v>
      </c>
      <c r="B385" t="s">
        <v>62</v>
      </c>
      <c r="C385" t="s">
        <v>92</v>
      </c>
      <c r="D385" t="s">
        <v>111</v>
      </c>
      <c r="E385" t="s">
        <v>111</v>
      </c>
      <c r="F385" t="s">
        <v>111</v>
      </c>
      <c r="G385" t="s">
        <v>81</v>
      </c>
      <c r="H385" t="s">
        <v>111</v>
      </c>
      <c r="I385" t="s">
        <v>111</v>
      </c>
      <c r="J385" t="s">
        <v>111</v>
      </c>
      <c r="K385" t="s">
        <v>111</v>
      </c>
      <c r="L385">
        <v>0</v>
      </c>
      <c r="M385">
        <v>0</v>
      </c>
      <c r="N385">
        <v>0</v>
      </c>
      <c r="O385">
        <v>0.0013478192839575377</v>
      </c>
      <c r="P385">
        <v>0.00042119352623673051</v>
      </c>
      <c r="Q385">
        <v>0.0027798772731624215</v>
      </c>
      <c r="R385">
        <v>0.056861126041958622</v>
      </c>
      <c r="S385">
        <v>0.0021902063364309986</v>
      </c>
      <c r="T385">
        <v>0.00042119352623673051</v>
      </c>
      <c r="U385">
        <v>0.0011793418734628454</v>
      </c>
      <c r="V385">
        <v>0.0079184382932505331</v>
      </c>
      <c r="W385">
        <v>0.0059809480725615729</v>
      </c>
      <c r="X385">
        <v>0.00050543223148407659</v>
      </c>
      <c r="Y385">
        <v>0.0018532515154416141</v>
      </c>
      <c r="Z385">
        <v>8.4238705247346107E-05</v>
      </c>
      <c r="AA385">
        <v>8.4238705247346107E-05</v>
      </c>
      <c r="AB385">
        <v>0.00050543223148407659</v>
      </c>
      <c r="AC385">
        <v>0.0039592191466252665</v>
      </c>
      <c r="AD385">
        <v>8.4238705247346107E-05</v>
      </c>
      <c r="AE385">
        <v>0.0064863803040456497</v>
      </c>
      <c r="AF385">
        <v>0</v>
      </c>
      <c r="AG385">
        <v>0.021312392427578562</v>
      </c>
      <c r="AH385">
        <v>0.0013478192839575377</v>
      </c>
      <c r="AI385">
        <v>0.002442922452173037</v>
      </c>
      <c r="AJ385">
        <v>0.023081405237772832</v>
      </c>
      <c r="AK385">
        <v>0</v>
      </c>
      <c r="AL385">
        <v>0</v>
      </c>
      <c r="AM385">
        <v>0</v>
      </c>
      <c r="AN385">
        <v>0.015836876586501066</v>
      </c>
      <c r="AO385">
        <v>0.0053912771358301508</v>
      </c>
      <c r="AP385">
        <v>0.00050543223148407659</v>
      </c>
      <c r="AQ385">
        <v>0.00033695482098938443</v>
      </c>
      <c r="AR385">
        <v>0.0039592191466252665</v>
      </c>
      <c r="AS385">
        <v>0</v>
      </c>
      <c r="AT385">
        <v>0.0010108644629681532</v>
      </c>
      <c r="AU385" t="s">
        <v>111</v>
      </c>
      <c r="BJ385" t="str">
        <f t="shared" si="10"/>
        <v>hdt</v>
      </c>
      <c r="BK385" t="str">
        <f t="shared" si="11"/>
        <v>bdl</v>
      </c>
    </row>
    <row r="386" spans="1:63" ht="14.5">
      <c r="A386" t="s">
        <v>118</v>
      </c>
      <c r="B386" t="s">
        <v>62</v>
      </c>
      <c r="C386" t="s">
        <v>92</v>
      </c>
      <c r="D386" t="s">
        <v>111</v>
      </c>
      <c r="E386" t="s">
        <v>111</v>
      </c>
      <c r="F386" t="s">
        <v>111</v>
      </c>
      <c r="G386" t="s">
        <v>80</v>
      </c>
      <c r="H386" t="s">
        <v>111</v>
      </c>
      <c r="I386" t="s">
        <v>111</v>
      </c>
      <c r="J386" t="s">
        <v>111</v>
      </c>
      <c r="K386" t="s">
        <v>111</v>
      </c>
      <c r="L386">
        <v>0</v>
      </c>
      <c r="M386">
        <v>0</v>
      </c>
      <c r="N386">
        <v>0</v>
      </c>
      <c r="O386">
        <v>0.0013478192839575377</v>
      </c>
      <c r="P386">
        <v>0.00042119352623673051</v>
      </c>
      <c r="Q386">
        <v>0.0027798772731624215</v>
      </c>
      <c r="R386">
        <v>0.056861126041958622</v>
      </c>
      <c r="S386">
        <v>0.0021902063364309986</v>
      </c>
      <c r="T386">
        <v>0.00042119352623673051</v>
      </c>
      <c r="U386">
        <v>0.0011793418734628454</v>
      </c>
      <c r="V386">
        <v>0.0079184382932505331</v>
      </c>
      <c r="W386">
        <v>0.0059809480725615729</v>
      </c>
      <c r="X386">
        <v>0.00050543223148407659</v>
      </c>
      <c r="Y386">
        <v>0.0018532515154416141</v>
      </c>
      <c r="Z386">
        <v>8.4238705247346107E-05</v>
      </c>
      <c r="AA386">
        <v>8.4238705247346107E-05</v>
      </c>
      <c r="AB386">
        <v>0.00050543223148407659</v>
      </c>
      <c r="AC386">
        <v>0.0039592191466252665</v>
      </c>
      <c r="AD386">
        <v>8.4238705247346107E-05</v>
      </c>
      <c r="AE386">
        <v>0.0064863803040456497</v>
      </c>
      <c r="AF386">
        <v>0</v>
      </c>
      <c r="AG386">
        <v>0.021312392427578562</v>
      </c>
      <c r="AH386">
        <v>0.0013478192839575377</v>
      </c>
      <c r="AI386">
        <v>0.002442922452173037</v>
      </c>
      <c r="AJ386">
        <v>0.023081405237772832</v>
      </c>
      <c r="AK386">
        <v>0</v>
      </c>
      <c r="AL386">
        <v>0</v>
      </c>
      <c r="AM386">
        <v>0</v>
      </c>
      <c r="AN386">
        <v>0.015836876586501066</v>
      </c>
      <c r="AO386">
        <v>0.0053912771358301508</v>
      </c>
      <c r="AP386">
        <v>0.00050543223148407659</v>
      </c>
      <c r="AQ386">
        <v>0.00033695482098938443</v>
      </c>
      <c r="AR386">
        <v>0.0039592191466252665</v>
      </c>
      <c r="AS386">
        <v>0</v>
      </c>
      <c r="AT386">
        <v>0.0010108644629681532</v>
      </c>
      <c r="AU386" t="s">
        <v>111</v>
      </c>
      <c r="BJ386" t="str">
        <f t="shared" si="10"/>
        <v>hdt</v>
      </c>
      <c r="BK386" t="str">
        <f t="shared" si="11"/>
        <v>bdl</v>
      </c>
    </row>
    <row r="387" spans="1:63" ht="14.5">
      <c r="A387" t="s">
        <v>118</v>
      </c>
      <c r="B387" t="s">
        <v>62</v>
      </c>
      <c r="C387" t="s">
        <v>92</v>
      </c>
      <c r="D387" t="s">
        <v>111</v>
      </c>
      <c r="E387" t="s">
        <v>111</v>
      </c>
      <c r="F387" t="s">
        <v>111</v>
      </c>
      <c r="G387" t="s">
        <v>79</v>
      </c>
      <c r="H387" t="s">
        <v>111</v>
      </c>
      <c r="I387" t="s">
        <v>111</v>
      </c>
      <c r="J387" t="s">
        <v>111</v>
      </c>
      <c r="K387" t="s">
        <v>111</v>
      </c>
      <c r="L387">
        <v>0</v>
      </c>
      <c r="M387">
        <v>0</v>
      </c>
      <c r="N387">
        <v>0</v>
      </c>
      <c r="O387">
        <v>0.0013478192839575377</v>
      </c>
      <c r="P387">
        <v>0.00042119352623673051</v>
      </c>
      <c r="Q387">
        <v>0.0027798772731624215</v>
      </c>
      <c r="R387">
        <v>0.056861126041958622</v>
      </c>
      <c r="S387">
        <v>0.0021902063364309986</v>
      </c>
      <c r="T387">
        <v>0.00042119352623673051</v>
      </c>
      <c r="U387">
        <v>0.0011793418734628454</v>
      </c>
      <c r="V387">
        <v>0.0079184382932505331</v>
      </c>
      <c r="W387">
        <v>0.0059809480725615729</v>
      </c>
      <c r="X387">
        <v>0.00050543223148407659</v>
      </c>
      <c r="Y387">
        <v>0.0018532515154416141</v>
      </c>
      <c r="Z387">
        <v>8.4238705247346107E-05</v>
      </c>
      <c r="AA387">
        <v>8.4238705247346107E-05</v>
      </c>
      <c r="AB387">
        <v>0.00050543223148407659</v>
      </c>
      <c r="AC387">
        <v>0.0039592191466252665</v>
      </c>
      <c r="AD387">
        <v>8.4238705247346107E-05</v>
      </c>
      <c r="AE387">
        <v>0.0064863803040456497</v>
      </c>
      <c r="AF387">
        <v>0</v>
      </c>
      <c r="AG387">
        <v>0.021312392427578562</v>
      </c>
      <c r="AH387">
        <v>0.0013478192839575377</v>
      </c>
      <c r="AI387">
        <v>0.002442922452173037</v>
      </c>
      <c r="AJ387">
        <v>0.023081405237772832</v>
      </c>
      <c r="AK387">
        <v>0</v>
      </c>
      <c r="AL387">
        <v>0</v>
      </c>
      <c r="AM387">
        <v>0</v>
      </c>
      <c r="AN387">
        <v>0.015836876586501066</v>
      </c>
      <c r="AO387">
        <v>0.0053912771358301508</v>
      </c>
      <c r="AP387">
        <v>0.00050543223148407659</v>
      </c>
      <c r="AQ387">
        <v>0.00033695482098938443</v>
      </c>
      <c r="AR387">
        <v>0.0039592191466252665</v>
      </c>
      <c r="AS387">
        <v>0</v>
      </c>
      <c r="AT387">
        <v>0.0010108644629681532</v>
      </c>
      <c r="AU387" t="s">
        <v>111</v>
      </c>
      <c r="BJ387" t="str">
        <f t="shared" si="12" ref="BJ387:BJ450">MID(C387,5,3)</f>
        <v>hdt</v>
      </c>
      <c r="BK387" t="str">
        <f t="shared" si="13" ref="BK387:BK450">RIGHT(C387,3)</f>
        <v>bdl</v>
      </c>
    </row>
    <row r="388" spans="1:63" ht="14.5">
      <c r="A388" t="s">
        <v>118</v>
      </c>
      <c r="B388" t="s">
        <v>62</v>
      </c>
      <c r="C388" t="s">
        <v>92</v>
      </c>
      <c r="D388" t="s">
        <v>111</v>
      </c>
      <c r="E388" t="s">
        <v>111</v>
      </c>
      <c r="F388" t="s">
        <v>111</v>
      </c>
      <c r="G388" t="s">
        <v>78</v>
      </c>
      <c r="H388" t="s">
        <v>111</v>
      </c>
      <c r="I388" t="s">
        <v>111</v>
      </c>
      <c r="J388" t="s">
        <v>111</v>
      </c>
      <c r="K388" t="s">
        <v>111</v>
      </c>
      <c r="L388">
        <v>0</v>
      </c>
      <c r="M388">
        <v>0</v>
      </c>
      <c r="N388">
        <v>0</v>
      </c>
      <c r="O388">
        <v>0.0013478192839575377</v>
      </c>
      <c r="P388">
        <v>0.00042119352623673051</v>
      </c>
      <c r="Q388">
        <v>0.0027798772731624215</v>
      </c>
      <c r="R388">
        <v>0.056861126041958622</v>
      </c>
      <c r="S388">
        <v>0.0021902063364309986</v>
      </c>
      <c r="T388">
        <v>0.00042119352623673051</v>
      </c>
      <c r="U388">
        <v>0.0011793418734628454</v>
      </c>
      <c r="V388">
        <v>0.0079184382932505331</v>
      </c>
      <c r="W388">
        <v>0.0059809480725615729</v>
      </c>
      <c r="X388">
        <v>0.00050543223148407659</v>
      </c>
      <c r="Y388">
        <v>0.0018532515154416141</v>
      </c>
      <c r="Z388">
        <v>8.4238705247346107E-05</v>
      </c>
      <c r="AA388">
        <v>8.4238705247346107E-05</v>
      </c>
      <c r="AB388">
        <v>0.00050543223148407659</v>
      </c>
      <c r="AC388">
        <v>0.0039592191466252665</v>
      </c>
      <c r="AD388">
        <v>8.4238705247346107E-05</v>
      </c>
      <c r="AE388">
        <v>0.0064863803040456497</v>
      </c>
      <c r="AF388">
        <v>0</v>
      </c>
      <c r="AG388">
        <v>0.021312392427578562</v>
      </c>
      <c r="AH388">
        <v>0.0013478192839575377</v>
      </c>
      <c r="AI388">
        <v>0.002442922452173037</v>
      </c>
      <c r="AJ388">
        <v>0.023081405237772832</v>
      </c>
      <c r="AK388">
        <v>0</v>
      </c>
      <c r="AL388">
        <v>0</v>
      </c>
      <c r="AM388">
        <v>0</v>
      </c>
      <c r="AN388">
        <v>0.015836876586501066</v>
      </c>
      <c r="AO388">
        <v>0.0053912771358301508</v>
      </c>
      <c r="AP388">
        <v>0.00050543223148407659</v>
      </c>
      <c r="AQ388">
        <v>0.00033695482098938443</v>
      </c>
      <c r="AR388">
        <v>0.0039592191466252665</v>
      </c>
      <c r="AS388">
        <v>0</v>
      </c>
      <c r="AT388">
        <v>0.0010108644629681532</v>
      </c>
      <c r="AU388" t="s">
        <v>111</v>
      </c>
      <c r="BJ388" t="str">
        <f t="shared" si="12"/>
        <v>hdt</v>
      </c>
      <c r="BK388" t="str">
        <f t="shared" si="13"/>
        <v>bdl</v>
      </c>
    </row>
    <row r="389" spans="1:63" ht="14.5">
      <c r="A389" t="s">
        <v>118</v>
      </c>
      <c r="B389" t="s">
        <v>62</v>
      </c>
      <c r="C389" t="s">
        <v>92</v>
      </c>
      <c r="D389" t="s">
        <v>111</v>
      </c>
      <c r="E389" t="s">
        <v>111</v>
      </c>
      <c r="F389" t="s">
        <v>111</v>
      </c>
      <c r="G389" t="s">
        <v>77</v>
      </c>
      <c r="H389" t="s">
        <v>111</v>
      </c>
      <c r="I389" t="s">
        <v>111</v>
      </c>
      <c r="J389" t="s">
        <v>111</v>
      </c>
      <c r="K389" t="s">
        <v>111</v>
      </c>
      <c r="L389">
        <v>0</v>
      </c>
      <c r="M389">
        <v>0</v>
      </c>
      <c r="N389">
        <v>0</v>
      </c>
      <c r="O389">
        <v>0.0013478192839575377</v>
      </c>
      <c r="P389">
        <v>0.00042119352623673051</v>
      </c>
      <c r="Q389">
        <v>0.0027798772731624215</v>
      </c>
      <c r="R389">
        <v>0.056861126041958622</v>
      </c>
      <c r="S389">
        <v>0.0021902063364309986</v>
      </c>
      <c r="T389">
        <v>0.00042119352623673051</v>
      </c>
      <c r="U389">
        <v>0.0011793418734628454</v>
      </c>
      <c r="V389">
        <v>0.0079184382932505331</v>
      </c>
      <c r="W389">
        <v>0.0059809480725615729</v>
      </c>
      <c r="X389">
        <v>0.00050543223148407659</v>
      </c>
      <c r="Y389">
        <v>0.0018532515154416141</v>
      </c>
      <c r="Z389">
        <v>8.4238705247346107E-05</v>
      </c>
      <c r="AA389">
        <v>8.4238705247346107E-05</v>
      </c>
      <c r="AB389">
        <v>0.00050543223148407659</v>
      </c>
      <c r="AC389">
        <v>0.0039592191466252665</v>
      </c>
      <c r="AD389">
        <v>8.4238705247346107E-05</v>
      </c>
      <c r="AE389">
        <v>0.0064863803040456497</v>
      </c>
      <c r="AF389">
        <v>0</v>
      </c>
      <c r="AG389">
        <v>0.021312392427578562</v>
      </c>
      <c r="AH389">
        <v>0.0013478192839575377</v>
      </c>
      <c r="AI389">
        <v>0.002442922452173037</v>
      </c>
      <c r="AJ389">
        <v>0.023081405237772832</v>
      </c>
      <c r="AK389">
        <v>0</v>
      </c>
      <c r="AL389">
        <v>0</v>
      </c>
      <c r="AM389">
        <v>0</v>
      </c>
      <c r="AN389">
        <v>0.015836876586501066</v>
      </c>
      <c r="AO389">
        <v>0.0053912771358301508</v>
      </c>
      <c r="AP389">
        <v>0.00050543223148407659</v>
      </c>
      <c r="AQ389">
        <v>0.00033695482098938443</v>
      </c>
      <c r="AR389">
        <v>0.0039592191466252665</v>
      </c>
      <c r="AS389">
        <v>0</v>
      </c>
      <c r="AT389">
        <v>0.0010108644629681532</v>
      </c>
      <c r="AU389" t="s">
        <v>111</v>
      </c>
      <c r="BJ389" t="str">
        <f t="shared" si="12"/>
        <v>hdt</v>
      </c>
      <c r="BK389" t="str">
        <f t="shared" si="13"/>
        <v>bdl</v>
      </c>
    </row>
    <row r="390" spans="1:63" ht="14.5">
      <c r="A390" t="s">
        <v>118</v>
      </c>
      <c r="B390" t="s">
        <v>62</v>
      </c>
      <c r="C390" t="s">
        <v>92</v>
      </c>
      <c r="D390" t="s">
        <v>111</v>
      </c>
      <c r="E390" t="s">
        <v>111</v>
      </c>
      <c r="F390" t="s">
        <v>111</v>
      </c>
      <c r="G390" t="s">
        <v>76</v>
      </c>
      <c r="H390" t="s">
        <v>111</v>
      </c>
      <c r="I390" t="s">
        <v>111</v>
      </c>
      <c r="J390" t="s">
        <v>111</v>
      </c>
      <c r="K390" t="s">
        <v>111</v>
      </c>
      <c r="L390">
        <v>0</v>
      </c>
      <c r="M390">
        <v>0</v>
      </c>
      <c r="N390">
        <v>0</v>
      </c>
      <c r="O390">
        <v>0.0013478192839575377</v>
      </c>
      <c r="P390">
        <v>0.00042119352623673051</v>
      </c>
      <c r="Q390">
        <v>0.0027798772731624215</v>
      </c>
      <c r="R390">
        <v>0.056861126041958622</v>
      </c>
      <c r="S390">
        <v>0.0021902063364309986</v>
      </c>
      <c r="T390">
        <v>0.00042119352623673051</v>
      </c>
      <c r="U390">
        <v>0.0011793418734628454</v>
      </c>
      <c r="V390">
        <v>0.0079184382932505331</v>
      </c>
      <c r="W390">
        <v>0.0059809480725615729</v>
      </c>
      <c r="X390">
        <v>0.00050543223148407659</v>
      </c>
      <c r="Y390">
        <v>0.0018532515154416141</v>
      </c>
      <c r="Z390">
        <v>8.4238705247346107E-05</v>
      </c>
      <c r="AA390">
        <v>8.4238705247346107E-05</v>
      </c>
      <c r="AB390">
        <v>0.00050543223148407659</v>
      </c>
      <c r="AC390">
        <v>0.0039592191466252665</v>
      </c>
      <c r="AD390">
        <v>8.4238705247346107E-05</v>
      </c>
      <c r="AE390">
        <v>0.0064863803040456497</v>
      </c>
      <c r="AF390">
        <v>0</v>
      </c>
      <c r="AG390">
        <v>0.021312392427578562</v>
      </c>
      <c r="AH390">
        <v>0.0013478192839575377</v>
      </c>
      <c r="AI390">
        <v>0.002442922452173037</v>
      </c>
      <c r="AJ390">
        <v>0.023081405237772832</v>
      </c>
      <c r="AK390">
        <v>0</v>
      </c>
      <c r="AL390">
        <v>0</v>
      </c>
      <c r="AM390">
        <v>0</v>
      </c>
      <c r="AN390">
        <v>0.015836876586501066</v>
      </c>
      <c r="AO390">
        <v>0.0053912771358301508</v>
      </c>
      <c r="AP390">
        <v>0.00050543223148407659</v>
      </c>
      <c r="AQ390">
        <v>0.00033695482098938443</v>
      </c>
      <c r="AR390">
        <v>0.0039592191466252665</v>
      </c>
      <c r="AS390">
        <v>0</v>
      </c>
      <c r="AT390">
        <v>0.0010108644629681532</v>
      </c>
      <c r="AU390" t="s">
        <v>111</v>
      </c>
      <c r="BJ390" t="str">
        <f t="shared" si="12"/>
        <v>hdt</v>
      </c>
      <c r="BK390" t="str">
        <f t="shared" si="13"/>
        <v>bdl</v>
      </c>
    </row>
    <row r="391" spans="1:63" ht="14.5">
      <c r="A391" t="s">
        <v>118</v>
      </c>
      <c r="B391" t="s">
        <v>62</v>
      </c>
      <c r="C391" t="s">
        <v>92</v>
      </c>
      <c r="D391" t="s">
        <v>111</v>
      </c>
      <c r="E391" t="s">
        <v>111</v>
      </c>
      <c r="F391" t="s">
        <v>111</v>
      </c>
      <c r="G391" t="s">
        <v>75</v>
      </c>
      <c r="H391" t="s">
        <v>111</v>
      </c>
      <c r="I391" t="s">
        <v>111</v>
      </c>
      <c r="J391" t="s">
        <v>111</v>
      </c>
      <c r="K391" t="s">
        <v>111</v>
      </c>
      <c r="L391">
        <v>0</v>
      </c>
      <c r="M391">
        <v>0</v>
      </c>
      <c r="N391">
        <v>0</v>
      </c>
      <c r="O391">
        <v>0.0013478192839575377</v>
      </c>
      <c r="P391">
        <v>0.00042119352623673051</v>
      </c>
      <c r="Q391">
        <v>0.0027798772731624215</v>
      </c>
      <c r="R391">
        <v>0.056861126041958622</v>
      </c>
      <c r="S391">
        <v>0.0021902063364309986</v>
      </c>
      <c r="T391">
        <v>0.00042119352623673051</v>
      </c>
      <c r="U391">
        <v>0.0011793418734628454</v>
      </c>
      <c r="V391">
        <v>0.0079184382932505331</v>
      </c>
      <c r="W391">
        <v>0.0059809480725615729</v>
      </c>
      <c r="X391">
        <v>0.00050543223148407659</v>
      </c>
      <c r="Y391">
        <v>0.0018532515154416141</v>
      </c>
      <c r="Z391">
        <v>8.4238705247346107E-05</v>
      </c>
      <c r="AA391">
        <v>8.4238705247346107E-05</v>
      </c>
      <c r="AB391">
        <v>0.00050543223148407659</v>
      </c>
      <c r="AC391">
        <v>0.0039592191466252665</v>
      </c>
      <c r="AD391">
        <v>8.4238705247346107E-05</v>
      </c>
      <c r="AE391">
        <v>0.0064863803040456497</v>
      </c>
      <c r="AF391">
        <v>0</v>
      </c>
      <c r="AG391">
        <v>0.021312392427578562</v>
      </c>
      <c r="AH391">
        <v>0.0013478192839575377</v>
      </c>
      <c r="AI391">
        <v>0.002442922452173037</v>
      </c>
      <c r="AJ391">
        <v>0.023081405237772832</v>
      </c>
      <c r="AK391">
        <v>0</v>
      </c>
      <c r="AL391">
        <v>0</v>
      </c>
      <c r="AM391">
        <v>0</v>
      </c>
      <c r="AN391">
        <v>0.015836876586501066</v>
      </c>
      <c r="AO391">
        <v>0.0053912771358301508</v>
      </c>
      <c r="AP391">
        <v>0.00050543223148407659</v>
      </c>
      <c r="AQ391">
        <v>0.00033695482098938443</v>
      </c>
      <c r="AR391">
        <v>0.0039592191466252665</v>
      </c>
      <c r="AS391">
        <v>0</v>
      </c>
      <c r="AT391">
        <v>0.0010108644629681532</v>
      </c>
      <c r="AU391" t="s">
        <v>111</v>
      </c>
      <c r="BJ391" t="str">
        <f t="shared" si="12"/>
        <v>hdt</v>
      </c>
      <c r="BK391" t="str">
        <f t="shared" si="13"/>
        <v>bdl</v>
      </c>
    </row>
    <row r="392" spans="1:63" ht="14.5">
      <c r="A392" t="s">
        <v>118</v>
      </c>
      <c r="B392" t="s">
        <v>62</v>
      </c>
      <c r="C392" t="s">
        <v>92</v>
      </c>
      <c r="D392" t="s">
        <v>111</v>
      </c>
      <c r="E392" t="s">
        <v>111</v>
      </c>
      <c r="F392" t="s">
        <v>111</v>
      </c>
      <c r="G392" t="s">
        <v>74</v>
      </c>
      <c r="H392" t="s">
        <v>111</v>
      </c>
      <c r="I392" t="s">
        <v>111</v>
      </c>
      <c r="J392" t="s">
        <v>111</v>
      </c>
      <c r="K392" t="s">
        <v>111</v>
      </c>
      <c r="L392">
        <v>0</v>
      </c>
      <c r="M392">
        <v>0</v>
      </c>
      <c r="N392">
        <v>0</v>
      </c>
      <c r="O392">
        <v>0.0013478192839575377</v>
      </c>
      <c r="P392">
        <v>0.00042119352623673051</v>
      </c>
      <c r="Q392">
        <v>0.0027798772731624215</v>
      </c>
      <c r="R392">
        <v>0.056861126041958622</v>
      </c>
      <c r="S392">
        <v>0.0021902063364309986</v>
      </c>
      <c r="T392">
        <v>0.00042119352623673051</v>
      </c>
      <c r="U392">
        <v>0.0011793418734628454</v>
      </c>
      <c r="V392">
        <v>0.0079184382932505331</v>
      </c>
      <c r="W392">
        <v>0.0059809480725615729</v>
      </c>
      <c r="X392">
        <v>0.00050543223148407659</v>
      </c>
      <c r="Y392">
        <v>0.0018532515154416141</v>
      </c>
      <c r="Z392">
        <v>8.4238705247346107E-05</v>
      </c>
      <c r="AA392">
        <v>8.4238705247346107E-05</v>
      </c>
      <c r="AB392">
        <v>0.00050543223148407659</v>
      </c>
      <c r="AC392">
        <v>0.0039592191466252665</v>
      </c>
      <c r="AD392">
        <v>8.4238705247346107E-05</v>
      </c>
      <c r="AE392">
        <v>0.0064863803040456497</v>
      </c>
      <c r="AF392">
        <v>0</v>
      </c>
      <c r="AG392">
        <v>0.021312392427578562</v>
      </c>
      <c r="AH392">
        <v>0.0013478192839575377</v>
      </c>
      <c r="AI392">
        <v>0.002442922452173037</v>
      </c>
      <c r="AJ392">
        <v>0.023081405237772832</v>
      </c>
      <c r="AK392">
        <v>0</v>
      </c>
      <c r="AL392">
        <v>0</v>
      </c>
      <c r="AM392">
        <v>0</v>
      </c>
      <c r="AN392">
        <v>0.015836876586501066</v>
      </c>
      <c r="AO392">
        <v>0.0053912771358301508</v>
      </c>
      <c r="AP392">
        <v>0.00050543223148407659</v>
      </c>
      <c r="AQ392">
        <v>0.00033695482098938443</v>
      </c>
      <c r="AR392">
        <v>0.0039592191466252665</v>
      </c>
      <c r="AS392">
        <v>0</v>
      </c>
      <c r="AT392">
        <v>0.0010108644629681532</v>
      </c>
      <c r="AU392" t="s">
        <v>111</v>
      </c>
      <c r="BJ392" t="str">
        <f t="shared" si="12"/>
        <v>hdt</v>
      </c>
      <c r="BK392" t="str">
        <f t="shared" si="13"/>
        <v>bdl</v>
      </c>
    </row>
    <row r="393" spans="1:63" ht="14.5">
      <c r="A393" t="s">
        <v>118</v>
      </c>
      <c r="B393" t="s">
        <v>62</v>
      </c>
      <c r="C393" t="s">
        <v>92</v>
      </c>
      <c r="D393" t="s">
        <v>111</v>
      </c>
      <c r="E393" t="s">
        <v>111</v>
      </c>
      <c r="F393" t="s">
        <v>111</v>
      </c>
      <c r="G393" t="s">
        <v>73</v>
      </c>
      <c r="H393" t="s">
        <v>111</v>
      </c>
      <c r="I393" t="s">
        <v>111</v>
      </c>
      <c r="J393" t="s">
        <v>111</v>
      </c>
      <c r="K393" t="s">
        <v>111</v>
      </c>
      <c r="L393">
        <v>0</v>
      </c>
      <c r="M393">
        <v>0</v>
      </c>
      <c r="N393">
        <v>0</v>
      </c>
      <c r="O393">
        <v>0.0013478192839575377</v>
      </c>
      <c r="P393">
        <v>0.00042119352623673051</v>
      </c>
      <c r="Q393">
        <v>0.0027798772731624215</v>
      </c>
      <c r="R393">
        <v>0.056861126041958622</v>
      </c>
      <c r="S393">
        <v>0.0021902063364309986</v>
      </c>
      <c r="T393">
        <v>0.00042119352623673051</v>
      </c>
      <c r="U393">
        <v>0.0011793418734628454</v>
      </c>
      <c r="V393">
        <v>0.0079184382932505331</v>
      </c>
      <c r="W393">
        <v>0.0059809480725615729</v>
      </c>
      <c r="X393">
        <v>0.00050543223148407659</v>
      </c>
      <c r="Y393">
        <v>0.0018532515154416141</v>
      </c>
      <c r="Z393">
        <v>8.4238705247346107E-05</v>
      </c>
      <c r="AA393">
        <v>8.4238705247346107E-05</v>
      </c>
      <c r="AB393">
        <v>0.00050543223148407659</v>
      </c>
      <c r="AC393">
        <v>0.0039592191466252665</v>
      </c>
      <c r="AD393">
        <v>8.4238705247346107E-05</v>
      </c>
      <c r="AE393">
        <v>0.0064863803040456497</v>
      </c>
      <c r="AF393">
        <v>0</v>
      </c>
      <c r="AG393">
        <v>0.021312392427578562</v>
      </c>
      <c r="AH393">
        <v>0.0013478192839575377</v>
      </c>
      <c r="AI393">
        <v>0.002442922452173037</v>
      </c>
      <c r="AJ393">
        <v>0.023081405237772832</v>
      </c>
      <c r="AK393">
        <v>0</v>
      </c>
      <c r="AL393">
        <v>0</v>
      </c>
      <c r="AM393">
        <v>0</v>
      </c>
      <c r="AN393">
        <v>0.015836876586501066</v>
      </c>
      <c r="AO393">
        <v>0.0053912771358301508</v>
      </c>
      <c r="AP393">
        <v>0.00050543223148407659</v>
      </c>
      <c r="AQ393">
        <v>0.00033695482098938443</v>
      </c>
      <c r="AR393">
        <v>0.0039592191466252665</v>
      </c>
      <c r="AS393">
        <v>0</v>
      </c>
      <c r="AT393">
        <v>0.0010108644629681532</v>
      </c>
      <c r="AU393" t="s">
        <v>111</v>
      </c>
      <c r="BJ393" t="str">
        <f t="shared" si="12"/>
        <v>hdt</v>
      </c>
      <c r="BK393" t="str">
        <f t="shared" si="13"/>
        <v>bdl</v>
      </c>
    </row>
    <row r="394" spans="1:63" ht="14.5">
      <c r="A394" t="s">
        <v>118</v>
      </c>
      <c r="B394" t="s">
        <v>62</v>
      </c>
      <c r="C394" t="s">
        <v>92</v>
      </c>
      <c r="D394" t="s">
        <v>111</v>
      </c>
      <c r="E394" t="s">
        <v>111</v>
      </c>
      <c r="F394" t="s">
        <v>111</v>
      </c>
      <c r="G394" t="s">
        <v>72</v>
      </c>
      <c r="H394" t="s">
        <v>111</v>
      </c>
      <c r="I394" t="s">
        <v>111</v>
      </c>
      <c r="J394" t="s">
        <v>111</v>
      </c>
      <c r="K394" t="s">
        <v>111</v>
      </c>
      <c r="L394">
        <v>0</v>
      </c>
      <c r="M394">
        <v>0</v>
      </c>
      <c r="N394">
        <v>0</v>
      </c>
      <c r="O394">
        <v>0.0013478192839575377</v>
      </c>
      <c r="P394">
        <v>0.00042119352623673051</v>
      </c>
      <c r="Q394">
        <v>0.0027798772731624215</v>
      </c>
      <c r="R394">
        <v>0.056861126041958622</v>
      </c>
      <c r="S394">
        <v>0.0021902063364309986</v>
      </c>
      <c r="T394">
        <v>0.00042119352623673051</v>
      </c>
      <c r="U394">
        <v>0.0011793418734628454</v>
      </c>
      <c r="V394">
        <v>0.0079184382932505331</v>
      </c>
      <c r="W394">
        <v>0.0059809480725615729</v>
      </c>
      <c r="X394">
        <v>0.00050543223148407659</v>
      </c>
      <c r="Y394">
        <v>0.0018532515154416141</v>
      </c>
      <c r="Z394">
        <v>8.4238705247346107E-05</v>
      </c>
      <c r="AA394">
        <v>8.4238705247346107E-05</v>
      </c>
      <c r="AB394">
        <v>0.00050543223148407659</v>
      </c>
      <c r="AC394">
        <v>0.0039592191466252665</v>
      </c>
      <c r="AD394">
        <v>8.4238705247346107E-05</v>
      </c>
      <c r="AE394">
        <v>0.0064863803040456497</v>
      </c>
      <c r="AF394">
        <v>0</v>
      </c>
      <c r="AG394">
        <v>0.021312392427578562</v>
      </c>
      <c r="AH394">
        <v>0.0013478192839575377</v>
      </c>
      <c r="AI394">
        <v>0.002442922452173037</v>
      </c>
      <c r="AJ394">
        <v>0.023081405237772832</v>
      </c>
      <c r="AK394">
        <v>0</v>
      </c>
      <c r="AL394">
        <v>0</v>
      </c>
      <c r="AM394">
        <v>0</v>
      </c>
      <c r="AN394">
        <v>0.015836876586501066</v>
      </c>
      <c r="AO394">
        <v>0.0053912771358301508</v>
      </c>
      <c r="AP394">
        <v>0.00050543223148407659</v>
      </c>
      <c r="AQ394">
        <v>0.00033695482098938443</v>
      </c>
      <c r="AR394">
        <v>0.0039592191466252665</v>
      </c>
      <c r="AS394">
        <v>0</v>
      </c>
      <c r="AT394">
        <v>0.0010108644629681532</v>
      </c>
      <c r="AU394" t="s">
        <v>111</v>
      </c>
      <c r="BJ394" t="str">
        <f t="shared" si="12"/>
        <v>hdt</v>
      </c>
      <c r="BK394" t="str">
        <f t="shared" si="13"/>
        <v>bdl</v>
      </c>
    </row>
    <row r="395" spans="1:63" ht="14.5">
      <c r="A395" t="s">
        <v>118</v>
      </c>
      <c r="B395" t="s">
        <v>62</v>
      </c>
      <c r="C395" t="s">
        <v>92</v>
      </c>
      <c r="D395" t="s">
        <v>111</v>
      </c>
      <c r="E395" t="s">
        <v>111</v>
      </c>
      <c r="F395" t="s">
        <v>111</v>
      </c>
      <c r="G395" t="s">
        <v>71</v>
      </c>
      <c r="H395" t="s">
        <v>111</v>
      </c>
      <c r="I395" t="s">
        <v>111</v>
      </c>
      <c r="J395" t="s">
        <v>111</v>
      </c>
      <c r="K395" t="s">
        <v>111</v>
      </c>
      <c r="L395">
        <v>0</v>
      </c>
      <c r="M395">
        <v>0</v>
      </c>
      <c r="N395">
        <v>0</v>
      </c>
      <c r="O395">
        <v>0.0013478192839575377</v>
      </c>
      <c r="P395">
        <v>0.00042119352623673051</v>
      </c>
      <c r="Q395">
        <v>0.0027798772731624215</v>
      </c>
      <c r="R395">
        <v>0.056861126041958622</v>
      </c>
      <c r="S395">
        <v>0.0021902063364309986</v>
      </c>
      <c r="T395">
        <v>0.00042119352623673051</v>
      </c>
      <c r="U395">
        <v>0.0011793418734628454</v>
      </c>
      <c r="V395">
        <v>0.0079184382932505331</v>
      </c>
      <c r="W395">
        <v>0.0059809480725615729</v>
      </c>
      <c r="X395">
        <v>0.00050543223148407659</v>
      </c>
      <c r="Y395">
        <v>0.0018532515154416141</v>
      </c>
      <c r="Z395">
        <v>8.4238705247346107E-05</v>
      </c>
      <c r="AA395">
        <v>8.4238705247346107E-05</v>
      </c>
      <c r="AB395">
        <v>0.00050543223148407659</v>
      </c>
      <c r="AC395">
        <v>0.0039592191466252665</v>
      </c>
      <c r="AD395">
        <v>8.4238705247346107E-05</v>
      </c>
      <c r="AE395">
        <v>0.0064863803040456497</v>
      </c>
      <c r="AF395">
        <v>0</v>
      </c>
      <c r="AG395">
        <v>0.021312392427578562</v>
      </c>
      <c r="AH395">
        <v>0.0013478192839575377</v>
      </c>
      <c r="AI395">
        <v>0.002442922452173037</v>
      </c>
      <c r="AJ395">
        <v>0.023081405237772832</v>
      </c>
      <c r="AK395">
        <v>0</v>
      </c>
      <c r="AL395">
        <v>0</v>
      </c>
      <c r="AM395">
        <v>0</v>
      </c>
      <c r="AN395">
        <v>0.015836876586501066</v>
      </c>
      <c r="AO395">
        <v>0.0053912771358301508</v>
      </c>
      <c r="AP395">
        <v>0.00050543223148407659</v>
      </c>
      <c r="AQ395">
        <v>0.00033695482098938443</v>
      </c>
      <c r="AR395">
        <v>0.0039592191466252665</v>
      </c>
      <c r="AS395">
        <v>0</v>
      </c>
      <c r="AT395">
        <v>0.0010108644629681532</v>
      </c>
      <c r="AU395" t="s">
        <v>111</v>
      </c>
      <c r="BJ395" t="str">
        <f t="shared" si="12"/>
        <v>hdt</v>
      </c>
      <c r="BK395" t="str">
        <f t="shared" si="13"/>
        <v>bdl</v>
      </c>
    </row>
    <row r="396" spans="1:63" ht="14.5">
      <c r="A396" t="s">
        <v>118</v>
      </c>
      <c r="B396" t="s">
        <v>62</v>
      </c>
      <c r="C396" t="s">
        <v>92</v>
      </c>
      <c r="D396" t="s">
        <v>111</v>
      </c>
      <c r="E396" t="s">
        <v>111</v>
      </c>
      <c r="F396" t="s">
        <v>111</v>
      </c>
      <c r="G396" t="s">
        <v>70</v>
      </c>
      <c r="H396" t="s">
        <v>111</v>
      </c>
      <c r="I396" t="s">
        <v>111</v>
      </c>
      <c r="J396" t="s">
        <v>111</v>
      </c>
      <c r="K396" t="s">
        <v>111</v>
      </c>
      <c r="L396">
        <v>0</v>
      </c>
      <c r="M396">
        <v>0</v>
      </c>
      <c r="N396">
        <v>0</v>
      </c>
      <c r="O396">
        <v>0.0013478192839575377</v>
      </c>
      <c r="P396">
        <v>0.00042119352623673051</v>
      </c>
      <c r="Q396">
        <v>0.0027798772731624215</v>
      </c>
      <c r="R396">
        <v>0.056861126041958622</v>
      </c>
      <c r="S396">
        <v>0.0021902063364309986</v>
      </c>
      <c r="T396">
        <v>0.00042119352623673051</v>
      </c>
      <c r="U396">
        <v>0.0011793418734628454</v>
      </c>
      <c r="V396">
        <v>0.0079184382932505331</v>
      </c>
      <c r="W396">
        <v>0.0059809480725615729</v>
      </c>
      <c r="X396">
        <v>0.00050543223148407659</v>
      </c>
      <c r="Y396">
        <v>0.0018532515154416141</v>
      </c>
      <c r="Z396">
        <v>8.4238705247346107E-05</v>
      </c>
      <c r="AA396">
        <v>8.4238705247346107E-05</v>
      </c>
      <c r="AB396">
        <v>0.00050543223148407659</v>
      </c>
      <c r="AC396">
        <v>0.0039592191466252665</v>
      </c>
      <c r="AD396">
        <v>8.4238705247346107E-05</v>
      </c>
      <c r="AE396">
        <v>0.0064863803040456497</v>
      </c>
      <c r="AF396">
        <v>0</v>
      </c>
      <c r="AG396">
        <v>0.021312392427578562</v>
      </c>
      <c r="AH396">
        <v>0.0013478192839575377</v>
      </c>
      <c r="AI396">
        <v>0.002442922452173037</v>
      </c>
      <c r="AJ396">
        <v>0.023081405237772832</v>
      </c>
      <c r="AK396">
        <v>0</v>
      </c>
      <c r="AL396">
        <v>0</v>
      </c>
      <c r="AM396">
        <v>0</v>
      </c>
      <c r="AN396">
        <v>0.015836876586501066</v>
      </c>
      <c r="AO396">
        <v>0.0053912771358301508</v>
      </c>
      <c r="AP396">
        <v>0.00050543223148407659</v>
      </c>
      <c r="AQ396">
        <v>0.00033695482098938443</v>
      </c>
      <c r="AR396">
        <v>0.0039592191466252665</v>
      </c>
      <c r="AS396">
        <v>0</v>
      </c>
      <c r="AT396">
        <v>0.0010108644629681532</v>
      </c>
      <c r="AU396" t="s">
        <v>111</v>
      </c>
      <c r="BJ396" t="str">
        <f t="shared" si="12"/>
        <v>hdt</v>
      </c>
      <c r="BK396" t="str">
        <f t="shared" si="13"/>
        <v>bdl</v>
      </c>
    </row>
    <row r="397" spans="1:63" ht="14.5">
      <c r="A397" t="s">
        <v>118</v>
      </c>
      <c r="B397" t="s">
        <v>62</v>
      </c>
      <c r="C397" t="s">
        <v>92</v>
      </c>
      <c r="D397" t="s">
        <v>111</v>
      </c>
      <c r="E397" t="s">
        <v>111</v>
      </c>
      <c r="F397" t="s">
        <v>111</v>
      </c>
      <c r="G397" t="s">
        <v>69</v>
      </c>
      <c r="H397" t="s">
        <v>111</v>
      </c>
      <c r="I397" t="s">
        <v>111</v>
      </c>
      <c r="J397" t="s">
        <v>111</v>
      </c>
      <c r="K397" t="s">
        <v>111</v>
      </c>
      <c r="L397">
        <v>0</v>
      </c>
      <c r="M397">
        <v>0</v>
      </c>
      <c r="N397">
        <v>0</v>
      </c>
      <c r="O397">
        <v>0.0013478192839575377</v>
      </c>
      <c r="P397">
        <v>0.00042119352623673051</v>
      </c>
      <c r="Q397">
        <v>0.0027798772731624215</v>
      </c>
      <c r="R397">
        <v>0.056861126041958622</v>
      </c>
      <c r="S397">
        <v>0.0021902063364309986</v>
      </c>
      <c r="T397">
        <v>0.00042119352623673051</v>
      </c>
      <c r="U397">
        <v>0.0011793418734628454</v>
      </c>
      <c r="V397">
        <v>0.0079184382932505331</v>
      </c>
      <c r="W397">
        <v>0.0059809480725615729</v>
      </c>
      <c r="X397">
        <v>0.00050543223148407659</v>
      </c>
      <c r="Y397">
        <v>0.0018532515154416141</v>
      </c>
      <c r="Z397">
        <v>8.4238705247346107E-05</v>
      </c>
      <c r="AA397">
        <v>8.4238705247346107E-05</v>
      </c>
      <c r="AB397">
        <v>0.00050543223148407659</v>
      </c>
      <c r="AC397">
        <v>0.0039592191466252665</v>
      </c>
      <c r="AD397">
        <v>8.4238705247346107E-05</v>
      </c>
      <c r="AE397">
        <v>0.0064863803040456497</v>
      </c>
      <c r="AF397">
        <v>0</v>
      </c>
      <c r="AG397">
        <v>0.021312392427578562</v>
      </c>
      <c r="AH397">
        <v>0.0013478192839575377</v>
      </c>
      <c r="AI397">
        <v>0.002442922452173037</v>
      </c>
      <c r="AJ397">
        <v>0.023081405237772832</v>
      </c>
      <c r="AK397">
        <v>0</v>
      </c>
      <c r="AL397">
        <v>0</v>
      </c>
      <c r="AM397">
        <v>0</v>
      </c>
      <c r="AN397">
        <v>0.015836876586501066</v>
      </c>
      <c r="AO397">
        <v>0.0053912771358301508</v>
      </c>
      <c r="AP397">
        <v>0.00050543223148407659</v>
      </c>
      <c r="AQ397">
        <v>0.00033695482098938443</v>
      </c>
      <c r="AR397">
        <v>0.0039592191466252665</v>
      </c>
      <c r="AS397">
        <v>0</v>
      </c>
      <c r="AT397">
        <v>0.0010108644629681532</v>
      </c>
      <c r="AU397" t="s">
        <v>111</v>
      </c>
      <c r="BJ397" t="str">
        <f t="shared" si="12"/>
        <v>hdt</v>
      </c>
      <c r="BK397" t="str">
        <f t="shared" si="13"/>
        <v>bdl</v>
      </c>
    </row>
    <row r="398" spans="1:63" ht="14.5">
      <c r="A398" t="s">
        <v>118</v>
      </c>
      <c r="B398" t="s">
        <v>62</v>
      </c>
      <c r="C398" t="s">
        <v>92</v>
      </c>
      <c r="D398" t="s">
        <v>111</v>
      </c>
      <c r="E398" t="s">
        <v>111</v>
      </c>
      <c r="F398" t="s">
        <v>111</v>
      </c>
      <c r="G398" t="s">
        <v>68</v>
      </c>
      <c r="H398" t="s">
        <v>111</v>
      </c>
      <c r="I398" t="s">
        <v>111</v>
      </c>
      <c r="J398" t="s">
        <v>111</v>
      </c>
      <c r="K398" t="s">
        <v>111</v>
      </c>
      <c r="L398">
        <v>0</v>
      </c>
      <c r="M398">
        <v>0</v>
      </c>
      <c r="N398">
        <v>0</v>
      </c>
      <c r="O398">
        <v>0.0013478192839575377</v>
      </c>
      <c r="P398">
        <v>0.00042119352623673051</v>
      </c>
      <c r="Q398">
        <v>0.0027798772731624215</v>
      </c>
      <c r="R398">
        <v>0.056861126041958622</v>
      </c>
      <c r="S398">
        <v>0.0021902063364309986</v>
      </c>
      <c r="T398">
        <v>0.00042119352623673051</v>
      </c>
      <c r="U398">
        <v>0.0011793418734628454</v>
      </c>
      <c r="V398">
        <v>0.0079184382932505331</v>
      </c>
      <c r="W398">
        <v>0.0059809480725615729</v>
      </c>
      <c r="X398">
        <v>0.00050543223148407659</v>
      </c>
      <c r="Y398">
        <v>0.0018532515154416141</v>
      </c>
      <c r="Z398">
        <v>8.4238705247346107E-05</v>
      </c>
      <c r="AA398">
        <v>8.4238705247346107E-05</v>
      </c>
      <c r="AB398">
        <v>0.00050543223148407659</v>
      </c>
      <c r="AC398">
        <v>0.0039592191466252665</v>
      </c>
      <c r="AD398">
        <v>8.4238705247346107E-05</v>
      </c>
      <c r="AE398">
        <v>0.0064863803040456497</v>
      </c>
      <c r="AF398">
        <v>0</v>
      </c>
      <c r="AG398">
        <v>0.021312392427578562</v>
      </c>
      <c r="AH398">
        <v>0.0013478192839575377</v>
      </c>
      <c r="AI398">
        <v>0.002442922452173037</v>
      </c>
      <c r="AJ398">
        <v>0.023081405237772832</v>
      </c>
      <c r="AK398">
        <v>0</v>
      </c>
      <c r="AL398">
        <v>0</v>
      </c>
      <c r="AM398">
        <v>0</v>
      </c>
      <c r="AN398">
        <v>0.015836876586501066</v>
      </c>
      <c r="AO398">
        <v>0.0053912771358301508</v>
      </c>
      <c r="AP398">
        <v>0.00050543223148407659</v>
      </c>
      <c r="AQ398">
        <v>0.00033695482098938443</v>
      </c>
      <c r="AR398">
        <v>0.0039592191466252665</v>
      </c>
      <c r="AS398">
        <v>0</v>
      </c>
      <c r="AT398">
        <v>0.0010108644629681532</v>
      </c>
      <c r="AU398" t="s">
        <v>111</v>
      </c>
      <c r="BJ398" t="str">
        <f t="shared" si="12"/>
        <v>hdt</v>
      </c>
      <c r="BK398" t="str">
        <f t="shared" si="13"/>
        <v>bdl</v>
      </c>
    </row>
    <row r="399" spans="1:63" ht="14.5">
      <c r="A399" t="s">
        <v>118</v>
      </c>
      <c r="B399" t="s">
        <v>62</v>
      </c>
      <c r="C399" t="s">
        <v>92</v>
      </c>
      <c r="D399" t="s">
        <v>111</v>
      </c>
      <c r="E399" t="s">
        <v>111</v>
      </c>
      <c r="F399" t="s">
        <v>111</v>
      </c>
      <c r="G399" t="s">
        <v>67</v>
      </c>
      <c r="H399" t="s">
        <v>111</v>
      </c>
      <c r="I399" t="s">
        <v>111</v>
      </c>
      <c r="J399" t="s">
        <v>111</v>
      </c>
      <c r="K399" t="s">
        <v>111</v>
      </c>
      <c r="L399">
        <v>0</v>
      </c>
      <c r="M399">
        <v>0</v>
      </c>
      <c r="N399">
        <v>0</v>
      </c>
      <c r="O399">
        <v>0.0013478192839575377</v>
      </c>
      <c r="P399">
        <v>0.00042119352623673051</v>
      </c>
      <c r="Q399">
        <v>0.0027798772731624215</v>
      </c>
      <c r="R399">
        <v>0.056861126041958622</v>
      </c>
      <c r="S399">
        <v>0.0021902063364309986</v>
      </c>
      <c r="T399">
        <v>0.00042119352623673051</v>
      </c>
      <c r="U399">
        <v>0.0011793418734628454</v>
      </c>
      <c r="V399">
        <v>0.0079184382932505331</v>
      </c>
      <c r="W399">
        <v>0.0059809480725615729</v>
      </c>
      <c r="X399">
        <v>0.00050543223148407659</v>
      </c>
      <c r="Y399">
        <v>0.0018532515154416141</v>
      </c>
      <c r="Z399">
        <v>8.4238705247346107E-05</v>
      </c>
      <c r="AA399">
        <v>8.4238705247346107E-05</v>
      </c>
      <c r="AB399">
        <v>0.00050543223148407659</v>
      </c>
      <c r="AC399">
        <v>0.0039592191466252665</v>
      </c>
      <c r="AD399">
        <v>8.4238705247346107E-05</v>
      </c>
      <c r="AE399">
        <v>0.0064863803040456497</v>
      </c>
      <c r="AF399">
        <v>0</v>
      </c>
      <c r="AG399">
        <v>0.021312392427578562</v>
      </c>
      <c r="AH399">
        <v>0.0013478192839575377</v>
      </c>
      <c r="AI399">
        <v>0.002442922452173037</v>
      </c>
      <c r="AJ399">
        <v>0.023081405237772832</v>
      </c>
      <c r="AK399">
        <v>0</v>
      </c>
      <c r="AL399">
        <v>0</v>
      </c>
      <c r="AM399">
        <v>0</v>
      </c>
      <c r="AN399">
        <v>0.015836876586501066</v>
      </c>
      <c r="AO399">
        <v>0.0053912771358301508</v>
      </c>
      <c r="AP399">
        <v>0.00050543223148407659</v>
      </c>
      <c r="AQ399">
        <v>0.00033695482098938443</v>
      </c>
      <c r="AR399">
        <v>0.0039592191466252665</v>
      </c>
      <c r="AS399">
        <v>0</v>
      </c>
      <c r="AT399">
        <v>0.0010108644629681532</v>
      </c>
      <c r="AU399" t="s">
        <v>111</v>
      </c>
      <c r="BJ399" t="str">
        <f t="shared" si="12"/>
        <v>hdt</v>
      </c>
      <c r="BK399" t="str">
        <f t="shared" si="13"/>
        <v>bdl</v>
      </c>
    </row>
    <row r="400" spans="1:63" ht="14.5">
      <c r="A400" t="s">
        <v>118</v>
      </c>
      <c r="B400" t="s">
        <v>62</v>
      </c>
      <c r="C400" t="s">
        <v>92</v>
      </c>
      <c r="D400" t="s">
        <v>111</v>
      </c>
      <c r="E400" t="s">
        <v>111</v>
      </c>
      <c r="F400" t="s">
        <v>111</v>
      </c>
      <c r="G400" t="s">
        <v>66</v>
      </c>
      <c r="H400" t="s">
        <v>111</v>
      </c>
      <c r="I400" t="s">
        <v>111</v>
      </c>
      <c r="J400" t="s">
        <v>111</v>
      </c>
      <c r="K400" t="s">
        <v>111</v>
      </c>
      <c r="L400">
        <v>0</v>
      </c>
      <c r="M400">
        <v>0</v>
      </c>
      <c r="N400">
        <v>0</v>
      </c>
      <c r="O400">
        <v>0.0013478192839575377</v>
      </c>
      <c r="P400">
        <v>0.00042119352623673051</v>
      </c>
      <c r="Q400">
        <v>0.0027798772731624215</v>
      </c>
      <c r="R400">
        <v>0.056861126041958622</v>
      </c>
      <c r="S400">
        <v>0.0021902063364309986</v>
      </c>
      <c r="T400">
        <v>0.00042119352623673051</v>
      </c>
      <c r="U400">
        <v>0.0011793418734628454</v>
      </c>
      <c r="V400">
        <v>0.0079184382932505331</v>
      </c>
      <c r="W400">
        <v>0.0059809480725615729</v>
      </c>
      <c r="X400">
        <v>0.00050543223148407659</v>
      </c>
      <c r="Y400">
        <v>0.0018532515154416141</v>
      </c>
      <c r="Z400">
        <v>8.4238705247346107E-05</v>
      </c>
      <c r="AA400">
        <v>8.4238705247346107E-05</v>
      </c>
      <c r="AB400">
        <v>0.00050543223148407659</v>
      </c>
      <c r="AC400">
        <v>0.0039592191466252665</v>
      </c>
      <c r="AD400">
        <v>8.4238705247346107E-05</v>
      </c>
      <c r="AE400">
        <v>0.0064863803040456497</v>
      </c>
      <c r="AF400">
        <v>0</v>
      </c>
      <c r="AG400">
        <v>0.021312392427578562</v>
      </c>
      <c r="AH400">
        <v>0.0013478192839575377</v>
      </c>
      <c r="AI400">
        <v>0.002442922452173037</v>
      </c>
      <c r="AJ400">
        <v>0.023081405237772832</v>
      </c>
      <c r="AK400">
        <v>0</v>
      </c>
      <c r="AL400">
        <v>0</v>
      </c>
      <c r="AM400">
        <v>0</v>
      </c>
      <c r="AN400">
        <v>0.015836876586501066</v>
      </c>
      <c r="AO400">
        <v>0.0053912771358301508</v>
      </c>
      <c r="AP400">
        <v>0.00050543223148407659</v>
      </c>
      <c r="AQ400">
        <v>0.00033695482098938443</v>
      </c>
      <c r="AR400">
        <v>0.0039592191466252665</v>
      </c>
      <c r="AS400">
        <v>0</v>
      </c>
      <c r="AT400">
        <v>0.0010108644629681532</v>
      </c>
      <c r="AU400" t="s">
        <v>111</v>
      </c>
      <c r="BJ400" t="str">
        <f t="shared" si="12"/>
        <v>hdt</v>
      </c>
      <c r="BK400" t="str">
        <f t="shared" si="13"/>
        <v>bdl</v>
      </c>
    </row>
    <row r="401" spans="1:63" ht="14.5">
      <c r="A401" t="s">
        <v>118</v>
      </c>
      <c r="B401" t="s">
        <v>62</v>
      </c>
      <c r="C401" t="s">
        <v>92</v>
      </c>
      <c r="D401" t="s">
        <v>111</v>
      </c>
      <c r="E401" t="s">
        <v>111</v>
      </c>
      <c r="F401" t="s">
        <v>111</v>
      </c>
      <c r="G401" t="s">
        <v>65</v>
      </c>
      <c r="H401" t="s">
        <v>111</v>
      </c>
      <c r="I401" t="s">
        <v>111</v>
      </c>
      <c r="J401" t="s">
        <v>111</v>
      </c>
      <c r="K401" t="s">
        <v>111</v>
      </c>
      <c r="L401">
        <v>0</v>
      </c>
      <c r="M401">
        <v>0</v>
      </c>
      <c r="N401">
        <v>0</v>
      </c>
      <c r="O401">
        <v>0.0013478192839575377</v>
      </c>
      <c r="P401">
        <v>0.00042119352623673051</v>
      </c>
      <c r="Q401">
        <v>0.0027798772731624215</v>
      </c>
      <c r="R401">
        <v>0.056861126041958622</v>
      </c>
      <c r="S401">
        <v>0.0021902063364309986</v>
      </c>
      <c r="T401">
        <v>0.00042119352623673051</v>
      </c>
      <c r="U401">
        <v>0.0011793418734628454</v>
      </c>
      <c r="V401">
        <v>0.0079184382932505331</v>
      </c>
      <c r="W401">
        <v>0.0059809480725615729</v>
      </c>
      <c r="X401">
        <v>0.00050543223148407659</v>
      </c>
      <c r="Y401">
        <v>0.0018532515154416141</v>
      </c>
      <c r="Z401">
        <v>8.4238705247346107E-05</v>
      </c>
      <c r="AA401">
        <v>8.4238705247346107E-05</v>
      </c>
      <c r="AB401">
        <v>0.00050543223148407659</v>
      </c>
      <c r="AC401">
        <v>0.0039592191466252665</v>
      </c>
      <c r="AD401">
        <v>8.4238705247346107E-05</v>
      </c>
      <c r="AE401">
        <v>0.0064863803040456497</v>
      </c>
      <c r="AF401">
        <v>0</v>
      </c>
      <c r="AG401">
        <v>0.021312392427578562</v>
      </c>
      <c r="AH401">
        <v>0.0013478192839575377</v>
      </c>
      <c r="AI401">
        <v>0.002442922452173037</v>
      </c>
      <c r="AJ401">
        <v>0.023081405237772832</v>
      </c>
      <c r="AK401">
        <v>0</v>
      </c>
      <c r="AL401">
        <v>0</v>
      </c>
      <c r="AM401">
        <v>0</v>
      </c>
      <c r="AN401">
        <v>0.015836876586501066</v>
      </c>
      <c r="AO401">
        <v>0.0053912771358301508</v>
      </c>
      <c r="AP401">
        <v>0.00050543223148407659</v>
      </c>
      <c r="AQ401">
        <v>0.00033695482098938443</v>
      </c>
      <c r="AR401">
        <v>0.0039592191466252665</v>
      </c>
      <c r="AS401">
        <v>0</v>
      </c>
      <c r="AT401">
        <v>0.0010108644629681532</v>
      </c>
      <c r="AU401" t="s">
        <v>111</v>
      </c>
      <c r="BJ401" t="str">
        <f t="shared" si="12"/>
        <v>hdt</v>
      </c>
      <c r="BK401" t="str">
        <f t="shared" si="13"/>
        <v>bdl</v>
      </c>
    </row>
    <row r="402" spans="1:63" ht="14.5">
      <c r="A402" t="s">
        <v>118</v>
      </c>
      <c r="B402" t="s">
        <v>62</v>
      </c>
      <c r="C402" t="s">
        <v>91</v>
      </c>
      <c r="D402" t="s">
        <v>111</v>
      </c>
      <c r="E402" t="s">
        <v>111</v>
      </c>
      <c r="F402" t="s">
        <v>111</v>
      </c>
      <c r="G402" t="s">
        <v>61</v>
      </c>
      <c r="H402" t="s">
        <v>111</v>
      </c>
      <c r="I402" t="s">
        <v>111</v>
      </c>
      <c r="J402" t="s">
        <v>111</v>
      </c>
      <c r="K402" t="s">
        <v>111</v>
      </c>
      <c r="L402">
        <v>0.052901906895333348</v>
      </c>
      <c r="M402">
        <v>0.047005197528019127</v>
      </c>
      <c r="N402">
        <v>0.04304597838139386</v>
      </c>
      <c r="O402">
        <v>0.019459140912136949</v>
      </c>
      <c r="P402">
        <v>0.010782554271660302</v>
      </c>
      <c r="Q402">
        <v>0.041192726865952239</v>
      </c>
      <c r="R402">
        <v>0.12543143211329835</v>
      </c>
      <c r="S402">
        <v>0.22559125265239285</v>
      </c>
      <c r="T402">
        <v>0.0085081092299819569</v>
      </c>
      <c r="U402">
        <v>0.018195560333426758</v>
      </c>
      <c r="V402">
        <v>0.096621794918705983</v>
      </c>
      <c r="W402">
        <v>0.10437175580146182</v>
      </c>
      <c r="X402">
        <v>0.0084238705247346099</v>
      </c>
      <c r="Y402">
        <v>0.028388443668355638</v>
      </c>
      <c r="Z402">
        <v>0.00058967093673142272</v>
      </c>
      <c r="AA402">
        <v>0.10715163307462423</v>
      </c>
      <c r="AB402">
        <v>0.0092662575772080712</v>
      </c>
      <c r="AC402">
        <v>0.06764368031361892</v>
      </c>
      <c r="AD402">
        <v>0.081458827974183676</v>
      </c>
      <c r="AE402">
        <v>0.12880098032319218</v>
      </c>
      <c r="AF402">
        <v>0.11869233569351066</v>
      </c>
      <c r="AG402">
        <v>0.6566407074030628</v>
      </c>
      <c r="AH402">
        <v>0.006654857714540342</v>
      </c>
      <c r="AI402">
        <v>0.041782397802683661</v>
      </c>
      <c r="AJ402">
        <v>0.3252456409600033</v>
      </c>
      <c r="AK402">
        <v>0.062589357998778156</v>
      </c>
      <c r="AL402">
        <v>0.067475202903124226</v>
      </c>
      <c r="AM402">
        <v>0.016510786228479835</v>
      </c>
      <c r="AN402">
        <v>0.23056133626198627</v>
      </c>
      <c r="AO402">
        <v>0.024260747111235676</v>
      </c>
      <c r="AP402">
        <v>0.0085923479352293022</v>
      </c>
      <c r="AQ402">
        <v>0.065200757861445885</v>
      </c>
      <c r="AR402">
        <v>0.076236028248848217</v>
      </c>
      <c r="AS402">
        <v>0.016258070112737798</v>
      </c>
      <c r="AT402">
        <v>0.037738939950811054</v>
      </c>
      <c r="AU402" t="s">
        <v>111</v>
      </c>
      <c r="BJ402" t="str">
        <f t="shared" si="12"/>
        <v>hdt</v>
      </c>
      <c r="BK402" t="str">
        <f t="shared" si="13"/>
        <v>dsl</v>
      </c>
    </row>
    <row r="403" spans="1:63" ht="14.5">
      <c r="A403" t="s">
        <v>118</v>
      </c>
      <c r="B403" t="s">
        <v>62</v>
      </c>
      <c r="C403" t="s">
        <v>91</v>
      </c>
      <c r="D403" t="s">
        <v>111</v>
      </c>
      <c r="E403" t="s">
        <v>111</v>
      </c>
      <c r="F403" t="s">
        <v>111</v>
      </c>
      <c r="G403" t="s">
        <v>83</v>
      </c>
      <c r="H403" t="s">
        <v>111</v>
      </c>
      <c r="I403" t="s">
        <v>111</v>
      </c>
      <c r="J403" t="s">
        <v>111</v>
      </c>
      <c r="K403" t="s">
        <v>111</v>
      </c>
      <c r="L403">
        <v>0.052901906895333348</v>
      </c>
      <c r="M403">
        <v>0.047005197528019127</v>
      </c>
      <c r="N403">
        <v>0.04304597838139386</v>
      </c>
      <c r="O403">
        <v>0.019459140912136949</v>
      </c>
      <c r="P403">
        <v>0.010782554271660302</v>
      </c>
      <c r="Q403">
        <v>0.041192726865952239</v>
      </c>
      <c r="R403">
        <v>0.12543143211329835</v>
      </c>
      <c r="S403">
        <v>0.22559125265239285</v>
      </c>
      <c r="T403">
        <v>0.0085081092299819569</v>
      </c>
      <c r="U403">
        <v>0.018195560333426758</v>
      </c>
      <c r="V403">
        <v>0.096621794918705983</v>
      </c>
      <c r="W403">
        <v>0.10437175580146182</v>
      </c>
      <c r="X403">
        <v>0.0084238705247346099</v>
      </c>
      <c r="Y403">
        <v>0.028388443668355638</v>
      </c>
      <c r="Z403">
        <v>0.00058967093673142272</v>
      </c>
      <c r="AA403">
        <v>0.10715163307462423</v>
      </c>
      <c r="AB403">
        <v>0.0092662575772080712</v>
      </c>
      <c r="AC403">
        <v>0.06764368031361892</v>
      </c>
      <c r="AD403">
        <v>0.081458827974183676</v>
      </c>
      <c r="AE403">
        <v>0.12880098032319218</v>
      </c>
      <c r="AF403">
        <v>0.11869233569351066</v>
      </c>
      <c r="AG403">
        <v>0.6566407074030628</v>
      </c>
      <c r="AH403">
        <v>0.006654857714540342</v>
      </c>
      <c r="AI403">
        <v>0.041782397802683661</v>
      </c>
      <c r="AJ403">
        <v>0.3252456409600033</v>
      </c>
      <c r="AK403">
        <v>0.062589357998778156</v>
      </c>
      <c r="AL403">
        <v>0.067475202903124226</v>
      </c>
      <c r="AM403">
        <v>0.016510786228479835</v>
      </c>
      <c r="AN403">
        <v>0.23056133626198627</v>
      </c>
      <c r="AO403">
        <v>0.024260747111235676</v>
      </c>
      <c r="AP403">
        <v>0.0085923479352293022</v>
      </c>
      <c r="AQ403">
        <v>0.065200757861445885</v>
      </c>
      <c r="AR403">
        <v>0.076236028248848217</v>
      </c>
      <c r="AS403">
        <v>0.016258070112737798</v>
      </c>
      <c r="AT403">
        <v>0.037738939950811054</v>
      </c>
      <c r="AU403" t="s">
        <v>111</v>
      </c>
      <c r="BJ403" t="str">
        <f t="shared" si="12"/>
        <v>hdt</v>
      </c>
      <c r="BK403" t="str">
        <f t="shared" si="13"/>
        <v>dsl</v>
      </c>
    </row>
    <row r="404" spans="1:63" ht="14.5">
      <c r="A404" t="s">
        <v>118</v>
      </c>
      <c r="B404" t="s">
        <v>62</v>
      </c>
      <c r="C404" t="s">
        <v>91</v>
      </c>
      <c r="D404" t="s">
        <v>111</v>
      </c>
      <c r="E404" t="s">
        <v>111</v>
      </c>
      <c r="F404" t="s">
        <v>111</v>
      </c>
      <c r="G404" t="s">
        <v>82</v>
      </c>
      <c r="H404" t="s">
        <v>111</v>
      </c>
      <c r="I404" t="s">
        <v>111</v>
      </c>
      <c r="J404" t="s">
        <v>111</v>
      </c>
      <c r="K404" t="s">
        <v>111</v>
      </c>
      <c r="L404">
        <v>0.052901906895333348</v>
      </c>
      <c r="M404">
        <v>0.047005197528019127</v>
      </c>
      <c r="N404">
        <v>0.04304597838139386</v>
      </c>
      <c r="O404">
        <v>0.019459140912136949</v>
      </c>
      <c r="P404">
        <v>0.010782554271660302</v>
      </c>
      <c r="Q404">
        <v>0.041192726865952239</v>
      </c>
      <c r="R404">
        <v>0.12543143211329835</v>
      </c>
      <c r="S404">
        <v>0.22559125265239285</v>
      </c>
      <c r="T404">
        <v>0.0085081092299819569</v>
      </c>
      <c r="U404">
        <v>0.018195560333426758</v>
      </c>
      <c r="V404">
        <v>0.096621794918705983</v>
      </c>
      <c r="W404">
        <v>0.10437175580146182</v>
      </c>
      <c r="X404">
        <v>0.0084238705247346099</v>
      </c>
      <c r="Y404">
        <v>0.028388443668355638</v>
      </c>
      <c r="Z404">
        <v>0.00058967093673142272</v>
      </c>
      <c r="AA404">
        <v>0.10715163307462423</v>
      </c>
      <c r="AB404">
        <v>0.0092662575772080712</v>
      </c>
      <c r="AC404">
        <v>0.06764368031361892</v>
      </c>
      <c r="AD404">
        <v>0.081458827974183676</v>
      </c>
      <c r="AE404">
        <v>0.12880098032319218</v>
      </c>
      <c r="AF404">
        <v>0.11869233569351066</v>
      </c>
      <c r="AG404">
        <v>0.6566407074030628</v>
      </c>
      <c r="AH404">
        <v>0.006654857714540342</v>
      </c>
      <c r="AI404">
        <v>0.041782397802683661</v>
      </c>
      <c r="AJ404">
        <v>0.3252456409600033</v>
      </c>
      <c r="AK404">
        <v>0.062589357998778156</v>
      </c>
      <c r="AL404">
        <v>0.067475202903124226</v>
      </c>
      <c r="AM404">
        <v>0.016510786228479835</v>
      </c>
      <c r="AN404">
        <v>0.23056133626198627</v>
      </c>
      <c r="AO404">
        <v>0.024260747111235676</v>
      </c>
      <c r="AP404">
        <v>0.0085923479352293022</v>
      </c>
      <c r="AQ404">
        <v>0.065200757861445885</v>
      </c>
      <c r="AR404">
        <v>0.076236028248848217</v>
      </c>
      <c r="AS404">
        <v>0.016258070112737798</v>
      </c>
      <c r="AT404">
        <v>0.037738939950811054</v>
      </c>
      <c r="AU404" t="s">
        <v>111</v>
      </c>
      <c r="BJ404" t="str">
        <f t="shared" si="12"/>
        <v>hdt</v>
      </c>
      <c r="BK404" t="str">
        <f t="shared" si="13"/>
        <v>dsl</v>
      </c>
    </row>
    <row r="405" spans="1:63" ht="14.5">
      <c r="A405" t="s">
        <v>118</v>
      </c>
      <c r="B405" t="s">
        <v>62</v>
      </c>
      <c r="C405" t="s">
        <v>91</v>
      </c>
      <c r="D405" t="s">
        <v>111</v>
      </c>
      <c r="E405" t="s">
        <v>111</v>
      </c>
      <c r="F405" t="s">
        <v>111</v>
      </c>
      <c r="G405" t="s">
        <v>81</v>
      </c>
      <c r="H405" t="s">
        <v>111</v>
      </c>
      <c r="I405" t="s">
        <v>111</v>
      </c>
      <c r="J405" t="s">
        <v>111</v>
      </c>
      <c r="K405" t="s">
        <v>111</v>
      </c>
      <c r="L405">
        <v>0.052901906895333348</v>
      </c>
      <c r="M405">
        <v>0.047005197528019127</v>
      </c>
      <c r="N405">
        <v>0.04304597838139386</v>
      </c>
      <c r="O405">
        <v>0.019459140912136949</v>
      </c>
      <c r="P405">
        <v>0.010782554271660302</v>
      </c>
      <c r="Q405">
        <v>0.041192726865952239</v>
      </c>
      <c r="R405">
        <v>0.12543143211329835</v>
      </c>
      <c r="S405">
        <v>0.22559125265239285</v>
      </c>
      <c r="T405">
        <v>0.0085081092299819569</v>
      </c>
      <c r="U405">
        <v>0.018195560333426758</v>
      </c>
      <c r="V405">
        <v>0.096621794918705983</v>
      </c>
      <c r="W405">
        <v>0.10437175580146182</v>
      </c>
      <c r="X405">
        <v>0.0084238705247346099</v>
      </c>
      <c r="Y405">
        <v>0.028388443668355638</v>
      </c>
      <c r="Z405">
        <v>0.00058967093673142272</v>
      </c>
      <c r="AA405">
        <v>0.10715163307462423</v>
      </c>
      <c r="AB405">
        <v>0.0092662575772080712</v>
      </c>
      <c r="AC405">
        <v>0.06764368031361892</v>
      </c>
      <c r="AD405">
        <v>0.081458827974183676</v>
      </c>
      <c r="AE405">
        <v>0.12880098032319218</v>
      </c>
      <c r="AF405">
        <v>0.11869233569351066</v>
      </c>
      <c r="AG405">
        <v>0.6566407074030628</v>
      </c>
      <c r="AH405">
        <v>0.006654857714540342</v>
      </c>
      <c r="AI405">
        <v>0.041782397802683661</v>
      </c>
      <c r="AJ405">
        <v>0.3252456409600033</v>
      </c>
      <c r="AK405">
        <v>0.062589357998778156</v>
      </c>
      <c r="AL405">
        <v>0.067475202903124226</v>
      </c>
      <c r="AM405">
        <v>0.016510786228479835</v>
      </c>
      <c r="AN405">
        <v>0.23056133626198627</v>
      </c>
      <c r="AO405">
        <v>0.024260747111235676</v>
      </c>
      <c r="AP405">
        <v>0.0085923479352293022</v>
      </c>
      <c r="AQ405">
        <v>0.065200757861445885</v>
      </c>
      <c r="AR405">
        <v>0.076236028248848217</v>
      </c>
      <c r="AS405">
        <v>0.016258070112737798</v>
      </c>
      <c r="AT405">
        <v>0.037738939950811054</v>
      </c>
      <c r="AU405" t="s">
        <v>111</v>
      </c>
      <c r="BJ405" t="str">
        <f t="shared" si="12"/>
        <v>hdt</v>
      </c>
      <c r="BK405" t="str">
        <f t="shared" si="13"/>
        <v>dsl</v>
      </c>
    </row>
    <row r="406" spans="1:63" ht="14.5">
      <c r="A406" t="s">
        <v>118</v>
      </c>
      <c r="B406" t="s">
        <v>62</v>
      </c>
      <c r="C406" t="s">
        <v>91</v>
      </c>
      <c r="D406" t="s">
        <v>111</v>
      </c>
      <c r="E406" t="s">
        <v>111</v>
      </c>
      <c r="F406" t="s">
        <v>111</v>
      </c>
      <c r="G406" t="s">
        <v>80</v>
      </c>
      <c r="H406" t="s">
        <v>111</v>
      </c>
      <c r="I406" t="s">
        <v>111</v>
      </c>
      <c r="J406" t="s">
        <v>111</v>
      </c>
      <c r="K406" t="s">
        <v>111</v>
      </c>
      <c r="L406">
        <v>0.052901906895333348</v>
      </c>
      <c r="M406">
        <v>0.047005197528019127</v>
      </c>
      <c r="N406">
        <v>0.04304597838139386</v>
      </c>
      <c r="O406">
        <v>0.019459140912136949</v>
      </c>
      <c r="P406">
        <v>0.010782554271660302</v>
      </c>
      <c r="Q406">
        <v>0.041192726865952239</v>
      </c>
      <c r="R406">
        <v>0.12543143211329835</v>
      </c>
      <c r="S406">
        <v>0.22559125265239285</v>
      </c>
      <c r="T406">
        <v>0.0085081092299819569</v>
      </c>
      <c r="U406">
        <v>0.018195560333426758</v>
      </c>
      <c r="V406">
        <v>0.096621794918705983</v>
      </c>
      <c r="W406">
        <v>0.10437175580146182</v>
      </c>
      <c r="X406">
        <v>0.0084238705247346099</v>
      </c>
      <c r="Y406">
        <v>0.028388443668355638</v>
      </c>
      <c r="Z406">
        <v>0.00058967093673142272</v>
      </c>
      <c r="AA406">
        <v>0.10715163307462423</v>
      </c>
      <c r="AB406">
        <v>0.0092662575772080712</v>
      </c>
      <c r="AC406">
        <v>0.06764368031361892</v>
      </c>
      <c r="AD406">
        <v>0.081458827974183676</v>
      </c>
      <c r="AE406">
        <v>0.12880098032319218</v>
      </c>
      <c r="AF406">
        <v>0.11869233569351066</v>
      </c>
      <c r="AG406">
        <v>0.6566407074030628</v>
      </c>
      <c r="AH406">
        <v>0.006654857714540342</v>
      </c>
      <c r="AI406">
        <v>0.041782397802683661</v>
      </c>
      <c r="AJ406">
        <v>0.3252456409600033</v>
      </c>
      <c r="AK406">
        <v>0.062589357998778156</v>
      </c>
      <c r="AL406">
        <v>0.067475202903124226</v>
      </c>
      <c r="AM406">
        <v>0.016510786228479835</v>
      </c>
      <c r="AN406">
        <v>0.23056133626198627</v>
      </c>
      <c r="AO406">
        <v>0.024260747111235676</v>
      </c>
      <c r="AP406">
        <v>0.0085923479352293022</v>
      </c>
      <c r="AQ406">
        <v>0.065200757861445885</v>
      </c>
      <c r="AR406">
        <v>0.076236028248848217</v>
      </c>
      <c r="AS406">
        <v>0.016258070112737798</v>
      </c>
      <c r="AT406">
        <v>0.037738939950811054</v>
      </c>
      <c r="AU406" t="s">
        <v>111</v>
      </c>
      <c r="BJ406" t="str">
        <f t="shared" si="12"/>
        <v>hdt</v>
      </c>
      <c r="BK406" t="str">
        <f t="shared" si="13"/>
        <v>dsl</v>
      </c>
    </row>
    <row r="407" spans="1:63" ht="14.5">
      <c r="A407" t="s">
        <v>118</v>
      </c>
      <c r="B407" t="s">
        <v>62</v>
      </c>
      <c r="C407" t="s">
        <v>91</v>
      </c>
      <c r="D407" t="s">
        <v>111</v>
      </c>
      <c r="E407" t="s">
        <v>111</v>
      </c>
      <c r="F407" t="s">
        <v>111</v>
      </c>
      <c r="G407" t="s">
        <v>79</v>
      </c>
      <c r="H407" t="s">
        <v>111</v>
      </c>
      <c r="I407" t="s">
        <v>111</v>
      </c>
      <c r="J407" t="s">
        <v>111</v>
      </c>
      <c r="K407" t="s">
        <v>111</v>
      </c>
      <c r="L407">
        <v>0.052901906895333348</v>
      </c>
      <c r="M407">
        <v>0.047005197528019127</v>
      </c>
      <c r="N407">
        <v>0.04304597838139386</v>
      </c>
      <c r="O407">
        <v>0.019459140912136949</v>
      </c>
      <c r="P407">
        <v>0.010782554271660302</v>
      </c>
      <c r="Q407">
        <v>0.041192726865952239</v>
      </c>
      <c r="R407">
        <v>0.12543143211329835</v>
      </c>
      <c r="S407">
        <v>0.22559125265239285</v>
      </c>
      <c r="T407">
        <v>0.0085081092299819569</v>
      </c>
      <c r="U407">
        <v>0.018195560333426758</v>
      </c>
      <c r="V407">
        <v>0.096621794918705983</v>
      </c>
      <c r="W407">
        <v>0.10437175580146182</v>
      </c>
      <c r="X407">
        <v>0.0084238705247346099</v>
      </c>
      <c r="Y407">
        <v>0.028388443668355638</v>
      </c>
      <c r="Z407">
        <v>0.00058967093673142272</v>
      </c>
      <c r="AA407">
        <v>0.10715163307462423</v>
      </c>
      <c r="AB407">
        <v>0.0092662575772080712</v>
      </c>
      <c r="AC407">
        <v>0.06764368031361892</v>
      </c>
      <c r="AD407">
        <v>0.081458827974183676</v>
      </c>
      <c r="AE407">
        <v>0.12880098032319218</v>
      </c>
      <c r="AF407">
        <v>0.11869233569351066</v>
      </c>
      <c r="AG407">
        <v>0.6566407074030628</v>
      </c>
      <c r="AH407">
        <v>0.006654857714540342</v>
      </c>
      <c r="AI407">
        <v>0.041782397802683661</v>
      </c>
      <c r="AJ407">
        <v>0.3252456409600033</v>
      </c>
      <c r="AK407">
        <v>0.062589357998778156</v>
      </c>
      <c r="AL407">
        <v>0.067475202903124226</v>
      </c>
      <c r="AM407">
        <v>0.016510786228479835</v>
      </c>
      <c r="AN407">
        <v>0.23056133626198627</v>
      </c>
      <c r="AO407">
        <v>0.024260747111235676</v>
      </c>
      <c r="AP407">
        <v>0.0085923479352293022</v>
      </c>
      <c r="AQ407">
        <v>0.065200757861445885</v>
      </c>
      <c r="AR407">
        <v>0.076236028248848217</v>
      </c>
      <c r="AS407">
        <v>0.016258070112737798</v>
      </c>
      <c r="AT407">
        <v>0.037738939950811054</v>
      </c>
      <c r="AU407" t="s">
        <v>111</v>
      </c>
      <c r="BJ407" t="str">
        <f t="shared" si="12"/>
        <v>hdt</v>
      </c>
      <c r="BK407" t="str">
        <f t="shared" si="13"/>
        <v>dsl</v>
      </c>
    </row>
    <row r="408" spans="1:63" ht="14.5">
      <c r="A408" t="s">
        <v>118</v>
      </c>
      <c r="B408" t="s">
        <v>62</v>
      </c>
      <c r="C408" t="s">
        <v>91</v>
      </c>
      <c r="D408" t="s">
        <v>111</v>
      </c>
      <c r="E408" t="s">
        <v>111</v>
      </c>
      <c r="F408" t="s">
        <v>111</v>
      </c>
      <c r="G408" t="s">
        <v>78</v>
      </c>
      <c r="H408" t="s">
        <v>111</v>
      </c>
      <c r="I408" t="s">
        <v>111</v>
      </c>
      <c r="J408" t="s">
        <v>111</v>
      </c>
      <c r="K408" t="s">
        <v>111</v>
      </c>
      <c r="L408">
        <v>0.052901906895333348</v>
      </c>
      <c r="M408">
        <v>0.047005197528019127</v>
      </c>
      <c r="N408">
        <v>0.04304597838139386</v>
      </c>
      <c r="O408">
        <v>0.019459140912136949</v>
      </c>
      <c r="P408">
        <v>0.010782554271660302</v>
      </c>
      <c r="Q408">
        <v>0.041192726865952239</v>
      </c>
      <c r="R408">
        <v>0.12543143211329835</v>
      </c>
      <c r="S408">
        <v>0.22559125265239285</v>
      </c>
      <c r="T408">
        <v>0.0085081092299819569</v>
      </c>
      <c r="U408">
        <v>0.018195560333426758</v>
      </c>
      <c r="V408">
        <v>0.096621794918705983</v>
      </c>
      <c r="W408">
        <v>0.10437175580146182</v>
      </c>
      <c r="X408">
        <v>0.0084238705247346099</v>
      </c>
      <c r="Y408">
        <v>0.028388443668355638</v>
      </c>
      <c r="Z408">
        <v>0.00058967093673142272</v>
      </c>
      <c r="AA408">
        <v>0.10715163307462423</v>
      </c>
      <c r="AB408">
        <v>0.0092662575772080712</v>
      </c>
      <c r="AC408">
        <v>0.06764368031361892</v>
      </c>
      <c r="AD408">
        <v>0.081458827974183676</v>
      </c>
      <c r="AE408">
        <v>0.12880098032319218</v>
      </c>
      <c r="AF408">
        <v>0.11869233569351066</v>
      </c>
      <c r="AG408">
        <v>0.6566407074030628</v>
      </c>
      <c r="AH408">
        <v>0.006654857714540342</v>
      </c>
      <c r="AI408">
        <v>0.041782397802683661</v>
      </c>
      <c r="AJ408">
        <v>0.3252456409600033</v>
      </c>
      <c r="AK408">
        <v>0.062589357998778156</v>
      </c>
      <c r="AL408">
        <v>0.067475202903124226</v>
      </c>
      <c r="AM408">
        <v>0.016510786228479835</v>
      </c>
      <c r="AN408">
        <v>0.23056133626198627</v>
      </c>
      <c r="AO408">
        <v>0.024260747111235676</v>
      </c>
      <c r="AP408">
        <v>0.0085923479352293022</v>
      </c>
      <c r="AQ408">
        <v>0.065200757861445885</v>
      </c>
      <c r="AR408">
        <v>0.076236028248848217</v>
      </c>
      <c r="AS408">
        <v>0.016258070112737798</v>
      </c>
      <c r="AT408">
        <v>0.037738939950811054</v>
      </c>
      <c r="AU408" t="s">
        <v>111</v>
      </c>
      <c r="BJ408" t="str">
        <f t="shared" si="12"/>
        <v>hdt</v>
      </c>
      <c r="BK408" t="str">
        <f t="shared" si="13"/>
        <v>dsl</v>
      </c>
    </row>
    <row r="409" spans="1:63" ht="14.5">
      <c r="A409" t="s">
        <v>118</v>
      </c>
      <c r="B409" t="s">
        <v>62</v>
      </c>
      <c r="C409" t="s">
        <v>91</v>
      </c>
      <c r="D409" t="s">
        <v>111</v>
      </c>
      <c r="E409" t="s">
        <v>111</v>
      </c>
      <c r="F409" t="s">
        <v>111</v>
      </c>
      <c r="G409" t="s">
        <v>77</v>
      </c>
      <c r="H409" t="s">
        <v>111</v>
      </c>
      <c r="I409" t="s">
        <v>111</v>
      </c>
      <c r="J409" t="s">
        <v>111</v>
      </c>
      <c r="K409" t="s">
        <v>111</v>
      </c>
      <c r="L409">
        <v>0.052901906895333348</v>
      </c>
      <c r="M409">
        <v>0.047005197528019127</v>
      </c>
      <c r="N409">
        <v>0.04304597838139386</v>
      </c>
      <c r="O409">
        <v>0.019459140912136949</v>
      </c>
      <c r="P409">
        <v>0.010782554271660302</v>
      </c>
      <c r="Q409">
        <v>0.041192726865952239</v>
      </c>
      <c r="R409">
        <v>0.12543143211329835</v>
      </c>
      <c r="S409">
        <v>0.22559125265239285</v>
      </c>
      <c r="T409">
        <v>0.0085081092299819569</v>
      </c>
      <c r="U409">
        <v>0.018195560333426758</v>
      </c>
      <c r="V409">
        <v>0.096621794918705983</v>
      </c>
      <c r="W409">
        <v>0.10437175580146182</v>
      </c>
      <c r="X409">
        <v>0.0084238705247346099</v>
      </c>
      <c r="Y409">
        <v>0.028388443668355638</v>
      </c>
      <c r="Z409">
        <v>0.00058967093673142272</v>
      </c>
      <c r="AA409">
        <v>0.10715163307462423</v>
      </c>
      <c r="AB409">
        <v>0.0092662575772080712</v>
      </c>
      <c r="AC409">
        <v>0.06764368031361892</v>
      </c>
      <c r="AD409">
        <v>0.081458827974183676</v>
      </c>
      <c r="AE409">
        <v>0.12880098032319218</v>
      </c>
      <c r="AF409">
        <v>0.11869233569351066</v>
      </c>
      <c r="AG409">
        <v>0.6566407074030628</v>
      </c>
      <c r="AH409">
        <v>0.006654857714540342</v>
      </c>
      <c r="AI409">
        <v>0.041782397802683661</v>
      </c>
      <c r="AJ409">
        <v>0.3252456409600033</v>
      </c>
      <c r="AK409">
        <v>0.062589357998778156</v>
      </c>
      <c r="AL409">
        <v>0.067475202903124226</v>
      </c>
      <c r="AM409">
        <v>0.016510786228479835</v>
      </c>
      <c r="AN409">
        <v>0.23056133626198627</v>
      </c>
      <c r="AO409">
        <v>0.024260747111235676</v>
      </c>
      <c r="AP409">
        <v>0.0085923479352293022</v>
      </c>
      <c r="AQ409">
        <v>0.065200757861445885</v>
      </c>
      <c r="AR409">
        <v>0.076236028248848217</v>
      </c>
      <c r="AS409">
        <v>0.016258070112737798</v>
      </c>
      <c r="AT409">
        <v>0.037738939950811054</v>
      </c>
      <c r="AU409" t="s">
        <v>111</v>
      </c>
      <c r="BJ409" t="str">
        <f t="shared" si="12"/>
        <v>hdt</v>
      </c>
      <c r="BK409" t="str">
        <f t="shared" si="13"/>
        <v>dsl</v>
      </c>
    </row>
    <row r="410" spans="1:63" ht="14.5">
      <c r="A410" t="s">
        <v>118</v>
      </c>
      <c r="B410" t="s">
        <v>62</v>
      </c>
      <c r="C410" t="s">
        <v>91</v>
      </c>
      <c r="D410" t="s">
        <v>111</v>
      </c>
      <c r="E410" t="s">
        <v>111</v>
      </c>
      <c r="F410" t="s">
        <v>111</v>
      </c>
      <c r="G410" t="s">
        <v>76</v>
      </c>
      <c r="H410" t="s">
        <v>111</v>
      </c>
      <c r="I410" t="s">
        <v>111</v>
      </c>
      <c r="J410" t="s">
        <v>111</v>
      </c>
      <c r="K410" t="s">
        <v>111</v>
      </c>
      <c r="L410">
        <v>0.052901906895333348</v>
      </c>
      <c r="M410">
        <v>0.047005197528019127</v>
      </c>
      <c r="N410">
        <v>0.04304597838139386</v>
      </c>
      <c r="O410">
        <v>0.019459140912136949</v>
      </c>
      <c r="P410">
        <v>0.010782554271660302</v>
      </c>
      <c r="Q410">
        <v>0.041192726865952239</v>
      </c>
      <c r="R410">
        <v>0.12543143211329835</v>
      </c>
      <c r="S410">
        <v>0.22559125265239285</v>
      </c>
      <c r="T410">
        <v>0.0085081092299819569</v>
      </c>
      <c r="U410">
        <v>0.018195560333426758</v>
      </c>
      <c r="V410">
        <v>0.096621794918705983</v>
      </c>
      <c r="W410">
        <v>0.10437175580146182</v>
      </c>
      <c r="X410">
        <v>0.0084238705247346099</v>
      </c>
      <c r="Y410">
        <v>0.028388443668355638</v>
      </c>
      <c r="Z410">
        <v>0.00058967093673142272</v>
      </c>
      <c r="AA410">
        <v>0.10715163307462423</v>
      </c>
      <c r="AB410">
        <v>0.0092662575772080712</v>
      </c>
      <c r="AC410">
        <v>0.06764368031361892</v>
      </c>
      <c r="AD410">
        <v>0.081458827974183676</v>
      </c>
      <c r="AE410">
        <v>0.12880098032319218</v>
      </c>
      <c r="AF410">
        <v>0.11869233569351066</v>
      </c>
      <c r="AG410">
        <v>0.6566407074030628</v>
      </c>
      <c r="AH410">
        <v>0.006654857714540342</v>
      </c>
      <c r="AI410">
        <v>0.041782397802683661</v>
      </c>
      <c r="AJ410">
        <v>0.3252456409600033</v>
      </c>
      <c r="AK410">
        <v>0.062589357998778156</v>
      </c>
      <c r="AL410">
        <v>0.067475202903124226</v>
      </c>
      <c r="AM410">
        <v>0.016510786228479835</v>
      </c>
      <c r="AN410">
        <v>0.23056133626198627</v>
      </c>
      <c r="AO410">
        <v>0.024260747111235676</v>
      </c>
      <c r="AP410">
        <v>0.0085923479352293022</v>
      </c>
      <c r="AQ410">
        <v>0.065200757861445885</v>
      </c>
      <c r="AR410">
        <v>0.076236028248848217</v>
      </c>
      <c r="AS410">
        <v>0.016258070112737798</v>
      </c>
      <c r="AT410">
        <v>0.037738939950811054</v>
      </c>
      <c r="AU410" t="s">
        <v>111</v>
      </c>
      <c r="BJ410" t="str">
        <f t="shared" si="12"/>
        <v>hdt</v>
      </c>
      <c r="BK410" t="str">
        <f t="shared" si="13"/>
        <v>dsl</v>
      </c>
    </row>
    <row r="411" spans="1:63" ht="14.5">
      <c r="A411" t="s">
        <v>118</v>
      </c>
      <c r="B411" t="s">
        <v>62</v>
      </c>
      <c r="C411" t="s">
        <v>91</v>
      </c>
      <c r="D411" t="s">
        <v>111</v>
      </c>
      <c r="E411" t="s">
        <v>111</v>
      </c>
      <c r="F411" t="s">
        <v>111</v>
      </c>
      <c r="G411" t="s">
        <v>75</v>
      </c>
      <c r="H411" t="s">
        <v>111</v>
      </c>
      <c r="I411" t="s">
        <v>111</v>
      </c>
      <c r="J411" t="s">
        <v>111</v>
      </c>
      <c r="K411" t="s">
        <v>111</v>
      </c>
      <c r="L411">
        <v>0.052901906895333348</v>
      </c>
      <c r="M411">
        <v>0.047005197528019127</v>
      </c>
      <c r="N411">
        <v>0.04304597838139386</v>
      </c>
      <c r="O411">
        <v>0.019459140912136949</v>
      </c>
      <c r="P411">
        <v>0.010782554271660302</v>
      </c>
      <c r="Q411">
        <v>0.041192726865952239</v>
      </c>
      <c r="R411">
        <v>0.12543143211329835</v>
      </c>
      <c r="S411">
        <v>0.22559125265239285</v>
      </c>
      <c r="T411">
        <v>0.0085081092299819569</v>
      </c>
      <c r="U411">
        <v>0.018195560333426758</v>
      </c>
      <c r="V411">
        <v>0.096621794918705983</v>
      </c>
      <c r="W411">
        <v>0.10437175580146182</v>
      </c>
      <c r="X411">
        <v>0.0084238705247346099</v>
      </c>
      <c r="Y411">
        <v>0.028388443668355638</v>
      </c>
      <c r="Z411">
        <v>0.00058967093673142272</v>
      </c>
      <c r="AA411">
        <v>0.10715163307462423</v>
      </c>
      <c r="AB411">
        <v>0.0092662575772080712</v>
      </c>
      <c r="AC411">
        <v>0.06764368031361892</v>
      </c>
      <c r="AD411">
        <v>0.081458827974183676</v>
      </c>
      <c r="AE411">
        <v>0.12880098032319218</v>
      </c>
      <c r="AF411">
        <v>0.11869233569351066</v>
      </c>
      <c r="AG411">
        <v>0.6566407074030628</v>
      </c>
      <c r="AH411">
        <v>0.006654857714540342</v>
      </c>
      <c r="AI411">
        <v>0.041782397802683661</v>
      </c>
      <c r="AJ411">
        <v>0.3252456409600033</v>
      </c>
      <c r="AK411">
        <v>0.062589357998778156</v>
      </c>
      <c r="AL411">
        <v>0.067475202903124226</v>
      </c>
      <c r="AM411">
        <v>0.016510786228479835</v>
      </c>
      <c r="AN411">
        <v>0.23056133626198627</v>
      </c>
      <c r="AO411">
        <v>0.024260747111235676</v>
      </c>
      <c r="AP411">
        <v>0.0085923479352293022</v>
      </c>
      <c r="AQ411">
        <v>0.065200757861445885</v>
      </c>
      <c r="AR411">
        <v>0.076236028248848217</v>
      </c>
      <c r="AS411">
        <v>0.016258070112737798</v>
      </c>
      <c r="AT411">
        <v>0.037738939950811054</v>
      </c>
      <c r="AU411" t="s">
        <v>111</v>
      </c>
      <c r="BJ411" t="str">
        <f t="shared" si="12"/>
        <v>hdt</v>
      </c>
      <c r="BK411" t="str">
        <f t="shared" si="13"/>
        <v>dsl</v>
      </c>
    </row>
    <row r="412" spans="1:63" ht="14.5">
      <c r="A412" t="s">
        <v>118</v>
      </c>
      <c r="B412" t="s">
        <v>62</v>
      </c>
      <c r="C412" t="s">
        <v>91</v>
      </c>
      <c r="D412" t="s">
        <v>111</v>
      </c>
      <c r="E412" t="s">
        <v>111</v>
      </c>
      <c r="F412" t="s">
        <v>111</v>
      </c>
      <c r="G412" t="s">
        <v>74</v>
      </c>
      <c r="H412" t="s">
        <v>111</v>
      </c>
      <c r="I412" t="s">
        <v>111</v>
      </c>
      <c r="J412" t="s">
        <v>111</v>
      </c>
      <c r="K412" t="s">
        <v>111</v>
      </c>
      <c r="L412">
        <v>0.052901906895333348</v>
      </c>
      <c r="M412">
        <v>0.047005197528019127</v>
      </c>
      <c r="N412">
        <v>0.04304597838139386</v>
      </c>
      <c r="O412">
        <v>0.019459140912136949</v>
      </c>
      <c r="P412">
        <v>0.010782554271660302</v>
      </c>
      <c r="Q412">
        <v>0.041192726865952239</v>
      </c>
      <c r="R412">
        <v>0.12543143211329835</v>
      </c>
      <c r="S412">
        <v>0.22559125265239285</v>
      </c>
      <c r="T412">
        <v>0.0085081092299819569</v>
      </c>
      <c r="U412">
        <v>0.018195560333426758</v>
      </c>
      <c r="V412">
        <v>0.096621794918705983</v>
      </c>
      <c r="W412">
        <v>0.10437175580146182</v>
      </c>
      <c r="X412">
        <v>0.0084238705247346099</v>
      </c>
      <c r="Y412">
        <v>0.028388443668355638</v>
      </c>
      <c r="Z412">
        <v>0.00058967093673142272</v>
      </c>
      <c r="AA412">
        <v>0.10715163307462423</v>
      </c>
      <c r="AB412">
        <v>0.0092662575772080712</v>
      </c>
      <c r="AC412">
        <v>0.06764368031361892</v>
      </c>
      <c r="AD412">
        <v>0.081458827974183676</v>
      </c>
      <c r="AE412">
        <v>0.12880098032319218</v>
      </c>
      <c r="AF412">
        <v>0.11869233569351066</v>
      </c>
      <c r="AG412">
        <v>0.6566407074030628</v>
      </c>
      <c r="AH412">
        <v>0.006654857714540342</v>
      </c>
      <c r="AI412">
        <v>0.041782397802683661</v>
      </c>
      <c r="AJ412">
        <v>0.3252456409600033</v>
      </c>
      <c r="AK412">
        <v>0.062589357998778156</v>
      </c>
      <c r="AL412">
        <v>0.067475202903124226</v>
      </c>
      <c r="AM412">
        <v>0.016510786228479835</v>
      </c>
      <c r="AN412">
        <v>0.23056133626198627</v>
      </c>
      <c r="AO412">
        <v>0.024260747111235676</v>
      </c>
      <c r="AP412">
        <v>0.0085923479352293022</v>
      </c>
      <c r="AQ412">
        <v>0.065200757861445885</v>
      </c>
      <c r="AR412">
        <v>0.076236028248848217</v>
      </c>
      <c r="AS412">
        <v>0.016258070112737798</v>
      </c>
      <c r="AT412">
        <v>0.037738939950811054</v>
      </c>
      <c r="AU412" t="s">
        <v>111</v>
      </c>
      <c r="BJ412" t="str">
        <f t="shared" si="12"/>
        <v>hdt</v>
      </c>
      <c r="BK412" t="str">
        <f t="shared" si="13"/>
        <v>dsl</v>
      </c>
    </row>
    <row r="413" spans="1:63" ht="14.5">
      <c r="A413" t="s">
        <v>118</v>
      </c>
      <c r="B413" t="s">
        <v>62</v>
      </c>
      <c r="C413" t="s">
        <v>91</v>
      </c>
      <c r="D413" t="s">
        <v>111</v>
      </c>
      <c r="E413" t="s">
        <v>111</v>
      </c>
      <c r="F413" t="s">
        <v>111</v>
      </c>
      <c r="G413" t="s">
        <v>73</v>
      </c>
      <c r="H413" t="s">
        <v>111</v>
      </c>
      <c r="I413" t="s">
        <v>111</v>
      </c>
      <c r="J413" t="s">
        <v>111</v>
      </c>
      <c r="K413" t="s">
        <v>111</v>
      </c>
      <c r="L413">
        <v>0.052901906895333348</v>
      </c>
      <c r="M413">
        <v>0.047005197528019127</v>
      </c>
      <c r="N413">
        <v>0.04304597838139386</v>
      </c>
      <c r="O413">
        <v>0.019459140912136949</v>
      </c>
      <c r="P413">
        <v>0.010782554271660302</v>
      </c>
      <c r="Q413">
        <v>0.041192726865952239</v>
      </c>
      <c r="R413">
        <v>0.12543143211329835</v>
      </c>
      <c r="S413">
        <v>0.22559125265239285</v>
      </c>
      <c r="T413">
        <v>0.0085081092299819569</v>
      </c>
      <c r="U413">
        <v>0.018195560333426758</v>
      </c>
      <c r="V413">
        <v>0.096621794918705983</v>
      </c>
      <c r="W413">
        <v>0.10437175580146182</v>
      </c>
      <c r="X413">
        <v>0.0084238705247346099</v>
      </c>
      <c r="Y413">
        <v>0.028388443668355638</v>
      </c>
      <c r="Z413">
        <v>0.00058967093673142272</v>
      </c>
      <c r="AA413">
        <v>0.10715163307462423</v>
      </c>
      <c r="AB413">
        <v>0.0092662575772080712</v>
      </c>
      <c r="AC413">
        <v>0.06764368031361892</v>
      </c>
      <c r="AD413">
        <v>0.081458827974183676</v>
      </c>
      <c r="AE413">
        <v>0.12880098032319218</v>
      </c>
      <c r="AF413">
        <v>0.11869233569351066</v>
      </c>
      <c r="AG413">
        <v>0.6566407074030628</v>
      </c>
      <c r="AH413">
        <v>0.006654857714540342</v>
      </c>
      <c r="AI413">
        <v>0.041782397802683661</v>
      </c>
      <c r="AJ413">
        <v>0.3252456409600033</v>
      </c>
      <c r="AK413">
        <v>0.062589357998778156</v>
      </c>
      <c r="AL413">
        <v>0.067475202903124226</v>
      </c>
      <c r="AM413">
        <v>0.016510786228479835</v>
      </c>
      <c r="AN413">
        <v>0.23056133626198627</v>
      </c>
      <c r="AO413">
        <v>0.024260747111235676</v>
      </c>
      <c r="AP413">
        <v>0.0085923479352293022</v>
      </c>
      <c r="AQ413">
        <v>0.065200757861445885</v>
      </c>
      <c r="AR413">
        <v>0.076236028248848217</v>
      </c>
      <c r="AS413">
        <v>0.016258070112737798</v>
      </c>
      <c r="AT413">
        <v>0.037738939950811054</v>
      </c>
      <c r="AU413" t="s">
        <v>111</v>
      </c>
      <c r="BJ413" t="str">
        <f t="shared" si="12"/>
        <v>hdt</v>
      </c>
      <c r="BK413" t="str">
        <f t="shared" si="13"/>
        <v>dsl</v>
      </c>
    </row>
    <row r="414" spans="1:63" ht="14.5">
      <c r="A414" t="s">
        <v>118</v>
      </c>
      <c r="B414" t="s">
        <v>62</v>
      </c>
      <c r="C414" t="s">
        <v>91</v>
      </c>
      <c r="D414" t="s">
        <v>111</v>
      </c>
      <c r="E414" t="s">
        <v>111</v>
      </c>
      <c r="F414" t="s">
        <v>111</v>
      </c>
      <c r="G414" t="s">
        <v>72</v>
      </c>
      <c r="H414" t="s">
        <v>111</v>
      </c>
      <c r="I414" t="s">
        <v>111</v>
      </c>
      <c r="J414" t="s">
        <v>111</v>
      </c>
      <c r="K414" t="s">
        <v>111</v>
      </c>
      <c r="L414">
        <v>0.052901906895333348</v>
      </c>
      <c r="M414">
        <v>0.047005197528019127</v>
      </c>
      <c r="N414">
        <v>0.04304597838139386</v>
      </c>
      <c r="O414">
        <v>0.019459140912136949</v>
      </c>
      <c r="P414">
        <v>0.010782554271660302</v>
      </c>
      <c r="Q414">
        <v>0.041192726865952239</v>
      </c>
      <c r="R414">
        <v>0.12543143211329835</v>
      </c>
      <c r="S414">
        <v>0.22559125265239285</v>
      </c>
      <c r="T414">
        <v>0.0085081092299819569</v>
      </c>
      <c r="U414">
        <v>0.018195560333426758</v>
      </c>
      <c r="V414">
        <v>0.096621794918705983</v>
      </c>
      <c r="W414">
        <v>0.10437175580146182</v>
      </c>
      <c r="X414">
        <v>0.0084238705247346099</v>
      </c>
      <c r="Y414">
        <v>0.028388443668355638</v>
      </c>
      <c r="Z414">
        <v>0.00058967093673142272</v>
      </c>
      <c r="AA414">
        <v>0.10715163307462423</v>
      </c>
      <c r="AB414">
        <v>0.0092662575772080712</v>
      </c>
      <c r="AC414">
        <v>0.06764368031361892</v>
      </c>
      <c r="AD414">
        <v>0.081458827974183676</v>
      </c>
      <c r="AE414">
        <v>0.12880098032319218</v>
      </c>
      <c r="AF414">
        <v>0.11869233569351066</v>
      </c>
      <c r="AG414">
        <v>0.6566407074030628</v>
      </c>
      <c r="AH414">
        <v>0.006654857714540342</v>
      </c>
      <c r="AI414">
        <v>0.041782397802683661</v>
      </c>
      <c r="AJ414">
        <v>0.3252456409600033</v>
      </c>
      <c r="AK414">
        <v>0.062589357998778156</v>
      </c>
      <c r="AL414">
        <v>0.067475202903124226</v>
      </c>
      <c r="AM414">
        <v>0.016510786228479835</v>
      </c>
      <c r="AN414">
        <v>0.23056133626198627</v>
      </c>
      <c r="AO414">
        <v>0.024260747111235676</v>
      </c>
      <c r="AP414">
        <v>0.0085923479352293022</v>
      </c>
      <c r="AQ414">
        <v>0.065200757861445885</v>
      </c>
      <c r="AR414">
        <v>0.076236028248848217</v>
      </c>
      <c r="AS414">
        <v>0.016258070112737798</v>
      </c>
      <c r="AT414">
        <v>0.037738939950811054</v>
      </c>
      <c r="AU414" t="s">
        <v>111</v>
      </c>
      <c r="BJ414" t="str">
        <f t="shared" si="12"/>
        <v>hdt</v>
      </c>
      <c r="BK414" t="str">
        <f t="shared" si="13"/>
        <v>dsl</v>
      </c>
    </row>
    <row r="415" spans="1:63" ht="14.5">
      <c r="A415" t="s">
        <v>118</v>
      </c>
      <c r="B415" t="s">
        <v>62</v>
      </c>
      <c r="C415" t="s">
        <v>91</v>
      </c>
      <c r="D415" t="s">
        <v>111</v>
      </c>
      <c r="E415" t="s">
        <v>111</v>
      </c>
      <c r="F415" t="s">
        <v>111</v>
      </c>
      <c r="G415" t="s">
        <v>71</v>
      </c>
      <c r="H415" t="s">
        <v>111</v>
      </c>
      <c r="I415" t="s">
        <v>111</v>
      </c>
      <c r="J415" t="s">
        <v>111</v>
      </c>
      <c r="K415" t="s">
        <v>111</v>
      </c>
      <c r="L415">
        <v>0.052901906895333348</v>
      </c>
      <c r="M415">
        <v>0.047005197528019127</v>
      </c>
      <c r="N415">
        <v>0.04304597838139386</v>
      </c>
      <c r="O415">
        <v>0.019459140912136949</v>
      </c>
      <c r="P415">
        <v>0.010782554271660302</v>
      </c>
      <c r="Q415">
        <v>0.041192726865952239</v>
      </c>
      <c r="R415">
        <v>0.12543143211329835</v>
      </c>
      <c r="S415">
        <v>0.22559125265239285</v>
      </c>
      <c r="T415">
        <v>0.0085081092299819569</v>
      </c>
      <c r="U415">
        <v>0.018195560333426758</v>
      </c>
      <c r="V415">
        <v>0.096621794918705983</v>
      </c>
      <c r="W415">
        <v>0.10437175580146182</v>
      </c>
      <c r="X415">
        <v>0.0084238705247346099</v>
      </c>
      <c r="Y415">
        <v>0.028388443668355638</v>
      </c>
      <c r="Z415">
        <v>0.00058967093673142272</v>
      </c>
      <c r="AA415">
        <v>0.10715163307462423</v>
      </c>
      <c r="AB415">
        <v>0.0092662575772080712</v>
      </c>
      <c r="AC415">
        <v>0.06764368031361892</v>
      </c>
      <c r="AD415">
        <v>0.081458827974183676</v>
      </c>
      <c r="AE415">
        <v>0.12880098032319218</v>
      </c>
      <c r="AF415">
        <v>0.11869233569351066</v>
      </c>
      <c r="AG415">
        <v>0.6566407074030628</v>
      </c>
      <c r="AH415">
        <v>0.006654857714540342</v>
      </c>
      <c r="AI415">
        <v>0.041782397802683661</v>
      </c>
      <c r="AJ415">
        <v>0.3252456409600033</v>
      </c>
      <c r="AK415">
        <v>0.062589357998778156</v>
      </c>
      <c r="AL415">
        <v>0.067475202903124226</v>
      </c>
      <c r="AM415">
        <v>0.016510786228479835</v>
      </c>
      <c r="AN415">
        <v>0.23056133626198627</v>
      </c>
      <c r="AO415">
        <v>0.024260747111235676</v>
      </c>
      <c r="AP415">
        <v>0.0085923479352293022</v>
      </c>
      <c r="AQ415">
        <v>0.065200757861445885</v>
      </c>
      <c r="AR415">
        <v>0.076236028248848217</v>
      </c>
      <c r="AS415">
        <v>0.016258070112737798</v>
      </c>
      <c r="AT415">
        <v>0.037738939950811054</v>
      </c>
      <c r="AU415" t="s">
        <v>111</v>
      </c>
      <c r="BJ415" t="str">
        <f t="shared" si="12"/>
        <v>hdt</v>
      </c>
      <c r="BK415" t="str">
        <f t="shared" si="13"/>
        <v>dsl</v>
      </c>
    </row>
    <row r="416" spans="1:63" ht="14.5">
      <c r="A416" t="s">
        <v>118</v>
      </c>
      <c r="B416" t="s">
        <v>62</v>
      </c>
      <c r="C416" t="s">
        <v>91</v>
      </c>
      <c r="D416" t="s">
        <v>111</v>
      </c>
      <c r="E416" t="s">
        <v>111</v>
      </c>
      <c r="F416" t="s">
        <v>111</v>
      </c>
      <c r="G416" t="s">
        <v>70</v>
      </c>
      <c r="H416" t="s">
        <v>111</v>
      </c>
      <c r="I416" t="s">
        <v>111</v>
      </c>
      <c r="J416" t="s">
        <v>111</v>
      </c>
      <c r="K416" t="s">
        <v>111</v>
      </c>
      <c r="L416">
        <v>0.052901906895333348</v>
      </c>
      <c r="M416">
        <v>0.047005197528019127</v>
      </c>
      <c r="N416">
        <v>0.04304597838139386</v>
      </c>
      <c r="O416">
        <v>0.019459140912136949</v>
      </c>
      <c r="P416">
        <v>0.010782554271660302</v>
      </c>
      <c r="Q416">
        <v>0.041192726865952239</v>
      </c>
      <c r="R416">
        <v>0.12543143211329835</v>
      </c>
      <c r="S416">
        <v>0.22559125265239285</v>
      </c>
      <c r="T416">
        <v>0.0085081092299819569</v>
      </c>
      <c r="U416">
        <v>0.018195560333426758</v>
      </c>
      <c r="V416">
        <v>0.096621794918705983</v>
      </c>
      <c r="W416">
        <v>0.10437175580146182</v>
      </c>
      <c r="X416">
        <v>0.0084238705247346099</v>
      </c>
      <c r="Y416">
        <v>0.028388443668355638</v>
      </c>
      <c r="Z416">
        <v>0.00058967093673142272</v>
      </c>
      <c r="AA416">
        <v>0.10715163307462423</v>
      </c>
      <c r="AB416">
        <v>0.0092662575772080712</v>
      </c>
      <c r="AC416">
        <v>0.06764368031361892</v>
      </c>
      <c r="AD416">
        <v>0.081458827974183676</v>
      </c>
      <c r="AE416">
        <v>0.12880098032319218</v>
      </c>
      <c r="AF416">
        <v>0.11869233569351066</v>
      </c>
      <c r="AG416">
        <v>0.6566407074030628</v>
      </c>
      <c r="AH416">
        <v>0.006654857714540342</v>
      </c>
      <c r="AI416">
        <v>0.041782397802683661</v>
      </c>
      <c r="AJ416">
        <v>0.3252456409600033</v>
      </c>
      <c r="AK416">
        <v>0.062589357998778156</v>
      </c>
      <c r="AL416">
        <v>0.067475202903124226</v>
      </c>
      <c r="AM416">
        <v>0.016510786228479835</v>
      </c>
      <c r="AN416">
        <v>0.23056133626198627</v>
      </c>
      <c r="AO416">
        <v>0.024260747111235676</v>
      </c>
      <c r="AP416">
        <v>0.0085923479352293022</v>
      </c>
      <c r="AQ416">
        <v>0.065200757861445885</v>
      </c>
      <c r="AR416">
        <v>0.076236028248848217</v>
      </c>
      <c r="AS416">
        <v>0.016258070112737798</v>
      </c>
      <c r="AT416">
        <v>0.037738939950811054</v>
      </c>
      <c r="AU416" t="s">
        <v>111</v>
      </c>
      <c r="BJ416" t="str">
        <f t="shared" si="12"/>
        <v>hdt</v>
      </c>
      <c r="BK416" t="str">
        <f t="shared" si="13"/>
        <v>dsl</v>
      </c>
    </row>
    <row r="417" spans="1:63" ht="14.5">
      <c r="A417" t="s">
        <v>118</v>
      </c>
      <c r="B417" t="s">
        <v>62</v>
      </c>
      <c r="C417" t="s">
        <v>91</v>
      </c>
      <c r="D417" t="s">
        <v>111</v>
      </c>
      <c r="E417" t="s">
        <v>111</v>
      </c>
      <c r="F417" t="s">
        <v>111</v>
      </c>
      <c r="G417" t="s">
        <v>69</v>
      </c>
      <c r="H417" t="s">
        <v>111</v>
      </c>
      <c r="I417" t="s">
        <v>111</v>
      </c>
      <c r="J417" t="s">
        <v>111</v>
      </c>
      <c r="K417" t="s">
        <v>111</v>
      </c>
      <c r="L417">
        <v>0.052901906895333348</v>
      </c>
      <c r="M417">
        <v>0.047005197528019127</v>
      </c>
      <c r="N417">
        <v>0.04304597838139386</v>
      </c>
      <c r="O417">
        <v>0.019459140912136949</v>
      </c>
      <c r="P417">
        <v>0.010782554271660302</v>
      </c>
      <c r="Q417">
        <v>0.041192726865952239</v>
      </c>
      <c r="R417">
        <v>0.12543143211329835</v>
      </c>
      <c r="S417">
        <v>0.22559125265239285</v>
      </c>
      <c r="T417">
        <v>0.0085081092299819569</v>
      </c>
      <c r="U417">
        <v>0.018195560333426758</v>
      </c>
      <c r="V417">
        <v>0.096621794918705983</v>
      </c>
      <c r="W417">
        <v>0.10437175580146182</v>
      </c>
      <c r="X417">
        <v>0.0084238705247346099</v>
      </c>
      <c r="Y417">
        <v>0.028388443668355638</v>
      </c>
      <c r="Z417">
        <v>0.00058967093673142272</v>
      </c>
      <c r="AA417">
        <v>0.10715163307462423</v>
      </c>
      <c r="AB417">
        <v>0.0092662575772080712</v>
      </c>
      <c r="AC417">
        <v>0.06764368031361892</v>
      </c>
      <c r="AD417">
        <v>0.081458827974183676</v>
      </c>
      <c r="AE417">
        <v>0.12880098032319218</v>
      </c>
      <c r="AF417">
        <v>0.11869233569351066</v>
      </c>
      <c r="AG417">
        <v>0.6566407074030628</v>
      </c>
      <c r="AH417">
        <v>0.006654857714540342</v>
      </c>
      <c r="AI417">
        <v>0.041782397802683661</v>
      </c>
      <c r="AJ417">
        <v>0.3252456409600033</v>
      </c>
      <c r="AK417">
        <v>0.062589357998778156</v>
      </c>
      <c r="AL417">
        <v>0.067475202903124226</v>
      </c>
      <c r="AM417">
        <v>0.016510786228479835</v>
      </c>
      <c r="AN417">
        <v>0.23056133626198627</v>
      </c>
      <c r="AO417">
        <v>0.024260747111235676</v>
      </c>
      <c r="AP417">
        <v>0.0085923479352293022</v>
      </c>
      <c r="AQ417">
        <v>0.065200757861445885</v>
      </c>
      <c r="AR417">
        <v>0.076236028248848217</v>
      </c>
      <c r="AS417">
        <v>0.016258070112737798</v>
      </c>
      <c r="AT417">
        <v>0.037738939950811054</v>
      </c>
      <c r="AU417" t="s">
        <v>111</v>
      </c>
      <c r="BJ417" t="str">
        <f t="shared" si="12"/>
        <v>hdt</v>
      </c>
      <c r="BK417" t="str">
        <f t="shared" si="13"/>
        <v>dsl</v>
      </c>
    </row>
    <row r="418" spans="1:63" ht="14.5">
      <c r="A418" t="s">
        <v>118</v>
      </c>
      <c r="B418" t="s">
        <v>62</v>
      </c>
      <c r="C418" t="s">
        <v>91</v>
      </c>
      <c r="D418" t="s">
        <v>111</v>
      </c>
      <c r="E418" t="s">
        <v>111</v>
      </c>
      <c r="F418" t="s">
        <v>111</v>
      </c>
      <c r="G418" t="s">
        <v>68</v>
      </c>
      <c r="H418" t="s">
        <v>111</v>
      </c>
      <c r="I418" t="s">
        <v>111</v>
      </c>
      <c r="J418" t="s">
        <v>111</v>
      </c>
      <c r="K418" t="s">
        <v>111</v>
      </c>
      <c r="L418">
        <v>0.052901906895333348</v>
      </c>
      <c r="M418">
        <v>0.047005197528019127</v>
      </c>
      <c r="N418">
        <v>0.04304597838139386</v>
      </c>
      <c r="O418">
        <v>0.019459140912136949</v>
      </c>
      <c r="P418">
        <v>0.010782554271660302</v>
      </c>
      <c r="Q418">
        <v>0.041192726865952239</v>
      </c>
      <c r="R418">
        <v>0.12543143211329835</v>
      </c>
      <c r="S418">
        <v>0.22559125265239285</v>
      </c>
      <c r="T418">
        <v>0.0085081092299819569</v>
      </c>
      <c r="U418">
        <v>0.018195560333426758</v>
      </c>
      <c r="V418">
        <v>0.096621794918705983</v>
      </c>
      <c r="W418">
        <v>0.10437175580146182</v>
      </c>
      <c r="X418">
        <v>0.0084238705247346099</v>
      </c>
      <c r="Y418">
        <v>0.028388443668355638</v>
      </c>
      <c r="Z418">
        <v>0.00058967093673142272</v>
      </c>
      <c r="AA418">
        <v>0.10715163307462423</v>
      </c>
      <c r="AB418">
        <v>0.0092662575772080712</v>
      </c>
      <c r="AC418">
        <v>0.06764368031361892</v>
      </c>
      <c r="AD418">
        <v>0.081458827974183676</v>
      </c>
      <c r="AE418">
        <v>0.12880098032319218</v>
      </c>
      <c r="AF418">
        <v>0.11869233569351066</v>
      </c>
      <c r="AG418">
        <v>0.6566407074030628</v>
      </c>
      <c r="AH418">
        <v>0.006654857714540342</v>
      </c>
      <c r="AI418">
        <v>0.041782397802683661</v>
      </c>
      <c r="AJ418">
        <v>0.3252456409600033</v>
      </c>
      <c r="AK418">
        <v>0.062589357998778156</v>
      </c>
      <c r="AL418">
        <v>0.067475202903124226</v>
      </c>
      <c r="AM418">
        <v>0.016510786228479835</v>
      </c>
      <c r="AN418">
        <v>0.23056133626198627</v>
      </c>
      <c r="AO418">
        <v>0.024260747111235676</v>
      </c>
      <c r="AP418">
        <v>0.0085923479352293022</v>
      </c>
      <c r="AQ418">
        <v>0.065200757861445885</v>
      </c>
      <c r="AR418">
        <v>0.076236028248848217</v>
      </c>
      <c r="AS418">
        <v>0.016258070112737798</v>
      </c>
      <c r="AT418">
        <v>0.037738939950811054</v>
      </c>
      <c r="AU418" t="s">
        <v>111</v>
      </c>
      <c r="BJ418" t="str">
        <f t="shared" si="12"/>
        <v>hdt</v>
      </c>
      <c r="BK418" t="str">
        <f t="shared" si="13"/>
        <v>dsl</v>
      </c>
    </row>
    <row r="419" spans="1:63" ht="14.5">
      <c r="A419" t="s">
        <v>118</v>
      </c>
      <c r="B419" t="s">
        <v>62</v>
      </c>
      <c r="C419" t="s">
        <v>91</v>
      </c>
      <c r="D419" t="s">
        <v>111</v>
      </c>
      <c r="E419" t="s">
        <v>111</v>
      </c>
      <c r="F419" t="s">
        <v>111</v>
      </c>
      <c r="G419" t="s">
        <v>67</v>
      </c>
      <c r="H419" t="s">
        <v>111</v>
      </c>
      <c r="I419" t="s">
        <v>111</v>
      </c>
      <c r="J419" t="s">
        <v>111</v>
      </c>
      <c r="K419" t="s">
        <v>111</v>
      </c>
      <c r="L419">
        <v>0.052901906895333348</v>
      </c>
      <c r="M419">
        <v>0.047005197528019127</v>
      </c>
      <c r="N419">
        <v>0.04304597838139386</v>
      </c>
      <c r="O419">
        <v>0.019459140912136949</v>
      </c>
      <c r="P419">
        <v>0.010782554271660302</v>
      </c>
      <c r="Q419">
        <v>0.041192726865952239</v>
      </c>
      <c r="R419">
        <v>0.12543143211329835</v>
      </c>
      <c r="S419">
        <v>0.22559125265239285</v>
      </c>
      <c r="T419">
        <v>0.0085081092299819569</v>
      </c>
      <c r="U419">
        <v>0.018195560333426758</v>
      </c>
      <c r="V419">
        <v>0.096621794918705983</v>
      </c>
      <c r="W419">
        <v>0.10437175580146182</v>
      </c>
      <c r="X419">
        <v>0.0084238705247346099</v>
      </c>
      <c r="Y419">
        <v>0.028388443668355638</v>
      </c>
      <c r="Z419">
        <v>0.00058967093673142272</v>
      </c>
      <c r="AA419">
        <v>0.10715163307462423</v>
      </c>
      <c r="AB419">
        <v>0.0092662575772080712</v>
      </c>
      <c r="AC419">
        <v>0.06764368031361892</v>
      </c>
      <c r="AD419">
        <v>0.081458827974183676</v>
      </c>
      <c r="AE419">
        <v>0.12880098032319218</v>
      </c>
      <c r="AF419">
        <v>0.11869233569351066</v>
      </c>
      <c r="AG419">
        <v>0.6566407074030628</v>
      </c>
      <c r="AH419">
        <v>0.006654857714540342</v>
      </c>
      <c r="AI419">
        <v>0.041782397802683661</v>
      </c>
      <c r="AJ419">
        <v>0.3252456409600033</v>
      </c>
      <c r="AK419">
        <v>0.062589357998778156</v>
      </c>
      <c r="AL419">
        <v>0.067475202903124226</v>
      </c>
      <c r="AM419">
        <v>0.016510786228479835</v>
      </c>
      <c r="AN419">
        <v>0.23056133626198627</v>
      </c>
      <c r="AO419">
        <v>0.024260747111235676</v>
      </c>
      <c r="AP419">
        <v>0.0085923479352293022</v>
      </c>
      <c r="AQ419">
        <v>0.065200757861445885</v>
      </c>
      <c r="AR419">
        <v>0.076236028248848217</v>
      </c>
      <c r="AS419">
        <v>0.016258070112737798</v>
      </c>
      <c r="AT419">
        <v>0.037738939950811054</v>
      </c>
      <c r="AU419" t="s">
        <v>111</v>
      </c>
      <c r="BJ419" t="str">
        <f t="shared" si="12"/>
        <v>hdt</v>
      </c>
      <c r="BK419" t="str">
        <f t="shared" si="13"/>
        <v>dsl</v>
      </c>
    </row>
    <row r="420" spans="1:63" ht="14.5">
      <c r="A420" t="s">
        <v>118</v>
      </c>
      <c r="B420" t="s">
        <v>62</v>
      </c>
      <c r="C420" t="s">
        <v>91</v>
      </c>
      <c r="D420" t="s">
        <v>111</v>
      </c>
      <c r="E420" t="s">
        <v>111</v>
      </c>
      <c r="F420" t="s">
        <v>111</v>
      </c>
      <c r="G420" t="s">
        <v>66</v>
      </c>
      <c r="H420" t="s">
        <v>111</v>
      </c>
      <c r="I420" t="s">
        <v>111</v>
      </c>
      <c r="J420" t="s">
        <v>111</v>
      </c>
      <c r="K420" t="s">
        <v>111</v>
      </c>
      <c r="L420">
        <v>0.052901906895333348</v>
      </c>
      <c r="M420">
        <v>0.047005197528019127</v>
      </c>
      <c r="N420">
        <v>0.04304597838139386</v>
      </c>
      <c r="O420">
        <v>0.019459140912136949</v>
      </c>
      <c r="P420">
        <v>0.010782554271660302</v>
      </c>
      <c r="Q420">
        <v>0.041192726865952239</v>
      </c>
      <c r="R420">
        <v>0.12543143211329835</v>
      </c>
      <c r="S420">
        <v>0.22559125265239285</v>
      </c>
      <c r="T420">
        <v>0.0085081092299819569</v>
      </c>
      <c r="U420">
        <v>0.018195560333426758</v>
      </c>
      <c r="V420">
        <v>0.096621794918705983</v>
      </c>
      <c r="W420">
        <v>0.10437175580146182</v>
      </c>
      <c r="X420">
        <v>0.0084238705247346099</v>
      </c>
      <c r="Y420">
        <v>0.028388443668355638</v>
      </c>
      <c r="Z420">
        <v>0.00058967093673142272</v>
      </c>
      <c r="AA420">
        <v>0.10715163307462423</v>
      </c>
      <c r="AB420">
        <v>0.0092662575772080712</v>
      </c>
      <c r="AC420">
        <v>0.06764368031361892</v>
      </c>
      <c r="AD420">
        <v>0.081458827974183676</v>
      </c>
      <c r="AE420">
        <v>0.12880098032319218</v>
      </c>
      <c r="AF420">
        <v>0.11869233569351066</v>
      </c>
      <c r="AG420">
        <v>0.6566407074030628</v>
      </c>
      <c r="AH420">
        <v>0.006654857714540342</v>
      </c>
      <c r="AI420">
        <v>0.041782397802683661</v>
      </c>
      <c r="AJ420">
        <v>0.3252456409600033</v>
      </c>
      <c r="AK420">
        <v>0.062589357998778156</v>
      </c>
      <c r="AL420">
        <v>0.067475202903124226</v>
      </c>
      <c r="AM420">
        <v>0.016510786228479835</v>
      </c>
      <c r="AN420">
        <v>0.23056133626198627</v>
      </c>
      <c r="AO420">
        <v>0.024260747111235676</v>
      </c>
      <c r="AP420">
        <v>0.0085923479352293022</v>
      </c>
      <c r="AQ420">
        <v>0.065200757861445885</v>
      </c>
      <c r="AR420">
        <v>0.076236028248848217</v>
      </c>
      <c r="AS420">
        <v>0.016258070112737798</v>
      </c>
      <c r="AT420">
        <v>0.037738939950811054</v>
      </c>
      <c r="AU420" t="s">
        <v>111</v>
      </c>
      <c r="BJ420" t="str">
        <f t="shared" si="12"/>
        <v>hdt</v>
      </c>
      <c r="BK420" t="str">
        <f t="shared" si="13"/>
        <v>dsl</v>
      </c>
    </row>
    <row r="421" spans="1:63" ht="14.5">
      <c r="A421" t="s">
        <v>118</v>
      </c>
      <c r="B421" t="s">
        <v>62</v>
      </c>
      <c r="C421" t="s">
        <v>91</v>
      </c>
      <c r="D421" t="s">
        <v>111</v>
      </c>
      <c r="E421" t="s">
        <v>111</v>
      </c>
      <c r="F421" t="s">
        <v>111</v>
      </c>
      <c r="G421" t="s">
        <v>65</v>
      </c>
      <c r="H421" t="s">
        <v>111</v>
      </c>
      <c r="I421" t="s">
        <v>111</v>
      </c>
      <c r="J421" t="s">
        <v>111</v>
      </c>
      <c r="K421" t="s">
        <v>111</v>
      </c>
      <c r="L421">
        <v>0.052901906895333348</v>
      </c>
      <c r="M421">
        <v>0.047005197528019127</v>
      </c>
      <c r="N421">
        <v>0.04304597838139386</v>
      </c>
      <c r="O421">
        <v>0.019459140912136949</v>
      </c>
      <c r="P421">
        <v>0.010782554271660302</v>
      </c>
      <c r="Q421">
        <v>0.041192726865952239</v>
      </c>
      <c r="R421">
        <v>0.12543143211329835</v>
      </c>
      <c r="S421">
        <v>0.22559125265239285</v>
      </c>
      <c r="T421">
        <v>0.0085081092299819569</v>
      </c>
      <c r="U421">
        <v>0.018195560333426758</v>
      </c>
      <c r="V421">
        <v>0.096621794918705983</v>
      </c>
      <c r="W421">
        <v>0.10437175580146182</v>
      </c>
      <c r="X421">
        <v>0.0084238705247346099</v>
      </c>
      <c r="Y421">
        <v>0.028388443668355638</v>
      </c>
      <c r="Z421">
        <v>0.00058967093673142272</v>
      </c>
      <c r="AA421">
        <v>0.10715163307462423</v>
      </c>
      <c r="AB421">
        <v>0.0092662575772080712</v>
      </c>
      <c r="AC421">
        <v>0.06764368031361892</v>
      </c>
      <c r="AD421">
        <v>0.081458827974183676</v>
      </c>
      <c r="AE421">
        <v>0.12880098032319218</v>
      </c>
      <c r="AF421">
        <v>0.11869233569351066</v>
      </c>
      <c r="AG421">
        <v>0.6566407074030628</v>
      </c>
      <c r="AH421">
        <v>0.006654857714540342</v>
      </c>
      <c r="AI421">
        <v>0.041782397802683661</v>
      </c>
      <c r="AJ421">
        <v>0.3252456409600033</v>
      </c>
      <c r="AK421">
        <v>0.062589357998778156</v>
      </c>
      <c r="AL421">
        <v>0.067475202903124226</v>
      </c>
      <c r="AM421">
        <v>0.016510786228479835</v>
      </c>
      <c r="AN421">
        <v>0.23056133626198627</v>
      </c>
      <c r="AO421">
        <v>0.024260747111235676</v>
      </c>
      <c r="AP421">
        <v>0.0085923479352293022</v>
      </c>
      <c r="AQ421">
        <v>0.065200757861445885</v>
      </c>
      <c r="AR421">
        <v>0.076236028248848217</v>
      </c>
      <c r="AS421">
        <v>0.016258070112737798</v>
      </c>
      <c r="AT421">
        <v>0.037738939950811054</v>
      </c>
      <c r="AU421" t="s">
        <v>111</v>
      </c>
      <c r="BJ421" t="str">
        <f t="shared" si="12"/>
        <v>hdt</v>
      </c>
      <c r="BK421" t="str">
        <f t="shared" si="13"/>
        <v>dsl</v>
      </c>
    </row>
    <row r="422" spans="1:63" ht="14.5">
      <c r="A422" t="s">
        <v>118</v>
      </c>
      <c r="B422" t="s">
        <v>62</v>
      </c>
      <c r="C422" t="s">
        <v>90</v>
      </c>
      <c r="D422" t="s">
        <v>111</v>
      </c>
      <c r="E422" t="s">
        <v>111</v>
      </c>
      <c r="F422" t="s">
        <v>111</v>
      </c>
      <c r="G422" t="s">
        <v>61</v>
      </c>
      <c r="H422" t="s">
        <v>111</v>
      </c>
      <c r="I422" t="s">
        <v>111</v>
      </c>
      <c r="J422" t="s">
        <v>111</v>
      </c>
      <c r="K422" t="s">
        <v>111</v>
      </c>
      <c r="L422">
        <v>0</v>
      </c>
      <c r="M422">
        <v>0</v>
      </c>
      <c r="N422">
        <v>0</v>
      </c>
      <c r="O422">
        <v>0</v>
      </c>
      <c r="P422">
        <v>0.00042119352623673051</v>
      </c>
      <c r="Q422">
        <v>0</v>
      </c>
      <c r="R422">
        <v>0.0032010707993991518</v>
      </c>
      <c r="S422">
        <v>0.0070760512407770726</v>
      </c>
      <c r="T422">
        <v>0.00016847741049469221</v>
      </c>
      <c r="U422">
        <v>0.00042119352623673051</v>
      </c>
      <c r="V422">
        <v>0</v>
      </c>
      <c r="W422">
        <v>0</v>
      </c>
      <c r="X422">
        <v>0</v>
      </c>
      <c r="Y422">
        <v>0.00067390964197876885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0.0059809480725615729</v>
      </c>
      <c r="AF422">
        <v>0.029062353310334403</v>
      </c>
      <c r="AG422">
        <v>0.12922217384942891</v>
      </c>
      <c r="AH422">
        <v>0</v>
      </c>
      <c r="AI422">
        <v>0.00092662575772080704</v>
      </c>
      <c r="AJ422">
        <v>0</v>
      </c>
      <c r="AK422">
        <v>0.021817824659062641</v>
      </c>
      <c r="AL422">
        <v>0.012551567081854568</v>
      </c>
      <c r="AM422">
        <v>0</v>
      </c>
      <c r="AN422">
        <v>0</v>
      </c>
      <c r="AO422">
        <v>0</v>
      </c>
      <c r="AP422">
        <v>0</v>
      </c>
      <c r="AQ422">
        <v>0.0012635805787101914</v>
      </c>
      <c r="AR422">
        <v>0</v>
      </c>
      <c r="AS422">
        <v>0.0010951031682154993</v>
      </c>
      <c r="AT422">
        <v>0.00050543223148407659</v>
      </c>
      <c r="AU422" t="s">
        <v>111</v>
      </c>
      <c r="BJ422" t="str">
        <f t="shared" si="12"/>
        <v>hdt</v>
      </c>
      <c r="BK422" t="str">
        <f t="shared" si="13"/>
        <v>gsl</v>
      </c>
    </row>
    <row r="423" spans="1:63" ht="14.5">
      <c r="A423" t="s">
        <v>118</v>
      </c>
      <c r="B423" t="s">
        <v>62</v>
      </c>
      <c r="C423" t="s">
        <v>90</v>
      </c>
      <c r="D423" t="s">
        <v>111</v>
      </c>
      <c r="E423" t="s">
        <v>111</v>
      </c>
      <c r="F423" t="s">
        <v>111</v>
      </c>
      <c r="G423" t="s">
        <v>83</v>
      </c>
      <c r="H423" t="s">
        <v>111</v>
      </c>
      <c r="I423" t="s">
        <v>111</v>
      </c>
      <c r="J423" t="s">
        <v>111</v>
      </c>
      <c r="K423" t="s">
        <v>111</v>
      </c>
      <c r="L423">
        <v>0</v>
      </c>
      <c r="M423">
        <v>0</v>
      </c>
      <c r="N423">
        <v>0</v>
      </c>
      <c r="O423">
        <v>0</v>
      </c>
      <c r="P423">
        <v>0.00042119352623673051</v>
      </c>
      <c r="Q423">
        <v>0</v>
      </c>
      <c r="R423">
        <v>0.0032010707993991518</v>
      </c>
      <c r="S423">
        <v>0.0070760512407770726</v>
      </c>
      <c r="T423">
        <v>0.00016847741049469221</v>
      </c>
      <c r="U423">
        <v>0.00042119352623673051</v>
      </c>
      <c r="V423">
        <v>0</v>
      </c>
      <c r="W423">
        <v>0</v>
      </c>
      <c r="X423">
        <v>0</v>
      </c>
      <c r="Y423">
        <v>0.00067390964197876885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0.0059809480725615729</v>
      </c>
      <c r="AF423">
        <v>0.029062353310334403</v>
      </c>
      <c r="AG423">
        <v>0.12922217384942891</v>
      </c>
      <c r="AH423">
        <v>0</v>
      </c>
      <c r="AI423">
        <v>0.00092662575772080704</v>
      </c>
      <c r="AJ423">
        <v>0</v>
      </c>
      <c r="AK423">
        <v>0.021817824659062641</v>
      </c>
      <c r="AL423">
        <v>0.012551567081854568</v>
      </c>
      <c r="AM423">
        <v>0</v>
      </c>
      <c r="AN423">
        <v>0</v>
      </c>
      <c r="AO423">
        <v>0</v>
      </c>
      <c r="AP423">
        <v>0</v>
      </c>
      <c r="AQ423">
        <v>0.0012635805787101914</v>
      </c>
      <c r="AR423">
        <v>0</v>
      </c>
      <c r="AS423">
        <v>0.0010951031682154993</v>
      </c>
      <c r="AT423">
        <v>0.00050543223148407659</v>
      </c>
      <c r="AU423" t="s">
        <v>111</v>
      </c>
      <c r="BJ423" t="str">
        <f t="shared" si="12"/>
        <v>hdt</v>
      </c>
      <c r="BK423" t="str">
        <f t="shared" si="13"/>
        <v>gsl</v>
      </c>
    </row>
    <row r="424" spans="1:63" ht="14.5">
      <c r="A424" t="s">
        <v>118</v>
      </c>
      <c r="B424" t="s">
        <v>62</v>
      </c>
      <c r="C424" t="s">
        <v>90</v>
      </c>
      <c r="D424" t="s">
        <v>111</v>
      </c>
      <c r="E424" t="s">
        <v>111</v>
      </c>
      <c r="F424" t="s">
        <v>111</v>
      </c>
      <c r="G424" t="s">
        <v>82</v>
      </c>
      <c r="H424" t="s">
        <v>111</v>
      </c>
      <c r="I424" t="s">
        <v>111</v>
      </c>
      <c r="J424" t="s">
        <v>111</v>
      </c>
      <c r="K424" t="s">
        <v>111</v>
      </c>
      <c r="L424">
        <v>0</v>
      </c>
      <c r="M424">
        <v>0</v>
      </c>
      <c r="N424">
        <v>0</v>
      </c>
      <c r="O424">
        <v>0</v>
      </c>
      <c r="P424">
        <v>0.00042119352623673051</v>
      </c>
      <c r="Q424">
        <v>0</v>
      </c>
      <c r="R424">
        <v>0.0032010707993991518</v>
      </c>
      <c r="S424">
        <v>0.0070760512407770726</v>
      </c>
      <c r="T424">
        <v>0.00016847741049469221</v>
      </c>
      <c r="U424">
        <v>0.00042119352623673051</v>
      </c>
      <c r="V424">
        <v>0</v>
      </c>
      <c r="W424">
        <v>0</v>
      </c>
      <c r="X424">
        <v>0</v>
      </c>
      <c r="Y424">
        <v>0.00067390964197876885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0.0059809480725615729</v>
      </c>
      <c r="AF424">
        <v>0.029062353310334403</v>
      </c>
      <c r="AG424">
        <v>0.12922217384942891</v>
      </c>
      <c r="AH424">
        <v>0</v>
      </c>
      <c r="AI424">
        <v>0.00092662575772080704</v>
      </c>
      <c r="AJ424">
        <v>0</v>
      </c>
      <c r="AK424">
        <v>0.021817824659062641</v>
      </c>
      <c r="AL424">
        <v>0.012551567081854568</v>
      </c>
      <c r="AM424">
        <v>0</v>
      </c>
      <c r="AN424">
        <v>0</v>
      </c>
      <c r="AO424">
        <v>0</v>
      </c>
      <c r="AP424">
        <v>0</v>
      </c>
      <c r="AQ424">
        <v>0.0012635805787101914</v>
      </c>
      <c r="AR424">
        <v>0</v>
      </c>
      <c r="AS424">
        <v>0.0010951031682154993</v>
      </c>
      <c r="AT424">
        <v>0.00050543223148407659</v>
      </c>
      <c r="AU424" t="s">
        <v>111</v>
      </c>
      <c r="BJ424" t="str">
        <f t="shared" si="12"/>
        <v>hdt</v>
      </c>
      <c r="BK424" t="str">
        <f t="shared" si="13"/>
        <v>gsl</v>
      </c>
    </row>
    <row r="425" spans="1:63" ht="14.5">
      <c r="A425" t="s">
        <v>118</v>
      </c>
      <c r="B425" t="s">
        <v>62</v>
      </c>
      <c r="C425" t="s">
        <v>90</v>
      </c>
      <c r="D425" t="s">
        <v>111</v>
      </c>
      <c r="E425" t="s">
        <v>111</v>
      </c>
      <c r="F425" t="s">
        <v>111</v>
      </c>
      <c r="G425" t="s">
        <v>81</v>
      </c>
      <c r="H425" t="s">
        <v>111</v>
      </c>
      <c r="I425" t="s">
        <v>111</v>
      </c>
      <c r="J425" t="s">
        <v>111</v>
      </c>
      <c r="K425" t="s">
        <v>111</v>
      </c>
      <c r="L425">
        <v>0</v>
      </c>
      <c r="M425">
        <v>0</v>
      </c>
      <c r="N425">
        <v>0</v>
      </c>
      <c r="O425">
        <v>0</v>
      </c>
      <c r="P425">
        <v>0.00042119352623673051</v>
      </c>
      <c r="Q425">
        <v>0</v>
      </c>
      <c r="R425">
        <v>0.0032010707993991518</v>
      </c>
      <c r="S425">
        <v>0.0070760512407770726</v>
      </c>
      <c r="T425">
        <v>0.00016847741049469221</v>
      </c>
      <c r="U425">
        <v>0.00042119352623673051</v>
      </c>
      <c r="V425">
        <v>0</v>
      </c>
      <c r="W425">
        <v>0</v>
      </c>
      <c r="X425">
        <v>0</v>
      </c>
      <c r="Y425">
        <v>0.00067390964197876885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0.0059809480725615729</v>
      </c>
      <c r="AF425">
        <v>0.029062353310334403</v>
      </c>
      <c r="AG425">
        <v>0.12922217384942891</v>
      </c>
      <c r="AH425">
        <v>0</v>
      </c>
      <c r="AI425">
        <v>0.00092662575772080704</v>
      </c>
      <c r="AJ425">
        <v>0</v>
      </c>
      <c r="AK425">
        <v>0.021817824659062641</v>
      </c>
      <c r="AL425">
        <v>0.012551567081854568</v>
      </c>
      <c r="AM425">
        <v>0</v>
      </c>
      <c r="AN425">
        <v>0</v>
      </c>
      <c r="AO425">
        <v>0</v>
      </c>
      <c r="AP425">
        <v>0</v>
      </c>
      <c r="AQ425">
        <v>0.0012635805787101914</v>
      </c>
      <c r="AR425">
        <v>0</v>
      </c>
      <c r="AS425">
        <v>0.0010951031682154993</v>
      </c>
      <c r="AT425">
        <v>0.00050543223148407659</v>
      </c>
      <c r="AU425" t="s">
        <v>111</v>
      </c>
      <c r="BJ425" t="str">
        <f t="shared" si="12"/>
        <v>hdt</v>
      </c>
      <c r="BK425" t="str">
        <f t="shared" si="13"/>
        <v>gsl</v>
      </c>
    </row>
    <row r="426" spans="1:63" ht="14.5">
      <c r="A426" t="s">
        <v>118</v>
      </c>
      <c r="B426" t="s">
        <v>62</v>
      </c>
      <c r="C426" t="s">
        <v>90</v>
      </c>
      <c r="D426" t="s">
        <v>111</v>
      </c>
      <c r="E426" t="s">
        <v>111</v>
      </c>
      <c r="F426" t="s">
        <v>111</v>
      </c>
      <c r="G426" t="s">
        <v>80</v>
      </c>
      <c r="H426" t="s">
        <v>111</v>
      </c>
      <c r="I426" t="s">
        <v>111</v>
      </c>
      <c r="J426" t="s">
        <v>111</v>
      </c>
      <c r="K426" t="s">
        <v>111</v>
      </c>
      <c r="L426">
        <v>0</v>
      </c>
      <c r="M426">
        <v>0</v>
      </c>
      <c r="N426">
        <v>0</v>
      </c>
      <c r="O426">
        <v>0</v>
      </c>
      <c r="P426">
        <v>0.00042119352623673051</v>
      </c>
      <c r="Q426">
        <v>0</v>
      </c>
      <c r="R426">
        <v>0.0032010707993991518</v>
      </c>
      <c r="S426">
        <v>0.0070760512407770726</v>
      </c>
      <c r="T426">
        <v>0.00016847741049469221</v>
      </c>
      <c r="U426">
        <v>0.00042119352623673051</v>
      </c>
      <c r="V426">
        <v>0</v>
      </c>
      <c r="W426">
        <v>0</v>
      </c>
      <c r="X426">
        <v>0</v>
      </c>
      <c r="Y426">
        <v>0.00067390964197876885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0.0059809480725615729</v>
      </c>
      <c r="AF426">
        <v>0.029062353310334403</v>
      </c>
      <c r="AG426">
        <v>0.12922217384942891</v>
      </c>
      <c r="AH426">
        <v>0</v>
      </c>
      <c r="AI426">
        <v>0.00092662575772080704</v>
      </c>
      <c r="AJ426">
        <v>0</v>
      </c>
      <c r="AK426">
        <v>0.021817824659062641</v>
      </c>
      <c r="AL426">
        <v>0.012551567081854568</v>
      </c>
      <c r="AM426">
        <v>0</v>
      </c>
      <c r="AN426">
        <v>0</v>
      </c>
      <c r="AO426">
        <v>0</v>
      </c>
      <c r="AP426">
        <v>0</v>
      </c>
      <c r="AQ426">
        <v>0.0012635805787101914</v>
      </c>
      <c r="AR426">
        <v>0</v>
      </c>
      <c r="AS426">
        <v>0.0010951031682154993</v>
      </c>
      <c r="AT426">
        <v>0.00050543223148407659</v>
      </c>
      <c r="AU426" t="s">
        <v>111</v>
      </c>
      <c r="BJ426" t="str">
        <f t="shared" si="12"/>
        <v>hdt</v>
      </c>
      <c r="BK426" t="str">
        <f t="shared" si="13"/>
        <v>gsl</v>
      </c>
    </row>
    <row r="427" spans="1:63" ht="14.5">
      <c r="A427" t="s">
        <v>118</v>
      </c>
      <c r="B427" t="s">
        <v>62</v>
      </c>
      <c r="C427" t="s">
        <v>90</v>
      </c>
      <c r="D427" t="s">
        <v>111</v>
      </c>
      <c r="E427" t="s">
        <v>111</v>
      </c>
      <c r="F427" t="s">
        <v>111</v>
      </c>
      <c r="G427" t="s">
        <v>79</v>
      </c>
      <c r="H427" t="s">
        <v>111</v>
      </c>
      <c r="I427" t="s">
        <v>111</v>
      </c>
      <c r="J427" t="s">
        <v>111</v>
      </c>
      <c r="K427" t="s">
        <v>111</v>
      </c>
      <c r="L427">
        <v>0</v>
      </c>
      <c r="M427">
        <v>0</v>
      </c>
      <c r="N427">
        <v>0</v>
      </c>
      <c r="O427">
        <v>0</v>
      </c>
      <c r="P427">
        <v>0.00042119352623673051</v>
      </c>
      <c r="Q427">
        <v>0</v>
      </c>
      <c r="R427">
        <v>0.0032010707993991518</v>
      </c>
      <c r="S427">
        <v>0.0070760512407770726</v>
      </c>
      <c r="T427">
        <v>0.00016847741049469221</v>
      </c>
      <c r="U427">
        <v>0.00042119352623673051</v>
      </c>
      <c r="V427">
        <v>0</v>
      </c>
      <c r="W427">
        <v>0</v>
      </c>
      <c r="X427">
        <v>0</v>
      </c>
      <c r="Y427">
        <v>0.00067390964197876885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0.0059809480725615729</v>
      </c>
      <c r="AF427">
        <v>0.029062353310334403</v>
      </c>
      <c r="AG427">
        <v>0.12922217384942891</v>
      </c>
      <c r="AH427">
        <v>0</v>
      </c>
      <c r="AI427">
        <v>0.00092662575772080704</v>
      </c>
      <c r="AJ427">
        <v>0</v>
      </c>
      <c r="AK427">
        <v>0.021817824659062641</v>
      </c>
      <c r="AL427">
        <v>0.012551567081854568</v>
      </c>
      <c r="AM427">
        <v>0</v>
      </c>
      <c r="AN427">
        <v>0</v>
      </c>
      <c r="AO427">
        <v>0</v>
      </c>
      <c r="AP427">
        <v>0</v>
      </c>
      <c r="AQ427">
        <v>0.0012635805787101914</v>
      </c>
      <c r="AR427">
        <v>0</v>
      </c>
      <c r="AS427">
        <v>0.0010951031682154993</v>
      </c>
      <c r="AT427">
        <v>0.00050543223148407659</v>
      </c>
      <c r="AU427" t="s">
        <v>111</v>
      </c>
      <c r="BJ427" t="str">
        <f t="shared" si="12"/>
        <v>hdt</v>
      </c>
      <c r="BK427" t="str">
        <f t="shared" si="13"/>
        <v>gsl</v>
      </c>
    </row>
    <row r="428" spans="1:63" ht="14.5">
      <c r="A428" t="s">
        <v>118</v>
      </c>
      <c r="B428" t="s">
        <v>62</v>
      </c>
      <c r="C428" t="s">
        <v>90</v>
      </c>
      <c r="D428" t="s">
        <v>111</v>
      </c>
      <c r="E428" t="s">
        <v>111</v>
      </c>
      <c r="F428" t="s">
        <v>111</v>
      </c>
      <c r="G428" t="s">
        <v>78</v>
      </c>
      <c r="H428" t="s">
        <v>111</v>
      </c>
      <c r="I428" t="s">
        <v>111</v>
      </c>
      <c r="J428" t="s">
        <v>111</v>
      </c>
      <c r="K428" t="s">
        <v>111</v>
      </c>
      <c r="L428">
        <v>0</v>
      </c>
      <c r="M428">
        <v>0</v>
      </c>
      <c r="N428">
        <v>0</v>
      </c>
      <c r="O428">
        <v>0</v>
      </c>
      <c r="P428">
        <v>0.00042119352623673051</v>
      </c>
      <c r="Q428">
        <v>0</v>
      </c>
      <c r="R428">
        <v>0.0032010707993991518</v>
      </c>
      <c r="S428">
        <v>0.0070760512407770726</v>
      </c>
      <c r="T428">
        <v>0.00016847741049469221</v>
      </c>
      <c r="U428">
        <v>0.00042119352623673051</v>
      </c>
      <c r="V428">
        <v>0</v>
      </c>
      <c r="W428">
        <v>0</v>
      </c>
      <c r="X428">
        <v>0</v>
      </c>
      <c r="Y428">
        <v>0.00067390964197876885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0.0059809480725615729</v>
      </c>
      <c r="AF428">
        <v>0.029062353310334403</v>
      </c>
      <c r="AG428">
        <v>0.12922217384942891</v>
      </c>
      <c r="AH428">
        <v>0</v>
      </c>
      <c r="AI428">
        <v>0.00092662575772080704</v>
      </c>
      <c r="AJ428">
        <v>0</v>
      </c>
      <c r="AK428">
        <v>0.021817824659062641</v>
      </c>
      <c r="AL428">
        <v>0.012551567081854568</v>
      </c>
      <c r="AM428">
        <v>0</v>
      </c>
      <c r="AN428">
        <v>0</v>
      </c>
      <c r="AO428">
        <v>0</v>
      </c>
      <c r="AP428">
        <v>0</v>
      </c>
      <c r="AQ428">
        <v>0.0012635805787101914</v>
      </c>
      <c r="AR428">
        <v>0</v>
      </c>
      <c r="AS428">
        <v>0.0010951031682154993</v>
      </c>
      <c r="AT428">
        <v>0.00050543223148407659</v>
      </c>
      <c r="AU428" t="s">
        <v>111</v>
      </c>
      <c r="BJ428" t="str">
        <f t="shared" si="12"/>
        <v>hdt</v>
      </c>
      <c r="BK428" t="str">
        <f t="shared" si="13"/>
        <v>gsl</v>
      </c>
    </row>
    <row r="429" spans="1:63" ht="14.5">
      <c r="A429" t="s">
        <v>118</v>
      </c>
      <c r="B429" t="s">
        <v>62</v>
      </c>
      <c r="C429" t="s">
        <v>90</v>
      </c>
      <c r="D429" t="s">
        <v>111</v>
      </c>
      <c r="E429" t="s">
        <v>111</v>
      </c>
      <c r="F429" t="s">
        <v>111</v>
      </c>
      <c r="G429" t="s">
        <v>77</v>
      </c>
      <c r="H429" t="s">
        <v>111</v>
      </c>
      <c r="I429" t="s">
        <v>111</v>
      </c>
      <c r="J429" t="s">
        <v>111</v>
      </c>
      <c r="K429" t="s">
        <v>111</v>
      </c>
      <c r="L429">
        <v>0</v>
      </c>
      <c r="M429">
        <v>0</v>
      </c>
      <c r="N429">
        <v>0</v>
      </c>
      <c r="O429">
        <v>0</v>
      </c>
      <c r="P429">
        <v>0.00042119352623673051</v>
      </c>
      <c r="Q429">
        <v>0</v>
      </c>
      <c r="R429">
        <v>0.0032010707993991518</v>
      </c>
      <c r="S429">
        <v>0.0070760512407770726</v>
      </c>
      <c r="T429">
        <v>0.00016847741049469221</v>
      </c>
      <c r="U429">
        <v>0.00042119352623673051</v>
      </c>
      <c r="V429">
        <v>0</v>
      </c>
      <c r="W429">
        <v>0</v>
      </c>
      <c r="X429">
        <v>0</v>
      </c>
      <c r="Y429">
        <v>0.00067390964197876885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0.0059809480725615729</v>
      </c>
      <c r="AF429">
        <v>0.029062353310334403</v>
      </c>
      <c r="AG429">
        <v>0.12922217384942891</v>
      </c>
      <c r="AH429">
        <v>0</v>
      </c>
      <c r="AI429">
        <v>0.00092662575772080704</v>
      </c>
      <c r="AJ429">
        <v>0</v>
      </c>
      <c r="AK429">
        <v>0.021817824659062641</v>
      </c>
      <c r="AL429">
        <v>0.012551567081854568</v>
      </c>
      <c r="AM429">
        <v>0</v>
      </c>
      <c r="AN429">
        <v>0</v>
      </c>
      <c r="AO429">
        <v>0</v>
      </c>
      <c r="AP429">
        <v>0</v>
      </c>
      <c r="AQ429">
        <v>0.0012635805787101914</v>
      </c>
      <c r="AR429">
        <v>0</v>
      </c>
      <c r="AS429">
        <v>0.0010951031682154993</v>
      </c>
      <c r="AT429">
        <v>0.00050543223148407659</v>
      </c>
      <c r="AU429" t="s">
        <v>111</v>
      </c>
      <c r="BJ429" t="str">
        <f t="shared" si="12"/>
        <v>hdt</v>
      </c>
      <c r="BK429" t="str">
        <f t="shared" si="13"/>
        <v>gsl</v>
      </c>
    </row>
    <row r="430" spans="1:63" ht="14.5">
      <c r="A430" t="s">
        <v>118</v>
      </c>
      <c r="B430" t="s">
        <v>62</v>
      </c>
      <c r="C430" t="s">
        <v>90</v>
      </c>
      <c r="D430" t="s">
        <v>111</v>
      </c>
      <c r="E430" t="s">
        <v>111</v>
      </c>
      <c r="F430" t="s">
        <v>111</v>
      </c>
      <c r="G430" t="s">
        <v>76</v>
      </c>
      <c r="H430" t="s">
        <v>111</v>
      </c>
      <c r="I430" t="s">
        <v>111</v>
      </c>
      <c r="J430" t="s">
        <v>111</v>
      </c>
      <c r="K430" t="s">
        <v>111</v>
      </c>
      <c r="L430">
        <v>0</v>
      </c>
      <c r="M430">
        <v>0</v>
      </c>
      <c r="N430">
        <v>0</v>
      </c>
      <c r="O430">
        <v>0</v>
      </c>
      <c r="P430">
        <v>0.00042119352623673051</v>
      </c>
      <c r="Q430">
        <v>0</v>
      </c>
      <c r="R430">
        <v>0.0032010707993991518</v>
      </c>
      <c r="S430">
        <v>0.0070760512407770726</v>
      </c>
      <c r="T430">
        <v>0.00016847741049469221</v>
      </c>
      <c r="U430">
        <v>0.00042119352623673051</v>
      </c>
      <c r="V430">
        <v>0</v>
      </c>
      <c r="W430">
        <v>0</v>
      </c>
      <c r="X430">
        <v>0</v>
      </c>
      <c r="Y430">
        <v>0.00067390964197876885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0.0059809480725615729</v>
      </c>
      <c r="AF430">
        <v>0.029062353310334403</v>
      </c>
      <c r="AG430">
        <v>0.12922217384942891</v>
      </c>
      <c r="AH430">
        <v>0</v>
      </c>
      <c r="AI430">
        <v>0.00092662575772080704</v>
      </c>
      <c r="AJ430">
        <v>0</v>
      </c>
      <c r="AK430">
        <v>0.021817824659062641</v>
      </c>
      <c r="AL430">
        <v>0.012551567081854568</v>
      </c>
      <c r="AM430">
        <v>0</v>
      </c>
      <c r="AN430">
        <v>0</v>
      </c>
      <c r="AO430">
        <v>0</v>
      </c>
      <c r="AP430">
        <v>0</v>
      </c>
      <c r="AQ430">
        <v>0.0012635805787101914</v>
      </c>
      <c r="AR430">
        <v>0</v>
      </c>
      <c r="AS430">
        <v>0.0010951031682154993</v>
      </c>
      <c r="AT430">
        <v>0.00050543223148407659</v>
      </c>
      <c r="AU430" t="s">
        <v>111</v>
      </c>
      <c r="BJ430" t="str">
        <f t="shared" si="12"/>
        <v>hdt</v>
      </c>
      <c r="BK430" t="str">
        <f t="shared" si="13"/>
        <v>gsl</v>
      </c>
    </row>
    <row r="431" spans="1:63" ht="14.5">
      <c r="A431" t="s">
        <v>118</v>
      </c>
      <c r="B431" t="s">
        <v>62</v>
      </c>
      <c r="C431" t="s">
        <v>90</v>
      </c>
      <c r="D431" t="s">
        <v>111</v>
      </c>
      <c r="E431" t="s">
        <v>111</v>
      </c>
      <c r="F431" t="s">
        <v>111</v>
      </c>
      <c r="G431" t="s">
        <v>75</v>
      </c>
      <c r="H431" t="s">
        <v>111</v>
      </c>
      <c r="I431" t="s">
        <v>111</v>
      </c>
      <c r="J431" t="s">
        <v>111</v>
      </c>
      <c r="K431" t="s">
        <v>111</v>
      </c>
      <c r="L431">
        <v>0</v>
      </c>
      <c r="M431">
        <v>0</v>
      </c>
      <c r="N431">
        <v>0</v>
      </c>
      <c r="O431">
        <v>0</v>
      </c>
      <c r="P431">
        <v>0.00042119352623673051</v>
      </c>
      <c r="Q431">
        <v>0</v>
      </c>
      <c r="R431">
        <v>0.0032010707993991518</v>
      </c>
      <c r="S431">
        <v>0.0070760512407770726</v>
      </c>
      <c r="T431">
        <v>0.00016847741049469221</v>
      </c>
      <c r="U431">
        <v>0.00042119352623673051</v>
      </c>
      <c r="V431">
        <v>0</v>
      </c>
      <c r="W431">
        <v>0</v>
      </c>
      <c r="X431">
        <v>0</v>
      </c>
      <c r="Y431">
        <v>0.00067390964197876885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0.0059809480725615729</v>
      </c>
      <c r="AF431">
        <v>0.029062353310334403</v>
      </c>
      <c r="AG431">
        <v>0.12922217384942891</v>
      </c>
      <c r="AH431">
        <v>0</v>
      </c>
      <c r="AI431">
        <v>0.00092662575772080704</v>
      </c>
      <c r="AJ431">
        <v>0</v>
      </c>
      <c r="AK431">
        <v>0.021817824659062641</v>
      </c>
      <c r="AL431">
        <v>0.012551567081854568</v>
      </c>
      <c r="AM431">
        <v>0</v>
      </c>
      <c r="AN431">
        <v>0</v>
      </c>
      <c r="AO431">
        <v>0</v>
      </c>
      <c r="AP431">
        <v>0</v>
      </c>
      <c r="AQ431">
        <v>0.0012635805787101914</v>
      </c>
      <c r="AR431">
        <v>0</v>
      </c>
      <c r="AS431">
        <v>0.0010951031682154993</v>
      </c>
      <c r="AT431">
        <v>0.00050543223148407659</v>
      </c>
      <c r="AU431" t="s">
        <v>111</v>
      </c>
      <c r="BJ431" t="str">
        <f t="shared" si="12"/>
        <v>hdt</v>
      </c>
      <c r="BK431" t="str">
        <f t="shared" si="13"/>
        <v>gsl</v>
      </c>
    </row>
    <row r="432" spans="1:63" ht="14.5">
      <c r="A432" t="s">
        <v>118</v>
      </c>
      <c r="B432" t="s">
        <v>62</v>
      </c>
      <c r="C432" t="s">
        <v>90</v>
      </c>
      <c r="D432" t="s">
        <v>111</v>
      </c>
      <c r="E432" t="s">
        <v>111</v>
      </c>
      <c r="F432" t="s">
        <v>111</v>
      </c>
      <c r="G432" t="s">
        <v>74</v>
      </c>
      <c r="H432" t="s">
        <v>111</v>
      </c>
      <c r="I432" t="s">
        <v>111</v>
      </c>
      <c r="J432" t="s">
        <v>111</v>
      </c>
      <c r="K432" t="s">
        <v>111</v>
      </c>
      <c r="L432">
        <v>0</v>
      </c>
      <c r="M432">
        <v>0</v>
      </c>
      <c r="N432">
        <v>0</v>
      </c>
      <c r="O432">
        <v>0</v>
      </c>
      <c r="P432">
        <v>0.00042119352623673051</v>
      </c>
      <c r="Q432">
        <v>0</v>
      </c>
      <c r="R432">
        <v>0.0032010707993991518</v>
      </c>
      <c r="S432">
        <v>0.0070760512407770726</v>
      </c>
      <c r="T432">
        <v>0.00016847741049469221</v>
      </c>
      <c r="U432">
        <v>0.00042119352623673051</v>
      </c>
      <c r="V432">
        <v>0</v>
      </c>
      <c r="W432">
        <v>0</v>
      </c>
      <c r="X432">
        <v>0</v>
      </c>
      <c r="Y432">
        <v>0.00067390964197876885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0.0059809480725615729</v>
      </c>
      <c r="AF432">
        <v>0.029062353310334403</v>
      </c>
      <c r="AG432">
        <v>0.12922217384942891</v>
      </c>
      <c r="AH432">
        <v>0</v>
      </c>
      <c r="AI432">
        <v>0.00092662575772080704</v>
      </c>
      <c r="AJ432">
        <v>0</v>
      </c>
      <c r="AK432">
        <v>0.021817824659062641</v>
      </c>
      <c r="AL432">
        <v>0.012551567081854568</v>
      </c>
      <c r="AM432">
        <v>0</v>
      </c>
      <c r="AN432">
        <v>0</v>
      </c>
      <c r="AO432">
        <v>0</v>
      </c>
      <c r="AP432">
        <v>0</v>
      </c>
      <c r="AQ432">
        <v>0.0012635805787101914</v>
      </c>
      <c r="AR432">
        <v>0</v>
      </c>
      <c r="AS432">
        <v>0.0010951031682154993</v>
      </c>
      <c r="AT432">
        <v>0.00050543223148407659</v>
      </c>
      <c r="AU432" t="s">
        <v>111</v>
      </c>
      <c r="BJ432" t="str">
        <f t="shared" si="12"/>
        <v>hdt</v>
      </c>
      <c r="BK432" t="str">
        <f t="shared" si="13"/>
        <v>gsl</v>
      </c>
    </row>
    <row r="433" spans="1:63" ht="14.5">
      <c r="A433" t="s">
        <v>118</v>
      </c>
      <c r="B433" t="s">
        <v>62</v>
      </c>
      <c r="C433" t="s">
        <v>90</v>
      </c>
      <c r="D433" t="s">
        <v>111</v>
      </c>
      <c r="E433" t="s">
        <v>111</v>
      </c>
      <c r="F433" t="s">
        <v>111</v>
      </c>
      <c r="G433" t="s">
        <v>73</v>
      </c>
      <c r="H433" t="s">
        <v>111</v>
      </c>
      <c r="I433" t="s">
        <v>111</v>
      </c>
      <c r="J433" t="s">
        <v>111</v>
      </c>
      <c r="K433" t="s">
        <v>111</v>
      </c>
      <c r="L433">
        <v>0</v>
      </c>
      <c r="M433">
        <v>0</v>
      </c>
      <c r="N433">
        <v>0</v>
      </c>
      <c r="O433">
        <v>0</v>
      </c>
      <c r="P433">
        <v>0.00042119352623673051</v>
      </c>
      <c r="Q433">
        <v>0</v>
      </c>
      <c r="R433">
        <v>0.0032010707993991518</v>
      </c>
      <c r="S433">
        <v>0.0070760512407770726</v>
      </c>
      <c r="T433">
        <v>0.00016847741049469221</v>
      </c>
      <c r="U433">
        <v>0.00042119352623673051</v>
      </c>
      <c r="V433">
        <v>0</v>
      </c>
      <c r="W433">
        <v>0</v>
      </c>
      <c r="X433">
        <v>0</v>
      </c>
      <c r="Y433">
        <v>0.00067390964197876885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0.0059809480725615729</v>
      </c>
      <c r="AF433">
        <v>0.029062353310334403</v>
      </c>
      <c r="AG433">
        <v>0.12922217384942891</v>
      </c>
      <c r="AH433">
        <v>0</v>
      </c>
      <c r="AI433">
        <v>0.00092662575772080704</v>
      </c>
      <c r="AJ433">
        <v>0</v>
      </c>
      <c r="AK433">
        <v>0.021817824659062641</v>
      </c>
      <c r="AL433">
        <v>0.012551567081854568</v>
      </c>
      <c r="AM433">
        <v>0</v>
      </c>
      <c r="AN433">
        <v>0</v>
      </c>
      <c r="AO433">
        <v>0</v>
      </c>
      <c r="AP433">
        <v>0</v>
      </c>
      <c r="AQ433">
        <v>0.0012635805787101914</v>
      </c>
      <c r="AR433">
        <v>0</v>
      </c>
      <c r="AS433">
        <v>0.0010951031682154993</v>
      </c>
      <c r="AT433">
        <v>0.00050543223148407659</v>
      </c>
      <c r="AU433" t="s">
        <v>111</v>
      </c>
      <c r="BJ433" t="str">
        <f t="shared" si="12"/>
        <v>hdt</v>
      </c>
      <c r="BK433" t="str">
        <f t="shared" si="13"/>
        <v>gsl</v>
      </c>
    </row>
    <row r="434" spans="1:63" ht="14.5">
      <c r="A434" t="s">
        <v>118</v>
      </c>
      <c r="B434" t="s">
        <v>62</v>
      </c>
      <c r="C434" t="s">
        <v>90</v>
      </c>
      <c r="D434" t="s">
        <v>111</v>
      </c>
      <c r="E434" t="s">
        <v>111</v>
      </c>
      <c r="F434" t="s">
        <v>111</v>
      </c>
      <c r="G434" t="s">
        <v>72</v>
      </c>
      <c r="H434" t="s">
        <v>111</v>
      </c>
      <c r="I434" t="s">
        <v>111</v>
      </c>
      <c r="J434" t="s">
        <v>111</v>
      </c>
      <c r="K434" t="s">
        <v>111</v>
      </c>
      <c r="L434">
        <v>0</v>
      </c>
      <c r="M434">
        <v>0</v>
      </c>
      <c r="N434">
        <v>0</v>
      </c>
      <c r="O434">
        <v>0</v>
      </c>
      <c r="P434">
        <v>0.00042119352623673051</v>
      </c>
      <c r="Q434">
        <v>0</v>
      </c>
      <c r="R434">
        <v>0.0032010707993991518</v>
      </c>
      <c r="S434">
        <v>0.0070760512407770726</v>
      </c>
      <c r="T434">
        <v>0.00016847741049469221</v>
      </c>
      <c r="U434">
        <v>0.00042119352623673051</v>
      </c>
      <c r="V434">
        <v>0</v>
      </c>
      <c r="W434">
        <v>0</v>
      </c>
      <c r="X434">
        <v>0</v>
      </c>
      <c r="Y434">
        <v>0.00067390964197876885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0.0059809480725615729</v>
      </c>
      <c r="AF434">
        <v>0.029062353310334403</v>
      </c>
      <c r="AG434">
        <v>0.12922217384942891</v>
      </c>
      <c r="AH434">
        <v>0</v>
      </c>
      <c r="AI434">
        <v>0.00092662575772080704</v>
      </c>
      <c r="AJ434">
        <v>0</v>
      </c>
      <c r="AK434">
        <v>0.021817824659062641</v>
      </c>
      <c r="AL434">
        <v>0.012551567081854568</v>
      </c>
      <c r="AM434">
        <v>0</v>
      </c>
      <c r="AN434">
        <v>0</v>
      </c>
      <c r="AO434">
        <v>0</v>
      </c>
      <c r="AP434">
        <v>0</v>
      </c>
      <c r="AQ434">
        <v>0.0012635805787101914</v>
      </c>
      <c r="AR434">
        <v>0</v>
      </c>
      <c r="AS434">
        <v>0.0010951031682154993</v>
      </c>
      <c r="AT434">
        <v>0.00050543223148407659</v>
      </c>
      <c r="AU434" t="s">
        <v>111</v>
      </c>
      <c r="BJ434" t="str">
        <f t="shared" si="12"/>
        <v>hdt</v>
      </c>
      <c r="BK434" t="str">
        <f t="shared" si="13"/>
        <v>gsl</v>
      </c>
    </row>
    <row r="435" spans="1:63" ht="14.5">
      <c r="A435" t="s">
        <v>118</v>
      </c>
      <c r="B435" t="s">
        <v>62</v>
      </c>
      <c r="C435" t="s">
        <v>90</v>
      </c>
      <c r="D435" t="s">
        <v>111</v>
      </c>
      <c r="E435" t="s">
        <v>111</v>
      </c>
      <c r="F435" t="s">
        <v>111</v>
      </c>
      <c r="G435" t="s">
        <v>71</v>
      </c>
      <c r="H435" t="s">
        <v>111</v>
      </c>
      <c r="I435" t="s">
        <v>111</v>
      </c>
      <c r="J435" t="s">
        <v>111</v>
      </c>
      <c r="K435" t="s">
        <v>111</v>
      </c>
      <c r="L435">
        <v>0</v>
      </c>
      <c r="M435">
        <v>0</v>
      </c>
      <c r="N435">
        <v>0</v>
      </c>
      <c r="O435">
        <v>0</v>
      </c>
      <c r="P435">
        <v>0.00042119352623673051</v>
      </c>
      <c r="Q435">
        <v>0</v>
      </c>
      <c r="R435">
        <v>0.0032010707993991518</v>
      </c>
      <c r="S435">
        <v>0.0070760512407770726</v>
      </c>
      <c r="T435">
        <v>0.00016847741049469221</v>
      </c>
      <c r="U435">
        <v>0.00042119352623673051</v>
      </c>
      <c r="V435">
        <v>0</v>
      </c>
      <c r="W435">
        <v>0</v>
      </c>
      <c r="X435">
        <v>0</v>
      </c>
      <c r="Y435">
        <v>0.00067390964197876885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0.0059809480725615729</v>
      </c>
      <c r="AF435">
        <v>0.029062353310334403</v>
      </c>
      <c r="AG435">
        <v>0.12922217384942891</v>
      </c>
      <c r="AH435">
        <v>0</v>
      </c>
      <c r="AI435">
        <v>0.00092662575772080704</v>
      </c>
      <c r="AJ435">
        <v>0</v>
      </c>
      <c r="AK435">
        <v>0.021817824659062641</v>
      </c>
      <c r="AL435">
        <v>0.012551567081854568</v>
      </c>
      <c r="AM435">
        <v>0</v>
      </c>
      <c r="AN435">
        <v>0</v>
      </c>
      <c r="AO435">
        <v>0</v>
      </c>
      <c r="AP435">
        <v>0</v>
      </c>
      <c r="AQ435">
        <v>0.0012635805787101914</v>
      </c>
      <c r="AR435">
        <v>0</v>
      </c>
      <c r="AS435">
        <v>0.0010951031682154993</v>
      </c>
      <c r="AT435">
        <v>0.00050543223148407659</v>
      </c>
      <c r="AU435" t="s">
        <v>111</v>
      </c>
      <c r="BJ435" t="str">
        <f t="shared" si="12"/>
        <v>hdt</v>
      </c>
      <c r="BK435" t="str">
        <f t="shared" si="13"/>
        <v>gsl</v>
      </c>
    </row>
    <row r="436" spans="1:63" ht="14.5">
      <c r="A436" t="s">
        <v>118</v>
      </c>
      <c r="B436" t="s">
        <v>62</v>
      </c>
      <c r="C436" t="s">
        <v>90</v>
      </c>
      <c r="D436" t="s">
        <v>111</v>
      </c>
      <c r="E436" t="s">
        <v>111</v>
      </c>
      <c r="F436" t="s">
        <v>111</v>
      </c>
      <c r="G436" t="s">
        <v>70</v>
      </c>
      <c r="H436" t="s">
        <v>111</v>
      </c>
      <c r="I436" t="s">
        <v>111</v>
      </c>
      <c r="J436" t="s">
        <v>111</v>
      </c>
      <c r="K436" t="s">
        <v>111</v>
      </c>
      <c r="L436">
        <v>0</v>
      </c>
      <c r="M436">
        <v>0</v>
      </c>
      <c r="N436">
        <v>0</v>
      </c>
      <c r="O436">
        <v>0</v>
      </c>
      <c r="P436">
        <v>0.00042119352623673051</v>
      </c>
      <c r="Q436">
        <v>0</v>
      </c>
      <c r="R436">
        <v>0.0032010707993991518</v>
      </c>
      <c r="S436">
        <v>0.0070760512407770726</v>
      </c>
      <c r="T436">
        <v>0.00016847741049469221</v>
      </c>
      <c r="U436">
        <v>0.00042119352623673051</v>
      </c>
      <c r="V436">
        <v>0</v>
      </c>
      <c r="W436">
        <v>0</v>
      </c>
      <c r="X436">
        <v>0</v>
      </c>
      <c r="Y436">
        <v>0.00067390964197876885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0.0059809480725615729</v>
      </c>
      <c r="AF436">
        <v>0.029062353310334403</v>
      </c>
      <c r="AG436">
        <v>0.12922217384942891</v>
      </c>
      <c r="AH436">
        <v>0</v>
      </c>
      <c r="AI436">
        <v>0.00092662575772080704</v>
      </c>
      <c r="AJ436">
        <v>0</v>
      </c>
      <c r="AK436">
        <v>0.021817824659062641</v>
      </c>
      <c r="AL436">
        <v>0.012551567081854568</v>
      </c>
      <c r="AM436">
        <v>0</v>
      </c>
      <c r="AN436">
        <v>0</v>
      </c>
      <c r="AO436">
        <v>0</v>
      </c>
      <c r="AP436">
        <v>0</v>
      </c>
      <c r="AQ436">
        <v>0.0012635805787101914</v>
      </c>
      <c r="AR436">
        <v>0</v>
      </c>
      <c r="AS436">
        <v>0.0010951031682154993</v>
      </c>
      <c r="AT436">
        <v>0.00050543223148407659</v>
      </c>
      <c r="AU436" t="s">
        <v>111</v>
      </c>
      <c r="BJ436" t="str">
        <f t="shared" si="12"/>
        <v>hdt</v>
      </c>
      <c r="BK436" t="str">
        <f t="shared" si="13"/>
        <v>gsl</v>
      </c>
    </row>
    <row r="437" spans="1:63" ht="14.5">
      <c r="A437" t="s">
        <v>118</v>
      </c>
      <c r="B437" t="s">
        <v>62</v>
      </c>
      <c r="C437" t="s">
        <v>90</v>
      </c>
      <c r="D437" t="s">
        <v>111</v>
      </c>
      <c r="E437" t="s">
        <v>111</v>
      </c>
      <c r="F437" t="s">
        <v>111</v>
      </c>
      <c r="G437" t="s">
        <v>69</v>
      </c>
      <c r="H437" t="s">
        <v>111</v>
      </c>
      <c r="I437" t="s">
        <v>111</v>
      </c>
      <c r="J437" t="s">
        <v>111</v>
      </c>
      <c r="K437" t="s">
        <v>111</v>
      </c>
      <c r="L437">
        <v>0</v>
      </c>
      <c r="M437">
        <v>0</v>
      </c>
      <c r="N437">
        <v>0</v>
      </c>
      <c r="O437">
        <v>0</v>
      </c>
      <c r="P437">
        <v>0.00042119352623673051</v>
      </c>
      <c r="Q437">
        <v>0</v>
      </c>
      <c r="R437">
        <v>0.0032010707993991518</v>
      </c>
      <c r="S437">
        <v>0.0070760512407770726</v>
      </c>
      <c r="T437">
        <v>0.00016847741049469221</v>
      </c>
      <c r="U437">
        <v>0.00042119352623673051</v>
      </c>
      <c r="V437">
        <v>0</v>
      </c>
      <c r="W437">
        <v>0</v>
      </c>
      <c r="X437">
        <v>0</v>
      </c>
      <c r="Y437">
        <v>0.00067390964197876885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0.0059809480725615729</v>
      </c>
      <c r="AF437">
        <v>0.029062353310334403</v>
      </c>
      <c r="AG437">
        <v>0.12922217384942891</v>
      </c>
      <c r="AH437">
        <v>0</v>
      </c>
      <c r="AI437">
        <v>0.00092662575772080704</v>
      </c>
      <c r="AJ437">
        <v>0</v>
      </c>
      <c r="AK437">
        <v>0.021817824659062641</v>
      </c>
      <c r="AL437">
        <v>0.012551567081854568</v>
      </c>
      <c r="AM437">
        <v>0</v>
      </c>
      <c r="AN437">
        <v>0</v>
      </c>
      <c r="AO437">
        <v>0</v>
      </c>
      <c r="AP437">
        <v>0</v>
      </c>
      <c r="AQ437">
        <v>0.0012635805787101914</v>
      </c>
      <c r="AR437">
        <v>0</v>
      </c>
      <c r="AS437">
        <v>0.0010951031682154993</v>
      </c>
      <c r="AT437">
        <v>0.00050543223148407659</v>
      </c>
      <c r="AU437" t="s">
        <v>111</v>
      </c>
      <c r="BJ437" t="str">
        <f t="shared" si="12"/>
        <v>hdt</v>
      </c>
      <c r="BK437" t="str">
        <f t="shared" si="13"/>
        <v>gsl</v>
      </c>
    </row>
    <row r="438" spans="1:63" ht="14.5">
      <c r="A438" t="s">
        <v>118</v>
      </c>
      <c r="B438" t="s">
        <v>62</v>
      </c>
      <c r="C438" t="s">
        <v>90</v>
      </c>
      <c r="D438" t="s">
        <v>111</v>
      </c>
      <c r="E438" t="s">
        <v>111</v>
      </c>
      <c r="F438" t="s">
        <v>111</v>
      </c>
      <c r="G438" t="s">
        <v>68</v>
      </c>
      <c r="H438" t="s">
        <v>111</v>
      </c>
      <c r="I438" t="s">
        <v>111</v>
      </c>
      <c r="J438" t="s">
        <v>111</v>
      </c>
      <c r="K438" t="s">
        <v>111</v>
      </c>
      <c r="L438">
        <v>0</v>
      </c>
      <c r="M438">
        <v>0</v>
      </c>
      <c r="N438">
        <v>0</v>
      </c>
      <c r="O438">
        <v>0</v>
      </c>
      <c r="P438">
        <v>0.00042119352623673051</v>
      </c>
      <c r="Q438">
        <v>0</v>
      </c>
      <c r="R438">
        <v>0.0032010707993991518</v>
      </c>
      <c r="S438">
        <v>0.0070760512407770726</v>
      </c>
      <c r="T438">
        <v>0.00016847741049469221</v>
      </c>
      <c r="U438">
        <v>0.00042119352623673051</v>
      </c>
      <c r="V438">
        <v>0</v>
      </c>
      <c r="W438">
        <v>0</v>
      </c>
      <c r="X438">
        <v>0</v>
      </c>
      <c r="Y438">
        <v>0.00067390964197876885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0.0059809480725615729</v>
      </c>
      <c r="AF438">
        <v>0.029062353310334403</v>
      </c>
      <c r="AG438">
        <v>0.12922217384942891</v>
      </c>
      <c r="AH438">
        <v>0</v>
      </c>
      <c r="AI438">
        <v>0.00092662575772080704</v>
      </c>
      <c r="AJ438">
        <v>0</v>
      </c>
      <c r="AK438">
        <v>0.021817824659062641</v>
      </c>
      <c r="AL438">
        <v>0.012551567081854568</v>
      </c>
      <c r="AM438">
        <v>0</v>
      </c>
      <c r="AN438">
        <v>0</v>
      </c>
      <c r="AO438">
        <v>0</v>
      </c>
      <c r="AP438">
        <v>0</v>
      </c>
      <c r="AQ438">
        <v>0.0012635805787101914</v>
      </c>
      <c r="AR438">
        <v>0</v>
      </c>
      <c r="AS438">
        <v>0.0010951031682154993</v>
      </c>
      <c r="AT438">
        <v>0.00050543223148407659</v>
      </c>
      <c r="AU438" t="s">
        <v>111</v>
      </c>
      <c r="BJ438" t="str">
        <f t="shared" si="12"/>
        <v>hdt</v>
      </c>
      <c r="BK438" t="str">
        <f t="shared" si="13"/>
        <v>gsl</v>
      </c>
    </row>
    <row r="439" spans="1:63" ht="14.5">
      <c r="A439" t="s">
        <v>118</v>
      </c>
      <c r="B439" t="s">
        <v>62</v>
      </c>
      <c r="C439" t="s">
        <v>90</v>
      </c>
      <c r="D439" t="s">
        <v>111</v>
      </c>
      <c r="E439" t="s">
        <v>111</v>
      </c>
      <c r="F439" t="s">
        <v>111</v>
      </c>
      <c r="G439" t="s">
        <v>67</v>
      </c>
      <c r="H439" t="s">
        <v>111</v>
      </c>
      <c r="I439" t="s">
        <v>111</v>
      </c>
      <c r="J439" t="s">
        <v>111</v>
      </c>
      <c r="K439" t="s">
        <v>111</v>
      </c>
      <c r="L439">
        <v>0</v>
      </c>
      <c r="M439">
        <v>0</v>
      </c>
      <c r="N439">
        <v>0</v>
      </c>
      <c r="O439">
        <v>0</v>
      </c>
      <c r="P439">
        <v>0.00042119352623673051</v>
      </c>
      <c r="Q439">
        <v>0</v>
      </c>
      <c r="R439">
        <v>0.0032010707993991518</v>
      </c>
      <c r="S439">
        <v>0.0070760512407770726</v>
      </c>
      <c r="T439">
        <v>0.00016847741049469221</v>
      </c>
      <c r="U439">
        <v>0.00042119352623673051</v>
      </c>
      <c r="V439">
        <v>0</v>
      </c>
      <c r="W439">
        <v>0</v>
      </c>
      <c r="X439">
        <v>0</v>
      </c>
      <c r="Y439">
        <v>0.00067390964197876885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0.0059809480725615729</v>
      </c>
      <c r="AF439">
        <v>0.029062353310334403</v>
      </c>
      <c r="AG439">
        <v>0.12922217384942891</v>
      </c>
      <c r="AH439">
        <v>0</v>
      </c>
      <c r="AI439">
        <v>0.00092662575772080704</v>
      </c>
      <c r="AJ439">
        <v>0</v>
      </c>
      <c r="AK439">
        <v>0.021817824659062641</v>
      </c>
      <c r="AL439">
        <v>0.012551567081854568</v>
      </c>
      <c r="AM439">
        <v>0</v>
      </c>
      <c r="AN439">
        <v>0</v>
      </c>
      <c r="AO439">
        <v>0</v>
      </c>
      <c r="AP439">
        <v>0</v>
      </c>
      <c r="AQ439">
        <v>0.0012635805787101914</v>
      </c>
      <c r="AR439">
        <v>0</v>
      </c>
      <c r="AS439">
        <v>0.0010951031682154993</v>
      </c>
      <c r="AT439">
        <v>0.00050543223148407659</v>
      </c>
      <c r="AU439" t="s">
        <v>111</v>
      </c>
      <c r="BJ439" t="str">
        <f t="shared" si="12"/>
        <v>hdt</v>
      </c>
      <c r="BK439" t="str">
        <f t="shared" si="13"/>
        <v>gsl</v>
      </c>
    </row>
    <row r="440" spans="1:63" ht="14.5">
      <c r="A440" t="s">
        <v>118</v>
      </c>
      <c r="B440" t="s">
        <v>62</v>
      </c>
      <c r="C440" t="s">
        <v>90</v>
      </c>
      <c r="D440" t="s">
        <v>111</v>
      </c>
      <c r="E440" t="s">
        <v>111</v>
      </c>
      <c r="F440" t="s">
        <v>111</v>
      </c>
      <c r="G440" t="s">
        <v>66</v>
      </c>
      <c r="H440" t="s">
        <v>111</v>
      </c>
      <c r="I440" t="s">
        <v>111</v>
      </c>
      <c r="J440" t="s">
        <v>111</v>
      </c>
      <c r="K440" t="s">
        <v>111</v>
      </c>
      <c r="L440">
        <v>0</v>
      </c>
      <c r="M440">
        <v>0</v>
      </c>
      <c r="N440">
        <v>0</v>
      </c>
      <c r="O440">
        <v>0</v>
      </c>
      <c r="P440">
        <v>0.00042119352623673051</v>
      </c>
      <c r="Q440">
        <v>0</v>
      </c>
      <c r="R440">
        <v>0.0032010707993991518</v>
      </c>
      <c r="S440">
        <v>0.0070760512407770726</v>
      </c>
      <c r="T440">
        <v>0.00016847741049469221</v>
      </c>
      <c r="U440">
        <v>0.00042119352623673051</v>
      </c>
      <c r="V440">
        <v>0</v>
      </c>
      <c r="W440">
        <v>0</v>
      </c>
      <c r="X440">
        <v>0</v>
      </c>
      <c r="Y440">
        <v>0.00067390964197876885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0.0059809480725615729</v>
      </c>
      <c r="AF440">
        <v>0.029062353310334403</v>
      </c>
      <c r="AG440">
        <v>0.12922217384942891</v>
      </c>
      <c r="AH440">
        <v>0</v>
      </c>
      <c r="AI440">
        <v>0.00092662575772080704</v>
      </c>
      <c r="AJ440">
        <v>0</v>
      </c>
      <c r="AK440">
        <v>0.021817824659062641</v>
      </c>
      <c r="AL440">
        <v>0.012551567081854568</v>
      </c>
      <c r="AM440">
        <v>0</v>
      </c>
      <c r="AN440">
        <v>0</v>
      </c>
      <c r="AO440">
        <v>0</v>
      </c>
      <c r="AP440">
        <v>0</v>
      </c>
      <c r="AQ440">
        <v>0.0012635805787101914</v>
      </c>
      <c r="AR440">
        <v>0</v>
      </c>
      <c r="AS440">
        <v>0.0010951031682154993</v>
      </c>
      <c r="AT440">
        <v>0.00050543223148407659</v>
      </c>
      <c r="AU440" t="s">
        <v>111</v>
      </c>
      <c r="BJ440" t="str">
        <f t="shared" si="12"/>
        <v>hdt</v>
      </c>
      <c r="BK440" t="str">
        <f t="shared" si="13"/>
        <v>gsl</v>
      </c>
    </row>
    <row r="441" spans="1:63" ht="14.5">
      <c r="A441" t="s">
        <v>118</v>
      </c>
      <c r="B441" t="s">
        <v>62</v>
      </c>
      <c r="C441" t="s">
        <v>90</v>
      </c>
      <c r="D441" t="s">
        <v>111</v>
      </c>
      <c r="E441" t="s">
        <v>111</v>
      </c>
      <c r="F441" t="s">
        <v>111</v>
      </c>
      <c r="G441" t="s">
        <v>65</v>
      </c>
      <c r="H441" t="s">
        <v>111</v>
      </c>
      <c r="I441" t="s">
        <v>111</v>
      </c>
      <c r="J441" t="s">
        <v>111</v>
      </c>
      <c r="K441" t="s">
        <v>111</v>
      </c>
      <c r="L441">
        <v>0</v>
      </c>
      <c r="M441">
        <v>0</v>
      </c>
      <c r="N441">
        <v>0</v>
      </c>
      <c r="O441">
        <v>0</v>
      </c>
      <c r="P441">
        <v>0.00042119352623673051</v>
      </c>
      <c r="Q441">
        <v>0</v>
      </c>
      <c r="R441">
        <v>0.0032010707993991518</v>
      </c>
      <c r="S441">
        <v>0.0070760512407770726</v>
      </c>
      <c r="T441">
        <v>0.00016847741049469221</v>
      </c>
      <c r="U441">
        <v>0.00042119352623673051</v>
      </c>
      <c r="V441">
        <v>0</v>
      </c>
      <c r="W441">
        <v>0</v>
      </c>
      <c r="X441">
        <v>0</v>
      </c>
      <c r="Y441">
        <v>0.00067390964197876885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0.0059809480725615729</v>
      </c>
      <c r="AF441">
        <v>0.029062353310334403</v>
      </c>
      <c r="AG441">
        <v>0.12922217384942891</v>
      </c>
      <c r="AH441">
        <v>0</v>
      </c>
      <c r="AI441">
        <v>0.00092662575772080704</v>
      </c>
      <c r="AJ441">
        <v>0</v>
      </c>
      <c r="AK441">
        <v>0.021817824659062641</v>
      </c>
      <c r="AL441">
        <v>0.012551567081854568</v>
      </c>
      <c r="AM441">
        <v>0</v>
      </c>
      <c r="AN441">
        <v>0</v>
      </c>
      <c r="AO441">
        <v>0</v>
      </c>
      <c r="AP441">
        <v>0</v>
      </c>
      <c r="AQ441">
        <v>0.0012635805787101914</v>
      </c>
      <c r="AR441">
        <v>0</v>
      </c>
      <c r="AS441">
        <v>0.0010951031682154993</v>
      </c>
      <c r="AT441">
        <v>0.00050543223148407659</v>
      </c>
      <c r="AU441" t="s">
        <v>111</v>
      </c>
      <c r="BJ441" t="str">
        <f t="shared" si="12"/>
        <v>hdt</v>
      </c>
      <c r="BK441" t="str">
        <f t="shared" si="13"/>
        <v>gsl</v>
      </c>
    </row>
    <row r="442" spans="1:63" ht="14.5">
      <c r="A442" t="s">
        <v>118</v>
      </c>
      <c r="B442" t="s">
        <v>62</v>
      </c>
      <c r="C442" t="s">
        <v>89</v>
      </c>
      <c r="D442" t="s">
        <v>111</v>
      </c>
      <c r="E442" t="s">
        <v>111</v>
      </c>
      <c r="F442" t="s">
        <v>111</v>
      </c>
      <c r="G442" t="s">
        <v>61</v>
      </c>
      <c r="H442" t="s">
        <v>111</v>
      </c>
      <c r="I442" t="s">
        <v>111</v>
      </c>
      <c r="J442" t="s">
        <v>111</v>
      </c>
      <c r="K442" t="s">
        <v>111</v>
      </c>
      <c r="L442">
        <v>0</v>
      </c>
      <c r="M442">
        <v>0</v>
      </c>
      <c r="N442">
        <v>0</v>
      </c>
      <c r="O442">
        <v>0.001684774104946922</v>
      </c>
      <c r="P442">
        <v>0.00033695482098938443</v>
      </c>
      <c r="Q442">
        <v>0.0035380256203885363</v>
      </c>
      <c r="R442">
        <v>0.048437255517224005</v>
      </c>
      <c r="S442">
        <v>0.0026956385679150754</v>
      </c>
      <c r="T442">
        <v>0.00058967093673142272</v>
      </c>
      <c r="U442">
        <v>0.0016005353996995759</v>
      </c>
      <c r="V442">
        <v>0.010108644629681531</v>
      </c>
      <c r="W442">
        <v>0.0075814834722611486</v>
      </c>
      <c r="X442">
        <v>0.00067390964197876885</v>
      </c>
      <c r="Y442">
        <v>0.0025271611574203827</v>
      </c>
      <c r="Z442">
        <v>8.4238705247346107E-05</v>
      </c>
      <c r="AA442">
        <v>0.00025271611574203829</v>
      </c>
      <c r="AB442">
        <v>0.00067390964197876885</v>
      </c>
      <c r="AC442">
        <v>0.0050543223148407654</v>
      </c>
      <c r="AD442">
        <v>8.4238705247346107E-05</v>
      </c>
      <c r="AE442">
        <v>0.0055597545463248431</v>
      </c>
      <c r="AF442">
        <v>0</v>
      </c>
      <c r="AG442">
        <v>0.0080026769984978801</v>
      </c>
      <c r="AH442">
        <v>0.001684774104946922</v>
      </c>
      <c r="AI442">
        <v>0.003369548209893844</v>
      </c>
      <c r="AJ442">
        <v>0.020975437606589178</v>
      </c>
      <c r="AK442">
        <v>0</v>
      </c>
      <c r="AL442">
        <v>0</v>
      </c>
      <c r="AM442">
        <v>0</v>
      </c>
      <c r="AN442">
        <v>0.011287986503144378</v>
      </c>
      <c r="AO442">
        <v>0.0069075738302823804</v>
      </c>
      <c r="AP442">
        <v>0.00058967093673142272</v>
      </c>
      <c r="AQ442">
        <v>0.00050543223148407659</v>
      </c>
      <c r="AR442">
        <v>0.0050543223148407654</v>
      </c>
      <c r="AS442">
        <v>0</v>
      </c>
      <c r="AT442">
        <v>0.0012635805787101914</v>
      </c>
      <c r="AU442" t="s">
        <v>111</v>
      </c>
      <c r="BJ442" t="str">
        <f t="shared" si="12"/>
        <v>lcv</v>
      </c>
      <c r="BK442" t="str">
        <f t="shared" si="13"/>
        <v>bdl</v>
      </c>
    </row>
    <row r="443" spans="1:63" ht="14.5">
      <c r="A443" t="s">
        <v>118</v>
      </c>
      <c r="B443" t="s">
        <v>62</v>
      </c>
      <c r="C443" t="s">
        <v>89</v>
      </c>
      <c r="D443" t="s">
        <v>111</v>
      </c>
      <c r="E443" t="s">
        <v>111</v>
      </c>
      <c r="F443" t="s">
        <v>111</v>
      </c>
      <c r="G443" t="s">
        <v>83</v>
      </c>
      <c r="H443" t="s">
        <v>111</v>
      </c>
      <c r="I443" t="s">
        <v>111</v>
      </c>
      <c r="J443" t="s">
        <v>111</v>
      </c>
      <c r="K443" t="s">
        <v>111</v>
      </c>
      <c r="L443">
        <v>0</v>
      </c>
      <c r="M443">
        <v>0</v>
      </c>
      <c r="N443">
        <v>0</v>
      </c>
      <c r="O443">
        <v>0.001684774104946922</v>
      </c>
      <c r="P443">
        <v>0.00033695482098938443</v>
      </c>
      <c r="Q443">
        <v>0.0035380256203885363</v>
      </c>
      <c r="R443">
        <v>0.048437255517224005</v>
      </c>
      <c r="S443">
        <v>0.0026956385679150754</v>
      </c>
      <c r="T443">
        <v>0.00058967093673142272</v>
      </c>
      <c r="U443">
        <v>0.0016005353996995759</v>
      </c>
      <c r="V443">
        <v>0.010108644629681531</v>
      </c>
      <c r="W443">
        <v>0.0075814834722611486</v>
      </c>
      <c r="X443">
        <v>0.00067390964197876885</v>
      </c>
      <c r="Y443">
        <v>0.0025271611574203827</v>
      </c>
      <c r="Z443">
        <v>8.4238705247346107E-05</v>
      </c>
      <c r="AA443">
        <v>0.00025271611574203829</v>
      </c>
      <c r="AB443">
        <v>0.00067390964197876885</v>
      </c>
      <c r="AC443">
        <v>0.0050543223148407654</v>
      </c>
      <c r="AD443">
        <v>8.4238705247346107E-05</v>
      </c>
      <c r="AE443">
        <v>0.0055597545463248431</v>
      </c>
      <c r="AF443">
        <v>0</v>
      </c>
      <c r="AG443">
        <v>0.0080026769984978801</v>
      </c>
      <c r="AH443">
        <v>0.001684774104946922</v>
      </c>
      <c r="AI443">
        <v>0.003369548209893844</v>
      </c>
      <c r="AJ443">
        <v>0.020975437606589178</v>
      </c>
      <c r="AK443">
        <v>0</v>
      </c>
      <c r="AL443">
        <v>0</v>
      </c>
      <c r="AM443">
        <v>0</v>
      </c>
      <c r="AN443">
        <v>0.011287986503144378</v>
      </c>
      <c r="AO443">
        <v>0.0069075738302823804</v>
      </c>
      <c r="AP443">
        <v>0.00058967093673142272</v>
      </c>
      <c r="AQ443">
        <v>0.00050543223148407659</v>
      </c>
      <c r="AR443">
        <v>0.0050543223148407654</v>
      </c>
      <c r="AS443">
        <v>0</v>
      </c>
      <c r="AT443">
        <v>0.0012635805787101914</v>
      </c>
      <c r="AU443" t="s">
        <v>111</v>
      </c>
      <c r="BJ443" t="str">
        <f t="shared" si="12"/>
        <v>lcv</v>
      </c>
      <c r="BK443" t="str">
        <f t="shared" si="13"/>
        <v>bdl</v>
      </c>
    </row>
    <row r="444" spans="1:63" ht="14.5">
      <c r="A444" t="s">
        <v>118</v>
      </c>
      <c r="B444" t="s">
        <v>62</v>
      </c>
      <c r="C444" t="s">
        <v>89</v>
      </c>
      <c r="D444" t="s">
        <v>111</v>
      </c>
      <c r="E444" t="s">
        <v>111</v>
      </c>
      <c r="F444" t="s">
        <v>111</v>
      </c>
      <c r="G444" t="s">
        <v>82</v>
      </c>
      <c r="H444" t="s">
        <v>111</v>
      </c>
      <c r="I444" t="s">
        <v>111</v>
      </c>
      <c r="J444" t="s">
        <v>111</v>
      </c>
      <c r="K444" t="s">
        <v>111</v>
      </c>
      <c r="L444">
        <v>0</v>
      </c>
      <c r="M444">
        <v>0</v>
      </c>
      <c r="N444">
        <v>0</v>
      </c>
      <c r="O444">
        <v>0.001684774104946922</v>
      </c>
      <c r="P444">
        <v>0.00033695482098938443</v>
      </c>
      <c r="Q444">
        <v>0.0035380256203885363</v>
      </c>
      <c r="R444">
        <v>0.048437255517224005</v>
      </c>
      <c r="S444">
        <v>0.0026956385679150754</v>
      </c>
      <c r="T444">
        <v>0.00058967093673142272</v>
      </c>
      <c r="U444">
        <v>0.0016005353996995759</v>
      </c>
      <c r="V444">
        <v>0.010108644629681531</v>
      </c>
      <c r="W444">
        <v>0.0075814834722611486</v>
      </c>
      <c r="X444">
        <v>0.00067390964197876885</v>
      </c>
      <c r="Y444">
        <v>0.0025271611574203827</v>
      </c>
      <c r="Z444">
        <v>8.4238705247346107E-05</v>
      </c>
      <c r="AA444">
        <v>0.00025271611574203829</v>
      </c>
      <c r="AB444">
        <v>0.00067390964197876885</v>
      </c>
      <c r="AC444">
        <v>0.0050543223148407654</v>
      </c>
      <c r="AD444">
        <v>8.4238705247346107E-05</v>
      </c>
      <c r="AE444">
        <v>0.0055597545463248431</v>
      </c>
      <c r="AF444">
        <v>0</v>
      </c>
      <c r="AG444">
        <v>0.0080026769984978801</v>
      </c>
      <c r="AH444">
        <v>0.001684774104946922</v>
      </c>
      <c r="AI444">
        <v>0.003369548209893844</v>
      </c>
      <c r="AJ444">
        <v>0.020975437606589178</v>
      </c>
      <c r="AK444">
        <v>0</v>
      </c>
      <c r="AL444">
        <v>0</v>
      </c>
      <c r="AM444">
        <v>0</v>
      </c>
      <c r="AN444">
        <v>0.011287986503144378</v>
      </c>
      <c r="AO444">
        <v>0.0069075738302823804</v>
      </c>
      <c r="AP444">
        <v>0.00058967093673142272</v>
      </c>
      <c r="AQ444">
        <v>0.00050543223148407659</v>
      </c>
      <c r="AR444">
        <v>0.0050543223148407654</v>
      </c>
      <c r="AS444">
        <v>0</v>
      </c>
      <c r="AT444">
        <v>0.0012635805787101914</v>
      </c>
      <c r="AU444" t="s">
        <v>111</v>
      </c>
      <c r="BJ444" t="str">
        <f t="shared" si="12"/>
        <v>lcv</v>
      </c>
      <c r="BK444" t="str">
        <f t="shared" si="13"/>
        <v>bdl</v>
      </c>
    </row>
    <row r="445" spans="1:63" ht="14.5">
      <c r="A445" t="s">
        <v>118</v>
      </c>
      <c r="B445" t="s">
        <v>62</v>
      </c>
      <c r="C445" t="s">
        <v>89</v>
      </c>
      <c r="D445" t="s">
        <v>111</v>
      </c>
      <c r="E445" t="s">
        <v>111</v>
      </c>
      <c r="F445" t="s">
        <v>111</v>
      </c>
      <c r="G445" t="s">
        <v>81</v>
      </c>
      <c r="H445" t="s">
        <v>111</v>
      </c>
      <c r="I445" t="s">
        <v>111</v>
      </c>
      <c r="J445" t="s">
        <v>111</v>
      </c>
      <c r="K445" t="s">
        <v>111</v>
      </c>
      <c r="L445">
        <v>0</v>
      </c>
      <c r="M445">
        <v>0</v>
      </c>
      <c r="N445">
        <v>0</v>
      </c>
      <c r="O445">
        <v>0.001684774104946922</v>
      </c>
      <c r="P445">
        <v>0.00033695482098938443</v>
      </c>
      <c r="Q445">
        <v>0.0035380256203885363</v>
      </c>
      <c r="R445">
        <v>0.048437255517224005</v>
      </c>
      <c r="S445">
        <v>0.0026956385679150754</v>
      </c>
      <c r="T445">
        <v>0.00058967093673142272</v>
      </c>
      <c r="U445">
        <v>0.0016005353996995759</v>
      </c>
      <c r="V445">
        <v>0.010108644629681531</v>
      </c>
      <c r="W445">
        <v>0.0075814834722611486</v>
      </c>
      <c r="X445">
        <v>0.00067390964197876885</v>
      </c>
      <c r="Y445">
        <v>0.0025271611574203827</v>
      </c>
      <c r="Z445">
        <v>8.4238705247346107E-05</v>
      </c>
      <c r="AA445">
        <v>0.00025271611574203829</v>
      </c>
      <c r="AB445">
        <v>0.00067390964197876885</v>
      </c>
      <c r="AC445">
        <v>0.0050543223148407654</v>
      </c>
      <c r="AD445">
        <v>8.4238705247346107E-05</v>
      </c>
      <c r="AE445">
        <v>0.0055597545463248431</v>
      </c>
      <c r="AF445">
        <v>0</v>
      </c>
      <c r="AG445">
        <v>0.0080026769984978801</v>
      </c>
      <c r="AH445">
        <v>0.001684774104946922</v>
      </c>
      <c r="AI445">
        <v>0.003369548209893844</v>
      </c>
      <c r="AJ445">
        <v>0.020975437606589178</v>
      </c>
      <c r="AK445">
        <v>0</v>
      </c>
      <c r="AL445">
        <v>0</v>
      </c>
      <c r="AM445">
        <v>0</v>
      </c>
      <c r="AN445">
        <v>0.011287986503144378</v>
      </c>
      <c r="AO445">
        <v>0.0069075738302823804</v>
      </c>
      <c r="AP445">
        <v>0.00058967093673142272</v>
      </c>
      <c r="AQ445">
        <v>0.00050543223148407659</v>
      </c>
      <c r="AR445">
        <v>0.0050543223148407654</v>
      </c>
      <c r="AS445">
        <v>0</v>
      </c>
      <c r="AT445">
        <v>0.0012635805787101914</v>
      </c>
      <c r="AU445" t="s">
        <v>111</v>
      </c>
      <c r="BJ445" t="str">
        <f t="shared" si="12"/>
        <v>lcv</v>
      </c>
      <c r="BK445" t="str">
        <f t="shared" si="13"/>
        <v>bdl</v>
      </c>
    </row>
    <row r="446" spans="1:63" ht="14.5">
      <c r="A446" t="s">
        <v>118</v>
      </c>
      <c r="B446" t="s">
        <v>62</v>
      </c>
      <c r="C446" t="s">
        <v>89</v>
      </c>
      <c r="D446" t="s">
        <v>111</v>
      </c>
      <c r="E446" t="s">
        <v>111</v>
      </c>
      <c r="F446" t="s">
        <v>111</v>
      </c>
      <c r="G446" t="s">
        <v>80</v>
      </c>
      <c r="H446" t="s">
        <v>111</v>
      </c>
      <c r="I446" t="s">
        <v>111</v>
      </c>
      <c r="J446" t="s">
        <v>111</v>
      </c>
      <c r="K446" t="s">
        <v>111</v>
      </c>
      <c r="L446">
        <v>0</v>
      </c>
      <c r="M446">
        <v>0</v>
      </c>
      <c r="N446">
        <v>0</v>
      </c>
      <c r="O446">
        <v>0.001684774104946922</v>
      </c>
      <c r="P446">
        <v>0.00033695482098938443</v>
      </c>
      <c r="Q446">
        <v>0.0035380256203885363</v>
      </c>
      <c r="R446">
        <v>0.048437255517224005</v>
      </c>
      <c r="S446">
        <v>0.0026956385679150754</v>
      </c>
      <c r="T446">
        <v>0.00058967093673142272</v>
      </c>
      <c r="U446">
        <v>0.0016005353996995759</v>
      </c>
      <c r="V446">
        <v>0.010108644629681531</v>
      </c>
      <c r="W446">
        <v>0.0075814834722611486</v>
      </c>
      <c r="X446">
        <v>0.00067390964197876885</v>
      </c>
      <c r="Y446">
        <v>0.0025271611574203827</v>
      </c>
      <c r="Z446">
        <v>8.4238705247346107E-05</v>
      </c>
      <c r="AA446">
        <v>0.00025271611574203829</v>
      </c>
      <c r="AB446">
        <v>0.00067390964197876885</v>
      </c>
      <c r="AC446">
        <v>0.0050543223148407654</v>
      </c>
      <c r="AD446">
        <v>8.4238705247346107E-05</v>
      </c>
      <c r="AE446">
        <v>0.0055597545463248431</v>
      </c>
      <c r="AF446">
        <v>0</v>
      </c>
      <c r="AG446">
        <v>0.0080026769984978801</v>
      </c>
      <c r="AH446">
        <v>0.001684774104946922</v>
      </c>
      <c r="AI446">
        <v>0.003369548209893844</v>
      </c>
      <c r="AJ446">
        <v>0.020975437606589178</v>
      </c>
      <c r="AK446">
        <v>0</v>
      </c>
      <c r="AL446">
        <v>0</v>
      </c>
      <c r="AM446">
        <v>0</v>
      </c>
      <c r="AN446">
        <v>0.011287986503144378</v>
      </c>
      <c r="AO446">
        <v>0.0069075738302823804</v>
      </c>
      <c r="AP446">
        <v>0.00058967093673142272</v>
      </c>
      <c r="AQ446">
        <v>0.00050543223148407659</v>
      </c>
      <c r="AR446">
        <v>0.0050543223148407654</v>
      </c>
      <c r="AS446">
        <v>0</v>
      </c>
      <c r="AT446">
        <v>0.0012635805787101914</v>
      </c>
      <c r="AU446" t="s">
        <v>111</v>
      </c>
      <c r="BJ446" t="str">
        <f t="shared" si="12"/>
        <v>lcv</v>
      </c>
      <c r="BK446" t="str">
        <f t="shared" si="13"/>
        <v>bdl</v>
      </c>
    </row>
    <row r="447" spans="1:63" ht="14.5">
      <c r="A447" t="s">
        <v>118</v>
      </c>
      <c r="B447" t="s">
        <v>62</v>
      </c>
      <c r="C447" t="s">
        <v>89</v>
      </c>
      <c r="D447" t="s">
        <v>111</v>
      </c>
      <c r="E447" t="s">
        <v>111</v>
      </c>
      <c r="F447" t="s">
        <v>111</v>
      </c>
      <c r="G447" t="s">
        <v>79</v>
      </c>
      <c r="H447" t="s">
        <v>111</v>
      </c>
      <c r="I447" t="s">
        <v>111</v>
      </c>
      <c r="J447" t="s">
        <v>111</v>
      </c>
      <c r="K447" t="s">
        <v>111</v>
      </c>
      <c r="L447">
        <v>0</v>
      </c>
      <c r="M447">
        <v>0</v>
      </c>
      <c r="N447">
        <v>0</v>
      </c>
      <c r="O447">
        <v>0.001684774104946922</v>
      </c>
      <c r="P447">
        <v>0.00033695482098938443</v>
      </c>
      <c r="Q447">
        <v>0.0035380256203885363</v>
      </c>
      <c r="R447">
        <v>0.048437255517224005</v>
      </c>
      <c r="S447">
        <v>0.0026956385679150754</v>
      </c>
      <c r="T447">
        <v>0.00058967093673142272</v>
      </c>
      <c r="U447">
        <v>0.0016005353996995759</v>
      </c>
      <c r="V447">
        <v>0.010108644629681531</v>
      </c>
      <c r="W447">
        <v>0.0075814834722611486</v>
      </c>
      <c r="X447">
        <v>0.00067390964197876885</v>
      </c>
      <c r="Y447">
        <v>0.0025271611574203827</v>
      </c>
      <c r="Z447">
        <v>8.4238705247346107E-05</v>
      </c>
      <c r="AA447">
        <v>0.00025271611574203829</v>
      </c>
      <c r="AB447">
        <v>0.00067390964197876885</v>
      </c>
      <c r="AC447">
        <v>0.0050543223148407654</v>
      </c>
      <c r="AD447">
        <v>8.4238705247346107E-05</v>
      </c>
      <c r="AE447">
        <v>0.0055597545463248431</v>
      </c>
      <c r="AF447">
        <v>0</v>
      </c>
      <c r="AG447">
        <v>0.0080026769984978801</v>
      </c>
      <c r="AH447">
        <v>0.001684774104946922</v>
      </c>
      <c r="AI447">
        <v>0.003369548209893844</v>
      </c>
      <c r="AJ447">
        <v>0.020975437606589178</v>
      </c>
      <c r="AK447">
        <v>0</v>
      </c>
      <c r="AL447">
        <v>0</v>
      </c>
      <c r="AM447">
        <v>0</v>
      </c>
      <c r="AN447">
        <v>0.011287986503144378</v>
      </c>
      <c r="AO447">
        <v>0.0069075738302823804</v>
      </c>
      <c r="AP447">
        <v>0.00058967093673142272</v>
      </c>
      <c r="AQ447">
        <v>0.00050543223148407659</v>
      </c>
      <c r="AR447">
        <v>0.0050543223148407654</v>
      </c>
      <c r="AS447">
        <v>0</v>
      </c>
      <c r="AT447">
        <v>0.0012635805787101914</v>
      </c>
      <c r="AU447" t="s">
        <v>111</v>
      </c>
      <c r="BJ447" t="str">
        <f t="shared" si="12"/>
        <v>lcv</v>
      </c>
      <c r="BK447" t="str">
        <f t="shared" si="13"/>
        <v>bdl</v>
      </c>
    </row>
    <row r="448" spans="1:63" ht="14.5">
      <c r="A448" t="s">
        <v>118</v>
      </c>
      <c r="B448" t="s">
        <v>62</v>
      </c>
      <c r="C448" t="s">
        <v>89</v>
      </c>
      <c r="D448" t="s">
        <v>111</v>
      </c>
      <c r="E448" t="s">
        <v>111</v>
      </c>
      <c r="F448" t="s">
        <v>111</v>
      </c>
      <c r="G448" t="s">
        <v>78</v>
      </c>
      <c r="H448" t="s">
        <v>111</v>
      </c>
      <c r="I448" t="s">
        <v>111</v>
      </c>
      <c r="J448" t="s">
        <v>111</v>
      </c>
      <c r="K448" t="s">
        <v>111</v>
      </c>
      <c r="L448">
        <v>0</v>
      </c>
      <c r="M448">
        <v>0</v>
      </c>
      <c r="N448">
        <v>0</v>
      </c>
      <c r="O448">
        <v>0.001684774104946922</v>
      </c>
      <c r="P448">
        <v>0.00033695482098938443</v>
      </c>
      <c r="Q448">
        <v>0.0035380256203885363</v>
      </c>
      <c r="R448">
        <v>0.048437255517224005</v>
      </c>
      <c r="S448">
        <v>0.0026956385679150754</v>
      </c>
      <c r="T448">
        <v>0.00058967093673142272</v>
      </c>
      <c r="U448">
        <v>0.0016005353996995759</v>
      </c>
      <c r="V448">
        <v>0.010108644629681531</v>
      </c>
      <c r="W448">
        <v>0.0075814834722611486</v>
      </c>
      <c r="X448">
        <v>0.00067390964197876885</v>
      </c>
      <c r="Y448">
        <v>0.0025271611574203827</v>
      </c>
      <c r="Z448">
        <v>8.4238705247346107E-05</v>
      </c>
      <c r="AA448">
        <v>0.00025271611574203829</v>
      </c>
      <c r="AB448">
        <v>0.00067390964197876885</v>
      </c>
      <c r="AC448">
        <v>0.0050543223148407654</v>
      </c>
      <c r="AD448">
        <v>8.4238705247346107E-05</v>
      </c>
      <c r="AE448">
        <v>0.0055597545463248431</v>
      </c>
      <c r="AF448">
        <v>0</v>
      </c>
      <c r="AG448">
        <v>0.0080026769984978801</v>
      </c>
      <c r="AH448">
        <v>0.001684774104946922</v>
      </c>
      <c r="AI448">
        <v>0.003369548209893844</v>
      </c>
      <c r="AJ448">
        <v>0.020975437606589178</v>
      </c>
      <c r="AK448">
        <v>0</v>
      </c>
      <c r="AL448">
        <v>0</v>
      </c>
      <c r="AM448">
        <v>0</v>
      </c>
      <c r="AN448">
        <v>0.011287986503144378</v>
      </c>
      <c r="AO448">
        <v>0.0069075738302823804</v>
      </c>
      <c r="AP448">
        <v>0.00058967093673142272</v>
      </c>
      <c r="AQ448">
        <v>0.00050543223148407659</v>
      </c>
      <c r="AR448">
        <v>0.0050543223148407654</v>
      </c>
      <c r="AS448">
        <v>0</v>
      </c>
      <c r="AT448">
        <v>0.0012635805787101914</v>
      </c>
      <c r="AU448" t="s">
        <v>111</v>
      </c>
      <c r="BJ448" t="str">
        <f t="shared" si="12"/>
        <v>lcv</v>
      </c>
      <c r="BK448" t="str">
        <f t="shared" si="13"/>
        <v>bdl</v>
      </c>
    </row>
    <row r="449" spans="1:63" ht="14.5">
      <c r="A449" t="s">
        <v>118</v>
      </c>
      <c r="B449" t="s">
        <v>62</v>
      </c>
      <c r="C449" t="s">
        <v>89</v>
      </c>
      <c r="D449" t="s">
        <v>111</v>
      </c>
      <c r="E449" t="s">
        <v>111</v>
      </c>
      <c r="F449" t="s">
        <v>111</v>
      </c>
      <c r="G449" t="s">
        <v>77</v>
      </c>
      <c r="H449" t="s">
        <v>111</v>
      </c>
      <c r="I449" t="s">
        <v>111</v>
      </c>
      <c r="J449" t="s">
        <v>111</v>
      </c>
      <c r="K449" t="s">
        <v>111</v>
      </c>
      <c r="L449">
        <v>0</v>
      </c>
      <c r="M449">
        <v>0</v>
      </c>
      <c r="N449">
        <v>0</v>
      </c>
      <c r="O449">
        <v>0.001684774104946922</v>
      </c>
      <c r="P449">
        <v>0.00033695482098938443</v>
      </c>
      <c r="Q449">
        <v>0.0035380256203885363</v>
      </c>
      <c r="R449">
        <v>0.048437255517224005</v>
      </c>
      <c r="S449">
        <v>0.0026956385679150754</v>
      </c>
      <c r="T449">
        <v>0.00058967093673142272</v>
      </c>
      <c r="U449">
        <v>0.0016005353996995759</v>
      </c>
      <c r="V449">
        <v>0.010108644629681531</v>
      </c>
      <c r="W449">
        <v>0.0075814834722611486</v>
      </c>
      <c r="X449">
        <v>0.00067390964197876885</v>
      </c>
      <c r="Y449">
        <v>0.0025271611574203827</v>
      </c>
      <c r="Z449">
        <v>8.4238705247346107E-05</v>
      </c>
      <c r="AA449">
        <v>0.00025271611574203829</v>
      </c>
      <c r="AB449">
        <v>0.00067390964197876885</v>
      </c>
      <c r="AC449">
        <v>0.0050543223148407654</v>
      </c>
      <c r="AD449">
        <v>8.4238705247346107E-05</v>
      </c>
      <c r="AE449">
        <v>0.0055597545463248431</v>
      </c>
      <c r="AF449">
        <v>0</v>
      </c>
      <c r="AG449">
        <v>0.0080026769984978801</v>
      </c>
      <c r="AH449">
        <v>0.001684774104946922</v>
      </c>
      <c r="AI449">
        <v>0.003369548209893844</v>
      </c>
      <c r="AJ449">
        <v>0.020975437606589178</v>
      </c>
      <c r="AK449">
        <v>0</v>
      </c>
      <c r="AL449">
        <v>0</v>
      </c>
      <c r="AM449">
        <v>0</v>
      </c>
      <c r="AN449">
        <v>0.011287986503144378</v>
      </c>
      <c r="AO449">
        <v>0.0069075738302823804</v>
      </c>
      <c r="AP449">
        <v>0.00058967093673142272</v>
      </c>
      <c r="AQ449">
        <v>0.00050543223148407659</v>
      </c>
      <c r="AR449">
        <v>0.0050543223148407654</v>
      </c>
      <c r="AS449">
        <v>0</v>
      </c>
      <c r="AT449">
        <v>0.0012635805787101914</v>
      </c>
      <c r="AU449" t="s">
        <v>111</v>
      </c>
      <c r="BJ449" t="str">
        <f t="shared" si="12"/>
        <v>lcv</v>
      </c>
      <c r="BK449" t="str">
        <f t="shared" si="13"/>
        <v>bdl</v>
      </c>
    </row>
    <row r="450" spans="1:63" ht="14.5">
      <c r="A450" t="s">
        <v>118</v>
      </c>
      <c r="B450" t="s">
        <v>62</v>
      </c>
      <c r="C450" t="s">
        <v>89</v>
      </c>
      <c r="D450" t="s">
        <v>111</v>
      </c>
      <c r="E450" t="s">
        <v>111</v>
      </c>
      <c r="F450" t="s">
        <v>111</v>
      </c>
      <c r="G450" t="s">
        <v>76</v>
      </c>
      <c r="H450" t="s">
        <v>111</v>
      </c>
      <c r="I450" t="s">
        <v>111</v>
      </c>
      <c r="J450" t="s">
        <v>111</v>
      </c>
      <c r="K450" t="s">
        <v>111</v>
      </c>
      <c r="L450">
        <v>0</v>
      </c>
      <c r="M450">
        <v>0</v>
      </c>
      <c r="N450">
        <v>0</v>
      </c>
      <c r="O450">
        <v>0.001684774104946922</v>
      </c>
      <c r="P450">
        <v>0.00033695482098938443</v>
      </c>
      <c r="Q450">
        <v>0.0035380256203885363</v>
      </c>
      <c r="R450">
        <v>0.048437255517224005</v>
      </c>
      <c r="S450">
        <v>0.0026956385679150754</v>
      </c>
      <c r="T450">
        <v>0.00058967093673142272</v>
      </c>
      <c r="U450">
        <v>0.0016005353996995759</v>
      </c>
      <c r="V450">
        <v>0.010108644629681531</v>
      </c>
      <c r="W450">
        <v>0.0075814834722611486</v>
      </c>
      <c r="X450">
        <v>0.00067390964197876885</v>
      </c>
      <c r="Y450">
        <v>0.0025271611574203827</v>
      </c>
      <c r="Z450">
        <v>8.4238705247346107E-05</v>
      </c>
      <c r="AA450">
        <v>0.00025271611574203829</v>
      </c>
      <c r="AB450">
        <v>0.00067390964197876885</v>
      </c>
      <c r="AC450">
        <v>0.0050543223148407654</v>
      </c>
      <c r="AD450">
        <v>8.4238705247346107E-05</v>
      </c>
      <c r="AE450">
        <v>0.0055597545463248431</v>
      </c>
      <c r="AF450">
        <v>0</v>
      </c>
      <c r="AG450">
        <v>0.0080026769984978801</v>
      </c>
      <c r="AH450">
        <v>0.001684774104946922</v>
      </c>
      <c r="AI450">
        <v>0.003369548209893844</v>
      </c>
      <c r="AJ450">
        <v>0.020975437606589178</v>
      </c>
      <c r="AK450">
        <v>0</v>
      </c>
      <c r="AL450">
        <v>0</v>
      </c>
      <c r="AM450">
        <v>0</v>
      </c>
      <c r="AN450">
        <v>0.011287986503144378</v>
      </c>
      <c r="AO450">
        <v>0.0069075738302823804</v>
      </c>
      <c r="AP450">
        <v>0.00058967093673142272</v>
      </c>
      <c r="AQ450">
        <v>0.00050543223148407659</v>
      </c>
      <c r="AR450">
        <v>0.0050543223148407654</v>
      </c>
      <c r="AS450">
        <v>0</v>
      </c>
      <c r="AT450">
        <v>0.0012635805787101914</v>
      </c>
      <c r="AU450" t="s">
        <v>111</v>
      </c>
      <c r="BJ450" t="str">
        <f t="shared" si="12"/>
        <v>lcv</v>
      </c>
      <c r="BK450" t="str">
        <f t="shared" si="13"/>
        <v>bdl</v>
      </c>
    </row>
    <row r="451" spans="1:63" ht="14.5">
      <c r="A451" t="s">
        <v>118</v>
      </c>
      <c r="B451" t="s">
        <v>62</v>
      </c>
      <c r="C451" t="s">
        <v>89</v>
      </c>
      <c r="D451" t="s">
        <v>111</v>
      </c>
      <c r="E451" t="s">
        <v>111</v>
      </c>
      <c r="F451" t="s">
        <v>111</v>
      </c>
      <c r="G451" t="s">
        <v>75</v>
      </c>
      <c r="H451" t="s">
        <v>111</v>
      </c>
      <c r="I451" t="s">
        <v>111</v>
      </c>
      <c r="J451" t="s">
        <v>111</v>
      </c>
      <c r="K451" t="s">
        <v>111</v>
      </c>
      <c r="L451">
        <v>0</v>
      </c>
      <c r="M451">
        <v>0</v>
      </c>
      <c r="N451">
        <v>0</v>
      </c>
      <c r="O451">
        <v>0.001684774104946922</v>
      </c>
      <c r="P451">
        <v>0.00033695482098938443</v>
      </c>
      <c r="Q451">
        <v>0.0035380256203885363</v>
      </c>
      <c r="R451">
        <v>0.048437255517224005</v>
      </c>
      <c r="S451">
        <v>0.0026956385679150754</v>
      </c>
      <c r="T451">
        <v>0.00058967093673142272</v>
      </c>
      <c r="U451">
        <v>0.0016005353996995759</v>
      </c>
      <c r="V451">
        <v>0.010108644629681531</v>
      </c>
      <c r="W451">
        <v>0.0075814834722611486</v>
      </c>
      <c r="X451">
        <v>0.00067390964197876885</v>
      </c>
      <c r="Y451">
        <v>0.0025271611574203827</v>
      </c>
      <c r="Z451">
        <v>8.4238705247346107E-05</v>
      </c>
      <c r="AA451">
        <v>0.00025271611574203829</v>
      </c>
      <c r="AB451">
        <v>0.00067390964197876885</v>
      </c>
      <c r="AC451">
        <v>0.0050543223148407654</v>
      </c>
      <c r="AD451">
        <v>8.4238705247346107E-05</v>
      </c>
      <c r="AE451">
        <v>0.0055597545463248431</v>
      </c>
      <c r="AF451">
        <v>0</v>
      </c>
      <c r="AG451">
        <v>0.0080026769984978801</v>
      </c>
      <c r="AH451">
        <v>0.001684774104946922</v>
      </c>
      <c r="AI451">
        <v>0.003369548209893844</v>
      </c>
      <c r="AJ451">
        <v>0.020975437606589178</v>
      </c>
      <c r="AK451">
        <v>0</v>
      </c>
      <c r="AL451">
        <v>0</v>
      </c>
      <c r="AM451">
        <v>0</v>
      </c>
      <c r="AN451">
        <v>0.011287986503144378</v>
      </c>
      <c r="AO451">
        <v>0.0069075738302823804</v>
      </c>
      <c r="AP451">
        <v>0.00058967093673142272</v>
      </c>
      <c r="AQ451">
        <v>0.00050543223148407659</v>
      </c>
      <c r="AR451">
        <v>0.0050543223148407654</v>
      </c>
      <c r="AS451">
        <v>0</v>
      </c>
      <c r="AT451">
        <v>0.0012635805787101914</v>
      </c>
      <c r="AU451" t="s">
        <v>111</v>
      </c>
      <c r="BJ451" t="str">
        <f t="shared" si="14" ref="BJ451:BJ514">MID(C451,5,3)</f>
        <v>lcv</v>
      </c>
      <c r="BK451" t="str">
        <f t="shared" si="15" ref="BK451:BK514">RIGHT(C451,3)</f>
        <v>bdl</v>
      </c>
    </row>
    <row r="452" spans="1:63" ht="14.5">
      <c r="A452" t="s">
        <v>118</v>
      </c>
      <c r="B452" t="s">
        <v>62</v>
      </c>
      <c r="C452" t="s">
        <v>89</v>
      </c>
      <c r="D452" t="s">
        <v>111</v>
      </c>
      <c r="E452" t="s">
        <v>111</v>
      </c>
      <c r="F452" t="s">
        <v>111</v>
      </c>
      <c r="G452" t="s">
        <v>74</v>
      </c>
      <c r="H452" t="s">
        <v>111</v>
      </c>
      <c r="I452" t="s">
        <v>111</v>
      </c>
      <c r="J452" t="s">
        <v>111</v>
      </c>
      <c r="K452" t="s">
        <v>111</v>
      </c>
      <c r="L452">
        <v>0</v>
      </c>
      <c r="M452">
        <v>0</v>
      </c>
      <c r="N452">
        <v>0</v>
      </c>
      <c r="O452">
        <v>0.001684774104946922</v>
      </c>
      <c r="P452">
        <v>0.00033695482098938443</v>
      </c>
      <c r="Q452">
        <v>0.0035380256203885363</v>
      </c>
      <c r="R452">
        <v>0.048437255517224005</v>
      </c>
      <c r="S452">
        <v>0.0026956385679150754</v>
      </c>
      <c r="T452">
        <v>0.00058967093673142272</v>
      </c>
      <c r="U452">
        <v>0.0016005353996995759</v>
      </c>
      <c r="V452">
        <v>0.010108644629681531</v>
      </c>
      <c r="W452">
        <v>0.0075814834722611486</v>
      </c>
      <c r="X452">
        <v>0.00067390964197876885</v>
      </c>
      <c r="Y452">
        <v>0.0025271611574203827</v>
      </c>
      <c r="Z452">
        <v>8.4238705247346107E-05</v>
      </c>
      <c r="AA452">
        <v>0.00025271611574203829</v>
      </c>
      <c r="AB452">
        <v>0.00067390964197876885</v>
      </c>
      <c r="AC452">
        <v>0.0050543223148407654</v>
      </c>
      <c r="AD452">
        <v>8.4238705247346107E-05</v>
      </c>
      <c r="AE452">
        <v>0.0055597545463248431</v>
      </c>
      <c r="AF452">
        <v>0</v>
      </c>
      <c r="AG452">
        <v>0.0080026769984978801</v>
      </c>
      <c r="AH452">
        <v>0.001684774104946922</v>
      </c>
      <c r="AI452">
        <v>0.003369548209893844</v>
      </c>
      <c r="AJ452">
        <v>0.020975437606589178</v>
      </c>
      <c r="AK452">
        <v>0</v>
      </c>
      <c r="AL452">
        <v>0</v>
      </c>
      <c r="AM452">
        <v>0</v>
      </c>
      <c r="AN452">
        <v>0.011287986503144378</v>
      </c>
      <c r="AO452">
        <v>0.0069075738302823804</v>
      </c>
      <c r="AP452">
        <v>0.00058967093673142272</v>
      </c>
      <c r="AQ452">
        <v>0.00050543223148407659</v>
      </c>
      <c r="AR452">
        <v>0.0050543223148407654</v>
      </c>
      <c r="AS452">
        <v>0</v>
      </c>
      <c r="AT452">
        <v>0.0012635805787101914</v>
      </c>
      <c r="AU452" t="s">
        <v>111</v>
      </c>
      <c r="BJ452" t="str">
        <f t="shared" si="14"/>
        <v>lcv</v>
      </c>
      <c r="BK452" t="str">
        <f t="shared" si="15"/>
        <v>bdl</v>
      </c>
    </row>
    <row r="453" spans="1:63" ht="14.5">
      <c r="A453" t="s">
        <v>118</v>
      </c>
      <c r="B453" t="s">
        <v>62</v>
      </c>
      <c r="C453" t="s">
        <v>89</v>
      </c>
      <c r="D453" t="s">
        <v>111</v>
      </c>
      <c r="E453" t="s">
        <v>111</v>
      </c>
      <c r="F453" t="s">
        <v>111</v>
      </c>
      <c r="G453" t="s">
        <v>73</v>
      </c>
      <c r="H453" t="s">
        <v>111</v>
      </c>
      <c r="I453" t="s">
        <v>111</v>
      </c>
      <c r="J453" t="s">
        <v>111</v>
      </c>
      <c r="K453" t="s">
        <v>111</v>
      </c>
      <c r="L453">
        <v>0</v>
      </c>
      <c r="M453">
        <v>0</v>
      </c>
      <c r="N453">
        <v>0</v>
      </c>
      <c r="O453">
        <v>0.001684774104946922</v>
      </c>
      <c r="P453">
        <v>0.00033695482098938443</v>
      </c>
      <c r="Q453">
        <v>0.0035380256203885363</v>
      </c>
      <c r="R453">
        <v>0.048437255517224005</v>
      </c>
      <c r="S453">
        <v>0.0026956385679150754</v>
      </c>
      <c r="T453">
        <v>0.00058967093673142272</v>
      </c>
      <c r="U453">
        <v>0.0016005353996995759</v>
      </c>
      <c r="V453">
        <v>0.010108644629681531</v>
      </c>
      <c r="W453">
        <v>0.0075814834722611486</v>
      </c>
      <c r="X453">
        <v>0.00067390964197876885</v>
      </c>
      <c r="Y453">
        <v>0.0025271611574203827</v>
      </c>
      <c r="Z453">
        <v>8.4238705247346107E-05</v>
      </c>
      <c r="AA453">
        <v>0.00025271611574203829</v>
      </c>
      <c r="AB453">
        <v>0.00067390964197876885</v>
      </c>
      <c r="AC453">
        <v>0.0050543223148407654</v>
      </c>
      <c r="AD453">
        <v>8.4238705247346107E-05</v>
      </c>
      <c r="AE453">
        <v>0.0055597545463248431</v>
      </c>
      <c r="AF453">
        <v>0</v>
      </c>
      <c r="AG453">
        <v>0.0080026769984978801</v>
      </c>
      <c r="AH453">
        <v>0.001684774104946922</v>
      </c>
      <c r="AI453">
        <v>0.003369548209893844</v>
      </c>
      <c r="AJ453">
        <v>0.020975437606589178</v>
      </c>
      <c r="AK453">
        <v>0</v>
      </c>
      <c r="AL453">
        <v>0</v>
      </c>
      <c r="AM453">
        <v>0</v>
      </c>
      <c r="AN453">
        <v>0.011287986503144378</v>
      </c>
      <c r="AO453">
        <v>0.0069075738302823804</v>
      </c>
      <c r="AP453">
        <v>0.00058967093673142272</v>
      </c>
      <c r="AQ453">
        <v>0.00050543223148407659</v>
      </c>
      <c r="AR453">
        <v>0.0050543223148407654</v>
      </c>
      <c r="AS453">
        <v>0</v>
      </c>
      <c r="AT453">
        <v>0.0012635805787101914</v>
      </c>
      <c r="AU453" t="s">
        <v>111</v>
      </c>
      <c r="BJ453" t="str">
        <f t="shared" si="14"/>
        <v>lcv</v>
      </c>
      <c r="BK453" t="str">
        <f t="shared" si="15"/>
        <v>bdl</v>
      </c>
    </row>
    <row r="454" spans="1:63" ht="14.5">
      <c r="A454" t="s">
        <v>118</v>
      </c>
      <c r="B454" t="s">
        <v>62</v>
      </c>
      <c r="C454" t="s">
        <v>89</v>
      </c>
      <c r="D454" t="s">
        <v>111</v>
      </c>
      <c r="E454" t="s">
        <v>111</v>
      </c>
      <c r="F454" t="s">
        <v>111</v>
      </c>
      <c r="G454" t="s">
        <v>72</v>
      </c>
      <c r="H454" t="s">
        <v>111</v>
      </c>
      <c r="I454" t="s">
        <v>111</v>
      </c>
      <c r="J454" t="s">
        <v>111</v>
      </c>
      <c r="K454" t="s">
        <v>111</v>
      </c>
      <c r="L454">
        <v>0</v>
      </c>
      <c r="M454">
        <v>0</v>
      </c>
      <c r="N454">
        <v>0</v>
      </c>
      <c r="O454">
        <v>0.001684774104946922</v>
      </c>
      <c r="P454">
        <v>0.00033695482098938443</v>
      </c>
      <c r="Q454">
        <v>0.0035380256203885363</v>
      </c>
      <c r="R454">
        <v>0.048437255517224005</v>
      </c>
      <c r="S454">
        <v>0.0026956385679150754</v>
      </c>
      <c r="T454">
        <v>0.00058967093673142272</v>
      </c>
      <c r="U454">
        <v>0.0016005353996995759</v>
      </c>
      <c r="V454">
        <v>0.010108644629681531</v>
      </c>
      <c r="W454">
        <v>0.0075814834722611486</v>
      </c>
      <c r="X454">
        <v>0.00067390964197876885</v>
      </c>
      <c r="Y454">
        <v>0.0025271611574203827</v>
      </c>
      <c r="Z454">
        <v>8.4238705247346107E-05</v>
      </c>
      <c r="AA454">
        <v>0.00025271611574203829</v>
      </c>
      <c r="AB454">
        <v>0.00067390964197876885</v>
      </c>
      <c r="AC454">
        <v>0.0050543223148407654</v>
      </c>
      <c r="AD454">
        <v>8.4238705247346107E-05</v>
      </c>
      <c r="AE454">
        <v>0.0055597545463248431</v>
      </c>
      <c r="AF454">
        <v>0</v>
      </c>
      <c r="AG454">
        <v>0.0080026769984978801</v>
      </c>
      <c r="AH454">
        <v>0.001684774104946922</v>
      </c>
      <c r="AI454">
        <v>0.003369548209893844</v>
      </c>
      <c r="AJ454">
        <v>0.020975437606589178</v>
      </c>
      <c r="AK454">
        <v>0</v>
      </c>
      <c r="AL454">
        <v>0</v>
      </c>
      <c r="AM454">
        <v>0</v>
      </c>
      <c r="AN454">
        <v>0.011287986503144378</v>
      </c>
      <c r="AO454">
        <v>0.0069075738302823804</v>
      </c>
      <c r="AP454">
        <v>0.00058967093673142272</v>
      </c>
      <c r="AQ454">
        <v>0.00050543223148407659</v>
      </c>
      <c r="AR454">
        <v>0.0050543223148407654</v>
      </c>
      <c r="AS454">
        <v>0</v>
      </c>
      <c r="AT454">
        <v>0.0012635805787101914</v>
      </c>
      <c r="AU454" t="s">
        <v>111</v>
      </c>
      <c r="BJ454" t="str">
        <f t="shared" si="14"/>
        <v>lcv</v>
      </c>
      <c r="BK454" t="str">
        <f t="shared" si="15"/>
        <v>bdl</v>
      </c>
    </row>
    <row r="455" spans="1:63" ht="14.5">
      <c r="A455" t="s">
        <v>118</v>
      </c>
      <c r="B455" t="s">
        <v>62</v>
      </c>
      <c r="C455" t="s">
        <v>89</v>
      </c>
      <c r="D455" t="s">
        <v>111</v>
      </c>
      <c r="E455" t="s">
        <v>111</v>
      </c>
      <c r="F455" t="s">
        <v>111</v>
      </c>
      <c r="G455" t="s">
        <v>71</v>
      </c>
      <c r="H455" t="s">
        <v>111</v>
      </c>
      <c r="I455" t="s">
        <v>111</v>
      </c>
      <c r="J455" t="s">
        <v>111</v>
      </c>
      <c r="K455" t="s">
        <v>111</v>
      </c>
      <c r="L455">
        <v>0</v>
      </c>
      <c r="M455">
        <v>0</v>
      </c>
      <c r="N455">
        <v>0</v>
      </c>
      <c r="O455">
        <v>0.001684774104946922</v>
      </c>
      <c r="P455">
        <v>0.00033695482098938443</v>
      </c>
      <c r="Q455">
        <v>0.0035380256203885363</v>
      </c>
      <c r="R455">
        <v>0.048437255517224005</v>
      </c>
      <c r="S455">
        <v>0.0026956385679150754</v>
      </c>
      <c r="T455">
        <v>0.00058967093673142272</v>
      </c>
      <c r="U455">
        <v>0.0016005353996995759</v>
      </c>
      <c r="V455">
        <v>0.010108644629681531</v>
      </c>
      <c r="W455">
        <v>0.0075814834722611486</v>
      </c>
      <c r="X455">
        <v>0.00067390964197876885</v>
      </c>
      <c r="Y455">
        <v>0.0025271611574203827</v>
      </c>
      <c r="Z455">
        <v>8.4238705247346107E-05</v>
      </c>
      <c r="AA455">
        <v>0.00025271611574203829</v>
      </c>
      <c r="AB455">
        <v>0.00067390964197876885</v>
      </c>
      <c r="AC455">
        <v>0.0050543223148407654</v>
      </c>
      <c r="AD455">
        <v>8.4238705247346107E-05</v>
      </c>
      <c r="AE455">
        <v>0.0055597545463248431</v>
      </c>
      <c r="AF455">
        <v>0</v>
      </c>
      <c r="AG455">
        <v>0.0080026769984978801</v>
      </c>
      <c r="AH455">
        <v>0.001684774104946922</v>
      </c>
      <c r="AI455">
        <v>0.003369548209893844</v>
      </c>
      <c r="AJ455">
        <v>0.020975437606589178</v>
      </c>
      <c r="AK455">
        <v>0</v>
      </c>
      <c r="AL455">
        <v>0</v>
      </c>
      <c r="AM455">
        <v>0</v>
      </c>
      <c r="AN455">
        <v>0.011287986503144378</v>
      </c>
      <c r="AO455">
        <v>0.0069075738302823804</v>
      </c>
      <c r="AP455">
        <v>0.00058967093673142272</v>
      </c>
      <c r="AQ455">
        <v>0.00050543223148407659</v>
      </c>
      <c r="AR455">
        <v>0.0050543223148407654</v>
      </c>
      <c r="AS455">
        <v>0</v>
      </c>
      <c r="AT455">
        <v>0.0012635805787101914</v>
      </c>
      <c r="AU455" t="s">
        <v>111</v>
      </c>
      <c r="BJ455" t="str">
        <f t="shared" si="14"/>
        <v>lcv</v>
      </c>
      <c r="BK455" t="str">
        <f t="shared" si="15"/>
        <v>bdl</v>
      </c>
    </row>
    <row r="456" spans="1:63" ht="14.5">
      <c r="A456" t="s">
        <v>118</v>
      </c>
      <c r="B456" t="s">
        <v>62</v>
      </c>
      <c r="C456" t="s">
        <v>89</v>
      </c>
      <c r="D456" t="s">
        <v>111</v>
      </c>
      <c r="E456" t="s">
        <v>111</v>
      </c>
      <c r="F456" t="s">
        <v>111</v>
      </c>
      <c r="G456" t="s">
        <v>70</v>
      </c>
      <c r="H456" t="s">
        <v>111</v>
      </c>
      <c r="I456" t="s">
        <v>111</v>
      </c>
      <c r="J456" t="s">
        <v>111</v>
      </c>
      <c r="K456" t="s">
        <v>111</v>
      </c>
      <c r="L456">
        <v>0</v>
      </c>
      <c r="M456">
        <v>0</v>
      </c>
      <c r="N456">
        <v>0</v>
      </c>
      <c r="O456">
        <v>0.001684774104946922</v>
      </c>
      <c r="P456">
        <v>0.00033695482098938443</v>
      </c>
      <c r="Q456">
        <v>0.0035380256203885363</v>
      </c>
      <c r="R456">
        <v>0.048437255517224005</v>
      </c>
      <c r="S456">
        <v>0.0026956385679150754</v>
      </c>
      <c r="T456">
        <v>0.00058967093673142272</v>
      </c>
      <c r="U456">
        <v>0.0016005353996995759</v>
      </c>
      <c r="V456">
        <v>0.010108644629681531</v>
      </c>
      <c r="W456">
        <v>0.0075814834722611486</v>
      </c>
      <c r="X456">
        <v>0.00067390964197876885</v>
      </c>
      <c r="Y456">
        <v>0.0025271611574203827</v>
      </c>
      <c r="Z456">
        <v>8.4238705247346107E-05</v>
      </c>
      <c r="AA456">
        <v>0.00025271611574203829</v>
      </c>
      <c r="AB456">
        <v>0.00067390964197876885</v>
      </c>
      <c r="AC456">
        <v>0.0050543223148407654</v>
      </c>
      <c r="AD456">
        <v>8.4238705247346107E-05</v>
      </c>
      <c r="AE456">
        <v>0.0055597545463248431</v>
      </c>
      <c r="AF456">
        <v>0</v>
      </c>
      <c r="AG456">
        <v>0.0080026769984978801</v>
      </c>
      <c r="AH456">
        <v>0.001684774104946922</v>
      </c>
      <c r="AI456">
        <v>0.003369548209893844</v>
      </c>
      <c r="AJ456">
        <v>0.020975437606589178</v>
      </c>
      <c r="AK456">
        <v>0</v>
      </c>
      <c r="AL456">
        <v>0</v>
      </c>
      <c r="AM456">
        <v>0</v>
      </c>
      <c r="AN456">
        <v>0.011287986503144378</v>
      </c>
      <c r="AO456">
        <v>0.0069075738302823804</v>
      </c>
      <c r="AP456">
        <v>0.00058967093673142272</v>
      </c>
      <c r="AQ456">
        <v>0.00050543223148407659</v>
      </c>
      <c r="AR456">
        <v>0.0050543223148407654</v>
      </c>
      <c r="AS456">
        <v>0</v>
      </c>
      <c r="AT456">
        <v>0.0012635805787101914</v>
      </c>
      <c r="AU456" t="s">
        <v>111</v>
      </c>
      <c r="BJ456" t="str">
        <f t="shared" si="14"/>
        <v>lcv</v>
      </c>
      <c r="BK456" t="str">
        <f t="shared" si="15"/>
        <v>bdl</v>
      </c>
    </row>
    <row r="457" spans="1:63" ht="14.5">
      <c r="A457" t="s">
        <v>118</v>
      </c>
      <c r="B457" t="s">
        <v>62</v>
      </c>
      <c r="C457" t="s">
        <v>89</v>
      </c>
      <c r="D457" t="s">
        <v>111</v>
      </c>
      <c r="E457" t="s">
        <v>111</v>
      </c>
      <c r="F457" t="s">
        <v>111</v>
      </c>
      <c r="G457" t="s">
        <v>69</v>
      </c>
      <c r="H457" t="s">
        <v>111</v>
      </c>
      <c r="I457" t="s">
        <v>111</v>
      </c>
      <c r="J457" t="s">
        <v>111</v>
      </c>
      <c r="K457" t="s">
        <v>111</v>
      </c>
      <c r="L457">
        <v>0</v>
      </c>
      <c r="M457">
        <v>0</v>
      </c>
      <c r="N457">
        <v>0</v>
      </c>
      <c r="O457">
        <v>0.001684774104946922</v>
      </c>
      <c r="P457">
        <v>0.00033695482098938443</v>
      </c>
      <c r="Q457">
        <v>0.0035380256203885363</v>
      </c>
      <c r="R457">
        <v>0.048437255517224005</v>
      </c>
      <c r="S457">
        <v>0.0026956385679150754</v>
      </c>
      <c r="T457">
        <v>0.00058967093673142272</v>
      </c>
      <c r="U457">
        <v>0.0016005353996995759</v>
      </c>
      <c r="V457">
        <v>0.010108644629681531</v>
      </c>
      <c r="W457">
        <v>0.0075814834722611486</v>
      </c>
      <c r="X457">
        <v>0.00067390964197876885</v>
      </c>
      <c r="Y457">
        <v>0.0025271611574203827</v>
      </c>
      <c r="Z457">
        <v>8.4238705247346107E-05</v>
      </c>
      <c r="AA457">
        <v>0.00025271611574203829</v>
      </c>
      <c r="AB457">
        <v>0.00067390964197876885</v>
      </c>
      <c r="AC457">
        <v>0.0050543223148407654</v>
      </c>
      <c r="AD457">
        <v>8.4238705247346107E-05</v>
      </c>
      <c r="AE457">
        <v>0.0055597545463248431</v>
      </c>
      <c r="AF457">
        <v>0</v>
      </c>
      <c r="AG457">
        <v>0.0080026769984978801</v>
      </c>
      <c r="AH457">
        <v>0.001684774104946922</v>
      </c>
      <c r="AI457">
        <v>0.003369548209893844</v>
      </c>
      <c r="AJ457">
        <v>0.020975437606589178</v>
      </c>
      <c r="AK457">
        <v>0</v>
      </c>
      <c r="AL457">
        <v>0</v>
      </c>
      <c r="AM457">
        <v>0</v>
      </c>
      <c r="AN457">
        <v>0.011287986503144378</v>
      </c>
      <c r="AO457">
        <v>0.0069075738302823804</v>
      </c>
      <c r="AP457">
        <v>0.00058967093673142272</v>
      </c>
      <c r="AQ457">
        <v>0.00050543223148407659</v>
      </c>
      <c r="AR457">
        <v>0.0050543223148407654</v>
      </c>
      <c r="AS457">
        <v>0</v>
      </c>
      <c r="AT457">
        <v>0.0012635805787101914</v>
      </c>
      <c r="AU457" t="s">
        <v>111</v>
      </c>
      <c r="BJ457" t="str">
        <f t="shared" si="14"/>
        <v>lcv</v>
      </c>
      <c r="BK457" t="str">
        <f t="shared" si="15"/>
        <v>bdl</v>
      </c>
    </row>
    <row r="458" spans="1:63" ht="14.5">
      <c r="A458" t="s">
        <v>118</v>
      </c>
      <c r="B458" t="s">
        <v>62</v>
      </c>
      <c r="C458" t="s">
        <v>89</v>
      </c>
      <c r="D458" t="s">
        <v>111</v>
      </c>
      <c r="E458" t="s">
        <v>111</v>
      </c>
      <c r="F458" t="s">
        <v>111</v>
      </c>
      <c r="G458" t="s">
        <v>68</v>
      </c>
      <c r="H458" t="s">
        <v>111</v>
      </c>
      <c r="I458" t="s">
        <v>111</v>
      </c>
      <c r="J458" t="s">
        <v>111</v>
      </c>
      <c r="K458" t="s">
        <v>111</v>
      </c>
      <c r="L458">
        <v>0</v>
      </c>
      <c r="M458">
        <v>0</v>
      </c>
      <c r="N458">
        <v>0</v>
      </c>
      <c r="O458">
        <v>0.001684774104946922</v>
      </c>
      <c r="P458">
        <v>0.00033695482098938443</v>
      </c>
      <c r="Q458">
        <v>0.0035380256203885363</v>
      </c>
      <c r="R458">
        <v>0.048437255517224005</v>
      </c>
      <c r="S458">
        <v>0.0026956385679150754</v>
      </c>
      <c r="T458">
        <v>0.00058967093673142272</v>
      </c>
      <c r="U458">
        <v>0.0016005353996995759</v>
      </c>
      <c r="V458">
        <v>0.010108644629681531</v>
      </c>
      <c r="W458">
        <v>0.0075814834722611486</v>
      </c>
      <c r="X458">
        <v>0.00067390964197876885</v>
      </c>
      <c r="Y458">
        <v>0.0025271611574203827</v>
      </c>
      <c r="Z458">
        <v>8.4238705247346107E-05</v>
      </c>
      <c r="AA458">
        <v>0.00025271611574203829</v>
      </c>
      <c r="AB458">
        <v>0.00067390964197876885</v>
      </c>
      <c r="AC458">
        <v>0.0050543223148407654</v>
      </c>
      <c r="AD458">
        <v>8.4238705247346107E-05</v>
      </c>
      <c r="AE458">
        <v>0.0055597545463248431</v>
      </c>
      <c r="AF458">
        <v>0</v>
      </c>
      <c r="AG458">
        <v>0.0080026769984978801</v>
      </c>
      <c r="AH458">
        <v>0.001684774104946922</v>
      </c>
      <c r="AI458">
        <v>0.003369548209893844</v>
      </c>
      <c r="AJ458">
        <v>0.020975437606589178</v>
      </c>
      <c r="AK458">
        <v>0</v>
      </c>
      <c r="AL458">
        <v>0</v>
      </c>
      <c r="AM458">
        <v>0</v>
      </c>
      <c r="AN458">
        <v>0.011287986503144378</v>
      </c>
      <c r="AO458">
        <v>0.0069075738302823804</v>
      </c>
      <c r="AP458">
        <v>0.00058967093673142272</v>
      </c>
      <c r="AQ458">
        <v>0.00050543223148407659</v>
      </c>
      <c r="AR458">
        <v>0.0050543223148407654</v>
      </c>
      <c r="AS458">
        <v>0</v>
      </c>
      <c r="AT458">
        <v>0.0012635805787101914</v>
      </c>
      <c r="AU458" t="s">
        <v>111</v>
      </c>
      <c r="BJ458" t="str">
        <f t="shared" si="14"/>
        <v>lcv</v>
      </c>
      <c r="BK458" t="str">
        <f t="shared" si="15"/>
        <v>bdl</v>
      </c>
    </row>
    <row r="459" spans="1:63" ht="14.5">
      <c r="A459" t="s">
        <v>118</v>
      </c>
      <c r="B459" t="s">
        <v>62</v>
      </c>
      <c r="C459" t="s">
        <v>89</v>
      </c>
      <c r="D459" t="s">
        <v>111</v>
      </c>
      <c r="E459" t="s">
        <v>111</v>
      </c>
      <c r="F459" t="s">
        <v>111</v>
      </c>
      <c r="G459" t="s">
        <v>67</v>
      </c>
      <c r="H459" t="s">
        <v>111</v>
      </c>
      <c r="I459" t="s">
        <v>111</v>
      </c>
      <c r="J459" t="s">
        <v>111</v>
      </c>
      <c r="K459" t="s">
        <v>111</v>
      </c>
      <c r="L459">
        <v>0</v>
      </c>
      <c r="M459">
        <v>0</v>
      </c>
      <c r="N459">
        <v>0</v>
      </c>
      <c r="O459">
        <v>0.001684774104946922</v>
      </c>
      <c r="P459">
        <v>0.00033695482098938443</v>
      </c>
      <c r="Q459">
        <v>0.0035380256203885363</v>
      </c>
      <c r="R459">
        <v>0.048437255517224005</v>
      </c>
      <c r="S459">
        <v>0.0026956385679150754</v>
      </c>
      <c r="T459">
        <v>0.00058967093673142272</v>
      </c>
      <c r="U459">
        <v>0.0016005353996995759</v>
      </c>
      <c r="V459">
        <v>0.010108644629681531</v>
      </c>
      <c r="W459">
        <v>0.0075814834722611486</v>
      </c>
      <c r="X459">
        <v>0.00067390964197876885</v>
      </c>
      <c r="Y459">
        <v>0.0025271611574203827</v>
      </c>
      <c r="Z459">
        <v>8.4238705247346107E-05</v>
      </c>
      <c r="AA459">
        <v>0.00025271611574203829</v>
      </c>
      <c r="AB459">
        <v>0.00067390964197876885</v>
      </c>
      <c r="AC459">
        <v>0.0050543223148407654</v>
      </c>
      <c r="AD459">
        <v>8.4238705247346107E-05</v>
      </c>
      <c r="AE459">
        <v>0.0055597545463248431</v>
      </c>
      <c r="AF459">
        <v>0</v>
      </c>
      <c r="AG459">
        <v>0.0080026769984978801</v>
      </c>
      <c r="AH459">
        <v>0.001684774104946922</v>
      </c>
      <c r="AI459">
        <v>0.003369548209893844</v>
      </c>
      <c r="AJ459">
        <v>0.020975437606589178</v>
      </c>
      <c r="AK459">
        <v>0</v>
      </c>
      <c r="AL459">
        <v>0</v>
      </c>
      <c r="AM459">
        <v>0</v>
      </c>
      <c r="AN459">
        <v>0.011287986503144378</v>
      </c>
      <c r="AO459">
        <v>0.0069075738302823804</v>
      </c>
      <c r="AP459">
        <v>0.00058967093673142272</v>
      </c>
      <c r="AQ459">
        <v>0.00050543223148407659</v>
      </c>
      <c r="AR459">
        <v>0.0050543223148407654</v>
      </c>
      <c r="AS459">
        <v>0</v>
      </c>
      <c r="AT459">
        <v>0.0012635805787101914</v>
      </c>
      <c r="AU459" t="s">
        <v>111</v>
      </c>
      <c r="BJ459" t="str">
        <f t="shared" si="14"/>
        <v>lcv</v>
      </c>
      <c r="BK459" t="str">
        <f t="shared" si="15"/>
        <v>bdl</v>
      </c>
    </row>
    <row r="460" spans="1:63" ht="14.5">
      <c r="A460" t="s">
        <v>118</v>
      </c>
      <c r="B460" t="s">
        <v>62</v>
      </c>
      <c r="C460" t="s">
        <v>89</v>
      </c>
      <c r="D460" t="s">
        <v>111</v>
      </c>
      <c r="E460" t="s">
        <v>111</v>
      </c>
      <c r="F460" t="s">
        <v>111</v>
      </c>
      <c r="G460" t="s">
        <v>66</v>
      </c>
      <c r="H460" t="s">
        <v>111</v>
      </c>
      <c r="I460" t="s">
        <v>111</v>
      </c>
      <c r="J460" t="s">
        <v>111</v>
      </c>
      <c r="K460" t="s">
        <v>111</v>
      </c>
      <c r="L460">
        <v>0</v>
      </c>
      <c r="M460">
        <v>0</v>
      </c>
      <c r="N460">
        <v>0</v>
      </c>
      <c r="O460">
        <v>0.001684774104946922</v>
      </c>
      <c r="P460">
        <v>0.00033695482098938443</v>
      </c>
      <c r="Q460">
        <v>0.0035380256203885363</v>
      </c>
      <c r="R460">
        <v>0.048437255517224005</v>
      </c>
      <c r="S460">
        <v>0.0026956385679150754</v>
      </c>
      <c r="T460">
        <v>0.00058967093673142272</v>
      </c>
      <c r="U460">
        <v>0.0016005353996995759</v>
      </c>
      <c r="V460">
        <v>0.010108644629681531</v>
      </c>
      <c r="W460">
        <v>0.0075814834722611486</v>
      </c>
      <c r="X460">
        <v>0.00067390964197876885</v>
      </c>
      <c r="Y460">
        <v>0.0025271611574203827</v>
      </c>
      <c r="Z460">
        <v>8.4238705247346107E-05</v>
      </c>
      <c r="AA460">
        <v>0.00025271611574203829</v>
      </c>
      <c r="AB460">
        <v>0.00067390964197876885</v>
      </c>
      <c r="AC460">
        <v>0.0050543223148407654</v>
      </c>
      <c r="AD460">
        <v>8.4238705247346107E-05</v>
      </c>
      <c r="AE460">
        <v>0.0055597545463248431</v>
      </c>
      <c r="AF460">
        <v>0</v>
      </c>
      <c r="AG460">
        <v>0.0080026769984978801</v>
      </c>
      <c r="AH460">
        <v>0.001684774104946922</v>
      </c>
      <c r="AI460">
        <v>0.003369548209893844</v>
      </c>
      <c r="AJ460">
        <v>0.020975437606589178</v>
      </c>
      <c r="AK460">
        <v>0</v>
      </c>
      <c r="AL460">
        <v>0</v>
      </c>
      <c r="AM460">
        <v>0</v>
      </c>
      <c r="AN460">
        <v>0.011287986503144378</v>
      </c>
      <c r="AO460">
        <v>0.0069075738302823804</v>
      </c>
      <c r="AP460">
        <v>0.00058967093673142272</v>
      </c>
      <c r="AQ460">
        <v>0.00050543223148407659</v>
      </c>
      <c r="AR460">
        <v>0.0050543223148407654</v>
      </c>
      <c r="AS460">
        <v>0</v>
      </c>
      <c r="AT460">
        <v>0.0012635805787101914</v>
      </c>
      <c r="AU460" t="s">
        <v>111</v>
      </c>
      <c r="BJ460" t="str">
        <f t="shared" si="14"/>
        <v>lcv</v>
      </c>
      <c r="BK460" t="str">
        <f t="shared" si="15"/>
        <v>bdl</v>
      </c>
    </row>
    <row r="461" spans="1:63" ht="14.5">
      <c r="A461" t="s">
        <v>118</v>
      </c>
      <c r="B461" t="s">
        <v>62</v>
      </c>
      <c r="C461" t="s">
        <v>89</v>
      </c>
      <c r="D461" t="s">
        <v>111</v>
      </c>
      <c r="E461" t="s">
        <v>111</v>
      </c>
      <c r="F461" t="s">
        <v>111</v>
      </c>
      <c r="G461" t="s">
        <v>65</v>
      </c>
      <c r="H461" t="s">
        <v>111</v>
      </c>
      <c r="I461" t="s">
        <v>111</v>
      </c>
      <c r="J461" t="s">
        <v>111</v>
      </c>
      <c r="K461" t="s">
        <v>111</v>
      </c>
      <c r="L461">
        <v>0</v>
      </c>
      <c r="M461">
        <v>0</v>
      </c>
      <c r="N461">
        <v>0</v>
      </c>
      <c r="O461">
        <v>0.001684774104946922</v>
      </c>
      <c r="P461">
        <v>0.00033695482098938443</v>
      </c>
      <c r="Q461">
        <v>0.0035380256203885363</v>
      </c>
      <c r="R461">
        <v>0.048437255517224005</v>
      </c>
      <c r="S461">
        <v>0.0026956385679150754</v>
      </c>
      <c r="T461">
        <v>0.00058967093673142272</v>
      </c>
      <c r="U461">
        <v>0.0016005353996995759</v>
      </c>
      <c r="V461">
        <v>0.010108644629681531</v>
      </c>
      <c r="W461">
        <v>0.0075814834722611486</v>
      </c>
      <c r="X461">
        <v>0.00067390964197876885</v>
      </c>
      <c r="Y461">
        <v>0.0025271611574203827</v>
      </c>
      <c r="Z461">
        <v>8.4238705247346107E-05</v>
      </c>
      <c r="AA461">
        <v>0.00025271611574203829</v>
      </c>
      <c r="AB461">
        <v>0.00067390964197876885</v>
      </c>
      <c r="AC461">
        <v>0.0050543223148407654</v>
      </c>
      <c r="AD461">
        <v>8.4238705247346107E-05</v>
      </c>
      <c r="AE461">
        <v>0.0055597545463248431</v>
      </c>
      <c r="AF461">
        <v>0</v>
      </c>
      <c r="AG461">
        <v>0.0080026769984978801</v>
      </c>
      <c r="AH461">
        <v>0.001684774104946922</v>
      </c>
      <c r="AI461">
        <v>0.003369548209893844</v>
      </c>
      <c r="AJ461">
        <v>0.020975437606589178</v>
      </c>
      <c r="AK461">
        <v>0</v>
      </c>
      <c r="AL461">
        <v>0</v>
      </c>
      <c r="AM461">
        <v>0</v>
      </c>
      <c r="AN461">
        <v>0.011287986503144378</v>
      </c>
      <c r="AO461">
        <v>0.0069075738302823804</v>
      </c>
      <c r="AP461">
        <v>0.00058967093673142272</v>
      </c>
      <c r="AQ461">
        <v>0.00050543223148407659</v>
      </c>
      <c r="AR461">
        <v>0.0050543223148407654</v>
      </c>
      <c r="AS461">
        <v>0</v>
      </c>
      <c r="AT461">
        <v>0.0012635805787101914</v>
      </c>
      <c r="AU461" t="s">
        <v>111</v>
      </c>
      <c r="BJ461" t="str">
        <f t="shared" si="14"/>
        <v>lcv</v>
      </c>
      <c r="BK461" t="str">
        <f t="shared" si="15"/>
        <v>bdl</v>
      </c>
    </row>
    <row r="462" spans="1:63" ht="14.5">
      <c r="A462" t="s">
        <v>118</v>
      </c>
      <c r="B462" t="s">
        <v>62</v>
      </c>
      <c r="C462" t="s">
        <v>88</v>
      </c>
      <c r="D462" t="s">
        <v>111</v>
      </c>
      <c r="E462" t="s">
        <v>111</v>
      </c>
      <c r="F462" t="s">
        <v>111</v>
      </c>
      <c r="G462" t="s">
        <v>61</v>
      </c>
      <c r="H462" t="s">
        <v>111</v>
      </c>
      <c r="I462" t="s">
        <v>111</v>
      </c>
      <c r="J462" t="s">
        <v>111</v>
      </c>
      <c r="K462" t="s">
        <v>111</v>
      </c>
      <c r="L462">
        <v>0.16005353996995758</v>
      </c>
      <c r="M462">
        <v>0.14219493445752021</v>
      </c>
      <c r="N462">
        <v>0.090219653319907667</v>
      </c>
      <c r="O462">
        <v>0.024850418047967098</v>
      </c>
      <c r="P462">
        <v>0.0091820188719607242</v>
      </c>
      <c r="Q462">
        <v>0.052564952074343967</v>
      </c>
      <c r="R462">
        <v>0.1067304395483875</v>
      </c>
      <c r="S462">
        <v>0.27925130789495234</v>
      </c>
      <c r="T462">
        <v>0.011540702618886416</v>
      </c>
      <c r="U462">
        <v>0.024766179342719751</v>
      </c>
      <c r="V462">
        <v>0.12340970318736204</v>
      </c>
      <c r="W462">
        <v>0.13326563170130154</v>
      </c>
      <c r="X462">
        <v>0.010782554271660302</v>
      </c>
      <c r="Y462">
        <v>0.038665565708531864</v>
      </c>
      <c r="Z462">
        <v>0.00075814834722611488</v>
      </c>
      <c r="AA462">
        <v>0.364837832426256</v>
      </c>
      <c r="AB462">
        <v>0.011793418734628455</v>
      </c>
      <c r="AC462">
        <v>0.086344672878529746</v>
      </c>
      <c r="AD462">
        <v>0.10403480098047244</v>
      </c>
      <c r="AE462">
        <v>0.10959455552679727</v>
      </c>
      <c r="AF462">
        <v>0.16165407536965717</v>
      </c>
      <c r="AG462">
        <v>0.24572430320650857</v>
      </c>
      <c r="AH462">
        <v>0.0085081092299819569</v>
      </c>
      <c r="AI462">
        <v>0.056861126041958622</v>
      </c>
      <c r="AJ462">
        <v>0.29534090059719542</v>
      </c>
      <c r="AK462">
        <v>0.053238861716322736</v>
      </c>
      <c r="AL462">
        <v>0.091904427424854593</v>
      </c>
      <c r="AM462">
        <v>0.049953552211676237</v>
      </c>
      <c r="AN462">
        <v>0.16485514616905633</v>
      </c>
      <c r="AO462">
        <v>0.030915604825776016</v>
      </c>
      <c r="AP462">
        <v>0.010951031682154994</v>
      </c>
      <c r="AQ462">
        <v>0.088787595330702795</v>
      </c>
      <c r="AR462">
        <v>0.097295704560684745</v>
      </c>
      <c r="AS462">
        <v>0.013815147660564761</v>
      </c>
      <c r="AT462">
        <v>0.04801606199098727</v>
      </c>
      <c r="AU462" t="s">
        <v>111</v>
      </c>
      <c r="BJ462" t="str">
        <f t="shared" si="14"/>
        <v>lcv</v>
      </c>
      <c r="BK462" t="str">
        <f t="shared" si="15"/>
        <v>dsl</v>
      </c>
    </row>
    <row r="463" spans="1:63" ht="14.5">
      <c r="A463" t="s">
        <v>118</v>
      </c>
      <c r="B463" t="s">
        <v>62</v>
      </c>
      <c r="C463" t="s">
        <v>88</v>
      </c>
      <c r="D463" t="s">
        <v>111</v>
      </c>
      <c r="E463" t="s">
        <v>111</v>
      </c>
      <c r="F463" t="s">
        <v>111</v>
      </c>
      <c r="G463" t="s">
        <v>83</v>
      </c>
      <c r="H463" t="s">
        <v>111</v>
      </c>
      <c r="I463" t="s">
        <v>111</v>
      </c>
      <c r="J463" t="s">
        <v>111</v>
      </c>
      <c r="K463" t="s">
        <v>111</v>
      </c>
      <c r="L463">
        <v>0.16005353996995758</v>
      </c>
      <c r="M463">
        <v>0.14219493445752021</v>
      </c>
      <c r="N463">
        <v>0.090219653319907667</v>
      </c>
      <c r="O463">
        <v>0.024850418047967098</v>
      </c>
      <c r="P463">
        <v>0.0091820188719607242</v>
      </c>
      <c r="Q463">
        <v>0.052564952074343967</v>
      </c>
      <c r="R463">
        <v>0.1067304395483875</v>
      </c>
      <c r="S463">
        <v>0.27925130789495234</v>
      </c>
      <c r="T463">
        <v>0.011540702618886416</v>
      </c>
      <c r="U463">
        <v>0.024766179342719751</v>
      </c>
      <c r="V463">
        <v>0.12340970318736204</v>
      </c>
      <c r="W463">
        <v>0.13326563170130154</v>
      </c>
      <c r="X463">
        <v>0.010782554271660302</v>
      </c>
      <c r="Y463">
        <v>0.038665565708531864</v>
      </c>
      <c r="Z463">
        <v>0.00075814834722611488</v>
      </c>
      <c r="AA463">
        <v>0.364837832426256</v>
      </c>
      <c r="AB463">
        <v>0.011793418734628455</v>
      </c>
      <c r="AC463">
        <v>0.086344672878529746</v>
      </c>
      <c r="AD463">
        <v>0.10403480098047244</v>
      </c>
      <c r="AE463">
        <v>0.10959455552679727</v>
      </c>
      <c r="AF463">
        <v>0.16165407536965717</v>
      </c>
      <c r="AG463">
        <v>0.24572430320650857</v>
      </c>
      <c r="AH463">
        <v>0.0085081092299819569</v>
      </c>
      <c r="AI463">
        <v>0.056861126041958622</v>
      </c>
      <c r="AJ463">
        <v>0.29534090059719542</v>
      </c>
      <c r="AK463">
        <v>0.053238861716322736</v>
      </c>
      <c r="AL463">
        <v>0.091904427424854593</v>
      </c>
      <c r="AM463">
        <v>0.049953552211676237</v>
      </c>
      <c r="AN463">
        <v>0.16485514616905633</v>
      </c>
      <c r="AO463">
        <v>0.030915604825776016</v>
      </c>
      <c r="AP463">
        <v>0.010951031682154994</v>
      </c>
      <c r="AQ463">
        <v>0.088787595330702795</v>
      </c>
      <c r="AR463">
        <v>0.097295704560684745</v>
      </c>
      <c r="AS463">
        <v>0.013815147660564761</v>
      </c>
      <c r="AT463">
        <v>0.04801606199098727</v>
      </c>
      <c r="AU463" t="s">
        <v>111</v>
      </c>
      <c r="BJ463" t="str">
        <f t="shared" si="14"/>
        <v>lcv</v>
      </c>
      <c r="BK463" t="str">
        <f t="shared" si="15"/>
        <v>dsl</v>
      </c>
    </row>
    <row r="464" spans="1:63" ht="14.5">
      <c r="A464" t="s">
        <v>118</v>
      </c>
      <c r="B464" t="s">
        <v>62</v>
      </c>
      <c r="C464" t="s">
        <v>88</v>
      </c>
      <c r="D464" t="s">
        <v>111</v>
      </c>
      <c r="E464" t="s">
        <v>111</v>
      </c>
      <c r="F464" t="s">
        <v>111</v>
      </c>
      <c r="G464" t="s">
        <v>82</v>
      </c>
      <c r="H464" t="s">
        <v>111</v>
      </c>
      <c r="I464" t="s">
        <v>111</v>
      </c>
      <c r="J464" t="s">
        <v>111</v>
      </c>
      <c r="K464" t="s">
        <v>111</v>
      </c>
      <c r="L464">
        <v>0.16005353996995758</v>
      </c>
      <c r="M464">
        <v>0.14219493445752021</v>
      </c>
      <c r="N464">
        <v>0.090219653319907667</v>
      </c>
      <c r="O464">
        <v>0.024850418047967098</v>
      </c>
      <c r="P464">
        <v>0.0091820188719607242</v>
      </c>
      <c r="Q464">
        <v>0.052564952074343967</v>
      </c>
      <c r="R464">
        <v>0.1067304395483875</v>
      </c>
      <c r="S464">
        <v>0.27925130789495234</v>
      </c>
      <c r="T464">
        <v>0.011540702618886416</v>
      </c>
      <c r="U464">
        <v>0.024766179342719751</v>
      </c>
      <c r="V464">
        <v>0.12340970318736204</v>
      </c>
      <c r="W464">
        <v>0.13326563170130154</v>
      </c>
      <c r="X464">
        <v>0.010782554271660302</v>
      </c>
      <c r="Y464">
        <v>0.038665565708531864</v>
      </c>
      <c r="Z464">
        <v>0.00075814834722611488</v>
      </c>
      <c r="AA464">
        <v>0.364837832426256</v>
      </c>
      <c r="AB464">
        <v>0.011793418734628455</v>
      </c>
      <c r="AC464">
        <v>0.086344672878529746</v>
      </c>
      <c r="AD464">
        <v>0.10403480098047244</v>
      </c>
      <c r="AE464">
        <v>0.10959455552679727</v>
      </c>
      <c r="AF464">
        <v>0.16165407536965717</v>
      </c>
      <c r="AG464">
        <v>0.24572430320650857</v>
      </c>
      <c r="AH464">
        <v>0.0085081092299819569</v>
      </c>
      <c r="AI464">
        <v>0.056861126041958622</v>
      </c>
      <c r="AJ464">
        <v>0.29534090059719542</v>
      </c>
      <c r="AK464">
        <v>0.053238861716322736</v>
      </c>
      <c r="AL464">
        <v>0.091904427424854593</v>
      </c>
      <c r="AM464">
        <v>0.049953552211676237</v>
      </c>
      <c r="AN464">
        <v>0.16485514616905633</v>
      </c>
      <c r="AO464">
        <v>0.030915604825776016</v>
      </c>
      <c r="AP464">
        <v>0.010951031682154994</v>
      </c>
      <c r="AQ464">
        <v>0.088787595330702795</v>
      </c>
      <c r="AR464">
        <v>0.097295704560684745</v>
      </c>
      <c r="AS464">
        <v>0.013815147660564761</v>
      </c>
      <c r="AT464">
        <v>0.04801606199098727</v>
      </c>
      <c r="AU464" t="s">
        <v>111</v>
      </c>
      <c r="BJ464" t="str">
        <f t="shared" si="14"/>
        <v>lcv</v>
      </c>
      <c r="BK464" t="str">
        <f t="shared" si="15"/>
        <v>dsl</v>
      </c>
    </row>
    <row r="465" spans="1:63" ht="14.5">
      <c r="A465" t="s">
        <v>118</v>
      </c>
      <c r="B465" t="s">
        <v>62</v>
      </c>
      <c r="C465" t="s">
        <v>88</v>
      </c>
      <c r="D465" t="s">
        <v>111</v>
      </c>
      <c r="E465" t="s">
        <v>111</v>
      </c>
      <c r="F465" t="s">
        <v>111</v>
      </c>
      <c r="G465" t="s">
        <v>81</v>
      </c>
      <c r="H465" t="s">
        <v>111</v>
      </c>
      <c r="I465" t="s">
        <v>111</v>
      </c>
      <c r="J465" t="s">
        <v>111</v>
      </c>
      <c r="K465" t="s">
        <v>111</v>
      </c>
      <c r="L465">
        <v>0.16005353996995758</v>
      </c>
      <c r="M465">
        <v>0.14219493445752021</v>
      </c>
      <c r="N465">
        <v>0.090219653319907667</v>
      </c>
      <c r="O465">
        <v>0.024850418047967098</v>
      </c>
      <c r="P465">
        <v>0.0091820188719607242</v>
      </c>
      <c r="Q465">
        <v>0.052564952074343967</v>
      </c>
      <c r="R465">
        <v>0.1067304395483875</v>
      </c>
      <c r="S465">
        <v>0.27925130789495234</v>
      </c>
      <c r="T465">
        <v>0.011540702618886416</v>
      </c>
      <c r="U465">
        <v>0.024766179342719751</v>
      </c>
      <c r="V465">
        <v>0.12340970318736204</v>
      </c>
      <c r="W465">
        <v>0.13326563170130154</v>
      </c>
      <c r="X465">
        <v>0.010782554271660302</v>
      </c>
      <c r="Y465">
        <v>0.038665565708531864</v>
      </c>
      <c r="Z465">
        <v>0.00075814834722611488</v>
      </c>
      <c r="AA465">
        <v>0.364837832426256</v>
      </c>
      <c r="AB465">
        <v>0.011793418734628455</v>
      </c>
      <c r="AC465">
        <v>0.086344672878529746</v>
      </c>
      <c r="AD465">
        <v>0.10403480098047244</v>
      </c>
      <c r="AE465">
        <v>0.10959455552679727</v>
      </c>
      <c r="AF465">
        <v>0.16165407536965717</v>
      </c>
      <c r="AG465">
        <v>0.24572430320650857</v>
      </c>
      <c r="AH465">
        <v>0.0085081092299819569</v>
      </c>
      <c r="AI465">
        <v>0.056861126041958622</v>
      </c>
      <c r="AJ465">
        <v>0.29534090059719542</v>
      </c>
      <c r="AK465">
        <v>0.053238861716322736</v>
      </c>
      <c r="AL465">
        <v>0.091904427424854593</v>
      </c>
      <c r="AM465">
        <v>0.049953552211676237</v>
      </c>
      <c r="AN465">
        <v>0.16485514616905633</v>
      </c>
      <c r="AO465">
        <v>0.030915604825776016</v>
      </c>
      <c r="AP465">
        <v>0.010951031682154994</v>
      </c>
      <c r="AQ465">
        <v>0.088787595330702795</v>
      </c>
      <c r="AR465">
        <v>0.097295704560684745</v>
      </c>
      <c r="AS465">
        <v>0.013815147660564761</v>
      </c>
      <c r="AT465">
        <v>0.04801606199098727</v>
      </c>
      <c r="AU465" t="s">
        <v>111</v>
      </c>
      <c r="BJ465" t="str">
        <f t="shared" si="14"/>
        <v>lcv</v>
      </c>
      <c r="BK465" t="str">
        <f t="shared" si="15"/>
        <v>dsl</v>
      </c>
    </row>
    <row r="466" spans="1:63" ht="14.5">
      <c r="A466" t="s">
        <v>118</v>
      </c>
      <c r="B466" t="s">
        <v>62</v>
      </c>
      <c r="C466" t="s">
        <v>88</v>
      </c>
      <c r="D466" t="s">
        <v>111</v>
      </c>
      <c r="E466" t="s">
        <v>111</v>
      </c>
      <c r="F466" t="s">
        <v>111</v>
      </c>
      <c r="G466" t="s">
        <v>80</v>
      </c>
      <c r="H466" t="s">
        <v>111</v>
      </c>
      <c r="I466" t="s">
        <v>111</v>
      </c>
      <c r="J466" t="s">
        <v>111</v>
      </c>
      <c r="K466" t="s">
        <v>111</v>
      </c>
      <c r="L466">
        <v>0.16005353996995758</v>
      </c>
      <c r="M466">
        <v>0.14219493445752021</v>
      </c>
      <c r="N466">
        <v>0.090219653319907667</v>
      </c>
      <c r="O466">
        <v>0.024850418047967098</v>
      </c>
      <c r="P466">
        <v>0.0091820188719607242</v>
      </c>
      <c r="Q466">
        <v>0.052564952074343967</v>
      </c>
      <c r="R466">
        <v>0.1067304395483875</v>
      </c>
      <c r="S466">
        <v>0.27925130789495234</v>
      </c>
      <c r="T466">
        <v>0.011540702618886416</v>
      </c>
      <c r="U466">
        <v>0.024766179342719751</v>
      </c>
      <c r="V466">
        <v>0.12340970318736204</v>
      </c>
      <c r="W466">
        <v>0.13326563170130154</v>
      </c>
      <c r="X466">
        <v>0.010782554271660302</v>
      </c>
      <c r="Y466">
        <v>0.038665565708531864</v>
      </c>
      <c r="Z466">
        <v>0.00075814834722611488</v>
      </c>
      <c r="AA466">
        <v>0.364837832426256</v>
      </c>
      <c r="AB466">
        <v>0.011793418734628455</v>
      </c>
      <c r="AC466">
        <v>0.086344672878529746</v>
      </c>
      <c r="AD466">
        <v>0.10403480098047244</v>
      </c>
      <c r="AE466">
        <v>0.10959455552679727</v>
      </c>
      <c r="AF466">
        <v>0.16165407536965717</v>
      </c>
      <c r="AG466">
        <v>0.24572430320650857</v>
      </c>
      <c r="AH466">
        <v>0.0085081092299819569</v>
      </c>
      <c r="AI466">
        <v>0.056861126041958622</v>
      </c>
      <c r="AJ466">
        <v>0.29534090059719542</v>
      </c>
      <c r="AK466">
        <v>0.053238861716322736</v>
      </c>
      <c r="AL466">
        <v>0.091904427424854593</v>
      </c>
      <c r="AM466">
        <v>0.049953552211676237</v>
      </c>
      <c r="AN466">
        <v>0.16485514616905633</v>
      </c>
      <c r="AO466">
        <v>0.030915604825776016</v>
      </c>
      <c r="AP466">
        <v>0.010951031682154994</v>
      </c>
      <c r="AQ466">
        <v>0.088787595330702795</v>
      </c>
      <c r="AR466">
        <v>0.097295704560684745</v>
      </c>
      <c r="AS466">
        <v>0.013815147660564761</v>
      </c>
      <c r="AT466">
        <v>0.04801606199098727</v>
      </c>
      <c r="AU466" t="s">
        <v>111</v>
      </c>
      <c r="BJ466" t="str">
        <f t="shared" si="14"/>
        <v>lcv</v>
      </c>
      <c r="BK466" t="str">
        <f t="shared" si="15"/>
        <v>dsl</v>
      </c>
    </row>
    <row r="467" spans="1:63" ht="14.5">
      <c r="A467" t="s">
        <v>118</v>
      </c>
      <c r="B467" t="s">
        <v>62</v>
      </c>
      <c r="C467" t="s">
        <v>88</v>
      </c>
      <c r="D467" t="s">
        <v>111</v>
      </c>
      <c r="E467" t="s">
        <v>111</v>
      </c>
      <c r="F467" t="s">
        <v>111</v>
      </c>
      <c r="G467" t="s">
        <v>79</v>
      </c>
      <c r="H467" t="s">
        <v>111</v>
      </c>
      <c r="I467" t="s">
        <v>111</v>
      </c>
      <c r="J467" t="s">
        <v>111</v>
      </c>
      <c r="K467" t="s">
        <v>111</v>
      </c>
      <c r="L467">
        <v>0.16005353996995758</v>
      </c>
      <c r="M467">
        <v>0.14219493445752021</v>
      </c>
      <c r="N467">
        <v>0.090219653319907667</v>
      </c>
      <c r="O467">
        <v>0.024850418047967098</v>
      </c>
      <c r="P467">
        <v>0.0091820188719607242</v>
      </c>
      <c r="Q467">
        <v>0.052564952074343967</v>
      </c>
      <c r="R467">
        <v>0.1067304395483875</v>
      </c>
      <c r="S467">
        <v>0.27925130789495234</v>
      </c>
      <c r="T467">
        <v>0.011540702618886416</v>
      </c>
      <c r="U467">
        <v>0.024766179342719751</v>
      </c>
      <c r="V467">
        <v>0.12340970318736204</v>
      </c>
      <c r="W467">
        <v>0.13326563170130154</v>
      </c>
      <c r="X467">
        <v>0.010782554271660302</v>
      </c>
      <c r="Y467">
        <v>0.038665565708531864</v>
      </c>
      <c r="Z467">
        <v>0.00075814834722611488</v>
      </c>
      <c r="AA467">
        <v>0.364837832426256</v>
      </c>
      <c r="AB467">
        <v>0.011793418734628455</v>
      </c>
      <c r="AC467">
        <v>0.086344672878529746</v>
      </c>
      <c r="AD467">
        <v>0.10403480098047244</v>
      </c>
      <c r="AE467">
        <v>0.10959455552679727</v>
      </c>
      <c r="AF467">
        <v>0.16165407536965717</v>
      </c>
      <c r="AG467">
        <v>0.24572430320650857</v>
      </c>
      <c r="AH467">
        <v>0.0085081092299819569</v>
      </c>
      <c r="AI467">
        <v>0.056861126041958622</v>
      </c>
      <c r="AJ467">
        <v>0.29534090059719542</v>
      </c>
      <c r="AK467">
        <v>0.053238861716322736</v>
      </c>
      <c r="AL467">
        <v>0.091904427424854593</v>
      </c>
      <c r="AM467">
        <v>0.049953552211676237</v>
      </c>
      <c r="AN467">
        <v>0.16485514616905633</v>
      </c>
      <c r="AO467">
        <v>0.030915604825776016</v>
      </c>
      <c r="AP467">
        <v>0.010951031682154994</v>
      </c>
      <c r="AQ467">
        <v>0.088787595330702795</v>
      </c>
      <c r="AR467">
        <v>0.097295704560684745</v>
      </c>
      <c r="AS467">
        <v>0.013815147660564761</v>
      </c>
      <c r="AT467">
        <v>0.04801606199098727</v>
      </c>
      <c r="AU467" t="s">
        <v>111</v>
      </c>
      <c r="BJ467" t="str">
        <f t="shared" si="14"/>
        <v>lcv</v>
      </c>
      <c r="BK467" t="str">
        <f t="shared" si="15"/>
        <v>dsl</v>
      </c>
    </row>
    <row r="468" spans="1:63" ht="14.5">
      <c r="A468" t="s">
        <v>118</v>
      </c>
      <c r="B468" t="s">
        <v>62</v>
      </c>
      <c r="C468" t="s">
        <v>88</v>
      </c>
      <c r="D468" t="s">
        <v>111</v>
      </c>
      <c r="E468" t="s">
        <v>111</v>
      </c>
      <c r="F468" t="s">
        <v>111</v>
      </c>
      <c r="G468" t="s">
        <v>78</v>
      </c>
      <c r="H468" t="s">
        <v>111</v>
      </c>
      <c r="I468" t="s">
        <v>111</v>
      </c>
      <c r="J468" t="s">
        <v>111</v>
      </c>
      <c r="K468" t="s">
        <v>111</v>
      </c>
      <c r="L468">
        <v>0.16005353996995758</v>
      </c>
      <c r="M468">
        <v>0.14219493445752021</v>
      </c>
      <c r="N468">
        <v>0.090219653319907667</v>
      </c>
      <c r="O468">
        <v>0.024850418047967098</v>
      </c>
      <c r="P468">
        <v>0.0091820188719607242</v>
      </c>
      <c r="Q468">
        <v>0.052564952074343967</v>
      </c>
      <c r="R468">
        <v>0.1067304395483875</v>
      </c>
      <c r="S468">
        <v>0.27925130789495234</v>
      </c>
      <c r="T468">
        <v>0.011540702618886416</v>
      </c>
      <c r="U468">
        <v>0.024766179342719751</v>
      </c>
      <c r="V468">
        <v>0.12340970318736204</v>
      </c>
      <c r="W468">
        <v>0.13326563170130154</v>
      </c>
      <c r="X468">
        <v>0.010782554271660302</v>
      </c>
      <c r="Y468">
        <v>0.038665565708531864</v>
      </c>
      <c r="Z468">
        <v>0.00075814834722611488</v>
      </c>
      <c r="AA468">
        <v>0.364837832426256</v>
      </c>
      <c r="AB468">
        <v>0.011793418734628455</v>
      </c>
      <c r="AC468">
        <v>0.086344672878529746</v>
      </c>
      <c r="AD468">
        <v>0.10403480098047244</v>
      </c>
      <c r="AE468">
        <v>0.10959455552679727</v>
      </c>
      <c r="AF468">
        <v>0.16165407536965717</v>
      </c>
      <c r="AG468">
        <v>0.24572430320650857</v>
      </c>
      <c r="AH468">
        <v>0.0085081092299819569</v>
      </c>
      <c r="AI468">
        <v>0.056861126041958622</v>
      </c>
      <c r="AJ468">
        <v>0.29534090059719542</v>
      </c>
      <c r="AK468">
        <v>0.053238861716322736</v>
      </c>
      <c r="AL468">
        <v>0.091904427424854593</v>
      </c>
      <c r="AM468">
        <v>0.049953552211676237</v>
      </c>
      <c r="AN468">
        <v>0.16485514616905633</v>
      </c>
      <c r="AO468">
        <v>0.030915604825776016</v>
      </c>
      <c r="AP468">
        <v>0.010951031682154994</v>
      </c>
      <c r="AQ468">
        <v>0.088787595330702795</v>
      </c>
      <c r="AR468">
        <v>0.097295704560684745</v>
      </c>
      <c r="AS468">
        <v>0.013815147660564761</v>
      </c>
      <c r="AT468">
        <v>0.04801606199098727</v>
      </c>
      <c r="AU468" t="s">
        <v>111</v>
      </c>
      <c r="BJ468" t="str">
        <f t="shared" si="14"/>
        <v>lcv</v>
      </c>
      <c r="BK468" t="str">
        <f t="shared" si="15"/>
        <v>dsl</v>
      </c>
    </row>
    <row r="469" spans="1:63" ht="14.5">
      <c r="A469" t="s">
        <v>118</v>
      </c>
      <c r="B469" t="s">
        <v>62</v>
      </c>
      <c r="C469" t="s">
        <v>88</v>
      </c>
      <c r="D469" t="s">
        <v>111</v>
      </c>
      <c r="E469" t="s">
        <v>111</v>
      </c>
      <c r="F469" t="s">
        <v>111</v>
      </c>
      <c r="G469" t="s">
        <v>77</v>
      </c>
      <c r="H469" t="s">
        <v>111</v>
      </c>
      <c r="I469" t="s">
        <v>111</v>
      </c>
      <c r="J469" t="s">
        <v>111</v>
      </c>
      <c r="K469" t="s">
        <v>111</v>
      </c>
      <c r="L469">
        <v>0.16005353996995758</v>
      </c>
      <c r="M469">
        <v>0.14219493445752021</v>
      </c>
      <c r="N469">
        <v>0.090219653319907667</v>
      </c>
      <c r="O469">
        <v>0.024850418047967098</v>
      </c>
      <c r="P469">
        <v>0.0091820188719607242</v>
      </c>
      <c r="Q469">
        <v>0.052564952074343967</v>
      </c>
      <c r="R469">
        <v>0.1067304395483875</v>
      </c>
      <c r="S469">
        <v>0.27925130789495234</v>
      </c>
      <c r="T469">
        <v>0.011540702618886416</v>
      </c>
      <c r="U469">
        <v>0.024766179342719751</v>
      </c>
      <c r="V469">
        <v>0.12340970318736204</v>
      </c>
      <c r="W469">
        <v>0.13326563170130154</v>
      </c>
      <c r="X469">
        <v>0.010782554271660302</v>
      </c>
      <c r="Y469">
        <v>0.038665565708531864</v>
      </c>
      <c r="Z469">
        <v>0.00075814834722611488</v>
      </c>
      <c r="AA469">
        <v>0.364837832426256</v>
      </c>
      <c r="AB469">
        <v>0.011793418734628455</v>
      </c>
      <c r="AC469">
        <v>0.086344672878529746</v>
      </c>
      <c r="AD469">
        <v>0.10403480098047244</v>
      </c>
      <c r="AE469">
        <v>0.10959455552679727</v>
      </c>
      <c r="AF469">
        <v>0.16165407536965717</v>
      </c>
      <c r="AG469">
        <v>0.24572430320650857</v>
      </c>
      <c r="AH469">
        <v>0.0085081092299819569</v>
      </c>
      <c r="AI469">
        <v>0.056861126041958622</v>
      </c>
      <c r="AJ469">
        <v>0.29534090059719542</v>
      </c>
      <c r="AK469">
        <v>0.053238861716322736</v>
      </c>
      <c r="AL469">
        <v>0.091904427424854593</v>
      </c>
      <c r="AM469">
        <v>0.049953552211676237</v>
      </c>
      <c r="AN469">
        <v>0.16485514616905633</v>
      </c>
      <c r="AO469">
        <v>0.030915604825776016</v>
      </c>
      <c r="AP469">
        <v>0.010951031682154994</v>
      </c>
      <c r="AQ469">
        <v>0.088787595330702795</v>
      </c>
      <c r="AR469">
        <v>0.097295704560684745</v>
      </c>
      <c r="AS469">
        <v>0.013815147660564761</v>
      </c>
      <c r="AT469">
        <v>0.04801606199098727</v>
      </c>
      <c r="AU469" t="s">
        <v>111</v>
      </c>
      <c r="BJ469" t="str">
        <f t="shared" si="14"/>
        <v>lcv</v>
      </c>
      <c r="BK469" t="str">
        <f t="shared" si="15"/>
        <v>dsl</v>
      </c>
    </row>
    <row r="470" spans="1:63" ht="14.5">
      <c r="A470" t="s">
        <v>118</v>
      </c>
      <c r="B470" t="s">
        <v>62</v>
      </c>
      <c r="C470" t="s">
        <v>88</v>
      </c>
      <c r="D470" t="s">
        <v>111</v>
      </c>
      <c r="E470" t="s">
        <v>111</v>
      </c>
      <c r="F470" t="s">
        <v>111</v>
      </c>
      <c r="G470" t="s">
        <v>76</v>
      </c>
      <c r="H470" t="s">
        <v>111</v>
      </c>
      <c r="I470" t="s">
        <v>111</v>
      </c>
      <c r="J470" t="s">
        <v>111</v>
      </c>
      <c r="K470" t="s">
        <v>111</v>
      </c>
      <c r="L470">
        <v>0.16005353996995758</v>
      </c>
      <c r="M470">
        <v>0.14219493445752021</v>
      </c>
      <c r="N470">
        <v>0.090219653319907667</v>
      </c>
      <c r="O470">
        <v>0.024850418047967098</v>
      </c>
      <c r="P470">
        <v>0.0091820188719607242</v>
      </c>
      <c r="Q470">
        <v>0.052564952074343967</v>
      </c>
      <c r="R470">
        <v>0.1067304395483875</v>
      </c>
      <c r="S470">
        <v>0.27925130789495234</v>
      </c>
      <c r="T470">
        <v>0.011540702618886416</v>
      </c>
      <c r="U470">
        <v>0.024766179342719751</v>
      </c>
      <c r="V470">
        <v>0.12340970318736204</v>
      </c>
      <c r="W470">
        <v>0.13326563170130154</v>
      </c>
      <c r="X470">
        <v>0.010782554271660302</v>
      </c>
      <c r="Y470">
        <v>0.038665565708531864</v>
      </c>
      <c r="Z470">
        <v>0.00075814834722611488</v>
      </c>
      <c r="AA470">
        <v>0.364837832426256</v>
      </c>
      <c r="AB470">
        <v>0.011793418734628455</v>
      </c>
      <c r="AC470">
        <v>0.086344672878529746</v>
      </c>
      <c r="AD470">
        <v>0.10403480098047244</v>
      </c>
      <c r="AE470">
        <v>0.10959455552679727</v>
      </c>
      <c r="AF470">
        <v>0.16165407536965717</v>
      </c>
      <c r="AG470">
        <v>0.24572430320650857</v>
      </c>
      <c r="AH470">
        <v>0.0085081092299819569</v>
      </c>
      <c r="AI470">
        <v>0.056861126041958622</v>
      </c>
      <c r="AJ470">
        <v>0.29534090059719542</v>
      </c>
      <c r="AK470">
        <v>0.053238861716322736</v>
      </c>
      <c r="AL470">
        <v>0.091904427424854593</v>
      </c>
      <c r="AM470">
        <v>0.049953552211676237</v>
      </c>
      <c r="AN470">
        <v>0.16485514616905633</v>
      </c>
      <c r="AO470">
        <v>0.030915604825776016</v>
      </c>
      <c r="AP470">
        <v>0.010951031682154994</v>
      </c>
      <c r="AQ470">
        <v>0.088787595330702795</v>
      </c>
      <c r="AR470">
        <v>0.097295704560684745</v>
      </c>
      <c r="AS470">
        <v>0.013815147660564761</v>
      </c>
      <c r="AT470">
        <v>0.04801606199098727</v>
      </c>
      <c r="AU470" t="s">
        <v>111</v>
      </c>
      <c r="BJ470" t="str">
        <f t="shared" si="14"/>
        <v>lcv</v>
      </c>
      <c r="BK470" t="str">
        <f t="shared" si="15"/>
        <v>dsl</v>
      </c>
    </row>
    <row r="471" spans="1:63" ht="14.5">
      <c r="A471" t="s">
        <v>118</v>
      </c>
      <c r="B471" t="s">
        <v>62</v>
      </c>
      <c r="C471" t="s">
        <v>88</v>
      </c>
      <c r="D471" t="s">
        <v>111</v>
      </c>
      <c r="E471" t="s">
        <v>111</v>
      </c>
      <c r="F471" t="s">
        <v>111</v>
      </c>
      <c r="G471" t="s">
        <v>75</v>
      </c>
      <c r="H471" t="s">
        <v>111</v>
      </c>
      <c r="I471" t="s">
        <v>111</v>
      </c>
      <c r="J471" t="s">
        <v>111</v>
      </c>
      <c r="K471" t="s">
        <v>111</v>
      </c>
      <c r="L471">
        <v>0.16005353996995758</v>
      </c>
      <c r="M471">
        <v>0.14219493445752021</v>
      </c>
      <c r="N471">
        <v>0.090219653319907667</v>
      </c>
      <c r="O471">
        <v>0.024850418047967098</v>
      </c>
      <c r="P471">
        <v>0.0091820188719607242</v>
      </c>
      <c r="Q471">
        <v>0.052564952074343967</v>
      </c>
      <c r="R471">
        <v>0.1067304395483875</v>
      </c>
      <c r="S471">
        <v>0.27925130789495234</v>
      </c>
      <c r="T471">
        <v>0.011540702618886416</v>
      </c>
      <c r="U471">
        <v>0.024766179342719751</v>
      </c>
      <c r="V471">
        <v>0.12340970318736204</v>
      </c>
      <c r="W471">
        <v>0.13326563170130154</v>
      </c>
      <c r="X471">
        <v>0.010782554271660302</v>
      </c>
      <c r="Y471">
        <v>0.038665565708531864</v>
      </c>
      <c r="Z471">
        <v>0.00075814834722611488</v>
      </c>
      <c r="AA471">
        <v>0.364837832426256</v>
      </c>
      <c r="AB471">
        <v>0.011793418734628455</v>
      </c>
      <c r="AC471">
        <v>0.086344672878529746</v>
      </c>
      <c r="AD471">
        <v>0.10403480098047244</v>
      </c>
      <c r="AE471">
        <v>0.10959455552679727</v>
      </c>
      <c r="AF471">
        <v>0.16165407536965717</v>
      </c>
      <c r="AG471">
        <v>0.24572430320650857</v>
      </c>
      <c r="AH471">
        <v>0.0085081092299819569</v>
      </c>
      <c r="AI471">
        <v>0.056861126041958622</v>
      </c>
      <c r="AJ471">
        <v>0.29534090059719542</v>
      </c>
      <c r="AK471">
        <v>0.053238861716322736</v>
      </c>
      <c r="AL471">
        <v>0.091904427424854593</v>
      </c>
      <c r="AM471">
        <v>0.049953552211676237</v>
      </c>
      <c r="AN471">
        <v>0.16485514616905633</v>
      </c>
      <c r="AO471">
        <v>0.030915604825776016</v>
      </c>
      <c r="AP471">
        <v>0.010951031682154994</v>
      </c>
      <c r="AQ471">
        <v>0.088787595330702795</v>
      </c>
      <c r="AR471">
        <v>0.097295704560684745</v>
      </c>
      <c r="AS471">
        <v>0.013815147660564761</v>
      </c>
      <c r="AT471">
        <v>0.04801606199098727</v>
      </c>
      <c r="AU471" t="s">
        <v>111</v>
      </c>
      <c r="BJ471" t="str">
        <f t="shared" si="14"/>
        <v>lcv</v>
      </c>
      <c r="BK471" t="str">
        <f t="shared" si="15"/>
        <v>dsl</v>
      </c>
    </row>
    <row r="472" spans="1:63" ht="14.5">
      <c r="A472" t="s">
        <v>118</v>
      </c>
      <c r="B472" t="s">
        <v>62</v>
      </c>
      <c r="C472" t="s">
        <v>88</v>
      </c>
      <c r="D472" t="s">
        <v>111</v>
      </c>
      <c r="E472" t="s">
        <v>111</v>
      </c>
      <c r="F472" t="s">
        <v>111</v>
      </c>
      <c r="G472" t="s">
        <v>74</v>
      </c>
      <c r="H472" t="s">
        <v>111</v>
      </c>
      <c r="I472" t="s">
        <v>111</v>
      </c>
      <c r="J472" t="s">
        <v>111</v>
      </c>
      <c r="K472" t="s">
        <v>111</v>
      </c>
      <c r="L472">
        <v>0.16005353996995758</v>
      </c>
      <c r="M472">
        <v>0.14219493445752021</v>
      </c>
      <c r="N472">
        <v>0.090219653319907667</v>
      </c>
      <c r="O472">
        <v>0.024850418047967098</v>
      </c>
      <c r="P472">
        <v>0.0091820188719607242</v>
      </c>
      <c r="Q472">
        <v>0.052564952074343967</v>
      </c>
      <c r="R472">
        <v>0.1067304395483875</v>
      </c>
      <c r="S472">
        <v>0.27925130789495234</v>
      </c>
      <c r="T472">
        <v>0.011540702618886416</v>
      </c>
      <c r="U472">
        <v>0.024766179342719751</v>
      </c>
      <c r="V472">
        <v>0.12340970318736204</v>
      </c>
      <c r="W472">
        <v>0.13326563170130154</v>
      </c>
      <c r="X472">
        <v>0.010782554271660302</v>
      </c>
      <c r="Y472">
        <v>0.038665565708531864</v>
      </c>
      <c r="Z472">
        <v>0.00075814834722611488</v>
      </c>
      <c r="AA472">
        <v>0.364837832426256</v>
      </c>
      <c r="AB472">
        <v>0.011793418734628455</v>
      </c>
      <c r="AC472">
        <v>0.086344672878529746</v>
      </c>
      <c r="AD472">
        <v>0.10403480098047244</v>
      </c>
      <c r="AE472">
        <v>0.10959455552679727</v>
      </c>
      <c r="AF472">
        <v>0.16165407536965717</v>
      </c>
      <c r="AG472">
        <v>0.24572430320650857</v>
      </c>
      <c r="AH472">
        <v>0.0085081092299819569</v>
      </c>
      <c r="AI472">
        <v>0.056861126041958622</v>
      </c>
      <c r="AJ472">
        <v>0.29534090059719542</v>
      </c>
      <c r="AK472">
        <v>0.053238861716322736</v>
      </c>
      <c r="AL472">
        <v>0.091904427424854593</v>
      </c>
      <c r="AM472">
        <v>0.049953552211676237</v>
      </c>
      <c r="AN472">
        <v>0.16485514616905633</v>
      </c>
      <c r="AO472">
        <v>0.030915604825776016</v>
      </c>
      <c r="AP472">
        <v>0.010951031682154994</v>
      </c>
      <c r="AQ472">
        <v>0.088787595330702795</v>
      </c>
      <c r="AR472">
        <v>0.097295704560684745</v>
      </c>
      <c r="AS472">
        <v>0.013815147660564761</v>
      </c>
      <c r="AT472">
        <v>0.04801606199098727</v>
      </c>
      <c r="AU472" t="s">
        <v>111</v>
      </c>
      <c r="BJ472" t="str">
        <f t="shared" si="14"/>
        <v>lcv</v>
      </c>
      <c r="BK472" t="str">
        <f t="shared" si="15"/>
        <v>dsl</v>
      </c>
    </row>
    <row r="473" spans="1:63" ht="14.5">
      <c r="A473" t="s">
        <v>118</v>
      </c>
      <c r="B473" t="s">
        <v>62</v>
      </c>
      <c r="C473" t="s">
        <v>88</v>
      </c>
      <c r="D473" t="s">
        <v>111</v>
      </c>
      <c r="E473" t="s">
        <v>111</v>
      </c>
      <c r="F473" t="s">
        <v>111</v>
      </c>
      <c r="G473" t="s">
        <v>73</v>
      </c>
      <c r="H473" t="s">
        <v>111</v>
      </c>
      <c r="I473" t="s">
        <v>111</v>
      </c>
      <c r="J473" t="s">
        <v>111</v>
      </c>
      <c r="K473" t="s">
        <v>111</v>
      </c>
      <c r="L473">
        <v>0.16005353996995758</v>
      </c>
      <c r="M473">
        <v>0.14219493445752021</v>
      </c>
      <c r="N473">
        <v>0.090219653319907667</v>
      </c>
      <c r="O473">
        <v>0.024850418047967098</v>
      </c>
      <c r="P473">
        <v>0.0091820188719607242</v>
      </c>
      <c r="Q473">
        <v>0.052564952074343967</v>
      </c>
      <c r="R473">
        <v>0.1067304395483875</v>
      </c>
      <c r="S473">
        <v>0.27925130789495234</v>
      </c>
      <c r="T473">
        <v>0.011540702618886416</v>
      </c>
      <c r="U473">
        <v>0.024766179342719751</v>
      </c>
      <c r="V473">
        <v>0.12340970318736204</v>
      </c>
      <c r="W473">
        <v>0.13326563170130154</v>
      </c>
      <c r="X473">
        <v>0.010782554271660302</v>
      </c>
      <c r="Y473">
        <v>0.038665565708531864</v>
      </c>
      <c r="Z473">
        <v>0.00075814834722611488</v>
      </c>
      <c r="AA473">
        <v>0.364837832426256</v>
      </c>
      <c r="AB473">
        <v>0.011793418734628455</v>
      </c>
      <c r="AC473">
        <v>0.086344672878529746</v>
      </c>
      <c r="AD473">
        <v>0.10403480098047244</v>
      </c>
      <c r="AE473">
        <v>0.10959455552679727</v>
      </c>
      <c r="AF473">
        <v>0.16165407536965717</v>
      </c>
      <c r="AG473">
        <v>0.24572430320650857</v>
      </c>
      <c r="AH473">
        <v>0.0085081092299819569</v>
      </c>
      <c r="AI473">
        <v>0.056861126041958622</v>
      </c>
      <c r="AJ473">
        <v>0.29534090059719542</v>
      </c>
      <c r="AK473">
        <v>0.053238861716322736</v>
      </c>
      <c r="AL473">
        <v>0.091904427424854593</v>
      </c>
      <c r="AM473">
        <v>0.049953552211676237</v>
      </c>
      <c r="AN473">
        <v>0.16485514616905633</v>
      </c>
      <c r="AO473">
        <v>0.030915604825776016</v>
      </c>
      <c r="AP473">
        <v>0.010951031682154994</v>
      </c>
      <c r="AQ473">
        <v>0.088787595330702795</v>
      </c>
      <c r="AR473">
        <v>0.097295704560684745</v>
      </c>
      <c r="AS473">
        <v>0.013815147660564761</v>
      </c>
      <c r="AT473">
        <v>0.04801606199098727</v>
      </c>
      <c r="AU473" t="s">
        <v>111</v>
      </c>
      <c r="BJ473" t="str">
        <f t="shared" si="14"/>
        <v>lcv</v>
      </c>
      <c r="BK473" t="str">
        <f t="shared" si="15"/>
        <v>dsl</v>
      </c>
    </row>
    <row r="474" spans="1:63" ht="14.5">
      <c r="A474" t="s">
        <v>118</v>
      </c>
      <c r="B474" t="s">
        <v>62</v>
      </c>
      <c r="C474" t="s">
        <v>88</v>
      </c>
      <c r="D474" t="s">
        <v>111</v>
      </c>
      <c r="E474" t="s">
        <v>111</v>
      </c>
      <c r="F474" t="s">
        <v>111</v>
      </c>
      <c r="G474" t="s">
        <v>72</v>
      </c>
      <c r="H474" t="s">
        <v>111</v>
      </c>
      <c r="I474" t="s">
        <v>111</v>
      </c>
      <c r="J474" t="s">
        <v>111</v>
      </c>
      <c r="K474" t="s">
        <v>111</v>
      </c>
      <c r="L474">
        <v>0.16005353996995758</v>
      </c>
      <c r="M474">
        <v>0.14219493445752021</v>
      </c>
      <c r="N474">
        <v>0.090219653319907667</v>
      </c>
      <c r="O474">
        <v>0.024850418047967098</v>
      </c>
      <c r="P474">
        <v>0.0091820188719607242</v>
      </c>
      <c r="Q474">
        <v>0.052564952074343967</v>
      </c>
      <c r="R474">
        <v>0.1067304395483875</v>
      </c>
      <c r="S474">
        <v>0.27925130789495234</v>
      </c>
      <c r="T474">
        <v>0.011540702618886416</v>
      </c>
      <c r="U474">
        <v>0.024766179342719751</v>
      </c>
      <c r="V474">
        <v>0.12340970318736204</v>
      </c>
      <c r="W474">
        <v>0.13326563170130154</v>
      </c>
      <c r="X474">
        <v>0.010782554271660302</v>
      </c>
      <c r="Y474">
        <v>0.038665565708531864</v>
      </c>
      <c r="Z474">
        <v>0.00075814834722611488</v>
      </c>
      <c r="AA474">
        <v>0.364837832426256</v>
      </c>
      <c r="AB474">
        <v>0.011793418734628455</v>
      </c>
      <c r="AC474">
        <v>0.086344672878529746</v>
      </c>
      <c r="AD474">
        <v>0.10403480098047244</v>
      </c>
      <c r="AE474">
        <v>0.10959455552679727</v>
      </c>
      <c r="AF474">
        <v>0.16165407536965717</v>
      </c>
      <c r="AG474">
        <v>0.24572430320650857</v>
      </c>
      <c r="AH474">
        <v>0.0085081092299819569</v>
      </c>
      <c r="AI474">
        <v>0.056861126041958622</v>
      </c>
      <c r="AJ474">
        <v>0.29534090059719542</v>
      </c>
      <c r="AK474">
        <v>0.053238861716322736</v>
      </c>
      <c r="AL474">
        <v>0.091904427424854593</v>
      </c>
      <c r="AM474">
        <v>0.049953552211676237</v>
      </c>
      <c r="AN474">
        <v>0.16485514616905633</v>
      </c>
      <c r="AO474">
        <v>0.030915604825776016</v>
      </c>
      <c r="AP474">
        <v>0.010951031682154994</v>
      </c>
      <c r="AQ474">
        <v>0.088787595330702795</v>
      </c>
      <c r="AR474">
        <v>0.097295704560684745</v>
      </c>
      <c r="AS474">
        <v>0.013815147660564761</v>
      </c>
      <c r="AT474">
        <v>0.04801606199098727</v>
      </c>
      <c r="AU474" t="s">
        <v>111</v>
      </c>
      <c r="BJ474" t="str">
        <f t="shared" si="14"/>
        <v>lcv</v>
      </c>
      <c r="BK474" t="str">
        <f t="shared" si="15"/>
        <v>dsl</v>
      </c>
    </row>
    <row r="475" spans="1:63" ht="14.5">
      <c r="A475" t="s">
        <v>118</v>
      </c>
      <c r="B475" t="s">
        <v>62</v>
      </c>
      <c r="C475" t="s">
        <v>88</v>
      </c>
      <c r="D475" t="s">
        <v>111</v>
      </c>
      <c r="E475" t="s">
        <v>111</v>
      </c>
      <c r="F475" t="s">
        <v>111</v>
      </c>
      <c r="G475" t="s">
        <v>71</v>
      </c>
      <c r="H475" t="s">
        <v>111</v>
      </c>
      <c r="I475" t="s">
        <v>111</v>
      </c>
      <c r="J475" t="s">
        <v>111</v>
      </c>
      <c r="K475" t="s">
        <v>111</v>
      </c>
      <c r="L475">
        <v>0.16005353996995758</v>
      </c>
      <c r="M475">
        <v>0.14219493445752021</v>
      </c>
      <c r="N475">
        <v>0.090219653319907667</v>
      </c>
      <c r="O475">
        <v>0.024850418047967098</v>
      </c>
      <c r="P475">
        <v>0.0091820188719607242</v>
      </c>
      <c r="Q475">
        <v>0.052564952074343967</v>
      </c>
      <c r="R475">
        <v>0.1067304395483875</v>
      </c>
      <c r="S475">
        <v>0.27925130789495234</v>
      </c>
      <c r="T475">
        <v>0.011540702618886416</v>
      </c>
      <c r="U475">
        <v>0.024766179342719751</v>
      </c>
      <c r="V475">
        <v>0.12340970318736204</v>
      </c>
      <c r="W475">
        <v>0.13326563170130154</v>
      </c>
      <c r="X475">
        <v>0.010782554271660302</v>
      </c>
      <c r="Y475">
        <v>0.038665565708531864</v>
      </c>
      <c r="Z475">
        <v>0.00075814834722611488</v>
      </c>
      <c r="AA475">
        <v>0.364837832426256</v>
      </c>
      <c r="AB475">
        <v>0.011793418734628455</v>
      </c>
      <c r="AC475">
        <v>0.086344672878529746</v>
      </c>
      <c r="AD475">
        <v>0.10403480098047244</v>
      </c>
      <c r="AE475">
        <v>0.10959455552679727</v>
      </c>
      <c r="AF475">
        <v>0.16165407536965717</v>
      </c>
      <c r="AG475">
        <v>0.24572430320650857</v>
      </c>
      <c r="AH475">
        <v>0.0085081092299819569</v>
      </c>
      <c r="AI475">
        <v>0.056861126041958622</v>
      </c>
      <c r="AJ475">
        <v>0.29534090059719542</v>
      </c>
      <c r="AK475">
        <v>0.053238861716322736</v>
      </c>
      <c r="AL475">
        <v>0.091904427424854593</v>
      </c>
      <c r="AM475">
        <v>0.049953552211676237</v>
      </c>
      <c r="AN475">
        <v>0.16485514616905633</v>
      </c>
      <c r="AO475">
        <v>0.030915604825776016</v>
      </c>
      <c r="AP475">
        <v>0.010951031682154994</v>
      </c>
      <c r="AQ475">
        <v>0.088787595330702795</v>
      </c>
      <c r="AR475">
        <v>0.097295704560684745</v>
      </c>
      <c r="AS475">
        <v>0.013815147660564761</v>
      </c>
      <c r="AT475">
        <v>0.04801606199098727</v>
      </c>
      <c r="AU475" t="s">
        <v>111</v>
      </c>
      <c r="BJ475" t="str">
        <f t="shared" si="14"/>
        <v>lcv</v>
      </c>
      <c r="BK475" t="str">
        <f t="shared" si="15"/>
        <v>dsl</v>
      </c>
    </row>
    <row r="476" spans="1:63" ht="14.5">
      <c r="A476" t="s">
        <v>118</v>
      </c>
      <c r="B476" t="s">
        <v>62</v>
      </c>
      <c r="C476" t="s">
        <v>88</v>
      </c>
      <c r="D476" t="s">
        <v>111</v>
      </c>
      <c r="E476" t="s">
        <v>111</v>
      </c>
      <c r="F476" t="s">
        <v>111</v>
      </c>
      <c r="G476" t="s">
        <v>70</v>
      </c>
      <c r="H476" t="s">
        <v>111</v>
      </c>
      <c r="I476" t="s">
        <v>111</v>
      </c>
      <c r="J476" t="s">
        <v>111</v>
      </c>
      <c r="K476" t="s">
        <v>111</v>
      </c>
      <c r="L476">
        <v>0.16005353996995758</v>
      </c>
      <c r="M476">
        <v>0.14219493445752021</v>
      </c>
      <c r="N476">
        <v>0.090219653319907667</v>
      </c>
      <c r="O476">
        <v>0.024850418047967098</v>
      </c>
      <c r="P476">
        <v>0.0091820188719607242</v>
      </c>
      <c r="Q476">
        <v>0.052564952074343967</v>
      </c>
      <c r="R476">
        <v>0.1067304395483875</v>
      </c>
      <c r="S476">
        <v>0.27925130789495234</v>
      </c>
      <c r="T476">
        <v>0.011540702618886416</v>
      </c>
      <c r="U476">
        <v>0.024766179342719751</v>
      </c>
      <c r="V476">
        <v>0.12340970318736204</v>
      </c>
      <c r="W476">
        <v>0.13326563170130154</v>
      </c>
      <c r="X476">
        <v>0.010782554271660302</v>
      </c>
      <c r="Y476">
        <v>0.038665565708531864</v>
      </c>
      <c r="Z476">
        <v>0.00075814834722611488</v>
      </c>
      <c r="AA476">
        <v>0.364837832426256</v>
      </c>
      <c r="AB476">
        <v>0.011793418734628455</v>
      </c>
      <c r="AC476">
        <v>0.086344672878529746</v>
      </c>
      <c r="AD476">
        <v>0.10403480098047244</v>
      </c>
      <c r="AE476">
        <v>0.10959455552679727</v>
      </c>
      <c r="AF476">
        <v>0.16165407536965717</v>
      </c>
      <c r="AG476">
        <v>0.24572430320650857</v>
      </c>
      <c r="AH476">
        <v>0.0085081092299819569</v>
      </c>
      <c r="AI476">
        <v>0.056861126041958622</v>
      </c>
      <c r="AJ476">
        <v>0.29534090059719542</v>
      </c>
      <c r="AK476">
        <v>0.053238861716322736</v>
      </c>
      <c r="AL476">
        <v>0.091904427424854593</v>
      </c>
      <c r="AM476">
        <v>0.049953552211676237</v>
      </c>
      <c r="AN476">
        <v>0.16485514616905633</v>
      </c>
      <c r="AO476">
        <v>0.030915604825776016</v>
      </c>
      <c r="AP476">
        <v>0.010951031682154994</v>
      </c>
      <c r="AQ476">
        <v>0.088787595330702795</v>
      </c>
      <c r="AR476">
        <v>0.097295704560684745</v>
      </c>
      <c r="AS476">
        <v>0.013815147660564761</v>
      </c>
      <c r="AT476">
        <v>0.04801606199098727</v>
      </c>
      <c r="AU476" t="s">
        <v>111</v>
      </c>
      <c r="BJ476" t="str">
        <f t="shared" si="14"/>
        <v>lcv</v>
      </c>
      <c r="BK476" t="str">
        <f t="shared" si="15"/>
        <v>dsl</v>
      </c>
    </row>
    <row r="477" spans="1:63" ht="14.5">
      <c r="A477" t="s">
        <v>118</v>
      </c>
      <c r="B477" t="s">
        <v>62</v>
      </c>
      <c r="C477" t="s">
        <v>88</v>
      </c>
      <c r="D477" t="s">
        <v>111</v>
      </c>
      <c r="E477" t="s">
        <v>111</v>
      </c>
      <c r="F477" t="s">
        <v>111</v>
      </c>
      <c r="G477" t="s">
        <v>69</v>
      </c>
      <c r="H477" t="s">
        <v>111</v>
      </c>
      <c r="I477" t="s">
        <v>111</v>
      </c>
      <c r="J477" t="s">
        <v>111</v>
      </c>
      <c r="K477" t="s">
        <v>111</v>
      </c>
      <c r="L477">
        <v>0.16005353996995758</v>
      </c>
      <c r="M477">
        <v>0.14219493445752021</v>
      </c>
      <c r="N477">
        <v>0.090219653319907667</v>
      </c>
      <c r="O477">
        <v>0.024850418047967098</v>
      </c>
      <c r="P477">
        <v>0.0091820188719607242</v>
      </c>
      <c r="Q477">
        <v>0.052564952074343967</v>
      </c>
      <c r="R477">
        <v>0.1067304395483875</v>
      </c>
      <c r="S477">
        <v>0.27925130789495234</v>
      </c>
      <c r="T477">
        <v>0.011540702618886416</v>
      </c>
      <c r="U477">
        <v>0.024766179342719751</v>
      </c>
      <c r="V477">
        <v>0.12340970318736204</v>
      </c>
      <c r="W477">
        <v>0.13326563170130154</v>
      </c>
      <c r="X477">
        <v>0.010782554271660302</v>
      </c>
      <c r="Y477">
        <v>0.038665565708531864</v>
      </c>
      <c r="Z477">
        <v>0.00075814834722611488</v>
      </c>
      <c r="AA477">
        <v>0.364837832426256</v>
      </c>
      <c r="AB477">
        <v>0.011793418734628455</v>
      </c>
      <c r="AC477">
        <v>0.086344672878529746</v>
      </c>
      <c r="AD477">
        <v>0.10403480098047244</v>
      </c>
      <c r="AE477">
        <v>0.10959455552679727</v>
      </c>
      <c r="AF477">
        <v>0.16165407536965717</v>
      </c>
      <c r="AG477">
        <v>0.24572430320650857</v>
      </c>
      <c r="AH477">
        <v>0.0085081092299819569</v>
      </c>
      <c r="AI477">
        <v>0.056861126041958622</v>
      </c>
      <c r="AJ477">
        <v>0.29534090059719542</v>
      </c>
      <c r="AK477">
        <v>0.053238861716322736</v>
      </c>
      <c r="AL477">
        <v>0.091904427424854593</v>
      </c>
      <c r="AM477">
        <v>0.049953552211676237</v>
      </c>
      <c r="AN477">
        <v>0.16485514616905633</v>
      </c>
      <c r="AO477">
        <v>0.030915604825776016</v>
      </c>
      <c r="AP477">
        <v>0.010951031682154994</v>
      </c>
      <c r="AQ477">
        <v>0.088787595330702795</v>
      </c>
      <c r="AR477">
        <v>0.097295704560684745</v>
      </c>
      <c r="AS477">
        <v>0.013815147660564761</v>
      </c>
      <c r="AT477">
        <v>0.04801606199098727</v>
      </c>
      <c r="AU477" t="s">
        <v>111</v>
      </c>
      <c r="BJ477" t="str">
        <f t="shared" si="14"/>
        <v>lcv</v>
      </c>
      <c r="BK477" t="str">
        <f t="shared" si="15"/>
        <v>dsl</v>
      </c>
    </row>
    <row r="478" spans="1:63" ht="14.5">
      <c r="A478" t="s">
        <v>118</v>
      </c>
      <c r="B478" t="s">
        <v>62</v>
      </c>
      <c r="C478" t="s">
        <v>88</v>
      </c>
      <c r="D478" t="s">
        <v>111</v>
      </c>
      <c r="E478" t="s">
        <v>111</v>
      </c>
      <c r="F478" t="s">
        <v>111</v>
      </c>
      <c r="G478" t="s">
        <v>68</v>
      </c>
      <c r="H478" t="s">
        <v>111</v>
      </c>
      <c r="I478" t="s">
        <v>111</v>
      </c>
      <c r="J478" t="s">
        <v>111</v>
      </c>
      <c r="K478" t="s">
        <v>111</v>
      </c>
      <c r="L478">
        <v>0.16005353996995758</v>
      </c>
      <c r="M478">
        <v>0.14219493445752021</v>
      </c>
      <c r="N478">
        <v>0.090219653319907667</v>
      </c>
      <c r="O478">
        <v>0.024850418047967098</v>
      </c>
      <c r="P478">
        <v>0.0091820188719607242</v>
      </c>
      <c r="Q478">
        <v>0.052564952074343967</v>
      </c>
      <c r="R478">
        <v>0.1067304395483875</v>
      </c>
      <c r="S478">
        <v>0.27925130789495234</v>
      </c>
      <c r="T478">
        <v>0.011540702618886416</v>
      </c>
      <c r="U478">
        <v>0.024766179342719751</v>
      </c>
      <c r="V478">
        <v>0.12340970318736204</v>
      </c>
      <c r="W478">
        <v>0.13326563170130154</v>
      </c>
      <c r="X478">
        <v>0.010782554271660302</v>
      </c>
      <c r="Y478">
        <v>0.038665565708531864</v>
      </c>
      <c r="Z478">
        <v>0.00075814834722611488</v>
      </c>
      <c r="AA478">
        <v>0.364837832426256</v>
      </c>
      <c r="AB478">
        <v>0.011793418734628455</v>
      </c>
      <c r="AC478">
        <v>0.086344672878529746</v>
      </c>
      <c r="AD478">
        <v>0.10403480098047244</v>
      </c>
      <c r="AE478">
        <v>0.10959455552679727</v>
      </c>
      <c r="AF478">
        <v>0.16165407536965717</v>
      </c>
      <c r="AG478">
        <v>0.24572430320650857</v>
      </c>
      <c r="AH478">
        <v>0.0085081092299819569</v>
      </c>
      <c r="AI478">
        <v>0.056861126041958622</v>
      </c>
      <c r="AJ478">
        <v>0.29534090059719542</v>
      </c>
      <c r="AK478">
        <v>0.053238861716322736</v>
      </c>
      <c r="AL478">
        <v>0.091904427424854593</v>
      </c>
      <c r="AM478">
        <v>0.049953552211676237</v>
      </c>
      <c r="AN478">
        <v>0.16485514616905633</v>
      </c>
      <c r="AO478">
        <v>0.030915604825776016</v>
      </c>
      <c r="AP478">
        <v>0.010951031682154994</v>
      </c>
      <c r="AQ478">
        <v>0.088787595330702795</v>
      </c>
      <c r="AR478">
        <v>0.097295704560684745</v>
      </c>
      <c r="AS478">
        <v>0.013815147660564761</v>
      </c>
      <c r="AT478">
        <v>0.04801606199098727</v>
      </c>
      <c r="AU478" t="s">
        <v>111</v>
      </c>
      <c r="BJ478" t="str">
        <f t="shared" si="14"/>
        <v>lcv</v>
      </c>
      <c r="BK478" t="str">
        <f t="shared" si="15"/>
        <v>dsl</v>
      </c>
    </row>
    <row r="479" spans="1:63" ht="14.5">
      <c r="A479" t="s">
        <v>118</v>
      </c>
      <c r="B479" t="s">
        <v>62</v>
      </c>
      <c r="C479" t="s">
        <v>88</v>
      </c>
      <c r="D479" t="s">
        <v>111</v>
      </c>
      <c r="E479" t="s">
        <v>111</v>
      </c>
      <c r="F479" t="s">
        <v>111</v>
      </c>
      <c r="G479" t="s">
        <v>67</v>
      </c>
      <c r="H479" t="s">
        <v>111</v>
      </c>
      <c r="I479" t="s">
        <v>111</v>
      </c>
      <c r="J479" t="s">
        <v>111</v>
      </c>
      <c r="K479" t="s">
        <v>111</v>
      </c>
      <c r="L479">
        <v>0.16005353996995758</v>
      </c>
      <c r="M479">
        <v>0.14219493445752021</v>
      </c>
      <c r="N479">
        <v>0.090219653319907667</v>
      </c>
      <c r="O479">
        <v>0.024850418047967098</v>
      </c>
      <c r="P479">
        <v>0.0091820188719607242</v>
      </c>
      <c r="Q479">
        <v>0.052564952074343967</v>
      </c>
      <c r="R479">
        <v>0.1067304395483875</v>
      </c>
      <c r="S479">
        <v>0.27925130789495234</v>
      </c>
      <c r="T479">
        <v>0.011540702618886416</v>
      </c>
      <c r="U479">
        <v>0.024766179342719751</v>
      </c>
      <c r="V479">
        <v>0.12340970318736204</v>
      </c>
      <c r="W479">
        <v>0.13326563170130154</v>
      </c>
      <c r="X479">
        <v>0.010782554271660302</v>
      </c>
      <c r="Y479">
        <v>0.038665565708531864</v>
      </c>
      <c r="Z479">
        <v>0.00075814834722611488</v>
      </c>
      <c r="AA479">
        <v>0.364837832426256</v>
      </c>
      <c r="AB479">
        <v>0.011793418734628455</v>
      </c>
      <c r="AC479">
        <v>0.086344672878529746</v>
      </c>
      <c r="AD479">
        <v>0.10403480098047244</v>
      </c>
      <c r="AE479">
        <v>0.10959455552679727</v>
      </c>
      <c r="AF479">
        <v>0.16165407536965717</v>
      </c>
      <c r="AG479">
        <v>0.24572430320650857</v>
      </c>
      <c r="AH479">
        <v>0.0085081092299819569</v>
      </c>
      <c r="AI479">
        <v>0.056861126041958622</v>
      </c>
      <c r="AJ479">
        <v>0.29534090059719542</v>
      </c>
      <c r="AK479">
        <v>0.053238861716322736</v>
      </c>
      <c r="AL479">
        <v>0.091904427424854593</v>
      </c>
      <c r="AM479">
        <v>0.049953552211676237</v>
      </c>
      <c r="AN479">
        <v>0.16485514616905633</v>
      </c>
      <c r="AO479">
        <v>0.030915604825776016</v>
      </c>
      <c r="AP479">
        <v>0.010951031682154994</v>
      </c>
      <c r="AQ479">
        <v>0.088787595330702795</v>
      </c>
      <c r="AR479">
        <v>0.097295704560684745</v>
      </c>
      <c r="AS479">
        <v>0.013815147660564761</v>
      </c>
      <c r="AT479">
        <v>0.04801606199098727</v>
      </c>
      <c r="AU479" t="s">
        <v>111</v>
      </c>
      <c r="BJ479" t="str">
        <f t="shared" si="14"/>
        <v>lcv</v>
      </c>
      <c r="BK479" t="str">
        <f t="shared" si="15"/>
        <v>dsl</v>
      </c>
    </row>
    <row r="480" spans="1:63" ht="14.5">
      <c r="A480" t="s">
        <v>118</v>
      </c>
      <c r="B480" t="s">
        <v>62</v>
      </c>
      <c r="C480" t="s">
        <v>88</v>
      </c>
      <c r="D480" t="s">
        <v>111</v>
      </c>
      <c r="E480" t="s">
        <v>111</v>
      </c>
      <c r="F480" t="s">
        <v>111</v>
      </c>
      <c r="G480" t="s">
        <v>66</v>
      </c>
      <c r="H480" t="s">
        <v>111</v>
      </c>
      <c r="I480" t="s">
        <v>111</v>
      </c>
      <c r="J480" t="s">
        <v>111</v>
      </c>
      <c r="K480" t="s">
        <v>111</v>
      </c>
      <c r="L480">
        <v>0.16005353996995758</v>
      </c>
      <c r="M480">
        <v>0.14219493445752021</v>
      </c>
      <c r="N480">
        <v>0.090219653319907667</v>
      </c>
      <c r="O480">
        <v>0.024850418047967098</v>
      </c>
      <c r="P480">
        <v>0.0091820188719607242</v>
      </c>
      <c r="Q480">
        <v>0.052564952074343967</v>
      </c>
      <c r="R480">
        <v>0.1067304395483875</v>
      </c>
      <c r="S480">
        <v>0.27925130789495234</v>
      </c>
      <c r="T480">
        <v>0.011540702618886416</v>
      </c>
      <c r="U480">
        <v>0.024766179342719751</v>
      </c>
      <c r="V480">
        <v>0.12340970318736204</v>
      </c>
      <c r="W480">
        <v>0.13326563170130154</v>
      </c>
      <c r="X480">
        <v>0.010782554271660302</v>
      </c>
      <c r="Y480">
        <v>0.038665565708531864</v>
      </c>
      <c r="Z480">
        <v>0.00075814834722611488</v>
      </c>
      <c r="AA480">
        <v>0.364837832426256</v>
      </c>
      <c r="AB480">
        <v>0.011793418734628455</v>
      </c>
      <c r="AC480">
        <v>0.086344672878529746</v>
      </c>
      <c r="AD480">
        <v>0.10403480098047244</v>
      </c>
      <c r="AE480">
        <v>0.10959455552679727</v>
      </c>
      <c r="AF480">
        <v>0.16165407536965717</v>
      </c>
      <c r="AG480">
        <v>0.24572430320650857</v>
      </c>
      <c r="AH480">
        <v>0.0085081092299819569</v>
      </c>
      <c r="AI480">
        <v>0.056861126041958622</v>
      </c>
      <c r="AJ480">
        <v>0.29534090059719542</v>
      </c>
      <c r="AK480">
        <v>0.053238861716322736</v>
      </c>
      <c r="AL480">
        <v>0.091904427424854593</v>
      </c>
      <c r="AM480">
        <v>0.049953552211676237</v>
      </c>
      <c r="AN480">
        <v>0.16485514616905633</v>
      </c>
      <c r="AO480">
        <v>0.030915604825776016</v>
      </c>
      <c r="AP480">
        <v>0.010951031682154994</v>
      </c>
      <c r="AQ480">
        <v>0.088787595330702795</v>
      </c>
      <c r="AR480">
        <v>0.097295704560684745</v>
      </c>
      <c r="AS480">
        <v>0.013815147660564761</v>
      </c>
      <c r="AT480">
        <v>0.04801606199098727</v>
      </c>
      <c r="AU480" t="s">
        <v>111</v>
      </c>
      <c r="BJ480" t="str">
        <f t="shared" si="14"/>
        <v>lcv</v>
      </c>
      <c r="BK480" t="str">
        <f t="shared" si="15"/>
        <v>dsl</v>
      </c>
    </row>
    <row r="481" spans="1:63" ht="14.5">
      <c r="A481" t="s">
        <v>118</v>
      </c>
      <c r="B481" t="s">
        <v>62</v>
      </c>
      <c r="C481" t="s">
        <v>88</v>
      </c>
      <c r="D481" t="s">
        <v>111</v>
      </c>
      <c r="E481" t="s">
        <v>111</v>
      </c>
      <c r="F481" t="s">
        <v>111</v>
      </c>
      <c r="G481" t="s">
        <v>65</v>
      </c>
      <c r="H481" t="s">
        <v>111</v>
      </c>
      <c r="I481" t="s">
        <v>111</v>
      </c>
      <c r="J481" t="s">
        <v>111</v>
      </c>
      <c r="K481" t="s">
        <v>111</v>
      </c>
      <c r="L481">
        <v>0.16005353996995758</v>
      </c>
      <c r="M481">
        <v>0.14219493445752021</v>
      </c>
      <c r="N481">
        <v>0.090219653319907667</v>
      </c>
      <c r="O481">
        <v>0.024850418047967098</v>
      </c>
      <c r="P481">
        <v>0.0091820188719607242</v>
      </c>
      <c r="Q481">
        <v>0.052564952074343967</v>
      </c>
      <c r="R481">
        <v>0.1067304395483875</v>
      </c>
      <c r="S481">
        <v>0.27925130789495234</v>
      </c>
      <c r="T481">
        <v>0.011540702618886416</v>
      </c>
      <c r="U481">
        <v>0.024766179342719751</v>
      </c>
      <c r="V481">
        <v>0.12340970318736204</v>
      </c>
      <c r="W481">
        <v>0.13326563170130154</v>
      </c>
      <c r="X481">
        <v>0.010782554271660302</v>
      </c>
      <c r="Y481">
        <v>0.038665565708531864</v>
      </c>
      <c r="Z481">
        <v>0.00075814834722611488</v>
      </c>
      <c r="AA481">
        <v>0.364837832426256</v>
      </c>
      <c r="AB481">
        <v>0.011793418734628455</v>
      </c>
      <c r="AC481">
        <v>0.086344672878529746</v>
      </c>
      <c r="AD481">
        <v>0.10403480098047244</v>
      </c>
      <c r="AE481">
        <v>0.10959455552679727</v>
      </c>
      <c r="AF481">
        <v>0.16165407536965717</v>
      </c>
      <c r="AG481">
        <v>0.24572430320650857</v>
      </c>
      <c r="AH481">
        <v>0.0085081092299819569</v>
      </c>
      <c r="AI481">
        <v>0.056861126041958622</v>
      </c>
      <c r="AJ481">
        <v>0.29534090059719542</v>
      </c>
      <c r="AK481">
        <v>0.053238861716322736</v>
      </c>
      <c r="AL481">
        <v>0.091904427424854593</v>
      </c>
      <c r="AM481">
        <v>0.049953552211676237</v>
      </c>
      <c r="AN481">
        <v>0.16485514616905633</v>
      </c>
      <c r="AO481">
        <v>0.030915604825776016</v>
      </c>
      <c r="AP481">
        <v>0.010951031682154994</v>
      </c>
      <c r="AQ481">
        <v>0.088787595330702795</v>
      </c>
      <c r="AR481">
        <v>0.097295704560684745</v>
      </c>
      <c r="AS481">
        <v>0.013815147660564761</v>
      </c>
      <c r="AT481">
        <v>0.04801606199098727</v>
      </c>
      <c r="AU481" t="s">
        <v>111</v>
      </c>
      <c r="BJ481" t="str">
        <f t="shared" si="14"/>
        <v>lcv</v>
      </c>
      <c r="BK481" t="str">
        <f t="shared" si="15"/>
        <v>dsl</v>
      </c>
    </row>
    <row r="482" spans="1:63" ht="14.5">
      <c r="A482" t="s">
        <v>118</v>
      </c>
      <c r="B482" t="s">
        <v>62</v>
      </c>
      <c r="C482" t="s">
        <v>87</v>
      </c>
      <c r="D482" t="s">
        <v>111</v>
      </c>
      <c r="E482" t="s">
        <v>111</v>
      </c>
      <c r="F482" t="s">
        <v>111</v>
      </c>
      <c r="G482" t="s">
        <v>61</v>
      </c>
      <c r="H482" t="s">
        <v>111</v>
      </c>
      <c r="I482" t="s">
        <v>111</v>
      </c>
      <c r="J482" t="s">
        <v>111</v>
      </c>
      <c r="K482" t="s">
        <v>111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0.03849708829803717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 t="s">
        <v>111</v>
      </c>
      <c r="BJ482" t="str">
        <f t="shared" si="14"/>
        <v>lcv</v>
      </c>
      <c r="BK482" t="str">
        <f t="shared" si="15"/>
        <v>elc</v>
      </c>
    </row>
    <row r="483" spans="1:63" ht="14.5">
      <c r="A483" t="s">
        <v>118</v>
      </c>
      <c r="B483" t="s">
        <v>62</v>
      </c>
      <c r="C483" t="s">
        <v>87</v>
      </c>
      <c r="D483" t="s">
        <v>111</v>
      </c>
      <c r="E483" t="s">
        <v>111</v>
      </c>
      <c r="F483" t="s">
        <v>111</v>
      </c>
      <c r="G483" t="s">
        <v>83</v>
      </c>
      <c r="H483" t="s">
        <v>111</v>
      </c>
      <c r="I483" t="s">
        <v>111</v>
      </c>
      <c r="J483" t="s">
        <v>111</v>
      </c>
      <c r="K483" t="s">
        <v>111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0.03849708829803717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 t="s">
        <v>111</v>
      </c>
      <c r="BJ483" t="str">
        <f t="shared" si="14"/>
        <v>lcv</v>
      </c>
      <c r="BK483" t="str">
        <f t="shared" si="15"/>
        <v>elc</v>
      </c>
    </row>
    <row r="484" spans="1:63" ht="14.5">
      <c r="A484" t="s">
        <v>118</v>
      </c>
      <c r="B484" t="s">
        <v>62</v>
      </c>
      <c r="C484" t="s">
        <v>87</v>
      </c>
      <c r="D484" t="s">
        <v>111</v>
      </c>
      <c r="E484" t="s">
        <v>111</v>
      </c>
      <c r="F484" t="s">
        <v>111</v>
      </c>
      <c r="G484" t="s">
        <v>82</v>
      </c>
      <c r="H484" t="s">
        <v>111</v>
      </c>
      <c r="I484" t="s">
        <v>111</v>
      </c>
      <c r="J484" t="s">
        <v>111</v>
      </c>
      <c r="K484" t="s">
        <v>111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0.03849708829803717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 t="s">
        <v>111</v>
      </c>
      <c r="BJ484" t="str">
        <f t="shared" si="14"/>
        <v>lcv</v>
      </c>
      <c r="BK484" t="str">
        <f t="shared" si="15"/>
        <v>elc</v>
      </c>
    </row>
    <row r="485" spans="1:63" ht="14.5">
      <c r="A485" t="s">
        <v>118</v>
      </c>
      <c r="B485" t="s">
        <v>62</v>
      </c>
      <c r="C485" t="s">
        <v>87</v>
      </c>
      <c r="D485" t="s">
        <v>111</v>
      </c>
      <c r="E485" t="s">
        <v>111</v>
      </c>
      <c r="F485" t="s">
        <v>111</v>
      </c>
      <c r="G485" t="s">
        <v>81</v>
      </c>
      <c r="H485" t="s">
        <v>111</v>
      </c>
      <c r="I485" t="s">
        <v>111</v>
      </c>
      <c r="J485" t="s">
        <v>111</v>
      </c>
      <c r="K485" t="s">
        <v>111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0.03849708829803717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 t="s">
        <v>111</v>
      </c>
      <c r="BJ485" t="str">
        <f t="shared" si="14"/>
        <v>lcv</v>
      </c>
      <c r="BK485" t="str">
        <f t="shared" si="15"/>
        <v>elc</v>
      </c>
    </row>
    <row r="486" spans="1:63" ht="14.5">
      <c r="A486" t="s">
        <v>118</v>
      </c>
      <c r="B486" t="s">
        <v>62</v>
      </c>
      <c r="C486" t="s">
        <v>87</v>
      </c>
      <c r="D486" t="s">
        <v>111</v>
      </c>
      <c r="E486" t="s">
        <v>111</v>
      </c>
      <c r="F486" t="s">
        <v>111</v>
      </c>
      <c r="G486" t="s">
        <v>80</v>
      </c>
      <c r="H486" t="s">
        <v>111</v>
      </c>
      <c r="I486" t="s">
        <v>111</v>
      </c>
      <c r="J486" t="s">
        <v>111</v>
      </c>
      <c r="K486" t="s">
        <v>111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0.03849708829803717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 t="s">
        <v>111</v>
      </c>
      <c r="BJ486" t="str">
        <f t="shared" si="14"/>
        <v>lcv</v>
      </c>
      <c r="BK486" t="str">
        <f t="shared" si="15"/>
        <v>elc</v>
      </c>
    </row>
    <row r="487" spans="1:63" ht="14.5">
      <c r="A487" t="s">
        <v>118</v>
      </c>
      <c r="B487" t="s">
        <v>62</v>
      </c>
      <c r="C487" t="s">
        <v>87</v>
      </c>
      <c r="D487" t="s">
        <v>111</v>
      </c>
      <c r="E487" t="s">
        <v>111</v>
      </c>
      <c r="F487" t="s">
        <v>111</v>
      </c>
      <c r="G487" t="s">
        <v>79</v>
      </c>
      <c r="H487" t="s">
        <v>111</v>
      </c>
      <c r="I487" t="s">
        <v>111</v>
      </c>
      <c r="J487" t="s">
        <v>111</v>
      </c>
      <c r="K487" t="s">
        <v>111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0.03849708829803717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 t="s">
        <v>111</v>
      </c>
      <c r="BJ487" t="str">
        <f t="shared" si="14"/>
        <v>lcv</v>
      </c>
      <c r="BK487" t="str">
        <f t="shared" si="15"/>
        <v>elc</v>
      </c>
    </row>
    <row r="488" spans="1:63" ht="14.5">
      <c r="A488" t="s">
        <v>118</v>
      </c>
      <c r="B488" t="s">
        <v>62</v>
      </c>
      <c r="C488" t="s">
        <v>87</v>
      </c>
      <c r="D488" t="s">
        <v>111</v>
      </c>
      <c r="E488" t="s">
        <v>111</v>
      </c>
      <c r="F488" t="s">
        <v>111</v>
      </c>
      <c r="G488" t="s">
        <v>78</v>
      </c>
      <c r="H488" t="s">
        <v>111</v>
      </c>
      <c r="I488" t="s">
        <v>111</v>
      </c>
      <c r="J488" t="s">
        <v>111</v>
      </c>
      <c r="K488" t="s">
        <v>111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0.03849708829803717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 t="s">
        <v>111</v>
      </c>
      <c r="BJ488" t="str">
        <f t="shared" si="14"/>
        <v>lcv</v>
      </c>
      <c r="BK488" t="str">
        <f t="shared" si="15"/>
        <v>elc</v>
      </c>
    </row>
    <row r="489" spans="1:63" ht="14.5">
      <c r="A489" t="s">
        <v>118</v>
      </c>
      <c r="B489" t="s">
        <v>62</v>
      </c>
      <c r="C489" t="s">
        <v>87</v>
      </c>
      <c r="D489" t="s">
        <v>111</v>
      </c>
      <c r="E489" t="s">
        <v>111</v>
      </c>
      <c r="F489" t="s">
        <v>111</v>
      </c>
      <c r="G489" t="s">
        <v>77</v>
      </c>
      <c r="H489" t="s">
        <v>111</v>
      </c>
      <c r="I489" t="s">
        <v>111</v>
      </c>
      <c r="J489" t="s">
        <v>111</v>
      </c>
      <c r="K489" t="s">
        <v>111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0.03849708829803717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 t="s">
        <v>111</v>
      </c>
      <c r="BJ489" t="str">
        <f t="shared" si="14"/>
        <v>lcv</v>
      </c>
      <c r="BK489" t="str">
        <f t="shared" si="15"/>
        <v>elc</v>
      </c>
    </row>
    <row r="490" spans="1:63" ht="14.5">
      <c r="A490" t="s">
        <v>118</v>
      </c>
      <c r="B490" t="s">
        <v>62</v>
      </c>
      <c r="C490" t="s">
        <v>87</v>
      </c>
      <c r="D490" t="s">
        <v>111</v>
      </c>
      <c r="E490" t="s">
        <v>111</v>
      </c>
      <c r="F490" t="s">
        <v>111</v>
      </c>
      <c r="G490" t="s">
        <v>76</v>
      </c>
      <c r="H490" t="s">
        <v>111</v>
      </c>
      <c r="I490" t="s">
        <v>111</v>
      </c>
      <c r="J490" t="s">
        <v>111</v>
      </c>
      <c r="K490" t="s">
        <v>111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0.03849708829803717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 t="s">
        <v>111</v>
      </c>
      <c r="BJ490" t="str">
        <f t="shared" si="14"/>
        <v>lcv</v>
      </c>
      <c r="BK490" t="str">
        <f t="shared" si="15"/>
        <v>elc</v>
      </c>
    </row>
    <row r="491" spans="1:63" ht="14.5">
      <c r="A491" t="s">
        <v>118</v>
      </c>
      <c r="B491" t="s">
        <v>62</v>
      </c>
      <c r="C491" t="s">
        <v>87</v>
      </c>
      <c r="D491" t="s">
        <v>111</v>
      </c>
      <c r="E491" t="s">
        <v>111</v>
      </c>
      <c r="F491" t="s">
        <v>111</v>
      </c>
      <c r="G491" t="s">
        <v>75</v>
      </c>
      <c r="H491" t="s">
        <v>111</v>
      </c>
      <c r="I491" t="s">
        <v>111</v>
      </c>
      <c r="J491" t="s">
        <v>111</v>
      </c>
      <c r="K491" t="s">
        <v>111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0.03849708829803717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 t="s">
        <v>111</v>
      </c>
      <c r="BJ491" t="str">
        <f t="shared" si="14"/>
        <v>lcv</v>
      </c>
      <c r="BK491" t="str">
        <f t="shared" si="15"/>
        <v>elc</v>
      </c>
    </row>
    <row r="492" spans="1:63" ht="14.5">
      <c r="A492" t="s">
        <v>118</v>
      </c>
      <c r="B492" t="s">
        <v>62</v>
      </c>
      <c r="C492" t="s">
        <v>87</v>
      </c>
      <c r="D492" t="s">
        <v>111</v>
      </c>
      <c r="E492" t="s">
        <v>111</v>
      </c>
      <c r="F492" t="s">
        <v>111</v>
      </c>
      <c r="G492" t="s">
        <v>74</v>
      </c>
      <c r="H492" t="s">
        <v>111</v>
      </c>
      <c r="I492" t="s">
        <v>111</v>
      </c>
      <c r="J492" t="s">
        <v>111</v>
      </c>
      <c r="K492" t="s">
        <v>111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0.03849708829803717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 t="s">
        <v>111</v>
      </c>
      <c r="BJ492" t="str">
        <f t="shared" si="14"/>
        <v>lcv</v>
      </c>
      <c r="BK492" t="str">
        <f t="shared" si="15"/>
        <v>elc</v>
      </c>
    </row>
    <row r="493" spans="1:63" ht="14.5">
      <c r="A493" t="s">
        <v>118</v>
      </c>
      <c r="B493" t="s">
        <v>62</v>
      </c>
      <c r="C493" t="s">
        <v>87</v>
      </c>
      <c r="D493" t="s">
        <v>111</v>
      </c>
      <c r="E493" t="s">
        <v>111</v>
      </c>
      <c r="F493" t="s">
        <v>111</v>
      </c>
      <c r="G493" t="s">
        <v>73</v>
      </c>
      <c r="H493" t="s">
        <v>111</v>
      </c>
      <c r="I493" t="s">
        <v>111</v>
      </c>
      <c r="J493" t="s">
        <v>111</v>
      </c>
      <c r="K493" t="s">
        <v>111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0.03849708829803717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 t="s">
        <v>111</v>
      </c>
      <c r="BJ493" t="str">
        <f t="shared" si="14"/>
        <v>lcv</v>
      </c>
      <c r="BK493" t="str">
        <f t="shared" si="15"/>
        <v>elc</v>
      </c>
    </row>
    <row r="494" spans="1:63" ht="14.5">
      <c r="A494" t="s">
        <v>118</v>
      </c>
      <c r="B494" t="s">
        <v>62</v>
      </c>
      <c r="C494" t="s">
        <v>87</v>
      </c>
      <c r="D494" t="s">
        <v>111</v>
      </c>
      <c r="E494" t="s">
        <v>111</v>
      </c>
      <c r="F494" t="s">
        <v>111</v>
      </c>
      <c r="G494" t="s">
        <v>72</v>
      </c>
      <c r="H494" t="s">
        <v>111</v>
      </c>
      <c r="I494" t="s">
        <v>111</v>
      </c>
      <c r="J494" t="s">
        <v>111</v>
      </c>
      <c r="K494" t="s">
        <v>111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0.03849708829803717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 t="s">
        <v>111</v>
      </c>
      <c r="BJ494" t="str">
        <f t="shared" si="14"/>
        <v>lcv</v>
      </c>
      <c r="BK494" t="str">
        <f t="shared" si="15"/>
        <v>elc</v>
      </c>
    </row>
    <row r="495" spans="1:63" ht="14.5">
      <c r="A495" t="s">
        <v>118</v>
      </c>
      <c r="B495" t="s">
        <v>62</v>
      </c>
      <c r="C495" t="s">
        <v>87</v>
      </c>
      <c r="D495" t="s">
        <v>111</v>
      </c>
      <c r="E495" t="s">
        <v>111</v>
      </c>
      <c r="F495" t="s">
        <v>111</v>
      </c>
      <c r="G495" t="s">
        <v>71</v>
      </c>
      <c r="H495" t="s">
        <v>111</v>
      </c>
      <c r="I495" t="s">
        <v>111</v>
      </c>
      <c r="J495" t="s">
        <v>111</v>
      </c>
      <c r="K495" t="s">
        <v>111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0.03849708829803717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 t="s">
        <v>111</v>
      </c>
      <c r="BJ495" t="str">
        <f t="shared" si="14"/>
        <v>lcv</v>
      </c>
      <c r="BK495" t="str">
        <f t="shared" si="15"/>
        <v>elc</v>
      </c>
    </row>
    <row r="496" spans="1:63" ht="14.5">
      <c r="A496" t="s">
        <v>118</v>
      </c>
      <c r="B496" t="s">
        <v>62</v>
      </c>
      <c r="C496" t="s">
        <v>87</v>
      </c>
      <c r="D496" t="s">
        <v>111</v>
      </c>
      <c r="E496" t="s">
        <v>111</v>
      </c>
      <c r="F496" t="s">
        <v>111</v>
      </c>
      <c r="G496" t="s">
        <v>70</v>
      </c>
      <c r="H496" t="s">
        <v>111</v>
      </c>
      <c r="I496" t="s">
        <v>111</v>
      </c>
      <c r="J496" t="s">
        <v>111</v>
      </c>
      <c r="K496" t="s">
        <v>111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0.03849708829803717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 t="s">
        <v>111</v>
      </c>
      <c r="BJ496" t="str">
        <f t="shared" si="14"/>
        <v>lcv</v>
      </c>
      <c r="BK496" t="str">
        <f t="shared" si="15"/>
        <v>elc</v>
      </c>
    </row>
    <row r="497" spans="1:63" ht="14.5">
      <c r="A497" t="s">
        <v>118</v>
      </c>
      <c r="B497" t="s">
        <v>62</v>
      </c>
      <c r="C497" t="s">
        <v>87</v>
      </c>
      <c r="D497" t="s">
        <v>111</v>
      </c>
      <c r="E497" t="s">
        <v>111</v>
      </c>
      <c r="F497" t="s">
        <v>111</v>
      </c>
      <c r="G497" t="s">
        <v>69</v>
      </c>
      <c r="H497" t="s">
        <v>111</v>
      </c>
      <c r="I497" t="s">
        <v>111</v>
      </c>
      <c r="J497" t="s">
        <v>111</v>
      </c>
      <c r="K497" t="s">
        <v>111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0.03849708829803717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 t="s">
        <v>111</v>
      </c>
      <c r="BJ497" t="str">
        <f t="shared" si="14"/>
        <v>lcv</v>
      </c>
      <c r="BK497" t="str">
        <f t="shared" si="15"/>
        <v>elc</v>
      </c>
    </row>
    <row r="498" spans="1:63" ht="14.5">
      <c r="A498" t="s">
        <v>118</v>
      </c>
      <c r="B498" t="s">
        <v>62</v>
      </c>
      <c r="C498" t="s">
        <v>87</v>
      </c>
      <c r="D498" t="s">
        <v>111</v>
      </c>
      <c r="E498" t="s">
        <v>111</v>
      </c>
      <c r="F498" t="s">
        <v>111</v>
      </c>
      <c r="G498" t="s">
        <v>68</v>
      </c>
      <c r="H498" t="s">
        <v>111</v>
      </c>
      <c r="I498" t="s">
        <v>111</v>
      </c>
      <c r="J498" t="s">
        <v>111</v>
      </c>
      <c r="K498" t="s">
        <v>111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0.03849708829803717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 t="s">
        <v>111</v>
      </c>
      <c r="BJ498" t="str">
        <f t="shared" si="14"/>
        <v>lcv</v>
      </c>
      <c r="BK498" t="str">
        <f t="shared" si="15"/>
        <v>elc</v>
      </c>
    </row>
    <row r="499" spans="1:63" ht="14.5">
      <c r="A499" t="s">
        <v>118</v>
      </c>
      <c r="B499" t="s">
        <v>62</v>
      </c>
      <c r="C499" t="s">
        <v>87</v>
      </c>
      <c r="D499" t="s">
        <v>111</v>
      </c>
      <c r="E499" t="s">
        <v>111</v>
      </c>
      <c r="F499" t="s">
        <v>111</v>
      </c>
      <c r="G499" t="s">
        <v>67</v>
      </c>
      <c r="H499" t="s">
        <v>111</v>
      </c>
      <c r="I499" t="s">
        <v>111</v>
      </c>
      <c r="J499" t="s">
        <v>111</v>
      </c>
      <c r="K499" t="s">
        <v>111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0.03849708829803717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 t="s">
        <v>111</v>
      </c>
      <c r="BJ499" t="str">
        <f t="shared" si="14"/>
        <v>lcv</v>
      </c>
      <c r="BK499" t="str">
        <f t="shared" si="15"/>
        <v>elc</v>
      </c>
    </row>
    <row r="500" spans="1:63" ht="14.5">
      <c r="A500" t="s">
        <v>118</v>
      </c>
      <c r="B500" t="s">
        <v>62</v>
      </c>
      <c r="C500" t="s">
        <v>87</v>
      </c>
      <c r="D500" t="s">
        <v>111</v>
      </c>
      <c r="E500" t="s">
        <v>111</v>
      </c>
      <c r="F500" t="s">
        <v>111</v>
      </c>
      <c r="G500" t="s">
        <v>66</v>
      </c>
      <c r="H500" t="s">
        <v>111</v>
      </c>
      <c r="I500" t="s">
        <v>111</v>
      </c>
      <c r="J500" t="s">
        <v>111</v>
      </c>
      <c r="K500" t="s">
        <v>111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0.03849708829803717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 t="s">
        <v>111</v>
      </c>
      <c r="BJ500" t="str">
        <f t="shared" si="14"/>
        <v>lcv</v>
      </c>
      <c r="BK500" t="str">
        <f t="shared" si="15"/>
        <v>elc</v>
      </c>
    </row>
    <row r="501" spans="1:63" ht="14.5">
      <c r="A501" t="s">
        <v>118</v>
      </c>
      <c r="B501" t="s">
        <v>62</v>
      </c>
      <c r="C501" t="s">
        <v>87</v>
      </c>
      <c r="D501" t="s">
        <v>111</v>
      </c>
      <c r="E501" t="s">
        <v>111</v>
      </c>
      <c r="F501" t="s">
        <v>111</v>
      </c>
      <c r="G501" t="s">
        <v>65</v>
      </c>
      <c r="H501" t="s">
        <v>111</v>
      </c>
      <c r="I501" t="s">
        <v>111</v>
      </c>
      <c r="J501" t="s">
        <v>111</v>
      </c>
      <c r="K501" t="s">
        <v>111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0.03849708829803717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 t="s">
        <v>111</v>
      </c>
      <c r="BJ501" t="str">
        <f t="shared" si="14"/>
        <v>lcv</v>
      </c>
      <c r="BK501" t="str">
        <f t="shared" si="15"/>
        <v>elc</v>
      </c>
    </row>
    <row r="502" spans="1:63" ht="14.5">
      <c r="A502" t="s">
        <v>118</v>
      </c>
      <c r="B502" t="s">
        <v>62</v>
      </c>
      <c r="C502" t="s">
        <v>86</v>
      </c>
      <c r="D502" t="s">
        <v>111</v>
      </c>
      <c r="E502" t="s">
        <v>111</v>
      </c>
      <c r="F502" t="s">
        <v>111</v>
      </c>
      <c r="G502" t="s">
        <v>61</v>
      </c>
      <c r="H502" t="s">
        <v>111</v>
      </c>
      <c r="I502" t="s">
        <v>111</v>
      </c>
      <c r="J502" t="s">
        <v>111</v>
      </c>
      <c r="K502" t="s">
        <v>111</v>
      </c>
      <c r="L502">
        <v>0</v>
      </c>
      <c r="M502">
        <v>0</v>
      </c>
      <c r="N502">
        <v>0.042456307444662438</v>
      </c>
      <c r="O502">
        <v>0.0015162966944522298</v>
      </c>
      <c r="P502">
        <v>0.0037065030308832281</v>
      </c>
      <c r="Q502">
        <v>0.0059809480725615729</v>
      </c>
      <c r="R502">
        <v>0.040855772044962858</v>
      </c>
      <c r="S502">
        <v>0.37688396727662649</v>
      </c>
      <c r="T502">
        <v>0.0015162966944522298</v>
      </c>
      <c r="U502">
        <v>0.0035380256203885363</v>
      </c>
      <c r="V502">
        <v>0.0073287673565191102</v>
      </c>
      <c r="W502">
        <v>0.016173831407490451</v>
      </c>
      <c r="X502">
        <v>0.0025271611574203827</v>
      </c>
      <c r="Y502">
        <v>0.005475515841077497</v>
      </c>
      <c r="Z502">
        <v>8.4238705247346107E-05</v>
      </c>
      <c r="AA502">
        <v>0</v>
      </c>
      <c r="AB502">
        <v>0.00075814834722611488</v>
      </c>
      <c r="AC502">
        <v>0.0073287673565191102</v>
      </c>
      <c r="AD502">
        <v>0.12433632894508284</v>
      </c>
      <c r="AE502">
        <v>0.077752324943300449</v>
      </c>
      <c r="AF502">
        <v>0.30561802263737164</v>
      </c>
      <c r="AG502">
        <v>2.0017643527926854</v>
      </c>
      <c r="AH502">
        <v>0.00058967093673142272</v>
      </c>
      <c r="AI502">
        <v>0.0076657221775084947</v>
      </c>
      <c r="AJ502">
        <v>0</v>
      </c>
      <c r="AK502">
        <v>0.20031964107818903</v>
      </c>
      <c r="AL502">
        <v>0.13200205112259134</v>
      </c>
      <c r="AM502">
        <v>0</v>
      </c>
      <c r="AN502">
        <v>0.009687451103444801</v>
      </c>
      <c r="AO502">
        <v>0.0042119352623673049</v>
      </c>
      <c r="AP502">
        <v>0.0022744450416783447</v>
      </c>
      <c r="AQ502">
        <v>0.012888521902843952</v>
      </c>
      <c r="AR502">
        <v>0.011540702618886416</v>
      </c>
      <c r="AS502">
        <v>0.010024405924434186</v>
      </c>
      <c r="AT502">
        <v>0.0041276965571199588</v>
      </c>
      <c r="AU502" t="s">
        <v>111</v>
      </c>
      <c r="BJ502" t="str">
        <f t="shared" si="14"/>
        <v>lcv</v>
      </c>
      <c r="BK502" t="str">
        <f t="shared" si="15"/>
        <v>gsl</v>
      </c>
    </row>
    <row r="503" spans="1:63" ht="14.5">
      <c r="A503" t="s">
        <v>118</v>
      </c>
      <c r="B503" t="s">
        <v>62</v>
      </c>
      <c r="C503" t="s">
        <v>86</v>
      </c>
      <c r="D503" t="s">
        <v>111</v>
      </c>
      <c r="E503" t="s">
        <v>111</v>
      </c>
      <c r="F503" t="s">
        <v>111</v>
      </c>
      <c r="G503" t="s">
        <v>83</v>
      </c>
      <c r="H503" t="s">
        <v>111</v>
      </c>
      <c r="I503" t="s">
        <v>111</v>
      </c>
      <c r="J503" t="s">
        <v>111</v>
      </c>
      <c r="K503" t="s">
        <v>111</v>
      </c>
      <c r="L503">
        <v>0</v>
      </c>
      <c r="M503">
        <v>0</v>
      </c>
      <c r="N503">
        <v>0.042456307444662438</v>
      </c>
      <c r="O503">
        <v>0.0015162966944522298</v>
      </c>
      <c r="P503">
        <v>0.0037065030308832281</v>
      </c>
      <c r="Q503">
        <v>0.0059809480725615729</v>
      </c>
      <c r="R503">
        <v>0.040855772044962858</v>
      </c>
      <c r="S503">
        <v>0.37688396727662649</v>
      </c>
      <c r="T503">
        <v>0.0015162966944522298</v>
      </c>
      <c r="U503">
        <v>0.0035380256203885363</v>
      </c>
      <c r="V503">
        <v>0.0073287673565191102</v>
      </c>
      <c r="W503">
        <v>0.016173831407490451</v>
      </c>
      <c r="X503">
        <v>0.0025271611574203827</v>
      </c>
      <c r="Y503">
        <v>0.005475515841077497</v>
      </c>
      <c r="Z503">
        <v>8.4238705247346107E-05</v>
      </c>
      <c r="AA503">
        <v>0</v>
      </c>
      <c r="AB503">
        <v>0.00075814834722611488</v>
      </c>
      <c r="AC503">
        <v>0.0073287673565191102</v>
      </c>
      <c r="AD503">
        <v>0.12433632894508284</v>
      </c>
      <c r="AE503">
        <v>0.077752324943300449</v>
      </c>
      <c r="AF503">
        <v>0.30561802263737164</v>
      </c>
      <c r="AG503">
        <v>2.0017643527926854</v>
      </c>
      <c r="AH503">
        <v>0.00058967093673142272</v>
      </c>
      <c r="AI503">
        <v>0.0076657221775084947</v>
      </c>
      <c r="AJ503">
        <v>0</v>
      </c>
      <c r="AK503">
        <v>0.20031964107818903</v>
      </c>
      <c r="AL503">
        <v>0.13200205112259134</v>
      </c>
      <c r="AM503">
        <v>0</v>
      </c>
      <c r="AN503">
        <v>0.009687451103444801</v>
      </c>
      <c r="AO503">
        <v>0.0042119352623673049</v>
      </c>
      <c r="AP503">
        <v>0.0022744450416783447</v>
      </c>
      <c r="AQ503">
        <v>0.012888521902843952</v>
      </c>
      <c r="AR503">
        <v>0.011540702618886416</v>
      </c>
      <c r="AS503">
        <v>0.010024405924434186</v>
      </c>
      <c r="AT503">
        <v>0.0041276965571199588</v>
      </c>
      <c r="AU503" t="s">
        <v>111</v>
      </c>
      <c r="BJ503" t="str">
        <f t="shared" si="14"/>
        <v>lcv</v>
      </c>
      <c r="BK503" t="str">
        <f t="shared" si="15"/>
        <v>gsl</v>
      </c>
    </row>
    <row r="504" spans="1:63" ht="14.5">
      <c r="A504" t="s">
        <v>118</v>
      </c>
      <c r="B504" t="s">
        <v>62</v>
      </c>
      <c r="C504" t="s">
        <v>86</v>
      </c>
      <c r="D504" t="s">
        <v>111</v>
      </c>
      <c r="E504" t="s">
        <v>111</v>
      </c>
      <c r="F504" t="s">
        <v>111</v>
      </c>
      <c r="G504" t="s">
        <v>82</v>
      </c>
      <c r="H504" t="s">
        <v>111</v>
      </c>
      <c r="I504" t="s">
        <v>111</v>
      </c>
      <c r="J504" t="s">
        <v>111</v>
      </c>
      <c r="K504" t="s">
        <v>111</v>
      </c>
      <c r="L504">
        <v>0</v>
      </c>
      <c r="M504">
        <v>0</v>
      </c>
      <c r="N504">
        <v>0.042456307444662438</v>
      </c>
      <c r="O504">
        <v>0.0015162966944522298</v>
      </c>
      <c r="P504">
        <v>0.0037065030308832281</v>
      </c>
      <c r="Q504">
        <v>0.0059809480725615729</v>
      </c>
      <c r="R504">
        <v>0.040855772044962858</v>
      </c>
      <c r="S504">
        <v>0.37688396727662649</v>
      </c>
      <c r="T504">
        <v>0.0015162966944522298</v>
      </c>
      <c r="U504">
        <v>0.0035380256203885363</v>
      </c>
      <c r="V504">
        <v>0.0073287673565191102</v>
      </c>
      <c r="W504">
        <v>0.016173831407490451</v>
      </c>
      <c r="X504">
        <v>0.0025271611574203827</v>
      </c>
      <c r="Y504">
        <v>0.005475515841077497</v>
      </c>
      <c r="Z504">
        <v>8.4238705247346107E-05</v>
      </c>
      <c r="AA504">
        <v>0</v>
      </c>
      <c r="AB504">
        <v>0.00075814834722611488</v>
      </c>
      <c r="AC504">
        <v>0.0073287673565191102</v>
      </c>
      <c r="AD504">
        <v>0.12433632894508284</v>
      </c>
      <c r="AE504">
        <v>0.077752324943300449</v>
      </c>
      <c r="AF504">
        <v>0.30561802263737164</v>
      </c>
      <c r="AG504">
        <v>2.0017643527926854</v>
      </c>
      <c r="AH504">
        <v>0.00058967093673142272</v>
      </c>
      <c r="AI504">
        <v>0.0076657221775084947</v>
      </c>
      <c r="AJ504">
        <v>0</v>
      </c>
      <c r="AK504">
        <v>0.20031964107818903</v>
      </c>
      <c r="AL504">
        <v>0.13200205112259134</v>
      </c>
      <c r="AM504">
        <v>0</v>
      </c>
      <c r="AN504">
        <v>0.009687451103444801</v>
      </c>
      <c r="AO504">
        <v>0.0042119352623673049</v>
      </c>
      <c r="AP504">
        <v>0.0022744450416783447</v>
      </c>
      <c r="AQ504">
        <v>0.012888521902843952</v>
      </c>
      <c r="AR504">
        <v>0.011540702618886416</v>
      </c>
      <c r="AS504">
        <v>0.010024405924434186</v>
      </c>
      <c r="AT504">
        <v>0.0041276965571199588</v>
      </c>
      <c r="AU504" t="s">
        <v>111</v>
      </c>
      <c r="BJ504" t="str">
        <f t="shared" si="14"/>
        <v>lcv</v>
      </c>
      <c r="BK504" t="str">
        <f t="shared" si="15"/>
        <v>gsl</v>
      </c>
    </row>
    <row r="505" spans="1:63" ht="14.5">
      <c r="A505" t="s">
        <v>118</v>
      </c>
      <c r="B505" t="s">
        <v>62</v>
      </c>
      <c r="C505" t="s">
        <v>86</v>
      </c>
      <c r="D505" t="s">
        <v>111</v>
      </c>
      <c r="E505" t="s">
        <v>111</v>
      </c>
      <c r="F505" t="s">
        <v>111</v>
      </c>
      <c r="G505" t="s">
        <v>81</v>
      </c>
      <c r="H505" t="s">
        <v>111</v>
      </c>
      <c r="I505" t="s">
        <v>111</v>
      </c>
      <c r="J505" t="s">
        <v>111</v>
      </c>
      <c r="K505" t="s">
        <v>111</v>
      </c>
      <c r="L505">
        <v>0</v>
      </c>
      <c r="M505">
        <v>0</v>
      </c>
      <c r="N505">
        <v>0.042456307444662438</v>
      </c>
      <c r="O505">
        <v>0.0015162966944522298</v>
      </c>
      <c r="P505">
        <v>0.0037065030308832281</v>
      </c>
      <c r="Q505">
        <v>0.0059809480725615729</v>
      </c>
      <c r="R505">
        <v>0.040855772044962858</v>
      </c>
      <c r="S505">
        <v>0.37688396727662649</v>
      </c>
      <c r="T505">
        <v>0.0015162966944522298</v>
      </c>
      <c r="U505">
        <v>0.0035380256203885363</v>
      </c>
      <c r="V505">
        <v>0.0073287673565191102</v>
      </c>
      <c r="W505">
        <v>0.016173831407490451</v>
      </c>
      <c r="X505">
        <v>0.0025271611574203827</v>
      </c>
      <c r="Y505">
        <v>0.005475515841077497</v>
      </c>
      <c r="Z505">
        <v>8.4238705247346107E-05</v>
      </c>
      <c r="AA505">
        <v>0</v>
      </c>
      <c r="AB505">
        <v>0.00075814834722611488</v>
      </c>
      <c r="AC505">
        <v>0.0073287673565191102</v>
      </c>
      <c r="AD505">
        <v>0.12433632894508284</v>
      </c>
      <c r="AE505">
        <v>0.077752324943300449</v>
      </c>
      <c r="AF505">
        <v>0.30561802263737164</v>
      </c>
      <c r="AG505">
        <v>2.0017643527926854</v>
      </c>
      <c r="AH505">
        <v>0.00058967093673142272</v>
      </c>
      <c r="AI505">
        <v>0.0076657221775084947</v>
      </c>
      <c r="AJ505">
        <v>0</v>
      </c>
      <c r="AK505">
        <v>0.20031964107818903</v>
      </c>
      <c r="AL505">
        <v>0.13200205112259134</v>
      </c>
      <c r="AM505">
        <v>0</v>
      </c>
      <c r="AN505">
        <v>0.009687451103444801</v>
      </c>
      <c r="AO505">
        <v>0.0042119352623673049</v>
      </c>
      <c r="AP505">
        <v>0.0022744450416783447</v>
      </c>
      <c r="AQ505">
        <v>0.012888521902843952</v>
      </c>
      <c r="AR505">
        <v>0.011540702618886416</v>
      </c>
      <c r="AS505">
        <v>0.010024405924434186</v>
      </c>
      <c r="AT505">
        <v>0.0041276965571199588</v>
      </c>
      <c r="AU505" t="s">
        <v>111</v>
      </c>
      <c r="BJ505" t="str">
        <f t="shared" si="14"/>
        <v>lcv</v>
      </c>
      <c r="BK505" t="str">
        <f t="shared" si="15"/>
        <v>gsl</v>
      </c>
    </row>
    <row r="506" spans="1:63" ht="14.5">
      <c r="A506" t="s">
        <v>118</v>
      </c>
      <c r="B506" t="s">
        <v>62</v>
      </c>
      <c r="C506" t="s">
        <v>86</v>
      </c>
      <c r="D506" t="s">
        <v>111</v>
      </c>
      <c r="E506" t="s">
        <v>111</v>
      </c>
      <c r="F506" t="s">
        <v>111</v>
      </c>
      <c r="G506" t="s">
        <v>80</v>
      </c>
      <c r="H506" t="s">
        <v>111</v>
      </c>
      <c r="I506" t="s">
        <v>111</v>
      </c>
      <c r="J506" t="s">
        <v>111</v>
      </c>
      <c r="K506" t="s">
        <v>111</v>
      </c>
      <c r="L506">
        <v>0</v>
      </c>
      <c r="M506">
        <v>0</v>
      </c>
      <c r="N506">
        <v>0.042456307444662438</v>
      </c>
      <c r="O506">
        <v>0.0015162966944522298</v>
      </c>
      <c r="P506">
        <v>0.0037065030308832281</v>
      </c>
      <c r="Q506">
        <v>0.0059809480725615729</v>
      </c>
      <c r="R506">
        <v>0.040855772044962858</v>
      </c>
      <c r="S506">
        <v>0.37688396727662649</v>
      </c>
      <c r="T506">
        <v>0.0015162966944522298</v>
      </c>
      <c r="U506">
        <v>0.0035380256203885363</v>
      </c>
      <c r="V506">
        <v>0.0073287673565191102</v>
      </c>
      <c r="W506">
        <v>0.016173831407490451</v>
      </c>
      <c r="X506">
        <v>0.0025271611574203827</v>
      </c>
      <c r="Y506">
        <v>0.005475515841077497</v>
      </c>
      <c r="Z506">
        <v>8.4238705247346107E-05</v>
      </c>
      <c r="AA506">
        <v>0</v>
      </c>
      <c r="AB506">
        <v>0.00075814834722611488</v>
      </c>
      <c r="AC506">
        <v>0.0073287673565191102</v>
      </c>
      <c r="AD506">
        <v>0.12433632894508284</v>
      </c>
      <c r="AE506">
        <v>0.077752324943300449</v>
      </c>
      <c r="AF506">
        <v>0.30561802263737164</v>
      </c>
      <c r="AG506">
        <v>2.0017643527926854</v>
      </c>
      <c r="AH506">
        <v>0.00058967093673142272</v>
      </c>
      <c r="AI506">
        <v>0.0076657221775084947</v>
      </c>
      <c r="AJ506">
        <v>0</v>
      </c>
      <c r="AK506">
        <v>0.20031964107818903</v>
      </c>
      <c r="AL506">
        <v>0.13200205112259134</v>
      </c>
      <c r="AM506">
        <v>0</v>
      </c>
      <c r="AN506">
        <v>0.009687451103444801</v>
      </c>
      <c r="AO506">
        <v>0.0042119352623673049</v>
      </c>
      <c r="AP506">
        <v>0.0022744450416783447</v>
      </c>
      <c r="AQ506">
        <v>0.012888521902843952</v>
      </c>
      <c r="AR506">
        <v>0.011540702618886416</v>
      </c>
      <c r="AS506">
        <v>0.010024405924434186</v>
      </c>
      <c r="AT506">
        <v>0.0041276965571199588</v>
      </c>
      <c r="AU506" t="s">
        <v>111</v>
      </c>
      <c r="BJ506" t="str">
        <f t="shared" si="14"/>
        <v>lcv</v>
      </c>
      <c r="BK506" t="str">
        <f t="shared" si="15"/>
        <v>gsl</v>
      </c>
    </row>
    <row r="507" spans="1:63" ht="14.5">
      <c r="A507" t="s">
        <v>118</v>
      </c>
      <c r="B507" t="s">
        <v>62</v>
      </c>
      <c r="C507" t="s">
        <v>86</v>
      </c>
      <c r="D507" t="s">
        <v>111</v>
      </c>
      <c r="E507" t="s">
        <v>111</v>
      </c>
      <c r="F507" t="s">
        <v>111</v>
      </c>
      <c r="G507" t="s">
        <v>79</v>
      </c>
      <c r="H507" t="s">
        <v>111</v>
      </c>
      <c r="I507" t="s">
        <v>111</v>
      </c>
      <c r="J507" t="s">
        <v>111</v>
      </c>
      <c r="K507" t="s">
        <v>111</v>
      </c>
      <c r="L507">
        <v>0</v>
      </c>
      <c r="M507">
        <v>0</v>
      </c>
      <c r="N507">
        <v>0.042456307444662438</v>
      </c>
      <c r="O507">
        <v>0.0015162966944522298</v>
      </c>
      <c r="P507">
        <v>0.0037065030308832281</v>
      </c>
      <c r="Q507">
        <v>0.0059809480725615729</v>
      </c>
      <c r="R507">
        <v>0.040855772044962858</v>
      </c>
      <c r="S507">
        <v>0.37688396727662649</v>
      </c>
      <c r="T507">
        <v>0.0015162966944522298</v>
      </c>
      <c r="U507">
        <v>0.0035380256203885363</v>
      </c>
      <c r="V507">
        <v>0.0073287673565191102</v>
      </c>
      <c r="W507">
        <v>0.016173831407490451</v>
      </c>
      <c r="X507">
        <v>0.0025271611574203827</v>
      </c>
      <c r="Y507">
        <v>0.005475515841077497</v>
      </c>
      <c r="Z507">
        <v>8.4238705247346107E-05</v>
      </c>
      <c r="AA507">
        <v>0</v>
      </c>
      <c r="AB507">
        <v>0.00075814834722611488</v>
      </c>
      <c r="AC507">
        <v>0.0073287673565191102</v>
      </c>
      <c r="AD507">
        <v>0.12433632894508284</v>
      </c>
      <c r="AE507">
        <v>0.077752324943300449</v>
      </c>
      <c r="AF507">
        <v>0.30561802263737164</v>
      </c>
      <c r="AG507">
        <v>2.0017643527926854</v>
      </c>
      <c r="AH507">
        <v>0.00058967093673142272</v>
      </c>
      <c r="AI507">
        <v>0.0076657221775084947</v>
      </c>
      <c r="AJ507">
        <v>0</v>
      </c>
      <c r="AK507">
        <v>0.20031964107818903</v>
      </c>
      <c r="AL507">
        <v>0.13200205112259134</v>
      </c>
      <c r="AM507">
        <v>0</v>
      </c>
      <c r="AN507">
        <v>0.009687451103444801</v>
      </c>
      <c r="AO507">
        <v>0.0042119352623673049</v>
      </c>
      <c r="AP507">
        <v>0.0022744450416783447</v>
      </c>
      <c r="AQ507">
        <v>0.012888521902843952</v>
      </c>
      <c r="AR507">
        <v>0.011540702618886416</v>
      </c>
      <c r="AS507">
        <v>0.010024405924434186</v>
      </c>
      <c r="AT507">
        <v>0.0041276965571199588</v>
      </c>
      <c r="AU507" t="s">
        <v>111</v>
      </c>
      <c r="BJ507" t="str">
        <f t="shared" si="14"/>
        <v>lcv</v>
      </c>
      <c r="BK507" t="str">
        <f t="shared" si="15"/>
        <v>gsl</v>
      </c>
    </row>
    <row r="508" spans="1:63" ht="14.5">
      <c r="A508" t="s">
        <v>118</v>
      </c>
      <c r="B508" t="s">
        <v>62</v>
      </c>
      <c r="C508" t="s">
        <v>86</v>
      </c>
      <c r="D508" t="s">
        <v>111</v>
      </c>
      <c r="E508" t="s">
        <v>111</v>
      </c>
      <c r="F508" t="s">
        <v>111</v>
      </c>
      <c r="G508" t="s">
        <v>78</v>
      </c>
      <c r="H508" t="s">
        <v>111</v>
      </c>
      <c r="I508" t="s">
        <v>111</v>
      </c>
      <c r="J508" t="s">
        <v>111</v>
      </c>
      <c r="K508" t="s">
        <v>111</v>
      </c>
      <c r="L508">
        <v>0</v>
      </c>
      <c r="M508">
        <v>0</v>
      </c>
      <c r="N508">
        <v>0.042456307444662438</v>
      </c>
      <c r="O508">
        <v>0.0015162966944522298</v>
      </c>
      <c r="P508">
        <v>0.0037065030308832281</v>
      </c>
      <c r="Q508">
        <v>0.0059809480725615729</v>
      </c>
      <c r="R508">
        <v>0.040855772044962858</v>
      </c>
      <c r="S508">
        <v>0.37688396727662649</v>
      </c>
      <c r="T508">
        <v>0.0015162966944522298</v>
      </c>
      <c r="U508">
        <v>0.0035380256203885363</v>
      </c>
      <c r="V508">
        <v>0.0073287673565191102</v>
      </c>
      <c r="W508">
        <v>0.016173831407490451</v>
      </c>
      <c r="X508">
        <v>0.0025271611574203827</v>
      </c>
      <c r="Y508">
        <v>0.005475515841077497</v>
      </c>
      <c r="Z508">
        <v>8.4238705247346107E-05</v>
      </c>
      <c r="AA508">
        <v>0</v>
      </c>
      <c r="AB508">
        <v>0.00075814834722611488</v>
      </c>
      <c r="AC508">
        <v>0.0073287673565191102</v>
      </c>
      <c r="AD508">
        <v>0.12433632894508284</v>
      </c>
      <c r="AE508">
        <v>0.077752324943300449</v>
      </c>
      <c r="AF508">
        <v>0.30561802263737164</v>
      </c>
      <c r="AG508">
        <v>2.0017643527926854</v>
      </c>
      <c r="AH508">
        <v>0.00058967093673142272</v>
      </c>
      <c r="AI508">
        <v>0.0076657221775084947</v>
      </c>
      <c r="AJ508">
        <v>0</v>
      </c>
      <c r="AK508">
        <v>0.20031964107818903</v>
      </c>
      <c r="AL508">
        <v>0.13200205112259134</v>
      </c>
      <c r="AM508">
        <v>0</v>
      </c>
      <c r="AN508">
        <v>0.009687451103444801</v>
      </c>
      <c r="AO508">
        <v>0.0042119352623673049</v>
      </c>
      <c r="AP508">
        <v>0.0022744450416783447</v>
      </c>
      <c r="AQ508">
        <v>0.012888521902843952</v>
      </c>
      <c r="AR508">
        <v>0.011540702618886416</v>
      </c>
      <c r="AS508">
        <v>0.010024405924434186</v>
      </c>
      <c r="AT508">
        <v>0.0041276965571199588</v>
      </c>
      <c r="AU508" t="s">
        <v>111</v>
      </c>
      <c r="BJ508" t="str">
        <f t="shared" si="14"/>
        <v>lcv</v>
      </c>
      <c r="BK508" t="str">
        <f t="shared" si="15"/>
        <v>gsl</v>
      </c>
    </row>
    <row r="509" spans="1:63" ht="14.5">
      <c r="A509" t="s">
        <v>118</v>
      </c>
      <c r="B509" t="s">
        <v>62</v>
      </c>
      <c r="C509" t="s">
        <v>86</v>
      </c>
      <c r="D509" t="s">
        <v>111</v>
      </c>
      <c r="E509" t="s">
        <v>111</v>
      </c>
      <c r="F509" t="s">
        <v>111</v>
      </c>
      <c r="G509" t="s">
        <v>77</v>
      </c>
      <c r="H509" t="s">
        <v>111</v>
      </c>
      <c r="I509" t="s">
        <v>111</v>
      </c>
      <c r="J509" t="s">
        <v>111</v>
      </c>
      <c r="K509" t="s">
        <v>111</v>
      </c>
      <c r="L509">
        <v>0</v>
      </c>
      <c r="M509">
        <v>0</v>
      </c>
      <c r="N509">
        <v>0.042456307444662438</v>
      </c>
      <c r="O509">
        <v>0.0015162966944522298</v>
      </c>
      <c r="P509">
        <v>0.0037065030308832281</v>
      </c>
      <c r="Q509">
        <v>0.0059809480725615729</v>
      </c>
      <c r="R509">
        <v>0.040855772044962858</v>
      </c>
      <c r="S509">
        <v>0.37688396727662649</v>
      </c>
      <c r="T509">
        <v>0.0015162966944522298</v>
      </c>
      <c r="U509">
        <v>0.0035380256203885363</v>
      </c>
      <c r="V509">
        <v>0.0073287673565191102</v>
      </c>
      <c r="W509">
        <v>0.016173831407490451</v>
      </c>
      <c r="X509">
        <v>0.0025271611574203827</v>
      </c>
      <c r="Y509">
        <v>0.005475515841077497</v>
      </c>
      <c r="Z509">
        <v>8.4238705247346107E-05</v>
      </c>
      <c r="AA509">
        <v>0</v>
      </c>
      <c r="AB509">
        <v>0.00075814834722611488</v>
      </c>
      <c r="AC509">
        <v>0.0073287673565191102</v>
      </c>
      <c r="AD509">
        <v>0.12433632894508284</v>
      </c>
      <c r="AE509">
        <v>0.077752324943300449</v>
      </c>
      <c r="AF509">
        <v>0.30561802263737164</v>
      </c>
      <c r="AG509">
        <v>2.0017643527926854</v>
      </c>
      <c r="AH509">
        <v>0.00058967093673142272</v>
      </c>
      <c r="AI509">
        <v>0.0076657221775084947</v>
      </c>
      <c r="AJ509">
        <v>0</v>
      </c>
      <c r="AK509">
        <v>0.20031964107818903</v>
      </c>
      <c r="AL509">
        <v>0.13200205112259134</v>
      </c>
      <c r="AM509">
        <v>0</v>
      </c>
      <c r="AN509">
        <v>0.009687451103444801</v>
      </c>
      <c r="AO509">
        <v>0.0042119352623673049</v>
      </c>
      <c r="AP509">
        <v>0.0022744450416783447</v>
      </c>
      <c r="AQ509">
        <v>0.012888521902843952</v>
      </c>
      <c r="AR509">
        <v>0.011540702618886416</v>
      </c>
      <c r="AS509">
        <v>0.010024405924434186</v>
      </c>
      <c r="AT509">
        <v>0.0041276965571199588</v>
      </c>
      <c r="AU509" t="s">
        <v>111</v>
      </c>
      <c r="BJ509" t="str">
        <f t="shared" si="14"/>
        <v>lcv</v>
      </c>
      <c r="BK509" t="str">
        <f t="shared" si="15"/>
        <v>gsl</v>
      </c>
    </row>
    <row r="510" spans="1:63" ht="14.5">
      <c r="A510" t="s">
        <v>118</v>
      </c>
      <c r="B510" t="s">
        <v>62</v>
      </c>
      <c r="C510" t="s">
        <v>86</v>
      </c>
      <c r="D510" t="s">
        <v>111</v>
      </c>
      <c r="E510" t="s">
        <v>111</v>
      </c>
      <c r="F510" t="s">
        <v>111</v>
      </c>
      <c r="G510" t="s">
        <v>76</v>
      </c>
      <c r="H510" t="s">
        <v>111</v>
      </c>
      <c r="I510" t="s">
        <v>111</v>
      </c>
      <c r="J510" t="s">
        <v>111</v>
      </c>
      <c r="K510" t="s">
        <v>111</v>
      </c>
      <c r="L510">
        <v>0</v>
      </c>
      <c r="M510">
        <v>0</v>
      </c>
      <c r="N510">
        <v>0.042456307444662438</v>
      </c>
      <c r="O510">
        <v>0.0015162966944522298</v>
      </c>
      <c r="P510">
        <v>0.0037065030308832281</v>
      </c>
      <c r="Q510">
        <v>0.0059809480725615729</v>
      </c>
      <c r="R510">
        <v>0.040855772044962858</v>
      </c>
      <c r="S510">
        <v>0.37688396727662649</v>
      </c>
      <c r="T510">
        <v>0.0015162966944522298</v>
      </c>
      <c r="U510">
        <v>0.0035380256203885363</v>
      </c>
      <c r="V510">
        <v>0.0073287673565191102</v>
      </c>
      <c r="W510">
        <v>0.016173831407490451</v>
      </c>
      <c r="X510">
        <v>0.0025271611574203827</v>
      </c>
      <c r="Y510">
        <v>0.005475515841077497</v>
      </c>
      <c r="Z510">
        <v>8.4238705247346107E-05</v>
      </c>
      <c r="AA510">
        <v>0</v>
      </c>
      <c r="AB510">
        <v>0.00075814834722611488</v>
      </c>
      <c r="AC510">
        <v>0.0073287673565191102</v>
      </c>
      <c r="AD510">
        <v>0.12433632894508284</v>
      </c>
      <c r="AE510">
        <v>0.077752324943300449</v>
      </c>
      <c r="AF510">
        <v>0.30561802263737164</v>
      </c>
      <c r="AG510">
        <v>2.0017643527926854</v>
      </c>
      <c r="AH510">
        <v>0.00058967093673142272</v>
      </c>
      <c r="AI510">
        <v>0.0076657221775084947</v>
      </c>
      <c r="AJ510">
        <v>0</v>
      </c>
      <c r="AK510">
        <v>0.20031964107818903</v>
      </c>
      <c r="AL510">
        <v>0.13200205112259134</v>
      </c>
      <c r="AM510">
        <v>0</v>
      </c>
      <c r="AN510">
        <v>0.009687451103444801</v>
      </c>
      <c r="AO510">
        <v>0.0042119352623673049</v>
      </c>
      <c r="AP510">
        <v>0.0022744450416783447</v>
      </c>
      <c r="AQ510">
        <v>0.012888521902843952</v>
      </c>
      <c r="AR510">
        <v>0.011540702618886416</v>
      </c>
      <c r="AS510">
        <v>0.010024405924434186</v>
      </c>
      <c r="AT510">
        <v>0.0041276965571199588</v>
      </c>
      <c r="AU510" t="s">
        <v>111</v>
      </c>
      <c r="BJ510" t="str">
        <f t="shared" si="14"/>
        <v>lcv</v>
      </c>
      <c r="BK510" t="str">
        <f t="shared" si="15"/>
        <v>gsl</v>
      </c>
    </row>
    <row r="511" spans="1:63" ht="14.5">
      <c r="A511" t="s">
        <v>118</v>
      </c>
      <c r="B511" t="s">
        <v>62</v>
      </c>
      <c r="C511" t="s">
        <v>86</v>
      </c>
      <c r="D511" t="s">
        <v>111</v>
      </c>
      <c r="E511" t="s">
        <v>111</v>
      </c>
      <c r="F511" t="s">
        <v>111</v>
      </c>
      <c r="G511" t="s">
        <v>75</v>
      </c>
      <c r="H511" t="s">
        <v>111</v>
      </c>
      <c r="I511" t="s">
        <v>111</v>
      </c>
      <c r="J511" t="s">
        <v>111</v>
      </c>
      <c r="K511" t="s">
        <v>111</v>
      </c>
      <c r="L511">
        <v>0</v>
      </c>
      <c r="M511">
        <v>0</v>
      </c>
      <c r="N511">
        <v>0.042456307444662438</v>
      </c>
      <c r="O511">
        <v>0.0015162966944522298</v>
      </c>
      <c r="P511">
        <v>0.0037065030308832281</v>
      </c>
      <c r="Q511">
        <v>0.0059809480725615729</v>
      </c>
      <c r="R511">
        <v>0.040855772044962858</v>
      </c>
      <c r="S511">
        <v>0.37688396727662649</v>
      </c>
      <c r="T511">
        <v>0.0015162966944522298</v>
      </c>
      <c r="U511">
        <v>0.0035380256203885363</v>
      </c>
      <c r="V511">
        <v>0.0073287673565191102</v>
      </c>
      <c r="W511">
        <v>0.016173831407490451</v>
      </c>
      <c r="X511">
        <v>0.0025271611574203827</v>
      </c>
      <c r="Y511">
        <v>0.005475515841077497</v>
      </c>
      <c r="Z511">
        <v>8.4238705247346107E-05</v>
      </c>
      <c r="AA511">
        <v>0</v>
      </c>
      <c r="AB511">
        <v>0.00075814834722611488</v>
      </c>
      <c r="AC511">
        <v>0.0073287673565191102</v>
      </c>
      <c r="AD511">
        <v>0.12433632894508284</v>
      </c>
      <c r="AE511">
        <v>0.077752324943300449</v>
      </c>
      <c r="AF511">
        <v>0.30561802263737164</v>
      </c>
      <c r="AG511">
        <v>2.0017643527926854</v>
      </c>
      <c r="AH511">
        <v>0.00058967093673142272</v>
      </c>
      <c r="AI511">
        <v>0.0076657221775084947</v>
      </c>
      <c r="AJ511">
        <v>0</v>
      </c>
      <c r="AK511">
        <v>0.20031964107818903</v>
      </c>
      <c r="AL511">
        <v>0.13200205112259134</v>
      </c>
      <c r="AM511">
        <v>0</v>
      </c>
      <c r="AN511">
        <v>0.009687451103444801</v>
      </c>
      <c r="AO511">
        <v>0.0042119352623673049</v>
      </c>
      <c r="AP511">
        <v>0.0022744450416783447</v>
      </c>
      <c r="AQ511">
        <v>0.012888521902843952</v>
      </c>
      <c r="AR511">
        <v>0.011540702618886416</v>
      </c>
      <c r="AS511">
        <v>0.010024405924434186</v>
      </c>
      <c r="AT511">
        <v>0.0041276965571199588</v>
      </c>
      <c r="AU511" t="s">
        <v>111</v>
      </c>
      <c r="BJ511" t="str">
        <f t="shared" si="14"/>
        <v>lcv</v>
      </c>
      <c r="BK511" t="str">
        <f t="shared" si="15"/>
        <v>gsl</v>
      </c>
    </row>
    <row r="512" spans="1:63" ht="14.5">
      <c r="A512" t="s">
        <v>118</v>
      </c>
      <c r="B512" t="s">
        <v>62</v>
      </c>
      <c r="C512" t="s">
        <v>86</v>
      </c>
      <c r="D512" t="s">
        <v>111</v>
      </c>
      <c r="E512" t="s">
        <v>111</v>
      </c>
      <c r="F512" t="s">
        <v>111</v>
      </c>
      <c r="G512" t="s">
        <v>74</v>
      </c>
      <c r="H512" t="s">
        <v>111</v>
      </c>
      <c r="I512" t="s">
        <v>111</v>
      </c>
      <c r="J512" t="s">
        <v>111</v>
      </c>
      <c r="K512" t="s">
        <v>111</v>
      </c>
      <c r="L512">
        <v>0</v>
      </c>
      <c r="M512">
        <v>0</v>
      </c>
      <c r="N512">
        <v>0.042456307444662438</v>
      </c>
      <c r="O512">
        <v>0.0015162966944522298</v>
      </c>
      <c r="P512">
        <v>0.0037065030308832281</v>
      </c>
      <c r="Q512">
        <v>0.0059809480725615729</v>
      </c>
      <c r="R512">
        <v>0.040855772044962858</v>
      </c>
      <c r="S512">
        <v>0.37688396727662649</v>
      </c>
      <c r="T512">
        <v>0.0015162966944522298</v>
      </c>
      <c r="U512">
        <v>0.0035380256203885363</v>
      </c>
      <c r="V512">
        <v>0.0073287673565191102</v>
      </c>
      <c r="W512">
        <v>0.016173831407490451</v>
      </c>
      <c r="X512">
        <v>0.0025271611574203827</v>
      </c>
      <c r="Y512">
        <v>0.005475515841077497</v>
      </c>
      <c r="Z512">
        <v>8.4238705247346107E-05</v>
      </c>
      <c r="AA512">
        <v>0</v>
      </c>
      <c r="AB512">
        <v>0.00075814834722611488</v>
      </c>
      <c r="AC512">
        <v>0.0073287673565191102</v>
      </c>
      <c r="AD512">
        <v>0.12433632894508284</v>
      </c>
      <c r="AE512">
        <v>0.077752324943300449</v>
      </c>
      <c r="AF512">
        <v>0.30561802263737164</v>
      </c>
      <c r="AG512">
        <v>2.0017643527926854</v>
      </c>
      <c r="AH512">
        <v>0.00058967093673142272</v>
      </c>
      <c r="AI512">
        <v>0.0076657221775084947</v>
      </c>
      <c r="AJ512">
        <v>0</v>
      </c>
      <c r="AK512">
        <v>0.20031964107818903</v>
      </c>
      <c r="AL512">
        <v>0.13200205112259134</v>
      </c>
      <c r="AM512">
        <v>0</v>
      </c>
      <c r="AN512">
        <v>0.009687451103444801</v>
      </c>
      <c r="AO512">
        <v>0.0042119352623673049</v>
      </c>
      <c r="AP512">
        <v>0.0022744450416783447</v>
      </c>
      <c r="AQ512">
        <v>0.012888521902843952</v>
      </c>
      <c r="AR512">
        <v>0.011540702618886416</v>
      </c>
      <c r="AS512">
        <v>0.010024405924434186</v>
      </c>
      <c r="AT512">
        <v>0.0041276965571199588</v>
      </c>
      <c r="AU512" t="s">
        <v>111</v>
      </c>
      <c r="BJ512" t="str">
        <f t="shared" si="14"/>
        <v>lcv</v>
      </c>
      <c r="BK512" t="str">
        <f t="shared" si="15"/>
        <v>gsl</v>
      </c>
    </row>
    <row r="513" spans="1:63" ht="14.5">
      <c r="A513" t="s">
        <v>118</v>
      </c>
      <c r="B513" t="s">
        <v>62</v>
      </c>
      <c r="C513" t="s">
        <v>86</v>
      </c>
      <c r="D513" t="s">
        <v>111</v>
      </c>
      <c r="E513" t="s">
        <v>111</v>
      </c>
      <c r="F513" t="s">
        <v>111</v>
      </c>
      <c r="G513" t="s">
        <v>73</v>
      </c>
      <c r="H513" t="s">
        <v>111</v>
      </c>
      <c r="I513" t="s">
        <v>111</v>
      </c>
      <c r="J513" t="s">
        <v>111</v>
      </c>
      <c r="K513" t="s">
        <v>111</v>
      </c>
      <c r="L513">
        <v>0</v>
      </c>
      <c r="M513">
        <v>0</v>
      </c>
      <c r="N513">
        <v>0.042456307444662438</v>
      </c>
      <c r="O513">
        <v>0.0015162966944522298</v>
      </c>
      <c r="P513">
        <v>0.0037065030308832281</v>
      </c>
      <c r="Q513">
        <v>0.0059809480725615729</v>
      </c>
      <c r="R513">
        <v>0.040855772044962858</v>
      </c>
      <c r="S513">
        <v>0.37688396727662649</v>
      </c>
      <c r="T513">
        <v>0.0015162966944522298</v>
      </c>
      <c r="U513">
        <v>0.0035380256203885363</v>
      </c>
      <c r="V513">
        <v>0.0073287673565191102</v>
      </c>
      <c r="W513">
        <v>0.016173831407490451</v>
      </c>
      <c r="X513">
        <v>0.0025271611574203827</v>
      </c>
      <c r="Y513">
        <v>0.005475515841077497</v>
      </c>
      <c r="Z513">
        <v>8.4238705247346107E-05</v>
      </c>
      <c r="AA513">
        <v>0</v>
      </c>
      <c r="AB513">
        <v>0.00075814834722611488</v>
      </c>
      <c r="AC513">
        <v>0.0073287673565191102</v>
      </c>
      <c r="AD513">
        <v>0.12433632894508284</v>
      </c>
      <c r="AE513">
        <v>0.077752324943300449</v>
      </c>
      <c r="AF513">
        <v>0.30561802263737164</v>
      </c>
      <c r="AG513">
        <v>2.0017643527926854</v>
      </c>
      <c r="AH513">
        <v>0.00058967093673142272</v>
      </c>
      <c r="AI513">
        <v>0.0076657221775084947</v>
      </c>
      <c r="AJ513">
        <v>0</v>
      </c>
      <c r="AK513">
        <v>0.20031964107818903</v>
      </c>
      <c r="AL513">
        <v>0.13200205112259134</v>
      </c>
      <c r="AM513">
        <v>0</v>
      </c>
      <c r="AN513">
        <v>0.009687451103444801</v>
      </c>
      <c r="AO513">
        <v>0.0042119352623673049</v>
      </c>
      <c r="AP513">
        <v>0.0022744450416783447</v>
      </c>
      <c r="AQ513">
        <v>0.012888521902843952</v>
      </c>
      <c r="AR513">
        <v>0.011540702618886416</v>
      </c>
      <c r="AS513">
        <v>0.010024405924434186</v>
      </c>
      <c r="AT513">
        <v>0.0041276965571199588</v>
      </c>
      <c r="AU513" t="s">
        <v>111</v>
      </c>
      <c r="BJ513" t="str">
        <f t="shared" si="14"/>
        <v>lcv</v>
      </c>
      <c r="BK513" t="str">
        <f t="shared" si="15"/>
        <v>gsl</v>
      </c>
    </row>
    <row r="514" spans="1:63" ht="14.5">
      <c r="A514" t="s">
        <v>118</v>
      </c>
      <c r="B514" t="s">
        <v>62</v>
      </c>
      <c r="C514" t="s">
        <v>86</v>
      </c>
      <c r="D514" t="s">
        <v>111</v>
      </c>
      <c r="E514" t="s">
        <v>111</v>
      </c>
      <c r="F514" t="s">
        <v>111</v>
      </c>
      <c r="G514" t="s">
        <v>72</v>
      </c>
      <c r="H514" t="s">
        <v>111</v>
      </c>
      <c r="I514" t="s">
        <v>111</v>
      </c>
      <c r="J514" t="s">
        <v>111</v>
      </c>
      <c r="K514" t="s">
        <v>111</v>
      </c>
      <c r="L514">
        <v>0</v>
      </c>
      <c r="M514">
        <v>0</v>
      </c>
      <c r="N514">
        <v>0.042456307444662438</v>
      </c>
      <c r="O514">
        <v>0.0015162966944522298</v>
      </c>
      <c r="P514">
        <v>0.0037065030308832281</v>
      </c>
      <c r="Q514">
        <v>0.0059809480725615729</v>
      </c>
      <c r="R514">
        <v>0.040855772044962858</v>
      </c>
      <c r="S514">
        <v>0.37688396727662649</v>
      </c>
      <c r="T514">
        <v>0.0015162966944522298</v>
      </c>
      <c r="U514">
        <v>0.0035380256203885363</v>
      </c>
      <c r="V514">
        <v>0.0073287673565191102</v>
      </c>
      <c r="W514">
        <v>0.016173831407490451</v>
      </c>
      <c r="X514">
        <v>0.0025271611574203827</v>
      </c>
      <c r="Y514">
        <v>0.005475515841077497</v>
      </c>
      <c r="Z514">
        <v>8.4238705247346107E-05</v>
      </c>
      <c r="AA514">
        <v>0</v>
      </c>
      <c r="AB514">
        <v>0.00075814834722611488</v>
      </c>
      <c r="AC514">
        <v>0.0073287673565191102</v>
      </c>
      <c r="AD514">
        <v>0.12433632894508284</v>
      </c>
      <c r="AE514">
        <v>0.077752324943300449</v>
      </c>
      <c r="AF514">
        <v>0.30561802263737164</v>
      </c>
      <c r="AG514">
        <v>2.0017643527926854</v>
      </c>
      <c r="AH514">
        <v>0.00058967093673142272</v>
      </c>
      <c r="AI514">
        <v>0.0076657221775084947</v>
      </c>
      <c r="AJ514">
        <v>0</v>
      </c>
      <c r="AK514">
        <v>0.20031964107818903</v>
      </c>
      <c r="AL514">
        <v>0.13200205112259134</v>
      </c>
      <c r="AM514">
        <v>0</v>
      </c>
      <c r="AN514">
        <v>0.009687451103444801</v>
      </c>
      <c r="AO514">
        <v>0.0042119352623673049</v>
      </c>
      <c r="AP514">
        <v>0.0022744450416783447</v>
      </c>
      <c r="AQ514">
        <v>0.012888521902843952</v>
      </c>
      <c r="AR514">
        <v>0.011540702618886416</v>
      </c>
      <c r="AS514">
        <v>0.010024405924434186</v>
      </c>
      <c r="AT514">
        <v>0.0041276965571199588</v>
      </c>
      <c r="AU514" t="s">
        <v>111</v>
      </c>
      <c r="BJ514" t="str">
        <f t="shared" si="14"/>
        <v>lcv</v>
      </c>
      <c r="BK514" t="str">
        <f t="shared" si="15"/>
        <v>gsl</v>
      </c>
    </row>
    <row r="515" spans="1:63" ht="14.5">
      <c r="A515" t="s">
        <v>118</v>
      </c>
      <c r="B515" t="s">
        <v>62</v>
      </c>
      <c r="C515" t="s">
        <v>86</v>
      </c>
      <c r="D515" t="s">
        <v>111</v>
      </c>
      <c r="E515" t="s">
        <v>111</v>
      </c>
      <c r="F515" t="s">
        <v>111</v>
      </c>
      <c r="G515" t="s">
        <v>71</v>
      </c>
      <c r="H515" t="s">
        <v>111</v>
      </c>
      <c r="I515" t="s">
        <v>111</v>
      </c>
      <c r="J515" t="s">
        <v>111</v>
      </c>
      <c r="K515" t="s">
        <v>111</v>
      </c>
      <c r="L515">
        <v>0</v>
      </c>
      <c r="M515">
        <v>0</v>
      </c>
      <c r="N515">
        <v>0.042456307444662438</v>
      </c>
      <c r="O515">
        <v>0.0015162966944522298</v>
      </c>
      <c r="P515">
        <v>0.0037065030308832281</v>
      </c>
      <c r="Q515">
        <v>0.0059809480725615729</v>
      </c>
      <c r="R515">
        <v>0.040855772044962858</v>
      </c>
      <c r="S515">
        <v>0.37688396727662649</v>
      </c>
      <c r="T515">
        <v>0.0015162966944522298</v>
      </c>
      <c r="U515">
        <v>0.0035380256203885363</v>
      </c>
      <c r="V515">
        <v>0.0073287673565191102</v>
      </c>
      <c r="W515">
        <v>0.016173831407490451</v>
      </c>
      <c r="X515">
        <v>0.0025271611574203827</v>
      </c>
      <c r="Y515">
        <v>0.005475515841077497</v>
      </c>
      <c r="Z515">
        <v>8.4238705247346107E-05</v>
      </c>
      <c r="AA515">
        <v>0</v>
      </c>
      <c r="AB515">
        <v>0.00075814834722611488</v>
      </c>
      <c r="AC515">
        <v>0.0073287673565191102</v>
      </c>
      <c r="AD515">
        <v>0.12433632894508284</v>
      </c>
      <c r="AE515">
        <v>0.077752324943300449</v>
      </c>
      <c r="AF515">
        <v>0.30561802263737164</v>
      </c>
      <c r="AG515">
        <v>2.0017643527926854</v>
      </c>
      <c r="AH515">
        <v>0.00058967093673142272</v>
      </c>
      <c r="AI515">
        <v>0.0076657221775084947</v>
      </c>
      <c r="AJ515">
        <v>0</v>
      </c>
      <c r="AK515">
        <v>0.20031964107818903</v>
      </c>
      <c r="AL515">
        <v>0.13200205112259134</v>
      </c>
      <c r="AM515">
        <v>0</v>
      </c>
      <c r="AN515">
        <v>0.009687451103444801</v>
      </c>
      <c r="AO515">
        <v>0.0042119352623673049</v>
      </c>
      <c r="AP515">
        <v>0.0022744450416783447</v>
      </c>
      <c r="AQ515">
        <v>0.012888521902843952</v>
      </c>
      <c r="AR515">
        <v>0.011540702618886416</v>
      </c>
      <c r="AS515">
        <v>0.010024405924434186</v>
      </c>
      <c r="AT515">
        <v>0.0041276965571199588</v>
      </c>
      <c r="AU515" t="s">
        <v>111</v>
      </c>
      <c r="BJ515" t="str">
        <f t="shared" si="16" ref="BJ515:BJ578">MID(C515,5,3)</f>
        <v>lcv</v>
      </c>
      <c r="BK515" t="str">
        <f t="shared" si="17" ref="BK515:BK578">RIGHT(C515,3)</f>
        <v>gsl</v>
      </c>
    </row>
    <row r="516" spans="1:63" ht="14.5">
      <c r="A516" t="s">
        <v>118</v>
      </c>
      <c r="B516" t="s">
        <v>62</v>
      </c>
      <c r="C516" t="s">
        <v>86</v>
      </c>
      <c r="D516" t="s">
        <v>111</v>
      </c>
      <c r="E516" t="s">
        <v>111</v>
      </c>
      <c r="F516" t="s">
        <v>111</v>
      </c>
      <c r="G516" t="s">
        <v>70</v>
      </c>
      <c r="H516" t="s">
        <v>111</v>
      </c>
      <c r="I516" t="s">
        <v>111</v>
      </c>
      <c r="J516" t="s">
        <v>111</v>
      </c>
      <c r="K516" t="s">
        <v>111</v>
      </c>
      <c r="L516">
        <v>0</v>
      </c>
      <c r="M516">
        <v>0</v>
      </c>
      <c r="N516">
        <v>0.042456307444662438</v>
      </c>
      <c r="O516">
        <v>0.0015162966944522298</v>
      </c>
      <c r="P516">
        <v>0.0037065030308832281</v>
      </c>
      <c r="Q516">
        <v>0.0059809480725615729</v>
      </c>
      <c r="R516">
        <v>0.040855772044962858</v>
      </c>
      <c r="S516">
        <v>0.37688396727662649</v>
      </c>
      <c r="T516">
        <v>0.0015162966944522298</v>
      </c>
      <c r="U516">
        <v>0.0035380256203885363</v>
      </c>
      <c r="V516">
        <v>0.0073287673565191102</v>
      </c>
      <c r="W516">
        <v>0.016173831407490451</v>
      </c>
      <c r="X516">
        <v>0.0025271611574203827</v>
      </c>
      <c r="Y516">
        <v>0.005475515841077497</v>
      </c>
      <c r="Z516">
        <v>8.4238705247346107E-05</v>
      </c>
      <c r="AA516">
        <v>0</v>
      </c>
      <c r="AB516">
        <v>0.00075814834722611488</v>
      </c>
      <c r="AC516">
        <v>0.0073287673565191102</v>
      </c>
      <c r="AD516">
        <v>0.12433632894508284</v>
      </c>
      <c r="AE516">
        <v>0.077752324943300449</v>
      </c>
      <c r="AF516">
        <v>0.30561802263737164</v>
      </c>
      <c r="AG516">
        <v>2.0017643527926854</v>
      </c>
      <c r="AH516">
        <v>0.00058967093673142272</v>
      </c>
      <c r="AI516">
        <v>0.0076657221775084947</v>
      </c>
      <c r="AJ516">
        <v>0</v>
      </c>
      <c r="AK516">
        <v>0.20031964107818903</v>
      </c>
      <c r="AL516">
        <v>0.13200205112259134</v>
      </c>
      <c r="AM516">
        <v>0</v>
      </c>
      <c r="AN516">
        <v>0.009687451103444801</v>
      </c>
      <c r="AO516">
        <v>0.0042119352623673049</v>
      </c>
      <c r="AP516">
        <v>0.0022744450416783447</v>
      </c>
      <c r="AQ516">
        <v>0.012888521902843952</v>
      </c>
      <c r="AR516">
        <v>0.011540702618886416</v>
      </c>
      <c r="AS516">
        <v>0.010024405924434186</v>
      </c>
      <c r="AT516">
        <v>0.0041276965571199588</v>
      </c>
      <c r="AU516" t="s">
        <v>111</v>
      </c>
      <c r="BJ516" t="str">
        <f t="shared" si="16"/>
        <v>lcv</v>
      </c>
      <c r="BK516" t="str">
        <f t="shared" si="17"/>
        <v>gsl</v>
      </c>
    </row>
    <row r="517" spans="1:63" ht="14.5">
      <c r="A517" t="s">
        <v>118</v>
      </c>
      <c r="B517" t="s">
        <v>62</v>
      </c>
      <c r="C517" t="s">
        <v>86</v>
      </c>
      <c r="D517" t="s">
        <v>111</v>
      </c>
      <c r="E517" t="s">
        <v>111</v>
      </c>
      <c r="F517" t="s">
        <v>111</v>
      </c>
      <c r="G517" t="s">
        <v>69</v>
      </c>
      <c r="H517" t="s">
        <v>111</v>
      </c>
      <c r="I517" t="s">
        <v>111</v>
      </c>
      <c r="J517" t="s">
        <v>111</v>
      </c>
      <c r="K517" t="s">
        <v>111</v>
      </c>
      <c r="L517">
        <v>0</v>
      </c>
      <c r="M517">
        <v>0</v>
      </c>
      <c r="N517">
        <v>0.042456307444662438</v>
      </c>
      <c r="O517">
        <v>0.0015162966944522298</v>
      </c>
      <c r="P517">
        <v>0.0037065030308832281</v>
      </c>
      <c r="Q517">
        <v>0.0059809480725615729</v>
      </c>
      <c r="R517">
        <v>0.040855772044962858</v>
      </c>
      <c r="S517">
        <v>0.37688396727662649</v>
      </c>
      <c r="T517">
        <v>0.0015162966944522298</v>
      </c>
      <c r="U517">
        <v>0.0035380256203885363</v>
      </c>
      <c r="V517">
        <v>0.0073287673565191102</v>
      </c>
      <c r="W517">
        <v>0.016173831407490451</v>
      </c>
      <c r="X517">
        <v>0.0025271611574203827</v>
      </c>
      <c r="Y517">
        <v>0.005475515841077497</v>
      </c>
      <c r="Z517">
        <v>8.4238705247346107E-05</v>
      </c>
      <c r="AA517">
        <v>0</v>
      </c>
      <c r="AB517">
        <v>0.00075814834722611488</v>
      </c>
      <c r="AC517">
        <v>0.0073287673565191102</v>
      </c>
      <c r="AD517">
        <v>0.12433632894508284</v>
      </c>
      <c r="AE517">
        <v>0.077752324943300449</v>
      </c>
      <c r="AF517">
        <v>0.30561802263737164</v>
      </c>
      <c r="AG517">
        <v>2.0017643527926854</v>
      </c>
      <c r="AH517">
        <v>0.00058967093673142272</v>
      </c>
      <c r="AI517">
        <v>0.0076657221775084947</v>
      </c>
      <c r="AJ517">
        <v>0</v>
      </c>
      <c r="AK517">
        <v>0.20031964107818903</v>
      </c>
      <c r="AL517">
        <v>0.13200205112259134</v>
      </c>
      <c r="AM517">
        <v>0</v>
      </c>
      <c r="AN517">
        <v>0.009687451103444801</v>
      </c>
      <c r="AO517">
        <v>0.0042119352623673049</v>
      </c>
      <c r="AP517">
        <v>0.0022744450416783447</v>
      </c>
      <c r="AQ517">
        <v>0.012888521902843952</v>
      </c>
      <c r="AR517">
        <v>0.011540702618886416</v>
      </c>
      <c r="AS517">
        <v>0.010024405924434186</v>
      </c>
      <c r="AT517">
        <v>0.0041276965571199588</v>
      </c>
      <c r="AU517" t="s">
        <v>111</v>
      </c>
      <c r="BJ517" t="str">
        <f t="shared" si="16"/>
        <v>lcv</v>
      </c>
      <c r="BK517" t="str">
        <f t="shared" si="17"/>
        <v>gsl</v>
      </c>
    </row>
    <row r="518" spans="1:63" ht="14.5">
      <c r="A518" t="s">
        <v>118</v>
      </c>
      <c r="B518" t="s">
        <v>62</v>
      </c>
      <c r="C518" t="s">
        <v>86</v>
      </c>
      <c r="D518" t="s">
        <v>111</v>
      </c>
      <c r="E518" t="s">
        <v>111</v>
      </c>
      <c r="F518" t="s">
        <v>111</v>
      </c>
      <c r="G518" t="s">
        <v>68</v>
      </c>
      <c r="H518" t="s">
        <v>111</v>
      </c>
      <c r="I518" t="s">
        <v>111</v>
      </c>
      <c r="J518" t="s">
        <v>111</v>
      </c>
      <c r="K518" t="s">
        <v>111</v>
      </c>
      <c r="L518">
        <v>0</v>
      </c>
      <c r="M518">
        <v>0</v>
      </c>
      <c r="N518">
        <v>0.042456307444662438</v>
      </c>
      <c r="O518">
        <v>0.0015162966944522298</v>
      </c>
      <c r="P518">
        <v>0.0037065030308832281</v>
      </c>
      <c r="Q518">
        <v>0.0059809480725615729</v>
      </c>
      <c r="R518">
        <v>0.040855772044962858</v>
      </c>
      <c r="S518">
        <v>0.37688396727662649</v>
      </c>
      <c r="T518">
        <v>0.0015162966944522298</v>
      </c>
      <c r="U518">
        <v>0.0035380256203885363</v>
      </c>
      <c r="V518">
        <v>0.0073287673565191102</v>
      </c>
      <c r="W518">
        <v>0.016173831407490451</v>
      </c>
      <c r="X518">
        <v>0.0025271611574203827</v>
      </c>
      <c r="Y518">
        <v>0.005475515841077497</v>
      </c>
      <c r="Z518">
        <v>8.4238705247346107E-05</v>
      </c>
      <c r="AA518">
        <v>0</v>
      </c>
      <c r="AB518">
        <v>0.00075814834722611488</v>
      </c>
      <c r="AC518">
        <v>0.0073287673565191102</v>
      </c>
      <c r="AD518">
        <v>0.12433632894508284</v>
      </c>
      <c r="AE518">
        <v>0.077752324943300449</v>
      </c>
      <c r="AF518">
        <v>0.30561802263737164</v>
      </c>
      <c r="AG518">
        <v>2.0017643527926854</v>
      </c>
      <c r="AH518">
        <v>0.00058967093673142272</v>
      </c>
      <c r="AI518">
        <v>0.0076657221775084947</v>
      </c>
      <c r="AJ518">
        <v>0</v>
      </c>
      <c r="AK518">
        <v>0.20031964107818903</v>
      </c>
      <c r="AL518">
        <v>0.13200205112259134</v>
      </c>
      <c r="AM518">
        <v>0</v>
      </c>
      <c r="AN518">
        <v>0.009687451103444801</v>
      </c>
      <c r="AO518">
        <v>0.0042119352623673049</v>
      </c>
      <c r="AP518">
        <v>0.0022744450416783447</v>
      </c>
      <c r="AQ518">
        <v>0.012888521902843952</v>
      </c>
      <c r="AR518">
        <v>0.011540702618886416</v>
      </c>
      <c r="AS518">
        <v>0.010024405924434186</v>
      </c>
      <c r="AT518">
        <v>0.0041276965571199588</v>
      </c>
      <c r="AU518" t="s">
        <v>111</v>
      </c>
      <c r="BJ518" t="str">
        <f t="shared" si="16"/>
        <v>lcv</v>
      </c>
      <c r="BK518" t="str">
        <f t="shared" si="17"/>
        <v>gsl</v>
      </c>
    </row>
    <row r="519" spans="1:63" ht="14.5">
      <c r="A519" t="s">
        <v>118</v>
      </c>
      <c r="B519" t="s">
        <v>62</v>
      </c>
      <c r="C519" t="s">
        <v>86</v>
      </c>
      <c r="D519" t="s">
        <v>111</v>
      </c>
      <c r="E519" t="s">
        <v>111</v>
      </c>
      <c r="F519" t="s">
        <v>111</v>
      </c>
      <c r="G519" t="s">
        <v>67</v>
      </c>
      <c r="H519" t="s">
        <v>111</v>
      </c>
      <c r="I519" t="s">
        <v>111</v>
      </c>
      <c r="J519" t="s">
        <v>111</v>
      </c>
      <c r="K519" t="s">
        <v>111</v>
      </c>
      <c r="L519">
        <v>0</v>
      </c>
      <c r="M519">
        <v>0</v>
      </c>
      <c r="N519">
        <v>0.042456307444662438</v>
      </c>
      <c r="O519">
        <v>0.0015162966944522298</v>
      </c>
      <c r="P519">
        <v>0.0037065030308832281</v>
      </c>
      <c r="Q519">
        <v>0.0059809480725615729</v>
      </c>
      <c r="R519">
        <v>0.040855772044962858</v>
      </c>
      <c r="S519">
        <v>0.37688396727662649</v>
      </c>
      <c r="T519">
        <v>0.0015162966944522298</v>
      </c>
      <c r="U519">
        <v>0.0035380256203885363</v>
      </c>
      <c r="V519">
        <v>0.0073287673565191102</v>
      </c>
      <c r="W519">
        <v>0.016173831407490451</v>
      </c>
      <c r="X519">
        <v>0.0025271611574203827</v>
      </c>
      <c r="Y519">
        <v>0.005475515841077497</v>
      </c>
      <c r="Z519">
        <v>8.4238705247346107E-05</v>
      </c>
      <c r="AA519">
        <v>0</v>
      </c>
      <c r="AB519">
        <v>0.00075814834722611488</v>
      </c>
      <c r="AC519">
        <v>0.0073287673565191102</v>
      </c>
      <c r="AD519">
        <v>0.12433632894508284</v>
      </c>
      <c r="AE519">
        <v>0.077752324943300449</v>
      </c>
      <c r="AF519">
        <v>0.30561802263737164</v>
      </c>
      <c r="AG519">
        <v>2.0017643527926854</v>
      </c>
      <c r="AH519">
        <v>0.00058967093673142272</v>
      </c>
      <c r="AI519">
        <v>0.0076657221775084947</v>
      </c>
      <c r="AJ519">
        <v>0</v>
      </c>
      <c r="AK519">
        <v>0.20031964107818903</v>
      </c>
      <c r="AL519">
        <v>0.13200205112259134</v>
      </c>
      <c r="AM519">
        <v>0</v>
      </c>
      <c r="AN519">
        <v>0.009687451103444801</v>
      </c>
      <c r="AO519">
        <v>0.0042119352623673049</v>
      </c>
      <c r="AP519">
        <v>0.0022744450416783447</v>
      </c>
      <c r="AQ519">
        <v>0.012888521902843952</v>
      </c>
      <c r="AR519">
        <v>0.011540702618886416</v>
      </c>
      <c r="AS519">
        <v>0.010024405924434186</v>
      </c>
      <c r="AT519">
        <v>0.0041276965571199588</v>
      </c>
      <c r="AU519" t="s">
        <v>111</v>
      </c>
      <c r="BJ519" t="str">
        <f t="shared" si="16"/>
        <v>lcv</v>
      </c>
      <c r="BK519" t="str">
        <f t="shared" si="17"/>
        <v>gsl</v>
      </c>
    </row>
    <row r="520" spans="1:63" ht="14.5">
      <c r="A520" t="s">
        <v>118</v>
      </c>
      <c r="B520" t="s">
        <v>62</v>
      </c>
      <c r="C520" t="s">
        <v>86</v>
      </c>
      <c r="D520" t="s">
        <v>111</v>
      </c>
      <c r="E520" t="s">
        <v>111</v>
      </c>
      <c r="F520" t="s">
        <v>111</v>
      </c>
      <c r="G520" t="s">
        <v>66</v>
      </c>
      <c r="H520" t="s">
        <v>111</v>
      </c>
      <c r="I520" t="s">
        <v>111</v>
      </c>
      <c r="J520" t="s">
        <v>111</v>
      </c>
      <c r="K520" t="s">
        <v>111</v>
      </c>
      <c r="L520">
        <v>0</v>
      </c>
      <c r="M520">
        <v>0</v>
      </c>
      <c r="N520">
        <v>0.042456307444662438</v>
      </c>
      <c r="O520">
        <v>0.0015162966944522298</v>
      </c>
      <c r="P520">
        <v>0.0037065030308832281</v>
      </c>
      <c r="Q520">
        <v>0.0059809480725615729</v>
      </c>
      <c r="R520">
        <v>0.040855772044962858</v>
      </c>
      <c r="S520">
        <v>0.37688396727662649</v>
      </c>
      <c r="T520">
        <v>0.0015162966944522298</v>
      </c>
      <c r="U520">
        <v>0.0035380256203885363</v>
      </c>
      <c r="V520">
        <v>0.0073287673565191102</v>
      </c>
      <c r="W520">
        <v>0.016173831407490451</v>
      </c>
      <c r="X520">
        <v>0.0025271611574203827</v>
      </c>
      <c r="Y520">
        <v>0.005475515841077497</v>
      </c>
      <c r="Z520">
        <v>8.4238705247346107E-05</v>
      </c>
      <c r="AA520">
        <v>0</v>
      </c>
      <c r="AB520">
        <v>0.00075814834722611488</v>
      </c>
      <c r="AC520">
        <v>0.0073287673565191102</v>
      </c>
      <c r="AD520">
        <v>0.12433632894508284</v>
      </c>
      <c r="AE520">
        <v>0.077752324943300449</v>
      </c>
      <c r="AF520">
        <v>0.30561802263737164</v>
      </c>
      <c r="AG520">
        <v>2.0017643527926854</v>
      </c>
      <c r="AH520">
        <v>0.00058967093673142272</v>
      </c>
      <c r="AI520">
        <v>0.0076657221775084947</v>
      </c>
      <c r="AJ520">
        <v>0</v>
      </c>
      <c r="AK520">
        <v>0.20031964107818903</v>
      </c>
      <c r="AL520">
        <v>0.13200205112259134</v>
      </c>
      <c r="AM520">
        <v>0</v>
      </c>
      <c r="AN520">
        <v>0.009687451103444801</v>
      </c>
      <c r="AO520">
        <v>0.0042119352623673049</v>
      </c>
      <c r="AP520">
        <v>0.0022744450416783447</v>
      </c>
      <c r="AQ520">
        <v>0.012888521902843952</v>
      </c>
      <c r="AR520">
        <v>0.011540702618886416</v>
      </c>
      <c r="AS520">
        <v>0.010024405924434186</v>
      </c>
      <c r="AT520">
        <v>0.0041276965571199588</v>
      </c>
      <c r="AU520" t="s">
        <v>111</v>
      </c>
      <c r="BJ520" t="str">
        <f t="shared" si="16"/>
        <v>lcv</v>
      </c>
      <c r="BK520" t="str">
        <f t="shared" si="17"/>
        <v>gsl</v>
      </c>
    </row>
    <row r="521" spans="1:63" ht="14.5">
      <c r="A521" t="s">
        <v>118</v>
      </c>
      <c r="B521" t="s">
        <v>62</v>
      </c>
      <c r="C521" t="s">
        <v>86</v>
      </c>
      <c r="D521" t="s">
        <v>111</v>
      </c>
      <c r="E521" t="s">
        <v>111</v>
      </c>
      <c r="F521" t="s">
        <v>111</v>
      </c>
      <c r="G521" t="s">
        <v>65</v>
      </c>
      <c r="H521" t="s">
        <v>111</v>
      </c>
      <c r="I521" t="s">
        <v>111</v>
      </c>
      <c r="J521" t="s">
        <v>111</v>
      </c>
      <c r="K521" t="s">
        <v>111</v>
      </c>
      <c r="L521">
        <v>0</v>
      </c>
      <c r="M521">
        <v>0</v>
      </c>
      <c r="N521">
        <v>0.042456307444662438</v>
      </c>
      <c r="O521">
        <v>0.0015162966944522298</v>
      </c>
      <c r="P521">
        <v>0.0037065030308832281</v>
      </c>
      <c r="Q521">
        <v>0.0059809480725615729</v>
      </c>
      <c r="R521">
        <v>0.040855772044962858</v>
      </c>
      <c r="S521">
        <v>0.37688396727662649</v>
      </c>
      <c r="T521">
        <v>0.0015162966944522298</v>
      </c>
      <c r="U521">
        <v>0.0035380256203885363</v>
      </c>
      <c r="V521">
        <v>0.0073287673565191102</v>
      </c>
      <c r="W521">
        <v>0.016173831407490451</v>
      </c>
      <c r="X521">
        <v>0.0025271611574203827</v>
      </c>
      <c r="Y521">
        <v>0.005475515841077497</v>
      </c>
      <c r="Z521">
        <v>8.4238705247346107E-05</v>
      </c>
      <c r="AA521">
        <v>0</v>
      </c>
      <c r="AB521">
        <v>0.00075814834722611488</v>
      </c>
      <c r="AC521">
        <v>0.0073287673565191102</v>
      </c>
      <c r="AD521">
        <v>0.12433632894508284</v>
      </c>
      <c r="AE521">
        <v>0.077752324943300449</v>
      </c>
      <c r="AF521">
        <v>0.30561802263737164</v>
      </c>
      <c r="AG521">
        <v>2.0017643527926854</v>
      </c>
      <c r="AH521">
        <v>0.00058967093673142272</v>
      </c>
      <c r="AI521">
        <v>0.0076657221775084947</v>
      </c>
      <c r="AJ521">
        <v>0</v>
      </c>
      <c r="AK521">
        <v>0.20031964107818903</v>
      </c>
      <c r="AL521">
        <v>0.13200205112259134</v>
      </c>
      <c r="AM521">
        <v>0</v>
      </c>
      <c r="AN521">
        <v>0.009687451103444801</v>
      </c>
      <c r="AO521">
        <v>0.0042119352623673049</v>
      </c>
      <c r="AP521">
        <v>0.0022744450416783447</v>
      </c>
      <c r="AQ521">
        <v>0.012888521902843952</v>
      </c>
      <c r="AR521">
        <v>0.011540702618886416</v>
      </c>
      <c r="AS521">
        <v>0.010024405924434186</v>
      </c>
      <c r="AT521">
        <v>0.0041276965571199588</v>
      </c>
      <c r="AU521" t="s">
        <v>111</v>
      </c>
      <c r="BJ521" t="str">
        <f t="shared" si="16"/>
        <v>lcv</v>
      </c>
      <c r="BK521" t="str">
        <f t="shared" si="17"/>
        <v>gsl</v>
      </c>
    </row>
    <row r="522" spans="1:63" ht="14.5">
      <c r="A522" t="s">
        <v>118</v>
      </c>
      <c r="B522" t="s">
        <v>62</v>
      </c>
      <c r="C522" t="s">
        <v>63</v>
      </c>
      <c r="D522" t="s">
        <v>111</v>
      </c>
      <c r="E522" t="s">
        <v>111</v>
      </c>
      <c r="F522" t="s">
        <v>111</v>
      </c>
      <c r="G522" t="s">
        <v>61</v>
      </c>
      <c r="H522" t="s">
        <v>111</v>
      </c>
      <c r="I522" t="s">
        <v>111</v>
      </c>
      <c r="J522" t="s">
        <v>111</v>
      </c>
      <c r="K522" t="s">
        <v>111</v>
      </c>
      <c r="L522">
        <v>0.011119509092649686</v>
      </c>
      <c r="M522">
        <v>0</v>
      </c>
      <c r="N522">
        <v>0.0021059676311836525</v>
      </c>
      <c r="O522">
        <v>8.4238705247346107E-05</v>
      </c>
      <c r="P522">
        <v>0.0027798772731624215</v>
      </c>
      <c r="Q522">
        <v>0.0019374902206889602</v>
      </c>
      <c r="R522">
        <v>0</v>
      </c>
      <c r="S522">
        <v>0.0087608253457239944</v>
      </c>
      <c r="T522">
        <v>0.0014320579892048838</v>
      </c>
      <c r="U522">
        <v>0.0016005353996995759</v>
      </c>
      <c r="V522">
        <v>0.00058967093673142272</v>
      </c>
      <c r="W522">
        <v>0.003622264325635882</v>
      </c>
      <c r="X522">
        <v>0.0023586837469256909</v>
      </c>
      <c r="Y522">
        <v>0.0092662575772080712</v>
      </c>
      <c r="Z522">
        <v>0</v>
      </c>
      <c r="AA522">
        <v>0.0010951031682154993</v>
      </c>
      <c r="AB522">
        <v>0</v>
      </c>
      <c r="AC522">
        <v>0.017690128101942679</v>
      </c>
      <c r="AD522">
        <v>0.011877657439875799</v>
      </c>
      <c r="AE522">
        <v>0</v>
      </c>
      <c r="AF522">
        <v>0.00075814834722611488</v>
      </c>
      <c r="AG522">
        <v>0.018869469975405527</v>
      </c>
      <c r="AH522">
        <v>8.4238705247346107E-05</v>
      </c>
      <c r="AI522">
        <v>0.035548733614380053</v>
      </c>
      <c r="AJ522">
        <v>0.019374902206889602</v>
      </c>
      <c r="AK522">
        <v>0.023755314879751598</v>
      </c>
      <c r="AL522">
        <v>0</v>
      </c>
      <c r="AM522">
        <v>0.00016847741049469221</v>
      </c>
      <c r="AN522">
        <v>0.0021059676311836525</v>
      </c>
      <c r="AO522">
        <v>0</v>
      </c>
      <c r="AP522">
        <v>0</v>
      </c>
      <c r="AQ522">
        <v>0.040097623697736742</v>
      </c>
      <c r="AR522">
        <v>0.00067390964197876885</v>
      </c>
      <c r="AS522">
        <v>0.033274288572701712</v>
      </c>
      <c r="AT522">
        <v>0.011119509092649686</v>
      </c>
      <c r="AU522" t="s">
        <v>111</v>
      </c>
      <c r="BJ522" t="str">
        <f t="shared" si="16"/>
        <v>lcv</v>
      </c>
      <c r="BK522" t="str">
        <f t="shared" si="17"/>
        <v>lpg</v>
      </c>
    </row>
    <row r="523" spans="1:63" ht="14.5">
      <c r="A523" t="s">
        <v>118</v>
      </c>
      <c r="B523" t="s">
        <v>62</v>
      </c>
      <c r="C523" t="s">
        <v>63</v>
      </c>
      <c r="D523" t="s">
        <v>111</v>
      </c>
      <c r="E523" t="s">
        <v>111</v>
      </c>
      <c r="F523" t="s">
        <v>111</v>
      </c>
      <c r="G523" t="s">
        <v>83</v>
      </c>
      <c r="H523" t="s">
        <v>111</v>
      </c>
      <c r="I523" t="s">
        <v>111</v>
      </c>
      <c r="J523" t="s">
        <v>111</v>
      </c>
      <c r="K523" t="s">
        <v>111</v>
      </c>
      <c r="L523">
        <v>0.011119509092649686</v>
      </c>
      <c r="M523">
        <v>0</v>
      </c>
      <c r="N523">
        <v>0.0021059676311836525</v>
      </c>
      <c r="O523">
        <v>8.4238705247346107E-05</v>
      </c>
      <c r="P523">
        <v>0.0027798772731624215</v>
      </c>
      <c r="Q523">
        <v>0.0019374902206889602</v>
      </c>
      <c r="R523">
        <v>0</v>
      </c>
      <c r="S523">
        <v>0.0087608253457239944</v>
      </c>
      <c r="T523">
        <v>0.0014320579892048838</v>
      </c>
      <c r="U523">
        <v>0.0016005353996995759</v>
      </c>
      <c r="V523">
        <v>0.00058967093673142272</v>
      </c>
      <c r="W523">
        <v>0.003622264325635882</v>
      </c>
      <c r="X523">
        <v>0.0023586837469256909</v>
      </c>
      <c r="Y523">
        <v>0.0092662575772080712</v>
      </c>
      <c r="Z523">
        <v>0</v>
      </c>
      <c r="AA523">
        <v>0.0010951031682154993</v>
      </c>
      <c r="AB523">
        <v>0</v>
      </c>
      <c r="AC523">
        <v>0.017690128101942679</v>
      </c>
      <c r="AD523">
        <v>0.011877657439875799</v>
      </c>
      <c r="AE523">
        <v>0</v>
      </c>
      <c r="AF523">
        <v>0.00075814834722611488</v>
      </c>
      <c r="AG523">
        <v>0.018869469975405527</v>
      </c>
      <c r="AH523">
        <v>8.4238705247346107E-05</v>
      </c>
      <c r="AI523">
        <v>0.035548733614380053</v>
      </c>
      <c r="AJ523">
        <v>0.019374902206889602</v>
      </c>
      <c r="AK523">
        <v>0.023755314879751598</v>
      </c>
      <c r="AL523">
        <v>0</v>
      </c>
      <c r="AM523">
        <v>0.00016847741049469221</v>
      </c>
      <c r="AN523">
        <v>0.0021059676311836525</v>
      </c>
      <c r="AO523">
        <v>0</v>
      </c>
      <c r="AP523">
        <v>0</v>
      </c>
      <c r="AQ523">
        <v>0.040097623697736742</v>
      </c>
      <c r="AR523">
        <v>0.00067390964197876885</v>
      </c>
      <c r="AS523">
        <v>0.033274288572701712</v>
      </c>
      <c r="AT523">
        <v>0.011119509092649686</v>
      </c>
      <c r="AU523" t="s">
        <v>111</v>
      </c>
      <c r="BJ523" t="str">
        <f t="shared" si="16"/>
        <v>lcv</v>
      </c>
      <c r="BK523" t="str">
        <f t="shared" si="17"/>
        <v>lpg</v>
      </c>
    </row>
    <row r="524" spans="1:63" ht="14.5">
      <c r="A524" t="s">
        <v>118</v>
      </c>
      <c r="B524" t="s">
        <v>62</v>
      </c>
      <c r="C524" t="s">
        <v>63</v>
      </c>
      <c r="D524" t="s">
        <v>111</v>
      </c>
      <c r="E524" t="s">
        <v>111</v>
      </c>
      <c r="F524" t="s">
        <v>111</v>
      </c>
      <c r="G524" t="s">
        <v>82</v>
      </c>
      <c r="H524" t="s">
        <v>111</v>
      </c>
      <c r="I524" t="s">
        <v>111</v>
      </c>
      <c r="J524" t="s">
        <v>111</v>
      </c>
      <c r="K524" t="s">
        <v>111</v>
      </c>
      <c r="L524">
        <v>0.011119509092649686</v>
      </c>
      <c r="M524">
        <v>0</v>
      </c>
      <c r="N524">
        <v>0.0021059676311836525</v>
      </c>
      <c r="O524">
        <v>8.4238705247346107E-05</v>
      </c>
      <c r="P524">
        <v>0.0027798772731624215</v>
      </c>
      <c r="Q524">
        <v>0.0019374902206889602</v>
      </c>
      <c r="R524">
        <v>0</v>
      </c>
      <c r="S524">
        <v>0.0087608253457239944</v>
      </c>
      <c r="T524">
        <v>0.0014320579892048838</v>
      </c>
      <c r="U524">
        <v>0.0016005353996995759</v>
      </c>
      <c r="V524">
        <v>0.00058967093673142272</v>
      </c>
      <c r="W524">
        <v>0.003622264325635882</v>
      </c>
      <c r="X524">
        <v>0.0023586837469256909</v>
      </c>
      <c r="Y524">
        <v>0.0092662575772080712</v>
      </c>
      <c r="Z524">
        <v>0</v>
      </c>
      <c r="AA524">
        <v>0.0010951031682154993</v>
      </c>
      <c r="AB524">
        <v>0</v>
      </c>
      <c r="AC524">
        <v>0.017690128101942679</v>
      </c>
      <c r="AD524">
        <v>0.011877657439875799</v>
      </c>
      <c r="AE524">
        <v>0</v>
      </c>
      <c r="AF524">
        <v>0.00075814834722611488</v>
      </c>
      <c r="AG524">
        <v>0.018869469975405527</v>
      </c>
      <c r="AH524">
        <v>8.4238705247346107E-05</v>
      </c>
      <c r="AI524">
        <v>0.035548733614380053</v>
      </c>
      <c r="AJ524">
        <v>0.019374902206889602</v>
      </c>
      <c r="AK524">
        <v>0.023755314879751598</v>
      </c>
      <c r="AL524">
        <v>0</v>
      </c>
      <c r="AM524">
        <v>0.00016847741049469221</v>
      </c>
      <c r="AN524">
        <v>0.0021059676311836525</v>
      </c>
      <c r="AO524">
        <v>0</v>
      </c>
      <c r="AP524">
        <v>0</v>
      </c>
      <c r="AQ524">
        <v>0.040097623697736742</v>
      </c>
      <c r="AR524">
        <v>0.00067390964197876885</v>
      </c>
      <c r="AS524">
        <v>0.033274288572701712</v>
      </c>
      <c r="AT524">
        <v>0.011119509092649686</v>
      </c>
      <c r="AU524" t="s">
        <v>111</v>
      </c>
      <c r="BJ524" t="str">
        <f t="shared" si="16"/>
        <v>lcv</v>
      </c>
      <c r="BK524" t="str">
        <f t="shared" si="17"/>
        <v>lpg</v>
      </c>
    </row>
    <row r="525" spans="1:63" ht="14.5">
      <c r="A525" t="s">
        <v>118</v>
      </c>
      <c r="B525" t="s">
        <v>62</v>
      </c>
      <c r="C525" t="s">
        <v>63</v>
      </c>
      <c r="D525" t="s">
        <v>111</v>
      </c>
      <c r="E525" t="s">
        <v>111</v>
      </c>
      <c r="F525" t="s">
        <v>111</v>
      </c>
      <c r="G525" t="s">
        <v>81</v>
      </c>
      <c r="H525" t="s">
        <v>111</v>
      </c>
      <c r="I525" t="s">
        <v>111</v>
      </c>
      <c r="J525" t="s">
        <v>111</v>
      </c>
      <c r="K525" t="s">
        <v>111</v>
      </c>
      <c r="L525">
        <v>0.011119509092649686</v>
      </c>
      <c r="M525">
        <v>0</v>
      </c>
      <c r="N525">
        <v>0.0021059676311836525</v>
      </c>
      <c r="O525">
        <v>8.4238705247346107E-05</v>
      </c>
      <c r="P525">
        <v>0.0027798772731624215</v>
      </c>
      <c r="Q525">
        <v>0.0019374902206889602</v>
      </c>
      <c r="R525">
        <v>0</v>
      </c>
      <c r="S525">
        <v>0.0087608253457239944</v>
      </c>
      <c r="T525">
        <v>0.0014320579892048838</v>
      </c>
      <c r="U525">
        <v>0.0016005353996995759</v>
      </c>
      <c r="V525">
        <v>0.00058967093673142272</v>
      </c>
      <c r="W525">
        <v>0.003622264325635882</v>
      </c>
      <c r="X525">
        <v>0.0023586837469256909</v>
      </c>
      <c r="Y525">
        <v>0.0092662575772080712</v>
      </c>
      <c r="Z525">
        <v>0</v>
      </c>
      <c r="AA525">
        <v>0.0010951031682154993</v>
      </c>
      <c r="AB525">
        <v>0</v>
      </c>
      <c r="AC525">
        <v>0.017690128101942679</v>
      </c>
      <c r="AD525">
        <v>0.011877657439875799</v>
      </c>
      <c r="AE525">
        <v>0</v>
      </c>
      <c r="AF525">
        <v>0.00075814834722611488</v>
      </c>
      <c r="AG525">
        <v>0.018869469975405527</v>
      </c>
      <c r="AH525">
        <v>8.4238705247346107E-05</v>
      </c>
      <c r="AI525">
        <v>0.035548733614380053</v>
      </c>
      <c r="AJ525">
        <v>0.019374902206889602</v>
      </c>
      <c r="AK525">
        <v>0.023755314879751598</v>
      </c>
      <c r="AL525">
        <v>0</v>
      </c>
      <c r="AM525">
        <v>0.00016847741049469221</v>
      </c>
      <c r="AN525">
        <v>0.0021059676311836525</v>
      </c>
      <c r="AO525">
        <v>0</v>
      </c>
      <c r="AP525">
        <v>0</v>
      </c>
      <c r="AQ525">
        <v>0.040097623697736742</v>
      </c>
      <c r="AR525">
        <v>0.00067390964197876885</v>
      </c>
      <c r="AS525">
        <v>0.033274288572701712</v>
      </c>
      <c r="AT525">
        <v>0.011119509092649686</v>
      </c>
      <c r="AU525" t="s">
        <v>111</v>
      </c>
      <c r="BJ525" t="str">
        <f t="shared" si="16"/>
        <v>lcv</v>
      </c>
      <c r="BK525" t="str">
        <f t="shared" si="17"/>
        <v>lpg</v>
      </c>
    </row>
    <row r="526" spans="1:63" ht="14.5">
      <c r="A526" t="s">
        <v>118</v>
      </c>
      <c r="B526" t="s">
        <v>62</v>
      </c>
      <c r="C526" t="s">
        <v>63</v>
      </c>
      <c r="D526" t="s">
        <v>111</v>
      </c>
      <c r="E526" t="s">
        <v>111</v>
      </c>
      <c r="F526" t="s">
        <v>111</v>
      </c>
      <c r="G526" t="s">
        <v>80</v>
      </c>
      <c r="H526" t="s">
        <v>111</v>
      </c>
      <c r="I526" t="s">
        <v>111</v>
      </c>
      <c r="J526" t="s">
        <v>111</v>
      </c>
      <c r="K526" t="s">
        <v>111</v>
      </c>
      <c r="L526">
        <v>0.011119509092649686</v>
      </c>
      <c r="M526">
        <v>0</v>
      </c>
      <c r="N526">
        <v>0.0021059676311836525</v>
      </c>
      <c r="O526">
        <v>8.4238705247346107E-05</v>
      </c>
      <c r="P526">
        <v>0.0027798772731624215</v>
      </c>
      <c r="Q526">
        <v>0.0019374902206889602</v>
      </c>
      <c r="R526">
        <v>0</v>
      </c>
      <c r="S526">
        <v>0.0087608253457239944</v>
      </c>
      <c r="T526">
        <v>0.0014320579892048838</v>
      </c>
      <c r="U526">
        <v>0.0016005353996995759</v>
      </c>
      <c r="V526">
        <v>0.00058967093673142272</v>
      </c>
      <c r="W526">
        <v>0.003622264325635882</v>
      </c>
      <c r="X526">
        <v>0.0023586837469256909</v>
      </c>
      <c r="Y526">
        <v>0.0092662575772080712</v>
      </c>
      <c r="Z526">
        <v>0</v>
      </c>
      <c r="AA526">
        <v>0.0010951031682154993</v>
      </c>
      <c r="AB526">
        <v>0</v>
      </c>
      <c r="AC526">
        <v>0.017690128101942679</v>
      </c>
      <c r="AD526">
        <v>0.011877657439875799</v>
      </c>
      <c r="AE526">
        <v>0</v>
      </c>
      <c r="AF526">
        <v>0.00075814834722611488</v>
      </c>
      <c r="AG526">
        <v>0.018869469975405527</v>
      </c>
      <c r="AH526">
        <v>8.4238705247346107E-05</v>
      </c>
      <c r="AI526">
        <v>0.035548733614380053</v>
      </c>
      <c r="AJ526">
        <v>0.019374902206889602</v>
      </c>
      <c r="AK526">
        <v>0.023755314879751598</v>
      </c>
      <c r="AL526">
        <v>0</v>
      </c>
      <c r="AM526">
        <v>0.00016847741049469221</v>
      </c>
      <c r="AN526">
        <v>0.0021059676311836525</v>
      </c>
      <c r="AO526">
        <v>0</v>
      </c>
      <c r="AP526">
        <v>0</v>
      </c>
      <c r="AQ526">
        <v>0.040097623697736742</v>
      </c>
      <c r="AR526">
        <v>0.00067390964197876885</v>
      </c>
      <c r="AS526">
        <v>0.033274288572701712</v>
      </c>
      <c r="AT526">
        <v>0.011119509092649686</v>
      </c>
      <c r="AU526" t="s">
        <v>111</v>
      </c>
      <c r="BJ526" t="str">
        <f t="shared" si="16"/>
        <v>lcv</v>
      </c>
      <c r="BK526" t="str">
        <f t="shared" si="17"/>
        <v>lpg</v>
      </c>
    </row>
    <row r="527" spans="1:63" ht="14.5">
      <c r="A527" t="s">
        <v>118</v>
      </c>
      <c r="B527" t="s">
        <v>62</v>
      </c>
      <c r="C527" t="s">
        <v>63</v>
      </c>
      <c r="D527" t="s">
        <v>111</v>
      </c>
      <c r="E527" t="s">
        <v>111</v>
      </c>
      <c r="F527" t="s">
        <v>111</v>
      </c>
      <c r="G527" t="s">
        <v>79</v>
      </c>
      <c r="H527" t="s">
        <v>111</v>
      </c>
      <c r="I527" t="s">
        <v>111</v>
      </c>
      <c r="J527" t="s">
        <v>111</v>
      </c>
      <c r="K527" t="s">
        <v>111</v>
      </c>
      <c r="L527">
        <v>0.011119509092649686</v>
      </c>
      <c r="M527">
        <v>0</v>
      </c>
      <c r="N527">
        <v>0.0021059676311836525</v>
      </c>
      <c r="O527">
        <v>8.4238705247346107E-05</v>
      </c>
      <c r="P527">
        <v>0.0027798772731624215</v>
      </c>
      <c r="Q527">
        <v>0.0019374902206889602</v>
      </c>
      <c r="R527">
        <v>0</v>
      </c>
      <c r="S527">
        <v>0.0087608253457239944</v>
      </c>
      <c r="T527">
        <v>0.0014320579892048838</v>
      </c>
      <c r="U527">
        <v>0.0016005353996995759</v>
      </c>
      <c r="V527">
        <v>0.00058967093673142272</v>
      </c>
      <c r="W527">
        <v>0.003622264325635882</v>
      </c>
      <c r="X527">
        <v>0.0023586837469256909</v>
      </c>
      <c r="Y527">
        <v>0.0092662575772080712</v>
      </c>
      <c r="Z527">
        <v>0</v>
      </c>
      <c r="AA527">
        <v>0.0010951031682154993</v>
      </c>
      <c r="AB527">
        <v>0</v>
      </c>
      <c r="AC527">
        <v>0.017690128101942679</v>
      </c>
      <c r="AD527">
        <v>0.011877657439875799</v>
      </c>
      <c r="AE527">
        <v>0</v>
      </c>
      <c r="AF527">
        <v>0.00075814834722611488</v>
      </c>
      <c r="AG527">
        <v>0.018869469975405527</v>
      </c>
      <c r="AH527">
        <v>8.4238705247346107E-05</v>
      </c>
      <c r="AI527">
        <v>0.035548733614380053</v>
      </c>
      <c r="AJ527">
        <v>0.019374902206889602</v>
      </c>
      <c r="AK527">
        <v>0.023755314879751598</v>
      </c>
      <c r="AL527">
        <v>0</v>
      </c>
      <c r="AM527">
        <v>0.00016847741049469221</v>
      </c>
      <c r="AN527">
        <v>0.0021059676311836525</v>
      </c>
      <c r="AO527">
        <v>0</v>
      </c>
      <c r="AP527">
        <v>0</v>
      </c>
      <c r="AQ527">
        <v>0.040097623697736742</v>
      </c>
      <c r="AR527">
        <v>0.00067390964197876885</v>
      </c>
      <c r="AS527">
        <v>0.033274288572701712</v>
      </c>
      <c r="AT527">
        <v>0.011119509092649686</v>
      </c>
      <c r="AU527" t="s">
        <v>111</v>
      </c>
      <c r="BJ527" t="str">
        <f t="shared" si="16"/>
        <v>lcv</v>
      </c>
      <c r="BK527" t="str">
        <f t="shared" si="17"/>
        <v>lpg</v>
      </c>
    </row>
    <row r="528" spans="1:63" ht="14.5">
      <c r="A528" t="s">
        <v>118</v>
      </c>
      <c r="B528" t="s">
        <v>62</v>
      </c>
      <c r="C528" t="s">
        <v>63</v>
      </c>
      <c r="D528" t="s">
        <v>111</v>
      </c>
      <c r="E528" t="s">
        <v>111</v>
      </c>
      <c r="F528" t="s">
        <v>111</v>
      </c>
      <c r="G528" t="s">
        <v>78</v>
      </c>
      <c r="H528" t="s">
        <v>111</v>
      </c>
      <c r="I528" t="s">
        <v>111</v>
      </c>
      <c r="J528" t="s">
        <v>111</v>
      </c>
      <c r="K528" t="s">
        <v>111</v>
      </c>
      <c r="L528">
        <v>0.011119509092649686</v>
      </c>
      <c r="M528">
        <v>0</v>
      </c>
      <c r="N528">
        <v>0.0021059676311836525</v>
      </c>
      <c r="O528">
        <v>8.4238705247346107E-05</v>
      </c>
      <c r="P528">
        <v>0.0027798772731624215</v>
      </c>
      <c r="Q528">
        <v>0.0019374902206889602</v>
      </c>
      <c r="R528">
        <v>0</v>
      </c>
      <c r="S528">
        <v>0.0087608253457239944</v>
      </c>
      <c r="T528">
        <v>0.0014320579892048838</v>
      </c>
      <c r="U528">
        <v>0.0016005353996995759</v>
      </c>
      <c r="V528">
        <v>0.00058967093673142272</v>
      </c>
      <c r="W528">
        <v>0.003622264325635882</v>
      </c>
      <c r="X528">
        <v>0.0023586837469256909</v>
      </c>
      <c r="Y528">
        <v>0.0092662575772080712</v>
      </c>
      <c r="Z528">
        <v>0</v>
      </c>
      <c r="AA528">
        <v>0.0010951031682154993</v>
      </c>
      <c r="AB528">
        <v>0</v>
      </c>
      <c r="AC528">
        <v>0.017690128101942679</v>
      </c>
      <c r="AD528">
        <v>0.011877657439875799</v>
      </c>
      <c r="AE528">
        <v>0</v>
      </c>
      <c r="AF528">
        <v>0.00075814834722611488</v>
      </c>
      <c r="AG528">
        <v>0.018869469975405527</v>
      </c>
      <c r="AH528">
        <v>8.4238705247346107E-05</v>
      </c>
      <c r="AI528">
        <v>0.035548733614380053</v>
      </c>
      <c r="AJ528">
        <v>0.019374902206889602</v>
      </c>
      <c r="AK528">
        <v>0.023755314879751598</v>
      </c>
      <c r="AL528">
        <v>0</v>
      </c>
      <c r="AM528">
        <v>0.00016847741049469221</v>
      </c>
      <c r="AN528">
        <v>0.0021059676311836525</v>
      </c>
      <c r="AO528">
        <v>0</v>
      </c>
      <c r="AP528">
        <v>0</v>
      </c>
      <c r="AQ528">
        <v>0.040097623697736742</v>
      </c>
      <c r="AR528">
        <v>0.00067390964197876885</v>
      </c>
      <c r="AS528">
        <v>0.033274288572701712</v>
      </c>
      <c r="AT528">
        <v>0.011119509092649686</v>
      </c>
      <c r="AU528" t="s">
        <v>111</v>
      </c>
      <c r="BJ528" t="str">
        <f t="shared" si="16"/>
        <v>lcv</v>
      </c>
      <c r="BK528" t="str">
        <f t="shared" si="17"/>
        <v>lpg</v>
      </c>
    </row>
    <row r="529" spans="1:63" ht="14.5">
      <c r="A529" t="s">
        <v>118</v>
      </c>
      <c r="B529" t="s">
        <v>62</v>
      </c>
      <c r="C529" t="s">
        <v>63</v>
      </c>
      <c r="D529" t="s">
        <v>111</v>
      </c>
      <c r="E529" t="s">
        <v>111</v>
      </c>
      <c r="F529" t="s">
        <v>111</v>
      </c>
      <c r="G529" t="s">
        <v>77</v>
      </c>
      <c r="H529" t="s">
        <v>111</v>
      </c>
      <c r="I529" t="s">
        <v>111</v>
      </c>
      <c r="J529" t="s">
        <v>111</v>
      </c>
      <c r="K529" t="s">
        <v>111</v>
      </c>
      <c r="L529">
        <v>0.011119509092649686</v>
      </c>
      <c r="M529">
        <v>0</v>
      </c>
      <c r="N529">
        <v>0.0021059676311836525</v>
      </c>
      <c r="O529">
        <v>8.4238705247346107E-05</v>
      </c>
      <c r="P529">
        <v>0.0027798772731624215</v>
      </c>
      <c r="Q529">
        <v>0.0019374902206889602</v>
      </c>
      <c r="R529">
        <v>0</v>
      </c>
      <c r="S529">
        <v>0.0087608253457239944</v>
      </c>
      <c r="T529">
        <v>0.0014320579892048838</v>
      </c>
      <c r="U529">
        <v>0.0016005353996995759</v>
      </c>
      <c r="V529">
        <v>0.00058967093673142272</v>
      </c>
      <c r="W529">
        <v>0.003622264325635882</v>
      </c>
      <c r="X529">
        <v>0.0023586837469256909</v>
      </c>
      <c r="Y529">
        <v>0.0092662575772080712</v>
      </c>
      <c r="Z529">
        <v>0</v>
      </c>
      <c r="AA529">
        <v>0.0010951031682154993</v>
      </c>
      <c r="AB529">
        <v>0</v>
      </c>
      <c r="AC529">
        <v>0.017690128101942679</v>
      </c>
      <c r="AD529">
        <v>0.011877657439875799</v>
      </c>
      <c r="AE529">
        <v>0</v>
      </c>
      <c r="AF529">
        <v>0.00075814834722611488</v>
      </c>
      <c r="AG529">
        <v>0.018869469975405527</v>
      </c>
      <c r="AH529">
        <v>8.4238705247346107E-05</v>
      </c>
      <c r="AI529">
        <v>0.035548733614380053</v>
      </c>
      <c r="AJ529">
        <v>0.019374902206889602</v>
      </c>
      <c r="AK529">
        <v>0.023755314879751598</v>
      </c>
      <c r="AL529">
        <v>0</v>
      </c>
      <c r="AM529">
        <v>0.00016847741049469221</v>
      </c>
      <c r="AN529">
        <v>0.0021059676311836525</v>
      </c>
      <c r="AO529">
        <v>0</v>
      </c>
      <c r="AP529">
        <v>0</v>
      </c>
      <c r="AQ529">
        <v>0.040097623697736742</v>
      </c>
      <c r="AR529">
        <v>0.00067390964197876885</v>
      </c>
      <c r="AS529">
        <v>0.033274288572701712</v>
      </c>
      <c r="AT529">
        <v>0.011119509092649686</v>
      </c>
      <c r="AU529" t="s">
        <v>111</v>
      </c>
      <c r="BJ529" t="str">
        <f t="shared" si="16"/>
        <v>lcv</v>
      </c>
      <c r="BK529" t="str">
        <f t="shared" si="17"/>
        <v>lpg</v>
      </c>
    </row>
    <row r="530" spans="1:63" ht="14.5">
      <c r="A530" t="s">
        <v>118</v>
      </c>
      <c r="B530" t="s">
        <v>62</v>
      </c>
      <c r="C530" t="s">
        <v>63</v>
      </c>
      <c r="D530" t="s">
        <v>111</v>
      </c>
      <c r="E530" t="s">
        <v>111</v>
      </c>
      <c r="F530" t="s">
        <v>111</v>
      </c>
      <c r="G530" t="s">
        <v>76</v>
      </c>
      <c r="H530" t="s">
        <v>111</v>
      </c>
      <c r="I530" t="s">
        <v>111</v>
      </c>
      <c r="J530" t="s">
        <v>111</v>
      </c>
      <c r="K530" t="s">
        <v>111</v>
      </c>
      <c r="L530">
        <v>0.011119509092649686</v>
      </c>
      <c r="M530">
        <v>0</v>
      </c>
      <c r="N530">
        <v>0.0021059676311836525</v>
      </c>
      <c r="O530">
        <v>8.4238705247346107E-05</v>
      </c>
      <c r="P530">
        <v>0.0027798772731624215</v>
      </c>
      <c r="Q530">
        <v>0.0019374902206889602</v>
      </c>
      <c r="R530">
        <v>0</v>
      </c>
      <c r="S530">
        <v>0.0087608253457239944</v>
      </c>
      <c r="T530">
        <v>0.0014320579892048838</v>
      </c>
      <c r="U530">
        <v>0.0016005353996995759</v>
      </c>
      <c r="V530">
        <v>0.00058967093673142272</v>
      </c>
      <c r="W530">
        <v>0.003622264325635882</v>
      </c>
      <c r="X530">
        <v>0.0023586837469256909</v>
      </c>
      <c r="Y530">
        <v>0.0092662575772080712</v>
      </c>
      <c r="Z530">
        <v>0</v>
      </c>
      <c r="AA530">
        <v>0.0010951031682154993</v>
      </c>
      <c r="AB530">
        <v>0</v>
      </c>
      <c r="AC530">
        <v>0.017690128101942679</v>
      </c>
      <c r="AD530">
        <v>0.011877657439875799</v>
      </c>
      <c r="AE530">
        <v>0</v>
      </c>
      <c r="AF530">
        <v>0.00075814834722611488</v>
      </c>
      <c r="AG530">
        <v>0.018869469975405527</v>
      </c>
      <c r="AH530">
        <v>8.4238705247346107E-05</v>
      </c>
      <c r="AI530">
        <v>0.035548733614380053</v>
      </c>
      <c r="AJ530">
        <v>0.019374902206889602</v>
      </c>
      <c r="AK530">
        <v>0.023755314879751598</v>
      </c>
      <c r="AL530">
        <v>0</v>
      </c>
      <c r="AM530">
        <v>0.00016847741049469221</v>
      </c>
      <c r="AN530">
        <v>0.0021059676311836525</v>
      </c>
      <c r="AO530">
        <v>0</v>
      </c>
      <c r="AP530">
        <v>0</v>
      </c>
      <c r="AQ530">
        <v>0.040097623697736742</v>
      </c>
      <c r="AR530">
        <v>0.00067390964197876885</v>
      </c>
      <c r="AS530">
        <v>0.033274288572701712</v>
      </c>
      <c r="AT530">
        <v>0.011119509092649686</v>
      </c>
      <c r="AU530" t="s">
        <v>111</v>
      </c>
      <c r="BJ530" t="str">
        <f t="shared" si="16"/>
        <v>lcv</v>
      </c>
      <c r="BK530" t="str">
        <f t="shared" si="17"/>
        <v>lpg</v>
      </c>
    </row>
    <row r="531" spans="1:63" ht="14.5">
      <c r="A531" t="s">
        <v>118</v>
      </c>
      <c r="B531" t="s">
        <v>62</v>
      </c>
      <c r="C531" t="s">
        <v>63</v>
      </c>
      <c r="D531" t="s">
        <v>111</v>
      </c>
      <c r="E531" t="s">
        <v>111</v>
      </c>
      <c r="F531" t="s">
        <v>111</v>
      </c>
      <c r="G531" t="s">
        <v>75</v>
      </c>
      <c r="H531" t="s">
        <v>111</v>
      </c>
      <c r="I531" t="s">
        <v>111</v>
      </c>
      <c r="J531" t="s">
        <v>111</v>
      </c>
      <c r="K531" t="s">
        <v>111</v>
      </c>
      <c r="L531">
        <v>0.011119509092649686</v>
      </c>
      <c r="M531">
        <v>0</v>
      </c>
      <c r="N531">
        <v>0.0021059676311836525</v>
      </c>
      <c r="O531">
        <v>8.4238705247346107E-05</v>
      </c>
      <c r="P531">
        <v>0.0027798772731624215</v>
      </c>
      <c r="Q531">
        <v>0.0019374902206889602</v>
      </c>
      <c r="R531">
        <v>0</v>
      </c>
      <c r="S531">
        <v>0.0087608253457239944</v>
      </c>
      <c r="T531">
        <v>0.0014320579892048838</v>
      </c>
      <c r="U531">
        <v>0.0016005353996995759</v>
      </c>
      <c r="V531">
        <v>0.00058967093673142272</v>
      </c>
      <c r="W531">
        <v>0.003622264325635882</v>
      </c>
      <c r="X531">
        <v>0.0023586837469256909</v>
      </c>
      <c r="Y531">
        <v>0.0092662575772080712</v>
      </c>
      <c r="Z531">
        <v>0</v>
      </c>
      <c r="AA531">
        <v>0.0010951031682154993</v>
      </c>
      <c r="AB531">
        <v>0</v>
      </c>
      <c r="AC531">
        <v>0.017690128101942679</v>
      </c>
      <c r="AD531">
        <v>0.011877657439875799</v>
      </c>
      <c r="AE531">
        <v>0</v>
      </c>
      <c r="AF531">
        <v>0.00075814834722611488</v>
      </c>
      <c r="AG531">
        <v>0.018869469975405527</v>
      </c>
      <c r="AH531">
        <v>8.4238705247346107E-05</v>
      </c>
      <c r="AI531">
        <v>0.035548733614380053</v>
      </c>
      <c r="AJ531">
        <v>0.019374902206889602</v>
      </c>
      <c r="AK531">
        <v>0.023755314879751598</v>
      </c>
      <c r="AL531">
        <v>0</v>
      </c>
      <c r="AM531">
        <v>0.00016847741049469221</v>
      </c>
      <c r="AN531">
        <v>0.0021059676311836525</v>
      </c>
      <c r="AO531">
        <v>0</v>
      </c>
      <c r="AP531">
        <v>0</v>
      </c>
      <c r="AQ531">
        <v>0.040097623697736742</v>
      </c>
      <c r="AR531">
        <v>0.00067390964197876885</v>
      </c>
      <c r="AS531">
        <v>0.033274288572701712</v>
      </c>
      <c r="AT531">
        <v>0.011119509092649686</v>
      </c>
      <c r="AU531" t="s">
        <v>111</v>
      </c>
      <c r="BJ531" t="str">
        <f t="shared" si="16"/>
        <v>lcv</v>
      </c>
      <c r="BK531" t="str">
        <f t="shared" si="17"/>
        <v>lpg</v>
      </c>
    </row>
    <row r="532" spans="1:63" ht="14.5">
      <c r="A532" t="s">
        <v>118</v>
      </c>
      <c r="B532" t="s">
        <v>62</v>
      </c>
      <c r="C532" t="s">
        <v>63</v>
      </c>
      <c r="D532" t="s">
        <v>111</v>
      </c>
      <c r="E532" t="s">
        <v>111</v>
      </c>
      <c r="F532" t="s">
        <v>111</v>
      </c>
      <c r="G532" t="s">
        <v>74</v>
      </c>
      <c r="H532" t="s">
        <v>111</v>
      </c>
      <c r="I532" t="s">
        <v>111</v>
      </c>
      <c r="J532" t="s">
        <v>111</v>
      </c>
      <c r="K532" t="s">
        <v>111</v>
      </c>
      <c r="L532">
        <v>0.011119509092649686</v>
      </c>
      <c r="M532">
        <v>0</v>
      </c>
      <c r="N532">
        <v>0.0021059676311836525</v>
      </c>
      <c r="O532">
        <v>8.4238705247346107E-05</v>
      </c>
      <c r="P532">
        <v>0.0027798772731624215</v>
      </c>
      <c r="Q532">
        <v>0.0019374902206889602</v>
      </c>
      <c r="R532">
        <v>0</v>
      </c>
      <c r="S532">
        <v>0.0087608253457239944</v>
      </c>
      <c r="T532">
        <v>0.0014320579892048838</v>
      </c>
      <c r="U532">
        <v>0.0016005353996995759</v>
      </c>
      <c r="V532">
        <v>0.00058967093673142272</v>
      </c>
      <c r="W532">
        <v>0.003622264325635882</v>
      </c>
      <c r="X532">
        <v>0.0023586837469256909</v>
      </c>
      <c r="Y532">
        <v>0.0092662575772080712</v>
      </c>
      <c r="Z532">
        <v>0</v>
      </c>
      <c r="AA532">
        <v>0.0010951031682154993</v>
      </c>
      <c r="AB532">
        <v>0</v>
      </c>
      <c r="AC532">
        <v>0.017690128101942679</v>
      </c>
      <c r="AD532">
        <v>0.011877657439875799</v>
      </c>
      <c r="AE532">
        <v>0</v>
      </c>
      <c r="AF532">
        <v>0.00075814834722611488</v>
      </c>
      <c r="AG532">
        <v>0.018869469975405527</v>
      </c>
      <c r="AH532">
        <v>8.4238705247346107E-05</v>
      </c>
      <c r="AI532">
        <v>0.035548733614380053</v>
      </c>
      <c r="AJ532">
        <v>0.019374902206889602</v>
      </c>
      <c r="AK532">
        <v>0.023755314879751598</v>
      </c>
      <c r="AL532">
        <v>0</v>
      </c>
      <c r="AM532">
        <v>0.00016847741049469221</v>
      </c>
      <c r="AN532">
        <v>0.0021059676311836525</v>
      </c>
      <c r="AO532">
        <v>0</v>
      </c>
      <c r="AP532">
        <v>0</v>
      </c>
      <c r="AQ532">
        <v>0.040097623697736742</v>
      </c>
      <c r="AR532">
        <v>0.00067390964197876885</v>
      </c>
      <c r="AS532">
        <v>0.033274288572701712</v>
      </c>
      <c r="AT532">
        <v>0.011119509092649686</v>
      </c>
      <c r="AU532" t="s">
        <v>111</v>
      </c>
      <c r="BJ532" t="str">
        <f t="shared" si="16"/>
        <v>lcv</v>
      </c>
      <c r="BK532" t="str">
        <f t="shared" si="17"/>
        <v>lpg</v>
      </c>
    </row>
    <row r="533" spans="1:63" ht="14.5">
      <c r="A533" t="s">
        <v>118</v>
      </c>
      <c r="B533" t="s">
        <v>62</v>
      </c>
      <c r="C533" t="s">
        <v>63</v>
      </c>
      <c r="D533" t="s">
        <v>111</v>
      </c>
      <c r="E533" t="s">
        <v>111</v>
      </c>
      <c r="F533" t="s">
        <v>111</v>
      </c>
      <c r="G533" t="s">
        <v>73</v>
      </c>
      <c r="H533" t="s">
        <v>111</v>
      </c>
      <c r="I533" t="s">
        <v>111</v>
      </c>
      <c r="J533" t="s">
        <v>111</v>
      </c>
      <c r="K533" t="s">
        <v>111</v>
      </c>
      <c r="L533">
        <v>0.011119509092649686</v>
      </c>
      <c r="M533">
        <v>0</v>
      </c>
      <c r="N533">
        <v>0.0021059676311836525</v>
      </c>
      <c r="O533">
        <v>8.4238705247346107E-05</v>
      </c>
      <c r="P533">
        <v>0.0027798772731624215</v>
      </c>
      <c r="Q533">
        <v>0.0019374902206889602</v>
      </c>
      <c r="R533">
        <v>0</v>
      </c>
      <c r="S533">
        <v>0.0087608253457239944</v>
      </c>
      <c r="T533">
        <v>0.0014320579892048838</v>
      </c>
      <c r="U533">
        <v>0.0016005353996995759</v>
      </c>
      <c r="V533">
        <v>0.00058967093673142272</v>
      </c>
      <c r="W533">
        <v>0.003622264325635882</v>
      </c>
      <c r="X533">
        <v>0.0023586837469256909</v>
      </c>
      <c r="Y533">
        <v>0.0092662575772080712</v>
      </c>
      <c r="Z533">
        <v>0</v>
      </c>
      <c r="AA533">
        <v>0.0010951031682154993</v>
      </c>
      <c r="AB533">
        <v>0</v>
      </c>
      <c r="AC533">
        <v>0.017690128101942679</v>
      </c>
      <c r="AD533">
        <v>0.011877657439875799</v>
      </c>
      <c r="AE533">
        <v>0</v>
      </c>
      <c r="AF533">
        <v>0.00075814834722611488</v>
      </c>
      <c r="AG533">
        <v>0.018869469975405527</v>
      </c>
      <c r="AH533">
        <v>8.4238705247346107E-05</v>
      </c>
      <c r="AI533">
        <v>0.035548733614380053</v>
      </c>
      <c r="AJ533">
        <v>0.019374902206889602</v>
      </c>
      <c r="AK533">
        <v>0.023755314879751598</v>
      </c>
      <c r="AL533">
        <v>0</v>
      </c>
      <c r="AM533">
        <v>0.00016847741049469221</v>
      </c>
      <c r="AN533">
        <v>0.0021059676311836525</v>
      </c>
      <c r="AO533">
        <v>0</v>
      </c>
      <c r="AP533">
        <v>0</v>
      </c>
      <c r="AQ533">
        <v>0.040097623697736742</v>
      </c>
      <c r="AR533">
        <v>0.00067390964197876885</v>
      </c>
      <c r="AS533">
        <v>0.033274288572701712</v>
      </c>
      <c r="AT533">
        <v>0.011119509092649686</v>
      </c>
      <c r="AU533" t="s">
        <v>111</v>
      </c>
      <c r="BJ533" t="str">
        <f t="shared" si="16"/>
        <v>lcv</v>
      </c>
      <c r="BK533" t="str">
        <f t="shared" si="17"/>
        <v>lpg</v>
      </c>
    </row>
    <row r="534" spans="1:63" ht="14.5">
      <c r="A534" t="s">
        <v>118</v>
      </c>
      <c r="B534" t="s">
        <v>62</v>
      </c>
      <c r="C534" t="s">
        <v>63</v>
      </c>
      <c r="D534" t="s">
        <v>111</v>
      </c>
      <c r="E534" t="s">
        <v>111</v>
      </c>
      <c r="F534" t="s">
        <v>111</v>
      </c>
      <c r="G534" t="s">
        <v>72</v>
      </c>
      <c r="H534" t="s">
        <v>111</v>
      </c>
      <c r="I534" t="s">
        <v>111</v>
      </c>
      <c r="J534" t="s">
        <v>111</v>
      </c>
      <c r="K534" t="s">
        <v>111</v>
      </c>
      <c r="L534">
        <v>0.011119509092649686</v>
      </c>
      <c r="M534">
        <v>0</v>
      </c>
      <c r="N534">
        <v>0.0021059676311836525</v>
      </c>
      <c r="O534">
        <v>8.4238705247346107E-05</v>
      </c>
      <c r="P534">
        <v>0.0027798772731624215</v>
      </c>
      <c r="Q534">
        <v>0.0019374902206889602</v>
      </c>
      <c r="R534">
        <v>0</v>
      </c>
      <c r="S534">
        <v>0.0087608253457239944</v>
      </c>
      <c r="T534">
        <v>0.0014320579892048838</v>
      </c>
      <c r="U534">
        <v>0.0016005353996995759</v>
      </c>
      <c r="V534">
        <v>0.00058967093673142272</v>
      </c>
      <c r="W534">
        <v>0.003622264325635882</v>
      </c>
      <c r="X534">
        <v>0.0023586837469256909</v>
      </c>
      <c r="Y534">
        <v>0.0092662575772080712</v>
      </c>
      <c r="Z534">
        <v>0</v>
      </c>
      <c r="AA534">
        <v>0.0010951031682154993</v>
      </c>
      <c r="AB534">
        <v>0</v>
      </c>
      <c r="AC534">
        <v>0.017690128101942679</v>
      </c>
      <c r="AD534">
        <v>0.011877657439875799</v>
      </c>
      <c r="AE534">
        <v>0</v>
      </c>
      <c r="AF534">
        <v>0.00075814834722611488</v>
      </c>
      <c r="AG534">
        <v>0.018869469975405527</v>
      </c>
      <c r="AH534">
        <v>8.4238705247346107E-05</v>
      </c>
      <c r="AI534">
        <v>0.035548733614380053</v>
      </c>
      <c r="AJ534">
        <v>0.019374902206889602</v>
      </c>
      <c r="AK534">
        <v>0.023755314879751598</v>
      </c>
      <c r="AL534">
        <v>0</v>
      </c>
      <c r="AM534">
        <v>0.00016847741049469221</v>
      </c>
      <c r="AN534">
        <v>0.0021059676311836525</v>
      </c>
      <c r="AO534">
        <v>0</v>
      </c>
      <c r="AP534">
        <v>0</v>
      </c>
      <c r="AQ534">
        <v>0.040097623697736742</v>
      </c>
      <c r="AR534">
        <v>0.00067390964197876885</v>
      </c>
      <c r="AS534">
        <v>0.033274288572701712</v>
      </c>
      <c r="AT534">
        <v>0.011119509092649686</v>
      </c>
      <c r="AU534" t="s">
        <v>111</v>
      </c>
      <c r="BJ534" t="str">
        <f t="shared" si="16"/>
        <v>lcv</v>
      </c>
      <c r="BK534" t="str">
        <f t="shared" si="17"/>
        <v>lpg</v>
      </c>
    </row>
    <row r="535" spans="1:63" ht="14.5">
      <c r="A535" t="s">
        <v>118</v>
      </c>
      <c r="B535" t="s">
        <v>62</v>
      </c>
      <c r="C535" t="s">
        <v>63</v>
      </c>
      <c r="D535" t="s">
        <v>111</v>
      </c>
      <c r="E535" t="s">
        <v>111</v>
      </c>
      <c r="F535" t="s">
        <v>111</v>
      </c>
      <c r="G535" t="s">
        <v>71</v>
      </c>
      <c r="H535" t="s">
        <v>111</v>
      </c>
      <c r="I535" t="s">
        <v>111</v>
      </c>
      <c r="J535" t="s">
        <v>111</v>
      </c>
      <c r="K535" t="s">
        <v>111</v>
      </c>
      <c r="L535">
        <v>0.011119509092649686</v>
      </c>
      <c r="M535">
        <v>0</v>
      </c>
      <c r="N535">
        <v>0.0021059676311836525</v>
      </c>
      <c r="O535">
        <v>8.4238705247346107E-05</v>
      </c>
      <c r="P535">
        <v>0.0027798772731624215</v>
      </c>
      <c r="Q535">
        <v>0.0019374902206889602</v>
      </c>
      <c r="R535">
        <v>0</v>
      </c>
      <c r="S535">
        <v>0.0087608253457239944</v>
      </c>
      <c r="T535">
        <v>0.0014320579892048838</v>
      </c>
      <c r="U535">
        <v>0.0016005353996995759</v>
      </c>
      <c r="V535">
        <v>0.00058967093673142272</v>
      </c>
      <c r="W535">
        <v>0.003622264325635882</v>
      </c>
      <c r="X535">
        <v>0.0023586837469256909</v>
      </c>
      <c r="Y535">
        <v>0.0092662575772080712</v>
      </c>
      <c r="Z535">
        <v>0</v>
      </c>
      <c r="AA535">
        <v>0.0010951031682154993</v>
      </c>
      <c r="AB535">
        <v>0</v>
      </c>
      <c r="AC535">
        <v>0.017690128101942679</v>
      </c>
      <c r="AD535">
        <v>0.011877657439875799</v>
      </c>
      <c r="AE535">
        <v>0</v>
      </c>
      <c r="AF535">
        <v>0.00075814834722611488</v>
      </c>
      <c r="AG535">
        <v>0.018869469975405527</v>
      </c>
      <c r="AH535">
        <v>8.4238705247346107E-05</v>
      </c>
      <c r="AI535">
        <v>0.035548733614380053</v>
      </c>
      <c r="AJ535">
        <v>0.019374902206889602</v>
      </c>
      <c r="AK535">
        <v>0.023755314879751598</v>
      </c>
      <c r="AL535">
        <v>0</v>
      </c>
      <c r="AM535">
        <v>0.00016847741049469221</v>
      </c>
      <c r="AN535">
        <v>0.0021059676311836525</v>
      </c>
      <c r="AO535">
        <v>0</v>
      </c>
      <c r="AP535">
        <v>0</v>
      </c>
      <c r="AQ535">
        <v>0.040097623697736742</v>
      </c>
      <c r="AR535">
        <v>0.00067390964197876885</v>
      </c>
      <c r="AS535">
        <v>0.033274288572701712</v>
      </c>
      <c r="AT535">
        <v>0.011119509092649686</v>
      </c>
      <c r="AU535" t="s">
        <v>111</v>
      </c>
      <c r="BJ535" t="str">
        <f t="shared" si="16"/>
        <v>lcv</v>
      </c>
      <c r="BK535" t="str">
        <f t="shared" si="17"/>
        <v>lpg</v>
      </c>
    </row>
    <row r="536" spans="1:63" ht="14.5">
      <c r="A536" t="s">
        <v>118</v>
      </c>
      <c r="B536" t="s">
        <v>62</v>
      </c>
      <c r="C536" t="s">
        <v>63</v>
      </c>
      <c r="D536" t="s">
        <v>111</v>
      </c>
      <c r="E536" t="s">
        <v>111</v>
      </c>
      <c r="F536" t="s">
        <v>111</v>
      </c>
      <c r="G536" t="s">
        <v>70</v>
      </c>
      <c r="H536" t="s">
        <v>111</v>
      </c>
      <c r="I536" t="s">
        <v>111</v>
      </c>
      <c r="J536" t="s">
        <v>111</v>
      </c>
      <c r="K536" t="s">
        <v>111</v>
      </c>
      <c r="L536">
        <v>0.011119509092649686</v>
      </c>
      <c r="M536">
        <v>0</v>
      </c>
      <c r="N536">
        <v>0.0021059676311836525</v>
      </c>
      <c r="O536">
        <v>8.4238705247346107E-05</v>
      </c>
      <c r="P536">
        <v>0.0027798772731624215</v>
      </c>
      <c r="Q536">
        <v>0.0019374902206889602</v>
      </c>
      <c r="R536">
        <v>0</v>
      </c>
      <c r="S536">
        <v>0.0087608253457239944</v>
      </c>
      <c r="T536">
        <v>0.0014320579892048838</v>
      </c>
      <c r="U536">
        <v>0.0016005353996995759</v>
      </c>
      <c r="V536">
        <v>0.00058967093673142272</v>
      </c>
      <c r="W536">
        <v>0.003622264325635882</v>
      </c>
      <c r="X536">
        <v>0.0023586837469256909</v>
      </c>
      <c r="Y536">
        <v>0.0092662575772080712</v>
      </c>
      <c r="Z536">
        <v>0</v>
      </c>
      <c r="AA536">
        <v>0.0010951031682154993</v>
      </c>
      <c r="AB536">
        <v>0</v>
      </c>
      <c r="AC536">
        <v>0.017690128101942679</v>
      </c>
      <c r="AD536">
        <v>0.011877657439875799</v>
      </c>
      <c r="AE536">
        <v>0</v>
      </c>
      <c r="AF536">
        <v>0.00075814834722611488</v>
      </c>
      <c r="AG536">
        <v>0.018869469975405527</v>
      </c>
      <c r="AH536">
        <v>8.4238705247346107E-05</v>
      </c>
      <c r="AI536">
        <v>0.035548733614380053</v>
      </c>
      <c r="AJ536">
        <v>0.019374902206889602</v>
      </c>
      <c r="AK536">
        <v>0.023755314879751598</v>
      </c>
      <c r="AL536">
        <v>0</v>
      </c>
      <c r="AM536">
        <v>0.00016847741049469221</v>
      </c>
      <c r="AN536">
        <v>0.0021059676311836525</v>
      </c>
      <c r="AO536">
        <v>0</v>
      </c>
      <c r="AP536">
        <v>0</v>
      </c>
      <c r="AQ536">
        <v>0.040097623697736742</v>
      </c>
      <c r="AR536">
        <v>0.00067390964197876885</v>
      </c>
      <c r="AS536">
        <v>0.033274288572701712</v>
      </c>
      <c r="AT536">
        <v>0.011119509092649686</v>
      </c>
      <c r="AU536" t="s">
        <v>111</v>
      </c>
      <c r="BJ536" t="str">
        <f t="shared" si="16"/>
        <v>lcv</v>
      </c>
      <c r="BK536" t="str">
        <f t="shared" si="17"/>
        <v>lpg</v>
      </c>
    </row>
    <row r="537" spans="1:63" ht="14.5">
      <c r="A537" t="s">
        <v>118</v>
      </c>
      <c r="B537" t="s">
        <v>62</v>
      </c>
      <c r="C537" t="s">
        <v>63</v>
      </c>
      <c r="D537" t="s">
        <v>111</v>
      </c>
      <c r="E537" t="s">
        <v>111</v>
      </c>
      <c r="F537" t="s">
        <v>111</v>
      </c>
      <c r="G537" t="s">
        <v>69</v>
      </c>
      <c r="H537" t="s">
        <v>111</v>
      </c>
      <c r="I537" t="s">
        <v>111</v>
      </c>
      <c r="J537" t="s">
        <v>111</v>
      </c>
      <c r="K537" t="s">
        <v>111</v>
      </c>
      <c r="L537">
        <v>0.011119509092649686</v>
      </c>
      <c r="M537">
        <v>0</v>
      </c>
      <c r="N537">
        <v>0.0021059676311836525</v>
      </c>
      <c r="O537">
        <v>8.4238705247346107E-05</v>
      </c>
      <c r="P537">
        <v>0.0027798772731624215</v>
      </c>
      <c r="Q537">
        <v>0.0019374902206889602</v>
      </c>
      <c r="R537">
        <v>0</v>
      </c>
      <c r="S537">
        <v>0.0087608253457239944</v>
      </c>
      <c r="T537">
        <v>0.0014320579892048838</v>
      </c>
      <c r="U537">
        <v>0.0016005353996995759</v>
      </c>
      <c r="V537">
        <v>0.00058967093673142272</v>
      </c>
      <c r="W537">
        <v>0.003622264325635882</v>
      </c>
      <c r="X537">
        <v>0.0023586837469256909</v>
      </c>
      <c r="Y537">
        <v>0.0092662575772080712</v>
      </c>
      <c r="Z537">
        <v>0</v>
      </c>
      <c r="AA537">
        <v>0.0010951031682154993</v>
      </c>
      <c r="AB537">
        <v>0</v>
      </c>
      <c r="AC537">
        <v>0.017690128101942679</v>
      </c>
      <c r="AD537">
        <v>0.011877657439875799</v>
      </c>
      <c r="AE537">
        <v>0</v>
      </c>
      <c r="AF537">
        <v>0.00075814834722611488</v>
      </c>
      <c r="AG537">
        <v>0.018869469975405527</v>
      </c>
      <c r="AH537">
        <v>8.4238705247346107E-05</v>
      </c>
      <c r="AI537">
        <v>0.035548733614380053</v>
      </c>
      <c r="AJ537">
        <v>0.019374902206889602</v>
      </c>
      <c r="AK537">
        <v>0.023755314879751598</v>
      </c>
      <c r="AL537">
        <v>0</v>
      </c>
      <c r="AM537">
        <v>0.00016847741049469221</v>
      </c>
      <c r="AN537">
        <v>0.0021059676311836525</v>
      </c>
      <c r="AO537">
        <v>0</v>
      </c>
      <c r="AP537">
        <v>0</v>
      </c>
      <c r="AQ537">
        <v>0.040097623697736742</v>
      </c>
      <c r="AR537">
        <v>0.00067390964197876885</v>
      </c>
      <c r="AS537">
        <v>0.033274288572701712</v>
      </c>
      <c r="AT537">
        <v>0.011119509092649686</v>
      </c>
      <c r="AU537" t="s">
        <v>111</v>
      </c>
      <c r="BJ537" t="str">
        <f t="shared" si="16"/>
        <v>lcv</v>
      </c>
      <c r="BK537" t="str">
        <f t="shared" si="17"/>
        <v>lpg</v>
      </c>
    </row>
    <row r="538" spans="1:63" ht="14.5">
      <c r="A538" t="s">
        <v>118</v>
      </c>
      <c r="B538" t="s">
        <v>62</v>
      </c>
      <c r="C538" t="s">
        <v>63</v>
      </c>
      <c r="D538" t="s">
        <v>111</v>
      </c>
      <c r="E538" t="s">
        <v>111</v>
      </c>
      <c r="F538" t="s">
        <v>111</v>
      </c>
      <c r="G538" t="s">
        <v>68</v>
      </c>
      <c r="H538" t="s">
        <v>111</v>
      </c>
      <c r="I538" t="s">
        <v>111</v>
      </c>
      <c r="J538" t="s">
        <v>111</v>
      </c>
      <c r="K538" t="s">
        <v>111</v>
      </c>
      <c r="L538">
        <v>0.011119509092649686</v>
      </c>
      <c r="M538">
        <v>0</v>
      </c>
      <c r="N538">
        <v>0.0021059676311836525</v>
      </c>
      <c r="O538">
        <v>8.4238705247346107E-05</v>
      </c>
      <c r="P538">
        <v>0.0027798772731624215</v>
      </c>
      <c r="Q538">
        <v>0.0019374902206889602</v>
      </c>
      <c r="R538">
        <v>0</v>
      </c>
      <c r="S538">
        <v>0.0087608253457239944</v>
      </c>
      <c r="T538">
        <v>0.0014320579892048838</v>
      </c>
      <c r="U538">
        <v>0.0016005353996995759</v>
      </c>
      <c r="V538">
        <v>0.00058967093673142272</v>
      </c>
      <c r="W538">
        <v>0.003622264325635882</v>
      </c>
      <c r="X538">
        <v>0.0023586837469256909</v>
      </c>
      <c r="Y538">
        <v>0.0092662575772080712</v>
      </c>
      <c r="Z538">
        <v>0</v>
      </c>
      <c r="AA538">
        <v>0.0010951031682154993</v>
      </c>
      <c r="AB538">
        <v>0</v>
      </c>
      <c r="AC538">
        <v>0.017690128101942679</v>
      </c>
      <c r="AD538">
        <v>0.011877657439875799</v>
      </c>
      <c r="AE538">
        <v>0</v>
      </c>
      <c r="AF538">
        <v>0.00075814834722611488</v>
      </c>
      <c r="AG538">
        <v>0.018869469975405527</v>
      </c>
      <c r="AH538">
        <v>8.4238705247346107E-05</v>
      </c>
      <c r="AI538">
        <v>0.035548733614380053</v>
      </c>
      <c r="AJ538">
        <v>0.019374902206889602</v>
      </c>
      <c r="AK538">
        <v>0.023755314879751598</v>
      </c>
      <c r="AL538">
        <v>0</v>
      </c>
      <c r="AM538">
        <v>0.00016847741049469221</v>
      </c>
      <c r="AN538">
        <v>0.0021059676311836525</v>
      </c>
      <c r="AO538">
        <v>0</v>
      </c>
      <c r="AP538">
        <v>0</v>
      </c>
      <c r="AQ538">
        <v>0.040097623697736742</v>
      </c>
      <c r="AR538">
        <v>0.00067390964197876885</v>
      </c>
      <c r="AS538">
        <v>0.033274288572701712</v>
      </c>
      <c r="AT538">
        <v>0.011119509092649686</v>
      </c>
      <c r="AU538" t="s">
        <v>111</v>
      </c>
      <c r="BJ538" t="str">
        <f t="shared" si="16"/>
        <v>lcv</v>
      </c>
      <c r="BK538" t="str">
        <f t="shared" si="17"/>
        <v>lpg</v>
      </c>
    </row>
    <row r="539" spans="1:63" ht="14.5">
      <c r="A539" t="s">
        <v>118</v>
      </c>
      <c r="B539" t="s">
        <v>62</v>
      </c>
      <c r="C539" t="s">
        <v>63</v>
      </c>
      <c r="D539" t="s">
        <v>111</v>
      </c>
      <c r="E539" t="s">
        <v>111</v>
      </c>
      <c r="F539" t="s">
        <v>111</v>
      </c>
      <c r="G539" t="s">
        <v>67</v>
      </c>
      <c r="H539" t="s">
        <v>111</v>
      </c>
      <c r="I539" t="s">
        <v>111</v>
      </c>
      <c r="J539" t="s">
        <v>111</v>
      </c>
      <c r="K539" t="s">
        <v>111</v>
      </c>
      <c r="L539">
        <v>0.011119509092649686</v>
      </c>
      <c r="M539">
        <v>0</v>
      </c>
      <c r="N539">
        <v>0.0021059676311836525</v>
      </c>
      <c r="O539">
        <v>8.4238705247346107E-05</v>
      </c>
      <c r="P539">
        <v>0.0027798772731624215</v>
      </c>
      <c r="Q539">
        <v>0.0019374902206889602</v>
      </c>
      <c r="R539">
        <v>0</v>
      </c>
      <c r="S539">
        <v>0.0087608253457239944</v>
      </c>
      <c r="T539">
        <v>0.0014320579892048838</v>
      </c>
      <c r="U539">
        <v>0.0016005353996995759</v>
      </c>
      <c r="V539">
        <v>0.00058967093673142272</v>
      </c>
      <c r="W539">
        <v>0.003622264325635882</v>
      </c>
      <c r="X539">
        <v>0.0023586837469256909</v>
      </c>
      <c r="Y539">
        <v>0.0092662575772080712</v>
      </c>
      <c r="Z539">
        <v>0</v>
      </c>
      <c r="AA539">
        <v>0.0010951031682154993</v>
      </c>
      <c r="AB539">
        <v>0</v>
      </c>
      <c r="AC539">
        <v>0.017690128101942679</v>
      </c>
      <c r="AD539">
        <v>0.011877657439875799</v>
      </c>
      <c r="AE539">
        <v>0</v>
      </c>
      <c r="AF539">
        <v>0.00075814834722611488</v>
      </c>
      <c r="AG539">
        <v>0.018869469975405527</v>
      </c>
      <c r="AH539">
        <v>8.4238705247346107E-05</v>
      </c>
      <c r="AI539">
        <v>0.035548733614380053</v>
      </c>
      <c r="AJ539">
        <v>0.019374902206889602</v>
      </c>
      <c r="AK539">
        <v>0.023755314879751598</v>
      </c>
      <c r="AL539">
        <v>0</v>
      </c>
      <c r="AM539">
        <v>0.00016847741049469221</v>
      </c>
      <c r="AN539">
        <v>0.0021059676311836525</v>
      </c>
      <c r="AO539">
        <v>0</v>
      </c>
      <c r="AP539">
        <v>0</v>
      </c>
      <c r="AQ539">
        <v>0.040097623697736742</v>
      </c>
      <c r="AR539">
        <v>0.00067390964197876885</v>
      </c>
      <c r="AS539">
        <v>0.033274288572701712</v>
      </c>
      <c r="AT539">
        <v>0.011119509092649686</v>
      </c>
      <c r="AU539" t="s">
        <v>111</v>
      </c>
      <c r="BJ539" t="str">
        <f t="shared" si="16"/>
        <v>lcv</v>
      </c>
      <c r="BK539" t="str">
        <f t="shared" si="17"/>
        <v>lpg</v>
      </c>
    </row>
    <row r="540" spans="1:63" ht="14.5">
      <c r="A540" t="s">
        <v>118</v>
      </c>
      <c r="B540" t="s">
        <v>62</v>
      </c>
      <c r="C540" t="s">
        <v>63</v>
      </c>
      <c r="D540" t="s">
        <v>111</v>
      </c>
      <c r="E540" t="s">
        <v>111</v>
      </c>
      <c r="F540" t="s">
        <v>111</v>
      </c>
      <c r="G540" t="s">
        <v>66</v>
      </c>
      <c r="H540" t="s">
        <v>111</v>
      </c>
      <c r="I540" t="s">
        <v>111</v>
      </c>
      <c r="J540" t="s">
        <v>111</v>
      </c>
      <c r="K540" t="s">
        <v>111</v>
      </c>
      <c r="L540">
        <v>0.011119509092649686</v>
      </c>
      <c r="M540">
        <v>0</v>
      </c>
      <c r="N540">
        <v>0.0021059676311836525</v>
      </c>
      <c r="O540">
        <v>8.4238705247346107E-05</v>
      </c>
      <c r="P540">
        <v>0.0027798772731624215</v>
      </c>
      <c r="Q540">
        <v>0.0019374902206889602</v>
      </c>
      <c r="R540">
        <v>0</v>
      </c>
      <c r="S540">
        <v>0.0087608253457239944</v>
      </c>
      <c r="T540">
        <v>0.0014320579892048838</v>
      </c>
      <c r="U540">
        <v>0.0016005353996995759</v>
      </c>
      <c r="V540">
        <v>0.00058967093673142272</v>
      </c>
      <c r="W540">
        <v>0.003622264325635882</v>
      </c>
      <c r="X540">
        <v>0.0023586837469256909</v>
      </c>
      <c r="Y540">
        <v>0.0092662575772080712</v>
      </c>
      <c r="Z540">
        <v>0</v>
      </c>
      <c r="AA540">
        <v>0.0010951031682154993</v>
      </c>
      <c r="AB540">
        <v>0</v>
      </c>
      <c r="AC540">
        <v>0.017690128101942679</v>
      </c>
      <c r="AD540">
        <v>0.011877657439875799</v>
      </c>
      <c r="AE540">
        <v>0</v>
      </c>
      <c r="AF540">
        <v>0.00075814834722611488</v>
      </c>
      <c r="AG540">
        <v>0.018869469975405527</v>
      </c>
      <c r="AH540">
        <v>8.4238705247346107E-05</v>
      </c>
      <c r="AI540">
        <v>0.035548733614380053</v>
      </c>
      <c r="AJ540">
        <v>0.019374902206889602</v>
      </c>
      <c r="AK540">
        <v>0.023755314879751598</v>
      </c>
      <c r="AL540">
        <v>0</v>
      </c>
      <c r="AM540">
        <v>0.00016847741049469221</v>
      </c>
      <c r="AN540">
        <v>0.0021059676311836525</v>
      </c>
      <c r="AO540">
        <v>0</v>
      </c>
      <c r="AP540">
        <v>0</v>
      </c>
      <c r="AQ540">
        <v>0.040097623697736742</v>
      </c>
      <c r="AR540">
        <v>0.00067390964197876885</v>
      </c>
      <c r="AS540">
        <v>0.033274288572701712</v>
      </c>
      <c r="AT540">
        <v>0.011119509092649686</v>
      </c>
      <c r="AU540" t="s">
        <v>111</v>
      </c>
      <c r="BJ540" t="str">
        <f t="shared" si="16"/>
        <v>lcv</v>
      </c>
      <c r="BK540" t="str">
        <f t="shared" si="17"/>
        <v>lpg</v>
      </c>
    </row>
    <row r="541" spans="1:63" ht="14.5">
      <c r="A541" t="s">
        <v>118</v>
      </c>
      <c r="B541" t="s">
        <v>62</v>
      </c>
      <c r="C541" t="s">
        <v>63</v>
      </c>
      <c r="D541" t="s">
        <v>111</v>
      </c>
      <c r="E541" t="s">
        <v>111</v>
      </c>
      <c r="F541" t="s">
        <v>111</v>
      </c>
      <c r="G541" t="s">
        <v>65</v>
      </c>
      <c r="H541" t="s">
        <v>111</v>
      </c>
      <c r="I541" t="s">
        <v>111</v>
      </c>
      <c r="J541" t="s">
        <v>111</v>
      </c>
      <c r="K541" t="s">
        <v>111</v>
      </c>
      <c r="L541">
        <v>0.011119509092649686</v>
      </c>
      <c r="M541">
        <v>0</v>
      </c>
      <c r="N541">
        <v>0.0021059676311836525</v>
      </c>
      <c r="O541">
        <v>8.4238705247346107E-05</v>
      </c>
      <c r="P541">
        <v>0.0027798772731624215</v>
      </c>
      <c r="Q541">
        <v>0.0019374902206889602</v>
      </c>
      <c r="R541">
        <v>0</v>
      </c>
      <c r="S541">
        <v>0.0087608253457239944</v>
      </c>
      <c r="T541">
        <v>0.0014320579892048838</v>
      </c>
      <c r="U541">
        <v>0.0016005353996995759</v>
      </c>
      <c r="V541">
        <v>0.00058967093673142272</v>
      </c>
      <c r="W541">
        <v>0.003622264325635882</v>
      </c>
      <c r="X541">
        <v>0.0023586837469256909</v>
      </c>
      <c r="Y541">
        <v>0.0092662575772080712</v>
      </c>
      <c r="Z541">
        <v>0</v>
      </c>
      <c r="AA541">
        <v>0.0010951031682154993</v>
      </c>
      <c r="AB541">
        <v>0</v>
      </c>
      <c r="AC541">
        <v>0.017690128101942679</v>
      </c>
      <c r="AD541">
        <v>0.011877657439875799</v>
      </c>
      <c r="AE541">
        <v>0</v>
      </c>
      <c r="AF541">
        <v>0.00075814834722611488</v>
      </c>
      <c r="AG541">
        <v>0.018869469975405527</v>
      </c>
      <c r="AH541">
        <v>8.4238705247346107E-05</v>
      </c>
      <c r="AI541">
        <v>0.035548733614380053</v>
      </c>
      <c r="AJ541">
        <v>0.019374902206889602</v>
      </c>
      <c r="AK541">
        <v>0.023755314879751598</v>
      </c>
      <c r="AL541">
        <v>0</v>
      </c>
      <c r="AM541">
        <v>0.00016847741049469221</v>
      </c>
      <c r="AN541">
        <v>0.0021059676311836525</v>
      </c>
      <c r="AO541">
        <v>0</v>
      </c>
      <c r="AP541">
        <v>0</v>
      </c>
      <c r="AQ541">
        <v>0.040097623697736742</v>
      </c>
      <c r="AR541">
        <v>0.00067390964197876885</v>
      </c>
      <c r="AS541">
        <v>0.033274288572701712</v>
      </c>
      <c r="AT541">
        <v>0.011119509092649686</v>
      </c>
      <c r="AU541" t="s">
        <v>111</v>
      </c>
      <c r="BJ541" t="str">
        <f t="shared" si="16"/>
        <v>lcv</v>
      </c>
      <c r="BK541" t="str">
        <f t="shared" si="17"/>
        <v>lpg</v>
      </c>
    </row>
    <row r="542" spans="1:63" ht="14.5">
      <c r="A542" t="s">
        <v>118</v>
      </c>
      <c r="B542" t="s">
        <v>62</v>
      </c>
      <c r="C542" t="s">
        <v>58</v>
      </c>
      <c r="D542" t="s">
        <v>111</v>
      </c>
      <c r="E542" t="s">
        <v>111</v>
      </c>
      <c r="F542" t="s">
        <v>111</v>
      </c>
      <c r="G542" t="s">
        <v>61</v>
      </c>
      <c r="H542" t="s">
        <v>111</v>
      </c>
      <c r="I542" t="s">
        <v>111</v>
      </c>
      <c r="J542" t="s">
        <v>111</v>
      </c>
      <c r="K542" t="s">
        <v>111</v>
      </c>
      <c r="L542">
        <v>0.0021059676311836525</v>
      </c>
      <c r="M542">
        <v>0</v>
      </c>
      <c r="N542">
        <v>0.00033695482098938443</v>
      </c>
      <c r="O542">
        <v>0</v>
      </c>
      <c r="P542">
        <v>0.00016847741049469221</v>
      </c>
      <c r="Q542">
        <v>0</v>
      </c>
      <c r="R542">
        <v>0.011709180029381108</v>
      </c>
      <c r="S542">
        <v>0.085586524531303637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0.012804283197596607</v>
      </c>
      <c r="AB542">
        <v>0</v>
      </c>
      <c r="AC542">
        <v>0</v>
      </c>
      <c r="AD542">
        <v>8.4238705247346107E-05</v>
      </c>
      <c r="AE542">
        <v>0.02249173430104141</v>
      </c>
      <c r="AF542">
        <v>0</v>
      </c>
      <c r="AG542">
        <v>0.00075814834722611488</v>
      </c>
      <c r="AH542">
        <v>0</v>
      </c>
      <c r="AI542">
        <v>0</v>
      </c>
      <c r="AJ542">
        <v>0.0075814834722611486</v>
      </c>
      <c r="AK542">
        <v>0.0018532515154416141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0.00025271611574203829</v>
      </c>
      <c r="AT542">
        <v>0</v>
      </c>
      <c r="AU542" t="s">
        <v>111</v>
      </c>
      <c r="BJ542" t="str">
        <f t="shared" si="16"/>
        <v>lcv</v>
      </c>
      <c r="BK542" t="str">
        <f t="shared" si="17"/>
        <v>nga</v>
      </c>
    </row>
    <row r="543" spans="1:63" ht="14.5">
      <c r="A543" t="s">
        <v>118</v>
      </c>
      <c r="B543" t="s">
        <v>62</v>
      </c>
      <c r="C543" t="s">
        <v>58</v>
      </c>
      <c r="D543" t="s">
        <v>111</v>
      </c>
      <c r="E543" t="s">
        <v>111</v>
      </c>
      <c r="F543" t="s">
        <v>111</v>
      </c>
      <c r="G543" t="s">
        <v>83</v>
      </c>
      <c r="H543" t="s">
        <v>111</v>
      </c>
      <c r="I543" t="s">
        <v>111</v>
      </c>
      <c r="J543" t="s">
        <v>111</v>
      </c>
      <c r="K543" t="s">
        <v>111</v>
      </c>
      <c r="L543">
        <v>0.0021059676311836525</v>
      </c>
      <c r="M543">
        <v>0</v>
      </c>
      <c r="N543">
        <v>0.00033695482098938443</v>
      </c>
      <c r="O543">
        <v>0</v>
      </c>
      <c r="P543">
        <v>0.00016847741049469221</v>
      </c>
      <c r="Q543">
        <v>0</v>
      </c>
      <c r="R543">
        <v>0.011709180029381108</v>
      </c>
      <c r="S543">
        <v>0.085586524531303637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0.012804283197596607</v>
      </c>
      <c r="AB543">
        <v>0</v>
      </c>
      <c r="AC543">
        <v>0</v>
      </c>
      <c r="AD543">
        <v>8.4238705247346107E-05</v>
      </c>
      <c r="AE543">
        <v>0.02249173430104141</v>
      </c>
      <c r="AF543">
        <v>0</v>
      </c>
      <c r="AG543">
        <v>0.00075814834722611488</v>
      </c>
      <c r="AH543">
        <v>0</v>
      </c>
      <c r="AI543">
        <v>0</v>
      </c>
      <c r="AJ543">
        <v>0.0075814834722611486</v>
      </c>
      <c r="AK543">
        <v>0.0018532515154416141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0.00025271611574203829</v>
      </c>
      <c r="AT543">
        <v>0</v>
      </c>
      <c r="AU543" t="s">
        <v>111</v>
      </c>
      <c r="BJ543" t="str">
        <f t="shared" si="16"/>
        <v>lcv</v>
      </c>
      <c r="BK543" t="str">
        <f t="shared" si="17"/>
        <v>nga</v>
      </c>
    </row>
    <row r="544" spans="1:63" ht="14.5">
      <c r="A544" t="s">
        <v>118</v>
      </c>
      <c r="B544" t="s">
        <v>62</v>
      </c>
      <c r="C544" t="s">
        <v>58</v>
      </c>
      <c r="D544" t="s">
        <v>111</v>
      </c>
      <c r="E544" t="s">
        <v>111</v>
      </c>
      <c r="F544" t="s">
        <v>111</v>
      </c>
      <c r="G544" t="s">
        <v>82</v>
      </c>
      <c r="H544" t="s">
        <v>111</v>
      </c>
      <c r="I544" t="s">
        <v>111</v>
      </c>
      <c r="J544" t="s">
        <v>111</v>
      </c>
      <c r="K544" t="s">
        <v>111</v>
      </c>
      <c r="L544">
        <v>0.0021059676311836525</v>
      </c>
      <c r="M544">
        <v>0</v>
      </c>
      <c r="N544">
        <v>0.00033695482098938443</v>
      </c>
      <c r="O544">
        <v>0</v>
      </c>
      <c r="P544">
        <v>0.00016847741049469221</v>
      </c>
      <c r="Q544">
        <v>0</v>
      </c>
      <c r="R544">
        <v>0.011709180029381108</v>
      </c>
      <c r="S544">
        <v>0.085586524531303637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0.012804283197596607</v>
      </c>
      <c r="AB544">
        <v>0</v>
      </c>
      <c r="AC544">
        <v>0</v>
      </c>
      <c r="AD544">
        <v>8.4238705247346107E-05</v>
      </c>
      <c r="AE544">
        <v>0.02249173430104141</v>
      </c>
      <c r="AF544">
        <v>0</v>
      </c>
      <c r="AG544">
        <v>0.00075814834722611488</v>
      </c>
      <c r="AH544">
        <v>0</v>
      </c>
      <c r="AI544">
        <v>0</v>
      </c>
      <c r="AJ544">
        <v>0.0075814834722611486</v>
      </c>
      <c r="AK544">
        <v>0.0018532515154416141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0.00025271611574203829</v>
      </c>
      <c r="AT544">
        <v>0</v>
      </c>
      <c r="AU544" t="s">
        <v>111</v>
      </c>
      <c r="BJ544" t="str">
        <f t="shared" si="16"/>
        <v>lcv</v>
      </c>
      <c r="BK544" t="str">
        <f t="shared" si="17"/>
        <v>nga</v>
      </c>
    </row>
    <row r="545" spans="1:63" ht="14.5">
      <c r="A545" t="s">
        <v>118</v>
      </c>
      <c r="B545" t="s">
        <v>62</v>
      </c>
      <c r="C545" t="s">
        <v>58</v>
      </c>
      <c r="D545" t="s">
        <v>111</v>
      </c>
      <c r="E545" t="s">
        <v>111</v>
      </c>
      <c r="F545" t="s">
        <v>111</v>
      </c>
      <c r="G545" t="s">
        <v>81</v>
      </c>
      <c r="H545" t="s">
        <v>111</v>
      </c>
      <c r="I545" t="s">
        <v>111</v>
      </c>
      <c r="J545" t="s">
        <v>111</v>
      </c>
      <c r="K545" t="s">
        <v>111</v>
      </c>
      <c r="L545">
        <v>0.0021059676311836525</v>
      </c>
      <c r="M545">
        <v>0</v>
      </c>
      <c r="N545">
        <v>0.00033695482098938443</v>
      </c>
      <c r="O545">
        <v>0</v>
      </c>
      <c r="P545">
        <v>0.00016847741049469221</v>
      </c>
      <c r="Q545">
        <v>0</v>
      </c>
      <c r="R545">
        <v>0.011709180029381108</v>
      </c>
      <c r="S545">
        <v>0.085586524531303637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0.012804283197596607</v>
      </c>
      <c r="AB545">
        <v>0</v>
      </c>
      <c r="AC545">
        <v>0</v>
      </c>
      <c r="AD545">
        <v>8.4238705247346107E-05</v>
      </c>
      <c r="AE545">
        <v>0.02249173430104141</v>
      </c>
      <c r="AF545">
        <v>0</v>
      </c>
      <c r="AG545">
        <v>0.00075814834722611488</v>
      </c>
      <c r="AH545">
        <v>0</v>
      </c>
      <c r="AI545">
        <v>0</v>
      </c>
      <c r="AJ545">
        <v>0.0075814834722611486</v>
      </c>
      <c r="AK545">
        <v>0.0018532515154416141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0.00025271611574203829</v>
      </c>
      <c r="AT545">
        <v>0</v>
      </c>
      <c r="AU545" t="s">
        <v>111</v>
      </c>
      <c r="BJ545" t="str">
        <f t="shared" si="16"/>
        <v>lcv</v>
      </c>
      <c r="BK545" t="str">
        <f t="shared" si="17"/>
        <v>nga</v>
      </c>
    </row>
    <row r="546" spans="1:63" ht="14.5">
      <c r="A546" t="s">
        <v>118</v>
      </c>
      <c r="B546" t="s">
        <v>62</v>
      </c>
      <c r="C546" t="s">
        <v>58</v>
      </c>
      <c r="D546" t="s">
        <v>111</v>
      </c>
      <c r="E546" t="s">
        <v>111</v>
      </c>
      <c r="F546" t="s">
        <v>111</v>
      </c>
      <c r="G546" t="s">
        <v>80</v>
      </c>
      <c r="H546" t="s">
        <v>111</v>
      </c>
      <c r="I546" t="s">
        <v>111</v>
      </c>
      <c r="J546" t="s">
        <v>111</v>
      </c>
      <c r="K546" t="s">
        <v>111</v>
      </c>
      <c r="L546">
        <v>0.0021059676311836525</v>
      </c>
      <c r="M546">
        <v>0</v>
      </c>
      <c r="N546">
        <v>0.00033695482098938443</v>
      </c>
      <c r="O546">
        <v>0</v>
      </c>
      <c r="P546">
        <v>0.00016847741049469221</v>
      </c>
      <c r="Q546">
        <v>0</v>
      </c>
      <c r="R546">
        <v>0.011709180029381108</v>
      </c>
      <c r="S546">
        <v>0.085586524531303637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0.012804283197596607</v>
      </c>
      <c r="AB546">
        <v>0</v>
      </c>
      <c r="AC546">
        <v>0</v>
      </c>
      <c r="AD546">
        <v>8.4238705247346107E-05</v>
      </c>
      <c r="AE546">
        <v>0.02249173430104141</v>
      </c>
      <c r="AF546">
        <v>0</v>
      </c>
      <c r="AG546">
        <v>0.00075814834722611488</v>
      </c>
      <c r="AH546">
        <v>0</v>
      </c>
      <c r="AI546">
        <v>0</v>
      </c>
      <c r="AJ546">
        <v>0.0075814834722611486</v>
      </c>
      <c r="AK546">
        <v>0.0018532515154416141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0.00025271611574203829</v>
      </c>
      <c r="AT546">
        <v>0</v>
      </c>
      <c r="AU546" t="s">
        <v>111</v>
      </c>
      <c r="BJ546" t="str">
        <f t="shared" si="16"/>
        <v>lcv</v>
      </c>
      <c r="BK546" t="str">
        <f t="shared" si="17"/>
        <v>nga</v>
      </c>
    </row>
    <row r="547" spans="1:63" ht="14.5">
      <c r="A547" t="s">
        <v>118</v>
      </c>
      <c r="B547" t="s">
        <v>62</v>
      </c>
      <c r="C547" t="s">
        <v>58</v>
      </c>
      <c r="D547" t="s">
        <v>111</v>
      </c>
      <c r="E547" t="s">
        <v>111</v>
      </c>
      <c r="F547" t="s">
        <v>111</v>
      </c>
      <c r="G547" t="s">
        <v>79</v>
      </c>
      <c r="H547" t="s">
        <v>111</v>
      </c>
      <c r="I547" t="s">
        <v>111</v>
      </c>
      <c r="J547" t="s">
        <v>111</v>
      </c>
      <c r="K547" t="s">
        <v>111</v>
      </c>
      <c r="L547">
        <v>0.0021059676311836525</v>
      </c>
      <c r="M547">
        <v>0</v>
      </c>
      <c r="N547">
        <v>0.00033695482098938443</v>
      </c>
      <c r="O547">
        <v>0</v>
      </c>
      <c r="P547">
        <v>0.00016847741049469221</v>
      </c>
      <c r="Q547">
        <v>0</v>
      </c>
      <c r="R547">
        <v>0.011709180029381108</v>
      </c>
      <c r="S547">
        <v>0.085586524531303637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0.012804283197596607</v>
      </c>
      <c r="AB547">
        <v>0</v>
      </c>
      <c r="AC547">
        <v>0</v>
      </c>
      <c r="AD547">
        <v>8.4238705247346107E-05</v>
      </c>
      <c r="AE547">
        <v>0.02249173430104141</v>
      </c>
      <c r="AF547">
        <v>0</v>
      </c>
      <c r="AG547">
        <v>0.00075814834722611488</v>
      </c>
      <c r="AH547">
        <v>0</v>
      </c>
      <c r="AI547">
        <v>0</v>
      </c>
      <c r="AJ547">
        <v>0.0075814834722611486</v>
      </c>
      <c r="AK547">
        <v>0.0018532515154416141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0.00025271611574203829</v>
      </c>
      <c r="AT547">
        <v>0</v>
      </c>
      <c r="AU547" t="s">
        <v>111</v>
      </c>
      <c r="BJ547" t="str">
        <f t="shared" si="16"/>
        <v>lcv</v>
      </c>
      <c r="BK547" t="str">
        <f t="shared" si="17"/>
        <v>nga</v>
      </c>
    </row>
    <row r="548" spans="1:63" ht="14.5">
      <c r="A548" t="s">
        <v>118</v>
      </c>
      <c r="B548" t="s">
        <v>62</v>
      </c>
      <c r="C548" t="s">
        <v>58</v>
      </c>
      <c r="D548" t="s">
        <v>111</v>
      </c>
      <c r="E548" t="s">
        <v>111</v>
      </c>
      <c r="F548" t="s">
        <v>111</v>
      </c>
      <c r="G548" t="s">
        <v>78</v>
      </c>
      <c r="H548" t="s">
        <v>111</v>
      </c>
      <c r="I548" t="s">
        <v>111</v>
      </c>
      <c r="J548" t="s">
        <v>111</v>
      </c>
      <c r="K548" t="s">
        <v>111</v>
      </c>
      <c r="L548">
        <v>0.0021059676311836525</v>
      </c>
      <c r="M548">
        <v>0</v>
      </c>
      <c r="N548">
        <v>0.00033695482098938443</v>
      </c>
      <c r="O548">
        <v>0</v>
      </c>
      <c r="P548">
        <v>0.00016847741049469221</v>
      </c>
      <c r="Q548">
        <v>0</v>
      </c>
      <c r="R548">
        <v>0.011709180029381108</v>
      </c>
      <c r="S548">
        <v>0.085586524531303637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0.012804283197596607</v>
      </c>
      <c r="AB548">
        <v>0</v>
      </c>
      <c r="AC548">
        <v>0</v>
      </c>
      <c r="AD548">
        <v>8.4238705247346107E-05</v>
      </c>
      <c r="AE548">
        <v>0.02249173430104141</v>
      </c>
      <c r="AF548">
        <v>0</v>
      </c>
      <c r="AG548">
        <v>0.00075814834722611488</v>
      </c>
      <c r="AH548">
        <v>0</v>
      </c>
      <c r="AI548">
        <v>0</v>
      </c>
      <c r="AJ548">
        <v>0.0075814834722611486</v>
      </c>
      <c r="AK548">
        <v>0.0018532515154416141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0.00025271611574203829</v>
      </c>
      <c r="AT548">
        <v>0</v>
      </c>
      <c r="AU548" t="s">
        <v>111</v>
      </c>
      <c r="BJ548" t="str">
        <f t="shared" si="16"/>
        <v>lcv</v>
      </c>
      <c r="BK548" t="str">
        <f t="shared" si="17"/>
        <v>nga</v>
      </c>
    </row>
    <row r="549" spans="1:63" ht="14.5">
      <c r="A549" t="s">
        <v>118</v>
      </c>
      <c r="B549" t="s">
        <v>62</v>
      </c>
      <c r="C549" t="s">
        <v>58</v>
      </c>
      <c r="D549" t="s">
        <v>111</v>
      </c>
      <c r="E549" t="s">
        <v>111</v>
      </c>
      <c r="F549" t="s">
        <v>111</v>
      </c>
      <c r="G549" t="s">
        <v>77</v>
      </c>
      <c r="H549" t="s">
        <v>111</v>
      </c>
      <c r="I549" t="s">
        <v>111</v>
      </c>
      <c r="J549" t="s">
        <v>111</v>
      </c>
      <c r="K549" t="s">
        <v>111</v>
      </c>
      <c r="L549">
        <v>0.0021059676311836525</v>
      </c>
      <c r="M549">
        <v>0</v>
      </c>
      <c r="N549">
        <v>0.00033695482098938443</v>
      </c>
      <c r="O549">
        <v>0</v>
      </c>
      <c r="P549">
        <v>0.00016847741049469221</v>
      </c>
      <c r="Q549">
        <v>0</v>
      </c>
      <c r="R549">
        <v>0.011709180029381108</v>
      </c>
      <c r="S549">
        <v>0.085586524531303637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0.012804283197596607</v>
      </c>
      <c r="AB549">
        <v>0</v>
      </c>
      <c r="AC549">
        <v>0</v>
      </c>
      <c r="AD549">
        <v>8.4238705247346107E-05</v>
      </c>
      <c r="AE549">
        <v>0.02249173430104141</v>
      </c>
      <c r="AF549">
        <v>0</v>
      </c>
      <c r="AG549">
        <v>0.00075814834722611488</v>
      </c>
      <c r="AH549">
        <v>0</v>
      </c>
      <c r="AI549">
        <v>0</v>
      </c>
      <c r="AJ549">
        <v>0.0075814834722611486</v>
      </c>
      <c r="AK549">
        <v>0.0018532515154416141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0.00025271611574203829</v>
      </c>
      <c r="AT549">
        <v>0</v>
      </c>
      <c r="AU549" t="s">
        <v>111</v>
      </c>
      <c r="BJ549" t="str">
        <f t="shared" si="16"/>
        <v>lcv</v>
      </c>
      <c r="BK549" t="str">
        <f t="shared" si="17"/>
        <v>nga</v>
      </c>
    </row>
    <row r="550" spans="1:63" ht="14.5">
      <c r="A550" t="s">
        <v>118</v>
      </c>
      <c r="B550" t="s">
        <v>62</v>
      </c>
      <c r="C550" t="s">
        <v>58</v>
      </c>
      <c r="D550" t="s">
        <v>111</v>
      </c>
      <c r="E550" t="s">
        <v>111</v>
      </c>
      <c r="F550" t="s">
        <v>111</v>
      </c>
      <c r="G550" t="s">
        <v>76</v>
      </c>
      <c r="H550" t="s">
        <v>111</v>
      </c>
      <c r="I550" t="s">
        <v>111</v>
      </c>
      <c r="J550" t="s">
        <v>111</v>
      </c>
      <c r="K550" t="s">
        <v>111</v>
      </c>
      <c r="L550">
        <v>0.0021059676311836525</v>
      </c>
      <c r="M550">
        <v>0</v>
      </c>
      <c r="N550">
        <v>0.00033695482098938443</v>
      </c>
      <c r="O550">
        <v>0</v>
      </c>
      <c r="P550">
        <v>0.00016847741049469221</v>
      </c>
      <c r="Q550">
        <v>0</v>
      </c>
      <c r="R550">
        <v>0.011709180029381108</v>
      </c>
      <c r="S550">
        <v>0.085586524531303637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0.012804283197596607</v>
      </c>
      <c r="AB550">
        <v>0</v>
      </c>
      <c r="AC550">
        <v>0</v>
      </c>
      <c r="AD550">
        <v>8.4238705247346107E-05</v>
      </c>
      <c r="AE550">
        <v>0.02249173430104141</v>
      </c>
      <c r="AF550">
        <v>0</v>
      </c>
      <c r="AG550">
        <v>0.00075814834722611488</v>
      </c>
      <c r="AH550">
        <v>0</v>
      </c>
      <c r="AI550">
        <v>0</v>
      </c>
      <c r="AJ550">
        <v>0.0075814834722611486</v>
      </c>
      <c r="AK550">
        <v>0.0018532515154416141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0.00025271611574203829</v>
      </c>
      <c r="AT550">
        <v>0</v>
      </c>
      <c r="AU550" t="s">
        <v>111</v>
      </c>
      <c r="BJ550" t="str">
        <f t="shared" si="16"/>
        <v>lcv</v>
      </c>
      <c r="BK550" t="str">
        <f t="shared" si="17"/>
        <v>nga</v>
      </c>
    </row>
    <row r="551" spans="1:63" ht="14.5">
      <c r="A551" t="s">
        <v>118</v>
      </c>
      <c r="B551" t="s">
        <v>62</v>
      </c>
      <c r="C551" t="s">
        <v>58</v>
      </c>
      <c r="D551" t="s">
        <v>111</v>
      </c>
      <c r="E551" t="s">
        <v>111</v>
      </c>
      <c r="F551" t="s">
        <v>111</v>
      </c>
      <c r="G551" t="s">
        <v>75</v>
      </c>
      <c r="H551" t="s">
        <v>111</v>
      </c>
      <c r="I551" t="s">
        <v>111</v>
      </c>
      <c r="J551" t="s">
        <v>111</v>
      </c>
      <c r="K551" t="s">
        <v>111</v>
      </c>
      <c r="L551">
        <v>0.0021059676311836525</v>
      </c>
      <c r="M551">
        <v>0</v>
      </c>
      <c r="N551">
        <v>0.00033695482098938443</v>
      </c>
      <c r="O551">
        <v>0</v>
      </c>
      <c r="P551">
        <v>0.00016847741049469221</v>
      </c>
      <c r="Q551">
        <v>0</v>
      </c>
      <c r="R551">
        <v>0.011709180029381108</v>
      </c>
      <c r="S551">
        <v>0.085586524531303637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0.012804283197596607</v>
      </c>
      <c r="AB551">
        <v>0</v>
      </c>
      <c r="AC551">
        <v>0</v>
      </c>
      <c r="AD551">
        <v>8.4238705247346107E-05</v>
      </c>
      <c r="AE551">
        <v>0.02249173430104141</v>
      </c>
      <c r="AF551">
        <v>0</v>
      </c>
      <c r="AG551">
        <v>0.00075814834722611488</v>
      </c>
      <c r="AH551">
        <v>0</v>
      </c>
      <c r="AI551">
        <v>0</v>
      </c>
      <c r="AJ551">
        <v>0.0075814834722611486</v>
      </c>
      <c r="AK551">
        <v>0.0018532515154416141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0.00025271611574203829</v>
      </c>
      <c r="AT551">
        <v>0</v>
      </c>
      <c r="AU551" t="s">
        <v>111</v>
      </c>
      <c r="BJ551" t="str">
        <f t="shared" si="16"/>
        <v>lcv</v>
      </c>
      <c r="BK551" t="str">
        <f t="shared" si="17"/>
        <v>nga</v>
      </c>
    </row>
    <row r="552" spans="1:63" ht="14.5">
      <c r="A552" t="s">
        <v>118</v>
      </c>
      <c r="B552" t="s">
        <v>62</v>
      </c>
      <c r="C552" t="s">
        <v>58</v>
      </c>
      <c r="D552" t="s">
        <v>111</v>
      </c>
      <c r="E552" t="s">
        <v>111</v>
      </c>
      <c r="F552" t="s">
        <v>111</v>
      </c>
      <c r="G552" t="s">
        <v>74</v>
      </c>
      <c r="H552" t="s">
        <v>111</v>
      </c>
      <c r="I552" t="s">
        <v>111</v>
      </c>
      <c r="J552" t="s">
        <v>111</v>
      </c>
      <c r="K552" t="s">
        <v>111</v>
      </c>
      <c r="L552">
        <v>0.0021059676311836525</v>
      </c>
      <c r="M552">
        <v>0</v>
      </c>
      <c r="N552">
        <v>0.00033695482098938443</v>
      </c>
      <c r="O552">
        <v>0</v>
      </c>
      <c r="P552">
        <v>0.00016847741049469221</v>
      </c>
      <c r="Q552">
        <v>0</v>
      </c>
      <c r="R552">
        <v>0.011709180029381108</v>
      </c>
      <c r="S552">
        <v>0.085586524531303637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0.012804283197596607</v>
      </c>
      <c r="AB552">
        <v>0</v>
      </c>
      <c r="AC552">
        <v>0</v>
      </c>
      <c r="AD552">
        <v>8.4238705247346107E-05</v>
      </c>
      <c r="AE552">
        <v>0.02249173430104141</v>
      </c>
      <c r="AF552">
        <v>0</v>
      </c>
      <c r="AG552">
        <v>0.00075814834722611488</v>
      </c>
      <c r="AH552">
        <v>0</v>
      </c>
      <c r="AI552">
        <v>0</v>
      </c>
      <c r="AJ552">
        <v>0.0075814834722611486</v>
      </c>
      <c r="AK552">
        <v>0.0018532515154416141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0.00025271611574203829</v>
      </c>
      <c r="AT552">
        <v>0</v>
      </c>
      <c r="AU552" t="s">
        <v>111</v>
      </c>
      <c r="BJ552" t="str">
        <f t="shared" si="16"/>
        <v>lcv</v>
      </c>
      <c r="BK552" t="str">
        <f t="shared" si="17"/>
        <v>nga</v>
      </c>
    </row>
    <row r="553" spans="1:63" ht="14.5">
      <c r="A553" t="s">
        <v>118</v>
      </c>
      <c r="B553" t="s">
        <v>62</v>
      </c>
      <c r="C553" t="s">
        <v>58</v>
      </c>
      <c r="D553" t="s">
        <v>111</v>
      </c>
      <c r="E553" t="s">
        <v>111</v>
      </c>
      <c r="F553" t="s">
        <v>111</v>
      </c>
      <c r="G553" t="s">
        <v>73</v>
      </c>
      <c r="H553" t="s">
        <v>111</v>
      </c>
      <c r="I553" t="s">
        <v>111</v>
      </c>
      <c r="J553" t="s">
        <v>111</v>
      </c>
      <c r="K553" t="s">
        <v>111</v>
      </c>
      <c r="L553">
        <v>0.0021059676311836525</v>
      </c>
      <c r="M553">
        <v>0</v>
      </c>
      <c r="N553">
        <v>0.00033695482098938443</v>
      </c>
      <c r="O553">
        <v>0</v>
      </c>
      <c r="P553">
        <v>0.00016847741049469221</v>
      </c>
      <c r="Q553">
        <v>0</v>
      </c>
      <c r="R553">
        <v>0.011709180029381108</v>
      </c>
      <c r="S553">
        <v>0.085586524531303637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0.012804283197596607</v>
      </c>
      <c r="AB553">
        <v>0</v>
      </c>
      <c r="AC553">
        <v>0</v>
      </c>
      <c r="AD553">
        <v>8.4238705247346107E-05</v>
      </c>
      <c r="AE553">
        <v>0.02249173430104141</v>
      </c>
      <c r="AF553">
        <v>0</v>
      </c>
      <c r="AG553">
        <v>0.00075814834722611488</v>
      </c>
      <c r="AH553">
        <v>0</v>
      </c>
      <c r="AI553">
        <v>0</v>
      </c>
      <c r="AJ553">
        <v>0.0075814834722611486</v>
      </c>
      <c r="AK553">
        <v>0.0018532515154416141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0.00025271611574203829</v>
      </c>
      <c r="AT553">
        <v>0</v>
      </c>
      <c r="AU553" t="s">
        <v>111</v>
      </c>
      <c r="BJ553" t="str">
        <f t="shared" si="16"/>
        <v>lcv</v>
      </c>
      <c r="BK553" t="str">
        <f t="shared" si="17"/>
        <v>nga</v>
      </c>
    </row>
    <row r="554" spans="1:63" ht="14.5">
      <c r="A554" t="s">
        <v>118</v>
      </c>
      <c r="B554" t="s">
        <v>62</v>
      </c>
      <c r="C554" t="s">
        <v>58</v>
      </c>
      <c r="D554" t="s">
        <v>111</v>
      </c>
      <c r="E554" t="s">
        <v>111</v>
      </c>
      <c r="F554" t="s">
        <v>111</v>
      </c>
      <c r="G554" t="s">
        <v>72</v>
      </c>
      <c r="H554" t="s">
        <v>111</v>
      </c>
      <c r="I554" t="s">
        <v>111</v>
      </c>
      <c r="J554" t="s">
        <v>111</v>
      </c>
      <c r="K554" t="s">
        <v>111</v>
      </c>
      <c r="L554">
        <v>0.0021059676311836525</v>
      </c>
      <c r="M554">
        <v>0</v>
      </c>
      <c r="N554">
        <v>0.00033695482098938443</v>
      </c>
      <c r="O554">
        <v>0</v>
      </c>
      <c r="P554">
        <v>0.00016847741049469221</v>
      </c>
      <c r="Q554">
        <v>0</v>
      </c>
      <c r="R554">
        <v>0.011709180029381108</v>
      </c>
      <c r="S554">
        <v>0.085586524531303637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0.012804283197596607</v>
      </c>
      <c r="AB554">
        <v>0</v>
      </c>
      <c r="AC554">
        <v>0</v>
      </c>
      <c r="AD554">
        <v>8.4238705247346107E-05</v>
      </c>
      <c r="AE554">
        <v>0.02249173430104141</v>
      </c>
      <c r="AF554">
        <v>0</v>
      </c>
      <c r="AG554">
        <v>0.00075814834722611488</v>
      </c>
      <c r="AH554">
        <v>0</v>
      </c>
      <c r="AI554">
        <v>0</v>
      </c>
      <c r="AJ554">
        <v>0.0075814834722611486</v>
      </c>
      <c r="AK554">
        <v>0.0018532515154416141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0.00025271611574203829</v>
      </c>
      <c r="AT554">
        <v>0</v>
      </c>
      <c r="AU554" t="s">
        <v>111</v>
      </c>
      <c r="BJ554" t="str">
        <f t="shared" si="16"/>
        <v>lcv</v>
      </c>
      <c r="BK554" t="str">
        <f t="shared" si="17"/>
        <v>nga</v>
      </c>
    </row>
    <row r="555" spans="1:63" ht="14.5">
      <c r="A555" t="s">
        <v>118</v>
      </c>
      <c r="B555" t="s">
        <v>62</v>
      </c>
      <c r="C555" t="s">
        <v>58</v>
      </c>
      <c r="D555" t="s">
        <v>111</v>
      </c>
      <c r="E555" t="s">
        <v>111</v>
      </c>
      <c r="F555" t="s">
        <v>111</v>
      </c>
      <c r="G555" t="s">
        <v>71</v>
      </c>
      <c r="H555" t="s">
        <v>111</v>
      </c>
      <c r="I555" t="s">
        <v>111</v>
      </c>
      <c r="J555" t="s">
        <v>111</v>
      </c>
      <c r="K555" t="s">
        <v>111</v>
      </c>
      <c r="L555">
        <v>0.0021059676311836525</v>
      </c>
      <c r="M555">
        <v>0</v>
      </c>
      <c r="N555">
        <v>0.00033695482098938443</v>
      </c>
      <c r="O555">
        <v>0</v>
      </c>
      <c r="P555">
        <v>0.00016847741049469221</v>
      </c>
      <c r="Q555">
        <v>0</v>
      </c>
      <c r="R555">
        <v>0.011709180029381108</v>
      </c>
      <c r="S555">
        <v>0.085586524531303637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0.012804283197596607</v>
      </c>
      <c r="AB555">
        <v>0</v>
      </c>
      <c r="AC555">
        <v>0</v>
      </c>
      <c r="AD555">
        <v>8.4238705247346107E-05</v>
      </c>
      <c r="AE555">
        <v>0.02249173430104141</v>
      </c>
      <c r="AF555">
        <v>0</v>
      </c>
      <c r="AG555">
        <v>0.00075814834722611488</v>
      </c>
      <c r="AH555">
        <v>0</v>
      </c>
      <c r="AI555">
        <v>0</v>
      </c>
      <c r="AJ555">
        <v>0.0075814834722611486</v>
      </c>
      <c r="AK555">
        <v>0.0018532515154416141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0.00025271611574203829</v>
      </c>
      <c r="AT555">
        <v>0</v>
      </c>
      <c r="AU555" t="s">
        <v>111</v>
      </c>
      <c r="BJ555" t="str">
        <f t="shared" si="16"/>
        <v>lcv</v>
      </c>
      <c r="BK555" t="str">
        <f t="shared" si="17"/>
        <v>nga</v>
      </c>
    </row>
    <row r="556" spans="1:63" ht="14.5">
      <c r="A556" t="s">
        <v>118</v>
      </c>
      <c r="B556" t="s">
        <v>62</v>
      </c>
      <c r="C556" t="s">
        <v>58</v>
      </c>
      <c r="D556" t="s">
        <v>111</v>
      </c>
      <c r="E556" t="s">
        <v>111</v>
      </c>
      <c r="F556" t="s">
        <v>111</v>
      </c>
      <c r="G556" t="s">
        <v>70</v>
      </c>
      <c r="H556" t="s">
        <v>111</v>
      </c>
      <c r="I556" t="s">
        <v>111</v>
      </c>
      <c r="J556" t="s">
        <v>111</v>
      </c>
      <c r="K556" t="s">
        <v>111</v>
      </c>
      <c r="L556">
        <v>0.0021059676311836525</v>
      </c>
      <c r="M556">
        <v>0</v>
      </c>
      <c r="N556">
        <v>0.00033695482098938443</v>
      </c>
      <c r="O556">
        <v>0</v>
      </c>
      <c r="P556">
        <v>0.00016847741049469221</v>
      </c>
      <c r="Q556">
        <v>0</v>
      </c>
      <c r="R556">
        <v>0.011709180029381108</v>
      </c>
      <c r="S556">
        <v>0.085586524531303637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0.012804283197596607</v>
      </c>
      <c r="AB556">
        <v>0</v>
      </c>
      <c r="AC556">
        <v>0</v>
      </c>
      <c r="AD556">
        <v>8.4238705247346107E-05</v>
      </c>
      <c r="AE556">
        <v>0.02249173430104141</v>
      </c>
      <c r="AF556">
        <v>0</v>
      </c>
      <c r="AG556">
        <v>0.00075814834722611488</v>
      </c>
      <c r="AH556">
        <v>0</v>
      </c>
      <c r="AI556">
        <v>0</v>
      </c>
      <c r="AJ556">
        <v>0.0075814834722611486</v>
      </c>
      <c r="AK556">
        <v>0.0018532515154416141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0.00025271611574203829</v>
      </c>
      <c r="AT556">
        <v>0</v>
      </c>
      <c r="AU556" t="s">
        <v>111</v>
      </c>
      <c r="BJ556" t="str">
        <f t="shared" si="16"/>
        <v>lcv</v>
      </c>
      <c r="BK556" t="str">
        <f t="shared" si="17"/>
        <v>nga</v>
      </c>
    </row>
    <row r="557" spans="1:63" ht="14.5">
      <c r="A557" t="s">
        <v>118</v>
      </c>
      <c r="B557" t="s">
        <v>62</v>
      </c>
      <c r="C557" t="s">
        <v>58</v>
      </c>
      <c r="D557" t="s">
        <v>111</v>
      </c>
      <c r="E557" t="s">
        <v>111</v>
      </c>
      <c r="F557" t="s">
        <v>111</v>
      </c>
      <c r="G557" t="s">
        <v>69</v>
      </c>
      <c r="H557" t="s">
        <v>111</v>
      </c>
      <c r="I557" t="s">
        <v>111</v>
      </c>
      <c r="J557" t="s">
        <v>111</v>
      </c>
      <c r="K557" t="s">
        <v>111</v>
      </c>
      <c r="L557">
        <v>0.0021059676311836525</v>
      </c>
      <c r="M557">
        <v>0</v>
      </c>
      <c r="N557">
        <v>0.00033695482098938443</v>
      </c>
      <c r="O557">
        <v>0</v>
      </c>
      <c r="P557">
        <v>0.00016847741049469221</v>
      </c>
      <c r="Q557">
        <v>0</v>
      </c>
      <c r="R557">
        <v>0.011709180029381108</v>
      </c>
      <c r="S557">
        <v>0.085586524531303637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0.012804283197596607</v>
      </c>
      <c r="AB557">
        <v>0</v>
      </c>
      <c r="AC557">
        <v>0</v>
      </c>
      <c r="AD557">
        <v>8.4238705247346107E-05</v>
      </c>
      <c r="AE557">
        <v>0.02249173430104141</v>
      </c>
      <c r="AF557">
        <v>0</v>
      </c>
      <c r="AG557">
        <v>0.00075814834722611488</v>
      </c>
      <c r="AH557">
        <v>0</v>
      </c>
      <c r="AI557">
        <v>0</v>
      </c>
      <c r="AJ557">
        <v>0.0075814834722611486</v>
      </c>
      <c r="AK557">
        <v>0.0018532515154416141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0.00025271611574203829</v>
      </c>
      <c r="AT557">
        <v>0</v>
      </c>
      <c r="AU557" t="s">
        <v>111</v>
      </c>
      <c r="BJ557" t="str">
        <f t="shared" si="16"/>
        <v>lcv</v>
      </c>
      <c r="BK557" t="str">
        <f t="shared" si="17"/>
        <v>nga</v>
      </c>
    </row>
    <row r="558" spans="1:63" ht="14.5">
      <c r="A558" t="s">
        <v>118</v>
      </c>
      <c r="B558" t="s">
        <v>62</v>
      </c>
      <c r="C558" t="s">
        <v>58</v>
      </c>
      <c r="D558" t="s">
        <v>111</v>
      </c>
      <c r="E558" t="s">
        <v>111</v>
      </c>
      <c r="F558" t="s">
        <v>111</v>
      </c>
      <c r="G558" t="s">
        <v>68</v>
      </c>
      <c r="H558" t="s">
        <v>111</v>
      </c>
      <c r="I558" t="s">
        <v>111</v>
      </c>
      <c r="J558" t="s">
        <v>111</v>
      </c>
      <c r="K558" t="s">
        <v>111</v>
      </c>
      <c r="L558">
        <v>0.0021059676311836525</v>
      </c>
      <c r="M558">
        <v>0</v>
      </c>
      <c r="N558">
        <v>0.00033695482098938443</v>
      </c>
      <c r="O558">
        <v>0</v>
      </c>
      <c r="P558">
        <v>0.00016847741049469221</v>
      </c>
      <c r="Q558">
        <v>0</v>
      </c>
      <c r="R558">
        <v>0.011709180029381108</v>
      </c>
      <c r="S558">
        <v>0.085586524531303637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0.012804283197596607</v>
      </c>
      <c r="AB558">
        <v>0</v>
      </c>
      <c r="AC558">
        <v>0</v>
      </c>
      <c r="AD558">
        <v>8.4238705247346107E-05</v>
      </c>
      <c r="AE558">
        <v>0.02249173430104141</v>
      </c>
      <c r="AF558">
        <v>0</v>
      </c>
      <c r="AG558">
        <v>0.00075814834722611488</v>
      </c>
      <c r="AH558">
        <v>0</v>
      </c>
      <c r="AI558">
        <v>0</v>
      </c>
      <c r="AJ558">
        <v>0.0075814834722611486</v>
      </c>
      <c r="AK558">
        <v>0.0018532515154416141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0.00025271611574203829</v>
      </c>
      <c r="AT558">
        <v>0</v>
      </c>
      <c r="AU558" t="s">
        <v>111</v>
      </c>
      <c r="BJ558" t="str">
        <f t="shared" si="16"/>
        <v>lcv</v>
      </c>
      <c r="BK558" t="str">
        <f t="shared" si="17"/>
        <v>nga</v>
      </c>
    </row>
    <row r="559" spans="1:63" ht="14.5">
      <c r="A559" t="s">
        <v>118</v>
      </c>
      <c r="B559" t="s">
        <v>62</v>
      </c>
      <c r="C559" t="s">
        <v>58</v>
      </c>
      <c r="D559" t="s">
        <v>111</v>
      </c>
      <c r="E559" t="s">
        <v>111</v>
      </c>
      <c r="F559" t="s">
        <v>111</v>
      </c>
      <c r="G559" t="s">
        <v>67</v>
      </c>
      <c r="H559" t="s">
        <v>111</v>
      </c>
      <c r="I559" t="s">
        <v>111</v>
      </c>
      <c r="J559" t="s">
        <v>111</v>
      </c>
      <c r="K559" t="s">
        <v>111</v>
      </c>
      <c r="L559">
        <v>0.0021059676311836525</v>
      </c>
      <c r="M559">
        <v>0</v>
      </c>
      <c r="N559">
        <v>0.00033695482098938443</v>
      </c>
      <c r="O559">
        <v>0</v>
      </c>
      <c r="P559">
        <v>0.00016847741049469221</v>
      </c>
      <c r="Q559">
        <v>0</v>
      </c>
      <c r="R559">
        <v>0.011709180029381108</v>
      </c>
      <c r="S559">
        <v>0.085586524531303637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0.012804283197596607</v>
      </c>
      <c r="AB559">
        <v>0</v>
      </c>
      <c r="AC559">
        <v>0</v>
      </c>
      <c r="AD559">
        <v>8.4238705247346107E-05</v>
      </c>
      <c r="AE559">
        <v>0.02249173430104141</v>
      </c>
      <c r="AF559">
        <v>0</v>
      </c>
      <c r="AG559">
        <v>0.00075814834722611488</v>
      </c>
      <c r="AH559">
        <v>0</v>
      </c>
      <c r="AI559">
        <v>0</v>
      </c>
      <c r="AJ559">
        <v>0.0075814834722611486</v>
      </c>
      <c r="AK559">
        <v>0.0018532515154416141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0.00025271611574203829</v>
      </c>
      <c r="AT559">
        <v>0</v>
      </c>
      <c r="AU559" t="s">
        <v>111</v>
      </c>
      <c r="BJ559" t="str">
        <f t="shared" si="16"/>
        <v>lcv</v>
      </c>
      <c r="BK559" t="str">
        <f t="shared" si="17"/>
        <v>nga</v>
      </c>
    </row>
    <row r="560" spans="1:63" ht="14.5">
      <c r="A560" t="s">
        <v>118</v>
      </c>
      <c r="B560" t="s">
        <v>62</v>
      </c>
      <c r="C560" t="s">
        <v>58</v>
      </c>
      <c r="D560" t="s">
        <v>111</v>
      </c>
      <c r="E560" t="s">
        <v>111</v>
      </c>
      <c r="F560" t="s">
        <v>111</v>
      </c>
      <c r="G560" t="s">
        <v>66</v>
      </c>
      <c r="H560" t="s">
        <v>111</v>
      </c>
      <c r="I560" t="s">
        <v>111</v>
      </c>
      <c r="J560" t="s">
        <v>111</v>
      </c>
      <c r="K560" t="s">
        <v>111</v>
      </c>
      <c r="L560">
        <v>0.0021059676311836525</v>
      </c>
      <c r="M560">
        <v>0</v>
      </c>
      <c r="N560">
        <v>0.00033695482098938443</v>
      </c>
      <c r="O560">
        <v>0</v>
      </c>
      <c r="P560">
        <v>0.00016847741049469221</v>
      </c>
      <c r="Q560">
        <v>0</v>
      </c>
      <c r="R560">
        <v>0.011709180029381108</v>
      </c>
      <c r="S560">
        <v>0.085586524531303637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0.012804283197596607</v>
      </c>
      <c r="AB560">
        <v>0</v>
      </c>
      <c r="AC560">
        <v>0</v>
      </c>
      <c r="AD560">
        <v>8.4238705247346107E-05</v>
      </c>
      <c r="AE560">
        <v>0.02249173430104141</v>
      </c>
      <c r="AF560">
        <v>0</v>
      </c>
      <c r="AG560">
        <v>0.00075814834722611488</v>
      </c>
      <c r="AH560">
        <v>0</v>
      </c>
      <c r="AI560">
        <v>0</v>
      </c>
      <c r="AJ560">
        <v>0.0075814834722611486</v>
      </c>
      <c r="AK560">
        <v>0.0018532515154416141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0.00025271611574203829</v>
      </c>
      <c r="AT560">
        <v>0</v>
      </c>
      <c r="AU560" t="s">
        <v>111</v>
      </c>
      <c r="BJ560" t="str">
        <f t="shared" si="16"/>
        <v>lcv</v>
      </c>
      <c r="BK560" t="str">
        <f t="shared" si="17"/>
        <v>nga</v>
      </c>
    </row>
    <row r="561" spans="1:63" ht="14.5">
      <c r="A561" t="s">
        <v>118</v>
      </c>
      <c r="B561" t="s">
        <v>62</v>
      </c>
      <c r="C561" t="s">
        <v>58</v>
      </c>
      <c r="D561" t="s">
        <v>111</v>
      </c>
      <c r="E561" t="s">
        <v>111</v>
      </c>
      <c r="F561" t="s">
        <v>111</v>
      </c>
      <c r="G561" t="s">
        <v>65</v>
      </c>
      <c r="H561" t="s">
        <v>111</v>
      </c>
      <c r="I561" t="s">
        <v>111</v>
      </c>
      <c r="J561" t="s">
        <v>111</v>
      </c>
      <c r="K561" t="s">
        <v>111</v>
      </c>
      <c r="L561">
        <v>0.0021059676311836525</v>
      </c>
      <c r="M561">
        <v>0</v>
      </c>
      <c r="N561">
        <v>0.00033695482098938443</v>
      </c>
      <c r="O561">
        <v>0</v>
      </c>
      <c r="P561">
        <v>0.00016847741049469221</v>
      </c>
      <c r="Q561">
        <v>0</v>
      </c>
      <c r="R561">
        <v>0.011709180029381108</v>
      </c>
      <c r="S561">
        <v>0.085586524531303637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0.012804283197596607</v>
      </c>
      <c r="AB561">
        <v>0</v>
      </c>
      <c r="AC561">
        <v>0</v>
      </c>
      <c r="AD561">
        <v>8.4238705247346107E-05</v>
      </c>
      <c r="AE561">
        <v>0.02249173430104141</v>
      </c>
      <c r="AF561">
        <v>0</v>
      </c>
      <c r="AG561">
        <v>0.00075814834722611488</v>
      </c>
      <c r="AH561">
        <v>0</v>
      </c>
      <c r="AI561">
        <v>0</v>
      </c>
      <c r="AJ561">
        <v>0.0075814834722611486</v>
      </c>
      <c r="AK561">
        <v>0.0018532515154416141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0.00025271611574203829</v>
      </c>
      <c r="AT561">
        <v>0</v>
      </c>
      <c r="AU561" t="s">
        <v>111</v>
      </c>
      <c r="BJ561" t="str">
        <f t="shared" si="16"/>
        <v>lcv</v>
      </c>
      <c r="BK561" t="str">
        <f t="shared" si="17"/>
        <v>nga</v>
      </c>
    </row>
    <row r="562" spans="1:63" ht="14.5">
      <c r="A562" t="s">
        <v>57</v>
      </c>
      <c r="B562" t="s">
        <v>62</v>
      </c>
      <c r="C562" t="s">
        <v>56</v>
      </c>
      <c r="D562" t="s">
        <v>111</v>
      </c>
      <c r="E562" t="s">
        <v>111</v>
      </c>
      <c r="F562" t="s">
        <v>111</v>
      </c>
      <c r="G562" t="s">
        <v>65</v>
      </c>
      <c r="H562" t="s">
        <v>111</v>
      </c>
      <c r="I562" t="s">
        <v>111</v>
      </c>
      <c r="J562" t="s">
        <v>111</v>
      </c>
      <c r="K562" t="s">
        <v>111</v>
      </c>
      <c r="N562">
        <v>0.0013435999999999999</v>
      </c>
      <c r="O562">
        <v>0.0016000000000000001</v>
      </c>
      <c r="Q562">
        <v>0.014999999999999999</v>
      </c>
      <c r="R562">
        <v>0.00020000000000000001</v>
      </c>
      <c r="S562">
        <v>0.222</v>
      </c>
      <c r="V562">
        <v>0.0089999999999999993</v>
      </c>
      <c r="W562">
        <v>0.014999999999999999</v>
      </c>
      <c r="X562">
        <v>0.00020000000000000001</v>
      </c>
      <c r="Z562">
        <v>0.00040000000000000002</v>
      </c>
      <c r="AA562">
        <v>0.00031199999999999999</v>
      </c>
      <c r="AC562">
        <v>0.0011999999999999999</v>
      </c>
      <c r="AD562">
        <v>0.0044000000000000003</v>
      </c>
      <c r="AE562">
        <v>1.0000000000000001E-05</v>
      </c>
      <c r="AF562">
        <v>0.00050000000000000001</v>
      </c>
      <c r="AG562">
        <v>0.077640000000000001</v>
      </c>
      <c r="AH562">
        <v>0.0120632</v>
      </c>
      <c r="AI562">
        <v>0.00040000000000000002</v>
      </c>
      <c r="AJ562">
        <v>0.00192</v>
      </c>
      <c r="AM562">
        <v>2.0000000000000002E-05</v>
      </c>
      <c r="AN562">
        <v>0.0016999999999999999</v>
      </c>
      <c r="AO562">
        <v>0.0080000000000000002</v>
      </c>
      <c r="AP562">
        <v>0.0016999999999999999</v>
      </c>
      <c r="AQ562">
        <v>0.00020000000000000001</v>
      </c>
      <c r="AR562">
        <v>0.0076</v>
      </c>
      <c r="AU562" t="s">
        <v>111</v>
      </c>
      <c r="BJ562" t="str">
        <f t="shared" si="16"/>
        <v>car</v>
      </c>
      <c r="BK562" t="str">
        <f t="shared" si="17"/>
        <v>120</v>
      </c>
    </row>
    <row r="563" spans="1:63" ht="14.5">
      <c r="A563" t="s">
        <v>57</v>
      </c>
      <c r="B563" t="s">
        <v>62</v>
      </c>
      <c r="C563" t="s">
        <v>56</v>
      </c>
      <c r="D563" t="s">
        <v>111</v>
      </c>
      <c r="E563" t="s">
        <v>111</v>
      </c>
      <c r="F563" t="s">
        <v>111</v>
      </c>
      <c r="G563" t="s">
        <v>55</v>
      </c>
      <c r="H563" t="s">
        <v>111</v>
      </c>
      <c r="I563" t="s">
        <v>111</v>
      </c>
      <c r="J563" t="s">
        <v>111</v>
      </c>
      <c r="K563" t="s">
        <v>111</v>
      </c>
      <c r="N563">
        <v>0.0013799999999999999</v>
      </c>
      <c r="O563">
        <v>0.0051999999999999998</v>
      </c>
      <c r="Q563">
        <v>0.023800000000000002</v>
      </c>
      <c r="R563">
        <v>0.0039490000000000003</v>
      </c>
      <c r="S563">
        <v>0.26600000000000001</v>
      </c>
      <c r="V563">
        <v>0.036999999999999998</v>
      </c>
      <c r="W563">
        <v>0.079600000000000004</v>
      </c>
      <c r="X563">
        <v>0.00040000000000000002</v>
      </c>
      <c r="Z563">
        <v>0.00080000000000000004</v>
      </c>
      <c r="AA563">
        <v>0.001</v>
      </c>
      <c r="AC563">
        <v>0.0064000000000000003</v>
      </c>
      <c r="AD563">
        <v>0.0057999999999999996</v>
      </c>
      <c r="AE563">
        <v>2.0000000000000002E-05</v>
      </c>
      <c r="AF563">
        <v>0.0016000000000000001</v>
      </c>
      <c r="AG563">
        <v>0.075999999999999998</v>
      </c>
      <c r="AH563">
        <v>0.0212</v>
      </c>
      <c r="AI563">
        <v>0.0016000000000000001</v>
      </c>
      <c r="AJ563">
        <v>0.0066</v>
      </c>
      <c r="AM563">
        <v>4.0000000000000003E-05</v>
      </c>
      <c r="AN563">
        <v>0.0066</v>
      </c>
      <c r="AO563">
        <v>0.024400000000000002</v>
      </c>
      <c r="AP563">
        <v>0.0055999999999999999</v>
      </c>
      <c r="AQ563">
        <v>0.00040000000000000002</v>
      </c>
      <c r="AR563">
        <v>0.035200000000000002</v>
      </c>
      <c r="AU563" t="s">
        <v>111</v>
      </c>
      <c r="BJ563" t="str">
        <f t="shared" si="16"/>
        <v>car</v>
      </c>
      <c r="BK563" t="str">
        <f t="shared" si="17"/>
        <v>120</v>
      </c>
    </row>
    <row r="564" spans="1:63" ht="14.5">
      <c r="A564" t="s">
        <v>57</v>
      </c>
      <c r="B564" t="s">
        <v>62</v>
      </c>
      <c r="C564" t="s">
        <v>56</v>
      </c>
      <c r="D564" t="s">
        <v>111</v>
      </c>
      <c r="E564" t="s">
        <v>111</v>
      </c>
      <c r="F564" t="s">
        <v>111</v>
      </c>
      <c r="G564" t="s">
        <v>54</v>
      </c>
      <c r="H564" t="s">
        <v>111</v>
      </c>
      <c r="I564" t="s">
        <v>111</v>
      </c>
      <c r="J564" t="s">
        <v>111</v>
      </c>
      <c r="K564" t="s">
        <v>111</v>
      </c>
      <c r="N564">
        <v>0.0041999999999999997</v>
      </c>
      <c r="O564">
        <v>0.0082000000000000007</v>
      </c>
      <c r="Q564">
        <v>0.0402</v>
      </c>
      <c r="R564">
        <v>0.0064999999999999997</v>
      </c>
      <c r="S564">
        <v>0.68000000000000005</v>
      </c>
      <c r="V564">
        <v>0.063</v>
      </c>
      <c r="W564">
        <v>0.13619999999999999</v>
      </c>
      <c r="X564">
        <v>0.001</v>
      </c>
      <c r="Z564">
        <v>0.0016000000000000001</v>
      </c>
      <c r="AA564">
        <v>0.0032000000000000002</v>
      </c>
      <c r="AC564">
        <v>0.0134</v>
      </c>
      <c r="AD564">
        <v>0.0088000000000000005</v>
      </c>
      <c r="AE564">
        <v>6.0000000000000002E-05</v>
      </c>
      <c r="AF564">
        <v>0.0040000000000000001</v>
      </c>
      <c r="AG564">
        <v>0.1512</v>
      </c>
      <c r="AH564">
        <v>0.027799999999999998</v>
      </c>
      <c r="AI564">
        <v>0.0023999999999999998</v>
      </c>
      <c r="AJ564">
        <v>0.024199999999999999</v>
      </c>
      <c r="AM564">
        <v>8.0000000000000007E-05</v>
      </c>
      <c r="AN564">
        <v>0.0146</v>
      </c>
      <c r="AO564">
        <v>0.038800000000000001</v>
      </c>
      <c r="AP564">
        <v>0.0095999999999999992</v>
      </c>
      <c r="AQ564">
        <v>0.001</v>
      </c>
      <c r="AR564">
        <v>0.038199999999999998</v>
      </c>
      <c r="AU564" t="s">
        <v>111</v>
      </c>
      <c r="BJ564" t="str">
        <f t="shared" si="16"/>
        <v>car</v>
      </c>
      <c r="BK564" t="str">
        <f t="shared" si="17"/>
        <v>120</v>
      </c>
    </row>
    <row r="565" spans="1:63" ht="14.5">
      <c r="A565" t="s">
        <v>57</v>
      </c>
      <c r="B565" t="s">
        <v>62</v>
      </c>
      <c r="C565" t="s">
        <v>56</v>
      </c>
      <c r="D565" t="s">
        <v>111</v>
      </c>
      <c r="E565" t="s">
        <v>111</v>
      </c>
      <c r="F565" t="s">
        <v>111</v>
      </c>
      <c r="G565" t="s">
        <v>53</v>
      </c>
      <c r="H565" t="s">
        <v>111</v>
      </c>
      <c r="I565" t="s">
        <v>111</v>
      </c>
      <c r="J565" t="s">
        <v>111</v>
      </c>
      <c r="K565" t="s">
        <v>111</v>
      </c>
      <c r="N565">
        <v>0.012999999999999999</v>
      </c>
      <c r="O565">
        <v>0.010999999999999999</v>
      </c>
      <c r="Q565">
        <v>0.064000000000000001</v>
      </c>
      <c r="R565">
        <v>0.01</v>
      </c>
      <c r="S565">
        <v>1.24</v>
      </c>
      <c r="V565">
        <v>0.080000000000000002</v>
      </c>
      <c r="W565">
        <v>0.16600000000000001</v>
      </c>
      <c r="X565">
        <v>0.0025999999999999999</v>
      </c>
      <c r="Z565">
        <v>0.0022000000000000001</v>
      </c>
      <c r="AA565">
        <v>0.010200000000000001</v>
      </c>
      <c r="AC565">
        <v>0.021999999999999999</v>
      </c>
      <c r="AD565">
        <v>0.0184</v>
      </c>
      <c r="AE565">
        <v>0.00012</v>
      </c>
      <c r="AF565">
        <v>0.0080000000000000002</v>
      </c>
      <c r="AG565">
        <v>0.2132</v>
      </c>
      <c r="AH565">
        <v>0.027</v>
      </c>
      <c r="AI565">
        <v>0.0047999999999999996</v>
      </c>
      <c r="AJ565">
        <v>0.031399999999999997</v>
      </c>
      <c r="AM565">
        <v>0.00016000000000000001</v>
      </c>
      <c r="AN565">
        <v>0.025999999999999999</v>
      </c>
      <c r="AO565">
        <v>0.052400000000000002</v>
      </c>
      <c r="AP565">
        <v>0.0124</v>
      </c>
      <c r="AQ565">
        <v>0.0070000000000000001</v>
      </c>
      <c r="AR565">
        <v>0.073999999999999996</v>
      </c>
      <c r="AU565" t="s">
        <v>111</v>
      </c>
      <c r="BJ565" t="str">
        <f t="shared" si="16"/>
        <v>car</v>
      </c>
      <c r="BK565" t="str">
        <f t="shared" si="17"/>
        <v>120</v>
      </c>
    </row>
    <row r="566" spans="1:63" ht="14.5">
      <c r="A566" t="s">
        <v>57</v>
      </c>
      <c r="B566" t="s">
        <v>62</v>
      </c>
      <c r="C566" t="s">
        <v>56</v>
      </c>
      <c r="D566" t="s">
        <v>111</v>
      </c>
      <c r="E566" t="s">
        <v>111</v>
      </c>
      <c r="F566" t="s">
        <v>111</v>
      </c>
      <c r="G566" t="s">
        <v>52</v>
      </c>
      <c r="H566" t="s">
        <v>111</v>
      </c>
      <c r="I566" t="s">
        <v>111</v>
      </c>
      <c r="J566" t="s">
        <v>111</v>
      </c>
      <c r="K566" t="s">
        <v>111</v>
      </c>
      <c r="N566">
        <v>0.019599999999999999</v>
      </c>
      <c r="O566">
        <v>0.012999999999999999</v>
      </c>
      <c r="Q566">
        <v>0.080600000000000005</v>
      </c>
      <c r="R566">
        <v>0.0104</v>
      </c>
      <c r="S566">
        <v>1.6200000000000001</v>
      </c>
      <c r="V566">
        <v>0.094</v>
      </c>
      <c r="W566">
        <v>0.14000000000000001</v>
      </c>
      <c r="X566">
        <v>0.0033999999999999998</v>
      </c>
      <c r="Z566">
        <v>0.00248</v>
      </c>
      <c r="AA566">
        <v>0.016454</v>
      </c>
      <c r="AC566">
        <v>0.027199999999999998</v>
      </c>
      <c r="AD566">
        <v>0.028060000000000002</v>
      </c>
      <c r="AE566">
        <v>0.000184</v>
      </c>
      <c r="AF566">
        <v>0.012999999999999999</v>
      </c>
      <c r="AG566">
        <v>0.31524000000000002</v>
      </c>
      <c r="AH566">
        <v>0.021999999999999999</v>
      </c>
      <c r="AI566">
        <v>0.0060200000000000002</v>
      </c>
      <c r="AJ566">
        <v>0.034860000000000002</v>
      </c>
      <c r="AM566">
        <v>0.00021599999999999999</v>
      </c>
      <c r="AN566">
        <v>0.036999999999999998</v>
      </c>
      <c r="AO566">
        <v>0.059799999999999999</v>
      </c>
      <c r="AP566">
        <v>0.0152</v>
      </c>
      <c r="AQ566">
        <v>0.01374</v>
      </c>
      <c r="AR566">
        <v>0.089999999999999997</v>
      </c>
      <c r="AU566" t="s">
        <v>111</v>
      </c>
      <c r="BJ566" t="str">
        <f t="shared" si="16"/>
        <v>car</v>
      </c>
      <c r="BK566" t="str">
        <f t="shared" si="17"/>
        <v>120</v>
      </c>
    </row>
    <row r="567" spans="1:63" ht="14.5">
      <c r="A567" t="s">
        <v>57</v>
      </c>
      <c r="B567" t="s">
        <v>62</v>
      </c>
      <c r="C567" t="s">
        <v>56</v>
      </c>
      <c r="D567" t="s">
        <v>111</v>
      </c>
      <c r="E567" t="s">
        <v>111</v>
      </c>
      <c r="F567" t="s">
        <v>111</v>
      </c>
      <c r="G567" t="s">
        <v>51</v>
      </c>
      <c r="H567" t="s">
        <v>111</v>
      </c>
      <c r="I567" t="s">
        <v>111</v>
      </c>
      <c r="J567" t="s">
        <v>111</v>
      </c>
      <c r="K567" t="s">
        <v>111</v>
      </c>
      <c r="N567">
        <v>0.018200000000000001</v>
      </c>
      <c r="O567">
        <v>0</v>
      </c>
      <c r="Q567">
        <v>0.0264332</v>
      </c>
      <c r="R567">
        <v>0.025000000000000001</v>
      </c>
      <c r="S567">
        <v>2.2400000000000002</v>
      </c>
      <c r="V567">
        <v>0.058228599999999998</v>
      </c>
      <c r="W567">
        <v>0.076121800000000003</v>
      </c>
      <c r="X567">
        <v>0</v>
      </c>
      <c r="Z567">
        <v>0</v>
      </c>
      <c r="AA567">
        <v>0</v>
      </c>
      <c r="AC567">
        <v>0.012996600000000001</v>
      </c>
      <c r="AD567">
        <v>0</v>
      </c>
      <c r="AE567">
        <v>0</v>
      </c>
      <c r="AF567">
        <v>0</v>
      </c>
      <c r="AG567">
        <v>0.26000000000000001</v>
      </c>
      <c r="AH567">
        <v>0.022881800000000001</v>
      </c>
      <c r="AI567">
        <v>0</v>
      </c>
      <c r="AJ567">
        <v>0</v>
      </c>
      <c r="AM567">
        <v>0</v>
      </c>
      <c r="AN567">
        <v>0</v>
      </c>
      <c r="AO567">
        <v>0.018866399999999998</v>
      </c>
      <c r="AP567">
        <v>0</v>
      </c>
      <c r="AQ567">
        <v>0</v>
      </c>
      <c r="AR567">
        <v>0.076394000000000004</v>
      </c>
      <c r="AU567" t="s">
        <v>111</v>
      </c>
      <c r="BJ567" t="str">
        <f t="shared" si="16"/>
        <v>car</v>
      </c>
      <c r="BK567" t="str">
        <f t="shared" si="17"/>
        <v>120</v>
      </c>
    </row>
    <row r="568" spans="1:63" ht="14.5">
      <c r="A568" t="s">
        <v>57</v>
      </c>
      <c r="B568" t="s">
        <v>62</v>
      </c>
      <c r="C568" t="s">
        <v>50</v>
      </c>
      <c r="D568" t="s">
        <v>111</v>
      </c>
      <c r="E568" t="s">
        <v>111</v>
      </c>
      <c r="F568" t="s">
        <v>111</v>
      </c>
      <c r="G568" t="s">
        <v>65</v>
      </c>
      <c r="H568" t="s">
        <v>111</v>
      </c>
      <c r="I568" t="s">
        <v>111</v>
      </c>
      <c r="J568" t="s">
        <v>111</v>
      </c>
      <c r="K568" t="s">
        <v>111</v>
      </c>
      <c r="N568">
        <v>0.0013435999999999999</v>
      </c>
      <c r="O568">
        <v>0.0016000000000000001</v>
      </c>
      <c r="Q568">
        <v>0.014999999999999999</v>
      </c>
      <c r="R568">
        <v>0.00020000000000000001</v>
      </c>
      <c r="S568">
        <v>0.222</v>
      </c>
      <c r="V568">
        <v>0.0089999999999999993</v>
      </c>
      <c r="W568">
        <v>0.014999999999999999</v>
      </c>
      <c r="X568">
        <v>0.00020000000000000001</v>
      </c>
      <c r="Z568">
        <v>0.00040000000000000002</v>
      </c>
      <c r="AA568">
        <v>0.00031199999999999999</v>
      </c>
      <c r="AC568">
        <v>0.0011999999999999999</v>
      </c>
      <c r="AD568">
        <v>0.0044000000000000003</v>
      </c>
      <c r="AE568">
        <v>1.0000000000000001E-05</v>
      </c>
      <c r="AF568">
        <v>0.00050000000000000001</v>
      </c>
      <c r="AG568">
        <v>0.077640000000000001</v>
      </c>
      <c r="AH568">
        <v>0.0120632</v>
      </c>
      <c r="AI568">
        <v>0.00040000000000000002</v>
      </c>
      <c r="AJ568">
        <v>0.00192</v>
      </c>
      <c r="AM568">
        <v>2.0000000000000002E-05</v>
      </c>
      <c r="AN568">
        <v>0.0016999999999999999</v>
      </c>
      <c r="AO568">
        <v>0.0080000000000000002</v>
      </c>
      <c r="AP568">
        <v>0.0016999999999999999</v>
      </c>
      <c r="AQ568">
        <v>0.00020000000000000001</v>
      </c>
      <c r="AR568">
        <v>0.0076</v>
      </c>
      <c r="AU568" t="s">
        <v>111</v>
      </c>
      <c r="BJ568" t="str">
        <f t="shared" si="16"/>
        <v>car</v>
      </c>
      <c r="BK568" t="str">
        <f t="shared" si="17"/>
        <v>160</v>
      </c>
    </row>
    <row r="569" spans="1:63" ht="14.5">
      <c r="A569" t="s">
        <v>57</v>
      </c>
      <c r="B569" t="s">
        <v>62</v>
      </c>
      <c r="C569" t="s">
        <v>50</v>
      </c>
      <c r="D569" t="s">
        <v>111</v>
      </c>
      <c r="E569" t="s">
        <v>111</v>
      </c>
      <c r="F569" t="s">
        <v>111</v>
      </c>
      <c r="G569" t="s">
        <v>55</v>
      </c>
      <c r="H569" t="s">
        <v>111</v>
      </c>
      <c r="I569" t="s">
        <v>111</v>
      </c>
      <c r="J569" t="s">
        <v>111</v>
      </c>
      <c r="K569" t="s">
        <v>111</v>
      </c>
      <c r="N569">
        <v>0.0013799999999999999</v>
      </c>
      <c r="O569">
        <v>0.0051999999999999998</v>
      </c>
      <c r="Q569">
        <v>0.023800000000000002</v>
      </c>
      <c r="R569">
        <v>0.0039490000000000003</v>
      </c>
      <c r="S569">
        <v>0.26600000000000001</v>
      </c>
      <c r="V569">
        <v>0.036999999999999998</v>
      </c>
      <c r="W569">
        <v>0.079600000000000004</v>
      </c>
      <c r="X569">
        <v>0.00040000000000000002</v>
      </c>
      <c r="Z569">
        <v>0.00080000000000000004</v>
      </c>
      <c r="AA569">
        <v>0.001</v>
      </c>
      <c r="AC569">
        <v>0.0064000000000000003</v>
      </c>
      <c r="AD569">
        <v>0.0057999999999999996</v>
      </c>
      <c r="AE569">
        <v>2.0000000000000002E-05</v>
      </c>
      <c r="AF569">
        <v>0.0016000000000000001</v>
      </c>
      <c r="AG569">
        <v>0.075999999999999998</v>
      </c>
      <c r="AH569">
        <v>0.0212</v>
      </c>
      <c r="AI569">
        <v>0.0016000000000000001</v>
      </c>
      <c r="AJ569">
        <v>0.0066</v>
      </c>
      <c r="AM569">
        <v>4.0000000000000003E-05</v>
      </c>
      <c r="AN569">
        <v>0.0066</v>
      </c>
      <c r="AO569">
        <v>0.024400000000000002</v>
      </c>
      <c r="AP569">
        <v>0.0055999999999999999</v>
      </c>
      <c r="AQ569">
        <v>0.00040000000000000002</v>
      </c>
      <c r="AR569">
        <v>0.035200000000000002</v>
      </c>
      <c r="AU569" t="s">
        <v>111</v>
      </c>
      <c r="BJ569" t="str">
        <f t="shared" si="16"/>
        <v>car</v>
      </c>
      <c r="BK569" t="str">
        <f t="shared" si="17"/>
        <v>160</v>
      </c>
    </row>
    <row r="570" spans="1:63" ht="14.5">
      <c r="A570" t="s">
        <v>57</v>
      </c>
      <c r="B570" t="s">
        <v>62</v>
      </c>
      <c r="C570" t="s">
        <v>50</v>
      </c>
      <c r="D570" t="s">
        <v>111</v>
      </c>
      <c r="E570" t="s">
        <v>111</v>
      </c>
      <c r="F570" t="s">
        <v>111</v>
      </c>
      <c r="G570" t="s">
        <v>54</v>
      </c>
      <c r="H570" t="s">
        <v>111</v>
      </c>
      <c r="I570" t="s">
        <v>111</v>
      </c>
      <c r="J570" t="s">
        <v>111</v>
      </c>
      <c r="K570" t="s">
        <v>111</v>
      </c>
      <c r="N570">
        <v>0.0041999999999999997</v>
      </c>
      <c r="O570">
        <v>0.0082000000000000007</v>
      </c>
      <c r="Q570">
        <v>0.0402</v>
      </c>
      <c r="R570">
        <v>0.0064999999999999997</v>
      </c>
      <c r="S570">
        <v>0.68000000000000005</v>
      </c>
      <c r="V570">
        <v>0.063</v>
      </c>
      <c r="W570">
        <v>0.13619999999999999</v>
      </c>
      <c r="X570">
        <v>0.001</v>
      </c>
      <c r="Z570">
        <v>0.0016000000000000001</v>
      </c>
      <c r="AA570">
        <v>0.0032000000000000002</v>
      </c>
      <c r="AC570">
        <v>0.0134</v>
      </c>
      <c r="AD570">
        <v>0.0088000000000000005</v>
      </c>
      <c r="AE570">
        <v>6.0000000000000002E-05</v>
      </c>
      <c r="AF570">
        <v>0.0040000000000000001</v>
      </c>
      <c r="AG570">
        <v>0.1512</v>
      </c>
      <c r="AH570">
        <v>0.027799999999999998</v>
      </c>
      <c r="AI570">
        <v>0.0023999999999999998</v>
      </c>
      <c r="AJ570">
        <v>0.024199999999999999</v>
      </c>
      <c r="AM570">
        <v>8.0000000000000007E-05</v>
      </c>
      <c r="AN570">
        <v>0.0146</v>
      </c>
      <c r="AO570">
        <v>0.038800000000000001</v>
      </c>
      <c r="AP570">
        <v>0.0095999999999999992</v>
      </c>
      <c r="AQ570">
        <v>0.001</v>
      </c>
      <c r="AR570">
        <v>0.038199999999999998</v>
      </c>
      <c r="AU570" t="s">
        <v>111</v>
      </c>
      <c r="BJ570" t="str">
        <f t="shared" si="16"/>
        <v>car</v>
      </c>
      <c r="BK570" t="str">
        <f t="shared" si="17"/>
        <v>160</v>
      </c>
    </row>
    <row r="571" spans="1:63" ht="14.5">
      <c r="A571" t="s">
        <v>57</v>
      </c>
      <c r="B571" t="s">
        <v>62</v>
      </c>
      <c r="C571" t="s">
        <v>50</v>
      </c>
      <c r="D571" t="s">
        <v>111</v>
      </c>
      <c r="E571" t="s">
        <v>111</v>
      </c>
      <c r="F571" t="s">
        <v>111</v>
      </c>
      <c r="G571" t="s">
        <v>53</v>
      </c>
      <c r="H571" t="s">
        <v>111</v>
      </c>
      <c r="I571" t="s">
        <v>111</v>
      </c>
      <c r="J571" t="s">
        <v>111</v>
      </c>
      <c r="K571" t="s">
        <v>111</v>
      </c>
      <c r="N571">
        <v>0.012999999999999999</v>
      </c>
      <c r="O571">
        <v>0.010999999999999999</v>
      </c>
      <c r="Q571">
        <v>0.064000000000000001</v>
      </c>
      <c r="R571">
        <v>0.01</v>
      </c>
      <c r="S571">
        <v>1.24</v>
      </c>
      <c r="V571">
        <v>0.080000000000000002</v>
      </c>
      <c r="W571">
        <v>0.16600000000000001</v>
      </c>
      <c r="X571">
        <v>0.0025999999999999999</v>
      </c>
      <c r="Z571">
        <v>0.0022000000000000001</v>
      </c>
      <c r="AA571">
        <v>0.010200000000000001</v>
      </c>
      <c r="AC571">
        <v>0.021999999999999999</v>
      </c>
      <c r="AD571">
        <v>0.0184</v>
      </c>
      <c r="AE571">
        <v>0.00012</v>
      </c>
      <c r="AF571">
        <v>0.0080000000000000002</v>
      </c>
      <c r="AG571">
        <v>0.2132</v>
      </c>
      <c r="AH571">
        <v>0.027</v>
      </c>
      <c r="AI571">
        <v>0.0047999999999999996</v>
      </c>
      <c r="AJ571">
        <v>0.031399999999999997</v>
      </c>
      <c r="AM571">
        <v>0.00016000000000000001</v>
      </c>
      <c r="AN571">
        <v>0.025999999999999999</v>
      </c>
      <c r="AO571">
        <v>0.052400000000000002</v>
      </c>
      <c r="AP571">
        <v>0.0124</v>
      </c>
      <c r="AQ571">
        <v>0.0070000000000000001</v>
      </c>
      <c r="AR571">
        <v>0.073999999999999996</v>
      </c>
      <c r="AU571" t="s">
        <v>111</v>
      </c>
      <c r="BJ571" t="str">
        <f t="shared" si="16"/>
        <v>car</v>
      </c>
      <c r="BK571" t="str">
        <f t="shared" si="17"/>
        <v>160</v>
      </c>
    </row>
    <row r="572" spans="1:63" ht="14.5">
      <c r="A572" t="s">
        <v>57</v>
      </c>
      <c r="B572" t="s">
        <v>62</v>
      </c>
      <c r="C572" t="s">
        <v>50</v>
      </c>
      <c r="D572" t="s">
        <v>111</v>
      </c>
      <c r="E572" t="s">
        <v>111</v>
      </c>
      <c r="F572" t="s">
        <v>111</v>
      </c>
      <c r="G572" t="s">
        <v>52</v>
      </c>
      <c r="H572" t="s">
        <v>111</v>
      </c>
      <c r="I572" t="s">
        <v>111</v>
      </c>
      <c r="J572" t="s">
        <v>111</v>
      </c>
      <c r="K572" t="s">
        <v>111</v>
      </c>
      <c r="N572">
        <v>0.019599999999999999</v>
      </c>
      <c r="O572">
        <v>0.012999999999999999</v>
      </c>
      <c r="Q572">
        <v>0.080600000000000005</v>
      </c>
      <c r="R572">
        <v>0.0104</v>
      </c>
      <c r="S572">
        <v>1.6200000000000001</v>
      </c>
      <c r="V572">
        <v>0.094</v>
      </c>
      <c r="W572">
        <v>0.14000000000000001</v>
      </c>
      <c r="X572">
        <v>0.0033999999999999998</v>
      </c>
      <c r="Z572">
        <v>0.00248</v>
      </c>
      <c r="AA572">
        <v>0.016454</v>
      </c>
      <c r="AC572">
        <v>0.027199999999999998</v>
      </c>
      <c r="AD572">
        <v>0.028060000000000002</v>
      </c>
      <c r="AE572">
        <v>0.000184</v>
      </c>
      <c r="AF572">
        <v>0.012999999999999999</v>
      </c>
      <c r="AG572">
        <v>0.31524000000000002</v>
      </c>
      <c r="AH572">
        <v>0.021999999999999999</v>
      </c>
      <c r="AI572">
        <v>0.0060200000000000002</v>
      </c>
      <c r="AJ572">
        <v>0.034860000000000002</v>
      </c>
      <c r="AM572">
        <v>0.00021599999999999999</v>
      </c>
      <c r="AN572">
        <v>0.036999999999999998</v>
      </c>
      <c r="AO572">
        <v>0.059799999999999999</v>
      </c>
      <c r="AP572">
        <v>0.0152</v>
      </c>
      <c r="AQ572">
        <v>0.01374</v>
      </c>
      <c r="AR572">
        <v>0.089999999999999997</v>
      </c>
      <c r="AU572" t="s">
        <v>111</v>
      </c>
      <c r="BJ572" t="str">
        <f t="shared" si="16"/>
        <v>car</v>
      </c>
      <c r="BK572" t="str">
        <f t="shared" si="17"/>
        <v>160</v>
      </c>
    </row>
    <row r="573" spans="1:63" ht="14.5">
      <c r="A573" t="s">
        <v>57</v>
      </c>
      <c r="B573" t="s">
        <v>62</v>
      </c>
      <c r="C573" t="s">
        <v>50</v>
      </c>
      <c r="D573" t="s">
        <v>111</v>
      </c>
      <c r="E573" t="s">
        <v>111</v>
      </c>
      <c r="F573" t="s">
        <v>111</v>
      </c>
      <c r="G573" t="s">
        <v>51</v>
      </c>
      <c r="H573" t="s">
        <v>111</v>
      </c>
      <c r="I573" t="s">
        <v>111</v>
      </c>
      <c r="J573" t="s">
        <v>111</v>
      </c>
      <c r="K573" t="s">
        <v>111</v>
      </c>
      <c r="N573">
        <v>0.018200000000000001</v>
      </c>
      <c r="O573">
        <v>0</v>
      </c>
      <c r="Q573">
        <v>0.0264332</v>
      </c>
      <c r="R573">
        <v>0.025000000000000001</v>
      </c>
      <c r="S573">
        <v>2.2400000000000002</v>
      </c>
      <c r="V573">
        <v>0.058228599999999998</v>
      </c>
      <c r="W573">
        <v>0.076121800000000003</v>
      </c>
      <c r="X573">
        <v>0</v>
      </c>
      <c r="Z573">
        <v>0</v>
      </c>
      <c r="AA573">
        <v>0</v>
      </c>
      <c r="AC573">
        <v>0.012996600000000001</v>
      </c>
      <c r="AD573">
        <v>0</v>
      </c>
      <c r="AE573">
        <v>0</v>
      </c>
      <c r="AF573">
        <v>0</v>
      </c>
      <c r="AG573">
        <v>0.26000000000000001</v>
      </c>
      <c r="AH573">
        <v>0.022881800000000001</v>
      </c>
      <c r="AI573">
        <v>0</v>
      </c>
      <c r="AJ573">
        <v>0</v>
      </c>
      <c r="AM573">
        <v>0</v>
      </c>
      <c r="AN573">
        <v>0</v>
      </c>
      <c r="AO573">
        <v>0.018866399999999998</v>
      </c>
      <c r="AP573">
        <v>0</v>
      </c>
      <c r="AQ573">
        <v>0</v>
      </c>
      <c r="AR573">
        <v>0.076394000000000004</v>
      </c>
      <c r="AU573" t="s">
        <v>111</v>
      </c>
      <c r="BJ573" t="str">
        <f t="shared" si="16"/>
        <v>car</v>
      </c>
      <c r="BK573" t="str">
        <f t="shared" si="17"/>
        <v>160</v>
      </c>
    </row>
    <row r="574" spans="1:63" ht="14.5">
      <c r="A574" t="s">
        <v>57</v>
      </c>
      <c r="B574" t="s">
        <v>62</v>
      </c>
      <c r="C574" t="s">
        <v>49</v>
      </c>
      <c r="D574" t="s">
        <v>111</v>
      </c>
      <c r="E574" t="s">
        <v>111</v>
      </c>
      <c r="F574" t="s">
        <v>111</v>
      </c>
      <c r="G574" t="s">
        <v>65</v>
      </c>
      <c r="H574" t="s">
        <v>111</v>
      </c>
      <c r="I574" t="s">
        <v>111</v>
      </c>
      <c r="J574" t="s">
        <v>111</v>
      </c>
      <c r="K574" t="s">
        <v>111</v>
      </c>
      <c r="N574">
        <v>0.0013435999999999999</v>
      </c>
      <c r="O574">
        <v>0.0016000000000000001</v>
      </c>
      <c r="Q574">
        <v>0.014999999999999999</v>
      </c>
      <c r="R574">
        <v>0.00020000000000000001</v>
      </c>
      <c r="S574">
        <v>0.222</v>
      </c>
      <c r="V574">
        <v>0.0089999999999999993</v>
      </c>
      <c r="W574">
        <v>0.014999999999999999</v>
      </c>
      <c r="X574">
        <v>0.00020000000000000001</v>
      </c>
      <c r="Z574">
        <v>0.00040000000000000002</v>
      </c>
      <c r="AA574">
        <v>0.00031199999999999999</v>
      </c>
      <c r="AC574">
        <v>0.0011999999999999999</v>
      </c>
      <c r="AD574">
        <v>0.0044000000000000003</v>
      </c>
      <c r="AE574">
        <v>1.0000000000000001E-05</v>
      </c>
      <c r="AF574">
        <v>0.00050000000000000001</v>
      </c>
      <c r="AG574">
        <v>0.077640000000000001</v>
      </c>
      <c r="AH574">
        <v>0.0120632</v>
      </c>
      <c r="AI574">
        <v>0.00040000000000000002</v>
      </c>
      <c r="AJ574">
        <v>0.00192</v>
      </c>
      <c r="AM574">
        <v>2.0000000000000002E-05</v>
      </c>
      <c r="AN574">
        <v>0.0016999999999999999</v>
      </c>
      <c r="AO574">
        <v>0.0080000000000000002</v>
      </c>
      <c r="AP574">
        <v>0.0016999999999999999</v>
      </c>
      <c r="AQ574">
        <v>0.00020000000000000001</v>
      </c>
      <c r="AR574">
        <v>0.0076</v>
      </c>
      <c r="AU574" t="s">
        <v>111</v>
      </c>
      <c r="BJ574" t="str">
        <f t="shared" si="16"/>
        <v>car</v>
      </c>
      <c r="BK574" t="str">
        <f t="shared" si="17"/>
        <v>200</v>
      </c>
    </row>
    <row r="575" spans="1:63" ht="14.5">
      <c r="A575" t="s">
        <v>57</v>
      </c>
      <c r="B575" t="s">
        <v>62</v>
      </c>
      <c r="C575" t="s">
        <v>49</v>
      </c>
      <c r="D575" t="s">
        <v>111</v>
      </c>
      <c r="E575" t="s">
        <v>111</v>
      </c>
      <c r="F575" t="s">
        <v>111</v>
      </c>
      <c r="G575" t="s">
        <v>55</v>
      </c>
      <c r="H575" t="s">
        <v>111</v>
      </c>
      <c r="I575" t="s">
        <v>111</v>
      </c>
      <c r="J575" t="s">
        <v>111</v>
      </c>
      <c r="K575" t="s">
        <v>111</v>
      </c>
      <c r="N575">
        <v>0.0013799999999999999</v>
      </c>
      <c r="O575">
        <v>0.0051999999999999998</v>
      </c>
      <c r="Q575">
        <v>0.023800000000000002</v>
      </c>
      <c r="R575">
        <v>0.0039490000000000003</v>
      </c>
      <c r="S575">
        <v>0.26600000000000001</v>
      </c>
      <c r="V575">
        <v>0.036999999999999998</v>
      </c>
      <c r="W575">
        <v>0.079600000000000004</v>
      </c>
      <c r="X575">
        <v>0.00040000000000000002</v>
      </c>
      <c r="Z575">
        <v>0.00080000000000000004</v>
      </c>
      <c r="AA575">
        <v>0.001</v>
      </c>
      <c r="AC575">
        <v>0.0064000000000000003</v>
      </c>
      <c r="AD575">
        <v>0.0057999999999999996</v>
      </c>
      <c r="AE575">
        <v>2.0000000000000002E-05</v>
      </c>
      <c r="AF575">
        <v>0.0016000000000000001</v>
      </c>
      <c r="AG575">
        <v>0.075999999999999998</v>
      </c>
      <c r="AH575">
        <v>0.0212</v>
      </c>
      <c r="AI575">
        <v>0.0016000000000000001</v>
      </c>
      <c r="AJ575">
        <v>0.0066</v>
      </c>
      <c r="AM575">
        <v>4.0000000000000003E-05</v>
      </c>
      <c r="AN575">
        <v>0.0066</v>
      </c>
      <c r="AO575">
        <v>0.024400000000000002</v>
      </c>
      <c r="AP575">
        <v>0.0055999999999999999</v>
      </c>
      <c r="AQ575">
        <v>0.00040000000000000002</v>
      </c>
      <c r="AR575">
        <v>0.035200000000000002</v>
      </c>
      <c r="AU575" t="s">
        <v>111</v>
      </c>
      <c r="BJ575" t="str">
        <f t="shared" si="16"/>
        <v>car</v>
      </c>
      <c r="BK575" t="str">
        <f t="shared" si="17"/>
        <v>200</v>
      </c>
    </row>
    <row r="576" spans="1:63" ht="14.5">
      <c r="A576" t="s">
        <v>57</v>
      </c>
      <c r="B576" t="s">
        <v>62</v>
      </c>
      <c r="C576" t="s">
        <v>49</v>
      </c>
      <c r="D576" t="s">
        <v>111</v>
      </c>
      <c r="E576" t="s">
        <v>111</v>
      </c>
      <c r="F576" t="s">
        <v>111</v>
      </c>
      <c r="G576" t="s">
        <v>54</v>
      </c>
      <c r="H576" t="s">
        <v>111</v>
      </c>
      <c r="I576" t="s">
        <v>111</v>
      </c>
      <c r="J576" t="s">
        <v>111</v>
      </c>
      <c r="K576" t="s">
        <v>111</v>
      </c>
      <c r="N576">
        <v>0.0041999999999999997</v>
      </c>
      <c r="O576">
        <v>0.0082000000000000007</v>
      </c>
      <c r="Q576">
        <v>0.0402</v>
      </c>
      <c r="R576">
        <v>0.0064999999999999997</v>
      </c>
      <c r="S576">
        <v>0.68000000000000005</v>
      </c>
      <c r="V576">
        <v>0.063</v>
      </c>
      <c r="W576">
        <v>0.13619999999999999</v>
      </c>
      <c r="X576">
        <v>0.001</v>
      </c>
      <c r="Z576">
        <v>0.0016000000000000001</v>
      </c>
      <c r="AA576">
        <v>0.0032000000000000002</v>
      </c>
      <c r="AC576">
        <v>0.0134</v>
      </c>
      <c r="AD576">
        <v>0.0088000000000000005</v>
      </c>
      <c r="AE576">
        <v>6.0000000000000002E-05</v>
      </c>
      <c r="AF576">
        <v>0.0040000000000000001</v>
      </c>
      <c r="AG576">
        <v>0.1512</v>
      </c>
      <c r="AH576">
        <v>0.027799999999999998</v>
      </c>
      <c r="AI576">
        <v>0.0023999999999999998</v>
      </c>
      <c r="AJ576">
        <v>0.024199999999999999</v>
      </c>
      <c r="AM576">
        <v>8.0000000000000007E-05</v>
      </c>
      <c r="AN576">
        <v>0.0146</v>
      </c>
      <c r="AO576">
        <v>0.038800000000000001</v>
      </c>
      <c r="AP576">
        <v>0.0095999999999999992</v>
      </c>
      <c r="AQ576">
        <v>0.001</v>
      </c>
      <c r="AR576">
        <v>0.038199999999999998</v>
      </c>
      <c r="AU576" t="s">
        <v>111</v>
      </c>
      <c r="BJ576" t="str">
        <f t="shared" si="16"/>
        <v>car</v>
      </c>
      <c r="BK576" t="str">
        <f t="shared" si="17"/>
        <v>200</v>
      </c>
    </row>
    <row r="577" spans="1:63" ht="14.5">
      <c r="A577" t="s">
        <v>57</v>
      </c>
      <c r="B577" t="s">
        <v>62</v>
      </c>
      <c r="C577" t="s">
        <v>49</v>
      </c>
      <c r="D577" t="s">
        <v>111</v>
      </c>
      <c r="E577" t="s">
        <v>111</v>
      </c>
      <c r="F577" t="s">
        <v>111</v>
      </c>
      <c r="G577" t="s">
        <v>53</v>
      </c>
      <c r="H577" t="s">
        <v>111</v>
      </c>
      <c r="I577" t="s">
        <v>111</v>
      </c>
      <c r="J577" t="s">
        <v>111</v>
      </c>
      <c r="K577" t="s">
        <v>111</v>
      </c>
      <c r="N577">
        <v>0.012999999999999999</v>
      </c>
      <c r="O577">
        <v>0.010999999999999999</v>
      </c>
      <c r="Q577">
        <v>0.064000000000000001</v>
      </c>
      <c r="R577">
        <v>0.01</v>
      </c>
      <c r="S577">
        <v>1.24</v>
      </c>
      <c r="V577">
        <v>0.080000000000000002</v>
      </c>
      <c r="W577">
        <v>0.16600000000000001</v>
      </c>
      <c r="X577">
        <v>0.0025999999999999999</v>
      </c>
      <c r="Z577">
        <v>0.0022000000000000001</v>
      </c>
      <c r="AA577">
        <v>0.010200000000000001</v>
      </c>
      <c r="AC577">
        <v>0.021999999999999999</v>
      </c>
      <c r="AD577">
        <v>0.0184</v>
      </c>
      <c r="AE577">
        <v>0.00012</v>
      </c>
      <c r="AF577">
        <v>0.0080000000000000002</v>
      </c>
      <c r="AG577">
        <v>0.2132</v>
      </c>
      <c r="AH577">
        <v>0.027</v>
      </c>
      <c r="AI577">
        <v>0.0047999999999999996</v>
      </c>
      <c r="AJ577">
        <v>0.031399999999999997</v>
      </c>
      <c r="AM577">
        <v>0.00016000000000000001</v>
      </c>
      <c r="AN577">
        <v>0.025999999999999999</v>
      </c>
      <c r="AO577">
        <v>0.052400000000000002</v>
      </c>
      <c r="AP577">
        <v>0.0124</v>
      </c>
      <c r="AQ577">
        <v>0.0070000000000000001</v>
      </c>
      <c r="AR577">
        <v>0.073999999999999996</v>
      </c>
      <c r="AU577" t="s">
        <v>111</v>
      </c>
      <c r="BJ577" t="str">
        <f t="shared" si="16"/>
        <v>car</v>
      </c>
      <c r="BK577" t="str">
        <f t="shared" si="17"/>
        <v>200</v>
      </c>
    </row>
    <row r="578" spans="1:63" ht="14.5">
      <c r="A578" t="s">
        <v>57</v>
      </c>
      <c r="B578" t="s">
        <v>62</v>
      </c>
      <c r="C578" t="s">
        <v>49</v>
      </c>
      <c r="D578" t="s">
        <v>111</v>
      </c>
      <c r="E578" t="s">
        <v>111</v>
      </c>
      <c r="F578" t="s">
        <v>111</v>
      </c>
      <c r="G578" t="s">
        <v>52</v>
      </c>
      <c r="H578" t="s">
        <v>111</v>
      </c>
      <c r="I578" t="s">
        <v>111</v>
      </c>
      <c r="J578" t="s">
        <v>111</v>
      </c>
      <c r="K578" t="s">
        <v>111</v>
      </c>
      <c r="N578">
        <v>0.019599999999999999</v>
      </c>
      <c r="O578">
        <v>0.012999999999999999</v>
      </c>
      <c r="Q578">
        <v>0.080600000000000005</v>
      </c>
      <c r="R578">
        <v>0.0104</v>
      </c>
      <c r="S578">
        <v>1.6200000000000001</v>
      </c>
      <c r="V578">
        <v>0.094</v>
      </c>
      <c r="W578">
        <v>0.14000000000000001</v>
      </c>
      <c r="X578">
        <v>0.0033999999999999998</v>
      </c>
      <c r="Z578">
        <v>0.00248</v>
      </c>
      <c r="AA578">
        <v>0.016454</v>
      </c>
      <c r="AC578">
        <v>0.027199999999999998</v>
      </c>
      <c r="AD578">
        <v>0.028060000000000002</v>
      </c>
      <c r="AE578">
        <v>0.000184</v>
      </c>
      <c r="AF578">
        <v>0.012999999999999999</v>
      </c>
      <c r="AG578">
        <v>0.31524000000000002</v>
      </c>
      <c r="AH578">
        <v>0.021999999999999999</v>
      </c>
      <c r="AI578">
        <v>0.0060200000000000002</v>
      </c>
      <c r="AJ578">
        <v>0.034860000000000002</v>
      </c>
      <c r="AM578">
        <v>0.00021599999999999999</v>
      </c>
      <c r="AN578">
        <v>0.036999999999999998</v>
      </c>
      <c r="AO578">
        <v>0.059799999999999999</v>
      </c>
      <c r="AP578">
        <v>0.0152</v>
      </c>
      <c r="AQ578">
        <v>0.01374</v>
      </c>
      <c r="AR578">
        <v>0.089999999999999997</v>
      </c>
      <c r="AU578" t="s">
        <v>111</v>
      </c>
      <c r="BJ578" t="str">
        <f t="shared" si="16"/>
        <v>car</v>
      </c>
      <c r="BK578" t="str">
        <f t="shared" si="17"/>
        <v>200</v>
      </c>
    </row>
    <row r="579" spans="1:63" ht="14.5">
      <c r="A579" t="s">
        <v>57</v>
      </c>
      <c r="B579" t="s">
        <v>62</v>
      </c>
      <c r="C579" t="s">
        <v>49</v>
      </c>
      <c r="D579" t="s">
        <v>111</v>
      </c>
      <c r="E579" t="s">
        <v>111</v>
      </c>
      <c r="F579" t="s">
        <v>111</v>
      </c>
      <c r="G579" t="s">
        <v>51</v>
      </c>
      <c r="H579" t="s">
        <v>111</v>
      </c>
      <c r="I579" t="s">
        <v>111</v>
      </c>
      <c r="J579" t="s">
        <v>111</v>
      </c>
      <c r="K579" t="s">
        <v>111</v>
      </c>
      <c r="N579">
        <v>0.018200000000000001</v>
      </c>
      <c r="O579">
        <v>0</v>
      </c>
      <c r="Q579">
        <v>0.0264332</v>
      </c>
      <c r="R579">
        <v>0.025000000000000001</v>
      </c>
      <c r="S579">
        <v>2.2400000000000002</v>
      </c>
      <c r="V579">
        <v>0.058228599999999998</v>
      </c>
      <c r="W579">
        <v>0.076121800000000003</v>
      </c>
      <c r="X579">
        <v>0</v>
      </c>
      <c r="Z579">
        <v>0</v>
      </c>
      <c r="AA579">
        <v>0</v>
      </c>
      <c r="AC579">
        <v>0.012996600000000001</v>
      </c>
      <c r="AD579">
        <v>0</v>
      </c>
      <c r="AE579">
        <v>0</v>
      </c>
      <c r="AF579">
        <v>0</v>
      </c>
      <c r="AG579">
        <v>0.26000000000000001</v>
      </c>
      <c r="AH579">
        <v>0.022881800000000001</v>
      </c>
      <c r="AI579">
        <v>0</v>
      </c>
      <c r="AJ579">
        <v>0</v>
      </c>
      <c r="AM579">
        <v>0</v>
      </c>
      <c r="AN579">
        <v>0</v>
      </c>
      <c r="AO579">
        <v>0.018866399999999998</v>
      </c>
      <c r="AP579">
        <v>0</v>
      </c>
      <c r="AQ579">
        <v>0</v>
      </c>
      <c r="AR579">
        <v>0.076394000000000004</v>
      </c>
      <c r="AU579" t="s">
        <v>111</v>
      </c>
      <c r="BJ579" t="str">
        <f t="shared" si="18" ref="BJ579:BJ642">MID(C579,5,3)</f>
        <v>car</v>
      </c>
      <c r="BK579" t="str">
        <f t="shared" si="19" ref="BK579:BK642">RIGHT(C579,3)</f>
        <v>200</v>
      </c>
    </row>
    <row r="580" spans="1:63" ht="14.5">
      <c r="A580" t="s">
        <v>57</v>
      </c>
      <c r="B580" t="s">
        <v>62</v>
      </c>
      <c r="C580" t="s">
        <v>48</v>
      </c>
      <c r="D580" t="s">
        <v>111</v>
      </c>
      <c r="E580" t="s">
        <v>111</v>
      </c>
      <c r="F580" t="s">
        <v>111</v>
      </c>
      <c r="G580" t="s">
        <v>65</v>
      </c>
      <c r="H580" t="s">
        <v>111</v>
      </c>
      <c r="I580" t="s">
        <v>111</v>
      </c>
      <c r="J580" t="s">
        <v>111</v>
      </c>
      <c r="K580" t="s">
        <v>111</v>
      </c>
      <c r="N580">
        <v>0.0013435999999999999</v>
      </c>
      <c r="O580">
        <v>0.0016000000000000001</v>
      </c>
      <c r="Q580">
        <v>0.014999999999999999</v>
      </c>
      <c r="R580">
        <v>0.00020000000000000001</v>
      </c>
      <c r="S580">
        <v>0.222</v>
      </c>
      <c r="V580">
        <v>0.0089999999999999993</v>
      </c>
      <c r="W580">
        <v>0.014999999999999999</v>
      </c>
      <c r="X580">
        <v>0.00020000000000000001</v>
      </c>
      <c r="Z580">
        <v>0.00040000000000000002</v>
      </c>
      <c r="AA580">
        <v>0.00031199999999999999</v>
      </c>
      <c r="AC580">
        <v>0.0011999999999999999</v>
      </c>
      <c r="AD580">
        <v>0.0044000000000000003</v>
      </c>
      <c r="AE580">
        <v>1.0000000000000001E-05</v>
      </c>
      <c r="AF580">
        <v>0.00050000000000000001</v>
      </c>
      <c r="AG580">
        <v>0.077640000000000001</v>
      </c>
      <c r="AH580">
        <v>0.0120632</v>
      </c>
      <c r="AI580">
        <v>0.00040000000000000002</v>
      </c>
      <c r="AJ580">
        <v>0.00192</v>
      </c>
      <c r="AM580">
        <v>2.0000000000000002E-05</v>
      </c>
      <c r="AN580">
        <v>0.0016999999999999999</v>
      </c>
      <c r="AO580">
        <v>0.0080000000000000002</v>
      </c>
      <c r="AP580">
        <v>0.0016999999999999999</v>
      </c>
      <c r="AQ580">
        <v>0.00020000000000000001</v>
      </c>
      <c r="AR580">
        <v>0.0076</v>
      </c>
      <c r="AU580" t="s">
        <v>111</v>
      </c>
      <c r="BJ580" t="str">
        <f t="shared" si="18"/>
        <v>car</v>
      </c>
      <c r="BK580" t="str">
        <f t="shared" si="19"/>
        <v>250</v>
      </c>
    </row>
    <row r="581" spans="1:63" ht="14.5">
      <c r="A581" t="s">
        <v>57</v>
      </c>
      <c r="B581" t="s">
        <v>62</v>
      </c>
      <c r="C581" t="s">
        <v>48</v>
      </c>
      <c r="D581" t="s">
        <v>111</v>
      </c>
      <c r="E581" t="s">
        <v>111</v>
      </c>
      <c r="F581" t="s">
        <v>111</v>
      </c>
      <c r="G581" t="s">
        <v>55</v>
      </c>
      <c r="H581" t="s">
        <v>111</v>
      </c>
      <c r="I581" t="s">
        <v>111</v>
      </c>
      <c r="J581" t="s">
        <v>111</v>
      </c>
      <c r="K581" t="s">
        <v>111</v>
      </c>
      <c r="N581">
        <v>0.0013799999999999999</v>
      </c>
      <c r="O581">
        <v>0.0051999999999999998</v>
      </c>
      <c r="Q581">
        <v>0.023800000000000002</v>
      </c>
      <c r="R581">
        <v>0.0039490000000000003</v>
      </c>
      <c r="S581">
        <v>0.26600000000000001</v>
      </c>
      <c r="V581">
        <v>0.036999999999999998</v>
      </c>
      <c r="W581">
        <v>0.079600000000000004</v>
      </c>
      <c r="X581">
        <v>0.00040000000000000002</v>
      </c>
      <c r="Z581">
        <v>0.00080000000000000004</v>
      </c>
      <c r="AA581">
        <v>0.001</v>
      </c>
      <c r="AC581">
        <v>0.0064000000000000003</v>
      </c>
      <c r="AD581">
        <v>0.0057999999999999996</v>
      </c>
      <c r="AE581">
        <v>2.0000000000000002E-05</v>
      </c>
      <c r="AF581">
        <v>0.0016000000000000001</v>
      </c>
      <c r="AG581">
        <v>0.075999999999999998</v>
      </c>
      <c r="AH581">
        <v>0.0212</v>
      </c>
      <c r="AI581">
        <v>0.0016000000000000001</v>
      </c>
      <c r="AJ581">
        <v>0.0066</v>
      </c>
      <c r="AM581">
        <v>4.0000000000000003E-05</v>
      </c>
      <c r="AN581">
        <v>0.0066</v>
      </c>
      <c r="AO581">
        <v>0.024400000000000002</v>
      </c>
      <c r="AP581">
        <v>0.0055999999999999999</v>
      </c>
      <c r="AQ581">
        <v>0.00040000000000000002</v>
      </c>
      <c r="AR581">
        <v>0.035200000000000002</v>
      </c>
      <c r="AU581" t="s">
        <v>111</v>
      </c>
      <c r="BJ581" t="str">
        <f t="shared" si="18"/>
        <v>car</v>
      </c>
      <c r="BK581" t="str">
        <f t="shared" si="19"/>
        <v>250</v>
      </c>
    </row>
    <row r="582" spans="1:63" ht="14.5">
      <c r="A582" t="s">
        <v>57</v>
      </c>
      <c r="B582" t="s">
        <v>62</v>
      </c>
      <c r="C582" t="s">
        <v>48</v>
      </c>
      <c r="D582" t="s">
        <v>111</v>
      </c>
      <c r="E582" t="s">
        <v>111</v>
      </c>
      <c r="F582" t="s">
        <v>111</v>
      </c>
      <c r="G582" t="s">
        <v>54</v>
      </c>
      <c r="H582" t="s">
        <v>111</v>
      </c>
      <c r="I582" t="s">
        <v>111</v>
      </c>
      <c r="J582" t="s">
        <v>111</v>
      </c>
      <c r="K582" t="s">
        <v>111</v>
      </c>
      <c r="N582">
        <v>0.0041999999999999997</v>
      </c>
      <c r="O582">
        <v>0.0082000000000000007</v>
      </c>
      <c r="Q582">
        <v>0.0402</v>
      </c>
      <c r="R582">
        <v>0.0064999999999999997</v>
      </c>
      <c r="S582">
        <v>0.68000000000000005</v>
      </c>
      <c r="V582">
        <v>0.063</v>
      </c>
      <c r="W582">
        <v>0.13619999999999999</v>
      </c>
      <c r="X582">
        <v>0.001</v>
      </c>
      <c r="Z582">
        <v>0.0016000000000000001</v>
      </c>
      <c r="AA582">
        <v>0.0032000000000000002</v>
      </c>
      <c r="AC582">
        <v>0.0134</v>
      </c>
      <c r="AD582">
        <v>0.0088000000000000005</v>
      </c>
      <c r="AE582">
        <v>6.0000000000000002E-05</v>
      </c>
      <c r="AF582">
        <v>0.0040000000000000001</v>
      </c>
      <c r="AG582">
        <v>0.1512</v>
      </c>
      <c r="AH582">
        <v>0.027799999999999998</v>
      </c>
      <c r="AI582">
        <v>0.0023999999999999998</v>
      </c>
      <c r="AJ582">
        <v>0.024199999999999999</v>
      </c>
      <c r="AM582">
        <v>8.0000000000000007E-05</v>
      </c>
      <c r="AN582">
        <v>0.0146</v>
      </c>
      <c r="AO582">
        <v>0.038800000000000001</v>
      </c>
      <c r="AP582">
        <v>0.0095999999999999992</v>
      </c>
      <c r="AQ582">
        <v>0.001</v>
      </c>
      <c r="AR582">
        <v>0.038199999999999998</v>
      </c>
      <c r="AU582" t="s">
        <v>111</v>
      </c>
      <c r="BJ582" t="str">
        <f t="shared" si="18"/>
        <v>car</v>
      </c>
      <c r="BK582" t="str">
        <f t="shared" si="19"/>
        <v>250</v>
      </c>
    </row>
    <row r="583" spans="1:63" ht="14.5">
      <c r="A583" t="s">
        <v>57</v>
      </c>
      <c r="B583" t="s">
        <v>62</v>
      </c>
      <c r="C583" t="s">
        <v>48</v>
      </c>
      <c r="D583" t="s">
        <v>111</v>
      </c>
      <c r="E583" t="s">
        <v>111</v>
      </c>
      <c r="F583" t="s">
        <v>111</v>
      </c>
      <c r="G583" t="s">
        <v>53</v>
      </c>
      <c r="H583" t="s">
        <v>111</v>
      </c>
      <c r="I583" t="s">
        <v>111</v>
      </c>
      <c r="J583" t="s">
        <v>111</v>
      </c>
      <c r="K583" t="s">
        <v>111</v>
      </c>
      <c r="N583">
        <v>0.012999999999999999</v>
      </c>
      <c r="O583">
        <v>0.010999999999999999</v>
      </c>
      <c r="Q583">
        <v>0.064000000000000001</v>
      </c>
      <c r="R583">
        <v>0.01</v>
      </c>
      <c r="S583">
        <v>1.24</v>
      </c>
      <c r="V583">
        <v>0.080000000000000002</v>
      </c>
      <c r="W583">
        <v>0.16600000000000001</v>
      </c>
      <c r="X583">
        <v>0.0025999999999999999</v>
      </c>
      <c r="Z583">
        <v>0.0022000000000000001</v>
      </c>
      <c r="AA583">
        <v>0.010200000000000001</v>
      </c>
      <c r="AC583">
        <v>0.021999999999999999</v>
      </c>
      <c r="AD583">
        <v>0.0184</v>
      </c>
      <c r="AE583">
        <v>0.00012</v>
      </c>
      <c r="AF583">
        <v>0.0080000000000000002</v>
      </c>
      <c r="AG583">
        <v>0.2132</v>
      </c>
      <c r="AH583">
        <v>0.027</v>
      </c>
      <c r="AI583">
        <v>0.0047999999999999996</v>
      </c>
      <c r="AJ583">
        <v>0.031399999999999997</v>
      </c>
      <c r="AM583">
        <v>0.00016000000000000001</v>
      </c>
      <c r="AN583">
        <v>0.025999999999999999</v>
      </c>
      <c r="AO583">
        <v>0.052400000000000002</v>
      </c>
      <c r="AP583">
        <v>0.0124</v>
      </c>
      <c r="AQ583">
        <v>0.0070000000000000001</v>
      </c>
      <c r="AR583">
        <v>0.073999999999999996</v>
      </c>
      <c r="AU583" t="s">
        <v>111</v>
      </c>
      <c r="BJ583" t="str">
        <f t="shared" si="18"/>
        <v>car</v>
      </c>
      <c r="BK583" t="str">
        <f t="shared" si="19"/>
        <v>250</v>
      </c>
    </row>
    <row r="584" spans="1:63" ht="14.5">
      <c r="A584" t="s">
        <v>57</v>
      </c>
      <c r="B584" t="s">
        <v>62</v>
      </c>
      <c r="C584" t="s">
        <v>48</v>
      </c>
      <c r="D584" t="s">
        <v>111</v>
      </c>
      <c r="E584" t="s">
        <v>111</v>
      </c>
      <c r="F584" t="s">
        <v>111</v>
      </c>
      <c r="G584" t="s">
        <v>52</v>
      </c>
      <c r="H584" t="s">
        <v>111</v>
      </c>
      <c r="I584" t="s">
        <v>111</v>
      </c>
      <c r="J584" t="s">
        <v>111</v>
      </c>
      <c r="K584" t="s">
        <v>111</v>
      </c>
      <c r="N584">
        <v>0.019599999999999999</v>
      </c>
      <c r="O584">
        <v>0.012999999999999999</v>
      </c>
      <c r="Q584">
        <v>0.080600000000000005</v>
      </c>
      <c r="R584">
        <v>0.0104</v>
      </c>
      <c r="S584">
        <v>1.6200000000000001</v>
      </c>
      <c r="V584">
        <v>0.094</v>
      </c>
      <c r="W584">
        <v>0.14000000000000001</v>
      </c>
      <c r="X584">
        <v>0.0033999999999999998</v>
      </c>
      <c r="Z584">
        <v>0.00248</v>
      </c>
      <c r="AA584">
        <v>0.016454</v>
      </c>
      <c r="AC584">
        <v>0.027199999999999998</v>
      </c>
      <c r="AD584">
        <v>0.028060000000000002</v>
      </c>
      <c r="AE584">
        <v>0.000184</v>
      </c>
      <c r="AF584">
        <v>0.012999999999999999</v>
      </c>
      <c r="AG584">
        <v>0.31524000000000002</v>
      </c>
      <c r="AH584">
        <v>0.021999999999999999</v>
      </c>
      <c r="AI584">
        <v>0.0060200000000000002</v>
      </c>
      <c r="AJ584">
        <v>0.034860000000000002</v>
      </c>
      <c r="AM584">
        <v>0.00021599999999999999</v>
      </c>
      <c r="AN584">
        <v>0.036999999999999998</v>
      </c>
      <c r="AO584">
        <v>0.059799999999999999</v>
      </c>
      <c r="AP584">
        <v>0.0152</v>
      </c>
      <c r="AQ584">
        <v>0.01374</v>
      </c>
      <c r="AR584">
        <v>0.089999999999999997</v>
      </c>
      <c r="AU584" t="s">
        <v>111</v>
      </c>
      <c r="BJ584" t="str">
        <f t="shared" si="18"/>
        <v>car</v>
      </c>
      <c r="BK584" t="str">
        <f t="shared" si="19"/>
        <v>250</v>
      </c>
    </row>
    <row r="585" spans="1:63" ht="14.5">
      <c r="A585" t="s">
        <v>57</v>
      </c>
      <c r="B585" t="s">
        <v>62</v>
      </c>
      <c r="C585" t="s">
        <v>48</v>
      </c>
      <c r="D585" t="s">
        <v>111</v>
      </c>
      <c r="E585" t="s">
        <v>111</v>
      </c>
      <c r="F585" t="s">
        <v>111</v>
      </c>
      <c r="G585" t="s">
        <v>51</v>
      </c>
      <c r="H585" t="s">
        <v>111</v>
      </c>
      <c r="I585" t="s">
        <v>111</v>
      </c>
      <c r="J585" t="s">
        <v>111</v>
      </c>
      <c r="K585" t="s">
        <v>111</v>
      </c>
      <c r="N585">
        <v>0.018200000000000001</v>
      </c>
      <c r="O585">
        <v>0</v>
      </c>
      <c r="Q585">
        <v>0.0264332</v>
      </c>
      <c r="R585">
        <v>0.025000000000000001</v>
      </c>
      <c r="S585">
        <v>2.2400000000000002</v>
      </c>
      <c r="V585">
        <v>0.058228599999999998</v>
      </c>
      <c r="W585">
        <v>0.076121800000000003</v>
      </c>
      <c r="X585">
        <v>0</v>
      </c>
      <c r="Z585">
        <v>0</v>
      </c>
      <c r="AA585">
        <v>0</v>
      </c>
      <c r="AC585">
        <v>0.012996600000000001</v>
      </c>
      <c r="AD585">
        <v>0</v>
      </c>
      <c r="AE585">
        <v>0</v>
      </c>
      <c r="AF585">
        <v>0</v>
      </c>
      <c r="AG585">
        <v>0.26000000000000001</v>
      </c>
      <c r="AH585">
        <v>0.022881800000000001</v>
      </c>
      <c r="AI585">
        <v>0</v>
      </c>
      <c r="AJ585">
        <v>0</v>
      </c>
      <c r="AM585">
        <v>0</v>
      </c>
      <c r="AN585">
        <v>0</v>
      </c>
      <c r="AO585">
        <v>0.018866399999999998</v>
      </c>
      <c r="AP585">
        <v>0</v>
      </c>
      <c r="AQ585">
        <v>0</v>
      </c>
      <c r="AR585">
        <v>0.076394000000000004</v>
      </c>
      <c r="AU585" t="s">
        <v>111</v>
      </c>
      <c r="BJ585" t="str">
        <f t="shared" si="18"/>
        <v>car</v>
      </c>
      <c r="BK585" t="str">
        <f t="shared" si="19"/>
        <v>250</v>
      </c>
    </row>
    <row r="586" spans="1:63" ht="14.5">
      <c r="A586" t="s">
        <v>57</v>
      </c>
      <c r="B586" t="s">
        <v>62</v>
      </c>
      <c r="C586" t="s">
        <v>193</v>
      </c>
      <c r="D586" t="s">
        <v>111</v>
      </c>
      <c r="E586" t="s">
        <v>111</v>
      </c>
      <c r="F586" t="s">
        <v>111</v>
      </c>
      <c r="G586" t="s">
        <v>65</v>
      </c>
      <c r="H586" t="s">
        <v>111</v>
      </c>
      <c r="I586" t="s">
        <v>111</v>
      </c>
      <c r="J586" t="s">
        <v>111</v>
      </c>
      <c r="K586" t="s">
        <v>111</v>
      </c>
      <c r="N586">
        <v>0.0013435999999999999</v>
      </c>
      <c r="O586">
        <v>0.0016000000000000001</v>
      </c>
      <c r="Q586">
        <v>0.014999999999999999</v>
      </c>
      <c r="R586">
        <v>0.00020000000000000001</v>
      </c>
      <c r="S586">
        <v>0.222</v>
      </c>
      <c r="V586">
        <v>0.0089999999999999993</v>
      </c>
      <c r="W586">
        <v>0.014999999999999999</v>
      </c>
      <c r="X586">
        <v>0.00020000000000000001</v>
      </c>
      <c r="Z586">
        <v>0.00040000000000000002</v>
      </c>
      <c r="AA586">
        <v>0.00031199999999999999</v>
      </c>
      <c r="AC586">
        <v>0.0011999999999999999</v>
      </c>
      <c r="AD586">
        <v>0.0044000000000000003</v>
      </c>
      <c r="AE586">
        <v>1.0000000000000001E-05</v>
      </c>
      <c r="AF586">
        <v>0.00050000000000000001</v>
      </c>
      <c r="AG586">
        <v>0.077640000000000001</v>
      </c>
      <c r="AH586">
        <v>0.0120632</v>
      </c>
      <c r="AI586">
        <v>0.00040000000000000002</v>
      </c>
      <c r="AJ586">
        <v>0.00192</v>
      </c>
      <c r="AM586">
        <v>2.0000000000000002E-05</v>
      </c>
      <c r="AN586">
        <v>0.0016999999999999999</v>
      </c>
      <c r="AO586">
        <v>0.0080000000000000002</v>
      </c>
      <c r="AP586">
        <v>0.0016999999999999999</v>
      </c>
      <c r="AQ586">
        <v>0.00020000000000000001</v>
      </c>
      <c r="AR586">
        <v>0.0076</v>
      </c>
      <c r="AU586" t="s">
        <v>111</v>
      </c>
      <c r="BJ586" t="str">
        <f t="shared" si="18"/>
        <v>car</v>
      </c>
      <c r="BK586" t="str">
        <f t="shared" si="19"/>
        <v>300</v>
      </c>
    </row>
    <row r="587" spans="1:63" ht="14.5">
      <c r="A587" t="s">
        <v>57</v>
      </c>
      <c r="B587" t="s">
        <v>62</v>
      </c>
      <c r="C587" t="s">
        <v>193</v>
      </c>
      <c r="D587" t="s">
        <v>111</v>
      </c>
      <c r="E587" t="s">
        <v>111</v>
      </c>
      <c r="F587" t="s">
        <v>111</v>
      </c>
      <c r="G587" t="s">
        <v>55</v>
      </c>
      <c r="H587" t="s">
        <v>111</v>
      </c>
      <c r="I587" t="s">
        <v>111</v>
      </c>
      <c r="J587" t="s">
        <v>111</v>
      </c>
      <c r="K587" t="s">
        <v>111</v>
      </c>
      <c r="N587">
        <v>0.0013799999999999999</v>
      </c>
      <c r="O587">
        <v>0.0051999999999999998</v>
      </c>
      <c r="Q587">
        <v>0.023800000000000002</v>
      </c>
      <c r="R587">
        <v>0.0039490000000000003</v>
      </c>
      <c r="S587">
        <v>0.26600000000000001</v>
      </c>
      <c r="V587">
        <v>0.036999999999999998</v>
      </c>
      <c r="W587">
        <v>0.079600000000000004</v>
      </c>
      <c r="X587">
        <v>0.00040000000000000002</v>
      </c>
      <c r="Z587">
        <v>0.00080000000000000004</v>
      </c>
      <c r="AA587">
        <v>0.001</v>
      </c>
      <c r="AC587">
        <v>0.0064000000000000003</v>
      </c>
      <c r="AD587">
        <v>0.0057999999999999996</v>
      </c>
      <c r="AE587">
        <v>2.0000000000000002E-05</v>
      </c>
      <c r="AF587">
        <v>0.0016000000000000001</v>
      </c>
      <c r="AG587">
        <v>0.075999999999999998</v>
      </c>
      <c r="AH587">
        <v>0.0212</v>
      </c>
      <c r="AI587">
        <v>0.0016000000000000001</v>
      </c>
      <c r="AJ587">
        <v>0.0066</v>
      </c>
      <c r="AM587">
        <v>4.0000000000000003E-05</v>
      </c>
      <c r="AN587">
        <v>0.0066</v>
      </c>
      <c r="AO587">
        <v>0.024400000000000002</v>
      </c>
      <c r="AP587">
        <v>0.0055999999999999999</v>
      </c>
      <c r="AQ587">
        <v>0.00040000000000000002</v>
      </c>
      <c r="AR587">
        <v>0.035200000000000002</v>
      </c>
      <c r="AU587" t="s">
        <v>111</v>
      </c>
      <c r="BJ587" t="str">
        <f t="shared" si="18"/>
        <v>car</v>
      </c>
      <c r="BK587" t="str">
        <f t="shared" si="19"/>
        <v>300</v>
      </c>
    </row>
    <row r="588" spans="1:63" ht="14.5">
      <c r="A588" t="s">
        <v>57</v>
      </c>
      <c r="B588" t="s">
        <v>62</v>
      </c>
      <c r="C588" t="s">
        <v>193</v>
      </c>
      <c r="D588" t="s">
        <v>111</v>
      </c>
      <c r="E588" t="s">
        <v>111</v>
      </c>
      <c r="F588" t="s">
        <v>111</v>
      </c>
      <c r="G588" t="s">
        <v>54</v>
      </c>
      <c r="H588" t="s">
        <v>111</v>
      </c>
      <c r="I588" t="s">
        <v>111</v>
      </c>
      <c r="J588" t="s">
        <v>111</v>
      </c>
      <c r="K588" t="s">
        <v>111</v>
      </c>
      <c r="N588">
        <v>0.0041999999999999997</v>
      </c>
      <c r="O588">
        <v>0.0082000000000000007</v>
      </c>
      <c r="Q588">
        <v>0.0402</v>
      </c>
      <c r="R588">
        <v>0.0064999999999999997</v>
      </c>
      <c r="S588">
        <v>0.68000000000000005</v>
      </c>
      <c r="V588">
        <v>0.063</v>
      </c>
      <c r="W588">
        <v>0.13619999999999999</v>
      </c>
      <c r="X588">
        <v>0.001</v>
      </c>
      <c r="Z588">
        <v>0.0016000000000000001</v>
      </c>
      <c r="AA588">
        <v>0.0032000000000000002</v>
      </c>
      <c r="AC588">
        <v>0.0134</v>
      </c>
      <c r="AD588">
        <v>0.0088000000000000005</v>
      </c>
      <c r="AE588">
        <v>6.0000000000000002E-05</v>
      </c>
      <c r="AF588">
        <v>0.0040000000000000001</v>
      </c>
      <c r="AG588">
        <v>0.1512</v>
      </c>
      <c r="AH588">
        <v>0.027799999999999998</v>
      </c>
      <c r="AI588">
        <v>0.0023999999999999998</v>
      </c>
      <c r="AJ588">
        <v>0.024199999999999999</v>
      </c>
      <c r="AM588">
        <v>8.0000000000000007E-05</v>
      </c>
      <c r="AN588">
        <v>0.0146</v>
      </c>
      <c r="AO588">
        <v>0.038800000000000001</v>
      </c>
      <c r="AP588">
        <v>0.0095999999999999992</v>
      </c>
      <c r="AQ588">
        <v>0.001</v>
      </c>
      <c r="AR588">
        <v>0.038199999999999998</v>
      </c>
      <c r="AU588" t="s">
        <v>111</v>
      </c>
      <c r="BJ588" t="str">
        <f t="shared" si="18"/>
        <v>car</v>
      </c>
      <c r="BK588" t="str">
        <f t="shared" si="19"/>
        <v>300</v>
      </c>
    </row>
    <row r="589" spans="1:63" ht="14.5">
      <c r="A589" t="s">
        <v>57</v>
      </c>
      <c r="B589" t="s">
        <v>62</v>
      </c>
      <c r="C589" t="s">
        <v>193</v>
      </c>
      <c r="D589" t="s">
        <v>111</v>
      </c>
      <c r="E589" t="s">
        <v>111</v>
      </c>
      <c r="F589" t="s">
        <v>111</v>
      </c>
      <c r="G589" t="s">
        <v>53</v>
      </c>
      <c r="H589" t="s">
        <v>111</v>
      </c>
      <c r="I589" t="s">
        <v>111</v>
      </c>
      <c r="J589" t="s">
        <v>111</v>
      </c>
      <c r="K589" t="s">
        <v>111</v>
      </c>
      <c r="N589">
        <v>0.012999999999999999</v>
      </c>
      <c r="O589">
        <v>0.010999999999999999</v>
      </c>
      <c r="Q589">
        <v>0.064000000000000001</v>
      </c>
      <c r="R589">
        <v>0.01</v>
      </c>
      <c r="S589">
        <v>1.24</v>
      </c>
      <c r="V589">
        <v>0.080000000000000002</v>
      </c>
      <c r="W589">
        <v>0.16600000000000001</v>
      </c>
      <c r="X589">
        <v>0.0025999999999999999</v>
      </c>
      <c r="Z589">
        <v>0.0022000000000000001</v>
      </c>
      <c r="AA589">
        <v>0.010200000000000001</v>
      </c>
      <c r="AC589">
        <v>0.021999999999999999</v>
      </c>
      <c r="AD589">
        <v>0.0184</v>
      </c>
      <c r="AE589">
        <v>0.00012</v>
      </c>
      <c r="AF589">
        <v>0.0080000000000000002</v>
      </c>
      <c r="AG589">
        <v>0.2132</v>
      </c>
      <c r="AH589">
        <v>0.027</v>
      </c>
      <c r="AI589">
        <v>0.0047999999999999996</v>
      </c>
      <c r="AJ589">
        <v>0.031399999999999997</v>
      </c>
      <c r="AM589">
        <v>0.00016000000000000001</v>
      </c>
      <c r="AN589">
        <v>0.025999999999999999</v>
      </c>
      <c r="AO589">
        <v>0.052400000000000002</v>
      </c>
      <c r="AP589">
        <v>0.0124</v>
      </c>
      <c r="AQ589">
        <v>0.0070000000000000001</v>
      </c>
      <c r="AR589">
        <v>0.073999999999999996</v>
      </c>
      <c r="AU589" t="s">
        <v>111</v>
      </c>
      <c r="BJ589" t="str">
        <f t="shared" si="18"/>
        <v>car</v>
      </c>
      <c r="BK589" t="str">
        <f t="shared" si="19"/>
        <v>300</v>
      </c>
    </row>
    <row r="590" spans="1:63" ht="14.5">
      <c r="A590" t="s">
        <v>57</v>
      </c>
      <c r="B590" t="s">
        <v>62</v>
      </c>
      <c r="C590" t="s">
        <v>193</v>
      </c>
      <c r="D590" t="s">
        <v>111</v>
      </c>
      <c r="E590" t="s">
        <v>111</v>
      </c>
      <c r="F590" t="s">
        <v>111</v>
      </c>
      <c r="G590" t="s">
        <v>52</v>
      </c>
      <c r="H590" t="s">
        <v>111</v>
      </c>
      <c r="I590" t="s">
        <v>111</v>
      </c>
      <c r="J590" t="s">
        <v>111</v>
      </c>
      <c r="K590" t="s">
        <v>111</v>
      </c>
      <c r="N590">
        <v>0.019599999999999999</v>
      </c>
      <c r="O590">
        <v>0.012999999999999999</v>
      </c>
      <c r="Q590">
        <v>0.080600000000000005</v>
      </c>
      <c r="R590">
        <v>0.0104</v>
      </c>
      <c r="S590">
        <v>1.6200000000000001</v>
      </c>
      <c r="V590">
        <v>0.094</v>
      </c>
      <c r="W590">
        <v>0.14000000000000001</v>
      </c>
      <c r="X590">
        <v>0.0033999999999999998</v>
      </c>
      <c r="Z590">
        <v>0.00248</v>
      </c>
      <c r="AA590">
        <v>0.016454</v>
      </c>
      <c r="AC590">
        <v>0.027199999999999998</v>
      </c>
      <c r="AD590">
        <v>0.028060000000000002</v>
      </c>
      <c r="AE590">
        <v>0.000184</v>
      </c>
      <c r="AF590">
        <v>0.012999999999999999</v>
      </c>
      <c r="AG590">
        <v>0.31524000000000002</v>
      </c>
      <c r="AH590">
        <v>0.021999999999999999</v>
      </c>
      <c r="AI590">
        <v>0.0060200000000000002</v>
      </c>
      <c r="AJ590">
        <v>0.034860000000000002</v>
      </c>
      <c r="AM590">
        <v>0.00021599999999999999</v>
      </c>
      <c r="AN590">
        <v>0.036999999999999998</v>
      </c>
      <c r="AO590">
        <v>0.059799999999999999</v>
      </c>
      <c r="AP590">
        <v>0.0152</v>
      </c>
      <c r="AQ590">
        <v>0.01374</v>
      </c>
      <c r="AR590">
        <v>0.089999999999999997</v>
      </c>
      <c r="AU590" t="s">
        <v>111</v>
      </c>
      <c r="BJ590" t="str">
        <f t="shared" si="18"/>
        <v>car</v>
      </c>
      <c r="BK590" t="str">
        <f t="shared" si="19"/>
        <v>300</v>
      </c>
    </row>
    <row r="591" spans="1:63" ht="14.5">
      <c r="A591" t="s">
        <v>57</v>
      </c>
      <c r="B591" t="s">
        <v>62</v>
      </c>
      <c r="C591" t="s">
        <v>193</v>
      </c>
      <c r="D591" t="s">
        <v>111</v>
      </c>
      <c r="E591" t="s">
        <v>111</v>
      </c>
      <c r="F591" t="s">
        <v>111</v>
      </c>
      <c r="G591" t="s">
        <v>51</v>
      </c>
      <c r="H591" t="s">
        <v>111</v>
      </c>
      <c r="I591" t="s">
        <v>111</v>
      </c>
      <c r="J591" t="s">
        <v>111</v>
      </c>
      <c r="K591" t="s">
        <v>111</v>
      </c>
      <c r="N591">
        <v>0.018200000000000001</v>
      </c>
      <c r="O591">
        <v>0</v>
      </c>
      <c r="Q591">
        <v>0.0264332</v>
      </c>
      <c r="R591">
        <v>0.025000000000000001</v>
      </c>
      <c r="S591">
        <v>2.2400000000000002</v>
      </c>
      <c r="V591">
        <v>0.058228599999999998</v>
      </c>
      <c r="W591">
        <v>0.076121800000000003</v>
      </c>
      <c r="X591">
        <v>0</v>
      </c>
      <c r="Z591">
        <v>0</v>
      </c>
      <c r="AA591">
        <v>0</v>
      </c>
      <c r="AC591">
        <v>0.012996600000000001</v>
      </c>
      <c r="AD591">
        <v>0</v>
      </c>
      <c r="AE591">
        <v>0</v>
      </c>
      <c r="AF591">
        <v>0</v>
      </c>
      <c r="AG591">
        <v>0.26000000000000001</v>
      </c>
      <c r="AH591">
        <v>0.022881800000000001</v>
      </c>
      <c r="AI591">
        <v>0</v>
      </c>
      <c r="AJ591">
        <v>0</v>
      </c>
      <c r="AM591">
        <v>0</v>
      </c>
      <c r="AN591">
        <v>0</v>
      </c>
      <c r="AO591">
        <v>0.018866399999999998</v>
      </c>
      <c r="AP591">
        <v>0</v>
      </c>
      <c r="AQ591">
        <v>0</v>
      </c>
      <c r="AR591">
        <v>0.076394000000000004</v>
      </c>
      <c r="AU591" t="s">
        <v>111</v>
      </c>
      <c r="BJ591" t="str">
        <f t="shared" si="18"/>
        <v>car</v>
      </c>
      <c r="BK591" t="str">
        <f t="shared" si="19"/>
        <v>300</v>
      </c>
    </row>
    <row r="592" spans="1:63" ht="14.5">
      <c r="BJ592" t="str">
        <f t="shared" si="18"/>
        <v/>
      </c>
      <c r="BK592" t="str">
        <f t="shared" si="19"/>
        <v/>
      </c>
    </row>
    <row r="593" spans="1:63" ht="14.5">
      <c r="BJ593" t="str">
        <f t="shared" si="18"/>
        <v/>
      </c>
      <c r="BK593" t="str">
        <f t="shared" si="19"/>
        <v/>
      </c>
    </row>
    <row r="594" spans="1:63" ht="14.5">
      <c r="BJ594" t="str">
        <f t="shared" si="18"/>
        <v/>
      </c>
      <c r="BK594" t="str">
        <f t="shared" si="19"/>
        <v/>
      </c>
    </row>
    <row r="595" spans="1:63" ht="14.5">
      <c r="BJ595" t="str">
        <f t="shared" si="18"/>
        <v/>
      </c>
      <c r="BK595" t="str">
        <f t="shared" si="19"/>
        <v/>
      </c>
    </row>
    <row r="596" spans="1:63" ht="14.5">
      <c r="BJ596" t="str">
        <f t="shared" si="18"/>
        <v/>
      </c>
      <c r="BK596" t="str">
        <f t="shared" si="19"/>
        <v/>
      </c>
    </row>
    <row r="597" spans="1:63" ht="14.5">
      <c r="BJ597" t="str">
        <f t="shared" si="18"/>
        <v/>
      </c>
      <c r="BK597" t="str">
        <f t="shared" si="19"/>
        <v/>
      </c>
    </row>
    <row r="598" spans="1:63" ht="14.5">
      <c r="BJ598" t="str">
        <f t="shared" si="18"/>
        <v/>
      </c>
      <c r="BK598" t="str">
        <f t="shared" si="19"/>
        <v/>
      </c>
    </row>
    <row r="599" spans="62:63" ht="14.5">
      <c r="BJ599" t="str">
        <f t="shared" si="18"/>
        <v/>
      </c>
      <c r="BK599" t="str">
        <f t="shared" si="19"/>
        <v/>
      </c>
    </row>
    <row r="600" spans="62:63" ht="14.5">
      <c r="BJ600" t="str">
        <f t="shared" si="18"/>
        <v/>
      </c>
      <c r="BK600" t="str">
        <f t="shared" si="19"/>
        <v/>
      </c>
    </row>
    <row r="601" spans="62:63" ht="14.5">
      <c r="BJ601" t="str">
        <f t="shared" si="18"/>
        <v/>
      </c>
      <c r="BK601" t="str">
        <f t="shared" si="19"/>
        <v/>
      </c>
    </row>
    <row r="602" spans="62:63" ht="14.5">
      <c r="BJ602" t="str">
        <f t="shared" si="18"/>
        <v/>
      </c>
      <c r="BK602" t="str">
        <f t="shared" si="19"/>
        <v/>
      </c>
    </row>
    <row r="603" spans="62:63" ht="14.5">
      <c r="BJ603" t="str">
        <f t="shared" si="18"/>
        <v/>
      </c>
      <c r="BK603" t="str">
        <f t="shared" si="19"/>
        <v/>
      </c>
    </row>
    <row r="604" spans="62:63" ht="14.5">
      <c r="BJ604" t="str">
        <f t="shared" si="18"/>
        <v/>
      </c>
      <c r="BK604" t="str">
        <f t="shared" si="19"/>
        <v/>
      </c>
    </row>
    <row r="605" spans="62:63" ht="14.5">
      <c r="BJ605" t="str">
        <f t="shared" si="18"/>
        <v/>
      </c>
      <c r="BK605" t="str">
        <f t="shared" si="19"/>
        <v/>
      </c>
    </row>
    <row r="606" spans="62:63" ht="14.5">
      <c r="BJ606" t="str">
        <f t="shared" si="18"/>
        <v/>
      </c>
      <c r="BK606" t="str">
        <f t="shared" si="19"/>
        <v/>
      </c>
    </row>
    <row r="607" spans="62:63" ht="14.5">
      <c r="BJ607" t="str">
        <f t="shared" si="18"/>
        <v/>
      </c>
      <c r="BK607" t="str">
        <f t="shared" si="19"/>
        <v/>
      </c>
    </row>
    <row r="608" spans="62:63" ht="14.5">
      <c r="BJ608" t="str">
        <f t="shared" si="18"/>
        <v/>
      </c>
      <c r="BK608" t="str">
        <f t="shared" si="19"/>
        <v/>
      </c>
    </row>
    <row r="609" spans="62:63" ht="14.5">
      <c r="BJ609" t="str">
        <f t="shared" si="18"/>
        <v/>
      </c>
      <c r="BK609" t="str">
        <f t="shared" si="19"/>
        <v/>
      </c>
    </row>
    <row r="610" spans="62:63" ht="14.5">
      <c r="BJ610" t="str">
        <f t="shared" si="18"/>
        <v/>
      </c>
      <c r="BK610" t="str">
        <f t="shared" si="19"/>
        <v/>
      </c>
    </row>
    <row r="611" spans="62:63" ht="14.5">
      <c r="BJ611" t="str">
        <f t="shared" si="18"/>
        <v/>
      </c>
      <c r="BK611" t="str">
        <f t="shared" si="19"/>
        <v/>
      </c>
    </row>
    <row r="612" spans="62:63" ht="14.5">
      <c r="BJ612" t="str">
        <f t="shared" si="18"/>
        <v/>
      </c>
      <c r="BK612" t="str">
        <f t="shared" si="19"/>
        <v/>
      </c>
    </row>
    <row r="613" spans="62:63" ht="14.5">
      <c r="BJ613" t="str">
        <f t="shared" si="18"/>
        <v/>
      </c>
      <c r="BK613" t="str">
        <f t="shared" si="19"/>
        <v/>
      </c>
    </row>
    <row r="614" spans="62:63" ht="14.5">
      <c r="BJ614" t="str">
        <f t="shared" si="18"/>
        <v/>
      </c>
      <c r="BK614" t="str">
        <f t="shared" si="19"/>
        <v/>
      </c>
    </row>
    <row r="615" spans="62:63" ht="14.5">
      <c r="BJ615" t="str">
        <f t="shared" si="18"/>
        <v/>
      </c>
      <c r="BK615" t="str">
        <f t="shared" si="19"/>
        <v/>
      </c>
    </row>
    <row r="616" spans="62:63" ht="14.5">
      <c r="BJ616" t="str">
        <f t="shared" si="18"/>
        <v/>
      </c>
      <c r="BK616" t="str">
        <f t="shared" si="19"/>
        <v/>
      </c>
    </row>
    <row r="617" spans="62:63" ht="14.5">
      <c r="BJ617" t="str">
        <f t="shared" si="18"/>
        <v/>
      </c>
      <c r="BK617" t="str">
        <f t="shared" si="19"/>
        <v/>
      </c>
    </row>
    <row r="618" spans="62:63" ht="14.5">
      <c r="BJ618" t="str">
        <f t="shared" si="18"/>
        <v/>
      </c>
      <c r="BK618" t="str">
        <f t="shared" si="19"/>
        <v/>
      </c>
    </row>
    <row r="619" spans="62:63" ht="14.5">
      <c r="BJ619" t="str">
        <f t="shared" si="18"/>
        <v/>
      </c>
      <c r="BK619" t="str">
        <f t="shared" si="19"/>
        <v/>
      </c>
    </row>
    <row r="620" spans="62:63" ht="14.5">
      <c r="BJ620" t="str">
        <f t="shared" si="18"/>
        <v/>
      </c>
      <c r="BK620" t="str">
        <f t="shared" si="19"/>
        <v/>
      </c>
    </row>
    <row r="621" spans="62:63" ht="14.5">
      <c r="BJ621" t="str">
        <f t="shared" si="18"/>
        <v/>
      </c>
      <c r="BK621" t="str">
        <f t="shared" si="19"/>
        <v/>
      </c>
    </row>
    <row r="622" spans="62:63" ht="14.5">
      <c r="BJ622" t="str">
        <f t="shared" si="18"/>
        <v/>
      </c>
      <c r="BK622" t="str">
        <f t="shared" si="19"/>
        <v/>
      </c>
    </row>
    <row r="623" spans="62:63" ht="14.5">
      <c r="BJ623" t="str">
        <f t="shared" si="18"/>
        <v/>
      </c>
      <c r="BK623" t="str">
        <f t="shared" si="19"/>
        <v/>
      </c>
    </row>
    <row r="624" spans="62:63" ht="14.5">
      <c r="BJ624" t="str">
        <f t="shared" si="18"/>
        <v/>
      </c>
      <c r="BK624" t="str">
        <f t="shared" si="19"/>
        <v/>
      </c>
    </row>
    <row r="625" spans="62:63" ht="14.5">
      <c r="BJ625" t="str">
        <f t="shared" si="18"/>
        <v/>
      </c>
      <c r="BK625" t="str">
        <f t="shared" si="19"/>
        <v/>
      </c>
    </row>
    <row r="626" spans="62:63" ht="14.5">
      <c r="BJ626" t="str">
        <f t="shared" si="18"/>
        <v/>
      </c>
      <c r="BK626" t="str">
        <f t="shared" si="19"/>
        <v/>
      </c>
    </row>
    <row r="627" spans="62:63" ht="14.5">
      <c r="BJ627" t="str">
        <f t="shared" si="18"/>
        <v/>
      </c>
      <c r="BK627" t="str">
        <f t="shared" si="19"/>
        <v/>
      </c>
    </row>
    <row r="628" spans="62:63" ht="14.5">
      <c r="BJ628" t="str">
        <f t="shared" si="18"/>
        <v/>
      </c>
      <c r="BK628" t="str">
        <f t="shared" si="19"/>
        <v/>
      </c>
    </row>
    <row r="629" spans="62:63" ht="14.5">
      <c r="BJ629" t="str">
        <f t="shared" si="18"/>
        <v/>
      </c>
      <c r="BK629" t="str">
        <f t="shared" si="19"/>
        <v/>
      </c>
    </row>
    <row r="630" spans="62:63" ht="14.5">
      <c r="BJ630" t="str">
        <f t="shared" si="18"/>
        <v/>
      </c>
      <c r="BK630" t="str">
        <f t="shared" si="19"/>
        <v/>
      </c>
    </row>
    <row r="631" spans="62:63" ht="14.5">
      <c r="BJ631" t="str">
        <f t="shared" si="18"/>
        <v/>
      </c>
      <c r="BK631" t="str">
        <f t="shared" si="19"/>
        <v/>
      </c>
    </row>
    <row r="632" spans="62:63" ht="14.5">
      <c r="BJ632" t="str">
        <f t="shared" si="18"/>
        <v/>
      </c>
      <c r="BK632" t="str">
        <f t="shared" si="19"/>
        <v/>
      </c>
    </row>
    <row r="633" spans="62:63" ht="14.5">
      <c r="BJ633" t="str">
        <f t="shared" si="18"/>
        <v/>
      </c>
      <c r="BK633" t="str">
        <f t="shared" si="19"/>
        <v/>
      </c>
    </row>
    <row r="634" spans="62:63" ht="14.5">
      <c r="BJ634" t="str">
        <f t="shared" si="18"/>
        <v/>
      </c>
      <c r="BK634" t="str">
        <f t="shared" si="19"/>
        <v/>
      </c>
    </row>
    <row r="635" spans="62:63" ht="14.5">
      <c r="BJ635" t="str">
        <f t="shared" si="18"/>
        <v/>
      </c>
      <c r="BK635" t="str">
        <f t="shared" si="19"/>
        <v/>
      </c>
    </row>
    <row r="636" spans="62:63" ht="14.5">
      <c r="BJ636" t="str">
        <f t="shared" si="18"/>
        <v/>
      </c>
      <c r="BK636" t="str">
        <f t="shared" si="19"/>
        <v/>
      </c>
    </row>
    <row r="637" spans="62:63" ht="14.5">
      <c r="BJ637" t="str">
        <f t="shared" si="18"/>
        <v/>
      </c>
      <c r="BK637" t="str">
        <f t="shared" si="19"/>
        <v/>
      </c>
    </row>
    <row r="638" spans="62:63" ht="14.5">
      <c r="BJ638" t="str">
        <f t="shared" si="18"/>
        <v/>
      </c>
      <c r="BK638" t="str">
        <f t="shared" si="19"/>
        <v/>
      </c>
    </row>
    <row r="639" spans="62:63" ht="14.5">
      <c r="BJ639" t="str">
        <f t="shared" si="18"/>
        <v/>
      </c>
      <c r="BK639" t="str">
        <f t="shared" si="19"/>
        <v/>
      </c>
    </row>
    <row r="640" spans="62:63" ht="14.5">
      <c r="BJ640" t="str">
        <f t="shared" si="18"/>
        <v/>
      </c>
      <c r="BK640" t="str">
        <f t="shared" si="19"/>
        <v/>
      </c>
    </row>
    <row r="641" spans="62:63" ht="14.5">
      <c r="BJ641" t="str">
        <f t="shared" si="18"/>
        <v/>
      </c>
      <c r="BK641" t="str">
        <f t="shared" si="19"/>
        <v/>
      </c>
    </row>
    <row r="642" spans="62:63" ht="14.5">
      <c r="BJ642" t="str">
        <f t="shared" si="18"/>
        <v/>
      </c>
      <c r="BK642" t="str">
        <f t="shared" si="19"/>
        <v/>
      </c>
    </row>
    <row r="643" spans="62:63" ht="14.5">
      <c r="BJ643" t="str">
        <f t="shared" si="20" ref="BJ643:BJ652">MID(C643,5,3)</f>
        <v/>
      </c>
      <c r="BK643" t="str">
        <f t="shared" si="21" ref="BK643:BK652">RIGHT(C643,3)</f>
        <v/>
      </c>
    </row>
    <row r="644" spans="62:63" ht="14.5">
      <c r="BJ644" t="str">
        <f t="shared" si="20"/>
        <v/>
      </c>
      <c r="BK644" t="str">
        <f t="shared" si="21"/>
        <v/>
      </c>
    </row>
    <row r="645" spans="62:63" ht="14.5">
      <c r="BJ645" t="str">
        <f t="shared" si="20"/>
        <v/>
      </c>
      <c r="BK645" t="str">
        <f t="shared" si="21"/>
        <v/>
      </c>
    </row>
    <row r="646" spans="62:63" ht="14.5">
      <c r="BJ646" t="str">
        <f t="shared" si="20"/>
        <v/>
      </c>
      <c r="BK646" t="str">
        <f t="shared" si="21"/>
        <v/>
      </c>
    </row>
    <row r="647" spans="62:63" ht="14.5">
      <c r="BJ647" t="str">
        <f t="shared" si="20"/>
        <v/>
      </c>
      <c r="BK647" t="str">
        <f t="shared" si="21"/>
        <v/>
      </c>
    </row>
    <row r="648" spans="62:63" ht="14.5">
      <c r="BJ648" t="str">
        <f t="shared" si="20"/>
        <v/>
      </c>
      <c r="BK648" t="str">
        <f t="shared" si="21"/>
        <v/>
      </c>
    </row>
    <row r="649" spans="62:63" ht="14.5">
      <c r="BJ649" t="str">
        <f t="shared" si="20"/>
        <v/>
      </c>
      <c r="BK649" t="str">
        <f t="shared" si="21"/>
        <v/>
      </c>
    </row>
    <row r="650" spans="62:63" ht="14.5">
      <c r="BJ650" t="str">
        <f t="shared" si="20"/>
        <v/>
      </c>
      <c r="BK650" t="str">
        <f t="shared" si="21"/>
        <v/>
      </c>
    </row>
    <row r="651" spans="62:63" ht="14.5">
      <c r="BJ651" t="str">
        <f t="shared" si="20"/>
        <v/>
      </c>
      <c r="BK651" t="str">
        <f t="shared" si="21"/>
        <v/>
      </c>
    </row>
    <row r="652" spans="62:63" ht="14.5">
      <c r="BJ652" t="str">
        <f t="shared" si="20"/>
        <v/>
      </c>
      <c r="BK652" t="str">
        <f t="shared" si="21"/>
        <v/>
      </c>
    </row>
    <row r="653" spans="62:63" ht="14.5">
      <c r="BJ653" t="str">
        <f t="shared" si="22" ref="BJ653:BJ716">MID(C653,5,3)</f>
        <v/>
      </c>
      <c r="BK653" t="str">
        <f t="shared" si="23" ref="BK653:BK716">RIGHT(C653,3)</f>
        <v/>
      </c>
    </row>
    <row r="654" spans="62:63" ht="14.5">
      <c r="BJ654" t="str">
        <f t="shared" si="22"/>
        <v/>
      </c>
      <c r="BK654" t="str">
        <f t="shared" si="23"/>
        <v/>
      </c>
    </row>
    <row r="655" spans="62:63" ht="14.5">
      <c r="BJ655" t="str">
        <f t="shared" si="22"/>
        <v/>
      </c>
      <c r="BK655" t="str">
        <f t="shared" si="23"/>
        <v/>
      </c>
    </row>
    <row r="656" spans="62:63" ht="14.5">
      <c r="BJ656" t="str">
        <f t="shared" si="22"/>
        <v/>
      </c>
      <c r="BK656" t="str">
        <f t="shared" si="23"/>
        <v/>
      </c>
    </row>
    <row r="657" spans="62:63" ht="14.5">
      <c r="BJ657" t="str">
        <f t="shared" si="22"/>
        <v/>
      </c>
      <c r="BK657" t="str">
        <f t="shared" si="23"/>
        <v/>
      </c>
    </row>
    <row r="658" spans="62:63" ht="14.5">
      <c r="BJ658" t="str">
        <f t="shared" si="22"/>
        <v/>
      </c>
      <c r="BK658" t="str">
        <f t="shared" si="23"/>
        <v/>
      </c>
    </row>
    <row r="659" spans="62:63" ht="14.5">
      <c r="BJ659" t="str">
        <f t="shared" si="22"/>
        <v/>
      </c>
      <c r="BK659" t="str">
        <f t="shared" si="23"/>
        <v/>
      </c>
    </row>
    <row r="660" spans="62:63" ht="14.5">
      <c r="BJ660" t="str">
        <f t="shared" si="22"/>
        <v/>
      </c>
      <c r="BK660" t="str">
        <f t="shared" si="23"/>
        <v/>
      </c>
    </row>
    <row r="661" spans="62:63" ht="14.5">
      <c r="BJ661" t="str">
        <f t="shared" si="22"/>
        <v/>
      </c>
      <c r="BK661" t="str">
        <f t="shared" si="23"/>
        <v/>
      </c>
    </row>
    <row r="662" spans="62:63" ht="14.5">
      <c r="BJ662" t="str">
        <f t="shared" si="22"/>
        <v/>
      </c>
      <c r="BK662" t="str">
        <f t="shared" si="23"/>
        <v/>
      </c>
    </row>
    <row r="663" spans="62:63" ht="14.5">
      <c r="BJ663" t="str">
        <f t="shared" si="22"/>
        <v/>
      </c>
      <c r="BK663" t="str">
        <f t="shared" si="23"/>
        <v/>
      </c>
    </row>
    <row r="664" spans="62:63" ht="14.5">
      <c r="BJ664" t="str">
        <f t="shared" si="22"/>
        <v/>
      </c>
      <c r="BK664" t="str">
        <f t="shared" si="23"/>
        <v/>
      </c>
    </row>
    <row r="665" spans="62:63" ht="14.5">
      <c r="BJ665" t="str">
        <f t="shared" si="22"/>
        <v/>
      </c>
      <c r="BK665" t="str">
        <f t="shared" si="23"/>
        <v/>
      </c>
    </row>
    <row r="666" spans="62:63" ht="14.5">
      <c r="BJ666" t="str">
        <f t="shared" si="22"/>
        <v/>
      </c>
      <c r="BK666" t="str">
        <f t="shared" si="23"/>
        <v/>
      </c>
    </row>
    <row r="667" spans="62:63" ht="14.5">
      <c r="BJ667" t="str">
        <f t="shared" si="22"/>
        <v/>
      </c>
      <c r="BK667" t="str">
        <f t="shared" si="23"/>
        <v/>
      </c>
    </row>
    <row r="668" spans="62:63" ht="14.5">
      <c r="BJ668" t="str">
        <f t="shared" si="22"/>
        <v/>
      </c>
      <c r="BK668" t="str">
        <f t="shared" si="23"/>
        <v/>
      </c>
    </row>
    <row r="669" spans="62:63" ht="14.5">
      <c r="BJ669" t="str">
        <f t="shared" si="22"/>
        <v/>
      </c>
      <c r="BK669" t="str">
        <f t="shared" si="23"/>
        <v/>
      </c>
    </row>
    <row r="670" spans="62:63" ht="14.5">
      <c r="BJ670" t="str">
        <f t="shared" si="22"/>
        <v/>
      </c>
      <c r="BK670" t="str">
        <f t="shared" si="23"/>
        <v/>
      </c>
    </row>
    <row r="671" spans="62:63" ht="14.5">
      <c r="BJ671" t="str">
        <f t="shared" si="22"/>
        <v/>
      </c>
      <c r="BK671" t="str">
        <f t="shared" si="23"/>
        <v/>
      </c>
    </row>
    <row r="672" spans="62:63" ht="14.5">
      <c r="BJ672" t="str">
        <f t="shared" si="22"/>
        <v/>
      </c>
      <c r="BK672" t="str">
        <f t="shared" si="23"/>
        <v/>
      </c>
    </row>
    <row r="673" spans="62:63" ht="14.5">
      <c r="BJ673" t="str">
        <f t="shared" si="22"/>
        <v/>
      </c>
      <c r="BK673" t="str">
        <f t="shared" si="23"/>
        <v/>
      </c>
    </row>
    <row r="674" spans="62:63" ht="14.5">
      <c r="BJ674" t="str">
        <f t="shared" si="22"/>
        <v/>
      </c>
      <c r="BK674" t="str">
        <f t="shared" si="23"/>
        <v/>
      </c>
    </row>
    <row r="675" spans="62:63" ht="14.5">
      <c r="BJ675" t="str">
        <f t="shared" si="22"/>
        <v/>
      </c>
      <c r="BK675" t="str">
        <f t="shared" si="23"/>
        <v/>
      </c>
    </row>
    <row r="676" spans="62:63" ht="14.5">
      <c r="BJ676" t="str">
        <f t="shared" si="22"/>
        <v/>
      </c>
      <c r="BK676" t="str">
        <f t="shared" si="23"/>
        <v/>
      </c>
    </row>
    <row r="677" spans="62:63" ht="14.5">
      <c r="BJ677" t="str">
        <f t="shared" si="22"/>
        <v/>
      </c>
      <c r="BK677" t="str">
        <f t="shared" si="23"/>
        <v/>
      </c>
    </row>
    <row r="678" spans="62:63" ht="14.5">
      <c r="BJ678" t="str">
        <f t="shared" si="22"/>
        <v/>
      </c>
      <c r="BK678" t="str">
        <f t="shared" si="23"/>
        <v/>
      </c>
    </row>
    <row r="679" spans="62:63" ht="14.5">
      <c r="BJ679" t="str">
        <f t="shared" si="22"/>
        <v/>
      </c>
      <c r="BK679" t="str">
        <f t="shared" si="23"/>
        <v/>
      </c>
    </row>
    <row r="680" spans="62:63" ht="14.5">
      <c r="BJ680" t="str">
        <f t="shared" si="22"/>
        <v/>
      </c>
      <c r="BK680" t="str">
        <f t="shared" si="23"/>
        <v/>
      </c>
    </row>
    <row r="681" spans="62:63" ht="14.5">
      <c r="BJ681" t="str">
        <f t="shared" si="22"/>
        <v/>
      </c>
      <c r="BK681" t="str">
        <f t="shared" si="23"/>
        <v/>
      </c>
    </row>
    <row r="682" spans="62:63" ht="14.5">
      <c r="BJ682" t="str">
        <f t="shared" si="22"/>
        <v/>
      </c>
      <c r="BK682" t="str">
        <f t="shared" si="23"/>
        <v/>
      </c>
    </row>
    <row r="683" spans="62:63" ht="14.5">
      <c r="BJ683" t="str">
        <f t="shared" si="22"/>
        <v/>
      </c>
      <c r="BK683" t="str">
        <f t="shared" si="23"/>
        <v/>
      </c>
    </row>
    <row r="684" spans="62:63" ht="14.5">
      <c r="BJ684" t="str">
        <f t="shared" si="22"/>
        <v/>
      </c>
      <c r="BK684" t="str">
        <f t="shared" si="23"/>
        <v/>
      </c>
    </row>
    <row r="685" spans="62:63" ht="14.5">
      <c r="BJ685" t="str">
        <f t="shared" si="22"/>
        <v/>
      </c>
      <c r="BK685" t="str">
        <f t="shared" si="23"/>
        <v/>
      </c>
    </row>
    <row r="686" spans="62:63" ht="14.5">
      <c r="BJ686" t="str">
        <f t="shared" si="22"/>
        <v/>
      </c>
      <c r="BK686" t="str">
        <f t="shared" si="23"/>
        <v/>
      </c>
    </row>
    <row r="687" spans="62:63" ht="14.5">
      <c r="BJ687" t="str">
        <f t="shared" si="22"/>
        <v/>
      </c>
      <c r="BK687" t="str">
        <f t="shared" si="23"/>
        <v/>
      </c>
    </row>
    <row r="688" spans="62:63" ht="14.5">
      <c r="BJ688" t="str">
        <f t="shared" si="22"/>
        <v/>
      </c>
      <c r="BK688" t="str">
        <f t="shared" si="23"/>
        <v/>
      </c>
    </row>
    <row r="689" spans="62:63" ht="14.5">
      <c r="BJ689" t="str">
        <f t="shared" si="22"/>
        <v/>
      </c>
      <c r="BK689" t="str">
        <f t="shared" si="23"/>
        <v/>
      </c>
    </row>
    <row r="690" spans="62:63" ht="14.5">
      <c r="BJ690" t="str">
        <f t="shared" si="22"/>
        <v/>
      </c>
      <c r="BK690" t="str">
        <f t="shared" si="23"/>
        <v/>
      </c>
    </row>
    <row r="691" spans="62:63" ht="14.5">
      <c r="BJ691" t="str">
        <f t="shared" si="22"/>
        <v/>
      </c>
      <c r="BK691" t="str">
        <f t="shared" si="23"/>
        <v/>
      </c>
    </row>
    <row r="692" spans="62:63" ht="14.5">
      <c r="BJ692" t="str">
        <f t="shared" si="22"/>
        <v/>
      </c>
      <c r="BK692" t="str">
        <f t="shared" si="23"/>
        <v/>
      </c>
    </row>
    <row r="693" spans="62:63" ht="14.5">
      <c r="BJ693" t="str">
        <f t="shared" si="22"/>
        <v/>
      </c>
      <c r="BK693" t="str">
        <f t="shared" si="23"/>
        <v/>
      </c>
    </row>
    <row r="694" spans="62:63" ht="14.5">
      <c r="BJ694" t="str">
        <f t="shared" si="22"/>
        <v/>
      </c>
      <c r="BK694" t="str">
        <f t="shared" si="23"/>
        <v/>
      </c>
    </row>
    <row r="695" spans="62:63" ht="14.5">
      <c r="BJ695" t="str">
        <f t="shared" si="22"/>
        <v/>
      </c>
      <c r="BK695" t="str">
        <f t="shared" si="23"/>
        <v/>
      </c>
    </row>
    <row r="696" spans="62:63" ht="14.5">
      <c r="BJ696" t="str">
        <f t="shared" si="22"/>
        <v/>
      </c>
      <c r="BK696" t="str">
        <f t="shared" si="23"/>
        <v/>
      </c>
    </row>
    <row r="697" spans="62:63" ht="14.5">
      <c r="BJ697" t="str">
        <f t="shared" si="22"/>
        <v/>
      </c>
      <c r="BK697" t="str">
        <f t="shared" si="23"/>
        <v/>
      </c>
    </row>
    <row r="698" spans="62:63" ht="14.5">
      <c r="BJ698" t="str">
        <f t="shared" si="22"/>
        <v/>
      </c>
      <c r="BK698" t="str">
        <f t="shared" si="23"/>
        <v/>
      </c>
    </row>
    <row r="699" spans="62:63" ht="14.5">
      <c r="BJ699" t="str">
        <f t="shared" si="22"/>
        <v/>
      </c>
      <c r="BK699" t="str">
        <f t="shared" si="23"/>
        <v/>
      </c>
    </row>
    <row r="700" spans="62:63" ht="14.5">
      <c r="BJ700" t="str">
        <f t="shared" si="22"/>
        <v/>
      </c>
      <c r="BK700" t="str">
        <f t="shared" si="23"/>
        <v/>
      </c>
    </row>
    <row r="701" spans="62:63" ht="14.5">
      <c r="BJ701" t="str">
        <f t="shared" si="22"/>
        <v/>
      </c>
      <c r="BK701" t="str">
        <f t="shared" si="23"/>
        <v/>
      </c>
    </row>
    <row r="702" spans="62:63" ht="14.5">
      <c r="BJ702" t="str">
        <f t="shared" si="22"/>
        <v/>
      </c>
      <c r="BK702" t="str">
        <f t="shared" si="23"/>
        <v/>
      </c>
    </row>
    <row r="703" spans="62:63" ht="14.5">
      <c r="BJ703" t="str">
        <f t="shared" si="22"/>
        <v/>
      </c>
      <c r="BK703" t="str">
        <f t="shared" si="23"/>
        <v/>
      </c>
    </row>
    <row r="704" spans="62:63" ht="14.5">
      <c r="BJ704" t="str">
        <f t="shared" si="22"/>
        <v/>
      </c>
      <c r="BK704" t="str">
        <f t="shared" si="23"/>
        <v/>
      </c>
    </row>
    <row r="705" spans="62:63" ht="14.5">
      <c r="BJ705" t="str">
        <f t="shared" si="22"/>
        <v/>
      </c>
      <c r="BK705" t="str">
        <f t="shared" si="23"/>
        <v/>
      </c>
    </row>
    <row r="706" spans="62:63" ht="14.5">
      <c r="BJ706" t="str">
        <f t="shared" si="22"/>
        <v/>
      </c>
      <c r="BK706" t="str">
        <f t="shared" si="23"/>
        <v/>
      </c>
    </row>
    <row r="707" spans="62:63" ht="14.5">
      <c r="BJ707" t="str">
        <f t="shared" si="22"/>
        <v/>
      </c>
      <c r="BK707" t="str">
        <f t="shared" si="23"/>
        <v/>
      </c>
    </row>
    <row r="708" spans="62:63" ht="14.5">
      <c r="BJ708" t="str">
        <f t="shared" si="22"/>
        <v/>
      </c>
      <c r="BK708" t="str">
        <f t="shared" si="23"/>
        <v/>
      </c>
    </row>
    <row r="709" spans="62:63" ht="14.5">
      <c r="BJ709" t="str">
        <f t="shared" si="22"/>
        <v/>
      </c>
      <c r="BK709" t="str">
        <f t="shared" si="23"/>
        <v/>
      </c>
    </row>
    <row r="710" spans="62:63" ht="14.5">
      <c r="BJ710" t="str">
        <f t="shared" si="22"/>
        <v/>
      </c>
      <c r="BK710" t="str">
        <f t="shared" si="23"/>
        <v/>
      </c>
    </row>
    <row r="711" spans="62:63" ht="14.5">
      <c r="BJ711" t="str">
        <f t="shared" si="22"/>
        <v/>
      </c>
      <c r="BK711" t="str">
        <f t="shared" si="23"/>
        <v/>
      </c>
    </row>
    <row r="712" spans="62:63" ht="14.5">
      <c r="BJ712" t="str">
        <f t="shared" si="22"/>
        <v/>
      </c>
      <c r="BK712" t="str">
        <f t="shared" si="23"/>
        <v/>
      </c>
    </row>
    <row r="713" spans="62:63" ht="14.5">
      <c r="BJ713" t="str">
        <f t="shared" si="22"/>
        <v/>
      </c>
      <c r="BK713" t="str">
        <f t="shared" si="23"/>
        <v/>
      </c>
    </row>
    <row r="714" spans="62:63" ht="14.5">
      <c r="BJ714" t="str">
        <f t="shared" si="22"/>
        <v/>
      </c>
      <c r="BK714" t="str">
        <f t="shared" si="23"/>
        <v/>
      </c>
    </row>
    <row r="715" spans="62:63" ht="14.5">
      <c r="BJ715" t="str">
        <f t="shared" si="22"/>
        <v/>
      </c>
      <c r="BK715" t="str">
        <f t="shared" si="23"/>
        <v/>
      </c>
    </row>
    <row r="716" spans="62:63" ht="14.5">
      <c r="BJ716" t="str">
        <f t="shared" si="22"/>
        <v/>
      </c>
      <c r="BK716" t="str">
        <f t="shared" si="23"/>
        <v/>
      </c>
    </row>
    <row r="717" spans="62:63" ht="14.5">
      <c r="BJ717" t="str">
        <f t="shared" si="24" ref="BJ717:BJ780">MID(C717,5,3)</f>
        <v/>
      </c>
      <c r="BK717" t="str">
        <f t="shared" si="25" ref="BK717:BK780">RIGHT(C717,3)</f>
        <v/>
      </c>
    </row>
    <row r="718" spans="62:63" ht="14.5">
      <c r="BJ718" t="str">
        <f t="shared" si="24"/>
        <v/>
      </c>
      <c r="BK718" t="str">
        <f t="shared" si="25"/>
        <v/>
      </c>
    </row>
    <row r="719" spans="62:63" ht="14.5">
      <c r="BJ719" t="str">
        <f t="shared" si="24"/>
        <v/>
      </c>
      <c r="BK719" t="str">
        <f t="shared" si="25"/>
        <v/>
      </c>
    </row>
    <row r="720" spans="62:63" ht="14.5">
      <c r="BJ720" t="str">
        <f t="shared" si="24"/>
        <v/>
      </c>
      <c r="BK720" t="str">
        <f t="shared" si="25"/>
        <v/>
      </c>
    </row>
    <row r="721" spans="62:63" ht="14.5">
      <c r="BJ721" t="str">
        <f t="shared" si="24"/>
        <v/>
      </c>
      <c r="BK721" t="str">
        <f t="shared" si="25"/>
        <v/>
      </c>
    </row>
    <row r="722" spans="62:63" ht="14.5">
      <c r="BJ722" t="str">
        <f t="shared" si="24"/>
        <v/>
      </c>
      <c r="BK722" t="str">
        <f t="shared" si="25"/>
        <v/>
      </c>
    </row>
    <row r="723" spans="62:63" ht="14.5">
      <c r="BJ723" t="str">
        <f t="shared" si="24"/>
        <v/>
      </c>
      <c r="BK723" t="str">
        <f t="shared" si="25"/>
        <v/>
      </c>
    </row>
    <row r="724" spans="62:63" ht="14.5">
      <c r="BJ724" t="str">
        <f t="shared" si="24"/>
        <v/>
      </c>
      <c r="BK724" t="str">
        <f t="shared" si="25"/>
        <v/>
      </c>
    </row>
    <row r="725" spans="62:63" ht="14.5">
      <c r="BJ725" t="str">
        <f t="shared" si="24"/>
        <v/>
      </c>
      <c r="BK725" t="str">
        <f t="shared" si="25"/>
        <v/>
      </c>
    </row>
    <row r="726" spans="62:63" ht="14.5">
      <c r="BJ726" t="str">
        <f t="shared" si="24"/>
        <v/>
      </c>
      <c r="BK726" t="str">
        <f t="shared" si="25"/>
        <v/>
      </c>
    </row>
    <row r="727" spans="62:63" ht="14.5">
      <c r="BJ727" t="str">
        <f t="shared" si="24"/>
        <v/>
      </c>
      <c r="BK727" t="str">
        <f t="shared" si="25"/>
        <v/>
      </c>
    </row>
    <row r="728" spans="62:63" ht="14.5">
      <c r="BJ728" t="str">
        <f t="shared" si="24"/>
        <v/>
      </c>
      <c r="BK728" t="str">
        <f t="shared" si="25"/>
        <v/>
      </c>
    </row>
    <row r="729" spans="62:63" ht="14.5">
      <c r="BJ729" t="str">
        <f t="shared" si="24"/>
        <v/>
      </c>
      <c r="BK729" t="str">
        <f t="shared" si="25"/>
        <v/>
      </c>
    </row>
    <row r="730" spans="62:63" ht="14.5">
      <c r="BJ730" t="str">
        <f t="shared" si="24"/>
        <v/>
      </c>
      <c r="BK730" t="str">
        <f t="shared" si="25"/>
        <v/>
      </c>
    </row>
    <row r="731" spans="62:63" ht="14.5">
      <c r="BJ731" t="str">
        <f t="shared" si="24"/>
        <v/>
      </c>
      <c r="BK731" t="str">
        <f t="shared" si="25"/>
        <v/>
      </c>
    </row>
    <row r="732" spans="62:63" ht="14.5">
      <c r="BJ732" t="str">
        <f t="shared" si="24"/>
        <v/>
      </c>
      <c r="BK732" t="str">
        <f t="shared" si="25"/>
        <v/>
      </c>
    </row>
    <row r="733" spans="62:63" ht="14.5">
      <c r="BJ733" t="str">
        <f t="shared" si="24"/>
        <v/>
      </c>
      <c r="BK733" t="str">
        <f t="shared" si="25"/>
        <v/>
      </c>
    </row>
    <row r="734" spans="62:63" ht="14.5">
      <c r="BJ734" t="str">
        <f t="shared" si="24"/>
        <v/>
      </c>
      <c r="BK734" t="str">
        <f t="shared" si="25"/>
        <v/>
      </c>
    </row>
    <row r="735" spans="62:63" ht="14.5">
      <c r="BJ735" t="str">
        <f t="shared" si="24"/>
        <v/>
      </c>
      <c r="BK735" t="str">
        <f t="shared" si="25"/>
        <v/>
      </c>
    </row>
    <row r="736" spans="62:63" ht="14.5">
      <c r="BJ736" t="str">
        <f t="shared" si="24"/>
        <v/>
      </c>
      <c r="BK736" t="str">
        <f t="shared" si="25"/>
        <v/>
      </c>
    </row>
    <row r="737" spans="62:63" ht="14.5">
      <c r="BJ737" t="str">
        <f t="shared" si="24"/>
        <v/>
      </c>
      <c r="BK737" t="str">
        <f t="shared" si="25"/>
        <v/>
      </c>
    </row>
    <row r="738" spans="62:63" ht="14.5">
      <c r="BJ738" t="str">
        <f t="shared" si="24"/>
        <v/>
      </c>
      <c r="BK738" t="str">
        <f t="shared" si="25"/>
        <v/>
      </c>
    </row>
    <row r="739" spans="62:63" ht="14.5">
      <c r="BJ739" t="str">
        <f t="shared" si="24"/>
        <v/>
      </c>
      <c r="BK739" t="str">
        <f t="shared" si="25"/>
        <v/>
      </c>
    </row>
    <row r="740" spans="62:63" ht="14.5">
      <c r="BJ740" t="str">
        <f t="shared" si="24"/>
        <v/>
      </c>
      <c r="BK740" t="str">
        <f t="shared" si="25"/>
        <v/>
      </c>
    </row>
    <row r="741" spans="62:63" ht="14.5">
      <c r="BJ741" t="str">
        <f t="shared" si="24"/>
        <v/>
      </c>
      <c r="BK741" t="str">
        <f t="shared" si="25"/>
        <v/>
      </c>
    </row>
    <row r="742" spans="62:63" ht="14.5">
      <c r="BJ742" t="str">
        <f t="shared" si="24"/>
        <v/>
      </c>
      <c r="BK742" t="str">
        <f t="shared" si="25"/>
        <v/>
      </c>
    </row>
    <row r="743" spans="62:63" ht="14.5">
      <c r="BJ743" t="str">
        <f t="shared" si="24"/>
        <v/>
      </c>
      <c r="BK743" t="str">
        <f t="shared" si="25"/>
        <v/>
      </c>
    </row>
    <row r="744" spans="62:63" ht="14.5">
      <c r="BJ744" t="str">
        <f t="shared" si="24"/>
        <v/>
      </c>
      <c r="BK744" t="str">
        <f t="shared" si="25"/>
        <v/>
      </c>
    </row>
    <row r="745" spans="62:63" ht="14.5">
      <c r="BJ745" t="str">
        <f t="shared" si="24"/>
        <v/>
      </c>
      <c r="BK745" t="str">
        <f t="shared" si="25"/>
        <v/>
      </c>
    </row>
    <row r="746" spans="62:63" ht="14.5">
      <c r="BJ746" t="str">
        <f t="shared" si="24"/>
        <v/>
      </c>
      <c r="BK746" t="str">
        <f t="shared" si="25"/>
        <v/>
      </c>
    </row>
    <row r="747" spans="62:63" ht="14.5">
      <c r="BJ747" t="str">
        <f t="shared" si="24"/>
        <v/>
      </c>
      <c r="BK747" t="str">
        <f t="shared" si="25"/>
        <v/>
      </c>
    </row>
    <row r="748" spans="62:63" ht="14.5">
      <c r="BJ748" t="str">
        <f t="shared" si="24"/>
        <v/>
      </c>
      <c r="BK748" t="str">
        <f t="shared" si="25"/>
        <v/>
      </c>
    </row>
    <row r="749" spans="62:63" ht="14.5">
      <c r="BJ749" t="str">
        <f t="shared" si="24"/>
        <v/>
      </c>
      <c r="BK749" t="str">
        <f t="shared" si="25"/>
        <v/>
      </c>
    </row>
    <row r="750" spans="62:63" ht="14.5">
      <c r="BJ750" t="str">
        <f t="shared" si="24"/>
        <v/>
      </c>
      <c r="BK750" t="str">
        <f t="shared" si="25"/>
        <v/>
      </c>
    </row>
    <row r="751" spans="62:63" ht="14.5">
      <c r="BJ751" t="str">
        <f t="shared" si="24"/>
        <v/>
      </c>
      <c r="BK751" t="str">
        <f t="shared" si="25"/>
        <v/>
      </c>
    </row>
    <row r="752" spans="62:63" ht="14.5">
      <c r="BJ752" t="str">
        <f t="shared" si="24"/>
        <v/>
      </c>
      <c r="BK752" t="str">
        <f t="shared" si="25"/>
        <v/>
      </c>
    </row>
    <row r="753" spans="62:63" ht="14.5">
      <c r="BJ753" t="str">
        <f t="shared" si="24"/>
        <v/>
      </c>
      <c r="BK753" t="str">
        <f t="shared" si="25"/>
        <v/>
      </c>
    </row>
    <row r="754" spans="62:63" ht="14.5">
      <c r="BJ754" t="str">
        <f t="shared" si="24"/>
        <v/>
      </c>
      <c r="BK754" t="str">
        <f t="shared" si="25"/>
        <v/>
      </c>
    </row>
    <row r="755" spans="62:63" ht="14.5">
      <c r="BJ755" t="str">
        <f t="shared" si="24"/>
        <v/>
      </c>
      <c r="BK755" t="str">
        <f t="shared" si="25"/>
        <v/>
      </c>
    </row>
    <row r="756" spans="62:63" ht="14.5">
      <c r="BJ756" t="str">
        <f t="shared" si="24"/>
        <v/>
      </c>
      <c r="BK756" t="str">
        <f t="shared" si="25"/>
        <v/>
      </c>
    </row>
    <row r="757" spans="62:63" ht="14.5">
      <c r="BJ757" t="str">
        <f t="shared" si="24"/>
        <v/>
      </c>
      <c r="BK757" t="str">
        <f t="shared" si="25"/>
        <v/>
      </c>
    </row>
    <row r="758" spans="62:63" ht="14.5">
      <c r="BJ758" t="str">
        <f t="shared" si="24"/>
        <v/>
      </c>
      <c r="BK758" t="str">
        <f t="shared" si="25"/>
        <v/>
      </c>
    </row>
    <row r="759" spans="62:63" ht="14.5">
      <c r="BJ759" t="str">
        <f t="shared" si="24"/>
        <v/>
      </c>
      <c r="BK759" t="str">
        <f t="shared" si="25"/>
        <v/>
      </c>
    </row>
    <row r="760" spans="62:63" ht="14.5">
      <c r="BJ760" t="str">
        <f t="shared" si="24"/>
        <v/>
      </c>
      <c r="BK760" t="str">
        <f t="shared" si="25"/>
        <v/>
      </c>
    </row>
    <row r="761" spans="62:63" ht="14.5">
      <c r="BJ761" t="str">
        <f t="shared" si="24"/>
        <v/>
      </c>
      <c r="BK761" t="str">
        <f t="shared" si="25"/>
        <v/>
      </c>
    </row>
    <row r="762" spans="62:63" ht="14.5">
      <c r="BJ762" t="str">
        <f t="shared" si="24"/>
        <v/>
      </c>
      <c r="BK762" t="str">
        <f t="shared" si="25"/>
        <v/>
      </c>
    </row>
    <row r="763" spans="62:63" ht="14.5">
      <c r="BJ763" t="str">
        <f t="shared" si="24"/>
        <v/>
      </c>
      <c r="BK763" t="str">
        <f t="shared" si="25"/>
        <v/>
      </c>
    </row>
    <row r="764" spans="62:63" ht="14.5">
      <c r="BJ764" t="str">
        <f t="shared" si="24"/>
        <v/>
      </c>
      <c r="BK764" t="str">
        <f t="shared" si="25"/>
        <v/>
      </c>
    </row>
    <row r="765" spans="62:63" ht="14.5">
      <c r="BJ765" t="str">
        <f t="shared" si="24"/>
        <v/>
      </c>
      <c r="BK765" t="str">
        <f t="shared" si="25"/>
        <v/>
      </c>
    </row>
    <row r="766" spans="62:63" ht="14.5">
      <c r="BJ766" t="str">
        <f t="shared" si="24"/>
        <v/>
      </c>
      <c r="BK766" t="str">
        <f t="shared" si="25"/>
        <v/>
      </c>
    </row>
    <row r="767" spans="62:63" ht="14.5">
      <c r="BJ767" t="str">
        <f t="shared" si="24"/>
        <v/>
      </c>
      <c r="BK767" t="str">
        <f t="shared" si="25"/>
        <v/>
      </c>
    </row>
    <row r="768" spans="62:63" ht="14.5">
      <c r="BJ768" t="str">
        <f t="shared" si="24"/>
        <v/>
      </c>
      <c r="BK768" t="str">
        <f t="shared" si="25"/>
        <v/>
      </c>
    </row>
    <row r="769" spans="62:63" ht="14.5">
      <c r="BJ769" t="str">
        <f t="shared" si="24"/>
        <v/>
      </c>
      <c r="BK769" t="str">
        <f t="shared" si="25"/>
        <v/>
      </c>
    </row>
    <row r="770" spans="62:63" ht="14.5">
      <c r="BJ770" t="str">
        <f t="shared" si="24"/>
        <v/>
      </c>
      <c r="BK770" t="str">
        <f t="shared" si="25"/>
        <v/>
      </c>
    </row>
    <row r="771" spans="62:63" ht="14.5">
      <c r="BJ771" t="str">
        <f t="shared" si="24"/>
        <v/>
      </c>
      <c r="BK771" t="str">
        <f t="shared" si="25"/>
        <v/>
      </c>
    </row>
    <row r="772" spans="62:63" ht="14.5">
      <c r="BJ772" t="str">
        <f t="shared" si="24"/>
        <v/>
      </c>
      <c r="BK772" t="str">
        <f t="shared" si="25"/>
        <v/>
      </c>
    </row>
    <row r="773" spans="62:63" ht="14.5">
      <c r="BJ773" t="str">
        <f t="shared" si="24"/>
        <v/>
      </c>
      <c r="BK773" t="str">
        <f t="shared" si="25"/>
        <v/>
      </c>
    </row>
    <row r="774" spans="62:63" ht="14.5">
      <c r="BJ774" t="str">
        <f t="shared" si="24"/>
        <v/>
      </c>
      <c r="BK774" t="str">
        <f t="shared" si="25"/>
        <v/>
      </c>
    </row>
    <row r="775" spans="62:63" ht="14.5">
      <c r="BJ775" t="str">
        <f t="shared" si="24"/>
        <v/>
      </c>
      <c r="BK775" t="str">
        <f t="shared" si="25"/>
        <v/>
      </c>
    </row>
    <row r="776" spans="62:63" ht="14.5">
      <c r="BJ776" t="str">
        <f t="shared" si="24"/>
        <v/>
      </c>
      <c r="BK776" t="str">
        <f t="shared" si="25"/>
        <v/>
      </c>
    </row>
    <row r="777" spans="62:63" ht="14.5">
      <c r="BJ777" t="str">
        <f t="shared" si="24"/>
        <v/>
      </c>
      <c r="BK777" t="str">
        <f t="shared" si="25"/>
        <v/>
      </c>
    </row>
    <row r="778" spans="62:63" ht="14.5">
      <c r="BJ778" t="str">
        <f t="shared" si="24"/>
        <v/>
      </c>
      <c r="BK778" t="str">
        <f t="shared" si="25"/>
        <v/>
      </c>
    </row>
    <row r="779" spans="62:63" ht="14.5">
      <c r="BJ779" t="str">
        <f t="shared" si="24"/>
        <v/>
      </c>
      <c r="BK779" t="str">
        <f t="shared" si="25"/>
        <v/>
      </c>
    </row>
    <row r="780" spans="62:63" ht="14.5">
      <c r="BJ780" t="str">
        <f t="shared" si="24"/>
        <v/>
      </c>
      <c r="BK780" t="str">
        <f t="shared" si="25"/>
        <v/>
      </c>
    </row>
    <row r="781" spans="62:63" ht="14.5">
      <c r="BJ781" t="str">
        <f t="shared" si="26" ref="BJ781:BJ844">MID(C781,5,3)</f>
        <v/>
      </c>
      <c r="BK781" t="str">
        <f t="shared" si="27" ref="BK781:BK844">RIGHT(C781,3)</f>
        <v/>
      </c>
    </row>
    <row r="782" spans="62:63" ht="14.5">
      <c r="BJ782" t="str">
        <f t="shared" si="26"/>
        <v/>
      </c>
      <c r="BK782" t="str">
        <f t="shared" si="27"/>
        <v/>
      </c>
    </row>
    <row r="783" spans="62:63" ht="14.5">
      <c r="BJ783" t="str">
        <f t="shared" si="26"/>
        <v/>
      </c>
      <c r="BK783" t="str">
        <f t="shared" si="27"/>
        <v/>
      </c>
    </row>
    <row r="784" spans="62:63" ht="14.5">
      <c r="BJ784" t="str">
        <f t="shared" si="26"/>
        <v/>
      </c>
      <c r="BK784" t="str">
        <f t="shared" si="27"/>
        <v/>
      </c>
    </row>
    <row r="785" spans="62:63" ht="14.5">
      <c r="BJ785" t="str">
        <f t="shared" si="26"/>
        <v/>
      </c>
      <c r="BK785" t="str">
        <f t="shared" si="27"/>
        <v/>
      </c>
    </row>
    <row r="786" spans="62:63" ht="14.5">
      <c r="BJ786" t="str">
        <f t="shared" si="26"/>
        <v/>
      </c>
      <c r="BK786" t="str">
        <f t="shared" si="27"/>
        <v/>
      </c>
    </row>
    <row r="787" spans="62:63" ht="14.5">
      <c r="BJ787" t="str">
        <f t="shared" si="26"/>
        <v/>
      </c>
      <c r="BK787" t="str">
        <f t="shared" si="27"/>
        <v/>
      </c>
    </row>
    <row r="788" spans="62:63" ht="14.5">
      <c r="BJ788" t="str">
        <f t="shared" si="26"/>
        <v/>
      </c>
      <c r="BK788" t="str">
        <f t="shared" si="27"/>
        <v/>
      </c>
    </row>
    <row r="789" spans="62:63" ht="14.5">
      <c r="BJ789" t="str">
        <f t="shared" si="26"/>
        <v/>
      </c>
      <c r="BK789" t="str">
        <f t="shared" si="27"/>
        <v/>
      </c>
    </row>
    <row r="790" spans="62:63" ht="14.5">
      <c r="BJ790" t="str">
        <f t="shared" si="26"/>
        <v/>
      </c>
      <c r="BK790" t="str">
        <f t="shared" si="27"/>
        <v/>
      </c>
    </row>
    <row r="791" spans="62:63" ht="14.5">
      <c r="BJ791" t="str">
        <f t="shared" si="26"/>
        <v/>
      </c>
      <c r="BK791" t="str">
        <f t="shared" si="27"/>
        <v/>
      </c>
    </row>
    <row r="792" spans="62:63" ht="14.5">
      <c r="BJ792" t="str">
        <f t="shared" si="26"/>
        <v/>
      </c>
      <c r="BK792" t="str">
        <f t="shared" si="27"/>
        <v/>
      </c>
    </row>
    <row r="793" spans="62:63" ht="14.5">
      <c r="BJ793" t="str">
        <f t="shared" si="26"/>
        <v/>
      </c>
      <c r="BK793" t="str">
        <f t="shared" si="27"/>
        <v/>
      </c>
    </row>
    <row r="794" spans="62:63" ht="14.5">
      <c r="BJ794" t="str">
        <f t="shared" si="26"/>
        <v/>
      </c>
      <c r="BK794" t="str">
        <f t="shared" si="27"/>
        <v/>
      </c>
    </row>
    <row r="795" spans="62:63" ht="14.5">
      <c r="BJ795" t="str">
        <f t="shared" si="26"/>
        <v/>
      </c>
      <c r="BK795" t="str">
        <f t="shared" si="27"/>
        <v/>
      </c>
    </row>
    <row r="796" spans="62:63" ht="14.5">
      <c r="BJ796" t="str">
        <f t="shared" si="26"/>
        <v/>
      </c>
      <c r="BK796" t="str">
        <f t="shared" si="27"/>
        <v/>
      </c>
    </row>
    <row r="797" spans="62:63" ht="14.5">
      <c r="BJ797" t="str">
        <f t="shared" si="26"/>
        <v/>
      </c>
      <c r="BK797" t="str">
        <f t="shared" si="27"/>
        <v/>
      </c>
    </row>
    <row r="798" spans="62:63" ht="14.5">
      <c r="BJ798" t="str">
        <f t="shared" si="26"/>
        <v/>
      </c>
      <c r="BK798" t="str">
        <f t="shared" si="27"/>
        <v/>
      </c>
    </row>
    <row r="799" spans="62:63" ht="14.5">
      <c r="BJ799" t="str">
        <f t="shared" si="26"/>
        <v/>
      </c>
      <c r="BK799" t="str">
        <f t="shared" si="27"/>
        <v/>
      </c>
    </row>
    <row r="800" spans="62:63" ht="14.5">
      <c r="BJ800" t="str">
        <f t="shared" si="26"/>
        <v/>
      </c>
      <c r="BK800" t="str">
        <f t="shared" si="27"/>
        <v/>
      </c>
    </row>
    <row r="801" spans="62:63" ht="14.5">
      <c r="BJ801" t="str">
        <f t="shared" si="26"/>
        <v/>
      </c>
      <c r="BK801" t="str">
        <f t="shared" si="27"/>
        <v/>
      </c>
    </row>
    <row r="802" spans="62:63" ht="14.5">
      <c r="BJ802" t="str">
        <f t="shared" si="26"/>
        <v/>
      </c>
      <c r="BK802" t="str">
        <f t="shared" si="27"/>
        <v/>
      </c>
    </row>
    <row r="803" spans="62:63" ht="14.5">
      <c r="BJ803" t="str">
        <f t="shared" si="26"/>
        <v/>
      </c>
      <c r="BK803" t="str">
        <f t="shared" si="27"/>
        <v/>
      </c>
    </row>
    <row r="804" spans="62:63" ht="14.5">
      <c r="BJ804" t="str">
        <f t="shared" si="26"/>
        <v/>
      </c>
      <c r="BK804" t="str">
        <f t="shared" si="27"/>
        <v/>
      </c>
    </row>
    <row r="805" spans="62:63" ht="14.5">
      <c r="BJ805" t="str">
        <f t="shared" si="26"/>
        <v/>
      </c>
      <c r="BK805" t="str">
        <f t="shared" si="27"/>
        <v/>
      </c>
    </row>
    <row r="806" spans="62:63" ht="14.5">
      <c r="BJ806" t="str">
        <f t="shared" si="26"/>
        <v/>
      </c>
      <c r="BK806" t="str">
        <f t="shared" si="27"/>
        <v/>
      </c>
    </row>
    <row r="807" spans="62:63" ht="14.5">
      <c r="BJ807" t="str">
        <f t="shared" si="26"/>
        <v/>
      </c>
      <c r="BK807" t="str">
        <f t="shared" si="27"/>
        <v/>
      </c>
    </row>
    <row r="808" spans="62:63" ht="14.5">
      <c r="BJ808" t="str">
        <f t="shared" si="26"/>
        <v/>
      </c>
      <c r="BK808" t="str">
        <f t="shared" si="27"/>
        <v/>
      </c>
    </row>
    <row r="809" spans="62:63" ht="14.5">
      <c r="BJ809" t="str">
        <f t="shared" si="26"/>
        <v/>
      </c>
      <c r="BK809" t="str">
        <f t="shared" si="27"/>
        <v/>
      </c>
    </row>
    <row r="810" spans="62:63" ht="14.5">
      <c r="BJ810" t="str">
        <f t="shared" si="26"/>
        <v/>
      </c>
      <c r="BK810" t="str">
        <f t="shared" si="27"/>
        <v/>
      </c>
    </row>
    <row r="811" spans="62:63" ht="14.5">
      <c r="BJ811" t="str">
        <f t="shared" si="26"/>
        <v/>
      </c>
      <c r="BK811" t="str">
        <f t="shared" si="27"/>
        <v/>
      </c>
    </row>
    <row r="812" spans="62:63" ht="14.5">
      <c r="BJ812" t="str">
        <f t="shared" si="26"/>
        <v/>
      </c>
      <c r="BK812" t="str">
        <f t="shared" si="27"/>
        <v/>
      </c>
    </row>
    <row r="813" spans="62:63" ht="14.5">
      <c r="BJ813" t="str">
        <f t="shared" si="26"/>
        <v/>
      </c>
      <c r="BK813" t="str">
        <f t="shared" si="27"/>
        <v/>
      </c>
    </row>
    <row r="814" spans="62:63" ht="14.5">
      <c r="BJ814" t="str">
        <f t="shared" si="26"/>
        <v/>
      </c>
      <c r="BK814" t="str">
        <f t="shared" si="27"/>
        <v/>
      </c>
    </row>
    <row r="815" spans="62:63" ht="14.5">
      <c r="BJ815" t="str">
        <f t="shared" si="26"/>
        <v/>
      </c>
      <c r="BK815" t="str">
        <f t="shared" si="27"/>
        <v/>
      </c>
    </row>
    <row r="816" spans="62:63" ht="14.5">
      <c r="BJ816" t="str">
        <f t="shared" si="26"/>
        <v/>
      </c>
      <c r="BK816" t="str">
        <f t="shared" si="27"/>
        <v/>
      </c>
    </row>
    <row r="817" spans="62:63" ht="14.5">
      <c r="BJ817" t="str">
        <f t="shared" si="26"/>
        <v/>
      </c>
      <c r="BK817" t="str">
        <f t="shared" si="27"/>
        <v/>
      </c>
    </row>
    <row r="818" spans="62:63" ht="14.5">
      <c r="BJ818" t="str">
        <f t="shared" si="26"/>
        <v/>
      </c>
      <c r="BK818" t="str">
        <f t="shared" si="27"/>
        <v/>
      </c>
    </row>
    <row r="819" spans="62:63" ht="14.5">
      <c r="BJ819" t="str">
        <f t="shared" si="26"/>
        <v/>
      </c>
      <c r="BK819" t="str">
        <f t="shared" si="27"/>
        <v/>
      </c>
    </row>
    <row r="820" spans="62:63" ht="14.5">
      <c r="BJ820" t="str">
        <f t="shared" si="26"/>
        <v/>
      </c>
      <c r="BK820" t="str">
        <f t="shared" si="27"/>
        <v/>
      </c>
    </row>
    <row r="821" spans="62:63" ht="14.5">
      <c r="BJ821" t="str">
        <f t="shared" si="26"/>
        <v/>
      </c>
      <c r="BK821" t="str">
        <f t="shared" si="27"/>
        <v/>
      </c>
    </row>
    <row r="822" spans="62:63" ht="14.5">
      <c r="BJ822" t="str">
        <f t="shared" si="26"/>
        <v/>
      </c>
      <c r="BK822" t="str">
        <f t="shared" si="27"/>
        <v/>
      </c>
    </row>
    <row r="823" spans="62:63" ht="14.5">
      <c r="BJ823" t="str">
        <f t="shared" si="26"/>
        <v/>
      </c>
      <c r="BK823" t="str">
        <f t="shared" si="27"/>
        <v/>
      </c>
    </row>
    <row r="824" spans="62:63" ht="14.5">
      <c r="BJ824" t="str">
        <f t="shared" si="26"/>
        <v/>
      </c>
      <c r="BK824" t="str">
        <f t="shared" si="27"/>
        <v/>
      </c>
    </row>
    <row r="825" spans="62:63" ht="14.5">
      <c r="BJ825" t="str">
        <f t="shared" si="26"/>
        <v/>
      </c>
      <c r="BK825" t="str">
        <f t="shared" si="27"/>
        <v/>
      </c>
    </row>
    <row r="826" spans="62:63" ht="14.5">
      <c r="BJ826" t="str">
        <f t="shared" si="26"/>
        <v/>
      </c>
      <c r="BK826" t="str">
        <f t="shared" si="27"/>
        <v/>
      </c>
    </row>
    <row r="827" spans="62:63" ht="14.5">
      <c r="BJ827" t="str">
        <f t="shared" si="26"/>
        <v/>
      </c>
      <c r="BK827" t="str">
        <f t="shared" si="27"/>
        <v/>
      </c>
    </row>
    <row r="828" spans="62:63" ht="14.5">
      <c r="BJ828" t="str">
        <f t="shared" si="26"/>
        <v/>
      </c>
      <c r="BK828" t="str">
        <f t="shared" si="27"/>
        <v/>
      </c>
    </row>
    <row r="829" spans="62:63" ht="14.5">
      <c r="BJ829" t="str">
        <f t="shared" si="26"/>
        <v/>
      </c>
      <c r="BK829" t="str">
        <f t="shared" si="27"/>
        <v/>
      </c>
    </row>
    <row r="830" spans="62:63" ht="14.5">
      <c r="BJ830" t="str">
        <f t="shared" si="26"/>
        <v/>
      </c>
      <c r="BK830" t="str">
        <f t="shared" si="27"/>
        <v/>
      </c>
    </row>
    <row r="831" spans="62:63" ht="14.5">
      <c r="BJ831" t="str">
        <f t="shared" si="26"/>
        <v/>
      </c>
      <c r="BK831" t="str">
        <f t="shared" si="27"/>
        <v/>
      </c>
    </row>
    <row r="832" spans="62:63" ht="14.5">
      <c r="BJ832" t="str">
        <f t="shared" si="26"/>
        <v/>
      </c>
      <c r="BK832" t="str">
        <f t="shared" si="27"/>
        <v/>
      </c>
    </row>
    <row r="833" spans="62:63" ht="14.5">
      <c r="BJ833" t="str">
        <f t="shared" si="26"/>
        <v/>
      </c>
      <c r="BK833" t="str">
        <f t="shared" si="27"/>
        <v/>
      </c>
    </row>
    <row r="834" spans="62:63" ht="14.5">
      <c r="BJ834" t="str">
        <f t="shared" si="26"/>
        <v/>
      </c>
      <c r="BK834" t="str">
        <f t="shared" si="27"/>
        <v/>
      </c>
    </row>
    <row r="835" spans="62:63" ht="14.5">
      <c r="BJ835" t="str">
        <f t="shared" si="26"/>
        <v/>
      </c>
      <c r="BK835" t="str">
        <f t="shared" si="27"/>
        <v/>
      </c>
    </row>
    <row r="836" spans="62:63" ht="14.5">
      <c r="BJ836" t="str">
        <f t="shared" si="26"/>
        <v/>
      </c>
      <c r="BK836" t="str">
        <f t="shared" si="27"/>
        <v/>
      </c>
    </row>
    <row r="837" spans="62:63" ht="14.5">
      <c r="BJ837" t="str">
        <f t="shared" si="26"/>
        <v/>
      </c>
      <c r="BK837" t="str">
        <f t="shared" si="27"/>
        <v/>
      </c>
    </row>
    <row r="838" spans="62:63" ht="14.5">
      <c r="BJ838" t="str">
        <f t="shared" si="26"/>
        <v/>
      </c>
      <c r="BK838" t="str">
        <f t="shared" si="27"/>
        <v/>
      </c>
    </row>
    <row r="839" spans="62:63" ht="14.5">
      <c r="BJ839" t="str">
        <f t="shared" si="26"/>
        <v/>
      </c>
      <c r="BK839" t="str">
        <f t="shared" si="27"/>
        <v/>
      </c>
    </row>
    <row r="840" spans="62:63" ht="14.5">
      <c r="BJ840" t="str">
        <f t="shared" si="26"/>
        <v/>
      </c>
      <c r="BK840" t="str">
        <f t="shared" si="27"/>
        <v/>
      </c>
    </row>
    <row r="841" spans="62:63" ht="14.5">
      <c r="BJ841" t="str">
        <f t="shared" si="26"/>
        <v/>
      </c>
      <c r="BK841" t="str">
        <f t="shared" si="27"/>
        <v/>
      </c>
    </row>
    <row r="842" spans="62:63" ht="14.5">
      <c r="BJ842" t="str">
        <f t="shared" si="26"/>
        <v/>
      </c>
      <c r="BK842" t="str">
        <f t="shared" si="27"/>
        <v/>
      </c>
    </row>
    <row r="843" spans="62:63" ht="14.5">
      <c r="BJ843" t="str">
        <f t="shared" si="26"/>
        <v/>
      </c>
      <c r="BK843" t="str">
        <f t="shared" si="27"/>
        <v/>
      </c>
    </row>
    <row r="844" spans="62:63" ht="14.5">
      <c r="BJ844" t="str">
        <f t="shared" si="26"/>
        <v/>
      </c>
      <c r="BK844" t="str">
        <f t="shared" si="27"/>
        <v/>
      </c>
    </row>
    <row r="845" spans="62:63" ht="14.5">
      <c r="BJ845" t="str">
        <f t="shared" si="28" ref="BJ845:BJ868">MID(C845,5,3)</f>
        <v/>
      </c>
      <c r="BK845" t="str">
        <f t="shared" si="29" ref="BK845:BK868">RIGHT(C845,3)</f>
        <v/>
      </c>
    </row>
    <row r="846" spans="62:63" ht="14.5">
      <c r="BJ846" t="str">
        <f t="shared" si="28"/>
        <v/>
      </c>
      <c r="BK846" t="str">
        <f t="shared" si="29"/>
        <v/>
      </c>
    </row>
    <row r="847" spans="62:63" ht="14.5">
      <c r="BJ847" t="str">
        <f t="shared" si="28"/>
        <v/>
      </c>
      <c r="BK847" t="str">
        <f t="shared" si="29"/>
        <v/>
      </c>
    </row>
    <row r="848" spans="62:63" ht="14.5">
      <c r="BJ848" t="str">
        <f t="shared" si="28"/>
        <v/>
      </c>
      <c r="BK848" t="str">
        <f t="shared" si="29"/>
        <v/>
      </c>
    </row>
    <row r="849" spans="62:63" ht="14.5">
      <c r="BJ849" t="str">
        <f t="shared" si="28"/>
        <v/>
      </c>
      <c r="BK849" t="str">
        <f t="shared" si="29"/>
        <v/>
      </c>
    </row>
    <row r="850" spans="62:63" ht="14.5">
      <c r="BJ850" t="str">
        <f t="shared" si="28"/>
        <v/>
      </c>
      <c r="BK850" t="str">
        <f t="shared" si="29"/>
        <v/>
      </c>
    </row>
    <row r="851" spans="62:63" ht="14.5">
      <c r="BJ851" t="str">
        <f t="shared" si="28"/>
        <v/>
      </c>
      <c r="BK851" t="str">
        <f t="shared" si="29"/>
        <v/>
      </c>
    </row>
    <row r="852" spans="62:63" ht="14.5">
      <c r="BJ852" t="str">
        <f t="shared" si="28"/>
        <v/>
      </c>
      <c r="BK852" t="str">
        <f t="shared" si="29"/>
        <v/>
      </c>
    </row>
    <row r="853" spans="62:63" ht="14.5">
      <c r="BJ853" t="str">
        <f t="shared" si="28"/>
        <v/>
      </c>
      <c r="BK853" t="str">
        <f t="shared" si="29"/>
        <v/>
      </c>
    </row>
    <row r="854" spans="62:63" ht="14.5">
      <c r="BJ854" t="str">
        <f t="shared" si="28"/>
        <v/>
      </c>
      <c r="BK854" t="str">
        <f t="shared" si="29"/>
        <v/>
      </c>
    </row>
    <row r="855" spans="62:63" ht="14.5">
      <c r="BJ855" t="str">
        <f t="shared" si="28"/>
        <v/>
      </c>
      <c r="BK855" t="str">
        <f t="shared" si="29"/>
        <v/>
      </c>
    </row>
    <row r="856" spans="62:63" ht="14.5">
      <c r="BJ856" t="str">
        <f t="shared" si="28"/>
        <v/>
      </c>
      <c r="BK856" t="str">
        <f t="shared" si="29"/>
        <v/>
      </c>
    </row>
    <row r="857" spans="62:63" ht="14.5">
      <c r="BJ857" t="str">
        <f t="shared" si="28"/>
        <v/>
      </c>
      <c r="BK857" t="str">
        <f t="shared" si="29"/>
        <v/>
      </c>
    </row>
    <row r="858" spans="62:63" ht="14.5">
      <c r="BJ858" t="str">
        <f t="shared" si="28"/>
        <v/>
      </c>
      <c r="BK858" t="str">
        <f t="shared" si="29"/>
        <v/>
      </c>
    </row>
    <row r="859" spans="62:63" ht="14.5">
      <c r="BJ859" t="str">
        <f t="shared" si="28"/>
        <v/>
      </c>
      <c r="BK859" t="str">
        <f t="shared" si="29"/>
        <v/>
      </c>
    </row>
    <row r="860" spans="62:63" ht="14.5">
      <c r="BJ860" t="str">
        <f t="shared" si="28"/>
        <v/>
      </c>
      <c r="BK860" t="str">
        <f t="shared" si="29"/>
        <v/>
      </c>
    </row>
    <row r="861" spans="62:63" ht="14.5">
      <c r="BJ861" t="str">
        <f t="shared" si="28"/>
        <v/>
      </c>
      <c r="BK861" t="str">
        <f t="shared" si="29"/>
        <v/>
      </c>
    </row>
    <row r="862" spans="62:63" ht="14.5">
      <c r="BJ862" t="str">
        <f t="shared" si="28"/>
        <v/>
      </c>
      <c r="BK862" t="str">
        <f t="shared" si="29"/>
        <v/>
      </c>
    </row>
    <row r="863" spans="62:63" ht="14.5">
      <c r="BJ863" t="str">
        <f t="shared" si="28"/>
        <v/>
      </c>
      <c r="BK863" t="str">
        <f t="shared" si="29"/>
        <v/>
      </c>
    </row>
    <row r="864" spans="62:63" ht="14.5">
      <c r="BJ864" t="str">
        <f t="shared" si="28"/>
        <v/>
      </c>
      <c r="BK864" t="str">
        <f t="shared" si="29"/>
        <v/>
      </c>
    </row>
    <row r="865" spans="62:63" ht="14.5">
      <c r="BJ865" t="str">
        <f t="shared" si="28"/>
        <v/>
      </c>
      <c r="BK865" t="str">
        <f t="shared" si="29"/>
        <v/>
      </c>
    </row>
    <row r="866" spans="62:63" ht="14.5">
      <c r="BJ866" t="str">
        <f t="shared" si="28"/>
        <v/>
      </c>
      <c r="BK866" t="str">
        <f t="shared" si="29"/>
        <v/>
      </c>
    </row>
    <row r="867" spans="62:63" ht="14.5">
      <c r="BJ867" t="str">
        <f t="shared" si="28"/>
        <v/>
      </c>
      <c r="BK867" t="str">
        <f t="shared" si="29"/>
        <v/>
      </c>
    </row>
    <row r="868" spans="62:63" ht="14.5">
      <c r="BJ868" t="str">
        <f t="shared" si="28"/>
        <v/>
      </c>
      <c r="BK868" t="str">
        <f t="shared" si="29"/>
        <v/>
      </c>
    </row>
    <row r="869" spans="62:63" ht="14.5">
      <c r="BJ869" t="str">
        <f t="shared" si="30" ref="BJ869:BJ932">MID(C869,5,3)</f>
        <v/>
      </c>
      <c r="BK869" t="str">
        <f t="shared" si="31" ref="BK869:BK932">RIGHT(C869,3)</f>
        <v/>
      </c>
    </row>
    <row r="870" spans="62:63" ht="14.5">
      <c r="BJ870" t="str">
        <f t="shared" si="30"/>
        <v/>
      </c>
      <c r="BK870" t="str">
        <f t="shared" si="31"/>
        <v/>
      </c>
    </row>
    <row r="871" spans="62:63" ht="14.5">
      <c r="BJ871" t="str">
        <f t="shared" si="30"/>
        <v/>
      </c>
      <c r="BK871" t="str">
        <f t="shared" si="31"/>
        <v/>
      </c>
    </row>
    <row r="872" spans="62:63" ht="14.5">
      <c r="BJ872" t="str">
        <f t="shared" si="30"/>
        <v/>
      </c>
      <c r="BK872" t="str">
        <f t="shared" si="31"/>
        <v/>
      </c>
    </row>
    <row r="873" spans="62:63" ht="14.5">
      <c r="BJ873" t="str">
        <f t="shared" si="30"/>
        <v/>
      </c>
      <c r="BK873" t="str">
        <f t="shared" si="31"/>
        <v/>
      </c>
    </row>
    <row r="874" spans="62:63" ht="14.5">
      <c r="BJ874" t="str">
        <f t="shared" si="30"/>
        <v/>
      </c>
      <c r="BK874" t="str">
        <f t="shared" si="31"/>
        <v/>
      </c>
    </row>
    <row r="875" spans="62:63" ht="14.5">
      <c r="BJ875" t="str">
        <f t="shared" si="30"/>
        <v/>
      </c>
      <c r="BK875" t="str">
        <f t="shared" si="31"/>
        <v/>
      </c>
    </row>
    <row r="876" spans="62:63" ht="14.5">
      <c r="BJ876" t="str">
        <f t="shared" si="30"/>
        <v/>
      </c>
      <c r="BK876" t="str">
        <f t="shared" si="31"/>
        <v/>
      </c>
    </row>
    <row r="877" spans="62:63" ht="14.5">
      <c r="BJ877" t="str">
        <f t="shared" si="30"/>
        <v/>
      </c>
      <c r="BK877" t="str">
        <f t="shared" si="31"/>
        <v/>
      </c>
    </row>
    <row r="878" spans="62:63" ht="14.5">
      <c r="BJ878" t="str">
        <f t="shared" si="30"/>
        <v/>
      </c>
      <c r="BK878" t="str">
        <f t="shared" si="31"/>
        <v/>
      </c>
    </row>
    <row r="879" spans="62:63" ht="14.5">
      <c r="BJ879" t="str">
        <f t="shared" si="30"/>
        <v/>
      </c>
      <c r="BK879" t="str">
        <f t="shared" si="31"/>
        <v/>
      </c>
    </row>
    <row r="880" spans="62:63" ht="14.5">
      <c r="BJ880" t="str">
        <f t="shared" si="30"/>
        <v/>
      </c>
      <c r="BK880" t="str">
        <f t="shared" si="31"/>
        <v/>
      </c>
    </row>
    <row r="881" spans="62:63" ht="14.5">
      <c r="BJ881" t="str">
        <f t="shared" si="30"/>
        <v/>
      </c>
      <c r="BK881" t="str">
        <f t="shared" si="31"/>
        <v/>
      </c>
    </row>
    <row r="882" spans="62:63" ht="14.5">
      <c r="BJ882" t="str">
        <f t="shared" si="30"/>
        <v/>
      </c>
      <c r="BK882" t="str">
        <f t="shared" si="31"/>
        <v/>
      </c>
    </row>
    <row r="883" spans="62:63" ht="14.5">
      <c r="BJ883" t="str">
        <f t="shared" si="30"/>
        <v/>
      </c>
      <c r="BK883" t="str">
        <f t="shared" si="31"/>
        <v/>
      </c>
    </row>
    <row r="884" spans="62:63" ht="14.5">
      <c r="BJ884" t="str">
        <f t="shared" si="30"/>
        <v/>
      </c>
      <c r="BK884" t="str">
        <f t="shared" si="31"/>
        <v/>
      </c>
    </row>
    <row r="885" spans="62:63" ht="14.5">
      <c r="BJ885" t="str">
        <f t="shared" si="30"/>
        <v/>
      </c>
      <c r="BK885" t="str">
        <f t="shared" si="31"/>
        <v/>
      </c>
    </row>
    <row r="886" spans="62:63" ht="14.5">
      <c r="BJ886" t="str">
        <f t="shared" si="30"/>
        <v/>
      </c>
      <c r="BK886" t="str">
        <f t="shared" si="31"/>
        <v/>
      </c>
    </row>
    <row r="887" spans="62:63" ht="14.5">
      <c r="BJ887" t="str">
        <f t="shared" si="30"/>
        <v/>
      </c>
      <c r="BK887" t="str">
        <f t="shared" si="31"/>
        <v/>
      </c>
    </row>
    <row r="888" spans="62:63" ht="14.5">
      <c r="BJ888" t="str">
        <f t="shared" si="30"/>
        <v/>
      </c>
      <c r="BK888" t="str">
        <f t="shared" si="31"/>
        <v/>
      </c>
    </row>
    <row r="889" spans="62:63" ht="14.5">
      <c r="BJ889" t="str">
        <f t="shared" si="30"/>
        <v/>
      </c>
      <c r="BK889" t="str">
        <f t="shared" si="31"/>
        <v/>
      </c>
    </row>
    <row r="890" spans="62:63" ht="14.5">
      <c r="BJ890" t="str">
        <f t="shared" si="30"/>
        <v/>
      </c>
      <c r="BK890" t="str">
        <f t="shared" si="31"/>
        <v/>
      </c>
    </row>
    <row r="891" spans="62:63" ht="14.5">
      <c r="BJ891" t="str">
        <f t="shared" si="30"/>
        <v/>
      </c>
      <c r="BK891" t="str">
        <f t="shared" si="31"/>
        <v/>
      </c>
    </row>
    <row r="892" spans="62:63" ht="14.5">
      <c r="BJ892" t="str">
        <f t="shared" si="30"/>
        <v/>
      </c>
      <c r="BK892" t="str">
        <f t="shared" si="31"/>
        <v/>
      </c>
    </row>
    <row r="893" spans="62:63" ht="14.5">
      <c r="BJ893" t="str">
        <f t="shared" si="30"/>
        <v/>
      </c>
      <c r="BK893" t="str">
        <f t="shared" si="31"/>
        <v/>
      </c>
    </row>
    <row r="894" spans="62:63" ht="14.5">
      <c r="BJ894" t="str">
        <f t="shared" si="30"/>
        <v/>
      </c>
      <c r="BK894" t="str">
        <f t="shared" si="31"/>
        <v/>
      </c>
    </row>
    <row r="895" spans="62:63" ht="14.5">
      <c r="BJ895" t="str">
        <f t="shared" si="30"/>
        <v/>
      </c>
      <c r="BK895" t="str">
        <f t="shared" si="31"/>
        <v/>
      </c>
    </row>
    <row r="896" spans="62:63" ht="14.5">
      <c r="BJ896" t="str">
        <f t="shared" si="30"/>
        <v/>
      </c>
      <c r="BK896" t="str">
        <f t="shared" si="31"/>
        <v/>
      </c>
    </row>
    <row r="897" spans="62:63" ht="14.5">
      <c r="BJ897" t="str">
        <f t="shared" si="30"/>
        <v/>
      </c>
      <c r="BK897" t="str">
        <f t="shared" si="31"/>
        <v/>
      </c>
    </row>
    <row r="898" spans="62:63" ht="14.5">
      <c r="BJ898" t="str">
        <f t="shared" si="30"/>
        <v/>
      </c>
      <c r="BK898" t="str">
        <f t="shared" si="31"/>
        <v/>
      </c>
    </row>
    <row r="899" spans="62:63" ht="14.5">
      <c r="BJ899" t="str">
        <f t="shared" si="30"/>
        <v/>
      </c>
      <c r="BK899" t="str">
        <f t="shared" si="31"/>
        <v/>
      </c>
    </row>
    <row r="900" spans="62:63" ht="14.5">
      <c r="BJ900" t="str">
        <f t="shared" si="30"/>
        <v/>
      </c>
      <c r="BK900" t="str">
        <f t="shared" si="31"/>
        <v/>
      </c>
    </row>
    <row r="901" spans="62:63" ht="14.5">
      <c r="BJ901" t="str">
        <f t="shared" si="30"/>
        <v/>
      </c>
      <c r="BK901" t="str">
        <f t="shared" si="31"/>
        <v/>
      </c>
    </row>
    <row r="902" spans="62:63" ht="14.5">
      <c r="BJ902" t="str">
        <f t="shared" si="30"/>
        <v/>
      </c>
      <c r="BK902" t="str">
        <f t="shared" si="31"/>
        <v/>
      </c>
    </row>
    <row r="903" spans="62:63" ht="14.5">
      <c r="BJ903" t="str">
        <f t="shared" si="30"/>
        <v/>
      </c>
      <c r="BK903" t="str">
        <f t="shared" si="31"/>
        <v/>
      </c>
    </row>
    <row r="904" spans="62:63" ht="14.5">
      <c r="BJ904" t="str">
        <f t="shared" si="30"/>
        <v/>
      </c>
      <c r="BK904" t="str">
        <f t="shared" si="31"/>
        <v/>
      </c>
    </row>
    <row r="905" spans="62:63" ht="14.5">
      <c r="BJ905" t="str">
        <f t="shared" si="30"/>
        <v/>
      </c>
      <c r="BK905" t="str">
        <f t="shared" si="31"/>
        <v/>
      </c>
    </row>
    <row r="906" spans="62:63" ht="14.5">
      <c r="BJ906" t="str">
        <f t="shared" si="30"/>
        <v/>
      </c>
      <c r="BK906" t="str">
        <f t="shared" si="31"/>
        <v/>
      </c>
    </row>
    <row r="907" spans="62:63" ht="14.5">
      <c r="BJ907" t="str">
        <f t="shared" si="30"/>
        <v/>
      </c>
      <c r="BK907" t="str">
        <f t="shared" si="31"/>
        <v/>
      </c>
    </row>
    <row r="908" spans="62:63" ht="14.5">
      <c r="BJ908" t="str">
        <f t="shared" si="30"/>
        <v/>
      </c>
      <c r="BK908" t="str">
        <f t="shared" si="31"/>
        <v/>
      </c>
    </row>
    <row r="909" spans="62:63" ht="14.5">
      <c r="BJ909" t="str">
        <f t="shared" si="30"/>
        <v/>
      </c>
      <c r="BK909" t="str">
        <f t="shared" si="31"/>
        <v/>
      </c>
    </row>
    <row r="910" spans="62:63" ht="14.5">
      <c r="BJ910" t="str">
        <f t="shared" si="30"/>
        <v/>
      </c>
      <c r="BK910" t="str">
        <f t="shared" si="31"/>
        <v/>
      </c>
    </row>
    <row r="911" spans="62:63" ht="14.5">
      <c r="BJ911" t="str">
        <f t="shared" si="30"/>
        <v/>
      </c>
      <c r="BK911" t="str">
        <f t="shared" si="31"/>
        <v/>
      </c>
    </row>
    <row r="912" spans="62:63" ht="14.5">
      <c r="BJ912" t="str">
        <f t="shared" si="30"/>
        <v/>
      </c>
      <c r="BK912" t="str">
        <f t="shared" si="31"/>
        <v/>
      </c>
    </row>
    <row r="913" spans="62:63" ht="14.5">
      <c r="BJ913" t="str">
        <f t="shared" si="30"/>
        <v/>
      </c>
      <c r="BK913" t="str">
        <f t="shared" si="31"/>
        <v/>
      </c>
    </row>
    <row r="914" spans="62:63" ht="14.5">
      <c r="BJ914" t="str">
        <f t="shared" si="30"/>
        <v/>
      </c>
      <c r="BK914" t="str">
        <f t="shared" si="31"/>
        <v/>
      </c>
    </row>
    <row r="915" spans="62:63" ht="14.5">
      <c r="BJ915" t="str">
        <f t="shared" si="30"/>
        <v/>
      </c>
      <c r="BK915" t="str">
        <f t="shared" si="31"/>
        <v/>
      </c>
    </row>
    <row r="916" spans="62:63" ht="14.5">
      <c r="BJ916" t="str">
        <f t="shared" si="30"/>
        <v/>
      </c>
      <c r="BK916" t="str">
        <f t="shared" si="31"/>
        <v/>
      </c>
    </row>
    <row r="917" spans="62:63" ht="14.5">
      <c r="BJ917" t="str">
        <f t="shared" si="30"/>
        <v/>
      </c>
      <c r="BK917" t="str">
        <f t="shared" si="31"/>
        <v/>
      </c>
    </row>
    <row r="918" spans="62:63" ht="14.5">
      <c r="BJ918" t="str">
        <f t="shared" si="30"/>
        <v/>
      </c>
      <c r="BK918" t="str">
        <f t="shared" si="31"/>
        <v/>
      </c>
    </row>
    <row r="919" spans="62:63" ht="14.5">
      <c r="BJ919" t="str">
        <f t="shared" si="30"/>
        <v/>
      </c>
      <c r="BK919" t="str">
        <f t="shared" si="31"/>
        <v/>
      </c>
    </row>
    <row r="920" spans="62:63" ht="14.5">
      <c r="BJ920" t="str">
        <f t="shared" si="30"/>
        <v/>
      </c>
      <c r="BK920" t="str">
        <f t="shared" si="31"/>
        <v/>
      </c>
    </row>
    <row r="921" spans="62:63" ht="14.5">
      <c r="BJ921" t="str">
        <f t="shared" si="30"/>
        <v/>
      </c>
      <c r="BK921" t="str">
        <f t="shared" si="31"/>
        <v/>
      </c>
    </row>
    <row r="922" spans="62:63" ht="14.5">
      <c r="BJ922" t="str">
        <f t="shared" si="30"/>
        <v/>
      </c>
      <c r="BK922" t="str">
        <f t="shared" si="31"/>
        <v/>
      </c>
    </row>
    <row r="923" spans="62:63" ht="14.5">
      <c r="BJ923" t="str">
        <f t="shared" si="30"/>
        <v/>
      </c>
      <c r="BK923" t="str">
        <f t="shared" si="31"/>
        <v/>
      </c>
    </row>
    <row r="924" spans="62:63" ht="14.5">
      <c r="BJ924" t="str">
        <f t="shared" si="30"/>
        <v/>
      </c>
      <c r="BK924" t="str">
        <f t="shared" si="31"/>
        <v/>
      </c>
    </row>
    <row r="925" spans="62:63" ht="14.5">
      <c r="BJ925" t="str">
        <f t="shared" si="30"/>
        <v/>
      </c>
      <c r="BK925" t="str">
        <f t="shared" si="31"/>
        <v/>
      </c>
    </row>
    <row r="926" spans="62:63" ht="14.5">
      <c r="BJ926" t="str">
        <f t="shared" si="30"/>
        <v/>
      </c>
      <c r="BK926" t="str">
        <f t="shared" si="31"/>
        <v/>
      </c>
    </row>
    <row r="927" spans="62:63" ht="14.5">
      <c r="BJ927" t="str">
        <f t="shared" si="30"/>
        <v/>
      </c>
      <c r="BK927" t="str">
        <f t="shared" si="31"/>
        <v/>
      </c>
    </row>
    <row r="928" spans="62:63" ht="14.5">
      <c r="BJ928" t="str">
        <f t="shared" si="30"/>
        <v/>
      </c>
      <c r="BK928" t="str">
        <f t="shared" si="31"/>
        <v/>
      </c>
    </row>
    <row r="929" spans="62:63" ht="14.5">
      <c r="BJ929" t="str">
        <f t="shared" si="30"/>
        <v/>
      </c>
      <c r="BK929" t="str">
        <f t="shared" si="31"/>
        <v/>
      </c>
    </row>
    <row r="930" spans="62:63" ht="14.5">
      <c r="BJ930" t="str">
        <f t="shared" si="30"/>
        <v/>
      </c>
      <c r="BK930" t="str">
        <f t="shared" si="31"/>
        <v/>
      </c>
    </row>
    <row r="931" spans="62:63" ht="14.5">
      <c r="BJ931" t="str">
        <f t="shared" si="30"/>
        <v/>
      </c>
      <c r="BK931" t="str">
        <f t="shared" si="31"/>
        <v/>
      </c>
    </row>
    <row r="932" spans="62:63" ht="14.5">
      <c r="BJ932" t="str">
        <f t="shared" si="30"/>
        <v/>
      </c>
      <c r="BK932" t="str">
        <f t="shared" si="31"/>
        <v/>
      </c>
    </row>
    <row r="933" spans="62:63" ht="14.5">
      <c r="BJ933" t="str">
        <f t="shared" si="32" ref="BJ933:BJ996">MID(C933,5,3)</f>
        <v/>
      </c>
      <c r="BK933" t="str">
        <f t="shared" si="33" ref="BK933:BK996">RIGHT(C933,3)</f>
        <v/>
      </c>
    </row>
    <row r="934" spans="62:63" ht="14.5">
      <c r="BJ934" t="str">
        <f t="shared" si="32"/>
        <v/>
      </c>
      <c r="BK934" t="str">
        <f t="shared" si="33"/>
        <v/>
      </c>
    </row>
    <row r="935" spans="62:63" ht="14.5">
      <c r="BJ935" t="str">
        <f t="shared" si="32"/>
        <v/>
      </c>
      <c r="BK935" t="str">
        <f t="shared" si="33"/>
        <v/>
      </c>
    </row>
    <row r="936" spans="62:63" ht="14.5">
      <c r="BJ936" t="str">
        <f t="shared" si="32"/>
        <v/>
      </c>
      <c r="BK936" t="str">
        <f t="shared" si="33"/>
        <v/>
      </c>
    </row>
    <row r="937" spans="62:63" ht="14.5">
      <c r="BJ937" t="str">
        <f t="shared" si="32"/>
        <v/>
      </c>
      <c r="BK937" t="str">
        <f t="shared" si="33"/>
        <v/>
      </c>
    </row>
    <row r="938" spans="62:63" ht="14.5">
      <c r="BJ938" t="str">
        <f t="shared" si="32"/>
        <v/>
      </c>
      <c r="BK938" t="str">
        <f t="shared" si="33"/>
        <v/>
      </c>
    </row>
    <row r="939" spans="62:63" ht="14.5">
      <c r="BJ939" t="str">
        <f t="shared" si="32"/>
        <v/>
      </c>
      <c r="BK939" t="str">
        <f t="shared" si="33"/>
        <v/>
      </c>
    </row>
    <row r="940" spans="62:63" ht="14.5">
      <c r="BJ940" t="str">
        <f t="shared" si="32"/>
        <v/>
      </c>
      <c r="BK940" t="str">
        <f t="shared" si="33"/>
        <v/>
      </c>
    </row>
    <row r="941" spans="62:63" ht="14.5">
      <c r="BJ941" t="str">
        <f t="shared" si="32"/>
        <v/>
      </c>
      <c r="BK941" t="str">
        <f t="shared" si="33"/>
        <v/>
      </c>
    </row>
    <row r="942" spans="62:63" ht="14.5">
      <c r="BJ942" t="str">
        <f t="shared" si="32"/>
        <v/>
      </c>
      <c r="BK942" t="str">
        <f t="shared" si="33"/>
        <v/>
      </c>
    </row>
    <row r="943" spans="62:63" ht="14.5">
      <c r="BJ943" t="str">
        <f t="shared" si="32"/>
        <v/>
      </c>
      <c r="BK943" t="str">
        <f t="shared" si="33"/>
        <v/>
      </c>
    </row>
    <row r="944" spans="62:63" ht="14.5">
      <c r="BJ944" t="str">
        <f t="shared" si="32"/>
        <v/>
      </c>
      <c r="BK944" t="str">
        <f t="shared" si="33"/>
        <v/>
      </c>
    </row>
    <row r="945" spans="62:63" ht="14.5">
      <c r="BJ945" t="str">
        <f t="shared" si="32"/>
        <v/>
      </c>
      <c r="BK945" t="str">
        <f t="shared" si="33"/>
        <v/>
      </c>
    </row>
    <row r="946" spans="62:63" ht="14.5">
      <c r="BJ946" t="str">
        <f t="shared" si="32"/>
        <v/>
      </c>
      <c r="BK946" t="str">
        <f t="shared" si="33"/>
        <v/>
      </c>
    </row>
    <row r="947" spans="62:63" ht="14.5">
      <c r="BJ947" t="str">
        <f t="shared" si="32"/>
        <v/>
      </c>
      <c r="BK947" t="str">
        <f t="shared" si="33"/>
        <v/>
      </c>
    </row>
    <row r="948" spans="62:63" ht="14.5">
      <c r="BJ948" t="str">
        <f t="shared" si="32"/>
        <v/>
      </c>
      <c r="BK948" t="str">
        <f t="shared" si="33"/>
        <v/>
      </c>
    </row>
    <row r="949" spans="62:63" ht="14.5">
      <c r="BJ949" t="str">
        <f t="shared" si="32"/>
        <v/>
      </c>
      <c r="BK949" t="str">
        <f t="shared" si="33"/>
        <v/>
      </c>
    </row>
    <row r="950" spans="62:63" ht="14.5">
      <c r="BJ950" t="str">
        <f t="shared" si="32"/>
        <v/>
      </c>
      <c r="BK950" t="str">
        <f t="shared" si="33"/>
        <v/>
      </c>
    </row>
    <row r="951" spans="62:63" ht="14.5">
      <c r="BJ951" t="str">
        <f t="shared" si="32"/>
        <v/>
      </c>
      <c r="BK951" t="str">
        <f t="shared" si="33"/>
        <v/>
      </c>
    </row>
    <row r="952" spans="62:63" ht="14.5">
      <c r="BJ952" t="str">
        <f t="shared" si="32"/>
        <v/>
      </c>
      <c r="BK952" t="str">
        <f t="shared" si="33"/>
        <v/>
      </c>
    </row>
    <row r="953" spans="62:63" ht="14.5">
      <c r="BJ953" t="str">
        <f t="shared" si="32"/>
        <v/>
      </c>
      <c r="BK953" t="str">
        <f t="shared" si="33"/>
        <v/>
      </c>
    </row>
    <row r="954" spans="62:63" ht="14.5">
      <c r="BJ954" t="str">
        <f t="shared" si="32"/>
        <v/>
      </c>
      <c r="BK954" t="str">
        <f t="shared" si="33"/>
        <v/>
      </c>
    </row>
    <row r="955" spans="62:63" ht="14.5">
      <c r="BJ955" t="str">
        <f t="shared" si="32"/>
        <v/>
      </c>
      <c r="BK955" t="str">
        <f t="shared" si="33"/>
        <v/>
      </c>
    </row>
    <row r="956" spans="62:63" ht="14.5">
      <c r="BJ956" t="str">
        <f t="shared" si="32"/>
        <v/>
      </c>
      <c r="BK956" t="str">
        <f t="shared" si="33"/>
        <v/>
      </c>
    </row>
    <row r="957" spans="62:63" ht="14.5">
      <c r="BJ957" t="str">
        <f t="shared" si="32"/>
        <v/>
      </c>
      <c r="BK957" t="str">
        <f t="shared" si="33"/>
        <v/>
      </c>
    </row>
    <row r="958" spans="62:63" ht="14.5">
      <c r="BJ958" t="str">
        <f t="shared" si="32"/>
        <v/>
      </c>
      <c r="BK958" t="str">
        <f t="shared" si="33"/>
        <v/>
      </c>
    </row>
    <row r="959" spans="62:63" ht="14.5">
      <c r="BJ959" t="str">
        <f t="shared" si="32"/>
        <v/>
      </c>
      <c r="BK959" t="str">
        <f t="shared" si="33"/>
        <v/>
      </c>
    </row>
    <row r="960" spans="62:63" ht="14.5">
      <c r="BJ960" t="str">
        <f t="shared" si="32"/>
        <v/>
      </c>
      <c r="BK960" t="str">
        <f t="shared" si="33"/>
        <v/>
      </c>
    </row>
    <row r="961" spans="62:63" ht="14.5">
      <c r="BJ961" t="str">
        <f t="shared" si="32"/>
        <v/>
      </c>
      <c r="BK961" t="str">
        <f t="shared" si="33"/>
        <v/>
      </c>
    </row>
    <row r="962" spans="62:63" ht="14.5">
      <c r="BJ962" t="str">
        <f t="shared" si="32"/>
        <v/>
      </c>
      <c r="BK962" t="str">
        <f t="shared" si="33"/>
        <v/>
      </c>
    </row>
    <row r="963" spans="62:63" ht="14.5">
      <c r="BJ963" t="str">
        <f t="shared" si="32"/>
        <v/>
      </c>
      <c r="BK963" t="str">
        <f t="shared" si="33"/>
        <v/>
      </c>
    </row>
    <row r="964" spans="62:63" ht="14.5">
      <c r="BJ964" t="str">
        <f t="shared" si="32"/>
        <v/>
      </c>
      <c r="BK964" t="str">
        <f t="shared" si="33"/>
        <v/>
      </c>
    </row>
    <row r="965" spans="62:63" ht="14.5">
      <c r="BJ965" t="str">
        <f t="shared" si="32"/>
        <v/>
      </c>
      <c r="BK965" t="str">
        <f t="shared" si="33"/>
        <v/>
      </c>
    </row>
    <row r="966" spans="62:63" ht="14.5">
      <c r="BJ966" t="str">
        <f t="shared" si="32"/>
        <v/>
      </c>
      <c r="BK966" t="str">
        <f t="shared" si="33"/>
        <v/>
      </c>
    </row>
    <row r="967" spans="62:63" ht="14.5">
      <c r="BJ967" t="str">
        <f t="shared" si="32"/>
        <v/>
      </c>
      <c r="BK967" t="str">
        <f t="shared" si="33"/>
        <v/>
      </c>
    </row>
    <row r="968" spans="62:63" ht="14.5">
      <c r="BJ968" t="str">
        <f t="shared" si="32"/>
        <v/>
      </c>
      <c r="BK968" t="str">
        <f t="shared" si="33"/>
        <v/>
      </c>
    </row>
    <row r="969" spans="62:63" ht="14.5">
      <c r="BJ969" t="str">
        <f t="shared" si="32"/>
        <v/>
      </c>
      <c r="BK969" t="str">
        <f t="shared" si="33"/>
        <v/>
      </c>
    </row>
    <row r="970" spans="62:63" ht="14.5">
      <c r="BJ970" t="str">
        <f t="shared" si="32"/>
        <v/>
      </c>
      <c r="BK970" t="str">
        <f t="shared" si="33"/>
        <v/>
      </c>
    </row>
    <row r="971" spans="62:63" ht="14.5">
      <c r="BJ971" t="str">
        <f t="shared" si="32"/>
        <v/>
      </c>
      <c r="BK971" t="str">
        <f t="shared" si="33"/>
        <v/>
      </c>
    </row>
    <row r="972" spans="62:63" ht="14.5">
      <c r="BJ972" t="str">
        <f t="shared" si="32"/>
        <v/>
      </c>
      <c r="BK972" t="str">
        <f t="shared" si="33"/>
        <v/>
      </c>
    </row>
    <row r="973" spans="62:63" ht="14.5">
      <c r="BJ973" t="str">
        <f t="shared" si="32"/>
        <v/>
      </c>
      <c r="BK973" t="str">
        <f t="shared" si="33"/>
        <v/>
      </c>
    </row>
    <row r="974" spans="62:63" ht="14.5">
      <c r="BJ974" t="str">
        <f t="shared" si="32"/>
        <v/>
      </c>
      <c r="BK974" t="str">
        <f t="shared" si="33"/>
        <v/>
      </c>
    </row>
    <row r="975" spans="62:63" ht="14.5">
      <c r="BJ975" t="str">
        <f t="shared" si="32"/>
        <v/>
      </c>
      <c r="BK975" t="str">
        <f t="shared" si="33"/>
        <v/>
      </c>
    </row>
    <row r="976" spans="62:63" ht="14.5">
      <c r="BJ976" t="str">
        <f t="shared" si="32"/>
        <v/>
      </c>
      <c r="BK976" t="str">
        <f t="shared" si="33"/>
        <v/>
      </c>
    </row>
    <row r="977" spans="62:63" ht="14.5">
      <c r="BJ977" t="str">
        <f t="shared" si="32"/>
        <v/>
      </c>
      <c r="BK977" t="str">
        <f t="shared" si="33"/>
        <v/>
      </c>
    </row>
    <row r="978" spans="62:63" ht="14.5">
      <c r="BJ978" t="str">
        <f t="shared" si="32"/>
        <v/>
      </c>
      <c r="BK978" t="str">
        <f t="shared" si="33"/>
        <v/>
      </c>
    </row>
    <row r="979" spans="62:63" ht="14.5">
      <c r="BJ979" t="str">
        <f t="shared" si="32"/>
        <v/>
      </c>
      <c r="BK979" t="str">
        <f t="shared" si="33"/>
        <v/>
      </c>
    </row>
    <row r="980" spans="62:63" ht="14.5">
      <c r="BJ980" t="str">
        <f t="shared" si="32"/>
        <v/>
      </c>
      <c r="BK980" t="str">
        <f t="shared" si="33"/>
        <v/>
      </c>
    </row>
    <row r="981" spans="62:63" ht="14.5">
      <c r="BJ981" t="str">
        <f t="shared" si="32"/>
        <v/>
      </c>
      <c r="BK981" t="str">
        <f t="shared" si="33"/>
        <v/>
      </c>
    </row>
    <row r="982" spans="62:63" ht="14.5">
      <c r="BJ982" t="str">
        <f t="shared" si="32"/>
        <v/>
      </c>
      <c r="BK982" t="str">
        <f t="shared" si="33"/>
        <v/>
      </c>
    </row>
    <row r="983" spans="62:63" ht="14.5">
      <c r="BJ983" t="str">
        <f t="shared" si="32"/>
        <v/>
      </c>
      <c r="BK983" t="str">
        <f t="shared" si="33"/>
        <v/>
      </c>
    </row>
    <row r="984" spans="62:63" ht="14.5">
      <c r="BJ984" t="str">
        <f t="shared" si="32"/>
        <v/>
      </c>
      <c r="BK984" t="str">
        <f t="shared" si="33"/>
        <v/>
      </c>
    </row>
    <row r="985" spans="62:63" ht="14.5">
      <c r="BJ985" t="str">
        <f t="shared" si="32"/>
        <v/>
      </c>
      <c r="BK985" t="str">
        <f t="shared" si="33"/>
        <v/>
      </c>
    </row>
    <row r="986" spans="62:63" ht="14.5">
      <c r="BJ986" t="str">
        <f t="shared" si="32"/>
        <v/>
      </c>
      <c r="BK986" t="str">
        <f t="shared" si="33"/>
        <v/>
      </c>
    </row>
    <row r="987" spans="62:63" ht="14.5">
      <c r="BJ987" t="str">
        <f t="shared" si="32"/>
        <v/>
      </c>
      <c r="BK987" t="str">
        <f t="shared" si="33"/>
        <v/>
      </c>
    </row>
    <row r="988" spans="62:63" ht="14.5">
      <c r="BJ988" t="str">
        <f t="shared" si="32"/>
        <v/>
      </c>
      <c r="BK988" t="str">
        <f t="shared" si="33"/>
        <v/>
      </c>
    </row>
    <row r="989" spans="62:63" ht="14.5">
      <c r="BJ989" t="str">
        <f t="shared" si="32"/>
        <v/>
      </c>
      <c r="BK989" t="str">
        <f t="shared" si="33"/>
        <v/>
      </c>
    </row>
    <row r="990" spans="62:63" ht="14.5">
      <c r="BJ990" t="str">
        <f t="shared" si="32"/>
        <v/>
      </c>
      <c r="BK990" t="str">
        <f t="shared" si="33"/>
        <v/>
      </c>
    </row>
    <row r="991" spans="62:63" ht="14.5">
      <c r="BJ991" t="str">
        <f t="shared" si="32"/>
        <v/>
      </c>
      <c r="BK991" t="str">
        <f t="shared" si="33"/>
        <v/>
      </c>
    </row>
    <row r="992" spans="62:63" ht="14.5">
      <c r="BJ992" t="str">
        <f t="shared" si="32"/>
        <v/>
      </c>
      <c r="BK992" t="str">
        <f t="shared" si="33"/>
        <v/>
      </c>
    </row>
    <row r="993" spans="62:63" ht="14.5">
      <c r="BJ993" t="str">
        <f t="shared" si="32"/>
        <v/>
      </c>
      <c r="BK993" t="str">
        <f t="shared" si="33"/>
        <v/>
      </c>
    </row>
    <row r="994" spans="62:63" ht="14.5">
      <c r="BJ994" t="str">
        <f t="shared" si="32"/>
        <v/>
      </c>
      <c r="BK994" t="str">
        <f t="shared" si="33"/>
        <v/>
      </c>
    </row>
    <row r="995" spans="62:63" ht="14.5">
      <c r="BJ995" t="str">
        <f t="shared" si="32"/>
        <v/>
      </c>
      <c r="BK995" t="str">
        <f t="shared" si="33"/>
        <v/>
      </c>
    </row>
    <row r="996" spans="62:63" ht="14.5">
      <c r="BJ996" t="str">
        <f t="shared" si="32"/>
        <v/>
      </c>
      <c r="BK996" t="str">
        <f t="shared" si="33"/>
        <v/>
      </c>
    </row>
    <row r="997" spans="62:63" ht="14.5">
      <c r="BJ997" t="str">
        <f t="shared" si="34" ref="BJ997:BJ999">MID(C997,5,3)</f>
        <v/>
      </c>
      <c r="BK997" t="str">
        <f t="shared" si="35" ref="BK997:BK999">RIGHT(C997,3)</f>
        <v/>
      </c>
    </row>
    <row r="998" spans="62:63" ht="14.5">
      <c r="BJ998" t="str">
        <f t="shared" si="34"/>
        <v/>
      </c>
      <c r="BK998" t="str">
        <f t="shared" si="35"/>
        <v/>
      </c>
    </row>
    <row r="999" spans="62:63" ht="14.5">
      <c r="BJ999" t="str">
        <f t="shared" si="34"/>
        <v/>
      </c>
      <c r="BK999" t="str">
        <f t="shared" si="3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etc="http://www.wps.cn/officeDocument/2017/etCustomData" mc:Ignorable="x14ac xr xr2 xr3" xr:uid="{00000000-0001-0000-0200-000000000000}">
  <dimension ref="A1:BH80"/>
  <sheetViews>
    <sheetView tabSelected="1" zoomScale="87" zoomScaleNormal="87" workbookViewId="0" topLeftCell="A1">
      <selection pane="topLeft" activeCell="L16" sqref="L16"/>
    </sheetView>
  </sheetViews>
  <sheetFormatPr defaultColWidth="9.00428571428571" defaultRowHeight="14.5"/>
  <cols>
    <col min="2" max="2" width="10.2857142857143" customWidth="1"/>
    <col min="3" max="3" width="21.4285714285714" customWidth="1"/>
    <col min="4" max="4" width="15.4285714285714" customWidth="1"/>
    <col min="5" max="6" width="5.85714285714286" customWidth="1"/>
    <col min="7" max="7" width="6.14285714285714" customWidth="1"/>
    <col min="8" max="8" width="8.85714285714286" customWidth="1"/>
    <col min="9" max="9" width="17.2857142857143" customWidth="1"/>
    <col min="10" max="10" width="8.14285714285714" customWidth="1"/>
    <col min="11" max="45" width="7.71428571428571" customWidth="1"/>
    <col min="46" max="46" width="8.28571428571429" customWidth="1"/>
    <col min="47" max="47" width="6" customWidth="1"/>
  </cols>
  <sheetData>
    <row r="1" spans="13:59" ht="14.5">
      <c r="M1" t="s">
        <v>17</v>
      </c>
      <c r="N1" t="s">
        <v>7</v>
      </c>
      <c r="O1" t="s">
        <v>122</v>
      </c>
      <c r="P1" t="s">
        <v>123</v>
      </c>
      <c r="Q1" t="s">
        <v>32</v>
      </c>
      <c r="R1" t="s">
        <v>43</v>
      </c>
      <c r="S1" t="s">
        <v>124</v>
      </c>
      <c r="T1" t="s">
        <v>125</v>
      </c>
      <c r="U1" t="s">
        <v>26</v>
      </c>
      <c r="V1" t="s">
        <v>40</v>
      </c>
      <c r="W1" t="s">
        <v>126</v>
      </c>
      <c r="X1" t="s">
        <v>127</v>
      </c>
      <c r="Y1" t="s">
        <v>28</v>
      </c>
      <c r="Z1" t="s">
        <v>25</v>
      </c>
      <c r="AA1" t="s">
        <v>128</v>
      </c>
      <c r="AB1" t="s">
        <v>129</v>
      </c>
      <c r="AC1" t="s">
        <v>130</v>
      </c>
      <c r="AD1" t="s">
        <v>30</v>
      </c>
      <c r="AE1" t="s">
        <v>131</v>
      </c>
      <c r="AF1" t="s">
        <v>20</v>
      </c>
      <c r="AG1" t="s">
        <v>21</v>
      </c>
      <c r="AH1" t="s">
        <v>41</v>
      </c>
      <c r="AI1" t="s">
        <v>132</v>
      </c>
      <c r="AJ1" t="s">
        <v>133</v>
      </c>
      <c r="AK1" t="s">
        <v>14</v>
      </c>
      <c r="AL1" t="s">
        <v>134</v>
      </c>
      <c r="AM1" t="s">
        <v>135</v>
      </c>
      <c r="AN1" t="s">
        <v>136</v>
      </c>
      <c r="AO1" t="s">
        <v>27</v>
      </c>
      <c r="AP1" t="s">
        <v>37</v>
      </c>
      <c r="AQ1" t="s">
        <v>137</v>
      </c>
      <c r="AR1" t="s">
        <v>138</v>
      </c>
      <c r="AS1" t="s">
        <v>139</v>
      </c>
      <c r="AT1" t="s">
        <v>140</v>
      </c>
      <c r="AU1" t="s">
        <v>15</v>
      </c>
      <c r="AV1" t="s">
        <v>141</v>
      </c>
      <c r="AW1" t="s">
        <v>141</v>
      </c>
      <c r="AX1" t="s">
        <v>141</v>
      </c>
      <c r="AY1" t="s">
        <v>141</v>
      </c>
      <c r="AZ1" t="s">
        <v>141</v>
      </c>
      <c r="BA1" t="s">
        <v>141</v>
      </c>
      <c r="BB1" t="s">
        <v>141</v>
      </c>
      <c r="BC1" t="s">
        <v>141</v>
      </c>
      <c r="BD1" t="s">
        <v>141</v>
      </c>
      <c r="BE1" t="s">
        <v>141</v>
      </c>
      <c r="BF1" t="s">
        <v>141</v>
      </c>
      <c r="BG1" t="s">
        <v>142</v>
      </c>
    </row>
    <row r="2" spans="11:59" ht="14.5">
      <c r="K2" s="1" t="s">
        <v>143</v>
      </c>
      <c r="L2" s="1" t="s">
        <v>144</v>
      </c>
      <c r="M2" s="2">
        <v>0</v>
      </c>
      <c r="N2" s="2">
        <v>0.0015466859404332099</v>
      </c>
      <c r="O2" s="2">
        <v>0.0093742231922214394</v>
      </c>
      <c r="P2" s="2">
        <v>0.034163657257898203</v>
      </c>
      <c r="Q2" s="2">
        <v>0.035360718655853399</v>
      </c>
      <c r="R2" s="2">
        <v>0.054342222093243103</v>
      </c>
      <c r="S2" s="2">
        <v>0.26270131336865898</v>
      </c>
      <c r="T2" s="2">
        <v>0.014288821006787101</v>
      </c>
      <c r="U2" s="2">
        <v>0.0057869255139697696</v>
      </c>
      <c r="V2" s="2">
        <v>0.043868687670837597</v>
      </c>
      <c r="W2" s="2">
        <v>0.083110496453805097</v>
      </c>
      <c r="X2" s="2">
        <v>0.041650974876946099</v>
      </c>
      <c r="Y2" s="2">
        <v>0.0093187388178042306</v>
      </c>
      <c r="Z2" s="2">
        <v>0.052874917940331403</v>
      </c>
      <c r="AA2" s="2">
        <v>0.032251602082527003</v>
      </c>
      <c r="AB2" s="2">
        <v>0.027419290441534499</v>
      </c>
      <c r="AC2" s="2">
        <v>0.034024563286729502</v>
      </c>
      <c r="AD2" s="2">
        <v>0.00390313490238861</v>
      </c>
      <c r="AE2" s="2">
        <v>0.0104994932971253</v>
      </c>
      <c r="AF2" s="2">
        <v>0.031086675397541799</v>
      </c>
      <c r="AG2" s="2">
        <v>0</v>
      </c>
      <c r="AH2" s="2">
        <v>0.078224387127465503</v>
      </c>
      <c r="AI2" s="2">
        <v>0.063948055581320398</v>
      </c>
      <c r="AJ2" s="2">
        <v>0.040360023159631497</v>
      </c>
      <c r="AK2" s="2">
        <v>0.0118148447044803</v>
      </c>
      <c r="AL2" s="2">
        <v>0</v>
      </c>
      <c r="AM2" s="2">
        <v>0</v>
      </c>
      <c r="AN2" s="2">
        <v>0</v>
      </c>
      <c r="AO2" s="2">
        <v>0.0213826315120774</v>
      </c>
      <c r="AP2" s="2">
        <v>0.049325171230878602</v>
      </c>
      <c r="AQ2" s="2">
        <v>0.0134070831833431</v>
      </c>
      <c r="AR2" s="2">
        <v>0.022423166814141499</v>
      </c>
      <c r="AS2" s="2">
        <v>0.031073735883781199</v>
      </c>
      <c r="AT2" s="2">
        <v>0.047815345201810598</v>
      </c>
      <c r="AU2" s="2">
        <v>0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>
        <v>0.044220430355590597</v>
      </c>
    </row>
    <row r="3" spans="11:59" ht="14.5">
      <c r="K3" s="1"/>
      <c r="L3" s="1" t="s">
        <v>145</v>
      </c>
      <c r="M3" s="2">
        <v>0</v>
      </c>
      <c r="N3" s="2">
        <v>0</v>
      </c>
      <c r="O3" s="2">
        <v>6.3932502173468699E-05</v>
      </c>
      <c r="P3" s="2">
        <v>0.068913369130870206</v>
      </c>
      <c r="Q3" s="2">
        <v>0.037794492670513997</v>
      </c>
      <c r="R3" s="2">
        <v>0.067361802681070199</v>
      </c>
      <c r="S3" s="2">
        <v>0.453366100113129</v>
      </c>
      <c r="T3" s="2">
        <v>0.0097656200805798701</v>
      </c>
      <c r="U3" s="2">
        <v>0.052976032770542802</v>
      </c>
      <c r="V3" s="2">
        <v>0.064794502893123704</v>
      </c>
      <c r="W3" s="2">
        <v>0.0821698118854082</v>
      </c>
      <c r="X3" s="2">
        <v>0.056931929336453198</v>
      </c>
      <c r="Y3" s="2">
        <v>0.063781720673861994</v>
      </c>
      <c r="Z3" s="2">
        <v>0.064321857172131597</v>
      </c>
      <c r="AA3" s="2">
        <v>0.084226754431964604</v>
      </c>
      <c r="AB3" s="2">
        <v>0.00067262437758921101</v>
      </c>
      <c r="AC3" s="2">
        <v>0.054982695391366597</v>
      </c>
      <c r="AD3" s="2">
        <v>0.0584518356760712</v>
      </c>
      <c r="AE3" s="2">
        <v>0.00056855735612522504</v>
      </c>
      <c r="AF3" s="2">
        <v>0.050369739055252702</v>
      </c>
      <c r="AG3" s="2">
        <v>0</v>
      </c>
      <c r="AH3" s="2">
        <v>0.032418205387361697</v>
      </c>
      <c r="AI3" s="2">
        <v>0.19799653006587101</v>
      </c>
      <c r="AJ3" s="2">
        <v>0.059170906149918497</v>
      </c>
      <c r="AK3" s="2">
        <v>0.070993331595004094</v>
      </c>
      <c r="AL3" s="2">
        <v>0.00010266272373035399</v>
      </c>
      <c r="AM3" s="2">
        <v>0</v>
      </c>
      <c r="AN3" s="2">
        <v>0</v>
      </c>
      <c r="AO3" s="2">
        <v>0.068502964571788102</v>
      </c>
      <c r="AP3" s="2">
        <v>0.22224276406594201</v>
      </c>
      <c r="AQ3" s="2">
        <v>0.055117864031026698</v>
      </c>
      <c r="AR3" s="2">
        <v>0.0058119995396075097</v>
      </c>
      <c r="AS3" s="2">
        <v>0.05214825516063</v>
      </c>
      <c r="AT3" s="2">
        <v>0</v>
      </c>
      <c r="AU3" s="2">
        <v>0.026823157444209</v>
      </c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>
        <v>0.045617324142886002</v>
      </c>
    </row>
    <row r="5" spans="11:11" ht="14.5">
      <c r="K5" t="s">
        <v>146</v>
      </c>
    </row>
    <row r="6" spans="13:13" ht="14.5">
      <c r="M6" s="3" t="s">
        <v>147</v>
      </c>
    </row>
    <row r="8" spans="9:60" ht="14.5">
      <c r="I8" t="s">
        <v>148</v>
      </c>
      <c r="J8" t="s">
        <v>149</v>
      </c>
      <c r="K8" t="s">
        <v>150</v>
      </c>
      <c r="L8">
        <v>2018</v>
      </c>
      <c r="M8" t="str">
        <f>M1</f>
        <v>Africa_North</v>
      </c>
      <c r="N8" t="str">
        <f t="shared" si="0" ref="N8:AO8">N1</f>
        <v>Africa_Other</v>
      </c>
      <c r="O8" t="str">
        <f t="shared" si="0"/>
        <v>Australia_d</v>
      </c>
      <c r="P8" t="str">
        <f t="shared" si="0"/>
        <v>Austria_d</v>
      </c>
      <c r="Q8" t="str">
        <f t="shared" si="0"/>
        <v>Baltics</v>
      </c>
      <c r="R8" t="str">
        <f t="shared" si="0"/>
        <v>BeNeLux</v>
      </c>
      <c r="S8" t="str">
        <f t="shared" si="0"/>
        <v>Brazil_d</v>
      </c>
      <c r="T8" t="str">
        <f t="shared" si="0"/>
        <v>China_d</v>
      </c>
      <c r="U8" t="str">
        <f t="shared" si="0"/>
        <v>CroSloven</v>
      </c>
      <c r="V8" t="str">
        <f t="shared" si="0"/>
        <v>CzechSlovak</v>
      </c>
      <c r="W8" t="str">
        <f t="shared" si="0"/>
        <v>France_d</v>
      </c>
      <c r="X8" t="str">
        <f t="shared" si="0"/>
        <v>Germany_d</v>
      </c>
      <c r="Y8" t="str">
        <f t="shared" si="0"/>
        <v>GreeceCyp</v>
      </c>
      <c r="Z8" t="str">
        <f t="shared" si="0"/>
        <v>HunRomBul</v>
      </c>
      <c r="AA8" t="str">
        <f t="shared" si="0"/>
        <v>Iceland_d</v>
      </c>
      <c r="AB8" t="str">
        <f t="shared" si="0"/>
        <v>India_d</v>
      </c>
      <c r="AC8" t="str">
        <f t="shared" si="0"/>
        <v>Ireland_d</v>
      </c>
      <c r="AD8" t="str">
        <f t="shared" si="0"/>
        <v>ItalyMal</v>
      </c>
      <c r="AE8" t="str">
        <f t="shared" si="0"/>
        <v>Japan_d</v>
      </c>
      <c r="AF8" t="str">
        <f t="shared" si="0"/>
        <v>LatAm</v>
      </c>
      <c r="AG8" t="str">
        <f t="shared" si="0"/>
        <v>MidEast</v>
      </c>
      <c r="AH8" t="str">
        <f t="shared" si="0"/>
        <v>NorthAm</v>
      </c>
      <c r="AI8" t="str">
        <f t="shared" si="0"/>
        <v>Norway_d</v>
      </c>
      <c r="AJ8" t="str">
        <f t="shared" si="0"/>
        <v>Poland_d</v>
      </c>
      <c r="AK8" t="str">
        <f t="shared" si="0"/>
        <v>ROW</v>
      </c>
      <c r="AL8" t="str">
        <f t="shared" si="0"/>
        <v>Russia_d</v>
      </c>
      <c r="AM8" t="str">
        <f t="shared" si="0"/>
        <v>SaudiArabia_d</v>
      </c>
      <c r="AN8" t="str">
        <f t="shared" si="0"/>
        <v>SouthAfrica_d</v>
      </c>
      <c r="AO8" t="str">
        <f t="shared" si="0"/>
        <v>SpainPor</v>
      </c>
      <c r="AP8" t="str">
        <f t="shared" si="1" ref="AP8:BF8">AP1</f>
        <v>SweFinDen</v>
      </c>
      <c r="AQ8" t="str">
        <f t="shared" si="1"/>
        <v>Switzerland_d</v>
      </c>
      <c r="AR8" t="str">
        <f t="shared" si="1"/>
        <v>Turkey_d</v>
      </c>
      <c r="AS8" t="str">
        <f t="shared" si="1"/>
        <v>UK_d</v>
      </c>
      <c r="AT8" t="str">
        <f t="shared" si="1"/>
        <v>Ukraine_d</v>
      </c>
      <c r="AU8" t="str">
        <f t="shared" si="1"/>
        <v>WestBalkans</v>
      </c>
      <c r="AV8" t="str">
        <f t="shared" si="1"/>
        <v>\I:</v>
      </c>
      <c r="AW8" t="str">
        <f t="shared" si="1"/>
        <v>\I:</v>
      </c>
      <c r="AX8" t="str">
        <f t="shared" si="1"/>
        <v>\I:</v>
      </c>
      <c r="AY8" t="str">
        <f t="shared" si="1"/>
        <v>\I:</v>
      </c>
      <c r="AZ8" t="str">
        <f t="shared" si="1"/>
        <v>\I:</v>
      </c>
      <c r="BA8" t="str">
        <f t="shared" si="1"/>
        <v>\I:</v>
      </c>
      <c r="BB8" t="str">
        <f t="shared" si="1"/>
        <v>\I:</v>
      </c>
      <c r="BC8" t="str">
        <f t="shared" si="1"/>
        <v>\I:</v>
      </c>
      <c r="BD8" t="str">
        <f t="shared" si="1"/>
        <v>\I:</v>
      </c>
      <c r="BE8" t="str">
        <f t="shared" si="1"/>
        <v>\I:</v>
      </c>
      <c r="BF8" t="str">
        <f t="shared" si="1"/>
        <v>\I:</v>
      </c>
      <c r="BG8" t="s">
        <v>151</v>
      </c>
      <c r="BH8" t="s">
        <v>152</v>
      </c>
    </row>
    <row r="9" spans="9:12 59:60" ht="14.5">
      <c r="I9" t="s">
        <v>153</v>
      </c>
      <c r="J9" t="s">
        <v>154</v>
      </c>
      <c r="K9" t="s">
        <v>155</v>
      </c>
      <c r="L9">
        <v>1</v>
      </c>
      <c r="BG9">
        <v>0</v>
      </c>
      <c r="BH9">
        <v>3</v>
      </c>
    </row>
    <row r="10" spans="10:58" ht="14.5">
      <c r="J10" t="s">
        <v>154</v>
      </c>
      <c r="K10" t="s">
        <v>156</v>
      </c>
      <c r="M10" s="4">
        <f>IFERROR(-M2,"")</f>
        <v>0</v>
      </c>
      <c r="N10" s="4">
        <f t="shared" si="2" ref="N10:AO10">IFERROR(-N2,"")</f>
        <v>-0.0015466859404332099</v>
      </c>
      <c r="O10" s="4">
        <f t="shared" si="2"/>
        <v>-0.0093742231922214394</v>
      </c>
      <c r="P10" s="4">
        <f t="shared" si="2"/>
        <v>-0.034163657257898203</v>
      </c>
      <c r="Q10" s="4">
        <f t="shared" si="2"/>
        <v>-0.035360718655853399</v>
      </c>
      <c r="R10" s="4">
        <f t="shared" si="2"/>
        <v>-0.054342222093243103</v>
      </c>
      <c r="S10" s="4">
        <f t="shared" si="2"/>
        <v>-0.26270131336865898</v>
      </c>
      <c r="T10" s="4">
        <f t="shared" si="2"/>
        <v>-0.014288821006787101</v>
      </c>
      <c r="U10" s="4">
        <f t="shared" si="2"/>
        <v>-0.0057869255139697696</v>
      </c>
      <c r="V10" s="4">
        <f t="shared" si="2"/>
        <v>-0.043868687670837597</v>
      </c>
      <c r="W10" s="4">
        <f t="shared" si="2"/>
        <v>-0.083110496453805097</v>
      </c>
      <c r="X10" s="4">
        <f t="shared" si="2"/>
        <v>-0.041650974876946099</v>
      </c>
      <c r="Y10" s="4">
        <f t="shared" si="2"/>
        <v>-0.0093187388178042306</v>
      </c>
      <c r="Z10" s="4">
        <f t="shared" si="2"/>
        <v>-0.052874917940331403</v>
      </c>
      <c r="AA10" s="4">
        <f t="shared" si="2"/>
        <v>-0.032251602082527003</v>
      </c>
      <c r="AB10" s="4">
        <f t="shared" si="2"/>
        <v>-0.027419290441534499</v>
      </c>
      <c r="AC10" s="4">
        <f t="shared" si="2"/>
        <v>-0.034024563286729502</v>
      </c>
      <c r="AD10" s="4">
        <f t="shared" si="2"/>
        <v>-0.00390313490238861</v>
      </c>
      <c r="AE10" s="4">
        <f t="shared" si="2"/>
        <v>-0.0104994932971253</v>
      </c>
      <c r="AF10" s="4">
        <f t="shared" si="2"/>
        <v>-0.031086675397541799</v>
      </c>
      <c r="AG10" s="4">
        <f t="shared" si="2"/>
        <v>0</v>
      </c>
      <c r="AH10" s="4">
        <f t="shared" si="2"/>
        <v>-0.078224387127465503</v>
      </c>
      <c r="AI10" s="4">
        <f t="shared" si="2"/>
        <v>-0.063948055581320398</v>
      </c>
      <c r="AJ10" s="4">
        <f t="shared" si="2"/>
        <v>-0.040360023159631497</v>
      </c>
      <c r="AK10" s="4">
        <f t="shared" si="2"/>
        <v>-0.0118148447044803</v>
      </c>
      <c r="AL10" s="4">
        <f t="shared" si="2"/>
        <v>0</v>
      </c>
      <c r="AM10" s="4">
        <f t="shared" si="2"/>
        <v>0</v>
      </c>
      <c r="AN10" s="4">
        <f t="shared" si="2"/>
        <v>0</v>
      </c>
      <c r="AO10" s="4">
        <f t="shared" si="2"/>
        <v>-0.0213826315120774</v>
      </c>
      <c r="AP10" s="4">
        <f t="shared" si="3" ref="AP10:BF10">IFERROR(-AP2,"")</f>
        <v>-0.049325171230878602</v>
      </c>
      <c r="AQ10" s="4">
        <f t="shared" si="3"/>
        <v>-0.0134070831833431</v>
      </c>
      <c r="AR10" s="4">
        <f t="shared" si="3"/>
        <v>-0.022423166814141499</v>
      </c>
      <c r="AS10" s="4">
        <f t="shared" si="3"/>
        <v>-0.031073735883781199</v>
      </c>
      <c r="AT10" s="4">
        <f t="shared" si="3"/>
        <v>-0.047815345201810598</v>
      </c>
      <c r="AU10" s="4">
        <f t="shared" si="3"/>
        <v>0</v>
      </c>
      <c r="AV10" s="4">
        <f t="shared" si="3"/>
        <v>0</v>
      </c>
      <c r="AW10" s="4">
        <f t="shared" si="3"/>
        <v>0</v>
      </c>
      <c r="AX10" s="4">
        <f t="shared" si="3"/>
        <v>0</v>
      </c>
      <c r="AY10" s="4">
        <f t="shared" si="3"/>
        <v>0</v>
      </c>
      <c r="AZ10" s="4">
        <f t="shared" si="3"/>
        <v>0</v>
      </c>
      <c r="BA10" s="4">
        <f t="shared" si="3"/>
        <v>0</v>
      </c>
      <c r="BB10" s="4">
        <f t="shared" si="3"/>
        <v>0</v>
      </c>
      <c r="BC10" s="4">
        <f t="shared" si="3"/>
        <v>0</v>
      </c>
      <c r="BD10" s="4">
        <f t="shared" si="3"/>
        <v>0</v>
      </c>
      <c r="BE10" s="4">
        <f t="shared" si="3"/>
        <v>0</v>
      </c>
      <c r="BF10" s="4">
        <f t="shared" si="3"/>
        <v>0</v>
      </c>
    </row>
    <row r="11" spans="2:12 59:60" ht="14.5">
      <c r="B11" t="s">
        <v>157</v>
      </c>
      <c r="I11" t="s">
        <v>158</v>
      </c>
      <c r="J11" t="s">
        <v>154</v>
      </c>
      <c r="K11" t="s">
        <v>159</v>
      </c>
      <c r="L11">
        <v>1</v>
      </c>
      <c r="BG11">
        <v>0</v>
      </c>
      <c r="BH11">
        <v>3</v>
      </c>
    </row>
    <row r="12" spans="10:58" ht="14.5">
      <c r="J12" t="s">
        <v>154</v>
      </c>
      <c r="K12" t="s">
        <v>160</v>
      </c>
      <c r="M12" s="4">
        <f t="shared" si="4" ref="M12:BF12">IFERROR(-M3,"")</f>
        <v>0</v>
      </c>
      <c r="N12" s="4">
        <f t="shared" si="5" ref="N12:AO12">IFERROR(-N3,"")</f>
        <v>0</v>
      </c>
      <c r="O12" s="4">
        <f t="shared" si="5"/>
        <v>-6.3932502173468699E-05</v>
      </c>
      <c r="P12" s="4">
        <f t="shared" si="5"/>
        <v>-0.068913369130870206</v>
      </c>
      <c r="Q12" s="4">
        <f t="shared" si="5"/>
        <v>-0.037794492670513997</v>
      </c>
      <c r="R12" s="4">
        <f t="shared" si="5"/>
        <v>-0.067361802681070199</v>
      </c>
      <c r="S12" s="4">
        <f t="shared" si="5"/>
        <v>-0.453366100113129</v>
      </c>
      <c r="T12" s="4">
        <f t="shared" si="5"/>
        <v>-0.0097656200805798701</v>
      </c>
      <c r="U12" s="4">
        <f t="shared" si="5"/>
        <v>-0.052976032770542802</v>
      </c>
      <c r="V12" s="4">
        <f t="shared" si="5"/>
        <v>-0.064794502893123704</v>
      </c>
      <c r="W12" s="4">
        <f t="shared" si="5"/>
        <v>-0.0821698118854082</v>
      </c>
      <c r="X12" s="4">
        <f t="shared" si="5"/>
        <v>-0.056931929336453198</v>
      </c>
      <c r="Y12" s="4">
        <f t="shared" si="5"/>
        <v>-0.063781720673861994</v>
      </c>
      <c r="Z12" s="4">
        <f t="shared" si="5"/>
        <v>-0.064321857172131597</v>
      </c>
      <c r="AA12" s="4">
        <f t="shared" si="5"/>
        <v>-0.084226754431964604</v>
      </c>
      <c r="AB12" s="4">
        <f t="shared" si="5"/>
        <v>-0.00067262437758921101</v>
      </c>
      <c r="AC12" s="4">
        <f t="shared" si="5"/>
        <v>-0.054982695391366597</v>
      </c>
      <c r="AD12" s="4">
        <f t="shared" si="5"/>
        <v>-0.0584518356760712</v>
      </c>
      <c r="AE12" s="4">
        <f t="shared" si="5"/>
        <v>-0.00056855735612522504</v>
      </c>
      <c r="AF12" s="4">
        <f t="shared" si="5"/>
        <v>-0.050369739055252702</v>
      </c>
      <c r="AG12" s="4">
        <f t="shared" si="5"/>
        <v>0</v>
      </c>
      <c r="AH12" s="4">
        <f t="shared" si="5"/>
        <v>-0.032418205387361697</v>
      </c>
      <c r="AI12" s="4">
        <f t="shared" si="5"/>
        <v>-0.19799653006587101</v>
      </c>
      <c r="AJ12" s="4">
        <f t="shared" si="5"/>
        <v>-0.059170906149918497</v>
      </c>
      <c r="AK12" s="4">
        <f t="shared" si="5"/>
        <v>-0.070993331595004094</v>
      </c>
      <c r="AL12" s="4">
        <f t="shared" si="5"/>
        <v>-0.00010266272373035399</v>
      </c>
      <c r="AM12" s="4">
        <f t="shared" si="5"/>
        <v>0</v>
      </c>
      <c r="AN12" s="4">
        <f t="shared" si="5"/>
        <v>0</v>
      </c>
      <c r="AO12" s="4">
        <f t="shared" si="5"/>
        <v>-0.068502964571788102</v>
      </c>
      <c r="AP12" s="4">
        <f t="shared" si="4"/>
        <v>-0.22224276406594201</v>
      </c>
      <c r="AQ12" s="4">
        <f t="shared" si="4"/>
        <v>-0.055117864031026698</v>
      </c>
      <c r="AR12" s="4">
        <f t="shared" si="4"/>
        <v>-0.0058119995396075097</v>
      </c>
      <c r="AS12" s="4">
        <f t="shared" si="4"/>
        <v>-0.05214825516063</v>
      </c>
      <c r="AT12" s="4">
        <f t="shared" si="4"/>
        <v>0</v>
      </c>
      <c r="AU12" s="4">
        <f t="shared" si="4"/>
        <v>-0.026823157444209</v>
      </c>
      <c r="AV12" s="4">
        <f t="shared" si="4"/>
        <v>0</v>
      </c>
      <c r="AW12" s="4">
        <f t="shared" si="4"/>
        <v>0</v>
      </c>
      <c r="AX12" s="4">
        <f t="shared" si="4"/>
        <v>0</v>
      </c>
      <c r="AY12" s="4">
        <f t="shared" si="4"/>
        <v>0</v>
      </c>
      <c r="AZ12" s="4">
        <f t="shared" si="4"/>
        <v>0</v>
      </c>
      <c r="BA12" s="4">
        <f t="shared" si="4"/>
        <v>0</v>
      </c>
      <c r="BB12" s="4">
        <f t="shared" si="4"/>
        <v>0</v>
      </c>
      <c r="BC12" s="4">
        <f t="shared" si="4"/>
        <v>0</v>
      </c>
      <c r="BD12" s="4">
        <f t="shared" si="4"/>
        <v>0</v>
      </c>
      <c r="BE12" s="4">
        <f t="shared" si="4"/>
        <v>0</v>
      </c>
      <c r="BF12" s="4">
        <f t="shared" si="4"/>
        <v>0</v>
      </c>
    </row>
    <row r="18" spans="13:58" ht="14.5"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</row>
    <row r="20" spans="13:58" ht="14.5"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</row>
    <row r="26" spans="11:11" ht="14.5">
      <c r="K26" t="s">
        <v>161</v>
      </c>
    </row>
    <row r="27" spans="11:14" ht="14.5">
      <c r="K27" t="s">
        <v>162</v>
      </c>
      <c r="L27" t="s">
        <v>163</v>
      </c>
      <c r="M27" t="s">
        <v>164</v>
      </c>
      <c r="N27" t="s">
        <v>165</v>
      </c>
    </row>
    <row r="28" spans="2:14" ht="14.5">
      <c r="B28" t="s">
        <v>166</v>
      </c>
      <c r="L28" t="s">
        <v>62</v>
      </c>
      <c r="M28" t="s">
        <v>167</v>
      </c>
      <c r="N28" t="s">
        <v>168</v>
      </c>
    </row>
    <row r="29" spans="2:5" ht="14.5">
      <c r="B29" t="s">
        <v>4</v>
      </c>
      <c r="C29" t="s">
        <v>169</v>
      </c>
      <c r="D29" t="s">
        <v>164</v>
      </c>
      <c r="E29" t="s">
        <v>170</v>
      </c>
    </row>
    <row r="30" spans="2:5" ht="14.5">
      <c r="B30" t="s">
        <v>171</v>
      </c>
      <c r="C30" t="s">
        <v>172</v>
      </c>
      <c r="D30" t="s">
        <v>154</v>
      </c>
      <c r="E30">
        <v>2150</v>
      </c>
    </row>
    <row r="33" spans="2:53" ht="14.5">
      <c r="B33" t="s">
        <v>59</v>
      </c>
      <c r="C33" t="s">
        <v>60</v>
      </c>
      <c r="D33" t="str">
        <f>IF(BY_TRA!L1="","\I:",BY_TRA!L1)</f>
        <v>Africa_North</v>
      </c>
      <c r="E33" t="str">
        <f>IF(BY_TRA!M1="","\I:",BY_TRA!M1)</f>
        <v>Africa_Other</v>
      </c>
      <c r="F33" t="str">
        <f>IF(BY_TRA!N1="","\I:",BY_TRA!N1)</f>
        <v>Australia</v>
      </c>
      <c r="G33" t="str">
        <f>IF(BY_TRA!O1="","\I:",BY_TRA!O1)</f>
        <v>Austria</v>
      </c>
      <c r="H33" t="str">
        <f>IF(BY_TRA!P1="","\I:",BY_TRA!P1)</f>
        <v>Baltics</v>
      </c>
      <c r="I33" t="str">
        <f>IF(BY_TRA!Q1="","\I:",BY_TRA!Q1)</f>
        <v>BeNeLux</v>
      </c>
      <c r="J33" t="str">
        <f>IF(BY_TRA!R1="","\I:",BY_TRA!R1)</f>
        <v>Brazil</v>
      </c>
      <c r="K33" t="str">
        <f>IF(BY_TRA!S1="","\I:",BY_TRA!S1)</f>
        <v>China</v>
      </c>
      <c r="L33" t="str">
        <f>IF(BY_TRA!T1="","\I:",BY_TRA!T1)</f>
        <v>CroSloven</v>
      </c>
      <c r="M33" t="str">
        <f>IF(BY_TRA!U1="","\I:",BY_TRA!U1)</f>
        <v>CzechSlovak</v>
      </c>
      <c r="N33" t="str">
        <f>IF(BY_TRA!V1="","\I:",BY_TRA!V1)</f>
        <v>France</v>
      </c>
      <c r="O33" t="str">
        <f>IF(BY_TRA!W1="","\I:",BY_TRA!W1)</f>
        <v>Germany</v>
      </c>
      <c r="P33" t="str">
        <f>IF(BY_TRA!X1="","\I:",BY_TRA!X1)</f>
        <v>GreeceCyp</v>
      </c>
      <c r="Q33" t="str">
        <f>IF(BY_TRA!Y1="","\I:",BY_TRA!Y1)</f>
        <v>HunRomBul</v>
      </c>
      <c r="R33" t="str">
        <f>IF(BY_TRA!Z1="","\I:",BY_TRA!Z1)</f>
        <v>Iceland</v>
      </c>
      <c r="S33" t="str">
        <f>IF(BY_TRA!AA1="","\I:",BY_TRA!AA1)</f>
        <v>India</v>
      </c>
      <c r="T33" t="str">
        <f>IF(BY_TRA!AB1="","\I:",BY_TRA!AB1)</f>
        <v>Ireland</v>
      </c>
      <c r="U33" t="str">
        <f>IF(BY_TRA!AC1="","\I:",BY_TRA!AC1)</f>
        <v>ItalyMal</v>
      </c>
      <c r="V33" t="str">
        <f>IF(BY_TRA!AD1="","\I:",BY_TRA!AD1)</f>
        <v>Japan</v>
      </c>
      <c r="W33" t="str">
        <f>IF(BY_TRA!AE1="","\I:",BY_TRA!AE1)</f>
        <v>LatAm</v>
      </c>
      <c r="X33" t="str">
        <f>IF(BY_TRA!AF1="","\I:",BY_TRA!AF1)</f>
        <v>MidEast</v>
      </c>
      <c r="Y33" t="str">
        <f>IF(BY_TRA!AG1="","\I:",BY_TRA!AG1)</f>
        <v>NorthAm</v>
      </c>
      <c r="Z33" t="str">
        <f>IF(BY_TRA!AH1="","\I:",BY_TRA!AH1)</f>
        <v>Norway</v>
      </c>
      <c r="AA33" t="str">
        <f>IF(BY_TRA!AI1="","\I:",BY_TRA!AI1)</f>
        <v>Poland</v>
      </c>
      <c r="AB33" t="str">
        <f>IF(BY_TRA!AJ1="","\I:",BY_TRA!AJ1)</f>
        <v>ROW</v>
      </c>
      <c r="AC33" t="str">
        <f>IF(BY_TRA!AK1="","\I:",BY_TRA!AK1)</f>
        <v>Russia</v>
      </c>
      <c r="AD33" t="str">
        <f>IF(BY_TRA!AL1="","\I:",BY_TRA!AL1)</f>
        <v>SaudiArabia</v>
      </c>
      <c r="AE33" t="str">
        <f>IF(BY_TRA!AM1="","\I:",BY_TRA!AM1)</f>
        <v>SouthAfrica</v>
      </c>
      <c r="AF33" t="str">
        <f>IF(BY_TRA!AN1="","\I:",BY_TRA!AN1)</f>
        <v>SpainPor</v>
      </c>
      <c r="AG33" t="str">
        <f>IF(BY_TRA!AO1="","\I:",BY_TRA!AO1)</f>
        <v>SweFinDen</v>
      </c>
      <c r="AH33" t="str">
        <f>IF(BY_TRA!AP1="","\I:",BY_TRA!AP1)</f>
        <v>Switzerland</v>
      </c>
      <c r="AI33" t="str">
        <f>IF(BY_TRA!AQ1="","\I:",BY_TRA!AQ1)</f>
        <v>Turkey</v>
      </c>
      <c r="AJ33" t="str">
        <f>IF(BY_TRA!AR1="","\I:",BY_TRA!AR1)</f>
        <v>UK</v>
      </c>
      <c r="AK33" t="str">
        <f>IF(BY_TRA!AS1="","\I:",BY_TRA!AS1)</f>
        <v>Ukraine</v>
      </c>
      <c r="AL33" t="str">
        <f>IF(BY_TRA!AT1="","\I:",BY_TRA!AT1)</f>
        <v>WestBalkans</v>
      </c>
      <c r="AM33" t="str">
        <f>IF(BY_TRA!AU1="","\I:",BY_TRA!AU1)</f>
        <v>year2</v>
      </c>
      <c r="AN33" t="str">
        <f>IF(BY_TRA!AV1="","\I:",BY_TRA!AV1)</f>
        <v>\I:</v>
      </c>
      <c r="AO33" t="str">
        <f>IF(BY_TRA!AW1="","\I:",BY_TRA!AW1)</f>
        <v>\I:</v>
      </c>
      <c r="AP33" t="str">
        <f>IF(BY_TRA!AX1="","\I:",BY_TRA!AX1)</f>
        <v>\I:</v>
      </c>
      <c r="AQ33" t="str">
        <f>IF(BY_TRA!AY1="","\I:",BY_TRA!AY1)</f>
        <v>\I:</v>
      </c>
      <c r="AR33" t="str">
        <f>IF(BY_TRA!AZ1="","\I:",BY_TRA!AZ1)</f>
        <v>\I:</v>
      </c>
      <c r="AS33" t="str">
        <f>IF(BY_TRA!BA1="","\I:",BY_TRA!BA1)</f>
        <v>\I:</v>
      </c>
      <c r="AT33" t="str">
        <f>IF(BY_TRA!BB1="","\I:",BY_TRA!BB1)</f>
        <v>\I:</v>
      </c>
      <c r="AU33" t="str">
        <f>IF(BY_TRA!BC1="","\I:",BY_TRA!BC1)</f>
        <v>\I:</v>
      </c>
      <c r="AV33" t="str">
        <f>IF(BY_TRA!BD1="","\I:",BY_TRA!BD1)</f>
        <v>\I:</v>
      </c>
      <c r="AW33" t="str">
        <f>IF(BY_TRA!BE1="","\I:",BY_TRA!BE1)</f>
        <v>\I:</v>
      </c>
      <c r="AX33" t="str">
        <f>IF(BY_TRA!BF1="","\I:",BY_TRA!BF1)</f>
        <v>\I:</v>
      </c>
      <c r="AY33" t="str">
        <f>IF(BY_TRA!BG1="","\I:",BY_TRA!BG1)</f>
        <v>\I:</v>
      </c>
      <c r="AZ33" t="str">
        <f>IF(BY_TRA!BH1="","\I:",BY_TRA!BH1)</f>
        <v>\I:</v>
      </c>
      <c r="BA33" t="str">
        <f>IF(BY_TRA!BI1="","\I:",BY_TRA!BI1)</f>
        <v>\I:</v>
      </c>
    </row>
    <row r="34" spans="2:51" ht="14.5">
      <c r="B34" t="s">
        <v>173</v>
      </c>
      <c r="C34" t="s">
        <v>174</v>
      </c>
      <c r="D34" s="5">
        <f>IFERROR(SUMIFS(BY_TRA!L$2:L$999,BY_TRA!$BJ$2:$BJ$999,Transport!$B34,BY_TRA!$BK$2:$BK$999,Transport!$C34)/SUMIFS(BY_TRA!L$2:L$999,BY_TRA!$BJ$2:$BJ$999,Transport!$B34),0)</f>
        <v>0</v>
      </c>
      <c r="E34" s="5">
        <f>IFERROR(SUMIFS(BY_TRA!M$2:M$999,BY_TRA!$BJ$2:$BJ$999,Transport!$B34,BY_TRA!$BK$2:$BK$999,Transport!$C34)/SUMIFS(BY_TRA!M$2:M$999,BY_TRA!$BJ$2:$BJ$999,Transport!$B34),0)</f>
        <v>0</v>
      </c>
      <c r="F34" s="5">
        <f>IFERROR(SUMIFS(BY_TRA!N$2:N$999,BY_TRA!$BJ$2:$BJ$999,Transport!$B34,BY_TRA!$BK$2:$BK$999,Transport!$C34)/SUMIFS(BY_TRA!N$2:N$999,BY_TRA!$BJ$2:$BJ$999,Transport!$B34),0)</f>
        <v>0</v>
      </c>
      <c r="G34" s="5">
        <f>IFERROR(SUMIFS(BY_TRA!O$2:O$999,BY_TRA!$BJ$2:$BJ$999,Transport!$B34,BY_TRA!$BK$2:$BK$999,Transport!$C34)/SUMIFS(BY_TRA!O$2:O$999,BY_TRA!$BJ$2:$BJ$999,Transport!$B34),0)</f>
        <v>0</v>
      </c>
      <c r="H34" s="5">
        <f>IFERROR(SUMIFS(BY_TRA!P$2:P$999,BY_TRA!$BJ$2:$BJ$999,Transport!$B34,BY_TRA!$BK$2:$BK$999,Transport!$C34)/SUMIFS(BY_TRA!P$2:P$999,BY_TRA!$BJ$2:$BJ$999,Transport!$B34),0)</f>
        <v>0</v>
      </c>
      <c r="I34" s="5">
        <f>IFERROR(SUMIFS(BY_TRA!Q$2:Q$999,BY_TRA!$BJ$2:$BJ$999,Transport!$B34,BY_TRA!$BK$2:$BK$999,Transport!$C34)/SUMIFS(BY_TRA!Q$2:Q$999,BY_TRA!$BJ$2:$BJ$999,Transport!$B34),0)</f>
        <v>0</v>
      </c>
      <c r="J34" s="5">
        <f>IFERROR(SUMIFS(BY_TRA!R$2:R$999,BY_TRA!$BJ$2:$BJ$999,Transport!$B34,BY_TRA!$BK$2:$BK$999,Transport!$C34)/SUMIFS(BY_TRA!R$2:R$999,BY_TRA!$BJ$2:$BJ$999,Transport!$B34),0)</f>
        <v>0</v>
      </c>
      <c r="K34" s="5">
        <f>IFERROR(SUMIFS(BY_TRA!S$2:S$999,BY_TRA!$BJ$2:$BJ$999,Transport!$B34,BY_TRA!$BK$2:$BK$999,Transport!$C34)/SUMIFS(BY_TRA!S$2:S$999,BY_TRA!$BJ$2:$BJ$999,Transport!$B34),0)</f>
        <v>0</v>
      </c>
      <c r="L34" s="5">
        <f>IFERROR(SUMIFS(BY_TRA!T$2:T$999,BY_TRA!$BJ$2:$BJ$999,Transport!$B34,BY_TRA!$BK$2:$BK$999,Transport!$C34)/SUMIFS(BY_TRA!T$2:T$999,BY_TRA!$BJ$2:$BJ$999,Transport!$B34),0)</f>
        <v>0</v>
      </c>
      <c r="M34" s="5">
        <f>IFERROR(SUMIFS(BY_TRA!U$2:U$999,BY_TRA!$BJ$2:$BJ$999,Transport!$B34,BY_TRA!$BK$2:$BK$999,Transport!$C34)/SUMIFS(BY_TRA!U$2:U$999,BY_TRA!$BJ$2:$BJ$999,Transport!$B34),0)</f>
        <v>0</v>
      </c>
      <c r="N34" s="5">
        <f>IFERROR(SUMIFS(BY_TRA!V$2:V$999,BY_TRA!$BJ$2:$BJ$999,Transport!$B34,BY_TRA!$BK$2:$BK$999,Transport!$C34)/SUMIFS(BY_TRA!V$2:V$999,BY_TRA!$BJ$2:$BJ$999,Transport!$B34),0)</f>
        <v>0</v>
      </c>
      <c r="O34" s="5">
        <f>IFERROR(SUMIFS(BY_TRA!W$2:W$999,BY_TRA!$BJ$2:$BJ$999,Transport!$B34,BY_TRA!$BK$2:$BK$999,Transport!$C34)/SUMIFS(BY_TRA!W$2:W$999,BY_TRA!$BJ$2:$BJ$999,Transport!$B34),0)</f>
        <v>0</v>
      </c>
      <c r="P34" s="5">
        <f>IFERROR(SUMIFS(BY_TRA!X$2:X$999,BY_TRA!$BJ$2:$BJ$999,Transport!$B34,BY_TRA!$BK$2:$BK$999,Transport!$C34)/SUMIFS(BY_TRA!X$2:X$999,BY_TRA!$BJ$2:$BJ$999,Transport!$B34),0)</f>
        <v>0</v>
      </c>
      <c r="Q34" s="5">
        <f>IFERROR(SUMIFS(BY_TRA!Y$2:Y$999,BY_TRA!$BJ$2:$BJ$999,Transport!$B34,BY_TRA!$BK$2:$BK$999,Transport!$C34)/SUMIFS(BY_TRA!Y$2:Y$999,BY_TRA!$BJ$2:$BJ$999,Transport!$B34),0)</f>
        <v>0</v>
      </c>
      <c r="R34" s="5">
        <f>IFERROR(SUMIFS(BY_TRA!Z$2:Z$999,BY_TRA!$BJ$2:$BJ$999,Transport!$B34,BY_TRA!$BK$2:$BK$999,Transport!$C34)/SUMIFS(BY_TRA!Z$2:Z$999,BY_TRA!$BJ$2:$BJ$999,Transport!$B34),0)</f>
        <v>0</v>
      </c>
      <c r="S34" s="5">
        <f>IFERROR(SUMIFS(BY_TRA!AA$2:AA$999,BY_TRA!$BJ$2:$BJ$999,Transport!$B34,BY_TRA!$BK$2:$BK$999,Transport!$C34)/SUMIFS(BY_TRA!AA$2:AA$999,BY_TRA!$BJ$2:$BJ$999,Transport!$B34),0)</f>
        <v>0</v>
      </c>
      <c r="T34" s="5">
        <f>IFERROR(SUMIFS(BY_TRA!AB$2:AB$999,BY_TRA!$BJ$2:$BJ$999,Transport!$B34,BY_TRA!$BK$2:$BK$999,Transport!$C34)/SUMIFS(BY_TRA!AB$2:AB$999,BY_TRA!$BJ$2:$BJ$999,Transport!$B34),0)</f>
        <v>0</v>
      </c>
      <c r="U34" s="5">
        <f>IFERROR(SUMIFS(BY_TRA!AC$2:AC$999,BY_TRA!$BJ$2:$BJ$999,Transport!$B34,BY_TRA!$BK$2:$BK$999,Transport!$C34)/SUMIFS(BY_TRA!AC$2:AC$999,BY_TRA!$BJ$2:$BJ$999,Transport!$B34),0)</f>
        <v>0</v>
      </c>
      <c r="V34" s="5">
        <f>IFERROR(SUMIFS(BY_TRA!AD$2:AD$999,BY_TRA!$BJ$2:$BJ$999,Transport!$B34,BY_TRA!$BK$2:$BK$999,Transport!$C34)/SUMIFS(BY_TRA!AD$2:AD$999,BY_TRA!$BJ$2:$BJ$999,Transport!$B34),0)</f>
        <v>0</v>
      </c>
      <c r="W34" s="5">
        <f>IFERROR(SUMIFS(BY_TRA!AE$2:AE$999,BY_TRA!$BJ$2:$BJ$999,Transport!$B34,BY_TRA!$BK$2:$BK$999,Transport!$C34)/SUMIFS(BY_TRA!AE$2:AE$999,BY_TRA!$BJ$2:$BJ$999,Transport!$B34),0)</f>
        <v>0</v>
      </c>
      <c r="X34" s="5">
        <f>IFERROR(SUMIFS(BY_TRA!AF$2:AF$999,BY_TRA!$BJ$2:$BJ$999,Transport!$B34,BY_TRA!$BK$2:$BK$999,Transport!$C34)/SUMIFS(BY_TRA!AF$2:AF$999,BY_TRA!$BJ$2:$BJ$999,Transport!$B34),0)</f>
        <v>0</v>
      </c>
      <c r="Y34" s="5">
        <f>IFERROR(SUMIFS(BY_TRA!AG$2:AG$999,BY_TRA!$BJ$2:$BJ$999,Transport!$B34,BY_TRA!$BK$2:$BK$999,Transport!$C34)/SUMIFS(BY_TRA!AG$2:AG$999,BY_TRA!$BJ$2:$BJ$999,Transport!$B34),0)</f>
        <v>0</v>
      </c>
      <c r="Z34" s="5">
        <f>IFERROR(SUMIFS(BY_TRA!AH$2:AH$999,BY_TRA!$BJ$2:$BJ$999,Transport!$B34,BY_TRA!$BK$2:$BK$999,Transport!$C34)/SUMIFS(BY_TRA!AH$2:AH$999,BY_TRA!$BJ$2:$BJ$999,Transport!$B34),0)</f>
        <v>0</v>
      </c>
      <c r="AA34" s="5">
        <f>IFERROR(SUMIFS(BY_TRA!AI$2:AI$999,BY_TRA!$BJ$2:$BJ$999,Transport!$B34,BY_TRA!$BK$2:$BK$999,Transport!$C34)/SUMIFS(BY_TRA!AI$2:AI$999,BY_TRA!$BJ$2:$BJ$999,Transport!$B34),0)</f>
        <v>0</v>
      </c>
      <c r="AB34" s="5">
        <f>IFERROR(SUMIFS(BY_TRA!AJ$2:AJ$999,BY_TRA!$BJ$2:$BJ$999,Transport!$B34,BY_TRA!$BK$2:$BK$999,Transport!$C34)/SUMIFS(BY_TRA!AJ$2:AJ$999,BY_TRA!$BJ$2:$BJ$999,Transport!$B34),0)</f>
        <v>0</v>
      </c>
      <c r="AC34" s="5">
        <f>IFERROR(SUMIFS(BY_TRA!AK$2:AK$999,BY_TRA!$BJ$2:$BJ$999,Transport!$B34,BY_TRA!$BK$2:$BK$999,Transport!$C34)/SUMIFS(BY_TRA!AK$2:AK$999,BY_TRA!$BJ$2:$BJ$999,Transport!$B34),0)</f>
        <v>0</v>
      </c>
      <c r="AD34" s="5">
        <f>IFERROR(SUMIFS(BY_TRA!AL$2:AL$999,BY_TRA!$BJ$2:$BJ$999,Transport!$B34,BY_TRA!$BK$2:$BK$999,Transport!$C34)/SUMIFS(BY_TRA!AL$2:AL$999,BY_TRA!$BJ$2:$BJ$999,Transport!$B34),0)</f>
        <v>0</v>
      </c>
      <c r="AE34" s="5">
        <f>IFERROR(SUMIFS(BY_TRA!AM$2:AM$999,BY_TRA!$BJ$2:$BJ$999,Transport!$B34,BY_TRA!$BK$2:$BK$999,Transport!$C34)/SUMIFS(BY_TRA!AM$2:AM$999,BY_TRA!$BJ$2:$BJ$999,Transport!$B34),0)</f>
        <v>0</v>
      </c>
      <c r="AF34" s="5">
        <f>IFERROR(SUMIFS(BY_TRA!AN$2:AN$999,BY_TRA!$BJ$2:$BJ$999,Transport!$B34,BY_TRA!$BK$2:$BK$999,Transport!$C34)/SUMIFS(BY_TRA!AN$2:AN$999,BY_TRA!$BJ$2:$BJ$999,Transport!$B34),0)</f>
        <v>0</v>
      </c>
      <c r="AG34" s="5">
        <f>IFERROR(SUMIFS(BY_TRA!AO$2:AO$999,BY_TRA!$BJ$2:$BJ$999,Transport!$B34,BY_TRA!$BK$2:$BK$999,Transport!$C34)/SUMIFS(BY_TRA!AO$2:AO$999,BY_TRA!$BJ$2:$BJ$999,Transport!$B34),0)</f>
        <v>0</v>
      </c>
      <c r="AH34" s="5">
        <f>IFERROR(SUMIFS(BY_TRA!AP$2:AP$999,BY_TRA!$BJ$2:$BJ$999,Transport!$B34,BY_TRA!$BK$2:$BK$999,Transport!$C34)/SUMIFS(BY_TRA!AP$2:AP$999,BY_TRA!$BJ$2:$BJ$999,Transport!$B34),0)</f>
        <v>0</v>
      </c>
      <c r="AI34" s="5">
        <f>IFERROR(SUMIFS(BY_TRA!AQ$2:AQ$999,BY_TRA!$BJ$2:$BJ$999,Transport!$B34,BY_TRA!$BK$2:$BK$999,Transport!$C34)/SUMIFS(BY_TRA!AQ$2:AQ$999,BY_TRA!$BJ$2:$BJ$999,Transport!$B34),0)</f>
        <v>0</v>
      </c>
      <c r="AJ34" s="5">
        <f>IFERROR(SUMIFS(BY_TRA!AR$2:AR$999,BY_TRA!$BJ$2:$BJ$999,Transport!$B34,BY_TRA!$BK$2:$BK$999,Transport!$C34)/SUMIFS(BY_TRA!AR$2:AR$999,BY_TRA!$BJ$2:$BJ$999,Transport!$B34),0)</f>
        <v>0</v>
      </c>
      <c r="AK34" s="5">
        <f>IFERROR(SUMIFS(BY_TRA!AS$2:AS$999,BY_TRA!$BJ$2:$BJ$999,Transport!$B34,BY_TRA!$BK$2:$BK$999,Transport!$C34)/SUMIFS(BY_TRA!AS$2:AS$999,BY_TRA!$BJ$2:$BJ$999,Transport!$B34),0)</f>
        <v>0</v>
      </c>
      <c r="AL34" s="5">
        <f>IFERROR(SUMIFS(BY_TRA!AT$2:AT$999,BY_TRA!$BJ$2:$BJ$999,Transport!$B34,BY_TRA!$BK$2:$BK$999,Transport!$C34)/SUMIFS(BY_TRA!AT$2:AT$999,BY_TRA!$BJ$2:$BJ$999,Transport!$B34),0)</f>
        <v>0</v>
      </c>
      <c r="AM34" s="5">
        <f>IFERROR(SUMIFS(BY_TRA!AU$2:AU$999,BY_TRA!$BJ$2:$BJ$999,Transport!$B34,BY_TRA!$BK$2:$BK$999,Transport!$C34)/SUMIFS(BY_TRA!AU$2:AU$999,BY_TRA!$BJ$2:$BJ$999,Transport!$B34),0)</f>
        <v>0</v>
      </c>
      <c r="AN34" s="5">
        <f>IFERROR(SUMIFS(BY_TRA!AV$2:AV$999,BY_TRA!$BJ$2:$BJ$999,Transport!$B34,BY_TRA!$BK$2:$BK$999,Transport!$C34)/SUMIFS(BY_TRA!AV$2:AV$999,BY_TRA!$BJ$2:$BJ$999,Transport!$B34),0)</f>
        <v>0</v>
      </c>
      <c r="AO34" s="5">
        <f>IFERROR(SUMIFS(BY_TRA!AW$2:AW$999,BY_TRA!$BJ$2:$BJ$999,Transport!$B34,BY_TRA!$BK$2:$BK$999,Transport!$C34)/SUMIFS(BY_TRA!AW$2:AW$999,BY_TRA!$BJ$2:$BJ$999,Transport!$B34),0)</f>
        <v>0</v>
      </c>
      <c r="AP34" s="5">
        <f>IFERROR(SUMIFS(BY_TRA!AX$2:AX$999,BY_TRA!$BJ$2:$BJ$999,Transport!$B34,BY_TRA!$BK$2:$BK$999,Transport!$C34)/SUMIFS(BY_TRA!AX$2:AX$999,BY_TRA!$BJ$2:$BJ$999,Transport!$B34),0)</f>
        <v>0</v>
      </c>
      <c r="AQ34" s="5">
        <f>IFERROR(SUMIFS(BY_TRA!AY$2:AY$999,BY_TRA!$BJ$2:$BJ$999,Transport!$B34,BY_TRA!$BK$2:$BK$999,Transport!$C34)/SUMIFS(BY_TRA!AY$2:AY$999,BY_TRA!$BJ$2:$BJ$999,Transport!$B34),0)</f>
        <v>0</v>
      </c>
      <c r="AR34" s="5">
        <f>IFERROR(SUMIFS(BY_TRA!AZ$2:AZ$999,BY_TRA!$BJ$2:$BJ$999,Transport!$B34,BY_TRA!$BK$2:$BK$999,Transport!$C34)/SUMIFS(BY_TRA!AZ$2:AZ$999,BY_TRA!$BJ$2:$BJ$999,Transport!$B34),0)</f>
        <v>0</v>
      </c>
      <c r="AS34" s="5">
        <f>IFERROR(SUMIFS(BY_TRA!BA$2:BA$999,BY_TRA!$BJ$2:$BJ$999,Transport!$B34,BY_TRA!$BK$2:$BK$999,Transport!$C34)/SUMIFS(BY_TRA!BA$2:BA$999,BY_TRA!$BJ$2:$BJ$999,Transport!$B34),0)</f>
        <v>0</v>
      </c>
      <c r="AT34" s="5">
        <f>IFERROR(SUMIFS(BY_TRA!BB$2:BB$999,BY_TRA!$BJ$2:$BJ$999,Transport!$B34,BY_TRA!$BK$2:$BK$999,Transport!$C34)/SUMIFS(BY_TRA!BB$2:BB$999,BY_TRA!$BJ$2:$BJ$999,Transport!$B34),0)</f>
        <v>0</v>
      </c>
      <c r="AU34" s="5">
        <f>IFERROR(SUMIFS(BY_TRA!BC$2:BC$999,BY_TRA!$BJ$2:$BJ$999,Transport!$B34,BY_TRA!$BK$2:$BK$999,Transport!$C34)/SUMIFS(BY_TRA!BC$2:BC$999,BY_TRA!$BJ$2:$BJ$999,Transport!$B34),0)</f>
        <v>0</v>
      </c>
      <c r="AV34" s="5">
        <f>IFERROR(SUMIFS(BY_TRA!BD$2:BD$999,BY_TRA!$BJ$2:$BJ$999,Transport!$B34,BY_TRA!$BK$2:$BK$999,Transport!$C34)/SUMIFS(BY_TRA!BD$2:BD$999,BY_TRA!$BJ$2:$BJ$999,Transport!$B34),0)</f>
        <v>0</v>
      </c>
      <c r="AW34" s="5">
        <f>IFERROR(SUMIFS(BY_TRA!BE$2:BE$999,BY_TRA!$BJ$2:$BJ$999,Transport!$B34,BY_TRA!$BK$2:$BK$999,Transport!$C34)/SUMIFS(BY_TRA!BE$2:BE$999,BY_TRA!$BJ$2:$BJ$999,Transport!$B34),0)</f>
        <v>0</v>
      </c>
      <c r="AX34" s="5">
        <f>IFERROR(SUMIFS(BY_TRA!BF$2:BF$999,BY_TRA!$BJ$2:$BJ$999,Transport!$B34,BY_TRA!$BK$2:$BK$999,Transport!$C34)/SUMIFS(BY_TRA!BF$2:BF$999,BY_TRA!$BJ$2:$BJ$999,Transport!$B34),0)</f>
        <v>0</v>
      </c>
      <c r="AY34" s="5">
        <f>IFERROR(SUMIFS(BY_TRA!BG$2:BG$999,BY_TRA!$BJ$2:$BJ$999,Transport!$B34,BY_TRA!$BK$2:$BK$999,Transport!$C34)/SUMIFS(BY_TRA!BG$2:BG$999,BY_TRA!$BJ$2:$BJ$999,Transport!$B34),0)</f>
        <v>0</v>
      </c>
    </row>
    <row r="35" spans="2:51" ht="14.5">
      <c r="B35" t="s">
        <v>173</v>
      </c>
      <c r="C35" t="s">
        <v>175</v>
      </c>
      <c r="D35" s="5">
        <f>IFERROR(SUMIFS(BY_TRA!L$2:L$999,BY_TRA!$BJ$2:$BJ$999,Transport!$B35,BY_TRA!$BK$2:$BK$999,Transport!$C35)/SUMIFS(BY_TRA!L$2:L$999,BY_TRA!$BJ$2:$BJ$999,Transport!$B35),0)</f>
        <v>1</v>
      </c>
      <c r="E35" s="5">
        <f>IFERROR(SUMIFS(BY_TRA!M$2:M$999,BY_TRA!$BJ$2:$BJ$999,Transport!$B35,BY_TRA!$BK$2:$BK$999,Transport!$C35)/SUMIFS(BY_TRA!M$2:M$999,BY_TRA!$BJ$2:$BJ$999,Transport!$B35),0)</f>
        <v>1</v>
      </c>
      <c r="F35" s="5">
        <f>IFERROR(SUMIFS(BY_TRA!N$2:N$999,BY_TRA!$BJ$2:$BJ$999,Transport!$B35,BY_TRA!$BK$2:$BK$999,Transport!$C35)/SUMIFS(BY_TRA!N$2:N$999,BY_TRA!$BJ$2:$BJ$999,Transport!$B35),0)</f>
        <v>0.98102981029810299</v>
      </c>
      <c r="G35" s="5">
        <f>IFERROR(SUMIFS(BY_TRA!O$2:O$999,BY_TRA!$BJ$2:$BJ$999,Transport!$B35,BY_TRA!$BK$2:$BK$999,Transport!$C35)/SUMIFS(BY_TRA!O$2:O$999,BY_TRA!$BJ$2:$BJ$999,Transport!$B35),0)</f>
        <v>0.73437499999999989</v>
      </c>
      <c r="H35" s="5">
        <f>IFERROR(SUMIFS(BY_TRA!P$2:P$999,BY_TRA!$BJ$2:$BJ$999,Transport!$B35,BY_TRA!$BK$2:$BK$999,Transport!$C35)/SUMIFS(BY_TRA!P$2:P$999,BY_TRA!$BJ$2:$BJ$999,Transport!$B35),0)</f>
        <v>1</v>
      </c>
      <c r="I35" s="5">
        <f>IFERROR(SUMIFS(BY_TRA!Q$2:Q$999,BY_TRA!$BJ$2:$BJ$999,Transport!$B35,BY_TRA!$BK$2:$BK$999,Transport!$C35)/SUMIFS(BY_TRA!Q$2:Q$999,BY_TRA!$BJ$2:$BJ$999,Transport!$B35),0)</f>
        <v>0.19806243272335861</v>
      </c>
      <c r="J35" s="5">
        <f>IFERROR(SUMIFS(BY_TRA!R$2:R$999,BY_TRA!$BJ$2:$BJ$999,Transport!$B35,BY_TRA!$BK$2:$BK$999,Transport!$C35)/SUMIFS(BY_TRA!R$2:R$999,BY_TRA!$BJ$2:$BJ$999,Transport!$B35),0)</f>
        <v>1</v>
      </c>
      <c r="K35" s="5">
        <f>IFERROR(SUMIFS(BY_TRA!S$2:S$999,BY_TRA!$BJ$2:$BJ$999,Transport!$B35,BY_TRA!$BK$2:$BK$999,Transport!$C35)/SUMIFS(BY_TRA!S$2:S$999,BY_TRA!$BJ$2:$BJ$999,Transport!$B35),0)</f>
        <v>0.54768476367312102</v>
      </c>
      <c r="L35" s="5">
        <f>IFERROR(SUMIFS(BY_TRA!T$2:T$999,BY_TRA!$BJ$2:$BJ$999,Transport!$B35,BY_TRA!$BK$2:$BK$999,Transport!$C35)/SUMIFS(BY_TRA!T$2:T$999,BY_TRA!$BJ$2:$BJ$999,Transport!$B35),0)</f>
        <v>1</v>
      </c>
      <c r="M35" s="5">
        <f>IFERROR(SUMIFS(BY_TRA!U$2:U$999,BY_TRA!$BJ$2:$BJ$999,Transport!$B35,BY_TRA!$BK$2:$BK$999,Transport!$C35)/SUMIFS(BY_TRA!U$2:U$999,BY_TRA!$BJ$2:$BJ$999,Transport!$B35),0)</f>
        <v>1</v>
      </c>
      <c r="N35" s="5">
        <f>IFERROR(SUMIFS(BY_TRA!V$2:V$999,BY_TRA!$BJ$2:$BJ$999,Transport!$B35,BY_TRA!$BK$2:$BK$999,Transport!$C35)/SUMIFS(BY_TRA!V$2:V$999,BY_TRA!$BJ$2:$BJ$999,Transport!$B35),0)</f>
        <v>0.37355371900826417</v>
      </c>
      <c r="O35" s="5">
        <f>IFERROR(SUMIFS(BY_TRA!W$2:W$999,BY_TRA!$BJ$2:$BJ$999,Transport!$B35,BY_TRA!$BK$2:$BK$999,Transport!$C35)/SUMIFS(BY_TRA!W$2:W$999,BY_TRA!$BJ$2:$BJ$999,Transport!$B35),0)</f>
        <v>0.56045197740112995</v>
      </c>
      <c r="P35" s="5">
        <f>IFERROR(SUMIFS(BY_TRA!X$2:X$999,BY_TRA!$BJ$2:$BJ$999,Transport!$B35,BY_TRA!$BK$2:$BK$999,Transport!$C35)/SUMIFS(BY_TRA!X$2:X$999,BY_TRA!$BJ$2:$BJ$999,Transport!$B35),0)</f>
        <v>0.76470588235294146</v>
      </c>
      <c r="Q35" s="5">
        <f>IFERROR(SUMIFS(BY_TRA!Y$2:Y$999,BY_TRA!$BJ$2:$BJ$999,Transport!$B35,BY_TRA!$BK$2:$BK$999,Transport!$C35)/SUMIFS(BY_TRA!Y$2:Y$999,BY_TRA!$BJ$2:$BJ$999,Transport!$B35),0)</f>
        <v>1</v>
      </c>
      <c r="R35" s="5">
        <f>IFERROR(SUMIFS(BY_TRA!Z$2:Z$999,BY_TRA!$BJ$2:$BJ$999,Transport!$B35,BY_TRA!$BK$2:$BK$999,Transport!$C35)/SUMIFS(BY_TRA!Z$2:Z$999,BY_TRA!$BJ$2:$BJ$999,Transport!$B35),0)</f>
        <v>0.13333333333333353</v>
      </c>
      <c r="S35" s="5">
        <f>IFERROR(SUMIFS(BY_TRA!AA$2:AA$999,BY_TRA!$BJ$2:$BJ$999,Transport!$B35,BY_TRA!$BK$2:$BK$999,Transport!$C35)/SUMIFS(BY_TRA!AA$2:AA$999,BY_TRA!$BJ$2:$BJ$999,Transport!$B35),0)</f>
        <v>1</v>
      </c>
      <c r="T35" s="5">
        <f>IFERROR(SUMIFS(BY_TRA!AB$2:AB$999,BY_TRA!$BJ$2:$BJ$999,Transport!$B35,BY_TRA!$BK$2:$BK$999,Transport!$C35)/SUMIFS(BY_TRA!AB$2:AB$999,BY_TRA!$BJ$2:$BJ$999,Transport!$B35),0)</f>
        <v>0.41509433962264097</v>
      </c>
      <c r="U35" s="5">
        <f>IFERROR(SUMIFS(BY_TRA!AC$2:AC$999,BY_TRA!$BJ$2:$BJ$999,Transport!$B35,BY_TRA!$BK$2:$BK$999,Transport!$C35)/SUMIFS(BY_TRA!AC$2:AC$999,BY_TRA!$BJ$2:$BJ$999,Transport!$B35),0)</f>
        <v>0.58333333333333348</v>
      </c>
      <c r="V35" s="5">
        <f>IFERROR(SUMIFS(BY_TRA!AD$2:AD$999,BY_TRA!$BJ$2:$BJ$999,Transport!$B35,BY_TRA!$BK$2:$BK$999,Transport!$C35)/SUMIFS(BY_TRA!AD$2:AD$999,BY_TRA!$BJ$2:$BJ$999,Transport!$B35),0)</f>
        <v>1</v>
      </c>
      <c r="W35" s="5">
        <f>IFERROR(SUMIFS(BY_TRA!AE$2:AE$999,BY_TRA!$BJ$2:$BJ$999,Transport!$B35,BY_TRA!$BK$2:$BK$999,Transport!$C35)/SUMIFS(BY_TRA!AE$2:AE$999,BY_TRA!$BJ$2:$BJ$999,Transport!$B35),0)</f>
        <v>0.87332619175147308</v>
      </c>
      <c r="X35" s="5">
        <f>IFERROR(SUMIFS(BY_TRA!AF$2:AF$999,BY_TRA!$BJ$2:$BJ$999,Transport!$B35,BY_TRA!$BK$2:$BK$999,Transport!$C35)/SUMIFS(BY_TRA!AF$2:AF$999,BY_TRA!$BJ$2:$BJ$999,Transport!$B35),0)</f>
        <v>1</v>
      </c>
      <c r="Y35" s="5">
        <f>IFERROR(SUMIFS(BY_TRA!AG$2:AG$999,BY_TRA!$BJ$2:$BJ$999,Transport!$B35,BY_TRA!$BK$2:$BK$999,Transport!$C35)/SUMIFS(BY_TRA!AG$2:AG$999,BY_TRA!$BJ$2:$BJ$999,Transport!$B35),0)</f>
        <v>0.18719567177637531</v>
      </c>
      <c r="Z35" s="5">
        <f>IFERROR(SUMIFS(BY_TRA!AH$2:AH$999,BY_TRA!$BJ$2:$BJ$999,Transport!$B35,BY_TRA!$BK$2:$BK$999,Transport!$C35)/SUMIFS(BY_TRA!AH$2:AH$999,BY_TRA!$BJ$2:$BJ$999,Transport!$B35),0)</f>
        <v>0.018623024830699785</v>
      </c>
      <c r="AA35" s="5">
        <f>IFERROR(SUMIFS(BY_TRA!AI$2:AI$999,BY_TRA!$BJ$2:$BJ$999,Transport!$B35,BY_TRA!$BK$2:$BK$999,Transport!$C35)/SUMIFS(BY_TRA!AI$2:AI$999,BY_TRA!$BJ$2:$BJ$999,Transport!$B35),0)</f>
        <v>1</v>
      </c>
      <c r="AB35" s="5">
        <f>IFERROR(SUMIFS(BY_TRA!AJ$2:AJ$999,BY_TRA!$BJ$2:$BJ$999,Transport!$B35,BY_TRA!$BK$2:$BK$999,Transport!$C35)/SUMIFS(BY_TRA!AJ$2:AJ$999,BY_TRA!$BJ$2:$BJ$999,Transport!$B35),0)</f>
        <v>0.99746944849124775</v>
      </c>
      <c r="AC35" s="5">
        <f>IFERROR(SUMIFS(BY_TRA!AK$2:AK$999,BY_TRA!$BJ$2:$BJ$999,Transport!$B35,BY_TRA!$BK$2:$BK$999,Transport!$C35)/SUMIFS(BY_TRA!AK$2:AK$999,BY_TRA!$BJ$2:$BJ$999,Transport!$B35),0)</f>
        <v>1</v>
      </c>
      <c r="AD35" s="5">
        <f>IFERROR(SUMIFS(BY_TRA!AL$2:AL$999,BY_TRA!$BJ$2:$BJ$999,Transport!$B35,BY_TRA!$BK$2:$BK$999,Transport!$C35)/SUMIFS(BY_TRA!AL$2:AL$999,BY_TRA!$BJ$2:$BJ$999,Transport!$B35),0)</f>
        <v>1</v>
      </c>
      <c r="AE35" s="5">
        <f>IFERROR(SUMIFS(BY_TRA!AM$2:AM$999,BY_TRA!$BJ$2:$BJ$999,Transport!$B35,BY_TRA!$BK$2:$BK$999,Transport!$C35)/SUMIFS(BY_TRA!AM$2:AM$999,BY_TRA!$BJ$2:$BJ$999,Transport!$B35),0)</f>
        <v>1</v>
      </c>
      <c r="AF35" s="5">
        <f>IFERROR(SUMIFS(BY_TRA!AN$2:AN$999,BY_TRA!$BJ$2:$BJ$999,Transport!$B35,BY_TRA!$BK$2:$BK$999,Transport!$C35)/SUMIFS(BY_TRA!AN$2:AN$999,BY_TRA!$BJ$2:$BJ$999,Transport!$B35),0)</f>
        <v>0.49019607843137303</v>
      </c>
      <c r="AG35" s="5">
        <f>IFERROR(SUMIFS(BY_TRA!AO$2:AO$999,BY_TRA!$BJ$2:$BJ$999,Transport!$B35,BY_TRA!$BK$2:$BK$999,Transport!$C35)/SUMIFS(BY_TRA!AO$2:AO$999,BY_TRA!$BJ$2:$BJ$999,Transport!$B35),0)</f>
        <v>0.22927689594356293</v>
      </c>
      <c r="AH35" s="5">
        <f>IFERROR(SUMIFS(BY_TRA!AP$2:AP$999,BY_TRA!$BJ$2:$BJ$999,Transport!$B35,BY_TRA!$BK$2:$BK$999,Transport!$C35)/SUMIFS(BY_TRA!AP$2:AP$999,BY_TRA!$BJ$2:$BJ$999,Transport!$B35),0)</f>
        <v>1</v>
      </c>
      <c r="AI35" s="5">
        <f>IFERROR(SUMIFS(BY_TRA!AQ$2:AQ$999,BY_TRA!$BJ$2:$BJ$999,Transport!$B35,BY_TRA!$BK$2:$BK$999,Transport!$C35)/SUMIFS(BY_TRA!AQ$2:AQ$999,BY_TRA!$BJ$2:$BJ$999,Transport!$B35),0)</f>
        <v>1</v>
      </c>
      <c r="AJ35" s="5">
        <f>IFERROR(SUMIFS(BY_TRA!AR$2:AR$999,BY_TRA!$BJ$2:$BJ$999,Transport!$B35,BY_TRA!$BK$2:$BK$999,Transport!$C35)/SUMIFS(BY_TRA!AR$2:AR$999,BY_TRA!$BJ$2:$BJ$999,Transport!$B35),0)</f>
        <v>0.45481263776634834</v>
      </c>
      <c r="AK35" s="5">
        <f>IFERROR(SUMIFS(BY_TRA!AS$2:AS$999,BY_TRA!$BJ$2:$BJ$999,Transport!$B35,BY_TRA!$BK$2:$BK$999,Transport!$C35)/SUMIFS(BY_TRA!AS$2:AS$999,BY_TRA!$BJ$2:$BJ$999,Transport!$B35),0)</f>
        <v>1</v>
      </c>
      <c r="AL35" s="5">
        <f>IFERROR(SUMIFS(BY_TRA!AT$2:AT$999,BY_TRA!$BJ$2:$BJ$999,Transport!$B35,BY_TRA!$BK$2:$BK$999,Transport!$C35)/SUMIFS(BY_TRA!AT$2:AT$999,BY_TRA!$BJ$2:$BJ$999,Transport!$B35),0)</f>
        <v>1</v>
      </c>
      <c r="AM35" s="5">
        <f>IFERROR(SUMIFS(BY_TRA!AU$2:AU$999,BY_TRA!$BJ$2:$BJ$999,Transport!$B35,BY_TRA!$BK$2:$BK$999,Transport!$C35)/SUMIFS(BY_TRA!AU$2:AU$999,BY_TRA!$BJ$2:$BJ$999,Transport!$B35),0)</f>
        <v>0</v>
      </c>
      <c r="AN35" s="5">
        <f>IFERROR(SUMIFS(BY_TRA!AV$2:AV$999,BY_TRA!$BJ$2:$BJ$999,Transport!$B35,BY_TRA!$BK$2:$BK$999,Transport!$C35)/SUMIFS(BY_TRA!AV$2:AV$999,BY_TRA!$BJ$2:$BJ$999,Transport!$B35),0)</f>
        <v>0</v>
      </c>
      <c r="AO35" s="5">
        <f>IFERROR(SUMIFS(BY_TRA!AW$2:AW$999,BY_TRA!$BJ$2:$BJ$999,Transport!$B35,BY_TRA!$BK$2:$BK$999,Transport!$C35)/SUMIFS(BY_TRA!AW$2:AW$999,BY_TRA!$BJ$2:$BJ$999,Transport!$B35),0)</f>
        <v>0</v>
      </c>
      <c r="AP35" s="5">
        <f>IFERROR(SUMIFS(BY_TRA!AX$2:AX$999,BY_TRA!$BJ$2:$BJ$999,Transport!$B35,BY_TRA!$BK$2:$BK$999,Transport!$C35)/SUMIFS(BY_TRA!AX$2:AX$999,BY_TRA!$BJ$2:$BJ$999,Transport!$B35),0)</f>
        <v>0</v>
      </c>
      <c r="AQ35" s="5">
        <f>IFERROR(SUMIFS(BY_TRA!AY$2:AY$999,BY_TRA!$BJ$2:$BJ$999,Transport!$B35,BY_TRA!$BK$2:$BK$999,Transport!$C35)/SUMIFS(BY_TRA!AY$2:AY$999,BY_TRA!$BJ$2:$BJ$999,Transport!$B35),0)</f>
        <v>0</v>
      </c>
      <c r="AR35" s="5">
        <f>IFERROR(SUMIFS(BY_TRA!AZ$2:AZ$999,BY_TRA!$BJ$2:$BJ$999,Transport!$B35,BY_TRA!$BK$2:$BK$999,Transport!$C35)/SUMIFS(BY_TRA!AZ$2:AZ$999,BY_TRA!$BJ$2:$BJ$999,Transport!$B35),0)</f>
        <v>0</v>
      </c>
      <c r="AS35" s="5">
        <f>IFERROR(SUMIFS(BY_TRA!BA$2:BA$999,BY_TRA!$BJ$2:$BJ$999,Transport!$B35,BY_TRA!$BK$2:$BK$999,Transport!$C35)/SUMIFS(BY_TRA!BA$2:BA$999,BY_TRA!$BJ$2:$BJ$999,Transport!$B35),0)</f>
        <v>0</v>
      </c>
      <c r="AT35" s="5">
        <f>IFERROR(SUMIFS(BY_TRA!BB$2:BB$999,BY_TRA!$BJ$2:$BJ$999,Transport!$B35,BY_TRA!$BK$2:$BK$999,Transport!$C35)/SUMIFS(BY_TRA!BB$2:BB$999,BY_TRA!$BJ$2:$BJ$999,Transport!$B35),0)</f>
        <v>0</v>
      </c>
      <c r="AU35" s="5">
        <f>IFERROR(SUMIFS(BY_TRA!BC$2:BC$999,BY_TRA!$BJ$2:$BJ$999,Transport!$B35,BY_TRA!$BK$2:$BK$999,Transport!$C35)/SUMIFS(BY_TRA!BC$2:BC$999,BY_TRA!$BJ$2:$BJ$999,Transport!$B35),0)</f>
        <v>0</v>
      </c>
      <c r="AV35" s="5">
        <f>IFERROR(SUMIFS(BY_TRA!BD$2:BD$999,BY_TRA!$BJ$2:$BJ$999,Transport!$B35,BY_TRA!$BK$2:$BK$999,Transport!$C35)/SUMIFS(BY_TRA!BD$2:BD$999,BY_TRA!$BJ$2:$BJ$999,Transport!$B35),0)</f>
        <v>0</v>
      </c>
      <c r="AW35" s="5">
        <f>IFERROR(SUMIFS(BY_TRA!BE$2:BE$999,BY_TRA!$BJ$2:$BJ$999,Transport!$B35,BY_TRA!$BK$2:$BK$999,Transport!$C35)/SUMIFS(BY_TRA!BE$2:BE$999,BY_TRA!$BJ$2:$BJ$999,Transport!$B35),0)</f>
        <v>0</v>
      </c>
      <c r="AX35" s="5">
        <f>IFERROR(SUMIFS(BY_TRA!BF$2:BF$999,BY_TRA!$BJ$2:$BJ$999,Transport!$B35,BY_TRA!$BK$2:$BK$999,Transport!$C35)/SUMIFS(BY_TRA!BF$2:BF$999,BY_TRA!$BJ$2:$BJ$999,Transport!$B35),0)</f>
        <v>0</v>
      </c>
      <c r="AY35" s="5">
        <f>IFERROR(SUMIFS(BY_TRA!BG$2:BG$999,BY_TRA!$BJ$2:$BJ$999,Transport!$B35,BY_TRA!$BK$2:$BK$999,Transport!$C35)/SUMIFS(BY_TRA!BG$2:BG$999,BY_TRA!$BJ$2:$BJ$999,Transport!$B35),0)</f>
        <v>0</v>
      </c>
    </row>
    <row r="36" spans="2:51" ht="14.5">
      <c r="B36" t="s">
        <v>176</v>
      </c>
      <c r="C36" t="s">
        <v>177</v>
      </c>
      <c r="D36" s="5">
        <f>IFERROR(SUMIFS(BY_TRA!L$2:L$999,BY_TRA!$BJ$2:$BJ$999,Transport!$B36,BY_TRA!$BK$2:$BK$999,Transport!$C36)/SUMIFS(BY_TRA!L$2:L$999,BY_TRA!$BJ$2:$BJ$999,Transport!$B36),0)</f>
        <v>0</v>
      </c>
      <c r="E36" s="5">
        <f>IFERROR(SUMIFS(BY_TRA!M$2:M$999,BY_TRA!$BJ$2:$BJ$999,Transport!$B36,BY_TRA!$BK$2:$BK$999,Transport!$C36)/SUMIFS(BY_TRA!M$2:M$999,BY_TRA!$BJ$2:$BJ$999,Transport!$B36),0)</f>
        <v>0</v>
      </c>
      <c r="F36" s="5">
        <f>IFERROR(SUMIFS(BY_TRA!N$2:N$999,BY_TRA!$BJ$2:$BJ$999,Transport!$B36,BY_TRA!$BK$2:$BK$999,Transport!$C36)/SUMIFS(BY_TRA!N$2:N$999,BY_TRA!$BJ$2:$BJ$999,Transport!$B36),0)</f>
        <v>0</v>
      </c>
      <c r="G36" s="5">
        <f>IFERROR(SUMIFS(BY_TRA!O$2:O$999,BY_TRA!$BJ$2:$BJ$999,Transport!$B36,BY_TRA!$BK$2:$BK$999,Transport!$C36)/SUMIFS(BY_TRA!O$2:O$999,BY_TRA!$BJ$2:$BJ$999,Transport!$B36),0)</f>
        <v>0</v>
      </c>
      <c r="H36" s="5">
        <f>IFERROR(SUMIFS(BY_TRA!P$2:P$999,BY_TRA!$BJ$2:$BJ$999,Transport!$B36,BY_TRA!$BK$2:$BK$999,Transport!$C36)/SUMIFS(BY_TRA!P$2:P$999,BY_TRA!$BJ$2:$BJ$999,Transport!$B36),0)</f>
        <v>0</v>
      </c>
      <c r="I36" s="5">
        <f>IFERROR(SUMIFS(BY_TRA!Q$2:Q$999,BY_TRA!$BJ$2:$BJ$999,Transport!$B36,BY_TRA!$BK$2:$BK$999,Transport!$C36)/SUMIFS(BY_TRA!Q$2:Q$999,BY_TRA!$BJ$2:$BJ$999,Transport!$B36),0)</f>
        <v>0</v>
      </c>
      <c r="J36" s="5">
        <f>IFERROR(SUMIFS(BY_TRA!R$2:R$999,BY_TRA!$BJ$2:$BJ$999,Transport!$B36,BY_TRA!$BK$2:$BK$999,Transport!$C36)/SUMIFS(BY_TRA!R$2:R$999,BY_TRA!$BJ$2:$BJ$999,Transport!$B36),0)</f>
        <v>0.083720930232558166</v>
      </c>
      <c r="K36" s="5">
        <f>IFERROR(SUMIFS(BY_TRA!S$2:S$999,BY_TRA!$BJ$2:$BJ$999,Transport!$B36,BY_TRA!$BK$2:$BK$999,Transport!$C36)/SUMIFS(BY_TRA!S$2:S$999,BY_TRA!$BJ$2:$BJ$999,Transport!$B36),0)</f>
        <v>0.0096718104759834795</v>
      </c>
      <c r="L36" s="5">
        <f>IFERROR(SUMIFS(BY_TRA!T$2:T$999,BY_TRA!$BJ$2:$BJ$999,Transport!$B36,BY_TRA!$BK$2:$BK$999,Transport!$C36)/SUMIFS(BY_TRA!T$2:T$999,BY_TRA!$BJ$2:$BJ$999,Transport!$B36),0)</f>
        <v>0</v>
      </c>
      <c r="M36" s="5">
        <f>IFERROR(SUMIFS(BY_TRA!U$2:U$999,BY_TRA!$BJ$2:$BJ$999,Transport!$B36,BY_TRA!$BK$2:$BK$999,Transport!$C36)/SUMIFS(BY_TRA!U$2:U$999,BY_TRA!$BJ$2:$BJ$999,Transport!$B36),0)</f>
        <v>0</v>
      </c>
      <c r="N36" s="5">
        <f>IFERROR(SUMIFS(BY_TRA!V$2:V$999,BY_TRA!$BJ$2:$BJ$999,Transport!$B36,BY_TRA!$BK$2:$BK$999,Transport!$C36)/SUMIFS(BY_TRA!V$2:V$999,BY_TRA!$BJ$2:$BJ$999,Transport!$B36),0)</f>
        <v>0</v>
      </c>
      <c r="O36" s="5">
        <f>IFERROR(SUMIFS(BY_TRA!W$2:W$999,BY_TRA!$BJ$2:$BJ$999,Transport!$B36,BY_TRA!$BK$2:$BK$999,Transport!$C36)/SUMIFS(BY_TRA!W$2:W$999,BY_TRA!$BJ$2:$BJ$999,Transport!$B36),0)</f>
        <v>0</v>
      </c>
      <c r="P36" s="5">
        <f>IFERROR(SUMIFS(BY_TRA!X$2:X$999,BY_TRA!$BJ$2:$BJ$999,Transport!$B36,BY_TRA!$BK$2:$BK$999,Transport!$C36)/SUMIFS(BY_TRA!X$2:X$999,BY_TRA!$BJ$2:$BJ$999,Transport!$B36),0)</f>
        <v>0</v>
      </c>
      <c r="Q36" s="5">
        <f>IFERROR(SUMIFS(BY_TRA!Y$2:Y$999,BY_TRA!$BJ$2:$BJ$999,Transport!$B36,BY_TRA!$BK$2:$BK$999,Transport!$C36)/SUMIFS(BY_TRA!Y$2:Y$999,BY_TRA!$BJ$2:$BJ$999,Transport!$B36),0)</f>
        <v>0</v>
      </c>
      <c r="R36" s="5">
        <f>IFERROR(SUMIFS(BY_TRA!Z$2:Z$999,BY_TRA!$BJ$2:$BJ$999,Transport!$B36,BY_TRA!$BK$2:$BK$999,Transport!$C36)/SUMIFS(BY_TRA!Z$2:Z$999,BY_TRA!$BJ$2:$BJ$999,Transport!$B36),0)</f>
        <v>0</v>
      </c>
      <c r="S36" s="5">
        <f>IFERROR(SUMIFS(BY_TRA!AA$2:AA$999,BY_TRA!$BJ$2:$BJ$999,Transport!$B36,BY_TRA!$BK$2:$BK$999,Transport!$C36)/SUMIFS(BY_TRA!AA$2:AA$999,BY_TRA!$BJ$2:$BJ$999,Transport!$B36),0)</f>
        <v>0.000356792436000357</v>
      </c>
      <c r="T36" s="5">
        <f>IFERROR(SUMIFS(BY_TRA!AB$2:AB$999,BY_TRA!$BJ$2:$BJ$999,Transport!$B36,BY_TRA!$BK$2:$BK$999,Transport!$C36)/SUMIFS(BY_TRA!AB$2:AB$999,BY_TRA!$BJ$2:$BJ$999,Transport!$B36),0)</f>
        <v>0</v>
      </c>
      <c r="U36" s="5">
        <f>IFERROR(SUMIFS(BY_TRA!AC$2:AC$999,BY_TRA!$BJ$2:$BJ$999,Transport!$B36,BY_TRA!$BK$2:$BK$999,Transport!$C36)/SUMIFS(BY_TRA!AC$2:AC$999,BY_TRA!$BJ$2:$BJ$999,Transport!$B36),0)</f>
        <v>0</v>
      </c>
      <c r="V36" s="5">
        <f>IFERROR(SUMIFS(BY_TRA!AD$2:AD$999,BY_TRA!$BJ$2:$BJ$999,Transport!$B36,BY_TRA!$BK$2:$BK$999,Transport!$C36)/SUMIFS(BY_TRA!AD$2:AD$999,BY_TRA!$BJ$2:$BJ$999,Transport!$B36),0)</f>
        <v>0</v>
      </c>
      <c r="W36" s="5">
        <f>IFERROR(SUMIFS(BY_TRA!AE$2:AE$999,BY_TRA!$BJ$2:$BJ$999,Transport!$B36,BY_TRA!$BK$2:$BK$999,Transport!$C36)/SUMIFS(BY_TRA!AE$2:AE$999,BY_TRA!$BJ$2:$BJ$999,Transport!$B36),0)</f>
        <v>0.0058309037900874635</v>
      </c>
      <c r="X36" s="5">
        <f>IFERROR(SUMIFS(BY_TRA!AF$2:AF$999,BY_TRA!$BJ$2:$BJ$999,Transport!$B36,BY_TRA!$BK$2:$BK$999,Transport!$C36)/SUMIFS(BY_TRA!AF$2:AF$999,BY_TRA!$BJ$2:$BJ$999,Transport!$B36),0)</f>
        <v>0</v>
      </c>
      <c r="Y36" s="5">
        <f>IFERROR(SUMIFS(BY_TRA!AG$2:AG$999,BY_TRA!$BJ$2:$BJ$999,Transport!$B36,BY_TRA!$BK$2:$BK$999,Transport!$C36)/SUMIFS(BY_TRA!AG$2:AG$999,BY_TRA!$BJ$2:$BJ$999,Transport!$B36),0)</f>
        <v>0</v>
      </c>
      <c r="Z36" s="5">
        <f>IFERROR(SUMIFS(BY_TRA!AH$2:AH$999,BY_TRA!$BJ$2:$BJ$999,Transport!$B36,BY_TRA!$BK$2:$BK$999,Transport!$C36)/SUMIFS(BY_TRA!AH$2:AH$999,BY_TRA!$BJ$2:$BJ$999,Transport!$B36),0)</f>
        <v>0</v>
      </c>
      <c r="AA36" s="5">
        <f>IFERROR(SUMIFS(BY_TRA!AI$2:AI$999,BY_TRA!$BJ$2:$BJ$999,Transport!$B36,BY_TRA!$BK$2:$BK$999,Transport!$C36)/SUMIFS(BY_TRA!AI$2:AI$999,BY_TRA!$BJ$2:$BJ$999,Transport!$B36),0)</f>
        <v>0</v>
      </c>
      <c r="AB36" s="5">
        <f>IFERROR(SUMIFS(BY_TRA!AJ$2:AJ$999,BY_TRA!$BJ$2:$BJ$999,Transport!$B36,BY_TRA!$BK$2:$BK$999,Transport!$C36)/SUMIFS(BY_TRA!AJ$2:AJ$999,BY_TRA!$BJ$2:$BJ$999,Transport!$B36),0)</f>
        <v>0</v>
      </c>
      <c r="AC36" s="5">
        <f>IFERROR(SUMIFS(BY_TRA!AK$2:AK$999,BY_TRA!$BJ$2:$BJ$999,Transport!$B36,BY_TRA!$BK$2:$BK$999,Transport!$C36)/SUMIFS(BY_TRA!AK$2:AK$999,BY_TRA!$BJ$2:$BJ$999,Transport!$B36),0)</f>
        <v>0</v>
      </c>
      <c r="AD36" s="5">
        <f>IFERROR(SUMIFS(BY_TRA!AL$2:AL$999,BY_TRA!$BJ$2:$BJ$999,Transport!$B36,BY_TRA!$BK$2:$BK$999,Transport!$C36)/SUMIFS(BY_TRA!AL$2:AL$999,BY_TRA!$BJ$2:$BJ$999,Transport!$B36),0)</f>
        <v>0</v>
      </c>
      <c r="AE36" s="5">
        <f>IFERROR(SUMIFS(BY_TRA!AM$2:AM$999,BY_TRA!$BJ$2:$BJ$999,Transport!$B36,BY_TRA!$BK$2:$BK$999,Transport!$C36)/SUMIFS(BY_TRA!AM$2:AM$999,BY_TRA!$BJ$2:$BJ$999,Transport!$B36),0)</f>
        <v>0</v>
      </c>
      <c r="AF36" s="5">
        <f>IFERROR(SUMIFS(BY_TRA!AN$2:AN$999,BY_TRA!$BJ$2:$BJ$999,Transport!$B36,BY_TRA!$BK$2:$BK$999,Transport!$C36)/SUMIFS(BY_TRA!AN$2:AN$999,BY_TRA!$BJ$2:$BJ$999,Transport!$B36),0)</f>
        <v>0</v>
      </c>
      <c r="AG36" s="5">
        <f>IFERROR(SUMIFS(BY_TRA!AO$2:AO$999,BY_TRA!$BJ$2:$BJ$999,Transport!$B36,BY_TRA!$BK$2:$BK$999,Transport!$C36)/SUMIFS(BY_TRA!AO$2:AO$999,BY_TRA!$BJ$2:$BJ$999,Transport!$B36),0)</f>
        <v>0</v>
      </c>
      <c r="AH36" s="5">
        <f>IFERROR(SUMIFS(BY_TRA!AP$2:AP$999,BY_TRA!$BJ$2:$BJ$999,Transport!$B36,BY_TRA!$BK$2:$BK$999,Transport!$C36)/SUMIFS(BY_TRA!AP$2:AP$999,BY_TRA!$BJ$2:$BJ$999,Transport!$B36),0)</f>
        <v>0</v>
      </c>
      <c r="AI36" s="5">
        <f>IFERROR(SUMIFS(BY_TRA!AQ$2:AQ$999,BY_TRA!$BJ$2:$BJ$999,Transport!$B36,BY_TRA!$BK$2:$BK$999,Transport!$C36)/SUMIFS(BY_TRA!AQ$2:AQ$999,BY_TRA!$BJ$2:$BJ$999,Transport!$B36),0)</f>
        <v>0</v>
      </c>
      <c r="AJ36" s="5">
        <f>IFERROR(SUMIFS(BY_TRA!AR$2:AR$999,BY_TRA!$BJ$2:$BJ$999,Transport!$B36,BY_TRA!$BK$2:$BK$999,Transport!$C36)/SUMIFS(BY_TRA!AR$2:AR$999,BY_TRA!$BJ$2:$BJ$999,Transport!$B36),0)</f>
        <v>0</v>
      </c>
      <c r="AK36" s="5">
        <f>IFERROR(SUMIFS(BY_TRA!AS$2:AS$999,BY_TRA!$BJ$2:$BJ$999,Transport!$B36,BY_TRA!$BK$2:$BK$999,Transport!$C36)/SUMIFS(BY_TRA!AS$2:AS$999,BY_TRA!$BJ$2:$BJ$999,Transport!$B36),0)</f>
        <v>0</v>
      </c>
      <c r="AL36" s="5">
        <f>IFERROR(SUMIFS(BY_TRA!AT$2:AT$999,BY_TRA!$BJ$2:$BJ$999,Transport!$B36,BY_TRA!$BK$2:$BK$999,Transport!$C36)/SUMIFS(BY_TRA!AT$2:AT$999,BY_TRA!$BJ$2:$BJ$999,Transport!$B36),0)</f>
        <v>0</v>
      </c>
      <c r="AM36" s="5">
        <f>IFERROR(SUMIFS(BY_TRA!AU$2:AU$999,BY_TRA!$BJ$2:$BJ$999,Transport!$B36,BY_TRA!$BK$2:$BK$999,Transport!$C36)/SUMIFS(BY_TRA!AU$2:AU$999,BY_TRA!$BJ$2:$BJ$999,Transport!$B36),0)</f>
        <v>0</v>
      </c>
      <c r="AN36" s="5">
        <f>IFERROR(SUMIFS(BY_TRA!AV$2:AV$999,BY_TRA!$BJ$2:$BJ$999,Transport!$B36,BY_TRA!$BK$2:$BK$999,Transport!$C36)/SUMIFS(BY_TRA!AV$2:AV$999,BY_TRA!$BJ$2:$BJ$999,Transport!$B36),0)</f>
        <v>0</v>
      </c>
      <c r="AO36" s="5">
        <f>IFERROR(SUMIFS(BY_TRA!AW$2:AW$999,BY_TRA!$BJ$2:$BJ$999,Transport!$B36,BY_TRA!$BK$2:$BK$999,Transport!$C36)/SUMIFS(BY_TRA!AW$2:AW$999,BY_TRA!$BJ$2:$BJ$999,Transport!$B36),0)</f>
        <v>0</v>
      </c>
      <c r="AP36" s="5">
        <f>IFERROR(SUMIFS(BY_TRA!AX$2:AX$999,BY_TRA!$BJ$2:$BJ$999,Transport!$B36,BY_TRA!$BK$2:$BK$999,Transport!$C36)/SUMIFS(BY_TRA!AX$2:AX$999,BY_TRA!$BJ$2:$BJ$999,Transport!$B36),0)</f>
        <v>0</v>
      </c>
      <c r="AQ36" s="5">
        <f>IFERROR(SUMIFS(BY_TRA!AY$2:AY$999,BY_TRA!$BJ$2:$BJ$999,Transport!$B36,BY_TRA!$BK$2:$BK$999,Transport!$C36)/SUMIFS(BY_TRA!AY$2:AY$999,BY_TRA!$BJ$2:$BJ$999,Transport!$B36),0)</f>
        <v>0</v>
      </c>
      <c r="AR36" s="5">
        <f>IFERROR(SUMIFS(BY_TRA!AZ$2:AZ$999,BY_TRA!$BJ$2:$BJ$999,Transport!$B36,BY_TRA!$BK$2:$BK$999,Transport!$C36)/SUMIFS(BY_TRA!AZ$2:AZ$999,BY_TRA!$BJ$2:$BJ$999,Transport!$B36),0)</f>
        <v>0</v>
      </c>
      <c r="AS36" s="5">
        <f>IFERROR(SUMIFS(BY_TRA!BA$2:BA$999,BY_TRA!$BJ$2:$BJ$999,Transport!$B36,BY_TRA!$BK$2:$BK$999,Transport!$C36)/SUMIFS(BY_TRA!BA$2:BA$999,BY_TRA!$BJ$2:$BJ$999,Transport!$B36),0)</f>
        <v>0</v>
      </c>
      <c r="AT36" s="5">
        <f>IFERROR(SUMIFS(BY_TRA!BB$2:BB$999,BY_TRA!$BJ$2:$BJ$999,Transport!$B36,BY_TRA!$BK$2:$BK$999,Transport!$C36)/SUMIFS(BY_TRA!BB$2:BB$999,BY_TRA!$BJ$2:$BJ$999,Transport!$B36),0)</f>
        <v>0</v>
      </c>
      <c r="AU36" s="5">
        <f>IFERROR(SUMIFS(BY_TRA!BC$2:BC$999,BY_TRA!$BJ$2:$BJ$999,Transport!$B36,BY_TRA!$BK$2:$BK$999,Transport!$C36)/SUMIFS(BY_TRA!BC$2:BC$999,BY_TRA!$BJ$2:$BJ$999,Transport!$B36),0)</f>
        <v>0</v>
      </c>
      <c r="AV36" s="5">
        <f>IFERROR(SUMIFS(BY_TRA!BD$2:BD$999,BY_TRA!$BJ$2:$BJ$999,Transport!$B36,BY_TRA!$BK$2:$BK$999,Transport!$C36)/SUMIFS(BY_TRA!BD$2:BD$999,BY_TRA!$BJ$2:$BJ$999,Transport!$B36),0)</f>
        <v>0</v>
      </c>
      <c r="AW36" s="5">
        <f>IFERROR(SUMIFS(BY_TRA!BE$2:BE$999,BY_TRA!$BJ$2:$BJ$999,Transport!$B36,BY_TRA!$BK$2:$BK$999,Transport!$C36)/SUMIFS(BY_TRA!BE$2:BE$999,BY_TRA!$BJ$2:$BJ$999,Transport!$B36),0)</f>
        <v>0</v>
      </c>
      <c r="AX36" s="5">
        <f>IFERROR(SUMIFS(BY_TRA!BF$2:BF$999,BY_TRA!$BJ$2:$BJ$999,Transport!$B36,BY_TRA!$BK$2:$BK$999,Transport!$C36)/SUMIFS(BY_TRA!BF$2:BF$999,BY_TRA!$BJ$2:$BJ$999,Transport!$B36),0)</f>
        <v>0</v>
      </c>
      <c r="AY36" s="5">
        <f>IFERROR(SUMIFS(BY_TRA!BG$2:BG$999,BY_TRA!$BJ$2:$BJ$999,Transport!$B36,BY_TRA!$BK$2:$BK$999,Transport!$C36)/SUMIFS(BY_TRA!BG$2:BG$999,BY_TRA!$BJ$2:$BJ$999,Transport!$B36),0)</f>
        <v>0</v>
      </c>
    </row>
    <row r="37" spans="2:51" ht="14.5">
      <c r="B37" t="s">
        <v>176</v>
      </c>
      <c r="C37" t="s">
        <v>178</v>
      </c>
      <c r="D37" s="5">
        <f>IFERROR(SUMIFS(BY_TRA!L$2:L$999,BY_TRA!$BJ$2:$BJ$999,Transport!$B37,BY_TRA!$BK$2:$BK$999,Transport!$C37)/SUMIFS(BY_TRA!L$2:L$999,BY_TRA!$BJ$2:$BJ$999,Transport!$B37),0)</f>
        <v>0</v>
      </c>
      <c r="E37" s="5">
        <f>IFERROR(SUMIFS(BY_TRA!M$2:M$999,BY_TRA!$BJ$2:$BJ$999,Transport!$B37,BY_TRA!$BK$2:$BK$999,Transport!$C37)/SUMIFS(BY_TRA!M$2:M$999,BY_TRA!$BJ$2:$BJ$999,Transport!$B37),0)</f>
        <v>0</v>
      </c>
      <c r="F37" s="5">
        <f>IFERROR(SUMIFS(BY_TRA!N$2:N$999,BY_TRA!$BJ$2:$BJ$999,Transport!$B37,BY_TRA!$BK$2:$BK$999,Transport!$C37)/SUMIFS(BY_TRA!N$2:N$999,BY_TRA!$BJ$2:$BJ$999,Transport!$B37),0)</f>
        <v>0</v>
      </c>
      <c r="G37" s="5">
        <f>IFERROR(SUMIFS(BY_TRA!O$2:O$999,BY_TRA!$BJ$2:$BJ$999,Transport!$B37,BY_TRA!$BK$2:$BK$999,Transport!$C37)/SUMIFS(BY_TRA!O$2:O$999,BY_TRA!$BJ$2:$BJ$999,Transport!$B37),0)</f>
        <v>0</v>
      </c>
      <c r="H37" s="5">
        <f>IFERROR(SUMIFS(BY_TRA!P$2:P$999,BY_TRA!$BJ$2:$BJ$999,Transport!$B37,BY_TRA!$BK$2:$BK$999,Transport!$C37)/SUMIFS(BY_TRA!P$2:P$999,BY_TRA!$BJ$2:$BJ$999,Transport!$B37),0)</f>
        <v>0</v>
      </c>
      <c r="I37" s="5">
        <f>IFERROR(SUMIFS(BY_TRA!Q$2:Q$999,BY_TRA!$BJ$2:$BJ$999,Transport!$B37,BY_TRA!$BK$2:$BK$999,Transport!$C37)/SUMIFS(BY_TRA!Q$2:Q$999,BY_TRA!$BJ$2:$BJ$999,Transport!$B37),0)</f>
        <v>0</v>
      </c>
      <c r="J37" s="5">
        <f>IFERROR(SUMIFS(BY_TRA!R$2:R$999,BY_TRA!$BJ$2:$BJ$999,Transport!$B37,BY_TRA!$BK$2:$BK$999,Transport!$C37)/SUMIFS(BY_TRA!R$2:R$999,BY_TRA!$BJ$2:$BJ$999,Transport!$B37),0)</f>
        <v>0.1813953488372094</v>
      </c>
      <c r="K37" s="5">
        <f>IFERROR(SUMIFS(BY_TRA!S$2:S$999,BY_TRA!$BJ$2:$BJ$999,Transport!$B37,BY_TRA!$BK$2:$BK$999,Transport!$C37)/SUMIFS(BY_TRA!S$2:S$999,BY_TRA!$BJ$2:$BJ$999,Transport!$B37),0)</f>
        <v>0.99032818952401647</v>
      </c>
      <c r="L37" s="5">
        <f>IFERROR(SUMIFS(BY_TRA!T$2:T$999,BY_TRA!$BJ$2:$BJ$999,Transport!$B37,BY_TRA!$BK$2:$BK$999,Transport!$C37)/SUMIFS(BY_TRA!T$2:T$999,BY_TRA!$BJ$2:$BJ$999,Transport!$B37),0)</f>
        <v>0</v>
      </c>
      <c r="M37" s="5">
        <f>IFERROR(SUMIFS(BY_TRA!U$2:U$999,BY_TRA!$BJ$2:$BJ$999,Transport!$B37,BY_TRA!$BK$2:$BK$999,Transport!$C37)/SUMIFS(BY_TRA!U$2:U$999,BY_TRA!$BJ$2:$BJ$999,Transport!$B37),0)</f>
        <v>0</v>
      </c>
      <c r="N37" s="5">
        <f>IFERROR(SUMIFS(BY_TRA!V$2:V$999,BY_TRA!$BJ$2:$BJ$999,Transport!$B37,BY_TRA!$BK$2:$BK$999,Transport!$C37)/SUMIFS(BY_TRA!V$2:V$999,BY_TRA!$BJ$2:$BJ$999,Transport!$B37),0)</f>
        <v>0</v>
      </c>
      <c r="O37" s="5">
        <f>IFERROR(SUMIFS(BY_TRA!W$2:W$999,BY_TRA!$BJ$2:$BJ$999,Transport!$B37,BY_TRA!$BK$2:$BK$999,Transport!$C37)/SUMIFS(BY_TRA!W$2:W$999,BY_TRA!$BJ$2:$BJ$999,Transport!$B37),0)</f>
        <v>0</v>
      </c>
      <c r="P37" s="5">
        <f>IFERROR(SUMIFS(BY_TRA!X$2:X$999,BY_TRA!$BJ$2:$BJ$999,Transport!$B37,BY_TRA!$BK$2:$BK$999,Transport!$C37)/SUMIFS(BY_TRA!X$2:X$999,BY_TRA!$BJ$2:$BJ$999,Transport!$B37),0)</f>
        <v>0</v>
      </c>
      <c r="Q37" s="5">
        <f>IFERROR(SUMIFS(BY_TRA!Y$2:Y$999,BY_TRA!$BJ$2:$BJ$999,Transport!$B37,BY_TRA!$BK$2:$BK$999,Transport!$C37)/SUMIFS(BY_TRA!Y$2:Y$999,BY_TRA!$BJ$2:$BJ$999,Transport!$B37),0)</f>
        <v>0</v>
      </c>
      <c r="R37" s="5">
        <f>IFERROR(SUMIFS(BY_TRA!Z$2:Z$999,BY_TRA!$BJ$2:$BJ$999,Transport!$B37,BY_TRA!$BK$2:$BK$999,Transport!$C37)/SUMIFS(BY_TRA!Z$2:Z$999,BY_TRA!$BJ$2:$BJ$999,Transport!$B37),0)</f>
        <v>0</v>
      </c>
      <c r="S37" s="5">
        <f>IFERROR(SUMIFS(BY_TRA!AA$2:AA$999,BY_TRA!$BJ$2:$BJ$999,Transport!$B37,BY_TRA!$BK$2:$BK$999,Transport!$C37)/SUMIFS(BY_TRA!AA$2:AA$999,BY_TRA!$BJ$2:$BJ$999,Transport!$B37),0)</f>
        <v>0.53090714476853107</v>
      </c>
      <c r="T37" s="5">
        <f>IFERROR(SUMIFS(BY_TRA!AB$2:AB$999,BY_TRA!$BJ$2:$BJ$999,Transport!$B37,BY_TRA!$BK$2:$BK$999,Transport!$C37)/SUMIFS(BY_TRA!AB$2:AB$999,BY_TRA!$BJ$2:$BJ$999,Transport!$B37),0)</f>
        <v>0</v>
      </c>
      <c r="U37" s="5">
        <f>IFERROR(SUMIFS(BY_TRA!AC$2:AC$999,BY_TRA!$BJ$2:$BJ$999,Transport!$B37,BY_TRA!$BK$2:$BK$999,Transport!$C37)/SUMIFS(BY_TRA!AC$2:AC$999,BY_TRA!$BJ$2:$BJ$999,Transport!$B37),0)</f>
        <v>0</v>
      </c>
      <c r="V37" s="5">
        <f>IFERROR(SUMIFS(BY_TRA!AD$2:AD$999,BY_TRA!$BJ$2:$BJ$999,Transport!$B37,BY_TRA!$BK$2:$BK$999,Transport!$C37)/SUMIFS(BY_TRA!AD$2:AD$999,BY_TRA!$BJ$2:$BJ$999,Transport!$B37),0)</f>
        <v>0.060606060606060587</v>
      </c>
      <c r="W37" s="5">
        <f>IFERROR(SUMIFS(BY_TRA!AE$2:AE$999,BY_TRA!$BJ$2:$BJ$999,Transport!$B37,BY_TRA!$BK$2:$BK$999,Transport!$C37)/SUMIFS(BY_TRA!AE$2:AE$999,BY_TRA!$BJ$2:$BJ$999,Transport!$B37),0)</f>
        <v>0.11661807580174925</v>
      </c>
      <c r="X37" s="5">
        <f>IFERROR(SUMIFS(BY_TRA!AF$2:AF$999,BY_TRA!$BJ$2:$BJ$999,Transport!$B37,BY_TRA!$BK$2:$BK$999,Transport!$C37)/SUMIFS(BY_TRA!AF$2:AF$999,BY_TRA!$BJ$2:$BJ$999,Transport!$B37),0)</f>
        <v>0</v>
      </c>
      <c r="Y37" s="5">
        <f>IFERROR(SUMIFS(BY_TRA!AG$2:AG$999,BY_TRA!$BJ$2:$BJ$999,Transport!$B37,BY_TRA!$BK$2:$BK$999,Transport!$C37)/SUMIFS(BY_TRA!AG$2:AG$999,BY_TRA!$BJ$2:$BJ$999,Transport!$B37),0)</f>
        <v>0</v>
      </c>
      <c r="Z37" s="5">
        <f>IFERROR(SUMIFS(BY_TRA!AH$2:AH$999,BY_TRA!$BJ$2:$BJ$999,Transport!$B37,BY_TRA!$BK$2:$BK$999,Transport!$C37)/SUMIFS(BY_TRA!AH$2:AH$999,BY_TRA!$BJ$2:$BJ$999,Transport!$B37),0)</f>
        <v>0</v>
      </c>
      <c r="AA37" s="5">
        <f>IFERROR(SUMIFS(BY_TRA!AI$2:AI$999,BY_TRA!$BJ$2:$BJ$999,Transport!$B37,BY_TRA!$BK$2:$BK$999,Transport!$C37)/SUMIFS(BY_TRA!AI$2:AI$999,BY_TRA!$BJ$2:$BJ$999,Transport!$B37),0)</f>
        <v>0</v>
      </c>
      <c r="AB37" s="5">
        <f>IFERROR(SUMIFS(BY_TRA!AJ$2:AJ$999,BY_TRA!$BJ$2:$BJ$999,Transport!$B37,BY_TRA!$BK$2:$BK$999,Transport!$C37)/SUMIFS(BY_TRA!AJ$2:AJ$999,BY_TRA!$BJ$2:$BJ$999,Transport!$B37),0)</f>
        <v>0</v>
      </c>
      <c r="AC37" s="5">
        <f>IFERROR(SUMIFS(BY_TRA!AK$2:AK$999,BY_TRA!$BJ$2:$BJ$999,Transport!$B37,BY_TRA!$BK$2:$BK$999,Transport!$C37)/SUMIFS(BY_TRA!AK$2:AK$999,BY_TRA!$BJ$2:$BJ$999,Transport!$B37),0)</f>
        <v>0</v>
      </c>
      <c r="AD37" s="5">
        <f>IFERROR(SUMIFS(BY_TRA!AL$2:AL$999,BY_TRA!$BJ$2:$BJ$999,Transport!$B37,BY_TRA!$BK$2:$BK$999,Transport!$C37)/SUMIFS(BY_TRA!AL$2:AL$999,BY_TRA!$BJ$2:$BJ$999,Transport!$B37),0)</f>
        <v>0</v>
      </c>
      <c r="AE37" s="5">
        <f>IFERROR(SUMIFS(BY_TRA!AM$2:AM$999,BY_TRA!$BJ$2:$BJ$999,Transport!$B37,BY_TRA!$BK$2:$BK$999,Transport!$C37)/SUMIFS(BY_TRA!AM$2:AM$999,BY_TRA!$BJ$2:$BJ$999,Transport!$B37),0)</f>
        <v>0</v>
      </c>
      <c r="AF37" s="5">
        <f>IFERROR(SUMIFS(BY_TRA!AN$2:AN$999,BY_TRA!$BJ$2:$BJ$999,Transport!$B37,BY_TRA!$BK$2:$BK$999,Transport!$C37)/SUMIFS(BY_TRA!AN$2:AN$999,BY_TRA!$BJ$2:$BJ$999,Transport!$B37),0)</f>
        <v>0</v>
      </c>
      <c r="AG37" s="5">
        <f>IFERROR(SUMIFS(BY_TRA!AO$2:AO$999,BY_TRA!$BJ$2:$BJ$999,Transport!$B37,BY_TRA!$BK$2:$BK$999,Transport!$C37)/SUMIFS(BY_TRA!AO$2:AO$999,BY_TRA!$BJ$2:$BJ$999,Transport!$B37),0)</f>
        <v>0</v>
      </c>
      <c r="AH37" s="5">
        <f>IFERROR(SUMIFS(BY_TRA!AP$2:AP$999,BY_TRA!$BJ$2:$BJ$999,Transport!$B37,BY_TRA!$BK$2:$BK$999,Transport!$C37)/SUMIFS(BY_TRA!AP$2:AP$999,BY_TRA!$BJ$2:$BJ$999,Transport!$B37),0)</f>
        <v>0</v>
      </c>
      <c r="AI37" s="5">
        <f>IFERROR(SUMIFS(BY_TRA!AQ$2:AQ$999,BY_TRA!$BJ$2:$BJ$999,Transport!$B37,BY_TRA!$BK$2:$BK$999,Transport!$C37)/SUMIFS(BY_TRA!AQ$2:AQ$999,BY_TRA!$BJ$2:$BJ$999,Transport!$B37),0)</f>
        <v>0</v>
      </c>
      <c r="AJ37" s="5">
        <f>IFERROR(SUMIFS(BY_TRA!AR$2:AR$999,BY_TRA!$BJ$2:$BJ$999,Transport!$B37,BY_TRA!$BK$2:$BK$999,Transport!$C37)/SUMIFS(BY_TRA!AR$2:AR$999,BY_TRA!$BJ$2:$BJ$999,Transport!$B37),0)</f>
        <v>0</v>
      </c>
      <c r="AK37" s="5">
        <f>IFERROR(SUMIFS(BY_TRA!AS$2:AS$999,BY_TRA!$BJ$2:$BJ$999,Transport!$B37,BY_TRA!$BK$2:$BK$999,Transport!$C37)/SUMIFS(BY_TRA!AS$2:AS$999,BY_TRA!$BJ$2:$BJ$999,Transport!$B37),0)</f>
        <v>0</v>
      </c>
      <c r="AL37" s="5">
        <f>IFERROR(SUMIFS(BY_TRA!AT$2:AT$999,BY_TRA!$BJ$2:$BJ$999,Transport!$B37,BY_TRA!$BK$2:$BK$999,Transport!$C37)/SUMIFS(BY_TRA!AT$2:AT$999,BY_TRA!$BJ$2:$BJ$999,Transport!$B37),0)</f>
        <v>0</v>
      </c>
      <c r="AM37" s="5">
        <f>IFERROR(SUMIFS(BY_TRA!AU$2:AU$999,BY_TRA!$BJ$2:$BJ$999,Transport!$B37,BY_TRA!$BK$2:$BK$999,Transport!$C37)/SUMIFS(BY_TRA!AU$2:AU$999,BY_TRA!$BJ$2:$BJ$999,Transport!$B37),0)</f>
        <v>0</v>
      </c>
      <c r="AN37" s="5">
        <f>IFERROR(SUMIFS(BY_TRA!AV$2:AV$999,BY_TRA!$BJ$2:$BJ$999,Transport!$B37,BY_TRA!$BK$2:$BK$999,Transport!$C37)/SUMIFS(BY_TRA!AV$2:AV$999,BY_TRA!$BJ$2:$BJ$999,Transport!$B37),0)</f>
        <v>0</v>
      </c>
      <c r="AO37" s="5">
        <f>IFERROR(SUMIFS(BY_TRA!AW$2:AW$999,BY_TRA!$BJ$2:$BJ$999,Transport!$B37,BY_TRA!$BK$2:$BK$999,Transport!$C37)/SUMIFS(BY_TRA!AW$2:AW$999,BY_TRA!$BJ$2:$BJ$999,Transport!$B37),0)</f>
        <v>0</v>
      </c>
      <c r="AP37" s="5">
        <f>IFERROR(SUMIFS(BY_TRA!AX$2:AX$999,BY_TRA!$BJ$2:$BJ$999,Transport!$B37,BY_TRA!$BK$2:$BK$999,Transport!$C37)/SUMIFS(BY_TRA!AX$2:AX$999,BY_TRA!$BJ$2:$BJ$999,Transport!$B37),0)</f>
        <v>0</v>
      </c>
      <c r="AQ37" s="5">
        <f>IFERROR(SUMIFS(BY_TRA!AY$2:AY$999,BY_TRA!$BJ$2:$BJ$999,Transport!$B37,BY_TRA!$BK$2:$BK$999,Transport!$C37)/SUMIFS(BY_TRA!AY$2:AY$999,BY_TRA!$BJ$2:$BJ$999,Transport!$B37),0)</f>
        <v>0</v>
      </c>
      <c r="AR37" s="5">
        <f>IFERROR(SUMIFS(BY_TRA!AZ$2:AZ$999,BY_TRA!$BJ$2:$BJ$999,Transport!$B37,BY_TRA!$BK$2:$BK$999,Transport!$C37)/SUMIFS(BY_TRA!AZ$2:AZ$999,BY_TRA!$BJ$2:$BJ$999,Transport!$B37),0)</f>
        <v>0</v>
      </c>
      <c r="AS37" s="5">
        <f>IFERROR(SUMIFS(BY_TRA!BA$2:BA$999,BY_TRA!$BJ$2:$BJ$999,Transport!$B37,BY_TRA!$BK$2:$BK$999,Transport!$C37)/SUMIFS(BY_TRA!BA$2:BA$999,BY_TRA!$BJ$2:$BJ$999,Transport!$B37),0)</f>
        <v>0</v>
      </c>
      <c r="AT37" s="5">
        <f>IFERROR(SUMIFS(BY_TRA!BB$2:BB$999,BY_TRA!$BJ$2:$BJ$999,Transport!$B37,BY_TRA!$BK$2:$BK$999,Transport!$C37)/SUMIFS(BY_TRA!BB$2:BB$999,BY_TRA!$BJ$2:$BJ$999,Transport!$B37),0)</f>
        <v>0</v>
      </c>
      <c r="AU37" s="5">
        <f>IFERROR(SUMIFS(BY_TRA!BC$2:BC$999,BY_TRA!$BJ$2:$BJ$999,Transport!$B37,BY_TRA!$BK$2:$BK$999,Transport!$C37)/SUMIFS(BY_TRA!BC$2:BC$999,BY_TRA!$BJ$2:$BJ$999,Transport!$B37),0)</f>
        <v>0</v>
      </c>
      <c r="AV37" s="5">
        <f>IFERROR(SUMIFS(BY_TRA!BD$2:BD$999,BY_TRA!$BJ$2:$BJ$999,Transport!$B37,BY_TRA!$BK$2:$BK$999,Transport!$C37)/SUMIFS(BY_TRA!BD$2:BD$999,BY_TRA!$BJ$2:$BJ$999,Transport!$B37),0)</f>
        <v>0</v>
      </c>
      <c r="AW37" s="5">
        <f>IFERROR(SUMIFS(BY_TRA!BE$2:BE$999,BY_TRA!$BJ$2:$BJ$999,Transport!$B37,BY_TRA!$BK$2:$BK$999,Transport!$C37)/SUMIFS(BY_TRA!BE$2:BE$999,BY_TRA!$BJ$2:$BJ$999,Transport!$B37),0)</f>
        <v>0</v>
      </c>
      <c r="AX37" s="5">
        <f>IFERROR(SUMIFS(BY_TRA!BF$2:BF$999,BY_TRA!$BJ$2:$BJ$999,Transport!$B37,BY_TRA!$BK$2:$BK$999,Transport!$C37)/SUMIFS(BY_TRA!BF$2:BF$999,BY_TRA!$BJ$2:$BJ$999,Transport!$B37),0)</f>
        <v>0</v>
      </c>
      <c r="AY37" s="5">
        <f>IFERROR(SUMIFS(BY_TRA!BG$2:BG$999,BY_TRA!$BJ$2:$BJ$999,Transport!$B37,BY_TRA!$BK$2:$BK$999,Transport!$C37)/SUMIFS(BY_TRA!BG$2:BG$999,BY_TRA!$BJ$2:$BJ$999,Transport!$B37),0)</f>
        <v>0</v>
      </c>
    </row>
    <row r="38" spans="2:51" ht="14.5">
      <c r="B38" t="s">
        <v>176</v>
      </c>
      <c r="C38" t="s">
        <v>174</v>
      </c>
      <c r="D38" s="5">
        <f>IFERROR(SUMIFS(BY_TRA!L$2:L$999,BY_TRA!$BJ$2:$BJ$999,Transport!$B38,BY_TRA!$BK$2:$BK$999,Transport!$C38)/SUMIFS(BY_TRA!L$2:L$999,BY_TRA!$BJ$2:$BJ$999,Transport!$B38),0)</f>
        <v>0</v>
      </c>
      <c r="E38" s="5">
        <f>IFERROR(SUMIFS(BY_TRA!M$2:M$999,BY_TRA!$BJ$2:$BJ$999,Transport!$B38,BY_TRA!$BK$2:$BK$999,Transport!$C38)/SUMIFS(BY_TRA!M$2:M$999,BY_TRA!$BJ$2:$BJ$999,Transport!$B38),0)</f>
        <v>0</v>
      </c>
      <c r="F38" s="5">
        <f>IFERROR(SUMIFS(BY_TRA!N$2:N$999,BY_TRA!$BJ$2:$BJ$999,Transport!$B38,BY_TRA!$BK$2:$BK$999,Transport!$C38)/SUMIFS(BY_TRA!N$2:N$999,BY_TRA!$BJ$2:$BJ$999,Transport!$B38),0)</f>
        <v>0</v>
      </c>
      <c r="G38" s="5">
        <f>IFERROR(SUMIFS(BY_TRA!O$2:O$999,BY_TRA!$BJ$2:$BJ$999,Transport!$B38,BY_TRA!$BK$2:$BK$999,Transport!$C38)/SUMIFS(BY_TRA!O$2:O$999,BY_TRA!$BJ$2:$BJ$999,Transport!$B38),0)</f>
        <v>0</v>
      </c>
      <c r="H38" s="5">
        <f>IFERROR(SUMIFS(BY_TRA!P$2:P$999,BY_TRA!$BJ$2:$BJ$999,Transport!$B38,BY_TRA!$BK$2:$BK$999,Transport!$C38)/SUMIFS(BY_TRA!P$2:P$999,BY_TRA!$BJ$2:$BJ$999,Transport!$B38),0)</f>
        <v>0</v>
      </c>
      <c r="I38" s="5">
        <f>IFERROR(SUMIFS(BY_TRA!Q$2:Q$999,BY_TRA!$BJ$2:$BJ$999,Transport!$B38,BY_TRA!$BK$2:$BK$999,Transport!$C38)/SUMIFS(BY_TRA!Q$2:Q$999,BY_TRA!$BJ$2:$BJ$999,Transport!$B38),0)</f>
        <v>0</v>
      </c>
      <c r="J38" s="5">
        <f>IFERROR(SUMIFS(BY_TRA!R$2:R$999,BY_TRA!$BJ$2:$BJ$999,Transport!$B38,BY_TRA!$BK$2:$BK$999,Transport!$C38)/SUMIFS(BY_TRA!R$2:R$999,BY_TRA!$BJ$2:$BJ$999,Transport!$B38),0)</f>
        <v>0</v>
      </c>
      <c r="K38" s="5">
        <f>IFERROR(SUMIFS(BY_TRA!S$2:S$999,BY_TRA!$BJ$2:$BJ$999,Transport!$B38,BY_TRA!$BK$2:$BK$999,Transport!$C38)/SUMIFS(BY_TRA!S$2:S$999,BY_TRA!$BJ$2:$BJ$999,Transport!$B38),0)</f>
        <v>0</v>
      </c>
      <c r="L38" s="5">
        <f>IFERROR(SUMIFS(BY_TRA!T$2:T$999,BY_TRA!$BJ$2:$BJ$999,Transport!$B38,BY_TRA!$BK$2:$BK$999,Transport!$C38)/SUMIFS(BY_TRA!T$2:T$999,BY_TRA!$BJ$2:$BJ$999,Transport!$B38),0)</f>
        <v>0</v>
      </c>
      <c r="M38" s="5">
        <f>IFERROR(SUMIFS(BY_TRA!U$2:U$999,BY_TRA!$BJ$2:$BJ$999,Transport!$B38,BY_TRA!$BK$2:$BK$999,Transport!$C38)/SUMIFS(BY_TRA!U$2:U$999,BY_TRA!$BJ$2:$BJ$999,Transport!$B38),0)</f>
        <v>0</v>
      </c>
      <c r="N38" s="5">
        <f>IFERROR(SUMIFS(BY_TRA!V$2:V$999,BY_TRA!$BJ$2:$BJ$999,Transport!$B38,BY_TRA!$BK$2:$BK$999,Transport!$C38)/SUMIFS(BY_TRA!V$2:V$999,BY_TRA!$BJ$2:$BJ$999,Transport!$B38),0)</f>
        <v>0</v>
      </c>
      <c r="O38" s="5">
        <f>IFERROR(SUMIFS(BY_TRA!W$2:W$999,BY_TRA!$BJ$2:$BJ$999,Transport!$B38,BY_TRA!$BK$2:$BK$999,Transport!$C38)/SUMIFS(BY_TRA!W$2:W$999,BY_TRA!$BJ$2:$BJ$999,Transport!$B38),0)</f>
        <v>0</v>
      </c>
      <c r="P38" s="5">
        <f>IFERROR(SUMIFS(BY_TRA!X$2:X$999,BY_TRA!$BJ$2:$BJ$999,Transport!$B38,BY_TRA!$BK$2:$BK$999,Transport!$C38)/SUMIFS(BY_TRA!X$2:X$999,BY_TRA!$BJ$2:$BJ$999,Transport!$B38),0)</f>
        <v>0</v>
      </c>
      <c r="Q38" s="5">
        <f>IFERROR(SUMIFS(BY_TRA!Y$2:Y$999,BY_TRA!$BJ$2:$BJ$999,Transport!$B38,BY_TRA!$BK$2:$BK$999,Transport!$C38)/SUMIFS(BY_TRA!Y$2:Y$999,BY_TRA!$BJ$2:$BJ$999,Transport!$B38),0)</f>
        <v>0</v>
      </c>
      <c r="R38" s="5">
        <f>IFERROR(SUMIFS(BY_TRA!Z$2:Z$999,BY_TRA!$BJ$2:$BJ$999,Transport!$B38,BY_TRA!$BK$2:$BK$999,Transport!$C38)/SUMIFS(BY_TRA!Z$2:Z$999,BY_TRA!$BJ$2:$BJ$999,Transport!$B38),0)</f>
        <v>0</v>
      </c>
      <c r="S38" s="5">
        <f>IFERROR(SUMIFS(BY_TRA!AA$2:AA$999,BY_TRA!$BJ$2:$BJ$999,Transport!$B38,BY_TRA!$BK$2:$BK$999,Transport!$C38)/SUMIFS(BY_TRA!AA$2:AA$999,BY_TRA!$BJ$2:$BJ$999,Transport!$B38),0)</f>
        <v>0</v>
      </c>
      <c r="T38" s="5">
        <f>IFERROR(SUMIFS(BY_TRA!AB$2:AB$999,BY_TRA!$BJ$2:$BJ$999,Transport!$B38,BY_TRA!$BK$2:$BK$999,Transport!$C38)/SUMIFS(BY_TRA!AB$2:AB$999,BY_TRA!$BJ$2:$BJ$999,Transport!$B38),0)</f>
        <v>0</v>
      </c>
      <c r="U38" s="5">
        <f>IFERROR(SUMIFS(BY_TRA!AC$2:AC$999,BY_TRA!$BJ$2:$BJ$999,Transport!$B38,BY_TRA!$BK$2:$BK$999,Transport!$C38)/SUMIFS(BY_TRA!AC$2:AC$999,BY_TRA!$BJ$2:$BJ$999,Transport!$B38),0)</f>
        <v>0</v>
      </c>
      <c r="V38" s="5">
        <f>IFERROR(SUMIFS(BY_TRA!AD$2:AD$999,BY_TRA!$BJ$2:$BJ$999,Transport!$B38,BY_TRA!$BK$2:$BK$999,Transport!$C38)/SUMIFS(BY_TRA!AD$2:AD$999,BY_TRA!$BJ$2:$BJ$999,Transport!$B38),0)</f>
        <v>0</v>
      </c>
      <c r="W38" s="5">
        <f>IFERROR(SUMIFS(BY_TRA!AE$2:AE$999,BY_TRA!$BJ$2:$BJ$999,Transport!$B38,BY_TRA!$BK$2:$BK$999,Transport!$C38)/SUMIFS(BY_TRA!AE$2:AE$999,BY_TRA!$BJ$2:$BJ$999,Transport!$B38),0)</f>
        <v>0</v>
      </c>
      <c r="X38" s="5">
        <f>IFERROR(SUMIFS(BY_TRA!AF$2:AF$999,BY_TRA!$BJ$2:$BJ$999,Transport!$B38,BY_TRA!$BK$2:$BK$999,Transport!$C38)/SUMIFS(BY_TRA!AF$2:AF$999,BY_TRA!$BJ$2:$BJ$999,Transport!$B38),0)</f>
        <v>0</v>
      </c>
      <c r="Y38" s="5">
        <f>IFERROR(SUMIFS(BY_TRA!AG$2:AG$999,BY_TRA!$BJ$2:$BJ$999,Transport!$B38,BY_TRA!$BK$2:$BK$999,Transport!$C38)/SUMIFS(BY_TRA!AG$2:AG$999,BY_TRA!$BJ$2:$BJ$999,Transport!$B38),0)</f>
        <v>0</v>
      </c>
      <c r="Z38" s="5">
        <f>IFERROR(SUMIFS(BY_TRA!AH$2:AH$999,BY_TRA!$BJ$2:$BJ$999,Transport!$B38,BY_TRA!$BK$2:$BK$999,Transport!$C38)/SUMIFS(BY_TRA!AH$2:AH$999,BY_TRA!$BJ$2:$BJ$999,Transport!$B38),0)</f>
        <v>0</v>
      </c>
      <c r="AA38" s="5">
        <f>IFERROR(SUMIFS(BY_TRA!AI$2:AI$999,BY_TRA!$BJ$2:$BJ$999,Transport!$B38,BY_TRA!$BK$2:$BK$999,Transport!$C38)/SUMIFS(BY_TRA!AI$2:AI$999,BY_TRA!$BJ$2:$BJ$999,Transport!$B38),0)</f>
        <v>0</v>
      </c>
      <c r="AB38" s="5">
        <f>IFERROR(SUMIFS(BY_TRA!AJ$2:AJ$999,BY_TRA!$BJ$2:$BJ$999,Transport!$B38,BY_TRA!$BK$2:$BK$999,Transport!$C38)/SUMIFS(BY_TRA!AJ$2:AJ$999,BY_TRA!$BJ$2:$BJ$999,Transport!$B38),0)</f>
        <v>0</v>
      </c>
      <c r="AC38" s="5">
        <f>IFERROR(SUMIFS(BY_TRA!AK$2:AK$999,BY_TRA!$BJ$2:$BJ$999,Transport!$B38,BY_TRA!$BK$2:$BK$999,Transport!$C38)/SUMIFS(BY_TRA!AK$2:AK$999,BY_TRA!$BJ$2:$BJ$999,Transport!$B38),0)</f>
        <v>0</v>
      </c>
      <c r="AD38" s="5">
        <f>IFERROR(SUMIFS(BY_TRA!AL$2:AL$999,BY_TRA!$BJ$2:$BJ$999,Transport!$B38,BY_TRA!$BK$2:$BK$999,Transport!$C38)/SUMIFS(BY_TRA!AL$2:AL$999,BY_TRA!$BJ$2:$BJ$999,Transport!$B38),0)</f>
        <v>0</v>
      </c>
      <c r="AE38" s="5">
        <f>IFERROR(SUMIFS(BY_TRA!AM$2:AM$999,BY_TRA!$BJ$2:$BJ$999,Transport!$B38,BY_TRA!$BK$2:$BK$999,Transport!$C38)/SUMIFS(BY_TRA!AM$2:AM$999,BY_TRA!$BJ$2:$BJ$999,Transport!$B38),0)</f>
        <v>0</v>
      </c>
      <c r="AF38" s="5">
        <f>IFERROR(SUMIFS(BY_TRA!AN$2:AN$999,BY_TRA!$BJ$2:$BJ$999,Transport!$B38,BY_TRA!$BK$2:$BK$999,Transport!$C38)/SUMIFS(BY_TRA!AN$2:AN$999,BY_TRA!$BJ$2:$BJ$999,Transport!$B38),0)</f>
        <v>0</v>
      </c>
      <c r="AG38" s="5">
        <f>IFERROR(SUMIFS(BY_TRA!AO$2:AO$999,BY_TRA!$BJ$2:$BJ$999,Transport!$B38,BY_TRA!$BK$2:$BK$999,Transport!$C38)/SUMIFS(BY_TRA!AO$2:AO$999,BY_TRA!$BJ$2:$BJ$999,Transport!$B38),0)</f>
        <v>0</v>
      </c>
      <c r="AH38" s="5">
        <f>IFERROR(SUMIFS(BY_TRA!AP$2:AP$999,BY_TRA!$BJ$2:$BJ$999,Transport!$B38,BY_TRA!$BK$2:$BK$999,Transport!$C38)/SUMIFS(BY_TRA!AP$2:AP$999,BY_TRA!$BJ$2:$BJ$999,Transport!$B38),0)</f>
        <v>0</v>
      </c>
      <c r="AI38" s="5">
        <f>IFERROR(SUMIFS(BY_TRA!AQ$2:AQ$999,BY_TRA!$BJ$2:$BJ$999,Transport!$B38,BY_TRA!$BK$2:$BK$999,Transport!$C38)/SUMIFS(BY_TRA!AQ$2:AQ$999,BY_TRA!$BJ$2:$BJ$999,Transport!$B38),0)</f>
        <v>0</v>
      </c>
      <c r="AJ38" s="5">
        <f>IFERROR(SUMIFS(BY_TRA!AR$2:AR$999,BY_TRA!$BJ$2:$BJ$999,Transport!$B38,BY_TRA!$BK$2:$BK$999,Transport!$C38)/SUMIFS(BY_TRA!AR$2:AR$999,BY_TRA!$BJ$2:$BJ$999,Transport!$B38),0)</f>
        <v>0</v>
      </c>
      <c r="AK38" s="5">
        <f>IFERROR(SUMIFS(BY_TRA!AS$2:AS$999,BY_TRA!$BJ$2:$BJ$999,Transport!$B38,BY_TRA!$BK$2:$BK$999,Transport!$C38)/SUMIFS(BY_TRA!AS$2:AS$999,BY_TRA!$BJ$2:$BJ$999,Transport!$B38),0)</f>
        <v>0</v>
      </c>
      <c r="AL38" s="5">
        <f>IFERROR(SUMIFS(BY_TRA!AT$2:AT$999,BY_TRA!$BJ$2:$BJ$999,Transport!$B38,BY_TRA!$BK$2:$BK$999,Transport!$C38)/SUMIFS(BY_TRA!AT$2:AT$999,BY_TRA!$BJ$2:$BJ$999,Transport!$B38),0)</f>
        <v>0</v>
      </c>
      <c r="AM38" s="5">
        <f>IFERROR(SUMIFS(BY_TRA!AU$2:AU$999,BY_TRA!$BJ$2:$BJ$999,Transport!$B38,BY_TRA!$BK$2:$BK$999,Transport!$C38)/SUMIFS(BY_TRA!AU$2:AU$999,BY_TRA!$BJ$2:$BJ$999,Transport!$B38),0)</f>
        <v>0</v>
      </c>
      <c r="AN38" s="5">
        <f>IFERROR(SUMIFS(BY_TRA!AV$2:AV$999,BY_TRA!$BJ$2:$BJ$999,Transport!$B38,BY_TRA!$BK$2:$BK$999,Transport!$C38)/SUMIFS(BY_TRA!AV$2:AV$999,BY_TRA!$BJ$2:$BJ$999,Transport!$B38),0)</f>
        <v>0</v>
      </c>
      <c r="AO38" s="5">
        <f>IFERROR(SUMIFS(BY_TRA!AW$2:AW$999,BY_TRA!$BJ$2:$BJ$999,Transport!$B38,BY_TRA!$BK$2:$BK$999,Transport!$C38)/SUMIFS(BY_TRA!AW$2:AW$999,BY_TRA!$BJ$2:$BJ$999,Transport!$B38),0)</f>
        <v>0</v>
      </c>
      <c r="AP38" s="5">
        <f>IFERROR(SUMIFS(BY_TRA!AX$2:AX$999,BY_TRA!$BJ$2:$BJ$999,Transport!$B38,BY_TRA!$BK$2:$BK$999,Transport!$C38)/SUMIFS(BY_TRA!AX$2:AX$999,BY_TRA!$BJ$2:$BJ$999,Transport!$B38),0)</f>
        <v>0</v>
      </c>
      <c r="AQ38" s="5">
        <f>IFERROR(SUMIFS(BY_TRA!AY$2:AY$999,BY_TRA!$BJ$2:$BJ$999,Transport!$B38,BY_TRA!$BK$2:$BK$999,Transport!$C38)/SUMIFS(BY_TRA!AY$2:AY$999,BY_TRA!$BJ$2:$BJ$999,Transport!$B38),0)</f>
        <v>0</v>
      </c>
      <c r="AR38" s="5">
        <f>IFERROR(SUMIFS(BY_TRA!AZ$2:AZ$999,BY_TRA!$BJ$2:$BJ$999,Transport!$B38,BY_TRA!$BK$2:$BK$999,Transport!$C38)/SUMIFS(BY_TRA!AZ$2:AZ$999,BY_TRA!$BJ$2:$BJ$999,Transport!$B38),0)</f>
        <v>0</v>
      </c>
      <c r="AS38" s="5">
        <f>IFERROR(SUMIFS(BY_TRA!BA$2:BA$999,BY_TRA!$BJ$2:$BJ$999,Transport!$B38,BY_TRA!$BK$2:$BK$999,Transport!$C38)/SUMIFS(BY_TRA!BA$2:BA$999,BY_TRA!$BJ$2:$BJ$999,Transport!$B38),0)</f>
        <v>0</v>
      </c>
      <c r="AT38" s="5">
        <f>IFERROR(SUMIFS(BY_TRA!BB$2:BB$999,BY_TRA!$BJ$2:$BJ$999,Transport!$B38,BY_TRA!$BK$2:$BK$999,Transport!$C38)/SUMIFS(BY_TRA!BB$2:BB$999,BY_TRA!$BJ$2:$BJ$999,Transport!$B38),0)</f>
        <v>0</v>
      </c>
      <c r="AU38" s="5">
        <f>IFERROR(SUMIFS(BY_TRA!BC$2:BC$999,BY_TRA!$BJ$2:$BJ$999,Transport!$B38,BY_TRA!$BK$2:$BK$999,Transport!$C38)/SUMIFS(BY_TRA!BC$2:BC$999,BY_TRA!$BJ$2:$BJ$999,Transport!$B38),0)</f>
        <v>0</v>
      </c>
      <c r="AV38" s="5">
        <f>IFERROR(SUMIFS(BY_TRA!BD$2:BD$999,BY_TRA!$BJ$2:$BJ$999,Transport!$B38,BY_TRA!$BK$2:$BK$999,Transport!$C38)/SUMIFS(BY_TRA!BD$2:BD$999,BY_TRA!$BJ$2:$BJ$999,Transport!$B38),0)</f>
        <v>0</v>
      </c>
      <c r="AW38" s="5">
        <f>IFERROR(SUMIFS(BY_TRA!BE$2:BE$999,BY_TRA!$BJ$2:$BJ$999,Transport!$B38,BY_TRA!$BK$2:$BK$999,Transport!$C38)/SUMIFS(BY_TRA!BE$2:BE$999,BY_TRA!$BJ$2:$BJ$999,Transport!$B38),0)</f>
        <v>0</v>
      </c>
      <c r="AX38" s="5">
        <f>IFERROR(SUMIFS(BY_TRA!BF$2:BF$999,BY_TRA!$BJ$2:$BJ$999,Transport!$B38,BY_TRA!$BK$2:$BK$999,Transport!$C38)/SUMIFS(BY_TRA!BF$2:BF$999,BY_TRA!$BJ$2:$BJ$999,Transport!$B38),0)</f>
        <v>0</v>
      </c>
      <c r="AY38" s="5">
        <f>IFERROR(SUMIFS(BY_TRA!BG$2:BG$999,BY_TRA!$BJ$2:$BJ$999,Transport!$B38,BY_TRA!$BK$2:$BK$999,Transport!$C38)/SUMIFS(BY_TRA!BG$2:BG$999,BY_TRA!$BJ$2:$BJ$999,Transport!$B38),0)</f>
        <v>0</v>
      </c>
    </row>
    <row r="39" spans="2:51" ht="14.5">
      <c r="B39" t="s">
        <v>176</v>
      </c>
      <c r="C39" t="s">
        <v>175</v>
      </c>
      <c r="D39" s="5">
        <f>IFERROR(SUMIFS(BY_TRA!L$2:L$999,BY_TRA!$BJ$2:$BJ$999,Transport!$B39,BY_TRA!$BK$2:$BK$999,Transport!$C39)/SUMIFS(BY_TRA!L$2:L$999,BY_TRA!$BJ$2:$BJ$999,Transport!$B39),0)</f>
        <v>1</v>
      </c>
      <c r="E39" s="5">
        <f>IFERROR(SUMIFS(BY_TRA!M$2:M$999,BY_TRA!$BJ$2:$BJ$999,Transport!$B39,BY_TRA!$BK$2:$BK$999,Transport!$C39)/SUMIFS(BY_TRA!M$2:M$999,BY_TRA!$BJ$2:$BJ$999,Transport!$B39),0)</f>
        <v>1</v>
      </c>
      <c r="F39" s="5">
        <f>IFERROR(SUMIFS(BY_TRA!N$2:N$999,BY_TRA!$BJ$2:$BJ$999,Transport!$B39,BY_TRA!$BK$2:$BK$999,Transport!$C39)/SUMIFS(BY_TRA!N$2:N$999,BY_TRA!$BJ$2:$BJ$999,Transport!$B39),0)</f>
        <v>0</v>
      </c>
      <c r="G39" s="5">
        <f>IFERROR(SUMIFS(BY_TRA!O$2:O$999,BY_TRA!$BJ$2:$BJ$999,Transport!$B39,BY_TRA!$BK$2:$BK$999,Transport!$C39)/SUMIFS(BY_TRA!O$2:O$999,BY_TRA!$BJ$2:$BJ$999,Transport!$B39),0)</f>
        <v>1</v>
      </c>
      <c r="H39" s="5">
        <f>IFERROR(SUMIFS(BY_TRA!P$2:P$999,BY_TRA!$BJ$2:$BJ$999,Transport!$B39,BY_TRA!$BK$2:$BK$999,Transport!$C39)/SUMIFS(BY_TRA!P$2:P$999,BY_TRA!$BJ$2:$BJ$999,Transport!$B39),0)</f>
        <v>1</v>
      </c>
      <c r="I39" s="5">
        <f>IFERROR(SUMIFS(BY_TRA!Q$2:Q$999,BY_TRA!$BJ$2:$BJ$999,Transport!$B39,BY_TRA!$BK$2:$BK$999,Transport!$C39)/SUMIFS(BY_TRA!Q$2:Q$999,BY_TRA!$BJ$2:$BJ$999,Transport!$B39),0)</f>
        <v>1</v>
      </c>
      <c r="J39" s="5">
        <f>IFERROR(SUMIFS(BY_TRA!R$2:R$999,BY_TRA!$BJ$2:$BJ$999,Transport!$B39,BY_TRA!$BK$2:$BK$999,Transport!$C39)/SUMIFS(BY_TRA!R$2:R$999,BY_TRA!$BJ$2:$BJ$999,Transport!$B39),0)</f>
        <v>0.73488372093023313</v>
      </c>
      <c r="K39" s="5">
        <f>IFERROR(SUMIFS(BY_TRA!S$2:S$999,BY_TRA!$BJ$2:$BJ$999,Transport!$B39,BY_TRA!$BK$2:$BK$999,Transport!$C39)/SUMIFS(BY_TRA!S$2:S$999,BY_TRA!$BJ$2:$BJ$999,Transport!$B39),0)</f>
        <v>0</v>
      </c>
      <c r="L39" s="5">
        <f>IFERROR(SUMIFS(BY_TRA!T$2:T$999,BY_TRA!$BJ$2:$BJ$999,Transport!$B39,BY_TRA!$BK$2:$BK$999,Transport!$C39)/SUMIFS(BY_TRA!T$2:T$999,BY_TRA!$BJ$2:$BJ$999,Transport!$B39),0)</f>
        <v>1</v>
      </c>
      <c r="M39" s="5">
        <f>IFERROR(SUMIFS(BY_TRA!U$2:U$999,BY_TRA!$BJ$2:$BJ$999,Transport!$B39,BY_TRA!$BK$2:$BK$999,Transport!$C39)/SUMIFS(BY_TRA!U$2:U$999,BY_TRA!$BJ$2:$BJ$999,Transport!$B39),0)</f>
        <v>1</v>
      </c>
      <c r="N39" s="5">
        <f>IFERROR(SUMIFS(BY_TRA!V$2:V$999,BY_TRA!$BJ$2:$BJ$999,Transport!$B39,BY_TRA!$BK$2:$BK$999,Transport!$C39)/SUMIFS(BY_TRA!V$2:V$999,BY_TRA!$BJ$2:$BJ$999,Transport!$B39),0)</f>
        <v>1</v>
      </c>
      <c r="O39" s="5">
        <f>IFERROR(SUMIFS(BY_TRA!W$2:W$999,BY_TRA!$BJ$2:$BJ$999,Transport!$B39,BY_TRA!$BK$2:$BK$999,Transport!$C39)/SUMIFS(BY_TRA!W$2:W$999,BY_TRA!$BJ$2:$BJ$999,Transport!$B39),0)</f>
        <v>1</v>
      </c>
      <c r="P39" s="5">
        <f>IFERROR(SUMIFS(BY_TRA!X$2:X$999,BY_TRA!$BJ$2:$BJ$999,Transport!$B39,BY_TRA!$BK$2:$BK$999,Transport!$C39)/SUMIFS(BY_TRA!X$2:X$999,BY_TRA!$BJ$2:$BJ$999,Transport!$B39),0)</f>
        <v>1</v>
      </c>
      <c r="Q39" s="5">
        <f>IFERROR(SUMIFS(BY_TRA!Y$2:Y$999,BY_TRA!$BJ$2:$BJ$999,Transport!$B39,BY_TRA!$BK$2:$BK$999,Transport!$C39)/SUMIFS(BY_TRA!Y$2:Y$999,BY_TRA!$BJ$2:$BJ$999,Transport!$B39),0)</f>
        <v>1</v>
      </c>
      <c r="R39" s="5">
        <f>IFERROR(SUMIFS(BY_TRA!Z$2:Z$999,BY_TRA!$BJ$2:$BJ$999,Transport!$B39,BY_TRA!$BK$2:$BK$999,Transport!$C39)/SUMIFS(BY_TRA!Z$2:Z$999,BY_TRA!$BJ$2:$BJ$999,Transport!$B39),0)</f>
        <v>1</v>
      </c>
      <c r="S39" s="5">
        <f>IFERROR(SUMIFS(BY_TRA!AA$2:AA$999,BY_TRA!$BJ$2:$BJ$999,Transport!$B39,BY_TRA!$BK$2:$BK$999,Transport!$C39)/SUMIFS(BY_TRA!AA$2:AA$999,BY_TRA!$BJ$2:$BJ$999,Transport!$B39),0)</f>
        <v>0.4687360627954687</v>
      </c>
      <c r="T39" s="5">
        <f>IFERROR(SUMIFS(BY_TRA!AB$2:AB$999,BY_TRA!$BJ$2:$BJ$999,Transport!$B39,BY_TRA!$BK$2:$BK$999,Transport!$C39)/SUMIFS(BY_TRA!AB$2:AB$999,BY_TRA!$BJ$2:$BJ$999,Transport!$B39),0)</f>
        <v>1</v>
      </c>
      <c r="U39" s="5">
        <f>IFERROR(SUMIFS(BY_TRA!AC$2:AC$999,BY_TRA!$BJ$2:$BJ$999,Transport!$B39,BY_TRA!$BK$2:$BK$999,Transport!$C39)/SUMIFS(BY_TRA!AC$2:AC$999,BY_TRA!$BJ$2:$BJ$999,Transport!$B39),0)</f>
        <v>1</v>
      </c>
      <c r="V39" s="5">
        <f>IFERROR(SUMIFS(BY_TRA!AD$2:AD$999,BY_TRA!$BJ$2:$BJ$999,Transport!$B39,BY_TRA!$BK$2:$BK$999,Transport!$C39)/SUMIFS(BY_TRA!AD$2:AD$999,BY_TRA!$BJ$2:$BJ$999,Transport!$B39),0)</f>
        <v>0.93939393939393945</v>
      </c>
      <c r="W39" s="5">
        <f>IFERROR(SUMIFS(BY_TRA!AE$2:AE$999,BY_TRA!$BJ$2:$BJ$999,Transport!$B39,BY_TRA!$BK$2:$BK$999,Transport!$C39)/SUMIFS(BY_TRA!AE$2:AE$999,BY_TRA!$BJ$2:$BJ$999,Transport!$B39),0)</f>
        <v>0.87755102040816335</v>
      </c>
      <c r="X39" s="5">
        <f>IFERROR(SUMIFS(BY_TRA!AF$2:AF$999,BY_TRA!$BJ$2:$BJ$999,Transport!$B39,BY_TRA!$BK$2:$BK$999,Transport!$C39)/SUMIFS(BY_TRA!AF$2:AF$999,BY_TRA!$BJ$2:$BJ$999,Transport!$B39),0)</f>
        <v>1</v>
      </c>
      <c r="Y39" s="5">
        <f>IFERROR(SUMIFS(BY_TRA!AG$2:AG$999,BY_TRA!$BJ$2:$BJ$999,Transport!$B39,BY_TRA!$BK$2:$BK$999,Transport!$C39)/SUMIFS(BY_TRA!AG$2:AG$999,BY_TRA!$BJ$2:$BJ$999,Transport!$B39),0)</f>
        <v>1</v>
      </c>
      <c r="Z39" s="5">
        <f>IFERROR(SUMIFS(BY_TRA!AH$2:AH$999,BY_TRA!$BJ$2:$BJ$999,Transport!$B39,BY_TRA!$BK$2:$BK$999,Transport!$C39)/SUMIFS(BY_TRA!AH$2:AH$999,BY_TRA!$BJ$2:$BJ$999,Transport!$B39),0)</f>
        <v>1</v>
      </c>
      <c r="AA39" s="5">
        <f>IFERROR(SUMIFS(BY_TRA!AI$2:AI$999,BY_TRA!$BJ$2:$BJ$999,Transport!$B39,BY_TRA!$BK$2:$BK$999,Transport!$C39)/SUMIFS(BY_TRA!AI$2:AI$999,BY_TRA!$BJ$2:$BJ$999,Transport!$B39),0)</f>
        <v>1</v>
      </c>
      <c r="AB39" s="5">
        <f>IFERROR(SUMIFS(BY_TRA!AJ$2:AJ$999,BY_TRA!$BJ$2:$BJ$999,Transport!$B39,BY_TRA!$BK$2:$BK$999,Transport!$C39)/SUMIFS(BY_TRA!AJ$2:AJ$999,BY_TRA!$BJ$2:$BJ$999,Transport!$B39),0)</f>
        <v>1</v>
      </c>
      <c r="AC39" s="5">
        <f>IFERROR(SUMIFS(BY_TRA!AK$2:AK$999,BY_TRA!$BJ$2:$BJ$999,Transport!$B39,BY_TRA!$BK$2:$BK$999,Transport!$C39)/SUMIFS(BY_TRA!AK$2:AK$999,BY_TRA!$BJ$2:$BJ$999,Transport!$B39),0)</f>
        <v>1</v>
      </c>
      <c r="AD39" s="5">
        <f>IFERROR(SUMIFS(BY_TRA!AL$2:AL$999,BY_TRA!$BJ$2:$BJ$999,Transport!$B39,BY_TRA!$BK$2:$BK$999,Transport!$C39)/SUMIFS(BY_TRA!AL$2:AL$999,BY_TRA!$BJ$2:$BJ$999,Transport!$B39),0)</f>
        <v>1</v>
      </c>
      <c r="AE39" s="5">
        <f>IFERROR(SUMIFS(BY_TRA!AM$2:AM$999,BY_TRA!$BJ$2:$BJ$999,Transport!$B39,BY_TRA!$BK$2:$BK$999,Transport!$C39)/SUMIFS(BY_TRA!AM$2:AM$999,BY_TRA!$BJ$2:$BJ$999,Transport!$B39),0)</f>
        <v>1</v>
      </c>
      <c r="AF39" s="5">
        <f>IFERROR(SUMIFS(BY_TRA!AN$2:AN$999,BY_TRA!$BJ$2:$BJ$999,Transport!$B39,BY_TRA!$BK$2:$BK$999,Transport!$C39)/SUMIFS(BY_TRA!AN$2:AN$999,BY_TRA!$BJ$2:$BJ$999,Transport!$B39),0)</f>
        <v>1</v>
      </c>
      <c r="AG39" s="5">
        <f>IFERROR(SUMIFS(BY_TRA!AO$2:AO$999,BY_TRA!$BJ$2:$BJ$999,Transport!$B39,BY_TRA!$BK$2:$BK$999,Transport!$C39)/SUMIFS(BY_TRA!AO$2:AO$999,BY_TRA!$BJ$2:$BJ$999,Transport!$B39),0)</f>
        <v>1</v>
      </c>
      <c r="AH39" s="5">
        <f>IFERROR(SUMIFS(BY_TRA!AP$2:AP$999,BY_TRA!$BJ$2:$BJ$999,Transport!$B39,BY_TRA!$BK$2:$BK$999,Transport!$C39)/SUMIFS(BY_TRA!AP$2:AP$999,BY_TRA!$BJ$2:$BJ$999,Transport!$B39),0)</f>
        <v>1</v>
      </c>
      <c r="AI39" s="5">
        <f>IFERROR(SUMIFS(BY_TRA!AQ$2:AQ$999,BY_TRA!$BJ$2:$BJ$999,Transport!$B39,BY_TRA!$BK$2:$BK$999,Transport!$C39)/SUMIFS(BY_TRA!AQ$2:AQ$999,BY_TRA!$BJ$2:$BJ$999,Transport!$B39),0)</f>
        <v>1</v>
      </c>
      <c r="AJ39" s="5">
        <f>IFERROR(SUMIFS(BY_TRA!AR$2:AR$999,BY_TRA!$BJ$2:$BJ$999,Transport!$B39,BY_TRA!$BK$2:$BK$999,Transport!$C39)/SUMIFS(BY_TRA!AR$2:AR$999,BY_TRA!$BJ$2:$BJ$999,Transport!$B39),0)</f>
        <v>1</v>
      </c>
      <c r="AK39" s="5">
        <f>IFERROR(SUMIFS(BY_TRA!AS$2:AS$999,BY_TRA!$BJ$2:$BJ$999,Transport!$B39,BY_TRA!$BK$2:$BK$999,Transport!$C39)/SUMIFS(BY_TRA!AS$2:AS$999,BY_TRA!$BJ$2:$BJ$999,Transport!$B39),0)</f>
        <v>1</v>
      </c>
      <c r="AL39" s="5">
        <f>IFERROR(SUMIFS(BY_TRA!AT$2:AT$999,BY_TRA!$BJ$2:$BJ$999,Transport!$B39,BY_TRA!$BK$2:$BK$999,Transport!$C39)/SUMIFS(BY_TRA!AT$2:AT$999,BY_TRA!$BJ$2:$BJ$999,Transport!$B39),0)</f>
        <v>1</v>
      </c>
      <c r="AM39" s="5">
        <f>IFERROR(SUMIFS(BY_TRA!AU$2:AU$999,BY_TRA!$BJ$2:$BJ$999,Transport!$B39,BY_TRA!$BK$2:$BK$999,Transport!$C39)/SUMIFS(BY_TRA!AU$2:AU$999,BY_TRA!$BJ$2:$BJ$999,Transport!$B39),0)</f>
        <v>0</v>
      </c>
      <c r="AN39" s="5">
        <f>IFERROR(SUMIFS(BY_TRA!AV$2:AV$999,BY_TRA!$BJ$2:$BJ$999,Transport!$B39,BY_TRA!$BK$2:$BK$999,Transport!$C39)/SUMIFS(BY_TRA!AV$2:AV$999,BY_TRA!$BJ$2:$BJ$999,Transport!$B39),0)</f>
        <v>0</v>
      </c>
      <c r="AO39" s="5">
        <f>IFERROR(SUMIFS(BY_TRA!AW$2:AW$999,BY_TRA!$BJ$2:$BJ$999,Transport!$B39,BY_TRA!$BK$2:$BK$999,Transport!$C39)/SUMIFS(BY_TRA!AW$2:AW$999,BY_TRA!$BJ$2:$BJ$999,Transport!$B39),0)</f>
        <v>0</v>
      </c>
      <c r="AP39" s="5">
        <f>IFERROR(SUMIFS(BY_TRA!AX$2:AX$999,BY_TRA!$BJ$2:$BJ$999,Transport!$B39,BY_TRA!$BK$2:$BK$999,Transport!$C39)/SUMIFS(BY_TRA!AX$2:AX$999,BY_TRA!$BJ$2:$BJ$999,Transport!$B39),0)</f>
        <v>0</v>
      </c>
      <c r="AQ39" s="5">
        <f>IFERROR(SUMIFS(BY_TRA!AY$2:AY$999,BY_TRA!$BJ$2:$BJ$999,Transport!$B39,BY_TRA!$BK$2:$BK$999,Transport!$C39)/SUMIFS(BY_TRA!AY$2:AY$999,BY_TRA!$BJ$2:$BJ$999,Transport!$B39),0)</f>
        <v>0</v>
      </c>
      <c r="AR39" s="5">
        <f>IFERROR(SUMIFS(BY_TRA!AZ$2:AZ$999,BY_TRA!$BJ$2:$BJ$999,Transport!$B39,BY_TRA!$BK$2:$BK$999,Transport!$C39)/SUMIFS(BY_TRA!AZ$2:AZ$999,BY_TRA!$BJ$2:$BJ$999,Transport!$B39),0)</f>
        <v>0</v>
      </c>
      <c r="AS39" s="5">
        <f>IFERROR(SUMIFS(BY_TRA!BA$2:BA$999,BY_TRA!$BJ$2:$BJ$999,Transport!$B39,BY_TRA!$BK$2:$BK$999,Transport!$C39)/SUMIFS(BY_TRA!BA$2:BA$999,BY_TRA!$BJ$2:$BJ$999,Transport!$B39),0)</f>
        <v>0</v>
      </c>
      <c r="AT39" s="5">
        <f>IFERROR(SUMIFS(BY_TRA!BB$2:BB$999,BY_TRA!$BJ$2:$BJ$999,Transport!$B39,BY_TRA!$BK$2:$BK$999,Transport!$C39)/SUMIFS(BY_TRA!BB$2:BB$999,BY_TRA!$BJ$2:$BJ$999,Transport!$B39),0)</f>
        <v>0</v>
      </c>
      <c r="AU39" s="5">
        <f>IFERROR(SUMIFS(BY_TRA!BC$2:BC$999,BY_TRA!$BJ$2:$BJ$999,Transport!$B39,BY_TRA!$BK$2:$BK$999,Transport!$C39)/SUMIFS(BY_TRA!BC$2:BC$999,BY_TRA!$BJ$2:$BJ$999,Transport!$B39),0)</f>
        <v>0</v>
      </c>
      <c r="AV39" s="5">
        <f>IFERROR(SUMIFS(BY_TRA!BD$2:BD$999,BY_TRA!$BJ$2:$BJ$999,Transport!$B39,BY_TRA!$BK$2:$BK$999,Transport!$C39)/SUMIFS(BY_TRA!BD$2:BD$999,BY_TRA!$BJ$2:$BJ$999,Transport!$B39),0)</f>
        <v>0</v>
      </c>
      <c r="AW39" s="5">
        <f>IFERROR(SUMIFS(BY_TRA!BE$2:BE$999,BY_TRA!$BJ$2:$BJ$999,Transport!$B39,BY_TRA!$BK$2:$BK$999,Transport!$C39)/SUMIFS(BY_TRA!BE$2:BE$999,BY_TRA!$BJ$2:$BJ$999,Transport!$B39),0)</f>
        <v>0</v>
      </c>
      <c r="AX39" s="5">
        <f>IFERROR(SUMIFS(BY_TRA!BF$2:BF$999,BY_TRA!$BJ$2:$BJ$999,Transport!$B39,BY_TRA!$BK$2:$BK$999,Transport!$C39)/SUMIFS(BY_TRA!BF$2:BF$999,BY_TRA!$BJ$2:$BJ$999,Transport!$B39),0)</f>
        <v>0</v>
      </c>
      <c r="AY39" s="5">
        <f>IFERROR(SUMIFS(BY_TRA!BG$2:BG$999,BY_TRA!$BJ$2:$BJ$999,Transport!$B39,BY_TRA!$BK$2:$BK$999,Transport!$C39)/SUMIFS(BY_TRA!BG$2:BG$999,BY_TRA!$BJ$2:$BJ$999,Transport!$B39),0)</f>
        <v>0</v>
      </c>
    </row>
    <row r="40" spans="2:51" ht="14.5">
      <c r="B40" t="s">
        <v>179</v>
      </c>
      <c r="C40" t="s">
        <v>177</v>
      </c>
      <c r="D40" s="5">
        <f>IFERROR(SUMIFS(BY_TRA!L$2:L$999,BY_TRA!$BJ$2:$BJ$999,Transport!$B40,BY_TRA!$BK$2:$BK$999,Transport!$C40)/SUMIFS(BY_TRA!L$2:L$999,BY_TRA!$BJ$2:$BJ$999,Transport!$B40),0)</f>
        <v>0</v>
      </c>
      <c r="E40" s="5">
        <f>IFERROR(SUMIFS(BY_TRA!M$2:M$999,BY_TRA!$BJ$2:$BJ$999,Transport!$B40,BY_TRA!$BK$2:$BK$999,Transport!$C40)/SUMIFS(BY_TRA!M$2:M$999,BY_TRA!$BJ$2:$BJ$999,Transport!$B40),0)</f>
        <v>0</v>
      </c>
      <c r="F40" s="5">
        <f>IFERROR(SUMIFS(BY_TRA!N$2:N$999,BY_TRA!$BJ$2:$BJ$999,Transport!$B40,BY_TRA!$BK$2:$BK$999,Transport!$C40)/SUMIFS(BY_TRA!N$2:N$999,BY_TRA!$BJ$2:$BJ$999,Transport!$B40),0)</f>
        <v>0</v>
      </c>
      <c r="G40" s="5">
        <f>IFERROR(SUMIFS(BY_TRA!O$2:O$999,BY_TRA!$BJ$2:$BJ$999,Transport!$B40,BY_TRA!$BK$2:$BK$999,Transport!$C40)/SUMIFS(BY_TRA!O$2:O$999,BY_TRA!$BJ$2:$BJ$999,Transport!$B40),0)</f>
        <v>0.045454545454545456</v>
      </c>
      <c r="H40" s="5">
        <f>IFERROR(SUMIFS(BY_TRA!P$2:P$999,BY_TRA!$BJ$2:$BJ$999,Transport!$B40,BY_TRA!$BK$2:$BK$999,Transport!$C40)/SUMIFS(BY_TRA!P$2:P$999,BY_TRA!$BJ$2:$BJ$999,Transport!$B40),0)</f>
        <v>0.034482758620689606</v>
      </c>
      <c r="I40" s="5">
        <f>IFERROR(SUMIFS(BY_TRA!Q$2:Q$999,BY_TRA!$BJ$2:$BJ$999,Transport!$B40,BY_TRA!$BK$2:$BK$999,Transport!$C40)/SUMIFS(BY_TRA!Q$2:Q$999,BY_TRA!$BJ$2:$BJ$999,Transport!$B40),0)</f>
        <v>0.058823529411764691</v>
      </c>
      <c r="J40" s="5">
        <f>IFERROR(SUMIFS(BY_TRA!R$2:R$999,BY_TRA!$BJ$2:$BJ$999,Transport!$B40,BY_TRA!$BK$2:$BK$999,Transport!$C40)/SUMIFS(BY_TRA!R$2:R$999,BY_TRA!$BJ$2:$BJ$999,Transport!$B40),0)</f>
        <v>0.26652452025586315</v>
      </c>
      <c r="K40" s="5">
        <f>IFERROR(SUMIFS(BY_TRA!S$2:S$999,BY_TRA!$BJ$2:$BJ$999,Transport!$B40,BY_TRA!$BK$2:$BK$999,Transport!$C40)/SUMIFS(BY_TRA!S$2:S$999,BY_TRA!$BJ$2:$BJ$999,Transport!$B40),0)</f>
        <v>0.0065036420395421452</v>
      </c>
      <c r="L40" s="5">
        <f>IFERROR(SUMIFS(BY_TRA!T$2:T$999,BY_TRA!$BJ$2:$BJ$999,Transport!$B40,BY_TRA!$BK$2:$BK$999,Transport!$C40)/SUMIFS(BY_TRA!T$2:T$999,BY_TRA!$BJ$2:$BJ$999,Transport!$B40),0)</f>
        <v>0.043478260869565181</v>
      </c>
      <c r="M40" s="5">
        <f>IFERROR(SUMIFS(BY_TRA!U$2:U$999,BY_TRA!$BJ$2:$BJ$999,Transport!$B40,BY_TRA!$BK$2:$BK$999,Transport!$C40)/SUMIFS(BY_TRA!U$2:U$999,BY_TRA!$BJ$2:$BJ$999,Transport!$B40),0)</f>
        <v>0.052631578947368342</v>
      </c>
      <c r="N40" s="5">
        <f>IFERROR(SUMIFS(BY_TRA!V$2:V$999,BY_TRA!$BJ$2:$BJ$999,Transport!$B40,BY_TRA!$BK$2:$BK$999,Transport!$C40)/SUMIFS(BY_TRA!V$2:V$999,BY_TRA!$BJ$2:$BJ$999,Transport!$B40),0)</f>
        <v>0.074999999999999914</v>
      </c>
      <c r="O40" s="5">
        <f>IFERROR(SUMIFS(BY_TRA!W$2:W$999,BY_TRA!$BJ$2:$BJ$999,Transport!$B40,BY_TRA!$BK$2:$BK$999,Transport!$C40)/SUMIFS(BY_TRA!W$2:W$999,BY_TRA!$BJ$2:$BJ$999,Transport!$B40),0)</f>
        <v>0.054687499999999965</v>
      </c>
      <c r="P40" s="5">
        <f>IFERROR(SUMIFS(BY_TRA!X$2:X$999,BY_TRA!$BJ$2:$BJ$999,Transport!$B40,BY_TRA!$BK$2:$BK$999,Transport!$C40)/SUMIFS(BY_TRA!X$2:X$999,BY_TRA!$BJ$2:$BJ$999,Transport!$B40),0)</f>
        <v>0.10000000000000003</v>
      </c>
      <c r="Q40" s="5">
        <f>IFERROR(SUMIFS(BY_TRA!Y$2:Y$999,BY_TRA!$BJ$2:$BJ$999,Transport!$B40,BY_TRA!$BK$2:$BK$999,Transport!$C40)/SUMIFS(BY_TRA!Y$2:Y$999,BY_TRA!$BJ$2:$BJ$999,Transport!$B40),0)</f>
        <v>0.047619047619047526</v>
      </c>
      <c r="R40" s="5">
        <f>IFERROR(SUMIFS(BY_TRA!Z$2:Z$999,BY_TRA!$BJ$2:$BJ$999,Transport!$B40,BY_TRA!$BK$2:$BK$999,Transport!$C40)/SUMIFS(BY_TRA!Z$2:Z$999,BY_TRA!$BJ$2:$BJ$999,Transport!$B40),0)</f>
        <v>0</v>
      </c>
      <c r="S40" s="5">
        <f>IFERROR(SUMIFS(BY_TRA!AA$2:AA$999,BY_TRA!$BJ$2:$BJ$999,Transport!$B40,BY_TRA!$BK$2:$BK$999,Transport!$C40)/SUMIFS(BY_TRA!AA$2:AA$999,BY_TRA!$BJ$2:$BJ$999,Transport!$B40),0)</f>
        <v>0.0009250693802035152</v>
      </c>
      <c r="T40" s="5">
        <f>IFERROR(SUMIFS(BY_TRA!AB$2:AB$999,BY_TRA!$BJ$2:$BJ$999,Transport!$B40,BY_TRA!$BK$2:$BK$999,Transport!$C40)/SUMIFS(BY_TRA!AB$2:AB$999,BY_TRA!$BJ$2:$BJ$999,Transport!$B40),0)</f>
        <v>0.090909090909090925</v>
      </c>
      <c r="U40" s="5">
        <f>IFERROR(SUMIFS(BY_TRA!AC$2:AC$999,BY_TRA!$BJ$2:$BJ$999,Transport!$B40,BY_TRA!$BK$2:$BK$999,Transport!$C40)/SUMIFS(BY_TRA!AC$2:AC$999,BY_TRA!$BJ$2:$BJ$999,Transport!$B40),0)</f>
        <v>0.039603960396039653</v>
      </c>
      <c r="V40" s="5">
        <f>IFERROR(SUMIFS(BY_TRA!AD$2:AD$999,BY_TRA!$BJ$2:$BJ$999,Transport!$B40,BY_TRA!$BK$2:$BK$999,Transport!$C40)/SUMIFS(BY_TRA!AD$2:AD$999,BY_TRA!$BJ$2:$BJ$999,Transport!$B40),0)</f>
        <v>0</v>
      </c>
      <c r="W40" s="5">
        <f>IFERROR(SUMIFS(BY_TRA!AE$2:AE$999,BY_TRA!$BJ$2:$BJ$999,Transport!$B40,BY_TRA!$BK$2:$BK$999,Transport!$C40)/SUMIFS(BY_TRA!AE$2:AE$999,BY_TRA!$BJ$2:$BJ$999,Transport!$B40),0)</f>
        <v>0.02922755741127351</v>
      </c>
      <c r="X40" s="5">
        <f>IFERROR(SUMIFS(BY_TRA!AF$2:AF$999,BY_TRA!$BJ$2:$BJ$999,Transport!$B40,BY_TRA!$BK$2:$BK$999,Transport!$C40)/SUMIFS(BY_TRA!AF$2:AF$999,BY_TRA!$BJ$2:$BJ$999,Transport!$B40),0)</f>
        <v>0</v>
      </c>
      <c r="Y40" s="5">
        <f>IFERROR(SUMIFS(BY_TRA!AG$2:AG$999,BY_TRA!$BJ$2:$BJ$999,Transport!$B40,BY_TRA!$BK$2:$BK$999,Transport!$C40)/SUMIFS(BY_TRA!AG$2:AG$999,BY_TRA!$BJ$2:$BJ$999,Transport!$B40),0)</f>
        <v>0.028318584070796501</v>
      </c>
      <c r="Z40" s="5">
        <f>IFERROR(SUMIFS(BY_TRA!AH$2:AH$999,BY_TRA!$BJ$2:$BJ$999,Transport!$B40,BY_TRA!$BK$2:$BK$999,Transport!$C40)/SUMIFS(BY_TRA!AH$2:AH$999,BY_TRA!$BJ$2:$BJ$999,Transport!$B40),0)</f>
        <v>0.11111111111111129</v>
      </c>
      <c r="AA40" s="5">
        <f>IFERROR(SUMIFS(BY_TRA!AI$2:AI$999,BY_TRA!$BJ$2:$BJ$999,Transport!$B40,BY_TRA!$BK$2:$BK$999,Transport!$C40)/SUMIFS(BY_TRA!AI$2:AI$999,BY_TRA!$BJ$2:$BJ$999,Transport!$B40),0)</f>
        <v>0.054545454545454515</v>
      </c>
      <c r="AB40" s="5">
        <f>IFERROR(SUMIFS(BY_TRA!AJ$2:AJ$999,BY_TRA!$BJ$2:$BJ$999,Transport!$B40,BY_TRA!$BK$2:$BK$999,Transport!$C40)/SUMIFS(BY_TRA!AJ$2:AJ$999,BY_TRA!$BJ$2:$BJ$999,Transport!$B40),0)</f>
        <v>0.05899490167516392</v>
      </c>
      <c r="AC40" s="5">
        <f>IFERROR(SUMIFS(BY_TRA!AK$2:AK$999,BY_TRA!$BJ$2:$BJ$999,Transport!$B40,BY_TRA!$BK$2:$BK$999,Transport!$C40)/SUMIFS(BY_TRA!AK$2:AK$999,BY_TRA!$BJ$2:$BJ$999,Transport!$B40),0)</f>
        <v>0</v>
      </c>
      <c r="AD40" s="5">
        <f>IFERROR(SUMIFS(BY_TRA!AL$2:AL$999,BY_TRA!$BJ$2:$BJ$999,Transport!$B40,BY_TRA!$BK$2:$BK$999,Transport!$C40)/SUMIFS(BY_TRA!AL$2:AL$999,BY_TRA!$BJ$2:$BJ$999,Transport!$B40),0)</f>
        <v>0</v>
      </c>
      <c r="AE40" s="5">
        <f>IFERROR(SUMIFS(BY_TRA!AM$2:AM$999,BY_TRA!$BJ$2:$BJ$999,Transport!$B40,BY_TRA!$BK$2:$BK$999,Transport!$C40)/SUMIFS(BY_TRA!AM$2:AM$999,BY_TRA!$BJ$2:$BJ$999,Transport!$B40),0)</f>
        <v>0</v>
      </c>
      <c r="AF40" s="5">
        <f>IFERROR(SUMIFS(BY_TRA!AN$2:AN$999,BY_TRA!$BJ$2:$BJ$999,Transport!$B40,BY_TRA!$BK$2:$BK$999,Transport!$C40)/SUMIFS(BY_TRA!AN$2:AN$999,BY_TRA!$BJ$2:$BJ$999,Transport!$B40),0)</f>
        <v>0.059999999999999998</v>
      </c>
      <c r="AG40" s="5">
        <f>IFERROR(SUMIFS(BY_TRA!AO$2:AO$999,BY_TRA!$BJ$2:$BJ$999,Transport!$B40,BY_TRA!$BK$2:$BK$999,Transport!$C40)/SUMIFS(BY_TRA!AO$2:AO$999,BY_TRA!$BJ$2:$BJ$999,Transport!$B40),0)</f>
        <v>0.16216216216216209</v>
      </c>
      <c r="AH40" s="5">
        <f>IFERROR(SUMIFS(BY_TRA!AP$2:AP$999,BY_TRA!$BJ$2:$BJ$999,Transport!$B40,BY_TRA!$BK$2:$BK$999,Transport!$C40)/SUMIFS(BY_TRA!AP$2:AP$999,BY_TRA!$BJ$2:$BJ$999,Transport!$B40),0)</f>
        <v>0.10000000000000003</v>
      </c>
      <c r="AI40" s="5">
        <f>IFERROR(SUMIFS(BY_TRA!AQ$2:AQ$999,BY_TRA!$BJ$2:$BJ$999,Transport!$B40,BY_TRA!$BK$2:$BK$999,Transport!$C40)/SUMIFS(BY_TRA!AQ$2:AQ$999,BY_TRA!$BJ$2:$BJ$999,Transport!$B40),0)</f>
        <v>0.0049504950495049636</v>
      </c>
      <c r="AJ40" s="5">
        <f>IFERROR(SUMIFS(BY_TRA!AR$2:AR$999,BY_TRA!$BJ$2:$BJ$999,Transport!$B40,BY_TRA!$BK$2:$BK$999,Transport!$C40)/SUMIFS(BY_TRA!AR$2:AR$999,BY_TRA!$BJ$2:$BJ$999,Transport!$B40),0)</f>
        <v>0.044444444444444439</v>
      </c>
      <c r="AK40" s="5">
        <f>IFERROR(SUMIFS(BY_TRA!AS$2:AS$999,BY_TRA!$BJ$2:$BJ$999,Transport!$B40,BY_TRA!$BK$2:$BK$999,Transport!$C40)/SUMIFS(BY_TRA!AS$2:AS$999,BY_TRA!$BJ$2:$BJ$999,Transport!$B40),0)</f>
        <v>0</v>
      </c>
      <c r="AL40" s="5">
        <f>IFERROR(SUMIFS(BY_TRA!AT$2:AT$999,BY_TRA!$BJ$2:$BJ$999,Transport!$B40,BY_TRA!$BK$2:$BK$999,Transport!$C40)/SUMIFS(BY_TRA!AT$2:AT$999,BY_TRA!$BJ$2:$BJ$999,Transport!$B40),0)</f>
        <v>0.016949152542372881</v>
      </c>
      <c r="AM40" s="5">
        <f>IFERROR(SUMIFS(BY_TRA!AU$2:AU$999,BY_TRA!$BJ$2:$BJ$999,Transport!$B40,BY_TRA!$BK$2:$BK$999,Transport!$C40)/SUMIFS(BY_TRA!AU$2:AU$999,BY_TRA!$BJ$2:$BJ$999,Transport!$B40),0)</f>
        <v>0</v>
      </c>
      <c r="AN40" s="5">
        <f>IFERROR(SUMIFS(BY_TRA!AV$2:AV$999,BY_TRA!$BJ$2:$BJ$999,Transport!$B40,BY_TRA!$BK$2:$BK$999,Transport!$C40)/SUMIFS(BY_TRA!AV$2:AV$999,BY_TRA!$BJ$2:$BJ$999,Transport!$B40),0)</f>
        <v>0</v>
      </c>
      <c r="AO40" s="5">
        <f>IFERROR(SUMIFS(BY_TRA!AW$2:AW$999,BY_TRA!$BJ$2:$BJ$999,Transport!$B40,BY_TRA!$BK$2:$BK$999,Transport!$C40)/SUMIFS(BY_TRA!AW$2:AW$999,BY_TRA!$BJ$2:$BJ$999,Transport!$B40),0)</f>
        <v>0</v>
      </c>
      <c r="AP40" s="5">
        <f>IFERROR(SUMIFS(BY_TRA!AX$2:AX$999,BY_TRA!$BJ$2:$BJ$999,Transport!$B40,BY_TRA!$BK$2:$BK$999,Transport!$C40)/SUMIFS(BY_TRA!AX$2:AX$999,BY_TRA!$BJ$2:$BJ$999,Transport!$B40),0)</f>
        <v>0</v>
      </c>
      <c r="AQ40" s="5">
        <f>IFERROR(SUMIFS(BY_TRA!AY$2:AY$999,BY_TRA!$BJ$2:$BJ$999,Transport!$B40,BY_TRA!$BK$2:$BK$999,Transport!$C40)/SUMIFS(BY_TRA!AY$2:AY$999,BY_TRA!$BJ$2:$BJ$999,Transport!$B40),0)</f>
        <v>0</v>
      </c>
      <c r="AR40" s="5">
        <f>IFERROR(SUMIFS(BY_TRA!AZ$2:AZ$999,BY_TRA!$BJ$2:$BJ$999,Transport!$B40,BY_TRA!$BK$2:$BK$999,Transport!$C40)/SUMIFS(BY_TRA!AZ$2:AZ$999,BY_TRA!$BJ$2:$BJ$999,Transport!$B40),0)</f>
        <v>0</v>
      </c>
      <c r="AS40" s="5">
        <f>IFERROR(SUMIFS(BY_TRA!BA$2:BA$999,BY_TRA!$BJ$2:$BJ$999,Transport!$B40,BY_TRA!$BK$2:$BK$999,Transport!$C40)/SUMIFS(BY_TRA!BA$2:BA$999,BY_TRA!$BJ$2:$BJ$999,Transport!$B40),0)</f>
        <v>0</v>
      </c>
      <c r="AT40" s="5">
        <f>IFERROR(SUMIFS(BY_TRA!BB$2:BB$999,BY_TRA!$BJ$2:$BJ$999,Transport!$B40,BY_TRA!$BK$2:$BK$999,Transport!$C40)/SUMIFS(BY_TRA!BB$2:BB$999,BY_TRA!$BJ$2:$BJ$999,Transport!$B40),0)</f>
        <v>0</v>
      </c>
      <c r="AU40" s="5">
        <f>IFERROR(SUMIFS(BY_TRA!BC$2:BC$999,BY_TRA!$BJ$2:$BJ$999,Transport!$B40,BY_TRA!$BK$2:$BK$999,Transport!$C40)/SUMIFS(BY_TRA!BC$2:BC$999,BY_TRA!$BJ$2:$BJ$999,Transport!$B40),0)</f>
        <v>0</v>
      </c>
      <c r="AV40" s="5">
        <f>IFERROR(SUMIFS(BY_TRA!BD$2:BD$999,BY_TRA!$BJ$2:$BJ$999,Transport!$B40,BY_TRA!$BK$2:$BK$999,Transport!$C40)/SUMIFS(BY_TRA!BD$2:BD$999,BY_TRA!$BJ$2:$BJ$999,Transport!$B40),0)</f>
        <v>0</v>
      </c>
      <c r="AW40" s="5">
        <f>IFERROR(SUMIFS(BY_TRA!BE$2:BE$999,BY_TRA!$BJ$2:$BJ$999,Transport!$B40,BY_TRA!$BK$2:$BK$999,Transport!$C40)/SUMIFS(BY_TRA!BE$2:BE$999,BY_TRA!$BJ$2:$BJ$999,Transport!$B40),0)</f>
        <v>0</v>
      </c>
      <c r="AX40" s="5">
        <f>IFERROR(SUMIFS(BY_TRA!BF$2:BF$999,BY_TRA!$BJ$2:$BJ$999,Transport!$B40,BY_TRA!$BK$2:$BK$999,Transport!$C40)/SUMIFS(BY_TRA!BF$2:BF$999,BY_TRA!$BJ$2:$BJ$999,Transport!$B40),0)</f>
        <v>0</v>
      </c>
      <c r="AY40" s="5">
        <f>IFERROR(SUMIFS(BY_TRA!BG$2:BG$999,BY_TRA!$BJ$2:$BJ$999,Transport!$B40,BY_TRA!$BK$2:$BK$999,Transport!$C40)/SUMIFS(BY_TRA!BG$2:BG$999,BY_TRA!$BJ$2:$BJ$999,Transport!$B40),0)</f>
        <v>0</v>
      </c>
    </row>
    <row r="41" spans="2:51" ht="14.5">
      <c r="B41" t="s">
        <v>179</v>
      </c>
      <c r="C41" t="s">
        <v>178</v>
      </c>
      <c r="D41" s="5">
        <f>IFERROR(SUMIFS(BY_TRA!L$2:L$999,BY_TRA!$BJ$2:$BJ$999,Transport!$B41,BY_TRA!$BK$2:$BK$999,Transport!$C41)/SUMIFS(BY_TRA!L$2:L$999,BY_TRA!$BJ$2:$BJ$999,Transport!$B41),0)</f>
        <v>0.95750332005312044</v>
      </c>
      <c r="E41" s="5">
        <f>IFERROR(SUMIFS(BY_TRA!M$2:M$999,BY_TRA!$BJ$2:$BJ$999,Transport!$B41,BY_TRA!$BK$2:$BK$999,Transport!$C41)/SUMIFS(BY_TRA!M$2:M$999,BY_TRA!$BJ$2:$BJ$999,Transport!$B41),0)</f>
        <v>1</v>
      </c>
      <c r="F41" s="5">
        <f>IFERROR(SUMIFS(BY_TRA!N$2:N$999,BY_TRA!$BJ$2:$BJ$999,Transport!$B41,BY_TRA!$BK$2:$BK$999,Transport!$C41)/SUMIFS(BY_TRA!N$2:N$999,BY_TRA!$BJ$2:$BJ$999,Transport!$B41),0)</f>
        <v>0.85294117647058965</v>
      </c>
      <c r="G41" s="5">
        <f>IFERROR(SUMIFS(BY_TRA!O$2:O$999,BY_TRA!$BJ$2:$BJ$999,Transport!$B41,BY_TRA!$BK$2:$BK$999,Transport!$C41)/SUMIFS(BY_TRA!O$2:O$999,BY_TRA!$BJ$2:$BJ$999,Transport!$B41),0)</f>
        <v>0.95454545454545459</v>
      </c>
      <c r="H41" s="5">
        <f>IFERROR(SUMIFS(BY_TRA!P$2:P$999,BY_TRA!$BJ$2:$BJ$999,Transport!$B41,BY_TRA!$BK$2:$BK$999,Transport!$C41)/SUMIFS(BY_TRA!P$2:P$999,BY_TRA!$BJ$2:$BJ$999,Transport!$B41),0)</f>
        <v>0.82758620689655049</v>
      </c>
      <c r="I41" s="5">
        <f>IFERROR(SUMIFS(BY_TRA!Q$2:Q$999,BY_TRA!$BJ$2:$BJ$999,Transport!$B41,BY_TRA!$BK$2:$BK$999,Transport!$C41)/SUMIFS(BY_TRA!Q$2:Q$999,BY_TRA!$BJ$2:$BJ$999,Transport!$B41),0)</f>
        <v>0.88235294117647001</v>
      </c>
      <c r="J41" s="5">
        <f>IFERROR(SUMIFS(BY_TRA!R$2:R$999,BY_TRA!$BJ$2:$BJ$999,Transport!$B41,BY_TRA!$BK$2:$BK$999,Transport!$C41)/SUMIFS(BY_TRA!R$2:R$999,BY_TRA!$BJ$2:$BJ$999,Transport!$B41),0)</f>
        <v>0.58635394456289902</v>
      </c>
      <c r="K41" s="5">
        <f>IFERROR(SUMIFS(BY_TRA!S$2:S$999,BY_TRA!$BJ$2:$BJ$999,Transport!$B41,BY_TRA!$BK$2:$BK$999,Transport!$C41)/SUMIFS(BY_TRA!S$2:S$999,BY_TRA!$BJ$2:$BJ$999,Transport!$B41),0)</f>
        <v>0.65504682622268429</v>
      </c>
      <c r="L41" s="5">
        <f>IFERROR(SUMIFS(BY_TRA!T$2:T$999,BY_TRA!$BJ$2:$BJ$999,Transport!$B41,BY_TRA!$BK$2:$BK$999,Transport!$C41)/SUMIFS(BY_TRA!T$2:T$999,BY_TRA!$BJ$2:$BJ$999,Transport!$B41),0)</f>
        <v>0.86956521739130366</v>
      </c>
      <c r="M41" s="5">
        <f>IFERROR(SUMIFS(BY_TRA!U$2:U$999,BY_TRA!$BJ$2:$BJ$999,Transport!$B41,BY_TRA!$BK$2:$BK$999,Transport!$C41)/SUMIFS(BY_TRA!U$2:U$999,BY_TRA!$BJ$2:$BJ$999,Transport!$B41),0)</f>
        <v>0.75438596491227905</v>
      </c>
      <c r="N41" s="5">
        <f>IFERROR(SUMIFS(BY_TRA!V$2:V$999,BY_TRA!$BJ$2:$BJ$999,Transport!$B41,BY_TRA!$BK$2:$BK$999,Transport!$C41)/SUMIFS(BY_TRA!V$2:V$999,BY_TRA!$BJ$2:$BJ$999,Transport!$B41),0)</f>
        <v>0.88333333333333297</v>
      </c>
      <c r="O41" s="5">
        <f>IFERROR(SUMIFS(BY_TRA!W$2:W$999,BY_TRA!$BJ$2:$BJ$999,Transport!$B41,BY_TRA!$BK$2:$BK$999,Transport!$C41)/SUMIFS(BY_TRA!W$2:W$999,BY_TRA!$BJ$2:$BJ$999,Transport!$B41),0)</f>
        <v>0.89062499999999956</v>
      </c>
      <c r="P41" s="5">
        <f>IFERROR(SUMIFS(BY_TRA!X$2:X$999,BY_TRA!$BJ$2:$BJ$999,Transport!$B41,BY_TRA!$BK$2:$BK$999,Transport!$C41)/SUMIFS(BY_TRA!X$2:X$999,BY_TRA!$BJ$2:$BJ$999,Transport!$B41),0)</f>
        <v>0.8999999999999998</v>
      </c>
      <c r="Q41" s="5">
        <f>IFERROR(SUMIFS(BY_TRA!Y$2:Y$999,BY_TRA!$BJ$2:$BJ$999,Transport!$B41,BY_TRA!$BK$2:$BK$999,Transport!$C41)/SUMIFS(BY_TRA!Y$2:Y$999,BY_TRA!$BJ$2:$BJ$999,Transport!$B41),0)</f>
        <v>0.78571428571428426</v>
      </c>
      <c r="R41" s="5">
        <f>IFERROR(SUMIFS(BY_TRA!Z$2:Z$999,BY_TRA!$BJ$2:$BJ$999,Transport!$B41,BY_TRA!$BK$2:$BK$999,Transport!$C41)/SUMIFS(BY_TRA!Z$2:Z$999,BY_TRA!$BJ$2:$BJ$999,Transport!$B41),0)</f>
        <v>1</v>
      </c>
      <c r="S41" s="5">
        <f>IFERROR(SUMIFS(BY_TRA!AA$2:AA$999,BY_TRA!$BJ$2:$BJ$999,Transport!$B41,BY_TRA!$BK$2:$BK$999,Transport!$C41)/SUMIFS(BY_TRA!AA$2:AA$999,BY_TRA!$BJ$2:$BJ$999,Transport!$B41),0)</f>
        <v>0.86956521739130421</v>
      </c>
      <c r="T41" s="5">
        <f>IFERROR(SUMIFS(BY_TRA!AB$2:AB$999,BY_TRA!$BJ$2:$BJ$999,Transport!$B41,BY_TRA!$BK$2:$BK$999,Transport!$C41)/SUMIFS(BY_TRA!AB$2:AB$999,BY_TRA!$BJ$2:$BJ$999,Transport!$B41),0)</f>
        <v>0.90909090909090928</v>
      </c>
      <c r="U41" s="5">
        <f>IFERROR(SUMIFS(BY_TRA!AC$2:AC$999,BY_TRA!$BJ$2:$BJ$999,Transport!$B41,BY_TRA!$BK$2:$BK$999,Transport!$C41)/SUMIFS(BY_TRA!AC$2:AC$999,BY_TRA!$BJ$2:$BJ$999,Transport!$B41),0)</f>
        <v>0.7326732673267331</v>
      </c>
      <c r="V41" s="5">
        <f>IFERROR(SUMIFS(BY_TRA!AD$2:AD$999,BY_TRA!$BJ$2:$BJ$999,Transport!$B41,BY_TRA!$BK$2:$BK$999,Transport!$C41)/SUMIFS(BY_TRA!AD$2:AD$999,BY_TRA!$BJ$2:$BJ$999,Transport!$B41),0)</f>
        <v>1</v>
      </c>
      <c r="W41" s="5">
        <f>IFERROR(SUMIFS(BY_TRA!AE$2:AE$999,BY_TRA!$BJ$2:$BJ$999,Transport!$B41,BY_TRA!$BK$2:$BK$999,Transport!$C41)/SUMIFS(BY_TRA!AE$2:AE$999,BY_TRA!$BJ$2:$BJ$999,Transport!$B41),0)</f>
        <v>0.58872651356993777</v>
      </c>
      <c r="X41" s="5">
        <f>IFERROR(SUMIFS(BY_TRA!AF$2:AF$999,BY_TRA!$BJ$2:$BJ$999,Transport!$B41,BY_TRA!$BK$2:$BK$999,Transport!$C41)/SUMIFS(BY_TRA!AF$2:AF$999,BY_TRA!$BJ$2:$BJ$999,Transport!$B41),0)</f>
        <v>0.466442953020135</v>
      </c>
      <c r="Y41" s="5">
        <f>IFERROR(SUMIFS(BY_TRA!AG$2:AG$999,BY_TRA!$BJ$2:$BJ$999,Transport!$B41,BY_TRA!$BK$2:$BK$999,Transport!$C41)/SUMIFS(BY_TRA!AG$2:AG$999,BY_TRA!$BJ$2:$BJ$999,Transport!$B41),0)</f>
        <v>0.89557522123893885</v>
      </c>
      <c r="Z41" s="5">
        <f>IFERROR(SUMIFS(BY_TRA!AH$2:AH$999,BY_TRA!$BJ$2:$BJ$999,Transport!$B41,BY_TRA!$BK$2:$BK$999,Transport!$C41)/SUMIFS(BY_TRA!AH$2:AH$999,BY_TRA!$BJ$2:$BJ$999,Transport!$B41),0)</f>
        <v>0.77777777777777868</v>
      </c>
      <c r="AA41" s="5">
        <f>IFERROR(SUMIFS(BY_TRA!AI$2:AI$999,BY_TRA!$BJ$2:$BJ$999,Transport!$B41,BY_TRA!$BK$2:$BK$999,Transport!$C41)/SUMIFS(BY_TRA!AI$2:AI$999,BY_TRA!$BJ$2:$BJ$999,Transport!$B41),0)</f>
        <v>0.89090909090909043</v>
      </c>
      <c r="AB41" s="5">
        <f>IFERROR(SUMIFS(BY_TRA!AJ$2:AJ$999,BY_TRA!$BJ$2:$BJ$999,Transport!$B41,BY_TRA!$BK$2:$BK$999,Transport!$C41)/SUMIFS(BY_TRA!AJ$2:AJ$999,BY_TRA!$BJ$2:$BJ$999,Transport!$B41),0)</f>
        <v>0.83102694828841994</v>
      </c>
      <c r="AC41" s="5">
        <f>IFERROR(SUMIFS(BY_TRA!AK$2:AK$999,BY_TRA!$BJ$2:$BJ$999,Transport!$B41,BY_TRA!$BK$2:$BK$999,Transport!$C41)/SUMIFS(BY_TRA!AK$2:AK$999,BY_TRA!$BJ$2:$BJ$999,Transport!$B41),0)</f>
        <v>0.70256410256410184</v>
      </c>
      <c r="AD41" s="5">
        <f>IFERROR(SUMIFS(BY_TRA!AL$2:AL$999,BY_TRA!$BJ$2:$BJ$999,Transport!$B41,BY_TRA!$BK$2:$BK$999,Transport!$C41)/SUMIFS(BY_TRA!AL$2:AL$999,BY_TRA!$BJ$2:$BJ$999,Transport!$B41),0)</f>
        <v>0.69298245614035059</v>
      </c>
      <c r="AE41" s="5">
        <f>IFERROR(SUMIFS(BY_TRA!AM$2:AM$999,BY_TRA!$BJ$2:$BJ$999,Transport!$B41,BY_TRA!$BK$2:$BK$999,Transport!$C41)/SUMIFS(BY_TRA!AM$2:AM$999,BY_TRA!$BJ$2:$BJ$999,Transport!$B41),0)</f>
        <v>0.99118942731277526</v>
      </c>
      <c r="AF41" s="5">
        <f>IFERROR(SUMIFS(BY_TRA!AN$2:AN$999,BY_TRA!$BJ$2:$BJ$999,Transport!$B41,BY_TRA!$BK$2:$BK$999,Transport!$C41)/SUMIFS(BY_TRA!AN$2:AN$999,BY_TRA!$BJ$2:$BJ$999,Transport!$B41),0)</f>
        <v>0.87999999999999945</v>
      </c>
      <c r="AG41" s="5">
        <f>IFERROR(SUMIFS(BY_TRA!AO$2:AO$999,BY_TRA!$BJ$2:$BJ$999,Transport!$B41,BY_TRA!$BK$2:$BK$999,Transport!$C41)/SUMIFS(BY_TRA!AO$2:AO$999,BY_TRA!$BJ$2:$BJ$999,Transport!$B41),0)</f>
        <v>0.72972972972972905</v>
      </c>
      <c r="AH41" s="5">
        <f>IFERROR(SUMIFS(BY_TRA!AP$2:AP$999,BY_TRA!$BJ$2:$BJ$999,Transport!$B41,BY_TRA!$BK$2:$BK$999,Transport!$C41)/SUMIFS(BY_TRA!AP$2:AP$999,BY_TRA!$BJ$2:$BJ$999,Transport!$B41),0)</f>
        <v>0.8999999999999998</v>
      </c>
      <c r="AI41" s="5">
        <f>IFERROR(SUMIFS(BY_TRA!AQ$2:AQ$999,BY_TRA!$BJ$2:$BJ$999,Transport!$B41,BY_TRA!$BK$2:$BK$999,Transport!$C41)/SUMIFS(BY_TRA!AQ$2:AQ$999,BY_TRA!$BJ$2:$BJ$999,Transport!$B41),0)</f>
        <v>0.75247524752475425</v>
      </c>
      <c r="AJ41" s="5">
        <f>IFERROR(SUMIFS(BY_TRA!AR$2:AR$999,BY_TRA!$BJ$2:$BJ$999,Transport!$B41,BY_TRA!$BK$2:$BK$999,Transport!$C41)/SUMIFS(BY_TRA!AR$2:AR$999,BY_TRA!$BJ$2:$BJ$999,Transport!$B41),0)</f>
        <v>0.93333333333333324</v>
      </c>
      <c r="AK41" s="5">
        <f>IFERROR(SUMIFS(BY_TRA!AS$2:AS$999,BY_TRA!$BJ$2:$BJ$999,Transport!$B41,BY_TRA!$BK$2:$BK$999,Transport!$C41)/SUMIFS(BY_TRA!AS$2:AS$999,BY_TRA!$BJ$2:$BJ$999,Transport!$B41),0)</f>
        <v>0.92307692307692235</v>
      </c>
      <c r="AL41" s="5">
        <f>IFERROR(SUMIFS(BY_TRA!AT$2:AT$999,BY_TRA!$BJ$2:$BJ$999,Transport!$B41,BY_TRA!$BK$2:$BK$999,Transport!$C41)/SUMIFS(BY_TRA!AT$2:AT$999,BY_TRA!$BJ$2:$BJ$999,Transport!$B41),0)</f>
        <v>0.91525423728813504</v>
      </c>
      <c r="AM41" s="5">
        <f>IFERROR(SUMIFS(BY_TRA!AU$2:AU$999,BY_TRA!$BJ$2:$BJ$999,Transport!$B41,BY_TRA!$BK$2:$BK$999,Transport!$C41)/SUMIFS(BY_TRA!AU$2:AU$999,BY_TRA!$BJ$2:$BJ$999,Transport!$B41),0)</f>
        <v>0</v>
      </c>
      <c r="AN41" s="5">
        <f>IFERROR(SUMIFS(BY_TRA!AV$2:AV$999,BY_TRA!$BJ$2:$BJ$999,Transport!$B41,BY_TRA!$BK$2:$BK$999,Transport!$C41)/SUMIFS(BY_TRA!AV$2:AV$999,BY_TRA!$BJ$2:$BJ$999,Transport!$B41),0)</f>
        <v>0</v>
      </c>
      <c r="AO41" s="5">
        <f>IFERROR(SUMIFS(BY_TRA!AW$2:AW$999,BY_TRA!$BJ$2:$BJ$999,Transport!$B41,BY_TRA!$BK$2:$BK$999,Transport!$C41)/SUMIFS(BY_TRA!AW$2:AW$999,BY_TRA!$BJ$2:$BJ$999,Transport!$B41),0)</f>
        <v>0</v>
      </c>
      <c r="AP41" s="5">
        <f>IFERROR(SUMIFS(BY_TRA!AX$2:AX$999,BY_TRA!$BJ$2:$BJ$999,Transport!$B41,BY_TRA!$BK$2:$BK$999,Transport!$C41)/SUMIFS(BY_TRA!AX$2:AX$999,BY_TRA!$BJ$2:$BJ$999,Transport!$B41),0)</f>
        <v>0</v>
      </c>
      <c r="AQ41" s="5">
        <f>IFERROR(SUMIFS(BY_TRA!AY$2:AY$999,BY_TRA!$BJ$2:$BJ$999,Transport!$B41,BY_TRA!$BK$2:$BK$999,Transport!$C41)/SUMIFS(BY_TRA!AY$2:AY$999,BY_TRA!$BJ$2:$BJ$999,Transport!$B41),0)</f>
        <v>0</v>
      </c>
      <c r="AR41" s="5">
        <f>IFERROR(SUMIFS(BY_TRA!AZ$2:AZ$999,BY_TRA!$BJ$2:$BJ$999,Transport!$B41,BY_TRA!$BK$2:$BK$999,Transport!$C41)/SUMIFS(BY_TRA!AZ$2:AZ$999,BY_TRA!$BJ$2:$BJ$999,Transport!$B41),0)</f>
        <v>0</v>
      </c>
      <c r="AS41" s="5">
        <f>IFERROR(SUMIFS(BY_TRA!BA$2:BA$999,BY_TRA!$BJ$2:$BJ$999,Transport!$B41,BY_TRA!$BK$2:$BK$999,Transport!$C41)/SUMIFS(BY_TRA!BA$2:BA$999,BY_TRA!$BJ$2:$BJ$999,Transport!$B41),0)</f>
        <v>0</v>
      </c>
      <c r="AT41" s="5">
        <f>IFERROR(SUMIFS(BY_TRA!BB$2:BB$999,BY_TRA!$BJ$2:$BJ$999,Transport!$B41,BY_TRA!$BK$2:$BK$999,Transport!$C41)/SUMIFS(BY_TRA!BB$2:BB$999,BY_TRA!$BJ$2:$BJ$999,Transport!$B41),0)</f>
        <v>0</v>
      </c>
      <c r="AU41" s="5">
        <f>IFERROR(SUMIFS(BY_TRA!BC$2:BC$999,BY_TRA!$BJ$2:$BJ$999,Transport!$B41,BY_TRA!$BK$2:$BK$999,Transport!$C41)/SUMIFS(BY_TRA!BC$2:BC$999,BY_TRA!$BJ$2:$BJ$999,Transport!$B41),0)</f>
        <v>0</v>
      </c>
      <c r="AV41" s="5">
        <f>IFERROR(SUMIFS(BY_TRA!BD$2:BD$999,BY_TRA!$BJ$2:$BJ$999,Transport!$B41,BY_TRA!$BK$2:$BK$999,Transport!$C41)/SUMIFS(BY_TRA!BD$2:BD$999,BY_TRA!$BJ$2:$BJ$999,Transport!$B41),0)</f>
        <v>0</v>
      </c>
      <c r="AW41" s="5">
        <f>IFERROR(SUMIFS(BY_TRA!BE$2:BE$999,BY_TRA!$BJ$2:$BJ$999,Transport!$B41,BY_TRA!$BK$2:$BK$999,Transport!$C41)/SUMIFS(BY_TRA!BE$2:BE$999,BY_TRA!$BJ$2:$BJ$999,Transport!$B41),0)</f>
        <v>0</v>
      </c>
      <c r="AX41" s="5">
        <f>IFERROR(SUMIFS(BY_TRA!BF$2:BF$999,BY_TRA!$BJ$2:$BJ$999,Transport!$B41,BY_TRA!$BK$2:$BK$999,Transport!$C41)/SUMIFS(BY_TRA!BF$2:BF$999,BY_TRA!$BJ$2:$BJ$999,Transport!$B41),0)</f>
        <v>0</v>
      </c>
      <c r="AY41" s="5">
        <f>IFERROR(SUMIFS(BY_TRA!BG$2:BG$999,BY_TRA!$BJ$2:$BJ$999,Transport!$B41,BY_TRA!$BK$2:$BK$999,Transport!$C41)/SUMIFS(BY_TRA!BG$2:BG$999,BY_TRA!$BJ$2:$BJ$999,Transport!$B41),0)</f>
        <v>0</v>
      </c>
    </row>
    <row r="42" spans="2:51" ht="14.5">
      <c r="B42" t="s">
        <v>179</v>
      </c>
      <c r="C42" t="s">
        <v>180</v>
      </c>
      <c r="D42" s="5">
        <f>IFERROR(SUMIFS(BY_TRA!L$2:L$999,BY_TRA!$BJ$2:$BJ$999,Transport!$B42,BY_TRA!$BK$2:$BK$999,Transport!$C42)/SUMIFS(BY_TRA!L$2:L$999,BY_TRA!$BJ$2:$BJ$999,Transport!$B42),0)</f>
        <v>0</v>
      </c>
      <c r="E42" s="5">
        <f>IFERROR(SUMIFS(BY_TRA!M$2:M$999,BY_TRA!$BJ$2:$BJ$999,Transport!$B42,BY_TRA!$BK$2:$BK$999,Transport!$C42)/SUMIFS(BY_TRA!M$2:M$999,BY_TRA!$BJ$2:$BJ$999,Transport!$B42),0)</f>
        <v>0</v>
      </c>
      <c r="F42" s="5">
        <f>IFERROR(SUMIFS(BY_TRA!N$2:N$999,BY_TRA!$BJ$2:$BJ$999,Transport!$B42,BY_TRA!$BK$2:$BK$999,Transport!$C42)/SUMIFS(BY_TRA!N$2:N$999,BY_TRA!$BJ$2:$BJ$999,Transport!$B42),0)</f>
        <v>0</v>
      </c>
      <c r="G42" s="5">
        <f>IFERROR(SUMIFS(BY_TRA!O$2:O$999,BY_TRA!$BJ$2:$BJ$999,Transport!$B42,BY_TRA!$BK$2:$BK$999,Transport!$C42)/SUMIFS(BY_TRA!O$2:O$999,BY_TRA!$BJ$2:$BJ$999,Transport!$B42),0)</f>
        <v>0</v>
      </c>
      <c r="H42" s="5">
        <f>IFERROR(SUMIFS(BY_TRA!P$2:P$999,BY_TRA!$BJ$2:$BJ$999,Transport!$B42,BY_TRA!$BK$2:$BK$999,Transport!$C42)/SUMIFS(BY_TRA!P$2:P$999,BY_TRA!$BJ$2:$BJ$999,Transport!$B42),0)</f>
        <v>0.10344827586206881</v>
      </c>
      <c r="I42" s="5">
        <f>IFERROR(SUMIFS(BY_TRA!Q$2:Q$999,BY_TRA!$BJ$2:$BJ$999,Transport!$B42,BY_TRA!$BK$2:$BK$999,Transport!$C42)/SUMIFS(BY_TRA!Q$2:Q$999,BY_TRA!$BJ$2:$BJ$999,Transport!$B42),0)</f>
        <v>0</v>
      </c>
      <c r="J42" s="5">
        <f>IFERROR(SUMIFS(BY_TRA!R$2:R$999,BY_TRA!$BJ$2:$BJ$999,Transport!$B42,BY_TRA!$BK$2:$BK$999,Transport!$C42)/SUMIFS(BY_TRA!R$2:R$999,BY_TRA!$BJ$2:$BJ$999,Transport!$B42),0)</f>
        <v>0</v>
      </c>
      <c r="K42" s="5">
        <f>IFERROR(SUMIFS(BY_TRA!S$2:S$999,BY_TRA!$BJ$2:$BJ$999,Transport!$B42,BY_TRA!$BK$2:$BK$999,Transport!$C42)/SUMIFS(BY_TRA!S$2:S$999,BY_TRA!$BJ$2:$BJ$999,Transport!$B42),0)</f>
        <v>0.056971904266389164</v>
      </c>
      <c r="L42" s="5">
        <f>IFERROR(SUMIFS(BY_TRA!T$2:T$999,BY_TRA!$BJ$2:$BJ$999,Transport!$B42,BY_TRA!$BK$2:$BK$999,Transport!$C42)/SUMIFS(BY_TRA!T$2:T$999,BY_TRA!$BJ$2:$BJ$999,Transport!$B42),0)</f>
        <v>0</v>
      </c>
      <c r="M42" s="5">
        <f>IFERROR(SUMIFS(BY_TRA!U$2:U$999,BY_TRA!$BJ$2:$BJ$999,Transport!$B42,BY_TRA!$BK$2:$BK$999,Transport!$C42)/SUMIFS(BY_TRA!U$2:U$999,BY_TRA!$BJ$2:$BJ$999,Transport!$B42),0)</f>
        <v>0.052631578947368342</v>
      </c>
      <c r="N42" s="5">
        <f>IFERROR(SUMIFS(BY_TRA!V$2:V$999,BY_TRA!$BJ$2:$BJ$999,Transport!$B42,BY_TRA!$BK$2:$BK$999,Transport!$C42)/SUMIFS(BY_TRA!V$2:V$999,BY_TRA!$BJ$2:$BJ$999,Transport!$B42),0)</f>
        <v>0</v>
      </c>
      <c r="O42" s="5">
        <f>IFERROR(SUMIFS(BY_TRA!W$2:W$999,BY_TRA!$BJ$2:$BJ$999,Transport!$B42,BY_TRA!$BK$2:$BK$999,Transport!$C42)/SUMIFS(BY_TRA!W$2:W$999,BY_TRA!$BJ$2:$BJ$999,Transport!$B42),0)</f>
        <v>0</v>
      </c>
      <c r="P42" s="5">
        <f>IFERROR(SUMIFS(BY_TRA!X$2:X$999,BY_TRA!$BJ$2:$BJ$999,Transport!$B42,BY_TRA!$BK$2:$BK$999,Transport!$C42)/SUMIFS(BY_TRA!X$2:X$999,BY_TRA!$BJ$2:$BJ$999,Transport!$B42),0)</f>
        <v>0</v>
      </c>
      <c r="Q42" s="5">
        <f>IFERROR(SUMIFS(BY_TRA!Y$2:Y$999,BY_TRA!$BJ$2:$BJ$999,Transport!$B42,BY_TRA!$BK$2:$BK$999,Transport!$C42)/SUMIFS(BY_TRA!Y$2:Y$999,BY_TRA!$BJ$2:$BJ$999,Transport!$B42),0)</f>
        <v>0.047619047619047526</v>
      </c>
      <c r="R42" s="5">
        <f>IFERROR(SUMIFS(BY_TRA!Z$2:Z$999,BY_TRA!$BJ$2:$BJ$999,Transport!$B42,BY_TRA!$BK$2:$BK$999,Transport!$C42)/SUMIFS(BY_TRA!Z$2:Z$999,BY_TRA!$BJ$2:$BJ$999,Transport!$B42),0)</f>
        <v>0</v>
      </c>
      <c r="S42" s="5">
        <f>IFERROR(SUMIFS(BY_TRA!AA$2:AA$999,BY_TRA!$BJ$2:$BJ$999,Transport!$B42,BY_TRA!$BK$2:$BK$999,Transport!$C42)/SUMIFS(BY_TRA!AA$2:AA$999,BY_TRA!$BJ$2:$BJ$999,Transport!$B42),0)</f>
        <v>0</v>
      </c>
      <c r="T42" s="5">
        <f>IFERROR(SUMIFS(BY_TRA!AB$2:AB$999,BY_TRA!$BJ$2:$BJ$999,Transport!$B42,BY_TRA!$BK$2:$BK$999,Transport!$C42)/SUMIFS(BY_TRA!AB$2:AB$999,BY_TRA!$BJ$2:$BJ$999,Transport!$B42),0)</f>
        <v>0</v>
      </c>
      <c r="U42" s="5">
        <f>IFERROR(SUMIFS(BY_TRA!AC$2:AC$999,BY_TRA!$BJ$2:$BJ$999,Transport!$B42,BY_TRA!$BK$2:$BK$999,Transport!$C42)/SUMIFS(BY_TRA!AC$2:AC$999,BY_TRA!$BJ$2:$BJ$999,Transport!$B42),0)</f>
        <v>0</v>
      </c>
      <c r="V42" s="5">
        <f>IFERROR(SUMIFS(BY_TRA!AD$2:AD$999,BY_TRA!$BJ$2:$BJ$999,Transport!$B42,BY_TRA!$BK$2:$BK$999,Transport!$C42)/SUMIFS(BY_TRA!AD$2:AD$999,BY_TRA!$BJ$2:$BJ$999,Transport!$B42),0)</f>
        <v>0</v>
      </c>
      <c r="W42" s="5">
        <f>IFERROR(SUMIFS(BY_TRA!AE$2:AE$999,BY_TRA!$BJ$2:$BJ$999,Transport!$B42,BY_TRA!$BK$2:$BK$999,Transport!$C42)/SUMIFS(BY_TRA!AE$2:AE$999,BY_TRA!$BJ$2:$BJ$999,Transport!$B42),0)</f>
        <v>0.027139874739039695</v>
      </c>
      <c r="X42" s="5">
        <f>IFERROR(SUMIFS(BY_TRA!AF$2:AF$999,BY_TRA!$BJ$2:$BJ$999,Transport!$B42,BY_TRA!$BK$2:$BK$999,Transport!$C42)/SUMIFS(BY_TRA!AF$2:AF$999,BY_TRA!$BJ$2:$BJ$999,Transport!$B42),0)</f>
        <v>0</v>
      </c>
      <c r="Y42" s="5">
        <f>IFERROR(SUMIFS(BY_TRA!AG$2:AG$999,BY_TRA!$BJ$2:$BJ$999,Transport!$B42,BY_TRA!$BK$2:$BK$999,Transport!$C42)/SUMIFS(BY_TRA!AG$2:AG$999,BY_TRA!$BJ$2:$BJ$999,Transport!$B42),0)</f>
        <v>0</v>
      </c>
      <c r="Z42" s="5">
        <f>IFERROR(SUMIFS(BY_TRA!AH$2:AH$999,BY_TRA!$BJ$2:$BJ$999,Transport!$B42,BY_TRA!$BK$2:$BK$999,Transport!$C42)/SUMIFS(BY_TRA!AH$2:AH$999,BY_TRA!$BJ$2:$BJ$999,Transport!$B42),0)</f>
        <v>0</v>
      </c>
      <c r="AA42" s="5">
        <f>IFERROR(SUMIFS(BY_TRA!AI$2:AI$999,BY_TRA!$BJ$2:$BJ$999,Transport!$B42,BY_TRA!$BK$2:$BK$999,Transport!$C42)/SUMIFS(BY_TRA!AI$2:AI$999,BY_TRA!$BJ$2:$BJ$999,Transport!$B42),0)</f>
        <v>0.0090909090909090853</v>
      </c>
      <c r="AB42" s="5">
        <f>IFERROR(SUMIFS(BY_TRA!AJ$2:AJ$999,BY_TRA!$BJ$2:$BJ$999,Transport!$B42,BY_TRA!$BK$2:$BK$999,Transport!$C42)/SUMIFS(BY_TRA!AJ$2:AJ$999,BY_TRA!$BJ$2:$BJ$999,Transport!$B42),0)</f>
        <v>0</v>
      </c>
      <c r="AC42" s="5">
        <f>IFERROR(SUMIFS(BY_TRA!AK$2:AK$999,BY_TRA!$BJ$2:$BJ$999,Transport!$B42,BY_TRA!$BK$2:$BK$999,Transport!$C42)/SUMIFS(BY_TRA!AK$2:AK$999,BY_TRA!$BJ$2:$BJ$999,Transport!$B42),0)</f>
        <v>0.025641025641025605</v>
      </c>
      <c r="AD42" s="5">
        <f>IFERROR(SUMIFS(BY_TRA!AL$2:AL$999,BY_TRA!$BJ$2:$BJ$999,Transport!$B42,BY_TRA!$BK$2:$BK$999,Transport!$C42)/SUMIFS(BY_TRA!AL$2:AL$999,BY_TRA!$BJ$2:$BJ$999,Transport!$B42),0)</f>
        <v>0</v>
      </c>
      <c r="AE42" s="5">
        <f>IFERROR(SUMIFS(BY_TRA!AM$2:AM$999,BY_TRA!$BJ$2:$BJ$999,Transport!$B42,BY_TRA!$BK$2:$BK$999,Transport!$C42)/SUMIFS(BY_TRA!AM$2:AM$999,BY_TRA!$BJ$2:$BJ$999,Transport!$B42),0)</f>
        <v>0.0088105726872246687</v>
      </c>
      <c r="AF42" s="5">
        <f>IFERROR(SUMIFS(BY_TRA!AN$2:AN$999,BY_TRA!$BJ$2:$BJ$999,Transport!$B42,BY_TRA!$BK$2:$BK$999,Transport!$C42)/SUMIFS(BY_TRA!AN$2:AN$999,BY_TRA!$BJ$2:$BJ$999,Transport!$B42),0)</f>
        <v>0</v>
      </c>
      <c r="AG42" s="5">
        <f>IFERROR(SUMIFS(BY_TRA!AO$2:AO$999,BY_TRA!$BJ$2:$BJ$999,Transport!$B42,BY_TRA!$BK$2:$BK$999,Transport!$C42)/SUMIFS(BY_TRA!AO$2:AO$999,BY_TRA!$BJ$2:$BJ$999,Transport!$B42),0)</f>
        <v>0</v>
      </c>
      <c r="AH42" s="5">
        <f>IFERROR(SUMIFS(BY_TRA!AP$2:AP$999,BY_TRA!$BJ$2:$BJ$999,Transport!$B42,BY_TRA!$BK$2:$BK$999,Transport!$C42)/SUMIFS(BY_TRA!AP$2:AP$999,BY_TRA!$BJ$2:$BJ$999,Transport!$B42),0)</f>
        <v>0</v>
      </c>
      <c r="AI42" s="5">
        <f>IFERROR(SUMIFS(BY_TRA!AQ$2:AQ$999,BY_TRA!$BJ$2:$BJ$999,Transport!$B42,BY_TRA!$BK$2:$BK$999,Transport!$C42)/SUMIFS(BY_TRA!AQ$2:AQ$999,BY_TRA!$BJ$2:$BJ$999,Transport!$B42),0)</f>
        <v>0</v>
      </c>
      <c r="AJ42" s="5">
        <f>IFERROR(SUMIFS(BY_TRA!AR$2:AR$999,BY_TRA!$BJ$2:$BJ$999,Transport!$B42,BY_TRA!$BK$2:$BK$999,Transport!$C42)/SUMIFS(BY_TRA!AR$2:AR$999,BY_TRA!$BJ$2:$BJ$999,Transport!$B42),0)</f>
        <v>0</v>
      </c>
      <c r="AK42" s="5">
        <f>IFERROR(SUMIFS(BY_TRA!AS$2:AS$999,BY_TRA!$BJ$2:$BJ$999,Transport!$B42,BY_TRA!$BK$2:$BK$999,Transport!$C42)/SUMIFS(BY_TRA!AS$2:AS$999,BY_TRA!$BJ$2:$BJ$999,Transport!$B42),0)</f>
        <v>0</v>
      </c>
      <c r="AL42" s="5">
        <f>IFERROR(SUMIFS(BY_TRA!AT$2:AT$999,BY_TRA!$BJ$2:$BJ$999,Transport!$B42,BY_TRA!$BK$2:$BK$999,Transport!$C42)/SUMIFS(BY_TRA!AT$2:AT$999,BY_TRA!$BJ$2:$BJ$999,Transport!$B42),0)</f>
        <v>0</v>
      </c>
      <c r="AM42" s="5">
        <f>IFERROR(SUMIFS(BY_TRA!AU$2:AU$999,BY_TRA!$BJ$2:$BJ$999,Transport!$B42,BY_TRA!$BK$2:$BK$999,Transport!$C42)/SUMIFS(BY_TRA!AU$2:AU$999,BY_TRA!$BJ$2:$BJ$999,Transport!$B42),0)</f>
        <v>0</v>
      </c>
      <c r="AN42" s="5">
        <f>IFERROR(SUMIFS(BY_TRA!AV$2:AV$999,BY_TRA!$BJ$2:$BJ$999,Transport!$B42,BY_TRA!$BK$2:$BK$999,Transport!$C42)/SUMIFS(BY_TRA!AV$2:AV$999,BY_TRA!$BJ$2:$BJ$999,Transport!$B42),0)</f>
        <v>0</v>
      </c>
      <c r="AO42" s="5">
        <f>IFERROR(SUMIFS(BY_TRA!AW$2:AW$999,BY_TRA!$BJ$2:$BJ$999,Transport!$B42,BY_TRA!$BK$2:$BK$999,Transport!$C42)/SUMIFS(BY_TRA!AW$2:AW$999,BY_TRA!$BJ$2:$BJ$999,Transport!$B42),0)</f>
        <v>0</v>
      </c>
      <c r="AP42" s="5">
        <f>IFERROR(SUMIFS(BY_TRA!AX$2:AX$999,BY_TRA!$BJ$2:$BJ$999,Transport!$B42,BY_TRA!$BK$2:$BK$999,Transport!$C42)/SUMIFS(BY_TRA!AX$2:AX$999,BY_TRA!$BJ$2:$BJ$999,Transport!$B42),0)</f>
        <v>0</v>
      </c>
      <c r="AQ42" s="5">
        <f>IFERROR(SUMIFS(BY_TRA!AY$2:AY$999,BY_TRA!$BJ$2:$BJ$999,Transport!$B42,BY_TRA!$BK$2:$BK$999,Transport!$C42)/SUMIFS(BY_TRA!AY$2:AY$999,BY_TRA!$BJ$2:$BJ$999,Transport!$B42),0)</f>
        <v>0</v>
      </c>
      <c r="AR42" s="5">
        <f>IFERROR(SUMIFS(BY_TRA!AZ$2:AZ$999,BY_TRA!$BJ$2:$BJ$999,Transport!$B42,BY_TRA!$BK$2:$BK$999,Transport!$C42)/SUMIFS(BY_TRA!AZ$2:AZ$999,BY_TRA!$BJ$2:$BJ$999,Transport!$B42),0)</f>
        <v>0</v>
      </c>
      <c r="AS42" s="5">
        <f>IFERROR(SUMIFS(BY_TRA!BA$2:BA$999,BY_TRA!$BJ$2:$BJ$999,Transport!$B42,BY_TRA!$BK$2:$BK$999,Transport!$C42)/SUMIFS(BY_TRA!BA$2:BA$999,BY_TRA!$BJ$2:$BJ$999,Transport!$B42),0)</f>
        <v>0</v>
      </c>
      <c r="AT42" s="5">
        <f>IFERROR(SUMIFS(BY_TRA!BB$2:BB$999,BY_TRA!$BJ$2:$BJ$999,Transport!$B42,BY_TRA!$BK$2:$BK$999,Transport!$C42)/SUMIFS(BY_TRA!BB$2:BB$999,BY_TRA!$BJ$2:$BJ$999,Transport!$B42),0)</f>
        <v>0</v>
      </c>
      <c r="AU42" s="5">
        <f>IFERROR(SUMIFS(BY_TRA!BC$2:BC$999,BY_TRA!$BJ$2:$BJ$999,Transport!$B42,BY_TRA!$BK$2:$BK$999,Transport!$C42)/SUMIFS(BY_TRA!BC$2:BC$999,BY_TRA!$BJ$2:$BJ$999,Transport!$B42),0)</f>
        <v>0</v>
      </c>
      <c r="AV42" s="5">
        <f>IFERROR(SUMIFS(BY_TRA!BD$2:BD$999,BY_TRA!$BJ$2:$BJ$999,Transport!$B42,BY_TRA!$BK$2:$BK$999,Transport!$C42)/SUMIFS(BY_TRA!BD$2:BD$999,BY_TRA!$BJ$2:$BJ$999,Transport!$B42),0)</f>
        <v>0</v>
      </c>
      <c r="AW42" s="5">
        <f>IFERROR(SUMIFS(BY_TRA!BE$2:BE$999,BY_TRA!$BJ$2:$BJ$999,Transport!$B42,BY_TRA!$BK$2:$BK$999,Transport!$C42)/SUMIFS(BY_TRA!BE$2:BE$999,BY_TRA!$BJ$2:$BJ$999,Transport!$B42),0)</f>
        <v>0</v>
      </c>
      <c r="AX42" s="5">
        <f>IFERROR(SUMIFS(BY_TRA!BF$2:BF$999,BY_TRA!$BJ$2:$BJ$999,Transport!$B42,BY_TRA!$BK$2:$BK$999,Transport!$C42)/SUMIFS(BY_TRA!BF$2:BF$999,BY_TRA!$BJ$2:$BJ$999,Transport!$B42),0)</f>
        <v>0</v>
      </c>
      <c r="AY42" s="5">
        <f>IFERROR(SUMIFS(BY_TRA!BG$2:BG$999,BY_TRA!$BJ$2:$BJ$999,Transport!$B42,BY_TRA!$BK$2:$BK$999,Transport!$C42)/SUMIFS(BY_TRA!BG$2:BG$999,BY_TRA!$BJ$2:$BJ$999,Transport!$B42),0)</f>
        <v>0</v>
      </c>
    </row>
    <row r="43" spans="2:51" ht="14.5">
      <c r="B43" t="s">
        <v>179</v>
      </c>
      <c r="C43" t="s">
        <v>174</v>
      </c>
      <c r="D43" s="5">
        <f>IFERROR(SUMIFS(BY_TRA!L$2:L$999,BY_TRA!$BJ$2:$BJ$999,Transport!$B43,BY_TRA!$BK$2:$BK$999,Transport!$C43)/SUMIFS(BY_TRA!L$2:L$999,BY_TRA!$BJ$2:$BJ$999,Transport!$B43),0)</f>
        <v>0</v>
      </c>
      <c r="E43" s="5">
        <f>IFERROR(SUMIFS(BY_TRA!M$2:M$999,BY_TRA!$BJ$2:$BJ$999,Transport!$B43,BY_TRA!$BK$2:$BK$999,Transport!$C43)/SUMIFS(BY_TRA!M$2:M$999,BY_TRA!$BJ$2:$BJ$999,Transport!$B43),0)</f>
        <v>0</v>
      </c>
      <c r="F43" s="5">
        <f>IFERROR(SUMIFS(BY_TRA!N$2:N$999,BY_TRA!$BJ$2:$BJ$999,Transport!$B43,BY_TRA!$BK$2:$BK$999,Transport!$C43)/SUMIFS(BY_TRA!N$2:N$999,BY_TRA!$BJ$2:$BJ$999,Transport!$B43),0)</f>
        <v>0</v>
      </c>
      <c r="G43" s="5">
        <f>IFERROR(SUMIFS(BY_TRA!O$2:O$999,BY_TRA!$BJ$2:$BJ$999,Transport!$B43,BY_TRA!$BK$2:$BK$999,Transport!$C43)/SUMIFS(BY_TRA!O$2:O$999,BY_TRA!$BJ$2:$BJ$999,Transport!$B43),0)</f>
        <v>0</v>
      </c>
      <c r="H43" s="5">
        <f>IFERROR(SUMIFS(BY_TRA!P$2:P$999,BY_TRA!$BJ$2:$BJ$999,Transport!$B43,BY_TRA!$BK$2:$BK$999,Transport!$C43)/SUMIFS(BY_TRA!P$2:P$999,BY_TRA!$BJ$2:$BJ$999,Transport!$B43),0)</f>
        <v>0</v>
      </c>
      <c r="I43" s="5">
        <f>IFERROR(SUMIFS(BY_TRA!Q$2:Q$999,BY_TRA!$BJ$2:$BJ$999,Transport!$B43,BY_TRA!$BK$2:$BK$999,Transport!$C43)/SUMIFS(BY_TRA!Q$2:Q$999,BY_TRA!$BJ$2:$BJ$999,Transport!$B43),0)</f>
        <v>0</v>
      </c>
      <c r="J43" s="5">
        <f>IFERROR(SUMIFS(BY_TRA!R$2:R$999,BY_TRA!$BJ$2:$BJ$999,Transport!$B43,BY_TRA!$BK$2:$BK$999,Transport!$C43)/SUMIFS(BY_TRA!R$2:R$999,BY_TRA!$BJ$2:$BJ$999,Transport!$B43),0)</f>
        <v>0</v>
      </c>
      <c r="K43" s="5">
        <f>IFERROR(SUMIFS(BY_TRA!S$2:S$999,BY_TRA!$BJ$2:$BJ$999,Transport!$B43,BY_TRA!$BK$2:$BK$999,Transport!$C43)/SUMIFS(BY_TRA!S$2:S$999,BY_TRA!$BJ$2:$BJ$999,Transport!$B43),0)</f>
        <v>0</v>
      </c>
      <c r="L43" s="5">
        <f>IFERROR(SUMIFS(BY_TRA!T$2:T$999,BY_TRA!$BJ$2:$BJ$999,Transport!$B43,BY_TRA!$BK$2:$BK$999,Transport!$C43)/SUMIFS(BY_TRA!T$2:T$999,BY_TRA!$BJ$2:$BJ$999,Transport!$B43),0)</f>
        <v>0</v>
      </c>
      <c r="M43" s="5">
        <f>IFERROR(SUMIFS(BY_TRA!U$2:U$999,BY_TRA!$BJ$2:$BJ$999,Transport!$B43,BY_TRA!$BK$2:$BK$999,Transport!$C43)/SUMIFS(BY_TRA!U$2:U$999,BY_TRA!$BJ$2:$BJ$999,Transport!$B43),0)</f>
        <v>0</v>
      </c>
      <c r="N43" s="5">
        <f>IFERROR(SUMIFS(BY_TRA!V$2:V$999,BY_TRA!$BJ$2:$BJ$999,Transport!$B43,BY_TRA!$BK$2:$BK$999,Transport!$C43)/SUMIFS(BY_TRA!V$2:V$999,BY_TRA!$BJ$2:$BJ$999,Transport!$B43),0)</f>
        <v>0</v>
      </c>
      <c r="O43" s="5">
        <f>IFERROR(SUMIFS(BY_TRA!W$2:W$999,BY_TRA!$BJ$2:$BJ$999,Transport!$B43,BY_TRA!$BK$2:$BK$999,Transport!$C43)/SUMIFS(BY_TRA!W$2:W$999,BY_TRA!$BJ$2:$BJ$999,Transport!$B43),0)</f>
        <v>0</v>
      </c>
      <c r="P43" s="5">
        <f>IFERROR(SUMIFS(BY_TRA!X$2:X$999,BY_TRA!$BJ$2:$BJ$999,Transport!$B43,BY_TRA!$BK$2:$BK$999,Transport!$C43)/SUMIFS(BY_TRA!X$2:X$999,BY_TRA!$BJ$2:$BJ$999,Transport!$B43),0)</f>
        <v>0</v>
      </c>
      <c r="Q43" s="5">
        <f>IFERROR(SUMIFS(BY_TRA!Y$2:Y$999,BY_TRA!$BJ$2:$BJ$999,Transport!$B43,BY_TRA!$BK$2:$BK$999,Transport!$C43)/SUMIFS(BY_TRA!Y$2:Y$999,BY_TRA!$BJ$2:$BJ$999,Transport!$B43),0)</f>
        <v>0</v>
      </c>
      <c r="R43" s="5">
        <f>IFERROR(SUMIFS(BY_TRA!Z$2:Z$999,BY_TRA!$BJ$2:$BJ$999,Transport!$B43,BY_TRA!$BK$2:$BK$999,Transport!$C43)/SUMIFS(BY_TRA!Z$2:Z$999,BY_TRA!$BJ$2:$BJ$999,Transport!$B43),0)</f>
        <v>0</v>
      </c>
      <c r="S43" s="5">
        <f>IFERROR(SUMIFS(BY_TRA!AA$2:AA$999,BY_TRA!$BJ$2:$BJ$999,Transport!$B43,BY_TRA!$BK$2:$BK$999,Transport!$C43)/SUMIFS(BY_TRA!AA$2:AA$999,BY_TRA!$BJ$2:$BJ$999,Transport!$B43),0)</f>
        <v>0</v>
      </c>
      <c r="T43" s="5">
        <f>IFERROR(SUMIFS(BY_TRA!AB$2:AB$999,BY_TRA!$BJ$2:$BJ$999,Transport!$B43,BY_TRA!$BK$2:$BK$999,Transport!$C43)/SUMIFS(BY_TRA!AB$2:AB$999,BY_TRA!$BJ$2:$BJ$999,Transport!$B43),0)</f>
        <v>0</v>
      </c>
      <c r="U43" s="5">
        <f>IFERROR(SUMIFS(BY_TRA!AC$2:AC$999,BY_TRA!$BJ$2:$BJ$999,Transport!$B43,BY_TRA!$BK$2:$BK$999,Transport!$C43)/SUMIFS(BY_TRA!AC$2:AC$999,BY_TRA!$BJ$2:$BJ$999,Transport!$B43),0)</f>
        <v>0</v>
      </c>
      <c r="V43" s="5">
        <f>IFERROR(SUMIFS(BY_TRA!AD$2:AD$999,BY_TRA!$BJ$2:$BJ$999,Transport!$B43,BY_TRA!$BK$2:$BK$999,Transport!$C43)/SUMIFS(BY_TRA!AD$2:AD$999,BY_TRA!$BJ$2:$BJ$999,Transport!$B43),0)</f>
        <v>0</v>
      </c>
      <c r="W43" s="5">
        <f>IFERROR(SUMIFS(BY_TRA!AE$2:AE$999,BY_TRA!$BJ$2:$BJ$999,Transport!$B43,BY_TRA!$BK$2:$BK$999,Transport!$C43)/SUMIFS(BY_TRA!AE$2:AE$999,BY_TRA!$BJ$2:$BJ$999,Transport!$B43),0)</f>
        <v>0</v>
      </c>
      <c r="X43" s="5">
        <f>IFERROR(SUMIFS(BY_TRA!AF$2:AF$999,BY_TRA!$BJ$2:$BJ$999,Transport!$B43,BY_TRA!$BK$2:$BK$999,Transport!$C43)/SUMIFS(BY_TRA!AF$2:AF$999,BY_TRA!$BJ$2:$BJ$999,Transport!$B43),0)</f>
        <v>0</v>
      </c>
      <c r="Y43" s="5">
        <f>IFERROR(SUMIFS(BY_TRA!AG$2:AG$999,BY_TRA!$BJ$2:$BJ$999,Transport!$B43,BY_TRA!$BK$2:$BK$999,Transport!$C43)/SUMIFS(BY_TRA!AG$2:AG$999,BY_TRA!$BJ$2:$BJ$999,Transport!$B43),0)</f>
        <v>0</v>
      </c>
      <c r="Z43" s="5">
        <f>IFERROR(SUMIFS(BY_TRA!AH$2:AH$999,BY_TRA!$BJ$2:$BJ$999,Transport!$B43,BY_TRA!$BK$2:$BK$999,Transport!$C43)/SUMIFS(BY_TRA!AH$2:AH$999,BY_TRA!$BJ$2:$BJ$999,Transport!$B43),0)</f>
        <v>0</v>
      </c>
      <c r="AA43" s="5">
        <f>IFERROR(SUMIFS(BY_TRA!AI$2:AI$999,BY_TRA!$BJ$2:$BJ$999,Transport!$B43,BY_TRA!$BK$2:$BK$999,Transport!$C43)/SUMIFS(BY_TRA!AI$2:AI$999,BY_TRA!$BJ$2:$BJ$999,Transport!$B43),0)</f>
        <v>0</v>
      </c>
      <c r="AB43" s="5">
        <f>IFERROR(SUMIFS(BY_TRA!AJ$2:AJ$999,BY_TRA!$BJ$2:$BJ$999,Transport!$B43,BY_TRA!$BK$2:$BK$999,Transport!$C43)/SUMIFS(BY_TRA!AJ$2:AJ$999,BY_TRA!$BJ$2:$BJ$999,Transport!$B43),0)</f>
        <v>0</v>
      </c>
      <c r="AC43" s="5">
        <f>IFERROR(SUMIFS(BY_TRA!AK$2:AK$999,BY_TRA!$BJ$2:$BJ$999,Transport!$B43,BY_TRA!$BK$2:$BK$999,Transport!$C43)/SUMIFS(BY_TRA!AK$2:AK$999,BY_TRA!$BJ$2:$BJ$999,Transport!$B43),0)</f>
        <v>0</v>
      </c>
      <c r="AD43" s="5">
        <f>IFERROR(SUMIFS(BY_TRA!AL$2:AL$999,BY_TRA!$BJ$2:$BJ$999,Transport!$B43,BY_TRA!$BK$2:$BK$999,Transport!$C43)/SUMIFS(BY_TRA!AL$2:AL$999,BY_TRA!$BJ$2:$BJ$999,Transport!$B43),0)</f>
        <v>0</v>
      </c>
      <c r="AE43" s="5">
        <f>IFERROR(SUMIFS(BY_TRA!AM$2:AM$999,BY_TRA!$BJ$2:$BJ$999,Transport!$B43,BY_TRA!$BK$2:$BK$999,Transport!$C43)/SUMIFS(BY_TRA!AM$2:AM$999,BY_TRA!$BJ$2:$BJ$999,Transport!$B43),0)</f>
        <v>0</v>
      </c>
      <c r="AF43" s="5">
        <f>IFERROR(SUMIFS(BY_TRA!AN$2:AN$999,BY_TRA!$BJ$2:$BJ$999,Transport!$B43,BY_TRA!$BK$2:$BK$999,Transport!$C43)/SUMIFS(BY_TRA!AN$2:AN$999,BY_TRA!$BJ$2:$BJ$999,Transport!$B43),0)</f>
        <v>0</v>
      </c>
      <c r="AG43" s="5">
        <f>IFERROR(SUMIFS(BY_TRA!AO$2:AO$999,BY_TRA!$BJ$2:$BJ$999,Transport!$B43,BY_TRA!$BK$2:$BK$999,Transport!$C43)/SUMIFS(BY_TRA!AO$2:AO$999,BY_TRA!$BJ$2:$BJ$999,Transport!$B43),0)</f>
        <v>0</v>
      </c>
      <c r="AH43" s="5">
        <f>IFERROR(SUMIFS(BY_TRA!AP$2:AP$999,BY_TRA!$BJ$2:$BJ$999,Transport!$B43,BY_TRA!$BK$2:$BK$999,Transport!$C43)/SUMIFS(BY_TRA!AP$2:AP$999,BY_TRA!$BJ$2:$BJ$999,Transport!$B43),0)</f>
        <v>0</v>
      </c>
      <c r="AI43" s="5">
        <f>IFERROR(SUMIFS(BY_TRA!AQ$2:AQ$999,BY_TRA!$BJ$2:$BJ$999,Transport!$B43,BY_TRA!$BK$2:$BK$999,Transport!$C43)/SUMIFS(BY_TRA!AQ$2:AQ$999,BY_TRA!$BJ$2:$BJ$999,Transport!$B43),0)</f>
        <v>0</v>
      </c>
      <c r="AJ43" s="5">
        <f>IFERROR(SUMIFS(BY_TRA!AR$2:AR$999,BY_TRA!$BJ$2:$BJ$999,Transport!$B43,BY_TRA!$BK$2:$BK$999,Transport!$C43)/SUMIFS(BY_TRA!AR$2:AR$999,BY_TRA!$BJ$2:$BJ$999,Transport!$B43),0)</f>
        <v>0</v>
      </c>
      <c r="AK43" s="5">
        <f>IFERROR(SUMIFS(BY_TRA!AS$2:AS$999,BY_TRA!$BJ$2:$BJ$999,Transport!$B43,BY_TRA!$BK$2:$BK$999,Transport!$C43)/SUMIFS(BY_TRA!AS$2:AS$999,BY_TRA!$BJ$2:$BJ$999,Transport!$B43),0)</f>
        <v>0</v>
      </c>
      <c r="AL43" s="5">
        <f>IFERROR(SUMIFS(BY_TRA!AT$2:AT$999,BY_TRA!$BJ$2:$BJ$999,Transport!$B43,BY_TRA!$BK$2:$BK$999,Transport!$C43)/SUMIFS(BY_TRA!AT$2:AT$999,BY_TRA!$BJ$2:$BJ$999,Transport!$B43),0)</f>
        <v>0</v>
      </c>
      <c r="AM43" s="5">
        <f>IFERROR(SUMIFS(BY_TRA!AU$2:AU$999,BY_TRA!$BJ$2:$BJ$999,Transport!$B43,BY_TRA!$BK$2:$BK$999,Transport!$C43)/SUMIFS(BY_TRA!AU$2:AU$999,BY_TRA!$BJ$2:$BJ$999,Transport!$B43),0)</f>
        <v>0</v>
      </c>
      <c r="AN43" s="5">
        <f>IFERROR(SUMIFS(BY_TRA!AV$2:AV$999,BY_TRA!$BJ$2:$BJ$999,Transport!$B43,BY_TRA!$BK$2:$BK$999,Transport!$C43)/SUMIFS(BY_TRA!AV$2:AV$999,BY_TRA!$BJ$2:$BJ$999,Transport!$B43),0)</f>
        <v>0</v>
      </c>
      <c r="AO43" s="5">
        <f>IFERROR(SUMIFS(BY_TRA!AW$2:AW$999,BY_TRA!$BJ$2:$BJ$999,Transport!$B43,BY_TRA!$BK$2:$BK$999,Transport!$C43)/SUMIFS(BY_TRA!AW$2:AW$999,BY_TRA!$BJ$2:$BJ$999,Transport!$B43),0)</f>
        <v>0</v>
      </c>
      <c r="AP43" s="5">
        <f>IFERROR(SUMIFS(BY_TRA!AX$2:AX$999,BY_TRA!$BJ$2:$BJ$999,Transport!$B43,BY_TRA!$BK$2:$BK$999,Transport!$C43)/SUMIFS(BY_TRA!AX$2:AX$999,BY_TRA!$BJ$2:$BJ$999,Transport!$B43),0)</f>
        <v>0</v>
      </c>
      <c r="AQ43" s="5">
        <f>IFERROR(SUMIFS(BY_TRA!AY$2:AY$999,BY_TRA!$BJ$2:$BJ$999,Transport!$B43,BY_TRA!$BK$2:$BK$999,Transport!$C43)/SUMIFS(BY_TRA!AY$2:AY$999,BY_TRA!$BJ$2:$BJ$999,Transport!$B43),0)</f>
        <v>0</v>
      </c>
      <c r="AR43" s="5">
        <f>IFERROR(SUMIFS(BY_TRA!AZ$2:AZ$999,BY_TRA!$BJ$2:$BJ$999,Transport!$B43,BY_TRA!$BK$2:$BK$999,Transport!$C43)/SUMIFS(BY_TRA!AZ$2:AZ$999,BY_TRA!$BJ$2:$BJ$999,Transport!$B43),0)</f>
        <v>0</v>
      </c>
      <c r="AS43" s="5">
        <f>IFERROR(SUMIFS(BY_TRA!BA$2:BA$999,BY_TRA!$BJ$2:$BJ$999,Transport!$B43,BY_TRA!$BK$2:$BK$999,Transport!$C43)/SUMIFS(BY_TRA!BA$2:BA$999,BY_TRA!$BJ$2:$BJ$999,Transport!$B43),0)</f>
        <v>0</v>
      </c>
      <c r="AT43" s="5">
        <f>IFERROR(SUMIFS(BY_TRA!BB$2:BB$999,BY_TRA!$BJ$2:$BJ$999,Transport!$B43,BY_TRA!$BK$2:$BK$999,Transport!$C43)/SUMIFS(BY_TRA!BB$2:BB$999,BY_TRA!$BJ$2:$BJ$999,Transport!$B43),0)</f>
        <v>0</v>
      </c>
      <c r="AU43" s="5">
        <f>IFERROR(SUMIFS(BY_TRA!BC$2:BC$999,BY_TRA!$BJ$2:$BJ$999,Transport!$B43,BY_TRA!$BK$2:$BK$999,Transport!$C43)/SUMIFS(BY_TRA!BC$2:BC$999,BY_TRA!$BJ$2:$BJ$999,Transport!$B43),0)</f>
        <v>0</v>
      </c>
      <c r="AV43" s="5">
        <f>IFERROR(SUMIFS(BY_TRA!BD$2:BD$999,BY_TRA!$BJ$2:$BJ$999,Transport!$B43,BY_TRA!$BK$2:$BK$999,Transport!$C43)/SUMIFS(BY_TRA!BD$2:BD$999,BY_TRA!$BJ$2:$BJ$999,Transport!$B43),0)</f>
        <v>0</v>
      </c>
      <c r="AW43" s="5">
        <f>IFERROR(SUMIFS(BY_TRA!BE$2:BE$999,BY_TRA!$BJ$2:$BJ$999,Transport!$B43,BY_TRA!$BK$2:$BK$999,Transport!$C43)/SUMIFS(BY_TRA!BE$2:BE$999,BY_TRA!$BJ$2:$BJ$999,Transport!$B43),0)</f>
        <v>0</v>
      </c>
      <c r="AX43" s="5">
        <f>IFERROR(SUMIFS(BY_TRA!BF$2:BF$999,BY_TRA!$BJ$2:$BJ$999,Transport!$B43,BY_TRA!$BK$2:$BK$999,Transport!$C43)/SUMIFS(BY_TRA!BF$2:BF$999,BY_TRA!$BJ$2:$BJ$999,Transport!$B43),0)</f>
        <v>0</v>
      </c>
      <c r="AY43" s="5">
        <f>IFERROR(SUMIFS(BY_TRA!BG$2:BG$999,BY_TRA!$BJ$2:$BJ$999,Transport!$B43,BY_TRA!$BK$2:$BK$999,Transport!$C43)/SUMIFS(BY_TRA!BG$2:BG$999,BY_TRA!$BJ$2:$BJ$999,Transport!$B43),0)</f>
        <v>0</v>
      </c>
    </row>
    <row r="44" spans="2:51" ht="14.5">
      <c r="B44" t="s">
        <v>179</v>
      </c>
      <c r="C44" t="s">
        <v>175</v>
      </c>
      <c r="D44" s="5">
        <f>IFERROR(SUMIFS(BY_TRA!L$2:L$999,BY_TRA!$BJ$2:$BJ$999,Transport!$B44,BY_TRA!$BK$2:$BK$999,Transport!$C44)/SUMIFS(BY_TRA!L$2:L$999,BY_TRA!$BJ$2:$BJ$999,Transport!$B44),0)</f>
        <v>0</v>
      </c>
      <c r="E44" s="5">
        <f>IFERROR(SUMIFS(BY_TRA!M$2:M$999,BY_TRA!$BJ$2:$BJ$999,Transport!$B44,BY_TRA!$BK$2:$BK$999,Transport!$C44)/SUMIFS(BY_TRA!M$2:M$999,BY_TRA!$BJ$2:$BJ$999,Transport!$B44),0)</f>
        <v>0</v>
      </c>
      <c r="F44" s="5">
        <f>IFERROR(SUMIFS(BY_TRA!N$2:N$999,BY_TRA!$BJ$2:$BJ$999,Transport!$B44,BY_TRA!$BK$2:$BK$999,Transport!$C44)/SUMIFS(BY_TRA!N$2:N$999,BY_TRA!$BJ$2:$BJ$999,Transport!$B44),0)</f>
        <v>0.034313725490196137</v>
      </c>
      <c r="G44" s="5">
        <f>IFERROR(SUMIFS(BY_TRA!O$2:O$999,BY_TRA!$BJ$2:$BJ$999,Transport!$B44,BY_TRA!$BK$2:$BK$999,Transport!$C44)/SUMIFS(BY_TRA!O$2:O$999,BY_TRA!$BJ$2:$BJ$999,Transport!$B44),0)</f>
        <v>0</v>
      </c>
      <c r="H44" s="5">
        <f>IFERROR(SUMIFS(BY_TRA!P$2:P$999,BY_TRA!$BJ$2:$BJ$999,Transport!$B44,BY_TRA!$BK$2:$BK$999,Transport!$C44)/SUMIFS(BY_TRA!P$2:P$999,BY_TRA!$BJ$2:$BJ$999,Transport!$B44),0)</f>
        <v>0.034482758620689606</v>
      </c>
      <c r="I44" s="5">
        <f>IFERROR(SUMIFS(BY_TRA!Q$2:Q$999,BY_TRA!$BJ$2:$BJ$999,Transport!$B44,BY_TRA!$BK$2:$BK$999,Transport!$C44)/SUMIFS(BY_TRA!Q$2:Q$999,BY_TRA!$BJ$2:$BJ$999,Transport!$B44),0)</f>
        <v>0.019607843137254898</v>
      </c>
      <c r="J44" s="5">
        <f>IFERROR(SUMIFS(BY_TRA!R$2:R$999,BY_TRA!$BJ$2:$BJ$999,Transport!$B44,BY_TRA!$BK$2:$BK$999,Transport!$C44)/SUMIFS(BY_TRA!R$2:R$999,BY_TRA!$BJ$2:$BJ$999,Transport!$B44),0)</f>
        <v>0.053304904051172657</v>
      </c>
      <c r="K44" s="5">
        <f>IFERROR(SUMIFS(BY_TRA!S$2:S$999,BY_TRA!$BJ$2:$BJ$999,Transport!$B44,BY_TRA!$BK$2:$BK$999,Transport!$C44)/SUMIFS(BY_TRA!S$2:S$999,BY_TRA!$BJ$2:$BJ$999,Transport!$B44),0)</f>
        <v>0.035639958376690956</v>
      </c>
      <c r="L44" s="5">
        <f>IFERROR(SUMIFS(BY_TRA!T$2:T$999,BY_TRA!$BJ$2:$BJ$999,Transport!$B44,BY_TRA!$BK$2:$BK$999,Transport!$C44)/SUMIFS(BY_TRA!T$2:T$999,BY_TRA!$BJ$2:$BJ$999,Transport!$B44),0)</f>
        <v>0.043478260869565181</v>
      </c>
      <c r="M44" s="5">
        <f>IFERROR(SUMIFS(BY_TRA!U$2:U$999,BY_TRA!$BJ$2:$BJ$999,Transport!$B44,BY_TRA!$BK$2:$BK$999,Transport!$C44)/SUMIFS(BY_TRA!U$2:U$999,BY_TRA!$BJ$2:$BJ$999,Transport!$B44),0)</f>
        <v>0.035087719298245564</v>
      </c>
      <c r="N44" s="5">
        <f>IFERROR(SUMIFS(BY_TRA!V$2:V$999,BY_TRA!$BJ$2:$BJ$999,Transport!$B44,BY_TRA!$BK$2:$BK$999,Transport!$C44)/SUMIFS(BY_TRA!V$2:V$999,BY_TRA!$BJ$2:$BJ$999,Transport!$B44),0)</f>
        <v>0.008333333333333328</v>
      </c>
      <c r="O44" s="5">
        <f>IFERROR(SUMIFS(BY_TRA!W$2:W$999,BY_TRA!$BJ$2:$BJ$999,Transport!$B44,BY_TRA!$BK$2:$BK$999,Transport!$C44)/SUMIFS(BY_TRA!W$2:W$999,BY_TRA!$BJ$2:$BJ$999,Transport!$B44),0)</f>
        <v>0.015624999999999998</v>
      </c>
      <c r="P44" s="5">
        <f>IFERROR(SUMIFS(BY_TRA!X$2:X$999,BY_TRA!$BJ$2:$BJ$999,Transport!$B44,BY_TRA!$BK$2:$BK$999,Transport!$C44)/SUMIFS(BY_TRA!X$2:X$999,BY_TRA!$BJ$2:$BJ$999,Transport!$B44),0)</f>
        <v>0</v>
      </c>
      <c r="Q44" s="5">
        <f>IFERROR(SUMIFS(BY_TRA!Y$2:Y$999,BY_TRA!$BJ$2:$BJ$999,Transport!$B44,BY_TRA!$BK$2:$BK$999,Transport!$C44)/SUMIFS(BY_TRA!Y$2:Y$999,BY_TRA!$BJ$2:$BJ$999,Transport!$B44),0)</f>
        <v>0.035714285714285643</v>
      </c>
      <c r="R44" s="5">
        <f>IFERROR(SUMIFS(BY_TRA!Z$2:Z$999,BY_TRA!$BJ$2:$BJ$999,Transport!$B44,BY_TRA!$BK$2:$BK$999,Transport!$C44)/SUMIFS(BY_TRA!Z$2:Z$999,BY_TRA!$BJ$2:$BJ$999,Transport!$B44),0)</f>
        <v>0</v>
      </c>
      <c r="S44" s="5">
        <f>IFERROR(SUMIFS(BY_TRA!AA$2:AA$999,BY_TRA!$BJ$2:$BJ$999,Transport!$B44,BY_TRA!$BK$2:$BK$999,Transport!$C44)/SUMIFS(BY_TRA!AA$2:AA$999,BY_TRA!$BJ$2:$BJ$999,Transport!$B44),0)</f>
        <v>0</v>
      </c>
      <c r="T44" s="5">
        <f>IFERROR(SUMIFS(BY_TRA!AB$2:AB$999,BY_TRA!$BJ$2:$BJ$999,Transport!$B44,BY_TRA!$BK$2:$BK$999,Transport!$C44)/SUMIFS(BY_TRA!AB$2:AB$999,BY_TRA!$BJ$2:$BJ$999,Transport!$B44),0)</f>
        <v>0</v>
      </c>
      <c r="U44" s="5">
        <f>IFERROR(SUMIFS(BY_TRA!AC$2:AC$999,BY_TRA!$BJ$2:$BJ$999,Transport!$B44,BY_TRA!$BK$2:$BK$999,Transport!$C44)/SUMIFS(BY_TRA!AC$2:AC$999,BY_TRA!$BJ$2:$BJ$999,Transport!$B44),0)</f>
        <v>0.0099009900990099133</v>
      </c>
      <c r="V44" s="5">
        <f>IFERROR(SUMIFS(BY_TRA!AD$2:AD$999,BY_TRA!$BJ$2:$BJ$999,Transport!$B44,BY_TRA!$BK$2:$BK$999,Transport!$C44)/SUMIFS(BY_TRA!AD$2:AD$999,BY_TRA!$BJ$2:$BJ$999,Transport!$B44),0)</f>
        <v>0</v>
      </c>
      <c r="W44" s="5">
        <f>IFERROR(SUMIFS(BY_TRA!AE$2:AE$999,BY_TRA!$BJ$2:$BJ$999,Transport!$B44,BY_TRA!$BK$2:$BK$999,Transport!$C44)/SUMIFS(BY_TRA!AE$2:AE$999,BY_TRA!$BJ$2:$BJ$999,Transport!$B44),0)</f>
        <v>0.098121085594989665</v>
      </c>
      <c r="X44" s="5">
        <f>IFERROR(SUMIFS(BY_TRA!AF$2:AF$999,BY_TRA!$BJ$2:$BJ$999,Transport!$B44,BY_TRA!$BK$2:$BK$999,Transport!$C44)/SUMIFS(BY_TRA!AF$2:AF$999,BY_TRA!$BJ$2:$BJ$999,Transport!$B44),0)</f>
        <v>0.27181208053691341</v>
      </c>
      <c r="Y44" s="5">
        <f>IFERROR(SUMIFS(BY_TRA!AG$2:AG$999,BY_TRA!$BJ$2:$BJ$999,Transport!$B44,BY_TRA!$BK$2:$BK$999,Transport!$C44)/SUMIFS(BY_TRA!AG$2:AG$999,BY_TRA!$BJ$2:$BJ$999,Transport!$B44),0)</f>
        <v>0.074336283185840818</v>
      </c>
      <c r="Z44" s="5">
        <f>IFERROR(SUMIFS(BY_TRA!AH$2:AH$999,BY_TRA!$BJ$2:$BJ$999,Transport!$B44,BY_TRA!$BK$2:$BK$999,Transport!$C44)/SUMIFS(BY_TRA!AH$2:AH$999,BY_TRA!$BJ$2:$BJ$999,Transport!$B44),0)</f>
        <v>0</v>
      </c>
      <c r="AA44" s="5">
        <f>IFERROR(SUMIFS(BY_TRA!AI$2:AI$999,BY_TRA!$BJ$2:$BJ$999,Transport!$B44,BY_TRA!$BK$2:$BK$999,Transport!$C44)/SUMIFS(BY_TRA!AI$2:AI$999,BY_TRA!$BJ$2:$BJ$999,Transport!$B44),0)</f>
        <v>0.036363636363636341</v>
      </c>
      <c r="AB44" s="5">
        <f>IFERROR(SUMIFS(BY_TRA!AJ$2:AJ$999,BY_TRA!$BJ$2:$BJ$999,Transport!$B44,BY_TRA!$BK$2:$BK$999,Transport!$C44)/SUMIFS(BY_TRA!AJ$2:AJ$999,BY_TRA!$BJ$2:$BJ$999,Transport!$B44),0)</f>
        <v>0</v>
      </c>
      <c r="AC44" s="5">
        <f>IFERROR(SUMIFS(BY_TRA!AK$2:AK$999,BY_TRA!$BJ$2:$BJ$999,Transport!$B44,BY_TRA!$BK$2:$BK$999,Transport!$C44)/SUMIFS(BY_TRA!AK$2:AK$999,BY_TRA!$BJ$2:$BJ$999,Transport!$B44),0)</f>
        <v>0.2717948717948715</v>
      </c>
      <c r="AD44" s="5">
        <f>IFERROR(SUMIFS(BY_TRA!AL$2:AL$999,BY_TRA!$BJ$2:$BJ$999,Transport!$B44,BY_TRA!$BK$2:$BK$999,Transport!$C44)/SUMIFS(BY_TRA!AL$2:AL$999,BY_TRA!$BJ$2:$BJ$999,Transport!$B44),0)</f>
        <v>0.30701754385964919</v>
      </c>
      <c r="AE44" s="5">
        <f>IFERROR(SUMIFS(BY_TRA!AM$2:AM$999,BY_TRA!$BJ$2:$BJ$999,Transport!$B44,BY_TRA!$BK$2:$BK$999,Transport!$C44)/SUMIFS(BY_TRA!AM$2:AM$999,BY_TRA!$BJ$2:$BJ$999,Transport!$B44),0)</f>
        <v>0</v>
      </c>
      <c r="AF44" s="5">
        <f>IFERROR(SUMIFS(BY_TRA!AN$2:AN$999,BY_TRA!$BJ$2:$BJ$999,Transport!$B44,BY_TRA!$BK$2:$BK$999,Transport!$C44)/SUMIFS(BY_TRA!AN$2:AN$999,BY_TRA!$BJ$2:$BJ$999,Transport!$B44),0)</f>
        <v>0.01</v>
      </c>
      <c r="AG44" s="5">
        <f>IFERROR(SUMIFS(BY_TRA!AO$2:AO$999,BY_TRA!$BJ$2:$BJ$999,Transport!$B44,BY_TRA!$BK$2:$BK$999,Transport!$C44)/SUMIFS(BY_TRA!AO$2:AO$999,BY_TRA!$BJ$2:$BJ$999,Transport!$B44),0)</f>
        <v>0.027027027027027015</v>
      </c>
      <c r="AH44" s="5">
        <f>IFERROR(SUMIFS(BY_TRA!AP$2:AP$999,BY_TRA!$BJ$2:$BJ$999,Transport!$B44,BY_TRA!$BK$2:$BK$999,Transport!$C44)/SUMIFS(BY_TRA!AP$2:AP$999,BY_TRA!$BJ$2:$BJ$999,Transport!$B44),0)</f>
        <v>0</v>
      </c>
      <c r="AI44" s="5">
        <f>IFERROR(SUMIFS(BY_TRA!AQ$2:AQ$999,BY_TRA!$BJ$2:$BJ$999,Transport!$B44,BY_TRA!$BK$2:$BK$999,Transport!$C44)/SUMIFS(BY_TRA!AQ$2:AQ$999,BY_TRA!$BJ$2:$BJ$999,Transport!$B44),0)</f>
        <v>0.034653465346534726</v>
      </c>
      <c r="AJ44" s="5">
        <f>IFERROR(SUMIFS(BY_TRA!AR$2:AR$999,BY_TRA!$BJ$2:$BJ$999,Transport!$B44,BY_TRA!$BK$2:$BK$999,Transport!$C44)/SUMIFS(BY_TRA!AR$2:AR$999,BY_TRA!$BJ$2:$BJ$999,Transport!$B44),0)</f>
        <v>0.02222222222222222</v>
      </c>
      <c r="AK44" s="5">
        <f>IFERROR(SUMIFS(BY_TRA!AS$2:AS$999,BY_TRA!$BJ$2:$BJ$999,Transport!$B44,BY_TRA!$BK$2:$BK$999,Transport!$C44)/SUMIFS(BY_TRA!AS$2:AS$999,BY_TRA!$BJ$2:$BJ$999,Transport!$B44),0)</f>
        <v>0.0769230769230769</v>
      </c>
      <c r="AL44" s="5">
        <f>IFERROR(SUMIFS(BY_TRA!AT$2:AT$999,BY_TRA!$BJ$2:$BJ$999,Transport!$B44,BY_TRA!$BK$2:$BK$999,Transport!$C44)/SUMIFS(BY_TRA!AT$2:AT$999,BY_TRA!$BJ$2:$BJ$999,Transport!$B44),0)</f>
        <v>0.033898305084745763</v>
      </c>
      <c r="AM44" s="5">
        <f>IFERROR(SUMIFS(BY_TRA!AU$2:AU$999,BY_TRA!$BJ$2:$BJ$999,Transport!$B44,BY_TRA!$BK$2:$BK$999,Transport!$C44)/SUMIFS(BY_TRA!AU$2:AU$999,BY_TRA!$BJ$2:$BJ$999,Transport!$B44),0)</f>
        <v>0</v>
      </c>
      <c r="AN44" s="5">
        <f>IFERROR(SUMIFS(BY_TRA!AV$2:AV$999,BY_TRA!$BJ$2:$BJ$999,Transport!$B44,BY_TRA!$BK$2:$BK$999,Transport!$C44)/SUMIFS(BY_TRA!AV$2:AV$999,BY_TRA!$BJ$2:$BJ$999,Transport!$B44),0)</f>
        <v>0</v>
      </c>
      <c r="AO44" s="5">
        <f>IFERROR(SUMIFS(BY_TRA!AW$2:AW$999,BY_TRA!$BJ$2:$BJ$999,Transport!$B44,BY_TRA!$BK$2:$BK$999,Transport!$C44)/SUMIFS(BY_TRA!AW$2:AW$999,BY_TRA!$BJ$2:$BJ$999,Transport!$B44),0)</f>
        <v>0</v>
      </c>
      <c r="AP44" s="5">
        <f>IFERROR(SUMIFS(BY_TRA!AX$2:AX$999,BY_TRA!$BJ$2:$BJ$999,Transport!$B44,BY_TRA!$BK$2:$BK$999,Transport!$C44)/SUMIFS(BY_TRA!AX$2:AX$999,BY_TRA!$BJ$2:$BJ$999,Transport!$B44),0)</f>
        <v>0</v>
      </c>
      <c r="AQ44" s="5">
        <f>IFERROR(SUMIFS(BY_TRA!AY$2:AY$999,BY_TRA!$BJ$2:$BJ$999,Transport!$B44,BY_TRA!$BK$2:$BK$999,Transport!$C44)/SUMIFS(BY_TRA!AY$2:AY$999,BY_TRA!$BJ$2:$BJ$999,Transport!$B44),0)</f>
        <v>0</v>
      </c>
      <c r="AR44" s="5">
        <f>IFERROR(SUMIFS(BY_TRA!AZ$2:AZ$999,BY_TRA!$BJ$2:$BJ$999,Transport!$B44,BY_TRA!$BK$2:$BK$999,Transport!$C44)/SUMIFS(BY_TRA!AZ$2:AZ$999,BY_TRA!$BJ$2:$BJ$999,Transport!$B44),0)</f>
        <v>0</v>
      </c>
      <c r="AS44" s="5">
        <f>IFERROR(SUMIFS(BY_TRA!BA$2:BA$999,BY_TRA!$BJ$2:$BJ$999,Transport!$B44,BY_TRA!$BK$2:$BK$999,Transport!$C44)/SUMIFS(BY_TRA!BA$2:BA$999,BY_TRA!$BJ$2:$BJ$999,Transport!$B44),0)</f>
        <v>0</v>
      </c>
      <c r="AT44" s="5">
        <f>IFERROR(SUMIFS(BY_TRA!BB$2:BB$999,BY_TRA!$BJ$2:$BJ$999,Transport!$B44,BY_TRA!$BK$2:$BK$999,Transport!$C44)/SUMIFS(BY_TRA!BB$2:BB$999,BY_TRA!$BJ$2:$BJ$999,Transport!$B44),0)</f>
        <v>0</v>
      </c>
      <c r="AU44" s="5">
        <f>IFERROR(SUMIFS(BY_TRA!BC$2:BC$999,BY_TRA!$BJ$2:$BJ$999,Transport!$B44,BY_TRA!$BK$2:$BK$999,Transport!$C44)/SUMIFS(BY_TRA!BC$2:BC$999,BY_TRA!$BJ$2:$BJ$999,Transport!$B44),0)</f>
        <v>0</v>
      </c>
      <c r="AV44" s="5">
        <f>IFERROR(SUMIFS(BY_TRA!BD$2:BD$999,BY_TRA!$BJ$2:$BJ$999,Transport!$B44,BY_TRA!$BK$2:$BK$999,Transport!$C44)/SUMIFS(BY_TRA!BD$2:BD$999,BY_TRA!$BJ$2:$BJ$999,Transport!$B44),0)</f>
        <v>0</v>
      </c>
      <c r="AW44" s="5">
        <f>IFERROR(SUMIFS(BY_TRA!BE$2:BE$999,BY_TRA!$BJ$2:$BJ$999,Transport!$B44,BY_TRA!$BK$2:$BK$999,Transport!$C44)/SUMIFS(BY_TRA!BE$2:BE$999,BY_TRA!$BJ$2:$BJ$999,Transport!$B44),0)</f>
        <v>0</v>
      </c>
      <c r="AX44" s="5">
        <f>IFERROR(SUMIFS(BY_TRA!BF$2:BF$999,BY_TRA!$BJ$2:$BJ$999,Transport!$B44,BY_TRA!$BK$2:$BK$999,Transport!$C44)/SUMIFS(BY_TRA!BF$2:BF$999,BY_TRA!$BJ$2:$BJ$999,Transport!$B44),0)</f>
        <v>0</v>
      </c>
      <c r="AY44" s="5">
        <f>IFERROR(SUMIFS(BY_TRA!BG$2:BG$999,BY_TRA!$BJ$2:$BJ$999,Transport!$B44,BY_TRA!$BK$2:$BK$999,Transport!$C44)/SUMIFS(BY_TRA!BG$2:BG$999,BY_TRA!$BJ$2:$BJ$999,Transport!$B44),0)</f>
        <v>0</v>
      </c>
    </row>
    <row r="45" spans="2:51" ht="14.5">
      <c r="B45" t="s">
        <v>179</v>
      </c>
      <c r="C45" t="s">
        <v>181</v>
      </c>
      <c r="D45" s="5">
        <f>IFERROR(SUMIFS(BY_TRA!L$2:L$999,BY_TRA!$BJ$2:$BJ$999,Transport!$B45,BY_TRA!$BK$2:$BK$999,Transport!$C45)/SUMIFS(BY_TRA!L$2:L$999,BY_TRA!$BJ$2:$BJ$999,Transport!$B45),0)</f>
        <v>0.014608233731739702</v>
      </c>
      <c r="E45" s="5">
        <f>IFERROR(SUMIFS(BY_TRA!M$2:M$999,BY_TRA!$BJ$2:$BJ$999,Transport!$B45,BY_TRA!$BK$2:$BK$999,Transport!$C45)/SUMIFS(BY_TRA!M$2:M$999,BY_TRA!$BJ$2:$BJ$999,Transport!$B45),0)</f>
        <v>0</v>
      </c>
      <c r="F45" s="5">
        <f>IFERROR(SUMIFS(BY_TRA!N$2:N$999,BY_TRA!$BJ$2:$BJ$999,Transport!$B45,BY_TRA!$BK$2:$BK$999,Transport!$C45)/SUMIFS(BY_TRA!N$2:N$999,BY_TRA!$BJ$2:$BJ$999,Transport!$B45),0)</f>
        <v>0.098039215686274717</v>
      </c>
      <c r="G45" s="5">
        <f>IFERROR(SUMIFS(BY_TRA!O$2:O$999,BY_TRA!$BJ$2:$BJ$999,Transport!$B45,BY_TRA!$BK$2:$BK$999,Transport!$C45)/SUMIFS(BY_TRA!O$2:O$999,BY_TRA!$BJ$2:$BJ$999,Transport!$B45),0)</f>
        <v>0</v>
      </c>
      <c r="H45" s="5">
        <f>IFERROR(SUMIFS(BY_TRA!P$2:P$999,BY_TRA!$BJ$2:$BJ$999,Transport!$B45,BY_TRA!$BK$2:$BK$999,Transport!$C45)/SUMIFS(BY_TRA!P$2:P$999,BY_TRA!$BJ$2:$BJ$999,Transport!$B45),0)</f>
        <v>0</v>
      </c>
      <c r="I45" s="5">
        <f>IFERROR(SUMIFS(BY_TRA!Q$2:Q$999,BY_TRA!$BJ$2:$BJ$999,Transport!$B45,BY_TRA!$BK$2:$BK$999,Transport!$C45)/SUMIFS(BY_TRA!Q$2:Q$999,BY_TRA!$BJ$2:$BJ$999,Transport!$B45),0)</f>
        <v>0</v>
      </c>
      <c r="J45" s="5">
        <f>IFERROR(SUMIFS(BY_TRA!R$2:R$999,BY_TRA!$BJ$2:$BJ$999,Transport!$B45,BY_TRA!$BK$2:$BK$999,Transport!$C45)/SUMIFS(BY_TRA!R$2:R$999,BY_TRA!$BJ$2:$BJ$999,Transport!$B45),0)</f>
        <v>0</v>
      </c>
      <c r="K45" s="5">
        <f>IFERROR(SUMIFS(BY_TRA!S$2:S$999,BY_TRA!$BJ$2:$BJ$999,Transport!$B45,BY_TRA!$BK$2:$BK$999,Transport!$C45)/SUMIFS(BY_TRA!S$2:S$999,BY_TRA!$BJ$2:$BJ$999,Transport!$B45),0)</f>
        <v>0.021331945889698226</v>
      </c>
      <c r="L45" s="5">
        <f>IFERROR(SUMIFS(BY_TRA!T$2:T$999,BY_TRA!$BJ$2:$BJ$999,Transport!$B45,BY_TRA!$BK$2:$BK$999,Transport!$C45)/SUMIFS(BY_TRA!T$2:T$999,BY_TRA!$BJ$2:$BJ$999,Transport!$B45),0)</f>
        <v>0</v>
      </c>
      <c r="M45" s="5">
        <f>IFERROR(SUMIFS(BY_TRA!U$2:U$999,BY_TRA!$BJ$2:$BJ$999,Transport!$B45,BY_TRA!$BK$2:$BK$999,Transport!$C45)/SUMIFS(BY_TRA!U$2:U$999,BY_TRA!$BJ$2:$BJ$999,Transport!$B45),0)</f>
        <v>0</v>
      </c>
      <c r="N45" s="5">
        <f>IFERROR(SUMIFS(BY_TRA!V$2:V$999,BY_TRA!$BJ$2:$BJ$999,Transport!$B45,BY_TRA!$BK$2:$BK$999,Transport!$C45)/SUMIFS(BY_TRA!V$2:V$999,BY_TRA!$BJ$2:$BJ$999,Transport!$B45),0)</f>
        <v>0</v>
      </c>
      <c r="O45" s="5">
        <f>IFERROR(SUMIFS(BY_TRA!W$2:W$999,BY_TRA!$BJ$2:$BJ$999,Transport!$B45,BY_TRA!$BK$2:$BK$999,Transport!$C45)/SUMIFS(BY_TRA!W$2:W$999,BY_TRA!$BJ$2:$BJ$999,Transport!$B45),0)</f>
        <v>0</v>
      </c>
      <c r="P45" s="5">
        <f>IFERROR(SUMIFS(BY_TRA!X$2:X$999,BY_TRA!$BJ$2:$BJ$999,Transport!$B45,BY_TRA!$BK$2:$BK$999,Transport!$C45)/SUMIFS(BY_TRA!X$2:X$999,BY_TRA!$BJ$2:$BJ$999,Transport!$B45),0)</f>
        <v>0</v>
      </c>
      <c r="Q45" s="5">
        <f>IFERROR(SUMIFS(BY_TRA!Y$2:Y$999,BY_TRA!$BJ$2:$BJ$999,Transport!$B45,BY_TRA!$BK$2:$BK$999,Transport!$C45)/SUMIFS(BY_TRA!Y$2:Y$999,BY_TRA!$BJ$2:$BJ$999,Transport!$B45),0)</f>
        <v>0</v>
      </c>
      <c r="R45" s="5">
        <f>IFERROR(SUMIFS(BY_TRA!Z$2:Z$999,BY_TRA!$BJ$2:$BJ$999,Transport!$B45,BY_TRA!$BK$2:$BK$999,Transport!$C45)/SUMIFS(BY_TRA!Z$2:Z$999,BY_TRA!$BJ$2:$BJ$999,Transport!$B45),0)</f>
        <v>0</v>
      </c>
      <c r="S45" s="5">
        <f>IFERROR(SUMIFS(BY_TRA!AA$2:AA$999,BY_TRA!$BJ$2:$BJ$999,Transport!$B45,BY_TRA!$BK$2:$BK$999,Transport!$C45)/SUMIFS(BY_TRA!AA$2:AA$999,BY_TRA!$BJ$2:$BJ$999,Transport!$B45),0)</f>
        <v>0.010175763182238661</v>
      </c>
      <c r="T45" s="5">
        <f>IFERROR(SUMIFS(BY_TRA!AB$2:AB$999,BY_TRA!$BJ$2:$BJ$999,Transport!$B45,BY_TRA!$BK$2:$BK$999,Transport!$C45)/SUMIFS(BY_TRA!AB$2:AB$999,BY_TRA!$BJ$2:$BJ$999,Transport!$B45),0)</f>
        <v>0</v>
      </c>
      <c r="U45" s="5">
        <f>IFERROR(SUMIFS(BY_TRA!AC$2:AC$999,BY_TRA!$BJ$2:$BJ$999,Transport!$B45,BY_TRA!$BK$2:$BK$999,Transport!$C45)/SUMIFS(BY_TRA!AC$2:AC$999,BY_TRA!$BJ$2:$BJ$999,Transport!$B45),0)</f>
        <v>0</v>
      </c>
      <c r="V45" s="5">
        <f>IFERROR(SUMIFS(BY_TRA!AD$2:AD$999,BY_TRA!$BJ$2:$BJ$999,Transport!$B45,BY_TRA!$BK$2:$BK$999,Transport!$C45)/SUMIFS(BY_TRA!AD$2:AD$999,BY_TRA!$BJ$2:$BJ$999,Transport!$B45),0)</f>
        <v>0</v>
      </c>
      <c r="W45" s="5">
        <f>IFERROR(SUMIFS(BY_TRA!AE$2:AE$999,BY_TRA!$BJ$2:$BJ$999,Transport!$B45,BY_TRA!$BK$2:$BK$999,Transport!$C45)/SUMIFS(BY_TRA!AE$2:AE$999,BY_TRA!$BJ$2:$BJ$999,Transport!$B45),0)</f>
        <v>0.079331941544885265</v>
      </c>
      <c r="X45" s="5">
        <f>IFERROR(SUMIFS(BY_TRA!AF$2:AF$999,BY_TRA!$BJ$2:$BJ$999,Transport!$B45,BY_TRA!$BK$2:$BK$999,Transport!$C45)/SUMIFS(BY_TRA!AF$2:AF$999,BY_TRA!$BJ$2:$BJ$999,Transport!$B45),0)</f>
        <v>0.0016778523489932927</v>
      </c>
      <c r="Y45" s="5">
        <f>IFERROR(SUMIFS(BY_TRA!AG$2:AG$999,BY_TRA!$BJ$2:$BJ$999,Transport!$B45,BY_TRA!$BK$2:$BK$999,Transport!$C45)/SUMIFS(BY_TRA!AG$2:AG$999,BY_TRA!$BJ$2:$BJ$999,Transport!$B45),0)</f>
        <v>0.0017699115044247813</v>
      </c>
      <c r="Z45" s="5">
        <f>IFERROR(SUMIFS(BY_TRA!AH$2:AH$999,BY_TRA!$BJ$2:$BJ$999,Transport!$B45,BY_TRA!$BK$2:$BK$999,Transport!$C45)/SUMIFS(BY_TRA!AH$2:AH$999,BY_TRA!$BJ$2:$BJ$999,Transport!$B45),0)</f>
        <v>0</v>
      </c>
      <c r="AA45" s="5">
        <f>IFERROR(SUMIFS(BY_TRA!AI$2:AI$999,BY_TRA!$BJ$2:$BJ$999,Transport!$B45,BY_TRA!$BK$2:$BK$999,Transport!$C45)/SUMIFS(BY_TRA!AI$2:AI$999,BY_TRA!$BJ$2:$BJ$999,Transport!$B45),0)</f>
        <v>0</v>
      </c>
      <c r="AB45" s="5">
        <f>IFERROR(SUMIFS(BY_TRA!AJ$2:AJ$999,BY_TRA!$BJ$2:$BJ$999,Transport!$B45,BY_TRA!$BK$2:$BK$999,Transport!$C45)/SUMIFS(BY_TRA!AJ$2:AJ$999,BY_TRA!$BJ$2:$BJ$999,Transport!$B45),0)</f>
        <v>0.077203204661325631</v>
      </c>
      <c r="AC45" s="5">
        <f>IFERROR(SUMIFS(BY_TRA!AK$2:AK$999,BY_TRA!$BJ$2:$BJ$999,Transport!$B45,BY_TRA!$BK$2:$BK$999,Transport!$C45)/SUMIFS(BY_TRA!AK$2:AK$999,BY_TRA!$BJ$2:$BJ$999,Transport!$B45),0)</f>
        <v>0</v>
      </c>
      <c r="AD45" s="5">
        <f>IFERROR(SUMIFS(BY_TRA!AL$2:AL$999,BY_TRA!$BJ$2:$BJ$999,Transport!$B45,BY_TRA!$BK$2:$BK$999,Transport!$C45)/SUMIFS(BY_TRA!AL$2:AL$999,BY_TRA!$BJ$2:$BJ$999,Transport!$B45),0)</f>
        <v>0</v>
      </c>
      <c r="AE45" s="5">
        <f>IFERROR(SUMIFS(BY_TRA!AM$2:AM$999,BY_TRA!$BJ$2:$BJ$999,Transport!$B45,BY_TRA!$BK$2:$BK$999,Transport!$C45)/SUMIFS(BY_TRA!AM$2:AM$999,BY_TRA!$BJ$2:$BJ$999,Transport!$B45),0)</f>
        <v>0</v>
      </c>
      <c r="AF45" s="5">
        <f>IFERROR(SUMIFS(BY_TRA!AN$2:AN$999,BY_TRA!$BJ$2:$BJ$999,Transport!$B45,BY_TRA!$BK$2:$BK$999,Transport!$C45)/SUMIFS(BY_TRA!AN$2:AN$999,BY_TRA!$BJ$2:$BJ$999,Transport!$B45),0)</f>
        <v>0</v>
      </c>
      <c r="AG45" s="5">
        <f>IFERROR(SUMIFS(BY_TRA!AO$2:AO$999,BY_TRA!$BJ$2:$BJ$999,Transport!$B45,BY_TRA!$BK$2:$BK$999,Transport!$C45)/SUMIFS(BY_TRA!AO$2:AO$999,BY_TRA!$BJ$2:$BJ$999,Transport!$B45),0)</f>
        <v>0</v>
      </c>
      <c r="AH45" s="5">
        <f>IFERROR(SUMIFS(BY_TRA!AP$2:AP$999,BY_TRA!$BJ$2:$BJ$999,Transport!$B45,BY_TRA!$BK$2:$BK$999,Transport!$C45)/SUMIFS(BY_TRA!AP$2:AP$999,BY_TRA!$BJ$2:$BJ$999,Transport!$B45),0)</f>
        <v>0</v>
      </c>
      <c r="AI45" s="5">
        <f>IFERROR(SUMIFS(BY_TRA!AQ$2:AQ$999,BY_TRA!$BJ$2:$BJ$999,Transport!$B45,BY_TRA!$BK$2:$BK$999,Transport!$C45)/SUMIFS(BY_TRA!AQ$2:AQ$999,BY_TRA!$BJ$2:$BJ$999,Transport!$B45),0)</f>
        <v>0.19801980198019853</v>
      </c>
      <c r="AJ45" s="5">
        <f>IFERROR(SUMIFS(BY_TRA!AR$2:AR$999,BY_TRA!$BJ$2:$BJ$999,Transport!$B45,BY_TRA!$BK$2:$BK$999,Transport!$C45)/SUMIFS(BY_TRA!AR$2:AR$999,BY_TRA!$BJ$2:$BJ$999,Transport!$B45),0)</f>
        <v>0</v>
      </c>
      <c r="AK45" s="5">
        <f>IFERROR(SUMIFS(BY_TRA!AS$2:AS$999,BY_TRA!$BJ$2:$BJ$999,Transport!$B45,BY_TRA!$BK$2:$BK$999,Transport!$C45)/SUMIFS(BY_TRA!AS$2:AS$999,BY_TRA!$BJ$2:$BJ$999,Transport!$B45),0)</f>
        <v>0</v>
      </c>
      <c r="AL45" s="5">
        <f>IFERROR(SUMIFS(BY_TRA!AT$2:AT$999,BY_TRA!$BJ$2:$BJ$999,Transport!$B45,BY_TRA!$BK$2:$BK$999,Transport!$C45)/SUMIFS(BY_TRA!AT$2:AT$999,BY_TRA!$BJ$2:$BJ$999,Transport!$B45),0)</f>
        <v>0</v>
      </c>
      <c r="AM45" s="5">
        <f>IFERROR(SUMIFS(BY_TRA!AU$2:AU$999,BY_TRA!$BJ$2:$BJ$999,Transport!$B45,BY_TRA!$BK$2:$BK$999,Transport!$C45)/SUMIFS(BY_TRA!AU$2:AU$999,BY_TRA!$BJ$2:$BJ$999,Transport!$B45),0)</f>
        <v>0</v>
      </c>
      <c r="AN45" s="5">
        <f>IFERROR(SUMIFS(BY_TRA!AV$2:AV$999,BY_TRA!$BJ$2:$BJ$999,Transport!$B45,BY_TRA!$BK$2:$BK$999,Transport!$C45)/SUMIFS(BY_TRA!AV$2:AV$999,BY_TRA!$BJ$2:$BJ$999,Transport!$B45),0)</f>
        <v>0</v>
      </c>
      <c r="AO45" s="5">
        <f>IFERROR(SUMIFS(BY_TRA!AW$2:AW$999,BY_TRA!$BJ$2:$BJ$999,Transport!$B45,BY_TRA!$BK$2:$BK$999,Transport!$C45)/SUMIFS(BY_TRA!AW$2:AW$999,BY_TRA!$BJ$2:$BJ$999,Transport!$B45),0)</f>
        <v>0</v>
      </c>
      <c r="AP45" s="5">
        <f>IFERROR(SUMIFS(BY_TRA!AX$2:AX$999,BY_TRA!$BJ$2:$BJ$999,Transport!$B45,BY_TRA!$BK$2:$BK$999,Transport!$C45)/SUMIFS(BY_TRA!AX$2:AX$999,BY_TRA!$BJ$2:$BJ$999,Transport!$B45),0)</f>
        <v>0</v>
      </c>
      <c r="AQ45" s="5">
        <f>IFERROR(SUMIFS(BY_TRA!AY$2:AY$999,BY_TRA!$BJ$2:$BJ$999,Transport!$B45,BY_TRA!$BK$2:$BK$999,Transport!$C45)/SUMIFS(BY_TRA!AY$2:AY$999,BY_TRA!$BJ$2:$BJ$999,Transport!$B45),0)</f>
        <v>0</v>
      </c>
      <c r="AR45" s="5">
        <f>IFERROR(SUMIFS(BY_TRA!AZ$2:AZ$999,BY_TRA!$BJ$2:$BJ$999,Transport!$B45,BY_TRA!$BK$2:$BK$999,Transport!$C45)/SUMIFS(BY_TRA!AZ$2:AZ$999,BY_TRA!$BJ$2:$BJ$999,Transport!$B45),0)</f>
        <v>0</v>
      </c>
      <c r="AS45" s="5">
        <f>IFERROR(SUMIFS(BY_TRA!BA$2:BA$999,BY_TRA!$BJ$2:$BJ$999,Transport!$B45,BY_TRA!$BK$2:$BK$999,Transport!$C45)/SUMIFS(BY_TRA!BA$2:BA$999,BY_TRA!$BJ$2:$BJ$999,Transport!$B45),0)</f>
        <v>0</v>
      </c>
      <c r="AT45" s="5">
        <f>IFERROR(SUMIFS(BY_TRA!BB$2:BB$999,BY_TRA!$BJ$2:$BJ$999,Transport!$B45,BY_TRA!$BK$2:$BK$999,Transport!$C45)/SUMIFS(BY_TRA!BB$2:BB$999,BY_TRA!$BJ$2:$BJ$999,Transport!$B45),0)</f>
        <v>0</v>
      </c>
      <c r="AU45" s="5">
        <f>IFERROR(SUMIFS(BY_TRA!BC$2:BC$999,BY_TRA!$BJ$2:$BJ$999,Transport!$B45,BY_TRA!$BK$2:$BK$999,Transport!$C45)/SUMIFS(BY_TRA!BC$2:BC$999,BY_TRA!$BJ$2:$BJ$999,Transport!$B45),0)</f>
        <v>0</v>
      </c>
      <c r="AV45" s="5">
        <f>IFERROR(SUMIFS(BY_TRA!BD$2:BD$999,BY_TRA!$BJ$2:$BJ$999,Transport!$B45,BY_TRA!$BK$2:$BK$999,Transport!$C45)/SUMIFS(BY_TRA!BD$2:BD$999,BY_TRA!$BJ$2:$BJ$999,Transport!$B45),0)</f>
        <v>0</v>
      </c>
      <c r="AW45" s="5">
        <f>IFERROR(SUMIFS(BY_TRA!BE$2:BE$999,BY_TRA!$BJ$2:$BJ$999,Transport!$B45,BY_TRA!$BK$2:$BK$999,Transport!$C45)/SUMIFS(BY_TRA!BE$2:BE$999,BY_TRA!$BJ$2:$BJ$999,Transport!$B45),0)</f>
        <v>0</v>
      </c>
      <c r="AX45" s="5">
        <f>IFERROR(SUMIFS(BY_TRA!BF$2:BF$999,BY_TRA!$BJ$2:$BJ$999,Transport!$B45,BY_TRA!$BK$2:$BK$999,Transport!$C45)/SUMIFS(BY_TRA!BF$2:BF$999,BY_TRA!$BJ$2:$BJ$999,Transport!$B45),0)</f>
        <v>0</v>
      </c>
      <c r="AY45" s="5">
        <f>IFERROR(SUMIFS(BY_TRA!BG$2:BG$999,BY_TRA!$BJ$2:$BJ$999,Transport!$B45,BY_TRA!$BK$2:$BK$999,Transport!$C45)/SUMIFS(BY_TRA!BG$2:BG$999,BY_TRA!$BJ$2:$BJ$999,Transport!$B45),0)</f>
        <v>0</v>
      </c>
    </row>
    <row r="46" spans="2:51" ht="14.5">
      <c r="B46" t="s">
        <v>179</v>
      </c>
      <c r="C46" s="6" t="s">
        <v>182</v>
      </c>
      <c r="D46" s="5">
        <f>IFERROR(SUMIFS(BY_TRA!L$2:L$999,BY_TRA!$BJ$2:$BJ$999,Transport!$B46,BY_TRA!$BK$2:$BK$999,Transport!$C46)/SUMIFS(BY_TRA!L$2:L$999,BY_TRA!$BJ$2:$BJ$999,Transport!$B46),0)</f>
        <v>0.027888446215139449</v>
      </c>
      <c r="E46" s="5">
        <f>IFERROR(SUMIFS(BY_TRA!M$2:M$999,BY_TRA!$BJ$2:$BJ$999,Transport!$B46,BY_TRA!$BK$2:$BK$999,Transport!$C46)/SUMIFS(BY_TRA!M$2:M$999,BY_TRA!$BJ$2:$BJ$999,Transport!$B46),0)</f>
        <v>0</v>
      </c>
      <c r="F46" s="5">
        <f>IFERROR(SUMIFS(BY_TRA!N$2:N$999,BY_TRA!$BJ$2:$BJ$999,Transport!$B46,BY_TRA!$BK$2:$BK$999,Transport!$C46)/SUMIFS(BY_TRA!N$2:N$999,BY_TRA!$BJ$2:$BJ$999,Transport!$B46),0)</f>
        <v>0.014705882352941207</v>
      </c>
      <c r="G46" s="5">
        <f>IFERROR(SUMIFS(BY_TRA!O$2:O$999,BY_TRA!$BJ$2:$BJ$999,Transport!$B46,BY_TRA!$BK$2:$BK$999,Transport!$C46)/SUMIFS(BY_TRA!O$2:O$999,BY_TRA!$BJ$2:$BJ$999,Transport!$B46),0)</f>
        <v>0</v>
      </c>
      <c r="H46" s="5">
        <f>IFERROR(SUMIFS(BY_TRA!P$2:P$999,BY_TRA!$BJ$2:$BJ$999,Transport!$B46,BY_TRA!$BK$2:$BK$999,Transport!$C46)/SUMIFS(BY_TRA!P$2:P$999,BY_TRA!$BJ$2:$BJ$999,Transport!$B46),0)</f>
        <v>0</v>
      </c>
      <c r="I46" s="5">
        <f>IFERROR(SUMIFS(BY_TRA!Q$2:Q$999,BY_TRA!$BJ$2:$BJ$999,Transport!$B46,BY_TRA!$BK$2:$BK$999,Transport!$C46)/SUMIFS(BY_TRA!Q$2:Q$999,BY_TRA!$BJ$2:$BJ$999,Transport!$B46),0)</f>
        <v>0.039215686274509796</v>
      </c>
      <c r="J46" s="5">
        <f>IFERROR(SUMIFS(BY_TRA!R$2:R$999,BY_TRA!$BJ$2:$BJ$999,Transport!$B46,BY_TRA!$BK$2:$BK$999,Transport!$C46)/SUMIFS(BY_TRA!R$2:R$999,BY_TRA!$BJ$2:$BJ$999,Transport!$B46),0)</f>
        <v>0.093816631130063805</v>
      </c>
      <c r="K46" s="5">
        <f>IFERROR(SUMIFS(BY_TRA!S$2:S$999,BY_TRA!$BJ$2:$BJ$999,Transport!$B46,BY_TRA!$BK$2:$BK$999,Transport!$C46)/SUMIFS(BY_TRA!S$2:S$999,BY_TRA!$BJ$2:$BJ$999,Transport!$B46),0)</f>
        <v>0.22450572320499471</v>
      </c>
      <c r="L46" s="5">
        <f>IFERROR(SUMIFS(BY_TRA!T$2:T$999,BY_TRA!$BJ$2:$BJ$999,Transport!$B46,BY_TRA!$BK$2:$BK$999,Transport!$C46)/SUMIFS(BY_TRA!T$2:T$999,BY_TRA!$BJ$2:$BJ$999,Transport!$B46),0)</f>
        <v>0.043478260869565181</v>
      </c>
      <c r="M46" s="5">
        <f>IFERROR(SUMIFS(BY_TRA!U$2:U$999,BY_TRA!$BJ$2:$BJ$999,Transport!$B46,BY_TRA!$BK$2:$BK$999,Transport!$C46)/SUMIFS(BY_TRA!U$2:U$999,BY_TRA!$BJ$2:$BJ$999,Transport!$B46),0)</f>
        <v>0.10526315789473668</v>
      </c>
      <c r="N46" s="5">
        <f>IFERROR(SUMIFS(BY_TRA!V$2:V$999,BY_TRA!$BJ$2:$BJ$999,Transport!$B46,BY_TRA!$BK$2:$BK$999,Transport!$C46)/SUMIFS(BY_TRA!V$2:V$999,BY_TRA!$BJ$2:$BJ$999,Transport!$B46),0)</f>
        <v>0.033333333333333312</v>
      </c>
      <c r="O46" s="5">
        <f>IFERROR(SUMIFS(BY_TRA!W$2:W$999,BY_TRA!$BJ$2:$BJ$999,Transport!$B46,BY_TRA!$BK$2:$BK$999,Transport!$C46)/SUMIFS(BY_TRA!W$2:W$999,BY_TRA!$BJ$2:$BJ$999,Transport!$B46),0)</f>
        <v>0.039062499999999993</v>
      </c>
      <c r="P46" s="5">
        <f>IFERROR(SUMIFS(BY_TRA!X$2:X$999,BY_TRA!$BJ$2:$BJ$999,Transport!$B46,BY_TRA!$BK$2:$BK$999,Transport!$C46)/SUMIFS(BY_TRA!X$2:X$999,BY_TRA!$BJ$2:$BJ$999,Transport!$B46),0)</f>
        <v>0</v>
      </c>
      <c r="Q46" s="5">
        <f>IFERROR(SUMIFS(BY_TRA!Y$2:Y$999,BY_TRA!$BJ$2:$BJ$999,Transport!$B46,BY_TRA!$BK$2:$BK$999,Transport!$C46)/SUMIFS(BY_TRA!Y$2:Y$999,BY_TRA!$BJ$2:$BJ$999,Transport!$B46),0)</f>
        <v>0.083333333333333134</v>
      </c>
      <c r="R46" s="5">
        <f>IFERROR(SUMIFS(BY_TRA!Z$2:Z$999,BY_TRA!$BJ$2:$BJ$999,Transport!$B46,BY_TRA!$BK$2:$BK$999,Transport!$C46)/SUMIFS(BY_TRA!Z$2:Z$999,BY_TRA!$BJ$2:$BJ$999,Transport!$B46),0)</f>
        <v>0</v>
      </c>
      <c r="S46" s="5">
        <f>IFERROR(SUMIFS(BY_TRA!AA$2:AA$999,BY_TRA!$BJ$2:$BJ$999,Transport!$B46,BY_TRA!$BK$2:$BK$999,Transport!$C46)/SUMIFS(BY_TRA!AA$2:AA$999,BY_TRA!$BJ$2:$BJ$999,Transport!$B46),0)</f>
        <v>0.11933395004625347</v>
      </c>
      <c r="T46" s="5">
        <f>IFERROR(SUMIFS(BY_TRA!AB$2:AB$999,BY_TRA!$BJ$2:$BJ$999,Transport!$B46,BY_TRA!$BK$2:$BK$999,Transport!$C46)/SUMIFS(BY_TRA!AB$2:AB$999,BY_TRA!$BJ$2:$BJ$999,Transport!$B46),0)</f>
        <v>0</v>
      </c>
      <c r="U46" s="5">
        <f>IFERROR(SUMIFS(BY_TRA!AC$2:AC$999,BY_TRA!$BJ$2:$BJ$999,Transport!$B46,BY_TRA!$BK$2:$BK$999,Transport!$C46)/SUMIFS(BY_TRA!AC$2:AC$999,BY_TRA!$BJ$2:$BJ$999,Transport!$B46),0)</f>
        <v>0.21782178217821793</v>
      </c>
      <c r="V46" s="5">
        <f>IFERROR(SUMIFS(BY_TRA!AD$2:AD$999,BY_TRA!$BJ$2:$BJ$999,Transport!$B46,BY_TRA!$BK$2:$BK$999,Transport!$C46)/SUMIFS(BY_TRA!AD$2:AD$999,BY_TRA!$BJ$2:$BJ$999,Transport!$B46),0)</f>
        <v>0</v>
      </c>
      <c r="W46" s="5">
        <f>IFERROR(SUMIFS(BY_TRA!AE$2:AE$999,BY_TRA!$BJ$2:$BJ$999,Transport!$B46,BY_TRA!$BK$2:$BK$999,Transport!$C46)/SUMIFS(BY_TRA!AE$2:AE$999,BY_TRA!$BJ$2:$BJ$999,Transport!$B46),0)</f>
        <v>0.17745302713987482</v>
      </c>
      <c r="X46" s="5">
        <f>IFERROR(SUMIFS(BY_TRA!AF$2:AF$999,BY_TRA!$BJ$2:$BJ$999,Transport!$B46,BY_TRA!$BK$2:$BK$999,Transport!$C46)/SUMIFS(BY_TRA!AF$2:AF$999,BY_TRA!$BJ$2:$BJ$999,Transport!$B46),0)</f>
        <v>0.26006711409396027</v>
      </c>
      <c r="Y46" s="5">
        <f>IFERROR(SUMIFS(BY_TRA!AG$2:AG$999,BY_TRA!$BJ$2:$BJ$999,Transport!$B46,BY_TRA!$BK$2:$BK$999,Transport!$C46)/SUMIFS(BY_TRA!AG$2:AG$999,BY_TRA!$BJ$2:$BJ$999,Transport!$B46),0)</f>
        <v>0</v>
      </c>
      <c r="Z46" s="5">
        <f>IFERROR(SUMIFS(BY_TRA!AH$2:AH$999,BY_TRA!$BJ$2:$BJ$999,Transport!$B46,BY_TRA!$BK$2:$BK$999,Transport!$C46)/SUMIFS(BY_TRA!AH$2:AH$999,BY_TRA!$BJ$2:$BJ$999,Transport!$B46),0)</f>
        <v>0.11111111111111129</v>
      </c>
      <c r="AA46" s="5">
        <f>IFERROR(SUMIFS(BY_TRA!AI$2:AI$999,BY_TRA!$BJ$2:$BJ$999,Transport!$B46,BY_TRA!$BK$2:$BK$999,Transport!$C46)/SUMIFS(BY_TRA!AI$2:AI$999,BY_TRA!$BJ$2:$BJ$999,Transport!$B46),0)</f>
        <v>0.0090909090909090853</v>
      </c>
      <c r="AB46" s="5">
        <f>IFERROR(SUMIFS(BY_TRA!AJ$2:AJ$999,BY_TRA!$BJ$2:$BJ$999,Transport!$B46,BY_TRA!$BK$2:$BK$999,Transport!$C46)/SUMIFS(BY_TRA!AJ$2:AJ$999,BY_TRA!$BJ$2:$BJ$999,Transport!$B46),0)</f>
        <v>0.032774945375091055</v>
      </c>
      <c r="AC46" s="5">
        <f>IFERROR(SUMIFS(BY_TRA!AK$2:AK$999,BY_TRA!$BJ$2:$BJ$999,Transport!$B46,BY_TRA!$BK$2:$BK$999,Transport!$C46)/SUMIFS(BY_TRA!AK$2:AK$999,BY_TRA!$BJ$2:$BJ$999,Transport!$B46),0)</f>
        <v>0</v>
      </c>
      <c r="AD46" s="5">
        <f>IFERROR(SUMIFS(BY_TRA!AL$2:AL$999,BY_TRA!$BJ$2:$BJ$999,Transport!$B46,BY_TRA!$BK$2:$BK$999,Transport!$C46)/SUMIFS(BY_TRA!AL$2:AL$999,BY_TRA!$BJ$2:$BJ$999,Transport!$B46),0)</f>
        <v>0</v>
      </c>
      <c r="AE46" s="5">
        <f>IFERROR(SUMIFS(BY_TRA!AM$2:AM$999,BY_TRA!$BJ$2:$BJ$999,Transport!$B46,BY_TRA!$BK$2:$BK$999,Transport!$C46)/SUMIFS(BY_TRA!AM$2:AM$999,BY_TRA!$BJ$2:$BJ$999,Transport!$B46),0)</f>
        <v>0</v>
      </c>
      <c r="AF46" s="5">
        <f>IFERROR(SUMIFS(BY_TRA!AN$2:AN$999,BY_TRA!$BJ$2:$BJ$999,Transport!$B46,BY_TRA!$BK$2:$BK$999,Transport!$C46)/SUMIFS(BY_TRA!AN$2:AN$999,BY_TRA!$BJ$2:$BJ$999,Transport!$B46),0)</f>
        <v>0.049999999999999996</v>
      </c>
      <c r="AG46" s="5">
        <f>IFERROR(SUMIFS(BY_TRA!AO$2:AO$999,BY_TRA!$BJ$2:$BJ$999,Transport!$B46,BY_TRA!$BK$2:$BK$999,Transport!$C46)/SUMIFS(BY_TRA!AO$2:AO$999,BY_TRA!$BJ$2:$BJ$999,Transport!$B46),0)</f>
        <v>0.081081081081081044</v>
      </c>
      <c r="AH46" s="5">
        <f>IFERROR(SUMIFS(BY_TRA!AP$2:AP$999,BY_TRA!$BJ$2:$BJ$999,Transport!$B46,BY_TRA!$BK$2:$BK$999,Transport!$C46)/SUMIFS(BY_TRA!AP$2:AP$999,BY_TRA!$BJ$2:$BJ$999,Transport!$B46),0)</f>
        <v>0</v>
      </c>
      <c r="AI46" s="5">
        <f>IFERROR(SUMIFS(BY_TRA!AQ$2:AQ$999,BY_TRA!$BJ$2:$BJ$999,Transport!$B46,BY_TRA!$BK$2:$BK$999,Transport!$C46)/SUMIFS(BY_TRA!AQ$2:AQ$999,BY_TRA!$BJ$2:$BJ$999,Transport!$B46),0)</f>
        <v>0.0099009900990099271</v>
      </c>
      <c r="AJ46" s="5">
        <f>IFERROR(SUMIFS(BY_TRA!AR$2:AR$999,BY_TRA!$BJ$2:$BJ$999,Transport!$B46,BY_TRA!$BK$2:$BK$999,Transport!$C46)/SUMIFS(BY_TRA!AR$2:AR$999,BY_TRA!$BJ$2:$BJ$999,Transport!$B46),0)</f>
        <v>0</v>
      </c>
      <c r="AK46" s="5">
        <f>IFERROR(SUMIFS(BY_TRA!AS$2:AS$999,BY_TRA!$BJ$2:$BJ$999,Transport!$B46,BY_TRA!$BK$2:$BK$999,Transport!$C46)/SUMIFS(BY_TRA!AS$2:AS$999,BY_TRA!$BJ$2:$BJ$999,Transport!$B46),0)</f>
        <v>0</v>
      </c>
      <c r="AL46" s="5">
        <f>IFERROR(SUMIFS(BY_TRA!AT$2:AT$999,BY_TRA!$BJ$2:$BJ$999,Transport!$B46,BY_TRA!$BK$2:$BK$999,Transport!$C46)/SUMIFS(BY_TRA!AT$2:AT$999,BY_TRA!$BJ$2:$BJ$999,Transport!$B46),0)</f>
        <v>0.033898305084745763</v>
      </c>
      <c r="AM46" s="5">
        <f>IFERROR(SUMIFS(BY_TRA!AU$2:AU$999,BY_TRA!$BJ$2:$BJ$999,Transport!$B46,BY_TRA!$BK$2:$BK$999,Transport!$C46)/SUMIFS(BY_TRA!AU$2:AU$999,BY_TRA!$BJ$2:$BJ$999,Transport!$B46),0)</f>
        <v>0</v>
      </c>
      <c r="AN46" s="5">
        <f>IFERROR(SUMIFS(BY_TRA!AV$2:AV$999,BY_TRA!$BJ$2:$BJ$999,Transport!$B46,BY_TRA!$BK$2:$BK$999,Transport!$C46)/SUMIFS(BY_TRA!AV$2:AV$999,BY_TRA!$BJ$2:$BJ$999,Transport!$B46),0)</f>
        <v>0</v>
      </c>
      <c r="AO46" s="5">
        <f>IFERROR(SUMIFS(BY_TRA!AW$2:AW$999,BY_TRA!$BJ$2:$BJ$999,Transport!$B46,BY_TRA!$BK$2:$BK$999,Transport!$C46)/SUMIFS(BY_TRA!AW$2:AW$999,BY_TRA!$BJ$2:$BJ$999,Transport!$B46),0)</f>
        <v>0</v>
      </c>
      <c r="AP46" s="5">
        <f>IFERROR(SUMIFS(BY_TRA!AX$2:AX$999,BY_TRA!$BJ$2:$BJ$999,Transport!$B46,BY_TRA!$BK$2:$BK$999,Transport!$C46)/SUMIFS(BY_TRA!AX$2:AX$999,BY_TRA!$BJ$2:$BJ$999,Transport!$B46),0)</f>
        <v>0</v>
      </c>
      <c r="AQ46" s="5">
        <f>IFERROR(SUMIFS(BY_TRA!AY$2:AY$999,BY_TRA!$BJ$2:$BJ$999,Transport!$B46,BY_TRA!$BK$2:$BK$999,Transport!$C46)/SUMIFS(BY_TRA!AY$2:AY$999,BY_TRA!$BJ$2:$BJ$999,Transport!$B46),0)</f>
        <v>0</v>
      </c>
      <c r="AR46" s="5">
        <f>IFERROR(SUMIFS(BY_TRA!AZ$2:AZ$999,BY_TRA!$BJ$2:$BJ$999,Transport!$B46,BY_TRA!$BK$2:$BK$999,Transport!$C46)/SUMIFS(BY_TRA!AZ$2:AZ$999,BY_TRA!$BJ$2:$BJ$999,Transport!$B46),0)</f>
        <v>0</v>
      </c>
      <c r="AS46" s="5">
        <f>IFERROR(SUMIFS(BY_TRA!BA$2:BA$999,BY_TRA!$BJ$2:$BJ$999,Transport!$B46,BY_TRA!$BK$2:$BK$999,Transport!$C46)/SUMIFS(BY_TRA!BA$2:BA$999,BY_TRA!$BJ$2:$BJ$999,Transport!$B46),0)</f>
        <v>0</v>
      </c>
      <c r="AT46" s="5">
        <f>IFERROR(SUMIFS(BY_TRA!BB$2:BB$999,BY_TRA!$BJ$2:$BJ$999,Transport!$B46,BY_TRA!$BK$2:$BK$999,Transport!$C46)/SUMIFS(BY_TRA!BB$2:BB$999,BY_TRA!$BJ$2:$BJ$999,Transport!$B46),0)</f>
        <v>0</v>
      </c>
      <c r="AU46" s="5">
        <f>IFERROR(SUMIFS(BY_TRA!BC$2:BC$999,BY_TRA!$BJ$2:$BJ$999,Transport!$B46,BY_TRA!$BK$2:$BK$999,Transport!$C46)/SUMIFS(BY_TRA!BC$2:BC$999,BY_TRA!$BJ$2:$BJ$999,Transport!$B46),0)</f>
        <v>0</v>
      </c>
      <c r="AV46" s="5">
        <f>IFERROR(SUMIFS(BY_TRA!BD$2:BD$999,BY_TRA!$BJ$2:$BJ$999,Transport!$B46,BY_TRA!$BK$2:$BK$999,Transport!$C46)/SUMIFS(BY_TRA!BD$2:BD$999,BY_TRA!$BJ$2:$BJ$999,Transport!$B46),0)</f>
        <v>0</v>
      </c>
      <c r="AW46" s="5">
        <f>IFERROR(SUMIFS(BY_TRA!BE$2:BE$999,BY_TRA!$BJ$2:$BJ$999,Transport!$B46,BY_TRA!$BK$2:$BK$999,Transport!$C46)/SUMIFS(BY_TRA!BE$2:BE$999,BY_TRA!$BJ$2:$BJ$999,Transport!$B46),0)</f>
        <v>0</v>
      </c>
      <c r="AX46" s="5">
        <f>IFERROR(SUMIFS(BY_TRA!BF$2:BF$999,BY_TRA!$BJ$2:$BJ$999,Transport!$B46,BY_TRA!$BK$2:$BK$999,Transport!$C46)/SUMIFS(BY_TRA!BF$2:BF$999,BY_TRA!$BJ$2:$BJ$999,Transport!$B46),0)</f>
        <v>0</v>
      </c>
      <c r="AY46" s="5">
        <f>IFERROR(SUMIFS(BY_TRA!BG$2:BG$999,BY_TRA!$BJ$2:$BJ$999,Transport!$B46,BY_TRA!$BK$2:$BK$999,Transport!$C46)/SUMIFS(BY_TRA!BG$2:BG$999,BY_TRA!$BJ$2:$BJ$999,Transport!$B46),0)</f>
        <v>0</v>
      </c>
    </row>
    <row r="47" spans="2:51" ht="14.5">
      <c r="B47" t="s">
        <v>183</v>
      </c>
      <c r="C47" t="s">
        <v>177</v>
      </c>
      <c r="D47" s="5">
        <f>IFERROR(SUMIFS(BY_TRA!L$2:L$999,BY_TRA!$BJ$2:$BJ$999,Transport!$B47,BY_TRA!$BK$2:$BK$999,Transport!$C47)/SUMIFS(BY_TRA!L$2:L$999,BY_TRA!$BJ$2:$BJ$999,Transport!$B47),0)</f>
        <v>0</v>
      </c>
      <c r="E47" s="5">
        <f>IFERROR(SUMIFS(BY_TRA!M$2:M$999,BY_TRA!$BJ$2:$BJ$999,Transport!$B47,BY_TRA!$BK$2:$BK$999,Transport!$C47)/SUMIFS(BY_TRA!M$2:M$999,BY_TRA!$BJ$2:$BJ$999,Transport!$B47),0)</f>
        <v>0</v>
      </c>
      <c r="F47" s="5">
        <f>IFERROR(SUMIFS(BY_TRA!N$2:N$999,BY_TRA!$BJ$2:$BJ$999,Transport!$B47,BY_TRA!$BK$2:$BK$999,Transport!$C47)/SUMIFS(BY_TRA!N$2:N$999,BY_TRA!$BJ$2:$BJ$999,Transport!$B47),0)</f>
        <v>0</v>
      </c>
      <c r="G47" s="5">
        <f>IFERROR(SUMIFS(BY_TRA!O$2:O$999,BY_TRA!$BJ$2:$BJ$999,Transport!$B47,BY_TRA!$BK$2:$BK$999,Transport!$C47)/SUMIFS(BY_TRA!O$2:O$999,BY_TRA!$BJ$2:$BJ$999,Transport!$B47),0)</f>
        <v>0.03026948019961731</v>
      </c>
      <c r="H47" s="5">
        <f>IFERROR(SUMIFS(BY_TRA!P$2:P$999,BY_TRA!$BJ$2:$BJ$999,Transport!$B47,BY_TRA!$BK$2:$BK$999,Transport!$C47)/SUMIFS(BY_TRA!P$2:P$999,BY_TRA!$BJ$2:$BJ$999,Transport!$B47),0)</f>
        <v>0.008176614881439094</v>
      </c>
      <c r="I47" s="5">
        <f>IFERROR(SUMIFS(BY_TRA!Q$2:Q$999,BY_TRA!$BJ$2:$BJ$999,Transport!$B47,BY_TRA!$BK$2:$BK$999,Transport!$C47)/SUMIFS(BY_TRA!Q$2:Q$999,BY_TRA!$BJ$2:$BJ$999,Transport!$B47),0)</f>
        <v>0.019843647010534038</v>
      </c>
      <c r="J47" s="5">
        <f>IFERROR(SUMIFS(BY_TRA!R$2:R$999,BY_TRA!$BJ$2:$BJ$999,Transport!$B47,BY_TRA!$BK$2:$BK$999,Transport!$C47)/SUMIFS(BY_TRA!R$2:R$999,BY_TRA!$BJ$2:$BJ$999,Transport!$B47),0)</f>
        <v>0.051124349410458743</v>
      </c>
      <c r="K47" s="5">
        <f>IFERROR(SUMIFS(BY_TRA!S$2:S$999,BY_TRA!$BJ$2:$BJ$999,Transport!$B47,BY_TRA!$BK$2:$BK$999,Transport!$C47)/SUMIFS(BY_TRA!S$2:S$999,BY_TRA!$BJ$2:$BJ$999,Transport!$B47),0)</f>
        <v>0.00029524836114676464</v>
      </c>
      <c r="L47" s="5">
        <f>IFERROR(SUMIFS(BY_TRA!T$2:T$999,BY_TRA!$BJ$2:$BJ$999,Transport!$B47,BY_TRA!$BK$2:$BK$999,Transport!$C47)/SUMIFS(BY_TRA!T$2:T$999,BY_TRA!$BJ$2:$BJ$999,Transport!$B47),0)</f>
        <v>0.022526146419951723</v>
      </c>
      <c r="M47" s="5">
        <f>IFERROR(SUMIFS(BY_TRA!U$2:U$999,BY_TRA!$BJ$2:$BJ$999,Transport!$B47,BY_TRA!$BK$2:$BK$999,Transport!$C47)/SUMIFS(BY_TRA!U$2:U$999,BY_TRA!$BJ$2:$BJ$999,Transport!$B47),0)</f>
        <v>0.026434094587304457</v>
      </c>
      <c r="N47" s="5">
        <f>IFERROR(SUMIFS(BY_TRA!V$2:V$999,BY_TRA!$BJ$2:$BJ$999,Transport!$B47,BY_TRA!$BK$2:$BK$999,Transport!$C47)/SUMIFS(BY_TRA!V$2:V$999,BY_TRA!$BJ$2:$BJ$999,Transport!$B47),0)</f>
        <v>0.035881452029181728</v>
      </c>
      <c r="O47" s="5">
        <f>IFERROR(SUMIFS(BY_TRA!W$2:W$999,BY_TRA!$BJ$2:$BJ$999,Transport!$B47,BY_TRA!$BK$2:$BK$999,Transport!$C47)/SUMIFS(BY_TRA!W$2:W$999,BY_TRA!$BJ$2:$BJ$999,Transport!$B47),0)</f>
        <v>0.016357225673243301</v>
      </c>
      <c r="P47" s="5">
        <f>IFERROR(SUMIFS(BY_TRA!X$2:X$999,BY_TRA!$BJ$2:$BJ$999,Transport!$B47,BY_TRA!$BK$2:$BK$999,Transport!$C47)/SUMIFS(BY_TRA!X$2:X$999,BY_TRA!$BJ$2:$BJ$999,Transport!$B47),0)</f>
        <v>0.011230837478706741</v>
      </c>
      <c r="Q47" s="5">
        <f>IFERROR(SUMIFS(BY_TRA!Y$2:Y$999,BY_TRA!$BJ$2:$BJ$999,Transport!$B47,BY_TRA!$BK$2:$BK$999,Transport!$C47)/SUMIFS(BY_TRA!Y$2:Y$999,BY_TRA!$BJ$2:$BJ$999,Transport!$B47),0)</f>
        <v>0.025179458862506891</v>
      </c>
      <c r="R47" s="5">
        <f>IFERROR(SUMIFS(BY_TRA!Z$2:Z$999,BY_TRA!$BJ$2:$BJ$999,Transport!$B47,BY_TRA!$BK$2:$BK$999,Transport!$C47)/SUMIFS(BY_TRA!Z$2:Z$999,BY_TRA!$BJ$2:$BJ$999,Transport!$B47),0)</f>
        <v>0.019920396652510837</v>
      </c>
      <c r="S47" s="5">
        <f>IFERROR(SUMIFS(BY_TRA!AA$2:AA$999,BY_TRA!$BJ$2:$BJ$999,Transport!$B47,BY_TRA!$BK$2:$BK$999,Transport!$C47)/SUMIFS(BY_TRA!AA$2:AA$999,BY_TRA!$BJ$2:$BJ$999,Transport!$B47),0)</f>
        <v>0.00027401595378445887</v>
      </c>
      <c r="T47" s="5">
        <f>IFERROR(SUMIFS(BY_TRA!AB$2:AB$999,BY_TRA!$BJ$2:$BJ$999,Transport!$B47,BY_TRA!$BK$2:$BK$999,Transport!$C47)/SUMIFS(BY_TRA!AB$2:AB$999,BY_TRA!$BJ$2:$BJ$999,Transport!$B47),0)</f>
        <v>0.02554278416347381</v>
      </c>
      <c r="U47" s="5">
        <f>IFERROR(SUMIFS(BY_TRA!AC$2:AC$999,BY_TRA!$BJ$2:$BJ$999,Transport!$B47,BY_TRA!$BK$2:$BK$999,Transport!$C47)/SUMIFS(BY_TRA!AC$2:AC$999,BY_TRA!$BJ$2:$BJ$999,Transport!$B47),0)</f>
        <v>0.019236436225319703</v>
      </c>
      <c r="V47" s="5">
        <f>IFERROR(SUMIFS(BY_TRA!AD$2:AD$999,BY_TRA!$BJ$2:$BJ$999,Transport!$B47,BY_TRA!$BK$2:$BK$999,Transport!$C47)/SUMIFS(BY_TRA!AD$2:AD$999,BY_TRA!$BJ$2:$BJ$999,Transport!$B47),0)</f>
        <v>1.7385175886579248E-05</v>
      </c>
      <c r="W47" s="5">
        <f>IFERROR(SUMIFS(BY_TRA!AE$2:AE$999,BY_TRA!$BJ$2:$BJ$999,Transport!$B47,BY_TRA!$BK$2:$BK$999,Transport!$C47)/SUMIFS(BY_TRA!AE$2:AE$999,BY_TRA!$BJ$2:$BJ$999,Transport!$B47),0)</f>
        <v>0.0033831084745960562</v>
      </c>
      <c r="X47" s="5">
        <f>IFERROR(SUMIFS(BY_TRA!AF$2:AF$999,BY_TRA!$BJ$2:$BJ$999,Transport!$B47,BY_TRA!$BK$2:$BK$999,Transport!$C47)/SUMIFS(BY_TRA!AF$2:AF$999,BY_TRA!$BJ$2:$BJ$999,Transport!$B47),0)</f>
        <v>0</v>
      </c>
      <c r="Y47" s="5">
        <f>IFERROR(SUMIFS(BY_TRA!AG$2:AG$999,BY_TRA!$BJ$2:$BJ$999,Transport!$B47,BY_TRA!$BK$2:$BK$999,Transport!$C47)/SUMIFS(BY_TRA!AG$2:AG$999,BY_TRA!$BJ$2:$BJ$999,Transport!$B47),0)</f>
        <v>0.00037244249040691002</v>
      </c>
      <c r="Z47" s="5">
        <f>IFERROR(SUMIFS(BY_TRA!AH$2:AH$999,BY_TRA!$BJ$2:$BJ$999,Transport!$B47,BY_TRA!$BK$2:$BK$999,Transport!$C47)/SUMIFS(BY_TRA!AH$2:AH$999,BY_TRA!$BJ$2:$BJ$999,Transport!$B47),0)</f>
        <v>0.058520678350664962</v>
      </c>
      <c r="AA47" s="5">
        <f>IFERROR(SUMIFS(BY_TRA!AI$2:AI$999,BY_TRA!$BJ$2:$BJ$999,Transport!$B47,BY_TRA!$BK$2:$BK$999,Transport!$C47)/SUMIFS(BY_TRA!AI$2:AI$999,BY_TRA!$BJ$2:$BJ$999,Transport!$B47),0)</f>
        <v>0.021694609840976507</v>
      </c>
      <c r="AB47" s="5">
        <f>IFERROR(SUMIFS(BY_TRA!AJ$2:AJ$999,BY_TRA!$BJ$2:$BJ$999,Transport!$B47,BY_TRA!$BK$2:$BK$999,Transport!$C47)/SUMIFS(BY_TRA!AJ$2:AJ$999,BY_TRA!$BJ$2:$BJ$999,Transport!$B47),0)</f>
        <v>0.0076982856227870719</v>
      </c>
      <c r="AC47" s="5">
        <f>IFERROR(SUMIFS(BY_TRA!AK$2:AK$999,BY_TRA!$BJ$2:$BJ$999,Transport!$B47,BY_TRA!$BK$2:$BK$999,Transport!$C47)/SUMIFS(BY_TRA!AK$2:AK$999,BY_TRA!$BJ$2:$BJ$999,Transport!$B47),0)</f>
        <v>0</v>
      </c>
      <c r="AD47" s="5">
        <f>IFERROR(SUMIFS(BY_TRA!AL$2:AL$999,BY_TRA!$BJ$2:$BJ$999,Transport!$B47,BY_TRA!$BK$2:$BK$999,Transport!$C47)/SUMIFS(BY_TRA!AL$2:AL$999,BY_TRA!$BJ$2:$BJ$999,Transport!$B47),0)</f>
        <v>0</v>
      </c>
      <c r="AE47" s="5">
        <f>IFERROR(SUMIFS(BY_TRA!AM$2:AM$999,BY_TRA!$BJ$2:$BJ$999,Transport!$B47,BY_TRA!$BK$2:$BK$999,Transport!$C47)/SUMIFS(BY_TRA!AM$2:AM$999,BY_TRA!$BJ$2:$BJ$999,Transport!$B47),0)</f>
        <v>0</v>
      </c>
      <c r="AF47" s="5">
        <f>IFERROR(SUMIFS(BY_TRA!AN$2:AN$999,BY_TRA!$BJ$2:$BJ$999,Transport!$B47,BY_TRA!$BK$2:$BK$999,Transport!$C47)/SUMIFS(BY_TRA!AN$2:AN$999,BY_TRA!$BJ$2:$BJ$999,Transport!$B47),0)</f>
        <v>0.030985209476591002</v>
      </c>
      <c r="AG47" s="5">
        <f>IFERROR(SUMIFS(BY_TRA!AO$2:AO$999,BY_TRA!$BJ$2:$BJ$999,Transport!$B47,BY_TRA!$BK$2:$BK$999,Transport!$C47)/SUMIFS(BY_TRA!AO$2:AO$999,BY_TRA!$BJ$2:$BJ$999,Transport!$B47),0)</f>
        <v>0.055242429833839993</v>
      </c>
      <c r="AH47" s="5">
        <f>IFERROR(SUMIFS(BY_TRA!AP$2:AP$999,BY_TRA!$BJ$2:$BJ$999,Transport!$B47,BY_TRA!$BK$2:$BK$999,Transport!$C47)/SUMIFS(BY_TRA!AP$2:AP$999,BY_TRA!$BJ$2:$BJ$999,Transport!$B47),0)</f>
        <v>0.011079628887939069</v>
      </c>
      <c r="AI47" s="5">
        <f>IFERROR(SUMIFS(BY_TRA!AQ$2:AQ$999,BY_TRA!$BJ$2:$BJ$999,Transport!$B47,BY_TRA!$BK$2:$BK$999,Transport!$C47)/SUMIFS(BY_TRA!AQ$2:AQ$999,BY_TRA!$BJ$2:$BJ$999,Transport!$B47),0)</f>
        <v>0.002084305246218064</v>
      </c>
      <c r="AJ47" s="5">
        <f>IFERROR(SUMIFS(BY_TRA!AR$2:AR$999,BY_TRA!$BJ$2:$BJ$999,Transport!$B47,BY_TRA!$BK$2:$BK$999,Transport!$C47)/SUMIFS(BY_TRA!AR$2:AR$999,BY_TRA!$BJ$2:$BJ$999,Transport!$B47),0)</f>
        <v>0.015608835589565289</v>
      </c>
      <c r="AK47" s="5">
        <f>IFERROR(SUMIFS(BY_TRA!AS$2:AS$999,BY_TRA!$BJ$2:$BJ$999,Transport!$B47,BY_TRA!$BK$2:$BK$999,Transport!$C47)/SUMIFS(BY_TRA!AS$2:AS$999,BY_TRA!$BJ$2:$BJ$999,Transport!$B47),0)</f>
        <v>0</v>
      </c>
      <c r="AL47" s="5">
        <f>IFERROR(SUMIFS(BY_TRA!AT$2:AT$999,BY_TRA!$BJ$2:$BJ$999,Transport!$B47,BY_TRA!$BK$2:$BK$999,Transport!$C47)/SUMIFS(BY_TRA!AT$2:AT$999,BY_TRA!$BJ$2:$BJ$999,Transport!$B47),0)</f>
        <v>0.013447432762836156</v>
      </c>
      <c r="AM47" s="5">
        <f>IFERROR(SUMIFS(BY_TRA!AU$2:AU$999,BY_TRA!$BJ$2:$BJ$999,Transport!$B47,BY_TRA!$BK$2:$BK$999,Transport!$C47)/SUMIFS(BY_TRA!AU$2:AU$999,BY_TRA!$BJ$2:$BJ$999,Transport!$B47),0)</f>
        <v>0</v>
      </c>
      <c r="AN47" s="5">
        <f>IFERROR(SUMIFS(BY_TRA!AV$2:AV$999,BY_TRA!$BJ$2:$BJ$999,Transport!$B47,BY_TRA!$BK$2:$BK$999,Transport!$C47)/SUMIFS(BY_TRA!AV$2:AV$999,BY_TRA!$BJ$2:$BJ$999,Transport!$B47),0)</f>
        <v>0</v>
      </c>
      <c r="AO47" s="5">
        <f>IFERROR(SUMIFS(BY_TRA!AW$2:AW$999,BY_TRA!$BJ$2:$BJ$999,Transport!$B47,BY_TRA!$BK$2:$BK$999,Transport!$C47)/SUMIFS(BY_TRA!AW$2:AW$999,BY_TRA!$BJ$2:$BJ$999,Transport!$B47),0)</f>
        <v>0</v>
      </c>
      <c r="AP47" s="5">
        <f>IFERROR(SUMIFS(BY_TRA!AX$2:AX$999,BY_TRA!$BJ$2:$BJ$999,Transport!$B47,BY_TRA!$BK$2:$BK$999,Transport!$C47)/SUMIFS(BY_TRA!AX$2:AX$999,BY_TRA!$BJ$2:$BJ$999,Transport!$B47),0)</f>
        <v>0</v>
      </c>
      <c r="AQ47" s="5">
        <f>IFERROR(SUMIFS(BY_TRA!AY$2:AY$999,BY_TRA!$BJ$2:$BJ$999,Transport!$B47,BY_TRA!$BK$2:$BK$999,Transport!$C47)/SUMIFS(BY_TRA!AY$2:AY$999,BY_TRA!$BJ$2:$BJ$999,Transport!$B47),0)</f>
        <v>0</v>
      </c>
      <c r="AR47" s="5">
        <f>IFERROR(SUMIFS(BY_TRA!AZ$2:AZ$999,BY_TRA!$BJ$2:$BJ$999,Transport!$B47,BY_TRA!$BK$2:$BK$999,Transport!$C47)/SUMIFS(BY_TRA!AZ$2:AZ$999,BY_TRA!$BJ$2:$BJ$999,Transport!$B47),0)</f>
        <v>0</v>
      </c>
      <c r="AS47" s="5">
        <f>IFERROR(SUMIFS(BY_TRA!BA$2:BA$999,BY_TRA!$BJ$2:$BJ$999,Transport!$B47,BY_TRA!$BK$2:$BK$999,Transport!$C47)/SUMIFS(BY_TRA!BA$2:BA$999,BY_TRA!$BJ$2:$BJ$999,Transport!$B47),0)</f>
        <v>0</v>
      </c>
      <c r="AT47" s="5">
        <f>IFERROR(SUMIFS(BY_TRA!BB$2:BB$999,BY_TRA!$BJ$2:$BJ$999,Transport!$B47,BY_TRA!$BK$2:$BK$999,Transport!$C47)/SUMIFS(BY_TRA!BB$2:BB$999,BY_TRA!$BJ$2:$BJ$999,Transport!$B47),0)</f>
        <v>0</v>
      </c>
      <c r="AU47" s="5">
        <f>IFERROR(SUMIFS(BY_TRA!BC$2:BC$999,BY_TRA!$BJ$2:$BJ$999,Transport!$B47,BY_TRA!$BK$2:$BK$999,Transport!$C47)/SUMIFS(BY_TRA!BC$2:BC$999,BY_TRA!$BJ$2:$BJ$999,Transport!$B47),0)</f>
        <v>0</v>
      </c>
      <c r="AV47" s="5">
        <f>IFERROR(SUMIFS(BY_TRA!BD$2:BD$999,BY_TRA!$BJ$2:$BJ$999,Transport!$B47,BY_TRA!$BK$2:$BK$999,Transport!$C47)/SUMIFS(BY_TRA!BD$2:BD$999,BY_TRA!$BJ$2:$BJ$999,Transport!$B47),0)</f>
        <v>0</v>
      </c>
      <c r="AW47" s="5">
        <f>IFERROR(SUMIFS(BY_TRA!BE$2:BE$999,BY_TRA!$BJ$2:$BJ$999,Transport!$B47,BY_TRA!$BK$2:$BK$999,Transport!$C47)/SUMIFS(BY_TRA!BE$2:BE$999,BY_TRA!$BJ$2:$BJ$999,Transport!$B47),0)</f>
        <v>0</v>
      </c>
      <c r="AX47" s="5">
        <f>IFERROR(SUMIFS(BY_TRA!BF$2:BF$999,BY_TRA!$BJ$2:$BJ$999,Transport!$B47,BY_TRA!$BK$2:$BK$999,Transport!$C47)/SUMIFS(BY_TRA!BF$2:BF$999,BY_TRA!$BJ$2:$BJ$999,Transport!$B47),0)</f>
        <v>0</v>
      </c>
      <c r="AY47" s="5">
        <f>IFERROR(SUMIFS(BY_TRA!BG$2:BG$999,BY_TRA!$BJ$2:$BJ$999,Transport!$B47,BY_TRA!$BK$2:$BK$999,Transport!$C47)/SUMIFS(BY_TRA!BG$2:BG$999,BY_TRA!$BJ$2:$BJ$999,Transport!$B47),0)</f>
        <v>0</v>
      </c>
    </row>
    <row r="48" spans="2:51" ht="14.5">
      <c r="B48" t="s">
        <v>183</v>
      </c>
      <c r="C48" t="s">
        <v>178</v>
      </c>
      <c r="D48" s="5">
        <f>IFERROR(SUMIFS(BY_TRA!L$2:L$999,BY_TRA!$BJ$2:$BJ$999,Transport!$B48,BY_TRA!$BK$2:$BK$999,Transport!$C48)/SUMIFS(BY_TRA!L$2:L$999,BY_TRA!$BJ$2:$BJ$999,Transport!$B48),0)</f>
        <v>0.22871842843779236</v>
      </c>
      <c r="E48" s="5">
        <f>IFERROR(SUMIFS(BY_TRA!M$2:M$999,BY_TRA!$BJ$2:$BJ$999,Transport!$B48,BY_TRA!$BK$2:$BK$999,Transport!$C48)/SUMIFS(BY_TRA!M$2:M$999,BY_TRA!$BJ$2:$BJ$999,Transport!$B48),0)</f>
        <v>0.14067456464038305</v>
      </c>
      <c r="F48" s="5">
        <f>IFERROR(SUMIFS(BY_TRA!N$2:N$999,BY_TRA!$BJ$2:$BJ$999,Transport!$B48,BY_TRA!$BK$2:$BK$999,Transport!$C48)/SUMIFS(BY_TRA!N$2:N$999,BY_TRA!$BJ$2:$BJ$999,Transport!$B48),0)</f>
        <v>0.024853495016137032</v>
      </c>
      <c r="G48" s="5">
        <f>IFERROR(SUMIFS(BY_TRA!O$2:O$999,BY_TRA!$BJ$2:$BJ$999,Transport!$B48,BY_TRA!$BK$2:$BK$999,Transport!$C48)/SUMIFS(BY_TRA!O$2:O$999,BY_TRA!$BJ$2:$BJ$999,Transport!$B48),0)</f>
        <v>0.43861826403904086</v>
      </c>
      <c r="H48" s="5">
        <f>IFERROR(SUMIFS(BY_TRA!P$2:P$999,BY_TRA!$BJ$2:$BJ$999,Transport!$B48,BY_TRA!$BK$2:$BK$999,Transport!$C48)/SUMIFS(BY_TRA!P$2:P$999,BY_TRA!$BJ$2:$BJ$999,Transport!$B48),0)</f>
        <v>0.21831561733442373</v>
      </c>
      <c r="I48" s="5">
        <f>IFERROR(SUMIFS(BY_TRA!Q$2:Q$999,BY_TRA!$BJ$2:$BJ$999,Transport!$B48,BY_TRA!$BK$2:$BK$999,Transport!$C48)/SUMIFS(BY_TRA!Q$2:Q$999,BY_TRA!$BJ$2:$BJ$999,Transport!$B48),0)</f>
        <v>0.29441866426090824</v>
      </c>
      <c r="J48" s="5">
        <f>IFERROR(SUMIFS(BY_TRA!R$2:R$999,BY_TRA!$BJ$2:$BJ$999,Transport!$B48,BY_TRA!$BK$2:$BK$999,Transport!$C48)/SUMIFS(BY_TRA!R$2:R$999,BY_TRA!$BJ$2:$BJ$999,Transport!$B48),0)</f>
        <v>0.11276217390129406</v>
      </c>
      <c r="K48" s="5">
        <f>IFERROR(SUMIFS(BY_TRA!S$2:S$999,BY_TRA!$BJ$2:$BJ$999,Transport!$B48,BY_TRA!$BK$2:$BK$999,Transport!$C48)/SUMIFS(BY_TRA!S$2:S$999,BY_TRA!$BJ$2:$BJ$999,Transport!$B48),0)</f>
        <v>0.030236384665040153</v>
      </c>
      <c r="L48" s="5">
        <f>IFERROR(SUMIFS(BY_TRA!T$2:T$999,BY_TRA!$BJ$2:$BJ$999,Transport!$B48,BY_TRA!$BK$2:$BK$999,Transport!$C48)/SUMIFS(BY_TRA!T$2:T$999,BY_TRA!$BJ$2:$BJ$999,Transport!$B48),0)</f>
        <v>0.42638777152051466</v>
      </c>
      <c r="M48" s="5">
        <f>IFERROR(SUMIFS(BY_TRA!U$2:U$999,BY_TRA!$BJ$2:$BJ$999,Transport!$B48,BY_TRA!$BK$2:$BK$999,Transport!$C48)/SUMIFS(BY_TRA!U$2:U$999,BY_TRA!$BJ$2:$BJ$999,Transport!$B48),0)</f>
        <v>0.40837978780794848</v>
      </c>
      <c r="N48" s="5">
        <f>IFERROR(SUMIFS(BY_TRA!V$2:V$999,BY_TRA!$BJ$2:$BJ$999,Transport!$B48,BY_TRA!$BK$2:$BK$999,Transport!$C48)/SUMIFS(BY_TRA!V$2:V$999,BY_TRA!$BJ$2:$BJ$999,Transport!$B48),0)</f>
        <v>0.43651908414856178</v>
      </c>
      <c r="O48" s="5">
        <f>IFERROR(SUMIFS(BY_TRA!W$2:W$999,BY_TRA!$BJ$2:$BJ$999,Transport!$B48,BY_TRA!$BK$2:$BK$999,Transport!$C48)/SUMIFS(BY_TRA!W$2:W$999,BY_TRA!$BJ$2:$BJ$999,Transport!$B48),0)</f>
        <v>0.28716801796172392</v>
      </c>
      <c r="P48" s="5">
        <f>IFERROR(SUMIFS(BY_TRA!X$2:X$999,BY_TRA!$BJ$2:$BJ$999,Transport!$B48,BY_TRA!$BK$2:$BK$999,Transport!$C48)/SUMIFS(BY_TRA!X$2:X$999,BY_TRA!$BJ$2:$BJ$999,Transport!$B48),0)</f>
        <v>0.17612805442797247</v>
      </c>
      <c r="Q48" s="5">
        <f>IFERROR(SUMIFS(BY_TRA!Y$2:Y$999,BY_TRA!$BJ$2:$BJ$999,Transport!$B48,BY_TRA!$BK$2:$BK$999,Transport!$C48)/SUMIFS(BY_TRA!Y$2:Y$999,BY_TRA!$BJ$2:$BJ$999,Transport!$B48),0)</f>
        <v>0.39127553837658746</v>
      </c>
      <c r="R48" s="5">
        <f>IFERROR(SUMIFS(BY_TRA!Z$2:Z$999,BY_TRA!$BJ$2:$BJ$999,Transport!$B48,BY_TRA!$BK$2:$BK$999,Transport!$C48)/SUMIFS(BY_TRA!Z$2:Z$999,BY_TRA!$BJ$2:$BJ$999,Transport!$B48),0)</f>
        <v>0.22576449539512286</v>
      </c>
      <c r="S48" s="5">
        <f>IFERROR(SUMIFS(BY_TRA!AA$2:AA$999,BY_TRA!$BJ$2:$BJ$999,Transport!$B48,BY_TRA!$BK$2:$BK$999,Transport!$C48)/SUMIFS(BY_TRA!AA$2:AA$999,BY_TRA!$BJ$2:$BJ$999,Transport!$B48),0)</f>
        <v>0.42297524189174901</v>
      </c>
      <c r="T48" s="5">
        <f>IFERROR(SUMIFS(BY_TRA!AB$2:AB$999,BY_TRA!$BJ$2:$BJ$999,Transport!$B48,BY_TRA!$BK$2:$BK$999,Transport!$C48)/SUMIFS(BY_TRA!AB$2:AB$999,BY_TRA!$BJ$2:$BJ$999,Transport!$B48),0)</f>
        <v>0.46189868028948461</v>
      </c>
      <c r="U48" s="5">
        <f>IFERROR(SUMIFS(BY_TRA!AC$2:AC$999,BY_TRA!$BJ$2:$BJ$999,Transport!$B48,BY_TRA!$BK$2:$BK$999,Transport!$C48)/SUMIFS(BY_TRA!AC$2:AC$999,BY_TRA!$BJ$2:$BJ$999,Transport!$B48),0)</f>
        <v>0.32888904786097367</v>
      </c>
      <c r="V48" s="5">
        <f>IFERROR(SUMIFS(BY_TRA!AD$2:AD$999,BY_TRA!$BJ$2:$BJ$999,Transport!$B48,BY_TRA!$BK$2:$BK$999,Transport!$C48)/SUMIFS(BY_TRA!AD$2:AD$999,BY_TRA!$BJ$2:$BJ$999,Transport!$B48),0)</f>
        <v>0.034561729662519525</v>
      </c>
      <c r="W48" s="5">
        <f>IFERROR(SUMIFS(BY_TRA!AE$2:AE$999,BY_TRA!$BJ$2:$BJ$999,Transport!$B48,BY_TRA!$BK$2:$BK$999,Transport!$C48)/SUMIFS(BY_TRA!AE$2:AE$999,BY_TRA!$BJ$2:$BJ$999,Transport!$B48),0)</f>
        <v>0.067257992815752565</v>
      </c>
      <c r="X48" s="5">
        <f>IFERROR(SUMIFS(BY_TRA!AF$2:AF$999,BY_TRA!$BJ$2:$BJ$999,Transport!$B48,BY_TRA!$BK$2:$BK$999,Transport!$C48)/SUMIFS(BY_TRA!AF$2:AF$999,BY_TRA!$BJ$2:$BJ$999,Transport!$B48),0)</f>
        <v>0.08691530039349965</v>
      </c>
      <c r="Y48" s="5">
        <f>IFERROR(SUMIFS(BY_TRA!AG$2:AG$999,BY_TRA!$BJ$2:$BJ$999,Transport!$B48,BY_TRA!$BK$2:$BK$999,Transport!$C48)/SUMIFS(BY_TRA!AG$2:AG$999,BY_TRA!$BJ$2:$BJ$999,Transport!$B48),0)</f>
        <v>0.011448374278985138</v>
      </c>
      <c r="Z48" s="5">
        <f>IFERROR(SUMIFS(BY_TRA!AH$2:AH$999,BY_TRA!$BJ$2:$BJ$999,Transport!$B48,BY_TRA!$BK$2:$BK$999,Transport!$C48)/SUMIFS(BY_TRA!AH$2:AH$999,BY_TRA!$BJ$2:$BJ$999,Transport!$B48),0)</f>
        <v>0.29602343139719473</v>
      </c>
      <c r="AA48" s="5">
        <f>IFERROR(SUMIFS(BY_TRA!AI$2:AI$999,BY_TRA!$BJ$2:$BJ$999,Transport!$B48,BY_TRA!$BK$2:$BK$999,Transport!$C48)/SUMIFS(BY_TRA!AI$2:AI$999,BY_TRA!$BJ$2:$BJ$999,Transport!$B48),0)</f>
        <v>0.36607021265647721</v>
      </c>
      <c r="AB48" s="5">
        <f>IFERROR(SUMIFS(BY_TRA!AJ$2:AJ$999,BY_TRA!$BJ$2:$BJ$999,Transport!$B48,BY_TRA!$BK$2:$BK$999,Transport!$C48)/SUMIFS(BY_TRA!AJ$2:AJ$999,BY_TRA!$BJ$2:$BJ$999,Transport!$B48),0)</f>
        <v>0.10842839580569591</v>
      </c>
      <c r="AC48" s="5">
        <f>IFERROR(SUMIFS(BY_TRA!AK$2:AK$999,BY_TRA!$BJ$2:$BJ$999,Transport!$B48,BY_TRA!$BK$2:$BK$999,Transport!$C48)/SUMIFS(BY_TRA!AK$2:AK$999,BY_TRA!$BJ$2:$BJ$999,Transport!$B48),0)</f>
        <v>0.034789278945943435</v>
      </c>
      <c r="AD48" s="5">
        <f>IFERROR(SUMIFS(BY_TRA!AL$2:AL$999,BY_TRA!$BJ$2:$BJ$999,Transport!$B48,BY_TRA!$BK$2:$BK$999,Transport!$C48)/SUMIFS(BY_TRA!AL$2:AL$999,BY_TRA!$BJ$2:$BJ$999,Transport!$B48),0)</f>
        <v>0.12230638631317749</v>
      </c>
      <c r="AE48" s="5">
        <f>IFERROR(SUMIFS(BY_TRA!AM$2:AM$999,BY_TRA!$BJ$2:$BJ$999,Transport!$B48,BY_TRA!$BK$2:$BK$999,Transport!$C48)/SUMIFS(BY_TRA!AM$2:AM$999,BY_TRA!$BJ$2:$BJ$999,Transport!$B48),0)</f>
        <v>0.18382017995992422</v>
      </c>
      <c r="AF48" s="5">
        <f>IFERROR(SUMIFS(BY_TRA!AN$2:AN$999,BY_TRA!$BJ$2:$BJ$999,Transport!$B48,BY_TRA!$BK$2:$BK$999,Transport!$C48)/SUMIFS(BY_TRA!AN$2:AN$999,BY_TRA!$BJ$2:$BJ$999,Transport!$B48),0)</f>
        <v>0.4524702614139598</v>
      </c>
      <c r="AG48" s="5">
        <f>IFERROR(SUMIFS(BY_TRA!AO$2:AO$999,BY_TRA!$BJ$2:$BJ$999,Transport!$B48,BY_TRA!$BK$2:$BK$999,Transport!$C48)/SUMIFS(BY_TRA!AO$2:AO$999,BY_TRA!$BJ$2:$BJ$999,Transport!$B48),0)</f>
        <v>0.24867862064884166</v>
      </c>
      <c r="AH48" s="5">
        <f>IFERROR(SUMIFS(BY_TRA!AP$2:AP$999,BY_TRA!$BJ$2:$BJ$999,Transport!$B48,BY_TRA!$BK$2:$BK$999,Transport!$C48)/SUMIFS(BY_TRA!AP$2:AP$999,BY_TRA!$BJ$2:$BJ$999,Transport!$B48),0)</f>
        <v>0.20164924576049109</v>
      </c>
      <c r="AI48" s="5">
        <f>IFERROR(SUMIFS(BY_TRA!AQ$2:AQ$999,BY_TRA!$BJ$2:$BJ$999,Transport!$B48,BY_TRA!$BK$2:$BK$999,Transport!$C48)/SUMIFS(BY_TRA!AQ$2:AQ$999,BY_TRA!$BJ$2:$BJ$999,Transport!$B48),0)</f>
        <v>0.35889751287259603</v>
      </c>
      <c r="AJ48" s="5">
        <f>IFERROR(SUMIFS(BY_TRA!AR$2:AR$999,BY_TRA!$BJ$2:$BJ$999,Transport!$B48,BY_TRA!$BK$2:$BK$999,Transport!$C48)/SUMIFS(BY_TRA!AR$2:AR$999,BY_TRA!$BJ$2:$BJ$999,Transport!$B48),0)</f>
        <v>0.29942110421273649</v>
      </c>
      <c r="AK48" s="5">
        <f>IFERROR(SUMIFS(BY_TRA!AS$2:AS$999,BY_TRA!$BJ$2:$BJ$999,Transport!$B48,BY_TRA!$BK$2:$BK$999,Transport!$C48)/SUMIFS(BY_TRA!AS$2:AS$999,BY_TRA!$BJ$2:$BJ$999,Transport!$B48),0)</f>
        <v>0.091512239762068209</v>
      </c>
      <c r="AL48" s="5">
        <f>IFERROR(SUMIFS(BY_TRA!AT$2:AT$999,BY_TRA!$BJ$2:$BJ$999,Transport!$B48,BY_TRA!$BK$2:$BK$999,Transport!$C48)/SUMIFS(BY_TRA!AT$2:AT$999,BY_TRA!$BJ$2:$BJ$999,Transport!$B48),0)</f>
        <v>0.50458435207823882</v>
      </c>
      <c r="AM48" s="5">
        <f>IFERROR(SUMIFS(BY_TRA!AU$2:AU$999,BY_TRA!$BJ$2:$BJ$999,Transport!$B48,BY_TRA!$BK$2:$BK$999,Transport!$C48)/SUMIFS(BY_TRA!AU$2:AU$999,BY_TRA!$BJ$2:$BJ$999,Transport!$B48),0)</f>
        <v>0</v>
      </c>
      <c r="AN48" s="5">
        <f>IFERROR(SUMIFS(BY_TRA!AV$2:AV$999,BY_TRA!$BJ$2:$BJ$999,Transport!$B48,BY_TRA!$BK$2:$BK$999,Transport!$C48)/SUMIFS(BY_TRA!AV$2:AV$999,BY_TRA!$BJ$2:$BJ$999,Transport!$B48),0)</f>
        <v>0</v>
      </c>
      <c r="AO48" s="5">
        <f>IFERROR(SUMIFS(BY_TRA!AW$2:AW$999,BY_TRA!$BJ$2:$BJ$999,Transport!$B48,BY_TRA!$BK$2:$BK$999,Transport!$C48)/SUMIFS(BY_TRA!AW$2:AW$999,BY_TRA!$BJ$2:$BJ$999,Transport!$B48),0)</f>
        <v>0</v>
      </c>
      <c r="AP48" s="5">
        <f>IFERROR(SUMIFS(BY_TRA!AX$2:AX$999,BY_TRA!$BJ$2:$BJ$999,Transport!$B48,BY_TRA!$BK$2:$BK$999,Transport!$C48)/SUMIFS(BY_TRA!AX$2:AX$999,BY_TRA!$BJ$2:$BJ$999,Transport!$B48),0)</f>
        <v>0</v>
      </c>
      <c r="AQ48" s="5">
        <f>IFERROR(SUMIFS(BY_TRA!AY$2:AY$999,BY_TRA!$BJ$2:$BJ$999,Transport!$B48,BY_TRA!$BK$2:$BK$999,Transport!$C48)/SUMIFS(BY_TRA!AY$2:AY$999,BY_TRA!$BJ$2:$BJ$999,Transport!$B48),0)</f>
        <v>0</v>
      </c>
      <c r="AR48" s="5">
        <f>IFERROR(SUMIFS(BY_TRA!AZ$2:AZ$999,BY_TRA!$BJ$2:$BJ$999,Transport!$B48,BY_TRA!$BK$2:$BK$999,Transport!$C48)/SUMIFS(BY_TRA!AZ$2:AZ$999,BY_TRA!$BJ$2:$BJ$999,Transport!$B48),0)</f>
        <v>0</v>
      </c>
      <c r="AS48" s="5">
        <f>IFERROR(SUMIFS(BY_TRA!BA$2:BA$999,BY_TRA!$BJ$2:$BJ$999,Transport!$B48,BY_TRA!$BK$2:$BK$999,Transport!$C48)/SUMIFS(BY_TRA!BA$2:BA$999,BY_TRA!$BJ$2:$BJ$999,Transport!$B48),0)</f>
        <v>0</v>
      </c>
      <c r="AT48" s="5">
        <f>IFERROR(SUMIFS(BY_TRA!BB$2:BB$999,BY_TRA!$BJ$2:$BJ$999,Transport!$B48,BY_TRA!$BK$2:$BK$999,Transport!$C48)/SUMIFS(BY_TRA!BB$2:BB$999,BY_TRA!$BJ$2:$BJ$999,Transport!$B48),0)</f>
        <v>0</v>
      </c>
      <c r="AU48" s="5">
        <f>IFERROR(SUMIFS(BY_TRA!BC$2:BC$999,BY_TRA!$BJ$2:$BJ$999,Transport!$B48,BY_TRA!$BK$2:$BK$999,Transport!$C48)/SUMIFS(BY_TRA!BC$2:BC$999,BY_TRA!$BJ$2:$BJ$999,Transport!$B48),0)</f>
        <v>0</v>
      </c>
      <c r="AV48" s="5">
        <f>IFERROR(SUMIFS(BY_TRA!BD$2:BD$999,BY_TRA!$BJ$2:$BJ$999,Transport!$B48,BY_TRA!$BK$2:$BK$999,Transport!$C48)/SUMIFS(BY_TRA!BD$2:BD$999,BY_TRA!$BJ$2:$BJ$999,Transport!$B48),0)</f>
        <v>0</v>
      </c>
      <c r="AW48" s="5">
        <f>IFERROR(SUMIFS(BY_TRA!BE$2:BE$999,BY_TRA!$BJ$2:$BJ$999,Transport!$B48,BY_TRA!$BK$2:$BK$999,Transport!$C48)/SUMIFS(BY_TRA!BE$2:BE$999,BY_TRA!$BJ$2:$BJ$999,Transport!$B48),0)</f>
        <v>0</v>
      </c>
      <c r="AX48" s="5">
        <f>IFERROR(SUMIFS(BY_TRA!BF$2:BF$999,BY_TRA!$BJ$2:$BJ$999,Transport!$B48,BY_TRA!$BK$2:$BK$999,Transport!$C48)/SUMIFS(BY_TRA!BF$2:BF$999,BY_TRA!$BJ$2:$BJ$999,Transport!$B48),0)</f>
        <v>0</v>
      </c>
      <c r="AY48" s="5">
        <f>IFERROR(SUMIFS(BY_TRA!BG$2:BG$999,BY_TRA!$BJ$2:$BJ$999,Transport!$B48,BY_TRA!$BK$2:$BK$999,Transport!$C48)/SUMIFS(BY_TRA!BG$2:BG$999,BY_TRA!$BJ$2:$BJ$999,Transport!$B48),0)</f>
        <v>0</v>
      </c>
    </row>
    <row r="49" spans="2:51" ht="14.5">
      <c r="B49" t="s">
        <v>183</v>
      </c>
      <c r="C49" t="s">
        <v>180</v>
      </c>
      <c r="D49" s="5">
        <f>IFERROR(SUMIFS(BY_TRA!L$2:L$999,BY_TRA!$BJ$2:$BJ$999,Transport!$B49,BY_TRA!$BK$2:$BK$999,Transport!$C49)/SUMIFS(BY_TRA!L$2:L$999,BY_TRA!$BJ$2:$BJ$999,Transport!$B49),0)</f>
        <v>0</v>
      </c>
      <c r="E49" s="5">
        <f>IFERROR(SUMIFS(BY_TRA!M$2:M$999,BY_TRA!$BJ$2:$BJ$999,Transport!$B49,BY_TRA!$BK$2:$BK$999,Transport!$C49)/SUMIFS(BY_TRA!M$2:M$999,BY_TRA!$BJ$2:$BJ$999,Transport!$B49),0)</f>
        <v>0</v>
      </c>
      <c r="F49" s="5">
        <f>IFERROR(SUMIFS(BY_TRA!N$2:N$999,BY_TRA!$BJ$2:$BJ$999,Transport!$B49,BY_TRA!$BK$2:$BK$999,Transport!$C49)/SUMIFS(BY_TRA!N$2:N$999,BY_TRA!$BJ$2:$BJ$999,Transport!$B49),0)</f>
        <v>0.00073676368624912164</v>
      </c>
      <c r="G49" s="5">
        <f>IFERROR(SUMIFS(BY_TRA!O$2:O$999,BY_TRA!$BJ$2:$BJ$999,Transport!$B49,BY_TRA!$BK$2:$BK$999,Transport!$C49)/SUMIFS(BY_TRA!O$2:O$999,BY_TRA!$BJ$2:$BJ$999,Transport!$B49),0)</f>
        <v>0.0057839771082071291</v>
      </c>
      <c r="H49" s="5">
        <f>IFERROR(SUMIFS(BY_TRA!P$2:P$999,BY_TRA!$BJ$2:$BJ$999,Transport!$B49,BY_TRA!$BK$2:$BK$999,Transport!$C49)/SUMIFS(BY_TRA!P$2:P$999,BY_TRA!$BJ$2:$BJ$999,Transport!$B49),0)</f>
        <v>0</v>
      </c>
      <c r="I49" s="5">
        <f>IFERROR(SUMIFS(BY_TRA!Q$2:Q$999,BY_TRA!$BJ$2:$BJ$999,Transport!$B49,BY_TRA!$BK$2:$BK$999,Transport!$C49)/SUMIFS(BY_TRA!Q$2:Q$999,BY_TRA!$BJ$2:$BJ$999,Transport!$B49),0)</f>
        <v>0.0097691800667244529</v>
      </c>
      <c r="J49" s="5">
        <f>IFERROR(SUMIFS(BY_TRA!R$2:R$999,BY_TRA!$BJ$2:$BJ$999,Transport!$B49,BY_TRA!$BK$2:$BK$999,Transport!$C49)/SUMIFS(BY_TRA!R$2:R$999,BY_TRA!$BJ$2:$BJ$999,Transport!$B49),0)</f>
        <v>0.00020614657020346275</v>
      </c>
      <c r="K49" s="5">
        <f>IFERROR(SUMIFS(BY_TRA!S$2:S$999,BY_TRA!$BJ$2:$BJ$999,Transport!$B49,BY_TRA!$BK$2:$BK$999,Transport!$C49)/SUMIFS(BY_TRA!S$2:S$999,BY_TRA!$BJ$2:$BJ$999,Transport!$B49),0)</f>
        <v>0.0076764573898158743</v>
      </c>
      <c r="L49" s="5">
        <f>IFERROR(SUMIFS(BY_TRA!T$2:T$999,BY_TRA!$BJ$2:$BJ$999,Transport!$B49,BY_TRA!$BK$2:$BK$999,Transport!$C49)/SUMIFS(BY_TRA!T$2:T$999,BY_TRA!$BJ$2:$BJ$999,Transport!$B49),0)</f>
        <v>0</v>
      </c>
      <c r="M49" s="5">
        <f>IFERROR(SUMIFS(BY_TRA!U$2:U$999,BY_TRA!$BJ$2:$BJ$999,Transport!$B49,BY_TRA!$BK$2:$BK$999,Transport!$C49)/SUMIFS(BY_TRA!U$2:U$999,BY_TRA!$BJ$2:$BJ$999,Transport!$B49),0)</f>
        <v>0</v>
      </c>
      <c r="N49" s="5">
        <f>IFERROR(SUMIFS(BY_TRA!V$2:V$999,BY_TRA!$BJ$2:$BJ$999,Transport!$B49,BY_TRA!$BK$2:$BK$999,Transport!$C49)/SUMIFS(BY_TRA!V$2:V$999,BY_TRA!$BJ$2:$BJ$999,Transport!$B49),0)</f>
        <v>0.0057873309724486687</v>
      </c>
      <c r="O49" s="5">
        <f>IFERROR(SUMIFS(BY_TRA!W$2:W$999,BY_TRA!$BJ$2:$BJ$999,Transport!$B49,BY_TRA!$BK$2:$BK$999,Transport!$C49)/SUMIFS(BY_TRA!W$2:W$999,BY_TRA!$BJ$2:$BJ$999,Transport!$B49),0)</f>
        <v>0.0047003522049549754</v>
      </c>
      <c r="P49" s="5">
        <f>IFERROR(SUMIFS(BY_TRA!X$2:X$999,BY_TRA!$BJ$2:$BJ$999,Transport!$B49,BY_TRA!$BK$2:$BK$999,Transport!$C49)/SUMIFS(BY_TRA!X$2:X$999,BY_TRA!$BJ$2:$BJ$999,Transport!$B49),0)</f>
        <v>0.00053480178470032111</v>
      </c>
      <c r="Q49" s="5">
        <f>IFERROR(SUMIFS(BY_TRA!Y$2:Y$999,BY_TRA!$BJ$2:$BJ$999,Transport!$B49,BY_TRA!$BK$2:$BK$999,Transport!$C49)/SUMIFS(BY_TRA!Y$2:Y$999,BY_TRA!$BJ$2:$BJ$999,Transport!$B49),0)</f>
        <v>0</v>
      </c>
      <c r="R49" s="5">
        <f>IFERROR(SUMIFS(BY_TRA!Z$2:Z$999,BY_TRA!$BJ$2:$BJ$999,Transport!$B49,BY_TRA!$BK$2:$BK$999,Transport!$C49)/SUMIFS(BY_TRA!Z$2:Z$999,BY_TRA!$BJ$2:$BJ$999,Transport!$B49),0)</f>
        <v>0.026560528870014453</v>
      </c>
      <c r="S49" s="5">
        <f>IFERROR(SUMIFS(BY_TRA!AA$2:AA$999,BY_TRA!$BJ$2:$BJ$999,Transport!$B49,BY_TRA!$BK$2:$BK$999,Transport!$C49)/SUMIFS(BY_TRA!AA$2:AA$999,BY_TRA!$BJ$2:$BJ$999,Transport!$B49),0)</f>
        <v>0.0001686252023288978</v>
      </c>
      <c r="T49" s="5">
        <f>IFERROR(SUMIFS(BY_TRA!AB$2:AB$999,BY_TRA!$BJ$2:$BJ$999,Transport!$B49,BY_TRA!$BK$2:$BK$999,Transport!$C49)/SUMIFS(BY_TRA!AB$2:AB$999,BY_TRA!$BJ$2:$BJ$999,Transport!$B49),0)</f>
        <v>0</v>
      </c>
      <c r="U49" s="5">
        <f>IFERROR(SUMIFS(BY_TRA!AC$2:AC$999,BY_TRA!$BJ$2:$BJ$999,Transport!$B49,BY_TRA!$BK$2:$BK$999,Transport!$C49)/SUMIFS(BY_TRA!AC$2:AC$999,BY_TRA!$BJ$2:$BJ$999,Transport!$B49),0)</f>
        <v>0.0010386844614103518</v>
      </c>
      <c r="V49" s="5">
        <f>IFERROR(SUMIFS(BY_TRA!AD$2:AD$999,BY_TRA!$BJ$2:$BJ$999,Transport!$B49,BY_TRA!$BK$2:$BK$999,Transport!$C49)/SUMIFS(BY_TRA!AD$2:AD$999,BY_TRA!$BJ$2:$BJ$999,Transport!$B49),0)</f>
        <v>0.0010431105531947544</v>
      </c>
      <c r="W49" s="5">
        <f>IFERROR(SUMIFS(BY_TRA!AE$2:AE$999,BY_TRA!$BJ$2:$BJ$999,Transport!$B49,BY_TRA!$BK$2:$BK$999,Transport!$C49)/SUMIFS(BY_TRA!AE$2:AE$999,BY_TRA!$BJ$2:$BJ$999,Transport!$B49),0)</f>
        <v>4.4908519574283926E-06</v>
      </c>
      <c r="X49" s="5">
        <f>IFERROR(SUMIFS(BY_TRA!AF$2:AF$999,BY_TRA!$BJ$2:$BJ$999,Transport!$B49,BY_TRA!$BK$2:$BK$999,Transport!$C49)/SUMIFS(BY_TRA!AF$2:AF$999,BY_TRA!$BJ$2:$BJ$999,Transport!$B49),0)</f>
        <v>0.00010555980008319379</v>
      </c>
      <c r="Y49" s="5">
        <f>IFERROR(SUMIFS(BY_TRA!AG$2:AG$999,BY_TRA!$BJ$2:$BJ$999,Transport!$B49,BY_TRA!$BK$2:$BK$999,Transport!$C49)/SUMIFS(BY_TRA!AG$2:AG$999,BY_TRA!$BJ$2:$BJ$999,Transport!$B49),0)</f>
        <v>0.0045349105508068676</v>
      </c>
      <c r="Z49" s="5">
        <f>IFERROR(SUMIFS(BY_TRA!AH$2:AH$999,BY_TRA!$BJ$2:$BJ$999,Transport!$B49,BY_TRA!$BK$2:$BK$999,Transport!$C49)/SUMIFS(BY_TRA!AH$2:AH$999,BY_TRA!$BJ$2:$BJ$999,Transport!$B49),0)</f>
        <v>0.076000880974889592</v>
      </c>
      <c r="AA49" s="5">
        <f>IFERROR(SUMIFS(BY_TRA!AI$2:AI$999,BY_TRA!$BJ$2:$BJ$999,Transport!$B49,BY_TRA!$BK$2:$BK$999,Transport!$C49)/SUMIFS(BY_TRA!AI$2:AI$999,BY_TRA!$BJ$2:$BJ$999,Transport!$B49),0)</f>
        <v>0.00056167274669194833</v>
      </c>
      <c r="AB49" s="5">
        <f>IFERROR(SUMIFS(BY_TRA!AJ$2:AJ$999,BY_TRA!$BJ$2:$BJ$999,Transport!$B49,BY_TRA!$BK$2:$BK$999,Transport!$C49)/SUMIFS(BY_TRA!AJ$2:AJ$999,BY_TRA!$BJ$2:$BJ$999,Transport!$B49),0)</f>
        <v>0.00044516507090892345</v>
      </c>
      <c r="AC49" s="5">
        <f>IFERROR(SUMIFS(BY_TRA!AK$2:AK$999,BY_TRA!$BJ$2:$BJ$999,Transport!$B49,BY_TRA!$BK$2:$BK$999,Transport!$C49)/SUMIFS(BY_TRA!AK$2:AK$999,BY_TRA!$BJ$2:$BJ$999,Transport!$B49),0)</f>
        <v>0</v>
      </c>
      <c r="AD49" s="5">
        <f>IFERROR(SUMIFS(BY_TRA!AL$2:AL$999,BY_TRA!$BJ$2:$BJ$999,Transport!$B49,BY_TRA!$BK$2:$BK$999,Transport!$C49)/SUMIFS(BY_TRA!AL$2:AL$999,BY_TRA!$BJ$2:$BJ$999,Transport!$B49),0)</f>
        <v>0</v>
      </c>
      <c r="AE49" s="5">
        <f>IFERROR(SUMIFS(BY_TRA!AM$2:AM$999,BY_TRA!$BJ$2:$BJ$999,Transport!$B49,BY_TRA!$BK$2:$BK$999,Transport!$C49)/SUMIFS(BY_TRA!AM$2:AM$999,BY_TRA!$BJ$2:$BJ$999,Transport!$B49),0)</f>
        <v>6.018997379172374E-05</v>
      </c>
      <c r="AF49" s="5">
        <f>IFERROR(SUMIFS(BY_TRA!AN$2:AN$999,BY_TRA!$BJ$2:$BJ$999,Transport!$B49,BY_TRA!$BK$2:$BK$999,Transport!$C49)/SUMIFS(BY_TRA!AN$2:AN$999,BY_TRA!$BJ$2:$BJ$999,Transport!$B49),0)</f>
        <v>0.0016761705280999785</v>
      </c>
      <c r="AG49" s="5">
        <f>IFERROR(SUMIFS(BY_TRA!AO$2:AO$999,BY_TRA!$BJ$2:$BJ$999,Transport!$B49,BY_TRA!$BK$2:$BK$999,Transport!$C49)/SUMIFS(BY_TRA!AO$2:AO$999,BY_TRA!$BJ$2:$BJ$999,Transport!$B49),0)</f>
        <v>0.010259308397713142</v>
      </c>
      <c r="AH49" s="5">
        <f>IFERROR(SUMIFS(BY_TRA!AP$2:AP$999,BY_TRA!$BJ$2:$BJ$999,Transport!$B49,BY_TRA!$BK$2:$BK$999,Transport!$C49)/SUMIFS(BY_TRA!AP$2:AP$999,BY_TRA!$BJ$2:$BJ$999,Transport!$B49),0)</f>
        <v>0.0070506729286885046</v>
      </c>
      <c r="AI49" s="5">
        <f>IFERROR(SUMIFS(BY_TRA!AQ$2:AQ$999,BY_TRA!$BJ$2:$BJ$999,Transport!$B49,BY_TRA!$BK$2:$BK$999,Transport!$C49)/SUMIFS(BY_TRA!AQ$2:AQ$999,BY_TRA!$BJ$2:$BJ$999,Transport!$B49),0)</f>
        <v>0.00029775789231686629</v>
      </c>
      <c r="AJ49" s="5">
        <f>IFERROR(SUMIFS(BY_TRA!AR$2:AR$999,BY_TRA!$BJ$2:$BJ$999,Transport!$B49,BY_TRA!$BK$2:$BK$999,Transport!$C49)/SUMIFS(BY_TRA!AR$2:AR$999,BY_TRA!$BJ$2:$BJ$999,Transport!$B49),0)</f>
        <v>0.0043637604874053534</v>
      </c>
      <c r="AK49" s="5">
        <f>IFERROR(SUMIFS(BY_TRA!AS$2:AS$999,BY_TRA!$BJ$2:$BJ$999,Transport!$B49,BY_TRA!$BK$2:$BK$999,Transport!$C49)/SUMIFS(BY_TRA!AS$2:AS$999,BY_TRA!$BJ$2:$BJ$999,Transport!$B49),0)</f>
        <v>0</v>
      </c>
      <c r="AL49" s="5">
        <f>IFERROR(SUMIFS(BY_TRA!AT$2:AT$999,BY_TRA!$BJ$2:$BJ$999,Transport!$B49,BY_TRA!$BK$2:$BK$999,Transport!$C49)/SUMIFS(BY_TRA!AT$2:AT$999,BY_TRA!$BJ$2:$BJ$999,Transport!$B49),0)</f>
        <v>0</v>
      </c>
      <c r="AM49" s="5">
        <f>IFERROR(SUMIFS(BY_TRA!AU$2:AU$999,BY_TRA!$BJ$2:$BJ$999,Transport!$B49,BY_TRA!$BK$2:$BK$999,Transport!$C49)/SUMIFS(BY_TRA!AU$2:AU$999,BY_TRA!$BJ$2:$BJ$999,Transport!$B49),0)</f>
        <v>0</v>
      </c>
      <c r="AN49" s="5">
        <f>IFERROR(SUMIFS(BY_TRA!AV$2:AV$999,BY_TRA!$BJ$2:$BJ$999,Transport!$B49,BY_TRA!$BK$2:$BK$999,Transport!$C49)/SUMIFS(BY_TRA!AV$2:AV$999,BY_TRA!$BJ$2:$BJ$999,Transport!$B49),0)</f>
        <v>0</v>
      </c>
      <c r="AO49" s="5">
        <f>IFERROR(SUMIFS(BY_TRA!AW$2:AW$999,BY_TRA!$BJ$2:$BJ$999,Transport!$B49,BY_TRA!$BK$2:$BK$999,Transport!$C49)/SUMIFS(BY_TRA!AW$2:AW$999,BY_TRA!$BJ$2:$BJ$999,Transport!$B49),0)</f>
        <v>0</v>
      </c>
      <c r="AP49" s="5">
        <f>IFERROR(SUMIFS(BY_TRA!AX$2:AX$999,BY_TRA!$BJ$2:$BJ$999,Transport!$B49,BY_TRA!$BK$2:$BK$999,Transport!$C49)/SUMIFS(BY_TRA!AX$2:AX$999,BY_TRA!$BJ$2:$BJ$999,Transport!$B49),0)</f>
        <v>0</v>
      </c>
      <c r="AQ49" s="5">
        <f>IFERROR(SUMIFS(BY_TRA!AY$2:AY$999,BY_TRA!$BJ$2:$BJ$999,Transport!$B49,BY_TRA!$BK$2:$BK$999,Transport!$C49)/SUMIFS(BY_TRA!AY$2:AY$999,BY_TRA!$BJ$2:$BJ$999,Transport!$B49),0)</f>
        <v>0</v>
      </c>
      <c r="AR49" s="5">
        <f>IFERROR(SUMIFS(BY_TRA!AZ$2:AZ$999,BY_TRA!$BJ$2:$BJ$999,Transport!$B49,BY_TRA!$BK$2:$BK$999,Transport!$C49)/SUMIFS(BY_TRA!AZ$2:AZ$999,BY_TRA!$BJ$2:$BJ$999,Transport!$B49),0)</f>
        <v>0</v>
      </c>
      <c r="AS49" s="5">
        <f>IFERROR(SUMIFS(BY_TRA!BA$2:BA$999,BY_TRA!$BJ$2:$BJ$999,Transport!$B49,BY_TRA!$BK$2:$BK$999,Transport!$C49)/SUMIFS(BY_TRA!BA$2:BA$999,BY_TRA!$BJ$2:$BJ$999,Transport!$B49),0)</f>
        <v>0</v>
      </c>
      <c r="AT49" s="5">
        <f>IFERROR(SUMIFS(BY_TRA!BB$2:BB$999,BY_TRA!$BJ$2:$BJ$999,Transport!$B49,BY_TRA!$BK$2:$BK$999,Transport!$C49)/SUMIFS(BY_TRA!BB$2:BB$999,BY_TRA!$BJ$2:$BJ$999,Transport!$B49),0)</f>
        <v>0</v>
      </c>
      <c r="AU49" s="5">
        <f>IFERROR(SUMIFS(BY_TRA!BC$2:BC$999,BY_TRA!$BJ$2:$BJ$999,Transport!$B49,BY_TRA!$BK$2:$BK$999,Transport!$C49)/SUMIFS(BY_TRA!BC$2:BC$999,BY_TRA!$BJ$2:$BJ$999,Transport!$B49),0)</f>
        <v>0</v>
      </c>
      <c r="AV49" s="5">
        <f>IFERROR(SUMIFS(BY_TRA!BD$2:BD$999,BY_TRA!$BJ$2:$BJ$999,Transport!$B49,BY_TRA!$BK$2:$BK$999,Transport!$C49)/SUMIFS(BY_TRA!BD$2:BD$999,BY_TRA!$BJ$2:$BJ$999,Transport!$B49),0)</f>
        <v>0</v>
      </c>
      <c r="AW49" s="5">
        <f>IFERROR(SUMIFS(BY_TRA!BE$2:BE$999,BY_TRA!$BJ$2:$BJ$999,Transport!$B49,BY_TRA!$BK$2:$BK$999,Transport!$C49)/SUMIFS(BY_TRA!BE$2:BE$999,BY_TRA!$BJ$2:$BJ$999,Transport!$B49),0)</f>
        <v>0</v>
      </c>
      <c r="AX49" s="5">
        <f>IFERROR(SUMIFS(BY_TRA!BF$2:BF$999,BY_TRA!$BJ$2:$BJ$999,Transport!$B49,BY_TRA!$BK$2:$BK$999,Transport!$C49)/SUMIFS(BY_TRA!BF$2:BF$999,BY_TRA!$BJ$2:$BJ$999,Transport!$B49),0)</f>
        <v>0</v>
      </c>
      <c r="AY49" s="5">
        <f>IFERROR(SUMIFS(BY_TRA!BG$2:BG$999,BY_TRA!$BJ$2:$BJ$999,Transport!$B49,BY_TRA!$BK$2:$BK$999,Transport!$C49)/SUMIFS(BY_TRA!BG$2:BG$999,BY_TRA!$BJ$2:$BJ$999,Transport!$B49),0)</f>
        <v>0</v>
      </c>
    </row>
    <row r="50" spans="2:51" ht="14.5">
      <c r="B50" t="s">
        <v>183</v>
      </c>
      <c r="C50" t="s">
        <v>174</v>
      </c>
      <c r="D50" s="5">
        <f>IFERROR(SUMIFS(BY_TRA!L$2:L$999,BY_TRA!$BJ$2:$BJ$999,Transport!$B50,BY_TRA!$BK$2:$BK$999,Transport!$C50)/SUMIFS(BY_TRA!L$2:L$999,BY_TRA!$BJ$2:$BJ$999,Transport!$B50),0)</f>
        <v>0</v>
      </c>
      <c r="E50" s="5">
        <f>IFERROR(SUMIFS(BY_TRA!M$2:M$999,BY_TRA!$BJ$2:$BJ$999,Transport!$B50,BY_TRA!$BK$2:$BK$999,Transport!$C50)/SUMIFS(BY_TRA!M$2:M$999,BY_TRA!$BJ$2:$BJ$999,Transport!$B50),0)</f>
        <v>0</v>
      </c>
      <c r="F50" s="5">
        <f>IFERROR(SUMIFS(BY_TRA!N$2:N$999,BY_TRA!$BJ$2:$BJ$999,Transport!$B50,BY_TRA!$BK$2:$BK$999,Transport!$C50)/SUMIFS(BY_TRA!N$2:N$999,BY_TRA!$BJ$2:$BJ$999,Transport!$B50),0)</f>
        <v>0</v>
      </c>
      <c r="G50" s="5">
        <f>IFERROR(SUMIFS(BY_TRA!O$2:O$999,BY_TRA!$BJ$2:$BJ$999,Transport!$B50,BY_TRA!$BK$2:$BK$999,Transport!$C50)/SUMIFS(BY_TRA!O$2:O$999,BY_TRA!$BJ$2:$BJ$999,Transport!$B50),0)</f>
        <v>0</v>
      </c>
      <c r="H50" s="5">
        <f>IFERROR(SUMIFS(BY_TRA!P$2:P$999,BY_TRA!$BJ$2:$BJ$999,Transport!$B50,BY_TRA!$BK$2:$BK$999,Transport!$C50)/SUMIFS(BY_TRA!P$2:P$999,BY_TRA!$BJ$2:$BJ$999,Transport!$B50),0)</f>
        <v>0</v>
      </c>
      <c r="I50" s="5">
        <f>IFERROR(SUMIFS(BY_TRA!Q$2:Q$999,BY_TRA!$BJ$2:$BJ$999,Transport!$B50,BY_TRA!$BK$2:$BK$999,Transport!$C50)/SUMIFS(BY_TRA!Q$2:Q$999,BY_TRA!$BJ$2:$BJ$999,Transport!$B50),0)</f>
        <v>0</v>
      </c>
      <c r="J50" s="5">
        <f>IFERROR(SUMIFS(BY_TRA!R$2:R$999,BY_TRA!$BJ$2:$BJ$999,Transport!$B50,BY_TRA!$BK$2:$BK$999,Transport!$C50)/SUMIFS(BY_TRA!R$2:R$999,BY_TRA!$BJ$2:$BJ$999,Transport!$B50),0)</f>
        <v>0</v>
      </c>
      <c r="K50" s="5">
        <f>IFERROR(SUMIFS(BY_TRA!S$2:S$999,BY_TRA!$BJ$2:$BJ$999,Transport!$B50,BY_TRA!$BK$2:$BK$999,Transport!$C50)/SUMIFS(BY_TRA!S$2:S$999,BY_TRA!$BJ$2:$BJ$999,Transport!$B50),0)</f>
        <v>0</v>
      </c>
      <c r="L50" s="5">
        <f>IFERROR(SUMIFS(BY_TRA!T$2:T$999,BY_TRA!$BJ$2:$BJ$999,Transport!$B50,BY_TRA!$BK$2:$BK$999,Transport!$C50)/SUMIFS(BY_TRA!T$2:T$999,BY_TRA!$BJ$2:$BJ$999,Transport!$B50),0)</f>
        <v>0</v>
      </c>
      <c r="M50" s="5">
        <f>IFERROR(SUMIFS(BY_TRA!U$2:U$999,BY_TRA!$BJ$2:$BJ$999,Transport!$B50,BY_TRA!$BK$2:$BK$999,Transport!$C50)/SUMIFS(BY_TRA!U$2:U$999,BY_TRA!$BJ$2:$BJ$999,Transport!$B50),0)</f>
        <v>0</v>
      </c>
      <c r="N50" s="5">
        <f>IFERROR(SUMIFS(BY_TRA!V$2:V$999,BY_TRA!$BJ$2:$BJ$999,Transport!$B50,BY_TRA!$BK$2:$BK$999,Transport!$C50)/SUMIFS(BY_TRA!V$2:V$999,BY_TRA!$BJ$2:$BJ$999,Transport!$B50),0)</f>
        <v>0</v>
      </c>
      <c r="O50" s="5">
        <f>IFERROR(SUMIFS(BY_TRA!W$2:W$999,BY_TRA!$BJ$2:$BJ$999,Transport!$B50,BY_TRA!$BK$2:$BK$999,Transport!$C50)/SUMIFS(BY_TRA!W$2:W$999,BY_TRA!$BJ$2:$BJ$999,Transport!$B50),0)</f>
        <v>0</v>
      </c>
      <c r="P50" s="5">
        <f>IFERROR(SUMIFS(BY_TRA!X$2:X$999,BY_TRA!$BJ$2:$BJ$999,Transport!$B50,BY_TRA!$BK$2:$BK$999,Transport!$C50)/SUMIFS(BY_TRA!X$2:X$999,BY_TRA!$BJ$2:$BJ$999,Transport!$B50),0)</f>
        <v>0</v>
      </c>
      <c r="Q50" s="5">
        <f>IFERROR(SUMIFS(BY_TRA!Y$2:Y$999,BY_TRA!$BJ$2:$BJ$999,Transport!$B50,BY_TRA!$BK$2:$BK$999,Transport!$C50)/SUMIFS(BY_TRA!Y$2:Y$999,BY_TRA!$BJ$2:$BJ$999,Transport!$B50),0)</f>
        <v>0</v>
      </c>
      <c r="R50" s="5">
        <f>IFERROR(SUMIFS(BY_TRA!Z$2:Z$999,BY_TRA!$BJ$2:$BJ$999,Transport!$B50,BY_TRA!$BK$2:$BK$999,Transport!$C50)/SUMIFS(BY_TRA!Z$2:Z$999,BY_TRA!$BJ$2:$BJ$999,Transport!$B50),0)</f>
        <v>0</v>
      </c>
      <c r="S50" s="5">
        <f>IFERROR(SUMIFS(BY_TRA!AA$2:AA$999,BY_TRA!$BJ$2:$BJ$999,Transport!$B50,BY_TRA!$BK$2:$BK$999,Transport!$C50)/SUMIFS(BY_TRA!AA$2:AA$999,BY_TRA!$BJ$2:$BJ$999,Transport!$B50),0)</f>
        <v>0</v>
      </c>
      <c r="T50" s="5">
        <f>IFERROR(SUMIFS(BY_TRA!AB$2:AB$999,BY_TRA!$BJ$2:$BJ$999,Transport!$B50,BY_TRA!$BK$2:$BK$999,Transport!$C50)/SUMIFS(BY_TRA!AB$2:AB$999,BY_TRA!$BJ$2:$BJ$999,Transport!$B50),0)</f>
        <v>0</v>
      </c>
      <c r="U50" s="5">
        <f>IFERROR(SUMIFS(BY_TRA!AC$2:AC$999,BY_TRA!$BJ$2:$BJ$999,Transport!$B50,BY_TRA!$BK$2:$BK$999,Transport!$C50)/SUMIFS(BY_TRA!AC$2:AC$999,BY_TRA!$BJ$2:$BJ$999,Transport!$B50),0)</f>
        <v>0</v>
      </c>
      <c r="V50" s="5">
        <f>IFERROR(SUMIFS(BY_TRA!AD$2:AD$999,BY_TRA!$BJ$2:$BJ$999,Transport!$B50,BY_TRA!$BK$2:$BK$999,Transport!$C50)/SUMIFS(BY_TRA!AD$2:AD$999,BY_TRA!$BJ$2:$BJ$999,Transport!$B50),0)</f>
        <v>0</v>
      </c>
      <c r="W50" s="5">
        <f>IFERROR(SUMIFS(BY_TRA!AE$2:AE$999,BY_TRA!$BJ$2:$BJ$999,Transport!$B50,BY_TRA!$BK$2:$BK$999,Transport!$C50)/SUMIFS(BY_TRA!AE$2:AE$999,BY_TRA!$BJ$2:$BJ$999,Transport!$B50),0)</f>
        <v>0</v>
      </c>
      <c r="X50" s="5">
        <f>IFERROR(SUMIFS(BY_TRA!AF$2:AF$999,BY_TRA!$BJ$2:$BJ$999,Transport!$B50,BY_TRA!$BK$2:$BK$999,Transport!$C50)/SUMIFS(BY_TRA!AF$2:AF$999,BY_TRA!$BJ$2:$BJ$999,Transport!$B50),0)</f>
        <v>0</v>
      </c>
      <c r="Y50" s="5">
        <f>IFERROR(SUMIFS(BY_TRA!AG$2:AG$999,BY_TRA!$BJ$2:$BJ$999,Transport!$B50,BY_TRA!$BK$2:$BK$999,Transport!$C50)/SUMIFS(BY_TRA!AG$2:AG$999,BY_TRA!$BJ$2:$BJ$999,Transport!$B50),0)</f>
        <v>0</v>
      </c>
      <c r="Z50" s="5">
        <f>IFERROR(SUMIFS(BY_TRA!AH$2:AH$999,BY_TRA!$BJ$2:$BJ$999,Transport!$B50,BY_TRA!$BK$2:$BK$999,Transport!$C50)/SUMIFS(BY_TRA!AH$2:AH$999,BY_TRA!$BJ$2:$BJ$999,Transport!$B50),0)</f>
        <v>0</v>
      </c>
      <c r="AA50" s="5">
        <f>IFERROR(SUMIFS(BY_TRA!AI$2:AI$999,BY_TRA!$BJ$2:$BJ$999,Transport!$B50,BY_TRA!$BK$2:$BK$999,Transport!$C50)/SUMIFS(BY_TRA!AI$2:AI$999,BY_TRA!$BJ$2:$BJ$999,Transport!$B50),0)</f>
        <v>0</v>
      </c>
      <c r="AB50" s="5">
        <f>IFERROR(SUMIFS(BY_TRA!AJ$2:AJ$999,BY_TRA!$BJ$2:$BJ$999,Transport!$B50,BY_TRA!$BK$2:$BK$999,Transport!$C50)/SUMIFS(BY_TRA!AJ$2:AJ$999,BY_TRA!$BJ$2:$BJ$999,Transport!$B50),0)</f>
        <v>0</v>
      </c>
      <c r="AC50" s="5">
        <f>IFERROR(SUMIFS(BY_TRA!AK$2:AK$999,BY_TRA!$BJ$2:$BJ$999,Transport!$B50,BY_TRA!$BK$2:$BK$999,Transport!$C50)/SUMIFS(BY_TRA!AK$2:AK$999,BY_TRA!$BJ$2:$BJ$999,Transport!$B50),0)</f>
        <v>0</v>
      </c>
      <c r="AD50" s="5">
        <f>IFERROR(SUMIFS(BY_TRA!AL$2:AL$999,BY_TRA!$BJ$2:$BJ$999,Transport!$B50,BY_TRA!$BK$2:$BK$999,Transport!$C50)/SUMIFS(BY_TRA!AL$2:AL$999,BY_TRA!$BJ$2:$BJ$999,Transport!$B50),0)</f>
        <v>0</v>
      </c>
      <c r="AE50" s="5">
        <f>IFERROR(SUMIFS(BY_TRA!AM$2:AM$999,BY_TRA!$BJ$2:$BJ$999,Transport!$B50,BY_TRA!$BK$2:$BK$999,Transport!$C50)/SUMIFS(BY_TRA!AM$2:AM$999,BY_TRA!$BJ$2:$BJ$999,Transport!$B50),0)</f>
        <v>0</v>
      </c>
      <c r="AF50" s="5">
        <f>IFERROR(SUMIFS(BY_TRA!AN$2:AN$999,BY_TRA!$BJ$2:$BJ$999,Transport!$B50,BY_TRA!$BK$2:$BK$999,Transport!$C50)/SUMIFS(BY_TRA!AN$2:AN$999,BY_TRA!$BJ$2:$BJ$999,Transport!$B50),0)</f>
        <v>0</v>
      </c>
      <c r="AG50" s="5">
        <f>IFERROR(SUMIFS(BY_TRA!AO$2:AO$999,BY_TRA!$BJ$2:$BJ$999,Transport!$B50,BY_TRA!$BK$2:$BK$999,Transport!$C50)/SUMIFS(BY_TRA!AO$2:AO$999,BY_TRA!$BJ$2:$BJ$999,Transport!$B50),0)</f>
        <v>0</v>
      </c>
      <c r="AH50" s="5">
        <f>IFERROR(SUMIFS(BY_TRA!AP$2:AP$999,BY_TRA!$BJ$2:$BJ$999,Transport!$B50,BY_TRA!$BK$2:$BK$999,Transport!$C50)/SUMIFS(BY_TRA!AP$2:AP$999,BY_TRA!$BJ$2:$BJ$999,Transport!$B50),0)</f>
        <v>0</v>
      </c>
      <c r="AI50" s="5">
        <f>IFERROR(SUMIFS(BY_TRA!AQ$2:AQ$999,BY_TRA!$BJ$2:$BJ$999,Transport!$B50,BY_TRA!$BK$2:$BK$999,Transport!$C50)/SUMIFS(BY_TRA!AQ$2:AQ$999,BY_TRA!$BJ$2:$BJ$999,Transport!$B50),0)</f>
        <v>0</v>
      </c>
      <c r="AJ50" s="5">
        <f>IFERROR(SUMIFS(BY_TRA!AR$2:AR$999,BY_TRA!$BJ$2:$BJ$999,Transport!$B50,BY_TRA!$BK$2:$BK$999,Transport!$C50)/SUMIFS(BY_TRA!AR$2:AR$999,BY_TRA!$BJ$2:$BJ$999,Transport!$B50),0)</f>
        <v>0</v>
      </c>
      <c r="AK50" s="5">
        <f>IFERROR(SUMIFS(BY_TRA!AS$2:AS$999,BY_TRA!$BJ$2:$BJ$999,Transport!$B50,BY_TRA!$BK$2:$BK$999,Transport!$C50)/SUMIFS(BY_TRA!AS$2:AS$999,BY_TRA!$BJ$2:$BJ$999,Transport!$B50),0)</f>
        <v>0</v>
      </c>
      <c r="AL50" s="5">
        <f>IFERROR(SUMIFS(BY_TRA!AT$2:AT$999,BY_TRA!$BJ$2:$BJ$999,Transport!$B50,BY_TRA!$BK$2:$BK$999,Transport!$C50)/SUMIFS(BY_TRA!AT$2:AT$999,BY_TRA!$BJ$2:$BJ$999,Transport!$B50),0)</f>
        <v>0</v>
      </c>
      <c r="AM50" s="5">
        <f>IFERROR(SUMIFS(BY_TRA!AU$2:AU$999,BY_TRA!$BJ$2:$BJ$999,Transport!$B50,BY_TRA!$BK$2:$BK$999,Transport!$C50)/SUMIFS(BY_TRA!AU$2:AU$999,BY_TRA!$BJ$2:$BJ$999,Transport!$B50),0)</f>
        <v>0</v>
      </c>
      <c r="AN50" s="5">
        <f>IFERROR(SUMIFS(BY_TRA!AV$2:AV$999,BY_TRA!$BJ$2:$BJ$999,Transport!$B50,BY_TRA!$BK$2:$BK$999,Transport!$C50)/SUMIFS(BY_TRA!AV$2:AV$999,BY_TRA!$BJ$2:$BJ$999,Transport!$B50),0)</f>
        <v>0</v>
      </c>
      <c r="AO50" s="5">
        <f>IFERROR(SUMIFS(BY_TRA!AW$2:AW$999,BY_TRA!$BJ$2:$BJ$999,Transport!$B50,BY_TRA!$BK$2:$BK$999,Transport!$C50)/SUMIFS(BY_TRA!AW$2:AW$999,BY_TRA!$BJ$2:$BJ$999,Transport!$B50),0)</f>
        <v>0</v>
      </c>
      <c r="AP50" s="5">
        <f>IFERROR(SUMIFS(BY_TRA!AX$2:AX$999,BY_TRA!$BJ$2:$BJ$999,Transport!$B50,BY_TRA!$BK$2:$BK$999,Transport!$C50)/SUMIFS(BY_TRA!AX$2:AX$999,BY_TRA!$BJ$2:$BJ$999,Transport!$B50),0)</f>
        <v>0</v>
      </c>
      <c r="AQ50" s="5">
        <f>IFERROR(SUMIFS(BY_TRA!AY$2:AY$999,BY_TRA!$BJ$2:$BJ$999,Transport!$B50,BY_TRA!$BK$2:$BK$999,Transport!$C50)/SUMIFS(BY_TRA!AY$2:AY$999,BY_TRA!$BJ$2:$BJ$999,Transport!$B50),0)</f>
        <v>0</v>
      </c>
      <c r="AR50" s="5">
        <f>IFERROR(SUMIFS(BY_TRA!AZ$2:AZ$999,BY_TRA!$BJ$2:$BJ$999,Transport!$B50,BY_TRA!$BK$2:$BK$999,Transport!$C50)/SUMIFS(BY_TRA!AZ$2:AZ$999,BY_TRA!$BJ$2:$BJ$999,Transport!$B50),0)</f>
        <v>0</v>
      </c>
      <c r="AS50" s="5">
        <f>IFERROR(SUMIFS(BY_TRA!BA$2:BA$999,BY_TRA!$BJ$2:$BJ$999,Transport!$B50,BY_TRA!$BK$2:$BK$999,Transport!$C50)/SUMIFS(BY_TRA!BA$2:BA$999,BY_TRA!$BJ$2:$BJ$999,Transport!$B50),0)</f>
        <v>0</v>
      </c>
      <c r="AT50" s="5">
        <f>IFERROR(SUMIFS(BY_TRA!BB$2:BB$999,BY_TRA!$BJ$2:$BJ$999,Transport!$B50,BY_TRA!$BK$2:$BK$999,Transport!$C50)/SUMIFS(BY_TRA!BB$2:BB$999,BY_TRA!$BJ$2:$BJ$999,Transport!$B50),0)</f>
        <v>0</v>
      </c>
      <c r="AU50" s="5">
        <f>IFERROR(SUMIFS(BY_TRA!BC$2:BC$999,BY_TRA!$BJ$2:$BJ$999,Transport!$B50,BY_TRA!$BK$2:$BK$999,Transport!$C50)/SUMIFS(BY_TRA!BC$2:BC$999,BY_TRA!$BJ$2:$BJ$999,Transport!$B50),0)</f>
        <v>0</v>
      </c>
      <c r="AV50" s="5">
        <f>IFERROR(SUMIFS(BY_TRA!BD$2:BD$999,BY_TRA!$BJ$2:$BJ$999,Transport!$B50,BY_TRA!$BK$2:$BK$999,Transport!$C50)/SUMIFS(BY_TRA!BD$2:BD$999,BY_TRA!$BJ$2:$BJ$999,Transport!$B50),0)</f>
        <v>0</v>
      </c>
      <c r="AW50" s="5">
        <f>IFERROR(SUMIFS(BY_TRA!BE$2:BE$999,BY_TRA!$BJ$2:$BJ$999,Transport!$B50,BY_TRA!$BK$2:$BK$999,Transport!$C50)/SUMIFS(BY_TRA!BE$2:BE$999,BY_TRA!$BJ$2:$BJ$999,Transport!$B50),0)</f>
        <v>0</v>
      </c>
      <c r="AX50" s="5">
        <f>IFERROR(SUMIFS(BY_TRA!BF$2:BF$999,BY_TRA!$BJ$2:$BJ$999,Transport!$B50,BY_TRA!$BK$2:$BK$999,Transport!$C50)/SUMIFS(BY_TRA!BF$2:BF$999,BY_TRA!$BJ$2:$BJ$999,Transport!$B50),0)</f>
        <v>0</v>
      </c>
      <c r="AY50" s="5">
        <f>IFERROR(SUMIFS(BY_TRA!BG$2:BG$999,BY_TRA!$BJ$2:$BJ$999,Transport!$B50,BY_TRA!$BK$2:$BK$999,Transport!$C50)/SUMIFS(BY_TRA!BG$2:BG$999,BY_TRA!$BJ$2:$BJ$999,Transport!$B50),0)</f>
        <v>0</v>
      </c>
    </row>
    <row r="51" spans="2:51" ht="14.5">
      <c r="B51" t="s">
        <v>183</v>
      </c>
      <c r="C51" t="s">
        <v>175</v>
      </c>
      <c r="D51" s="5">
        <f>IFERROR(SUMIFS(BY_TRA!L$2:L$999,BY_TRA!$BJ$2:$BJ$999,Transport!$B51,BY_TRA!$BK$2:$BK$999,Transport!$C51)/SUMIFS(BY_TRA!L$2:L$999,BY_TRA!$BJ$2:$BJ$999,Transport!$B51),0)</f>
        <v>0.71501403180542566</v>
      </c>
      <c r="E51" s="5">
        <f>IFERROR(SUMIFS(BY_TRA!M$2:M$999,BY_TRA!$BJ$2:$BJ$999,Transport!$B51,BY_TRA!$BK$2:$BK$999,Transport!$C51)/SUMIFS(BY_TRA!M$2:M$999,BY_TRA!$BJ$2:$BJ$999,Transport!$B51),0)</f>
        <v>0.8592606978701357</v>
      </c>
      <c r="F51" s="5">
        <f>IFERROR(SUMIFS(BY_TRA!N$2:N$999,BY_TRA!$BJ$2:$BJ$999,Transport!$B51,BY_TRA!$BK$2:$BK$999,Transport!$C51)/SUMIFS(BY_TRA!N$2:N$999,BY_TRA!$BJ$2:$BJ$999,Transport!$B51),0)</f>
        <v>0.95720338117485881</v>
      </c>
      <c r="G51" s="5">
        <f>IFERROR(SUMIFS(BY_TRA!O$2:O$999,BY_TRA!$BJ$2:$BJ$999,Transport!$B51,BY_TRA!$BK$2:$BK$999,Transport!$C51)/SUMIFS(BY_TRA!O$2:O$999,BY_TRA!$BJ$2:$BJ$999,Transport!$B51),0)</f>
        <v>0.49800042901663377</v>
      </c>
      <c r="H51" s="5">
        <f>IFERROR(SUMIFS(BY_TRA!P$2:P$999,BY_TRA!$BJ$2:$BJ$999,Transport!$B51,BY_TRA!$BK$2:$BK$999,Transport!$C51)/SUMIFS(BY_TRA!P$2:P$999,BY_TRA!$BJ$2:$BJ$999,Transport!$B51),0)</f>
        <v>0.62959934587081001</v>
      </c>
      <c r="I51" s="5">
        <f>IFERROR(SUMIFS(BY_TRA!Q$2:Q$999,BY_TRA!$BJ$2:$BJ$999,Transport!$B51,BY_TRA!$BK$2:$BK$999,Transport!$C51)/SUMIFS(BY_TRA!Q$2:Q$999,BY_TRA!$BJ$2:$BJ$999,Transport!$B51),0)</f>
        <v>0.6100852951669421</v>
      </c>
      <c r="J51" s="5">
        <f>IFERROR(SUMIFS(BY_TRA!R$2:R$999,BY_TRA!$BJ$2:$BJ$999,Transport!$B51,BY_TRA!$BK$2:$BK$999,Transport!$C51)/SUMIFS(BY_TRA!R$2:R$999,BY_TRA!$BJ$2:$BJ$999,Transport!$B51),0)</f>
        <v>0.79281394068124178</v>
      </c>
      <c r="K51" s="5">
        <f>IFERROR(SUMIFS(BY_TRA!S$2:S$999,BY_TRA!$BJ$2:$BJ$999,Transport!$B51,BY_TRA!$BK$2:$BK$999,Transport!$C51)/SUMIFS(BY_TRA!S$2:S$999,BY_TRA!$BJ$2:$BJ$999,Transport!$B51),0)</f>
        <v>0.83619355098903225</v>
      </c>
      <c r="L51" s="5">
        <f>IFERROR(SUMIFS(BY_TRA!T$2:T$999,BY_TRA!$BJ$2:$BJ$999,Transport!$B51,BY_TRA!$BK$2:$BK$999,Transport!$C51)/SUMIFS(BY_TRA!T$2:T$999,BY_TRA!$BJ$2:$BJ$999,Transport!$B51),0)</f>
        <v>0.51769911504424782</v>
      </c>
      <c r="M51" s="5">
        <f>IFERROR(SUMIFS(BY_TRA!U$2:U$999,BY_TRA!$BJ$2:$BJ$999,Transport!$B51,BY_TRA!$BK$2:$BK$999,Transport!$C51)/SUMIFS(BY_TRA!U$2:U$999,BY_TRA!$BJ$2:$BJ$999,Transport!$B51),0)</f>
        <v>0.54882215428879721</v>
      </c>
      <c r="N51" s="5">
        <f>IFERROR(SUMIFS(BY_TRA!V$2:V$999,BY_TRA!$BJ$2:$BJ$999,Transport!$B51,BY_TRA!$BK$2:$BK$999,Transport!$C51)/SUMIFS(BY_TRA!V$2:V$999,BY_TRA!$BJ$2:$BJ$999,Transport!$B51),0)</f>
        <v>0.473558002372233</v>
      </c>
      <c r="O51" s="5">
        <f>IFERROR(SUMIFS(BY_TRA!W$2:W$999,BY_TRA!$BJ$2:$BJ$999,Transport!$B51,BY_TRA!$BK$2:$BK$999,Transport!$C51)/SUMIFS(BY_TRA!W$2:W$999,BY_TRA!$BJ$2:$BJ$999,Transport!$B51),0)</f>
        <v>0.63337245961768252</v>
      </c>
      <c r="P51" s="5">
        <f>IFERROR(SUMIFS(BY_TRA!X$2:X$999,BY_TRA!$BJ$2:$BJ$999,Transport!$B51,BY_TRA!$BK$2:$BK$999,Transport!$C51)/SUMIFS(BY_TRA!X$2:X$999,BY_TRA!$BJ$2:$BJ$999,Transport!$B51),0)</f>
        <v>0.75139650750395104</v>
      </c>
      <c r="Q51" s="5">
        <f>IFERROR(SUMIFS(BY_TRA!Y$2:Y$999,BY_TRA!$BJ$2:$BJ$999,Transport!$B51,BY_TRA!$BK$2:$BK$999,Transport!$C51)/SUMIFS(BY_TRA!Y$2:Y$999,BY_TRA!$BJ$2:$BJ$999,Transport!$B51),0)</f>
        <v>0.52534511319712829</v>
      </c>
      <c r="R51" s="5">
        <f>IFERROR(SUMIFS(BY_TRA!Z$2:Z$999,BY_TRA!$BJ$2:$BJ$999,Transport!$B51,BY_TRA!$BK$2:$BK$999,Transport!$C51)/SUMIFS(BY_TRA!Z$2:Z$999,BY_TRA!$BJ$2:$BJ$999,Transport!$B51),0)</f>
        <v>0.64741289120660195</v>
      </c>
      <c r="S51" s="5">
        <f>IFERROR(SUMIFS(BY_TRA!AA$2:AA$999,BY_TRA!$BJ$2:$BJ$999,Transport!$B51,BY_TRA!$BK$2:$BK$999,Transport!$C51)/SUMIFS(BY_TRA!AA$2:AA$999,BY_TRA!$BJ$2:$BJ$999,Transport!$B51),0)</f>
        <v>0.54965492514133318</v>
      </c>
      <c r="T51" s="5">
        <f>IFERROR(SUMIFS(BY_TRA!AB$2:AB$999,BY_TRA!$BJ$2:$BJ$999,Transport!$B51,BY_TRA!$BK$2:$BK$999,Transport!$C51)/SUMIFS(BY_TRA!AB$2:AB$999,BY_TRA!$BJ$2:$BJ$999,Transport!$B51),0)</f>
        <v>0.51170710940825848</v>
      </c>
      <c r="U51" s="5">
        <f>IFERROR(SUMIFS(BY_TRA!AC$2:AC$999,BY_TRA!$BJ$2:$BJ$999,Transport!$B51,BY_TRA!$BK$2:$BK$999,Transport!$C51)/SUMIFS(BY_TRA!AC$2:AC$999,BY_TRA!$BJ$2:$BJ$999,Transport!$B51),0)</f>
        <v>0.50588088008529741</v>
      </c>
      <c r="V51" s="5">
        <f>IFERROR(SUMIFS(BY_TRA!AD$2:AD$999,BY_TRA!$BJ$2:$BJ$999,Transport!$B51,BY_TRA!$BK$2:$BK$999,Transport!$C51)/SUMIFS(BY_TRA!AD$2:AD$999,BY_TRA!$BJ$2:$BJ$999,Transport!$B51),0)</f>
        <v>0.9484482704923306</v>
      </c>
      <c r="W51" s="5">
        <f>IFERROR(SUMIFS(BY_TRA!AE$2:AE$999,BY_TRA!$BJ$2:$BJ$999,Transport!$B51,BY_TRA!$BK$2:$BK$999,Transport!$C51)/SUMIFS(BY_TRA!AE$2:AE$999,BY_TRA!$BJ$2:$BJ$999,Transport!$B51),0)</f>
        <v>0.87571613169853668</v>
      </c>
      <c r="X51" s="5">
        <f>IFERROR(SUMIFS(BY_TRA!AF$2:AF$999,BY_TRA!$BJ$2:$BJ$999,Transport!$B51,BY_TRA!$BK$2:$BK$999,Transport!$C51)/SUMIFS(BY_TRA!AF$2:AF$999,BY_TRA!$BJ$2:$BJ$999,Transport!$B51),0)</f>
        <v>0.82105732002209197</v>
      </c>
      <c r="Y51" s="5">
        <f>IFERROR(SUMIFS(BY_TRA!AG$2:AG$999,BY_TRA!$BJ$2:$BJ$999,Transport!$B51,BY_TRA!$BK$2:$BK$999,Transport!$C51)/SUMIFS(BY_TRA!AG$2:AG$999,BY_TRA!$BJ$2:$BJ$999,Transport!$B51),0)</f>
        <v>0.96312358328918735</v>
      </c>
      <c r="Z51" s="5">
        <f>IFERROR(SUMIFS(BY_TRA!AH$2:AH$999,BY_TRA!$BJ$2:$BJ$999,Transport!$B51,BY_TRA!$BK$2:$BK$999,Transport!$C51)/SUMIFS(BY_TRA!AH$2:AH$999,BY_TRA!$BJ$2:$BJ$999,Transport!$B51),0)</f>
        <v>0.39520458106942591</v>
      </c>
      <c r="AA51" s="5">
        <f>IFERROR(SUMIFS(BY_TRA!AI$2:AI$999,BY_TRA!$BJ$2:$BJ$999,Transport!$B51,BY_TRA!$BK$2:$BK$999,Transport!$C51)/SUMIFS(BY_TRA!AI$2:AI$999,BY_TRA!$BJ$2:$BJ$999,Transport!$B51),0)</f>
        <v>0.46731172524770087</v>
      </c>
      <c r="AB51" s="5">
        <f>IFERROR(SUMIFS(BY_TRA!AJ$2:AJ$999,BY_TRA!$BJ$2:$BJ$999,Transport!$B51,BY_TRA!$BK$2:$BK$999,Transport!$C51)/SUMIFS(BY_TRA!AJ$2:AJ$999,BY_TRA!$BJ$2:$BJ$999,Transport!$B51),0)</f>
        <v>0.74154522975630444</v>
      </c>
      <c r="AC51" s="5">
        <f>IFERROR(SUMIFS(BY_TRA!AK$2:AK$999,BY_TRA!$BJ$2:$BJ$999,Transport!$B51,BY_TRA!$BK$2:$BK$999,Transport!$C51)/SUMIFS(BY_TRA!AK$2:AK$999,BY_TRA!$BJ$2:$BJ$999,Transport!$B51),0)</f>
        <v>0.92985741359082974</v>
      </c>
      <c r="AD51" s="5">
        <f>IFERROR(SUMIFS(BY_TRA!AL$2:AL$999,BY_TRA!$BJ$2:$BJ$999,Transport!$B51,BY_TRA!$BK$2:$BK$999,Transport!$C51)/SUMIFS(BY_TRA!AL$2:AL$999,BY_TRA!$BJ$2:$BJ$999,Transport!$B51),0)</f>
        <v>0.87769361368682253</v>
      </c>
      <c r="AE51" s="5">
        <f>IFERROR(SUMIFS(BY_TRA!AM$2:AM$999,BY_TRA!$BJ$2:$BJ$999,Transport!$B51,BY_TRA!$BK$2:$BK$999,Transport!$C51)/SUMIFS(BY_TRA!AM$2:AM$999,BY_TRA!$BJ$2:$BJ$999,Transport!$B51),0)</f>
        <v>0.81400920555927159</v>
      </c>
      <c r="AF51" s="5">
        <f>IFERROR(SUMIFS(BY_TRA!AN$2:AN$999,BY_TRA!$BJ$2:$BJ$999,Transport!$B51,BY_TRA!$BK$2:$BK$999,Transport!$C51)/SUMIFS(BY_TRA!AN$2:AN$999,BY_TRA!$BJ$2:$BJ$999,Transport!$B51),0)</f>
        <v>0.48426961086134213</v>
      </c>
      <c r="AG51" s="5">
        <f>IFERROR(SUMIFS(BY_TRA!AO$2:AO$999,BY_TRA!$BJ$2:$BJ$999,Transport!$B51,BY_TRA!$BK$2:$BK$999,Transport!$C51)/SUMIFS(BY_TRA!AO$2:AO$999,BY_TRA!$BJ$2:$BJ$999,Transport!$B51),0)</f>
        <v>0.62187192441522732</v>
      </c>
      <c r="AH51" s="5">
        <f>IFERROR(SUMIFS(BY_TRA!AP$2:AP$999,BY_TRA!$BJ$2:$BJ$999,Transport!$B51,BY_TRA!$BK$2:$BK$999,Transport!$C51)/SUMIFS(BY_TRA!AP$2:AP$999,BY_TRA!$BJ$2:$BJ$999,Transport!$B51),0)</f>
        <v>0.75039304741041879</v>
      </c>
      <c r="AI51" s="5">
        <f>IFERROR(SUMIFS(BY_TRA!AQ$2:AQ$999,BY_TRA!$BJ$2:$BJ$999,Transport!$B51,BY_TRA!$BK$2:$BK$999,Transport!$C51)/SUMIFS(BY_TRA!AQ$2:AQ$999,BY_TRA!$BJ$2:$BJ$999,Transport!$B51),0)</f>
        <v>0.25994263999262418</v>
      </c>
      <c r="AJ51" s="5">
        <f>IFERROR(SUMIFS(BY_TRA!AR$2:AR$999,BY_TRA!$BJ$2:$BJ$999,Transport!$B51,BY_TRA!$BK$2:$BK$999,Transport!$C51)/SUMIFS(BY_TRA!AR$2:AR$999,BY_TRA!$BJ$2:$BJ$999,Transport!$B51),0)</f>
        <v>0.64523233914542832</v>
      </c>
      <c r="AK51" s="5">
        <f>IFERROR(SUMIFS(BY_TRA!AS$2:AS$999,BY_TRA!$BJ$2:$BJ$999,Transport!$B51,BY_TRA!$BK$2:$BK$999,Transport!$C51)/SUMIFS(BY_TRA!AS$2:AS$999,BY_TRA!$BJ$2:$BJ$999,Transport!$B51),0)</f>
        <v>0.47014413177762521</v>
      </c>
      <c r="AL51" s="5">
        <f>IFERROR(SUMIFS(BY_TRA!AT$2:AT$999,BY_TRA!$BJ$2:$BJ$999,Transport!$B51,BY_TRA!$BK$2:$BK$999,Transport!$C51)/SUMIFS(BY_TRA!AT$2:AT$999,BY_TRA!$BJ$2:$BJ$999,Transport!$B51),0)</f>
        <v>0.40953545232273769</v>
      </c>
      <c r="AM51" s="5">
        <f>IFERROR(SUMIFS(BY_TRA!AU$2:AU$999,BY_TRA!$BJ$2:$BJ$999,Transport!$B51,BY_TRA!$BK$2:$BK$999,Transport!$C51)/SUMIFS(BY_TRA!AU$2:AU$999,BY_TRA!$BJ$2:$BJ$999,Transport!$B51),0)</f>
        <v>0</v>
      </c>
      <c r="AN51" s="5">
        <f>IFERROR(SUMIFS(BY_TRA!AV$2:AV$999,BY_TRA!$BJ$2:$BJ$999,Transport!$B51,BY_TRA!$BK$2:$BK$999,Transport!$C51)/SUMIFS(BY_TRA!AV$2:AV$999,BY_TRA!$BJ$2:$BJ$999,Transport!$B51),0)</f>
        <v>0</v>
      </c>
      <c r="AO51" s="5">
        <f>IFERROR(SUMIFS(BY_TRA!AW$2:AW$999,BY_TRA!$BJ$2:$BJ$999,Transport!$B51,BY_TRA!$BK$2:$BK$999,Transport!$C51)/SUMIFS(BY_TRA!AW$2:AW$999,BY_TRA!$BJ$2:$BJ$999,Transport!$B51),0)</f>
        <v>0</v>
      </c>
      <c r="AP51" s="5">
        <f>IFERROR(SUMIFS(BY_TRA!AX$2:AX$999,BY_TRA!$BJ$2:$BJ$999,Transport!$B51,BY_TRA!$BK$2:$BK$999,Transport!$C51)/SUMIFS(BY_TRA!AX$2:AX$999,BY_TRA!$BJ$2:$BJ$999,Transport!$B51),0)</f>
        <v>0</v>
      </c>
      <c r="AQ51" s="5">
        <f>IFERROR(SUMIFS(BY_TRA!AY$2:AY$999,BY_TRA!$BJ$2:$BJ$999,Transport!$B51,BY_TRA!$BK$2:$BK$999,Transport!$C51)/SUMIFS(BY_TRA!AY$2:AY$999,BY_TRA!$BJ$2:$BJ$999,Transport!$B51),0)</f>
        <v>0</v>
      </c>
      <c r="AR51" s="5">
        <f>IFERROR(SUMIFS(BY_TRA!AZ$2:AZ$999,BY_TRA!$BJ$2:$BJ$999,Transport!$B51,BY_TRA!$BK$2:$BK$999,Transport!$C51)/SUMIFS(BY_TRA!AZ$2:AZ$999,BY_TRA!$BJ$2:$BJ$999,Transport!$B51),0)</f>
        <v>0</v>
      </c>
      <c r="AS51" s="5">
        <f>IFERROR(SUMIFS(BY_TRA!BA$2:BA$999,BY_TRA!$BJ$2:$BJ$999,Transport!$B51,BY_TRA!$BK$2:$BK$999,Transport!$C51)/SUMIFS(BY_TRA!BA$2:BA$999,BY_TRA!$BJ$2:$BJ$999,Transport!$B51),0)</f>
        <v>0</v>
      </c>
      <c r="AT51" s="5">
        <f>IFERROR(SUMIFS(BY_TRA!BB$2:BB$999,BY_TRA!$BJ$2:$BJ$999,Transport!$B51,BY_TRA!$BK$2:$BK$999,Transport!$C51)/SUMIFS(BY_TRA!BB$2:BB$999,BY_TRA!$BJ$2:$BJ$999,Transport!$B51),0)</f>
        <v>0</v>
      </c>
      <c r="AU51" s="5">
        <f>IFERROR(SUMIFS(BY_TRA!BC$2:BC$999,BY_TRA!$BJ$2:$BJ$999,Transport!$B51,BY_TRA!$BK$2:$BK$999,Transport!$C51)/SUMIFS(BY_TRA!BC$2:BC$999,BY_TRA!$BJ$2:$BJ$999,Transport!$B51),0)</f>
        <v>0</v>
      </c>
      <c r="AV51" s="5">
        <f>IFERROR(SUMIFS(BY_TRA!BD$2:BD$999,BY_TRA!$BJ$2:$BJ$999,Transport!$B51,BY_TRA!$BK$2:$BK$999,Transport!$C51)/SUMIFS(BY_TRA!BD$2:BD$999,BY_TRA!$BJ$2:$BJ$999,Transport!$B51),0)</f>
        <v>0</v>
      </c>
      <c r="AW51" s="5">
        <f>IFERROR(SUMIFS(BY_TRA!BE$2:BE$999,BY_TRA!$BJ$2:$BJ$999,Transport!$B51,BY_TRA!$BK$2:$BK$999,Transport!$C51)/SUMIFS(BY_TRA!BE$2:BE$999,BY_TRA!$BJ$2:$BJ$999,Transport!$B51),0)</f>
        <v>0</v>
      </c>
      <c r="AX51" s="5">
        <f>IFERROR(SUMIFS(BY_TRA!BF$2:BF$999,BY_TRA!$BJ$2:$BJ$999,Transport!$B51,BY_TRA!$BK$2:$BK$999,Transport!$C51)/SUMIFS(BY_TRA!BF$2:BF$999,BY_TRA!$BJ$2:$BJ$999,Transport!$B51),0)</f>
        <v>0</v>
      </c>
      <c r="AY51" s="5">
        <f>IFERROR(SUMIFS(BY_TRA!BG$2:BG$999,BY_TRA!$BJ$2:$BJ$999,Transport!$B51,BY_TRA!$BK$2:$BK$999,Transport!$C51)/SUMIFS(BY_TRA!BG$2:BG$999,BY_TRA!$BJ$2:$BJ$999,Transport!$B51),0)</f>
        <v>0</v>
      </c>
    </row>
    <row r="52" spans="2:51" ht="14.5">
      <c r="B52" t="s">
        <v>183</v>
      </c>
      <c r="C52" t="s">
        <v>181</v>
      </c>
      <c r="D52" s="5">
        <f>IFERROR(SUMIFS(BY_TRA!L$2:L$999,BY_TRA!$BJ$2:$BJ$999,Transport!$B52,BY_TRA!$BK$2:$BK$999,Transport!$C52)/SUMIFS(BY_TRA!L$2:L$999,BY_TRA!$BJ$2:$BJ$999,Transport!$B52),0)</f>
        <v>0.04775491113189894</v>
      </c>
      <c r="E52" s="5">
        <f>IFERROR(SUMIFS(BY_TRA!M$2:M$999,BY_TRA!$BJ$2:$BJ$999,Transport!$B52,BY_TRA!$BK$2:$BK$999,Transport!$C52)/SUMIFS(BY_TRA!M$2:M$999,BY_TRA!$BJ$2:$BJ$999,Transport!$B52),0)</f>
        <v>3.2368744740078959E-05</v>
      </c>
      <c r="F52" s="5">
        <f>IFERROR(SUMIFS(BY_TRA!N$2:N$999,BY_TRA!$BJ$2:$BJ$999,Transport!$B52,BY_TRA!$BK$2:$BK$999,Transport!$C52)/SUMIFS(BY_TRA!N$2:N$999,BY_TRA!$BJ$2:$BJ$999,Transport!$B52),0)</f>
        <v>0.0074167544415744925</v>
      </c>
      <c r="G52" s="5">
        <f>IFERROR(SUMIFS(BY_TRA!O$2:O$999,BY_TRA!$BJ$2:$BJ$999,Transport!$B52,BY_TRA!$BK$2:$BK$999,Transport!$C52)/SUMIFS(BY_TRA!O$2:O$999,BY_TRA!$BJ$2:$BJ$999,Transport!$B52),0)</f>
        <v>0.0013495946585816633</v>
      </c>
      <c r="H52" s="5">
        <f>IFERROR(SUMIFS(BY_TRA!P$2:P$999,BY_TRA!$BJ$2:$BJ$999,Transport!$B52,BY_TRA!$BK$2:$BK$999,Transport!$C52)/SUMIFS(BY_TRA!P$2:P$999,BY_TRA!$BJ$2:$BJ$999,Transport!$B52),0)</f>
        <v>0.12755519215044986</v>
      </c>
      <c r="I52" s="5">
        <f>IFERROR(SUMIFS(BY_TRA!Q$2:Q$999,BY_TRA!$BJ$2:$BJ$999,Transport!$B52,BY_TRA!$BK$2:$BK$999,Transport!$C52)/SUMIFS(BY_TRA!Q$2:Q$999,BY_TRA!$BJ$2:$BJ$999,Transport!$B52),0)</f>
        <v>0.014836942226337767</v>
      </c>
      <c r="J52" s="5">
        <f>IFERROR(SUMIFS(BY_TRA!R$2:R$999,BY_TRA!$BJ$2:$BJ$999,Transport!$B52,BY_TRA!$BK$2:$BK$999,Transport!$C52)/SUMIFS(BY_TRA!R$2:R$999,BY_TRA!$BJ$2:$BJ$999,Transport!$B52),0)</f>
        <v>0</v>
      </c>
      <c r="K52" s="5">
        <f>IFERROR(SUMIFS(BY_TRA!S$2:S$999,BY_TRA!$BJ$2:$BJ$999,Transport!$B52,BY_TRA!$BK$2:$BK$999,Transport!$C52)/SUMIFS(BY_TRA!S$2:S$999,BY_TRA!$BJ$2:$BJ$999,Transport!$B52),0)</f>
        <v>0.0054975244845527566</v>
      </c>
      <c r="L52" s="5">
        <f>IFERROR(SUMIFS(BY_TRA!T$2:T$999,BY_TRA!$BJ$2:$BJ$999,Transport!$B52,BY_TRA!$BK$2:$BK$999,Transport!$C52)/SUMIFS(BY_TRA!T$2:T$999,BY_TRA!$BJ$2:$BJ$999,Transport!$B52),0)</f>
        <v>0.033386967015285603</v>
      </c>
      <c r="M52" s="5">
        <f>IFERROR(SUMIFS(BY_TRA!U$2:U$999,BY_TRA!$BJ$2:$BJ$999,Transport!$B52,BY_TRA!$BK$2:$BK$999,Transport!$C52)/SUMIFS(BY_TRA!U$2:U$999,BY_TRA!$BJ$2:$BJ$999,Transport!$B52),0)</f>
        <v>0.016363963315950386</v>
      </c>
      <c r="N52" s="5">
        <f>IFERROR(SUMIFS(BY_TRA!V$2:V$999,BY_TRA!$BJ$2:$BJ$999,Transport!$B52,BY_TRA!$BK$2:$BK$999,Transport!$C52)/SUMIFS(BY_TRA!V$2:V$999,BY_TRA!$BJ$2:$BJ$999,Transport!$B52),0)</f>
        <v>0.0027779188667753601</v>
      </c>
      <c r="O52" s="5">
        <f>IFERROR(SUMIFS(BY_TRA!W$2:W$999,BY_TRA!$BJ$2:$BJ$999,Transport!$B52,BY_TRA!$BK$2:$BK$999,Transport!$C52)/SUMIFS(BY_TRA!W$2:W$999,BY_TRA!$BJ$2:$BJ$999,Transport!$B52),0)</f>
        <v>0.010881315354470763</v>
      </c>
      <c r="P52" s="5">
        <f>IFERROR(SUMIFS(BY_TRA!X$2:X$999,BY_TRA!$BJ$2:$BJ$999,Transport!$B52,BY_TRA!$BK$2:$BK$999,Transport!$C52)/SUMIFS(BY_TRA!X$2:X$999,BY_TRA!$BJ$2:$BJ$999,Transport!$B52),0)</f>
        <v>0.053480178470032093</v>
      </c>
      <c r="Q52" s="5">
        <f>IFERROR(SUMIFS(BY_TRA!Y$2:Y$999,BY_TRA!$BJ$2:$BJ$999,Transport!$B52,BY_TRA!$BK$2:$BK$999,Transport!$C52)/SUMIFS(BY_TRA!Y$2:Y$999,BY_TRA!$BJ$2:$BJ$999,Transport!$B52),0)</f>
        <v>0.058199889563776933</v>
      </c>
      <c r="R52" s="5">
        <f>IFERROR(SUMIFS(BY_TRA!Z$2:Z$999,BY_TRA!$BJ$2:$BJ$999,Transport!$B52,BY_TRA!$BK$2:$BK$999,Transport!$C52)/SUMIFS(BY_TRA!Z$2:Z$999,BY_TRA!$BJ$2:$BJ$999,Transport!$B52),0)</f>
        <v>0</v>
      </c>
      <c r="S52" s="5">
        <f>IFERROR(SUMIFS(BY_TRA!AA$2:AA$999,BY_TRA!$BJ$2:$BJ$999,Transport!$B52,BY_TRA!$BK$2:$BK$999,Transport!$C52)/SUMIFS(BY_TRA!AA$2:AA$999,BY_TRA!$BJ$2:$BJ$999,Transport!$B52),0)</f>
        <v>0.0017073301735800904</v>
      </c>
      <c r="T52" s="5">
        <f>IFERROR(SUMIFS(BY_TRA!AB$2:AB$999,BY_TRA!$BJ$2:$BJ$999,Transport!$B52,BY_TRA!$BK$2:$BK$999,Transport!$C52)/SUMIFS(BY_TRA!AB$2:AB$999,BY_TRA!$BJ$2:$BJ$999,Transport!$B52),0)</f>
        <v>0.00085142613878246064</v>
      </c>
      <c r="U52" s="5">
        <f>IFERROR(SUMIFS(BY_TRA!AC$2:AC$999,BY_TRA!$BJ$2:$BJ$999,Transport!$B52,BY_TRA!$BK$2:$BK$999,Transport!$C52)/SUMIFS(BY_TRA!AC$2:AC$999,BY_TRA!$BJ$2:$BJ$999,Transport!$B52),0)</f>
        <v>0.093938622689952192</v>
      </c>
      <c r="V52" s="5">
        <f>IFERROR(SUMIFS(BY_TRA!AD$2:AD$999,BY_TRA!$BJ$2:$BJ$999,Transport!$B52,BY_TRA!$BK$2:$BK$999,Transport!$C52)/SUMIFS(BY_TRA!AD$2:AD$999,BY_TRA!$BJ$2:$BJ$999,Transport!$B52),0)</f>
        <v>0.011717608547554414</v>
      </c>
      <c r="W52" s="5">
        <f>IFERROR(SUMIFS(BY_TRA!AE$2:AE$999,BY_TRA!$BJ$2:$BJ$999,Transport!$B52,BY_TRA!$BK$2:$BK$999,Transport!$C52)/SUMIFS(BY_TRA!AE$2:AE$999,BY_TRA!$BJ$2:$BJ$999,Transport!$B52),0)</f>
        <v>0.01026908147598626</v>
      </c>
      <c r="X52" s="5">
        <f>IFERROR(SUMIFS(BY_TRA!AF$2:AF$999,BY_TRA!$BJ$2:$BJ$999,Transport!$B52,BY_TRA!$BK$2:$BK$999,Transport!$C52)/SUMIFS(BY_TRA!AF$2:AF$999,BY_TRA!$BJ$2:$BJ$999,Transport!$B52),0)</f>
        <v>0.00088406332569674793</v>
      </c>
      <c r="Y52" s="5">
        <f>IFERROR(SUMIFS(BY_TRA!AG$2:AG$999,BY_TRA!$BJ$2:$BJ$999,Transport!$B52,BY_TRA!$BK$2:$BK$999,Transport!$C52)/SUMIFS(BY_TRA!AG$2:AG$999,BY_TRA!$BJ$2:$BJ$999,Transport!$B52),0)</f>
        <v>0.0035635974650297547</v>
      </c>
      <c r="Z52" s="5">
        <f>IFERROR(SUMIFS(BY_TRA!AH$2:AH$999,BY_TRA!$BJ$2:$BJ$999,Transport!$B52,BY_TRA!$BK$2:$BK$999,Transport!$C52)/SUMIFS(BY_TRA!AH$2:AH$999,BY_TRA!$BJ$2:$BJ$999,Transport!$B52),0)</f>
        <v>0.0022800264292466873</v>
      </c>
      <c r="AA52" s="5">
        <f>IFERROR(SUMIFS(BY_TRA!AI$2:AI$999,BY_TRA!$BJ$2:$BJ$999,Transport!$B52,BY_TRA!$BK$2:$BK$999,Transport!$C52)/SUMIFS(BY_TRA!AI$2:AI$999,BY_TRA!$BJ$2:$BJ$999,Transport!$B52),0)</f>
        <v>0.14119048669968851</v>
      </c>
      <c r="AB52" s="5">
        <f>IFERROR(SUMIFS(BY_TRA!AJ$2:AJ$999,BY_TRA!$BJ$2:$BJ$999,Transport!$B52,BY_TRA!$BK$2:$BK$999,Transport!$C52)/SUMIFS(BY_TRA!AJ$2:AJ$999,BY_TRA!$BJ$2:$BJ$999,Transport!$B52),0)</f>
        <v>0.049444023910263563</v>
      </c>
      <c r="AC52" s="5">
        <f>IFERROR(SUMIFS(BY_TRA!AK$2:AK$999,BY_TRA!$BJ$2:$BJ$999,Transport!$B52,BY_TRA!$BK$2:$BK$999,Transport!$C52)/SUMIFS(BY_TRA!AK$2:AK$999,BY_TRA!$BJ$2:$BJ$999,Transport!$B52),0)</f>
        <v>0.030322173089071345</v>
      </c>
      <c r="AD52" s="5">
        <f>IFERROR(SUMIFS(BY_TRA!AL$2:AL$999,BY_TRA!$BJ$2:$BJ$999,Transport!$B52,BY_TRA!$BK$2:$BK$999,Transport!$C52)/SUMIFS(BY_TRA!AL$2:AL$999,BY_TRA!$BJ$2:$BJ$999,Transport!$B52),0)</f>
        <v>0</v>
      </c>
      <c r="AE52" s="5">
        <f>IFERROR(SUMIFS(BY_TRA!AM$2:AM$999,BY_TRA!$BJ$2:$BJ$999,Transport!$B52,BY_TRA!$BK$2:$BK$999,Transport!$C52)/SUMIFS(BY_TRA!AM$2:AM$999,BY_TRA!$BJ$2:$BJ$999,Transport!$B52),0)</f>
        <v>0.0019260791613351597</v>
      </c>
      <c r="AF52" s="5">
        <f>IFERROR(SUMIFS(BY_TRA!AN$2:AN$999,BY_TRA!$BJ$2:$BJ$999,Transport!$B52,BY_TRA!$BK$2:$BK$999,Transport!$C52)/SUMIFS(BY_TRA!AN$2:AN$999,BY_TRA!$BJ$2:$BJ$999,Transport!$B52),0)</f>
        <v>0.0080456185348798948</v>
      </c>
      <c r="AG52" s="5">
        <f>IFERROR(SUMIFS(BY_TRA!AO$2:AO$999,BY_TRA!$BJ$2:$BJ$999,Transport!$B52,BY_TRA!$BK$2:$BK$999,Transport!$C52)/SUMIFS(BY_TRA!AO$2:AO$999,BY_TRA!$BJ$2:$BJ$999,Transport!$B52),0)</f>
        <v>0</v>
      </c>
      <c r="AH52" s="5">
        <f>IFERROR(SUMIFS(BY_TRA!AP$2:AP$999,BY_TRA!$BJ$2:$BJ$999,Transport!$B52,BY_TRA!$BK$2:$BK$999,Transport!$C52)/SUMIFS(BY_TRA!AP$2:AP$999,BY_TRA!$BJ$2:$BJ$999,Transport!$B52),0)</f>
        <v>0.0004028955959250573</v>
      </c>
      <c r="AI52" s="5">
        <f>IFERROR(SUMIFS(BY_TRA!AQ$2:AQ$999,BY_TRA!$BJ$2:$BJ$999,Transport!$B52,BY_TRA!$BK$2:$BK$999,Transport!$C52)/SUMIFS(BY_TRA!AQ$2:AQ$999,BY_TRA!$BJ$2:$BJ$999,Transport!$B52),0)</f>
        <v>0.36405864967275514</v>
      </c>
      <c r="AJ52" s="5">
        <f>IFERROR(SUMIFS(BY_TRA!AR$2:AR$999,BY_TRA!$BJ$2:$BJ$999,Transport!$B52,BY_TRA!$BK$2:$BK$999,Transport!$C52)/SUMIFS(BY_TRA!AR$2:AR$999,BY_TRA!$BJ$2:$BJ$999,Transport!$B52),0)</f>
        <v>0.0028867953993604624</v>
      </c>
      <c r="AK52" s="5">
        <f>IFERROR(SUMIFS(BY_TRA!AS$2:AS$999,BY_TRA!$BJ$2:$BJ$999,Transport!$B52,BY_TRA!$BK$2:$BK$999,Transport!$C52)/SUMIFS(BY_TRA!AS$2:AS$999,BY_TRA!$BJ$2:$BJ$999,Transport!$B52),0)</f>
        <v>0.43056508808053084</v>
      </c>
      <c r="AL52" s="5">
        <f>IFERROR(SUMIFS(BY_TRA!AT$2:AT$999,BY_TRA!$BJ$2:$BJ$999,Transport!$B52,BY_TRA!$BK$2:$BK$999,Transport!$C52)/SUMIFS(BY_TRA!AT$2:AT$999,BY_TRA!$BJ$2:$BJ$999,Transport!$B52),0)</f>
        <v>0.072432762836185702</v>
      </c>
      <c r="AM52" s="5">
        <f>IFERROR(SUMIFS(BY_TRA!AU$2:AU$999,BY_TRA!$BJ$2:$BJ$999,Transport!$B52,BY_TRA!$BK$2:$BK$999,Transport!$C52)/SUMIFS(BY_TRA!AU$2:AU$999,BY_TRA!$BJ$2:$BJ$999,Transport!$B52),0)</f>
        <v>0</v>
      </c>
      <c r="AN52" s="5">
        <f>IFERROR(SUMIFS(BY_TRA!AV$2:AV$999,BY_TRA!$BJ$2:$BJ$999,Transport!$B52,BY_TRA!$BK$2:$BK$999,Transport!$C52)/SUMIFS(BY_TRA!AV$2:AV$999,BY_TRA!$BJ$2:$BJ$999,Transport!$B52),0)</f>
        <v>0</v>
      </c>
      <c r="AO52" s="5">
        <f>IFERROR(SUMIFS(BY_TRA!AW$2:AW$999,BY_TRA!$BJ$2:$BJ$999,Transport!$B52,BY_TRA!$BK$2:$BK$999,Transport!$C52)/SUMIFS(BY_TRA!AW$2:AW$999,BY_TRA!$BJ$2:$BJ$999,Transport!$B52),0)</f>
        <v>0</v>
      </c>
      <c r="AP52" s="5">
        <f>IFERROR(SUMIFS(BY_TRA!AX$2:AX$999,BY_TRA!$BJ$2:$BJ$999,Transport!$B52,BY_TRA!$BK$2:$BK$999,Transport!$C52)/SUMIFS(BY_TRA!AX$2:AX$999,BY_TRA!$BJ$2:$BJ$999,Transport!$B52),0)</f>
        <v>0</v>
      </c>
      <c r="AQ52" s="5">
        <f>IFERROR(SUMIFS(BY_TRA!AY$2:AY$999,BY_TRA!$BJ$2:$BJ$999,Transport!$B52,BY_TRA!$BK$2:$BK$999,Transport!$C52)/SUMIFS(BY_TRA!AY$2:AY$999,BY_TRA!$BJ$2:$BJ$999,Transport!$B52),0)</f>
        <v>0</v>
      </c>
      <c r="AR52" s="5">
        <f>IFERROR(SUMIFS(BY_TRA!AZ$2:AZ$999,BY_TRA!$BJ$2:$BJ$999,Transport!$B52,BY_TRA!$BK$2:$BK$999,Transport!$C52)/SUMIFS(BY_TRA!AZ$2:AZ$999,BY_TRA!$BJ$2:$BJ$999,Transport!$B52),0)</f>
        <v>0</v>
      </c>
      <c r="AS52" s="5">
        <f>IFERROR(SUMIFS(BY_TRA!BA$2:BA$999,BY_TRA!$BJ$2:$BJ$999,Transport!$B52,BY_TRA!$BK$2:$BK$999,Transport!$C52)/SUMIFS(BY_TRA!BA$2:BA$999,BY_TRA!$BJ$2:$BJ$999,Transport!$B52),0)</f>
        <v>0</v>
      </c>
      <c r="AT52" s="5">
        <f>IFERROR(SUMIFS(BY_TRA!BB$2:BB$999,BY_TRA!$BJ$2:$BJ$999,Transport!$B52,BY_TRA!$BK$2:$BK$999,Transport!$C52)/SUMIFS(BY_TRA!BB$2:BB$999,BY_TRA!$BJ$2:$BJ$999,Transport!$B52),0)</f>
        <v>0</v>
      </c>
      <c r="AU52" s="5">
        <f>IFERROR(SUMIFS(BY_TRA!BC$2:BC$999,BY_TRA!$BJ$2:$BJ$999,Transport!$B52,BY_TRA!$BK$2:$BK$999,Transport!$C52)/SUMIFS(BY_TRA!BC$2:BC$999,BY_TRA!$BJ$2:$BJ$999,Transport!$B52),0)</f>
        <v>0</v>
      </c>
      <c r="AV52" s="5">
        <f>IFERROR(SUMIFS(BY_TRA!BD$2:BD$999,BY_TRA!$BJ$2:$BJ$999,Transport!$B52,BY_TRA!$BK$2:$BK$999,Transport!$C52)/SUMIFS(BY_TRA!BD$2:BD$999,BY_TRA!$BJ$2:$BJ$999,Transport!$B52),0)</f>
        <v>0</v>
      </c>
      <c r="AW52" s="5">
        <f>IFERROR(SUMIFS(BY_TRA!BE$2:BE$999,BY_TRA!$BJ$2:$BJ$999,Transport!$B52,BY_TRA!$BK$2:$BK$999,Transport!$C52)/SUMIFS(BY_TRA!BE$2:BE$999,BY_TRA!$BJ$2:$BJ$999,Transport!$B52),0)</f>
        <v>0</v>
      </c>
      <c r="AX52" s="5">
        <f>IFERROR(SUMIFS(BY_TRA!BF$2:BF$999,BY_TRA!$BJ$2:$BJ$999,Transport!$B52,BY_TRA!$BK$2:$BK$999,Transport!$C52)/SUMIFS(BY_TRA!BF$2:BF$999,BY_TRA!$BJ$2:$BJ$999,Transport!$B52),0)</f>
        <v>0</v>
      </c>
      <c r="AY52" s="5">
        <f>IFERROR(SUMIFS(BY_TRA!BG$2:BG$999,BY_TRA!$BJ$2:$BJ$999,Transport!$B52,BY_TRA!$BK$2:$BK$999,Transport!$C52)/SUMIFS(BY_TRA!BG$2:BG$999,BY_TRA!$BJ$2:$BJ$999,Transport!$B52),0)</f>
        <v>0</v>
      </c>
    </row>
    <row r="53" spans="2:51" ht="14.5">
      <c r="B53" t="s">
        <v>183</v>
      </c>
      <c r="C53" s="6" t="s">
        <v>182</v>
      </c>
      <c r="D53" s="5">
        <f>IFERROR(SUMIFS(BY_TRA!L$2:L$999,BY_TRA!$BJ$2:$BJ$999,Transport!$B53,BY_TRA!$BK$2:$BK$999,Transport!$C53)/SUMIFS(BY_TRA!L$2:L$999,BY_TRA!$BJ$2:$BJ$999,Transport!$B53),0)</f>
        <v>0.0085126286248830684</v>
      </c>
      <c r="E53" s="5">
        <f>IFERROR(SUMIFS(BY_TRA!M$2:M$999,BY_TRA!$BJ$2:$BJ$999,Transport!$B53,BY_TRA!$BK$2:$BK$999,Transport!$C53)/SUMIFS(BY_TRA!M$2:M$999,BY_TRA!$BJ$2:$BJ$999,Transport!$B53),0)</f>
        <v>3.2368744740078959E-05</v>
      </c>
      <c r="F53" s="5">
        <f>IFERROR(SUMIFS(BY_TRA!N$2:N$999,BY_TRA!$BJ$2:$BJ$999,Transport!$B53,BY_TRA!$BK$2:$BK$999,Transport!$C53)/SUMIFS(BY_TRA!N$2:N$999,BY_TRA!$BJ$2:$BJ$999,Transport!$B53),0)</f>
        <v>0.0013752922143316936</v>
      </c>
      <c r="G53" s="5">
        <f>IFERROR(SUMIFS(BY_TRA!O$2:O$999,BY_TRA!$BJ$2:$BJ$999,Transport!$B53,BY_TRA!$BK$2:$BK$999,Transport!$C53)/SUMIFS(BY_TRA!O$2:O$999,BY_TRA!$BJ$2:$BJ$999,Transport!$B53),0)</f>
        <v>0.0036631855018645159</v>
      </c>
      <c r="H53" s="5">
        <f>IFERROR(SUMIFS(BY_TRA!P$2:P$999,BY_TRA!$BJ$2:$BJ$999,Transport!$B53,BY_TRA!$BK$2:$BK$999,Transport!$C53)/SUMIFS(BY_TRA!P$2:P$999,BY_TRA!$BJ$2:$BJ$999,Transport!$B53),0)</f>
        <v>0.016353229762878188</v>
      </c>
      <c r="I53" s="5">
        <f>IFERROR(SUMIFS(BY_TRA!Q$2:Q$999,BY_TRA!$BJ$2:$BJ$999,Transport!$B53,BY_TRA!$BK$2:$BK$999,Transport!$C53)/SUMIFS(BY_TRA!Q$2:Q$999,BY_TRA!$BJ$2:$BJ$999,Transport!$B53),0)</f>
        <v>0.0057393932892006155</v>
      </c>
      <c r="J53" s="5">
        <f>IFERROR(SUMIFS(BY_TRA!R$2:R$999,BY_TRA!$BJ$2:$BJ$999,Transport!$B53,BY_TRA!$BK$2:$BK$999,Transport!$C53)/SUMIFS(BY_TRA!R$2:R$999,BY_TRA!$BJ$2:$BJ$999,Transport!$B53),0)</f>
        <v>0.038807091840801847</v>
      </c>
      <c r="K53" s="5">
        <f>IFERROR(SUMIFS(BY_TRA!S$2:S$999,BY_TRA!$BJ$2:$BJ$999,Transport!$B53,BY_TRA!$BK$2:$BK$999,Transport!$C53)/SUMIFS(BY_TRA!S$2:S$999,BY_TRA!$BJ$2:$BJ$999,Transport!$B53),0)</f>
        <v>0.065179028206759707</v>
      </c>
      <c r="L53" s="5">
        <f>IFERROR(SUMIFS(BY_TRA!T$2:T$999,BY_TRA!$BJ$2:$BJ$999,Transport!$B53,BY_TRA!$BK$2:$BK$999,Transport!$C53)/SUMIFS(BY_TRA!T$2:T$999,BY_TRA!$BJ$2:$BJ$999,Transport!$B53),0)</f>
        <v>0</v>
      </c>
      <c r="M53" s="5">
        <f>IFERROR(SUMIFS(BY_TRA!U$2:U$999,BY_TRA!$BJ$2:$BJ$999,Transport!$B53,BY_TRA!$BK$2:$BK$999,Transport!$C53)/SUMIFS(BY_TRA!U$2:U$999,BY_TRA!$BJ$2:$BJ$999,Transport!$B53),0)</f>
        <v>0</v>
      </c>
      <c r="N53" s="5">
        <f>IFERROR(SUMIFS(BY_TRA!V$2:V$999,BY_TRA!$BJ$2:$BJ$999,Transport!$B53,BY_TRA!$BK$2:$BK$999,Transport!$C53)/SUMIFS(BY_TRA!V$2:V$999,BY_TRA!$BJ$2:$BJ$999,Transport!$B53),0)</f>
        <v>0.0064046462761765278</v>
      </c>
      <c r="O53" s="5">
        <f>IFERROR(SUMIFS(BY_TRA!W$2:W$999,BY_TRA!$BJ$2:$BJ$999,Transport!$B53,BY_TRA!$BK$2:$BK$999,Transport!$C53)/SUMIFS(BY_TRA!W$2:W$999,BY_TRA!$BJ$2:$BJ$999,Transport!$B53),0)</f>
        <v>0.0047708574880292957</v>
      </c>
      <c r="P53" s="5">
        <f>IFERROR(SUMIFS(BY_TRA!X$2:X$999,BY_TRA!$BJ$2:$BJ$999,Transport!$B53,BY_TRA!$BK$2:$BK$999,Transport!$C53)/SUMIFS(BY_TRA!X$2:X$999,BY_TRA!$BJ$2:$BJ$999,Transport!$B53),0)</f>
        <v>0.0032088107082019249</v>
      </c>
      <c r="Q53" s="5">
        <f>IFERROR(SUMIFS(BY_TRA!Y$2:Y$999,BY_TRA!$BJ$2:$BJ$999,Transport!$B53,BY_TRA!$BK$2:$BK$999,Transport!$C53)/SUMIFS(BY_TRA!Y$2:Y$999,BY_TRA!$BJ$2:$BJ$999,Transport!$B53),0)</f>
        <v>0</v>
      </c>
      <c r="R53" s="5">
        <f>IFERROR(SUMIFS(BY_TRA!Z$2:Z$999,BY_TRA!$BJ$2:$BJ$999,Transport!$B53,BY_TRA!$BK$2:$BK$999,Transport!$C53)/SUMIFS(BY_TRA!Z$2:Z$999,BY_TRA!$BJ$2:$BJ$999,Transport!$B53),0)</f>
        <v>0.0066401322175036132</v>
      </c>
      <c r="S53" s="5">
        <f>IFERROR(SUMIFS(BY_TRA!AA$2:AA$999,BY_TRA!$BJ$2:$BJ$999,Transport!$B53,BY_TRA!$BK$2:$BK$999,Transport!$C53)/SUMIFS(BY_TRA!AA$2:AA$999,BY_TRA!$BJ$2:$BJ$999,Transport!$B53),0)</f>
        <v>0.023270277921387902</v>
      </c>
      <c r="T53" s="5">
        <f>IFERROR(SUMIFS(BY_TRA!AB$2:AB$999,BY_TRA!$BJ$2:$BJ$999,Transport!$B53,BY_TRA!$BK$2:$BK$999,Transport!$C53)/SUMIFS(BY_TRA!AB$2:AB$999,BY_TRA!$BJ$2:$BJ$999,Transport!$B53),0)</f>
        <v>0</v>
      </c>
      <c r="U53" s="5">
        <f>IFERROR(SUMIFS(BY_TRA!AC$2:AC$999,BY_TRA!$BJ$2:$BJ$999,Transport!$B53,BY_TRA!$BK$2:$BK$999,Transport!$C53)/SUMIFS(BY_TRA!AC$2:AC$999,BY_TRA!$BJ$2:$BJ$999,Transport!$B53),0)</f>
        <v>0.040757978265742185</v>
      </c>
      <c r="V53" s="5">
        <f>IFERROR(SUMIFS(BY_TRA!AD$2:AD$999,BY_TRA!$BJ$2:$BJ$999,Transport!$B53,BY_TRA!$BK$2:$BK$999,Transport!$C53)/SUMIFS(BY_TRA!AD$2:AD$999,BY_TRA!$BJ$2:$BJ$999,Transport!$B53),0)</f>
        <v>0.00083448844255580394</v>
      </c>
      <c r="W53" s="5">
        <f>IFERROR(SUMIFS(BY_TRA!AE$2:AE$999,BY_TRA!$BJ$2:$BJ$999,Transport!$B53,BY_TRA!$BK$2:$BK$999,Transport!$C53)/SUMIFS(BY_TRA!AE$2:AE$999,BY_TRA!$BJ$2:$BJ$999,Transport!$B53),0)</f>
        <v>0.043351690895708769</v>
      </c>
      <c r="X53" s="5">
        <f>IFERROR(SUMIFS(BY_TRA!AF$2:AF$999,BY_TRA!$BJ$2:$BJ$999,Transport!$B53,BY_TRA!$BK$2:$BK$999,Transport!$C53)/SUMIFS(BY_TRA!AF$2:AF$999,BY_TRA!$BJ$2:$BJ$999,Transport!$B53),0)</f>
        <v>0.089976534595912303</v>
      </c>
      <c r="Y53" s="5">
        <f>IFERROR(SUMIFS(BY_TRA!AG$2:AG$999,BY_TRA!$BJ$2:$BJ$999,Transport!$B53,BY_TRA!$BK$2:$BK$999,Transport!$C53)/SUMIFS(BY_TRA!AG$2:AG$999,BY_TRA!$BJ$2:$BJ$999,Transport!$B53),0)</f>
        <v>0.003225013382841653</v>
      </c>
      <c r="Z53" s="5">
        <f>IFERROR(SUMIFS(BY_TRA!AH$2:AH$999,BY_TRA!$BJ$2:$BJ$999,Transport!$B53,BY_TRA!$BK$2:$BK$999,Transport!$C53)/SUMIFS(BY_TRA!AH$2:AH$999,BY_TRA!$BJ$2:$BJ$999,Transport!$B53),0)</f>
        <v>0.022040255482717964</v>
      </c>
      <c r="AA53" s="5">
        <f>IFERROR(SUMIFS(BY_TRA!AI$2:AI$999,BY_TRA!$BJ$2:$BJ$999,Transport!$B53,BY_TRA!$BK$2:$BK$999,Transport!$C53)/SUMIFS(BY_TRA!AI$2:AI$999,BY_TRA!$BJ$2:$BJ$999,Transport!$B53),0)</f>
        <v>0</v>
      </c>
      <c r="AB53" s="5">
        <f>IFERROR(SUMIFS(BY_TRA!AJ$2:AJ$999,BY_TRA!$BJ$2:$BJ$999,Transport!$B53,BY_TRA!$BK$2:$BK$999,Transport!$C53)/SUMIFS(BY_TRA!AJ$2:AJ$999,BY_TRA!$BJ$2:$BJ$999,Transport!$B53),0)</f>
        <v>0.090184303158273332</v>
      </c>
      <c r="AC53" s="5">
        <f>IFERROR(SUMIFS(BY_TRA!AK$2:AK$999,BY_TRA!$BJ$2:$BJ$999,Transport!$B53,BY_TRA!$BK$2:$BK$999,Transport!$C53)/SUMIFS(BY_TRA!AK$2:AK$999,BY_TRA!$BJ$2:$BJ$999,Transport!$B53),0)</f>
        <v>0.0050311343741539505</v>
      </c>
      <c r="AD53" s="5">
        <f>IFERROR(SUMIFS(BY_TRA!AL$2:AL$999,BY_TRA!$BJ$2:$BJ$999,Transport!$B53,BY_TRA!$BK$2:$BK$999,Transport!$C53)/SUMIFS(BY_TRA!AL$2:AL$999,BY_TRA!$BJ$2:$BJ$999,Transport!$B53),0)</f>
        <v>0</v>
      </c>
      <c r="AE53" s="5">
        <f>IFERROR(SUMIFS(BY_TRA!AM$2:AM$999,BY_TRA!$BJ$2:$BJ$999,Transport!$B53,BY_TRA!$BK$2:$BK$999,Transport!$C53)/SUMIFS(BY_TRA!AM$2:AM$999,BY_TRA!$BJ$2:$BJ$999,Transport!$B53),0)</f>
        <v>0</v>
      </c>
      <c r="AF53" s="5">
        <f>IFERROR(SUMIFS(BY_TRA!AN$2:AN$999,BY_TRA!$BJ$2:$BJ$999,Transport!$B53,BY_TRA!$BK$2:$BK$999,Transport!$C53)/SUMIFS(BY_TRA!AN$2:AN$999,BY_TRA!$BJ$2:$BJ$999,Transport!$B53),0)</f>
        <v>0.010344366687702715</v>
      </c>
      <c r="AG53" s="5">
        <f>IFERROR(SUMIFS(BY_TRA!AO$2:AO$999,BY_TRA!$BJ$2:$BJ$999,Transport!$B53,BY_TRA!$BK$2:$BK$999,Transport!$C53)/SUMIFS(BY_TRA!AO$2:AO$999,BY_TRA!$BJ$2:$BJ$999,Transport!$B53),0)</f>
        <v>0.011311545156452959</v>
      </c>
      <c r="AH53" s="5">
        <f>IFERROR(SUMIFS(BY_TRA!AP$2:AP$999,BY_TRA!$BJ$2:$BJ$999,Transport!$B53,BY_TRA!$BK$2:$BK$999,Transport!$C53)/SUMIFS(BY_TRA!AP$2:AP$999,BY_TRA!$BJ$2:$BJ$999,Transport!$B53),0)</f>
        <v>0.0028202691714753997</v>
      </c>
      <c r="AI53" s="5">
        <f>IFERROR(SUMIFS(BY_TRA!AQ$2:AQ$999,BY_TRA!$BJ$2:$BJ$999,Transport!$B53,BY_TRA!$BK$2:$BK$999,Transport!$C53)/SUMIFS(BY_TRA!AQ$2:AQ$999,BY_TRA!$BJ$2:$BJ$999,Transport!$B53),0)</f>
        <v>0.0081387157233276768</v>
      </c>
      <c r="AJ53" s="5">
        <f>IFERROR(SUMIFS(BY_TRA!AR$2:AR$999,BY_TRA!$BJ$2:$BJ$999,Transport!$B53,BY_TRA!$BK$2:$BK$999,Transport!$C53)/SUMIFS(BY_TRA!AR$2:AR$999,BY_TRA!$BJ$2:$BJ$999,Transport!$B53),0)</f>
        <v>0.00046994343710519162</v>
      </c>
      <c r="AK53" s="5">
        <f>IFERROR(SUMIFS(BY_TRA!AS$2:AS$999,BY_TRA!$BJ$2:$BJ$999,Transport!$B53,BY_TRA!$BK$2:$BK$999,Transport!$C53)/SUMIFS(BY_TRA!AS$2:AS$999,BY_TRA!$BJ$2:$BJ$999,Transport!$B53),0)</f>
        <v>0.0077785403797757972</v>
      </c>
      <c r="AL53" s="5">
        <f>IFERROR(SUMIFS(BY_TRA!AT$2:AT$999,BY_TRA!$BJ$2:$BJ$999,Transport!$B53,BY_TRA!$BK$2:$BK$999,Transport!$C53)/SUMIFS(BY_TRA!AT$2:AT$999,BY_TRA!$BJ$2:$BJ$999,Transport!$B53),0)</f>
        <v>0</v>
      </c>
      <c r="AM53" s="5">
        <f>IFERROR(SUMIFS(BY_TRA!AU$2:AU$999,BY_TRA!$BJ$2:$BJ$999,Transport!$B53,BY_TRA!$BK$2:$BK$999,Transport!$C53)/SUMIFS(BY_TRA!AU$2:AU$999,BY_TRA!$BJ$2:$BJ$999,Transport!$B53),0)</f>
        <v>0</v>
      </c>
      <c r="AN53" s="5">
        <f>IFERROR(SUMIFS(BY_TRA!AV$2:AV$999,BY_TRA!$BJ$2:$BJ$999,Transport!$B53,BY_TRA!$BK$2:$BK$999,Transport!$C53)/SUMIFS(BY_TRA!AV$2:AV$999,BY_TRA!$BJ$2:$BJ$999,Transport!$B53),0)</f>
        <v>0</v>
      </c>
      <c r="AO53" s="5">
        <f>IFERROR(SUMIFS(BY_TRA!AW$2:AW$999,BY_TRA!$BJ$2:$BJ$999,Transport!$B53,BY_TRA!$BK$2:$BK$999,Transport!$C53)/SUMIFS(BY_TRA!AW$2:AW$999,BY_TRA!$BJ$2:$BJ$999,Transport!$B53),0)</f>
        <v>0</v>
      </c>
      <c r="AP53" s="5">
        <f>IFERROR(SUMIFS(BY_TRA!AX$2:AX$999,BY_TRA!$BJ$2:$BJ$999,Transport!$B53,BY_TRA!$BK$2:$BK$999,Transport!$C53)/SUMIFS(BY_TRA!AX$2:AX$999,BY_TRA!$BJ$2:$BJ$999,Transport!$B53),0)</f>
        <v>0</v>
      </c>
      <c r="AQ53" s="5">
        <f>IFERROR(SUMIFS(BY_TRA!AY$2:AY$999,BY_TRA!$BJ$2:$BJ$999,Transport!$B53,BY_TRA!$BK$2:$BK$999,Transport!$C53)/SUMIFS(BY_TRA!AY$2:AY$999,BY_TRA!$BJ$2:$BJ$999,Transport!$B53),0)</f>
        <v>0</v>
      </c>
      <c r="AR53" s="5">
        <f>IFERROR(SUMIFS(BY_TRA!AZ$2:AZ$999,BY_TRA!$BJ$2:$BJ$999,Transport!$B53,BY_TRA!$BK$2:$BK$999,Transport!$C53)/SUMIFS(BY_TRA!AZ$2:AZ$999,BY_TRA!$BJ$2:$BJ$999,Transport!$B53),0)</f>
        <v>0</v>
      </c>
      <c r="AS53" s="5">
        <f>IFERROR(SUMIFS(BY_TRA!BA$2:BA$999,BY_TRA!$BJ$2:$BJ$999,Transport!$B53,BY_TRA!$BK$2:$BK$999,Transport!$C53)/SUMIFS(BY_TRA!BA$2:BA$999,BY_TRA!$BJ$2:$BJ$999,Transport!$B53),0)</f>
        <v>0</v>
      </c>
      <c r="AT53" s="5">
        <f>IFERROR(SUMIFS(BY_TRA!BB$2:BB$999,BY_TRA!$BJ$2:$BJ$999,Transport!$B53,BY_TRA!$BK$2:$BK$999,Transport!$C53)/SUMIFS(BY_TRA!BB$2:BB$999,BY_TRA!$BJ$2:$BJ$999,Transport!$B53),0)</f>
        <v>0</v>
      </c>
      <c r="AU53" s="5">
        <f>IFERROR(SUMIFS(BY_TRA!BC$2:BC$999,BY_TRA!$BJ$2:$BJ$999,Transport!$B53,BY_TRA!$BK$2:$BK$999,Transport!$C53)/SUMIFS(BY_TRA!BC$2:BC$999,BY_TRA!$BJ$2:$BJ$999,Transport!$B53),0)</f>
        <v>0</v>
      </c>
      <c r="AV53" s="5">
        <f>IFERROR(SUMIFS(BY_TRA!BD$2:BD$999,BY_TRA!$BJ$2:$BJ$999,Transport!$B53,BY_TRA!$BK$2:$BK$999,Transport!$C53)/SUMIFS(BY_TRA!BD$2:BD$999,BY_TRA!$BJ$2:$BJ$999,Transport!$B53),0)</f>
        <v>0</v>
      </c>
      <c r="AW53" s="5">
        <f>IFERROR(SUMIFS(BY_TRA!BE$2:BE$999,BY_TRA!$BJ$2:$BJ$999,Transport!$B53,BY_TRA!$BK$2:$BK$999,Transport!$C53)/SUMIFS(BY_TRA!BE$2:BE$999,BY_TRA!$BJ$2:$BJ$999,Transport!$B53),0)</f>
        <v>0</v>
      </c>
      <c r="AX53" s="5">
        <f>IFERROR(SUMIFS(BY_TRA!BF$2:BF$999,BY_TRA!$BJ$2:$BJ$999,Transport!$B53,BY_TRA!$BK$2:$BK$999,Transport!$C53)/SUMIFS(BY_TRA!BF$2:BF$999,BY_TRA!$BJ$2:$BJ$999,Transport!$B53),0)</f>
        <v>0</v>
      </c>
      <c r="AY53" s="5">
        <f>IFERROR(SUMIFS(BY_TRA!BG$2:BG$999,BY_TRA!$BJ$2:$BJ$999,Transport!$B53,BY_TRA!$BK$2:$BK$999,Transport!$C53)/SUMIFS(BY_TRA!BG$2:BG$999,BY_TRA!$BJ$2:$BJ$999,Transport!$B53),0)</f>
        <v>0</v>
      </c>
    </row>
    <row r="54" spans="2:51" ht="14.5">
      <c r="B54" t="s">
        <v>184</v>
      </c>
      <c r="C54" t="s">
        <v>177</v>
      </c>
      <c r="D54" s="5">
        <f>IFERROR(SUMIFS(BY_TRA!L$2:L$999,BY_TRA!$BJ$2:$BJ$999,Transport!$B54,BY_TRA!$BK$2:$BK$999,Transport!$C54)/SUMIFS(BY_TRA!L$2:L$999,BY_TRA!$BJ$2:$BJ$999,Transport!$B54),0)</f>
        <v>0</v>
      </c>
      <c r="E54" s="5">
        <f>IFERROR(SUMIFS(BY_TRA!M$2:M$999,BY_TRA!$BJ$2:$BJ$999,Transport!$B54,BY_TRA!$BK$2:$BK$999,Transport!$C54)/SUMIFS(BY_TRA!M$2:M$999,BY_TRA!$BJ$2:$BJ$999,Transport!$B54),0)</f>
        <v>0</v>
      </c>
      <c r="F54" s="5">
        <f>IFERROR(SUMIFS(BY_TRA!N$2:N$999,BY_TRA!$BJ$2:$BJ$999,Transport!$B54,BY_TRA!$BK$2:$BK$999,Transport!$C54)/SUMIFS(BY_TRA!N$2:N$999,BY_TRA!$BJ$2:$BJ$999,Transport!$B54),0)</f>
        <v>0</v>
      </c>
      <c r="G54" s="5">
        <f>IFERROR(SUMIFS(BY_TRA!O$2:O$999,BY_TRA!$BJ$2:$BJ$999,Transport!$B54,BY_TRA!$BK$2:$BK$999,Transport!$C54)/SUMIFS(BY_TRA!O$2:O$999,BY_TRA!$BJ$2:$BJ$999,Transport!$B54),0)</f>
        <v>0.064777327935222659</v>
      </c>
      <c r="H54" s="5">
        <f>IFERROR(SUMIFS(BY_TRA!P$2:P$999,BY_TRA!$BJ$2:$BJ$999,Transport!$B54,BY_TRA!$BK$2:$BK$999,Transport!$C54)/SUMIFS(BY_TRA!P$2:P$999,BY_TRA!$BJ$2:$BJ$999,Transport!$B54),0)</f>
        <v>0.036231884057970995</v>
      </c>
      <c r="I54" s="5">
        <f>IFERROR(SUMIFS(BY_TRA!Q$2:Q$999,BY_TRA!$BJ$2:$BJ$999,Transport!$B54,BY_TRA!$BK$2:$BK$999,Transport!$C54)/SUMIFS(BY_TRA!Q$2:Q$999,BY_TRA!$BJ$2:$BJ$999,Transport!$B54),0)</f>
        <v>0.063218390804597763</v>
      </c>
      <c r="J54" s="5">
        <f>IFERROR(SUMIFS(BY_TRA!R$2:R$999,BY_TRA!$BJ$2:$BJ$999,Transport!$B54,BY_TRA!$BK$2:$BK$999,Transport!$C54)/SUMIFS(BY_TRA!R$2:R$999,BY_TRA!$BJ$2:$BJ$999,Transport!$B54),0)</f>
        <v>0.30653950953678499</v>
      </c>
      <c r="K54" s="5">
        <f>IFERROR(SUMIFS(BY_TRA!S$2:S$999,BY_TRA!$BJ$2:$BJ$999,Transport!$B54,BY_TRA!$BK$2:$BK$999,Transport!$C54)/SUMIFS(BY_TRA!S$2:S$999,BY_TRA!$BJ$2:$BJ$999,Transport!$B54),0)</f>
        <v>0.0093256814921090243</v>
      </c>
      <c r="L54" s="5">
        <f>IFERROR(SUMIFS(BY_TRA!T$2:T$999,BY_TRA!$BJ$2:$BJ$999,Transport!$B54,BY_TRA!$BK$2:$BK$999,Transport!$C54)/SUMIFS(BY_TRA!T$2:T$999,BY_TRA!$BJ$2:$BJ$999,Transport!$B54),0)</f>
        <v>0.046296296296296266</v>
      </c>
      <c r="M54" s="5">
        <f>IFERROR(SUMIFS(BY_TRA!U$2:U$999,BY_TRA!$BJ$2:$BJ$999,Transport!$B54,BY_TRA!$BK$2:$BK$999,Transport!$C54)/SUMIFS(BY_TRA!U$2:U$999,BY_TRA!$BJ$2:$BJ$999,Transport!$B54),0)</f>
        <v>0.059574468085106469</v>
      </c>
      <c r="N54" s="5">
        <f>IFERROR(SUMIFS(BY_TRA!V$2:V$999,BY_TRA!$BJ$2:$BJ$999,Transport!$B54,BY_TRA!$BK$2:$BK$999,Transport!$C54)/SUMIFS(BY_TRA!V$2:V$999,BY_TRA!$BJ$2:$BJ$999,Transport!$B54),0)</f>
        <v>0.075745366639806577</v>
      </c>
      <c r="O54" s="5">
        <f>IFERROR(SUMIFS(BY_TRA!W$2:W$999,BY_TRA!$BJ$2:$BJ$999,Transport!$B54,BY_TRA!$BK$2:$BK$999,Transport!$C54)/SUMIFS(BY_TRA!W$2:W$999,BY_TRA!$BJ$2:$BJ$999,Transport!$B54),0)</f>
        <v>0.054198473282442726</v>
      </c>
      <c r="P54" s="5">
        <f>IFERROR(SUMIFS(BY_TRA!X$2:X$999,BY_TRA!$BJ$2:$BJ$999,Transport!$B54,BY_TRA!$BK$2:$BK$999,Transport!$C54)/SUMIFS(BY_TRA!X$2:X$999,BY_TRA!$BJ$2:$BJ$999,Transport!$B54),0)</f>
        <v>0.056603773584905648</v>
      </c>
      <c r="Q54" s="5">
        <f>IFERROR(SUMIFS(BY_TRA!Y$2:Y$999,BY_TRA!$BJ$2:$BJ$999,Transport!$B54,BY_TRA!$BK$2:$BK$999,Transport!$C54)/SUMIFS(BY_TRA!Y$2:Y$999,BY_TRA!$BJ$2:$BJ$999,Transport!$B54),0)</f>
        <v>0.059945504087193409</v>
      </c>
      <c r="R54" s="5">
        <f>IFERROR(SUMIFS(BY_TRA!Z$2:Z$999,BY_TRA!$BJ$2:$BJ$999,Transport!$B54,BY_TRA!$BK$2:$BK$999,Transport!$C54)/SUMIFS(BY_TRA!Z$2:Z$999,BY_TRA!$BJ$2:$BJ$999,Transport!$B54),0)</f>
        <v>0.12500000000000006</v>
      </c>
      <c r="S54" s="5">
        <f>IFERROR(SUMIFS(BY_TRA!AA$2:AA$999,BY_TRA!$BJ$2:$BJ$999,Transport!$B54,BY_TRA!$BK$2:$BK$999,Transport!$C54)/SUMIFS(BY_TRA!AA$2:AA$999,BY_TRA!$BJ$2:$BJ$999,Transport!$B54),0)</f>
        <v>0.0007855459544383348</v>
      </c>
      <c r="T54" s="5">
        <f>IFERROR(SUMIFS(BY_TRA!AB$2:AB$999,BY_TRA!$BJ$2:$BJ$999,Transport!$B54,BY_TRA!$BK$2:$BK$999,Transport!$C54)/SUMIFS(BY_TRA!AB$2:AB$999,BY_TRA!$BJ$2:$BJ$999,Transport!$B54),0)</f>
        <v>0.051724137931034517</v>
      </c>
      <c r="U54" s="5">
        <f>IFERROR(SUMIFS(BY_TRA!AC$2:AC$999,BY_TRA!$BJ$2:$BJ$999,Transport!$B54,BY_TRA!$BK$2:$BK$999,Transport!$C54)/SUMIFS(BY_TRA!AC$2:AC$999,BY_TRA!$BJ$2:$BJ$999,Transport!$B54),0)</f>
        <v>0.055294117647058841</v>
      </c>
      <c r="V54" s="5">
        <f>IFERROR(SUMIFS(BY_TRA!AD$2:AD$999,BY_TRA!$BJ$2:$BJ$999,Transport!$B54,BY_TRA!$BK$2:$BK$999,Transport!$C54)/SUMIFS(BY_TRA!AD$2:AD$999,BY_TRA!$BJ$2:$BJ$999,Transport!$B54),0)</f>
        <v>0.0010330578512396697</v>
      </c>
      <c r="W54" s="5">
        <f>IFERROR(SUMIFS(BY_TRA!AE$2:AE$999,BY_TRA!$BJ$2:$BJ$999,Transport!$B54,BY_TRA!$BK$2:$BK$999,Transport!$C54)/SUMIFS(BY_TRA!AE$2:AE$999,BY_TRA!$BJ$2:$BJ$999,Transport!$B54),0)</f>
        <v>0.045915324985092487</v>
      </c>
      <c r="X54" s="5">
        <f>IFERROR(SUMIFS(BY_TRA!AF$2:AF$999,BY_TRA!$BJ$2:$BJ$999,Transport!$B54,BY_TRA!$BK$2:$BK$999,Transport!$C54)/SUMIFS(BY_TRA!AF$2:AF$999,BY_TRA!$BJ$2:$BJ$999,Transport!$B54),0)</f>
        <v>0</v>
      </c>
      <c r="Y54" s="5">
        <f>IFERROR(SUMIFS(BY_TRA!AG$2:AG$999,BY_TRA!$BJ$2:$BJ$999,Transport!$B54,BY_TRA!$BK$2:$BK$999,Transport!$C54)/SUMIFS(BY_TRA!AG$2:AG$999,BY_TRA!$BJ$2:$BJ$999,Transport!$B54),0)</f>
        <v>0.026403673554581477</v>
      </c>
      <c r="Z54" s="5">
        <f>IFERROR(SUMIFS(BY_TRA!AH$2:AH$999,BY_TRA!$BJ$2:$BJ$999,Transport!$B54,BY_TRA!$BK$2:$BK$999,Transport!$C54)/SUMIFS(BY_TRA!AH$2:AH$999,BY_TRA!$BJ$2:$BJ$999,Transport!$B54),0)</f>
        <v>0.16842105263157903</v>
      </c>
      <c r="AA54" s="5">
        <f>IFERROR(SUMIFS(BY_TRA!AI$2:AI$999,BY_TRA!$BJ$2:$BJ$999,Transport!$B54,BY_TRA!$BK$2:$BK$999,Transport!$C54)/SUMIFS(BY_TRA!AI$2:AI$999,BY_TRA!$BJ$2:$BJ$999,Transport!$B54),0)</f>
        <v>0.054104477611940233</v>
      </c>
      <c r="AB54" s="5">
        <f>IFERROR(SUMIFS(BY_TRA!AJ$2:AJ$999,BY_TRA!$BJ$2:$BJ$999,Transport!$B54,BY_TRA!$BK$2:$BK$999,Transport!$C54)/SUMIFS(BY_TRA!AJ$2:AJ$999,BY_TRA!$BJ$2:$BJ$999,Transport!$B54),0)</f>
        <v>0.066263603385731618</v>
      </c>
      <c r="AC54" s="5">
        <f>IFERROR(SUMIFS(BY_TRA!AK$2:AK$999,BY_TRA!$BJ$2:$BJ$999,Transport!$B54,BY_TRA!$BK$2:$BK$999,Transport!$C54)/SUMIFS(BY_TRA!AK$2:AK$999,BY_TRA!$BJ$2:$BJ$999,Transport!$B54),0)</f>
        <v>0</v>
      </c>
      <c r="AD54" s="5">
        <f>IFERROR(SUMIFS(BY_TRA!AL$2:AL$999,BY_TRA!$BJ$2:$BJ$999,Transport!$B54,BY_TRA!$BK$2:$BK$999,Transport!$C54)/SUMIFS(BY_TRA!AL$2:AL$999,BY_TRA!$BJ$2:$BJ$999,Transport!$B54),0)</f>
        <v>0</v>
      </c>
      <c r="AE54" s="5">
        <f>IFERROR(SUMIFS(BY_TRA!AM$2:AM$999,BY_TRA!$BJ$2:$BJ$999,Transport!$B54,BY_TRA!$BK$2:$BK$999,Transport!$C54)/SUMIFS(BY_TRA!AM$2:AM$999,BY_TRA!$BJ$2:$BJ$999,Transport!$B54),0)</f>
        <v>0</v>
      </c>
      <c r="AF54" s="5">
        <f>IFERROR(SUMIFS(BY_TRA!AN$2:AN$999,BY_TRA!$BJ$2:$BJ$999,Transport!$B54,BY_TRA!$BK$2:$BK$999,Transport!$C54)/SUMIFS(BY_TRA!AN$2:AN$999,BY_TRA!$BJ$2:$BJ$999,Transport!$B54),0)</f>
        <v>0.064273504273504312</v>
      </c>
      <c r="AG54" s="5">
        <f>IFERROR(SUMIFS(BY_TRA!AO$2:AO$999,BY_TRA!$BJ$2:$BJ$999,Transport!$B54,BY_TRA!$BK$2:$BK$999,Transport!$C54)/SUMIFS(BY_TRA!AO$2:AO$999,BY_TRA!$BJ$2:$BJ$999,Transport!$B54),0)</f>
        <v>0.18181818181818185</v>
      </c>
      <c r="AH54" s="5">
        <f>IFERROR(SUMIFS(BY_TRA!AP$2:AP$999,BY_TRA!$BJ$2:$BJ$999,Transport!$B54,BY_TRA!$BK$2:$BK$999,Transport!$C54)/SUMIFS(BY_TRA!AP$2:AP$999,BY_TRA!$BJ$2:$BJ$999,Transport!$B54),0)</f>
        <v>0.055555555555555559</v>
      </c>
      <c r="AI54" s="5">
        <f>IFERROR(SUMIFS(BY_TRA!AQ$2:AQ$999,BY_TRA!$BJ$2:$BJ$999,Transport!$B54,BY_TRA!$BK$2:$BK$999,Transport!$C54)/SUMIFS(BY_TRA!AQ$2:AQ$999,BY_TRA!$BJ$2:$BJ$999,Transport!$B54),0)</f>
        <v>0.0050441361916771727</v>
      </c>
      <c r="AJ54" s="5">
        <f>IFERROR(SUMIFS(BY_TRA!AR$2:AR$999,BY_TRA!$BJ$2:$BJ$999,Transport!$B54,BY_TRA!$BK$2:$BK$999,Transport!$C54)/SUMIFS(BY_TRA!AR$2:AR$999,BY_TRA!$BJ$2:$BJ$999,Transport!$B54),0)</f>
        <v>0.049369747899159683</v>
      </c>
      <c r="AK54" s="5">
        <f>IFERROR(SUMIFS(BY_TRA!AS$2:AS$999,BY_TRA!$BJ$2:$BJ$999,Transport!$B54,BY_TRA!$BK$2:$BK$999,Transport!$C54)/SUMIFS(BY_TRA!AS$2:AS$999,BY_TRA!$BJ$2:$BJ$999,Transport!$B54),0)</f>
        <v>0</v>
      </c>
      <c r="AL54" s="5">
        <f>IFERROR(SUMIFS(BY_TRA!AT$2:AT$999,BY_TRA!$BJ$2:$BJ$999,Transport!$B54,BY_TRA!$BK$2:$BK$999,Transport!$C54)/SUMIFS(BY_TRA!AT$2:AT$999,BY_TRA!$BJ$2:$BJ$999,Transport!$B54),0)</f>
        <v>0.025751072961373436</v>
      </c>
      <c r="AM54" s="5">
        <f>IFERROR(SUMIFS(BY_TRA!AU$2:AU$999,BY_TRA!$BJ$2:$BJ$999,Transport!$B54,BY_TRA!$BK$2:$BK$999,Transport!$C54)/SUMIFS(BY_TRA!AU$2:AU$999,BY_TRA!$BJ$2:$BJ$999,Transport!$B54),0)</f>
        <v>0</v>
      </c>
      <c r="AN54" s="5">
        <f>IFERROR(SUMIFS(BY_TRA!AV$2:AV$999,BY_TRA!$BJ$2:$BJ$999,Transport!$B54,BY_TRA!$BK$2:$BK$999,Transport!$C54)/SUMIFS(BY_TRA!AV$2:AV$999,BY_TRA!$BJ$2:$BJ$999,Transport!$B54),0)</f>
        <v>0</v>
      </c>
      <c r="AO54" s="5">
        <f>IFERROR(SUMIFS(BY_TRA!AW$2:AW$999,BY_TRA!$BJ$2:$BJ$999,Transport!$B54,BY_TRA!$BK$2:$BK$999,Transport!$C54)/SUMIFS(BY_TRA!AW$2:AW$999,BY_TRA!$BJ$2:$BJ$999,Transport!$B54),0)</f>
        <v>0</v>
      </c>
      <c r="AP54" s="5">
        <f>IFERROR(SUMIFS(BY_TRA!AX$2:AX$999,BY_TRA!$BJ$2:$BJ$999,Transport!$B54,BY_TRA!$BK$2:$BK$999,Transport!$C54)/SUMIFS(BY_TRA!AX$2:AX$999,BY_TRA!$BJ$2:$BJ$999,Transport!$B54),0)</f>
        <v>0</v>
      </c>
      <c r="AQ54" s="5">
        <f>IFERROR(SUMIFS(BY_TRA!AY$2:AY$999,BY_TRA!$BJ$2:$BJ$999,Transport!$B54,BY_TRA!$BK$2:$BK$999,Transport!$C54)/SUMIFS(BY_TRA!AY$2:AY$999,BY_TRA!$BJ$2:$BJ$999,Transport!$B54),0)</f>
        <v>0</v>
      </c>
      <c r="AR54" s="5">
        <f>IFERROR(SUMIFS(BY_TRA!AZ$2:AZ$999,BY_TRA!$BJ$2:$BJ$999,Transport!$B54,BY_TRA!$BK$2:$BK$999,Transport!$C54)/SUMIFS(BY_TRA!AZ$2:AZ$999,BY_TRA!$BJ$2:$BJ$999,Transport!$B54),0)</f>
        <v>0</v>
      </c>
      <c r="AS54" s="5">
        <f>IFERROR(SUMIFS(BY_TRA!BA$2:BA$999,BY_TRA!$BJ$2:$BJ$999,Transport!$B54,BY_TRA!$BK$2:$BK$999,Transport!$C54)/SUMIFS(BY_TRA!BA$2:BA$999,BY_TRA!$BJ$2:$BJ$999,Transport!$B54),0)</f>
        <v>0</v>
      </c>
      <c r="AT54" s="5">
        <f>IFERROR(SUMIFS(BY_TRA!BB$2:BB$999,BY_TRA!$BJ$2:$BJ$999,Transport!$B54,BY_TRA!$BK$2:$BK$999,Transport!$C54)/SUMIFS(BY_TRA!BB$2:BB$999,BY_TRA!$BJ$2:$BJ$999,Transport!$B54),0)</f>
        <v>0</v>
      </c>
      <c r="AU54" s="5">
        <f>IFERROR(SUMIFS(BY_TRA!BC$2:BC$999,BY_TRA!$BJ$2:$BJ$999,Transport!$B54,BY_TRA!$BK$2:$BK$999,Transport!$C54)/SUMIFS(BY_TRA!BC$2:BC$999,BY_TRA!$BJ$2:$BJ$999,Transport!$B54),0)</f>
        <v>0</v>
      </c>
      <c r="AV54" s="5">
        <f>IFERROR(SUMIFS(BY_TRA!BD$2:BD$999,BY_TRA!$BJ$2:$BJ$999,Transport!$B54,BY_TRA!$BK$2:$BK$999,Transport!$C54)/SUMIFS(BY_TRA!BD$2:BD$999,BY_TRA!$BJ$2:$BJ$999,Transport!$B54),0)</f>
        <v>0</v>
      </c>
      <c r="AW54" s="5">
        <f>IFERROR(SUMIFS(BY_TRA!BE$2:BE$999,BY_TRA!$BJ$2:$BJ$999,Transport!$B54,BY_TRA!$BK$2:$BK$999,Transport!$C54)/SUMIFS(BY_TRA!BE$2:BE$999,BY_TRA!$BJ$2:$BJ$999,Transport!$B54),0)</f>
        <v>0</v>
      </c>
      <c r="AX54" s="5">
        <f>IFERROR(SUMIFS(BY_TRA!BF$2:BF$999,BY_TRA!$BJ$2:$BJ$999,Transport!$B54,BY_TRA!$BK$2:$BK$999,Transport!$C54)/SUMIFS(BY_TRA!BF$2:BF$999,BY_TRA!$BJ$2:$BJ$999,Transport!$B54),0)</f>
        <v>0</v>
      </c>
      <c r="AY54" s="5">
        <f>IFERROR(SUMIFS(BY_TRA!BG$2:BG$999,BY_TRA!$BJ$2:$BJ$999,Transport!$B54,BY_TRA!$BK$2:$BK$999,Transport!$C54)/SUMIFS(BY_TRA!BG$2:BG$999,BY_TRA!$BJ$2:$BJ$999,Transport!$B54),0)</f>
        <v>0</v>
      </c>
    </row>
    <row r="55" spans="2:51" ht="14.5">
      <c r="B55" t="s">
        <v>184</v>
      </c>
      <c r="C55" t="s">
        <v>178</v>
      </c>
      <c r="D55" s="5">
        <f>IFERROR(SUMIFS(BY_TRA!L$2:L$999,BY_TRA!$BJ$2:$BJ$999,Transport!$B55,BY_TRA!$BK$2:$BK$999,Transport!$C55)/SUMIFS(BY_TRA!L$2:L$999,BY_TRA!$BJ$2:$BJ$999,Transport!$B55),0)</f>
        <v>1</v>
      </c>
      <c r="E55" s="5">
        <f>IFERROR(SUMIFS(BY_TRA!M$2:M$999,BY_TRA!$BJ$2:$BJ$999,Transport!$B55,BY_TRA!$BK$2:$BK$999,Transport!$C55)/SUMIFS(BY_TRA!M$2:M$999,BY_TRA!$BJ$2:$BJ$999,Transport!$B55),0)</f>
        <v>1</v>
      </c>
      <c r="F55" s="5">
        <f>IFERROR(SUMIFS(BY_TRA!N$2:N$999,BY_TRA!$BJ$2:$BJ$999,Transport!$B55,BY_TRA!$BK$2:$BK$999,Transport!$C55)/SUMIFS(BY_TRA!N$2:N$999,BY_TRA!$BJ$2:$BJ$999,Transport!$B55),0)</f>
        <v>1</v>
      </c>
      <c r="G55" s="5">
        <f>IFERROR(SUMIFS(BY_TRA!O$2:O$999,BY_TRA!$BJ$2:$BJ$999,Transport!$B55,BY_TRA!$BK$2:$BK$999,Transport!$C55)/SUMIFS(BY_TRA!O$2:O$999,BY_TRA!$BJ$2:$BJ$999,Transport!$B55),0)</f>
        <v>0.93522267206477738</v>
      </c>
      <c r="H55" s="5">
        <f>IFERROR(SUMIFS(BY_TRA!P$2:P$999,BY_TRA!$BJ$2:$BJ$999,Transport!$B55,BY_TRA!$BK$2:$BK$999,Transport!$C55)/SUMIFS(BY_TRA!P$2:P$999,BY_TRA!$BJ$2:$BJ$999,Transport!$B55),0)</f>
        <v>0.92753623188405765</v>
      </c>
      <c r="I55" s="5">
        <f>IFERROR(SUMIFS(BY_TRA!Q$2:Q$999,BY_TRA!$BJ$2:$BJ$999,Transport!$B55,BY_TRA!$BK$2:$BK$999,Transport!$C55)/SUMIFS(BY_TRA!Q$2:Q$999,BY_TRA!$BJ$2:$BJ$999,Transport!$B55),0)</f>
        <v>0.93678160919540232</v>
      </c>
      <c r="J55" s="5">
        <f>IFERROR(SUMIFS(BY_TRA!R$2:R$999,BY_TRA!$BJ$2:$BJ$999,Transport!$B55,BY_TRA!$BK$2:$BK$999,Transport!$C55)/SUMIFS(BY_TRA!R$2:R$999,BY_TRA!$BJ$2:$BJ$999,Transport!$B55),0)</f>
        <v>0.67620345140781157</v>
      </c>
      <c r="K55" s="5">
        <f>IFERROR(SUMIFS(BY_TRA!S$2:S$999,BY_TRA!$BJ$2:$BJ$999,Transport!$B55,BY_TRA!$BK$2:$BK$999,Transport!$C55)/SUMIFS(BY_TRA!S$2:S$999,BY_TRA!$BJ$2:$BJ$999,Transport!$B55),0)</f>
        <v>0.96054519368722924</v>
      </c>
      <c r="L55" s="5">
        <f>IFERROR(SUMIFS(BY_TRA!T$2:T$999,BY_TRA!$BJ$2:$BJ$999,Transport!$B55,BY_TRA!$BK$2:$BK$999,Transport!$C55)/SUMIFS(BY_TRA!T$2:T$999,BY_TRA!$BJ$2:$BJ$999,Transport!$B55),0)</f>
        <v>0.93518518518518501</v>
      </c>
      <c r="M55" s="5">
        <f>IFERROR(SUMIFS(BY_TRA!U$2:U$999,BY_TRA!$BJ$2:$BJ$999,Transport!$B55,BY_TRA!$BK$2:$BK$999,Transport!$C55)/SUMIFS(BY_TRA!U$2:U$999,BY_TRA!$BJ$2:$BJ$999,Transport!$B55),0)</f>
        <v>0.91914893617021398</v>
      </c>
      <c r="N55" s="5">
        <f>IFERROR(SUMIFS(BY_TRA!V$2:V$999,BY_TRA!$BJ$2:$BJ$999,Transport!$B55,BY_TRA!$BK$2:$BK$999,Transport!$C55)/SUMIFS(BY_TRA!V$2:V$999,BY_TRA!$BJ$2:$BJ$999,Transport!$B55),0)</f>
        <v>0.92425463336019331</v>
      </c>
      <c r="O55" s="5">
        <f>IFERROR(SUMIFS(BY_TRA!W$2:W$999,BY_TRA!$BJ$2:$BJ$999,Transport!$B55,BY_TRA!$BK$2:$BK$999,Transport!$C55)/SUMIFS(BY_TRA!W$2:W$999,BY_TRA!$BJ$2:$BJ$999,Transport!$B55),0)</f>
        <v>0.94580152671755724</v>
      </c>
      <c r="P55" s="5">
        <f>IFERROR(SUMIFS(BY_TRA!X$2:X$999,BY_TRA!$BJ$2:$BJ$999,Transport!$B55,BY_TRA!$BK$2:$BK$999,Transport!$C55)/SUMIFS(BY_TRA!X$2:X$999,BY_TRA!$BJ$2:$BJ$999,Transport!$B55),0)</f>
        <v>0.94339622641509435</v>
      </c>
      <c r="Q55" s="5">
        <f>IFERROR(SUMIFS(BY_TRA!Y$2:Y$999,BY_TRA!$BJ$2:$BJ$999,Transport!$B55,BY_TRA!$BK$2:$BK$999,Transport!$C55)/SUMIFS(BY_TRA!Y$2:Y$999,BY_TRA!$BJ$2:$BJ$999,Transport!$B55),0)</f>
        <v>0.91825613079019064</v>
      </c>
      <c r="R55" s="5">
        <f>IFERROR(SUMIFS(BY_TRA!Z$2:Z$999,BY_TRA!$BJ$2:$BJ$999,Transport!$B55,BY_TRA!$BK$2:$BK$999,Transport!$C55)/SUMIFS(BY_TRA!Z$2:Z$999,BY_TRA!$BJ$2:$BJ$999,Transport!$B55),0)</f>
        <v>0.875</v>
      </c>
      <c r="S55" s="5">
        <f>IFERROR(SUMIFS(BY_TRA!AA$2:AA$999,BY_TRA!$BJ$2:$BJ$999,Transport!$B55,BY_TRA!$BK$2:$BK$999,Transport!$C55)/SUMIFS(BY_TRA!AA$2:AA$999,BY_TRA!$BJ$2:$BJ$999,Transport!$B55),0)</f>
        <v>0.99921445404556175</v>
      </c>
      <c r="T55" s="5">
        <f>IFERROR(SUMIFS(BY_TRA!AB$2:AB$999,BY_TRA!$BJ$2:$BJ$999,Transport!$B55,BY_TRA!$BK$2:$BK$999,Transport!$C55)/SUMIFS(BY_TRA!AB$2:AB$999,BY_TRA!$BJ$2:$BJ$999,Transport!$B55),0)</f>
        <v>0.94827586206896552</v>
      </c>
      <c r="U55" s="5">
        <f>IFERROR(SUMIFS(BY_TRA!AC$2:AC$999,BY_TRA!$BJ$2:$BJ$999,Transport!$B55,BY_TRA!$BK$2:$BK$999,Transport!$C55)/SUMIFS(BY_TRA!AC$2:AC$999,BY_TRA!$BJ$2:$BJ$999,Transport!$B55),0)</f>
        <v>0.94470588235294128</v>
      </c>
      <c r="V55" s="5">
        <f>IFERROR(SUMIFS(BY_TRA!AD$2:AD$999,BY_TRA!$BJ$2:$BJ$999,Transport!$B55,BY_TRA!$BK$2:$BK$999,Transport!$C55)/SUMIFS(BY_TRA!AD$2:AD$999,BY_TRA!$BJ$2:$BJ$999,Transport!$B55),0)</f>
        <v>0.99896694214876025</v>
      </c>
      <c r="W55" s="5">
        <f>IFERROR(SUMIFS(BY_TRA!AE$2:AE$999,BY_TRA!$BJ$2:$BJ$999,Transport!$B55,BY_TRA!$BK$2:$BK$999,Transport!$C55)/SUMIFS(BY_TRA!AE$2:AE$999,BY_TRA!$BJ$2:$BJ$999,Transport!$B55),0)</f>
        <v>0.91174716756112184</v>
      </c>
      <c r="X55" s="5">
        <f>IFERROR(SUMIFS(BY_TRA!AF$2:AF$999,BY_TRA!$BJ$2:$BJ$999,Transport!$B55,BY_TRA!$BK$2:$BK$999,Transport!$C55)/SUMIFS(BY_TRA!AF$2:AF$999,BY_TRA!$BJ$2:$BJ$999,Transport!$B55),0)</f>
        <v>0.80330672748004517</v>
      </c>
      <c r="Y55" s="5">
        <f>IFERROR(SUMIFS(BY_TRA!AG$2:AG$999,BY_TRA!$BJ$2:$BJ$999,Transport!$B55,BY_TRA!$BK$2:$BK$999,Transport!$C55)/SUMIFS(BY_TRA!AG$2:AG$999,BY_TRA!$BJ$2:$BJ$999,Transport!$B55),0)</f>
        <v>0.81350448758088045</v>
      </c>
      <c r="Z55" s="5">
        <f>IFERROR(SUMIFS(BY_TRA!AH$2:AH$999,BY_TRA!$BJ$2:$BJ$999,Transport!$B55,BY_TRA!$BK$2:$BK$999,Transport!$C55)/SUMIFS(BY_TRA!AH$2:AH$999,BY_TRA!$BJ$2:$BJ$999,Transport!$B55),0)</f>
        <v>0.83157894736842131</v>
      </c>
      <c r="AA55" s="5">
        <f>IFERROR(SUMIFS(BY_TRA!AI$2:AI$999,BY_TRA!$BJ$2:$BJ$999,Transport!$B55,BY_TRA!$BK$2:$BK$999,Transport!$C55)/SUMIFS(BY_TRA!AI$2:AI$999,BY_TRA!$BJ$2:$BJ$999,Transport!$B55),0)</f>
        <v>0.92537313432835733</v>
      </c>
      <c r="AB55" s="5">
        <f>IFERROR(SUMIFS(BY_TRA!AJ$2:AJ$999,BY_TRA!$BJ$2:$BJ$999,Transport!$B55,BY_TRA!$BK$2:$BK$999,Transport!$C55)/SUMIFS(BY_TRA!AJ$2:AJ$999,BY_TRA!$BJ$2:$BJ$999,Transport!$B55),0)</f>
        <v>0.93373639661426855</v>
      </c>
      <c r="AC55" s="5">
        <f>IFERROR(SUMIFS(BY_TRA!AK$2:AK$999,BY_TRA!$BJ$2:$BJ$999,Transport!$B55,BY_TRA!$BK$2:$BK$999,Transport!$C55)/SUMIFS(BY_TRA!AK$2:AK$999,BY_TRA!$BJ$2:$BJ$999,Transport!$B55),0)</f>
        <v>0.74151696606786499</v>
      </c>
      <c r="AD55" s="5">
        <f>IFERROR(SUMIFS(BY_TRA!AL$2:AL$999,BY_TRA!$BJ$2:$BJ$999,Transport!$B55,BY_TRA!$BK$2:$BK$999,Transport!$C55)/SUMIFS(BY_TRA!AL$2:AL$999,BY_TRA!$BJ$2:$BJ$999,Transport!$B55),0)</f>
        <v>0.84315789473684222</v>
      </c>
      <c r="AE55" s="5">
        <f>IFERROR(SUMIFS(BY_TRA!AM$2:AM$999,BY_TRA!$BJ$2:$BJ$999,Transport!$B55,BY_TRA!$BK$2:$BK$999,Transport!$C55)/SUMIFS(BY_TRA!AM$2:AM$999,BY_TRA!$BJ$2:$BJ$999,Transport!$B55),0)</f>
        <v>1</v>
      </c>
      <c r="AF55" s="5">
        <f>IFERROR(SUMIFS(BY_TRA!AN$2:AN$999,BY_TRA!$BJ$2:$BJ$999,Transport!$B55,BY_TRA!$BK$2:$BK$999,Transport!$C55)/SUMIFS(BY_TRA!AN$2:AN$999,BY_TRA!$BJ$2:$BJ$999,Transport!$B55),0)</f>
        <v>0.93572649572649569</v>
      </c>
      <c r="AG55" s="5">
        <f>IFERROR(SUMIFS(BY_TRA!AO$2:AO$999,BY_TRA!$BJ$2:$BJ$999,Transport!$B55,BY_TRA!$BK$2:$BK$999,Transport!$C55)/SUMIFS(BY_TRA!AO$2:AO$999,BY_TRA!$BJ$2:$BJ$999,Transport!$B55),0)</f>
        <v>0.8181818181818179</v>
      </c>
      <c r="AH55" s="5">
        <f>IFERROR(SUMIFS(BY_TRA!AP$2:AP$999,BY_TRA!$BJ$2:$BJ$999,Transport!$B55,BY_TRA!$BK$2:$BK$999,Transport!$C55)/SUMIFS(BY_TRA!AP$2:AP$999,BY_TRA!$BJ$2:$BJ$999,Transport!$B55),0)</f>
        <v>0.94444444444444431</v>
      </c>
      <c r="AI55" s="5">
        <f>IFERROR(SUMIFS(BY_TRA!AQ$2:AQ$999,BY_TRA!$BJ$2:$BJ$999,Transport!$B55,BY_TRA!$BK$2:$BK$999,Transport!$C55)/SUMIFS(BY_TRA!AQ$2:AQ$999,BY_TRA!$BJ$2:$BJ$999,Transport!$B55),0)</f>
        <v>0.97604035308953274</v>
      </c>
      <c r="AJ55" s="5">
        <f>IFERROR(SUMIFS(BY_TRA!AR$2:AR$999,BY_TRA!$BJ$2:$BJ$999,Transport!$B55,BY_TRA!$BK$2:$BK$999,Transport!$C55)/SUMIFS(BY_TRA!AR$2:AR$999,BY_TRA!$BJ$2:$BJ$999,Transport!$B55),0)</f>
        <v>0.95063025210084029</v>
      </c>
      <c r="AK55" s="5">
        <f>IFERROR(SUMIFS(BY_TRA!AS$2:AS$999,BY_TRA!$BJ$2:$BJ$999,Transport!$B55,BY_TRA!$BK$2:$BK$999,Transport!$C55)/SUMIFS(BY_TRA!AS$2:AS$999,BY_TRA!$BJ$2:$BJ$999,Transport!$B55),0)</f>
        <v>0.93689320388349606</v>
      </c>
      <c r="AL55" s="5">
        <f>IFERROR(SUMIFS(BY_TRA!AT$2:AT$999,BY_TRA!$BJ$2:$BJ$999,Transport!$B55,BY_TRA!$BK$2:$BK$999,Transport!$C55)/SUMIFS(BY_TRA!AT$2:AT$999,BY_TRA!$BJ$2:$BJ$999,Transport!$B55),0)</f>
        <v>0.96137339055794113</v>
      </c>
      <c r="AM55" s="5">
        <f>IFERROR(SUMIFS(BY_TRA!AU$2:AU$999,BY_TRA!$BJ$2:$BJ$999,Transport!$B55,BY_TRA!$BK$2:$BK$999,Transport!$C55)/SUMIFS(BY_TRA!AU$2:AU$999,BY_TRA!$BJ$2:$BJ$999,Transport!$B55),0)</f>
        <v>0</v>
      </c>
      <c r="AN55" s="5">
        <f>IFERROR(SUMIFS(BY_TRA!AV$2:AV$999,BY_TRA!$BJ$2:$BJ$999,Transport!$B55,BY_TRA!$BK$2:$BK$999,Transport!$C55)/SUMIFS(BY_TRA!AV$2:AV$999,BY_TRA!$BJ$2:$BJ$999,Transport!$B55),0)</f>
        <v>0</v>
      </c>
      <c r="AO55" s="5">
        <f>IFERROR(SUMIFS(BY_TRA!AW$2:AW$999,BY_TRA!$BJ$2:$BJ$999,Transport!$B55,BY_TRA!$BK$2:$BK$999,Transport!$C55)/SUMIFS(BY_TRA!AW$2:AW$999,BY_TRA!$BJ$2:$BJ$999,Transport!$B55),0)</f>
        <v>0</v>
      </c>
      <c r="AP55" s="5">
        <f>IFERROR(SUMIFS(BY_TRA!AX$2:AX$999,BY_TRA!$BJ$2:$BJ$999,Transport!$B55,BY_TRA!$BK$2:$BK$999,Transport!$C55)/SUMIFS(BY_TRA!AX$2:AX$999,BY_TRA!$BJ$2:$BJ$999,Transport!$B55),0)</f>
        <v>0</v>
      </c>
      <c r="AQ55" s="5">
        <f>IFERROR(SUMIFS(BY_TRA!AY$2:AY$999,BY_TRA!$BJ$2:$BJ$999,Transport!$B55,BY_TRA!$BK$2:$BK$999,Transport!$C55)/SUMIFS(BY_TRA!AY$2:AY$999,BY_TRA!$BJ$2:$BJ$999,Transport!$B55),0)</f>
        <v>0</v>
      </c>
      <c r="AR55" s="5">
        <f>IFERROR(SUMIFS(BY_TRA!AZ$2:AZ$999,BY_TRA!$BJ$2:$BJ$999,Transport!$B55,BY_TRA!$BK$2:$BK$999,Transport!$C55)/SUMIFS(BY_TRA!AZ$2:AZ$999,BY_TRA!$BJ$2:$BJ$999,Transport!$B55),0)</f>
        <v>0</v>
      </c>
      <c r="AS55" s="5">
        <f>IFERROR(SUMIFS(BY_TRA!BA$2:BA$999,BY_TRA!$BJ$2:$BJ$999,Transport!$B55,BY_TRA!$BK$2:$BK$999,Transport!$C55)/SUMIFS(BY_TRA!BA$2:BA$999,BY_TRA!$BJ$2:$BJ$999,Transport!$B55),0)</f>
        <v>0</v>
      </c>
      <c r="AT55" s="5">
        <f>IFERROR(SUMIFS(BY_TRA!BB$2:BB$999,BY_TRA!$BJ$2:$BJ$999,Transport!$B55,BY_TRA!$BK$2:$BK$999,Transport!$C55)/SUMIFS(BY_TRA!BB$2:BB$999,BY_TRA!$BJ$2:$BJ$999,Transport!$B55),0)</f>
        <v>0</v>
      </c>
      <c r="AU55" s="5">
        <f>IFERROR(SUMIFS(BY_TRA!BC$2:BC$999,BY_TRA!$BJ$2:$BJ$999,Transport!$B55,BY_TRA!$BK$2:$BK$999,Transport!$C55)/SUMIFS(BY_TRA!BC$2:BC$999,BY_TRA!$BJ$2:$BJ$999,Transport!$B55),0)</f>
        <v>0</v>
      </c>
      <c r="AV55" s="5">
        <f>IFERROR(SUMIFS(BY_TRA!BD$2:BD$999,BY_TRA!$BJ$2:$BJ$999,Transport!$B55,BY_TRA!$BK$2:$BK$999,Transport!$C55)/SUMIFS(BY_TRA!BD$2:BD$999,BY_TRA!$BJ$2:$BJ$999,Transport!$B55),0)</f>
        <v>0</v>
      </c>
      <c r="AW55" s="5">
        <f>IFERROR(SUMIFS(BY_TRA!BE$2:BE$999,BY_TRA!$BJ$2:$BJ$999,Transport!$B55,BY_TRA!$BK$2:$BK$999,Transport!$C55)/SUMIFS(BY_TRA!BE$2:BE$999,BY_TRA!$BJ$2:$BJ$999,Transport!$B55),0)</f>
        <v>0</v>
      </c>
      <c r="AX55" s="5">
        <f>IFERROR(SUMIFS(BY_TRA!BF$2:BF$999,BY_TRA!$BJ$2:$BJ$999,Transport!$B55,BY_TRA!$BK$2:$BK$999,Transport!$C55)/SUMIFS(BY_TRA!BF$2:BF$999,BY_TRA!$BJ$2:$BJ$999,Transport!$B55),0)</f>
        <v>0</v>
      </c>
      <c r="AY55" s="5">
        <f>IFERROR(SUMIFS(BY_TRA!BG$2:BG$999,BY_TRA!$BJ$2:$BJ$999,Transport!$B55,BY_TRA!$BK$2:$BK$999,Transport!$C55)/SUMIFS(BY_TRA!BG$2:BG$999,BY_TRA!$BJ$2:$BJ$999,Transport!$B55),0)</f>
        <v>0</v>
      </c>
    </row>
    <row r="56" spans="2:51" ht="14.5">
      <c r="B56" t="s">
        <v>184</v>
      </c>
      <c r="C56" t="s">
        <v>174</v>
      </c>
      <c r="D56" s="5">
        <f>IFERROR(SUMIFS(BY_TRA!L$2:L$999,BY_TRA!$BJ$2:$BJ$999,Transport!$B56,BY_TRA!$BK$2:$BK$999,Transport!$C56)/SUMIFS(BY_TRA!L$2:L$999,BY_TRA!$BJ$2:$BJ$999,Transport!$B56),0)</f>
        <v>0</v>
      </c>
      <c r="E56" s="5">
        <f>IFERROR(SUMIFS(BY_TRA!M$2:M$999,BY_TRA!$BJ$2:$BJ$999,Transport!$B56,BY_TRA!$BK$2:$BK$999,Transport!$C56)/SUMIFS(BY_TRA!M$2:M$999,BY_TRA!$BJ$2:$BJ$999,Transport!$B56),0)</f>
        <v>0</v>
      </c>
      <c r="F56" s="5">
        <f>IFERROR(SUMIFS(BY_TRA!N$2:N$999,BY_TRA!$BJ$2:$BJ$999,Transport!$B56,BY_TRA!$BK$2:$BK$999,Transport!$C56)/SUMIFS(BY_TRA!N$2:N$999,BY_TRA!$BJ$2:$BJ$999,Transport!$B56),0)</f>
        <v>0</v>
      </c>
      <c r="G56" s="5">
        <f>IFERROR(SUMIFS(BY_TRA!O$2:O$999,BY_TRA!$BJ$2:$BJ$999,Transport!$B56,BY_TRA!$BK$2:$BK$999,Transport!$C56)/SUMIFS(BY_TRA!O$2:O$999,BY_TRA!$BJ$2:$BJ$999,Transport!$B56),0)</f>
        <v>0</v>
      </c>
      <c r="H56" s="5">
        <f>IFERROR(SUMIFS(BY_TRA!P$2:P$999,BY_TRA!$BJ$2:$BJ$999,Transport!$B56,BY_TRA!$BK$2:$BK$999,Transport!$C56)/SUMIFS(BY_TRA!P$2:P$999,BY_TRA!$BJ$2:$BJ$999,Transport!$B56),0)</f>
        <v>0</v>
      </c>
      <c r="I56" s="5">
        <f>IFERROR(SUMIFS(BY_TRA!Q$2:Q$999,BY_TRA!$BJ$2:$BJ$999,Transport!$B56,BY_TRA!$BK$2:$BK$999,Transport!$C56)/SUMIFS(BY_TRA!Q$2:Q$999,BY_TRA!$BJ$2:$BJ$999,Transport!$B56),0)</f>
        <v>0</v>
      </c>
      <c r="J56" s="5">
        <f>IFERROR(SUMIFS(BY_TRA!R$2:R$999,BY_TRA!$BJ$2:$BJ$999,Transport!$B56,BY_TRA!$BK$2:$BK$999,Transport!$C56)/SUMIFS(BY_TRA!R$2:R$999,BY_TRA!$BJ$2:$BJ$999,Transport!$B56),0)</f>
        <v>0</v>
      </c>
      <c r="K56" s="5">
        <f>IFERROR(SUMIFS(BY_TRA!S$2:S$999,BY_TRA!$BJ$2:$BJ$999,Transport!$B56,BY_TRA!$BK$2:$BK$999,Transport!$C56)/SUMIFS(BY_TRA!S$2:S$999,BY_TRA!$BJ$2:$BJ$999,Transport!$B56),0)</f>
        <v>0</v>
      </c>
      <c r="L56" s="5">
        <f>IFERROR(SUMIFS(BY_TRA!T$2:T$999,BY_TRA!$BJ$2:$BJ$999,Transport!$B56,BY_TRA!$BK$2:$BK$999,Transport!$C56)/SUMIFS(BY_TRA!T$2:T$999,BY_TRA!$BJ$2:$BJ$999,Transport!$B56),0)</f>
        <v>0</v>
      </c>
      <c r="M56" s="5">
        <f>IFERROR(SUMIFS(BY_TRA!U$2:U$999,BY_TRA!$BJ$2:$BJ$999,Transport!$B56,BY_TRA!$BK$2:$BK$999,Transport!$C56)/SUMIFS(BY_TRA!U$2:U$999,BY_TRA!$BJ$2:$BJ$999,Transport!$B56),0)</f>
        <v>0</v>
      </c>
      <c r="N56" s="5">
        <f>IFERROR(SUMIFS(BY_TRA!V$2:V$999,BY_TRA!$BJ$2:$BJ$999,Transport!$B56,BY_TRA!$BK$2:$BK$999,Transport!$C56)/SUMIFS(BY_TRA!V$2:V$999,BY_TRA!$BJ$2:$BJ$999,Transport!$B56),0)</f>
        <v>0</v>
      </c>
      <c r="O56" s="5">
        <f>IFERROR(SUMIFS(BY_TRA!W$2:W$999,BY_TRA!$BJ$2:$BJ$999,Transport!$B56,BY_TRA!$BK$2:$BK$999,Transport!$C56)/SUMIFS(BY_TRA!W$2:W$999,BY_TRA!$BJ$2:$BJ$999,Transport!$B56),0)</f>
        <v>0</v>
      </c>
      <c r="P56" s="5">
        <f>IFERROR(SUMIFS(BY_TRA!X$2:X$999,BY_TRA!$BJ$2:$BJ$999,Transport!$B56,BY_TRA!$BK$2:$BK$999,Transport!$C56)/SUMIFS(BY_TRA!X$2:X$999,BY_TRA!$BJ$2:$BJ$999,Transport!$B56),0)</f>
        <v>0</v>
      </c>
      <c r="Q56" s="5">
        <f>IFERROR(SUMIFS(BY_TRA!Y$2:Y$999,BY_TRA!$BJ$2:$BJ$999,Transport!$B56,BY_TRA!$BK$2:$BK$999,Transport!$C56)/SUMIFS(BY_TRA!Y$2:Y$999,BY_TRA!$BJ$2:$BJ$999,Transport!$B56),0)</f>
        <v>0</v>
      </c>
      <c r="R56" s="5">
        <f>IFERROR(SUMIFS(BY_TRA!Z$2:Z$999,BY_TRA!$BJ$2:$BJ$999,Transport!$B56,BY_TRA!$BK$2:$BK$999,Transport!$C56)/SUMIFS(BY_TRA!Z$2:Z$999,BY_TRA!$BJ$2:$BJ$999,Transport!$B56),0)</f>
        <v>0</v>
      </c>
      <c r="S56" s="5">
        <f>IFERROR(SUMIFS(BY_TRA!AA$2:AA$999,BY_TRA!$BJ$2:$BJ$999,Transport!$B56,BY_TRA!$BK$2:$BK$999,Transport!$C56)/SUMIFS(BY_TRA!AA$2:AA$999,BY_TRA!$BJ$2:$BJ$999,Transport!$B56),0)</f>
        <v>0</v>
      </c>
      <c r="T56" s="5">
        <f>IFERROR(SUMIFS(BY_TRA!AB$2:AB$999,BY_TRA!$BJ$2:$BJ$999,Transport!$B56,BY_TRA!$BK$2:$BK$999,Transport!$C56)/SUMIFS(BY_TRA!AB$2:AB$999,BY_TRA!$BJ$2:$BJ$999,Transport!$B56),0)</f>
        <v>0</v>
      </c>
      <c r="U56" s="5">
        <f>IFERROR(SUMIFS(BY_TRA!AC$2:AC$999,BY_TRA!$BJ$2:$BJ$999,Transport!$B56,BY_TRA!$BK$2:$BK$999,Transport!$C56)/SUMIFS(BY_TRA!AC$2:AC$999,BY_TRA!$BJ$2:$BJ$999,Transport!$B56),0)</f>
        <v>0</v>
      </c>
      <c r="V56" s="5">
        <f>IFERROR(SUMIFS(BY_TRA!AD$2:AD$999,BY_TRA!$BJ$2:$BJ$999,Transport!$B56,BY_TRA!$BK$2:$BK$999,Transport!$C56)/SUMIFS(BY_TRA!AD$2:AD$999,BY_TRA!$BJ$2:$BJ$999,Transport!$B56),0)</f>
        <v>0</v>
      </c>
      <c r="W56" s="5">
        <f>IFERROR(SUMIFS(BY_TRA!AE$2:AE$999,BY_TRA!$BJ$2:$BJ$999,Transport!$B56,BY_TRA!$BK$2:$BK$999,Transport!$C56)/SUMIFS(BY_TRA!AE$2:AE$999,BY_TRA!$BJ$2:$BJ$999,Transport!$B56),0)</f>
        <v>0</v>
      </c>
      <c r="X56" s="5">
        <f>IFERROR(SUMIFS(BY_TRA!AF$2:AF$999,BY_TRA!$BJ$2:$BJ$999,Transport!$B56,BY_TRA!$BK$2:$BK$999,Transport!$C56)/SUMIFS(BY_TRA!AF$2:AF$999,BY_TRA!$BJ$2:$BJ$999,Transport!$B56),0)</f>
        <v>0</v>
      </c>
      <c r="Y56" s="5">
        <f>IFERROR(SUMIFS(BY_TRA!AG$2:AG$999,BY_TRA!$BJ$2:$BJ$999,Transport!$B56,BY_TRA!$BK$2:$BK$999,Transport!$C56)/SUMIFS(BY_TRA!AG$2:AG$999,BY_TRA!$BJ$2:$BJ$999,Transport!$B56),0)</f>
        <v>0</v>
      </c>
      <c r="Z56" s="5">
        <f>IFERROR(SUMIFS(BY_TRA!AH$2:AH$999,BY_TRA!$BJ$2:$BJ$999,Transport!$B56,BY_TRA!$BK$2:$BK$999,Transport!$C56)/SUMIFS(BY_TRA!AH$2:AH$999,BY_TRA!$BJ$2:$BJ$999,Transport!$B56),0)</f>
        <v>0</v>
      </c>
      <c r="AA56" s="5">
        <f>IFERROR(SUMIFS(BY_TRA!AI$2:AI$999,BY_TRA!$BJ$2:$BJ$999,Transport!$B56,BY_TRA!$BK$2:$BK$999,Transport!$C56)/SUMIFS(BY_TRA!AI$2:AI$999,BY_TRA!$BJ$2:$BJ$999,Transport!$B56),0)</f>
        <v>0</v>
      </c>
      <c r="AB56" s="5">
        <f>IFERROR(SUMIFS(BY_TRA!AJ$2:AJ$999,BY_TRA!$BJ$2:$BJ$999,Transport!$B56,BY_TRA!$BK$2:$BK$999,Transport!$C56)/SUMIFS(BY_TRA!AJ$2:AJ$999,BY_TRA!$BJ$2:$BJ$999,Transport!$B56),0)</f>
        <v>0</v>
      </c>
      <c r="AC56" s="5">
        <f>IFERROR(SUMIFS(BY_TRA!AK$2:AK$999,BY_TRA!$BJ$2:$BJ$999,Transport!$B56,BY_TRA!$BK$2:$BK$999,Transport!$C56)/SUMIFS(BY_TRA!AK$2:AK$999,BY_TRA!$BJ$2:$BJ$999,Transport!$B56),0)</f>
        <v>0</v>
      </c>
      <c r="AD56" s="5">
        <f>IFERROR(SUMIFS(BY_TRA!AL$2:AL$999,BY_TRA!$BJ$2:$BJ$999,Transport!$B56,BY_TRA!$BK$2:$BK$999,Transport!$C56)/SUMIFS(BY_TRA!AL$2:AL$999,BY_TRA!$BJ$2:$BJ$999,Transport!$B56),0)</f>
        <v>0</v>
      </c>
      <c r="AE56" s="5">
        <f>IFERROR(SUMIFS(BY_TRA!AM$2:AM$999,BY_TRA!$BJ$2:$BJ$999,Transport!$B56,BY_TRA!$BK$2:$BK$999,Transport!$C56)/SUMIFS(BY_TRA!AM$2:AM$999,BY_TRA!$BJ$2:$BJ$999,Transport!$B56),0)</f>
        <v>0</v>
      </c>
      <c r="AF56" s="5">
        <f>IFERROR(SUMIFS(BY_TRA!AN$2:AN$999,BY_TRA!$BJ$2:$BJ$999,Transport!$B56,BY_TRA!$BK$2:$BK$999,Transport!$C56)/SUMIFS(BY_TRA!AN$2:AN$999,BY_TRA!$BJ$2:$BJ$999,Transport!$B56),0)</f>
        <v>0</v>
      </c>
      <c r="AG56" s="5">
        <f>IFERROR(SUMIFS(BY_TRA!AO$2:AO$999,BY_TRA!$BJ$2:$BJ$999,Transport!$B56,BY_TRA!$BK$2:$BK$999,Transport!$C56)/SUMIFS(BY_TRA!AO$2:AO$999,BY_TRA!$BJ$2:$BJ$999,Transport!$B56),0)</f>
        <v>0</v>
      </c>
      <c r="AH56" s="5">
        <f>IFERROR(SUMIFS(BY_TRA!AP$2:AP$999,BY_TRA!$BJ$2:$BJ$999,Transport!$B56,BY_TRA!$BK$2:$BK$999,Transport!$C56)/SUMIFS(BY_TRA!AP$2:AP$999,BY_TRA!$BJ$2:$BJ$999,Transport!$B56),0)</f>
        <v>0</v>
      </c>
      <c r="AI56" s="5">
        <f>IFERROR(SUMIFS(BY_TRA!AQ$2:AQ$999,BY_TRA!$BJ$2:$BJ$999,Transport!$B56,BY_TRA!$BK$2:$BK$999,Transport!$C56)/SUMIFS(BY_TRA!AQ$2:AQ$999,BY_TRA!$BJ$2:$BJ$999,Transport!$B56),0)</f>
        <v>0</v>
      </c>
      <c r="AJ56" s="5">
        <f>IFERROR(SUMIFS(BY_TRA!AR$2:AR$999,BY_TRA!$BJ$2:$BJ$999,Transport!$B56,BY_TRA!$BK$2:$BK$999,Transport!$C56)/SUMIFS(BY_TRA!AR$2:AR$999,BY_TRA!$BJ$2:$BJ$999,Transport!$B56),0)</f>
        <v>0</v>
      </c>
      <c r="AK56" s="5">
        <f>IFERROR(SUMIFS(BY_TRA!AS$2:AS$999,BY_TRA!$BJ$2:$BJ$999,Transport!$B56,BY_TRA!$BK$2:$BK$999,Transport!$C56)/SUMIFS(BY_TRA!AS$2:AS$999,BY_TRA!$BJ$2:$BJ$999,Transport!$B56),0)</f>
        <v>0</v>
      </c>
      <c r="AL56" s="5">
        <f>IFERROR(SUMIFS(BY_TRA!AT$2:AT$999,BY_TRA!$BJ$2:$BJ$999,Transport!$B56,BY_TRA!$BK$2:$BK$999,Transport!$C56)/SUMIFS(BY_TRA!AT$2:AT$999,BY_TRA!$BJ$2:$BJ$999,Transport!$B56),0)</f>
        <v>0</v>
      </c>
      <c r="AM56" s="5">
        <f>IFERROR(SUMIFS(BY_TRA!AU$2:AU$999,BY_TRA!$BJ$2:$BJ$999,Transport!$B56,BY_TRA!$BK$2:$BK$999,Transport!$C56)/SUMIFS(BY_TRA!AU$2:AU$999,BY_TRA!$BJ$2:$BJ$999,Transport!$B56),0)</f>
        <v>0</v>
      </c>
      <c r="AN56" s="5">
        <f>IFERROR(SUMIFS(BY_TRA!AV$2:AV$999,BY_TRA!$BJ$2:$BJ$999,Transport!$B56,BY_TRA!$BK$2:$BK$999,Transport!$C56)/SUMIFS(BY_TRA!AV$2:AV$999,BY_TRA!$BJ$2:$BJ$999,Transport!$B56),0)</f>
        <v>0</v>
      </c>
      <c r="AO56" s="5">
        <f>IFERROR(SUMIFS(BY_TRA!AW$2:AW$999,BY_TRA!$BJ$2:$BJ$999,Transport!$B56,BY_TRA!$BK$2:$BK$999,Transport!$C56)/SUMIFS(BY_TRA!AW$2:AW$999,BY_TRA!$BJ$2:$BJ$999,Transport!$B56),0)</f>
        <v>0</v>
      </c>
      <c r="AP56" s="5">
        <f>IFERROR(SUMIFS(BY_TRA!AX$2:AX$999,BY_TRA!$BJ$2:$BJ$999,Transport!$B56,BY_TRA!$BK$2:$BK$999,Transport!$C56)/SUMIFS(BY_TRA!AX$2:AX$999,BY_TRA!$BJ$2:$BJ$999,Transport!$B56),0)</f>
        <v>0</v>
      </c>
      <c r="AQ56" s="5">
        <f>IFERROR(SUMIFS(BY_TRA!AY$2:AY$999,BY_TRA!$BJ$2:$BJ$999,Transport!$B56,BY_TRA!$BK$2:$BK$999,Transport!$C56)/SUMIFS(BY_TRA!AY$2:AY$999,BY_TRA!$BJ$2:$BJ$999,Transport!$B56),0)</f>
        <v>0</v>
      </c>
      <c r="AR56" s="5">
        <f>IFERROR(SUMIFS(BY_TRA!AZ$2:AZ$999,BY_TRA!$BJ$2:$BJ$999,Transport!$B56,BY_TRA!$BK$2:$BK$999,Transport!$C56)/SUMIFS(BY_TRA!AZ$2:AZ$999,BY_TRA!$BJ$2:$BJ$999,Transport!$B56),0)</f>
        <v>0</v>
      </c>
      <c r="AS56" s="5">
        <f>IFERROR(SUMIFS(BY_TRA!BA$2:BA$999,BY_TRA!$BJ$2:$BJ$999,Transport!$B56,BY_TRA!$BK$2:$BK$999,Transport!$C56)/SUMIFS(BY_TRA!BA$2:BA$999,BY_TRA!$BJ$2:$BJ$999,Transport!$B56),0)</f>
        <v>0</v>
      </c>
      <c r="AT56" s="5">
        <f>IFERROR(SUMIFS(BY_TRA!BB$2:BB$999,BY_TRA!$BJ$2:$BJ$999,Transport!$B56,BY_TRA!$BK$2:$BK$999,Transport!$C56)/SUMIFS(BY_TRA!BB$2:BB$999,BY_TRA!$BJ$2:$BJ$999,Transport!$B56),0)</f>
        <v>0</v>
      </c>
      <c r="AU56" s="5">
        <f>IFERROR(SUMIFS(BY_TRA!BC$2:BC$999,BY_TRA!$BJ$2:$BJ$999,Transport!$B56,BY_TRA!$BK$2:$BK$999,Transport!$C56)/SUMIFS(BY_TRA!BC$2:BC$999,BY_TRA!$BJ$2:$BJ$999,Transport!$B56),0)</f>
        <v>0</v>
      </c>
      <c r="AV56" s="5">
        <f>IFERROR(SUMIFS(BY_TRA!BD$2:BD$999,BY_TRA!$BJ$2:$BJ$999,Transport!$B56,BY_TRA!$BK$2:$BK$999,Transport!$C56)/SUMIFS(BY_TRA!BD$2:BD$999,BY_TRA!$BJ$2:$BJ$999,Transport!$B56),0)</f>
        <v>0</v>
      </c>
      <c r="AW56" s="5">
        <f>IFERROR(SUMIFS(BY_TRA!BE$2:BE$999,BY_TRA!$BJ$2:$BJ$999,Transport!$B56,BY_TRA!$BK$2:$BK$999,Transport!$C56)/SUMIFS(BY_TRA!BE$2:BE$999,BY_TRA!$BJ$2:$BJ$999,Transport!$B56),0)</f>
        <v>0</v>
      </c>
      <c r="AX56" s="5">
        <f>IFERROR(SUMIFS(BY_TRA!BF$2:BF$999,BY_TRA!$BJ$2:$BJ$999,Transport!$B56,BY_TRA!$BK$2:$BK$999,Transport!$C56)/SUMIFS(BY_TRA!BF$2:BF$999,BY_TRA!$BJ$2:$BJ$999,Transport!$B56),0)</f>
        <v>0</v>
      </c>
      <c r="AY56" s="5">
        <f>IFERROR(SUMIFS(BY_TRA!BG$2:BG$999,BY_TRA!$BJ$2:$BJ$999,Transport!$B56,BY_TRA!$BK$2:$BK$999,Transport!$C56)/SUMIFS(BY_TRA!BG$2:BG$999,BY_TRA!$BJ$2:$BJ$999,Transport!$B56),0)</f>
        <v>0</v>
      </c>
    </row>
    <row r="57" spans="2:51" ht="14.5">
      <c r="B57" t="s">
        <v>184</v>
      </c>
      <c r="C57" t="s">
        <v>175</v>
      </c>
      <c r="D57" s="5">
        <f>IFERROR(SUMIFS(BY_TRA!L$2:L$999,BY_TRA!$BJ$2:$BJ$999,Transport!$B57,BY_TRA!$BK$2:$BK$999,Transport!$C57)/SUMIFS(BY_TRA!L$2:L$999,BY_TRA!$BJ$2:$BJ$999,Transport!$B57),0)</f>
        <v>0</v>
      </c>
      <c r="E57" s="5">
        <f>IFERROR(SUMIFS(BY_TRA!M$2:M$999,BY_TRA!$BJ$2:$BJ$999,Transport!$B57,BY_TRA!$BK$2:$BK$999,Transport!$C57)/SUMIFS(BY_TRA!M$2:M$999,BY_TRA!$BJ$2:$BJ$999,Transport!$B57),0)</f>
        <v>0</v>
      </c>
      <c r="F57" s="5">
        <f>IFERROR(SUMIFS(BY_TRA!N$2:N$999,BY_TRA!$BJ$2:$BJ$999,Transport!$B57,BY_TRA!$BK$2:$BK$999,Transport!$C57)/SUMIFS(BY_TRA!N$2:N$999,BY_TRA!$BJ$2:$BJ$999,Transport!$B57),0)</f>
        <v>0</v>
      </c>
      <c r="G57" s="5">
        <f>IFERROR(SUMIFS(BY_TRA!O$2:O$999,BY_TRA!$BJ$2:$BJ$999,Transport!$B57,BY_TRA!$BK$2:$BK$999,Transport!$C57)/SUMIFS(BY_TRA!O$2:O$999,BY_TRA!$BJ$2:$BJ$999,Transport!$B57),0)</f>
        <v>0</v>
      </c>
      <c r="H57" s="5">
        <f>IFERROR(SUMIFS(BY_TRA!P$2:P$999,BY_TRA!$BJ$2:$BJ$999,Transport!$B57,BY_TRA!$BK$2:$BK$999,Transport!$C57)/SUMIFS(BY_TRA!P$2:P$999,BY_TRA!$BJ$2:$BJ$999,Transport!$B57),0)</f>
        <v>0.036231884057970995</v>
      </c>
      <c r="I57" s="5">
        <f>IFERROR(SUMIFS(BY_TRA!Q$2:Q$999,BY_TRA!$BJ$2:$BJ$999,Transport!$B57,BY_TRA!$BK$2:$BK$999,Transport!$C57)/SUMIFS(BY_TRA!Q$2:Q$999,BY_TRA!$BJ$2:$BJ$999,Transport!$B57),0)</f>
        <v>0</v>
      </c>
      <c r="J57" s="5">
        <f>IFERROR(SUMIFS(BY_TRA!R$2:R$999,BY_TRA!$BJ$2:$BJ$999,Transport!$B57,BY_TRA!$BK$2:$BK$999,Transport!$C57)/SUMIFS(BY_TRA!R$2:R$999,BY_TRA!$BJ$2:$BJ$999,Transport!$B57),0)</f>
        <v>0.017257039055404193</v>
      </c>
      <c r="K57" s="5">
        <f>IFERROR(SUMIFS(BY_TRA!S$2:S$999,BY_TRA!$BJ$2:$BJ$999,Transport!$B57,BY_TRA!$BK$2:$BK$999,Transport!$C57)/SUMIFS(BY_TRA!S$2:S$999,BY_TRA!$BJ$2:$BJ$999,Transport!$B57),0)</f>
        <v>0.030129124820659929</v>
      </c>
      <c r="L57" s="5">
        <f>IFERROR(SUMIFS(BY_TRA!T$2:T$999,BY_TRA!$BJ$2:$BJ$999,Transport!$B57,BY_TRA!$BK$2:$BK$999,Transport!$C57)/SUMIFS(BY_TRA!T$2:T$999,BY_TRA!$BJ$2:$BJ$999,Transport!$B57),0)</f>
        <v>0.018518518518518511</v>
      </c>
      <c r="M57" s="5">
        <f>IFERROR(SUMIFS(BY_TRA!U$2:U$999,BY_TRA!$BJ$2:$BJ$999,Transport!$B57,BY_TRA!$BK$2:$BK$999,Transport!$C57)/SUMIFS(BY_TRA!U$2:U$999,BY_TRA!$BJ$2:$BJ$999,Transport!$B57),0)</f>
        <v>0.021276595744680889</v>
      </c>
      <c r="N57" s="5">
        <f>IFERROR(SUMIFS(BY_TRA!V$2:V$999,BY_TRA!$BJ$2:$BJ$999,Transport!$B57,BY_TRA!$BK$2:$BK$999,Transport!$C57)/SUMIFS(BY_TRA!V$2:V$999,BY_TRA!$BJ$2:$BJ$999,Transport!$B57),0)</f>
        <v>0</v>
      </c>
      <c r="O57" s="5">
        <f>IFERROR(SUMIFS(BY_TRA!W$2:W$999,BY_TRA!$BJ$2:$BJ$999,Transport!$B57,BY_TRA!$BK$2:$BK$999,Transport!$C57)/SUMIFS(BY_TRA!W$2:W$999,BY_TRA!$BJ$2:$BJ$999,Transport!$B57),0)</f>
        <v>0</v>
      </c>
      <c r="P57" s="5">
        <f>IFERROR(SUMIFS(BY_TRA!X$2:X$999,BY_TRA!$BJ$2:$BJ$999,Transport!$B57,BY_TRA!$BK$2:$BK$999,Transport!$C57)/SUMIFS(BY_TRA!X$2:X$999,BY_TRA!$BJ$2:$BJ$999,Transport!$B57),0)</f>
        <v>0</v>
      </c>
      <c r="Q57" s="5">
        <f>IFERROR(SUMIFS(BY_TRA!Y$2:Y$999,BY_TRA!$BJ$2:$BJ$999,Transport!$B57,BY_TRA!$BK$2:$BK$999,Transport!$C57)/SUMIFS(BY_TRA!Y$2:Y$999,BY_TRA!$BJ$2:$BJ$999,Transport!$B57),0)</f>
        <v>0.0217983651226158</v>
      </c>
      <c r="R57" s="5">
        <f>IFERROR(SUMIFS(BY_TRA!Z$2:Z$999,BY_TRA!$BJ$2:$BJ$999,Transport!$B57,BY_TRA!$BK$2:$BK$999,Transport!$C57)/SUMIFS(BY_TRA!Z$2:Z$999,BY_TRA!$BJ$2:$BJ$999,Transport!$B57),0)</f>
        <v>0</v>
      </c>
      <c r="S57" s="5">
        <f>IFERROR(SUMIFS(BY_TRA!AA$2:AA$999,BY_TRA!$BJ$2:$BJ$999,Transport!$B57,BY_TRA!$BK$2:$BK$999,Transport!$C57)/SUMIFS(BY_TRA!AA$2:AA$999,BY_TRA!$BJ$2:$BJ$999,Transport!$B57),0)</f>
        <v>0</v>
      </c>
      <c r="T57" s="5">
        <f>IFERROR(SUMIFS(BY_TRA!AB$2:AB$999,BY_TRA!$BJ$2:$BJ$999,Transport!$B57,BY_TRA!$BK$2:$BK$999,Transport!$C57)/SUMIFS(BY_TRA!AB$2:AB$999,BY_TRA!$BJ$2:$BJ$999,Transport!$B57),0)</f>
        <v>0</v>
      </c>
      <c r="U57" s="5">
        <f>IFERROR(SUMIFS(BY_TRA!AC$2:AC$999,BY_TRA!$BJ$2:$BJ$999,Transport!$B57,BY_TRA!$BK$2:$BK$999,Transport!$C57)/SUMIFS(BY_TRA!AC$2:AC$999,BY_TRA!$BJ$2:$BJ$999,Transport!$B57),0)</f>
        <v>0</v>
      </c>
      <c r="V57" s="5">
        <f>IFERROR(SUMIFS(BY_TRA!AD$2:AD$999,BY_TRA!$BJ$2:$BJ$999,Transport!$B57,BY_TRA!$BK$2:$BK$999,Transport!$C57)/SUMIFS(BY_TRA!AD$2:AD$999,BY_TRA!$BJ$2:$BJ$999,Transport!$B57),0)</f>
        <v>0</v>
      </c>
      <c r="W57" s="5">
        <f>IFERROR(SUMIFS(BY_TRA!AE$2:AE$999,BY_TRA!$BJ$2:$BJ$999,Transport!$B57,BY_TRA!$BK$2:$BK$999,Transport!$C57)/SUMIFS(BY_TRA!AE$2:AE$999,BY_TRA!$BJ$2:$BJ$999,Transport!$B57),0)</f>
        <v>0.042337507453786567</v>
      </c>
      <c r="X57" s="5">
        <f>IFERROR(SUMIFS(BY_TRA!AF$2:AF$999,BY_TRA!$BJ$2:$BJ$999,Transport!$B57,BY_TRA!$BK$2:$BK$999,Transport!$C57)/SUMIFS(BY_TRA!AF$2:AF$999,BY_TRA!$BJ$2:$BJ$999,Transport!$B57),0)</f>
        <v>0.19669327251995433</v>
      </c>
      <c r="Y57" s="5">
        <f>IFERROR(SUMIFS(BY_TRA!AG$2:AG$999,BY_TRA!$BJ$2:$BJ$999,Transport!$B57,BY_TRA!$BK$2:$BK$999,Transport!$C57)/SUMIFS(BY_TRA!AG$2:AG$999,BY_TRA!$BJ$2:$BJ$999,Transport!$B57),0)</f>
        <v>0.16009183886453762</v>
      </c>
      <c r="Z57" s="5">
        <f>IFERROR(SUMIFS(BY_TRA!AH$2:AH$999,BY_TRA!$BJ$2:$BJ$999,Transport!$B57,BY_TRA!$BK$2:$BK$999,Transport!$C57)/SUMIFS(BY_TRA!AH$2:AH$999,BY_TRA!$BJ$2:$BJ$999,Transport!$B57),0)</f>
        <v>0</v>
      </c>
      <c r="AA57" s="5">
        <f>IFERROR(SUMIFS(BY_TRA!AI$2:AI$999,BY_TRA!$BJ$2:$BJ$999,Transport!$B57,BY_TRA!$BK$2:$BK$999,Transport!$C57)/SUMIFS(BY_TRA!AI$2:AI$999,BY_TRA!$BJ$2:$BJ$999,Transport!$B57),0)</f>
        <v>0.020522388059701469</v>
      </c>
      <c r="AB57" s="5">
        <f>IFERROR(SUMIFS(BY_TRA!AJ$2:AJ$999,BY_TRA!$BJ$2:$BJ$999,Transport!$B57,BY_TRA!$BK$2:$BK$999,Transport!$C57)/SUMIFS(BY_TRA!AJ$2:AJ$999,BY_TRA!$BJ$2:$BJ$999,Transport!$B57),0)</f>
        <v>0</v>
      </c>
      <c r="AC57" s="5">
        <f>IFERROR(SUMIFS(BY_TRA!AK$2:AK$999,BY_TRA!$BJ$2:$BJ$999,Transport!$B57,BY_TRA!$BK$2:$BK$999,Transport!$C57)/SUMIFS(BY_TRA!AK$2:AK$999,BY_TRA!$BJ$2:$BJ$999,Transport!$B57),0)</f>
        <v>0.25848303393213584</v>
      </c>
      <c r="AD57" s="5">
        <f>IFERROR(SUMIFS(BY_TRA!AL$2:AL$999,BY_TRA!$BJ$2:$BJ$999,Transport!$B57,BY_TRA!$BK$2:$BK$999,Transport!$C57)/SUMIFS(BY_TRA!AL$2:AL$999,BY_TRA!$BJ$2:$BJ$999,Transport!$B57),0)</f>
        <v>0.15684210526315784</v>
      </c>
      <c r="AE57" s="5">
        <f>IFERROR(SUMIFS(BY_TRA!AM$2:AM$999,BY_TRA!$BJ$2:$BJ$999,Transport!$B57,BY_TRA!$BK$2:$BK$999,Transport!$C57)/SUMIFS(BY_TRA!AM$2:AM$999,BY_TRA!$BJ$2:$BJ$999,Transport!$B57),0)</f>
        <v>0</v>
      </c>
      <c r="AF57" s="5">
        <f>IFERROR(SUMIFS(BY_TRA!AN$2:AN$999,BY_TRA!$BJ$2:$BJ$999,Transport!$B57,BY_TRA!$BK$2:$BK$999,Transport!$C57)/SUMIFS(BY_TRA!AN$2:AN$999,BY_TRA!$BJ$2:$BJ$999,Transport!$B57),0)</f>
        <v>0</v>
      </c>
      <c r="AG57" s="5">
        <f>IFERROR(SUMIFS(BY_TRA!AO$2:AO$999,BY_TRA!$BJ$2:$BJ$999,Transport!$B57,BY_TRA!$BK$2:$BK$999,Transport!$C57)/SUMIFS(BY_TRA!AO$2:AO$999,BY_TRA!$BJ$2:$BJ$999,Transport!$B57),0)</f>
        <v>0</v>
      </c>
      <c r="AH57" s="5">
        <f>IFERROR(SUMIFS(BY_TRA!AP$2:AP$999,BY_TRA!$BJ$2:$BJ$999,Transport!$B57,BY_TRA!$BK$2:$BK$999,Transport!$C57)/SUMIFS(BY_TRA!AP$2:AP$999,BY_TRA!$BJ$2:$BJ$999,Transport!$B57),0)</f>
        <v>0</v>
      </c>
      <c r="AI57" s="5">
        <f>IFERROR(SUMIFS(BY_TRA!AQ$2:AQ$999,BY_TRA!$BJ$2:$BJ$999,Transport!$B57,BY_TRA!$BK$2:$BK$999,Transport!$C57)/SUMIFS(BY_TRA!AQ$2:AQ$999,BY_TRA!$BJ$2:$BJ$999,Transport!$B57),0)</f>
        <v>0.018915510718789389</v>
      </c>
      <c r="AJ57" s="5">
        <f>IFERROR(SUMIFS(BY_TRA!AR$2:AR$999,BY_TRA!$BJ$2:$BJ$999,Transport!$B57,BY_TRA!$BK$2:$BK$999,Transport!$C57)/SUMIFS(BY_TRA!AR$2:AR$999,BY_TRA!$BJ$2:$BJ$999,Transport!$B57),0)</f>
        <v>0</v>
      </c>
      <c r="AK57" s="5">
        <f>IFERROR(SUMIFS(BY_TRA!AS$2:AS$999,BY_TRA!$BJ$2:$BJ$999,Transport!$B57,BY_TRA!$BK$2:$BK$999,Transport!$C57)/SUMIFS(BY_TRA!AS$2:AS$999,BY_TRA!$BJ$2:$BJ$999,Transport!$B57),0)</f>
        <v>0.063106796116504923</v>
      </c>
      <c r="AL57" s="5">
        <f>IFERROR(SUMIFS(BY_TRA!AT$2:AT$999,BY_TRA!$BJ$2:$BJ$999,Transport!$B57,BY_TRA!$BK$2:$BK$999,Transport!$C57)/SUMIFS(BY_TRA!AT$2:AT$999,BY_TRA!$BJ$2:$BJ$999,Transport!$B57),0)</f>
        <v>0.012875536480686718</v>
      </c>
      <c r="AM57" s="5">
        <f>IFERROR(SUMIFS(BY_TRA!AU$2:AU$999,BY_TRA!$BJ$2:$BJ$999,Transport!$B57,BY_TRA!$BK$2:$BK$999,Transport!$C57)/SUMIFS(BY_TRA!AU$2:AU$999,BY_TRA!$BJ$2:$BJ$999,Transport!$B57),0)</f>
        <v>0</v>
      </c>
      <c r="AN57" s="5">
        <f>IFERROR(SUMIFS(BY_TRA!AV$2:AV$999,BY_TRA!$BJ$2:$BJ$999,Transport!$B57,BY_TRA!$BK$2:$BK$999,Transport!$C57)/SUMIFS(BY_TRA!AV$2:AV$999,BY_TRA!$BJ$2:$BJ$999,Transport!$B57),0)</f>
        <v>0</v>
      </c>
      <c r="AO57" s="5">
        <f>IFERROR(SUMIFS(BY_TRA!AW$2:AW$999,BY_TRA!$BJ$2:$BJ$999,Transport!$B57,BY_TRA!$BK$2:$BK$999,Transport!$C57)/SUMIFS(BY_TRA!AW$2:AW$999,BY_TRA!$BJ$2:$BJ$999,Transport!$B57),0)</f>
        <v>0</v>
      </c>
      <c r="AP57" s="5">
        <f>IFERROR(SUMIFS(BY_TRA!AX$2:AX$999,BY_TRA!$BJ$2:$BJ$999,Transport!$B57,BY_TRA!$BK$2:$BK$999,Transport!$C57)/SUMIFS(BY_TRA!AX$2:AX$999,BY_TRA!$BJ$2:$BJ$999,Transport!$B57),0)</f>
        <v>0</v>
      </c>
      <c r="AQ57" s="5">
        <f>IFERROR(SUMIFS(BY_TRA!AY$2:AY$999,BY_TRA!$BJ$2:$BJ$999,Transport!$B57,BY_TRA!$BK$2:$BK$999,Transport!$C57)/SUMIFS(BY_TRA!AY$2:AY$999,BY_TRA!$BJ$2:$BJ$999,Transport!$B57),0)</f>
        <v>0</v>
      </c>
      <c r="AR57" s="5">
        <f>IFERROR(SUMIFS(BY_TRA!AZ$2:AZ$999,BY_TRA!$BJ$2:$BJ$999,Transport!$B57,BY_TRA!$BK$2:$BK$999,Transport!$C57)/SUMIFS(BY_TRA!AZ$2:AZ$999,BY_TRA!$BJ$2:$BJ$999,Transport!$B57),0)</f>
        <v>0</v>
      </c>
      <c r="AS57" s="5">
        <f>IFERROR(SUMIFS(BY_TRA!BA$2:BA$999,BY_TRA!$BJ$2:$BJ$999,Transport!$B57,BY_TRA!$BK$2:$BK$999,Transport!$C57)/SUMIFS(BY_TRA!BA$2:BA$999,BY_TRA!$BJ$2:$BJ$999,Transport!$B57),0)</f>
        <v>0</v>
      </c>
      <c r="AT57" s="5">
        <f>IFERROR(SUMIFS(BY_TRA!BB$2:BB$999,BY_TRA!$BJ$2:$BJ$999,Transport!$B57,BY_TRA!$BK$2:$BK$999,Transport!$C57)/SUMIFS(BY_TRA!BB$2:BB$999,BY_TRA!$BJ$2:$BJ$999,Transport!$B57),0)</f>
        <v>0</v>
      </c>
      <c r="AU57" s="5">
        <f>IFERROR(SUMIFS(BY_TRA!BC$2:BC$999,BY_TRA!$BJ$2:$BJ$999,Transport!$B57,BY_TRA!$BK$2:$BK$999,Transport!$C57)/SUMIFS(BY_TRA!BC$2:BC$999,BY_TRA!$BJ$2:$BJ$999,Transport!$B57),0)</f>
        <v>0</v>
      </c>
      <c r="AV57" s="5">
        <f>IFERROR(SUMIFS(BY_TRA!BD$2:BD$999,BY_TRA!$BJ$2:$BJ$999,Transport!$B57,BY_TRA!$BK$2:$BK$999,Transport!$C57)/SUMIFS(BY_TRA!BD$2:BD$999,BY_TRA!$BJ$2:$BJ$999,Transport!$B57),0)</f>
        <v>0</v>
      </c>
      <c r="AW57" s="5">
        <f>IFERROR(SUMIFS(BY_TRA!BE$2:BE$999,BY_TRA!$BJ$2:$BJ$999,Transport!$B57,BY_TRA!$BK$2:$BK$999,Transport!$C57)/SUMIFS(BY_TRA!BE$2:BE$999,BY_TRA!$BJ$2:$BJ$999,Transport!$B57),0)</f>
        <v>0</v>
      </c>
      <c r="AX57" s="5">
        <f>IFERROR(SUMIFS(BY_TRA!BF$2:BF$999,BY_TRA!$BJ$2:$BJ$999,Transport!$B57,BY_TRA!$BK$2:$BK$999,Transport!$C57)/SUMIFS(BY_TRA!BF$2:BF$999,BY_TRA!$BJ$2:$BJ$999,Transport!$B57),0)</f>
        <v>0</v>
      </c>
      <c r="AY57" s="5">
        <f>IFERROR(SUMIFS(BY_TRA!BG$2:BG$999,BY_TRA!$BJ$2:$BJ$999,Transport!$B57,BY_TRA!$BK$2:$BK$999,Transport!$C57)/SUMIFS(BY_TRA!BG$2:BG$999,BY_TRA!$BJ$2:$BJ$999,Transport!$B57),0)</f>
        <v>0</v>
      </c>
    </row>
    <row r="58" spans="2:51" ht="14.5">
      <c r="B58" t="s">
        <v>184</v>
      </c>
      <c r="C58" t="s">
        <v>182</v>
      </c>
      <c r="D58" s="5">
        <f>IFERROR(SUMIFS(BY_TRA!L$2:L$999,BY_TRA!$BJ$2:$BJ$999,Transport!$B58,BY_TRA!$BK$2:$BK$999,Transport!$C58)/SUMIFS(BY_TRA!L$2:L$999,BY_TRA!$BJ$2:$BJ$999,Transport!$B58),0)</f>
        <v>0</v>
      </c>
      <c r="E58" s="5">
        <f>IFERROR(SUMIFS(BY_TRA!M$2:M$999,BY_TRA!$BJ$2:$BJ$999,Transport!$B58,BY_TRA!$BK$2:$BK$999,Transport!$C58)/SUMIFS(BY_TRA!M$2:M$999,BY_TRA!$BJ$2:$BJ$999,Transport!$B58),0)</f>
        <v>0</v>
      </c>
      <c r="F58" s="5">
        <f>IFERROR(SUMIFS(BY_TRA!N$2:N$999,BY_TRA!$BJ$2:$BJ$999,Transport!$B58,BY_TRA!$BK$2:$BK$999,Transport!$C58)/SUMIFS(BY_TRA!N$2:N$999,BY_TRA!$BJ$2:$BJ$999,Transport!$B58),0)</f>
        <v>0</v>
      </c>
      <c r="G58" s="5">
        <f>IFERROR(SUMIFS(BY_TRA!O$2:O$999,BY_TRA!$BJ$2:$BJ$999,Transport!$B58,BY_TRA!$BK$2:$BK$999,Transport!$C58)/SUMIFS(BY_TRA!O$2:O$999,BY_TRA!$BJ$2:$BJ$999,Transport!$B58),0)</f>
        <v>0</v>
      </c>
      <c r="H58" s="5">
        <f>IFERROR(SUMIFS(BY_TRA!P$2:P$999,BY_TRA!$BJ$2:$BJ$999,Transport!$B58,BY_TRA!$BK$2:$BK$999,Transport!$C58)/SUMIFS(BY_TRA!P$2:P$999,BY_TRA!$BJ$2:$BJ$999,Transport!$B58),0)</f>
        <v>0</v>
      </c>
      <c r="I58" s="5">
        <f>IFERROR(SUMIFS(BY_TRA!Q$2:Q$999,BY_TRA!$BJ$2:$BJ$999,Transport!$B58,BY_TRA!$BK$2:$BK$999,Transport!$C58)/SUMIFS(BY_TRA!Q$2:Q$999,BY_TRA!$BJ$2:$BJ$999,Transport!$B58),0)</f>
        <v>0</v>
      </c>
      <c r="J58" s="5">
        <f>IFERROR(SUMIFS(BY_TRA!R$2:R$999,BY_TRA!$BJ$2:$BJ$999,Transport!$B58,BY_TRA!$BK$2:$BK$999,Transport!$C58)/SUMIFS(BY_TRA!R$2:R$999,BY_TRA!$BJ$2:$BJ$999,Transport!$B58),0)</f>
        <v>0</v>
      </c>
      <c r="K58" s="5">
        <f>IFERROR(SUMIFS(BY_TRA!S$2:S$999,BY_TRA!$BJ$2:$BJ$999,Transport!$B58,BY_TRA!$BK$2:$BK$999,Transport!$C58)/SUMIFS(BY_TRA!S$2:S$999,BY_TRA!$BJ$2:$BJ$999,Transport!$B58),0)</f>
        <v>0</v>
      </c>
      <c r="L58" s="5">
        <f>IFERROR(SUMIFS(BY_TRA!T$2:T$999,BY_TRA!$BJ$2:$BJ$999,Transport!$B58,BY_TRA!$BK$2:$BK$999,Transport!$C58)/SUMIFS(BY_TRA!T$2:T$999,BY_TRA!$BJ$2:$BJ$999,Transport!$B58),0)</f>
        <v>0</v>
      </c>
      <c r="M58" s="5">
        <f>IFERROR(SUMIFS(BY_TRA!U$2:U$999,BY_TRA!$BJ$2:$BJ$999,Transport!$B58,BY_TRA!$BK$2:$BK$999,Transport!$C58)/SUMIFS(BY_TRA!U$2:U$999,BY_TRA!$BJ$2:$BJ$999,Transport!$B58),0)</f>
        <v>0</v>
      </c>
      <c r="N58" s="5">
        <f>IFERROR(SUMIFS(BY_TRA!V$2:V$999,BY_TRA!$BJ$2:$BJ$999,Transport!$B58,BY_TRA!$BK$2:$BK$999,Transport!$C58)/SUMIFS(BY_TRA!V$2:V$999,BY_TRA!$BJ$2:$BJ$999,Transport!$B58),0)</f>
        <v>0</v>
      </c>
      <c r="O58" s="5">
        <f>IFERROR(SUMIFS(BY_TRA!W$2:W$999,BY_TRA!$BJ$2:$BJ$999,Transport!$B58,BY_TRA!$BK$2:$BK$999,Transport!$C58)/SUMIFS(BY_TRA!W$2:W$999,BY_TRA!$BJ$2:$BJ$999,Transport!$B58),0)</f>
        <v>0</v>
      </c>
      <c r="P58" s="5">
        <f>IFERROR(SUMIFS(BY_TRA!X$2:X$999,BY_TRA!$BJ$2:$BJ$999,Transport!$B58,BY_TRA!$BK$2:$BK$999,Transport!$C58)/SUMIFS(BY_TRA!X$2:X$999,BY_TRA!$BJ$2:$BJ$999,Transport!$B58),0)</f>
        <v>0</v>
      </c>
      <c r="Q58" s="5">
        <f>IFERROR(SUMIFS(BY_TRA!Y$2:Y$999,BY_TRA!$BJ$2:$BJ$999,Transport!$B58,BY_TRA!$BK$2:$BK$999,Transport!$C58)/SUMIFS(BY_TRA!Y$2:Y$999,BY_TRA!$BJ$2:$BJ$999,Transport!$B58),0)</f>
        <v>0</v>
      </c>
      <c r="R58" s="5">
        <f>IFERROR(SUMIFS(BY_TRA!Z$2:Z$999,BY_TRA!$BJ$2:$BJ$999,Transport!$B58,BY_TRA!$BK$2:$BK$999,Transport!$C58)/SUMIFS(BY_TRA!Z$2:Z$999,BY_TRA!$BJ$2:$BJ$999,Transport!$B58),0)</f>
        <v>0</v>
      </c>
      <c r="S58" s="5">
        <f>IFERROR(SUMIFS(BY_TRA!AA$2:AA$999,BY_TRA!$BJ$2:$BJ$999,Transport!$B58,BY_TRA!$BK$2:$BK$999,Transport!$C58)/SUMIFS(BY_TRA!AA$2:AA$999,BY_TRA!$BJ$2:$BJ$999,Transport!$B58),0)</f>
        <v>0</v>
      </c>
      <c r="T58" s="5">
        <f>IFERROR(SUMIFS(BY_TRA!AB$2:AB$999,BY_TRA!$BJ$2:$BJ$999,Transport!$B58,BY_TRA!$BK$2:$BK$999,Transport!$C58)/SUMIFS(BY_TRA!AB$2:AB$999,BY_TRA!$BJ$2:$BJ$999,Transport!$B58),0)</f>
        <v>0</v>
      </c>
      <c r="U58" s="5">
        <f>IFERROR(SUMIFS(BY_TRA!AC$2:AC$999,BY_TRA!$BJ$2:$BJ$999,Transport!$B58,BY_TRA!$BK$2:$BK$999,Transport!$C58)/SUMIFS(BY_TRA!AC$2:AC$999,BY_TRA!$BJ$2:$BJ$999,Transport!$B58),0)</f>
        <v>0</v>
      </c>
      <c r="V58" s="5">
        <f>IFERROR(SUMIFS(BY_TRA!AD$2:AD$999,BY_TRA!$BJ$2:$BJ$999,Transport!$B58,BY_TRA!$BK$2:$BK$999,Transport!$C58)/SUMIFS(BY_TRA!AD$2:AD$999,BY_TRA!$BJ$2:$BJ$999,Transport!$B58),0)</f>
        <v>0</v>
      </c>
      <c r="W58" s="5">
        <f>IFERROR(SUMIFS(BY_TRA!AE$2:AE$999,BY_TRA!$BJ$2:$BJ$999,Transport!$B58,BY_TRA!$BK$2:$BK$999,Transport!$C58)/SUMIFS(BY_TRA!AE$2:AE$999,BY_TRA!$BJ$2:$BJ$999,Transport!$B58),0)</f>
        <v>0</v>
      </c>
      <c r="X58" s="5">
        <f>IFERROR(SUMIFS(BY_TRA!AF$2:AF$999,BY_TRA!$BJ$2:$BJ$999,Transport!$B58,BY_TRA!$BK$2:$BK$999,Transport!$C58)/SUMIFS(BY_TRA!AF$2:AF$999,BY_TRA!$BJ$2:$BJ$999,Transport!$B58),0)</f>
        <v>0</v>
      </c>
      <c r="Y58" s="5">
        <f>IFERROR(SUMIFS(BY_TRA!AG$2:AG$999,BY_TRA!$BJ$2:$BJ$999,Transport!$B58,BY_TRA!$BK$2:$BK$999,Transport!$C58)/SUMIFS(BY_TRA!AG$2:AG$999,BY_TRA!$BJ$2:$BJ$999,Transport!$B58),0)</f>
        <v>0</v>
      </c>
      <c r="Z58" s="5">
        <f>IFERROR(SUMIFS(BY_TRA!AH$2:AH$999,BY_TRA!$BJ$2:$BJ$999,Transport!$B58,BY_TRA!$BK$2:$BK$999,Transport!$C58)/SUMIFS(BY_TRA!AH$2:AH$999,BY_TRA!$BJ$2:$BJ$999,Transport!$B58),0)</f>
        <v>0</v>
      </c>
      <c r="AA58" s="5">
        <f>IFERROR(SUMIFS(BY_TRA!AI$2:AI$999,BY_TRA!$BJ$2:$BJ$999,Transport!$B58,BY_TRA!$BK$2:$BK$999,Transport!$C58)/SUMIFS(BY_TRA!AI$2:AI$999,BY_TRA!$BJ$2:$BJ$999,Transport!$B58),0)</f>
        <v>0</v>
      </c>
      <c r="AB58" s="5">
        <f>IFERROR(SUMIFS(BY_TRA!AJ$2:AJ$999,BY_TRA!$BJ$2:$BJ$999,Transport!$B58,BY_TRA!$BK$2:$BK$999,Transport!$C58)/SUMIFS(BY_TRA!AJ$2:AJ$999,BY_TRA!$BJ$2:$BJ$999,Transport!$B58),0)</f>
        <v>0</v>
      </c>
      <c r="AC58" s="5">
        <f>IFERROR(SUMIFS(BY_TRA!AK$2:AK$999,BY_TRA!$BJ$2:$BJ$999,Transport!$B58,BY_TRA!$BK$2:$BK$999,Transport!$C58)/SUMIFS(BY_TRA!AK$2:AK$999,BY_TRA!$BJ$2:$BJ$999,Transport!$B58),0)</f>
        <v>0</v>
      </c>
      <c r="AD58" s="5">
        <f>IFERROR(SUMIFS(BY_TRA!AL$2:AL$999,BY_TRA!$BJ$2:$BJ$999,Transport!$B58,BY_TRA!$BK$2:$BK$999,Transport!$C58)/SUMIFS(BY_TRA!AL$2:AL$999,BY_TRA!$BJ$2:$BJ$999,Transport!$B58),0)</f>
        <v>0</v>
      </c>
      <c r="AE58" s="5">
        <f>IFERROR(SUMIFS(BY_TRA!AM$2:AM$999,BY_TRA!$BJ$2:$BJ$999,Transport!$B58,BY_TRA!$BK$2:$BK$999,Transport!$C58)/SUMIFS(BY_TRA!AM$2:AM$999,BY_TRA!$BJ$2:$BJ$999,Transport!$B58),0)</f>
        <v>0</v>
      </c>
      <c r="AF58" s="5">
        <f>IFERROR(SUMIFS(BY_TRA!AN$2:AN$999,BY_TRA!$BJ$2:$BJ$999,Transport!$B58,BY_TRA!$BK$2:$BK$999,Transport!$C58)/SUMIFS(BY_TRA!AN$2:AN$999,BY_TRA!$BJ$2:$BJ$999,Transport!$B58),0)</f>
        <v>0</v>
      </c>
      <c r="AG58" s="5">
        <f>IFERROR(SUMIFS(BY_TRA!AO$2:AO$999,BY_TRA!$BJ$2:$BJ$999,Transport!$B58,BY_TRA!$BK$2:$BK$999,Transport!$C58)/SUMIFS(BY_TRA!AO$2:AO$999,BY_TRA!$BJ$2:$BJ$999,Transport!$B58),0)</f>
        <v>0</v>
      </c>
      <c r="AH58" s="5">
        <f>IFERROR(SUMIFS(BY_TRA!AP$2:AP$999,BY_TRA!$BJ$2:$BJ$999,Transport!$B58,BY_TRA!$BK$2:$BK$999,Transport!$C58)/SUMIFS(BY_TRA!AP$2:AP$999,BY_TRA!$BJ$2:$BJ$999,Transport!$B58),0)</f>
        <v>0</v>
      </c>
      <c r="AI58" s="5">
        <f>IFERROR(SUMIFS(BY_TRA!AQ$2:AQ$999,BY_TRA!$BJ$2:$BJ$999,Transport!$B58,BY_TRA!$BK$2:$BK$999,Transport!$C58)/SUMIFS(BY_TRA!AQ$2:AQ$999,BY_TRA!$BJ$2:$BJ$999,Transport!$B58),0)</f>
        <v>0</v>
      </c>
      <c r="AJ58" s="5">
        <f>IFERROR(SUMIFS(BY_TRA!AR$2:AR$999,BY_TRA!$BJ$2:$BJ$999,Transport!$B58,BY_TRA!$BK$2:$BK$999,Transport!$C58)/SUMIFS(BY_TRA!AR$2:AR$999,BY_TRA!$BJ$2:$BJ$999,Transport!$B58),0)</f>
        <v>0</v>
      </c>
      <c r="AK58" s="5">
        <f>IFERROR(SUMIFS(BY_TRA!AS$2:AS$999,BY_TRA!$BJ$2:$BJ$999,Transport!$B58,BY_TRA!$BK$2:$BK$999,Transport!$C58)/SUMIFS(BY_TRA!AS$2:AS$999,BY_TRA!$BJ$2:$BJ$999,Transport!$B58),0)</f>
        <v>0</v>
      </c>
      <c r="AL58" s="5">
        <f>IFERROR(SUMIFS(BY_TRA!AT$2:AT$999,BY_TRA!$BJ$2:$BJ$999,Transport!$B58,BY_TRA!$BK$2:$BK$999,Transport!$C58)/SUMIFS(BY_TRA!AT$2:AT$999,BY_TRA!$BJ$2:$BJ$999,Transport!$B58),0)</f>
        <v>0</v>
      </c>
      <c r="AM58" s="5">
        <f>IFERROR(SUMIFS(BY_TRA!AU$2:AU$999,BY_TRA!$BJ$2:$BJ$999,Transport!$B58,BY_TRA!$BK$2:$BK$999,Transport!$C58)/SUMIFS(BY_TRA!AU$2:AU$999,BY_TRA!$BJ$2:$BJ$999,Transport!$B58),0)</f>
        <v>0</v>
      </c>
      <c r="AN58" s="5">
        <f>IFERROR(SUMIFS(BY_TRA!AV$2:AV$999,BY_TRA!$BJ$2:$BJ$999,Transport!$B58,BY_TRA!$BK$2:$BK$999,Transport!$C58)/SUMIFS(BY_TRA!AV$2:AV$999,BY_TRA!$BJ$2:$BJ$999,Transport!$B58),0)</f>
        <v>0</v>
      </c>
      <c r="AO58" s="5">
        <f>IFERROR(SUMIFS(BY_TRA!AW$2:AW$999,BY_TRA!$BJ$2:$BJ$999,Transport!$B58,BY_TRA!$BK$2:$BK$999,Transport!$C58)/SUMIFS(BY_TRA!AW$2:AW$999,BY_TRA!$BJ$2:$BJ$999,Transport!$B58),0)</f>
        <v>0</v>
      </c>
      <c r="AP58" s="5">
        <f>IFERROR(SUMIFS(BY_TRA!AX$2:AX$999,BY_TRA!$BJ$2:$BJ$999,Transport!$B58,BY_TRA!$BK$2:$BK$999,Transport!$C58)/SUMIFS(BY_TRA!AX$2:AX$999,BY_TRA!$BJ$2:$BJ$999,Transport!$B58),0)</f>
        <v>0</v>
      </c>
      <c r="AQ58" s="5">
        <f>IFERROR(SUMIFS(BY_TRA!AY$2:AY$999,BY_TRA!$BJ$2:$BJ$999,Transport!$B58,BY_TRA!$BK$2:$BK$999,Transport!$C58)/SUMIFS(BY_TRA!AY$2:AY$999,BY_TRA!$BJ$2:$BJ$999,Transport!$B58),0)</f>
        <v>0</v>
      </c>
      <c r="AR58" s="5">
        <f>IFERROR(SUMIFS(BY_TRA!AZ$2:AZ$999,BY_TRA!$BJ$2:$BJ$999,Transport!$B58,BY_TRA!$BK$2:$BK$999,Transport!$C58)/SUMIFS(BY_TRA!AZ$2:AZ$999,BY_TRA!$BJ$2:$BJ$999,Transport!$B58),0)</f>
        <v>0</v>
      </c>
      <c r="AS58" s="5">
        <f>IFERROR(SUMIFS(BY_TRA!BA$2:BA$999,BY_TRA!$BJ$2:$BJ$999,Transport!$B58,BY_TRA!$BK$2:$BK$999,Transport!$C58)/SUMIFS(BY_TRA!BA$2:BA$999,BY_TRA!$BJ$2:$BJ$999,Transport!$B58),0)</f>
        <v>0</v>
      </c>
      <c r="AT58" s="5">
        <f>IFERROR(SUMIFS(BY_TRA!BB$2:BB$999,BY_TRA!$BJ$2:$BJ$999,Transport!$B58,BY_TRA!$BK$2:$BK$999,Transport!$C58)/SUMIFS(BY_TRA!BB$2:BB$999,BY_TRA!$BJ$2:$BJ$999,Transport!$B58),0)</f>
        <v>0</v>
      </c>
      <c r="AU58" s="5">
        <f>IFERROR(SUMIFS(BY_TRA!BC$2:BC$999,BY_TRA!$BJ$2:$BJ$999,Transport!$B58,BY_TRA!$BK$2:$BK$999,Transport!$C58)/SUMIFS(BY_TRA!BC$2:BC$999,BY_TRA!$BJ$2:$BJ$999,Transport!$B58),0)</f>
        <v>0</v>
      </c>
      <c r="AV58" s="5">
        <f>IFERROR(SUMIFS(BY_TRA!BD$2:BD$999,BY_TRA!$BJ$2:$BJ$999,Transport!$B58,BY_TRA!$BK$2:$BK$999,Transport!$C58)/SUMIFS(BY_TRA!BD$2:BD$999,BY_TRA!$BJ$2:$BJ$999,Transport!$B58),0)</f>
        <v>0</v>
      </c>
      <c r="AW58" s="5">
        <f>IFERROR(SUMIFS(BY_TRA!BE$2:BE$999,BY_TRA!$BJ$2:$BJ$999,Transport!$B58,BY_TRA!$BK$2:$BK$999,Transport!$C58)/SUMIFS(BY_TRA!BE$2:BE$999,BY_TRA!$BJ$2:$BJ$999,Transport!$B58),0)</f>
        <v>0</v>
      </c>
      <c r="AX58" s="5">
        <f>IFERROR(SUMIFS(BY_TRA!BF$2:BF$999,BY_TRA!$BJ$2:$BJ$999,Transport!$B58,BY_TRA!$BK$2:$BK$999,Transport!$C58)/SUMIFS(BY_TRA!BF$2:BF$999,BY_TRA!$BJ$2:$BJ$999,Transport!$B58),0)</f>
        <v>0</v>
      </c>
      <c r="AY58" s="5">
        <f>IFERROR(SUMIFS(BY_TRA!BG$2:BG$999,BY_TRA!$BJ$2:$BJ$999,Transport!$B58,BY_TRA!$BK$2:$BK$999,Transport!$C58)/SUMIFS(BY_TRA!BG$2:BG$999,BY_TRA!$BJ$2:$BJ$999,Transport!$B58),0)</f>
        <v>0</v>
      </c>
    </row>
    <row r="59" spans="2:51" ht="14.5">
      <c r="B59" t="s">
        <v>185</v>
      </c>
      <c r="C59" t="s">
        <v>177</v>
      </c>
      <c r="D59" s="5">
        <f>IFERROR(SUMIFS(BY_TRA!L$2:L$999,BY_TRA!$BJ$2:$BJ$999,Transport!$B59,BY_TRA!$BK$2:$BK$999,Transport!$C59)/SUMIFS(BY_TRA!L$2:L$999,BY_TRA!$BJ$2:$BJ$999,Transport!$B59),0)</f>
        <v>0</v>
      </c>
      <c r="E59" s="5">
        <f>IFERROR(SUMIFS(BY_TRA!M$2:M$999,BY_TRA!$BJ$2:$BJ$999,Transport!$B59,BY_TRA!$BK$2:$BK$999,Transport!$C59)/SUMIFS(BY_TRA!M$2:M$999,BY_TRA!$BJ$2:$BJ$999,Transport!$B59),0)</f>
        <v>0</v>
      </c>
      <c r="F59" s="5">
        <f>IFERROR(SUMIFS(BY_TRA!N$2:N$999,BY_TRA!$BJ$2:$BJ$999,Transport!$B59,BY_TRA!$BK$2:$BK$999,Transport!$C59)/SUMIFS(BY_TRA!N$2:N$999,BY_TRA!$BJ$2:$BJ$999,Transport!$B59),0)</f>
        <v>0</v>
      </c>
      <c r="G59" s="5">
        <f>IFERROR(SUMIFS(BY_TRA!O$2:O$999,BY_TRA!$BJ$2:$BJ$999,Transport!$B59,BY_TRA!$BK$2:$BK$999,Transport!$C59)/SUMIFS(BY_TRA!O$2:O$999,BY_TRA!$BJ$2:$BJ$999,Transport!$B59),0)</f>
        <v>0.059880239520958237</v>
      </c>
      <c r="H59" s="5">
        <f>IFERROR(SUMIFS(BY_TRA!P$2:P$999,BY_TRA!$BJ$2:$BJ$999,Transport!$B59,BY_TRA!$BK$2:$BK$999,Transport!$C59)/SUMIFS(BY_TRA!P$2:P$999,BY_TRA!$BJ$2:$BJ$999,Transport!$B59),0)</f>
        <v>0.020833333333333332</v>
      </c>
      <c r="I59" s="5">
        <f>IFERROR(SUMIFS(BY_TRA!Q$2:Q$999,BY_TRA!$BJ$2:$BJ$999,Transport!$B59,BY_TRA!$BK$2:$BK$999,Transport!$C59)/SUMIFS(BY_TRA!Q$2:Q$999,BY_TRA!$BJ$2:$BJ$999,Transport!$B59),0)</f>
        <v>0.05526315789473675</v>
      </c>
      <c r="J59" s="5">
        <f>IFERROR(SUMIFS(BY_TRA!R$2:R$999,BY_TRA!$BJ$2:$BJ$999,Transport!$B59,BY_TRA!$BK$2:$BK$999,Transport!$C59)/SUMIFS(BY_TRA!R$2:R$999,BY_TRA!$BJ$2:$BJ$999,Transport!$B59),0)</f>
        <v>0.23317112733171122</v>
      </c>
      <c r="K59" s="5">
        <f>IFERROR(SUMIFS(BY_TRA!S$2:S$999,BY_TRA!$BJ$2:$BJ$999,Transport!$B59,BY_TRA!$BK$2:$BK$999,Transport!$C59)/SUMIFS(BY_TRA!S$2:S$999,BY_TRA!$BJ$2:$BJ$999,Transport!$B59),0)</f>
        <v>0.0034049797829325407</v>
      </c>
      <c r="L59" s="5">
        <f>IFERROR(SUMIFS(BY_TRA!T$2:T$999,BY_TRA!$BJ$2:$BJ$999,Transport!$B59,BY_TRA!$BK$2:$BK$999,Transport!$C59)/SUMIFS(BY_TRA!T$2:T$999,BY_TRA!$BJ$2:$BJ$999,Transport!$B59),0)</f>
        <v>0.039106145251396635</v>
      </c>
      <c r="M59" s="5">
        <f>IFERROR(SUMIFS(BY_TRA!U$2:U$999,BY_TRA!$BJ$2:$BJ$999,Transport!$B59,BY_TRA!$BK$2:$BK$999,Transport!$C59)/SUMIFS(BY_TRA!U$2:U$999,BY_TRA!$BJ$2:$BJ$999,Transport!$B59),0)</f>
        <v>0.050802139037433129</v>
      </c>
      <c r="N59" s="5">
        <f>IFERROR(SUMIFS(BY_TRA!V$2:V$999,BY_TRA!$BJ$2:$BJ$999,Transport!$B59,BY_TRA!$BK$2:$BK$999,Transport!$C59)/SUMIFS(BY_TRA!V$2:V$999,BY_TRA!$BJ$2:$BJ$999,Transport!$B59),0)</f>
        <v>0.071471113758189528</v>
      </c>
      <c r="O59" s="5">
        <f>IFERROR(SUMIFS(BY_TRA!W$2:W$999,BY_TRA!$BJ$2:$BJ$999,Transport!$B59,BY_TRA!$BK$2:$BK$999,Transport!$C59)/SUMIFS(BY_TRA!W$2:W$999,BY_TRA!$BJ$2:$BJ$999,Transport!$B59),0)</f>
        <v>0.047194546407970515</v>
      </c>
      <c r="P59" s="5">
        <f>IFERROR(SUMIFS(BY_TRA!X$2:X$999,BY_TRA!$BJ$2:$BJ$999,Transport!$B59,BY_TRA!$BK$2:$BK$999,Transport!$C59)/SUMIFS(BY_TRA!X$2:X$999,BY_TRA!$BJ$2:$BJ$999,Transport!$B59),0)</f>
        <v>0.041237113402061758</v>
      </c>
      <c r="Q59" s="5">
        <f>IFERROR(SUMIFS(BY_TRA!Y$2:Y$999,BY_TRA!$BJ$2:$BJ$999,Transport!$B59,BY_TRA!$BK$2:$BK$999,Transport!$C59)/SUMIFS(BY_TRA!Y$2:Y$999,BY_TRA!$BJ$2:$BJ$999,Transport!$B59),0)</f>
        <v>0.045180722891566251</v>
      </c>
      <c r="R59" s="5">
        <f>IFERROR(SUMIFS(BY_TRA!Z$2:Z$999,BY_TRA!$BJ$2:$BJ$999,Transport!$B59,BY_TRA!$BK$2:$BK$999,Transport!$C59)/SUMIFS(BY_TRA!Z$2:Z$999,BY_TRA!$BJ$2:$BJ$999,Transport!$B59),0)</f>
        <v>0.090909090909090842</v>
      </c>
      <c r="S59" s="5">
        <f>IFERROR(SUMIFS(BY_TRA!AA$2:AA$999,BY_TRA!$BJ$2:$BJ$999,Transport!$B59,BY_TRA!$BK$2:$BK$999,Transport!$C59)/SUMIFS(BY_TRA!AA$2:AA$999,BY_TRA!$BJ$2:$BJ$999,Transport!$B59),0)</f>
        <v>0.0006668148477439427</v>
      </c>
      <c r="T59" s="5">
        <f>IFERROR(SUMIFS(BY_TRA!AB$2:AB$999,BY_TRA!$BJ$2:$BJ$999,Transport!$B59,BY_TRA!$BK$2:$BK$999,Transport!$C59)/SUMIFS(BY_TRA!AB$2:AB$999,BY_TRA!$BJ$2:$BJ$999,Transport!$B59),0)</f>
        <v>0.050955414012738912</v>
      </c>
      <c r="U59" s="5">
        <f>IFERROR(SUMIFS(BY_TRA!AC$2:AC$999,BY_TRA!$BJ$2:$BJ$999,Transport!$B59,BY_TRA!$BK$2:$BK$999,Transport!$C59)/SUMIFS(BY_TRA!AC$2:AC$999,BY_TRA!$BJ$2:$BJ$999,Transport!$B59),0)</f>
        <v>0.043415340086830588</v>
      </c>
      <c r="V59" s="5">
        <f>IFERROR(SUMIFS(BY_TRA!AD$2:AD$999,BY_TRA!$BJ$2:$BJ$999,Transport!$B59,BY_TRA!$BK$2:$BK$999,Transport!$C59)/SUMIFS(BY_TRA!AD$2:AD$999,BY_TRA!$BJ$2:$BJ$999,Transport!$B59),0)</f>
        <v>0.00035038542396636222</v>
      </c>
      <c r="W59" s="5">
        <f>IFERROR(SUMIFS(BY_TRA!AE$2:AE$999,BY_TRA!$BJ$2:$BJ$999,Transport!$B59,BY_TRA!$BK$2:$BK$999,Transport!$C59)/SUMIFS(BY_TRA!AE$2:AE$999,BY_TRA!$BJ$2:$BJ$999,Transport!$B59),0)</f>
        <v>0.025811497849041822</v>
      </c>
      <c r="X59" s="5">
        <f>IFERROR(SUMIFS(BY_TRA!AF$2:AF$999,BY_TRA!$BJ$2:$BJ$999,Transport!$B59,BY_TRA!$BK$2:$BK$999,Transport!$C59)/SUMIFS(BY_TRA!AF$2:AF$999,BY_TRA!$BJ$2:$BJ$999,Transport!$B59),0)</f>
        <v>0</v>
      </c>
      <c r="Y59" s="5">
        <f>IFERROR(SUMIFS(BY_TRA!AG$2:AG$999,BY_TRA!$BJ$2:$BJ$999,Transport!$B59,BY_TRA!$BK$2:$BK$999,Transport!$C59)/SUMIFS(BY_TRA!AG$2:AG$999,BY_TRA!$BJ$2:$BJ$999,Transport!$B59),0)</f>
        <v>0.0035174763033175402</v>
      </c>
      <c r="Z59" s="5">
        <f>IFERROR(SUMIFS(BY_TRA!AH$2:AH$999,BY_TRA!$BJ$2:$BJ$999,Transport!$B59,BY_TRA!$BK$2:$BK$999,Transport!$C59)/SUMIFS(BY_TRA!AH$2:AH$999,BY_TRA!$BJ$2:$BJ$999,Transport!$B59),0)</f>
        <v>0.15503875968992231</v>
      </c>
      <c r="AA59" s="5">
        <f>IFERROR(SUMIFS(BY_TRA!AI$2:AI$999,BY_TRA!$BJ$2:$BJ$999,Transport!$B59,BY_TRA!$BK$2:$BK$999,Transport!$C59)/SUMIFS(BY_TRA!AI$2:AI$999,BY_TRA!$BJ$2:$BJ$999,Transport!$B59),0)</f>
        <v>0.032573289902280131</v>
      </c>
      <c r="AB59" s="5">
        <f>IFERROR(SUMIFS(BY_TRA!AJ$2:AJ$999,BY_TRA!$BJ$2:$BJ$999,Transport!$B59,BY_TRA!$BK$2:$BK$999,Transport!$C59)/SUMIFS(BY_TRA!AJ$2:AJ$999,BY_TRA!$BJ$2:$BJ$999,Transport!$B59),0)</f>
        <v>0.061104294478527527</v>
      </c>
      <c r="AC59" s="5">
        <f>IFERROR(SUMIFS(BY_TRA!AK$2:AK$999,BY_TRA!$BJ$2:$BJ$999,Transport!$B59,BY_TRA!$BK$2:$BK$999,Transport!$C59)/SUMIFS(BY_TRA!AK$2:AK$999,BY_TRA!$BJ$2:$BJ$999,Transport!$B59),0)</f>
        <v>0</v>
      </c>
      <c r="AD59" s="5">
        <f>IFERROR(SUMIFS(BY_TRA!AL$2:AL$999,BY_TRA!$BJ$2:$BJ$999,Transport!$B59,BY_TRA!$BK$2:$BK$999,Transport!$C59)/SUMIFS(BY_TRA!AL$2:AL$999,BY_TRA!$BJ$2:$BJ$999,Transport!$B59),0)</f>
        <v>0</v>
      </c>
      <c r="AE59" s="5">
        <f>IFERROR(SUMIFS(BY_TRA!AM$2:AM$999,BY_TRA!$BJ$2:$BJ$999,Transport!$B59,BY_TRA!$BK$2:$BK$999,Transport!$C59)/SUMIFS(BY_TRA!AM$2:AM$999,BY_TRA!$BJ$2:$BJ$999,Transport!$B59),0)</f>
        <v>0</v>
      </c>
      <c r="AF59" s="5">
        <f>IFERROR(SUMIFS(BY_TRA!AN$2:AN$999,BY_TRA!$BJ$2:$BJ$999,Transport!$B59,BY_TRA!$BK$2:$BK$999,Transport!$C59)/SUMIFS(BY_TRA!AN$2:AN$999,BY_TRA!$BJ$2:$BJ$999,Transport!$B59),0)</f>
        <v>0.060062752129090048</v>
      </c>
      <c r="AG59" s="5">
        <f>IFERROR(SUMIFS(BY_TRA!AO$2:AO$999,BY_TRA!$BJ$2:$BJ$999,Transport!$B59,BY_TRA!$BK$2:$BK$999,Transport!$C59)/SUMIFS(BY_TRA!AO$2:AO$999,BY_TRA!$BJ$2:$BJ$999,Transport!$B59),0)</f>
        <v>0.16432865731462923</v>
      </c>
      <c r="AH59" s="5">
        <f>IFERROR(SUMIFS(BY_TRA!AP$2:AP$999,BY_TRA!$BJ$2:$BJ$999,Transport!$B59,BY_TRA!$BK$2:$BK$999,Transport!$C59)/SUMIFS(BY_TRA!AP$2:AP$999,BY_TRA!$BJ$2:$BJ$999,Transport!$B59),0)</f>
        <v>0.042682926829268282</v>
      </c>
      <c r="AI59" s="5">
        <f>IFERROR(SUMIFS(BY_TRA!AQ$2:AQ$999,BY_TRA!$BJ$2:$BJ$999,Transport!$B59,BY_TRA!$BK$2:$BK$999,Transport!$C59)/SUMIFS(BY_TRA!AQ$2:AQ$999,BY_TRA!$BJ$2:$BJ$999,Transport!$B59),0)</f>
        <v>0.003552397868561279</v>
      </c>
      <c r="AJ59" s="5">
        <f>IFERROR(SUMIFS(BY_TRA!AR$2:AR$999,BY_TRA!$BJ$2:$BJ$999,Transport!$B59,BY_TRA!$BK$2:$BK$999,Transport!$C59)/SUMIFS(BY_TRA!AR$2:AR$999,BY_TRA!$BJ$2:$BJ$999,Transport!$B59),0)</f>
        <v>0.04411764705882365</v>
      </c>
      <c r="AK59" s="5">
        <f>IFERROR(SUMIFS(BY_TRA!AS$2:AS$999,BY_TRA!$BJ$2:$BJ$999,Transport!$B59,BY_TRA!$BK$2:$BK$999,Transport!$C59)/SUMIFS(BY_TRA!AS$2:AS$999,BY_TRA!$BJ$2:$BJ$999,Transport!$B59),0)</f>
        <v>0</v>
      </c>
      <c r="AL59" s="5">
        <f>IFERROR(SUMIFS(BY_TRA!AT$2:AT$999,BY_TRA!$BJ$2:$BJ$999,Transport!$B59,BY_TRA!$BK$2:$BK$999,Transport!$C59)/SUMIFS(BY_TRA!AT$2:AT$999,BY_TRA!$BJ$2:$BJ$999,Transport!$B59),0)</f>
        <v>0.01958224543080939</v>
      </c>
      <c r="AM59" s="5">
        <f>IFERROR(SUMIFS(BY_TRA!AU$2:AU$999,BY_TRA!$BJ$2:$BJ$999,Transport!$B59,BY_TRA!$BK$2:$BK$999,Transport!$C59)/SUMIFS(BY_TRA!AU$2:AU$999,BY_TRA!$BJ$2:$BJ$999,Transport!$B59),0)</f>
        <v>0</v>
      </c>
      <c r="AN59" s="5">
        <f>IFERROR(SUMIFS(BY_TRA!AV$2:AV$999,BY_TRA!$BJ$2:$BJ$999,Transport!$B59,BY_TRA!$BK$2:$BK$999,Transport!$C59)/SUMIFS(BY_TRA!AV$2:AV$999,BY_TRA!$BJ$2:$BJ$999,Transport!$B59),0)</f>
        <v>0</v>
      </c>
      <c r="AO59" s="5">
        <f>IFERROR(SUMIFS(BY_TRA!AW$2:AW$999,BY_TRA!$BJ$2:$BJ$999,Transport!$B59,BY_TRA!$BK$2:$BK$999,Transport!$C59)/SUMIFS(BY_TRA!AW$2:AW$999,BY_TRA!$BJ$2:$BJ$999,Transport!$B59),0)</f>
        <v>0</v>
      </c>
      <c r="AP59" s="5">
        <f>IFERROR(SUMIFS(BY_TRA!AX$2:AX$999,BY_TRA!$BJ$2:$BJ$999,Transport!$B59,BY_TRA!$BK$2:$BK$999,Transport!$C59)/SUMIFS(BY_TRA!AX$2:AX$999,BY_TRA!$BJ$2:$BJ$999,Transport!$B59),0)</f>
        <v>0</v>
      </c>
      <c r="AQ59" s="5">
        <f>IFERROR(SUMIFS(BY_TRA!AY$2:AY$999,BY_TRA!$BJ$2:$BJ$999,Transport!$B59,BY_TRA!$BK$2:$BK$999,Transport!$C59)/SUMIFS(BY_TRA!AY$2:AY$999,BY_TRA!$BJ$2:$BJ$999,Transport!$B59),0)</f>
        <v>0</v>
      </c>
      <c r="AR59" s="5">
        <f>IFERROR(SUMIFS(BY_TRA!AZ$2:AZ$999,BY_TRA!$BJ$2:$BJ$999,Transport!$B59,BY_TRA!$BK$2:$BK$999,Transport!$C59)/SUMIFS(BY_TRA!AZ$2:AZ$999,BY_TRA!$BJ$2:$BJ$999,Transport!$B59),0)</f>
        <v>0</v>
      </c>
      <c r="AS59" s="5">
        <f>IFERROR(SUMIFS(BY_TRA!BA$2:BA$999,BY_TRA!$BJ$2:$BJ$999,Transport!$B59,BY_TRA!$BK$2:$BK$999,Transport!$C59)/SUMIFS(BY_TRA!BA$2:BA$999,BY_TRA!$BJ$2:$BJ$999,Transport!$B59),0)</f>
        <v>0</v>
      </c>
      <c r="AT59" s="5">
        <f>IFERROR(SUMIFS(BY_TRA!BB$2:BB$999,BY_TRA!$BJ$2:$BJ$999,Transport!$B59,BY_TRA!$BK$2:$BK$999,Transport!$C59)/SUMIFS(BY_TRA!BB$2:BB$999,BY_TRA!$BJ$2:$BJ$999,Transport!$B59),0)</f>
        <v>0</v>
      </c>
      <c r="AU59" s="5">
        <f>IFERROR(SUMIFS(BY_TRA!BC$2:BC$999,BY_TRA!$BJ$2:$BJ$999,Transport!$B59,BY_TRA!$BK$2:$BK$999,Transport!$C59)/SUMIFS(BY_TRA!BC$2:BC$999,BY_TRA!$BJ$2:$BJ$999,Transport!$B59),0)</f>
        <v>0</v>
      </c>
      <c r="AV59" s="5">
        <f>IFERROR(SUMIFS(BY_TRA!BD$2:BD$999,BY_TRA!$BJ$2:$BJ$999,Transport!$B59,BY_TRA!$BK$2:$BK$999,Transport!$C59)/SUMIFS(BY_TRA!BD$2:BD$999,BY_TRA!$BJ$2:$BJ$999,Transport!$B59),0)</f>
        <v>0</v>
      </c>
      <c r="AW59" s="5">
        <f>IFERROR(SUMIFS(BY_TRA!BE$2:BE$999,BY_TRA!$BJ$2:$BJ$999,Transport!$B59,BY_TRA!$BK$2:$BK$999,Transport!$C59)/SUMIFS(BY_TRA!BE$2:BE$999,BY_TRA!$BJ$2:$BJ$999,Transport!$B59),0)</f>
        <v>0</v>
      </c>
      <c r="AX59" s="5">
        <f>IFERROR(SUMIFS(BY_TRA!BF$2:BF$999,BY_TRA!$BJ$2:$BJ$999,Transport!$B59,BY_TRA!$BK$2:$BK$999,Transport!$C59)/SUMIFS(BY_TRA!BF$2:BF$999,BY_TRA!$BJ$2:$BJ$999,Transport!$B59),0)</f>
        <v>0</v>
      </c>
      <c r="AY59" s="5">
        <f>IFERROR(SUMIFS(BY_TRA!BG$2:BG$999,BY_TRA!$BJ$2:$BJ$999,Transport!$B59,BY_TRA!$BK$2:$BK$999,Transport!$C59)/SUMIFS(BY_TRA!BG$2:BG$999,BY_TRA!$BJ$2:$BJ$999,Transport!$B59),0)</f>
        <v>0</v>
      </c>
    </row>
    <row r="60" spans="2:51" ht="14.5">
      <c r="B60" t="s">
        <v>185</v>
      </c>
      <c r="C60" t="s">
        <v>178</v>
      </c>
      <c r="D60" s="5">
        <f>IFERROR(SUMIFS(BY_TRA!L$2:L$999,BY_TRA!$BJ$2:$BJ$999,Transport!$B60,BY_TRA!$BK$2:$BK$999,Transport!$C60)/SUMIFS(BY_TRA!L$2:L$999,BY_TRA!$BJ$2:$BJ$999,Transport!$B60),0)</f>
        <v>0.9236752552260562</v>
      </c>
      <c r="E60" s="5">
        <f>IFERROR(SUMIFS(BY_TRA!M$2:M$999,BY_TRA!$BJ$2:$BJ$999,Transport!$B60,BY_TRA!$BK$2:$BK$999,Transport!$C60)/SUMIFS(BY_TRA!M$2:M$999,BY_TRA!$BJ$2:$BJ$999,Transport!$B60),0)</f>
        <v>1</v>
      </c>
      <c r="F60" s="5">
        <f>IFERROR(SUMIFS(BY_TRA!N$2:N$999,BY_TRA!$BJ$2:$BJ$999,Transport!$B60,BY_TRA!$BK$2:$BK$999,Transport!$C60)/SUMIFS(BY_TRA!N$2:N$999,BY_TRA!$BJ$2:$BJ$999,Transport!$B60),0)</f>
        <v>0.66770573566084823</v>
      </c>
      <c r="G60" s="5">
        <f>IFERROR(SUMIFS(BY_TRA!O$2:O$999,BY_TRA!$BJ$2:$BJ$999,Transport!$B60,BY_TRA!$BK$2:$BK$999,Transport!$C60)/SUMIFS(BY_TRA!O$2:O$999,BY_TRA!$BJ$2:$BJ$999,Transport!$B60),0)</f>
        <v>0.88323353293413398</v>
      </c>
      <c r="H60" s="5">
        <f>IFERROR(SUMIFS(BY_TRA!P$2:P$999,BY_TRA!$BJ$2:$BJ$999,Transport!$B60,BY_TRA!$BK$2:$BK$999,Transport!$C60)/SUMIFS(BY_TRA!P$2:P$999,BY_TRA!$BJ$2:$BJ$999,Transport!$B60),0)</f>
        <v>0.56770833333333282</v>
      </c>
      <c r="I60" s="5">
        <f>IFERROR(SUMIFS(BY_TRA!Q$2:Q$999,BY_TRA!$BJ$2:$BJ$999,Transport!$B60,BY_TRA!$BK$2:$BK$999,Transport!$C60)/SUMIFS(BY_TRA!Q$2:Q$999,BY_TRA!$BJ$2:$BJ$999,Transport!$B60),0)</f>
        <v>0.82105263157894559</v>
      </c>
      <c r="J60" s="5">
        <f>IFERROR(SUMIFS(BY_TRA!R$2:R$999,BY_TRA!$BJ$2:$BJ$999,Transport!$B60,BY_TRA!$BK$2:$BK$999,Transport!$C60)/SUMIFS(BY_TRA!R$2:R$999,BY_TRA!$BJ$2:$BJ$999,Transport!$B60),0)</f>
        <v>0.51378751013787483</v>
      </c>
      <c r="K60" s="5">
        <f>IFERROR(SUMIFS(BY_TRA!S$2:S$999,BY_TRA!$BJ$2:$BJ$999,Transport!$B60,BY_TRA!$BK$2:$BK$999,Transport!$C60)/SUMIFS(BY_TRA!S$2:S$999,BY_TRA!$BJ$2:$BJ$999,Transport!$B60),0)</f>
        <v>0.35273462438816799</v>
      </c>
      <c r="L60" s="5">
        <f>IFERROR(SUMIFS(BY_TRA!T$2:T$999,BY_TRA!$BJ$2:$BJ$999,Transport!$B60,BY_TRA!$BK$2:$BK$999,Transport!$C60)/SUMIFS(BY_TRA!T$2:T$999,BY_TRA!$BJ$2:$BJ$999,Transport!$B60),0)</f>
        <v>0.76536312849162036</v>
      </c>
      <c r="M60" s="5">
        <f>IFERROR(SUMIFS(BY_TRA!U$2:U$999,BY_TRA!$BJ$2:$BJ$999,Transport!$B60,BY_TRA!$BK$2:$BK$999,Transport!$C60)/SUMIFS(BY_TRA!U$2:U$999,BY_TRA!$BJ$2:$BJ$999,Transport!$B60),0)</f>
        <v>0.78609625668449112</v>
      </c>
      <c r="N60" s="5">
        <f>IFERROR(SUMIFS(BY_TRA!V$2:V$999,BY_TRA!$BJ$2:$BJ$999,Transport!$B60,BY_TRA!$BK$2:$BK$999,Transport!$C60)/SUMIFS(BY_TRA!V$2:V$999,BY_TRA!$BJ$2:$BJ$999,Transport!$B60),0)</f>
        <v>0.87254318046456403</v>
      </c>
      <c r="O60" s="5">
        <f>IFERROR(SUMIFS(BY_TRA!W$2:W$999,BY_TRA!$BJ$2:$BJ$999,Transport!$B60,BY_TRA!$BK$2:$BK$999,Transport!$C60)/SUMIFS(BY_TRA!W$2:W$999,BY_TRA!$BJ$2:$BJ$999,Transport!$B60),0)</f>
        <v>0.82957524908232638</v>
      </c>
      <c r="P60" s="5">
        <f>IFERROR(SUMIFS(BY_TRA!X$2:X$999,BY_TRA!$BJ$2:$BJ$999,Transport!$B60,BY_TRA!$BK$2:$BK$999,Transport!$C60)/SUMIFS(BY_TRA!X$2:X$999,BY_TRA!$BJ$2:$BJ$999,Transport!$B60),0)</f>
        <v>0.65979381443298812</v>
      </c>
      <c r="Q60" s="5">
        <f>IFERROR(SUMIFS(BY_TRA!Y$2:Y$999,BY_TRA!$BJ$2:$BJ$999,Transport!$B60,BY_TRA!$BK$2:$BK$999,Transport!$C60)/SUMIFS(BY_TRA!Y$2:Y$999,BY_TRA!$BJ$2:$BJ$999,Transport!$B60),0)</f>
        <v>0.69126506024096379</v>
      </c>
      <c r="R60" s="5">
        <f>IFERROR(SUMIFS(BY_TRA!Z$2:Z$999,BY_TRA!$BJ$2:$BJ$999,Transport!$B60,BY_TRA!$BK$2:$BK$999,Transport!$C60)/SUMIFS(BY_TRA!Z$2:Z$999,BY_TRA!$BJ$2:$BJ$999,Transport!$B60),0)</f>
        <v>0.81818181818181712</v>
      </c>
      <c r="S60" s="5">
        <f>IFERROR(SUMIFS(BY_TRA!AA$2:AA$999,BY_TRA!$BJ$2:$BJ$999,Transport!$B60,BY_TRA!$BK$2:$BK$999,Transport!$C60)/SUMIFS(BY_TRA!AA$2:AA$999,BY_TRA!$BJ$2:$BJ$999,Transport!$B60),0)</f>
        <v>0.96265836852633802</v>
      </c>
      <c r="T60" s="5">
        <f>IFERROR(SUMIFS(BY_TRA!AB$2:AB$999,BY_TRA!$BJ$2:$BJ$999,Transport!$B60,BY_TRA!$BK$2:$BK$999,Transport!$C60)/SUMIFS(BY_TRA!AB$2:AB$999,BY_TRA!$BJ$2:$BJ$999,Transport!$B60),0)</f>
        <v>0.89171974522293118</v>
      </c>
      <c r="U60" s="5">
        <f>IFERROR(SUMIFS(BY_TRA!AC$2:AC$999,BY_TRA!$BJ$2:$BJ$999,Transport!$B60,BY_TRA!$BK$2:$BK$999,Transport!$C60)/SUMIFS(BY_TRA!AC$2:AC$999,BY_TRA!$BJ$2:$BJ$999,Transport!$B60),0)</f>
        <v>0.74167872648335598</v>
      </c>
      <c r="V60" s="5">
        <f>IFERROR(SUMIFS(BY_TRA!AD$2:AD$999,BY_TRA!$BJ$2:$BJ$999,Transport!$B60,BY_TRA!$BK$2:$BK$999,Transport!$C60)/SUMIFS(BY_TRA!AD$2:AD$999,BY_TRA!$BJ$2:$BJ$999,Transport!$B60),0)</f>
        <v>0.43272599859845712</v>
      </c>
      <c r="W60" s="5">
        <f>IFERROR(SUMIFS(BY_TRA!AE$2:AE$999,BY_TRA!$BJ$2:$BJ$999,Transport!$B60,BY_TRA!$BK$2:$BK$999,Transport!$C60)/SUMIFS(BY_TRA!AE$2:AE$999,BY_TRA!$BJ$2:$BJ$999,Transport!$B60),0)</f>
        <v>0.50879937426671806</v>
      </c>
      <c r="X60" s="5">
        <f>IFERROR(SUMIFS(BY_TRA!AF$2:AF$999,BY_TRA!$BJ$2:$BJ$999,Transport!$B60,BY_TRA!$BK$2:$BK$999,Transport!$C60)/SUMIFS(BY_TRA!AF$2:AF$999,BY_TRA!$BJ$2:$BJ$999,Transport!$B60),0)</f>
        <v>0.34539236861051154</v>
      </c>
      <c r="Y60" s="5">
        <f>IFERROR(SUMIFS(BY_TRA!AG$2:AG$999,BY_TRA!$BJ$2:$BJ$999,Transport!$B60,BY_TRA!$BK$2:$BK$999,Transport!$C60)/SUMIFS(BY_TRA!AG$2:AG$999,BY_TRA!$BJ$2:$BJ$999,Transport!$B60),0)</f>
        <v>0.10800503554502383</v>
      </c>
      <c r="Z60" s="5">
        <f>IFERROR(SUMIFS(BY_TRA!AH$2:AH$999,BY_TRA!$BJ$2:$BJ$999,Transport!$B60,BY_TRA!$BK$2:$BK$999,Transport!$C60)/SUMIFS(BY_TRA!AH$2:AH$999,BY_TRA!$BJ$2:$BJ$999,Transport!$B60),0)</f>
        <v>0.78294573643410803</v>
      </c>
      <c r="AA60" s="5">
        <f>IFERROR(SUMIFS(BY_TRA!AI$2:AI$999,BY_TRA!$BJ$2:$BJ$999,Transport!$B60,BY_TRA!$BK$2:$BK$999,Transport!$C60)/SUMIFS(BY_TRA!AI$2:AI$999,BY_TRA!$BJ$2:$BJ$999,Transport!$B60),0)</f>
        <v>0.54967426710097711</v>
      </c>
      <c r="AB60" s="5">
        <f>IFERROR(SUMIFS(BY_TRA!AJ$2:AJ$999,BY_TRA!$BJ$2:$BJ$999,Transport!$B60,BY_TRA!$BK$2:$BK$999,Transport!$C60)/SUMIFS(BY_TRA!AJ$2:AJ$999,BY_TRA!$BJ$2:$BJ$999,Transport!$B60),0)</f>
        <v>0.86036809815950854</v>
      </c>
      <c r="AC60" s="5">
        <f>IFERROR(SUMIFS(BY_TRA!AK$2:AK$999,BY_TRA!$BJ$2:$BJ$999,Transport!$B60,BY_TRA!$BK$2:$BK$999,Transport!$C60)/SUMIFS(BY_TRA!AK$2:AK$999,BY_TRA!$BJ$2:$BJ$999,Transport!$B60),0)</f>
        <v>0.19070609535304714</v>
      </c>
      <c r="AD60" s="5">
        <f>IFERROR(SUMIFS(BY_TRA!AL$2:AL$999,BY_TRA!$BJ$2:$BJ$999,Transport!$B60,BY_TRA!$BK$2:$BK$999,Transport!$C60)/SUMIFS(BY_TRA!AL$2:AL$999,BY_TRA!$BJ$2:$BJ$999,Transport!$B60),0)</f>
        <v>0.41045899172309996</v>
      </c>
      <c r="AE60" s="5">
        <f>IFERROR(SUMIFS(BY_TRA!AM$2:AM$999,BY_TRA!$BJ$2:$BJ$999,Transport!$B60,BY_TRA!$BK$2:$BK$999,Transport!$C60)/SUMIFS(BY_TRA!AM$2:AM$999,BY_TRA!$BJ$2:$BJ$999,Transport!$B60),0)</f>
        <v>0.99663865546218589</v>
      </c>
      <c r="AF60" s="5">
        <f>IFERROR(SUMIFS(BY_TRA!AN$2:AN$999,BY_TRA!$BJ$2:$BJ$999,Transport!$B60,BY_TRA!$BK$2:$BK$999,Transport!$C60)/SUMIFS(BY_TRA!AN$2:AN$999,BY_TRA!$BJ$2:$BJ$999,Transport!$B60),0)</f>
        <v>0.87718511878081473</v>
      </c>
      <c r="AG60" s="5">
        <f>IFERROR(SUMIFS(BY_TRA!AO$2:AO$999,BY_TRA!$BJ$2:$BJ$999,Transport!$B60,BY_TRA!$BK$2:$BK$999,Transport!$C60)/SUMIFS(BY_TRA!AO$2:AO$999,BY_TRA!$BJ$2:$BJ$999,Transport!$B60),0)</f>
        <v>0.73547094188376771</v>
      </c>
      <c r="AH60" s="5">
        <f>IFERROR(SUMIFS(BY_TRA!AP$2:AP$999,BY_TRA!$BJ$2:$BJ$999,Transport!$B60,BY_TRA!$BK$2:$BK$999,Transport!$C60)/SUMIFS(BY_TRA!AP$2:AP$999,BY_TRA!$BJ$2:$BJ$999,Transport!$B60),0)</f>
        <v>0.79268292682926855</v>
      </c>
      <c r="AI60" s="5">
        <f>IFERROR(SUMIFS(BY_TRA!AQ$2:AQ$999,BY_TRA!$BJ$2:$BJ$999,Transport!$B60,BY_TRA!$BK$2:$BK$999,Transport!$C60)/SUMIFS(BY_TRA!AQ$2:AQ$999,BY_TRA!$BJ$2:$BJ$999,Transport!$B60),0)</f>
        <v>0.62403789224393158</v>
      </c>
      <c r="AJ60" s="5">
        <f>IFERROR(SUMIFS(BY_TRA!AR$2:AR$999,BY_TRA!$BJ$2:$BJ$999,Transport!$B60,BY_TRA!$BK$2:$BK$999,Transport!$C60)/SUMIFS(BY_TRA!AR$2:AR$999,BY_TRA!$BJ$2:$BJ$999,Transport!$B60),0)</f>
        <v>0.84926470588235559</v>
      </c>
      <c r="AK60" s="5">
        <f>IFERROR(SUMIFS(BY_TRA!AS$2:AS$999,BY_TRA!$BJ$2:$BJ$999,Transport!$B60,BY_TRA!$BK$2:$BK$999,Transport!$C60)/SUMIFS(BY_TRA!AS$2:AS$999,BY_TRA!$BJ$2:$BJ$999,Transport!$B60),0)</f>
        <v>0.24082232011747437</v>
      </c>
      <c r="AL60" s="5">
        <f>IFERROR(SUMIFS(BY_TRA!AT$2:AT$999,BY_TRA!$BJ$2:$BJ$999,Transport!$B60,BY_TRA!$BK$2:$BK$999,Transport!$C60)/SUMIFS(BY_TRA!AT$2:AT$999,BY_TRA!$BJ$2:$BJ$999,Transport!$B60),0)</f>
        <v>0.74412532637075701</v>
      </c>
      <c r="AM60" s="5">
        <f>IFERROR(SUMIFS(BY_TRA!AU$2:AU$999,BY_TRA!$BJ$2:$BJ$999,Transport!$B60,BY_TRA!$BK$2:$BK$999,Transport!$C60)/SUMIFS(BY_TRA!AU$2:AU$999,BY_TRA!$BJ$2:$BJ$999,Transport!$B60),0)</f>
        <v>0</v>
      </c>
      <c r="AN60" s="5">
        <f>IFERROR(SUMIFS(BY_TRA!AV$2:AV$999,BY_TRA!$BJ$2:$BJ$999,Transport!$B60,BY_TRA!$BK$2:$BK$999,Transport!$C60)/SUMIFS(BY_TRA!AV$2:AV$999,BY_TRA!$BJ$2:$BJ$999,Transport!$B60),0)</f>
        <v>0</v>
      </c>
      <c r="AO60" s="5">
        <f>IFERROR(SUMIFS(BY_TRA!AW$2:AW$999,BY_TRA!$BJ$2:$BJ$999,Transport!$B60,BY_TRA!$BK$2:$BK$999,Transport!$C60)/SUMIFS(BY_TRA!AW$2:AW$999,BY_TRA!$BJ$2:$BJ$999,Transport!$B60),0)</f>
        <v>0</v>
      </c>
      <c r="AP60" s="5">
        <f>IFERROR(SUMIFS(BY_TRA!AX$2:AX$999,BY_TRA!$BJ$2:$BJ$999,Transport!$B60,BY_TRA!$BK$2:$BK$999,Transport!$C60)/SUMIFS(BY_TRA!AX$2:AX$999,BY_TRA!$BJ$2:$BJ$999,Transport!$B60),0)</f>
        <v>0</v>
      </c>
      <c r="AQ60" s="5">
        <f>IFERROR(SUMIFS(BY_TRA!AY$2:AY$999,BY_TRA!$BJ$2:$BJ$999,Transport!$B60,BY_TRA!$BK$2:$BK$999,Transport!$C60)/SUMIFS(BY_TRA!AY$2:AY$999,BY_TRA!$BJ$2:$BJ$999,Transport!$B60),0)</f>
        <v>0</v>
      </c>
      <c r="AR60" s="5">
        <f>IFERROR(SUMIFS(BY_TRA!AZ$2:AZ$999,BY_TRA!$BJ$2:$BJ$999,Transport!$B60,BY_TRA!$BK$2:$BK$999,Transport!$C60)/SUMIFS(BY_TRA!AZ$2:AZ$999,BY_TRA!$BJ$2:$BJ$999,Transport!$B60),0)</f>
        <v>0</v>
      </c>
      <c r="AS60" s="5">
        <f>IFERROR(SUMIFS(BY_TRA!BA$2:BA$999,BY_TRA!$BJ$2:$BJ$999,Transport!$B60,BY_TRA!$BK$2:$BK$999,Transport!$C60)/SUMIFS(BY_TRA!BA$2:BA$999,BY_TRA!$BJ$2:$BJ$999,Transport!$B60),0)</f>
        <v>0</v>
      </c>
      <c r="AT60" s="5">
        <f>IFERROR(SUMIFS(BY_TRA!BB$2:BB$999,BY_TRA!$BJ$2:$BJ$999,Transport!$B60,BY_TRA!$BK$2:$BK$999,Transport!$C60)/SUMIFS(BY_TRA!BB$2:BB$999,BY_TRA!$BJ$2:$BJ$999,Transport!$B60),0)</f>
        <v>0</v>
      </c>
      <c r="AU60" s="5">
        <f>IFERROR(SUMIFS(BY_TRA!BC$2:BC$999,BY_TRA!$BJ$2:$BJ$999,Transport!$B60,BY_TRA!$BK$2:$BK$999,Transport!$C60)/SUMIFS(BY_TRA!BC$2:BC$999,BY_TRA!$BJ$2:$BJ$999,Transport!$B60),0)</f>
        <v>0</v>
      </c>
      <c r="AV60" s="5">
        <f>IFERROR(SUMIFS(BY_TRA!BD$2:BD$999,BY_TRA!$BJ$2:$BJ$999,Transport!$B60,BY_TRA!$BK$2:$BK$999,Transport!$C60)/SUMIFS(BY_TRA!BD$2:BD$999,BY_TRA!$BJ$2:$BJ$999,Transport!$B60),0)</f>
        <v>0</v>
      </c>
      <c r="AW60" s="5">
        <f>IFERROR(SUMIFS(BY_TRA!BE$2:BE$999,BY_TRA!$BJ$2:$BJ$999,Transport!$B60,BY_TRA!$BK$2:$BK$999,Transport!$C60)/SUMIFS(BY_TRA!BE$2:BE$999,BY_TRA!$BJ$2:$BJ$999,Transport!$B60),0)</f>
        <v>0</v>
      </c>
      <c r="AX60" s="5">
        <f>IFERROR(SUMIFS(BY_TRA!BF$2:BF$999,BY_TRA!$BJ$2:$BJ$999,Transport!$B60,BY_TRA!$BK$2:$BK$999,Transport!$C60)/SUMIFS(BY_TRA!BF$2:BF$999,BY_TRA!$BJ$2:$BJ$999,Transport!$B60),0)</f>
        <v>0</v>
      </c>
      <c r="AY60" s="5">
        <f>IFERROR(SUMIFS(BY_TRA!BG$2:BG$999,BY_TRA!$BJ$2:$BJ$999,Transport!$B60,BY_TRA!$BK$2:$BK$999,Transport!$C60)/SUMIFS(BY_TRA!BG$2:BG$999,BY_TRA!$BJ$2:$BJ$999,Transport!$B60),0)</f>
        <v>0</v>
      </c>
    </row>
    <row r="61" spans="2:51" ht="14.5">
      <c r="B61" t="s">
        <v>185</v>
      </c>
      <c r="C61" t="s">
        <v>180</v>
      </c>
      <c r="D61" s="5">
        <f>IFERROR(SUMIFS(BY_TRA!L$2:L$999,BY_TRA!$BJ$2:$BJ$999,Transport!$B61,BY_TRA!$BK$2:$BK$999,Transport!$C61)/SUMIFS(BY_TRA!L$2:L$999,BY_TRA!$BJ$2:$BJ$999,Transport!$B61),0)</f>
        <v>0</v>
      </c>
      <c r="E61" s="5">
        <f>IFERROR(SUMIFS(BY_TRA!M$2:M$999,BY_TRA!$BJ$2:$BJ$999,Transport!$B61,BY_TRA!$BK$2:$BK$999,Transport!$C61)/SUMIFS(BY_TRA!M$2:M$999,BY_TRA!$BJ$2:$BJ$999,Transport!$B61),0)</f>
        <v>0</v>
      </c>
      <c r="F61" s="5">
        <f>IFERROR(SUMIFS(BY_TRA!N$2:N$999,BY_TRA!$BJ$2:$BJ$999,Transport!$B61,BY_TRA!$BK$2:$BK$999,Transport!$C61)/SUMIFS(BY_TRA!N$2:N$999,BY_TRA!$BJ$2:$BJ$999,Transport!$B61),0)</f>
        <v>0</v>
      </c>
      <c r="G61" s="5">
        <f>IFERROR(SUMIFS(BY_TRA!O$2:O$999,BY_TRA!$BJ$2:$BJ$999,Transport!$B61,BY_TRA!$BK$2:$BK$999,Transport!$C61)/SUMIFS(BY_TRA!O$2:O$999,BY_TRA!$BJ$2:$BJ$999,Transport!$B61),0)</f>
        <v>0</v>
      </c>
      <c r="H61" s="5">
        <f>IFERROR(SUMIFS(BY_TRA!P$2:P$999,BY_TRA!$BJ$2:$BJ$999,Transport!$B61,BY_TRA!$BK$2:$BK$999,Transport!$C61)/SUMIFS(BY_TRA!P$2:P$999,BY_TRA!$BJ$2:$BJ$999,Transport!$B61),0)</f>
        <v>0</v>
      </c>
      <c r="I61" s="5">
        <f>IFERROR(SUMIFS(BY_TRA!Q$2:Q$999,BY_TRA!$BJ$2:$BJ$999,Transport!$B61,BY_TRA!$BK$2:$BK$999,Transport!$C61)/SUMIFS(BY_TRA!Q$2:Q$999,BY_TRA!$BJ$2:$BJ$999,Transport!$B61),0)</f>
        <v>0</v>
      </c>
      <c r="J61" s="5">
        <f>IFERROR(SUMIFS(BY_TRA!R$2:R$999,BY_TRA!$BJ$2:$BJ$999,Transport!$B61,BY_TRA!$BK$2:$BK$999,Transport!$C61)/SUMIFS(BY_TRA!R$2:R$999,BY_TRA!$BJ$2:$BJ$999,Transport!$B61),0)</f>
        <v>0</v>
      </c>
      <c r="K61" s="5">
        <f>IFERROR(SUMIFS(BY_TRA!S$2:S$999,BY_TRA!$BJ$2:$BJ$999,Transport!$B61,BY_TRA!$BK$2:$BK$999,Transport!$C61)/SUMIFS(BY_TRA!S$2:S$999,BY_TRA!$BJ$2:$BJ$999,Transport!$B61),0)</f>
        <v>0.048627367525005356</v>
      </c>
      <c r="L61" s="5">
        <f>IFERROR(SUMIFS(BY_TRA!T$2:T$999,BY_TRA!$BJ$2:$BJ$999,Transport!$B61,BY_TRA!$BK$2:$BK$999,Transport!$C61)/SUMIFS(BY_TRA!T$2:T$999,BY_TRA!$BJ$2:$BJ$999,Transport!$B61),0)</f>
        <v>0</v>
      </c>
      <c r="M61" s="5">
        <f>IFERROR(SUMIFS(BY_TRA!U$2:U$999,BY_TRA!$BJ$2:$BJ$999,Transport!$B61,BY_TRA!$BK$2:$BK$999,Transport!$C61)/SUMIFS(BY_TRA!U$2:U$999,BY_TRA!$BJ$2:$BJ$999,Transport!$B61),0)</f>
        <v>0</v>
      </c>
      <c r="N61" s="5">
        <f>IFERROR(SUMIFS(BY_TRA!V$2:V$999,BY_TRA!$BJ$2:$BJ$999,Transport!$B61,BY_TRA!$BK$2:$BK$999,Transport!$C61)/SUMIFS(BY_TRA!V$2:V$999,BY_TRA!$BJ$2:$BJ$999,Transport!$B61),0)</f>
        <v>0</v>
      </c>
      <c r="O61" s="5">
        <f>IFERROR(SUMIFS(BY_TRA!W$2:W$999,BY_TRA!$BJ$2:$BJ$999,Transport!$B61,BY_TRA!$BK$2:$BK$999,Transport!$C61)/SUMIFS(BY_TRA!W$2:W$999,BY_TRA!$BJ$2:$BJ$999,Transport!$B61),0)</f>
        <v>0</v>
      </c>
      <c r="P61" s="5">
        <f>IFERROR(SUMIFS(BY_TRA!X$2:X$999,BY_TRA!$BJ$2:$BJ$999,Transport!$B61,BY_TRA!$BK$2:$BK$999,Transport!$C61)/SUMIFS(BY_TRA!X$2:X$999,BY_TRA!$BJ$2:$BJ$999,Transport!$B61),0)</f>
        <v>0</v>
      </c>
      <c r="Q61" s="5">
        <f>IFERROR(SUMIFS(BY_TRA!Y$2:Y$999,BY_TRA!$BJ$2:$BJ$999,Transport!$B61,BY_TRA!$BK$2:$BK$999,Transport!$C61)/SUMIFS(BY_TRA!Y$2:Y$999,BY_TRA!$BJ$2:$BJ$999,Transport!$B61),0)</f>
        <v>0</v>
      </c>
      <c r="R61" s="5">
        <f>IFERROR(SUMIFS(BY_TRA!Z$2:Z$999,BY_TRA!$BJ$2:$BJ$999,Transport!$B61,BY_TRA!$BK$2:$BK$999,Transport!$C61)/SUMIFS(BY_TRA!Z$2:Z$999,BY_TRA!$BJ$2:$BJ$999,Transport!$B61),0)</f>
        <v>0</v>
      </c>
      <c r="S61" s="5">
        <f>IFERROR(SUMIFS(BY_TRA!AA$2:AA$999,BY_TRA!$BJ$2:$BJ$999,Transport!$B61,BY_TRA!$BK$2:$BK$999,Transport!$C61)/SUMIFS(BY_TRA!AA$2:AA$999,BY_TRA!$BJ$2:$BJ$999,Transport!$B61),0)</f>
        <v>0</v>
      </c>
      <c r="T61" s="5">
        <f>IFERROR(SUMIFS(BY_TRA!AB$2:AB$999,BY_TRA!$BJ$2:$BJ$999,Transport!$B61,BY_TRA!$BK$2:$BK$999,Transport!$C61)/SUMIFS(BY_TRA!AB$2:AB$999,BY_TRA!$BJ$2:$BJ$999,Transport!$B61),0)</f>
        <v>0</v>
      </c>
      <c r="U61" s="5">
        <f>IFERROR(SUMIFS(BY_TRA!AC$2:AC$999,BY_TRA!$BJ$2:$BJ$999,Transport!$B61,BY_TRA!$BK$2:$BK$999,Transport!$C61)/SUMIFS(BY_TRA!AC$2:AC$999,BY_TRA!$BJ$2:$BJ$999,Transport!$B61),0)</f>
        <v>0</v>
      </c>
      <c r="V61" s="5">
        <f>IFERROR(SUMIFS(BY_TRA!AD$2:AD$999,BY_TRA!$BJ$2:$BJ$999,Transport!$B61,BY_TRA!$BK$2:$BK$999,Transport!$C61)/SUMIFS(BY_TRA!AD$2:AD$999,BY_TRA!$BJ$2:$BJ$999,Transport!$B61),0)</f>
        <v>0</v>
      </c>
      <c r="W61" s="5">
        <f>IFERROR(SUMIFS(BY_TRA!AE$2:AE$999,BY_TRA!$BJ$2:$BJ$999,Transport!$B61,BY_TRA!$BK$2:$BK$999,Transport!$C61)/SUMIFS(BY_TRA!AE$2:AE$999,BY_TRA!$BJ$2:$BJ$999,Transport!$B61),0)</f>
        <v>0</v>
      </c>
      <c r="X61" s="5">
        <f>IFERROR(SUMIFS(BY_TRA!AF$2:AF$999,BY_TRA!$BJ$2:$BJ$999,Transport!$B61,BY_TRA!$BK$2:$BK$999,Transport!$C61)/SUMIFS(BY_TRA!AF$2:AF$999,BY_TRA!$BJ$2:$BJ$999,Transport!$B61),0)</f>
        <v>0</v>
      </c>
      <c r="Y61" s="5">
        <f>IFERROR(SUMIFS(BY_TRA!AG$2:AG$999,BY_TRA!$BJ$2:$BJ$999,Transport!$B61,BY_TRA!$BK$2:$BK$999,Transport!$C61)/SUMIFS(BY_TRA!AG$2:AG$999,BY_TRA!$BJ$2:$BJ$999,Transport!$B61),0)</f>
        <v>0</v>
      </c>
      <c r="Z61" s="5">
        <f>IFERROR(SUMIFS(BY_TRA!AH$2:AH$999,BY_TRA!$BJ$2:$BJ$999,Transport!$B61,BY_TRA!$BK$2:$BK$999,Transport!$C61)/SUMIFS(BY_TRA!AH$2:AH$999,BY_TRA!$BJ$2:$BJ$999,Transport!$B61),0)</f>
        <v>0</v>
      </c>
      <c r="AA61" s="5">
        <f>IFERROR(SUMIFS(BY_TRA!AI$2:AI$999,BY_TRA!$BJ$2:$BJ$999,Transport!$B61,BY_TRA!$BK$2:$BK$999,Transport!$C61)/SUMIFS(BY_TRA!AI$2:AI$999,BY_TRA!$BJ$2:$BJ$999,Transport!$B61),0)</f>
        <v>0</v>
      </c>
      <c r="AB61" s="5">
        <f>IFERROR(SUMIFS(BY_TRA!AJ$2:AJ$999,BY_TRA!$BJ$2:$BJ$999,Transport!$B61,BY_TRA!$BK$2:$BK$999,Transport!$C61)/SUMIFS(BY_TRA!AJ$2:AJ$999,BY_TRA!$BJ$2:$BJ$999,Transport!$B61),0)</f>
        <v>0</v>
      </c>
      <c r="AC61" s="5">
        <f>IFERROR(SUMIFS(BY_TRA!AK$2:AK$999,BY_TRA!$BJ$2:$BJ$999,Transport!$B61,BY_TRA!$BK$2:$BK$999,Transport!$C61)/SUMIFS(BY_TRA!AK$2:AK$999,BY_TRA!$BJ$2:$BJ$999,Transport!$B61),0)</f>
        <v>0</v>
      </c>
      <c r="AD61" s="5">
        <f>IFERROR(SUMIFS(BY_TRA!AL$2:AL$999,BY_TRA!$BJ$2:$BJ$999,Transport!$B61,BY_TRA!$BK$2:$BK$999,Transport!$C61)/SUMIFS(BY_TRA!AL$2:AL$999,BY_TRA!$BJ$2:$BJ$999,Transport!$B61),0)</f>
        <v>0</v>
      </c>
      <c r="AE61" s="5">
        <f>IFERROR(SUMIFS(BY_TRA!AM$2:AM$999,BY_TRA!$BJ$2:$BJ$999,Transport!$B61,BY_TRA!$BK$2:$BK$999,Transport!$C61)/SUMIFS(BY_TRA!AM$2:AM$999,BY_TRA!$BJ$2:$BJ$999,Transport!$B61),0)</f>
        <v>0</v>
      </c>
      <c r="AF61" s="5">
        <f>IFERROR(SUMIFS(BY_TRA!AN$2:AN$999,BY_TRA!$BJ$2:$BJ$999,Transport!$B61,BY_TRA!$BK$2:$BK$999,Transport!$C61)/SUMIFS(BY_TRA!AN$2:AN$999,BY_TRA!$BJ$2:$BJ$999,Transport!$B61),0)</f>
        <v>0</v>
      </c>
      <c r="AG61" s="5">
        <f>IFERROR(SUMIFS(BY_TRA!AO$2:AO$999,BY_TRA!$BJ$2:$BJ$999,Transport!$B61,BY_TRA!$BK$2:$BK$999,Transport!$C61)/SUMIFS(BY_TRA!AO$2:AO$999,BY_TRA!$BJ$2:$BJ$999,Transport!$B61),0)</f>
        <v>0</v>
      </c>
      <c r="AH61" s="5">
        <f>IFERROR(SUMIFS(BY_TRA!AP$2:AP$999,BY_TRA!$BJ$2:$BJ$999,Transport!$B61,BY_TRA!$BK$2:$BK$999,Transport!$C61)/SUMIFS(BY_TRA!AP$2:AP$999,BY_TRA!$BJ$2:$BJ$999,Transport!$B61),0)</f>
        <v>0</v>
      </c>
      <c r="AI61" s="5">
        <f>IFERROR(SUMIFS(BY_TRA!AQ$2:AQ$999,BY_TRA!$BJ$2:$BJ$999,Transport!$B61,BY_TRA!$BK$2:$BK$999,Transport!$C61)/SUMIFS(BY_TRA!AQ$2:AQ$999,BY_TRA!$BJ$2:$BJ$999,Transport!$B61),0)</f>
        <v>0</v>
      </c>
      <c r="AJ61" s="5">
        <f>IFERROR(SUMIFS(BY_TRA!AR$2:AR$999,BY_TRA!$BJ$2:$BJ$999,Transport!$B61,BY_TRA!$BK$2:$BK$999,Transport!$C61)/SUMIFS(BY_TRA!AR$2:AR$999,BY_TRA!$BJ$2:$BJ$999,Transport!$B61),0)</f>
        <v>0</v>
      </c>
      <c r="AK61" s="5">
        <f>IFERROR(SUMIFS(BY_TRA!AS$2:AS$999,BY_TRA!$BJ$2:$BJ$999,Transport!$B61,BY_TRA!$BK$2:$BK$999,Transport!$C61)/SUMIFS(BY_TRA!AS$2:AS$999,BY_TRA!$BJ$2:$BJ$999,Transport!$B61),0)</f>
        <v>0</v>
      </c>
      <c r="AL61" s="5">
        <f>IFERROR(SUMIFS(BY_TRA!AT$2:AT$999,BY_TRA!$BJ$2:$BJ$999,Transport!$B61,BY_TRA!$BK$2:$BK$999,Transport!$C61)/SUMIFS(BY_TRA!AT$2:AT$999,BY_TRA!$BJ$2:$BJ$999,Transport!$B61),0)</f>
        <v>0</v>
      </c>
      <c r="AM61" s="5">
        <f>IFERROR(SUMIFS(BY_TRA!AU$2:AU$999,BY_TRA!$BJ$2:$BJ$999,Transport!$B61,BY_TRA!$BK$2:$BK$999,Transport!$C61)/SUMIFS(BY_TRA!AU$2:AU$999,BY_TRA!$BJ$2:$BJ$999,Transport!$B61),0)</f>
        <v>0</v>
      </c>
      <c r="AN61" s="5">
        <f>IFERROR(SUMIFS(BY_TRA!AV$2:AV$999,BY_TRA!$BJ$2:$BJ$999,Transport!$B61,BY_TRA!$BK$2:$BK$999,Transport!$C61)/SUMIFS(BY_TRA!AV$2:AV$999,BY_TRA!$BJ$2:$BJ$999,Transport!$B61),0)</f>
        <v>0</v>
      </c>
      <c r="AO61" s="5">
        <f>IFERROR(SUMIFS(BY_TRA!AW$2:AW$999,BY_TRA!$BJ$2:$BJ$999,Transport!$B61,BY_TRA!$BK$2:$BK$999,Transport!$C61)/SUMIFS(BY_TRA!AW$2:AW$999,BY_TRA!$BJ$2:$BJ$999,Transport!$B61),0)</f>
        <v>0</v>
      </c>
      <c r="AP61" s="5">
        <f>IFERROR(SUMIFS(BY_TRA!AX$2:AX$999,BY_TRA!$BJ$2:$BJ$999,Transport!$B61,BY_TRA!$BK$2:$BK$999,Transport!$C61)/SUMIFS(BY_TRA!AX$2:AX$999,BY_TRA!$BJ$2:$BJ$999,Transport!$B61),0)</f>
        <v>0</v>
      </c>
      <c r="AQ61" s="5">
        <f>IFERROR(SUMIFS(BY_TRA!AY$2:AY$999,BY_TRA!$BJ$2:$BJ$999,Transport!$B61,BY_TRA!$BK$2:$BK$999,Transport!$C61)/SUMIFS(BY_TRA!AY$2:AY$999,BY_TRA!$BJ$2:$BJ$999,Transport!$B61),0)</f>
        <v>0</v>
      </c>
      <c r="AR61" s="5">
        <f>IFERROR(SUMIFS(BY_TRA!AZ$2:AZ$999,BY_TRA!$BJ$2:$BJ$999,Transport!$B61,BY_TRA!$BK$2:$BK$999,Transport!$C61)/SUMIFS(BY_TRA!AZ$2:AZ$999,BY_TRA!$BJ$2:$BJ$999,Transport!$B61),0)</f>
        <v>0</v>
      </c>
      <c r="AS61" s="5">
        <f>IFERROR(SUMIFS(BY_TRA!BA$2:BA$999,BY_TRA!$BJ$2:$BJ$999,Transport!$B61,BY_TRA!$BK$2:$BK$999,Transport!$C61)/SUMIFS(BY_TRA!BA$2:BA$999,BY_TRA!$BJ$2:$BJ$999,Transport!$B61),0)</f>
        <v>0</v>
      </c>
      <c r="AT61" s="5">
        <f>IFERROR(SUMIFS(BY_TRA!BB$2:BB$999,BY_TRA!$BJ$2:$BJ$999,Transport!$B61,BY_TRA!$BK$2:$BK$999,Transport!$C61)/SUMIFS(BY_TRA!BB$2:BB$999,BY_TRA!$BJ$2:$BJ$999,Transport!$B61),0)</f>
        <v>0</v>
      </c>
      <c r="AU61" s="5">
        <f>IFERROR(SUMIFS(BY_TRA!BC$2:BC$999,BY_TRA!$BJ$2:$BJ$999,Transport!$B61,BY_TRA!$BK$2:$BK$999,Transport!$C61)/SUMIFS(BY_TRA!BC$2:BC$999,BY_TRA!$BJ$2:$BJ$999,Transport!$B61),0)</f>
        <v>0</v>
      </c>
      <c r="AV61" s="5">
        <f>IFERROR(SUMIFS(BY_TRA!BD$2:BD$999,BY_TRA!$BJ$2:$BJ$999,Transport!$B61,BY_TRA!$BK$2:$BK$999,Transport!$C61)/SUMIFS(BY_TRA!BD$2:BD$999,BY_TRA!$BJ$2:$BJ$999,Transport!$B61),0)</f>
        <v>0</v>
      </c>
      <c r="AW61" s="5">
        <f>IFERROR(SUMIFS(BY_TRA!BE$2:BE$999,BY_TRA!$BJ$2:$BJ$999,Transport!$B61,BY_TRA!$BK$2:$BK$999,Transport!$C61)/SUMIFS(BY_TRA!BE$2:BE$999,BY_TRA!$BJ$2:$BJ$999,Transport!$B61),0)</f>
        <v>0</v>
      </c>
      <c r="AX61" s="5">
        <f>IFERROR(SUMIFS(BY_TRA!BF$2:BF$999,BY_TRA!$BJ$2:$BJ$999,Transport!$B61,BY_TRA!$BK$2:$BK$999,Transport!$C61)/SUMIFS(BY_TRA!BF$2:BF$999,BY_TRA!$BJ$2:$BJ$999,Transport!$B61),0)</f>
        <v>0</v>
      </c>
      <c r="AY61" s="5">
        <f>IFERROR(SUMIFS(BY_TRA!BG$2:BG$999,BY_TRA!$BJ$2:$BJ$999,Transport!$B61,BY_TRA!$BK$2:$BK$999,Transport!$C61)/SUMIFS(BY_TRA!BG$2:BG$999,BY_TRA!$BJ$2:$BJ$999,Transport!$B61),0)</f>
        <v>0</v>
      </c>
    </row>
    <row r="62" spans="2:51" ht="14.5">
      <c r="B62" t="s">
        <v>185</v>
      </c>
      <c r="C62" t="s">
        <v>174</v>
      </c>
      <c r="D62" s="5">
        <f>IFERROR(SUMIFS(BY_TRA!L$2:L$999,BY_TRA!$BJ$2:$BJ$999,Transport!$B62,BY_TRA!$BK$2:$BK$999,Transport!$C62)/SUMIFS(BY_TRA!L$2:L$999,BY_TRA!$BJ$2:$BJ$999,Transport!$B62),0)</f>
        <v>0</v>
      </c>
      <c r="E62" s="5">
        <f>IFERROR(SUMIFS(BY_TRA!M$2:M$999,BY_TRA!$BJ$2:$BJ$999,Transport!$B62,BY_TRA!$BK$2:$BK$999,Transport!$C62)/SUMIFS(BY_TRA!M$2:M$999,BY_TRA!$BJ$2:$BJ$999,Transport!$B62),0)</f>
        <v>0</v>
      </c>
      <c r="F62" s="5">
        <f>IFERROR(SUMIFS(BY_TRA!N$2:N$999,BY_TRA!$BJ$2:$BJ$999,Transport!$B62,BY_TRA!$BK$2:$BK$999,Transport!$C62)/SUMIFS(BY_TRA!N$2:N$999,BY_TRA!$BJ$2:$BJ$999,Transport!$B62),0)</f>
        <v>0</v>
      </c>
      <c r="G62" s="5">
        <f>IFERROR(SUMIFS(BY_TRA!O$2:O$999,BY_TRA!$BJ$2:$BJ$999,Transport!$B62,BY_TRA!$BK$2:$BK$999,Transport!$C62)/SUMIFS(BY_TRA!O$2:O$999,BY_TRA!$BJ$2:$BJ$999,Transport!$B62),0)</f>
        <v>0</v>
      </c>
      <c r="H62" s="5">
        <f>IFERROR(SUMIFS(BY_TRA!P$2:P$999,BY_TRA!$BJ$2:$BJ$999,Transport!$B62,BY_TRA!$BK$2:$BK$999,Transport!$C62)/SUMIFS(BY_TRA!P$2:P$999,BY_TRA!$BJ$2:$BJ$999,Transport!$B62),0)</f>
        <v>0</v>
      </c>
      <c r="I62" s="5">
        <f>IFERROR(SUMIFS(BY_TRA!Q$2:Q$999,BY_TRA!$BJ$2:$BJ$999,Transport!$B62,BY_TRA!$BK$2:$BK$999,Transport!$C62)/SUMIFS(BY_TRA!Q$2:Q$999,BY_TRA!$BJ$2:$BJ$999,Transport!$B62),0)</f>
        <v>0</v>
      </c>
      <c r="J62" s="5">
        <f>IFERROR(SUMIFS(BY_TRA!R$2:R$999,BY_TRA!$BJ$2:$BJ$999,Transport!$B62,BY_TRA!$BK$2:$BK$999,Transport!$C62)/SUMIFS(BY_TRA!R$2:R$999,BY_TRA!$BJ$2:$BJ$999,Transport!$B62),0)</f>
        <v>0</v>
      </c>
      <c r="K62" s="5">
        <f>IFERROR(SUMIFS(BY_TRA!S$2:S$999,BY_TRA!$BJ$2:$BJ$999,Transport!$B62,BY_TRA!$BK$2:$BK$999,Transport!$C62)/SUMIFS(BY_TRA!S$2:S$999,BY_TRA!$BJ$2:$BJ$999,Transport!$B62),0)</f>
        <v>0</v>
      </c>
      <c r="L62" s="5">
        <f>IFERROR(SUMIFS(BY_TRA!T$2:T$999,BY_TRA!$BJ$2:$BJ$999,Transport!$B62,BY_TRA!$BK$2:$BK$999,Transport!$C62)/SUMIFS(BY_TRA!T$2:T$999,BY_TRA!$BJ$2:$BJ$999,Transport!$B62),0)</f>
        <v>0</v>
      </c>
      <c r="M62" s="5">
        <f>IFERROR(SUMIFS(BY_TRA!U$2:U$999,BY_TRA!$BJ$2:$BJ$999,Transport!$B62,BY_TRA!$BK$2:$BK$999,Transport!$C62)/SUMIFS(BY_TRA!U$2:U$999,BY_TRA!$BJ$2:$BJ$999,Transport!$B62),0)</f>
        <v>0</v>
      </c>
      <c r="N62" s="5">
        <f>IFERROR(SUMIFS(BY_TRA!V$2:V$999,BY_TRA!$BJ$2:$BJ$999,Transport!$B62,BY_TRA!$BK$2:$BK$999,Transport!$C62)/SUMIFS(BY_TRA!V$2:V$999,BY_TRA!$BJ$2:$BJ$999,Transport!$B62),0)</f>
        <v>0</v>
      </c>
      <c r="O62" s="5">
        <f>IFERROR(SUMIFS(BY_TRA!W$2:W$999,BY_TRA!$BJ$2:$BJ$999,Transport!$B62,BY_TRA!$BK$2:$BK$999,Transport!$C62)/SUMIFS(BY_TRA!W$2:W$999,BY_TRA!$BJ$2:$BJ$999,Transport!$B62),0)</f>
        <v>0</v>
      </c>
      <c r="P62" s="5">
        <f>IFERROR(SUMIFS(BY_TRA!X$2:X$999,BY_TRA!$BJ$2:$BJ$999,Transport!$B62,BY_TRA!$BK$2:$BK$999,Transport!$C62)/SUMIFS(BY_TRA!X$2:X$999,BY_TRA!$BJ$2:$BJ$999,Transport!$B62),0)</f>
        <v>0</v>
      </c>
      <c r="Q62" s="5">
        <f>IFERROR(SUMIFS(BY_TRA!Y$2:Y$999,BY_TRA!$BJ$2:$BJ$999,Transport!$B62,BY_TRA!$BK$2:$BK$999,Transport!$C62)/SUMIFS(BY_TRA!Y$2:Y$999,BY_TRA!$BJ$2:$BJ$999,Transport!$B62),0)</f>
        <v>0</v>
      </c>
      <c r="R62" s="5">
        <f>IFERROR(SUMIFS(BY_TRA!Z$2:Z$999,BY_TRA!$BJ$2:$BJ$999,Transport!$B62,BY_TRA!$BK$2:$BK$999,Transport!$C62)/SUMIFS(BY_TRA!Z$2:Z$999,BY_TRA!$BJ$2:$BJ$999,Transport!$B62),0)</f>
        <v>0</v>
      </c>
      <c r="S62" s="5">
        <f>IFERROR(SUMIFS(BY_TRA!AA$2:AA$999,BY_TRA!$BJ$2:$BJ$999,Transport!$B62,BY_TRA!$BK$2:$BK$999,Transport!$C62)/SUMIFS(BY_TRA!AA$2:AA$999,BY_TRA!$BJ$2:$BJ$999,Transport!$B62),0)</f>
        <v>0</v>
      </c>
      <c r="T62" s="5">
        <f>IFERROR(SUMIFS(BY_TRA!AB$2:AB$999,BY_TRA!$BJ$2:$BJ$999,Transport!$B62,BY_TRA!$BK$2:$BK$999,Transport!$C62)/SUMIFS(BY_TRA!AB$2:AB$999,BY_TRA!$BJ$2:$BJ$999,Transport!$B62),0)</f>
        <v>0</v>
      </c>
      <c r="U62" s="5">
        <f>IFERROR(SUMIFS(BY_TRA!AC$2:AC$999,BY_TRA!$BJ$2:$BJ$999,Transport!$B62,BY_TRA!$BK$2:$BK$999,Transport!$C62)/SUMIFS(BY_TRA!AC$2:AC$999,BY_TRA!$BJ$2:$BJ$999,Transport!$B62),0)</f>
        <v>0</v>
      </c>
      <c r="V62" s="5">
        <f>IFERROR(SUMIFS(BY_TRA!AD$2:AD$999,BY_TRA!$BJ$2:$BJ$999,Transport!$B62,BY_TRA!$BK$2:$BK$999,Transport!$C62)/SUMIFS(BY_TRA!AD$2:AD$999,BY_TRA!$BJ$2:$BJ$999,Transport!$B62),0)</f>
        <v>0</v>
      </c>
      <c r="W62" s="5">
        <f>IFERROR(SUMIFS(BY_TRA!AE$2:AE$999,BY_TRA!$BJ$2:$BJ$999,Transport!$B62,BY_TRA!$BK$2:$BK$999,Transport!$C62)/SUMIFS(BY_TRA!AE$2:AE$999,BY_TRA!$BJ$2:$BJ$999,Transport!$B62),0)</f>
        <v>0</v>
      </c>
      <c r="X62" s="5">
        <f>IFERROR(SUMIFS(BY_TRA!AF$2:AF$999,BY_TRA!$BJ$2:$BJ$999,Transport!$B62,BY_TRA!$BK$2:$BK$999,Transport!$C62)/SUMIFS(BY_TRA!AF$2:AF$999,BY_TRA!$BJ$2:$BJ$999,Transport!$B62),0)</f>
        <v>0</v>
      </c>
      <c r="Y62" s="5">
        <f>IFERROR(SUMIFS(BY_TRA!AG$2:AG$999,BY_TRA!$BJ$2:$BJ$999,Transport!$B62,BY_TRA!$BK$2:$BK$999,Transport!$C62)/SUMIFS(BY_TRA!AG$2:AG$999,BY_TRA!$BJ$2:$BJ$999,Transport!$B62),0)</f>
        <v>0</v>
      </c>
      <c r="Z62" s="5">
        <f>IFERROR(SUMIFS(BY_TRA!AH$2:AH$999,BY_TRA!$BJ$2:$BJ$999,Transport!$B62,BY_TRA!$BK$2:$BK$999,Transport!$C62)/SUMIFS(BY_TRA!AH$2:AH$999,BY_TRA!$BJ$2:$BJ$999,Transport!$B62),0)</f>
        <v>0</v>
      </c>
      <c r="AA62" s="5">
        <f>IFERROR(SUMIFS(BY_TRA!AI$2:AI$999,BY_TRA!$BJ$2:$BJ$999,Transport!$B62,BY_TRA!$BK$2:$BK$999,Transport!$C62)/SUMIFS(BY_TRA!AI$2:AI$999,BY_TRA!$BJ$2:$BJ$999,Transport!$B62),0)</f>
        <v>0</v>
      </c>
      <c r="AB62" s="5">
        <f>IFERROR(SUMIFS(BY_TRA!AJ$2:AJ$999,BY_TRA!$BJ$2:$BJ$999,Transport!$B62,BY_TRA!$BK$2:$BK$999,Transport!$C62)/SUMIFS(BY_TRA!AJ$2:AJ$999,BY_TRA!$BJ$2:$BJ$999,Transport!$B62),0)</f>
        <v>0</v>
      </c>
      <c r="AC62" s="5">
        <f>IFERROR(SUMIFS(BY_TRA!AK$2:AK$999,BY_TRA!$BJ$2:$BJ$999,Transport!$B62,BY_TRA!$BK$2:$BK$999,Transport!$C62)/SUMIFS(BY_TRA!AK$2:AK$999,BY_TRA!$BJ$2:$BJ$999,Transport!$B62),0)</f>
        <v>0</v>
      </c>
      <c r="AD62" s="5">
        <f>IFERROR(SUMIFS(BY_TRA!AL$2:AL$999,BY_TRA!$BJ$2:$BJ$999,Transport!$B62,BY_TRA!$BK$2:$BK$999,Transport!$C62)/SUMIFS(BY_TRA!AL$2:AL$999,BY_TRA!$BJ$2:$BJ$999,Transport!$B62),0)</f>
        <v>0</v>
      </c>
      <c r="AE62" s="5">
        <f>IFERROR(SUMIFS(BY_TRA!AM$2:AM$999,BY_TRA!$BJ$2:$BJ$999,Transport!$B62,BY_TRA!$BK$2:$BK$999,Transport!$C62)/SUMIFS(BY_TRA!AM$2:AM$999,BY_TRA!$BJ$2:$BJ$999,Transport!$B62),0)</f>
        <v>0</v>
      </c>
      <c r="AF62" s="5">
        <f>IFERROR(SUMIFS(BY_TRA!AN$2:AN$999,BY_TRA!$BJ$2:$BJ$999,Transport!$B62,BY_TRA!$BK$2:$BK$999,Transport!$C62)/SUMIFS(BY_TRA!AN$2:AN$999,BY_TRA!$BJ$2:$BJ$999,Transport!$B62),0)</f>
        <v>0</v>
      </c>
      <c r="AG62" s="5">
        <f>IFERROR(SUMIFS(BY_TRA!AO$2:AO$999,BY_TRA!$BJ$2:$BJ$999,Transport!$B62,BY_TRA!$BK$2:$BK$999,Transport!$C62)/SUMIFS(BY_TRA!AO$2:AO$999,BY_TRA!$BJ$2:$BJ$999,Transport!$B62),0)</f>
        <v>0</v>
      </c>
      <c r="AH62" s="5">
        <f>IFERROR(SUMIFS(BY_TRA!AP$2:AP$999,BY_TRA!$BJ$2:$BJ$999,Transport!$B62,BY_TRA!$BK$2:$BK$999,Transport!$C62)/SUMIFS(BY_TRA!AP$2:AP$999,BY_TRA!$BJ$2:$BJ$999,Transport!$B62),0)</f>
        <v>0</v>
      </c>
      <c r="AI62" s="5">
        <f>IFERROR(SUMIFS(BY_TRA!AQ$2:AQ$999,BY_TRA!$BJ$2:$BJ$999,Transport!$B62,BY_TRA!$BK$2:$BK$999,Transport!$C62)/SUMIFS(BY_TRA!AQ$2:AQ$999,BY_TRA!$BJ$2:$BJ$999,Transport!$B62),0)</f>
        <v>0</v>
      </c>
      <c r="AJ62" s="5">
        <f>IFERROR(SUMIFS(BY_TRA!AR$2:AR$999,BY_TRA!$BJ$2:$BJ$999,Transport!$B62,BY_TRA!$BK$2:$BK$999,Transport!$C62)/SUMIFS(BY_TRA!AR$2:AR$999,BY_TRA!$BJ$2:$BJ$999,Transport!$B62),0)</f>
        <v>0</v>
      </c>
      <c r="AK62" s="5">
        <f>IFERROR(SUMIFS(BY_TRA!AS$2:AS$999,BY_TRA!$BJ$2:$BJ$999,Transport!$B62,BY_TRA!$BK$2:$BK$999,Transport!$C62)/SUMIFS(BY_TRA!AS$2:AS$999,BY_TRA!$BJ$2:$BJ$999,Transport!$B62),0)</f>
        <v>0</v>
      </c>
      <c r="AL62" s="5">
        <f>IFERROR(SUMIFS(BY_TRA!AT$2:AT$999,BY_TRA!$BJ$2:$BJ$999,Transport!$B62,BY_TRA!$BK$2:$BK$999,Transport!$C62)/SUMIFS(BY_TRA!AT$2:AT$999,BY_TRA!$BJ$2:$BJ$999,Transport!$B62),0)</f>
        <v>0</v>
      </c>
      <c r="AM62" s="5">
        <f>IFERROR(SUMIFS(BY_TRA!AU$2:AU$999,BY_TRA!$BJ$2:$BJ$999,Transport!$B62,BY_TRA!$BK$2:$BK$999,Transport!$C62)/SUMIFS(BY_TRA!AU$2:AU$999,BY_TRA!$BJ$2:$BJ$999,Transport!$B62),0)</f>
        <v>0</v>
      </c>
      <c r="AN62" s="5">
        <f>IFERROR(SUMIFS(BY_TRA!AV$2:AV$999,BY_TRA!$BJ$2:$BJ$999,Transport!$B62,BY_TRA!$BK$2:$BK$999,Transport!$C62)/SUMIFS(BY_TRA!AV$2:AV$999,BY_TRA!$BJ$2:$BJ$999,Transport!$B62),0)</f>
        <v>0</v>
      </c>
      <c r="AO62" s="5">
        <f>IFERROR(SUMIFS(BY_TRA!AW$2:AW$999,BY_TRA!$BJ$2:$BJ$999,Transport!$B62,BY_TRA!$BK$2:$BK$999,Transport!$C62)/SUMIFS(BY_TRA!AW$2:AW$999,BY_TRA!$BJ$2:$BJ$999,Transport!$B62),0)</f>
        <v>0</v>
      </c>
      <c r="AP62" s="5">
        <f>IFERROR(SUMIFS(BY_TRA!AX$2:AX$999,BY_TRA!$BJ$2:$BJ$999,Transport!$B62,BY_TRA!$BK$2:$BK$999,Transport!$C62)/SUMIFS(BY_TRA!AX$2:AX$999,BY_TRA!$BJ$2:$BJ$999,Transport!$B62),0)</f>
        <v>0</v>
      </c>
      <c r="AQ62" s="5">
        <f>IFERROR(SUMIFS(BY_TRA!AY$2:AY$999,BY_TRA!$BJ$2:$BJ$999,Transport!$B62,BY_TRA!$BK$2:$BK$999,Transport!$C62)/SUMIFS(BY_TRA!AY$2:AY$999,BY_TRA!$BJ$2:$BJ$999,Transport!$B62),0)</f>
        <v>0</v>
      </c>
      <c r="AR62" s="5">
        <f>IFERROR(SUMIFS(BY_TRA!AZ$2:AZ$999,BY_TRA!$BJ$2:$BJ$999,Transport!$B62,BY_TRA!$BK$2:$BK$999,Transport!$C62)/SUMIFS(BY_TRA!AZ$2:AZ$999,BY_TRA!$BJ$2:$BJ$999,Transport!$B62),0)</f>
        <v>0</v>
      </c>
      <c r="AS62" s="5">
        <f>IFERROR(SUMIFS(BY_TRA!BA$2:BA$999,BY_TRA!$BJ$2:$BJ$999,Transport!$B62,BY_TRA!$BK$2:$BK$999,Transport!$C62)/SUMIFS(BY_TRA!BA$2:BA$999,BY_TRA!$BJ$2:$BJ$999,Transport!$B62),0)</f>
        <v>0</v>
      </c>
      <c r="AT62" s="5">
        <f>IFERROR(SUMIFS(BY_TRA!BB$2:BB$999,BY_TRA!$BJ$2:$BJ$999,Transport!$B62,BY_TRA!$BK$2:$BK$999,Transport!$C62)/SUMIFS(BY_TRA!BB$2:BB$999,BY_TRA!$BJ$2:$BJ$999,Transport!$B62),0)</f>
        <v>0</v>
      </c>
      <c r="AU62" s="5">
        <f>IFERROR(SUMIFS(BY_TRA!BC$2:BC$999,BY_TRA!$BJ$2:$BJ$999,Transport!$B62,BY_TRA!$BK$2:$BK$999,Transport!$C62)/SUMIFS(BY_TRA!BC$2:BC$999,BY_TRA!$BJ$2:$BJ$999,Transport!$B62),0)</f>
        <v>0</v>
      </c>
      <c r="AV62" s="5">
        <f>IFERROR(SUMIFS(BY_TRA!BD$2:BD$999,BY_TRA!$BJ$2:$BJ$999,Transport!$B62,BY_TRA!$BK$2:$BK$999,Transport!$C62)/SUMIFS(BY_TRA!BD$2:BD$999,BY_TRA!$BJ$2:$BJ$999,Transport!$B62),0)</f>
        <v>0</v>
      </c>
      <c r="AW62" s="5">
        <f>IFERROR(SUMIFS(BY_TRA!BE$2:BE$999,BY_TRA!$BJ$2:$BJ$999,Transport!$B62,BY_TRA!$BK$2:$BK$999,Transport!$C62)/SUMIFS(BY_TRA!BE$2:BE$999,BY_TRA!$BJ$2:$BJ$999,Transport!$B62),0)</f>
        <v>0</v>
      </c>
      <c r="AX62" s="5">
        <f>IFERROR(SUMIFS(BY_TRA!BF$2:BF$999,BY_TRA!$BJ$2:$BJ$999,Transport!$B62,BY_TRA!$BK$2:$BK$999,Transport!$C62)/SUMIFS(BY_TRA!BF$2:BF$999,BY_TRA!$BJ$2:$BJ$999,Transport!$B62),0)</f>
        <v>0</v>
      </c>
      <c r="AY62" s="5">
        <f>IFERROR(SUMIFS(BY_TRA!BG$2:BG$999,BY_TRA!$BJ$2:$BJ$999,Transport!$B62,BY_TRA!$BK$2:$BK$999,Transport!$C62)/SUMIFS(BY_TRA!BG$2:BG$999,BY_TRA!$BJ$2:$BJ$999,Transport!$B62),0)</f>
        <v>0</v>
      </c>
    </row>
    <row r="63" spans="2:51" ht="14.5">
      <c r="B63" t="s">
        <v>185</v>
      </c>
      <c r="C63" t="s">
        <v>175</v>
      </c>
      <c r="D63" s="5">
        <f>IFERROR(SUMIFS(BY_TRA!L$2:L$999,BY_TRA!$BJ$2:$BJ$999,Transport!$B63,BY_TRA!$BK$2:$BK$999,Transport!$C63)/SUMIFS(BY_TRA!L$2:L$999,BY_TRA!$BJ$2:$BJ$999,Transport!$B63),0)</f>
        <v>0</v>
      </c>
      <c r="E63" s="5">
        <f>IFERROR(SUMIFS(BY_TRA!M$2:M$999,BY_TRA!$BJ$2:$BJ$999,Transport!$B63,BY_TRA!$BK$2:$BK$999,Transport!$C63)/SUMIFS(BY_TRA!M$2:M$999,BY_TRA!$BJ$2:$BJ$999,Transport!$B63),0)</f>
        <v>0</v>
      </c>
      <c r="F63" s="5">
        <f>IFERROR(SUMIFS(BY_TRA!N$2:N$999,BY_TRA!$BJ$2:$BJ$999,Transport!$B63,BY_TRA!$BK$2:$BK$999,Transport!$C63)/SUMIFS(BY_TRA!N$2:N$999,BY_TRA!$BJ$2:$BJ$999,Transport!$B63),0)</f>
        <v>0.31421446384039908</v>
      </c>
      <c r="G63" s="5">
        <f>IFERROR(SUMIFS(BY_TRA!O$2:O$999,BY_TRA!$BJ$2:$BJ$999,Transport!$B63,BY_TRA!$BK$2:$BK$999,Transport!$C63)/SUMIFS(BY_TRA!O$2:O$999,BY_TRA!$BJ$2:$BJ$999,Transport!$B63),0)</f>
        <v>0.053892215568862388</v>
      </c>
      <c r="H63" s="5">
        <f>IFERROR(SUMIFS(BY_TRA!P$2:P$999,BY_TRA!$BJ$2:$BJ$999,Transport!$B63,BY_TRA!$BK$2:$BK$999,Transport!$C63)/SUMIFS(BY_TRA!P$2:P$999,BY_TRA!$BJ$2:$BJ$999,Transport!$B63),0)</f>
        <v>0.22916666666666649</v>
      </c>
      <c r="I63" s="5">
        <f>IFERROR(SUMIFS(BY_TRA!Q$2:Q$999,BY_TRA!$BJ$2:$BJ$999,Transport!$B63,BY_TRA!$BK$2:$BK$999,Transport!$C63)/SUMIFS(BY_TRA!Q$2:Q$999,BY_TRA!$BJ$2:$BJ$999,Transport!$B63),0)</f>
        <v>0.093421052631578724</v>
      </c>
      <c r="J63" s="5">
        <f>IFERROR(SUMIFS(BY_TRA!R$2:R$999,BY_TRA!$BJ$2:$BJ$999,Transport!$B63,BY_TRA!$BK$2:$BK$999,Transport!$C63)/SUMIFS(BY_TRA!R$2:R$999,BY_TRA!$BJ$2:$BJ$999,Transport!$B63),0)</f>
        <v>0.19667477696674771</v>
      </c>
      <c r="K63" s="5">
        <f>IFERROR(SUMIFS(BY_TRA!S$2:S$999,BY_TRA!$BJ$2:$BJ$999,Transport!$B63,BY_TRA!$BK$2:$BK$999,Transport!$C63)/SUMIFS(BY_TRA!S$2:S$999,BY_TRA!$BJ$2:$BJ$999,Transport!$B63),0)</f>
        <v>0.47605873590125564</v>
      </c>
      <c r="L63" s="5">
        <f>IFERROR(SUMIFS(BY_TRA!T$2:T$999,BY_TRA!$BJ$2:$BJ$999,Transport!$B63,BY_TRA!$BK$2:$BK$999,Transport!$C63)/SUMIFS(BY_TRA!T$2:T$999,BY_TRA!$BJ$2:$BJ$999,Transport!$B63),0)</f>
        <v>0.10055865921787704</v>
      </c>
      <c r="M63" s="5">
        <f>IFERROR(SUMIFS(BY_TRA!U$2:U$999,BY_TRA!$BJ$2:$BJ$999,Transport!$B63,BY_TRA!$BK$2:$BK$999,Transport!$C63)/SUMIFS(BY_TRA!U$2:U$999,BY_TRA!$BJ$2:$BJ$999,Transport!$B63),0)</f>
        <v>0.11229946524064167</v>
      </c>
      <c r="N63" s="5">
        <f>IFERROR(SUMIFS(BY_TRA!V$2:V$999,BY_TRA!$BJ$2:$BJ$999,Transport!$B63,BY_TRA!$BK$2:$BK$999,Transport!$C63)/SUMIFS(BY_TRA!V$2:V$999,BY_TRA!$BJ$2:$BJ$999,Transport!$B63),0)</f>
        <v>0.0518165574746874</v>
      </c>
      <c r="O63" s="5">
        <f>IFERROR(SUMIFS(BY_TRA!W$2:W$999,BY_TRA!$BJ$2:$BJ$999,Transport!$B63,BY_TRA!$BK$2:$BK$999,Transport!$C63)/SUMIFS(BY_TRA!W$2:W$999,BY_TRA!$BJ$2:$BJ$999,Transport!$B63),0)</f>
        <v>0.10068169900367047</v>
      </c>
      <c r="P63" s="5">
        <f>IFERROR(SUMIFS(BY_TRA!X$2:X$999,BY_TRA!$BJ$2:$BJ$999,Transport!$B63,BY_TRA!$BK$2:$BK$999,Transport!$C63)/SUMIFS(BY_TRA!X$2:X$999,BY_TRA!$BJ$2:$BJ$999,Transport!$B63),0)</f>
        <v>0.15463917525773152</v>
      </c>
      <c r="Q63" s="5">
        <f>IFERROR(SUMIFS(BY_TRA!Y$2:Y$999,BY_TRA!$BJ$2:$BJ$999,Transport!$B63,BY_TRA!$BK$2:$BK$999,Transport!$C63)/SUMIFS(BY_TRA!Y$2:Y$999,BY_TRA!$BJ$2:$BJ$999,Transport!$B63),0)</f>
        <v>0.097891566265060265</v>
      </c>
      <c r="R63" s="5">
        <f>IFERROR(SUMIFS(BY_TRA!Z$2:Z$999,BY_TRA!$BJ$2:$BJ$999,Transport!$B63,BY_TRA!$BK$2:$BK$999,Transport!$C63)/SUMIFS(BY_TRA!Z$2:Z$999,BY_TRA!$BJ$2:$BJ$999,Transport!$B63),0)</f>
        <v>0.090909090909090842</v>
      </c>
      <c r="S63" s="5">
        <f>IFERROR(SUMIFS(BY_TRA!AA$2:AA$999,BY_TRA!$BJ$2:$BJ$999,Transport!$B63,BY_TRA!$BK$2:$BK$999,Transport!$C63)/SUMIFS(BY_TRA!AA$2:AA$999,BY_TRA!$BJ$2:$BJ$999,Transport!$B63),0)</f>
        <v>0</v>
      </c>
      <c r="T63" s="5">
        <f>IFERROR(SUMIFS(BY_TRA!AB$2:AB$999,BY_TRA!$BJ$2:$BJ$999,Transport!$B63,BY_TRA!$BK$2:$BK$999,Transport!$C63)/SUMIFS(BY_TRA!AB$2:AB$999,BY_TRA!$BJ$2:$BJ$999,Transport!$B63),0)</f>
        <v>0.057324840764331239</v>
      </c>
      <c r="U63" s="5">
        <f>IFERROR(SUMIFS(BY_TRA!AC$2:AC$999,BY_TRA!$BJ$2:$BJ$999,Transport!$B63,BY_TRA!$BK$2:$BK$999,Transport!$C63)/SUMIFS(BY_TRA!AC$2:AC$999,BY_TRA!$BJ$2:$BJ$999,Transport!$B63),0)</f>
        <v>0.062952243125904347</v>
      </c>
      <c r="V63" s="5">
        <f>IFERROR(SUMIFS(BY_TRA!AD$2:AD$999,BY_TRA!$BJ$2:$BJ$999,Transport!$B63,BY_TRA!$BK$2:$BK$999,Transport!$C63)/SUMIFS(BY_TRA!AD$2:AD$999,BY_TRA!$BJ$2:$BJ$999,Transport!$B63),0)</f>
        <v>0.51716888577435027</v>
      </c>
      <c r="W63" s="5">
        <f>IFERROR(SUMIFS(BY_TRA!AE$2:AE$999,BY_TRA!$BJ$2:$BJ$999,Transport!$B63,BY_TRA!$BK$2:$BK$999,Transport!$C63)/SUMIFS(BY_TRA!AE$2:AE$999,BY_TRA!$BJ$2:$BJ$999,Transport!$B63),0)</f>
        <v>0.36096988658584234</v>
      </c>
      <c r="X63" s="5">
        <f>IFERROR(SUMIFS(BY_TRA!AF$2:AF$999,BY_TRA!$BJ$2:$BJ$999,Transport!$B63,BY_TRA!$BK$2:$BK$999,Transport!$C63)/SUMIFS(BY_TRA!AF$2:AF$999,BY_TRA!$BJ$2:$BJ$999,Transport!$B63),0)</f>
        <v>0.65298776097912248</v>
      </c>
      <c r="Y63" s="5">
        <f>IFERROR(SUMIFS(BY_TRA!AG$2:AG$999,BY_TRA!$BJ$2:$BJ$999,Transport!$B63,BY_TRA!$BK$2:$BK$999,Transport!$C63)/SUMIFS(BY_TRA!AG$2:AG$999,BY_TRA!$BJ$2:$BJ$999,Transport!$B63),0)</f>
        <v>0.87985041469194369</v>
      </c>
      <c r="Z63" s="5">
        <f>IFERROR(SUMIFS(BY_TRA!AH$2:AH$999,BY_TRA!$BJ$2:$BJ$999,Transport!$B63,BY_TRA!$BK$2:$BK$999,Transport!$C63)/SUMIFS(BY_TRA!AH$2:AH$999,BY_TRA!$BJ$2:$BJ$999,Transport!$B63),0)</f>
        <v>0.054263565891472791</v>
      </c>
      <c r="AA63" s="5">
        <f>IFERROR(SUMIFS(BY_TRA!AI$2:AI$999,BY_TRA!$BJ$2:$BJ$999,Transport!$B63,BY_TRA!$BK$2:$BK$999,Transport!$C63)/SUMIFS(BY_TRA!AI$2:AI$999,BY_TRA!$BJ$2:$BJ$999,Transport!$B63),0)</f>
        <v>0.074104234527687288</v>
      </c>
      <c r="AB63" s="5">
        <f>IFERROR(SUMIFS(BY_TRA!AJ$2:AJ$999,BY_TRA!$BJ$2:$BJ$999,Transport!$B63,BY_TRA!$BK$2:$BK$999,Transport!$C63)/SUMIFS(BY_TRA!AJ$2:AJ$999,BY_TRA!$BJ$2:$BJ$999,Transport!$B63),0)</f>
        <v>0</v>
      </c>
      <c r="AC63" s="5">
        <f>IFERROR(SUMIFS(BY_TRA!AK$2:AK$999,BY_TRA!$BJ$2:$BJ$999,Transport!$B63,BY_TRA!$BK$2:$BK$999,Transport!$C63)/SUMIFS(BY_TRA!AK$2:AK$999,BY_TRA!$BJ$2:$BJ$999,Transport!$B63),0)</f>
        <v>0.71756185878092749</v>
      </c>
      <c r="AD63" s="5">
        <f>IFERROR(SUMIFS(BY_TRA!AL$2:AL$999,BY_TRA!$BJ$2:$BJ$999,Transport!$B63,BY_TRA!$BK$2:$BK$999,Transport!$C63)/SUMIFS(BY_TRA!AL$2:AL$999,BY_TRA!$BJ$2:$BJ$999,Transport!$B63),0)</f>
        <v>0.58954100827690004</v>
      </c>
      <c r="AE63" s="5">
        <f>IFERROR(SUMIFS(BY_TRA!AM$2:AM$999,BY_TRA!$BJ$2:$BJ$999,Transport!$B63,BY_TRA!$BK$2:$BK$999,Transport!$C63)/SUMIFS(BY_TRA!AM$2:AM$999,BY_TRA!$BJ$2:$BJ$999,Transport!$B63),0)</f>
        <v>0</v>
      </c>
      <c r="AF63" s="5">
        <f>IFERROR(SUMIFS(BY_TRA!AN$2:AN$999,BY_TRA!$BJ$2:$BJ$999,Transport!$B63,BY_TRA!$BK$2:$BK$999,Transport!$C63)/SUMIFS(BY_TRA!AN$2:AN$999,BY_TRA!$BJ$2:$BJ$999,Transport!$B63),0)</f>
        <v>0.051546391752577241</v>
      </c>
      <c r="AG63" s="5">
        <f>IFERROR(SUMIFS(BY_TRA!AO$2:AO$999,BY_TRA!$BJ$2:$BJ$999,Transport!$B63,BY_TRA!$BK$2:$BK$999,Transport!$C63)/SUMIFS(BY_TRA!AO$2:AO$999,BY_TRA!$BJ$2:$BJ$999,Transport!$B63),0)</f>
        <v>0.10020040080160322</v>
      </c>
      <c r="AH63" s="5">
        <f>IFERROR(SUMIFS(BY_TRA!AP$2:AP$999,BY_TRA!$BJ$2:$BJ$999,Transport!$B63,BY_TRA!$BK$2:$BK$999,Transport!$C63)/SUMIFS(BY_TRA!AP$2:AP$999,BY_TRA!$BJ$2:$BJ$999,Transport!$B63),0)</f>
        <v>0.16463414634146337</v>
      </c>
      <c r="AI63" s="5">
        <f>IFERROR(SUMIFS(BY_TRA!AQ$2:AQ$999,BY_TRA!$BJ$2:$BJ$999,Transport!$B63,BY_TRA!$BK$2:$BK$999,Transport!$C63)/SUMIFS(BY_TRA!AQ$2:AQ$999,BY_TRA!$BJ$2:$BJ$999,Transport!$B63),0)</f>
        <v>0.090586145648312591</v>
      </c>
      <c r="AJ63" s="5">
        <f>IFERROR(SUMIFS(BY_TRA!AR$2:AR$999,BY_TRA!$BJ$2:$BJ$999,Transport!$B63,BY_TRA!$BK$2:$BK$999,Transport!$C63)/SUMIFS(BY_TRA!AR$2:AR$999,BY_TRA!$BJ$2:$BJ$999,Transport!$B63),0)</f>
        <v>0.10073529411764739</v>
      </c>
      <c r="AK63" s="5">
        <f>IFERROR(SUMIFS(BY_TRA!AS$2:AS$999,BY_TRA!$BJ$2:$BJ$999,Transport!$B63,BY_TRA!$BK$2:$BK$999,Transport!$C63)/SUMIFS(BY_TRA!AS$2:AS$999,BY_TRA!$BJ$2:$BJ$999,Transport!$B63),0)</f>
        <v>0.17474302496328928</v>
      </c>
      <c r="AL63" s="5">
        <f>IFERROR(SUMIFS(BY_TRA!AT$2:AT$999,BY_TRA!$BJ$2:$BJ$999,Transport!$B63,BY_TRA!$BK$2:$BK$999,Transport!$C63)/SUMIFS(BY_TRA!AT$2:AT$999,BY_TRA!$BJ$2:$BJ$999,Transport!$B63),0)</f>
        <v>0.063968668407310705</v>
      </c>
      <c r="AM63" s="5">
        <f>IFERROR(SUMIFS(BY_TRA!AU$2:AU$999,BY_TRA!$BJ$2:$BJ$999,Transport!$B63,BY_TRA!$BK$2:$BK$999,Transport!$C63)/SUMIFS(BY_TRA!AU$2:AU$999,BY_TRA!$BJ$2:$BJ$999,Transport!$B63),0)</f>
        <v>0</v>
      </c>
      <c r="AN63" s="5">
        <f>IFERROR(SUMIFS(BY_TRA!AV$2:AV$999,BY_TRA!$BJ$2:$BJ$999,Transport!$B63,BY_TRA!$BK$2:$BK$999,Transport!$C63)/SUMIFS(BY_TRA!AV$2:AV$999,BY_TRA!$BJ$2:$BJ$999,Transport!$B63),0)</f>
        <v>0</v>
      </c>
      <c r="AO63" s="5">
        <f>IFERROR(SUMIFS(BY_TRA!AW$2:AW$999,BY_TRA!$BJ$2:$BJ$999,Transport!$B63,BY_TRA!$BK$2:$BK$999,Transport!$C63)/SUMIFS(BY_TRA!AW$2:AW$999,BY_TRA!$BJ$2:$BJ$999,Transport!$B63),0)</f>
        <v>0</v>
      </c>
      <c r="AP63" s="5">
        <f>IFERROR(SUMIFS(BY_TRA!AX$2:AX$999,BY_TRA!$BJ$2:$BJ$999,Transport!$B63,BY_TRA!$BK$2:$BK$999,Transport!$C63)/SUMIFS(BY_TRA!AX$2:AX$999,BY_TRA!$BJ$2:$BJ$999,Transport!$B63),0)</f>
        <v>0</v>
      </c>
      <c r="AQ63" s="5">
        <f>IFERROR(SUMIFS(BY_TRA!AY$2:AY$999,BY_TRA!$BJ$2:$BJ$999,Transport!$B63,BY_TRA!$BK$2:$BK$999,Transport!$C63)/SUMIFS(BY_TRA!AY$2:AY$999,BY_TRA!$BJ$2:$BJ$999,Transport!$B63),0)</f>
        <v>0</v>
      </c>
      <c r="AR63" s="5">
        <f>IFERROR(SUMIFS(BY_TRA!AZ$2:AZ$999,BY_TRA!$BJ$2:$BJ$999,Transport!$B63,BY_TRA!$BK$2:$BK$999,Transport!$C63)/SUMIFS(BY_TRA!AZ$2:AZ$999,BY_TRA!$BJ$2:$BJ$999,Transport!$B63),0)</f>
        <v>0</v>
      </c>
      <c r="AS63" s="5">
        <f>IFERROR(SUMIFS(BY_TRA!BA$2:BA$999,BY_TRA!$BJ$2:$BJ$999,Transport!$B63,BY_TRA!$BK$2:$BK$999,Transport!$C63)/SUMIFS(BY_TRA!BA$2:BA$999,BY_TRA!$BJ$2:$BJ$999,Transport!$B63),0)</f>
        <v>0</v>
      </c>
      <c r="AT63" s="5">
        <f>IFERROR(SUMIFS(BY_TRA!BB$2:BB$999,BY_TRA!$BJ$2:$BJ$999,Transport!$B63,BY_TRA!$BK$2:$BK$999,Transport!$C63)/SUMIFS(BY_TRA!BB$2:BB$999,BY_TRA!$BJ$2:$BJ$999,Transport!$B63),0)</f>
        <v>0</v>
      </c>
      <c r="AU63" s="5">
        <f>IFERROR(SUMIFS(BY_TRA!BC$2:BC$999,BY_TRA!$BJ$2:$BJ$999,Transport!$B63,BY_TRA!$BK$2:$BK$999,Transport!$C63)/SUMIFS(BY_TRA!BC$2:BC$999,BY_TRA!$BJ$2:$BJ$999,Transport!$B63),0)</f>
        <v>0</v>
      </c>
      <c r="AV63" s="5">
        <f>IFERROR(SUMIFS(BY_TRA!BD$2:BD$999,BY_TRA!$BJ$2:$BJ$999,Transport!$B63,BY_TRA!$BK$2:$BK$999,Transport!$C63)/SUMIFS(BY_TRA!BD$2:BD$999,BY_TRA!$BJ$2:$BJ$999,Transport!$B63),0)</f>
        <v>0</v>
      </c>
      <c r="AW63" s="5">
        <f>IFERROR(SUMIFS(BY_TRA!BE$2:BE$999,BY_TRA!$BJ$2:$BJ$999,Transport!$B63,BY_TRA!$BK$2:$BK$999,Transport!$C63)/SUMIFS(BY_TRA!BE$2:BE$999,BY_TRA!$BJ$2:$BJ$999,Transport!$B63),0)</f>
        <v>0</v>
      </c>
      <c r="AX63" s="5">
        <f>IFERROR(SUMIFS(BY_TRA!BF$2:BF$999,BY_TRA!$BJ$2:$BJ$999,Transport!$B63,BY_TRA!$BK$2:$BK$999,Transport!$C63)/SUMIFS(BY_TRA!BF$2:BF$999,BY_TRA!$BJ$2:$BJ$999,Transport!$B63),0)</f>
        <v>0</v>
      </c>
      <c r="AY63" s="5">
        <f>IFERROR(SUMIFS(BY_TRA!BG$2:BG$999,BY_TRA!$BJ$2:$BJ$999,Transport!$B63,BY_TRA!$BK$2:$BK$999,Transport!$C63)/SUMIFS(BY_TRA!BG$2:BG$999,BY_TRA!$BJ$2:$BJ$999,Transport!$B63),0)</f>
        <v>0</v>
      </c>
    </row>
    <row r="64" spans="2:51" ht="14.5">
      <c r="B64" t="s">
        <v>185</v>
      </c>
      <c r="C64" t="s">
        <v>181</v>
      </c>
      <c r="D64" s="5">
        <f>IFERROR(SUMIFS(BY_TRA!L$2:L$999,BY_TRA!$BJ$2:$BJ$999,Transport!$B64,BY_TRA!$BK$2:$BK$999,Transport!$C64)/SUMIFS(BY_TRA!L$2:L$999,BY_TRA!$BJ$2:$BJ$999,Transport!$B64),0)</f>
        <v>0.064171122994652344</v>
      </c>
      <c r="E64" s="5">
        <f>IFERROR(SUMIFS(BY_TRA!M$2:M$999,BY_TRA!$BJ$2:$BJ$999,Transport!$B64,BY_TRA!$BK$2:$BK$999,Transport!$C64)/SUMIFS(BY_TRA!M$2:M$999,BY_TRA!$BJ$2:$BJ$999,Transport!$B64),0)</f>
        <v>0</v>
      </c>
      <c r="F64" s="5">
        <f>IFERROR(SUMIFS(BY_TRA!N$2:N$999,BY_TRA!$BJ$2:$BJ$999,Transport!$B64,BY_TRA!$BK$2:$BK$999,Transport!$C64)/SUMIFS(BY_TRA!N$2:N$999,BY_TRA!$BJ$2:$BJ$999,Transport!$B64),0)</f>
        <v>0.015586034912718214</v>
      </c>
      <c r="G64" s="5">
        <f>IFERROR(SUMIFS(BY_TRA!O$2:O$999,BY_TRA!$BJ$2:$BJ$999,Transport!$B64,BY_TRA!$BK$2:$BK$999,Transport!$C64)/SUMIFS(BY_TRA!O$2:O$999,BY_TRA!$BJ$2:$BJ$999,Transport!$B64),0)</f>
        <v>0.0029940119760479122</v>
      </c>
      <c r="H64" s="5">
        <f>IFERROR(SUMIFS(BY_TRA!P$2:P$999,BY_TRA!$BJ$2:$BJ$999,Transport!$B64,BY_TRA!$BK$2:$BK$999,Transport!$C64)/SUMIFS(BY_TRA!P$2:P$999,BY_TRA!$BJ$2:$BJ$999,Transport!$B64),0)</f>
        <v>0.171875</v>
      </c>
      <c r="I64" s="5">
        <f>IFERROR(SUMIFS(BY_TRA!Q$2:Q$999,BY_TRA!$BJ$2:$BJ$999,Transport!$B64,BY_TRA!$BK$2:$BK$999,Transport!$C64)/SUMIFS(BY_TRA!Q$2:Q$999,BY_TRA!$BJ$2:$BJ$999,Transport!$B64),0)</f>
        <v>0.03026315789473678</v>
      </c>
      <c r="J64" s="5">
        <f>IFERROR(SUMIFS(BY_TRA!R$2:R$999,BY_TRA!$BJ$2:$BJ$999,Transport!$B64,BY_TRA!$BK$2:$BK$999,Transport!$C64)/SUMIFS(BY_TRA!R$2:R$999,BY_TRA!$BJ$2:$BJ$999,Transport!$B64),0)</f>
        <v>0</v>
      </c>
      <c r="K64" s="5">
        <f>IFERROR(SUMIFS(BY_TRA!S$2:S$999,BY_TRA!$BJ$2:$BJ$999,Transport!$B64,BY_TRA!$BK$2:$BK$999,Transport!$C64)/SUMIFS(BY_TRA!S$2:S$999,BY_TRA!$BJ$2:$BJ$999,Transport!$B64),0)</f>
        <v>0.011066184294530755</v>
      </c>
      <c r="L64" s="5">
        <f>IFERROR(SUMIFS(BY_TRA!T$2:T$999,BY_TRA!$BJ$2:$BJ$999,Transport!$B64,BY_TRA!$BK$2:$BK$999,Transport!$C64)/SUMIFS(BY_TRA!T$2:T$999,BY_TRA!$BJ$2:$BJ$999,Transport!$B64),0)</f>
        <v>0.09497206703910617</v>
      </c>
      <c r="M64" s="5">
        <f>IFERROR(SUMIFS(BY_TRA!U$2:U$999,BY_TRA!$BJ$2:$BJ$999,Transport!$B64,BY_TRA!$BK$2:$BK$999,Transport!$C64)/SUMIFS(BY_TRA!U$2:U$999,BY_TRA!$BJ$2:$BJ$999,Transport!$B64),0)</f>
        <v>0.050802139037433129</v>
      </c>
      <c r="N64" s="5">
        <f>IFERROR(SUMIFS(BY_TRA!V$2:V$999,BY_TRA!$BJ$2:$BJ$999,Transport!$B64,BY_TRA!$BK$2:$BK$999,Transport!$C64)/SUMIFS(BY_TRA!V$2:V$999,BY_TRA!$BJ$2:$BJ$999,Transport!$B64),0)</f>
        <v>0.0041691483025610553</v>
      </c>
      <c r="O64" s="5">
        <f>IFERROR(SUMIFS(BY_TRA!W$2:W$999,BY_TRA!$BJ$2:$BJ$999,Transport!$B64,BY_TRA!$BK$2:$BK$999,Transport!$C64)/SUMIFS(BY_TRA!W$2:W$999,BY_TRA!$BJ$2:$BJ$999,Transport!$B64),0)</f>
        <v>0.02254850550603035</v>
      </c>
      <c r="P64" s="5">
        <f>IFERROR(SUMIFS(BY_TRA!X$2:X$999,BY_TRA!$BJ$2:$BJ$999,Transport!$B64,BY_TRA!$BK$2:$BK$999,Transport!$C64)/SUMIFS(BY_TRA!X$2:X$999,BY_TRA!$BJ$2:$BJ$999,Transport!$B64),0)</f>
        <v>0.14432989690721607</v>
      </c>
      <c r="Q64" s="5">
        <f>IFERROR(SUMIFS(BY_TRA!Y$2:Y$999,BY_TRA!$BJ$2:$BJ$999,Transport!$B64,BY_TRA!$BK$2:$BK$999,Transport!$C64)/SUMIFS(BY_TRA!Y$2:Y$999,BY_TRA!$BJ$2:$BJ$999,Transport!$B64),0)</f>
        <v>0.16566265060240953</v>
      </c>
      <c r="R64" s="5">
        <f>IFERROR(SUMIFS(BY_TRA!Z$2:Z$999,BY_TRA!$BJ$2:$BJ$999,Transport!$B64,BY_TRA!$BK$2:$BK$999,Transport!$C64)/SUMIFS(BY_TRA!Z$2:Z$999,BY_TRA!$BJ$2:$BJ$999,Transport!$B64),0)</f>
        <v>0</v>
      </c>
      <c r="S64" s="5">
        <f>IFERROR(SUMIFS(BY_TRA!AA$2:AA$999,BY_TRA!$BJ$2:$BJ$999,Transport!$B64,BY_TRA!$BK$2:$BK$999,Transport!$C64)/SUMIFS(BY_TRA!AA$2:AA$999,BY_TRA!$BJ$2:$BJ$999,Transport!$B64),0)</f>
        <v>0.0028895310068904178</v>
      </c>
      <c r="T64" s="5">
        <f>IFERROR(SUMIFS(BY_TRA!AB$2:AB$999,BY_TRA!$BJ$2:$BJ$999,Transport!$B64,BY_TRA!$BK$2:$BK$999,Transport!$C64)/SUMIFS(BY_TRA!AB$2:AB$999,BY_TRA!$BJ$2:$BJ$999,Transport!$B64),0)</f>
        <v>0</v>
      </c>
      <c r="U64" s="5">
        <f>IFERROR(SUMIFS(BY_TRA!AC$2:AC$999,BY_TRA!$BJ$2:$BJ$999,Transport!$B64,BY_TRA!$BK$2:$BK$999,Transport!$C64)/SUMIFS(BY_TRA!AC$2:AC$999,BY_TRA!$BJ$2:$BJ$999,Transport!$B64),0)</f>
        <v>0.1519536903039071</v>
      </c>
      <c r="V64" s="5">
        <f>IFERROR(SUMIFS(BY_TRA!AD$2:AD$999,BY_TRA!$BJ$2:$BJ$999,Transport!$B64,BY_TRA!$BK$2:$BK$999,Transport!$C64)/SUMIFS(BY_TRA!AD$2:AD$999,BY_TRA!$BJ$2:$BJ$999,Transport!$B64),0)</f>
        <v>0.049404344779257044</v>
      </c>
      <c r="W64" s="5">
        <f>IFERROR(SUMIFS(BY_TRA!AE$2:AE$999,BY_TRA!$BJ$2:$BJ$999,Transport!$B64,BY_TRA!$BK$2:$BK$999,Transport!$C64)/SUMIFS(BY_TRA!AE$2:AE$999,BY_TRA!$BJ$2:$BJ$999,Transport!$B64),0)</f>
        <v>0</v>
      </c>
      <c r="X64" s="5">
        <f>IFERROR(SUMIFS(BY_TRA!AF$2:AF$999,BY_TRA!$BJ$2:$BJ$999,Transport!$B64,BY_TRA!$BK$2:$BK$999,Transport!$C64)/SUMIFS(BY_TRA!AF$2:AF$999,BY_TRA!$BJ$2:$BJ$999,Transport!$B64),0)</f>
        <v>0.0016198704103671719</v>
      </c>
      <c r="Y64" s="5">
        <f>IFERROR(SUMIFS(BY_TRA!AG$2:AG$999,BY_TRA!$BJ$2:$BJ$999,Transport!$B64,BY_TRA!$BK$2:$BK$999,Transport!$C64)/SUMIFS(BY_TRA!AG$2:AG$999,BY_TRA!$BJ$2:$BJ$999,Transport!$B64),0)</f>
        <v>0.0082938388625592493</v>
      </c>
      <c r="Z64" s="5">
        <f>IFERROR(SUMIFS(BY_TRA!AH$2:AH$999,BY_TRA!$BJ$2:$BJ$999,Transport!$B64,BY_TRA!$BK$2:$BK$999,Transport!$C64)/SUMIFS(BY_TRA!AH$2:AH$999,BY_TRA!$BJ$2:$BJ$999,Transport!$B64),0)</f>
        <v>0.0077519379844961161</v>
      </c>
      <c r="AA64" s="5">
        <f>IFERROR(SUMIFS(BY_TRA!AI$2:AI$999,BY_TRA!$BJ$2:$BJ$999,Transport!$B64,BY_TRA!$BK$2:$BK$999,Transport!$C64)/SUMIFS(BY_TRA!AI$2:AI$999,BY_TRA!$BJ$2:$BJ$999,Transport!$B64),0)</f>
        <v>0.34364820846905531</v>
      </c>
      <c r="AB64" s="5">
        <f>IFERROR(SUMIFS(BY_TRA!AJ$2:AJ$999,BY_TRA!$BJ$2:$BJ$999,Transport!$B64,BY_TRA!$BK$2:$BK$999,Transport!$C64)/SUMIFS(BY_TRA!AJ$2:AJ$999,BY_TRA!$BJ$2:$BJ$999,Transport!$B64),0)</f>
        <v>0.056441717791410974</v>
      </c>
      <c r="AC64" s="5">
        <f>IFERROR(SUMIFS(BY_TRA!AK$2:AK$999,BY_TRA!$BJ$2:$BJ$999,Transport!$B64,BY_TRA!$BK$2:$BK$999,Transport!$C64)/SUMIFS(BY_TRA!AK$2:AK$999,BY_TRA!$BJ$2:$BJ$999,Transport!$B64),0)</f>
        <v>0.085093542546770998</v>
      </c>
      <c r="AD64" s="5">
        <f>IFERROR(SUMIFS(BY_TRA!AL$2:AL$999,BY_TRA!$BJ$2:$BJ$999,Transport!$B64,BY_TRA!$BK$2:$BK$999,Transport!$C64)/SUMIFS(BY_TRA!AL$2:AL$999,BY_TRA!$BJ$2:$BJ$999,Transport!$B64),0)</f>
        <v>0</v>
      </c>
      <c r="AE64" s="5">
        <f>IFERROR(SUMIFS(BY_TRA!AM$2:AM$999,BY_TRA!$BJ$2:$BJ$999,Transport!$B64,BY_TRA!$BK$2:$BK$999,Transport!$C64)/SUMIFS(BY_TRA!AM$2:AM$999,BY_TRA!$BJ$2:$BJ$999,Transport!$B64),0)</f>
        <v>0.0033613445378151315</v>
      </c>
      <c r="AF64" s="5">
        <f>IFERROR(SUMIFS(BY_TRA!AN$2:AN$999,BY_TRA!$BJ$2:$BJ$999,Transport!$B64,BY_TRA!$BK$2:$BK$999,Transport!$C64)/SUMIFS(BY_TRA!AN$2:AN$999,BY_TRA!$BJ$2:$BJ$999,Transport!$B64),0)</f>
        <v>0.011205737337516803</v>
      </c>
      <c r="AG64" s="5">
        <f>IFERROR(SUMIFS(BY_TRA!AO$2:AO$999,BY_TRA!$BJ$2:$BJ$999,Transport!$B64,BY_TRA!$BK$2:$BK$999,Transport!$C64)/SUMIFS(BY_TRA!AO$2:AO$999,BY_TRA!$BJ$2:$BJ$999,Transport!$B64),0)</f>
        <v>0</v>
      </c>
      <c r="AH64" s="5">
        <f>IFERROR(SUMIFS(BY_TRA!AP$2:AP$999,BY_TRA!$BJ$2:$BJ$999,Transport!$B64,BY_TRA!$BK$2:$BK$999,Transport!$C64)/SUMIFS(BY_TRA!AP$2:AP$999,BY_TRA!$BJ$2:$BJ$999,Transport!$B64),0)</f>
        <v>0</v>
      </c>
      <c r="AI64" s="5">
        <f>IFERROR(SUMIFS(BY_TRA!AQ$2:AQ$999,BY_TRA!$BJ$2:$BJ$999,Transport!$B64,BY_TRA!$BK$2:$BK$999,Transport!$C64)/SUMIFS(BY_TRA!AQ$2:AQ$999,BY_TRA!$BJ$2:$BJ$999,Transport!$B64),0)</f>
        <v>0.28182356423919469</v>
      </c>
      <c r="AJ64" s="5">
        <f>IFERROR(SUMIFS(BY_TRA!AR$2:AR$999,BY_TRA!$BJ$2:$BJ$999,Transport!$B64,BY_TRA!$BK$2:$BK$999,Transport!$C64)/SUMIFS(BY_TRA!AR$2:AR$999,BY_TRA!$BJ$2:$BJ$999,Transport!$B64),0)</f>
        <v>0.0058823529411764887</v>
      </c>
      <c r="AK64" s="5">
        <f>IFERROR(SUMIFS(BY_TRA!AS$2:AS$999,BY_TRA!$BJ$2:$BJ$999,Transport!$B64,BY_TRA!$BK$2:$BK$999,Transport!$C64)/SUMIFS(BY_TRA!AS$2:AS$999,BY_TRA!$BJ$2:$BJ$999,Transport!$B64),0)</f>
        <v>0.58002936857562437</v>
      </c>
      <c r="AL64" s="5">
        <f>IFERROR(SUMIFS(BY_TRA!AT$2:AT$999,BY_TRA!$BJ$2:$BJ$999,Transport!$B64,BY_TRA!$BK$2:$BK$999,Transport!$C64)/SUMIFS(BY_TRA!AT$2:AT$999,BY_TRA!$BJ$2:$BJ$999,Transport!$B64),0)</f>
        <v>0.17232375979112274</v>
      </c>
      <c r="AM64" s="5">
        <f>IFERROR(SUMIFS(BY_TRA!AU$2:AU$999,BY_TRA!$BJ$2:$BJ$999,Transport!$B64,BY_TRA!$BK$2:$BK$999,Transport!$C64)/SUMIFS(BY_TRA!AU$2:AU$999,BY_TRA!$BJ$2:$BJ$999,Transport!$B64),0)</f>
        <v>0</v>
      </c>
      <c r="AN64" s="5">
        <f>IFERROR(SUMIFS(BY_TRA!AV$2:AV$999,BY_TRA!$BJ$2:$BJ$999,Transport!$B64,BY_TRA!$BK$2:$BK$999,Transport!$C64)/SUMIFS(BY_TRA!AV$2:AV$999,BY_TRA!$BJ$2:$BJ$999,Transport!$B64),0)</f>
        <v>0</v>
      </c>
      <c r="AO64" s="5">
        <f>IFERROR(SUMIFS(BY_TRA!AW$2:AW$999,BY_TRA!$BJ$2:$BJ$999,Transport!$B64,BY_TRA!$BK$2:$BK$999,Transport!$C64)/SUMIFS(BY_TRA!AW$2:AW$999,BY_TRA!$BJ$2:$BJ$999,Transport!$B64),0)</f>
        <v>0</v>
      </c>
      <c r="AP64" s="5">
        <f>IFERROR(SUMIFS(BY_TRA!AX$2:AX$999,BY_TRA!$BJ$2:$BJ$999,Transport!$B64,BY_TRA!$BK$2:$BK$999,Transport!$C64)/SUMIFS(BY_TRA!AX$2:AX$999,BY_TRA!$BJ$2:$BJ$999,Transport!$B64),0)</f>
        <v>0</v>
      </c>
      <c r="AQ64" s="5">
        <f>IFERROR(SUMIFS(BY_TRA!AY$2:AY$999,BY_TRA!$BJ$2:$BJ$999,Transport!$B64,BY_TRA!$BK$2:$BK$999,Transport!$C64)/SUMIFS(BY_TRA!AY$2:AY$999,BY_TRA!$BJ$2:$BJ$999,Transport!$B64),0)</f>
        <v>0</v>
      </c>
      <c r="AR64" s="5">
        <f>IFERROR(SUMIFS(BY_TRA!AZ$2:AZ$999,BY_TRA!$BJ$2:$BJ$999,Transport!$B64,BY_TRA!$BK$2:$BK$999,Transport!$C64)/SUMIFS(BY_TRA!AZ$2:AZ$999,BY_TRA!$BJ$2:$BJ$999,Transport!$B64),0)</f>
        <v>0</v>
      </c>
      <c r="AS64" s="5">
        <f>IFERROR(SUMIFS(BY_TRA!BA$2:BA$999,BY_TRA!$BJ$2:$BJ$999,Transport!$B64,BY_TRA!$BK$2:$BK$999,Transport!$C64)/SUMIFS(BY_TRA!BA$2:BA$999,BY_TRA!$BJ$2:$BJ$999,Transport!$B64),0)</f>
        <v>0</v>
      </c>
      <c r="AT64" s="5">
        <f>IFERROR(SUMIFS(BY_TRA!BB$2:BB$999,BY_TRA!$BJ$2:$BJ$999,Transport!$B64,BY_TRA!$BK$2:$BK$999,Transport!$C64)/SUMIFS(BY_TRA!BB$2:BB$999,BY_TRA!$BJ$2:$BJ$999,Transport!$B64),0)</f>
        <v>0</v>
      </c>
      <c r="AU64" s="5">
        <f>IFERROR(SUMIFS(BY_TRA!BC$2:BC$999,BY_TRA!$BJ$2:$BJ$999,Transport!$B64,BY_TRA!$BK$2:$BK$999,Transport!$C64)/SUMIFS(BY_TRA!BC$2:BC$999,BY_TRA!$BJ$2:$BJ$999,Transport!$B64),0)</f>
        <v>0</v>
      </c>
      <c r="AV64" s="5">
        <f>IFERROR(SUMIFS(BY_TRA!BD$2:BD$999,BY_TRA!$BJ$2:$BJ$999,Transport!$B64,BY_TRA!$BK$2:$BK$999,Transport!$C64)/SUMIFS(BY_TRA!BD$2:BD$999,BY_TRA!$BJ$2:$BJ$999,Transport!$B64),0)</f>
        <v>0</v>
      </c>
      <c r="AW64" s="5">
        <f>IFERROR(SUMIFS(BY_TRA!BE$2:BE$999,BY_TRA!$BJ$2:$BJ$999,Transport!$B64,BY_TRA!$BK$2:$BK$999,Transport!$C64)/SUMIFS(BY_TRA!BE$2:BE$999,BY_TRA!$BJ$2:$BJ$999,Transport!$B64),0)</f>
        <v>0</v>
      </c>
      <c r="AX64" s="5">
        <f>IFERROR(SUMIFS(BY_TRA!BF$2:BF$999,BY_TRA!$BJ$2:$BJ$999,Transport!$B64,BY_TRA!$BK$2:$BK$999,Transport!$C64)/SUMIFS(BY_TRA!BF$2:BF$999,BY_TRA!$BJ$2:$BJ$999,Transport!$B64),0)</f>
        <v>0</v>
      </c>
      <c r="AY64" s="5">
        <f>IFERROR(SUMIFS(BY_TRA!BG$2:BG$999,BY_TRA!$BJ$2:$BJ$999,Transport!$B64,BY_TRA!$BK$2:$BK$999,Transport!$C64)/SUMIFS(BY_TRA!BG$2:BG$999,BY_TRA!$BJ$2:$BJ$999,Transport!$B64),0)</f>
        <v>0</v>
      </c>
    </row>
    <row r="65" spans="2:51" ht="14.5">
      <c r="B65" t="s">
        <v>185</v>
      </c>
      <c r="C65" s="6" t="s">
        <v>182</v>
      </c>
      <c r="D65" s="5">
        <f>IFERROR(SUMIFS(BY_TRA!L$2:L$999,BY_TRA!$BJ$2:$BJ$999,Transport!$B65,BY_TRA!$BK$2:$BK$999,Transport!$C65)/SUMIFS(BY_TRA!L$2:L$999,BY_TRA!$BJ$2:$BJ$999,Transport!$B65),0)</f>
        <v>0.012153621779290217</v>
      </c>
      <c r="E65" s="5">
        <f>IFERROR(SUMIFS(BY_TRA!M$2:M$999,BY_TRA!$BJ$2:$BJ$999,Transport!$B65,BY_TRA!$BK$2:$BK$999,Transport!$C65)/SUMIFS(BY_TRA!M$2:M$999,BY_TRA!$BJ$2:$BJ$999,Transport!$B65),0)</f>
        <v>0</v>
      </c>
      <c r="F65" s="5">
        <f>IFERROR(SUMIFS(BY_TRA!N$2:N$999,BY_TRA!$BJ$2:$BJ$999,Transport!$B65,BY_TRA!$BK$2:$BK$999,Transport!$C65)/SUMIFS(BY_TRA!N$2:N$999,BY_TRA!$BJ$2:$BJ$999,Transport!$B65),0)</f>
        <v>0.002493765586034914</v>
      </c>
      <c r="G65" s="5">
        <f>IFERROR(SUMIFS(BY_TRA!O$2:O$999,BY_TRA!$BJ$2:$BJ$999,Transport!$B65,BY_TRA!$BK$2:$BK$999,Transport!$C65)/SUMIFS(BY_TRA!O$2:O$999,BY_TRA!$BJ$2:$BJ$999,Transport!$B65),0)</f>
        <v>0</v>
      </c>
      <c r="H65" s="5">
        <f>IFERROR(SUMIFS(BY_TRA!P$2:P$999,BY_TRA!$BJ$2:$BJ$999,Transport!$B65,BY_TRA!$BK$2:$BK$999,Transport!$C65)/SUMIFS(BY_TRA!P$2:P$999,BY_TRA!$BJ$2:$BJ$999,Transport!$B65),0)</f>
        <v>0.010416666666666666</v>
      </c>
      <c r="I65" s="5">
        <f>IFERROR(SUMIFS(BY_TRA!Q$2:Q$999,BY_TRA!$BJ$2:$BJ$999,Transport!$B65,BY_TRA!$BK$2:$BK$999,Transport!$C65)/SUMIFS(BY_TRA!Q$2:Q$999,BY_TRA!$BJ$2:$BJ$999,Transport!$B65),0)</f>
        <v>0</v>
      </c>
      <c r="J65" s="5">
        <f>IFERROR(SUMIFS(BY_TRA!R$2:R$999,BY_TRA!$BJ$2:$BJ$999,Transport!$B65,BY_TRA!$BK$2:$BK$999,Transport!$C65)/SUMIFS(BY_TRA!R$2:R$999,BY_TRA!$BJ$2:$BJ$999,Transport!$B65),0)</f>
        <v>0.056366585563665819</v>
      </c>
      <c r="K65" s="5">
        <f>IFERROR(SUMIFS(BY_TRA!S$2:S$999,BY_TRA!$BJ$2:$BJ$999,Transport!$B65,BY_TRA!$BK$2:$BK$999,Transport!$C65)/SUMIFS(BY_TRA!S$2:S$999,BY_TRA!$BJ$2:$BJ$999,Transport!$B65),0)</f>
        <v>0.10810810810810816</v>
      </c>
      <c r="L65" s="5">
        <f>IFERROR(SUMIFS(BY_TRA!T$2:T$999,BY_TRA!$BJ$2:$BJ$999,Transport!$B65,BY_TRA!$BK$2:$BK$999,Transport!$C65)/SUMIFS(BY_TRA!T$2:T$999,BY_TRA!$BJ$2:$BJ$999,Transport!$B65),0)</f>
        <v>0</v>
      </c>
      <c r="M65" s="5">
        <f>IFERROR(SUMIFS(BY_TRA!U$2:U$999,BY_TRA!$BJ$2:$BJ$999,Transport!$B65,BY_TRA!$BK$2:$BK$999,Transport!$C65)/SUMIFS(BY_TRA!U$2:U$999,BY_TRA!$BJ$2:$BJ$999,Transport!$B65),0)</f>
        <v>0</v>
      </c>
      <c r="N65" s="5">
        <f>IFERROR(SUMIFS(BY_TRA!V$2:V$999,BY_TRA!$BJ$2:$BJ$999,Transport!$B65,BY_TRA!$BK$2:$BK$999,Transport!$C65)/SUMIFS(BY_TRA!V$2:V$999,BY_TRA!$BJ$2:$BJ$999,Transport!$B65),0)</f>
        <v>0</v>
      </c>
      <c r="O65" s="5">
        <f>IFERROR(SUMIFS(BY_TRA!W$2:W$999,BY_TRA!$BJ$2:$BJ$999,Transport!$B65,BY_TRA!$BK$2:$BK$999,Transport!$C65)/SUMIFS(BY_TRA!W$2:W$999,BY_TRA!$BJ$2:$BJ$999,Transport!$B65),0)</f>
        <v>0</v>
      </c>
      <c r="P65" s="5">
        <f>IFERROR(SUMIFS(BY_TRA!X$2:X$999,BY_TRA!$BJ$2:$BJ$999,Transport!$B65,BY_TRA!$BK$2:$BK$999,Transport!$C65)/SUMIFS(BY_TRA!X$2:X$999,BY_TRA!$BJ$2:$BJ$999,Transport!$B65),0)</f>
        <v>0</v>
      </c>
      <c r="Q65" s="5">
        <f>IFERROR(SUMIFS(BY_TRA!Y$2:Y$999,BY_TRA!$BJ$2:$BJ$999,Transport!$B65,BY_TRA!$BK$2:$BK$999,Transport!$C65)/SUMIFS(BY_TRA!Y$2:Y$999,BY_TRA!$BJ$2:$BJ$999,Transport!$B65),0)</f>
        <v>0</v>
      </c>
      <c r="R65" s="5">
        <f>IFERROR(SUMIFS(BY_TRA!Z$2:Z$999,BY_TRA!$BJ$2:$BJ$999,Transport!$B65,BY_TRA!$BK$2:$BK$999,Transport!$C65)/SUMIFS(BY_TRA!Z$2:Z$999,BY_TRA!$BJ$2:$BJ$999,Transport!$B65),0)</f>
        <v>0</v>
      </c>
      <c r="S65" s="5">
        <f>IFERROR(SUMIFS(BY_TRA!AA$2:AA$999,BY_TRA!$BJ$2:$BJ$999,Transport!$B65,BY_TRA!$BK$2:$BK$999,Transport!$C65)/SUMIFS(BY_TRA!AA$2:AA$999,BY_TRA!$BJ$2:$BJ$999,Transport!$B65),0)</f>
        <v>0.033785285619026426</v>
      </c>
      <c r="T65" s="5">
        <f>IFERROR(SUMIFS(BY_TRA!AB$2:AB$999,BY_TRA!$BJ$2:$BJ$999,Transport!$B65,BY_TRA!$BK$2:$BK$999,Transport!$C65)/SUMIFS(BY_TRA!AB$2:AB$999,BY_TRA!$BJ$2:$BJ$999,Transport!$B65),0)</f>
        <v>0</v>
      </c>
      <c r="U65" s="5">
        <f>IFERROR(SUMIFS(BY_TRA!AC$2:AC$999,BY_TRA!$BJ$2:$BJ$999,Transport!$B65,BY_TRA!$BK$2:$BK$999,Transport!$C65)/SUMIFS(BY_TRA!AC$2:AC$999,BY_TRA!$BJ$2:$BJ$999,Transport!$B65),0)</f>
        <v>0</v>
      </c>
      <c r="V65" s="5">
        <f>IFERROR(SUMIFS(BY_TRA!AD$2:AD$999,BY_TRA!$BJ$2:$BJ$999,Transport!$B65,BY_TRA!$BK$2:$BK$999,Transport!$C65)/SUMIFS(BY_TRA!AD$2:AD$999,BY_TRA!$BJ$2:$BJ$999,Transport!$B65),0)</f>
        <v>0.00035038542396636222</v>
      </c>
      <c r="W65" s="5">
        <f>IFERROR(SUMIFS(BY_TRA!AE$2:AE$999,BY_TRA!$BJ$2:$BJ$999,Transport!$B65,BY_TRA!$BK$2:$BK$999,Transport!$C65)/SUMIFS(BY_TRA!AE$2:AE$999,BY_TRA!$BJ$2:$BJ$999,Transport!$B65),0)</f>
        <v>0.10441924129839639</v>
      </c>
      <c r="X65" s="5">
        <f>IFERROR(SUMIFS(BY_TRA!AF$2:AF$999,BY_TRA!$BJ$2:$BJ$999,Transport!$B65,BY_TRA!$BK$2:$BK$999,Transport!$C65)/SUMIFS(BY_TRA!AF$2:AF$999,BY_TRA!$BJ$2:$BJ$999,Transport!$B65),0)</f>
        <v>0</v>
      </c>
      <c r="Y65" s="5">
        <f>IFERROR(SUMIFS(BY_TRA!AG$2:AG$999,BY_TRA!$BJ$2:$BJ$999,Transport!$B65,BY_TRA!$BK$2:$BK$999,Transport!$C65)/SUMIFS(BY_TRA!AG$2:AG$999,BY_TRA!$BJ$2:$BJ$999,Transport!$B65),0)</f>
        <v>0.0003332345971563984</v>
      </c>
      <c r="Z65" s="5">
        <f>IFERROR(SUMIFS(BY_TRA!AH$2:AH$999,BY_TRA!$BJ$2:$BJ$999,Transport!$B65,BY_TRA!$BK$2:$BK$999,Transport!$C65)/SUMIFS(BY_TRA!AH$2:AH$999,BY_TRA!$BJ$2:$BJ$999,Transport!$B65),0)</f>
        <v>0</v>
      </c>
      <c r="AA65" s="5">
        <f>IFERROR(SUMIFS(BY_TRA!AI$2:AI$999,BY_TRA!$BJ$2:$BJ$999,Transport!$B65,BY_TRA!$BK$2:$BK$999,Transport!$C65)/SUMIFS(BY_TRA!AI$2:AI$999,BY_TRA!$BJ$2:$BJ$999,Transport!$B65),0)</f>
        <v>0</v>
      </c>
      <c r="AB65" s="5">
        <f>IFERROR(SUMIFS(BY_TRA!AJ$2:AJ$999,BY_TRA!$BJ$2:$BJ$999,Transport!$B65,BY_TRA!$BK$2:$BK$999,Transport!$C65)/SUMIFS(BY_TRA!AJ$2:AJ$999,BY_TRA!$BJ$2:$BJ$999,Transport!$B65),0)</f>
        <v>0.022085889570552127</v>
      </c>
      <c r="AC65" s="5">
        <f>IFERROR(SUMIFS(BY_TRA!AK$2:AK$999,BY_TRA!$BJ$2:$BJ$999,Transport!$B65,BY_TRA!$BK$2:$BK$999,Transport!$C65)/SUMIFS(BY_TRA!AK$2:AK$999,BY_TRA!$BJ$2:$BJ$999,Transport!$B65),0)</f>
        <v>0.0066385033192516386</v>
      </c>
      <c r="AD65" s="5">
        <f>IFERROR(SUMIFS(BY_TRA!AL$2:AL$999,BY_TRA!$BJ$2:$BJ$999,Transport!$B65,BY_TRA!$BK$2:$BK$999,Transport!$C65)/SUMIFS(BY_TRA!AL$2:AL$999,BY_TRA!$BJ$2:$BJ$999,Transport!$B65),0)</f>
        <v>0</v>
      </c>
      <c r="AE65" s="5">
        <f>IFERROR(SUMIFS(BY_TRA!AM$2:AM$999,BY_TRA!$BJ$2:$BJ$999,Transport!$B65,BY_TRA!$BK$2:$BK$999,Transport!$C65)/SUMIFS(BY_TRA!AM$2:AM$999,BY_TRA!$BJ$2:$BJ$999,Transport!$B65),0)</f>
        <v>0</v>
      </c>
      <c r="AF65" s="5">
        <f>IFERROR(SUMIFS(BY_TRA!AN$2:AN$999,BY_TRA!$BJ$2:$BJ$999,Transport!$B65,BY_TRA!$BK$2:$BK$999,Transport!$C65)/SUMIFS(BY_TRA!AN$2:AN$999,BY_TRA!$BJ$2:$BJ$999,Transport!$B65),0)</f>
        <v>0</v>
      </c>
      <c r="AG65" s="5">
        <f>IFERROR(SUMIFS(BY_TRA!AO$2:AO$999,BY_TRA!$BJ$2:$BJ$999,Transport!$B65,BY_TRA!$BK$2:$BK$999,Transport!$C65)/SUMIFS(BY_TRA!AO$2:AO$999,BY_TRA!$BJ$2:$BJ$999,Transport!$B65),0)</f>
        <v>0</v>
      </c>
      <c r="AH65" s="5">
        <f>IFERROR(SUMIFS(BY_TRA!AP$2:AP$999,BY_TRA!$BJ$2:$BJ$999,Transport!$B65,BY_TRA!$BK$2:$BK$999,Transport!$C65)/SUMIFS(BY_TRA!AP$2:AP$999,BY_TRA!$BJ$2:$BJ$999,Transport!$B65),0)</f>
        <v>0</v>
      </c>
      <c r="AI65" s="5">
        <f>IFERROR(SUMIFS(BY_TRA!AQ$2:AQ$999,BY_TRA!$BJ$2:$BJ$999,Transport!$B65,BY_TRA!$BK$2:$BK$999,Transport!$C65)/SUMIFS(BY_TRA!AQ$2:AQ$999,BY_TRA!$BJ$2:$BJ$999,Transport!$B65),0)</f>
        <v>0</v>
      </c>
      <c r="AJ65" s="5">
        <f>IFERROR(SUMIFS(BY_TRA!AR$2:AR$999,BY_TRA!$BJ$2:$BJ$999,Transport!$B65,BY_TRA!$BK$2:$BK$999,Transport!$C65)/SUMIFS(BY_TRA!AR$2:AR$999,BY_TRA!$BJ$2:$BJ$999,Transport!$B65),0)</f>
        <v>0</v>
      </c>
      <c r="AK65" s="5">
        <f>IFERROR(SUMIFS(BY_TRA!AS$2:AS$999,BY_TRA!$BJ$2:$BJ$999,Transport!$B65,BY_TRA!$BK$2:$BK$999,Transport!$C65)/SUMIFS(BY_TRA!AS$2:AS$999,BY_TRA!$BJ$2:$BJ$999,Transport!$B65),0)</f>
        <v>0.0044052863436123369</v>
      </c>
      <c r="AL65" s="5">
        <f>IFERROR(SUMIFS(BY_TRA!AT$2:AT$999,BY_TRA!$BJ$2:$BJ$999,Transport!$B65,BY_TRA!$BK$2:$BK$999,Transport!$C65)/SUMIFS(BY_TRA!AT$2:AT$999,BY_TRA!$BJ$2:$BJ$999,Transport!$B65),0)</f>
        <v>0</v>
      </c>
      <c r="AM65" s="5">
        <f>IFERROR(SUMIFS(BY_TRA!AU$2:AU$999,BY_TRA!$BJ$2:$BJ$999,Transport!$B65,BY_TRA!$BK$2:$BK$999,Transport!$C65)/SUMIFS(BY_TRA!AU$2:AU$999,BY_TRA!$BJ$2:$BJ$999,Transport!$B65),0)</f>
        <v>0</v>
      </c>
      <c r="AN65" s="5">
        <f>IFERROR(SUMIFS(BY_TRA!AV$2:AV$999,BY_TRA!$BJ$2:$BJ$999,Transport!$B65,BY_TRA!$BK$2:$BK$999,Transport!$C65)/SUMIFS(BY_TRA!AV$2:AV$999,BY_TRA!$BJ$2:$BJ$999,Transport!$B65),0)</f>
        <v>0</v>
      </c>
      <c r="AO65" s="5">
        <f>IFERROR(SUMIFS(BY_TRA!AW$2:AW$999,BY_TRA!$BJ$2:$BJ$999,Transport!$B65,BY_TRA!$BK$2:$BK$999,Transport!$C65)/SUMIFS(BY_TRA!AW$2:AW$999,BY_TRA!$BJ$2:$BJ$999,Transport!$B65),0)</f>
        <v>0</v>
      </c>
      <c r="AP65" s="5">
        <f>IFERROR(SUMIFS(BY_TRA!AX$2:AX$999,BY_TRA!$BJ$2:$BJ$999,Transport!$B65,BY_TRA!$BK$2:$BK$999,Transport!$C65)/SUMIFS(BY_TRA!AX$2:AX$999,BY_TRA!$BJ$2:$BJ$999,Transport!$B65),0)</f>
        <v>0</v>
      </c>
      <c r="AQ65" s="5">
        <f>IFERROR(SUMIFS(BY_TRA!AY$2:AY$999,BY_TRA!$BJ$2:$BJ$999,Transport!$B65,BY_TRA!$BK$2:$BK$999,Transport!$C65)/SUMIFS(BY_TRA!AY$2:AY$999,BY_TRA!$BJ$2:$BJ$999,Transport!$B65),0)</f>
        <v>0</v>
      </c>
      <c r="AR65" s="5">
        <f>IFERROR(SUMIFS(BY_TRA!AZ$2:AZ$999,BY_TRA!$BJ$2:$BJ$999,Transport!$B65,BY_TRA!$BK$2:$BK$999,Transport!$C65)/SUMIFS(BY_TRA!AZ$2:AZ$999,BY_TRA!$BJ$2:$BJ$999,Transport!$B65),0)</f>
        <v>0</v>
      </c>
      <c r="AS65" s="5">
        <f>IFERROR(SUMIFS(BY_TRA!BA$2:BA$999,BY_TRA!$BJ$2:$BJ$999,Transport!$B65,BY_TRA!$BK$2:$BK$999,Transport!$C65)/SUMIFS(BY_TRA!BA$2:BA$999,BY_TRA!$BJ$2:$BJ$999,Transport!$B65),0)</f>
        <v>0</v>
      </c>
      <c r="AT65" s="5">
        <f>IFERROR(SUMIFS(BY_TRA!BB$2:BB$999,BY_TRA!$BJ$2:$BJ$999,Transport!$B65,BY_TRA!$BK$2:$BK$999,Transport!$C65)/SUMIFS(BY_TRA!BB$2:BB$999,BY_TRA!$BJ$2:$BJ$999,Transport!$B65),0)</f>
        <v>0</v>
      </c>
      <c r="AU65" s="5">
        <f>IFERROR(SUMIFS(BY_TRA!BC$2:BC$999,BY_TRA!$BJ$2:$BJ$999,Transport!$B65,BY_TRA!$BK$2:$BK$999,Transport!$C65)/SUMIFS(BY_TRA!BC$2:BC$999,BY_TRA!$BJ$2:$BJ$999,Transport!$B65),0)</f>
        <v>0</v>
      </c>
      <c r="AV65" s="5">
        <f>IFERROR(SUMIFS(BY_TRA!BD$2:BD$999,BY_TRA!$BJ$2:$BJ$999,Transport!$B65,BY_TRA!$BK$2:$BK$999,Transport!$C65)/SUMIFS(BY_TRA!BD$2:BD$999,BY_TRA!$BJ$2:$BJ$999,Transport!$B65),0)</f>
        <v>0</v>
      </c>
      <c r="AW65" s="5">
        <f>IFERROR(SUMIFS(BY_TRA!BE$2:BE$999,BY_TRA!$BJ$2:$BJ$999,Transport!$B65,BY_TRA!$BK$2:$BK$999,Transport!$C65)/SUMIFS(BY_TRA!BE$2:BE$999,BY_TRA!$BJ$2:$BJ$999,Transport!$B65),0)</f>
        <v>0</v>
      </c>
      <c r="AX65" s="5">
        <f>IFERROR(SUMIFS(BY_TRA!BF$2:BF$999,BY_TRA!$BJ$2:$BJ$999,Transport!$B65,BY_TRA!$BK$2:$BK$999,Transport!$C65)/SUMIFS(BY_TRA!BF$2:BF$999,BY_TRA!$BJ$2:$BJ$999,Transport!$B65),0)</f>
        <v>0</v>
      </c>
      <c r="AY65" s="5">
        <f>IFERROR(SUMIFS(BY_TRA!BG$2:BG$999,BY_TRA!$BJ$2:$BJ$999,Transport!$B65,BY_TRA!$BK$2:$BK$999,Transport!$C65)/SUMIFS(BY_TRA!BG$2:BG$999,BY_TRA!$BJ$2:$BJ$999,Transport!$B65),0)</f>
        <v>0</v>
      </c>
    </row>
    <row r="67" spans="1:1" ht="14.5">
      <c r="A67" s="7" t="s">
        <v>186</v>
      </c>
    </row>
    <row r="69" spans="1:56" ht="14.5">
      <c r="A69" t="s">
        <v>187</v>
      </c>
      <c r="B69" t="s">
        <v>164</v>
      </c>
      <c r="C69" t="s">
        <v>169</v>
      </c>
      <c r="D69" t="str">
        <f>D33</f>
        <v>Africa_North</v>
      </c>
      <c r="E69" t="str">
        <f t="shared" si="6" ref="E69:AW69">E33</f>
        <v>Africa_Other</v>
      </c>
      <c r="F69" t="str">
        <f t="shared" si="6"/>
        <v>Australia</v>
      </c>
      <c r="G69" t="str">
        <f t="shared" si="6"/>
        <v>Austria</v>
      </c>
      <c r="H69" t="str">
        <f t="shared" si="6"/>
        <v>Baltics</v>
      </c>
      <c r="I69" t="str">
        <f t="shared" si="6"/>
        <v>BeNeLux</v>
      </c>
      <c r="J69" t="str">
        <f t="shared" si="6"/>
        <v>Brazil</v>
      </c>
      <c r="K69" t="str">
        <f t="shared" si="6"/>
        <v>China</v>
      </c>
      <c r="L69" t="str">
        <f t="shared" si="6"/>
        <v>CroSloven</v>
      </c>
      <c r="M69" t="str">
        <f t="shared" si="6"/>
        <v>CzechSlovak</v>
      </c>
      <c r="N69" t="str">
        <f t="shared" si="6"/>
        <v>France</v>
      </c>
      <c r="O69" t="str">
        <f t="shared" si="6"/>
        <v>Germany</v>
      </c>
      <c r="P69" t="str">
        <f t="shared" si="6"/>
        <v>GreeceCyp</v>
      </c>
      <c r="Q69" t="str">
        <f t="shared" si="6"/>
        <v>HunRomBul</v>
      </c>
      <c r="R69" t="str">
        <f t="shared" si="6"/>
        <v>Iceland</v>
      </c>
      <c r="S69" t="str">
        <f t="shared" si="6"/>
        <v>India</v>
      </c>
      <c r="T69" t="str">
        <f t="shared" si="6"/>
        <v>Ireland</v>
      </c>
      <c r="U69" t="str">
        <f t="shared" si="6"/>
        <v>ItalyMal</v>
      </c>
      <c r="V69" t="str">
        <f t="shared" si="6"/>
        <v>Japan</v>
      </c>
      <c r="W69" t="str">
        <f t="shared" si="6"/>
        <v>LatAm</v>
      </c>
      <c r="X69" t="str">
        <f t="shared" si="6"/>
        <v>MidEast</v>
      </c>
      <c r="Y69" t="str">
        <f t="shared" si="6"/>
        <v>NorthAm</v>
      </c>
      <c r="Z69" t="str">
        <f t="shared" si="6"/>
        <v>Norway</v>
      </c>
      <c r="AA69" t="str">
        <f t="shared" si="6"/>
        <v>Poland</v>
      </c>
      <c r="AB69" t="str">
        <f t="shared" si="6"/>
        <v>ROW</v>
      </c>
      <c r="AC69" t="str">
        <f t="shared" si="6"/>
        <v>Russia</v>
      </c>
      <c r="AD69" t="str">
        <f t="shared" si="6"/>
        <v>SaudiArabia</v>
      </c>
      <c r="AE69" t="str">
        <f t="shared" si="6"/>
        <v>SouthAfrica</v>
      </c>
      <c r="AF69" t="str">
        <f t="shared" si="6"/>
        <v>SpainPor</v>
      </c>
      <c r="AG69" t="str">
        <f t="shared" si="6"/>
        <v>SweFinDen</v>
      </c>
      <c r="AH69" t="str">
        <f t="shared" si="6"/>
        <v>Switzerland</v>
      </c>
      <c r="AI69" t="str">
        <f t="shared" si="6"/>
        <v>Turkey</v>
      </c>
      <c r="AJ69" t="str">
        <f t="shared" si="6"/>
        <v>UK</v>
      </c>
      <c r="AK69" t="str">
        <f t="shared" si="6"/>
        <v>Ukraine</v>
      </c>
      <c r="AL69" t="str">
        <f t="shared" si="6"/>
        <v>WestBalkans</v>
      </c>
      <c r="AM69" t="str">
        <f t="shared" si="6"/>
        <v>year2</v>
      </c>
      <c r="AN69" t="str">
        <f t="shared" si="6"/>
        <v>\I:</v>
      </c>
      <c r="AO69" t="str">
        <f t="shared" si="6"/>
        <v>\I:</v>
      </c>
      <c r="AP69" t="str">
        <f t="shared" si="6"/>
        <v>\I:</v>
      </c>
      <c r="AQ69" t="str">
        <f t="shared" si="6"/>
        <v>\I:</v>
      </c>
      <c r="AR69" t="str">
        <f t="shared" si="6"/>
        <v>\I:</v>
      </c>
      <c r="AS69" t="str">
        <f t="shared" si="6"/>
        <v>\I:</v>
      </c>
      <c r="AT69" t="str">
        <f t="shared" si="6"/>
        <v>\I:</v>
      </c>
      <c r="AU69" t="str">
        <f t="shared" si="6"/>
        <v>\I:</v>
      </c>
      <c r="AV69" t="str">
        <f t="shared" si="6"/>
        <v>\I:</v>
      </c>
      <c r="AW69" t="str">
        <f t="shared" si="6"/>
        <v>\I:</v>
      </c>
      <c r="AX69" t="str">
        <f t="shared" si="7" ref="AX69:BA69">AX33</f>
        <v>\I:</v>
      </c>
      <c r="AY69" t="str">
        <f t="shared" si="7"/>
        <v>\I:</v>
      </c>
      <c r="AZ69" t="str">
        <f t="shared" si="7"/>
        <v>\I:</v>
      </c>
      <c r="BA69" t="str">
        <f t="shared" si="7"/>
        <v>\I:</v>
      </c>
      <c r="BB69" t="s">
        <v>188</v>
      </c>
      <c r="BC69" t="s">
        <v>189</v>
      </c>
      <c r="BD69" t="s">
        <v>190</v>
      </c>
    </row>
    <row r="70" spans="1:58" ht="14.5">
      <c r="A70">
        <v>2025</v>
      </c>
      <c r="B70" t="str">
        <f>"Trd_"&amp;B46</f>
        <v>Trd_bus</v>
      </c>
      <c r="C70" t="str">
        <f>"*"&amp;C46</f>
        <v>*nga</v>
      </c>
      <c r="D70" s="5">
        <f t="shared" si="8" ref="D70">D46*$BF70</f>
        <v>0.030677290836653395</v>
      </c>
      <c r="E70" s="5">
        <f t="shared" si="9" ref="E70:AW70">E46*$BF70</f>
        <v>0</v>
      </c>
      <c r="F70" s="5">
        <f t="shared" si="9"/>
        <v>0.01617647058823533</v>
      </c>
      <c r="G70" s="5">
        <f t="shared" si="9"/>
        <v>0</v>
      </c>
      <c r="H70" s="5">
        <f t="shared" si="9"/>
        <v>0</v>
      </c>
      <c r="I70" s="5">
        <f t="shared" si="9"/>
        <v>0.043137254901960777</v>
      </c>
      <c r="J70" s="5">
        <f t="shared" si="9"/>
        <v>0.1031982942430702</v>
      </c>
      <c r="K70" s="5">
        <f t="shared" si="9"/>
        <v>0.2469562955254942</v>
      </c>
      <c r="L70" s="5">
        <f t="shared" si="9"/>
        <v>0.047826086956521706</v>
      </c>
      <c r="M70" s="5">
        <f t="shared" si="9"/>
        <v>0.11578947368421036</v>
      </c>
      <c r="N70" s="5">
        <f t="shared" si="9"/>
        <v>0.036666666666666646</v>
      </c>
      <c r="O70" s="5">
        <f t="shared" si="9"/>
        <v>0.042968749999999993</v>
      </c>
      <c r="P70" s="5">
        <f t="shared" si="9"/>
        <v>0</v>
      </c>
      <c r="Q70" s="5">
        <f t="shared" si="9"/>
        <v>0.091666666666666452</v>
      </c>
      <c r="R70" s="5">
        <f t="shared" si="9"/>
        <v>0</v>
      </c>
      <c r="S70" s="5">
        <f t="shared" si="9"/>
        <v>0.13126734505087884</v>
      </c>
      <c r="T70" s="5">
        <f t="shared" si="9"/>
        <v>0</v>
      </c>
      <c r="U70" s="5">
        <f t="shared" si="9"/>
        <v>0.23960396039603973</v>
      </c>
      <c r="V70" s="5">
        <f t="shared" si="9"/>
        <v>0</v>
      </c>
      <c r="W70" s="5">
        <f t="shared" si="9"/>
        <v>0.19519832985386232</v>
      </c>
      <c r="X70" s="5">
        <f t="shared" si="9"/>
        <v>0.2860738255033563</v>
      </c>
      <c r="Y70" s="5">
        <f t="shared" si="9"/>
        <v>0</v>
      </c>
      <c r="Z70" s="5">
        <f t="shared" si="9"/>
        <v>0.12222222222222243</v>
      </c>
      <c r="AA70" s="5">
        <f t="shared" si="9"/>
        <v>0.009999999999999995</v>
      </c>
      <c r="AB70" s="5">
        <f t="shared" si="9"/>
        <v>0.036052439912600161</v>
      </c>
      <c r="AC70" s="5">
        <f t="shared" si="9"/>
        <v>0</v>
      </c>
      <c r="AD70" s="5">
        <f t="shared" si="9"/>
        <v>0</v>
      </c>
      <c r="AE70" s="5">
        <f t="shared" si="9"/>
        <v>0</v>
      </c>
      <c r="AF70" s="5">
        <f t="shared" si="9"/>
        <v>0.055</v>
      </c>
      <c r="AG70" s="5">
        <f t="shared" si="9"/>
        <v>0.089189189189189153</v>
      </c>
      <c r="AH70" s="5">
        <f t="shared" si="9"/>
        <v>0</v>
      </c>
      <c r="AI70" s="5">
        <f t="shared" si="9"/>
        <v>0.010891089108910922</v>
      </c>
      <c r="AJ70" s="5">
        <f t="shared" si="9"/>
        <v>0</v>
      </c>
      <c r="AK70" s="5">
        <f t="shared" si="9"/>
        <v>0</v>
      </c>
      <c r="AL70" s="5">
        <f t="shared" si="9"/>
        <v>0.037288135593220341</v>
      </c>
      <c r="AM70" s="5">
        <f t="shared" si="9"/>
        <v>0</v>
      </c>
      <c r="AN70" s="5">
        <f t="shared" si="9"/>
        <v>0</v>
      </c>
      <c r="AO70" s="5">
        <f t="shared" si="9"/>
        <v>0</v>
      </c>
      <c r="AP70" s="5">
        <f t="shared" si="9"/>
        <v>0</v>
      </c>
      <c r="AQ70" s="5">
        <f t="shared" si="9"/>
        <v>0</v>
      </c>
      <c r="AR70" s="5">
        <f t="shared" si="9"/>
        <v>0</v>
      </c>
      <c r="AS70" s="5">
        <f t="shared" si="9"/>
        <v>0</v>
      </c>
      <c r="AT70" s="5">
        <f t="shared" si="9"/>
        <v>0</v>
      </c>
      <c r="AU70" s="5">
        <f t="shared" si="9"/>
        <v>0</v>
      </c>
      <c r="AV70" s="5">
        <f t="shared" si="9"/>
        <v>0</v>
      </c>
      <c r="AW70" s="5">
        <f t="shared" si="9"/>
        <v>0</v>
      </c>
      <c r="AX70" s="5">
        <f t="shared" si="10" ref="AX70:BA70">AX46*$BF70</f>
        <v>0</v>
      </c>
      <c r="AY70" s="5">
        <f t="shared" si="10"/>
        <v>0</v>
      </c>
      <c r="AZ70" s="5">
        <f t="shared" si="10"/>
        <v>0</v>
      </c>
      <c r="BA70" s="5">
        <f t="shared" si="10"/>
        <v>0</v>
      </c>
      <c r="BB70" t="s">
        <v>191</v>
      </c>
      <c r="BC70" t="str">
        <f>B70</f>
        <v>Trd_bus</v>
      </c>
      <c r="BD70" t="s">
        <v>192</v>
      </c>
      <c r="BF70">
        <v>1.10</v>
      </c>
    </row>
    <row r="71" spans="1:58" ht="14.5">
      <c r="A71">
        <v>2025</v>
      </c>
      <c r="B71" t="str">
        <f>"Trd_"&amp;B53</f>
        <v>Trd_car</v>
      </c>
      <c r="C71" t="str">
        <f>"*"&amp;C53</f>
        <v>*nga</v>
      </c>
      <c r="D71" s="5">
        <f t="shared" si="11" ref="D71">D53*$BF71</f>
        <v>0.0093638914873713768</v>
      </c>
      <c r="E71" s="5">
        <f t="shared" si="12" ref="E71:AW71">E53*$BF71</f>
        <v>3.5605619214086854E-05</v>
      </c>
      <c r="F71" s="5">
        <f t="shared" si="12"/>
        <v>0.0015128214357648631</v>
      </c>
      <c r="G71" s="5">
        <f t="shared" si="12"/>
        <v>0.0040295040520509674</v>
      </c>
      <c r="H71" s="5">
        <f t="shared" si="12"/>
        <v>0.017988552739166008</v>
      </c>
      <c r="I71" s="5">
        <f t="shared" si="12"/>
        <v>0.0063133326181206775</v>
      </c>
      <c r="J71" s="5">
        <f t="shared" si="12"/>
        <v>0.042687801024882031</v>
      </c>
      <c r="K71" s="5">
        <f t="shared" si="12"/>
        <v>0.071696931027435684</v>
      </c>
      <c r="L71" s="5">
        <f t="shared" si="12"/>
        <v>0</v>
      </c>
      <c r="M71" s="5">
        <f t="shared" si="12"/>
        <v>0</v>
      </c>
      <c r="N71" s="5">
        <f t="shared" si="12"/>
        <v>0.0070451109037941812</v>
      </c>
      <c r="O71" s="5">
        <f t="shared" si="12"/>
        <v>0.0052479432368322254</v>
      </c>
      <c r="P71" s="5">
        <f t="shared" si="12"/>
        <v>0.0035296917790221178</v>
      </c>
      <c r="Q71" s="5">
        <f t="shared" si="12"/>
        <v>0</v>
      </c>
      <c r="R71" s="5">
        <f t="shared" si="12"/>
        <v>0.0073041454392539749</v>
      </c>
      <c r="S71" s="5">
        <f t="shared" si="12"/>
        <v>0.025597305713526693</v>
      </c>
      <c r="T71" s="5">
        <f t="shared" si="12"/>
        <v>0</v>
      </c>
      <c r="U71" s="5">
        <f t="shared" si="12"/>
        <v>0.04483377609231641</v>
      </c>
      <c r="V71" s="5">
        <f t="shared" si="12"/>
        <v>0.00091793728681138439</v>
      </c>
      <c r="W71" s="5">
        <f t="shared" si="12"/>
        <v>0.047686859985279648</v>
      </c>
      <c r="X71" s="5">
        <f t="shared" si="12"/>
        <v>0.098974188055503537</v>
      </c>
      <c r="Y71" s="5">
        <f t="shared" si="12"/>
        <v>0.0035475147211258187</v>
      </c>
      <c r="Z71" s="5">
        <f t="shared" si="12"/>
        <v>0.024244281030989762</v>
      </c>
      <c r="AA71" s="5">
        <f t="shared" si="12"/>
        <v>0</v>
      </c>
      <c r="AB71" s="5">
        <f t="shared" si="12"/>
        <v>0.099202733474100677</v>
      </c>
      <c r="AC71" s="5">
        <f t="shared" si="12"/>
        <v>0.0055342478115693464</v>
      </c>
      <c r="AD71" s="5">
        <f t="shared" si="12"/>
        <v>0</v>
      </c>
      <c r="AE71" s="5">
        <f t="shared" si="12"/>
        <v>0</v>
      </c>
      <c r="AF71" s="5">
        <f t="shared" si="12"/>
        <v>0.011378803356472988</v>
      </c>
      <c r="AG71" s="5">
        <f t="shared" si="12"/>
        <v>0.012442699672098255</v>
      </c>
      <c r="AH71" s="5">
        <f t="shared" si="12"/>
        <v>0.0031022960886229398</v>
      </c>
      <c r="AI71" s="5">
        <f t="shared" si="12"/>
        <v>0.0089525872956604455</v>
      </c>
      <c r="AJ71" s="5">
        <f t="shared" si="12"/>
        <v>0.00051693778081571078</v>
      </c>
      <c r="AK71" s="5">
        <f t="shared" si="12"/>
        <v>0.0085563944177533772</v>
      </c>
      <c r="AL71" s="5">
        <f t="shared" si="12"/>
        <v>0</v>
      </c>
      <c r="AM71" s="5">
        <f t="shared" si="12"/>
        <v>0</v>
      </c>
      <c r="AN71" s="5">
        <f t="shared" si="12"/>
        <v>0</v>
      </c>
      <c r="AO71" s="5">
        <f t="shared" si="12"/>
        <v>0</v>
      </c>
      <c r="AP71" s="5">
        <f t="shared" si="12"/>
        <v>0</v>
      </c>
      <c r="AQ71" s="5">
        <f t="shared" si="12"/>
        <v>0</v>
      </c>
      <c r="AR71" s="5">
        <f t="shared" si="12"/>
        <v>0</v>
      </c>
      <c r="AS71" s="5">
        <f t="shared" si="12"/>
        <v>0</v>
      </c>
      <c r="AT71" s="5">
        <f t="shared" si="12"/>
        <v>0</v>
      </c>
      <c r="AU71" s="5">
        <f t="shared" si="12"/>
        <v>0</v>
      </c>
      <c r="AV71" s="5">
        <f t="shared" si="12"/>
        <v>0</v>
      </c>
      <c r="AW71" s="5">
        <f t="shared" si="12"/>
        <v>0</v>
      </c>
      <c r="AX71" s="5">
        <f t="shared" si="13" ref="AX71:BA71">AX53*$BF71</f>
        <v>0</v>
      </c>
      <c r="AY71" s="5">
        <f t="shared" si="13"/>
        <v>0</v>
      </c>
      <c r="AZ71" s="5">
        <f t="shared" si="13"/>
        <v>0</v>
      </c>
      <c r="BA71" s="5">
        <f t="shared" si="13"/>
        <v>0</v>
      </c>
      <c r="BB71" t="s">
        <v>191</v>
      </c>
      <c r="BC71" t="str">
        <f t="shared" si="14" ref="BC71:BC80">B71</f>
        <v>Trd_car</v>
      </c>
      <c r="BD71" t="s">
        <v>192</v>
      </c>
      <c r="BF71">
        <v>1.10</v>
      </c>
    </row>
    <row r="72" spans="1:58" ht="14.5">
      <c r="A72">
        <v>2025</v>
      </c>
      <c r="B72" t="str">
        <f>"Trd_"&amp;B65</f>
        <v>Trd_lcv</v>
      </c>
      <c r="C72" t="str">
        <f>"*"&amp;C65</f>
        <v>*nga</v>
      </c>
      <c r="D72" s="5">
        <f>D65*$BF72</f>
        <v>0.013368983957219241</v>
      </c>
      <c r="E72" s="5">
        <f t="shared" si="15" ref="E72:AW72">E65*$BF72</f>
        <v>0</v>
      </c>
      <c r="F72" s="5">
        <f t="shared" si="15"/>
        <v>0.0027431421446384055</v>
      </c>
      <c r="G72" s="5">
        <f t="shared" si="15"/>
        <v>0</v>
      </c>
      <c r="H72" s="5">
        <f t="shared" si="15"/>
        <v>0.011458333333333334</v>
      </c>
      <c r="I72" s="5">
        <f t="shared" si="15"/>
        <v>0</v>
      </c>
      <c r="J72" s="5">
        <f t="shared" si="15"/>
        <v>0.062003244120032407</v>
      </c>
      <c r="K72" s="5">
        <f t="shared" si="15"/>
        <v>0.11891891891891898</v>
      </c>
      <c r="L72" s="5">
        <f t="shared" si="15"/>
        <v>0</v>
      </c>
      <c r="M72" s="5">
        <f t="shared" si="15"/>
        <v>0</v>
      </c>
      <c r="N72" s="5">
        <f t="shared" si="15"/>
        <v>0</v>
      </c>
      <c r="O72" s="5">
        <f t="shared" si="15"/>
        <v>0</v>
      </c>
      <c r="P72" s="5">
        <f t="shared" si="15"/>
        <v>0</v>
      </c>
      <c r="Q72" s="5">
        <f t="shared" si="15"/>
        <v>0</v>
      </c>
      <c r="R72" s="5">
        <f t="shared" si="15"/>
        <v>0</v>
      </c>
      <c r="S72" s="5">
        <f t="shared" si="15"/>
        <v>0.037163814180929074</v>
      </c>
      <c r="T72" s="5">
        <f t="shared" si="15"/>
        <v>0</v>
      </c>
      <c r="U72" s="5">
        <f t="shared" si="15"/>
        <v>0</v>
      </c>
      <c r="V72" s="5">
        <f t="shared" si="15"/>
        <v>0.00038542396636299849</v>
      </c>
      <c r="W72" s="5">
        <f t="shared" si="15"/>
        <v>0.11486116542823603</v>
      </c>
      <c r="X72" s="5">
        <f t="shared" si="15"/>
        <v>0</v>
      </c>
      <c r="Y72" s="5">
        <f t="shared" si="15"/>
        <v>0.00036655805687203828</v>
      </c>
      <c r="Z72" s="5">
        <f t="shared" si="15"/>
        <v>0</v>
      </c>
      <c r="AA72" s="5">
        <f t="shared" si="15"/>
        <v>0</v>
      </c>
      <c r="AB72" s="5">
        <f t="shared" si="15"/>
        <v>0.024294478527607341</v>
      </c>
      <c r="AC72" s="5">
        <f t="shared" si="15"/>
        <v>0.0073023536511768027</v>
      </c>
      <c r="AD72" s="5">
        <f t="shared" si="15"/>
        <v>0</v>
      </c>
      <c r="AE72" s="5">
        <f t="shared" si="15"/>
        <v>0</v>
      </c>
      <c r="AF72" s="5">
        <f t="shared" si="15"/>
        <v>0</v>
      </c>
      <c r="AG72" s="5">
        <f t="shared" si="15"/>
        <v>0</v>
      </c>
      <c r="AH72" s="5">
        <f t="shared" si="15"/>
        <v>0</v>
      </c>
      <c r="AI72" s="5">
        <f t="shared" si="15"/>
        <v>0</v>
      </c>
      <c r="AJ72" s="5">
        <f t="shared" si="15"/>
        <v>0</v>
      </c>
      <c r="AK72" s="5">
        <f t="shared" si="15"/>
        <v>0.0048458149779735714</v>
      </c>
      <c r="AL72" s="5">
        <f t="shared" si="15"/>
        <v>0</v>
      </c>
      <c r="AM72" s="5">
        <f t="shared" si="15"/>
        <v>0</v>
      </c>
      <c r="AN72" s="5">
        <f t="shared" si="15"/>
        <v>0</v>
      </c>
      <c r="AO72" s="5">
        <f t="shared" si="15"/>
        <v>0</v>
      </c>
      <c r="AP72" s="5">
        <f t="shared" si="15"/>
        <v>0</v>
      </c>
      <c r="AQ72" s="5">
        <f t="shared" si="15"/>
        <v>0</v>
      </c>
      <c r="AR72" s="5">
        <f t="shared" si="15"/>
        <v>0</v>
      </c>
      <c r="AS72" s="5">
        <f t="shared" si="15"/>
        <v>0</v>
      </c>
      <c r="AT72" s="5">
        <f t="shared" si="15"/>
        <v>0</v>
      </c>
      <c r="AU72" s="5">
        <f t="shared" si="15"/>
        <v>0</v>
      </c>
      <c r="AV72" s="5">
        <f t="shared" si="15"/>
        <v>0</v>
      </c>
      <c r="AW72" s="5">
        <f t="shared" si="15"/>
        <v>0</v>
      </c>
      <c r="AX72" s="5">
        <f t="shared" si="16" ref="AX72:BA72">AX65*$BF72</f>
        <v>0</v>
      </c>
      <c r="AY72" s="5">
        <f t="shared" si="16"/>
        <v>0</v>
      </c>
      <c r="AZ72" s="5">
        <f t="shared" si="16"/>
        <v>0</v>
      </c>
      <c r="BA72" s="5">
        <f t="shared" si="16"/>
        <v>0</v>
      </c>
      <c r="BB72" t="s">
        <v>191</v>
      </c>
      <c r="BC72" t="str">
        <f t="shared" si="14"/>
        <v>Trd_lcv</v>
      </c>
      <c r="BD72" t="s">
        <v>192</v>
      </c>
      <c r="BF72">
        <v>1.10</v>
      </c>
    </row>
    <row r="73" spans="1:58" ht="14.5">
      <c r="A73">
        <v>2025</v>
      </c>
      <c r="B73" t="str">
        <f>"Trd_"&amp;B58</f>
        <v>Trd_hdt</v>
      </c>
      <c r="C73" t="str">
        <f>"*"&amp;C58</f>
        <v>*nga</v>
      </c>
      <c r="D73" s="5">
        <f>D58*$BF73</f>
        <v>0</v>
      </c>
      <c r="E73" s="5">
        <f t="shared" si="17" ref="E73:BA73">E58*$BF73</f>
        <v>0</v>
      </c>
      <c r="F73" s="5">
        <f t="shared" si="17"/>
        <v>0</v>
      </c>
      <c r="G73" s="5">
        <f t="shared" si="17"/>
        <v>0</v>
      </c>
      <c r="H73" s="5">
        <f t="shared" si="17"/>
        <v>0</v>
      </c>
      <c r="I73" s="5">
        <f t="shared" si="17"/>
        <v>0</v>
      </c>
      <c r="J73" s="5">
        <f t="shared" si="17"/>
        <v>0</v>
      </c>
      <c r="K73" s="5">
        <f t="shared" si="17"/>
        <v>0</v>
      </c>
      <c r="L73" s="5">
        <f t="shared" si="17"/>
        <v>0</v>
      </c>
      <c r="M73" s="5">
        <f t="shared" si="17"/>
        <v>0</v>
      </c>
      <c r="N73" s="5">
        <f t="shared" si="17"/>
        <v>0</v>
      </c>
      <c r="O73" s="5">
        <f t="shared" si="17"/>
        <v>0</v>
      </c>
      <c r="P73" s="5">
        <f t="shared" si="17"/>
        <v>0</v>
      </c>
      <c r="Q73" s="5">
        <f t="shared" si="17"/>
        <v>0</v>
      </c>
      <c r="R73" s="5">
        <f t="shared" si="17"/>
        <v>0</v>
      </c>
      <c r="S73" s="5">
        <f t="shared" si="17"/>
        <v>0</v>
      </c>
      <c r="T73" s="5">
        <f t="shared" si="17"/>
        <v>0</v>
      </c>
      <c r="U73" s="5">
        <f t="shared" si="17"/>
        <v>0</v>
      </c>
      <c r="V73" s="5">
        <f t="shared" si="17"/>
        <v>0</v>
      </c>
      <c r="W73" s="5">
        <f t="shared" si="17"/>
        <v>0</v>
      </c>
      <c r="X73" s="5">
        <f t="shared" si="17"/>
        <v>0</v>
      </c>
      <c r="Y73" s="5">
        <f t="shared" si="17"/>
        <v>0</v>
      </c>
      <c r="Z73" s="5">
        <f t="shared" si="17"/>
        <v>0</v>
      </c>
      <c r="AA73" s="5">
        <f t="shared" si="17"/>
        <v>0</v>
      </c>
      <c r="AB73" s="5">
        <f t="shared" si="17"/>
        <v>0</v>
      </c>
      <c r="AC73" s="5">
        <f t="shared" si="17"/>
        <v>0</v>
      </c>
      <c r="AD73" s="5">
        <f t="shared" si="17"/>
        <v>0</v>
      </c>
      <c r="AE73" s="5">
        <f t="shared" si="17"/>
        <v>0</v>
      </c>
      <c r="AF73" s="5">
        <f t="shared" si="17"/>
        <v>0</v>
      </c>
      <c r="AG73" s="5">
        <f t="shared" si="17"/>
        <v>0</v>
      </c>
      <c r="AH73" s="5">
        <f t="shared" si="17"/>
        <v>0</v>
      </c>
      <c r="AI73" s="5">
        <f t="shared" si="17"/>
        <v>0</v>
      </c>
      <c r="AJ73" s="5">
        <f t="shared" si="17"/>
        <v>0</v>
      </c>
      <c r="AK73" s="5">
        <f t="shared" si="17"/>
        <v>0</v>
      </c>
      <c r="AL73" s="5">
        <f t="shared" si="17"/>
        <v>0</v>
      </c>
      <c r="AM73" s="5">
        <f t="shared" si="17"/>
        <v>0</v>
      </c>
      <c r="AN73" s="5">
        <f t="shared" si="17"/>
        <v>0</v>
      </c>
      <c r="AO73" s="5">
        <f t="shared" si="17"/>
        <v>0</v>
      </c>
      <c r="AP73" s="5">
        <f t="shared" si="17"/>
        <v>0</v>
      </c>
      <c r="AQ73" s="5">
        <f t="shared" si="17"/>
        <v>0</v>
      </c>
      <c r="AR73" s="5">
        <f t="shared" si="17"/>
        <v>0</v>
      </c>
      <c r="AS73" s="5">
        <f t="shared" si="17"/>
        <v>0</v>
      </c>
      <c r="AT73" s="5">
        <f t="shared" si="17"/>
        <v>0</v>
      </c>
      <c r="AU73" s="5">
        <f t="shared" si="17"/>
        <v>0</v>
      </c>
      <c r="AV73" s="5">
        <f t="shared" si="17"/>
        <v>0</v>
      </c>
      <c r="AW73" s="5">
        <f t="shared" si="17"/>
        <v>0</v>
      </c>
      <c r="AX73" s="5">
        <f t="shared" si="17"/>
        <v>0</v>
      </c>
      <c r="AY73" s="5">
        <f t="shared" si="17"/>
        <v>0</v>
      </c>
      <c r="AZ73" s="5">
        <f t="shared" si="17"/>
        <v>0</v>
      </c>
      <c r="BA73" s="5">
        <f t="shared" si="17"/>
        <v>0</v>
      </c>
      <c r="BB73" t="s">
        <v>191</v>
      </c>
      <c r="BC73" t="str">
        <f t="shared" si="14"/>
        <v>Trd_hdt</v>
      </c>
      <c r="BD73" t="s">
        <v>192</v>
      </c>
      <c r="BF73">
        <v>1.10</v>
      </c>
    </row>
    <row r="74" spans="1:58" ht="14.5">
      <c r="A74">
        <v>2050</v>
      </c>
      <c r="B74" t="str">
        <f t="shared" si="18" ref="B74:C76">B70</f>
        <v>Trd_bus</v>
      </c>
      <c r="C74" t="str">
        <f t="shared" si="18"/>
        <v>*nga</v>
      </c>
      <c r="D74" s="5">
        <f>D46*$BF74</f>
        <v>0.041832669322709175</v>
      </c>
      <c r="E74" s="5">
        <f t="shared" si="19" ref="E74:AW74">E46*$BF74</f>
        <v>0</v>
      </c>
      <c r="F74" s="5">
        <f t="shared" si="19"/>
        <v>0.022058823529411811</v>
      </c>
      <c r="G74" s="5">
        <f t="shared" si="19"/>
        <v>0</v>
      </c>
      <c r="H74" s="5">
        <f t="shared" si="19"/>
        <v>0</v>
      </c>
      <c r="I74" s="5">
        <f t="shared" si="19"/>
        <v>0.058823529411764691</v>
      </c>
      <c r="J74" s="5">
        <f t="shared" si="19"/>
        <v>0.14072494669509572</v>
      </c>
      <c r="K74" s="5">
        <f t="shared" si="19"/>
        <v>0.33675858480749205</v>
      </c>
      <c r="L74" s="5">
        <f t="shared" si="19"/>
        <v>0.065217391304347769</v>
      </c>
      <c r="M74" s="5">
        <f t="shared" si="19"/>
        <v>0.15789473684210503</v>
      </c>
      <c r="N74" s="5">
        <f t="shared" si="19"/>
        <v>0.049999999999999968</v>
      </c>
      <c r="O74" s="5">
        <f t="shared" si="19"/>
        <v>0.058593749999999986</v>
      </c>
      <c r="P74" s="5">
        <f t="shared" si="19"/>
        <v>0</v>
      </c>
      <c r="Q74" s="5">
        <f t="shared" si="19"/>
        <v>0.12499999999999969</v>
      </c>
      <c r="R74" s="5">
        <f t="shared" si="19"/>
        <v>0</v>
      </c>
      <c r="S74" s="5">
        <f t="shared" si="19"/>
        <v>0.1790009250693802</v>
      </c>
      <c r="T74" s="5">
        <f t="shared" si="19"/>
        <v>0</v>
      </c>
      <c r="U74" s="5">
        <f t="shared" si="19"/>
        <v>0.32673267326732691</v>
      </c>
      <c r="V74" s="5">
        <f t="shared" si="19"/>
        <v>0</v>
      </c>
      <c r="W74" s="5">
        <f t="shared" si="19"/>
        <v>0.2661795407098122</v>
      </c>
      <c r="X74" s="5">
        <f t="shared" si="19"/>
        <v>0.39010067114094038</v>
      </c>
      <c r="Y74" s="5">
        <f t="shared" si="19"/>
        <v>0</v>
      </c>
      <c r="Z74" s="5">
        <f t="shared" si="19"/>
        <v>0.16666666666666693</v>
      </c>
      <c r="AA74" s="5">
        <f t="shared" si="19"/>
        <v>0.013636363636363627</v>
      </c>
      <c r="AB74" s="5">
        <f t="shared" si="19"/>
        <v>0.049162418062636583</v>
      </c>
      <c r="AC74" s="5">
        <f t="shared" si="19"/>
        <v>0</v>
      </c>
      <c r="AD74" s="5">
        <f t="shared" si="19"/>
        <v>0</v>
      </c>
      <c r="AE74" s="5">
        <f t="shared" si="19"/>
        <v>0</v>
      </c>
      <c r="AF74" s="5">
        <f t="shared" si="19"/>
        <v>0.074999999999999997</v>
      </c>
      <c r="AG74" s="5">
        <f t="shared" si="19"/>
        <v>0.12162162162162157</v>
      </c>
      <c r="AH74" s="5">
        <f t="shared" si="19"/>
        <v>0</v>
      </c>
      <c r="AI74" s="5">
        <f t="shared" si="19"/>
        <v>0.014851485148514891</v>
      </c>
      <c r="AJ74" s="5">
        <f t="shared" si="19"/>
        <v>0</v>
      </c>
      <c r="AK74" s="5">
        <f t="shared" si="19"/>
        <v>0</v>
      </c>
      <c r="AL74" s="5">
        <f t="shared" si="19"/>
        <v>0.050847457627118647</v>
      </c>
      <c r="AM74" s="5">
        <f t="shared" si="19"/>
        <v>0</v>
      </c>
      <c r="AN74" s="5">
        <f t="shared" si="19"/>
        <v>0</v>
      </c>
      <c r="AO74" s="5">
        <f t="shared" si="19"/>
        <v>0</v>
      </c>
      <c r="AP74" s="5">
        <f t="shared" si="19"/>
        <v>0</v>
      </c>
      <c r="AQ74" s="5">
        <f t="shared" si="19"/>
        <v>0</v>
      </c>
      <c r="AR74" s="5">
        <f t="shared" si="19"/>
        <v>0</v>
      </c>
      <c r="AS74" s="5">
        <f t="shared" si="19"/>
        <v>0</v>
      </c>
      <c r="AT74" s="5">
        <f t="shared" si="19"/>
        <v>0</v>
      </c>
      <c r="AU74" s="5">
        <f t="shared" si="19"/>
        <v>0</v>
      </c>
      <c r="AV74" s="5">
        <f t="shared" si="19"/>
        <v>0</v>
      </c>
      <c r="AW74" s="5">
        <f t="shared" si="19"/>
        <v>0</v>
      </c>
      <c r="AX74" s="5">
        <f t="shared" si="20" ref="AX74:BA74">AX46*$BF74</f>
        <v>0</v>
      </c>
      <c r="AY74" s="5">
        <f t="shared" si="20"/>
        <v>0</v>
      </c>
      <c r="AZ74" s="5">
        <f t="shared" si="20"/>
        <v>0</v>
      </c>
      <c r="BA74" s="5">
        <f t="shared" si="20"/>
        <v>0</v>
      </c>
      <c r="BB74" t="s">
        <v>191</v>
      </c>
      <c r="BC74" t="str">
        <f t="shared" si="14"/>
        <v>Trd_bus</v>
      </c>
      <c r="BD74" s="5" t="str">
        <f>BD70</f>
        <v>CNGVeh</v>
      </c>
      <c r="BF74">
        <v>1.50</v>
      </c>
    </row>
    <row r="75" spans="1:58" ht="14.5">
      <c r="A75">
        <v>2050</v>
      </c>
      <c r="B75" t="str">
        <f t="shared" si="18"/>
        <v>Trd_car</v>
      </c>
      <c r="C75" t="str">
        <f t="shared" si="18"/>
        <v>*nga</v>
      </c>
      <c r="D75" s="5">
        <f>D53*$BF75</f>
        <v>0.012768942937324602</v>
      </c>
      <c r="E75" s="5">
        <f t="shared" si="21" ref="E75:AW75">E53*$BF75</f>
        <v>4.8553117110118438E-05</v>
      </c>
      <c r="F75" s="5">
        <f t="shared" si="21"/>
        <v>0.0020629383214975407</v>
      </c>
      <c r="G75" s="5">
        <f t="shared" si="21"/>
        <v>0.0054947782527967736</v>
      </c>
      <c r="H75" s="5">
        <f t="shared" si="21"/>
        <v>0.024529844644317282</v>
      </c>
      <c r="I75" s="5">
        <f t="shared" si="21"/>
        <v>0.0086090899338009223</v>
      </c>
      <c r="J75" s="5">
        <f t="shared" si="21"/>
        <v>0.05821063776120277</v>
      </c>
      <c r="K75" s="5">
        <f t="shared" si="21"/>
        <v>0.097768542310139567</v>
      </c>
      <c r="L75" s="5">
        <f t="shared" si="21"/>
        <v>0</v>
      </c>
      <c r="M75" s="5">
        <f t="shared" si="21"/>
        <v>0</v>
      </c>
      <c r="N75" s="5">
        <f t="shared" si="21"/>
        <v>0.0096069694142647925</v>
      </c>
      <c r="O75" s="5">
        <f t="shared" si="21"/>
        <v>0.0071562862320439435</v>
      </c>
      <c r="P75" s="5">
        <f t="shared" si="21"/>
        <v>0.0048132160623028872</v>
      </c>
      <c r="Q75" s="5">
        <f t="shared" si="21"/>
        <v>0</v>
      </c>
      <c r="R75" s="5">
        <f t="shared" si="21"/>
        <v>0.0099601983262554202</v>
      </c>
      <c r="S75" s="5">
        <f t="shared" si="21"/>
        <v>0.034905416882081854</v>
      </c>
      <c r="T75" s="5">
        <f t="shared" si="21"/>
        <v>0</v>
      </c>
      <c r="U75" s="5">
        <f t="shared" si="21"/>
        <v>0.061136967398613282</v>
      </c>
      <c r="V75" s="5">
        <f t="shared" si="21"/>
        <v>0.0012517326638337059</v>
      </c>
      <c r="W75" s="5">
        <f t="shared" si="21"/>
        <v>0.065027536343563147</v>
      </c>
      <c r="X75" s="5">
        <f t="shared" si="21"/>
        <v>0.13496480189386845</v>
      </c>
      <c r="Y75" s="5">
        <f t="shared" si="21"/>
        <v>0.0048375200742624795</v>
      </c>
      <c r="Z75" s="5">
        <f t="shared" si="21"/>
        <v>0.03306038322407695</v>
      </c>
      <c r="AA75" s="5">
        <f t="shared" si="21"/>
        <v>0</v>
      </c>
      <c r="AB75" s="5">
        <f t="shared" si="21"/>
        <v>0.13527645473741001</v>
      </c>
      <c r="AC75" s="5">
        <f t="shared" si="21"/>
        <v>0.0075467015612309257</v>
      </c>
      <c r="AD75" s="5">
        <f t="shared" si="21"/>
        <v>0</v>
      </c>
      <c r="AE75" s="5">
        <f t="shared" si="21"/>
        <v>0</v>
      </c>
      <c r="AF75" s="5">
        <f t="shared" si="21"/>
        <v>0.015516550031554072</v>
      </c>
      <c r="AG75" s="5">
        <f t="shared" si="21"/>
        <v>0.016967317734679438</v>
      </c>
      <c r="AH75" s="5">
        <f t="shared" si="21"/>
        <v>0.0042304037572130993</v>
      </c>
      <c r="AI75" s="5">
        <f t="shared" si="21"/>
        <v>0.012208073584991515</v>
      </c>
      <c r="AJ75" s="5">
        <f t="shared" si="21"/>
        <v>0.00070491515565778741</v>
      </c>
      <c r="AK75" s="5">
        <f t="shared" si="21"/>
        <v>0.011667810569663695</v>
      </c>
      <c r="AL75" s="5">
        <f t="shared" si="21"/>
        <v>0</v>
      </c>
      <c r="AM75" s="5">
        <f t="shared" si="21"/>
        <v>0</v>
      </c>
      <c r="AN75" s="5">
        <f t="shared" si="21"/>
        <v>0</v>
      </c>
      <c r="AO75" s="5">
        <f t="shared" si="21"/>
        <v>0</v>
      </c>
      <c r="AP75" s="5">
        <f t="shared" si="21"/>
        <v>0</v>
      </c>
      <c r="AQ75" s="5">
        <f t="shared" si="21"/>
        <v>0</v>
      </c>
      <c r="AR75" s="5">
        <f t="shared" si="21"/>
        <v>0</v>
      </c>
      <c r="AS75" s="5">
        <f t="shared" si="21"/>
        <v>0</v>
      </c>
      <c r="AT75" s="5">
        <f t="shared" si="21"/>
        <v>0</v>
      </c>
      <c r="AU75" s="5">
        <f t="shared" si="21"/>
        <v>0</v>
      </c>
      <c r="AV75" s="5">
        <f t="shared" si="21"/>
        <v>0</v>
      </c>
      <c r="AW75" s="5">
        <f t="shared" si="21"/>
        <v>0</v>
      </c>
      <c r="AX75" s="5">
        <f t="shared" si="22" ref="AX75:BA75">AX53*$BF75</f>
        <v>0</v>
      </c>
      <c r="AY75" s="5">
        <f t="shared" si="22"/>
        <v>0</v>
      </c>
      <c r="AZ75" s="5">
        <f t="shared" si="22"/>
        <v>0</v>
      </c>
      <c r="BA75" s="5">
        <f t="shared" si="22"/>
        <v>0</v>
      </c>
      <c r="BB75" t="s">
        <v>191</v>
      </c>
      <c r="BC75" t="str">
        <f t="shared" si="14"/>
        <v>Trd_car</v>
      </c>
      <c r="BD75" s="5" t="str">
        <f>BD71</f>
        <v>CNGVeh</v>
      </c>
      <c r="BF75">
        <v>1.50</v>
      </c>
    </row>
    <row r="76" spans="1:58" ht="14.5">
      <c r="A76">
        <v>2050</v>
      </c>
      <c r="B76" t="str">
        <f t="shared" si="18"/>
        <v>Trd_lcv</v>
      </c>
      <c r="C76" t="str">
        <f t="shared" si="18"/>
        <v>*nga</v>
      </c>
      <c r="D76" s="5">
        <f>D65*$BF76</f>
        <v>0.018230432668935325</v>
      </c>
      <c r="E76" s="5">
        <f t="shared" si="23" ref="E76:AW76">E65*$BF76</f>
        <v>0</v>
      </c>
      <c r="F76" s="5">
        <f t="shared" si="23"/>
        <v>0.0037406483790523712</v>
      </c>
      <c r="G76" s="5">
        <f t="shared" si="23"/>
        <v>0</v>
      </c>
      <c r="H76" s="5">
        <f t="shared" si="23"/>
        <v>0.015625</v>
      </c>
      <c r="I76" s="5">
        <f t="shared" si="23"/>
        <v>0</v>
      </c>
      <c r="J76" s="5">
        <f t="shared" si="23"/>
        <v>0.084549878345498736</v>
      </c>
      <c r="K76" s="5">
        <f t="shared" si="23"/>
        <v>0.16216216216216223</v>
      </c>
      <c r="L76" s="5">
        <f t="shared" si="23"/>
        <v>0</v>
      </c>
      <c r="M76" s="5">
        <f t="shared" si="23"/>
        <v>0</v>
      </c>
      <c r="N76" s="5">
        <f t="shared" si="23"/>
        <v>0</v>
      </c>
      <c r="O76" s="5">
        <f t="shared" si="23"/>
        <v>0</v>
      </c>
      <c r="P76" s="5">
        <f t="shared" si="23"/>
        <v>0</v>
      </c>
      <c r="Q76" s="5">
        <f t="shared" si="23"/>
        <v>0</v>
      </c>
      <c r="R76" s="5">
        <f t="shared" si="23"/>
        <v>0</v>
      </c>
      <c r="S76" s="5">
        <f t="shared" si="23"/>
        <v>0.050677928428539638</v>
      </c>
      <c r="T76" s="5">
        <f t="shared" si="23"/>
        <v>0</v>
      </c>
      <c r="U76" s="5">
        <f t="shared" si="23"/>
        <v>0</v>
      </c>
      <c r="V76" s="5">
        <f t="shared" si="23"/>
        <v>0.00052557813594954336</v>
      </c>
      <c r="W76" s="5">
        <f t="shared" si="23"/>
        <v>0.15662886194759457</v>
      </c>
      <c r="X76" s="5">
        <f t="shared" si="23"/>
        <v>0</v>
      </c>
      <c r="Y76" s="5">
        <f t="shared" si="23"/>
        <v>0.00049985189573459755</v>
      </c>
      <c r="Z76" s="5">
        <f t="shared" si="23"/>
        <v>0</v>
      </c>
      <c r="AA76" s="5">
        <f t="shared" si="23"/>
        <v>0</v>
      </c>
      <c r="AB76" s="5">
        <f t="shared" si="23"/>
        <v>0.033128834355828189</v>
      </c>
      <c r="AC76" s="5">
        <f t="shared" si="23"/>
        <v>0.0099577549788774575</v>
      </c>
      <c r="AD76" s="5">
        <f t="shared" si="23"/>
        <v>0</v>
      </c>
      <c r="AE76" s="5">
        <f t="shared" si="23"/>
        <v>0</v>
      </c>
      <c r="AF76" s="5">
        <f t="shared" si="23"/>
        <v>0</v>
      </c>
      <c r="AG76" s="5">
        <f t="shared" si="23"/>
        <v>0</v>
      </c>
      <c r="AH76" s="5">
        <f t="shared" si="23"/>
        <v>0</v>
      </c>
      <c r="AI76" s="5">
        <f t="shared" si="23"/>
        <v>0</v>
      </c>
      <c r="AJ76" s="5">
        <f t="shared" si="23"/>
        <v>0</v>
      </c>
      <c r="AK76" s="5">
        <f t="shared" si="23"/>
        <v>0.006607929515418505</v>
      </c>
      <c r="AL76" s="5">
        <f t="shared" si="23"/>
        <v>0</v>
      </c>
      <c r="AM76" s="5">
        <f t="shared" si="23"/>
        <v>0</v>
      </c>
      <c r="AN76" s="5">
        <f t="shared" si="23"/>
        <v>0</v>
      </c>
      <c r="AO76" s="5">
        <f t="shared" si="23"/>
        <v>0</v>
      </c>
      <c r="AP76" s="5">
        <f t="shared" si="23"/>
        <v>0</v>
      </c>
      <c r="AQ76" s="5">
        <f t="shared" si="23"/>
        <v>0</v>
      </c>
      <c r="AR76" s="5">
        <f t="shared" si="23"/>
        <v>0</v>
      </c>
      <c r="AS76" s="5">
        <f t="shared" si="23"/>
        <v>0</v>
      </c>
      <c r="AT76" s="5">
        <f t="shared" si="23"/>
        <v>0</v>
      </c>
      <c r="AU76" s="5">
        <f t="shared" si="23"/>
        <v>0</v>
      </c>
      <c r="AV76" s="5">
        <f t="shared" si="23"/>
        <v>0</v>
      </c>
      <c r="AW76" s="5">
        <f t="shared" si="23"/>
        <v>0</v>
      </c>
      <c r="AX76" s="5">
        <f t="shared" si="24" ref="AX76:BA76">AX65*$BF76</f>
        <v>0</v>
      </c>
      <c r="AY76" s="5">
        <f t="shared" si="24"/>
        <v>0</v>
      </c>
      <c r="AZ76" s="5">
        <f t="shared" si="24"/>
        <v>0</v>
      </c>
      <c r="BA76" s="5">
        <f t="shared" si="24"/>
        <v>0</v>
      </c>
      <c r="BB76" t="s">
        <v>191</v>
      </c>
      <c r="BC76" t="str">
        <f t="shared" si="14"/>
        <v>Trd_lcv</v>
      </c>
      <c r="BD76" s="5" t="str">
        <f>BD72</f>
        <v>CNGVeh</v>
      </c>
      <c r="BF76">
        <v>1.50</v>
      </c>
    </row>
    <row r="77" spans="1:56" ht="14.5">
      <c r="A77">
        <v>0</v>
      </c>
      <c r="B77" t="str">
        <f>B74</f>
        <v>Trd_bus</v>
      </c>
      <c r="C77" t="str">
        <f t="shared" si="25" ref="C77:C80">C74</f>
        <v>*nga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5</v>
      </c>
      <c r="AP77">
        <v>5</v>
      </c>
      <c r="AQ77">
        <v>5</v>
      </c>
      <c r="AR77">
        <v>5</v>
      </c>
      <c r="AS77">
        <v>5</v>
      </c>
      <c r="AT77">
        <v>5</v>
      </c>
      <c r="AU77">
        <v>5</v>
      </c>
      <c r="AV77">
        <v>5</v>
      </c>
      <c r="AW77">
        <v>5</v>
      </c>
      <c r="AX77">
        <v>5</v>
      </c>
      <c r="AY77">
        <v>5</v>
      </c>
      <c r="AZ77">
        <v>5</v>
      </c>
      <c r="BA77">
        <v>5</v>
      </c>
      <c r="BB77" t="s">
        <v>191</v>
      </c>
      <c r="BC77" t="str">
        <f t="shared" si="14"/>
        <v>Trd_bus</v>
      </c>
      <c r="BD77" s="5" t="str">
        <f t="shared" si="26" ref="BD77:BD80">BD74</f>
        <v>CNGVeh</v>
      </c>
    </row>
    <row r="78" spans="1:56" ht="14.5">
      <c r="A78">
        <v>0</v>
      </c>
      <c r="B78" t="str">
        <f t="shared" si="27" ref="B78">B75</f>
        <v>Trd_car</v>
      </c>
      <c r="C78" t="str">
        <f t="shared" si="25"/>
        <v>*nga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5</v>
      </c>
      <c r="AL78">
        <v>5</v>
      </c>
      <c r="AM78">
        <v>5</v>
      </c>
      <c r="AN78">
        <v>5</v>
      </c>
      <c r="AO78">
        <v>5</v>
      </c>
      <c r="AP78">
        <v>5</v>
      </c>
      <c r="AQ78">
        <v>5</v>
      </c>
      <c r="AR78">
        <v>5</v>
      </c>
      <c r="AS78">
        <v>5</v>
      </c>
      <c r="AT78">
        <v>5</v>
      </c>
      <c r="AU78">
        <v>5</v>
      </c>
      <c r="AV78">
        <v>5</v>
      </c>
      <c r="AW78">
        <v>5</v>
      </c>
      <c r="AX78">
        <v>5</v>
      </c>
      <c r="AY78">
        <v>5</v>
      </c>
      <c r="AZ78">
        <v>5</v>
      </c>
      <c r="BA78">
        <v>5</v>
      </c>
      <c r="BB78" t="s">
        <v>191</v>
      </c>
      <c r="BC78" t="str">
        <f t="shared" si="14"/>
        <v>Trd_car</v>
      </c>
      <c r="BD78" s="5" t="str">
        <f t="shared" si="26"/>
        <v>CNGVeh</v>
      </c>
    </row>
    <row r="79" spans="1:56" ht="14.5">
      <c r="A79">
        <v>0</v>
      </c>
      <c r="B79" t="str">
        <f t="shared" si="28" ref="B79">B76</f>
        <v>Trd_lcv</v>
      </c>
      <c r="C79" t="str">
        <f t="shared" si="25"/>
        <v>*nga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5</v>
      </c>
      <c r="AT79">
        <v>5</v>
      </c>
      <c r="AU79">
        <v>5</v>
      </c>
      <c r="AV79">
        <v>5</v>
      </c>
      <c r="AW79">
        <v>5</v>
      </c>
      <c r="AX79">
        <v>5</v>
      </c>
      <c r="AY79">
        <v>5</v>
      </c>
      <c r="AZ79">
        <v>5</v>
      </c>
      <c r="BA79">
        <v>5</v>
      </c>
      <c r="BB79" t="s">
        <v>191</v>
      </c>
      <c r="BC79" t="str">
        <f t="shared" si="14"/>
        <v>Trd_lcv</v>
      </c>
      <c r="BD79" s="5" t="str">
        <f t="shared" si="26"/>
        <v>CNGVeh</v>
      </c>
    </row>
    <row r="80" spans="1:56" ht="14.5">
      <c r="A80">
        <v>0</v>
      </c>
      <c r="B80" t="str">
        <f>B73</f>
        <v>Trd_hdt</v>
      </c>
      <c r="C80" t="str">
        <f t="shared" si="25"/>
        <v>*nga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5</v>
      </c>
      <c r="AL80">
        <v>5</v>
      </c>
      <c r="AM80">
        <v>5</v>
      </c>
      <c r="AN80">
        <v>5</v>
      </c>
      <c r="AO80">
        <v>5</v>
      </c>
      <c r="AP80">
        <v>5</v>
      </c>
      <c r="AQ80">
        <v>5</v>
      </c>
      <c r="AR80">
        <v>5</v>
      </c>
      <c r="AS80">
        <v>5</v>
      </c>
      <c r="AT80">
        <v>5</v>
      </c>
      <c r="AU80">
        <v>5</v>
      </c>
      <c r="AV80">
        <v>5</v>
      </c>
      <c r="AW80">
        <v>5</v>
      </c>
      <c r="AX80">
        <v>5</v>
      </c>
      <c r="AY80">
        <v>5</v>
      </c>
      <c r="AZ80">
        <v>5</v>
      </c>
      <c r="BA80">
        <v>5</v>
      </c>
      <c r="BB80" t="s">
        <v>191</v>
      </c>
      <c r="BC80" t="str">
        <f t="shared" si="14"/>
        <v>Trd_hdt</v>
      </c>
      <c r="BD80" s="5" t="str">
        <f t="shared" si="26"/>
        <v>CNGVeh</v>
      </c>
    </row>
  </sheetData>
  <pageMargins left="0.7" right="0.7" top="0.75" bottom="0.75" header="0.3" footer="0.3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drate</vt:lpstr>
      <vt:lpstr>BY_TRA</vt:lpstr>
      <vt:lpstr>Transport</vt:lpstr>
    </vt:vector>
  </TitlesOfParts>
  <Template/>
  <Manager/>
  <Company>KanORS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李潇</cp:lastModifiedBy>
  <dcterms:created xsi:type="dcterms:W3CDTF">2009-05-27T15:40:00Z</dcterms:created>
  <dcterms:modified xsi:type="dcterms:W3CDTF">2026-08-15T00:11:07Z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662075248476160</vt:r8>
  </property>
  <property fmtid="{D5CDD505-2E9C-101B-9397-08002B2CF9AE}" pid="3" name="{A44787D4-0540-4523-9961-78E4036D8C6D}">
    <vt:lpwstr>{6FC98AD7-F2AF-42FD-99BE-9EAABD4832B8}</vt:lpwstr>
  </property>
  <property fmtid="{D5CDD505-2E9C-101B-9397-08002B2CF9AE}" pid="4" name="ICV">
    <vt:lpwstr>E61876ACA2534DD6B40B666FD3966E62_12</vt:lpwstr>
  </property>
  <property fmtid="{D5CDD505-2E9C-101B-9397-08002B2CF9AE}" pid="5" name="KSOProductBuildVer">
    <vt:lpwstr>1033-12.1.0.28032</vt:lpwstr>
  </property>
  <property fmtid="{D5CDD505-2E9C-101B-9397-08002B2CF9AE}" pid="6" name="CalculationRule">
    <vt:i4>0</vt:i4>
  </property>
</Properties>
</file>