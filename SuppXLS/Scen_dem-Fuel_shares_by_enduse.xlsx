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<sst xmlns="http://schemas.openxmlformats.org/spreadsheetml/2006/main" count="494" uniqueCount="141">
  <si>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</si>
  <si>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</si>
  <si>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</si>
  <si>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</si>
  <si>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</si>
  <si>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</si>
  <si>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</si>
  <si>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</si>
  <si>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</si>
  <si>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</si>
  <si>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</si>
  <si>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</si>
  <si>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</si>
  <si>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</si>
  <si>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</si>
  <si>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</si>
  <si>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</si>
  <si>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</si>
  <si>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</si>
  <si>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</si>
  <si>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</si>
  <si>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</si>
  <si>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</si>
  <si>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</si>
  <si>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</si>
  <si>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</si>
  <si>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</si>
  <si>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</si>
  <si>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</si>
  <si>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</si>
  <si>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</si>
  <si>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</si>
  <si>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</si>
  <si>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</si>
  <si>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</si>
  <si>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</si>
  <si>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</si>
  <si>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</si>
  <si>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</si>
  <si>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</si>
  <si>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</si>
  <si>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</si>
  <si>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</si>
  <si>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</si>
  <si>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</si>
  <si>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</si>
  <si>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</si>
  <si>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</si>
  <si>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</si>
  <si>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</si>
  <si>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</si>
  <si>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</si>
  <si>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</si>
  <si>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</si>
  <si>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</si>
  <si>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</si>
  <si>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</si>
  <si>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</si>
  <si>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</si>
  <si>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</si>
  <si>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</si>
  <si>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</si>
  <si>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</si>
  <si>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</si>
  <si>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</si>
  <si>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</si>
  <si>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</si>
  <si>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</si>
  <si>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</si>
  <si>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</si>
  <si>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</si>
  <si>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</si>
  <si>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</si>
  <si>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</si>
  <si>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</si>
  <si>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</si>
  <si>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</si>
  <si>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</si>
  <si>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</si>
  <si>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</si>
  <si>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</si>
  <si>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</si>
  <si>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</si>
  <si>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</si>
  <si>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</si>
  <si>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</si>
  <si>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</si>
  <si>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</si>
  <si>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</si>
  <si>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</si>
  <si>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</si>
  <si>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Share</t>
  </si>
  <si>
    <t>T??_Generic,-TA*,-TT*</t>
  </si>
  <si>
    <t>LO</t>
  </si>
  <si>
    <t>~UC_Sets: R_E: allregions</t>
  </si>
  <si>
    <t>TA?_Generic</t>
  </si>
  <si>
    <t>*.5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</si>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</sst>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5" borderId="1" applyNumberFormat="0" applyAlignment="0" applyProtection="0"/>
    <xf numFmtId="0" fontId="10" fillId="7" borderId="5" applyNumberFormat="0" applyAlignment="0" applyProtection="0">
      <alignment vertical="center"/>
    </xf>
    <xf numFmtId="0" fontId="11" fillId="7" borderId="1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8">
    <xf numFmtId="0" fontId="0" fillId="0" borderId="0" xfId="0"/>
    <xf numFmtId="9" fontId="0" fillId="0" borderId="0" xfId="3" applyFont="1"/>
    <xf numFmtId="0" fontId="0" fillId="2" borderId="0" xfId="0" applyFill="1"/>
    <xf numFmtId="0" fontId="0" fillId="3" borderId="0" xfId="0" applyFill="1"/>
    <xf numFmtId="9" fontId="0" fillId="3" borderId="0" xfId="3" applyFont="1" applyFill="1"/>
    <xf numFmtId="0" fontId="0" fillId="4" borderId="0" xfId="0" applyFill="1"/>
    <xf numFmtId="9" fontId="0" fillId="0" borderId="0" xfId="0" applyNumberFormat="1"/>
    <xf numFmtId="0" fontId="1" fillId="5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P19" sqref="P19"/>
    </sheetView>
  </sheetViews>
  <sheetFormatPr defaultColWidth="9" defaultRowHeight="14.5"/>
  <cols>
    <col min="6" max="6" width="12.2727272727273" customWidth="1"/>
    <col min="7" max="7" width="12.7272727272727" customWidth="1"/>
    <col min="9" max="9" width="7.81818181818182" customWidth="1"/>
    <col min="10" max="10" width="5" customWidth="1"/>
    <col min="11" max="11" width="5.81818181818182" customWidth="1"/>
    <col min="13" max="13" width="12.3636363636364" customWidth="1"/>
    <col min="14" max="14" width="12.7272727272727" customWidth="1"/>
    <col min="17" max="17" width="5" customWidth="1"/>
    <col min="18" max="18" width="5.81818181818182" customWidth="1"/>
  </cols>
  <sheetData>
    <row r="2" spans="13:13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7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7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7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7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7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7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7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7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7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7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7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7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7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7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7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7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7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7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7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7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7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7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7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7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7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7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7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7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7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7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7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7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7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7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7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74" zoomScaleNormal="74" workbookViewId="0">
      <selection activeCell="J21" sqref="J21"/>
    </sheetView>
  </sheetViews>
  <sheetFormatPr defaultColWidth="9" defaultRowHeight="14.5"/>
  <cols>
    <col min="3" max="3" width="12.0909090909091" customWidth="1"/>
    <col min="4" max="4" width="10.8181818181818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BJ1" t="s">
        <v>59</v>
      </c>
      <c r="BK1" t="s">
        <v>60</v>
      </c>
    </row>
    <row r="2" spans="62:63">
      <c r="BJ2" t="str">
        <f>MID(C2,5,3)</f>
        <v/>
      </c>
      <c r="BK2" t="str">
        <f>RIGHT(C2,3)</f>
        <v/>
      </c>
    </row>
    <row r="3" spans="62:63">
      <c r="BJ3" t="str">
        <f t="shared" ref="BJ3:BJ66" si="0">MID(C3,5,3)</f>
        <v/>
      </c>
      <c r="BK3" t="str">
        <f t="shared" ref="BK3:BK66" si="1">RIGHT(C3,3)</f>
        <v/>
      </c>
    </row>
    <row r="4" spans="62:63">
      <c r="BJ4" t="str">
        <f t="shared" si="0"/>
        <v/>
      </c>
      <c r="BK4" t="str">
        <f t="shared" si="1"/>
        <v/>
      </c>
    </row>
    <row r="5" spans="62:63">
      <c r="BJ5" t="str">
        <f t="shared" si="0"/>
        <v/>
      </c>
      <c r="BK5" t="str">
        <f t="shared" si="1"/>
        <v/>
      </c>
    </row>
    <row r="6" spans="62:63">
      <c r="BJ6" t="str">
        <f t="shared" si="0"/>
        <v/>
      </c>
      <c r="BK6" t="str">
        <f t="shared" si="1"/>
        <v/>
      </c>
    </row>
    <row r="7" spans="62:63">
      <c r="BJ7" t="str">
        <f t="shared" si="0"/>
        <v/>
      </c>
      <c r="BK7" t="str">
        <f t="shared" si="1"/>
        <v/>
      </c>
    </row>
    <row r="8" spans="62:63">
      <c r="BJ8" t="str">
        <f t="shared" si="0"/>
        <v/>
      </c>
      <c r="BK8" t="str">
        <f t="shared" si="1"/>
        <v/>
      </c>
    </row>
    <row r="9" spans="62:63">
      <c r="BJ9" t="str">
        <f t="shared" si="0"/>
        <v/>
      </c>
      <c r="BK9" t="str">
        <f t="shared" si="1"/>
        <v/>
      </c>
    </row>
    <row r="10" spans="62:63">
      <c r="BJ10" t="str">
        <f t="shared" si="0"/>
        <v/>
      </c>
      <c r="BK10" t="str">
        <f t="shared" si="1"/>
        <v/>
      </c>
    </row>
    <row r="11" spans="62:63">
      <c r="BJ11" t="str">
        <f t="shared" si="0"/>
        <v/>
      </c>
      <c r="BK11" t="str">
        <f t="shared" si="1"/>
        <v/>
      </c>
    </row>
    <row r="12" spans="62:63">
      <c r="BJ12" t="str">
        <f t="shared" si="0"/>
        <v/>
      </c>
      <c r="BK12" t="str">
        <f t="shared" si="1"/>
        <v/>
      </c>
    </row>
    <row r="13" spans="62:63">
      <c r="BJ13" t="str">
        <f t="shared" si="0"/>
        <v/>
      </c>
      <c r="BK13" t="str">
        <f t="shared" si="1"/>
        <v/>
      </c>
    </row>
    <row r="14" spans="62:63">
      <c r="BJ14" t="str">
        <f t="shared" si="0"/>
        <v/>
      </c>
      <c r="BK14" t="str">
        <f t="shared" si="1"/>
        <v/>
      </c>
    </row>
    <row r="15" spans="62:63">
      <c r="BJ15" t="str">
        <f t="shared" si="0"/>
        <v/>
      </c>
      <c r="BK15" t="str">
        <f t="shared" si="1"/>
        <v/>
      </c>
    </row>
    <row r="16" spans="62:63">
      <c r="BJ16" t="str">
        <f t="shared" si="0"/>
        <v/>
      </c>
      <c r="BK16" t="str">
        <f t="shared" si="1"/>
        <v/>
      </c>
    </row>
    <row r="17" spans="62:63">
      <c r="BJ17" t="str">
        <f t="shared" si="0"/>
        <v/>
      </c>
      <c r="BK17" t="str">
        <f t="shared" si="1"/>
        <v/>
      </c>
    </row>
    <row r="18" spans="62:63">
      <c r="BJ18" t="str">
        <f t="shared" si="0"/>
        <v/>
      </c>
      <c r="BK18" t="str">
        <f t="shared" si="1"/>
        <v/>
      </c>
    </row>
    <row r="19" spans="62:63">
      <c r="BJ19" t="str">
        <f t="shared" si="0"/>
        <v/>
      </c>
      <c r="BK19" t="str">
        <f t="shared" si="1"/>
        <v/>
      </c>
    </row>
    <row r="20" spans="62:63">
      <c r="BJ20" t="str">
        <f t="shared" si="0"/>
        <v/>
      </c>
      <c r="BK20" t="str">
        <f t="shared" si="1"/>
        <v/>
      </c>
    </row>
    <row r="21" spans="62:63">
      <c r="BJ21" t="str">
        <f t="shared" si="0"/>
        <v/>
      </c>
      <c r="BK21" t="str">
        <f t="shared" si="1"/>
        <v/>
      </c>
    </row>
    <row r="22" spans="62:63">
      <c r="BJ22" t="str">
        <f t="shared" si="0"/>
        <v/>
      </c>
      <c r="BK22" t="str">
        <f t="shared" si="1"/>
        <v/>
      </c>
    </row>
    <row r="23" spans="62:63">
      <c r="BJ23" t="str">
        <f t="shared" si="0"/>
        <v/>
      </c>
      <c r="BK23" t="str">
        <f t="shared" si="1"/>
        <v/>
      </c>
    </row>
    <row r="24" spans="62:63">
      <c r="BJ24" t="str">
        <f t="shared" si="0"/>
        <v/>
      </c>
      <c r="BK24" t="str">
        <f t="shared" si="1"/>
        <v/>
      </c>
    </row>
    <row r="25" spans="62:63">
      <c r="BJ25" t="str">
        <f t="shared" si="0"/>
        <v/>
      </c>
      <c r="BK25" t="str">
        <f t="shared" si="1"/>
        <v/>
      </c>
    </row>
    <row r="26" spans="62:63">
      <c r="BJ26" t="str">
        <f t="shared" si="0"/>
        <v/>
      </c>
      <c r="BK26" t="str">
        <f t="shared" si="1"/>
        <v/>
      </c>
    </row>
    <row r="27" spans="62:63">
      <c r="BJ27" t="str">
        <f t="shared" si="0"/>
        <v/>
      </c>
      <c r="BK27" t="str">
        <f t="shared" si="1"/>
        <v/>
      </c>
    </row>
    <row r="28" spans="62:63">
      <c r="BJ28" t="str">
        <f t="shared" si="0"/>
        <v/>
      </c>
      <c r="BK28" t="str">
        <f t="shared" si="1"/>
        <v/>
      </c>
    </row>
    <row r="29" spans="62:63">
      <c r="BJ29" t="str">
        <f t="shared" si="0"/>
        <v/>
      </c>
      <c r="BK29" t="str">
        <f t="shared" si="1"/>
        <v/>
      </c>
    </row>
    <row r="30" spans="62:63">
      <c r="BJ30" t="str">
        <f t="shared" si="0"/>
        <v/>
      </c>
      <c r="BK30" t="str">
        <f t="shared" si="1"/>
        <v/>
      </c>
    </row>
    <row r="31" spans="62:63">
      <c r="BJ31" t="str">
        <f t="shared" si="0"/>
        <v/>
      </c>
      <c r="BK31" t="str">
        <f t="shared" si="1"/>
        <v/>
      </c>
    </row>
    <row r="32" spans="62:63">
      <c r="BJ32" t="str">
        <f t="shared" si="0"/>
        <v/>
      </c>
      <c r="BK32" t="str">
        <f t="shared" si="1"/>
        <v/>
      </c>
    </row>
    <row r="33" spans="62:63">
      <c r="BJ33" t="str">
        <f t="shared" si="0"/>
        <v/>
      </c>
      <c r="BK33" t="str">
        <f t="shared" si="1"/>
        <v/>
      </c>
    </row>
    <row r="34" spans="62:63">
      <c r="BJ34" t="str">
        <f t="shared" si="0"/>
        <v/>
      </c>
      <c r="BK34" t="str">
        <f t="shared" si="1"/>
        <v/>
      </c>
    </row>
    <row r="35" spans="62:63">
      <c r="BJ35" t="str">
        <f t="shared" si="0"/>
        <v/>
      </c>
      <c r="BK35" t="str">
        <f t="shared" si="1"/>
        <v/>
      </c>
    </row>
    <row r="36" spans="62:63">
      <c r="BJ36" t="str">
        <f t="shared" si="0"/>
        <v/>
      </c>
      <c r="BK36" t="str">
        <f t="shared" si="1"/>
        <v/>
      </c>
    </row>
    <row r="37" spans="62:63">
      <c r="BJ37" t="str">
        <f t="shared" si="0"/>
        <v/>
      </c>
      <c r="BK37" t="str">
        <f t="shared" si="1"/>
        <v/>
      </c>
    </row>
    <row r="38" spans="62:63">
      <c r="BJ38" t="str">
        <f t="shared" si="0"/>
        <v/>
      </c>
      <c r="BK38" t="str">
        <f t="shared" si="1"/>
        <v/>
      </c>
    </row>
    <row r="39" spans="62:63">
      <c r="BJ39" t="str">
        <f t="shared" si="0"/>
        <v/>
      </c>
      <c r="BK39" t="str">
        <f t="shared" si="1"/>
        <v/>
      </c>
    </row>
    <row r="40" spans="62:63">
      <c r="BJ40" t="str">
        <f t="shared" si="0"/>
        <v/>
      </c>
      <c r="BK40" t="str">
        <f t="shared" si="1"/>
        <v/>
      </c>
    </row>
    <row r="41" spans="62:63">
      <c r="BJ41" t="str">
        <f t="shared" si="0"/>
        <v/>
      </c>
      <c r="BK41" t="str">
        <f t="shared" si="1"/>
        <v/>
      </c>
    </row>
    <row r="42" spans="62:63">
      <c r="BJ42" t="str">
        <f t="shared" si="0"/>
        <v/>
      </c>
      <c r="BK42" t="str">
        <f t="shared" si="1"/>
        <v/>
      </c>
    </row>
    <row r="43" spans="62:63">
      <c r="BJ43" t="str">
        <f t="shared" si="0"/>
        <v/>
      </c>
      <c r="BK43" t="str">
        <f t="shared" si="1"/>
        <v/>
      </c>
    </row>
    <row r="44" spans="62:63">
      <c r="BJ44" t="str">
        <f t="shared" si="0"/>
        <v/>
      </c>
      <c r="BK44" t="str">
        <f t="shared" si="1"/>
        <v/>
      </c>
    </row>
    <row r="45" spans="62:63">
      <c r="BJ45" t="str">
        <f t="shared" si="0"/>
        <v/>
      </c>
      <c r="BK45" t="str">
        <f t="shared" si="1"/>
        <v/>
      </c>
    </row>
    <row r="46" spans="62:63">
      <c r="BJ46" t="str">
        <f t="shared" si="0"/>
        <v/>
      </c>
      <c r="BK46" t="str">
        <f t="shared" si="1"/>
        <v/>
      </c>
    </row>
    <row r="47" spans="62:63">
      <c r="BJ47" t="str">
        <f t="shared" si="0"/>
        <v/>
      </c>
      <c r="BK47" t="str">
        <f t="shared" si="1"/>
        <v/>
      </c>
    </row>
    <row r="48" spans="62:63">
      <c r="BJ48" t="str">
        <f t="shared" si="0"/>
        <v/>
      </c>
      <c r="BK48" t="str">
        <f t="shared" si="1"/>
        <v/>
      </c>
    </row>
    <row r="49" spans="62:63">
      <c r="BJ49" t="str">
        <f t="shared" si="0"/>
        <v/>
      </c>
      <c r="BK49" t="str">
        <f t="shared" si="1"/>
        <v/>
      </c>
    </row>
    <row r="50" spans="62:63">
      <c r="BJ50" t="str">
        <f t="shared" si="0"/>
        <v/>
      </c>
      <c r="BK50" t="str">
        <f t="shared" si="1"/>
        <v/>
      </c>
    </row>
    <row r="51" spans="62:63">
      <c r="BJ51" t="str">
        <f t="shared" si="0"/>
        <v/>
      </c>
      <c r="BK51" t="str">
        <f t="shared" si="1"/>
        <v/>
      </c>
    </row>
    <row r="52" spans="62:63">
      <c r="BJ52" t="str">
        <f t="shared" si="0"/>
        <v/>
      </c>
      <c r="BK52" t="str">
        <f t="shared" si="1"/>
        <v/>
      </c>
    </row>
    <row r="53" spans="62:63">
      <c r="BJ53" t="str">
        <f t="shared" si="0"/>
        <v/>
      </c>
      <c r="BK53" t="str">
        <f t="shared" si="1"/>
        <v/>
      </c>
    </row>
    <row r="54" spans="62:63">
      <c r="BJ54" t="str">
        <f t="shared" si="0"/>
        <v/>
      </c>
      <c r="BK54" t="str">
        <f t="shared" si="1"/>
        <v/>
      </c>
    </row>
    <row r="55" spans="62:63">
      <c r="BJ55" t="str">
        <f t="shared" si="0"/>
        <v/>
      </c>
      <c r="BK55" t="str">
        <f t="shared" si="1"/>
        <v/>
      </c>
    </row>
    <row r="56" spans="62:63">
      <c r="BJ56" t="str">
        <f t="shared" si="0"/>
        <v/>
      </c>
      <c r="BK56" t="str">
        <f t="shared" si="1"/>
        <v/>
      </c>
    </row>
    <row r="57" spans="62:63">
      <c r="BJ57" t="str">
        <f t="shared" si="0"/>
        <v/>
      </c>
      <c r="BK57" t="str">
        <f t="shared" si="1"/>
        <v/>
      </c>
    </row>
    <row r="58" spans="62:63">
      <c r="BJ58" t="str">
        <f t="shared" si="0"/>
        <v/>
      </c>
      <c r="BK58" t="str">
        <f t="shared" si="1"/>
        <v/>
      </c>
    </row>
    <row r="59" spans="62:63">
      <c r="BJ59" t="str">
        <f t="shared" si="0"/>
        <v/>
      </c>
      <c r="BK59" t="str">
        <f t="shared" si="1"/>
        <v/>
      </c>
    </row>
    <row r="60" spans="62:63">
      <c r="BJ60" t="str">
        <f t="shared" si="0"/>
        <v/>
      </c>
      <c r="BK60" t="str">
        <f t="shared" si="1"/>
        <v/>
      </c>
    </row>
    <row r="61" spans="62:63">
      <c r="BJ61" t="str">
        <f t="shared" si="0"/>
        <v/>
      </c>
      <c r="BK61" t="str">
        <f t="shared" si="1"/>
        <v/>
      </c>
    </row>
    <row r="62" spans="62:63">
      <c r="BJ62" t="str">
        <f t="shared" si="0"/>
        <v/>
      </c>
      <c r="BK62" t="str">
        <f t="shared" si="1"/>
        <v/>
      </c>
    </row>
    <row r="63" spans="62:63">
      <c r="BJ63" t="str">
        <f t="shared" si="0"/>
        <v/>
      </c>
      <c r="BK63" t="str">
        <f t="shared" si="1"/>
        <v/>
      </c>
    </row>
    <row r="64" spans="62:63">
      <c r="BJ64" t="str">
        <f t="shared" si="0"/>
        <v/>
      </c>
      <c r="BK64" t="str">
        <f t="shared" si="1"/>
        <v/>
      </c>
    </row>
    <row r="65" spans="62:63">
      <c r="BJ65" t="str">
        <f t="shared" si="0"/>
        <v/>
      </c>
      <c r="BK65" t="str">
        <f t="shared" si="1"/>
        <v/>
      </c>
    </row>
    <row r="66" spans="62:63">
      <c r="BJ66" t="str">
        <f t="shared" si="0"/>
        <v/>
      </c>
      <c r="BK66" t="str">
        <f t="shared" si="1"/>
        <v/>
      </c>
    </row>
    <row r="67" spans="62:63">
      <c r="BJ67" t="str">
        <f t="shared" ref="BJ67:BJ130" si="2">MID(C67,5,3)</f>
        <v/>
      </c>
      <c r="BK67" t="str">
        <f t="shared" ref="BK67:BK130" si="3">RIGHT(C67,3)</f>
        <v/>
      </c>
    </row>
    <row r="68" spans="62:63">
      <c r="BJ68" t="str">
        <f t="shared" si="2"/>
        <v/>
      </c>
      <c r="BK68" t="str">
        <f t="shared" si="3"/>
        <v/>
      </c>
    </row>
    <row r="69" spans="62:63">
      <c r="BJ69" t="str">
        <f t="shared" si="2"/>
        <v/>
      </c>
      <c r="BK69" t="str">
        <f t="shared" si="3"/>
        <v/>
      </c>
    </row>
    <row r="70" spans="62:63">
      <c r="BJ70" t="str">
        <f t="shared" si="2"/>
        <v/>
      </c>
      <c r="BK70" t="str">
        <f t="shared" si="3"/>
        <v/>
      </c>
    </row>
    <row r="71" spans="62:63">
      <c r="BJ71" t="str">
        <f t="shared" si="2"/>
        <v/>
      </c>
      <c r="BK71" t="str">
        <f t="shared" si="3"/>
        <v/>
      </c>
    </row>
    <row r="72" spans="62:63">
      <c r="BJ72" t="str">
        <f t="shared" si="2"/>
        <v/>
      </c>
      <c r="BK72" t="str">
        <f t="shared" si="3"/>
        <v/>
      </c>
    </row>
    <row r="73" spans="62:63">
      <c r="BJ73" t="str">
        <f t="shared" si="2"/>
        <v/>
      </c>
      <c r="BK73" t="str">
        <f t="shared" si="3"/>
        <v/>
      </c>
    </row>
    <row r="74" spans="62:63">
      <c r="BJ74" t="str">
        <f t="shared" si="2"/>
        <v/>
      </c>
      <c r="BK74" t="str">
        <f t="shared" si="3"/>
        <v/>
      </c>
    </row>
    <row r="75" spans="62:63">
      <c r="BJ75" t="str">
        <f t="shared" si="2"/>
        <v/>
      </c>
      <c r="BK75" t="str">
        <f t="shared" si="3"/>
        <v/>
      </c>
    </row>
    <row r="76" spans="62:63">
      <c r="BJ76" t="str">
        <f t="shared" si="2"/>
        <v/>
      </c>
      <c r="BK76" t="str">
        <f t="shared" si="3"/>
        <v/>
      </c>
    </row>
    <row r="77" spans="62:63">
      <c r="BJ77" t="str">
        <f t="shared" si="2"/>
        <v/>
      </c>
      <c r="BK77" t="str">
        <f t="shared" si="3"/>
        <v/>
      </c>
    </row>
    <row r="78" spans="62:63">
      <c r="BJ78" t="str">
        <f t="shared" si="2"/>
        <v/>
      </c>
      <c r="BK78" t="str">
        <f t="shared" si="3"/>
        <v/>
      </c>
    </row>
    <row r="79" spans="62:63">
      <c r="BJ79" t="str">
        <f t="shared" si="2"/>
        <v/>
      </c>
      <c r="BK79" t="str">
        <f t="shared" si="3"/>
        <v/>
      </c>
    </row>
    <row r="80" spans="62:63">
      <c r="BJ80" t="str">
        <f t="shared" si="2"/>
        <v/>
      </c>
      <c r="BK80" t="str">
        <f t="shared" si="3"/>
        <v/>
      </c>
    </row>
    <row r="81" spans="62:63">
      <c r="BJ81" t="str">
        <f t="shared" si="2"/>
        <v/>
      </c>
      <c r="BK81" t="str">
        <f t="shared" si="3"/>
        <v/>
      </c>
    </row>
    <row r="82" spans="62:63">
      <c r="BJ82" t="str">
        <f t="shared" si="2"/>
        <v/>
      </c>
      <c r="BK82" t="str">
        <f t="shared" si="3"/>
        <v/>
      </c>
    </row>
    <row r="83" spans="62:63">
      <c r="BJ83" t="str">
        <f t="shared" si="2"/>
        <v/>
      </c>
      <c r="BK83" t="str">
        <f t="shared" si="3"/>
        <v/>
      </c>
    </row>
    <row r="84" spans="62:63">
      <c r="BJ84" t="str">
        <f t="shared" si="2"/>
        <v/>
      </c>
      <c r="BK84" t="str">
        <f t="shared" si="3"/>
        <v/>
      </c>
    </row>
    <row r="85" spans="62:63">
      <c r="BJ85" t="str">
        <f t="shared" si="2"/>
        <v/>
      </c>
      <c r="BK85" t="str">
        <f t="shared" si="3"/>
        <v/>
      </c>
    </row>
    <row r="86" spans="62:63">
      <c r="BJ86" t="str">
        <f t="shared" si="2"/>
        <v/>
      </c>
      <c r="BK86" t="str">
        <f t="shared" si="3"/>
        <v/>
      </c>
    </row>
    <row r="87" spans="62:63">
      <c r="BJ87" t="str">
        <f t="shared" si="2"/>
        <v/>
      </c>
      <c r="BK87" t="str">
        <f t="shared" si="3"/>
        <v/>
      </c>
    </row>
    <row r="88" spans="62:63">
      <c r="BJ88" t="str">
        <f t="shared" si="2"/>
        <v/>
      </c>
      <c r="BK88" t="str">
        <f t="shared" si="3"/>
        <v/>
      </c>
    </row>
    <row r="89" spans="62:63">
      <c r="BJ89" t="str">
        <f t="shared" si="2"/>
        <v/>
      </c>
      <c r="BK89" t="str">
        <f t="shared" si="3"/>
        <v/>
      </c>
    </row>
    <row r="90" spans="62:63">
      <c r="BJ90" t="str">
        <f t="shared" si="2"/>
        <v/>
      </c>
      <c r="BK90" t="str">
        <f t="shared" si="3"/>
        <v/>
      </c>
    </row>
    <row r="91" spans="62:63">
      <c r="BJ91" t="str">
        <f t="shared" si="2"/>
        <v/>
      </c>
      <c r="BK91" t="str">
        <f t="shared" si="3"/>
        <v/>
      </c>
    </row>
    <row r="92" spans="62:63">
      <c r="BJ92" t="str">
        <f t="shared" si="2"/>
        <v/>
      </c>
      <c r="BK92" t="str">
        <f t="shared" si="3"/>
        <v/>
      </c>
    </row>
    <row r="93" spans="62:63">
      <c r="BJ93" t="str">
        <f t="shared" si="2"/>
        <v/>
      </c>
      <c r="BK93" t="str">
        <f t="shared" si="3"/>
        <v/>
      </c>
    </row>
    <row r="94" spans="62:63">
      <c r="BJ94" t="str">
        <f t="shared" si="2"/>
        <v/>
      </c>
      <c r="BK94" t="str">
        <f t="shared" si="3"/>
        <v/>
      </c>
    </row>
    <row r="95" spans="62:63">
      <c r="BJ95" t="str">
        <f t="shared" si="2"/>
        <v/>
      </c>
      <c r="BK95" t="str">
        <f t="shared" si="3"/>
        <v/>
      </c>
    </row>
    <row r="96" spans="62:63">
      <c r="BJ96" t="str">
        <f t="shared" si="2"/>
        <v/>
      </c>
      <c r="BK96" t="str">
        <f t="shared" si="3"/>
        <v/>
      </c>
    </row>
    <row r="97" spans="62:63">
      <c r="BJ97" t="str">
        <f t="shared" si="2"/>
        <v/>
      </c>
      <c r="BK97" t="str">
        <f t="shared" si="3"/>
        <v/>
      </c>
    </row>
    <row r="98" spans="62:63">
      <c r="BJ98" t="str">
        <f t="shared" si="2"/>
        <v/>
      </c>
      <c r="BK98" t="str">
        <f t="shared" si="3"/>
        <v/>
      </c>
    </row>
    <row r="99" spans="62:63">
      <c r="BJ99" t="str">
        <f t="shared" si="2"/>
        <v/>
      </c>
      <c r="BK99" t="str">
        <f t="shared" si="3"/>
        <v/>
      </c>
    </row>
    <row r="100" spans="62:63">
      <c r="BJ100" t="str">
        <f t="shared" si="2"/>
        <v/>
      </c>
      <c r="BK100" t="str">
        <f t="shared" si="3"/>
        <v/>
      </c>
    </row>
    <row r="101" spans="62:63">
      <c r="BJ101" t="str">
        <f t="shared" si="2"/>
        <v/>
      </c>
      <c r="BK101" t="str">
        <f t="shared" si="3"/>
        <v/>
      </c>
    </row>
    <row r="102" spans="62:63">
      <c r="BJ102" t="str">
        <f t="shared" si="2"/>
        <v/>
      </c>
      <c r="BK102" t="str">
        <f t="shared" si="3"/>
        <v/>
      </c>
    </row>
    <row r="103" spans="62:63">
      <c r="BJ103" t="str">
        <f t="shared" si="2"/>
        <v/>
      </c>
      <c r="BK103" t="str">
        <f t="shared" si="3"/>
        <v/>
      </c>
    </row>
    <row r="104" spans="62:63">
      <c r="BJ104" t="str">
        <f t="shared" si="2"/>
        <v/>
      </c>
      <c r="BK104" t="str">
        <f t="shared" si="3"/>
        <v/>
      </c>
    </row>
    <row r="105" spans="62:63">
      <c r="BJ105" t="str">
        <f t="shared" si="2"/>
        <v/>
      </c>
      <c r="BK105" t="str">
        <f t="shared" si="3"/>
        <v/>
      </c>
    </row>
    <row r="106" spans="62:63">
      <c r="BJ106" t="str">
        <f t="shared" si="2"/>
        <v/>
      </c>
      <c r="BK106" t="str">
        <f t="shared" si="3"/>
        <v/>
      </c>
    </row>
    <row r="107" spans="62:63">
      <c r="BJ107" t="str">
        <f t="shared" si="2"/>
        <v/>
      </c>
      <c r="BK107" t="str">
        <f t="shared" si="3"/>
        <v/>
      </c>
    </row>
    <row r="108" spans="62:63">
      <c r="BJ108" t="str">
        <f t="shared" si="2"/>
        <v/>
      </c>
      <c r="BK108" t="str">
        <f t="shared" si="3"/>
        <v/>
      </c>
    </row>
    <row r="109" spans="62:63">
      <c r="BJ109" t="str">
        <f t="shared" si="2"/>
        <v/>
      </c>
      <c r="BK109" t="str">
        <f t="shared" si="3"/>
        <v/>
      </c>
    </row>
    <row r="110" spans="62:63">
      <c r="BJ110" t="str">
        <f t="shared" si="2"/>
        <v/>
      </c>
      <c r="BK110" t="str">
        <f t="shared" si="3"/>
        <v/>
      </c>
    </row>
    <row r="111" spans="62:63">
      <c r="BJ111" t="str">
        <f t="shared" si="2"/>
        <v/>
      </c>
      <c r="BK111" t="str">
        <f t="shared" si="3"/>
        <v/>
      </c>
    </row>
    <row r="112" spans="62:63">
      <c r="BJ112" t="str">
        <f t="shared" si="2"/>
        <v/>
      </c>
      <c r="BK112" t="str">
        <f t="shared" si="3"/>
        <v/>
      </c>
    </row>
    <row r="113" spans="62:63">
      <c r="BJ113" t="str">
        <f t="shared" si="2"/>
        <v/>
      </c>
      <c r="BK113" t="str">
        <f t="shared" si="3"/>
        <v/>
      </c>
    </row>
    <row r="114" spans="62:63">
      <c r="BJ114" t="str">
        <f t="shared" si="2"/>
        <v/>
      </c>
      <c r="BK114" t="str">
        <f t="shared" si="3"/>
        <v/>
      </c>
    </row>
    <row r="115" spans="62:63">
      <c r="BJ115" t="str">
        <f t="shared" si="2"/>
        <v/>
      </c>
      <c r="BK115" t="str">
        <f t="shared" si="3"/>
        <v/>
      </c>
    </row>
    <row r="116" spans="62:63">
      <c r="BJ116" t="str">
        <f t="shared" si="2"/>
        <v/>
      </c>
      <c r="BK116" t="str">
        <f t="shared" si="3"/>
        <v/>
      </c>
    </row>
    <row r="117" spans="62:63">
      <c r="BJ117" t="str">
        <f t="shared" si="2"/>
        <v/>
      </c>
      <c r="BK117" t="str">
        <f t="shared" si="3"/>
        <v/>
      </c>
    </row>
    <row r="118" spans="62:63">
      <c r="BJ118" t="str">
        <f t="shared" si="2"/>
        <v/>
      </c>
      <c r="BK118" t="str">
        <f t="shared" si="3"/>
        <v/>
      </c>
    </row>
    <row r="119" spans="62:63">
      <c r="BJ119" t="str">
        <f t="shared" si="2"/>
        <v/>
      </c>
      <c r="BK119" t="str">
        <f t="shared" si="3"/>
        <v/>
      </c>
    </row>
    <row r="120" spans="62:63">
      <c r="BJ120" t="str">
        <f t="shared" si="2"/>
        <v/>
      </c>
      <c r="BK120" t="str">
        <f t="shared" si="3"/>
        <v/>
      </c>
    </row>
    <row r="121" spans="62:63">
      <c r="BJ121" t="str">
        <f t="shared" si="2"/>
        <v/>
      </c>
      <c r="BK121" t="str">
        <f t="shared" si="3"/>
        <v/>
      </c>
    </row>
    <row r="122" spans="62:63">
      <c r="BJ122" t="str">
        <f t="shared" si="2"/>
        <v/>
      </c>
      <c r="BK122" t="str">
        <f t="shared" si="3"/>
        <v/>
      </c>
    </row>
    <row r="123" spans="62:63">
      <c r="BJ123" t="str">
        <f t="shared" si="2"/>
        <v/>
      </c>
      <c r="BK123" t="str">
        <f t="shared" si="3"/>
        <v/>
      </c>
    </row>
    <row r="124" spans="62:63">
      <c r="BJ124" t="str">
        <f t="shared" si="2"/>
        <v/>
      </c>
      <c r="BK124" t="str">
        <f t="shared" si="3"/>
        <v/>
      </c>
    </row>
    <row r="125" spans="62:63">
      <c r="BJ125" t="str">
        <f t="shared" si="2"/>
        <v/>
      </c>
      <c r="BK125" t="str">
        <f t="shared" si="3"/>
        <v/>
      </c>
    </row>
    <row r="126" spans="62:63">
      <c r="BJ126" t="str">
        <f t="shared" si="2"/>
        <v/>
      </c>
      <c r="BK126" t="str">
        <f t="shared" si="3"/>
        <v/>
      </c>
    </row>
    <row r="127" spans="62:63">
      <c r="BJ127" t="str">
        <f t="shared" si="2"/>
        <v/>
      </c>
      <c r="BK127" t="str">
        <f t="shared" si="3"/>
        <v/>
      </c>
    </row>
    <row r="128" spans="62:63">
      <c r="BJ128" t="str">
        <f t="shared" si="2"/>
        <v/>
      </c>
      <c r="BK128" t="str">
        <f t="shared" si="3"/>
        <v/>
      </c>
    </row>
    <row r="129" spans="62:63">
      <c r="BJ129" t="str">
        <f t="shared" si="2"/>
        <v/>
      </c>
      <c r="BK129" t="str">
        <f t="shared" si="3"/>
        <v/>
      </c>
    </row>
    <row r="130" spans="62:63">
      <c r="BJ130" t="str">
        <f t="shared" si="2"/>
        <v/>
      </c>
      <c r="BK130" t="str">
        <f t="shared" si="3"/>
        <v/>
      </c>
    </row>
    <row r="131" spans="62:63">
      <c r="BJ131" t="str">
        <f t="shared" ref="BJ131:BJ194" si="4">MID(C131,5,3)</f>
        <v/>
      </c>
      <c r="BK131" t="str">
        <f t="shared" ref="BK131:BK194" si="5">RIGHT(C131,3)</f>
        <v/>
      </c>
    </row>
    <row r="132" spans="62:63">
      <c r="BJ132" t="str">
        <f t="shared" si="4"/>
        <v/>
      </c>
      <c r="BK132" t="str">
        <f t="shared" si="5"/>
        <v/>
      </c>
    </row>
    <row r="133" spans="62:63">
      <c r="BJ133" t="str">
        <f t="shared" si="4"/>
        <v/>
      </c>
      <c r="BK133" t="str">
        <f t="shared" si="5"/>
        <v/>
      </c>
    </row>
    <row r="134" spans="62:63">
      <c r="BJ134" t="str">
        <f t="shared" si="4"/>
        <v/>
      </c>
      <c r="BK134" t="str">
        <f t="shared" si="5"/>
        <v/>
      </c>
    </row>
    <row r="135" spans="62:63">
      <c r="BJ135" t="str">
        <f t="shared" si="4"/>
        <v/>
      </c>
      <c r="BK135" t="str">
        <f t="shared" si="5"/>
        <v/>
      </c>
    </row>
    <row r="136" spans="62:63">
      <c r="BJ136" t="str">
        <f t="shared" si="4"/>
        <v/>
      </c>
      <c r="BK136" t="str">
        <f t="shared" si="5"/>
        <v/>
      </c>
    </row>
    <row r="137" spans="62:63">
      <c r="BJ137" t="str">
        <f t="shared" si="4"/>
        <v/>
      </c>
      <c r="BK137" t="str">
        <f t="shared" si="5"/>
        <v/>
      </c>
    </row>
    <row r="138" spans="62:63">
      <c r="BJ138" t="str">
        <f t="shared" si="4"/>
        <v/>
      </c>
      <c r="BK138" t="str">
        <f t="shared" si="5"/>
        <v/>
      </c>
    </row>
    <row r="139" spans="62:63">
      <c r="BJ139" t="str">
        <f t="shared" si="4"/>
        <v/>
      </c>
      <c r="BK139" t="str">
        <f t="shared" si="5"/>
        <v/>
      </c>
    </row>
    <row r="140" spans="62:63">
      <c r="BJ140" t="str">
        <f t="shared" si="4"/>
        <v/>
      </c>
      <c r="BK140" t="str">
        <f t="shared" si="5"/>
        <v/>
      </c>
    </row>
    <row r="141" spans="62:63">
      <c r="BJ141" t="str">
        <f t="shared" si="4"/>
        <v/>
      </c>
      <c r="BK141" t="str">
        <f t="shared" si="5"/>
        <v/>
      </c>
    </row>
    <row r="142" spans="62:63">
      <c r="BJ142" t="str">
        <f t="shared" si="4"/>
        <v/>
      </c>
      <c r="BK142" t="str">
        <f t="shared" si="5"/>
        <v/>
      </c>
    </row>
    <row r="143" spans="62:63">
      <c r="BJ143" t="str">
        <f t="shared" si="4"/>
        <v/>
      </c>
      <c r="BK143" t="str">
        <f t="shared" si="5"/>
        <v/>
      </c>
    </row>
    <row r="144" spans="62:63">
      <c r="BJ144" t="str">
        <f t="shared" si="4"/>
        <v/>
      </c>
      <c r="BK144" t="str">
        <f t="shared" si="5"/>
        <v/>
      </c>
    </row>
    <row r="145" spans="62:63">
      <c r="BJ145" t="str">
        <f t="shared" si="4"/>
        <v/>
      </c>
      <c r="BK145" t="str">
        <f t="shared" si="5"/>
        <v/>
      </c>
    </row>
    <row r="146" spans="62:63">
      <c r="BJ146" t="str">
        <f t="shared" si="4"/>
        <v/>
      </c>
      <c r="BK146" t="str">
        <f t="shared" si="5"/>
        <v/>
      </c>
    </row>
    <row r="147" spans="62:63">
      <c r="BJ147" t="str">
        <f t="shared" si="4"/>
        <v/>
      </c>
      <c r="BK147" t="str">
        <f t="shared" si="5"/>
        <v/>
      </c>
    </row>
    <row r="148" spans="62:63">
      <c r="BJ148" t="str">
        <f t="shared" si="4"/>
        <v/>
      </c>
      <c r="BK148" t="str">
        <f t="shared" si="5"/>
        <v/>
      </c>
    </row>
    <row r="149" spans="62:63">
      <c r="BJ149" t="str">
        <f t="shared" si="4"/>
        <v/>
      </c>
      <c r="BK149" t="str">
        <f t="shared" si="5"/>
        <v/>
      </c>
    </row>
    <row r="150" spans="62:63">
      <c r="BJ150" t="str">
        <f t="shared" si="4"/>
        <v/>
      </c>
      <c r="BK150" t="str">
        <f t="shared" si="5"/>
        <v/>
      </c>
    </row>
    <row r="151" spans="62:63">
      <c r="BJ151" t="str">
        <f t="shared" si="4"/>
        <v/>
      </c>
      <c r="BK151" t="str">
        <f t="shared" si="5"/>
        <v/>
      </c>
    </row>
    <row r="152" spans="62:63">
      <c r="BJ152" t="str">
        <f t="shared" si="4"/>
        <v/>
      </c>
      <c r="BK152" t="str">
        <f t="shared" si="5"/>
        <v/>
      </c>
    </row>
    <row r="153" spans="62:63">
      <c r="BJ153" t="str">
        <f t="shared" si="4"/>
        <v/>
      </c>
      <c r="BK153" t="str">
        <f t="shared" si="5"/>
        <v/>
      </c>
    </row>
    <row r="154" spans="62:63">
      <c r="BJ154" t="str">
        <f t="shared" si="4"/>
        <v/>
      </c>
      <c r="BK154" t="str">
        <f t="shared" si="5"/>
        <v/>
      </c>
    </row>
    <row r="155" spans="62:63">
      <c r="BJ155" t="str">
        <f t="shared" si="4"/>
        <v/>
      </c>
      <c r="BK155" t="str">
        <f t="shared" si="5"/>
        <v/>
      </c>
    </row>
    <row r="156" spans="62:63">
      <c r="BJ156" t="str">
        <f t="shared" si="4"/>
        <v/>
      </c>
      <c r="BK156" t="str">
        <f t="shared" si="5"/>
        <v/>
      </c>
    </row>
    <row r="157" spans="62:63">
      <c r="BJ157" t="str">
        <f t="shared" si="4"/>
        <v/>
      </c>
      <c r="BK157" t="str">
        <f t="shared" si="5"/>
        <v/>
      </c>
    </row>
    <row r="158" spans="62:63">
      <c r="BJ158" t="str">
        <f t="shared" si="4"/>
        <v/>
      </c>
      <c r="BK158" t="str">
        <f t="shared" si="5"/>
        <v/>
      </c>
    </row>
    <row r="159" spans="62:63">
      <c r="BJ159" t="str">
        <f t="shared" si="4"/>
        <v/>
      </c>
      <c r="BK159" t="str">
        <f t="shared" si="5"/>
        <v/>
      </c>
    </row>
    <row r="160" spans="62:63">
      <c r="BJ160" t="str">
        <f t="shared" si="4"/>
        <v/>
      </c>
      <c r="BK160" t="str">
        <f t="shared" si="5"/>
        <v/>
      </c>
    </row>
    <row r="161" spans="62:63">
      <c r="BJ161" t="str">
        <f t="shared" si="4"/>
        <v/>
      </c>
      <c r="BK161" t="str">
        <f t="shared" si="5"/>
        <v/>
      </c>
    </row>
    <row r="162" spans="62:63">
      <c r="BJ162" t="str">
        <f t="shared" si="4"/>
        <v/>
      </c>
      <c r="BK162" t="str">
        <f t="shared" si="5"/>
        <v/>
      </c>
    </row>
    <row r="163" spans="62:63">
      <c r="BJ163" t="str">
        <f t="shared" si="4"/>
        <v/>
      </c>
      <c r="BK163" t="str">
        <f t="shared" si="5"/>
        <v/>
      </c>
    </row>
    <row r="164" spans="62:63">
      <c r="BJ164" t="str">
        <f t="shared" si="4"/>
        <v/>
      </c>
      <c r="BK164" t="str">
        <f t="shared" si="5"/>
        <v/>
      </c>
    </row>
    <row r="165" spans="62:63">
      <c r="BJ165" t="str">
        <f t="shared" si="4"/>
        <v/>
      </c>
      <c r="BK165" t="str">
        <f t="shared" si="5"/>
        <v/>
      </c>
    </row>
    <row r="166" spans="62:63">
      <c r="BJ166" t="str">
        <f t="shared" si="4"/>
        <v/>
      </c>
      <c r="BK166" t="str">
        <f t="shared" si="5"/>
        <v/>
      </c>
    </row>
    <row r="167" spans="62:63">
      <c r="BJ167" t="str">
        <f t="shared" si="4"/>
        <v/>
      </c>
      <c r="BK167" t="str">
        <f t="shared" si="5"/>
        <v/>
      </c>
    </row>
    <row r="168" spans="62:63">
      <c r="BJ168" t="str">
        <f t="shared" si="4"/>
        <v/>
      </c>
      <c r="BK168" t="str">
        <f t="shared" si="5"/>
        <v/>
      </c>
    </row>
    <row r="169" spans="62:63">
      <c r="BJ169" t="str">
        <f t="shared" si="4"/>
        <v/>
      </c>
      <c r="BK169" t="str">
        <f t="shared" si="5"/>
        <v/>
      </c>
    </row>
    <row r="170" spans="62:63">
      <c r="BJ170" t="str">
        <f t="shared" si="4"/>
        <v/>
      </c>
      <c r="BK170" t="str">
        <f t="shared" si="5"/>
        <v/>
      </c>
    </row>
    <row r="171" spans="62:63">
      <c r="BJ171" t="str">
        <f t="shared" si="4"/>
        <v/>
      </c>
      <c r="BK171" t="str">
        <f t="shared" si="5"/>
        <v/>
      </c>
    </row>
    <row r="172" spans="62:63">
      <c r="BJ172" t="str">
        <f t="shared" si="4"/>
        <v/>
      </c>
      <c r="BK172" t="str">
        <f t="shared" si="5"/>
        <v/>
      </c>
    </row>
    <row r="173" spans="62:63">
      <c r="BJ173" t="str">
        <f t="shared" si="4"/>
        <v/>
      </c>
      <c r="BK173" t="str">
        <f t="shared" si="5"/>
        <v/>
      </c>
    </row>
    <row r="174" spans="62:63">
      <c r="BJ174" t="str">
        <f t="shared" si="4"/>
        <v/>
      </c>
      <c r="BK174" t="str">
        <f t="shared" si="5"/>
        <v/>
      </c>
    </row>
    <row r="175" spans="62:63">
      <c r="BJ175" t="str">
        <f t="shared" si="4"/>
        <v/>
      </c>
      <c r="BK175" t="str">
        <f t="shared" si="5"/>
        <v/>
      </c>
    </row>
    <row r="176" spans="62:63">
      <c r="BJ176" t="str">
        <f t="shared" si="4"/>
        <v/>
      </c>
      <c r="BK176" t="str">
        <f t="shared" si="5"/>
        <v/>
      </c>
    </row>
    <row r="177" spans="62:63">
      <c r="BJ177" t="str">
        <f t="shared" si="4"/>
        <v/>
      </c>
      <c r="BK177" t="str">
        <f t="shared" si="5"/>
        <v/>
      </c>
    </row>
    <row r="178" spans="62:63">
      <c r="BJ178" t="str">
        <f t="shared" si="4"/>
        <v/>
      </c>
      <c r="BK178" t="str">
        <f t="shared" si="5"/>
        <v/>
      </c>
    </row>
    <row r="179" spans="62:63">
      <c r="BJ179" t="str">
        <f t="shared" si="4"/>
        <v/>
      </c>
      <c r="BK179" t="str">
        <f t="shared" si="5"/>
        <v/>
      </c>
    </row>
    <row r="180" spans="62:63">
      <c r="BJ180" t="str">
        <f t="shared" si="4"/>
        <v/>
      </c>
      <c r="BK180" t="str">
        <f t="shared" si="5"/>
        <v/>
      </c>
    </row>
    <row r="181" spans="62:63">
      <c r="BJ181" t="str">
        <f t="shared" si="4"/>
        <v/>
      </c>
      <c r="BK181" t="str">
        <f t="shared" si="5"/>
        <v/>
      </c>
    </row>
    <row r="182" spans="62:63">
      <c r="BJ182" t="str">
        <f t="shared" si="4"/>
        <v/>
      </c>
      <c r="BK182" t="str">
        <f t="shared" si="5"/>
        <v/>
      </c>
    </row>
    <row r="183" spans="62:63">
      <c r="BJ183" t="str">
        <f t="shared" si="4"/>
        <v/>
      </c>
      <c r="BK183" t="str">
        <f t="shared" si="5"/>
        <v/>
      </c>
    </row>
    <row r="184" spans="62:63">
      <c r="BJ184" t="str">
        <f t="shared" si="4"/>
        <v/>
      </c>
      <c r="BK184" t="str">
        <f t="shared" si="5"/>
        <v/>
      </c>
    </row>
    <row r="185" spans="62:63">
      <c r="BJ185" t="str">
        <f t="shared" si="4"/>
        <v/>
      </c>
      <c r="BK185" t="str">
        <f t="shared" si="5"/>
        <v/>
      </c>
    </row>
    <row r="186" spans="62:63">
      <c r="BJ186" t="str">
        <f t="shared" si="4"/>
        <v/>
      </c>
      <c r="BK186" t="str">
        <f t="shared" si="5"/>
        <v/>
      </c>
    </row>
    <row r="187" spans="62:63">
      <c r="BJ187" t="str">
        <f t="shared" si="4"/>
        <v/>
      </c>
      <c r="BK187" t="str">
        <f t="shared" si="5"/>
        <v/>
      </c>
    </row>
    <row r="188" spans="62:63">
      <c r="BJ188" t="str">
        <f t="shared" si="4"/>
        <v/>
      </c>
      <c r="BK188" t="str">
        <f t="shared" si="5"/>
        <v/>
      </c>
    </row>
    <row r="189" spans="62:63">
      <c r="BJ189" t="str">
        <f t="shared" si="4"/>
        <v/>
      </c>
      <c r="BK189" t="str">
        <f t="shared" si="5"/>
        <v/>
      </c>
    </row>
    <row r="190" spans="62:63">
      <c r="BJ190" t="str">
        <f t="shared" si="4"/>
        <v/>
      </c>
      <c r="BK190" t="str">
        <f t="shared" si="5"/>
        <v/>
      </c>
    </row>
    <row r="191" spans="62:63">
      <c r="BJ191" t="str">
        <f t="shared" si="4"/>
        <v/>
      </c>
      <c r="BK191" t="str">
        <f t="shared" si="5"/>
        <v/>
      </c>
    </row>
    <row r="192" spans="62:63">
      <c r="BJ192" t="str">
        <f t="shared" si="4"/>
        <v/>
      </c>
      <c r="BK192" t="str">
        <f t="shared" si="5"/>
        <v/>
      </c>
    </row>
    <row r="193" spans="62:63">
      <c r="BJ193" t="str">
        <f t="shared" si="4"/>
        <v/>
      </c>
      <c r="BK193" t="str">
        <f t="shared" si="5"/>
        <v/>
      </c>
    </row>
    <row r="194" spans="62:63">
      <c r="BJ194" t="str">
        <f t="shared" si="4"/>
        <v/>
      </c>
      <c r="BK194" t="str">
        <f t="shared" si="5"/>
        <v/>
      </c>
    </row>
    <row r="195" spans="62:63">
      <c r="BJ195" t="str">
        <f t="shared" ref="BJ195:BJ258" si="6">MID(C195,5,3)</f>
        <v/>
      </c>
      <c r="BK195" t="str">
        <f t="shared" ref="BK195:BK258" si="7">RIGHT(C195,3)</f>
        <v/>
      </c>
    </row>
    <row r="196" spans="62:63">
      <c r="BJ196" t="str">
        <f t="shared" si="6"/>
        <v/>
      </c>
      <c r="BK196" t="str">
        <f t="shared" si="7"/>
        <v/>
      </c>
    </row>
    <row r="197" spans="62:63">
      <c r="BJ197" t="str">
        <f t="shared" si="6"/>
        <v/>
      </c>
      <c r="BK197" t="str">
        <f t="shared" si="7"/>
        <v/>
      </c>
    </row>
    <row r="198" spans="62:63">
      <c r="BJ198" t="str">
        <f t="shared" si="6"/>
        <v/>
      </c>
      <c r="BK198" t="str">
        <f t="shared" si="7"/>
        <v/>
      </c>
    </row>
    <row r="199" spans="62:63">
      <c r="BJ199" t="str">
        <f t="shared" si="6"/>
        <v/>
      </c>
      <c r="BK199" t="str">
        <f t="shared" si="7"/>
        <v/>
      </c>
    </row>
    <row r="200" spans="62:63">
      <c r="BJ200" t="str">
        <f t="shared" si="6"/>
        <v/>
      </c>
      <c r="BK200" t="str">
        <f t="shared" si="7"/>
        <v/>
      </c>
    </row>
    <row r="201" spans="62:63">
      <c r="BJ201" t="str">
        <f t="shared" si="6"/>
        <v/>
      </c>
      <c r="BK201" t="str">
        <f t="shared" si="7"/>
        <v/>
      </c>
    </row>
    <row r="202" spans="62:63">
      <c r="BJ202" t="str">
        <f t="shared" si="6"/>
        <v/>
      </c>
      <c r="BK202" t="str">
        <f t="shared" si="7"/>
        <v/>
      </c>
    </row>
    <row r="203" spans="62:63">
      <c r="BJ203" t="str">
        <f t="shared" si="6"/>
        <v/>
      </c>
      <c r="BK203" t="str">
        <f t="shared" si="7"/>
        <v/>
      </c>
    </row>
    <row r="204" spans="62:63">
      <c r="BJ204" t="str">
        <f t="shared" si="6"/>
        <v/>
      </c>
      <c r="BK204" t="str">
        <f t="shared" si="7"/>
        <v/>
      </c>
    </row>
    <row r="205" spans="62:63">
      <c r="BJ205" t="str">
        <f t="shared" si="6"/>
        <v/>
      </c>
      <c r="BK205" t="str">
        <f t="shared" si="7"/>
        <v/>
      </c>
    </row>
    <row r="206" spans="62:63">
      <c r="BJ206" t="str">
        <f t="shared" si="6"/>
        <v/>
      </c>
      <c r="BK206" t="str">
        <f t="shared" si="7"/>
        <v/>
      </c>
    </row>
    <row r="207" spans="62:63">
      <c r="BJ207" t="str">
        <f t="shared" si="6"/>
        <v/>
      </c>
      <c r="BK207" t="str">
        <f t="shared" si="7"/>
        <v/>
      </c>
    </row>
    <row r="208" spans="62:63">
      <c r="BJ208" t="str">
        <f t="shared" si="6"/>
        <v/>
      </c>
      <c r="BK208" t="str">
        <f t="shared" si="7"/>
        <v/>
      </c>
    </row>
    <row r="209" spans="62:63">
      <c r="BJ209" t="str">
        <f t="shared" si="6"/>
        <v/>
      </c>
      <c r="BK209" t="str">
        <f t="shared" si="7"/>
        <v/>
      </c>
    </row>
    <row r="210" spans="62:63">
      <c r="BJ210" t="str">
        <f t="shared" si="6"/>
        <v/>
      </c>
      <c r="BK210" t="str">
        <f t="shared" si="7"/>
        <v/>
      </c>
    </row>
    <row r="211" spans="62:63">
      <c r="BJ211" t="str">
        <f t="shared" si="6"/>
        <v/>
      </c>
      <c r="BK211" t="str">
        <f t="shared" si="7"/>
        <v/>
      </c>
    </row>
    <row r="212" spans="62:63">
      <c r="BJ212" t="str">
        <f t="shared" si="6"/>
        <v/>
      </c>
      <c r="BK212" t="str">
        <f t="shared" si="7"/>
        <v/>
      </c>
    </row>
    <row r="213" spans="62:63">
      <c r="BJ213" t="str">
        <f t="shared" si="6"/>
        <v/>
      </c>
      <c r="BK213" t="str">
        <f t="shared" si="7"/>
        <v/>
      </c>
    </row>
    <row r="214" spans="62:63">
      <c r="BJ214" t="str">
        <f t="shared" si="6"/>
        <v/>
      </c>
      <c r="BK214" t="str">
        <f t="shared" si="7"/>
        <v/>
      </c>
    </row>
    <row r="215" spans="62:63">
      <c r="BJ215" t="str">
        <f t="shared" si="6"/>
        <v/>
      </c>
      <c r="BK215" t="str">
        <f t="shared" si="7"/>
        <v/>
      </c>
    </row>
    <row r="216" spans="62:63">
      <c r="BJ216" t="str">
        <f t="shared" si="6"/>
        <v/>
      </c>
      <c r="BK216" t="str">
        <f t="shared" si="7"/>
        <v/>
      </c>
    </row>
    <row r="217" spans="62:63">
      <c r="BJ217" t="str">
        <f t="shared" si="6"/>
        <v/>
      </c>
      <c r="BK217" t="str">
        <f t="shared" si="7"/>
        <v/>
      </c>
    </row>
    <row r="218" spans="62:63">
      <c r="BJ218" t="str">
        <f t="shared" si="6"/>
        <v/>
      </c>
      <c r="BK218" t="str">
        <f t="shared" si="7"/>
        <v/>
      </c>
    </row>
    <row r="219" spans="62:63">
      <c r="BJ219" t="str">
        <f t="shared" si="6"/>
        <v/>
      </c>
      <c r="BK219" t="str">
        <f t="shared" si="7"/>
        <v/>
      </c>
    </row>
    <row r="220" spans="62:63">
      <c r="BJ220" t="str">
        <f t="shared" si="6"/>
        <v/>
      </c>
      <c r="BK220" t="str">
        <f t="shared" si="7"/>
        <v/>
      </c>
    </row>
    <row r="221" spans="62:63">
      <c r="BJ221" t="str">
        <f t="shared" si="6"/>
        <v/>
      </c>
      <c r="BK221" t="str">
        <f t="shared" si="7"/>
        <v/>
      </c>
    </row>
    <row r="222" spans="62:63">
      <c r="BJ222" t="str">
        <f t="shared" si="6"/>
        <v/>
      </c>
      <c r="BK222" t="str">
        <f t="shared" si="7"/>
        <v/>
      </c>
    </row>
    <row r="223" spans="62:63">
      <c r="BJ223" t="str">
        <f t="shared" si="6"/>
        <v/>
      </c>
      <c r="BK223" t="str">
        <f t="shared" si="7"/>
        <v/>
      </c>
    </row>
    <row r="224" spans="62:63">
      <c r="BJ224" t="str">
        <f t="shared" si="6"/>
        <v/>
      </c>
      <c r="BK224" t="str">
        <f t="shared" si="7"/>
        <v/>
      </c>
    </row>
    <row r="225" spans="62:63">
      <c r="BJ225" t="str">
        <f t="shared" si="6"/>
        <v/>
      </c>
      <c r="BK225" t="str">
        <f t="shared" si="7"/>
        <v/>
      </c>
    </row>
    <row r="226" spans="62:63">
      <c r="BJ226" t="str">
        <f t="shared" si="6"/>
        <v/>
      </c>
      <c r="BK226" t="str">
        <f t="shared" si="7"/>
        <v/>
      </c>
    </row>
    <row r="227" spans="62:63">
      <c r="BJ227" t="str">
        <f t="shared" si="6"/>
        <v/>
      </c>
      <c r="BK227" t="str">
        <f t="shared" si="7"/>
        <v/>
      </c>
    </row>
    <row r="228" spans="62:63">
      <c r="BJ228" t="str">
        <f t="shared" si="6"/>
        <v/>
      </c>
      <c r="BK228" t="str">
        <f t="shared" si="7"/>
        <v/>
      </c>
    </row>
    <row r="229" spans="62:63">
      <c r="BJ229" t="str">
        <f t="shared" si="6"/>
        <v/>
      </c>
      <c r="BK229" t="str">
        <f t="shared" si="7"/>
        <v/>
      </c>
    </row>
    <row r="230" spans="62:63">
      <c r="BJ230" t="str">
        <f t="shared" si="6"/>
        <v/>
      </c>
      <c r="BK230" t="str">
        <f t="shared" si="7"/>
        <v/>
      </c>
    </row>
    <row r="231" spans="62:63">
      <c r="BJ231" t="str">
        <f t="shared" si="6"/>
        <v/>
      </c>
      <c r="BK231" t="str">
        <f t="shared" si="7"/>
        <v/>
      </c>
    </row>
    <row r="232" spans="62:63">
      <c r="BJ232" t="str">
        <f t="shared" si="6"/>
        <v/>
      </c>
      <c r="BK232" t="str">
        <f t="shared" si="7"/>
        <v/>
      </c>
    </row>
    <row r="233" spans="62:63">
      <c r="BJ233" t="str">
        <f t="shared" si="6"/>
        <v/>
      </c>
      <c r="BK233" t="str">
        <f t="shared" si="7"/>
        <v/>
      </c>
    </row>
    <row r="234" spans="62:63">
      <c r="BJ234" t="str">
        <f t="shared" si="6"/>
        <v/>
      </c>
      <c r="BK234" t="str">
        <f t="shared" si="7"/>
        <v/>
      </c>
    </row>
    <row r="235" spans="62:63">
      <c r="BJ235" t="str">
        <f t="shared" si="6"/>
        <v/>
      </c>
      <c r="BK235" t="str">
        <f t="shared" si="7"/>
        <v/>
      </c>
    </row>
    <row r="236" spans="62:63">
      <c r="BJ236" t="str">
        <f t="shared" si="6"/>
        <v/>
      </c>
      <c r="BK236" t="str">
        <f t="shared" si="7"/>
        <v/>
      </c>
    </row>
    <row r="237" spans="62:63">
      <c r="BJ237" t="str">
        <f t="shared" si="6"/>
        <v/>
      </c>
      <c r="BK237" t="str">
        <f t="shared" si="7"/>
        <v/>
      </c>
    </row>
    <row r="238" spans="62:63">
      <c r="BJ238" t="str">
        <f t="shared" si="6"/>
        <v/>
      </c>
      <c r="BK238" t="str">
        <f t="shared" si="7"/>
        <v/>
      </c>
    </row>
    <row r="239" spans="62:63">
      <c r="BJ239" t="str">
        <f t="shared" si="6"/>
        <v/>
      </c>
      <c r="BK239" t="str">
        <f t="shared" si="7"/>
        <v/>
      </c>
    </row>
    <row r="240" spans="62:63">
      <c r="BJ240" t="str">
        <f t="shared" si="6"/>
        <v/>
      </c>
      <c r="BK240" t="str">
        <f t="shared" si="7"/>
        <v/>
      </c>
    </row>
    <row r="241" spans="62:63">
      <c r="BJ241" t="str">
        <f t="shared" si="6"/>
        <v/>
      </c>
      <c r="BK241" t="str">
        <f t="shared" si="7"/>
        <v/>
      </c>
    </row>
    <row r="242" spans="62:63">
      <c r="BJ242" t="str">
        <f t="shared" si="6"/>
        <v/>
      </c>
      <c r="BK242" t="str">
        <f t="shared" si="7"/>
        <v/>
      </c>
    </row>
    <row r="243" spans="62:63">
      <c r="BJ243" t="str">
        <f t="shared" si="6"/>
        <v/>
      </c>
      <c r="BK243" t="str">
        <f t="shared" si="7"/>
        <v/>
      </c>
    </row>
    <row r="244" spans="62:63">
      <c r="BJ244" t="str">
        <f t="shared" si="6"/>
        <v/>
      </c>
      <c r="BK244" t="str">
        <f t="shared" si="7"/>
        <v/>
      </c>
    </row>
    <row r="245" spans="62:63">
      <c r="BJ245" t="str">
        <f t="shared" si="6"/>
        <v/>
      </c>
      <c r="BK245" t="str">
        <f t="shared" si="7"/>
        <v/>
      </c>
    </row>
    <row r="246" spans="62:63">
      <c r="BJ246" t="str">
        <f t="shared" si="6"/>
        <v/>
      </c>
      <c r="BK246" t="str">
        <f t="shared" si="7"/>
        <v/>
      </c>
    </row>
    <row r="247" spans="62:63">
      <c r="BJ247" t="str">
        <f t="shared" si="6"/>
        <v/>
      </c>
      <c r="BK247" t="str">
        <f t="shared" si="7"/>
        <v/>
      </c>
    </row>
    <row r="248" spans="62:63">
      <c r="BJ248" t="str">
        <f t="shared" si="6"/>
        <v/>
      </c>
      <c r="BK248" t="str">
        <f t="shared" si="7"/>
        <v/>
      </c>
    </row>
    <row r="249" spans="62:63">
      <c r="BJ249" t="str">
        <f t="shared" si="6"/>
        <v/>
      </c>
      <c r="BK249" t="str">
        <f t="shared" si="7"/>
        <v/>
      </c>
    </row>
    <row r="250" spans="62:63">
      <c r="BJ250" t="str">
        <f t="shared" si="6"/>
        <v/>
      </c>
      <c r="BK250" t="str">
        <f t="shared" si="7"/>
        <v/>
      </c>
    </row>
    <row r="251" spans="62:63">
      <c r="BJ251" t="str">
        <f t="shared" si="6"/>
        <v/>
      </c>
      <c r="BK251" t="str">
        <f t="shared" si="7"/>
        <v/>
      </c>
    </row>
    <row r="252" spans="62:63">
      <c r="BJ252" t="str">
        <f t="shared" si="6"/>
        <v/>
      </c>
      <c r="BK252" t="str">
        <f t="shared" si="7"/>
        <v/>
      </c>
    </row>
    <row r="253" spans="62:63">
      <c r="BJ253" t="str">
        <f t="shared" si="6"/>
        <v/>
      </c>
      <c r="BK253" t="str">
        <f t="shared" si="7"/>
        <v/>
      </c>
    </row>
    <row r="254" spans="62:63">
      <c r="BJ254" t="str">
        <f t="shared" si="6"/>
        <v/>
      </c>
      <c r="BK254" t="str">
        <f t="shared" si="7"/>
        <v/>
      </c>
    </row>
    <row r="255" spans="62:63">
      <c r="BJ255" t="str">
        <f t="shared" si="6"/>
        <v/>
      </c>
      <c r="BK255" t="str">
        <f t="shared" si="7"/>
        <v/>
      </c>
    </row>
    <row r="256" spans="62:63">
      <c r="BJ256" t="str">
        <f t="shared" si="6"/>
        <v/>
      </c>
      <c r="BK256" t="str">
        <f t="shared" si="7"/>
        <v/>
      </c>
    </row>
    <row r="257" spans="62:63">
      <c r="BJ257" t="str">
        <f t="shared" si="6"/>
        <v/>
      </c>
      <c r="BK257" t="str">
        <f t="shared" si="7"/>
        <v/>
      </c>
    </row>
    <row r="258" spans="62:63">
      <c r="BJ258" t="str">
        <f t="shared" si="6"/>
        <v/>
      </c>
      <c r="BK258" t="str">
        <f t="shared" si="7"/>
        <v/>
      </c>
    </row>
    <row r="259" spans="62:63">
      <c r="BJ259" t="str">
        <f t="shared" ref="BJ259:BJ322" si="8">MID(C259,5,3)</f>
        <v/>
      </c>
      <c r="BK259" t="str">
        <f t="shared" ref="BK259:BK322" si="9">RIGHT(C259,3)</f>
        <v/>
      </c>
    </row>
    <row r="260" spans="62:63">
      <c r="BJ260" t="str">
        <f t="shared" si="8"/>
        <v/>
      </c>
      <c r="BK260" t="str">
        <f t="shared" si="9"/>
        <v/>
      </c>
    </row>
    <row r="261" spans="62:63">
      <c r="BJ261" t="str">
        <f t="shared" si="8"/>
        <v/>
      </c>
      <c r="BK261" t="str">
        <f t="shared" si="9"/>
        <v/>
      </c>
    </row>
    <row r="262" spans="62:63">
      <c r="BJ262" t="str">
        <f t="shared" si="8"/>
        <v/>
      </c>
      <c r="BK262" t="str">
        <f t="shared" si="9"/>
        <v/>
      </c>
    </row>
    <row r="263" spans="62:63">
      <c r="BJ263" t="str">
        <f t="shared" si="8"/>
        <v/>
      </c>
      <c r="BK263" t="str">
        <f t="shared" si="9"/>
        <v/>
      </c>
    </row>
    <row r="264" spans="62:63">
      <c r="BJ264" t="str">
        <f t="shared" si="8"/>
        <v/>
      </c>
      <c r="BK264" t="str">
        <f t="shared" si="9"/>
        <v/>
      </c>
    </row>
    <row r="265" spans="62:63">
      <c r="BJ265" t="str">
        <f t="shared" si="8"/>
        <v/>
      </c>
      <c r="BK265" t="str">
        <f t="shared" si="9"/>
        <v/>
      </c>
    </row>
    <row r="266" spans="62:63">
      <c r="BJ266" t="str">
        <f t="shared" si="8"/>
        <v/>
      </c>
      <c r="BK266" t="str">
        <f t="shared" si="9"/>
        <v/>
      </c>
    </row>
    <row r="267" spans="62:63">
      <c r="BJ267" t="str">
        <f t="shared" si="8"/>
        <v/>
      </c>
      <c r="BK267" t="str">
        <f t="shared" si="9"/>
        <v/>
      </c>
    </row>
    <row r="268" spans="62:63">
      <c r="BJ268" t="str">
        <f t="shared" si="8"/>
        <v/>
      </c>
      <c r="BK268" t="str">
        <f t="shared" si="9"/>
        <v/>
      </c>
    </row>
    <row r="269" spans="62:63">
      <c r="BJ269" t="str">
        <f t="shared" si="8"/>
        <v/>
      </c>
      <c r="BK269" t="str">
        <f t="shared" si="9"/>
        <v/>
      </c>
    </row>
    <row r="270" spans="62:63">
      <c r="BJ270" t="str">
        <f t="shared" si="8"/>
        <v/>
      </c>
      <c r="BK270" t="str">
        <f t="shared" si="9"/>
        <v/>
      </c>
    </row>
    <row r="271" spans="62:63">
      <c r="BJ271" t="str">
        <f t="shared" si="8"/>
        <v/>
      </c>
      <c r="BK271" t="str">
        <f t="shared" si="9"/>
        <v/>
      </c>
    </row>
    <row r="272" spans="62:63">
      <c r="BJ272" t="str">
        <f t="shared" si="8"/>
        <v/>
      </c>
      <c r="BK272" t="str">
        <f t="shared" si="9"/>
        <v/>
      </c>
    </row>
    <row r="273" spans="62:63">
      <c r="BJ273" t="str">
        <f t="shared" si="8"/>
        <v/>
      </c>
      <c r="BK273" t="str">
        <f t="shared" si="9"/>
        <v/>
      </c>
    </row>
    <row r="274" spans="62:63">
      <c r="BJ274" t="str">
        <f t="shared" si="8"/>
        <v/>
      </c>
      <c r="BK274" t="str">
        <f t="shared" si="9"/>
        <v/>
      </c>
    </row>
    <row r="275" spans="62:63">
      <c r="BJ275" t="str">
        <f t="shared" si="8"/>
        <v/>
      </c>
      <c r="BK275" t="str">
        <f t="shared" si="9"/>
        <v/>
      </c>
    </row>
    <row r="276" spans="62:63">
      <c r="BJ276" t="str">
        <f t="shared" si="8"/>
        <v/>
      </c>
      <c r="BK276" t="str">
        <f t="shared" si="9"/>
        <v/>
      </c>
    </row>
    <row r="277" spans="62:63">
      <c r="BJ277" t="str">
        <f t="shared" si="8"/>
        <v/>
      </c>
      <c r="BK277" t="str">
        <f t="shared" si="9"/>
        <v/>
      </c>
    </row>
    <row r="278" spans="62:63">
      <c r="BJ278" t="str">
        <f t="shared" si="8"/>
        <v/>
      </c>
      <c r="BK278" t="str">
        <f t="shared" si="9"/>
        <v/>
      </c>
    </row>
    <row r="279" spans="62:63">
      <c r="BJ279" t="str">
        <f t="shared" si="8"/>
        <v/>
      </c>
      <c r="BK279" t="str">
        <f t="shared" si="9"/>
        <v/>
      </c>
    </row>
    <row r="280" spans="62:63">
      <c r="BJ280" t="str">
        <f t="shared" si="8"/>
        <v/>
      </c>
      <c r="BK280" t="str">
        <f t="shared" si="9"/>
        <v/>
      </c>
    </row>
    <row r="281" spans="62:63">
      <c r="BJ281" t="str">
        <f t="shared" si="8"/>
        <v/>
      </c>
      <c r="BK281" t="str">
        <f t="shared" si="9"/>
        <v/>
      </c>
    </row>
    <row r="282" spans="62:63">
      <c r="BJ282" t="str">
        <f t="shared" si="8"/>
        <v/>
      </c>
      <c r="BK282" t="str">
        <f t="shared" si="9"/>
        <v/>
      </c>
    </row>
    <row r="283" spans="62:63">
      <c r="BJ283" t="str">
        <f t="shared" si="8"/>
        <v/>
      </c>
      <c r="BK283" t="str">
        <f t="shared" si="9"/>
        <v/>
      </c>
    </row>
    <row r="284" spans="62:63">
      <c r="BJ284" t="str">
        <f t="shared" si="8"/>
        <v/>
      </c>
      <c r="BK284" t="str">
        <f t="shared" si="9"/>
        <v/>
      </c>
    </row>
    <row r="285" spans="62:63">
      <c r="BJ285" t="str">
        <f t="shared" si="8"/>
        <v/>
      </c>
      <c r="BK285" t="str">
        <f t="shared" si="9"/>
        <v/>
      </c>
    </row>
    <row r="286" spans="62:63">
      <c r="BJ286" t="str">
        <f t="shared" si="8"/>
        <v/>
      </c>
      <c r="BK286" t="str">
        <f t="shared" si="9"/>
        <v/>
      </c>
    </row>
    <row r="287" spans="62:63">
      <c r="BJ287" t="str">
        <f t="shared" si="8"/>
        <v/>
      </c>
      <c r="BK287" t="str">
        <f t="shared" si="9"/>
        <v/>
      </c>
    </row>
    <row r="288" spans="62:63">
      <c r="BJ288" t="str">
        <f t="shared" si="8"/>
        <v/>
      </c>
      <c r="BK288" t="str">
        <f t="shared" si="9"/>
        <v/>
      </c>
    </row>
    <row r="289" spans="62:63">
      <c r="BJ289" t="str">
        <f t="shared" si="8"/>
        <v/>
      </c>
      <c r="BK289" t="str">
        <f t="shared" si="9"/>
        <v/>
      </c>
    </row>
    <row r="290" spans="62:63">
      <c r="BJ290" t="str">
        <f t="shared" si="8"/>
        <v/>
      </c>
      <c r="BK290" t="str">
        <f t="shared" si="9"/>
        <v/>
      </c>
    </row>
    <row r="291" spans="62:63">
      <c r="BJ291" t="str">
        <f t="shared" si="8"/>
        <v/>
      </c>
      <c r="BK291" t="str">
        <f t="shared" si="9"/>
        <v/>
      </c>
    </row>
    <row r="292" spans="62:63">
      <c r="BJ292" t="str">
        <f t="shared" si="8"/>
        <v/>
      </c>
      <c r="BK292" t="str">
        <f t="shared" si="9"/>
        <v/>
      </c>
    </row>
    <row r="293" spans="62:63">
      <c r="BJ293" t="str">
        <f t="shared" si="8"/>
        <v/>
      </c>
      <c r="BK293" t="str">
        <f t="shared" si="9"/>
        <v/>
      </c>
    </row>
    <row r="294" spans="62:63">
      <c r="BJ294" t="str">
        <f t="shared" si="8"/>
        <v/>
      </c>
      <c r="BK294" t="str">
        <f t="shared" si="9"/>
        <v/>
      </c>
    </row>
    <row r="295" spans="62:63">
      <c r="BJ295" t="str">
        <f t="shared" si="8"/>
        <v/>
      </c>
      <c r="BK295" t="str">
        <f t="shared" si="9"/>
        <v/>
      </c>
    </row>
    <row r="296" spans="62:63">
      <c r="BJ296" t="str">
        <f t="shared" si="8"/>
        <v/>
      </c>
      <c r="BK296" t="str">
        <f t="shared" si="9"/>
        <v/>
      </c>
    </row>
    <row r="297" spans="62:63">
      <c r="BJ297" t="str">
        <f t="shared" si="8"/>
        <v/>
      </c>
      <c r="BK297" t="str">
        <f t="shared" si="9"/>
        <v/>
      </c>
    </row>
    <row r="298" spans="62:63">
      <c r="BJ298" t="str">
        <f t="shared" si="8"/>
        <v/>
      </c>
      <c r="BK298" t="str">
        <f t="shared" si="9"/>
        <v/>
      </c>
    </row>
    <row r="299" spans="62:63">
      <c r="BJ299" t="str">
        <f t="shared" si="8"/>
        <v/>
      </c>
      <c r="BK299" t="str">
        <f t="shared" si="9"/>
        <v/>
      </c>
    </row>
    <row r="300" spans="62:63">
      <c r="BJ300" t="str">
        <f t="shared" si="8"/>
        <v/>
      </c>
      <c r="BK300" t="str">
        <f t="shared" si="9"/>
        <v/>
      </c>
    </row>
    <row r="301" spans="62:63">
      <c r="BJ301" t="str">
        <f t="shared" si="8"/>
        <v/>
      </c>
      <c r="BK301" t="str">
        <f t="shared" si="9"/>
        <v/>
      </c>
    </row>
    <row r="302" spans="62:63">
      <c r="BJ302" t="str">
        <f t="shared" si="8"/>
        <v/>
      </c>
      <c r="BK302" t="str">
        <f t="shared" si="9"/>
        <v/>
      </c>
    </row>
    <row r="303" spans="62:63">
      <c r="BJ303" t="str">
        <f t="shared" si="8"/>
        <v/>
      </c>
      <c r="BK303" t="str">
        <f t="shared" si="9"/>
        <v/>
      </c>
    </row>
    <row r="304" spans="62:63">
      <c r="BJ304" t="str">
        <f t="shared" si="8"/>
        <v/>
      </c>
      <c r="BK304" t="str">
        <f t="shared" si="9"/>
        <v/>
      </c>
    </row>
    <row r="305" spans="62:63">
      <c r="BJ305" t="str">
        <f t="shared" si="8"/>
        <v/>
      </c>
      <c r="BK305" t="str">
        <f t="shared" si="9"/>
        <v/>
      </c>
    </row>
    <row r="306" spans="62:63">
      <c r="BJ306" t="str">
        <f t="shared" si="8"/>
        <v/>
      </c>
      <c r="BK306" t="str">
        <f t="shared" si="9"/>
        <v/>
      </c>
    </row>
    <row r="307" spans="62:63">
      <c r="BJ307" t="str">
        <f t="shared" si="8"/>
        <v/>
      </c>
      <c r="BK307" t="str">
        <f t="shared" si="9"/>
        <v/>
      </c>
    </row>
    <row r="308" spans="62:63">
      <c r="BJ308" t="str">
        <f t="shared" si="8"/>
        <v/>
      </c>
      <c r="BK308" t="str">
        <f t="shared" si="9"/>
        <v/>
      </c>
    </row>
    <row r="309" spans="62:63">
      <c r="BJ309" t="str">
        <f t="shared" si="8"/>
        <v/>
      </c>
      <c r="BK309" t="str">
        <f t="shared" si="9"/>
        <v/>
      </c>
    </row>
    <row r="310" spans="62:63">
      <c r="BJ310" t="str">
        <f t="shared" si="8"/>
        <v/>
      </c>
      <c r="BK310" t="str">
        <f t="shared" si="9"/>
        <v/>
      </c>
    </row>
    <row r="311" spans="62:63">
      <c r="BJ311" t="str">
        <f t="shared" si="8"/>
        <v/>
      </c>
      <c r="BK311" t="str">
        <f t="shared" si="9"/>
        <v/>
      </c>
    </row>
    <row r="312" spans="62:63">
      <c r="BJ312" t="str">
        <f t="shared" si="8"/>
        <v/>
      </c>
      <c r="BK312" t="str">
        <f t="shared" si="9"/>
        <v/>
      </c>
    </row>
    <row r="313" spans="62:63">
      <c r="BJ313" t="str">
        <f t="shared" si="8"/>
        <v/>
      </c>
      <c r="BK313" t="str">
        <f t="shared" si="9"/>
        <v/>
      </c>
    </row>
    <row r="314" spans="62:63">
      <c r="BJ314" t="str">
        <f t="shared" si="8"/>
        <v/>
      </c>
      <c r="BK314" t="str">
        <f t="shared" si="9"/>
        <v/>
      </c>
    </row>
    <row r="315" spans="62:63">
      <c r="BJ315" t="str">
        <f t="shared" si="8"/>
        <v/>
      </c>
      <c r="BK315" t="str">
        <f t="shared" si="9"/>
        <v/>
      </c>
    </row>
    <row r="316" spans="62:63">
      <c r="BJ316" t="str">
        <f t="shared" si="8"/>
        <v/>
      </c>
      <c r="BK316" t="str">
        <f t="shared" si="9"/>
        <v/>
      </c>
    </row>
    <row r="317" spans="62:63">
      <c r="BJ317" t="str">
        <f t="shared" si="8"/>
        <v/>
      </c>
      <c r="BK317" t="str">
        <f t="shared" si="9"/>
        <v/>
      </c>
    </row>
    <row r="318" spans="62:63">
      <c r="BJ318" t="str">
        <f t="shared" si="8"/>
        <v/>
      </c>
      <c r="BK318" t="str">
        <f t="shared" si="9"/>
        <v/>
      </c>
    </row>
    <row r="319" spans="62:63">
      <c r="BJ319" t="str">
        <f t="shared" si="8"/>
        <v/>
      </c>
      <c r="BK319" t="str">
        <f t="shared" si="9"/>
        <v/>
      </c>
    </row>
    <row r="320" spans="62:63">
      <c r="BJ320" t="str">
        <f t="shared" si="8"/>
        <v/>
      </c>
      <c r="BK320" t="str">
        <f t="shared" si="9"/>
        <v/>
      </c>
    </row>
    <row r="321" spans="62:63">
      <c r="BJ321" t="str">
        <f t="shared" si="8"/>
        <v/>
      </c>
      <c r="BK321" t="str">
        <f t="shared" si="9"/>
        <v/>
      </c>
    </row>
    <row r="322" spans="62:63">
      <c r="BJ322" t="str">
        <f t="shared" si="8"/>
        <v/>
      </c>
      <c r="BK322" t="str">
        <f t="shared" si="9"/>
        <v/>
      </c>
    </row>
    <row r="323" spans="62:63">
      <c r="BJ323" t="str">
        <f t="shared" ref="BJ323:BJ386" si="10">MID(C323,5,3)</f>
        <v/>
      </c>
      <c r="BK323" t="str">
        <f t="shared" ref="BK323:BK386" si="11">RIGHT(C323,3)</f>
        <v/>
      </c>
    </row>
    <row r="324" spans="62:63">
      <c r="BJ324" t="str">
        <f t="shared" si="10"/>
        <v/>
      </c>
      <c r="BK324" t="str">
        <f t="shared" si="11"/>
        <v/>
      </c>
    </row>
    <row r="325" spans="62:63">
      <c r="BJ325" t="str">
        <f t="shared" si="10"/>
        <v/>
      </c>
      <c r="BK325" t="str">
        <f t="shared" si="11"/>
        <v/>
      </c>
    </row>
    <row r="326" spans="62:63">
      <c r="BJ326" t="str">
        <f t="shared" si="10"/>
        <v/>
      </c>
      <c r="BK326" t="str">
        <f t="shared" si="11"/>
        <v/>
      </c>
    </row>
    <row r="327" spans="62:63">
      <c r="BJ327" t="str">
        <f t="shared" si="10"/>
        <v/>
      </c>
      <c r="BK327" t="str">
        <f t="shared" si="11"/>
        <v/>
      </c>
    </row>
    <row r="328" spans="62:63">
      <c r="BJ328" t="str">
        <f t="shared" si="10"/>
        <v/>
      </c>
      <c r="BK328" t="str">
        <f t="shared" si="11"/>
        <v/>
      </c>
    </row>
    <row r="329" spans="62:63">
      <c r="BJ329" t="str">
        <f t="shared" si="10"/>
        <v/>
      </c>
      <c r="BK329" t="str">
        <f t="shared" si="11"/>
        <v/>
      </c>
    </row>
    <row r="330" spans="62:63">
      <c r="BJ330" t="str">
        <f t="shared" si="10"/>
        <v/>
      </c>
      <c r="BK330" t="str">
        <f t="shared" si="11"/>
        <v/>
      </c>
    </row>
    <row r="331" spans="62:63">
      <c r="BJ331" t="str">
        <f t="shared" si="10"/>
        <v/>
      </c>
      <c r="BK331" t="str">
        <f t="shared" si="11"/>
        <v/>
      </c>
    </row>
    <row r="332" spans="62:63">
      <c r="BJ332" t="str">
        <f t="shared" si="10"/>
        <v/>
      </c>
      <c r="BK332" t="str">
        <f t="shared" si="11"/>
        <v/>
      </c>
    </row>
    <row r="333" spans="62:63">
      <c r="BJ333" t="str">
        <f t="shared" si="10"/>
        <v/>
      </c>
      <c r="BK333" t="str">
        <f t="shared" si="11"/>
        <v/>
      </c>
    </row>
    <row r="334" spans="62:63">
      <c r="BJ334" t="str">
        <f t="shared" si="10"/>
        <v/>
      </c>
      <c r="BK334" t="str">
        <f t="shared" si="11"/>
        <v/>
      </c>
    </row>
    <row r="335" spans="62:63">
      <c r="BJ335" t="str">
        <f t="shared" si="10"/>
        <v/>
      </c>
      <c r="BK335" t="str">
        <f t="shared" si="11"/>
        <v/>
      </c>
    </row>
    <row r="336" spans="62:63">
      <c r="BJ336" t="str">
        <f t="shared" si="10"/>
        <v/>
      </c>
      <c r="BK336" t="str">
        <f t="shared" si="11"/>
        <v/>
      </c>
    </row>
    <row r="337" spans="62:63">
      <c r="BJ337" t="str">
        <f t="shared" si="10"/>
        <v/>
      </c>
      <c r="BK337" t="str">
        <f t="shared" si="11"/>
        <v/>
      </c>
    </row>
    <row r="338" spans="62:63">
      <c r="BJ338" t="str">
        <f t="shared" si="10"/>
        <v/>
      </c>
      <c r="BK338" t="str">
        <f t="shared" si="11"/>
        <v/>
      </c>
    </row>
    <row r="339" spans="62:63">
      <c r="BJ339" t="str">
        <f t="shared" si="10"/>
        <v/>
      </c>
      <c r="BK339" t="str">
        <f t="shared" si="11"/>
        <v/>
      </c>
    </row>
    <row r="340" spans="62:63">
      <c r="BJ340" t="str">
        <f t="shared" si="10"/>
        <v/>
      </c>
      <c r="BK340" t="str">
        <f t="shared" si="11"/>
        <v/>
      </c>
    </row>
    <row r="341" spans="62:63">
      <c r="BJ341" t="str">
        <f t="shared" si="10"/>
        <v/>
      </c>
      <c r="BK341" t="str">
        <f t="shared" si="11"/>
        <v/>
      </c>
    </row>
    <row r="342" spans="62:63">
      <c r="BJ342" t="str">
        <f t="shared" si="10"/>
        <v/>
      </c>
      <c r="BK342" t="str">
        <f t="shared" si="11"/>
        <v/>
      </c>
    </row>
    <row r="343" spans="62:63">
      <c r="BJ343" t="str">
        <f t="shared" si="10"/>
        <v/>
      </c>
      <c r="BK343" t="str">
        <f t="shared" si="11"/>
        <v/>
      </c>
    </row>
    <row r="344" spans="62:63">
      <c r="BJ344" t="str">
        <f t="shared" si="10"/>
        <v/>
      </c>
      <c r="BK344" t="str">
        <f t="shared" si="11"/>
        <v/>
      </c>
    </row>
    <row r="345" spans="62:63">
      <c r="BJ345" t="str">
        <f t="shared" si="10"/>
        <v/>
      </c>
      <c r="BK345" t="str">
        <f t="shared" si="11"/>
        <v/>
      </c>
    </row>
    <row r="346" spans="62:63">
      <c r="BJ346" t="str">
        <f t="shared" si="10"/>
        <v/>
      </c>
      <c r="BK346" t="str">
        <f t="shared" si="11"/>
        <v/>
      </c>
    </row>
    <row r="347" spans="62:63">
      <c r="BJ347" t="str">
        <f t="shared" si="10"/>
        <v/>
      </c>
      <c r="BK347" t="str">
        <f t="shared" si="11"/>
        <v/>
      </c>
    </row>
    <row r="348" spans="62:63">
      <c r="BJ348" t="str">
        <f t="shared" si="10"/>
        <v/>
      </c>
      <c r="BK348" t="str">
        <f t="shared" si="11"/>
        <v/>
      </c>
    </row>
    <row r="349" spans="62:63">
      <c r="BJ349" t="str">
        <f t="shared" si="10"/>
        <v/>
      </c>
      <c r="BK349" t="str">
        <f t="shared" si="11"/>
        <v/>
      </c>
    </row>
    <row r="350" spans="62:63">
      <c r="BJ350" t="str">
        <f t="shared" si="10"/>
        <v/>
      </c>
      <c r="BK350" t="str">
        <f t="shared" si="11"/>
        <v/>
      </c>
    </row>
    <row r="351" spans="62:63">
      <c r="BJ351" t="str">
        <f t="shared" si="10"/>
        <v/>
      </c>
      <c r="BK351" t="str">
        <f t="shared" si="11"/>
        <v/>
      </c>
    </row>
    <row r="352" spans="62:63">
      <c r="BJ352" t="str">
        <f t="shared" si="10"/>
        <v/>
      </c>
      <c r="BK352" t="str">
        <f t="shared" si="11"/>
        <v/>
      </c>
    </row>
    <row r="353" spans="62:63">
      <c r="BJ353" t="str">
        <f t="shared" si="10"/>
        <v/>
      </c>
      <c r="BK353" t="str">
        <f t="shared" si="11"/>
        <v/>
      </c>
    </row>
    <row r="354" spans="62:63">
      <c r="BJ354" t="str">
        <f t="shared" si="10"/>
        <v/>
      </c>
      <c r="BK354" t="str">
        <f t="shared" si="11"/>
        <v/>
      </c>
    </row>
    <row r="355" spans="62:63">
      <c r="BJ355" t="str">
        <f t="shared" si="10"/>
        <v/>
      </c>
      <c r="BK355" t="str">
        <f t="shared" si="11"/>
        <v/>
      </c>
    </row>
    <row r="356" spans="62:63">
      <c r="BJ356" t="str">
        <f t="shared" si="10"/>
        <v/>
      </c>
      <c r="BK356" t="str">
        <f t="shared" si="11"/>
        <v/>
      </c>
    </row>
    <row r="357" spans="62:63">
      <c r="BJ357" t="str">
        <f t="shared" si="10"/>
        <v/>
      </c>
      <c r="BK357" t="str">
        <f t="shared" si="11"/>
        <v/>
      </c>
    </row>
    <row r="358" spans="62:63">
      <c r="BJ358" t="str">
        <f t="shared" si="10"/>
        <v/>
      </c>
      <c r="BK358" t="str">
        <f t="shared" si="11"/>
        <v/>
      </c>
    </row>
    <row r="359" spans="62:63">
      <c r="BJ359" t="str">
        <f t="shared" si="10"/>
        <v/>
      </c>
      <c r="BK359" t="str">
        <f t="shared" si="11"/>
        <v/>
      </c>
    </row>
    <row r="360" spans="62:63">
      <c r="BJ360" t="str">
        <f t="shared" si="10"/>
        <v/>
      </c>
      <c r="BK360" t="str">
        <f t="shared" si="11"/>
        <v/>
      </c>
    </row>
    <row r="361" spans="62:63">
      <c r="BJ361" t="str">
        <f t="shared" si="10"/>
        <v/>
      </c>
      <c r="BK361" t="str">
        <f t="shared" si="11"/>
        <v/>
      </c>
    </row>
    <row r="362" spans="62:63">
      <c r="BJ362" t="str">
        <f t="shared" si="10"/>
        <v/>
      </c>
      <c r="BK362" t="str">
        <f t="shared" si="11"/>
        <v/>
      </c>
    </row>
    <row r="363" spans="62:63">
      <c r="BJ363" t="str">
        <f t="shared" si="10"/>
        <v/>
      </c>
      <c r="BK363" t="str">
        <f t="shared" si="11"/>
        <v/>
      </c>
    </row>
    <row r="364" spans="62:63">
      <c r="BJ364" t="str">
        <f t="shared" si="10"/>
        <v/>
      </c>
      <c r="BK364" t="str">
        <f t="shared" si="11"/>
        <v/>
      </c>
    </row>
    <row r="365" spans="62:63">
      <c r="BJ365" t="str">
        <f t="shared" si="10"/>
        <v/>
      </c>
      <c r="BK365" t="str">
        <f t="shared" si="11"/>
        <v/>
      </c>
    </row>
    <row r="366" spans="62:63">
      <c r="BJ366" t="str">
        <f t="shared" si="10"/>
        <v/>
      </c>
      <c r="BK366" t="str">
        <f t="shared" si="11"/>
        <v/>
      </c>
    </row>
    <row r="367" spans="62:63">
      <c r="BJ367" t="str">
        <f t="shared" si="10"/>
        <v/>
      </c>
      <c r="BK367" t="str">
        <f t="shared" si="11"/>
        <v/>
      </c>
    </row>
    <row r="368" spans="62:63">
      <c r="BJ368" t="str">
        <f t="shared" si="10"/>
        <v/>
      </c>
      <c r="BK368" t="str">
        <f t="shared" si="11"/>
        <v/>
      </c>
    </row>
    <row r="369" spans="62:63">
      <c r="BJ369" t="str">
        <f t="shared" si="10"/>
        <v/>
      </c>
      <c r="BK369" t="str">
        <f t="shared" si="11"/>
        <v/>
      </c>
    </row>
    <row r="370" spans="62:63">
      <c r="BJ370" t="str">
        <f t="shared" si="10"/>
        <v/>
      </c>
      <c r="BK370" t="str">
        <f t="shared" si="11"/>
        <v/>
      </c>
    </row>
    <row r="371" spans="62:63">
      <c r="BJ371" t="str">
        <f t="shared" si="10"/>
        <v/>
      </c>
      <c r="BK371" t="str">
        <f t="shared" si="11"/>
        <v/>
      </c>
    </row>
    <row r="372" spans="62:63">
      <c r="BJ372" t="str">
        <f t="shared" si="10"/>
        <v/>
      </c>
      <c r="BK372" t="str">
        <f t="shared" si="11"/>
        <v/>
      </c>
    </row>
    <row r="373" spans="62:63">
      <c r="BJ373" t="str">
        <f t="shared" si="10"/>
        <v/>
      </c>
      <c r="BK373" t="str">
        <f t="shared" si="11"/>
        <v/>
      </c>
    </row>
    <row r="374" spans="62:63">
      <c r="BJ374" t="str">
        <f t="shared" si="10"/>
        <v/>
      </c>
      <c r="BK374" t="str">
        <f t="shared" si="11"/>
        <v/>
      </c>
    </row>
    <row r="375" spans="62:63">
      <c r="BJ375" t="str">
        <f t="shared" si="10"/>
        <v/>
      </c>
      <c r="BK375" t="str">
        <f t="shared" si="11"/>
        <v/>
      </c>
    </row>
    <row r="376" spans="62:63">
      <c r="BJ376" t="str">
        <f t="shared" si="10"/>
        <v/>
      </c>
      <c r="BK376" t="str">
        <f t="shared" si="11"/>
        <v/>
      </c>
    </row>
    <row r="377" spans="62:63">
      <c r="BJ377" t="str">
        <f t="shared" si="10"/>
        <v/>
      </c>
      <c r="BK377" t="str">
        <f t="shared" si="11"/>
        <v/>
      </c>
    </row>
    <row r="378" spans="62:63">
      <c r="BJ378" t="str">
        <f t="shared" si="10"/>
        <v/>
      </c>
      <c r="BK378" t="str">
        <f t="shared" si="11"/>
        <v/>
      </c>
    </row>
    <row r="379" spans="62:63">
      <c r="BJ379" t="str">
        <f t="shared" si="10"/>
        <v/>
      </c>
      <c r="BK379" t="str">
        <f t="shared" si="11"/>
        <v/>
      </c>
    </row>
    <row r="380" spans="62:63">
      <c r="BJ380" t="str">
        <f t="shared" si="10"/>
        <v/>
      </c>
      <c r="BK380" t="str">
        <f t="shared" si="11"/>
        <v/>
      </c>
    </row>
    <row r="381" spans="62:63">
      <c r="BJ381" t="str">
        <f t="shared" si="10"/>
        <v/>
      </c>
      <c r="BK381" t="str">
        <f t="shared" si="11"/>
        <v/>
      </c>
    </row>
    <row r="382" spans="62:63">
      <c r="BJ382" t="str">
        <f t="shared" si="10"/>
        <v/>
      </c>
      <c r="BK382" t="str">
        <f t="shared" si="11"/>
        <v/>
      </c>
    </row>
    <row r="383" spans="62:63">
      <c r="BJ383" t="str">
        <f t="shared" si="10"/>
        <v/>
      </c>
      <c r="BK383" t="str">
        <f t="shared" si="11"/>
        <v/>
      </c>
    </row>
    <row r="384" spans="62:63">
      <c r="BJ384" t="str">
        <f t="shared" si="10"/>
        <v/>
      </c>
      <c r="BK384" t="str">
        <f t="shared" si="11"/>
        <v/>
      </c>
    </row>
    <row r="385" spans="62:63">
      <c r="BJ385" t="str">
        <f t="shared" si="10"/>
        <v/>
      </c>
      <c r="BK385" t="str">
        <f t="shared" si="11"/>
        <v/>
      </c>
    </row>
    <row r="386" spans="62:63">
      <c r="BJ386" t="str">
        <f t="shared" si="10"/>
        <v/>
      </c>
      <c r="BK386" t="str">
        <f t="shared" si="11"/>
        <v/>
      </c>
    </row>
    <row r="387" spans="62:63">
      <c r="BJ387" t="str">
        <f t="shared" ref="BJ387:BJ450" si="12">MID(C387,5,3)</f>
        <v/>
      </c>
      <c r="BK387" t="str">
        <f t="shared" ref="BK387:BK450" si="13">RIGHT(C387,3)</f>
        <v/>
      </c>
    </row>
    <row r="388" spans="62:63">
      <c r="BJ388" t="str">
        <f t="shared" si="12"/>
        <v/>
      </c>
      <c r="BK388" t="str">
        <f t="shared" si="13"/>
        <v/>
      </c>
    </row>
    <row r="389" spans="62:63">
      <c r="BJ389" t="str">
        <f t="shared" si="12"/>
        <v/>
      </c>
      <c r="BK389" t="str">
        <f t="shared" si="13"/>
        <v/>
      </c>
    </row>
    <row r="390" spans="62:63">
      <c r="BJ390" t="str">
        <f t="shared" si="12"/>
        <v/>
      </c>
      <c r="BK390" t="str">
        <f t="shared" si="13"/>
        <v/>
      </c>
    </row>
    <row r="391" spans="62:63">
      <c r="BJ391" t="str">
        <f t="shared" si="12"/>
        <v/>
      </c>
      <c r="BK391" t="str">
        <f t="shared" si="13"/>
        <v/>
      </c>
    </row>
    <row r="392" spans="62:63">
      <c r="BJ392" t="str">
        <f t="shared" si="12"/>
        <v/>
      </c>
      <c r="BK392" t="str">
        <f t="shared" si="13"/>
        <v/>
      </c>
    </row>
    <row r="393" spans="62:63">
      <c r="BJ393" t="str">
        <f t="shared" si="12"/>
        <v/>
      </c>
      <c r="BK393" t="str">
        <f t="shared" si="13"/>
        <v/>
      </c>
    </row>
    <row r="394" spans="62:63">
      <c r="BJ394" t="str">
        <f t="shared" si="12"/>
        <v/>
      </c>
      <c r="BK394" t="str">
        <f t="shared" si="13"/>
        <v/>
      </c>
    </row>
    <row r="395" spans="62:63">
      <c r="BJ395" t="str">
        <f t="shared" si="12"/>
        <v/>
      </c>
      <c r="BK395" t="str">
        <f t="shared" si="13"/>
        <v/>
      </c>
    </row>
    <row r="396" spans="62:63">
      <c r="BJ396" t="str">
        <f t="shared" si="12"/>
        <v/>
      </c>
      <c r="BK396" t="str">
        <f t="shared" si="13"/>
        <v/>
      </c>
    </row>
    <row r="397" spans="62:63">
      <c r="BJ397" t="str">
        <f t="shared" si="12"/>
        <v/>
      </c>
      <c r="BK397" t="str">
        <f t="shared" si="13"/>
        <v/>
      </c>
    </row>
    <row r="398" spans="62:63">
      <c r="BJ398" t="str">
        <f t="shared" si="12"/>
        <v/>
      </c>
      <c r="BK398" t="str">
        <f t="shared" si="13"/>
        <v/>
      </c>
    </row>
    <row r="399" spans="62:63">
      <c r="BJ399" t="str">
        <f t="shared" si="12"/>
        <v/>
      </c>
      <c r="BK399" t="str">
        <f t="shared" si="13"/>
        <v/>
      </c>
    </row>
    <row r="400" spans="62:63">
      <c r="BJ400" t="str">
        <f t="shared" si="12"/>
        <v/>
      </c>
      <c r="BK400" t="str">
        <f t="shared" si="13"/>
        <v/>
      </c>
    </row>
    <row r="401" spans="62:63">
      <c r="BJ401" t="str">
        <f t="shared" si="12"/>
        <v/>
      </c>
      <c r="BK401" t="str">
        <f t="shared" si="13"/>
        <v/>
      </c>
    </row>
    <row r="402" spans="62:63">
      <c r="BJ402" t="str">
        <f t="shared" si="12"/>
        <v/>
      </c>
      <c r="BK402" t="str">
        <f t="shared" si="13"/>
        <v/>
      </c>
    </row>
    <row r="403" spans="62:63">
      <c r="BJ403" t="str">
        <f t="shared" si="12"/>
        <v/>
      </c>
      <c r="BK403" t="str">
        <f t="shared" si="13"/>
        <v/>
      </c>
    </row>
    <row r="404" spans="62:63">
      <c r="BJ404" t="str">
        <f t="shared" si="12"/>
        <v/>
      </c>
      <c r="BK404" t="str">
        <f t="shared" si="13"/>
        <v/>
      </c>
    </row>
    <row r="405" spans="62:63">
      <c r="BJ405" t="str">
        <f t="shared" si="12"/>
        <v/>
      </c>
      <c r="BK405" t="str">
        <f t="shared" si="13"/>
        <v/>
      </c>
    </row>
    <row r="406" spans="62:63">
      <c r="BJ406" t="str">
        <f t="shared" si="12"/>
        <v/>
      </c>
      <c r="BK406" t="str">
        <f t="shared" si="13"/>
        <v/>
      </c>
    </row>
    <row r="407" spans="62:63">
      <c r="BJ407" t="str">
        <f t="shared" si="12"/>
        <v/>
      </c>
      <c r="BK407" t="str">
        <f t="shared" si="13"/>
        <v/>
      </c>
    </row>
    <row r="408" spans="62:63">
      <c r="BJ408" t="str">
        <f t="shared" si="12"/>
        <v/>
      </c>
      <c r="BK408" t="str">
        <f t="shared" si="13"/>
        <v/>
      </c>
    </row>
    <row r="409" spans="62:63">
      <c r="BJ409" t="str">
        <f t="shared" si="12"/>
        <v/>
      </c>
      <c r="BK409" t="str">
        <f t="shared" si="13"/>
        <v/>
      </c>
    </row>
    <row r="410" spans="62:63">
      <c r="BJ410" t="str">
        <f t="shared" si="12"/>
        <v/>
      </c>
      <c r="BK410" t="str">
        <f t="shared" si="13"/>
        <v/>
      </c>
    </row>
    <row r="411" spans="62:63">
      <c r="BJ411" t="str">
        <f t="shared" si="12"/>
        <v/>
      </c>
      <c r="BK411" t="str">
        <f t="shared" si="13"/>
        <v/>
      </c>
    </row>
    <row r="412" spans="62:63">
      <c r="BJ412" t="str">
        <f t="shared" si="12"/>
        <v/>
      </c>
      <c r="BK412" t="str">
        <f t="shared" si="13"/>
        <v/>
      </c>
    </row>
    <row r="413" spans="62:63">
      <c r="BJ413" t="str">
        <f t="shared" si="12"/>
        <v/>
      </c>
      <c r="BK413" t="str">
        <f t="shared" si="13"/>
        <v/>
      </c>
    </row>
    <row r="414" spans="62:63">
      <c r="BJ414" t="str">
        <f t="shared" si="12"/>
        <v/>
      </c>
      <c r="BK414" t="str">
        <f t="shared" si="13"/>
        <v/>
      </c>
    </row>
    <row r="415" spans="62:63">
      <c r="BJ415" t="str">
        <f t="shared" si="12"/>
        <v/>
      </c>
      <c r="BK415" t="str">
        <f t="shared" si="13"/>
        <v/>
      </c>
    </row>
    <row r="416" spans="62:63">
      <c r="BJ416" t="str">
        <f t="shared" si="12"/>
        <v/>
      </c>
      <c r="BK416" t="str">
        <f t="shared" si="13"/>
        <v/>
      </c>
    </row>
    <row r="417" spans="62:63">
      <c r="BJ417" t="str">
        <f t="shared" si="12"/>
        <v/>
      </c>
      <c r="BK417" t="str">
        <f t="shared" si="13"/>
        <v/>
      </c>
    </row>
    <row r="418" spans="62:63">
      <c r="BJ418" t="str">
        <f t="shared" si="12"/>
        <v/>
      </c>
      <c r="BK418" t="str">
        <f t="shared" si="13"/>
        <v/>
      </c>
    </row>
    <row r="419" spans="62:63">
      <c r="BJ419" t="str">
        <f t="shared" si="12"/>
        <v/>
      </c>
      <c r="BK419" t="str">
        <f t="shared" si="13"/>
        <v/>
      </c>
    </row>
    <row r="420" spans="62:63">
      <c r="BJ420" t="str">
        <f t="shared" si="12"/>
        <v/>
      </c>
      <c r="BK420" t="str">
        <f t="shared" si="13"/>
        <v/>
      </c>
    </row>
    <row r="421" spans="62:63">
      <c r="BJ421" t="str">
        <f t="shared" si="12"/>
        <v/>
      </c>
      <c r="BK421" t="str">
        <f t="shared" si="13"/>
        <v/>
      </c>
    </row>
    <row r="422" spans="62:63">
      <c r="BJ422" t="str">
        <f t="shared" si="12"/>
        <v/>
      </c>
      <c r="BK422" t="str">
        <f t="shared" si="13"/>
        <v/>
      </c>
    </row>
    <row r="423" spans="62:63">
      <c r="BJ423" t="str">
        <f t="shared" si="12"/>
        <v/>
      </c>
      <c r="BK423" t="str">
        <f t="shared" si="13"/>
        <v/>
      </c>
    </row>
    <row r="424" spans="62:63">
      <c r="BJ424" t="str">
        <f t="shared" si="12"/>
        <v/>
      </c>
      <c r="BK424" t="str">
        <f t="shared" si="13"/>
        <v/>
      </c>
    </row>
    <row r="425" spans="62:63">
      <c r="BJ425" t="str">
        <f t="shared" si="12"/>
        <v/>
      </c>
      <c r="BK425" t="str">
        <f t="shared" si="13"/>
        <v/>
      </c>
    </row>
    <row r="426" spans="62:63">
      <c r="BJ426" t="str">
        <f t="shared" si="12"/>
        <v/>
      </c>
      <c r="BK426" t="str">
        <f t="shared" si="13"/>
        <v/>
      </c>
    </row>
    <row r="427" spans="62:63">
      <c r="BJ427" t="str">
        <f t="shared" si="12"/>
        <v/>
      </c>
      <c r="BK427" t="str">
        <f t="shared" si="13"/>
        <v/>
      </c>
    </row>
    <row r="428" spans="62:63">
      <c r="BJ428" t="str">
        <f t="shared" si="12"/>
        <v/>
      </c>
      <c r="BK428" t="str">
        <f t="shared" si="13"/>
        <v/>
      </c>
    </row>
    <row r="429" spans="62:63">
      <c r="BJ429" t="str">
        <f t="shared" si="12"/>
        <v/>
      </c>
      <c r="BK429" t="str">
        <f t="shared" si="13"/>
        <v/>
      </c>
    </row>
    <row r="430" spans="62:63">
      <c r="BJ430" t="str">
        <f t="shared" si="12"/>
        <v/>
      </c>
      <c r="BK430" t="str">
        <f t="shared" si="13"/>
        <v/>
      </c>
    </row>
    <row r="431" spans="62:63">
      <c r="BJ431" t="str">
        <f t="shared" si="12"/>
        <v/>
      </c>
      <c r="BK431" t="str">
        <f t="shared" si="13"/>
        <v/>
      </c>
    </row>
    <row r="432" spans="62:63">
      <c r="BJ432" t="str">
        <f t="shared" si="12"/>
        <v/>
      </c>
      <c r="BK432" t="str">
        <f t="shared" si="13"/>
        <v/>
      </c>
    </row>
    <row r="433" spans="62:63">
      <c r="BJ433" t="str">
        <f t="shared" si="12"/>
        <v/>
      </c>
      <c r="BK433" t="str">
        <f t="shared" si="13"/>
        <v/>
      </c>
    </row>
    <row r="434" spans="62:63">
      <c r="BJ434" t="str">
        <f t="shared" si="12"/>
        <v/>
      </c>
      <c r="BK434" t="str">
        <f t="shared" si="13"/>
        <v/>
      </c>
    </row>
    <row r="435" spans="62:63">
      <c r="BJ435" t="str">
        <f t="shared" si="12"/>
        <v/>
      </c>
      <c r="BK435" t="str">
        <f t="shared" si="13"/>
        <v/>
      </c>
    </row>
    <row r="436" spans="62:63">
      <c r="BJ436" t="str">
        <f t="shared" si="12"/>
        <v/>
      </c>
      <c r="BK436" t="str">
        <f t="shared" si="13"/>
        <v/>
      </c>
    </row>
    <row r="437" spans="62:63">
      <c r="BJ437" t="str">
        <f t="shared" si="12"/>
        <v/>
      </c>
      <c r="BK437" t="str">
        <f t="shared" si="13"/>
        <v/>
      </c>
    </row>
    <row r="438" spans="62:63">
      <c r="BJ438" t="str">
        <f t="shared" si="12"/>
        <v/>
      </c>
      <c r="BK438" t="str">
        <f t="shared" si="13"/>
        <v/>
      </c>
    </row>
    <row r="439" spans="62:63">
      <c r="BJ439" t="str">
        <f t="shared" si="12"/>
        <v/>
      </c>
      <c r="BK439" t="str">
        <f t="shared" si="13"/>
        <v/>
      </c>
    </row>
    <row r="440" spans="62:63">
      <c r="BJ440" t="str">
        <f t="shared" si="12"/>
        <v/>
      </c>
      <c r="BK440" t="str">
        <f t="shared" si="13"/>
        <v/>
      </c>
    </row>
    <row r="441" spans="62:63">
      <c r="BJ441" t="str">
        <f t="shared" si="12"/>
        <v/>
      </c>
      <c r="BK441" t="str">
        <f t="shared" si="13"/>
        <v/>
      </c>
    </row>
    <row r="442" spans="62:63">
      <c r="BJ442" t="str">
        <f t="shared" si="12"/>
        <v/>
      </c>
      <c r="BK442" t="str">
        <f t="shared" si="13"/>
        <v/>
      </c>
    </row>
    <row r="443" spans="62:63">
      <c r="BJ443" t="str">
        <f t="shared" si="12"/>
        <v/>
      </c>
      <c r="BK443" t="str">
        <f t="shared" si="13"/>
        <v/>
      </c>
    </row>
    <row r="444" spans="62:63">
      <c r="BJ444" t="str">
        <f t="shared" si="12"/>
        <v/>
      </c>
      <c r="BK444" t="str">
        <f t="shared" si="13"/>
        <v/>
      </c>
    </row>
    <row r="445" spans="62:63">
      <c r="BJ445" t="str">
        <f t="shared" si="12"/>
        <v/>
      </c>
      <c r="BK445" t="str">
        <f t="shared" si="13"/>
        <v/>
      </c>
    </row>
    <row r="446" spans="62:63">
      <c r="BJ446" t="str">
        <f t="shared" si="12"/>
        <v/>
      </c>
      <c r="BK446" t="str">
        <f t="shared" si="13"/>
        <v/>
      </c>
    </row>
    <row r="447" spans="62:63">
      <c r="BJ447" t="str">
        <f t="shared" si="12"/>
        <v/>
      </c>
      <c r="BK447" t="str">
        <f t="shared" si="13"/>
        <v/>
      </c>
    </row>
    <row r="448" spans="62:63">
      <c r="BJ448" t="str">
        <f t="shared" si="12"/>
        <v/>
      </c>
      <c r="BK448" t="str">
        <f t="shared" si="13"/>
        <v/>
      </c>
    </row>
    <row r="449" spans="62:63">
      <c r="BJ449" t="str">
        <f t="shared" si="12"/>
        <v/>
      </c>
      <c r="BK449" t="str">
        <f t="shared" si="13"/>
        <v/>
      </c>
    </row>
    <row r="450" spans="62:63">
      <c r="BJ450" t="str">
        <f t="shared" si="12"/>
        <v/>
      </c>
      <c r="BK450" t="str">
        <f t="shared" si="13"/>
        <v/>
      </c>
    </row>
    <row r="451" spans="62:63">
      <c r="BJ451" t="str">
        <f t="shared" ref="BJ451:BJ514" si="14">MID(C451,5,3)</f>
        <v/>
      </c>
      <c r="BK451" t="str">
        <f t="shared" ref="BK451:BK514" si="15">RIGHT(C451,3)</f>
        <v/>
      </c>
    </row>
    <row r="452" spans="62:63">
      <c r="BJ452" t="str">
        <f t="shared" si="14"/>
        <v/>
      </c>
      <c r="BK452" t="str">
        <f t="shared" si="15"/>
        <v/>
      </c>
    </row>
    <row r="453" spans="62:63">
      <c r="BJ453" t="str">
        <f t="shared" si="14"/>
        <v/>
      </c>
      <c r="BK453" t="str">
        <f t="shared" si="15"/>
        <v/>
      </c>
    </row>
    <row r="454" spans="62:63">
      <c r="BJ454" t="str">
        <f t="shared" si="14"/>
        <v/>
      </c>
      <c r="BK454" t="str">
        <f t="shared" si="15"/>
        <v/>
      </c>
    </row>
    <row r="455" spans="62:63">
      <c r="BJ455" t="str">
        <f t="shared" si="14"/>
        <v/>
      </c>
      <c r="BK455" t="str">
        <f t="shared" si="15"/>
        <v/>
      </c>
    </row>
    <row r="456" spans="62:63">
      <c r="BJ456" t="str">
        <f t="shared" si="14"/>
        <v/>
      </c>
      <c r="BK456" t="str">
        <f t="shared" si="15"/>
        <v/>
      </c>
    </row>
    <row r="457" spans="62:63">
      <c r="BJ457" t="str">
        <f t="shared" si="14"/>
        <v/>
      </c>
      <c r="BK457" t="str">
        <f t="shared" si="15"/>
        <v/>
      </c>
    </row>
    <row r="458" spans="62:63">
      <c r="BJ458" t="str">
        <f t="shared" si="14"/>
        <v/>
      </c>
      <c r="BK458" t="str">
        <f t="shared" si="15"/>
        <v/>
      </c>
    </row>
    <row r="459" spans="62:63">
      <c r="BJ459" t="str">
        <f t="shared" si="14"/>
        <v/>
      </c>
      <c r="BK459" t="str">
        <f t="shared" si="15"/>
        <v/>
      </c>
    </row>
    <row r="460" spans="62:63">
      <c r="BJ460" t="str">
        <f t="shared" si="14"/>
        <v/>
      </c>
      <c r="BK460" t="str">
        <f t="shared" si="15"/>
        <v/>
      </c>
    </row>
    <row r="461" spans="62:63">
      <c r="BJ461" t="str">
        <f t="shared" si="14"/>
        <v/>
      </c>
      <c r="BK461" t="str">
        <f t="shared" si="15"/>
        <v/>
      </c>
    </row>
    <row r="462" spans="62:63">
      <c r="BJ462" t="str">
        <f t="shared" si="14"/>
        <v/>
      </c>
      <c r="BK462" t="str">
        <f t="shared" si="15"/>
        <v/>
      </c>
    </row>
    <row r="463" spans="62:63">
      <c r="BJ463" t="str">
        <f t="shared" si="14"/>
        <v/>
      </c>
      <c r="BK463" t="str">
        <f t="shared" si="15"/>
        <v/>
      </c>
    </row>
    <row r="464" spans="62:63">
      <c r="BJ464" t="str">
        <f t="shared" si="14"/>
        <v/>
      </c>
      <c r="BK464" t="str">
        <f t="shared" si="15"/>
        <v/>
      </c>
    </row>
    <row r="465" spans="62:63">
      <c r="BJ465" t="str">
        <f t="shared" si="14"/>
        <v/>
      </c>
      <c r="BK465" t="str">
        <f t="shared" si="15"/>
        <v/>
      </c>
    </row>
    <row r="466" spans="62:63">
      <c r="BJ466" t="str">
        <f t="shared" si="14"/>
        <v/>
      </c>
      <c r="BK466" t="str">
        <f t="shared" si="15"/>
        <v/>
      </c>
    </row>
    <row r="467" spans="62:63">
      <c r="BJ467" t="str">
        <f t="shared" si="14"/>
        <v/>
      </c>
      <c r="BK467" t="str">
        <f t="shared" si="15"/>
        <v/>
      </c>
    </row>
    <row r="468" spans="62:63">
      <c r="BJ468" t="str">
        <f t="shared" si="14"/>
        <v/>
      </c>
      <c r="BK468" t="str">
        <f t="shared" si="15"/>
        <v/>
      </c>
    </row>
    <row r="469" spans="62:63">
      <c r="BJ469" t="str">
        <f t="shared" si="14"/>
        <v/>
      </c>
      <c r="BK469" t="str">
        <f t="shared" si="15"/>
        <v/>
      </c>
    </row>
    <row r="470" spans="62:63">
      <c r="BJ470" t="str">
        <f t="shared" si="14"/>
        <v/>
      </c>
      <c r="BK470" t="str">
        <f t="shared" si="15"/>
        <v/>
      </c>
    </row>
    <row r="471" spans="62:63">
      <c r="BJ471" t="str">
        <f t="shared" si="14"/>
        <v/>
      </c>
      <c r="BK471" t="str">
        <f t="shared" si="15"/>
        <v/>
      </c>
    </row>
    <row r="472" spans="62:63">
      <c r="BJ472" t="str">
        <f t="shared" si="14"/>
        <v/>
      </c>
      <c r="BK472" t="str">
        <f t="shared" si="15"/>
        <v/>
      </c>
    </row>
    <row r="473" spans="62:63">
      <c r="BJ473" t="str">
        <f t="shared" si="14"/>
        <v/>
      </c>
      <c r="BK473" t="str">
        <f t="shared" si="15"/>
        <v/>
      </c>
    </row>
    <row r="474" spans="62:63">
      <c r="BJ474" t="str">
        <f t="shared" si="14"/>
        <v/>
      </c>
      <c r="BK474" t="str">
        <f t="shared" si="15"/>
        <v/>
      </c>
    </row>
    <row r="475" spans="62:63">
      <c r="BJ475" t="str">
        <f t="shared" si="14"/>
        <v/>
      </c>
      <c r="BK475" t="str">
        <f t="shared" si="15"/>
        <v/>
      </c>
    </row>
    <row r="476" spans="62:63">
      <c r="BJ476" t="str">
        <f t="shared" si="14"/>
        <v/>
      </c>
      <c r="BK476" t="str">
        <f t="shared" si="15"/>
        <v/>
      </c>
    </row>
    <row r="477" spans="62:63">
      <c r="BJ477" t="str">
        <f t="shared" si="14"/>
        <v/>
      </c>
      <c r="BK477" t="str">
        <f t="shared" si="15"/>
        <v/>
      </c>
    </row>
    <row r="478" spans="62:63">
      <c r="BJ478" t="str">
        <f t="shared" si="14"/>
        <v/>
      </c>
      <c r="BK478" t="str">
        <f t="shared" si="15"/>
        <v/>
      </c>
    </row>
    <row r="479" spans="62:63">
      <c r="BJ479" t="str">
        <f t="shared" si="14"/>
        <v/>
      </c>
      <c r="BK479" t="str">
        <f t="shared" si="15"/>
        <v/>
      </c>
    </row>
    <row r="480" spans="62:63">
      <c r="BJ480" t="str">
        <f t="shared" si="14"/>
        <v/>
      </c>
      <c r="BK480" t="str">
        <f t="shared" si="15"/>
        <v/>
      </c>
    </row>
    <row r="481" spans="62:63">
      <c r="BJ481" t="str">
        <f t="shared" si="14"/>
        <v/>
      </c>
      <c r="BK481" t="str">
        <f t="shared" si="15"/>
        <v/>
      </c>
    </row>
    <row r="482" spans="62:63">
      <c r="BJ482" t="str">
        <f t="shared" si="14"/>
        <v/>
      </c>
      <c r="BK482" t="str">
        <f t="shared" si="15"/>
        <v/>
      </c>
    </row>
    <row r="483" spans="62:63">
      <c r="BJ483" t="str">
        <f t="shared" si="14"/>
        <v/>
      </c>
      <c r="BK483" t="str">
        <f t="shared" si="15"/>
        <v/>
      </c>
    </row>
    <row r="484" spans="62:63">
      <c r="BJ484" t="str">
        <f t="shared" si="14"/>
        <v/>
      </c>
      <c r="BK484" t="str">
        <f t="shared" si="15"/>
        <v/>
      </c>
    </row>
    <row r="485" spans="62:63">
      <c r="BJ485" t="str">
        <f t="shared" si="14"/>
        <v/>
      </c>
      <c r="BK485" t="str">
        <f t="shared" si="15"/>
        <v/>
      </c>
    </row>
    <row r="486" spans="62:63">
      <c r="BJ486" t="str">
        <f t="shared" si="14"/>
        <v/>
      </c>
      <c r="BK486" t="str">
        <f t="shared" si="15"/>
        <v/>
      </c>
    </row>
    <row r="487" spans="62:63">
      <c r="BJ487" t="str">
        <f t="shared" si="14"/>
        <v/>
      </c>
      <c r="BK487" t="str">
        <f t="shared" si="15"/>
        <v/>
      </c>
    </row>
    <row r="488" spans="62:63">
      <c r="BJ488" t="str">
        <f t="shared" si="14"/>
        <v/>
      </c>
      <c r="BK488" t="str">
        <f t="shared" si="15"/>
        <v/>
      </c>
    </row>
    <row r="489" spans="62:63">
      <c r="BJ489" t="str">
        <f t="shared" si="14"/>
        <v/>
      </c>
      <c r="BK489" t="str">
        <f t="shared" si="15"/>
        <v/>
      </c>
    </row>
    <row r="490" spans="62:63">
      <c r="BJ490" t="str">
        <f t="shared" si="14"/>
        <v/>
      </c>
      <c r="BK490" t="str">
        <f t="shared" si="15"/>
        <v/>
      </c>
    </row>
    <row r="491" spans="62:63">
      <c r="BJ491" t="str">
        <f t="shared" si="14"/>
        <v/>
      </c>
      <c r="BK491" t="str">
        <f t="shared" si="15"/>
        <v/>
      </c>
    </row>
    <row r="492" spans="62:63">
      <c r="BJ492" t="str">
        <f t="shared" si="14"/>
        <v/>
      </c>
      <c r="BK492" t="str">
        <f t="shared" si="15"/>
        <v/>
      </c>
    </row>
    <row r="493" spans="62:63">
      <c r="BJ493" t="str">
        <f t="shared" si="14"/>
        <v/>
      </c>
      <c r="BK493" t="str">
        <f t="shared" si="15"/>
        <v/>
      </c>
    </row>
    <row r="494" spans="62:63">
      <c r="BJ494" t="str">
        <f t="shared" si="14"/>
        <v/>
      </c>
      <c r="BK494" t="str">
        <f t="shared" si="15"/>
        <v/>
      </c>
    </row>
    <row r="495" spans="62:63">
      <c r="BJ495" t="str">
        <f t="shared" si="14"/>
        <v/>
      </c>
      <c r="BK495" t="str">
        <f t="shared" si="15"/>
        <v/>
      </c>
    </row>
    <row r="496" spans="62:63">
      <c r="BJ496" t="str">
        <f t="shared" si="14"/>
        <v/>
      </c>
      <c r="BK496" t="str">
        <f t="shared" si="15"/>
        <v/>
      </c>
    </row>
    <row r="497" spans="62:63">
      <c r="BJ497" t="str">
        <f t="shared" si="14"/>
        <v/>
      </c>
      <c r="BK497" t="str">
        <f t="shared" si="15"/>
        <v/>
      </c>
    </row>
    <row r="498" spans="62:63">
      <c r="BJ498" t="str">
        <f t="shared" si="14"/>
        <v/>
      </c>
      <c r="BK498" t="str">
        <f t="shared" si="15"/>
        <v/>
      </c>
    </row>
    <row r="499" spans="62:63">
      <c r="BJ499" t="str">
        <f t="shared" si="14"/>
        <v/>
      </c>
      <c r="BK499" t="str">
        <f t="shared" si="15"/>
        <v/>
      </c>
    </row>
    <row r="500" spans="62:63">
      <c r="BJ500" t="str">
        <f t="shared" si="14"/>
        <v/>
      </c>
      <c r="BK500" t="str">
        <f t="shared" si="15"/>
        <v/>
      </c>
    </row>
    <row r="501" spans="62:63">
      <c r="BJ501" t="str">
        <f t="shared" si="14"/>
        <v/>
      </c>
      <c r="BK501" t="str">
        <f t="shared" si="15"/>
        <v/>
      </c>
    </row>
    <row r="502" spans="62:63">
      <c r="BJ502" t="str">
        <f t="shared" si="14"/>
        <v/>
      </c>
      <c r="BK502" t="str">
        <f t="shared" si="15"/>
        <v/>
      </c>
    </row>
    <row r="503" spans="62:63">
      <c r="BJ503" t="str">
        <f t="shared" si="14"/>
        <v/>
      </c>
      <c r="BK503" t="str">
        <f t="shared" si="15"/>
        <v/>
      </c>
    </row>
    <row r="504" spans="62:63">
      <c r="BJ504" t="str">
        <f t="shared" si="14"/>
        <v/>
      </c>
      <c r="BK504" t="str">
        <f t="shared" si="15"/>
        <v/>
      </c>
    </row>
    <row r="505" spans="62:63">
      <c r="BJ505" t="str">
        <f t="shared" si="14"/>
        <v/>
      </c>
      <c r="BK505" t="str">
        <f t="shared" si="15"/>
        <v/>
      </c>
    </row>
    <row r="506" spans="62:63">
      <c r="BJ506" t="str">
        <f t="shared" si="14"/>
        <v/>
      </c>
      <c r="BK506" t="str">
        <f t="shared" si="15"/>
        <v/>
      </c>
    </row>
    <row r="507" spans="62:63">
      <c r="BJ507" t="str">
        <f t="shared" si="14"/>
        <v/>
      </c>
      <c r="BK507" t="str">
        <f t="shared" si="15"/>
        <v/>
      </c>
    </row>
    <row r="508" spans="62:63">
      <c r="BJ508" t="str">
        <f t="shared" si="14"/>
        <v/>
      </c>
      <c r="BK508" t="str">
        <f t="shared" si="15"/>
        <v/>
      </c>
    </row>
    <row r="509" spans="62:63">
      <c r="BJ509" t="str">
        <f t="shared" si="14"/>
        <v/>
      </c>
      <c r="BK509" t="str">
        <f t="shared" si="15"/>
        <v/>
      </c>
    </row>
    <row r="510" spans="62:63">
      <c r="BJ510" t="str">
        <f t="shared" si="14"/>
        <v/>
      </c>
      <c r="BK510" t="str">
        <f t="shared" si="15"/>
        <v/>
      </c>
    </row>
    <row r="511" spans="62:63">
      <c r="BJ511" t="str">
        <f t="shared" si="14"/>
        <v/>
      </c>
      <c r="BK511" t="str">
        <f t="shared" si="15"/>
        <v/>
      </c>
    </row>
    <row r="512" spans="62:63">
      <c r="BJ512" t="str">
        <f t="shared" si="14"/>
        <v/>
      </c>
      <c r="BK512" t="str">
        <f t="shared" si="15"/>
        <v/>
      </c>
    </row>
    <row r="513" spans="62:63">
      <c r="BJ513" t="str">
        <f t="shared" si="14"/>
        <v/>
      </c>
      <c r="BK513" t="str">
        <f t="shared" si="15"/>
        <v/>
      </c>
    </row>
    <row r="514" spans="62:63">
      <c r="BJ514" t="str">
        <f t="shared" si="14"/>
        <v/>
      </c>
      <c r="BK514" t="str">
        <f t="shared" si="15"/>
        <v/>
      </c>
    </row>
    <row r="515" spans="62:63">
      <c r="BJ515" t="str">
        <f t="shared" ref="BJ515:BJ578" si="16">MID(C515,5,3)</f>
        <v/>
      </c>
      <c r="BK515" t="str">
        <f t="shared" ref="BK515:BK578" si="17">RIGHT(C515,3)</f>
        <v/>
      </c>
    </row>
    <row r="516" spans="62:63">
      <c r="BJ516" t="str">
        <f t="shared" si="16"/>
        <v/>
      </c>
      <c r="BK516" t="str">
        <f t="shared" si="17"/>
        <v/>
      </c>
    </row>
    <row r="517" spans="62:63">
      <c r="BJ517" t="str">
        <f t="shared" si="16"/>
        <v/>
      </c>
      <c r="BK517" t="str">
        <f t="shared" si="17"/>
        <v/>
      </c>
    </row>
    <row r="518" spans="62:63">
      <c r="BJ518" t="str">
        <f t="shared" si="16"/>
        <v/>
      </c>
      <c r="BK518" t="str">
        <f t="shared" si="17"/>
        <v/>
      </c>
    </row>
    <row r="519" spans="62:63">
      <c r="BJ519" t="str">
        <f t="shared" si="16"/>
        <v/>
      </c>
      <c r="BK519" t="str">
        <f t="shared" si="17"/>
        <v/>
      </c>
    </row>
    <row r="520" spans="62:63">
      <c r="BJ520" t="str">
        <f t="shared" si="16"/>
        <v/>
      </c>
      <c r="BK520" t="str">
        <f t="shared" si="17"/>
        <v/>
      </c>
    </row>
    <row r="521" spans="62:63">
      <c r="BJ521" t="str">
        <f t="shared" si="16"/>
        <v/>
      </c>
      <c r="BK521" t="str">
        <f t="shared" si="17"/>
        <v/>
      </c>
    </row>
    <row r="522" spans="62:63">
      <c r="BJ522" t="str">
        <f t="shared" si="16"/>
        <v/>
      </c>
      <c r="BK522" t="str">
        <f t="shared" si="17"/>
        <v/>
      </c>
    </row>
    <row r="523" spans="62:63">
      <c r="BJ523" t="str">
        <f t="shared" si="16"/>
        <v/>
      </c>
      <c r="BK523" t="str">
        <f t="shared" si="17"/>
        <v/>
      </c>
    </row>
    <row r="524" spans="62:63">
      <c r="BJ524" t="str">
        <f t="shared" si="16"/>
        <v/>
      </c>
      <c r="BK524" t="str">
        <f t="shared" si="17"/>
        <v/>
      </c>
    </row>
    <row r="525" spans="62:63">
      <c r="BJ525" t="str">
        <f t="shared" si="16"/>
        <v/>
      </c>
      <c r="BK525" t="str">
        <f t="shared" si="17"/>
        <v/>
      </c>
    </row>
    <row r="526" spans="62:63">
      <c r="BJ526" t="str">
        <f t="shared" si="16"/>
        <v/>
      </c>
      <c r="BK526" t="str">
        <f t="shared" si="17"/>
        <v/>
      </c>
    </row>
    <row r="527" spans="62:63">
      <c r="BJ527" t="str">
        <f t="shared" si="16"/>
        <v/>
      </c>
      <c r="BK527" t="str">
        <f t="shared" si="17"/>
        <v/>
      </c>
    </row>
    <row r="528" spans="62:63">
      <c r="BJ528" t="str">
        <f t="shared" si="16"/>
        <v/>
      </c>
      <c r="BK528" t="str">
        <f t="shared" si="17"/>
        <v/>
      </c>
    </row>
    <row r="529" spans="62:63">
      <c r="BJ529" t="str">
        <f t="shared" si="16"/>
        <v/>
      </c>
      <c r="BK529" t="str">
        <f t="shared" si="17"/>
        <v/>
      </c>
    </row>
    <row r="530" spans="62:63">
      <c r="BJ530" t="str">
        <f t="shared" si="16"/>
        <v/>
      </c>
      <c r="BK530" t="str">
        <f t="shared" si="17"/>
        <v/>
      </c>
    </row>
    <row r="531" spans="62:63">
      <c r="BJ531" t="str">
        <f t="shared" si="16"/>
        <v/>
      </c>
      <c r="BK531" t="str">
        <f t="shared" si="17"/>
        <v/>
      </c>
    </row>
    <row r="532" spans="62:63">
      <c r="BJ532" t="str">
        <f t="shared" si="16"/>
        <v/>
      </c>
      <c r="BK532" t="str">
        <f t="shared" si="17"/>
        <v/>
      </c>
    </row>
    <row r="533" spans="62:63">
      <c r="BJ533" t="str">
        <f t="shared" si="16"/>
        <v/>
      </c>
      <c r="BK533" t="str">
        <f t="shared" si="17"/>
        <v/>
      </c>
    </row>
    <row r="534" spans="62:63">
      <c r="BJ534" t="str">
        <f t="shared" si="16"/>
        <v/>
      </c>
      <c r="BK534" t="str">
        <f t="shared" si="17"/>
        <v/>
      </c>
    </row>
    <row r="535" spans="62:63">
      <c r="BJ535" t="str">
        <f t="shared" si="16"/>
        <v/>
      </c>
      <c r="BK535" t="str">
        <f t="shared" si="17"/>
        <v/>
      </c>
    </row>
    <row r="536" spans="62:63">
      <c r="BJ536" t="str">
        <f t="shared" si="16"/>
        <v/>
      </c>
      <c r="BK536" t="str">
        <f t="shared" si="17"/>
        <v/>
      </c>
    </row>
    <row r="537" spans="62:63">
      <c r="BJ537" t="str">
        <f t="shared" si="16"/>
        <v/>
      </c>
      <c r="BK537" t="str">
        <f t="shared" si="17"/>
        <v/>
      </c>
    </row>
    <row r="538" spans="62:63">
      <c r="BJ538" t="str">
        <f t="shared" si="16"/>
        <v/>
      </c>
      <c r="BK538" t="str">
        <f t="shared" si="17"/>
        <v/>
      </c>
    </row>
    <row r="539" spans="62:63">
      <c r="BJ539" t="str">
        <f t="shared" si="16"/>
        <v/>
      </c>
      <c r="BK539" t="str">
        <f t="shared" si="17"/>
        <v/>
      </c>
    </row>
    <row r="540" spans="62:63">
      <c r="BJ540" t="str">
        <f t="shared" si="16"/>
        <v/>
      </c>
      <c r="BK540" t="str">
        <f t="shared" si="17"/>
        <v/>
      </c>
    </row>
    <row r="541" spans="62:63">
      <c r="BJ541" t="str">
        <f t="shared" si="16"/>
        <v/>
      </c>
      <c r="BK541" t="str">
        <f t="shared" si="17"/>
        <v/>
      </c>
    </row>
    <row r="542" spans="62:63">
      <c r="BJ542" t="str">
        <f t="shared" si="16"/>
        <v/>
      </c>
      <c r="BK542" t="str">
        <f t="shared" si="17"/>
        <v/>
      </c>
    </row>
    <row r="543" spans="62:63">
      <c r="BJ543" t="str">
        <f t="shared" si="16"/>
        <v/>
      </c>
      <c r="BK543" t="str">
        <f t="shared" si="17"/>
        <v/>
      </c>
    </row>
    <row r="544" spans="62:63">
      <c r="BJ544" t="str">
        <f t="shared" si="16"/>
        <v/>
      </c>
      <c r="BK544" t="str">
        <f t="shared" si="17"/>
        <v/>
      </c>
    </row>
    <row r="545" spans="62:63">
      <c r="BJ545" t="str">
        <f t="shared" si="16"/>
        <v/>
      </c>
      <c r="BK545" t="str">
        <f t="shared" si="17"/>
        <v/>
      </c>
    </row>
    <row r="546" spans="62:63">
      <c r="BJ546" t="str">
        <f t="shared" si="16"/>
        <v/>
      </c>
      <c r="BK546" t="str">
        <f t="shared" si="17"/>
        <v/>
      </c>
    </row>
    <row r="547" spans="62:63">
      <c r="BJ547" t="str">
        <f t="shared" si="16"/>
        <v/>
      </c>
      <c r="BK547" t="str">
        <f t="shared" si="17"/>
        <v/>
      </c>
    </row>
    <row r="548" spans="62:63">
      <c r="BJ548" t="str">
        <f t="shared" si="16"/>
        <v/>
      </c>
      <c r="BK548" t="str">
        <f t="shared" si="17"/>
        <v/>
      </c>
    </row>
    <row r="549" spans="62:63">
      <c r="BJ549" t="str">
        <f t="shared" si="16"/>
        <v/>
      </c>
      <c r="BK549" t="str">
        <f t="shared" si="17"/>
        <v/>
      </c>
    </row>
    <row r="550" spans="62:63">
      <c r="BJ550" t="str">
        <f t="shared" si="16"/>
        <v/>
      </c>
      <c r="BK550" t="str">
        <f t="shared" si="17"/>
        <v/>
      </c>
    </row>
    <row r="551" spans="62:63">
      <c r="BJ551" t="str">
        <f t="shared" si="16"/>
        <v/>
      </c>
      <c r="BK551" t="str">
        <f t="shared" si="17"/>
        <v/>
      </c>
    </row>
    <row r="552" spans="62:63">
      <c r="BJ552" t="str">
        <f t="shared" si="16"/>
        <v/>
      </c>
      <c r="BK552" t="str">
        <f t="shared" si="17"/>
        <v/>
      </c>
    </row>
    <row r="553" spans="62:63">
      <c r="BJ553" t="str">
        <f t="shared" si="16"/>
        <v/>
      </c>
      <c r="BK553" t="str">
        <f t="shared" si="17"/>
        <v/>
      </c>
    </row>
    <row r="554" spans="62:63">
      <c r="BJ554" t="str">
        <f t="shared" si="16"/>
        <v/>
      </c>
      <c r="BK554" t="str">
        <f t="shared" si="17"/>
        <v/>
      </c>
    </row>
    <row r="555" spans="62:63">
      <c r="BJ555" t="str">
        <f t="shared" si="16"/>
        <v/>
      </c>
      <c r="BK555" t="str">
        <f t="shared" si="17"/>
        <v/>
      </c>
    </row>
    <row r="556" spans="62:63">
      <c r="BJ556" t="str">
        <f t="shared" si="16"/>
        <v/>
      </c>
      <c r="BK556" t="str">
        <f t="shared" si="17"/>
        <v/>
      </c>
    </row>
    <row r="557" spans="62:63">
      <c r="BJ557" t="str">
        <f t="shared" si="16"/>
        <v/>
      </c>
      <c r="BK557" t="str">
        <f t="shared" si="17"/>
        <v/>
      </c>
    </row>
    <row r="558" spans="62:63">
      <c r="BJ558" t="str">
        <f t="shared" si="16"/>
        <v/>
      </c>
      <c r="BK558" t="str">
        <f t="shared" si="17"/>
        <v/>
      </c>
    </row>
    <row r="559" spans="62:63">
      <c r="BJ559" t="str">
        <f t="shared" si="16"/>
        <v/>
      </c>
      <c r="BK559" t="str">
        <f t="shared" si="17"/>
        <v/>
      </c>
    </row>
    <row r="560" spans="62:63">
      <c r="BJ560" t="str">
        <f t="shared" si="16"/>
        <v/>
      </c>
      <c r="BK560" t="str">
        <f t="shared" si="17"/>
        <v/>
      </c>
    </row>
    <row r="561" spans="62:63">
      <c r="BJ561" t="str">
        <f t="shared" si="16"/>
        <v/>
      </c>
      <c r="BK561" t="str">
        <f t="shared" si="17"/>
        <v/>
      </c>
    </row>
    <row r="562" spans="62:63">
      <c r="BJ562" t="str">
        <f t="shared" si="16"/>
        <v/>
      </c>
      <c r="BK562" t="str">
        <f t="shared" si="17"/>
        <v/>
      </c>
    </row>
    <row r="563" spans="62:63">
      <c r="BJ563" t="str">
        <f t="shared" si="16"/>
        <v/>
      </c>
      <c r="BK563" t="str">
        <f t="shared" si="17"/>
        <v/>
      </c>
    </row>
    <row r="564" spans="62:63">
      <c r="BJ564" t="str">
        <f t="shared" si="16"/>
        <v/>
      </c>
      <c r="BK564" t="str">
        <f t="shared" si="17"/>
        <v/>
      </c>
    </row>
    <row r="565" spans="62:63">
      <c r="BJ565" t="str">
        <f t="shared" si="16"/>
        <v/>
      </c>
      <c r="BK565" t="str">
        <f t="shared" si="17"/>
        <v/>
      </c>
    </row>
    <row r="566" spans="62:63">
      <c r="BJ566" t="str">
        <f t="shared" si="16"/>
        <v/>
      </c>
      <c r="BK566" t="str">
        <f t="shared" si="17"/>
        <v/>
      </c>
    </row>
    <row r="567" spans="62:63">
      <c r="BJ567" t="str">
        <f t="shared" si="16"/>
        <v/>
      </c>
      <c r="BK567" t="str">
        <f t="shared" si="17"/>
        <v/>
      </c>
    </row>
    <row r="568" spans="62:63">
      <c r="BJ568" t="str">
        <f t="shared" si="16"/>
        <v/>
      </c>
      <c r="BK568" t="str">
        <f t="shared" si="17"/>
        <v/>
      </c>
    </row>
    <row r="569" spans="62:63">
      <c r="BJ569" t="str">
        <f t="shared" si="16"/>
        <v/>
      </c>
      <c r="BK569" t="str">
        <f t="shared" si="17"/>
        <v/>
      </c>
    </row>
    <row r="570" spans="62:63">
      <c r="BJ570" t="str">
        <f t="shared" si="16"/>
        <v/>
      </c>
      <c r="BK570" t="str">
        <f t="shared" si="17"/>
        <v/>
      </c>
    </row>
    <row r="571" spans="62:63">
      <c r="BJ571" t="str">
        <f t="shared" si="16"/>
        <v/>
      </c>
      <c r="BK571" t="str">
        <f t="shared" si="17"/>
        <v/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tabSelected="1" zoomScale="61" zoomScaleNormal="61" topLeftCell="C1" workbookViewId="0">
      <selection activeCell="N18" sqref="N18"/>
    </sheetView>
  </sheetViews>
  <sheetFormatPr defaultColWidth="9" defaultRowHeight="14.5"/>
  <cols>
    <col min="2" max="2" width="10.2727272727273" customWidth="1"/>
    <col min="3" max="3" width="16.6363636363636" customWidth="1"/>
    <col min="4" max="4" width="15.3636363636364" customWidth="1"/>
    <col min="5" max="6" width="5.81818181818182" customWidth="1"/>
    <col min="7" max="7" width="6.09090909090909" customWidth="1"/>
    <col min="8" max="8" width="8.81818181818182" customWidth="1"/>
    <col min="9" max="9" width="17.2727272727273" customWidth="1"/>
    <col min="10" max="10" width="8.09090909090909" customWidth="1"/>
    <col min="11" max="45" width="7.72727272727273" customWidth="1"/>
    <col min="46" max="46" width="8.27272727272727" customWidth="1"/>
    <col min="47" max="47" width="6" customWidth="1"/>
  </cols>
  <sheetData>
    <row r="1" spans="13:59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11:59">
      <c r="K2" s="3" t="s">
        <v>82</v>
      </c>
      <c r="L2" s="3" t="s">
        <v>83</v>
      </c>
      <c r="M2" s="4">
        <v>0</v>
      </c>
      <c r="N2" s="4">
        <v>0.00154668594043321</v>
      </c>
      <c r="O2" s="4">
        <v>0.00937422319222144</v>
      </c>
      <c r="P2" s="4">
        <v>0.0341636572578982</v>
      </c>
      <c r="Q2" s="4">
        <v>0.0353607186558534</v>
      </c>
      <c r="R2" s="4">
        <v>0.0543422220932431</v>
      </c>
      <c r="S2" s="4">
        <v>0.262701313368659</v>
      </c>
      <c r="T2" s="4">
        <v>0.0142888210067871</v>
      </c>
      <c r="U2" s="4">
        <v>0.00578692551396977</v>
      </c>
      <c r="V2" s="4">
        <v>0.0438686876708376</v>
      </c>
      <c r="W2" s="4">
        <v>0.0831104964538051</v>
      </c>
      <c r="X2" s="4">
        <v>0.0416509748769461</v>
      </c>
      <c r="Y2" s="4">
        <v>0.00931873881780423</v>
      </c>
      <c r="Z2" s="4">
        <v>0.0528749179403314</v>
      </c>
      <c r="AA2" s="4">
        <v>0.032251602082527</v>
      </c>
      <c r="AB2" s="4">
        <v>0.0274192904415345</v>
      </c>
      <c r="AC2" s="4">
        <v>0.0340245632867295</v>
      </c>
      <c r="AD2" s="4">
        <v>0.00390313490238861</v>
      </c>
      <c r="AE2" s="4">
        <v>0.0104994932971253</v>
      </c>
      <c r="AF2" s="4">
        <v>0.0310866753975418</v>
      </c>
      <c r="AG2" s="4">
        <v>0</v>
      </c>
      <c r="AH2" s="4">
        <v>0.0782243871274655</v>
      </c>
      <c r="AI2" s="4">
        <v>0.0639480555813204</v>
      </c>
      <c r="AJ2" s="4">
        <v>0.0403600231596315</v>
      </c>
      <c r="AK2" s="4">
        <v>0.0118148447044803</v>
      </c>
      <c r="AL2" s="4">
        <v>0</v>
      </c>
      <c r="AM2" s="4">
        <v>0</v>
      </c>
      <c r="AN2" s="4">
        <v>0</v>
      </c>
      <c r="AO2" s="4">
        <v>0.0213826315120774</v>
      </c>
      <c r="AP2" s="4">
        <v>0.0493251712308786</v>
      </c>
      <c r="AQ2" s="4">
        <v>0.0134070831833431</v>
      </c>
      <c r="AR2" s="4">
        <v>0.0224231668141415</v>
      </c>
      <c r="AS2" s="4">
        <v>0.0310737358837812</v>
      </c>
      <c r="AT2" s="4">
        <v>0.0478153452018106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0.0442204303555906</v>
      </c>
    </row>
    <row r="3" spans="2:59">
      <c r="B3" t="s">
        <v>84</v>
      </c>
      <c r="K3" s="3"/>
      <c r="L3" s="3" t="s">
        <v>85</v>
      </c>
      <c r="M3" s="4">
        <v>0</v>
      </c>
      <c r="N3" s="4">
        <v>0</v>
      </c>
      <c r="O3" s="4">
        <v>6.39325021734687e-5</v>
      </c>
      <c r="P3" s="4">
        <v>0.0689133691308702</v>
      </c>
      <c r="Q3" s="4">
        <v>0.037794492670514</v>
      </c>
      <c r="R3" s="4">
        <v>0.0673618026810702</v>
      </c>
      <c r="S3" s="4">
        <v>0.453366100113129</v>
      </c>
      <c r="T3" s="4">
        <v>0.00976562008057987</v>
      </c>
      <c r="U3" s="4">
        <v>0.0529760327705428</v>
      </c>
      <c r="V3" s="4">
        <v>0.0647945028931237</v>
      </c>
      <c r="W3" s="4">
        <v>0.0821698118854082</v>
      </c>
      <c r="X3" s="4">
        <v>0.0569319293364532</v>
      </c>
      <c r="Y3" s="4">
        <v>0.063781720673862</v>
      </c>
      <c r="Z3" s="4">
        <v>0.0643218571721316</v>
      </c>
      <c r="AA3" s="4">
        <v>0.0842267544319646</v>
      </c>
      <c r="AB3" s="4">
        <v>0.000672624377589211</v>
      </c>
      <c r="AC3" s="4">
        <v>0.0549826953913666</v>
      </c>
      <c r="AD3" s="4">
        <v>0.0584518356760712</v>
      </c>
      <c r="AE3" s="4">
        <v>0.000568557356125225</v>
      </c>
      <c r="AF3" s="4">
        <v>0.0503697390552527</v>
      </c>
      <c r="AG3" s="4">
        <v>0</v>
      </c>
      <c r="AH3" s="4">
        <v>0.0324182053873617</v>
      </c>
      <c r="AI3" s="4">
        <v>0.197996530065871</v>
      </c>
      <c r="AJ3" s="4">
        <v>0.0591709061499185</v>
      </c>
      <c r="AK3" s="4">
        <v>0.0709933315950041</v>
      </c>
      <c r="AL3" s="4">
        <v>0.000102662723730354</v>
      </c>
      <c r="AM3" s="4">
        <v>0</v>
      </c>
      <c r="AN3" s="4">
        <v>0</v>
      </c>
      <c r="AO3" s="4">
        <v>0.0685029645717881</v>
      </c>
      <c r="AP3" s="4">
        <v>0.222242764065942</v>
      </c>
      <c r="AQ3" s="4">
        <v>0.0551178640310267</v>
      </c>
      <c r="AR3" s="4">
        <v>0.00581199953960751</v>
      </c>
      <c r="AS3" s="4">
        <v>0.05214825516063</v>
      </c>
      <c r="AT3" s="4">
        <v>0</v>
      </c>
      <c r="AU3" s="4">
        <v>0.026823157444209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</v>
      </c>
    </row>
    <row r="4" spans="2:7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11">
      <c r="B5" t="s">
        <v>91</v>
      </c>
      <c r="C5" t="s">
        <v>92</v>
      </c>
      <c r="E5">
        <v>2050</v>
      </c>
      <c r="F5">
        <v>0</v>
      </c>
      <c r="G5" t="s">
        <v>93</v>
      </c>
      <c r="K5" t="s">
        <v>94</v>
      </c>
    </row>
    <row r="6" spans="2:13">
      <c r="B6" t="s">
        <v>91</v>
      </c>
      <c r="C6" t="s">
        <v>95</v>
      </c>
      <c r="E6">
        <v>2050</v>
      </c>
      <c r="F6" t="s">
        <v>96</v>
      </c>
      <c r="G6" t="s">
        <v>93</v>
      </c>
      <c r="M6" s="5" t="s">
        <v>97</v>
      </c>
    </row>
    <row r="7" spans="2:7">
      <c r="B7" t="s">
        <v>91</v>
      </c>
      <c r="C7" t="s">
        <v>95</v>
      </c>
      <c r="E7">
        <v>2100</v>
      </c>
      <c r="F7">
        <v>0</v>
      </c>
      <c r="G7" t="s">
        <v>93</v>
      </c>
    </row>
    <row r="8" spans="9:60">
      <c r="I8" t="s">
        <v>98</v>
      </c>
      <c r="J8" t="s">
        <v>86</v>
      </c>
      <c r="K8" t="s">
        <v>99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100</v>
      </c>
      <c r="BH8" t="s">
        <v>101</v>
      </c>
    </row>
    <row r="9" spans="9:60">
      <c r="I9" t="s">
        <v>102</v>
      </c>
      <c r="J9" t="s">
        <v>103</v>
      </c>
      <c r="K9" t="s">
        <v>104</v>
      </c>
      <c r="L9">
        <v>1</v>
      </c>
      <c r="BG9">
        <v>0</v>
      </c>
      <c r="BH9">
        <v>3</v>
      </c>
    </row>
    <row r="10" spans="10:58">
      <c r="J10" t="s">
        <v>103</v>
      </c>
      <c r="K10" t="s">
        <v>105</v>
      </c>
      <c r="M10" s="6">
        <f>IFERROR(-M2,"")</f>
        <v>0</v>
      </c>
      <c r="N10" s="6">
        <f t="shared" ref="N10:AO10" si="2">IFERROR(-N2,"")</f>
        <v>-0.00154668594043321</v>
      </c>
      <c r="O10" s="6">
        <f t="shared" si="2"/>
        <v>-0.00937422319222144</v>
      </c>
      <c r="P10" s="6">
        <f t="shared" si="2"/>
        <v>-0.0341636572578982</v>
      </c>
      <c r="Q10" s="6">
        <f t="shared" si="2"/>
        <v>-0.0353607186558534</v>
      </c>
      <c r="R10" s="6">
        <f t="shared" si="2"/>
        <v>-0.0543422220932431</v>
      </c>
      <c r="S10" s="6">
        <f t="shared" si="2"/>
        <v>-0.262701313368659</v>
      </c>
      <c r="T10" s="6">
        <f t="shared" si="2"/>
        <v>-0.0142888210067871</v>
      </c>
      <c r="U10" s="6">
        <f t="shared" si="2"/>
        <v>-0.00578692551396977</v>
      </c>
      <c r="V10" s="6">
        <f t="shared" si="2"/>
        <v>-0.0438686876708376</v>
      </c>
      <c r="W10" s="6">
        <f t="shared" si="2"/>
        <v>-0.0831104964538051</v>
      </c>
      <c r="X10" s="6">
        <f t="shared" si="2"/>
        <v>-0.0416509748769461</v>
      </c>
      <c r="Y10" s="6">
        <f t="shared" si="2"/>
        <v>-0.00931873881780423</v>
      </c>
      <c r="Z10" s="6">
        <f t="shared" si="2"/>
        <v>-0.0528749179403314</v>
      </c>
      <c r="AA10" s="6">
        <f t="shared" si="2"/>
        <v>-0.032251602082527</v>
      </c>
      <c r="AB10" s="6">
        <f t="shared" si="2"/>
        <v>-0.0274192904415345</v>
      </c>
      <c r="AC10" s="6">
        <f t="shared" si="2"/>
        <v>-0.0340245632867295</v>
      </c>
      <c r="AD10" s="6">
        <f t="shared" si="2"/>
        <v>-0.00390313490238861</v>
      </c>
      <c r="AE10" s="6">
        <f t="shared" si="2"/>
        <v>-0.0104994932971253</v>
      </c>
      <c r="AF10" s="6">
        <f t="shared" si="2"/>
        <v>-0.0310866753975418</v>
      </c>
      <c r="AG10" s="6">
        <f t="shared" si="2"/>
        <v>0</v>
      </c>
      <c r="AH10" s="6">
        <f t="shared" si="2"/>
        <v>-0.0782243871274655</v>
      </c>
      <c r="AI10" s="6">
        <f t="shared" si="2"/>
        <v>-0.0639480555813204</v>
      </c>
      <c r="AJ10" s="6">
        <f t="shared" si="2"/>
        <v>-0.0403600231596315</v>
      </c>
      <c r="AK10" s="6">
        <f t="shared" si="2"/>
        <v>-0.0118148447044803</v>
      </c>
      <c r="AL10" s="6">
        <f t="shared" si="2"/>
        <v>0</v>
      </c>
      <c r="AM10" s="6">
        <f t="shared" si="2"/>
        <v>0</v>
      </c>
      <c r="AN10" s="6">
        <f t="shared" si="2"/>
        <v>0</v>
      </c>
      <c r="AO10" s="6">
        <f t="shared" si="2"/>
        <v>-0.0213826315120774</v>
      </c>
      <c r="AP10" s="6">
        <f t="shared" ref="AP10:BF10" si="3">IFERROR(-AP2,"")</f>
        <v>-0.0493251712308786</v>
      </c>
      <c r="AQ10" s="6">
        <f t="shared" si="3"/>
        <v>-0.0134070831833431</v>
      </c>
      <c r="AR10" s="6">
        <f t="shared" si="3"/>
        <v>-0.0224231668141415</v>
      </c>
      <c r="AS10" s="6">
        <f t="shared" si="3"/>
        <v>-0.0310737358837812</v>
      </c>
      <c r="AT10" s="6">
        <f t="shared" si="3"/>
        <v>-0.0478153452018106</v>
      </c>
      <c r="AU10" s="6">
        <f t="shared" si="3"/>
        <v>0</v>
      </c>
      <c r="AV10" s="6">
        <f t="shared" si="3"/>
        <v>0</v>
      </c>
      <c r="AW10" s="6">
        <f t="shared" si="3"/>
        <v>0</v>
      </c>
      <c r="AX10" s="6">
        <f t="shared" si="3"/>
        <v>0</v>
      </c>
      <c r="AY10" s="6">
        <f t="shared" si="3"/>
        <v>0</v>
      </c>
      <c r="AZ10" s="6">
        <f t="shared" si="3"/>
        <v>0</v>
      </c>
      <c r="BA10" s="6">
        <f t="shared" si="3"/>
        <v>0</v>
      </c>
      <c r="BB10" s="6">
        <f t="shared" si="3"/>
        <v>0</v>
      </c>
      <c r="BC10" s="6">
        <f t="shared" si="3"/>
        <v>0</v>
      </c>
      <c r="BD10" s="6">
        <f t="shared" si="3"/>
        <v>0</v>
      </c>
      <c r="BE10" s="6">
        <f t="shared" si="3"/>
        <v>0</v>
      </c>
      <c r="BF10" s="6">
        <f t="shared" si="3"/>
        <v>0</v>
      </c>
    </row>
    <row r="11" spans="2:60">
      <c r="B11" t="s">
        <v>106</v>
      </c>
      <c r="I11" t="s">
        <v>107</v>
      </c>
      <c r="J11" t="s">
        <v>103</v>
      </c>
      <c r="K11" t="s">
        <v>108</v>
      </c>
      <c r="L11">
        <v>1</v>
      </c>
      <c r="BG11">
        <v>0</v>
      </c>
      <c r="BH11">
        <v>3</v>
      </c>
    </row>
    <row r="12" spans="10:58">
      <c r="J12" t="s">
        <v>103</v>
      </c>
      <c r="K12" t="s">
        <v>109</v>
      </c>
      <c r="M12" s="6">
        <f t="shared" ref="M12:BF12" si="4">IFERROR(-M3,"")</f>
        <v>0</v>
      </c>
      <c r="N12" s="6">
        <f t="shared" ref="N12:AO12" si="5">IFERROR(-N3,"")</f>
        <v>0</v>
      </c>
      <c r="O12" s="6">
        <f t="shared" si="5"/>
        <v>-6.39325021734687e-5</v>
      </c>
      <c r="P12" s="6">
        <f t="shared" si="5"/>
        <v>-0.0689133691308702</v>
      </c>
      <c r="Q12" s="6">
        <f t="shared" si="5"/>
        <v>-0.037794492670514</v>
      </c>
      <c r="R12" s="6">
        <f t="shared" si="5"/>
        <v>-0.0673618026810702</v>
      </c>
      <c r="S12" s="6">
        <f t="shared" si="5"/>
        <v>-0.453366100113129</v>
      </c>
      <c r="T12" s="6">
        <f t="shared" si="5"/>
        <v>-0.00976562008057987</v>
      </c>
      <c r="U12" s="6">
        <f t="shared" si="5"/>
        <v>-0.0529760327705428</v>
      </c>
      <c r="V12" s="6">
        <f t="shared" si="5"/>
        <v>-0.0647945028931237</v>
      </c>
      <c r="W12" s="6">
        <f t="shared" si="5"/>
        <v>-0.0821698118854082</v>
      </c>
      <c r="X12" s="6">
        <f t="shared" si="5"/>
        <v>-0.0569319293364532</v>
      </c>
      <c r="Y12" s="6">
        <f t="shared" si="5"/>
        <v>-0.063781720673862</v>
      </c>
      <c r="Z12" s="6">
        <f t="shared" si="5"/>
        <v>-0.0643218571721316</v>
      </c>
      <c r="AA12" s="6">
        <f t="shared" si="5"/>
        <v>-0.0842267544319646</v>
      </c>
      <c r="AB12" s="6">
        <f t="shared" si="5"/>
        <v>-0.000672624377589211</v>
      </c>
      <c r="AC12" s="6">
        <f t="shared" si="5"/>
        <v>-0.0549826953913666</v>
      </c>
      <c r="AD12" s="6">
        <f t="shared" si="5"/>
        <v>-0.0584518356760712</v>
      </c>
      <c r="AE12" s="6">
        <f t="shared" si="5"/>
        <v>-0.000568557356125225</v>
      </c>
      <c r="AF12" s="6">
        <f t="shared" si="5"/>
        <v>-0.0503697390552527</v>
      </c>
      <c r="AG12" s="6">
        <f t="shared" si="5"/>
        <v>0</v>
      </c>
      <c r="AH12" s="6">
        <f t="shared" si="5"/>
        <v>-0.0324182053873617</v>
      </c>
      <c r="AI12" s="6">
        <f t="shared" si="5"/>
        <v>-0.197996530065871</v>
      </c>
      <c r="AJ12" s="6">
        <f t="shared" si="5"/>
        <v>-0.0591709061499185</v>
      </c>
      <c r="AK12" s="6">
        <f t="shared" si="5"/>
        <v>-0.0709933315950041</v>
      </c>
      <c r="AL12" s="6">
        <f t="shared" si="5"/>
        <v>-0.000102662723730354</v>
      </c>
      <c r="AM12" s="6">
        <f t="shared" si="5"/>
        <v>0</v>
      </c>
      <c r="AN12" s="6">
        <f t="shared" si="5"/>
        <v>0</v>
      </c>
      <c r="AO12" s="6">
        <f t="shared" si="5"/>
        <v>-0.0685029645717881</v>
      </c>
      <c r="AP12" s="6">
        <f t="shared" si="4"/>
        <v>-0.222242764065942</v>
      </c>
      <c r="AQ12" s="6">
        <f t="shared" si="4"/>
        <v>-0.0551178640310267</v>
      </c>
      <c r="AR12" s="6">
        <f t="shared" si="4"/>
        <v>-0.00581199953960751</v>
      </c>
      <c r="AS12" s="6">
        <f t="shared" si="4"/>
        <v>-0.05214825516063</v>
      </c>
      <c r="AT12" s="6">
        <f t="shared" si="4"/>
        <v>0</v>
      </c>
      <c r="AU12" s="6">
        <f t="shared" si="4"/>
        <v>-0.026823157444209</v>
      </c>
      <c r="AV12" s="6">
        <f t="shared" si="4"/>
        <v>0</v>
      </c>
      <c r="AW12" s="6">
        <f t="shared" si="4"/>
        <v>0</v>
      </c>
      <c r="AX12" s="6">
        <f t="shared" si="4"/>
        <v>0</v>
      </c>
      <c r="AY12" s="6">
        <f t="shared" si="4"/>
        <v>0</v>
      </c>
      <c r="AZ12" s="6">
        <f t="shared" si="4"/>
        <v>0</v>
      </c>
      <c r="BA12" s="6">
        <f t="shared" si="4"/>
        <v>0</v>
      </c>
      <c r="BB12" s="6">
        <f t="shared" si="4"/>
        <v>0</v>
      </c>
      <c r="BC12" s="6">
        <f t="shared" si="4"/>
        <v>0</v>
      </c>
      <c r="BD12" s="6">
        <f t="shared" si="4"/>
        <v>0</v>
      </c>
      <c r="BE12" s="6">
        <f t="shared" si="4"/>
        <v>0</v>
      </c>
      <c r="BF12" s="6">
        <f t="shared" si="4"/>
        <v>0</v>
      </c>
    </row>
    <row r="18" spans="13:58"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</row>
    <row r="20" spans="13:58"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</row>
    <row r="26" spans="11:11">
      <c r="K26" t="s">
        <v>110</v>
      </c>
    </row>
    <row r="27" spans="11:14">
      <c r="K27" t="s">
        <v>111</v>
      </c>
      <c r="L27" t="s">
        <v>112</v>
      </c>
      <c r="M27" t="s">
        <v>113</v>
      </c>
      <c r="N27" t="s">
        <v>114</v>
      </c>
    </row>
    <row r="28" spans="2:14">
      <c r="B28" t="s">
        <v>115</v>
      </c>
      <c r="L28" t="s">
        <v>116</v>
      </c>
      <c r="M28" t="s">
        <v>117</v>
      </c>
      <c r="N28" t="s">
        <v>118</v>
      </c>
    </row>
    <row r="29" spans="2:5">
      <c r="B29" t="s">
        <v>4</v>
      </c>
      <c r="C29" t="s">
        <v>119</v>
      </c>
      <c r="D29" t="s">
        <v>113</v>
      </c>
      <c r="E29" t="s">
        <v>89</v>
      </c>
    </row>
    <row r="30" spans="2:5">
      <c r="B30" t="s">
        <v>120</v>
      </c>
      <c r="C30" t="s">
        <v>121</v>
      </c>
      <c r="D30" t="s">
        <v>103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valfield</v>
      </c>
      <c r="E33" t="str">
        <f>IF(BY_TRA!M1="","\I:",BY_TRA!M1)</f>
        <v>\I:</v>
      </c>
      <c r="F33" t="str">
        <f>IF(BY_TRA!N1="","\I:",BY_TRA!N1)</f>
        <v>\I:</v>
      </c>
      <c r="G33" t="str">
        <f>IF(BY_TRA!O1="","\I:",BY_TRA!O1)</f>
        <v>\I:</v>
      </c>
      <c r="H33" t="str">
        <f>IF(BY_TRA!P1="","\I:",BY_TRA!P1)</f>
        <v>\I:</v>
      </c>
      <c r="I33" t="str">
        <f>IF(BY_TRA!Q1="","\I:",BY_TRA!Q1)</f>
        <v>\I:</v>
      </c>
      <c r="J33" t="str">
        <f>IF(BY_TRA!R1="","\I:",BY_TRA!R1)</f>
        <v>\I:</v>
      </c>
      <c r="K33" t="str">
        <f>IF(BY_TRA!S1="","\I:",BY_TRA!S1)</f>
        <v>\I:</v>
      </c>
      <c r="L33" t="str">
        <f>IF(BY_TRA!T1="","\I:",BY_TRA!T1)</f>
        <v>\I:</v>
      </c>
      <c r="M33" t="str">
        <f>IF(BY_TRA!U1="","\I:",BY_TRA!U1)</f>
        <v>\I:</v>
      </c>
      <c r="N33" t="str">
        <f>IF(BY_TRA!V1="","\I:",BY_TRA!V1)</f>
        <v>\I:</v>
      </c>
      <c r="O33" t="str">
        <f>IF(BY_TRA!W1="","\I:",BY_TRA!W1)</f>
        <v>\I:</v>
      </c>
      <c r="P33" t="str">
        <f>IF(BY_TRA!X1="","\I:",BY_TRA!X1)</f>
        <v>\I:</v>
      </c>
      <c r="Q33" t="str">
        <f>IF(BY_TRA!Y1="","\I:",BY_TRA!Y1)</f>
        <v>\I:</v>
      </c>
      <c r="R33" t="str">
        <f>IF(BY_TRA!Z1="","\I:",BY_TRA!Z1)</f>
        <v>\I:</v>
      </c>
      <c r="S33" t="str">
        <f>IF(BY_TRA!AA1="","\I:",BY_TRA!AA1)</f>
        <v>\I:</v>
      </c>
      <c r="T33" t="str">
        <f>IF(BY_TRA!AB1="","\I:",BY_TRA!AB1)</f>
        <v>\I:</v>
      </c>
      <c r="U33" t="str">
        <f>IF(BY_TRA!AC1="","\I:",BY_TRA!AC1)</f>
        <v>\I:</v>
      </c>
      <c r="V33" t="str">
        <f>IF(BY_TRA!AD1="","\I:",BY_TRA!AD1)</f>
        <v>\I:</v>
      </c>
      <c r="W33" t="str">
        <f>IF(BY_TRA!AE1="","\I:",BY_TRA!AE1)</f>
        <v>\I:</v>
      </c>
      <c r="X33" t="str">
        <f>IF(BY_TRA!AF1="","\I:",BY_TRA!AF1)</f>
        <v>\I:</v>
      </c>
      <c r="Y33" t="str">
        <f>IF(BY_TRA!AG1="","\I:",BY_TRA!AG1)</f>
        <v>\I:</v>
      </c>
      <c r="Z33" t="str">
        <f>IF(BY_TRA!AH1="","\I:",BY_TRA!AH1)</f>
        <v>\I:</v>
      </c>
      <c r="AA33" t="str">
        <f>IF(BY_TRA!AI1="","\I:",BY_TRA!AI1)</f>
        <v>\I:</v>
      </c>
      <c r="AB33" t="str">
        <f>IF(BY_TRA!AJ1="","\I:",BY_TRA!AJ1)</f>
        <v>\I:</v>
      </c>
      <c r="AC33" t="str">
        <f>IF(BY_TRA!AK1="","\I:",BY_TRA!AK1)</f>
        <v>\I:</v>
      </c>
      <c r="AD33" t="str">
        <f>IF(BY_TRA!AL1="","\I:",BY_TRA!AL1)</f>
        <v>\I:</v>
      </c>
      <c r="AE33" t="str">
        <f>IF(BY_TRA!AM1="","\I:",BY_TRA!AM1)</f>
        <v>\I:</v>
      </c>
      <c r="AF33" t="str">
        <f>IF(BY_TRA!AN1="","\I:",BY_TRA!AN1)</f>
        <v>\I:</v>
      </c>
      <c r="AG33" t="str">
        <f>IF(BY_TRA!AO1="","\I:",BY_TRA!AO1)</f>
        <v>\I:</v>
      </c>
      <c r="AH33" t="str">
        <f>IF(BY_TRA!AP1="","\I:",BY_TRA!AP1)</f>
        <v>\I:</v>
      </c>
      <c r="AI33" t="str">
        <f>IF(BY_TRA!AQ1="","\I:",BY_TRA!AQ1)</f>
        <v>\I:</v>
      </c>
      <c r="AJ33" t="str">
        <f>IF(BY_TRA!AR1="","\I:",BY_TRA!AR1)</f>
        <v>\I:</v>
      </c>
      <c r="AK33" t="str">
        <f>IF(BY_TRA!AS1="","\I:",BY_TRA!AS1)</f>
        <v>\I:</v>
      </c>
      <c r="AL33" t="str">
        <f>IF(BY_TRA!AT1="","\I:",BY_TRA!AT1)</f>
        <v>\I:</v>
      </c>
      <c r="AM33" t="str">
        <f>IF(BY_TRA!AU1="","\I:",BY_TRA!AU1)</f>
        <v>\I: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1">
      <c r="B34" t="s">
        <v>122</v>
      </c>
      <c r="C34" t="s">
        <v>123</v>
      </c>
      <c r="D34" s="1">
        <f>IFERROR(SUMIFS(BY_TRA!L$2:L$999,BY_TRA!$BJ$2:$BJ$999,Transport!$B34,BY_TRA!$BK$2:$BK$999,Transport!$C34)/SUMIFS(BY_TRA!L$2:L$999,BY_TRA!$BJ$2:$BJ$999,Transport!$B34),0)</f>
        <v>0</v>
      </c>
      <c r="E34" s="1">
        <f>IFERROR(SUMIFS(BY_TRA!M$2:M$999,BY_TRA!$BJ$2:$BJ$999,Transport!$B34,BY_TRA!$BK$2:$BK$999,Transport!$C34)/SUMIFS(BY_TRA!M$2:M$999,BY_TRA!$BJ$2:$BJ$999,Transport!$B34),0)</f>
        <v>0</v>
      </c>
      <c r="F34" s="1">
        <f>IFERROR(SUMIFS(BY_TRA!N$2:N$999,BY_TRA!$BJ$2:$BJ$999,Transport!$B34,BY_TRA!$BK$2:$BK$999,Transport!$C34)/SUMIFS(BY_TRA!N$2:N$999,BY_TRA!$BJ$2:$BJ$999,Transport!$B34),0)</f>
        <v>0</v>
      </c>
      <c r="G34" s="1">
        <f>IFERROR(SUMIFS(BY_TRA!O$2:O$999,BY_TRA!$BJ$2:$BJ$999,Transport!$B34,BY_TRA!$BK$2:$BK$999,Transport!$C34)/SUMIFS(BY_TRA!O$2:O$999,BY_TRA!$BJ$2:$BJ$999,Transport!$B34),0)</f>
        <v>0</v>
      </c>
      <c r="H34" s="1">
        <f>IFERROR(SUMIFS(BY_TRA!P$2:P$999,BY_TRA!$BJ$2:$BJ$999,Transport!$B34,BY_TRA!$BK$2:$BK$999,Transport!$C34)/SUMIFS(BY_TRA!P$2:P$999,BY_TRA!$BJ$2:$BJ$999,Transport!$B34),0)</f>
        <v>0</v>
      </c>
      <c r="I34" s="1">
        <f>IFERROR(SUMIFS(BY_TRA!Q$2:Q$999,BY_TRA!$BJ$2:$BJ$999,Transport!$B34,BY_TRA!$BK$2:$BK$999,Transport!$C34)/SUMIFS(BY_TRA!Q$2:Q$999,BY_TRA!$BJ$2:$BJ$999,Transport!$B34),0)</f>
        <v>0</v>
      </c>
      <c r="J34" s="1">
        <f>IFERROR(SUMIFS(BY_TRA!R$2:R$999,BY_TRA!$BJ$2:$BJ$999,Transport!$B34,BY_TRA!$BK$2:$BK$999,Transport!$C34)/SUMIFS(BY_TRA!R$2:R$999,BY_TRA!$BJ$2:$BJ$999,Transport!$B34),0)</f>
        <v>0</v>
      </c>
      <c r="K34" s="1">
        <f>IFERROR(SUMIFS(BY_TRA!S$2:S$999,BY_TRA!$BJ$2:$BJ$999,Transport!$B34,BY_TRA!$BK$2:$BK$999,Transport!$C34)/SUMIFS(BY_TRA!S$2:S$999,BY_TRA!$BJ$2:$BJ$999,Transport!$B34),0)</f>
        <v>0</v>
      </c>
      <c r="L34" s="1">
        <f>IFERROR(SUMIFS(BY_TRA!T$2:T$999,BY_TRA!$BJ$2:$BJ$999,Transport!$B34,BY_TRA!$BK$2:$BK$999,Transport!$C34)/SUMIFS(BY_TRA!T$2:T$999,BY_TRA!$BJ$2:$BJ$999,Transport!$B34),0)</f>
        <v>0</v>
      </c>
      <c r="M34" s="1">
        <f>IFERROR(SUMIFS(BY_TRA!U$2:U$999,BY_TRA!$BJ$2:$BJ$999,Transport!$B34,BY_TRA!$BK$2:$BK$999,Transport!$C34)/SUMIFS(BY_TRA!U$2:U$999,BY_TRA!$BJ$2:$BJ$999,Transport!$B34),0)</f>
        <v>0</v>
      </c>
      <c r="N34" s="1">
        <f>IFERROR(SUMIFS(BY_TRA!V$2:V$999,BY_TRA!$BJ$2:$BJ$999,Transport!$B34,BY_TRA!$BK$2:$BK$999,Transport!$C34)/SUMIFS(BY_TRA!V$2:V$999,BY_TRA!$BJ$2:$BJ$999,Transport!$B34),0)</f>
        <v>0</v>
      </c>
      <c r="O34" s="1">
        <f>IFERROR(SUMIFS(BY_TRA!W$2:W$999,BY_TRA!$BJ$2:$BJ$999,Transport!$B34,BY_TRA!$BK$2:$BK$999,Transport!$C34)/SUMIFS(BY_TRA!W$2:W$999,BY_TRA!$BJ$2:$BJ$999,Transport!$B34),0)</f>
        <v>0</v>
      </c>
      <c r="P34" s="1">
        <f>IFERROR(SUMIFS(BY_TRA!X$2:X$999,BY_TRA!$BJ$2:$BJ$999,Transport!$B34,BY_TRA!$BK$2:$BK$999,Transport!$C34)/SUMIFS(BY_TRA!X$2:X$999,BY_TRA!$BJ$2:$BJ$999,Transport!$B34),0)</f>
        <v>0</v>
      </c>
      <c r="Q34" s="1">
        <f>IFERROR(SUMIFS(BY_TRA!Y$2:Y$999,BY_TRA!$BJ$2:$BJ$999,Transport!$B34,BY_TRA!$BK$2:$BK$999,Transport!$C34)/SUMIFS(BY_TRA!Y$2:Y$999,BY_TRA!$BJ$2:$BJ$999,Transport!$B34),0)</f>
        <v>0</v>
      </c>
      <c r="R34" s="1">
        <f>IFERROR(SUMIFS(BY_TRA!Z$2:Z$999,BY_TRA!$BJ$2:$BJ$999,Transport!$B34,BY_TRA!$BK$2:$BK$999,Transport!$C34)/SUMIFS(BY_TRA!Z$2:Z$999,BY_TRA!$BJ$2:$BJ$999,Transport!$B34),0)</f>
        <v>0</v>
      </c>
      <c r="S34" s="1">
        <f>IFERROR(SUMIFS(BY_TRA!AA$2:AA$999,BY_TRA!$BJ$2:$BJ$999,Transport!$B34,BY_TRA!$BK$2:$BK$999,Transport!$C34)/SUMIFS(BY_TRA!AA$2:AA$999,BY_TRA!$BJ$2:$BJ$999,Transport!$B34),0)</f>
        <v>0</v>
      </c>
      <c r="T34" s="1">
        <f>IFERROR(SUMIFS(BY_TRA!AB$2:AB$999,BY_TRA!$BJ$2:$BJ$999,Transport!$B34,BY_TRA!$BK$2:$BK$999,Transport!$C34)/SUMIFS(BY_TRA!AB$2:AB$999,BY_TRA!$BJ$2:$BJ$999,Transport!$B34),0)</f>
        <v>0</v>
      </c>
      <c r="U34" s="1">
        <f>IFERROR(SUMIFS(BY_TRA!AC$2:AC$999,BY_TRA!$BJ$2:$BJ$999,Transport!$B34,BY_TRA!$BK$2:$BK$999,Transport!$C34)/SUMIFS(BY_TRA!AC$2:AC$999,BY_TRA!$BJ$2:$BJ$999,Transport!$B34),0)</f>
        <v>0</v>
      </c>
      <c r="V34" s="1">
        <f>IFERROR(SUMIFS(BY_TRA!AD$2:AD$999,BY_TRA!$BJ$2:$BJ$999,Transport!$B34,BY_TRA!$BK$2:$BK$999,Transport!$C34)/SUMIFS(BY_TRA!AD$2:AD$999,BY_TRA!$BJ$2:$BJ$999,Transport!$B34),0)</f>
        <v>0</v>
      </c>
      <c r="W34" s="1">
        <f>IFERROR(SUMIFS(BY_TRA!AE$2:AE$999,BY_TRA!$BJ$2:$BJ$999,Transport!$B34,BY_TRA!$BK$2:$BK$999,Transport!$C34)/SUMIFS(BY_TRA!AE$2:AE$999,BY_TRA!$BJ$2:$BJ$999,Transport!$B34),0)</f>
        <v>0</v>
      </c>
      <c r="X34" s="1">
        <f>IFERROR(SUMIFS(BY_TRA!AF$2:AF$999,BY_TRA!$BJ$2:$BJ$999,Transport!$B34,BY_TRA!$BK$2:$BK$999,Transport!$C34)/SUMIFS(BY_TRA!AF$2:AF$999,BY_TRA!$BJ$2:$BJ$999,Transport!$B34),0)</f>
        <v>0</v>
      </c>
      <c r="Y34" s="1">
        <f>IFERROR(SUMIFS(BY_TRA!AG$2:AG$999,BY_TRA!$BJ$2:$BJ$999,Transport!$B34,BY_TRA!$BK$2:$BK$999,Transport!$C34)/SUMIFS(BY_TRA!AG$2:AG$999,BY_TRA!$BJ$2:$BJ$999,Transport!$B34),0)</f>
        <v>0</v>
      </c>
      <c r="Z34" s="1">
        <f>IFERROR(SUMIFS(BY_TRA!AH$2:AH$999,BY_TRA!$BJ$2:$BJ$999,Transport!$B34,BY_TRA!$BK$2:$BK$999,Transport!$C34)/SUMIFS(BY_TRA!AH$2:AH$999,BY_TRA!$BJ$2:$BJ$999,Transport!$B34),0)</f>
        <v>0</v>
      </c>
      <c r="AA34" s="1">
        <f>IFERROR(SUMIFS(BY_TRA!AI$2:AI$999,BY_TRA!$BJ$2:$BJ$999,Transport!$B34,BY_TRA!$BK$2:$BK$999,Transport!$C34)/SUMIFS(BY_TRA!AI$2:AI$999,BY_TRA!$BJ$2:$BJ$999,Transport!$B34),0)</f>
        <v>0</v>
      </c>
      <c r="AB34" s="1">
        <f>IFERROR(SUMIFS(BY_TRA!AJ$2:AJ$999,BY_TRA!$BJ$2:$BJ$999,Transport!$B34,BY_TRA!$BK$2:$BK$999,Transport!$C34)/SUMIFS(BY_TRA!AJ$2:AJ$999,BY_TRA!$BJ$2:$BJ$999,Transport!$B34),0)</f>
        <v>0</v>
      </c>
      <c r="AC34" s="1">
        <f>IFERROR(SUMIFS(BY_TRA!AK$2:AK$999,BY_TRA!$BJ$2:$BJ$999,Transport!$B34,BY_TRA!$BK$2:$BK$999,Transport!$C34)/SUMIFS(BY_TRA!AK$2:AK$999,BY_TRA!$BJ$2:$BJ$999,Transport!$B34),0)</f>
        <v>0</v>
      </c>
      <c r="AD34" s="1">
        <f>IFERROR(SUMIFS(BY_TRA!AL$2:AL$999,BY_TRA!$BJ$2:$BJ$999,Transport!$B34,BY_TRA!$BK$2:$BK$999,Transport!$C34)/SUMIFS(BY_TRA!AL$2:AL$999,BY_TRA!$BJ$2:$BJ$999,Transport!$B34),0)</f>
        <v>0</v>
      </c>
      <c r="AE34" s="1">
        <f>IFERROR(SUMIFS(BY_TRA!AM$2:AM$999,BY_TRA!$BJ$2:$BJ$999,Transport!$B34,BY_TRA!$BK$2:$BK$999,Transport!$C34)/SUMIFS(BY_TRA!AM$2:AM$999,BY_TRA!$BJ$2:$BJ$999,Transport!$B34),0)</f>
        <v>0</v>
      </c>
      <c r="AF34" s="1">
        <f>IFERROR(SUMIFS(BY_TRA!AN$2:AN$999,BY_TRA!$BJ$2:$BJ$999,Transport!$B34,BY_TRA!$BK$2:$BK$999,Transport!$C34)/SUMIFS(BY_TRA!AN$2:AN$999,BY_TRA!$BJ$2:$BJ$999,Transport!$B34),0)</f>
        <v>0</v>
      </c>
      <c r="AG34" s="1">
        <f>IFERROR(SUMIFS(BY_TRA!AO$2:AO$999,BY_TRA!$BJ$2:$BJ$999,Transport!$B34,BY_TRA!$BK$2:$BK$999,Transport!$C34)/SUMIFS(BY_TRA!AO$2:AO$999,BY_TRA!$BJ$2:$BJ$999,Transport!$B34),0)</f>
        <v>0</v>
      </c>
      <c r="AH34" s="1">
        <f>IFERROR(SUMIFS(BY_TRA!AP$2:AP$999,BY_TRA!$BJ$2:$BJ$999,Transport!$B34,BY_TRA!$BK$2:$BK$999,Transport!$C34)/SUMIFS(BY_TRA!AP$2:AP$999,BY_TRA!$BJ$2:$BJ$999,Transport!$B34),0)</f>
        <v>0</v>
      </c>
      <c r="AI34" s="1">
        <f>IFERROR(SUMIFS(BY_TRA!AQ$2:AQ$999,BY_TRA!$BJ$2:$BJ$999,Transport!$B34,BY_TRA!$BK$2:$BK$999,Transport!$C34)/SUMIFS(BY_TRA!AQ$2:AQ$999,BY_TRA!$BJ$2:$BJ$999,Transport!$B34),0)</f>
        <v>0</v>
      </c>
      <c r="AJ34" s="1">
        <f>IFERROR(SUMIFS(BY_TRA!AR$2:AR$999,BY_TRA!$BJ$2:$BJ$999,Transport!$B34,BY_TRA!$BK$2:$BK$999,Transport!$C34)/SUMIFS(BY_TRA!AR$2:AR$999,BY_TRA!$BJ$2:$BJ$999,Transport!$B34),0)</f>
        <v>0</v>
      </c>
      <c r="AK34" s="1">
        <f>IFERROR(SUMIFS(BY_TRA!AS$2:AS$999,BY_TRA!$BJ$2:$BJ$999,Transport!$B34,BY_TRA!$BK$2:$BK$999,Transport!$C34)/SUMIFS(BY_TRA!AS$2:AS$999,BY_TRA!$BJ$2:$BJ$999,Transport!$B34),0)</f>
        <v>0</v>
      </c>
      <c r="AL34" s="1">
        <f>IFERROR(SUMIFS(BY_TRA!AT$2:AT$999,BY_TRA!$BJ$2:$BJ$999,Transport!$B34,BY_TRA!$BK$2:$BK$999,Transport!$C34)/SUMIFS(BY_TRA!AT$2:AT$999,BY_TRA!$BJ$2:$BJ$999,Transport!$B34),0)</f>
        <v>0</v>
      </c>
      <c r="AM34" s="1">
        <f>IFERROR(SUMIFS(BY_TRA!AU$2:AU$999,BY_TRA!$BJ$2:$BJ$999,Transport!$B34,BY_TRA!$BK$2:$BK$999,Transport!$C34)/SUMIFS(BY_TRA!AU$2:AU$999,BY_TRA!$BJ$2:$BJ$999,Transport!$B34),0)</f>
        <v>0</v>
      </c>
      <c r="AN34" s="1">
        <f>IFERROR(SUMIFS(BY_TRA!AV$2:AV$999,BY_TRA!$BJ$2:$BJ$999,Transport!$B34,BY_TRA!$BK$2:$BK$999,Transport!$C34)/SUMIFS(BY_TRA!AV$2:AV$999,BY_TRA!$BJ$2:$BJ$999,Transport!$B34),0)</f>
        <v>0</v>
      </c>
      <c r="AO34" s="1">
        <f>IFERROR(SUMIFS(BY_TRA!AW$2:AW$999,BY_TRA!$BJ$2:$BJ$999,Transport!$B34,BY_TRA!$BK$2:$BK$999,Transport!$C34)/SUMIFS(BY_TRA!AW$2:AW$999,BY_TRA!$BJ$2:$BJ$999,Transport!$B34),0)</f>
        <v>0</v>
      </c>
      <c r="AP34" s="1">
        <f>IFERROR(SUMIFS(BY_TRA!AX$2:AX$999,BY_TRA!$BJ$2:$BJ$999,Transport!$B34,BY_TRA!$BK$2:$BK$999,Transport!$C34)/SUMIFS(BY_TRA!AX$2:AX$999,BY_TRA!$BJ$2:$BJ$999,Transport!$B34),0)</f>
        <v>0</v>
      </c>
      <c r="AQ34" s="1">
        <f>IFERROR(SUMIFS(BY_TRA!AY$2:AY$999,BY_TRA!$BJ$2:$BJ$999,Transport!$B34,BY_TRA!$BK$2:$BK$999,Transport!$C34)/SUMIFS(BY_TRA!AY$2:AY$999,BY_TRA!$BJ$2:$BJ$999,Transport!$B34),0)</f>
        <v>0</v>
      </c>
      <c r="AR34" s="1">
        <f>IFERROR(SUMIFS(BY_TRA!AZ$2:AZ$999,BY_TRA!$BJ$2:$BJ$999,Transport!$B34,BY_TRA!$BK$2:$BK$999,Transport!$C34)/SUMIFS(BY_TRA!AZ$2:AZ$999,BY_TRA!$BJ$2:$BJ$999,Transport!$B34),0)</f>
        <v>0</v>
      </c>
      <c r="AS34" s="1">
        <f>IFERROR(SUMIFS(BY_TRA!BA$2:BA$999,BY_TRA!$BJ$2:$BJ$999,Transport!$B34,BY_TRA!$BK$2:$BK$999,Transport!$C34)/SUMIFS(BY_TRA!BA$2:BA$999,BY_TRA!$BJ$2:$BJ$999,Transport!$B34),0)</f>
        <v>0</v>
      </c>
      <c r="AT34" s="1">
        <f>IFERROR(SUMIFS(BY_TRA!BB$2:BB$999,BY_TRA!$BJ$2:$BJ$999,Transport!$B34,BY_TRA!$BK$2:$BK$999,Transport!$C34)/SUMIFS(BY_TRA!BB$2:BB$999,BY_TRA!$BJ$2:$BJ$999,Transport!$B34),0)</f>
        <v>0</v>
      </c>
      <c r="AU34" s="1">
        <f>IFERROR(SUMIFS(BY_TRA!BC$2:BC$999,BY_TRA!$BJ$2:$BJ$999,Transport!$B34,BY_TRA!$BK$2:$BK$999,Transport!$C34)/SUMIFS(BY_TRA!BC$2:BC$999,BY_TRA!$BJ$2:$BJ$999,Transport!$B34),0)</f>
        <v>0</v>
      </c>
      <c r="AV34" s="1">
        <f>IFERROR(SUMIFS(BY_TRA!BD$2:BD$999,BY_TRA!$BJ$2:$BJ$999,Transport!$B34,BY_TRA!$BK$2:$BK$999,Transport!$C34)/SUMIFS(BY_TRA!BD$2:BD$999,BY_TRA!$BJ$2:$BJ$999,Transport!$B34),0)</f>
        <v>0</v>
      </c>
      <c r="AW34" s="1">
        <f>IFERROR(SUMIFS(BY_TRA!BE$2:BE$999,BY_TRA!$BJ$2:$BJ$999,Transport!$B34,BY_TRA!$BK$2:$BK$999,Transport!$C34)/SUMIFS(BY_TRA!BE$2:BE$999,BY_TRA!$BJ$2:$BJ$999,Transport!$B34),0)</f>
        <v>0</v>
      </c>
      <c r="AX34" s="1">
        <f>IFERROR(SUMIFS(BY_TRA!BF$2:BF$999,BY_TRA!$BJ$2:$BJ$999,Transport!$B34,BY_TRA!$BK$2:$BK$999,Transport!$C34)/SUMIFS(BY_TRA!BF$2:BF$999,BY_TRA!$BJ$2:$BJ$999,Transport!$B34),0)</f>
        <v>0</v>
      </c>
      <c r="AY34" s="1">
        <f>IFERROR(SUMIFS(BY_TRA!BG$2:BG$999,BY_TRA!$BJ$2:$BJ$999,Transport!$B34,BY_TRA!$BK$2:$BK$999,Transport!$C34)/SUMIFS(BY_TRA!BG$2:BG$999,BY_TRA!$BJ$2:$BJ$999,Transport!$B34),0)</f>
        <v>0</v>
      </c>
    </row>
    <row r="35" spans="2:51">
      <c r="B35" t="s">
        <v>122</v>
      </c>
      <c r="C35" t="s">
        <v>124</v>
      </c>
      <c r="D35" s="1">
        <f>IFERROR(SUMIFS(BY_TRA!L$2:L$999,BY_TRA!$BJ$2:$BJ$999,Transport!$B35,BY_TRA!$BK$2:$BK$999,Transport!$C35)/SUMIFS(BY_TRA!L$2:L$999,BY_TRA!$BJ$2:$BJ$999,Transport!$B35),0)</f>
        <v>0</v>
      </c>
      <c r="E35" s="1">
        <f>IFERROR(SUMIFS(BY_TRA!M$2:M$999,BY_TRA!$BJ$2:$BJ$999,Transport!$B35,BY_TRA!$BK$2:$BK$999,Transport!$C35)/SUMIFS(BY_TRA!M$2:M$999,BY_TRA!$BJ$2:$BJ$999,Transport!$B35),0)</f>
        <v>0</v>
      </c>
      <c r="F35" s="1">
        <f>IFERROR(SUMIFS(BY_TRA!N$2:N$999,BY_TRA!$BJ$2:$BJ$999,Transport!$B35,BY_TRA!$BK$2:$BK$999,Transport!$C35)/SUMIFS(BY_TRA!N$2:N$999,BY_TRA!$BJ$2:$BJ$999,Transport!$B35),0)</f>
        <v>0</v>
      </c>
      <c r="G35" s="1">
        <f>IFERROR(SUMIFS(BY_TRA!O$2:O$999,BY_TRA!$BJ$2:$BJ$999,Transport!$B35,BY_TRA!$BK$2:$BK$999,Transport!$C35)/SUMIFS(BY_TRA!O$2:O$999,BY_TRA!$BJ$2:$BJ$999,Transport!$B35),0)</f>
        <v>0</v>
      </c>
      <c r="H35" s="1">
        <f>IFERROR(SUMIFS(BY_TRA!P$2:P$999,BY_TRA!$BJ$2:$BJ$999,Transport!$B35,BY_TRA!$BK$2:$BK$999,Transport!$C35)/SUMIFS(BY_TRA!P$2:P$999,BY_TRA!$BJ$2:$BJ$999,Transport!$B35),0)</f>
        <v>0</v>
      </c>
      <c r="I35" s="1">
        <f>IFERROR(SUMIFS(BY_TRA!Q$2:Q$999,BY_TRA!$BJ$2:$BJ$999,Transport!$B35,BY_TRA!$BK$2:$BK$999,Transport!$C35)/SUMIFS(BY_TRA!Q$2:Q$999,BY_TRA!$BJ$2:$BJ$999,Transport!$B35),0)</f>
        <v>0</v>
      </c>
      <c r="J35" s="1">
        <f>IFERROR(SUMIFS(BY_TRA!R$2:R$999,BY_TRA!$BJ$2:$BJ$999,Transport!$B35,BY_TRA!$BK$2:$BK$999,Transport!$C35)/SUMIFS(BY_TRA!R$2:R$999,BY_TRA!$BJ$2:$BJ$999,Transport!$B35),0)</f>
        <v>0</v>
      </c>
      <c r="K35" s="1">
        <f>IFERROR(SUMIFS(BY_TRA!S$2:S$999,BY_TRA!$BJ$2:$BJ$999,Transport!$B35,BY_TRA!$BK$2:$BK$999,Transport!$C35)/SUMIFS(BY_TRA!S$2:S$999,BY_TRA!$BJ$2:$BJ$999,Transport!$B35),0)</f>
        <v>0</v>
      </c>
      <c r="L35" s="1">
        <f>IFERROR(SUMIFS(BY_TRA!T$2:T$999,BY_TRA!$BJ$2:$BJ$999,Transport!$B35,BY_TRA!$BK$2:$BK$999,Transport!$C35)/SUMIFS(BY_TRA!T$2:T$999,BY_TRA!$BJ$2:$BJ$999,Transport!$B35),0)</f>
        <v>0</v>
      </c>
      <c r="M35" s="1">
        <f>IFERROR(SUMIFS(BY_TRA!U$2:U$999,BY_TRA!$BJ$2:$BJ$999,Transport!$B35,BY_TRA!$BK$2:$BK$999,Transport!$C35)/SUMIFS(BY_TRA!U$2:U$999,BY_TRA!$BJ$2:$BJ$999,Transport!$B35),0)</f>
        <v>0</v>
      </c>
      <c r="N35" s="1">
        <f>IFERROR(SUMIFS(BY_TRA!V$2:V$999,BY_TRA!$BJ$2:$BJ$999,Transport!$B35,BY_TRA!$BK$2:$BK$999,Transport!$C35)/SUMIFS(BY_TRA!V$2:V$999,BY_TRA!$BJ$2:$BJ$999,Transport!$B35),0)</f>
        <v>0</v>
      </c>
      <c r="O35" s="1">
        <f>IFERROR(SUMIFS(BY_TRA!W$2:W$999,BY_TRA!$BJ$2:$BJ$999,Transport!$B35,BY_TRA!$BK$2:$BK$999,Transport!$C35)/SUMIFS(BY_TRA!W$2:W$999,BY_TRA!$BJ$2:$BJ$999,Transport!$B35),0)</f>
        <v>0</v>
      </c>
      <c r="P35" s="1">
        <f>IFERROR(SUMIFS(BY_TRA!X$2:X$999,BY_TRA!$BJ$2:$BJ$999,Transport!$B35,BY_TRA!$BK$2:$BK$999,Transport!$C35)/SUMIFS(BY_TRA!X$2:X$999,BY_TRA!$BJ$2:$BJ$999,Transport!$B35),0)</f>
        <v>0</v>
      </c>
      <c r="Q35" s="1">
        <f>IFERROR(SUMIFS(BY_TRA!Y$2:Y$999,BY_TRA!$BJ$2:$BJ$999,Transport!$B35,BY_TRA!$BK$2:$BK$999,Transport!$C35)/SUMIFS(BY_TRA!Y$2:Y$999,BY_TRA!$BJ$2:$BJ$999,Transport!$B35),0)</f>
        <v>0</v>
      </c>
      <c r="R35" s="1">
        <f>IFERROR(SUMIFS(BY_TRA!Z$2:Z$999,BY_TRA!$BJ$2:$BJ$999,Transport!$B35,BY_TRA!$BK$2:$BK$999,Transport!$C35)/SUMIFS(BY_TRA!Z$2:Z$999,BY_TRA!$BJ$2:$BJ$999,Transport!$B35),0)</f>
        <v>0</v>
      </c>
      <c r="S35" s="1">
        <f>IFERROR(SUMIFS(BY_TRA!AA$2:AA$999,BY_TRA!$BJ$2:$BJ$999,Transport!$B35,BY_TRA!$BK$2:$BK$999,Transport!$C35)/SUMIFS(BY_TRA!AA$2:AA$999,BY_TRA!$BJ$2:$BJ$999,Transport!$B35),0)</f>
        <v>0</v>
      </c>
      <c r="T35" s="1">
        <f>IFERROR(SUMIFS(BY_TRA!AB$2:AB$999,BY_TRA!$BJ$2:$BJ$999,Transport!$B35,BY_TRA!$BK$2:$BK$999,Transport!$C35)/SUMIFS(BY_TRA!AB$2:AB$999,BY_TRA!$BJ$2:$BJ$999,Transport!$B35),0)</f>
        <v>0</v>
      </c>
      <c r="U35" s="1">
        <f>IFERROR(SUMIFS(BY_TRA!AC$2:AC$999,BY_TRA!$BJ$2:$BJ$999,Transport!$B35,BY_TRA!$BK$2:$BK$999,Transport!$C35)/SUMIFS(BY_TRA!AC$2:AC$999,BY_TRA!$BJ$2:$BJ$999,Transport!$B35),0)</f>
        <v>0</v>
      </c>
      <c r="V35" s="1">
        <f>IFERROR(SUMIFS(BY_TRA!AD$2:AD$999,BY_TRA!$BJ$2:$BJ$999,Transport!$B35,BY_TRA!$BK$2:$BK$999,Transport!$C35)/SUMIFS(BY_TRA!AD$2:AD$999,BY_TRA!$BJ$2:$BJ$999,Transport!$B35),0)</f>
        <v>0</v>
      </c>
      <c r="W35" s="1">
        <f>IFERROR(SUMIFS(BY_TRA!AE$2:AE$999,BY_TRA!$BJ$2:$BJ$999,Transport!$B35,BY_TRA!$BK$2:$BK$999,Transport!$C35)/SUMIFS(BY_TRA!AE$2:AE$999,BY_TRA!$BJ$2:$BJ$999,Transport!$B35),0)</f>
        <v>0</v>
      </c>
      <c r="X35" s="1">
        <f>IFERROR(SUMIFS(BY_TRA!AF$2:AF$999,BY_TRA!$BJ$2:$BJ$999,Transport!$B35,BY_TRA!$BK$2:$BK$999,Transport!$C35)/SUMIFS(BY_TRA!AF$2:AF$999,BY_TRA!$BJ$2:$BJ$999,Transport!$B35),0)</f>
        <v>0</v>
      </c>
      <c r="Y35" s="1">
        <f>IFERROR(SUMIFS(BY_TRA!AG$2:AG$999,BY_TRA!$BJ$2:$BJ$999,Transport!$B35,BY_TRA!$BK$2:$BK$999,Transport!$C35)/SUMIFS(BY_TRA!AG$2:AG$999,BY_TRA!$BJ$2:$BJ$999,Transport!$B35),0)</f>
        <v>0</v>
      </c>
      <c r="Z35" s="1">
        <f>IFERROR(SUMIFS(BY_TRA!AH$2:AH$999,BY_TRA!$BJ$2:$BJ$999,Transport!$B35,BY_TRA!$BK$2:$BK$999,Transport!$C35)/SUMIFS(BY_TRA!AH$2:AH$999,BY_TRA!$BJ$2:$BJ$999,Transport!$B35),0)</f>
        <v>0</v>
      </c>
      <c r="AA35" s="1">
        <f>IFERROR(SUMIFS(BY_TRA!AI$2:AI$999,BY_TRA!$BJ$2:$BJ$999,Transport!$B35,BY_TRA!$BK$2:$BK$999,Transport!$C35)/SUMIFS(BY_TRA!AI$2:AI$999,BY_TRA!$BJ$2:$BJ$999,Transport!$B35),0)</f>
        <v>0</v>
      </c>
      <c r="AB35" s="1">
        <f>IFERROR(SUMIFS(BY_TRA!AJ$2:AJ$999,BY_TRA!$BJ$2:$BJ$999,Transport!$B35,BY_TRA!$BK$2:$BK$999,Transport!$C35)/SUMIFS(BY_TRA!AJ$2:AJ$999,BY_TRA!$BJ$2:$BJ$999,Transport!$B35),0)</f>
        <v>0</v>
      </c>
      <c r="AC35" s="1">
        <f>IFERROR(SUMIFS(BY_TRA!AK$2:AK$999,BY_TRA!$BJ$2:$BJ$999,Transport!$B35,BY_TRA!$BK$2:$BK$999,Transport!$C35)/SUMIFS(BY_TRA!AK$2:AK$999,BY_TRA!$BJ$2:$BJ$999,Transport!$B35),0)</f>
        <v>0</v>
      </c>
      <c r="AD35" s="1">
        <f>IFERROR(SUMIFS(BY_TRA!AL$2:AL$999,BY_TRA!$BJ$2:$BJ$999,Transport!$B35,BY_TRA!$BK$2:$BK$999,Transport!$C35)/SUMIFS(BY_TRA!AL$2:AL$999,BY_TRA!$BJ$2:$BJ$999,Transport!$B35),0)</f>
        <v>0</v>
      </c>
      <c r="AE35" s="1">
        <f>IFERROR(SUMIFS(BY_TRA!AM$2:AM$999,BY_TRA!$BJ$2:$BJ$999,Transport!$B35,BY_TRA!$BK$2:$BK$999,Transport!$C35)/SUMIFS(BY_TRA!AM$2:AM$999,BY_TRA!$BJ$2:$BJ$999,Transport!$B35),0)</f>
        <v>0</v>
      </c>
      <c r="AF35" s="1">
        <f>IFERROR(SUMIFS(BY_TRA!AN$2:AN$999,BY_TRA!$BJ$2:$BJ$999,Transport!$B35,BY_TRA!$BK$2:$BK$999,Transport!$C35)/SUMIFS(BY_TRA!AN$2:AN$999,BY_TRA!$BJ$2:$BJ$999,Transport!$B35),0)</f>
        <v>0</v>
      </c>
      <c r="AG35" s="1">
        <f>IFERROR(SUMIFS(BY_TRA!AO$2:AO$999,BY_TRA!$BJ$2:$BJ$999,Transport!$B35,BY_TRA!$BK$2:$BK$999,Transport!$C35)/SUMIFS(BY_TRA!AO$2:AO$999,BY_TRA!$BJ$2:$BJ$999,Transport!$B35),0)</f>
        <v>0</v>
      </c>
      <c r="AH35" s="1">
        <f>IFERROR(SUMIFS(BY_TRA!AP$2:AP$999,BY_TRA!$BJ$2:$BJ$999,Transport!$B35,BY_TRA!$BK$2:$BK$999,Transport!$C35)/SUMIFS(BY_TRA!AP$2:AP$999,BY_TRA!$BJ$2:$BJ$999,Transport!$B35),0)</f>
        <v>0</v>
      </c>
      <c r="AI35" s="1">
        <f>IFERROR(SUMIFS(BY_TRA!AQ$2:AQ$999,BY_TRA!$BJ$2:$BJ$999,Transport!$B35,BY_TRA!$BK$2:$BK$999,Transport!$C35)/SUMIFS(BY_TRA!AQ$2:AQ$999,BY_TRA!$BJ$2:$BJ$999,Transport!$B35),0)</f>
        <v>0</v>
      </c>
      <c r="AJ35" s="1">
        <f>IFERROR(SUMIFS(BY_TRA!AR$2:AR$999,BY_TRA!$BJ$2:$BJ$999,Transport!$B35,BY_TRA!$BK$2:$BK$999,Transport!$C35)/SUMIFS(BY_TRA!AR$2:AR$999,BY_TRA!$BJ$2:$BJ$999,Transport!$B35),0)</f>
        <v>0</v>
      </c>
      <c r="AK35" s="1">
        <f>IFERROR(SUMIFS(BY_TRA!AS$2:AS$999,BY_TRA!$BJ$2:$BJ$999,Transport!$B35,BY_TRA!$BK$2:$BK$999,Transport!$C35)/SUMIFS(BY_TRA!AS$2:AS$999,BY_TRA!$BJ$2:$BJ$999,Transport!$B35),0)</f>
        <v>0</v>
      </c>
      <c r="AL35" s="1">
        <f>IFERROR(SUMIFS(BY_TRA!AT$2:AT$999,BY_TRA!$BJ$2:$BJ$999,Transport!$B35,BY_TRA!$BK$2:$BK$999,Transport!$C35)/SUMIFS(BY_TRA!AT$2:AT$999,BY_TRA!$BJ$2:$BJ$999,Transport!$B35),0)</f>
        <v>0</v>
      </c>
      <c r="AM35" s="1">
        <f>IFERROR(SUMIFS(BY_TRA!AU$2:AU$999,BY_TRA!$BJ$2:$BJ$999,Transport!$B35,BY_TRA!$BK$2:$BK$999,Transport!$C35)/SUMIFS(BY_TRA!AU$2:AU$999,BY_TRA!$BJ$2:$BJ$999,Transport!$B35),0)</f>
        <v>0</v>
      </c>
      <c r="AN35" s="1">
        <f>IFERROR(SUMIFS(BY_TRA!AV$2:AV$999,BY_TRA!$BJ$2:$BJ$999,Transport!$B35,BY_TRA!$BK$2:$BK$999,Transport!$C35)/SUMIFS(BY_TRA!AV$2:AV$999,BY_TRA!$BJ$2:$BJ$999,Transport!$B35),0)</f>
        <v>0</v>
      </c>
      <c r="AO35" s="1">
        <f>IFERROR(SUMIFS(BY_TRA!AW$2:AW$999,BY_TRA!$BJ$2:$BJ$999,Transport!$B35,BY_TRA!$BK$2:$BK$999,Transport!$C35)/SUMIFS(BY_TRA!AW$2:AW$999,BY_TRA!$BJ$2:$BJ$999,Transport!$B35),0)</f>
        <v>0</v>
      </c>
      <c r="AP35" s="1">
        <f>IFERROR(SUMIFS(BY_TRA!AX$2:AX$999,BY_TRA!$BJ$2:$BJ$999,Transport!$B35,BY_TRA!$BK$2:$BK$999,Transport!$C35)/SUMIFS(BY_TRA!AX$2:AX$999,BY_TRA!$BJ$2:$BJ$999,Transport!$B35),0)</f>
        <v>0</v>
      </c>
      <c r="AQ35" s="1">
        <f>IFERROR(SUMIFS(BY_TRA!AY$2:AY$999,BY_TRA!$BJ$2:$BJ$999,Transport!$B35,BY_TRA!$BK$2:$BK$999,Transport!$C35)/SUMIFS(BY_TRA!AY$2:AY$999,BY_TRA!$BJ$2:$BJ$999,Transport!$B35),0)</f>
        <v>0</v>
      </c>
      <c r="AR35" s="1">
        <f>IFERROR(SUMIFS(BY_TRA!AZ$2:AZ$999,BY_TRA!$BJ$2:$BJ$999,Transport!$B35,BY_TRA!$BK$2:$BK$999,Transport!$C35)/SUMIFS(BY_TRA!AZ$2:AZ$999,BY_TRA!$BJ$2:$BJ$999,Transport!$B35),0)</f>
        <v>0</v>
      </c>
      <c r="AS35" s="1">
        <f>IFERROR(SUMIFS(BY_TRA!BA$2:BA$999,BY_TRA!$BJ$2:$BJ$999,Transport!$B35,BY_TRA!$BK$2:$BK$999,Transport!$C35)/SUMIFS(BY_TRA!BA$2:BA$999,BY_TRA!$BJ$2:$BJ$999,Transport!$B35),0)</f>
        <v>0</v>
      </c>
      <c r="AT35" s="1">
        <f>IFERROR(SUMIFS(BY_TRA!BB$2:BB$999,BY_TRA!$BJ$2:$BJ$999,Transport!$B35,BY_TRA!$BK$2:$BK$999,Transport!$C35)/SUMIFS(BY_TRA!BB$2:BB$999,BY_TRA!$BJ$2:$BJ$999,Transport!$B35),0)</f>
        <v>0</v>
      </c>
      <c r="AU35" s="1">
        <f>IFERROR(SUMIFS(BY_TRA!BC$2:BC$999,BY_TRA!$BJ$2:$BJ$999,Transport!$B35,BY_TRA!$BK$2:$BK$999,Transport!$C35)/SUMIFS(BY_TRA!BC$2:BC$999,BY_TRA!$BJ$2:$BJ$999,Transport!$B35),0)</f>
        <v>0</v>
      </c>
      <c r="AV35" s="1">
        <f>IFERROR(SUMIFS(BY_TRA!BD$2:BD$999,BY_TRA!$BJ$2:$BJ$999,Transport!$B35,BY_TRA!$BK$2:$BK$999,Transport!$C35)/SUMIFS(BY_TRA!BD$2:BD$999,BY_TRA!$BJ$2:$BJ$999,Transport!$B35),0)</f>
        <v>0</v>
      </c>
      <c r="AW35" s="1">
        <f>IFERROR(SUMIFS(BY_TRA!BE$2:BE$999,BY_TRA!$BJ$2:$BJ$999,Transport!$B35,BY_TRA!$BK$2:$BK$999,Transport!$C35)/SUMIFS(BY_TRA!BE$2:BE$999,BY_TRA!$BJ$2:$BJ$999,Transport!$B35),0)</f>
        <v>0</v>
      </c>
      <c r="AX35" s="1">
        <f>IFERROR(SUMIFS(BY_TRA!BF$2:BF$999,BY_TRA!$BJ$2:$BJ$999,Transport!$B35,BY_TRA!$BK$2:$BK$999,Transport!$C35)/SUMIFS(BY_TRA!BF$2:BF$999,BY_TRA!$BJ$2:$BJ$999,Transport!$B35),0)</f>
        <v>0</v>
      </c>
      <c r="AY35" s="1">
        <f>IFERROR(SUMIFS(BY_TRA!BG$2:BG$999,BY_TRA!$BJ$2:$BJ$999,Transport!$B35,BY_TRA!$BK$2:$BK$999,Transport!$C35)/SUMIFS(BY_TRA!BG$2:BG$999,BY_TRA!$BJ$2:$BJ$999,Transport!$B35),0)</f>
        <v>0</v>
      </c>
    </row>
    <row r="36" spans="2:51">
      <c r="B36" t="s">
        <v>125</v>
      </c>
      <c r="C36" t="s">
        <v>126</v>
      </c>
      <c r="D36" s="1">
        <f>IFERROR(SUMIFS(BY_TRA!L$2:L$999,BY_TRA!$BJ$2:$BJ$999,Transport!$B36,BY_TRA!$BK$2:$BK$999,Transport!$C36)/SUMIFS(BY_TRA!L$2:L$999,BY_TRA!$BJ$2:$BJ$999,Transport!$B36),0)</f>
        <v>0</v>
      </c>
      <c r="E36" s="1">
        <f>IFERROR(SUMIFS(BY_TRA!M$2:M$999,BY_TRA!$BJ$2:$BJ$999,Transport!$B36,BY_TRA!$BK$2:$BK$999,Transport!$C36)/SUMIFS(BY_TRA!M$2:M$999,BY_TRA!$BJ$2:$BJ$999,Transport!$B36),0)</f>
        <v>0</v>
      </c>
      <c r="F36" s="1">
        <f>IFERROR(SUMIFS(BY_TRA!N$2:N$999,BY_TRA!$BJ$2:$BJ$999,Transport!$B36,BY_TRA!$BK$2:$BK$999,Transport!$C36)/SUMIFS(BY_TRA!N$2:N$999,BY_TRA!$BJ$2:$BJ$999,Transport!$B36),0)</f>
        <v>0</v>
      </c>
      <c r="G36" s="1">
        <f>IFERROR(SUMIFS(BY_TRA!O$2:O$999,BY_TRA!$BJ$2:$BJ$999,Transport!$B36,BY_TRA!$BK$2:$BK$999,Transport!$C36)/SUMIFS(BY_TRA!O$2:O$999,BY_TRA!$BJ$2:$BJ$999,Transport!$B36),0)</f>
        <v>0</v>
      </c>
      <c r="H36" s="1">
        <f>IFERROR(SUMIFS(BY_TRA!P$2:P$999,BY_TRA!$BJ$2:$BJ$999,Transport!$B36,BY_TRA!$BK$2:$BK$999,Transport!$C36)/SUMIFS(BY_TRA!P$2:P$999,BY_TRA!$BJ$2:$BJ$999,Transport!$B36),0)</f>
        <v>0</v>
      </c>
      <c r="I36" s="1">
        <f>IFERROR(SUMIFS(BY_TRA!Q$2:Q$999,BY_TRA!$BJ$2:$BJ$999,Transport!$B36,BY_TRA!$BK$2:$BK$999,Transport!$C36)/SUMIFS(BY_TRA!Q$2:Q$999,BY_TRA!$BJ$2:$BJ$999,Transport!$B36),0)</f>
        <v>0</v>
      </c>
      <c r="J36" s="1">
        <f>IFERROR(SUMIFS(BY_TRA!R$2:R$999,BY_TRA!$BJ$2:$BJ$999,Transport!$B36,BY_TRA!$BK$2:$BK$999,Transport!$C36)/SUMIFS(BY_TRA!R$2:R$999,BY_TRA!$BJ$2:$BJ$999,Transport!$B36),0)</f>
        <v>0</v>
      </c>
      <c r="K36" s="1">
        <f>IFERROR(SUMIFS(BY_TRA!S$2:S$999,BY_TRA!$BJ$2:$BJ$999,Transport!$B36,BY_TRA!$BK$2:$BK$999,Transport!$C36)/SUMIFS(BY_TRA!S$2:S$999,BY_TRA!$BJ$2:$BJ$999,Transport!$B36),0)</f>
        <v>0</v>
      </c>
      <c r="L36" s="1">
        <f>IFERROR(SUMIFS(BY_TRA!T$2:T$999,BY_TRA!$BJ$2:$BJ$999,Transport!$B36,BY_TRA!$BK$2:$BK$999,Transport!$C36)/SUMIFS(BY_TRA!T$2:T$999,BY_TRA!$BJ$2:$BJ$999,Transport!$B36),0)</f>
        <v>0</v>
      </c>
      <c r="M36" s="1">
        <f>IFERROR(SUMIFS(BY_TRA!U$2:U$999,BY_TRA!$BJ$2:$BJ$999,Transport!$B36,BY_TRA!$BK$2:$BK$999,Transport!$C36)/SUMIFS(BY_TRA!U$2:U$999,BY_TRA!$BJ$2:$BJ$999,Transport!$B36),0)</f>
        <v>0</v>
      </c>
      <c r="N36" s="1">
        <f>IFERROR(SUMIFS(BY_TRA!V$2:V$999,BY_TRA!$BJ$2:$BJ$999,Transport!$B36,BY_TRA!$BK$2:$BK$999,Transport!$C36)/SUMIFS(BY_TRA!V$2:V$999,BY_TRA!$BJ$2:$BJ$999,Transport!$B36),0)</f>
        <v>0</v>
      </c>
      <c r="O36" s="1">
        <f>IFERROR(SUMIFS(BY_TRA!W$2:W$999,BY_TRA!$BJ$2:$BJ$999,Transport!$B36,BY_TRA!$BK$2:$BK$999,Transport!$C36)/SUMIFS(BY_TRA!W$2:W$999,BY_TRA!$BJ$2:$BJ$999,Transport!$B36),0)</f>
        <v>0</v>
      </c>
      <c r="P36" s="1">
        <f>IFERROR(SUMIFS(BY_TRA!X$2:X$999,BY_TRA!$BJ$2:$BJ$999,Transport!$B36,BY_TRA!$BK$2:$BK$999,Transport!$C36)/SUMIFS(BY_TRA!X$2:X$999,BY_TRA!$BJ$2:$BJ$999,Transport!$B36),0)</f>
        <v>0</v>
      </c>
      <c r="Q36" s="1">
        <f>IFERROR(SUMIFS(BY_TRA!Y$2:Y$999,BY_TRA!$BJ$2:$BJ$999,Transport!$B36,BY_TRA!$BK$2:$BK$999,Transport!$C36)/SUMIFS(BY_TRA!Y$2:Y$999,BY_TRA!$BJ$2:$BJ$999,Transport!$B36),0)</f>
        <v>0</v>
      </c>
      <c r="R36" s="1">
        <f>IFERROR(SUMIFS(BY_TRA!Z$2:Z$999,BY_TRA!$BJ$2:$BJ$999,Transport!$B36,BY_TRA!$BK$2:$BK$999,Transport!$C36)/SUMIFS(BY_TRA!Z$2:Z$999,BY_TRA!$BJ$2:$BJ$999,Transport!$B36),0)</f>
        <v>0</v>
      </c>
      <c r="S36" s="1">
        <f>IFERROR(SUMIFS(BY_TRA!AA$2:AA$999,BY_TRA!$BJ$2:$BJ$999,Transport!$B36,BY_TRA!$BK$2:$BK$999,Transport!$C36)/SUMIFS(BY_TRA!AA$2:AA$999,BY_TRA!$BJ$2:$BJ$999,Transport!$B36),0)</f>
        <v>0</v>
      </c>
      <c r="T36" s="1">
        <f>IFERROR(SUMIFS(BY_TRA!AB$2:AB$999,BY_TRA!$BJ$2:$BJ$999,Transport!$B36,BY_TRA!$BK$2:$BK$999,Transport!$C36)/SUMIFS(BY_TRA!AB$2:AB$999,BY_TRA!$BJ$2:$BJ$999,Transport!$B36),0)</f>
        <v>0</v>
      </c>
      <c r="U36" s="1">
        <f>IFERROR(SUMIFS(BY_TRA!AC$2:AC$999,BY_TRA!$BJ$2:$BJ$999,Transport!$B36,BY_TRA!$BK$2:$BK$999,Transport!$C36)/SUMIFS(BY_TRA!AC$2:AC$999,BY_TRA!$BJ$2:$BJ$999,Transport!$B36),0)</f>
        <v>0</v>
      </c>
      <c r="V36" s="1">
        <f>IFERROR(SUMIFS(BY_TRA!AD$2:AD$999,BY_TRA!$BJ$2:$BJ$999,Transport!$B36,BY_TRA!$BK$2:$BK$999,Transport!$C36)/SUMIFS(BY_TRA!AD$2:AD$999,BY_TRA!$BJ$2:$BJ$999,Transport!$B36),0)</f>
        <v>0</v>
      </c>
      <c r="W36" s="1">
        <f>IFERROR(SUMIFS(BY_TRA!AE$2:AE$999,BY_TRA!$BJ$2:$BJ$999,Transport!$B36,BY_TRA!$BK$2:$BK$999,Transport!$C36)/SUMIFS(BY_TRA!AE$2:AE$999,BY_TRA!$BJ$2:$BJ$999,Transport!$B36),0)</f>
        <v>0</v>
      </c>
      <c r="X36" s="1">
        <f>IFERROR(SUMIFS(BY_TRA!AF$2:AF$999,BY_TRA!$BJ$2:$BJ$999,Transport!$B36,BY_TRA!$BK$2:$BK$999,Transport!$C36)/SUMIFS(BY_TRA!AF$2:AF$999,BY_TRA!$BJ$2:$BJ$999,Transport!$B36),0)</f>
        <v>0</v>
      </c>
      <c r="Y36" s="1">
        <f>IFERROR(SUMIFS(BY_TRA!AG$2:AG$999,BY_TRA!$BJ$2:$BJ$999,Transport!$B36,BY_TRA!$BK$2:$BK$999,Transport!$C36)/SUMIFS(BY_TRA!AG$2:AG$999,BY_TRA!$BJ$2:$BJ$999,Transport!$B36),0)</f>
        <v>0</v>
      </c>
      <c r="Z36" s="1">
        <f>IFERROR(SUMIFS(BY_TRA!AH$2:AH$999,BY_TRA!$BJ$2:$BJ$999,Transport!$B36,BY_TRA!$BK$2:$BK$999,Transport!$C36)/SUMIFS(BY_TRA!AH$2:AH$999,BY_TRA!$BJ$2:$BJ$999,Transport!$B36),0)</f>
        <v>0</v>
      </c>
      <c r="AA36" s="1">
        <f>IFERROR(SUMIFS(BY_TRA!AI$2:AI$999,BY_TRA!$BJ$2:$BJ$999,Transport!$B36,BY_TRA!$BK$2:$BK$999,Transport!$C36)/SUMIFS(BY_TRA!AI$2:AI$999,BY_TRA!$BJ$2:$BJ$999,Transport!$B36),0)</f>
        <v>0</v>
      </c>
      <c r="AB36" s="1">
        <f>IFERROR(SUMIFS(BY_TRA!AJ$2:AJ$999,BY_TRA!$BJ$2:$BJ$999,Transport!$B36,BY_TRA!$BK$2:$BK$999,Transport!$C36)/SUMIFS(BY_TRA!AJ$2:AJ$999,BY_TRA!$BJ$2:$BJ$999,Transport!$B36),0)</f>
        <v>0</v>
      </c>
      <c r="AC36" s="1">
        <f>IFERROR(SUMIFS(BY_TRA!AK$2:AK$999,BY_TRA!$BJ$2:$BJ$999,Transport!$B36,BY_TRA!$BK$2:$BK$999,Transport!$C36)/SUMIFS(BY_TRA!AK$2:AK$999,BY_TRA!$BJ$2:$BJ$999,Transport!$B36),0)</f>
        <v>0</v>
      </c>
      <c r="AD36" s="1">
        <f>IFERROR(SUMIFS(BY_TRA!AL$2:AL$999,BY_TRA!$BJ$2:$BJ$999,Transport!$B36,BY_TRA!$BK$2:$BK$999,Transport!$C36)/SUMIFS(BY_TRA!AL$2:AL$999,BY_TRA!$BJ$2:$BJ$999,Transport!$B36),0)</f>
        <v>0</v>
      </c>
      <c r="AE36" s="1">
        <f>IFERROR(SUMIFS(BY_TRA!AM$2:AM$999,BY_TRA!$BJ$2:$BJ$999,Transport!$B36,BY_TRA!$BK$2:$BK$999,Transport!$C36)/SUMIFS(BY_TRA!AM$2:AM$999,BY_TRA!$BJ$2:$BJ$999,Transport!$B36),0)</f>
        <v>0</v>
      </c>
      <c r="AF36" s="1">
        <f>IFERROR(SUMIFS(BY_TRA!AN$2:AN$999,BY_TRA!$BJ$2:$BJ$999,Transport!$B36,BY_TRA!$BK$2:$BK$999,Transport!$C36)/SUMIFS(BY_TRA!AN$2:AN$999,BY_TRA!$BJ$2:$BJ$999,Transport!$B36),0)</f>
        <v>0</v>
      </c>
      <c r="AG36" s="1">
        <f>IFERROR(SUMIFS(BY_TRA!AO$2:AO$999,BY_TRA!$BJ$2:$BJ$999,Transport!$B36,BY_TRA!$BK$2:$BK$999,Transport!$C36)/SUMIFS(BY_TRA!AO$2:AO$999,BY_TRA!$BJ$2:$BJ$999,Transport!$B36),0)</f>
        <v>0</v>
      </c>
      <c r="AH36" s="1">
        <f>IFERROR(SUMIFS(BY_TRA!AP$2:AP$999,BY_TRA!$BJ$2:$BJ$999,Transport!$B36,BY_TRA!$BK$2:$BK$999,Transport!$C36)/SUMIFS(BY_TRA!AP$2:AP$999,BY_TRA!$BJ$2:$BJ$999,Transport!$B36),0)</f>
        <v>0</v>
      </c>
      <c r="AI36" s="1">
        <f>IFERROR(SUMIFS(BY_TRA!AQ$2:AQ$999,BY_TRA!$BJ$2:$BJ$999,Transport!$B36,BY_TRA!$BK$2:$BK$999,Transport!$C36)/SUMIFS(BY_TRA!AQ$2:AQ$999,BY_TRA!$BJ$2:$BJ$999,Transport!$B36),0)</f>
        <v>0</v>
      </c>
      <c r="AJ36" s="1">
        <f>IFERROR(SUMIFS(BY_TRA!AR$2:AR$999,BY_TRA!$BJ$2:$BJ$999,Transport!$B36,BY_TRA!$BK$2:$BK$999,Transport!$C36)/SUMIFS(BY_TRA!AR$2:AR$999,BY_TRA!$BJ$2:$BJ$999,Transport!$B36),0)</f>
        <v>0</v>
      </c>
      <c r="AK36" s="1">
        <f>IFERROR(SUMIFS(BY_TRA!AS$2:AS$999,BY_TRA!$BJ$2:$BJ$999,Transport!$B36,BY_TRA!$BK$2:$BK$999,Transport!$C36)/SUMIFS(BY_TRA!AS$2:AS$999,BY_TRA!$BJ$2:$BJ$999,Transport!$B36),0)</f>
        <v>0</v>
      </c>
      <c r="AL36" s="1">
        <f>IFERROR(SUMIFS(BY_TRA!AT$2:AT$999,BY_TRA!$BJ$2:$BJ$999,Transport!$B36,BY_TRA!$BK$2:$BK$999,Transport!$C36)/SUMIFS(BY_TRA!AT$2:AT$999,BY_TRA!$BJ$2:$BJ$999,Transport!$B36),0)</f>
        <v>0</v>
      </c>
      <c r="AM36" s="1">
        <f>IFERROR(SUMIFS(BY_TRA!AU$2:AU$999,BY_TRA!$BJ$2:$BJ$999,Transport!$B36,BY_TRA!$BK$2:$BK$999,Transport!$C36)/SUMIFS(BY_TRA!AU$2:AU$999,BY_TRA!$BJ$2:$BJ$999,Transport!$B36),0)</f>
        <v>0</v>
      </c>
      <c r="AN36" s="1">
        <f>IFERROR(SUMIFS(BY_TRA!AV$2:AV$999,BY_TRA!$BJ$2:$BJ$999,Transport!$B36,BY_TRA!$BK$2:$BK$999,Transport!$C36)/SUMIFS(BY_TRA!AV$2:AV$999,BY_TRA!$BJ$2:$BJ$999,Transport!$B36),0)</f>
        <v>0</v>
      </c>
      <c r="AO36" s="1">
        <f>IFERROR(SUMIFS(BY_TRA!AW$2:AW$999,BY_TRA!$BJ$2:$BJ$999,Transport!$B36,BY_TRA!$BK$2:$BK$999,Transport!$C36)/SUMIFS(BY_TRA!AW$2:AW$999,BY_TRA!$BJ$2:$BJ$999,Transport!$B36),0)</f>
        <v>0</v>
      </c>
      <c r="AP36" s="1">
        <f>IFERROR(SUMIFS(BY_TRA!AX$2:AX$999,BY_TRA!$BJ$2:$BJ$999,Transport!$B36,BY_TRA!$BK$2:$BK$999,Transport!$C36)/SUMIFS(BY_TRA!AX$2:AX$999,BY_TRA!$BJ$2:$BJ$999,Transport!$B36),0)</f>
        <v>0</v>
      </c>
      <c r="AQ36" s="1">
        <f>IFERROR(SUMIFS(BY_TRA!AY$2:AY$999,BY_TRA!$BJ$2:$BJ$999,Transport!$B36,BY_TRA!$BK$2:$BK$999,Transport!$C36)/SUMIFS(BY_TRA!AY$2:AY$999,BY_TRA!$BJ$2:$BJ$999,Transport!$B36),0)</f>
        <v>0</v>
      </c>
      <c r="AR36" s="1">
        <f>IFERROR(SUMIFS(BY_TRA!AZ$2:AZ$999,BY_TRA!$BJ$2:$BJ$999,Transport!$B36,BY_TRA!$BK$2:$BK$999,Transport!$C36)/SUMIFS(BY_TRA!AZ$2:AZ$999,BY_TRA!$BJ$2:$BJ$999,Transport!$B36),0)</f>
        <v>0</v>
      </c>
      <c r="AS36" s="1">
        <f>IFERROR(SUMIFS(BY_TRA!BA$2:BA$999,BY_TRA!$BJ$2:$BJ$999,Transport!$B36,BY_TRA!$BK$2:$BK$999,Transport!$C36)/SUMIFS(BY_TRA!BA$2:BA$999,BY_TRA!$BJ$2:$BJ$999,Transport!$B36),0)</f>
        <v>0</v>
      </c>
      <c r="AT36" s="1">
        <f>IFERROR(SUMIFS(BY_TRA!BB$2:BB$999,BY_TRA!$BJ$2:$BJ$999,Transport!$B36,BY_TRA!$BK$2:$BK$999,Transport!$C36)/SUMIFS(BY_TRA!BB$2:BB$999,BY_TRA!$BJ$2:$BJ$999,Transport!$B36),0)</f>
        <v>0</v>
      </c>
      <c r="AU36" s="1">
        <f>IFERROR(SUMIFS(BY_TRA!BC$2:BC$999,BY_TRA!$BJ$2:$BJ$999,Transport!$B36,BY_TRA!$BK$2:$BK$999,Transport!$C36)/SUMIFS(BY_TRA!BC$2:BC$999,BY_TRA!$BJ$2:$BJ$999,Transport!$B36),0)</f>
        <v>0</v>
      </c>
      <c r="AV36" s="1">
        <f>IFERROR(SUMIFS(BY_TRA!BD$2:BD$999,BY_TRA!$BJ$2:$BJ$999,Transport!$B36,BY_TRA!$BK$2:$BK$999,Transport!$C36)/SUMIFS(BY_TRA!BD$2:BD$999,BY_TRA!$BJ$2:$BJ$999,Transport!$B36),0)</f>
        <v>0</v>
      </c>
      <c r="AW36" s="1">
        <f>IFERROR(SUMIFS(BY_TRA!BE$2:BE$999,BY_TRA!$BJ$2:$BJ$999,Transport!$B36,BY_TRA!$BK$2:$BK$999,Transport!$C36)/SUMIFS(BY_TRA!BE$2:BE$999,BY_TRA!$BJ$2:$BJ$999,Transport!$B36),0)</f>
        <v>0</v>
      </c>
      <c r="AX36" s="1">
        <f>IFERROR(SUMIFS(BY_TRA!BF$2:BF$999,BY_TRA!$BJ$2:$BJ$999,Transport!$B36,BY_TRA!$BK$2:$BK$999,Transport!$C36)/SUMIFS(BY_TRA!BF$2:BF$999,BY_TRA!$BJ$2:$BJ$999,Transport!$B36),0)</f>
        <v>0</v>
      </c>
      <c r="AY36" s="1">
        <f>IFERROR(SUMIFS(BY_TRA!BG$2:BG$999,BY_TRA!$BJ$2:$BJ$999,Transport!$B36,BY_TRA!$BK$2:$BK$999,Transport!$C36)/SUMIFS(BY_TRA!BG$2:BG$999,BY_TRA!$BJ$2:$BJ$999,Transport!$B36),0)</f>
        <v>0</v>
      </c>
    </row>
    <row r="37" spans="2:51">
      <c r="B37" t="s">
        <v>125</v>
      </c>
      <c r="C37" t="s">
        <v>127</v>
      </c>
      <c r="D37" s="1">
        <f>IFERROR(SUMIFS(BY_TRA!L$2:L$999,BY_TRA!$BJ$2:$BJ$999,Transport!$B37,BY_TRA!$BK$2:$BK$999,Transport!$C37)/SUMIFS(BY_TRA!L$2:L$999,BY_TRA!$BJ$2:$BJ$999,Transport!$B37),0)</f>
        <v>0</v>
      </c>
      <c r="E37" s="1">
        <f>IFERROR(SUMIFS(BY_TRA!M$2:M$999,BY_TRA!$BJ$2:$BJ$999,Transport!$B37,BY_TRA!$BK$2:$BK$999,Transport!$C37)/SUMIFS(BY_TRA!M$2:M$999,BY_TRA!$BJ$2:$BJ$999,Transport!$B37),0)</f>
        <v>0</v>
      </c>
      <c r="F37" s="1">
        <f>IFERROR(SUMIFS(BY_TRA!N$2:N$999,BY_TRA!$BJ$2:$BJ$999,Transport!$B37,BY_TRA!$BK$2:$BK$999,Transport!$C37)/SUMIFS(BY_TRA!N$2:N$999,BY_TRA!$BJ$2:$BJ$999,Transport!$B37),0)</f>
        <v>0</v>
      </c>
      <c r="G37" s="1">
        <f>IFERROR(SUMIFS(BY_TRA!O$2:O$999,BY_TRA!$BJ$2:$BJ$999,Transport!$B37,BY_TRA!$BK$2:$BK$999,Transport!$C37)/SUMIFS(BY_TRA!O$2:O$999,BY_TRA!$BJ$2:$BJ$999,Transport!$B37),0)</f>
        <v>0</v>
      </c>
      <c r="H37" s="1">
        <f>IFERROR(SUMIFS(BY_TRA!P$2:P$999,BY_TRA!$BJ$2:$BJ$999,Transport!$B37,BY_TRA!$BK$2:$BK$999,Transport!$C37)/SUMIFS(BY_TRA!P$2:P$999,BY_TRA!$BJ$2:$BJ$999,Transport!$B37),0)</f>
        <v>0</v>
      </c>
      <c r="I37" s="1">
        <f>IFERROR(SUMIFS(BY_TRA!Q$2:Q$999,BY_TRA!$BJ$2:$BJ$999,Transport!$B37,BY_TRA!$BK$2:$BK$999,Transport!$C37)/SUMIFS(BY_TRA!Q$2:Q$999,BY_TRA!$BJ$2:$BJ$999,Transport!$B37),0)</f>
        <v>0</v>
      </c>
      <c r="J37" s="1">
        <f>IFERROR(SUMIFS(BY_TRA!R$2:R$999,BY_TRA!$BJ$2:$BJ$999,Transport!$B37,BY_TRA!$BK$2:$BK$999,Transport!$C37)/SUMIFS(BY_TRA!R$2:R$999,BY_TRA!$BJ$2:$BJ$999,Transport!$B37),0)</f>
        <v>0</v>
      </c>
      <c r="K37" s="1">
        <f>IFERROR(SUMIFS(BY_TRA!S$2:S$999,BY_TRA!$BJ$2:$BJ$999,Transport!$B37,BY_TRA!$BK$2:$BK$999,Transport!$C37)/SUMIFS(BY_TRA!S$2:S$999,BY_TRA!$BJ$2:$BJ$999,Transport!$B37),0)</f>
        <v>0</v>
      </c>
      <c r="L37" s="1">
        <f>IFERROR(SUMIFS(BY_TRA!T$2:T$999,BY_TRA!$BJ$2:$BJ$999,Transport!$B37,BY_TRA!$BK$2:$BK$999,Transport!$C37)/SUMIFS(BY_TRA!T$2:T$999,BY_TRA!$BJ$2:$BJ$999,Transport!$B37),0)</f>
        <v>0</v>
      </c>
      <c r="M37" s="1">
        <f>IFERROR(SUMIFS(BY_TRA!U$2:U$999,BY_TRA!$BJ$2:$BJ$999,Transport!$B37,BY_TRA!$BK$2:$BK$999,Transport!$C37)/SUMIFS(BY_TRA!U$2:U$999,BY_TRA!$BJ$2:$BJ$999,Transport!$B37),0)</f>
        <v>0</v>
      </c>
      <c r="N37" s="1">
        <f>IFERROR(SUMIFS(BY_TRA!V$2:V$999,BY_TRA!$BJ$2:$BJ$999,Transport!$B37,BY_TRA!$BK$2:$BK$999,Transport!$C37)/SUMIFS(BY_TRA!V$2:V$999,BY_TRA!$BJ$2:$BJ$999,Transport!$B37),0)</f>
        <v>0</v>
      </c>
      <c r="O37" s="1">
        <f>IFERROR(SUMIFS(BY_TRA!W$2:W$999,BY_TRA!$BJ$2:$BJ$999,Transport!$B37,BY_TRA!$BK$2:$BK$999,Transport!$C37)/SUMIFS(BY_TRA!W$2:W$999,BY_TRA!$BJ$2:$BJ$999,Transport!$B37),0)</f>
        <v>0</v>
      </c>
      <c r="P37" s="1">
        <f>IFERROR(SUMIFS(BY_TRA!X$2:X$999,BY_TRA!$BJ$2:$BJ$999,Transport!$B37,BY_TRA!$BK$2:$BK$999,Transport!$C37)/SUMIFS(BY_TRA!X$2:X$999,BY_TRA!$BJ$2:$BJ$999,Transport!$B37),0)</f>
        <v>0</v>
      </c>
      <c r="Q37" s="1">
        <f>IFERROR(SUMIFS(BY_TRA!Y$2:Y$999,BY_TRA!$BJ$2:$BJ$999,Transport!$B37,BY_TRA!$BK$2:$BK$999,Transport!$C37)/SUMIFS(BY_TRA!Y$2:Y$999,BY_TRA!$BJ$2:$BJ$999,Transport!$B37),0)</f>
        <v>0</v>
      </c>
      <c r="R37" s="1">
        <f>IFERROR(SUMIFS(BY_TRA!Z$2:Z$999,BY_TRA!$BJ$2:$BJ$999,Transport!$B37,BY_TRA!$BK$2:$BK$999,Transport!$C37)/SUMIFS(BY_TRA!Z$2:Z$999,BY_TRA!$BJ$2:$BJ$999,Transport!$B37),0)</f>
        <v>0</v>
      </c>
      <c r="S37" s="1">
        <f>IFERROR(SUMIFS(BY_TRA!AA$2:AA$999,BY_TRA!$BJ$2:$BJ$999,Transport!$B37,BY_TRA!$BK$2:$BK$999,Transport!$C37)/SUMIFS(BY_TRA!AA$2:AA$999,BY_TRA!$BJ$2:$BJ$999,Transport!$B37),0)</f>
        <v>0</v>
      </c>
      <c r="T37" s="1">
        <f>IFERROR(SUMIFS(BY_TRA!AB$2:AB$999,BY_TRA!$BJ$2:$BJ$999,Transport!$B37,BY_TRA!$BK$2:$BK$999,Transport!$C37)/SUMIFS(BY_TRA!AB$2:AB$999,BY_TRA!$BJ$2:$BJ$999,Transport!$B37),0)</f>
        <v>0</v>
      </c>
      <c r="U37" s="1">
        <f>IFERROR(SUMIFS(BY_TRA!AC$2:AC$999,BY_TRA!$BJ$2:$BJ$999,Transport!$B37,BY_TRA!$BK$2:$BK$999,Transport!$C37)/SUMIFS(BY_TRA!AC$2:AC$999,BY_TRA!$BJ$2:$BJ$999,Transport!$B37),0)</f>
        <v>0</v>
      </c>
      <c r="V37" s="1">
        <f>IFERROR(SUMIFS(BY_TRA!AD$2:AD$999,BY_TRA!$BJ$2:$BJ$999,Transport!$B37,BY_TRA!$BK$2:$BK$999,Transport!$C37)/SUMIFS(BY_TRA!AD$2:AD$999,BY_TRA!$BJ$2:$BJ$999,Transport!$B37),0)</f>
        <v>0</v>
      </c>
      <c r="W37" s="1">
        <f>IFERROR(SUMIFS(BY_TRA!AE$2:AE$999,BY_TRA!$BJ$2:$BJ$999,Transport!$B37,BY_TRA!$BK$2:$BK$999,Transport!$C37)/SUMIFS(BY_TRA!AE$2:AE$999,BY_TRA!$BJ$2:$BJ$999,Transport!$B37),0)</f>
        <v>0</v>
      </c>
      <c r="X37" s="1">
        <f>IFERROR(SUMIFS(BY_TRA!AF$2:AF$999,BY_TRA!$BJ$2:$BJ$999,Transport!$B37,BY_TRA!$BK$2:$BK$999,Transport!$C37)/SUMIFS(BY_TRA!AF$2:AF$999,BY_TRA!$BJ$2:$BJ$999,Transport!$B37),0)</f>
        <v>0</v>
      </c>
      <c r="Y37" s="1">
        <f>IFERROR(SUMIFS(BY_TRA!AG$2:AG$999,BY_TRA!$BJ$2:$BJ$999,Transport!$B37,BY_TRA!$BK$2:$BK$999,Transport!$C37)/SUMIFS(BY_TRA!AG$2:AG$999,BY_TRA!$BJ$2:$BJ$999,Transport!$B37),0)</f>
        <v>0</v>
      </c>
      <c r="Z37" s="1">
        <f>IFERROR(SUMIFS(BY_TRA!AH$2:AH$999,BY_TRA!$BJ$2:$BJ$999,Transport!$B37,BY_TRA!$BK$2:$BK$999,Transport!$C37)/SUMIFS(BY_TRA!AH$2:AH$999,BY_TRA!$BJ$2:$BJ$999,Transport!$B37),0)</f>
        <v>0</v>
      </c>
      <c r="AA37" s="1">
        <f>IFERROR(SUMIFS(BY_TRA!AI$2:AI$999,BY_TRA!$BJ$2:$BJ$999,Transport!$B37,BY_TRA!$BK$2:$BK$999,Transport!$C37)/SUMIFS(BY_TRA!AI$2:AI$999,BY_TRA!$BJ$2:$BJ$999,Transport!$B37),0)</f>
        <v>0</v>
      </c>
      <c r="AB37" s="1">
        <f>IFERROR(SUMIFS(BY_TRA!AJ$2:AJ$999,BY_TRA!$BJ$2:$BJ$999,Transport!$B37,BY_TRA!$BK$2:$BK$999,Transport!$C37)/SUMIFS(BY_TRA!AJ$2:AJ$999,BY_TRA!$BJ$2:$BJ$999,Transport!$B37),0)</f>
        <v>0</v>
      </c>
      <c r="AC37" s="1">
        <f>IFERROR(SUMIFS(BY_TRA!AK$2:AK$999,BY_TRA!$BJ$2:$BJ$999,Transport!$B37,BY_TRA!$BK$2:$BK$999,Transport!$C37)/SUMIFS(BY_TRA!AK$2:AK$999,BY_TRA!$BJ$2:$BJ$999,Transport!$B37),0)</f>
        <v>0</v>
      </c>
      <c r="AD37" s="1">
        <f>IFERROR(SUMIFS(BY_TRA!AL$2:AL$999,BY_TRA!$BJ$2:$BJ$999,Transport!$B37,BY_TRA!$BK$2:$BK$999,Transport!$C37)/SUMIFS(BY_TRA!AL$2:AL$999,BY_TRA!$BJ$2:$BJ$999,Transport!$B37),0)</f>
        <v>0</v>
      </c>
      <c r="AE37" s="1">
        <f>IFERROR(SUMIFS(BY_TRA!AM$2:AM$999,BY_TRA!$BJ$2:$BJ$999,Transport!$B37,BY_TRA!$BK$2:$BK$999,Transport!$C37)/SUMIFS(BY_TRA!AM$2:AM$999,BY_TRA!$BJ$2:$BJ$999,Transport!$B37),0)</f>
        <v>0</v>
      </c>
      <c r="AF37" s="1">
        <f>IFERROR(SUMIFS(BY_TRA!AN$2:AN$999,BY_TRA!$BJ$2:$BJ$999,Transport!$B37,BY_TRA!$BK$2:$BK$999,Transport!$C37)/SUMIFS(BY_TRA!AN$2:AN$999,BY_TRA!$BJ$2:$BJ$999,Transport!$B37),0)</f>
        <v>0</v>
      </c>
      <c r="AG37" s="1">
        <f>IFERROR(SUMIFS(BY_TRA!AO$2:AO$999,BY_TRA!$BJ$2:$BJ$999,Transport!$B37,BY_TRA!$BK$2:$BK$999,Transport!$C37)/SUMIFS(BY_TRA!AO$2:AO$999,BY_TRA!$BJ$2:$BJ$999,Transport!$B37),0)</f>
        <v>0</v>
      </c>
      <c r="AH37" s="1">
        <f>IFERROR(SUMIFS(BY_TRA!AP$2:AP$999,BY_TRA!$BJ$2:$BJ$999,Transport!$B37,BY_TRA!$BK$2:$BK$999,Transport!$C37)/SUMIFS(BY_TRA!AP$2:AP$999,BY_TRA!$BJ$2:$BJ$999,Transport!$B37),0)</f>
        <v>0</v>
      </c>
      <c r="AI37" s="1">
        <f>IFERROR(SUMIFS(BY_TRA!AQ$2:AQ$999,BY_TRA!$BJ$2:$BJ$999,Transport!$B37,BY_TRA!$BK$2:$BK$999,Transport!$C37)/SUMIFS(BY_TRA!AQ$2:AQ$999,BY_TRA!$BJ$2:$BJ$999,Transport!$B37),0)</f>
        <v>0</v>
      </c>
      <c r="AJ37" s="1">
        <f>IFERROR(SUMIFS(BY_TRA!AR$2:AR$999,BY_TRA!$BJ$2:$BJ$999,Transport!$B37,BY_TRA!$BK$2:$BK$999,Transport!$C37)/SUMIFS(BY_TRA!AR$2:AR$999,BY_TRA!$BJ$2:$BJ$999,Transport!$B37),0)</f>
        <v>0</v>
      </c>
      <c r="AK37" s="1">
        <f>IFERROR(SUMIFS(BY_TRA!AS$2:AS$999,BY_TRA!$BJ$2:$BJ$999,Transport!$B37,BY_TRA!$BK$2:$BK$999,Transport!$C37)/SUMIFS(BY_TRA!AS$2:AS$999,BY_TRA!$BJ$2:$BJ$999,Transport!$B37),0)</f>
        <v>0</v>
      </c>
      <c r="AL37" s="1">
        <f>IFERROR(SUMIFS(BY_TRA!AT$2:AT$999,BY_TRA!$BJ$2:$BJ$999,Transport!$B37,BY_TRA!$BK$2:$BK$999,Transport!$C37)/SUMIFS(BY_TRA!AT$2:AT$999,BY_TRA!$BJ$2:$BJ$999,Transport!$B37),0)</f>
        <v>0</v>
      </c>
      <c r="AM37" s="1">
        <f>IFERROR(SUMIFS(BY_TRA!AU$2:AU$999,BY_TRA!$BJ$2:$BJ$999,Transport!$B37,BY_TRA!$BK$2:$BK$999,Transport!$C37)/SUMIFS(BY_TRA!AU$2:AU$999,BY_TRA!$BJ$2:$BJ$999,Transport!$B37),0)</f>
        <v>0</v>
      </c>
      <c r="AN37" s="1">
        <f>IFERROR(SUMIFS(BY_TRA!AV$2:AV$999,BY_TRA!$BJ$2:$BJ$999,Transport!$B37,BY_TRA!$BK$2:$BK$999,Transport!$C37)/SUMIFS(BY_TRA!AV$2:AV$999,BY_TRA!$BJ$2:$BJ$999,Transport!$B37),0)</f>
        <v>0</v>
      </c>
      <c r="AO37" s="1">
        <f>IFERROR(SUMIFS(BY_TRA!AW$2:AW$999,BY_TRA!$BJ$2:$BJ$999,Transport!$B37,BY_TRA!$BK$2:$BK$999,Transport!$C37)/SUMIFS(BY_TRA!AW$2:AW$999,BY_TRA!$BJ$2:$BJ$999,Transport!$B37),0)</f>
        <v>0</v>
      </c>
      <c r="AP37" s="1">
        <f>IFERROR(SUMIFS(BY_TRA!AX$2:AX$999,BY_TRA!$BJ$2:$BJ$999,Transport!$B37,BY_TRA!$BK$2:$BK$999,Transport!$C37)/SUMIFS(BY_TRA!AX$2:AX$999,BY_TRA!$BJ$2:$BJ$999,Transport!$B37),0)</f>
        <v>0</v>
      </c>
      <c r="AQ37" s="1">
        <f>IFERROR(SUMIFS(BY_TRA!AY$2:AY$999,BY_TRA!$BJ$2:$BJ$999,Transport!$B37,BY_TRA!$BK$2:$BK$999,Transport!$C37)/SUMIFS(BY_TRA!AY$2:AY$999,BY_TRA!$BJ$2:$BJ$999,Transport!$B37),0)</f>
        <v>0</v>
      </c>
      <c r="AR37" s="1">
        <f>IFERROR(SUMIFS(BY_TRA!AZ$2:AZ$999,BY_TRA!$BJ$2:$BJ$999,Transport!$B37,BY_TRA!$BK$2:$BK$999,Transport!$C37)/SUMIFS(BY_TRA!AZ$2:AZ$999,BY_TRA!$BJ$2:$BJ$999,Transport!$B37),0)</f>
        <v>0</v>
      </c>
      <c r="AS37" s="1">
        <f>IFERROR(SUMIFS(BY_TRA!BA$2:BA$999,BY_TRA!$BJ$2:$BJ$999,Transport!$B37,BY_TRA!$BK$2:$BK$999,Transport!$C37)/SUMIFS(BY_TRA!BA$2:BA$999,BY_TRA!$BJ$2:$BJ$999,Transport!$B37),0)</f>
        <v>0</v>
      </c>
      <c r="AT37" s="1">
        <f>IFERROR(SUMIFS(BY_TRA!BB$2:BB$999,BY_TRA!$BJ$2:$BJ$999,Transport!$B37,BY_TRA!$BK$2:$BK$999,Transport!$C37)/SUMIFS(BY_TRA!BB$2:BB$999,BY_TRA!$BJ$2:$BJ$999,Transport!$B37),0)</f>
        <v>0</v>
      </c>
      <c r="AU37" s="1">
        <f>IFERROR(SUMIFS(BY_TRA!BC$2:BC$999,BY_TRA!$BJ$2:$BJ$999,Transport!$B37,BY_TRA!$BK$2:$BK$999,Transport!$C37)/SUMIFS(BY_TRA!BC$2:BC$999,BY_TRA!$BJ$2:$BJ$999,Transport!$B37),0)</f>
        <v>0</v>
      </c>
      <c r="AV37" s="1">
        <f>IFERROR(SUMIFS(BY_TRA!BD$2:BD$999,BY_TRA!$BJ$2:$BJ$999,Transport!$B37,BY_TRA!$BK$2:$BK$999,Transport!$C37)/SUMIFS(BY_TRA!BD$2:BD$999,BY_TRA!$BJ$2:$BJ$999,Transport!$B37),0)</f>
        <v>0</v>
      </c>
      <c r="AW37" s="1">
        <f>IFERROR(SUMIFS(BY_TRA!BE$2:BE$999,BY_TRA!$BJ$2:$BJ$999,Transport!$B37,BY_TRA!$BK$2:$BK$999,Transport!$C37)/SUMIFS(BY_TRA!BE$2:BE$999,BY_TRA!$BJ$2:$BJ$999,Transport!$B37),0)</f>
        <v>0</v>
      </c>
      <c r="AX37" s="1">
        <f>IFERROR(SUMIFS(BY_TRA!BF$2:BF$999,BY_TRA!$BJ$2:$BJ$999,Transport!$B37,BY_TRA!$BK$2:$BK$999,Transport!$C37)/SUMIFS(BY_TRA!BF$2:BF$999,BY_TRA!$BJ$2:$BJ$999,Transport!$B37),0)</f>
        <v>0</v>
      </c>
      <c r="AY37" s="1">
        <f>IFERROR(SUMIFS(BY_TRA!BG$2:BG$999,BY_TRA!$BJ$2:$BJ$999,Transport!$B37,BY_TRA!$BK$2:$BK$999,Transport!$C37)/SUMIFS(BY_TRA!BG$2:BG$999,BY_TRA!$BJ$2:$BJ$999,Transport!$B37),0)</f>
        <v>0</v>
      </c>
    </row>
    <row r="38" spans="2:51">
      <c r="B38" t="s">
        <v>125</v>
      </c>
      <c r="C38" t="s">
        <v>123</v>
      </c>
      <c r="D38" s="1">
        <f>IFERROR(SUMIFS(BY_TRA!L$2:L$999,BY_TRA!$BJ$2:$BJ$999,Transport!$B38,BY_TRA!$BK$2:$BK$999,Transport!$C38)/SUMIFS(BY_TRA!L$2:L$999,BY_TRA!$BJ$2:$BJ$999,Transport!$B38),0)</f>
        <v>0</v>
      </c>
      <c r="E38" s="1">
        <f>IFERROR(SUMIFS(BY_TRA!M$2:M$999,BY_TRA!$BJ$2:$BJ$999,Transport!$B38,BY_TRA!$BK$2:$BK$999,Transport!$C38)/SUMIFS(BY_TRA!M$2:M$999,BY_TRA!$BJ$2:$BJ$999,Transport!$B38),0)</f>
        <v>0</v>
      </c>
      <c r="F38" s="1">
        <f>IFERROR(SUMIFS(BY_TRA!N$2:N$999,BY_TRA!$BJ$2:$BJ$999,Transport!$B38,BY_TRA!$BK$2:$BK$999,Transport!$C38)/SUMIFS(BY_TRA!N$2:N$999,BY_TRA!$BJ$2:$BJ$999,Transport!$B38),0)</f>
        <v>0</v>
      </c>
      <c r="G38" s="1">
        <f>IFERROR(SUMIFS(BY_TRA!O$2:O$999,BY_TRA!$BJ$2:$BJ$999,Transport!$B38,BY_TRA!$BK$2:$BK$999,Transport!$C38)/SUMIFS(BY_TRA!O$2:O$999,BY_TRA!$BJ$2:$BJ$999,Transport!$B38),0)</f>
        <v>0</v>
      </c>
      <c r="H38" s="1">
        <f>IFERROR(SUMIFS(BY_TRA!P$2:P$999,BY_TRA!$BJ$2:$BJ$999,Transport!$B38,BY_TRA!$BK$2:$BK$999,Transport!$C38)/SUMIFS(BY_TRA!P$2:P$999,BY_TRA!$BJ$2:$BJ$999,Transport!$B38),0)</f>
        <v>0</v>
      </c>
      <c r="I38" s="1">
        <f>IFERROR(SUMIFS(BY_TRA!Q$2:Q$999,BY_TRA!$BJ$2:$BJ$999,Transport!$B38,BY_TRA!$BK$2:$BK$999,Transport!$C38)/SUMIFS(BY_TRA!Q$2:Q$999,BY_TRA!$BJ$2:$BJ$999,Transport!$B38),0)</f>
        <v>0</v>
      </c>
      <c r="J38" s="1">
        <f>IFERROR(SUMIFS(BY_TRA!R$2:R$999,BY_TRA!$BJ$2:$BJ$999,Transport!$B38,BY_TRA!$BK$2:$BK$999,Transport!$C38)/SUMIFS(BY_TRA!R$2:R$999,BY_TRA!$BJ$2:$BJ$999,Transport!$B38),0)</f>
        <v>0</v>
      </c>
      <c r="K38" s="1">
        <f>IFERROR(SUMIFS(BY_TRA!S$2:S$999,BY_TRA!$BJ$2:$BJ$999,Transport!$B38,BY_TRA!$BK$2:$BK$999,Transport!$C38)/SUMIFS(BY_TRA!S$2:S$999,BY_TRA!$BJ$2:$BJ$999,Transport!$B38),0)</f>
        <v>0</v>
      </c>
      <c r="L38" s="1">
        <f>IFERROR(SUMIFS(BY_TRA!T$2:T$999,BY_TRA!$BJ$2:$BJ$999,Transport!$B38,BY_TRA!$BK$2:$BK$999,Transport!$C38)/SUMIFS(BY_TRA!T$2:T$999,BY_TRA!$BJ$2:$BJ$999,Transport!$B38),0)</f>
        <v>0</v>
      </c>
      <c r="M38" s="1">
        <f>IFERROR(SUMIFS(BY_TRA!U$2:U$999,BY_TRA!$BJ$2:$BJ$999,Transport!$B38,BY_TRA!$BK$2:$BK$999,Transport!$C38)/SUMIFS(BY_TRA!U$2:U$999,BY_TRA!$BJ$2:$BJ$999,Transport!$B38),0)</f>
        <v>0</v>
      </c>
      <c r="N38" s="1">
        <f>IFERROR(SUMIFS(BY_TRA!V$2:V$999,BY_TRA!$BJ$2:$BJ$999,Transport!$B38,BY_TRA!$BK$2:$BK$999,Transport!$C38)/SUMIFS(BY_TRA!V$2:V$999,BY_TRA!$BJ$2:$BJ$999,Transport!$B38),0)</f>
        <v>0</v>
      </c>
      <c r="O38" s="1">
        <f>IFERROR(SUMIFS(BY_TRA!W$2:W$999,BY_TRA!$BJ$2:$BJ$999,Transport!$B38,BY_TRA!$BK$2:$BK$999,Transport!$C38)/SUMIFS(BY_TRA!W$2:W$999,BY_TRA!$BJ$2:$BJ$999,Transport!$B38),0)</f>
        <v>0</v>
      </c>
      <c r="P38" s="1">
        <f>IFERROR(SUMIFS(BY_TRA!X$2:X$999,BY_TRA!$BJ$2:$BJ$999,Transport!$B38,BY_TRA!$BK$2:$BK$999,Transport!$C38)/SUMIFS(BY_TRA!X$2:X$999,BY_TRA!$BJ$2:$BJ$999,Transport!$B38),0)</f>
        <v>0</v>
      </c>
      <c r="Q38" s="1">
        <f>IFERROR(SUMIFS(BY_TRA!Y$2:Y$999,BY_TRA!$BJ$2:$BJ$999,Transport!$B38,BY_TRA!$BK$2:$BK$999,Transport!$C38)/SUMIFS(BY_TRA!Y$2:Y$999,BY_TRA!$BJ$2:$BJ$999,Transport!$B38),0)</f>
        <v>0</v>
      </c>
      <c r="R38" s="1">
        <f>IFERROR(SUMIFS(BY_TRA!Z$2:Z$999,BY_TRA!$BJ$2:$BJ$999,Transport!$B38,BY_TRA!$BK$2:$BK$999,Transport!$C38)/SUMIFS(BY_TRA!Z$2:Z$999,BY_TRA!$BJ$2:$BJ$999,Transport!$B38),0)</f>
        <v>0</v>
      </c>
      <c r="S38" s="1">
        <f>IFERROR(SUMIFS(BY_TRA!AA$2:AA$999,BY_TRA!$BJ$2:$BJ$999,Transport!$B38,BY_TRA!$BK$2:$BK$999,Transport!$C38)/SUMIFS(BY_TRA!AA$2:AA$999,BY_TRA!$BJ$2:$BJ$999,Transport!$B38),0)</f>
        <v>0</v>
      </c>
      <c r="T38" s="1">
        <f>IFERROR(SUMIFS(BY_TRA!AB$2:AB$999,BY_TRA!$BJ$2:$BJ$999,Transport!$B38,BY_TRA!$BK$2:$BK$999,Transport!$C38)/SUMIFS(BY_TRA!AB$2:AB$999,BY_TRA!$BJ$2:$BJ$999,Transport!$B38),0)</f>
        <v>0</v>
      </c>
      <c r="U38" s="1">
        <f>IFERROR(SUMIFS(BY_TRA!AC$2:AC$999,BY_TRA!$BJ$2:$BJ$999,Transport!$B38,BY_TRA!$BK$2:$BK$999,Transport!$C38)/SUMIFS(BY_TRA!AC$2:AC$999,BY_TRA!$BJ$2:$BJ$999,Transport!$B38),0)</f>
        <v>0</v>
      </c>
      <c r="V38" s="1">
        <f>IFERROR(SUMIFS(BY_TRA!AD$2:AD$999,BY_TRA!$BJ$2:$BJ$999,Transport!$B38,BY_TRA!$BK$2:$BK$999,Transport!$C38)/SUMIFS(BY_TRA!AD$2:AD$999,BY_TRA!$BJ$2:$BJ$999,Transport!$B38),0)</f>
        <v>0</v>
      </c>
      <c r="W38" s="1">
        <f>IFERROR(SUMIFS(BY_TRA!AE$2:AE$999,BY_TRA!$BJ$2:$BJ$999,Transport!$B38,BY_TRA!$BK$2:$BK$999,Transport!$C38)/SUMIFS(BY_TRA!AE$2:AE$999,BY_TRA!$BJ$2:$BJ$999,Transport!$B38),0)</f>
        <v>0</v>
      </c>
      <c r="X38" s="1">
        <f>IFERROR(SUMIFS(BY_TRA!AF$2:AF$999,BY_TRA!$BJ$2:$BJ$999,Transport!$B38,BY_TRA!$BK$2:$BK$999,Transport!$C38)/SUMIFS(BY_TRA!AF$2:AF$999,BY_TRA!$BJ$2:$BJ$999,Transport!$B38),0)</f>
        <v>0</v>
      </c>
      <c r="Y38" s="1">
        <f>IFERROR(SUMIFS(BY_TRA!AG$2:AG$999,BY_TRA!$BJ$2:$BJ$999,Transport!$B38,BY_TRA!$BK$2:$BK$999,Transport!$C38)/SUMIFS(BY_TRA!AG$2:AG$999,BY_TRA!$BJ$2:$BJ$999,Transport!$B38),0)</f>
        <v>0</v>
      </c>
      <c r="Z38" s="1">
        <f>IFERROR(SUMIFS(BY_TRA!AH$2:AH$999,BY_TRA!$BJ$2:$BJ$999,Transport!$B38,BY_TRA!$BK$2:$BK$999,Transport!$C38)/SUMIFS(BY_TRA!AH$2:AH$999,BY_TRA!$BJ$2:$BJ$999,Transport!$B38),0)</f>
        <v>0</v>
      </c>
      <c r="AA38" s="1">
        <f>IFERROR(SUMIFS(BY_TRA!AI$2:AI$999,BY_TRA!$BJ$2:$BJ$999,Transport!$B38,BY_TRA!$BK$2:$BK$999,Transport!$C38)/SUMIFS(BY_TRA!AI$2:AI$999,BY_TRA!$BJ$2:$BJ$999,Transport!$B38),0)</f>
        <v>0</v>
      </c>
      <c r="AB38" s="1">
        <f>IFERROR(SUMIFS(BY_TRA!AJ$2:AJ$999,BY_TRA!$BJ$2:$BJ$999,Transport!$B38,BY_TRA!$BK$2:$BK$999,Transport!$C38)/SUMIFS(BY_TRA!AJ$2:AJ$999,BY_TRA!$BJ$2:$BJ$999,Transport!$B38),0)</f>
        <v>0</v>
      </c>
      <c r="AC38" s="1">
        <f>IFERROR(SUMIFS(BY_TRA!AK$2:AK$999,BY_TRA!$BJ$2:$BJ$999,Transport!$B38,BY_TRA!$BK$2:$BK$999,Transport!$C38)/SUMIFS(BY_TRA!AK$2:AK$999,BY_TRA!$BJ$2:$BJ$999,Transport!$B38),0)</f>
        <v>0</v>
      </c>
      <c r="AD38" s="1">
        <f>IFERROR(SUMIFS(BY_TRA!AL$2:AL$999,BY_TRA!$BJ$2:$BJ$999,Transport!$B38,BY_TRA!$BK$2:$BK$999,Transport!$C38)/SUMIFS(BY_TRA!AL$2:AL$999,BY_TRA!$BJ$2:$BJ$999,Transport!$B38),0)</f>
        <v>0</v>
      </c>
      <c r="AE38" s="1">
        <f>IFERROR(SUMIFS(BY_TRA!AM$2:AM$999,BY_TRA!$BJ$2:$BJ$999,Transport!$B38,BY_TRA!$BK$2:$BK$999,Transport!$C38)/SUMIFS(BY_TRA!AM$2:AM$999,BY_TRA!$BJ$2:$BJ$999,Transport!$B38),0)</f>
        <v>0</v>
      </c>
      <c r="AF38" s="1">
        <f>IFERROR(SUMIFS(BY_TRA!AN$2:AN$999,BY_TRA!$BJ$2:$BJ$999,Transport!$B38,BY_TRA!$BK$2:$BK$999,Transport!$C38)/SUMIFS(BY_TRA!AN$2:AN$999,BY_TRA!$BJ$2:$BJ$999,Transport!$B38),0)</f>
        <v>0</v>
      </c>
      <c r="AG38" s="1">
        <f>IFERROR(SUMIFS(BY_TRA!AO$2:AO$999,BY_TRA!$BJ$2:$BJ$999,Transport!$B38,BY_TRA!$BK$2:$BK$999,Transport!$C38)/SUMIFS(BY_TRA!AO$2:AO$999,BY_TRA!$BJ$2:$BJ$999,Transport!$B38),0)</f>
        <v>0</v>
      </c>
      <c r="AH38" s="1">
        <f>IFERROR(SUMIFS(BY_TRA!AP$2:AP$999,BY_TRA!$BJ$2:$BJ$999,Transport!$B38,BY_TRA!$BK$2:$BK$999,Transport!$C38)/SUMIFS(BY_TRA!AP$2:AP$999,BY_TRA!$BJ$2:$BJ$999,Transport!$B38),0)</f>
        <v>0</v>
      </c>
      <c r="AI38" s="1">
        <f>IFERROR(SUMIFS(BY_TRA!AQ$2:AQ$999,BY_TRA!$BJ$2:$BJ$999,Transport!$B38,BY_TRA!$BK$2:$BK$999,Transport!$C38)/SUMIFS(BY_TRA!AQ$2:AQ$999,BY_TRA!$BJ$2:$BJ$999,Transport!$B38),0)</f>
        <v>0</v>
      </c>
      <c r="AJ38" s="1">
        <f>IFERROR(SUMIFS(BY_TRA!AR$2:AR$999,BY_TRA!$BJ$2:$BJ$999,Transport!$B38,BY_TRA!$BK$2:$BK$999,Transport!$C38)/SUMIFS(BY_TRA!AR$2:AR$999,BY_TRA!$BJ$2:$BJ$999,Transport!$B38),0)</f>
        <v>0</v>
      </c>
      <c r="AK38" s="1">
        <f>IFERROR(SUMIFS(BY_TRA!AS$2:AS$999,BY_TRA!$BJ$2:$BJ$999,Transport!$B38,BY_TRA!$BK$2:$BK$999,Transport!$C38)/SUMIFS(BY_TRA!AS$2:AS$999,BY_TRA!$BJ$2:$BJ$999,Transport!$B38),0)</f>
        <v>0</v>
      </c>
      <c r="AL38" s="1">
        <f>IFERROR(SUMIFS(BY_TRA!AT$2:AT$999,BY_TRA!$BJ$2:$BJ$999,Transport!$B38,BY_TRA!$BK$2:$BK$999,Transport!$C38)/SUMIFS(BY_TRA!AT$2:AT$999,BY_TRA!$BJ$2:$BJ$999,Transport!$B38),0)</f>
        <v>0</v>
      </c>
      <c r="AM38" s="1">
        <f>IFERROR(SUMIFS(BY_TRA!AU$2:AU$999,BY_TRA!$BJ$2:$BJ$999,Transport!$B38,BY_TRA!$BK$2:$BK$999,Transport!$C38)/SUMIFS(BY_TRA!AU$2:AU$999,BY_TRA!$BJ$2:$BJ$999,Transport!$B38),0)</f>
        <v>0</v>
      </c>
      <c r="AN38" s="1">
        <f>IFERROR(SUMIFS(BY_TRA!AV$2:AV$999,BY_TRA!$BJ$2:$BJ$999,Transport!$B38,BY_TRA!$BK$2:$BK$999,Transport!$C38)/SUMIFS(BY_TRA!AV$2:AV$999,BY_TRA!$BJ$2:$BJ$999,Transport!$B38),0)</f>
        <v>0</v>
      </c>
      <c r="AO38" s="1">
        <f>IFERROR(SUMIFS(BY_TRA!AW$2:AW$999,BY_TRA!$BJ$2:$BJ$999,Transport!$B38,BY_TRA!$BK$2:$BK$999,Transport!$C38)/SUMIFS(BY_TRA!AW$2:AW$999,BY_TRA!$BJ$2:$BJ$999,Transport!$B38),0)</f>
        <v>0</v>
      </c>
      <c r="AP38" s="1">
        <f>IFERROR(SUMIFS(BY_TRA!AX$2:AX$999,BY_TRA!$BJ$2:$BJ$999,Transport!$B38,BY_TRA!$BK$2:$BK$999,Transport!$C38)/SUMIFS(BY_TRA!AX$2:AX$999,BY_TRA!$BJ$2:$BJ$999,Transport!$B38),0)</f>
        <v>0</v>
      </c>
      <c r="AQ38" s="1">
        <f>IFERROR(SUMIFS(BY_TRA!AY$2:AY$999,BY_TRA!$BJ$2:$BJ$999,Transport!$B38,BY_TRA!$BK$2:$BK$999,Transport!$C38)/SUMIFS(BY_TRA!AY$2:AY$999,BY_TRA!$BJ$2:$BJ$999,Transport!$B38),0)</f>
        <v>0</v>
      </c>
      <c r="AR38" s="1">
        <f>IFERROR(SUMIFS(BY_TRA!AZ$2:AZ$999,BY_TRA!$BJ$2:$BJ$999,Transport!$B38,BY_TRA!$BK$2:$BK$999,Transport!$C38)/SUMIFS(BY_TRA!AZ$2:AZ$999,BY_TRA!$BJ$2:$BJ$999,Transport!$B38),0)</f>
        <v>0</v>
      </c>
      <c r="AS38" s="1">
        <f>IFERROR(SUMIFS(BY_TRA!BA$2:BA$999,BY_TRA!$BJ$2:$BJ$999,Transport!$B38,BY_TRA!$BK$2:$BK$999,Transport!$C38)/SUMIFS(BY_TRA!BA$2:BA$999,BY_TRA!$BJ$2:$BJ$999,Transport!$B38),0)</f>
        <v>0</v>
      </c>
      <c r="AT38" s="1">
        <f>IFERROR(SUMIFS(BY_TRA!BB$2:BB$999,BY_TRA!$BJ$2:$BJ$999,Transport!$B38,BY_TRA!$BK$2:$BK$999,Transport!$C38)/SUMIFS(BY_TRA!BB$2:BB$999,BY_TRA!$BJ$2:$BJ$999,Transport!$B38),0)</f>
        <v>0</v>
      </c>
      <c r="AU38" s="1">
        <f>IFERROR(SUMIFS(BY_TRA!BC$2:BC$999,BY_TRA!$BJ$2:$BJ$999,Transport!$B38,BY_TRA!$BK$2:$BK$999,Transport!$C38)/SUMIFS(BY_TRA!BC$2:BC$999,BY_TRA!$BJ$2:$BJ$999,Transport!$B38),0)</f>
        <v>0</v>
      </c>
      <c r="AV38" s="1">
        <f>IFERROR(SUMIFS(BY_TRA!BD$2:BD$999,BY_TRA!$BJ$2:$BJ$999,Transport!$B38,BY_TRA!$BK$2:$BK$999,Transport!$C38)/SUMIFS(BY_TRA!BD$2:BD$999,BY_TRA!$BJ$2:$BJ$999,Transport!$B38),0)</f>
        <v>0</v>
      </c>
      <c r="AW38" s="1">
        <f>IFERROR(SUMIFS(BY_TRA!BE$2:BE$999,BY_TRA!$BJ$2:$BJ$999,Transport!$B38,BY_TRA!$BK$2:$BK$999,Transport!$C38)/SUMIFS(BY_TRA!BE$2:BE$999,BY_TRA!$BJ$2:$BJ$999,Transport!$B38),0)</f>
        <v>0</v>
      </c>
      <c r="AX38" s="1">
        <f>IFERROR(SUMIFS(BY_TRA!BF$2:BF$999,BY_TRA!$BJ$2:$BJ$999,Transport!$B38,BY_TRA!$BK$2:$BK$999,Transport!$C38)/SUMIFS(BY_TRA!BF$2:BF$999,BY_TRA!$BJ$2:$BJ$999,Transport!$B38),0)</f>
        <v>0</v>
      </c>
      <c r="AY38" s="1">
        <f>IFERROR(SUMIFS(BY_TRA!BG$2:BG$999,BY_TRA!$BJ$2:$BJ$999,Transport!$B38,BY_TRA!$BK$2:$BK$999,Transport!$C38)/SUMIFS(BY_TRA!BG$2:BG$999,BY_TRA!$BJ$2:$BJ$999,Transport!$B38),0)</f>
        <v>0</v>
      </c>
    </row>
    <row r="39" spans="2:51">
      <c r="B39" t="s">
        <v>125</v>
      </c>
      <c r="C39" t="s">
        <v>124</v>
      </c>
      <c r="D39" s="1">
        <f>IFERROR(SUMIFS(BY_TRA!L$2:L$999,BY_TRA!$BJ$2:$BJ$999,Transport!$B39,BY_TRA!$BK$2:$BK$999,Transport!$C39)/SUMIFS(BY_TRA!L$2:L$999,BY_TRA!$BJ$2:$BJ$999,Transport!$B39),0)</f>
        <v>0</v>
      </c>
      <c r="E39" s="1">
        <f>IFERROR(SUMIFS(BY_TRA!M$2:M$999,BY_TRA!$BJ$2:$BJ$999,Transport!$B39,BY_TRA!$BK$2:$BK$999,Transport!$C39)/SUMIFS(BY_TRA!M$2:M$999,BY_TRA!$BJ$2:$BJ$999,Transport!$B39),0)</f>
        <v>0</v>
      </c>
      <c r="F39" s="1">
        <f>IFERROR(SUMIFS(BY_TRA!N$2:N$999,BY_TRA!$BJ$2:$BJ$999,Transport!$B39,BY_TRA!$BK$2:$BK$999,Transport!$C39)/SUMIFS(BY_TRA!N$2:N$999,BY_TRA!$BJ$2:$BJ$999,Transport!$B39),0)</f>
        <v>0</v>
      </c>
      <c r="G39" s="1">
        <f>IFERROR(SUMIFS(BY_TRA!O$2:O$999,BY_TRA!$BJ$2:$BJ$999,Transport!$B39,BY_TRA!$BK$2:$BK$999,Transport!$C39)/SUMIFS(BY_TRA!O$2:O$999,BY_TRA!$BJ$2:$BJ$999,Transport!$B39),0)</f>
        <v>0</v>
      </c>
      <c r="H39" s="1">
        <f>IFERROR(SUMIFS(BY_TRA!P$2:P$999,BY_TRA!$BJ$2:$BJ$999,Transport!$B39,BY_TRA!$BK$2:$BK$999,Transport!$C39)/SUMIFS(BY_TRA!P$2:P$999,BY_TRA!$BJ$2:$BJ$999,Transport!$B39),0)</f>
        <v>0</v>
      </c>
      <c r="I39" s="1">
        <f>IFERROR(SUMIFS(BY_TRA!Q$2:Q$999,BY_TRA!$BJ$2:$BJ$999,Transport!$B39,BY_TRA!$BK$2:$BK$999,Transport!$C39)/SUMIFS(BY_TRA!Q$2:Q$999,BY_TRA!$BJ$2:$BJ$999,Transport!$B39),0)</f>
        <v>0</v>
      </c>
      <c r="J39" s="1">
        <f>IFERROR(SUMIFS(BY_TRA!R$2:R$999,BY_TRA!$BJ$2:$BJ$999,Transport!$B39,BY_TRA!$BK$2:$BK$999,Transport!$C39)/SUMIFS(BY_TRA!R$2:R$999,BY_TRA!$BJ$2:$BJ$999,Transport!$B39),0)</f>
        <v>0</v>
      </c>
      <c r="K39" s="1">
        <f>IFERROR(SUMIFS(BY_TRA!S$2:S$999,BY_TRA!$BJ$2:$BJ$999,Transport!$B39,BY_TRA!$BK$2:$BK$999,Transport!$C39)/SUMIFS(BY_TRA!S$2:S$999,BY_TRA!$BJ$2:$BJ$999,Transport!$B39),0)</f>
        <v>0</v>
      </c>
      <c r="L39" s="1">
        <f>IFERROR(SUMIFS(BY_TRA!T$2:T$999,BY_TRA!$BJ$2:$BJ$999,Transport!$B39,BY_TRA!$BK$2:$BK$999,Transport!$C39)/SUMIFS(BY_TRA!T$2:T$999,BY_TRA!$BJ$2:$BJ$999,Transport!$B39),0)</f>
        <v>0</v>
      </c>
      <c r="M39" s="1">
        <f>IFERROR(SUMIFS(BY_TRA!U$2:U$999,BY_TRA!$BJ$2:$BJ$999,Transport!$B39,BY_TRA!$BK$2:$BK$999,Transport!$C39)/SUMIFS(BY_TRA!U$2:U$999,BY_TRA!$BJ$2:$BJ$999,Transport!$B39),0)</f>
        <v>0</v>
      </c>
      <c r="N39" s="1">
        <f>IFERROR(SUMIFS(BY_TRA!V$2:V$999,BY_TRA!$BJ$2:$BJ$999,Transport!$B39,BY_TRA!$BK$2:$BK$999,Transport!$C39)/SUMIFS(BY_TRA!V$2:V$999,BY_TRA!$BJ$2:$BJ$999,Transport!$B39),0)</f>
        <v>0</v>
      </c>
      <c r="O39" s="1">
        <f>IFERROR(SUMIFS(BY_TRA!W$2:W$999,BY_TRA!$BJ$2:$BJ$999,Transport!$B39,BY_TRA!$BK$2:$BK$999,Transport!$C39)/SUMIFS(BY_TRA!W$2:W$999,BY_TRA!$BJ$2:$BJ$999,Transport!$B39),0)</f>
        <v>0</v>
      </c>
      <c r="P39" s="1">
        <f>IFERROR(SUMIFS(BY_TRA!X$2:X$999,BY_TRA!$BJ$2:$BJ$999,Transport!$B39,BY_TRA!$BK$2:$BK$999,Transport!$C39)/SUMIFS(BY_TRA!X$2:X$999,BY_TRA!$BJ$2:$BJ$999,Transport!$B39),0)</f>
        <v>0</v>
      </c>
      <c r="Q39" s="1">
        <f>IFERROR(SUMIFS(BY_TRA!Y$2:Y$999,BY_TRA!$BJ$2:$BJ$999,Transport!$B39,BY_TRA!$BK$2:$BK$999,Transport!$C39)/SUMIFS(BY_TRA!Y$2:Y$999,BY_TRA!$BJ$2:$BJ$999,Transport!$B39),0)</f>
        <v>0</v>
      </c>
      <c r="R39" s="1">
        <f>IFERROR(SUMIFS(BY_TRA!Z$2:Z$999,BY_TRA!$BJ$2:$BJ$999,Transport!$B39,BY_TRA!$BK$2:$BK$999,Transport!$C39)/SUMIFS(BY_TRA!Z$2:Z$999,BY_TRA!$BJ$2:$BJ$999,Transport!$B39),0)</f>
        <v>0</v>
      </c>
      <c r="S39" s="1">
        <f>IFERROR(SUMIFS(BY_TRA!AA$2:AA$999,BY_TRA!$BJ$2:$BJ$999,Transport!$B39,BY_TRA!$BK$2:$BK$999,Transport!$C39)/SUMIFS(BY_TRA!AA$2:AA$999,BY_TRA!$BJ$2:$BJ$999,Transport!$B39),0)</f>
        <v>0</v>
      </c>
      <c r="T39" s="1">
        <f>IFERROR(SUMIFS(BY_TRA!AB$2:AB$999,BY_TRA!$BJ$2:$BJ$999,Transport!$B39,BY_TRA!$BK$2:$BK$999,Transport!$C39)/SUMIFS(BY_TRA!AB$2:AB$999,BY_TRA!$BJ$2:$BJ$999,Transport!$B39),0)</f>
        <v>0</v>
      </c>
      <c r="U39" s="1">
        <f>IFERROR(SUMIFS(BY_TRA!AC$2:AC$999,BY_TRA!$BJ$2:$BJ$999,Transport!$B39,BY_TRA!$BK$2:$BK$999,Transport!$C39)/SUMIFS(BY_TRA!AC$2:AC$999,BY_TRA!$BJ$2:$BJ$999,Transport!$B39),0)</f>
        <v>0</v>
      </c>
      <c r="V39" s="1">
        <f>IFERROR(SUMIFS(BY_TRA!AD$2:AD$999,BY_TRA!$BJ$2:$BJ$999,Transport!$B39,BY_TRA!$BK$2:$BK$999,Transport!$C39)/SUMIFS(BY_TRA!AD$2:AD$999,BY_TRA!$BJ$2:$BJ$999,Transport!$B39),0)</f>
        <v>0</v>
      </c>
      <c r="W39" s="1">
        <f>IFERROR(SUMIFS(BY_TRA!AE$2:AE$999,BY_TRA!$BJ$2:$BJ$999,Transport!$B39,BY_TRA!$BK$2:$BK$999,Transport!$C39)/SUMIFS(BY_TRA!AE$2:AE$999,BY_TRA!$BJ$2:$BJ$999,Transport!$B39),0)</f>
        <v>0</v>
      </c>
      <c r="X39" s="1">
        <f>IFERROR(SUMIFS(BY_TRA!AF$2:AF$999,BY_TRA!$BJ$2:$BJ$999,Transport!$B39,BY_TRA!$BK$2:$BK$999,Transport!$C39)/SUMIFS(BY_TRA!AF$2:AF$999,BY_TRA!$BJ$2:$BJ$999,Transport!$B39),0)</f>
        <v>0</v>
      </c>
      <c r="Y39" s="1">
        <f>IFERROR(SUMIFS(BY_TRA!AG$2:AG$999,BY_TRA!$BJ$2:$BJ$999,Transport!$B39,BY_TRA!$BK$2:$BK$999,Transport!$C39)/SUMIFS(BY_TRA!AG$2:AG$999,BY_TRA!$BJ$2:$BJ$999,Transport!$B39),0)</f>
        <v>0</v>
      </c>
      <c r="Z39" s="1">
        <f>IFERROR(SUMIFS(BY_TRA!AH$2:AH$999,BY_TRA!$BJ$2:$BJ$999,Transport!$B39,BY_TRA!$BK$2:$BK$999,Transport!$C39)/SUMIFS(BY_TRA!AH$2:AH$999,BY_TRA!$BJ$2:$BJ$999,Transport!$B39),0)</f>
        <v>0</v>
      </c>
      <c r="AA39" s="1">
        <f>IFERROR(SUMIFS(BY_TRA!AI$2:AI$999,BY_TRA!$BJ$2:$BJ$999,Transport!$B39,BY_TRA!$BK$2:$BK$999,Transport!$C39)/SUMIFS(BY_TRA!AI$2:AI$999,BY_TRA!$BJ$2:$BJ$999,Transport!$B39),0)</f>
        <v>0</v>
      </c>
      <c r="AB39" s="1">
        <f>IFERROR(SUMIFS(BY_TRA!AJ$2:AJ$999,BY_TRA!$BJ$2:$BJ$999,Transport!$B39,BY_TRA!$BK$2:$BK$999,Transport!$C39)/SUMIFS(BY_TRA!AJ$2:AJ$999,BY_TRA!$BJ$2:$BJ$999,Transport!$B39),0)</f>
        <v>0</v>
      </c>
      <c r="AC39" s="1">
        <f>IFERROR(SUMIFS(BY_TRA!AK$2:AK$999,BY_TRA!$BJ$2:$BJ$999,Transport!$B39,BY_TRA!$BK$2:$BK$999,Transport!$C39)/SUMIFS(BY_TRA!AK$2:AK$999,BY_TRA!$BJ$2:$BJ$999,Transport!$B39),0)</f>
        <v>0</v>
      </c>
      <c r="AD39" s="1">
        <f>IFERROR(SUMIFS(BY_TRA!AL$2:AL$999,BY_TRA!$BJ$2:$BJ$999,Transport!$B39,BY_TRA!$BK$2:$BK$999,Transport!$C39)/SUMIFS(BY_TRA!AL$2:AL$999,BY_TRA!$BJ$2:$BJ$999,Transport!$B39),0)</f>
        <v>0</v>
      </c>
      <c r="AE39" s="1">
        <f>IFERROR(SUMIFS(BY_TRA!AM$2:AM$999,BY_TRA!$BJ$2:$BJ$999,Transport!$B39,BY_TRA!$BK$2:$BK$999,Transport!$C39)/SUMIFS(BY_TRA!AM$2:AM$999,BY_TRA!$BJ$2:$BJ$999,Transport!$B39),0)</f>
        <v>0</v>
      </c>
      <c r="AF39" s="1">
        <f>IFERROR(SUMIFS(BY_TRA!AN$2:AN$999,BY_TRA!$BJ$2:$BJ$999,Transport!$B39,BY_TRA!$BK$2:$BK$999,Transport!$C39)/SUMIFS(BY_TRA!AN$2:AN$999,BY_TRA!$BJ$2:$BJ$999,Transport!$B39),0)</f>
        <v>0</v>
      </c>
      <c r="AG39" s="1">
        <f>IFERROR(SUMIFS(BY_TRA!AO$2:AO$999,BY_TRA!$BJ$2:$BJ$999,Transport!$B39,BY_TRA!$BK$2:$BK$999,Transport!$C39)/SUMIFS(BY_TRA!AO$2:AO$999,BY_TRA!$BJ$2:$BJ$999,Transport!$B39),0)</f>
        <v>0</v>
      </c>
      <c r="AH39" s="1">
        <f>IFERROR(SUMIFS(BY_TRA!AP$2:AP$999,BY_TRA!$BJ$2:$BJ$999,Transport!$B39,BY_TRA!$BK$2:$BK$999,Transport!$C39)/SUMIFS(BY_TRA!AP$2:AP$999,BY_TRA!$BJ$2:$BJ$999,Transport!$B39),0)</f>
        <v>0</v>
      </c>
      <c r="AI39" s="1">
        <f>IFERROR(SUMIFS(BY_TRA!AQ$2:AQ$999,BY_TRA!$BJ$2:$BJ$999,Transport!$B39,BY_TRA!$BK$2:$BK$999,Transport!$C39)/SUMIFS(BY_TRA!AQ$2:AQ$999,BY_TRA!$BJ$2:$BJ$999,Transport!$B39),0)</f>
        <v>0</v>
      </c>
      <c r="AJ39" s="1">
        <f>IFERROR(SUMIFS(BY_TRA!AR$2:AR$999,BY_TRA!$BJ$2:$BJ$999,Transport!$B39,BY_TRA!$BK$2:$BK$999,Transport!$C39)/SUMIFS(BY_TRA!AR$2:AR$999,BY_TRA!$BJ$2:$BJ$999,Transport!$B39),0)</f>
        <v>0</v>
      </c>
      <c r="AK39" s="1">
        <f>IFERROR(SUMIFS(BY_TRA!AS$2:AS$999,BY_TRA!$BJ$2:$BJ$999,Transport!$B39,BY_TRA!$BK$2:$BK$999,Transport!$C39)/SUMIFS(BY_TRA!AS$2:AS$999,BY_TRA!$BJ$2:$BJ$999,Transport!$B39),0)</f>
        <v>0</v>
      </c>
      <c r="AL39" s="1">
        <f>IFERROR(SUMIFS(BY_TRA!AT$2:AT$999,BY_TRA!$BJ$2:$BJ$999,Transport!$B39,BY_TRA!$BK$2:$BK$999,Transport!$C39)/SUMIFS(BY_TRA!AT$2:AT$999,BY_TRA!$BJ$2:$BJ$999,Transport!$B39),0)</f>
        <v>0</v>
      </c>
      <c r="AM39" s="1">
        <f>IFERROR(SUMIFS(BY_TRA!AU$2:AU$999,BY_TRA!$BJ$2:$BJ$999,Transport!$B39,BY_TRA!$BK$2:$BK$999,Transport!$C39)/SUMIFS(BY_TRA!AU$2:AU$999,BY_TRA!$BJ$2:$BJ$999,Transport!$B39),0)</f>
        <v>0</v>
      </c>
      <c r="AN39" s="1">
        <f>IFERROR(SUMIFS(BY_TRA!AV$2:AV$999,BY_TRA!$BJ$2:$BJ$999,Transport!$B39,BY_TRA!$BK$2:$BK$999,Transport!$C39)/SUMIFS(BY_TRA!AV$2:AV$999,BY_TRA!$BJ$2:$BJ$999,Transport!$B39),0)</f>
        <v>0</v>
      </c>
      <c r="AO39" s="1">
        <f>IFERROR(SUMIFS(BY_TRA!AW$2:AW$999,BY_TRA!$BJ$2:$BJ$999,Transport!$B39,BY_TRA!$BK$2:$BK$999,Transport!$C39)/SUMIFS(BY_TRA!AW$2:AW$999,BY_TRA!$BJ$2:$BJ$999,Transport!$B39),0)</f>
        <v>0</v>
      </c>
      <c r="AP39" s="1">
        <f>IFERROR(SUMIFS(BY_TRA!AX$2:AX$999,BY_TRA!$BJ$2:$BJ$999,Transport!$B39,BY_TRA!$BK$2:$BK$999,Transport!$C39)/SUMIFS(BY_TRA!AX$2:AX$999,BY_TRA!$BJ$2:$BJ$999,Transport!$B39),0)</f>
        <v>0</v>
      </c>
      <c r="AQ39" s="1">
        <f>IFERROR(SUMIFS(BY_TRA!AY$2:AY$999,BY_TRA!$BJ$2:$BJ$999,Transport!$B39,BY_TRA!$BK$2:$BK$999,Transport!$C39)/SUMIFS(BY_TRA!AY$2:AY$999,BY_TRA!$BJ$2:$BJ$999,Transport!$B39),0)</f>
        <v>0</v>
      </c>
      <c r="AR39" s="1">
        <f>IFERROR(SUMIFS(BY_TRA!AZ$2:AZ$999,BY_TRA!$BJ$2:$BJ$999,Transport!$B39,BY_TRA!$BK$2:$BK$999,Transport!$C39)/SUMIFS(BY_TRA!AZ$2:AZ$999,BY_TRA!$BJ$2:$BJ$999,Transport!$B39),0)</f>
        <v>0</v>
      </c>
      <c r="AS39" s="1">
        <f>IFERROR(SUMIFS(BY_TRA!BA$2:BA$999,BY_TRA!$BJ$2:$BJ$999,Transport!$B39,BY_TRA!$BK$2:$BK$999,Transport!$C39)/SUMIFS(BY_TRA!BA$2:BA$999,BY_TRA!$BJ$2:$BJ$999,Transport!$B39),0)</f>
        <v>0</v>
      </c>
      <c r="AT39" s="1">
        <f>IFERROR(SUMIFS(BY_TRA!BB$2:BB$999,BY_TRA!$BJ$2:$BJ$999,Transport!$B39,BY_TRA!$BK$2:$BK$999,Transport!$C39)/SUMIFS(BY_TRA!BB$2:BB$999,BY_TRA!$BJ$2:$BJ$999,Transport!$B39),0)</f>
        <v>0</v>
      </c>
      <c r="AU39" s="1">
        <f>IFERROR(SUMIFS(BY_TRA!BC$2:BC$999,BY_TRA!$BJ$2:$BJ$999,Transport!$B39,BY_TRA!$BK$2:$BK$999,Transport!$C39)/SUMIFS(BY_TRA!BC$2:BC$999,BY_TRA!$BJ$2:$BJ$999,Transport!$B39),0)</f>
        <v>0</v>
      </c>
      <c r="AV39" s="1">
        <f>IFERROR(SUMIFS(BY_TRA!BD$2:BD$999,BY_TRA!$BJ$2:$BJ$999,Transport!$B39,BY_TRA!$BK$2:$BK$999,Transport!$C39)/SUMIFS(BY_TRA!BD$2:BD$999,BY_TRA!$BJ$2:$BJ$999,Transport!$B39),0)</f>
        <v>0</v>
      </c>
      <c r="AW39" s="1">
        <f>IFERROR(SUMIFS(BY_TRA!BE$2:BE$999,BY_TRA!$BJ$2:$BJ$999,Transport!$B39,BY_TRA!$BK$2:$BK$999,Transport!$C39)/SUMIFS(BY_TRA!BE$2:BE$999,BY_TRA!$BJ$2:$BJ$999,Transport!$B39),0)</f>
        <v>0</v>
      </c>
      <c r="AX39" s="1">
        <f>IFERROR(SUMIFS(BY_TRA!BF$2:BF$999,BY_TRA!$BJ$2:$BJ$999,Transport!$B39,BY_TRA!$BK$2:$BK$999,Transport!$C39)/SUMIFS(BY_TRA!BF$2:BF$999,BY_TRA!$BJ$2:$BJ$999,Transport!$B39),0)</f>
        <v>0</v>
      </c>
      <c r="AY39" s="1">
        <f>IFERROR(SUMIFS(BY_TRA!BG$2:BG$999,BY_TRA!$BJ$2:$BJ$999,Transport!$B39,BY_TRA!$BK$2:$BK$999,Transport!$C39)/SUMIFS(BY_TRA!BG$2:BG$999,BY_TRA!$BJ$2:$BJ$999,Transport!$B39),0)</f>
        <v>0</v>
      </c>
    </row>
    <row r="40" spans="2:51">
      <c r="B40" t="s">
        <v>128</v>
      </c>
      <c r="C40" t="s">
        <v>126</v>
      </c>
      <c r="D40" s="1">
        <f>IFERROR(SUMIFS(BY_TRA!L$2:L$999,BY_TRA!$BJ$2:$BJ$999,Transport!$B40,BY_TRA!$BK$2:$BK$999,Transport!$C40)/SUMIFS(BY_TRA!L$2:L$999,BY_TRA!$BJ$2:$BJ$999,Transport!$B40),0)</f>
        <v>0</v>
      </c>
      <c r="E40" s="1">
        <f>IFERROR(SUMIFS(BY_TRA!M$2:M$999,BY_TRA!$BJ$2:$BJ$999,Transport!$B40,BY_TRA!$BK$2:$BK$999,Transport!$C40)/SUMIFS(BY_TRA!M$2:M$999,BY_TRA!$BJ$2:$BJ$999,Transport!$B40),0)</f>
        <v>0</v>
      </c>
      <c r="F40" s="1">
        <f>IFERROR(SUMIFS(BY_TRA!N$2:N$999,BY_TRA!$BJ$2:$BJ$999,Transport!$B40,BY_TRA!$BK$2:$BK$999,Transport!$C40)/SUMIFS(BY_TRA!N$2:N$999,BY_TRA!$BJ$2:$BJ$999,Transport!$B40),0)</f>
        <v>0</v>
      </c>
      <c r="G40" s="1">
        <f>IFERROR(SUMIFS(BY_TRA!O$2:O$999,BY_TRA!$BJ$2:$BJ$999,Transport!$B40,BY_TRA!$BK$2:$BK$999,Transport!$C40)/SUMIFS(BY_TRA!O$2:O$999,BY_TRA!$BJ$2:$BJ$999,Transport!$B40),0)</f>
        <v>0</v>
      </c>
      <c r="H40" s="1">
        <f>IFERROR(SUMIFS(BY_TRA!P$2:P$999,BY_TRA!$BJ$2:$BJ$999,Transport!$B40,BY_TRA!$BK$2:$BK$999,Transport!$C40)/SUMIFS(BY_TRA!P$2:P$999,BY_TRA!$BJ$2:$BJ$999,Transport!$B40),0)</f>
        <v>0</v>
      </c>
      <c r="I40" s="1">
        <f>IFERROR(SUMIFS(BY_TRA!Q$2:Q$999,BY_TRA!$BJ$2:$BJ$999,Transport!$B40,BY_TRA!$BK$2:$BK$999,Transport!$C40)/SUMIFS(BY_TRA!Q$2:Q$999,BY_TRA!$BJ$2:$BJ$999,Transport!$B40),0)</f>
        <v>0</v>
      </c>
      <c r="J40" s="1">
        <f>IFERROR(SUMIFS(BY_TRA!R$2:R$999,BY_TRA!$BJ$2:$BJ$999,Transport!$B40,BY_TRA!$BK$2:$BK$999,Transport!$C40)/SUMIFS(BY_TRA!R$2:R$999,BY_TRA!$BJ$2:$BJ$999,Transport!$B40),0)</f>
        <v>0</v>
      </c>
      <c r="K40" s="1">
        <f>IFERROR(SUMIFS(BY_TRA!S$2:S$999,BY_TRA!$BJ$2:$BJ$999,Transport!$B40,BY_TRA!$BK$2:$BK$999,Transport!$C40)/SUMIFS(BY_TRA!S$2:S$999,BY_TRA!$BJ$2:$BJ$999,Transport!$B40),0)</f>
        <v>0</v>
      </c>
      <c r="L40" s="1">
        <f>IFERROR(SUMIFS(BY_TRA!T$2:T$999,BY_TRA!$BJ$2:$BJ$999,Transport!$B40,BY_TRA!$BK$2:$BK$999,Transport!$C40)/SUMIFS(BY_TRA!T$2:T$999,BY_TRA!$BJ$2:$BJ$999,Transport!$B40),0)</f>
        <v>0</v>
      </c>
      <c r="M40" s="1">
        <f>IFERROR(SUMIFS(BY_TRA!U$2:U$999,BY_TRA!$BJ$2:$BJ$999,Transport!$B40,BY_TRA!$BK$2:$BK$999,Transport!$C40)/SUMIFS(BY_TRA!U$2:U$999,BY_TRA!$BJ$2:$BJ$999,Transport!$B40),0)</f>
        <v>0</v>
      </c>
      <c r="N40" s="1">
        <f>IFERROR(SUMIFS(BY_TRA!V$2:V$999,BY_TRA!$BJ$2:$BJ$999,Transport!$B40,BY_TRA!$BK$2:$BK$999,Transport!$C40)/SUMIFS(BY_TRA!V$2:V$999,BY_TRA!$BJ$2:$BJ$999,Transport!$B40),0)</f>
        <v>0</v>
      </c>
      <c r="O40" s="1">
        <f>IFERROR(SUMIFS(BY_TRA!W$2:W$999,BY_TRA!$BJ$2:$BJ$999,Transport!$B40,BY_TRA!$BK$2:$BK$999,Transport!$C40)/SUMIFS(BY_TRA!W$2:W$999,BY_TRA!$BJ$2:$BJ$999,Transport!$B40),0)</f>
        <v>0</v>
      </c>
      <c r="P40" s="1">
        <f>IFERROR(SUMIFS(BY_TRA!X$2:X$999,BY_TRA!$BJ$2:$BJ$999,Transport!$B40,BY_TRA!$BK$2:$BK$999,Transport!$C40)/SUMIFS(BY_TRA!X$2:X$999,BY_TRA!$BJ$2:$BJ$999,Transport!$B40),0)</f>
        <v>0</v>
      </c>
      <c r="Q40" s="1">
        <f>IFERROR(SUMIFS(BY_TRA!Y$2:Y$999,BY_TRA!$BJ$2:$BJ$999,Transport!$B40,BY_TRA!$BK$2:$BK$999,Transport!$C40)/SUMIFS(BY_TRA!Y$2:Y$999,BY_TRA!$BJ$2:$BJ$999,Transport!$B40),0)</f>
        <v>0</v>
      </c>
      <c r="R40" s="1">
        <f>IFERROR(SUMIFS(BY_TRA!Z$2:Z$999,BY_TRA!$BJ$2:$BJ$999,Transport!$B40,BY_TRA!$BK$2:$BK$999,Transport!$C40)/SUMIFS(BY_TRA!Z$2:Z$999,BY_TRA!$BJ$2:$BJ$999,Transport!$B40),0)</f>
        <v>0</v>
      </c>
      <c r="S40" s="1">
        <f>IFERROR(SUMIFS(BY_TRA!AA$2:AA$999,BY_TRA!$BJ$2:$BJ$999,Transport!$B40,BY_TRA!$BK$2:$BK$999,Transport!$C40)/SUMIFS(BY_TRA!AA$2:AA$999,BY_TRA!$BJ$2:$BJ$999,Transport!$B40),0)</f>
        <v>0</v>
      </c>
      <c r="T40" s="1">
        <f>IFERROR(SUMIFS(BY_TRA!AB$2:AB$999,BY_TRA!$BJ$2:$BJ$999,Transport!$B40,BY_TRA!$BK$2:$BK$999,Transport!$C40)/SUMIFS(BY_TRA!AB$2:AB$999,BY_TRA!$BJ$2:$BJ$999,Transport!$B40),0)</f>
        <v>0</v>
      </c>
      <c r="U40" s="1">
        <f>IFERROR(SUMIFS(BY_TRA!AC$2:AC$999,BY_TRA!$BJ$2:$BJ$999,Transport!$B40,BY_TRA!$BK$2:$BK$999,Transport!$C40)/SUMIFS(BY_TRA!AC$2:AC$999,BY_TRA!$BJ$2:$BJ$999,Transport!$B40),0)</f>
        <v>0</v>
      </c>
      <c r="V40" s="1">
        <f>IFERROR(SUMIFS(BY_TRA!AD$2:AD$999,BY_TRA!$BJ$2:$BJ$999,Transport!$B40,BY_TRA!$BK$2:$BK$999,Transport!$C40)/SUMIFS(BY_TRA!AD$2:AD$999,BY_TRA!$BJ$2:$BJ$999,Transport!$B40),0)</f>
        <v>0</v>
      </c>
      <c r="W40" s="1">
        <f>IFERROR(SUMIFS(BY_TRA!AE$2:AE$999,BY_TRA!$BJ$2:$BJ$999,Transport!$B40,BY_TRA!$BK$2:$BK$999,Transport!$C40)/SUMIFS(BY_TRA!AE$2:AE$999,BY_TRA!$BJ$2:$BJ$999,Transport!$B40),0)</f>
        <v>0</v>
      </c>
      <c r="X40" s="1">
        <f>IFERROR(SUMIFS(BY_TRA!AF$2:AF$999,BY_TRA!$BJ$2:$BJ$999,Transport!$B40,BY_TRA!$BK$2:$BK$999,Transport!$C40)/SUMIFS(BY_TRA!AF$2:AF$999,BY_TRA!$BJ$2:$BJ$999,Transport!$B40),0)</f>
        <v>0</v>
      </c>
      <c r="Y40" s="1">
        <f>IFERROR(SUMIFS(BY_TRA!AG$2:AG$999,BY_TRA!$BJ$2:$BJ$999,Transport!$B40,BY_TRA!$BK$2:$BK$999,Transport!$C40)/SUMIFS(BY_TRA!AG$2:AG$999,BY_TRA!$BJ$2:$BJ$999,Transport!$B40),0)</f>
        <v>0</v>
      </c>
      <c r="Z40" s="1">
        <f>IFERROR(SUMIFS(BY_TRA!AH$2:AH$999,BY_TRA!$BJ$2:$BJ$999,Transport!$B40,BY_TRA!$BK$2:$BK$999,Transport!$C40)/SUMIFS(BY_TRA!AH$2:AH$999,BY_TRA!$BJ$2:$BJ$999,Transport!$B40),0)</f>
        <v>0</v>
      </c>
      <c r="AA40" s="1">
        <f>IFERROR(SUMIFS(BY_TRA!AI$2:AI$999,BY_TRA!$BJ$2:$BJ$999,Transport!$B40,BY_TRA!$BK$2:$BK$999,Transport!$C40)/SUMIFS(BY_TRA!AI$2:AI$999,BY_TRA!$BJ$2:$BJ$999,Transport!$B40),0)</f>
        <v>0</v>
      </c>
      <c r="AB40" s="1">
        <f>IFERROR(SUMIFS(BY_TRA!AJ$2:AJ$999,BY_TRA!$BJ$2:$BJ$999,Transport!$B40,BY_TRA!$BK$2:$BK$999,Transport!$C40)/SUMIFS(BY_TRA!AJ$2:AJ$999,BY_TRA!$BJ$2:$BJ$999,Transport!$B40),0)</f>
        <v>0</v>
      </c>
      <c r="AC40" s="1">
        <f>IFERROR(SUMIFS(BY_TRA!AK$2:AK$999,BY_TRA!$BJ$2:$BJ$999,Transport!$B40,BY_TRA!$BK$2:$BK$999,Transport!$C40)/SUMIFS(BY_TRA!AK$2:AK$999,BY_TRA!$BJ$2:$BJ$999,Transport!$B40),0)</f>
        <v>0</v>
      </c>
      <c r="AD40" s="1">
        <f>IFERROR(SUMIFS(BY_TRA!AL$2:AL$999,BY_TRA!$BJ$2:$BJ$999,Transport!$B40,BY_TRA!$BK$2:$BK$999,Transport!$C40)/SUMIFS(BY_TRA!AL$2:AL$999,BY_TRA!$BJ$2:$BJ$999,Transport!$B40),0)</f>
        <v>0</v>
      </c>
      <c r="AE40" s="1">
        <f>IFERROR(SUMIFS(BY_TRA!AM$2:AM$999,BY_TRA!$BJ$2:$BJ$999,Transport!$B40,BY_TRA!$BK$2:$BK$999,Transport!$C40)/SUMIFS(BY_TRA!AM$2:AM$999,BY_TRA!$BJ$2:$BJ$999,Transport!$B40),0)</f>
        <v>0</v>
      </c>
      <c r="AF40" s="1">
        <f>IFERROR(SUMIFS(BY_TRA!AN$2:AN$999,BY_TRA!$BJ$2:$BJ$999,Transport!$B40,BY_TRA!$BK$2:$BK$999,Transport!$C40)/SUMIFS(BY_TRA!AN$2:AN$999,BY_TRA!$BJ$2:$BJ$999,Transport!$B40),0)</f>
        <v>0</v>
      </c>
      <c r="AG40" s="1">
        <f>IFERROR(SUMIFS(BY_TRA!AO$2:AO$999,BY_TRA!$BJ$2:$BJ$999,Transport!$B40,BY_TRA!$BK$2:$BK$999,Transport!$C40)/SUMIFS(BY_TRA!AO$2:AO$999,BY_TRA!$BJ$2:$BJ$999,Transport!$B40),0)</f>
        <v>0</v>
      </c>
      <c r="AH40" s="1">
        <f>IFERROR(SUMIFS(BY_TRA!AP$2:AP$999,BY_TRA!$BJ$2:$BJ$999,Transport!$B40,BY_TRA!$BK$2:$BK$999,Transport!$C40)/SUMIFS(BY_TRA!AP$2:AP$999,BY_TRA!$BJ$2:$BJ$999,Transport!$B40),0)</f>
        <v>0</v>
      </c>
      <c r="AI40" s="1">
        <f>IFERROR(SUMIFS(BY_TRA!AQ$2:AQ$999,BY_TRA!$BJ$2:$BJ$999,Transport!$B40,BY_TRA!$BK$2:$BK$999,Transport!$C40)/SUMIFS(BY_TRA!AQ$2:AQ$999,BY_TRA!$BJ$2:$BJ$999,Transport!$B40),0)</f>
        <v>0</v>
      </c>
      <c r="AJ40" s="1">
        <f>IFERROR(SUMIFS(BY_TRA!AR$2:AR$999,BY_TRA!$BJ$2:$BJ$999,Transport!$B40,BY_TRA!$BK$2:$BK$999,Transport!$C40)/SUMIFS(BY_TRA!AR$2:AR$999,BY_TRA!$BJ$2:$BJ$999,Transport!$B40),0)</f>
        <v>0</v>
      </c>
      <c r="AK40" s="1">
        <f>IFERROR(SUMIFS(BY_TRA!AS$2:AS$999,BY_TRA!$BJ$2:$BJ$999,Transport!$B40,BY_TRA!$BK$2:$BK$999,Transport!$C40)/SUMIFS(BY_TRA!AS$2:AS$999,BY_TRA!$BJ$2:$BJ$999,Transport!$B40),0)</f>
        <v>0</v>
      </c>
      <c r="AL40" s="1">
        <f>IFERROR(SUMIFS(BY_TRA!AT$2:AT$999,BY_TRA!$BJ$2:$BJ$999,Transport!$B40,BY_TRA!$BK$2:$BK$999,Transport!$C40)/SUMIFS(BY_TRA!AT$2:AT$999,BY_TRA!$BJ$2:$BJ$999,Transport!$B40),0)</f>
        <v>0</v>
      </c>
      <c r="AM40" s="1">
        <f>IFERROR(SUMIFS(BY_TRA!AU$2:AU$999,BY_TRA!$BJ$2:$BJ$999,Transport!$B40,BY_TRA!$BK$2:$BK$999,Transport!$C40)/SUMIFS(BY_TRA!AU$2:AU$999,BY_TRA!$BJ$2:$BJ$999,Transport!$B40),0)</f>
        <v>0</v>
      </c>
      <c r="AN40" s="1">
        <f>IFERROR(SUMIFS(BY_TRA!AV$2:AV$999,BY_TRA!$BJ$2:$BJ$999,Transport!$B40,BY_TRA!$BK$2:$BK$999,Transport!$C40)/SUMIFS(BY_TRA!AV$2:AV$999,BY_TRA!$BJ$2:$BJ$999,Transport!$B40),0)</f>
        <v>0</v>
      </c>
      <c r="AO40" s="1">
        <f>IFERROR(SUMIFS(BY_TRA!AW$2:AW$999,BY_TRA!$BJ$2:$BJ$999,Transport!$B40,BY_TRA!$BK$2:$BK$999,Transport!$C40)/SUMIFS(BY_TRA!AW$2:AW$999,BY_TRA!$BJ$2:$BJ$999,Transport!$B40),0)</f>
        <v>0</v>
      </c>
      <c r="AP40" s="1">
        <f>IFERROR(SUMIFS(BY_TRA!AX$2:AX$999,BY_TRA!$BJ$2:$BJ$999,Transport!$B40,BY_TRA!$BK$2:$BK$999,Transport!$C40)/SUMIFS(BY_TRA!AX$2:AX$999,BY_TRA!$BJ$2:$BJ$999,Transport!$B40),0)</f>
        <v>0</v>
      </c>
      <c r="AQ40" s="1">
        <f>IFERROR(SUMIFS(BY_TRA!AY$2:AY$999,BY_TRA!$BJ$2:$BJ$999,Transport!$B40,BY_TRA!$BK$2:$BK$999,Transport!$C40)/SUMIFS(BY_TRA!AY$2:AY$999,BY_TRA!$BJ$2:$BJ$999,Transport!$B40),0)</f>
        <v>0</v>
      </c>
      <c r="AR40" s="1">
        <f>IFERROR(SUMIFS(BY_TRA!AZ$2:AZ$999,BY_TRA!$BJ$2:$BJ$999,Transport!$B40,BY_TRA!$BK$2:$BK$999,Transport!$C40)/SUMIFS(BY_TRA!AZ$2:AZ$999,BY_TRA!$BJ$2:$BJ$999,Transport!$B40),0)</f>
        <v>0</v>
      </c>
      <c r="AS40" s="1">
        <f>IFERROR(SUMIFS(BY_TRA!BA$2:BA$999,BY_TRA!$BJ$2:$BJ$999,Transport!$B40,BY_TRA!$BK$2:$BK$999,Transport!$C40)/SUMIFS(BY_TRA!BA$2:BA$999,BY_TRA!$BJ$2:$BJ$999,Transport!$B40),0)</f>
        <v>0</v>
      </c>
      <c r="AT40" s="1">
        <f>IFERROR(SUMIFS(BY_TRA!BB$2:BB$999,BY_TRA!$BJ$2:$BJ$999,Transport!$B40,BY_TRA!$BK$2:$BK$999,Transport!$C40)/SUMIFS(BY_TRA!BB$2:BB$999,BY_TRA!$BJ$2:$BJ$999,Transport!$B40),0)</f>
        <v>0</v>
      </c>
      <c r="AU40" s="1">
        <f>IFERROR(SUMIFS(BY_TRA!BC$2:BC$999,BY_TRA!$BJ$2:$BJ$999,Transport!$B40,BY_TRA!$BK$2:$BK$999,Transport!$C40)/SUMIFS(BY_TRA!BC$2:BC$999,BY_TRA!$BJ$2:$BJ$999,Transport!$B40),0)</f>
        <v>0</v>
      </c>
      <c r="AV40" s="1">
        <f>IFERROR(SUMIFS(BY_TRA!BD$2:BD$999,BY_TRA!$BJ$2:$BJ$999,Transport!$B40,BY_TRA!$BK$2:$BK$999,Transport!$C40)/SUMIFS(BY_TRA!BD$2:BD$999,BY_TRA!$BJ$2:$BJ$999,Transport!$B40),0)</f>
        <v>0</v>
      </c>
      <c r="AW40" s="1">
        <f>IFERROR(SUMIFS(BY_TRA!BE$2:BE$999,BY_TRA!$BJ$2:$BJ$999,Transport!$B40,BY_TRA!$BK$2:$BK$999,Transport!$C40)/SUMIFS(BY_TRA!BE$2:BE$999,BY_TRA!$BJ$2:$BJ$999,Transport!$B40),0)</f>
        <v>0</v>
      </c>
      <c r="AX40" s="1">
        <f>IFERROR(SUMIFS(BY_TRA!BF$2:BF$999,BY_TRA!$BJ$2:$BJ$999,Transport!$B40,BY_TRA!$BK$2:$BK$999,Transport!$C40)/SUMIFS(BY_TRA!BF$2:BF$999,BY_TRA!$BJ$2:$BJ$999,Transport!$B40),0)</f>
        <v>0</v>
      </c>
      <c r="AY40" s="1">
        <f>IFERROR(SUMIFS(BY_TRA!BG$2:BG$999,BY_TRA!$BJ$2:$BJ$999,Transport!$B40,BY_TRA!$BK$2:$BK$999,Transport!$C40)/SUMIFS(BY_TRA!BG$2:BG$999,BY_TRA!$BJ$2:$BJ$999,Transport!$B40),0)</f>
        <v>0</v>
      </c>
    </row>
    <row r="41" spans="2:51">
      <c r="B41" t="s">
        <v>128</v>
      </c>
      <c r="C41" t="s">
        <v>127</v>
      </c>
      <c r="D41" s="1">
        <f>IFERROR(SUMIFS(BY_TRA!L$2:L$999,BY_TRA!$BJ$2:$BJ$999,Transport!$B41,BY_TRA!$BK$2:$BK$999,Transport!$C41)/SUMIFS(BY_TRA!L$2:L$999,BY_TRA!$BJ$2:$BJ$999,Transport!$B41),0)</f>
        <v>0</v>
      </c>
      <c r="E41" s="1">
        <f>IFERROR(SUMIFS(BY_TRA!M$2:M$999,BY_TRA!$BJ$2:$BJ$999,Transport!$B41,BY_TRA!$BK$2:$BK$999,Transport!$C41)/SUMIFS(BY_TRA!M$2:M$999,BY_TRA!$BJ$2:$BJ$999,Transport!$B41),0)</f>
        <v>0</v>
      </c>
      <c r="F41" s="1">
        <f>IFERROR(SUMIFS(BY_TRA!N$2:N$999,BY_TRA!$BJ$2:$BJ$999,Transport!$B41,BY_TRA!$BK$2:$BK$999,Transport!$C41)/SUMIFS(BY_TRA!N$2:N$999,BY_TRA!$BJ$2:$BJ$999,Transport!$B41),0)</f>
        <v>0</v>
      </c>
      <c r="G41" s="1">
        <f>IFERROR(SUMIFS(BY_TRA!O$2:O$999,BY_TRA!$BJ$2:$BJ$999,Transport!$B41,BY_TRA!$BK$2:$BK$999,Transport!$C41)/SUMIFS(BY_TRA!O$2:O$999,BY_TRA!$BJ$2:$BJ$999,Transport!$B41),0)</f>
        <v>0</v>
      </c>
      <c r="H41" s="1">
        <f>IFERROR(SUMIFS(BY_TRA!P$2:P$999,BY_TRA!$BJ$2:$BJ$999,Transport!$B41,BY_TRA!$BK$2:$BK$999,Transport!$C41)/SUMIFS(BY_TRA!P$2:P$999,BY_TRA!$BJ$2:$BJ$999,Transport!$B41),0)</f>
        <v>0</v>
      </c>
      <c r="I41" s="1">
        <f>IFERROR(SUMIFS(BY_TRA!Q$2:Q$999,BY_TRA!$BJ$2:$BJ$999,Transport!$B41,BY_TRA!$BK$2:$BK$999,Transport!$C41)/SUMIFS(BY_TRA!Q$2:Q$999,BY_TRA!$BJ$2:$BJ$999,Transport!$B41),0)</f>
        <v>0</v>
      </c>
      <c r="J41" s="1">
        <f>IFERROR(SUMIFS(BY_TRA!R$2:R$999,BY_TRA!$BJ$2:$BJ$999,Transport!$B41,BY_TRA!$BK$2:$BK$999,Transport!$C41)/SUMIFS(BY_TRA!R$2:R$999,BY_TRA!$BJ$2:$BJ$999,Transport!$B41),0)</f>
        <v>0</v>
      </c>
      <c r="K41" s="1">
        <f>IFERROR(SUMIFS(BY_TRA!S$2:S$999,BY_TRA!$BJ$2:$BJ$999,Transport!$B41,BY_TRA!$BK$2:$BK$999,Transport!$C41)/SUMIFS(BY_TRA!S$2:S$999,BY_TRA!$BJ$2:$BJ$999,Transport!$B41),0)</f>
        <v>0</v>
      </c>
      <c r="L41" s="1">
        <f>IFERROR(SUMIFS(BY_TRA!T$2:T$999,BY_TRA!$BJ$2:$BJ$999,Transport!$B41,BY_TRA!$BK$2:$BK$999,Transport!$C41)/SUMIFS(BY_TRA!T$2:T$999,BY_TRA!$BJ$2:$BJ$999,Transport!$B41),0)</f>
        <v>0</v>
      </c>
      <c r="M41" s="1">
        <f>IFERROR(SUMIFS(BY_TRA!U$2:U$999,BY_TRA!$BJ$2:$BJ$999,Transport!$B41,BY_TRA!$BK$2:$BK$999,Transport!$C41)/SUMIFS(BY_TRA!U$2:U$999,BY_TRA!$BJ$2:$BJ$999,Transport!$B41),0)</f>
        <v>0</v>
      </c>
      <c r="N41" s="1">
        <f>IFERROR(SUMIFS(BY_TRA!V$2:V$999,BY_TRA!$BJ$2:$BJ$999,Transport!$B41,BY_TRA!$BK$2:$BK$999,Transport!$C41)/SUMIFS(BY_TRA!V$2:V$999,BY_TRA!$BJ$2:$BJ$999,Transport!$B41),0)</f>
        <v>0</v>
      </c>
      <c r="O41" s="1">
        <f>IFERROR(SUMIFS(BY_TRA!W$2:W$999,BY_TRA!$BJ$2:$BJ$999,Transport!$B41,BY_TRA!$BK$2:$BK$999,Transport!$C41)/SUMIFS(BY_TRA!W$2:W$999,BY_TRA!$BJ$2:$BJ$999,Transport!$B41),0)</f>
        <v>0</v>
      </c>
      <c r="P41" s="1">
        <f>IFERROR(SUMIFS(BY_TRA!X$2:X$999,BY_TRA!$BJ$2:$BJ$999,Transport!$B41,BY_TRA!$BK$2:$BK$999,Transport!$C41)/SUMIFS(BY_TRA!X$2:X$999,BY_TRA!$BJ$2:$BJ$999,Transport!$B41),0)</f>
        <v>0</v>
      </c>
      <c r="Q41" s="1">
        <f>IFERROR(SUMIFS(BY_TRA!Y$2:Y$999,BY_TRA!$BJ$2:$BJ$999,Transport!$B41,BY_TRA!$BK$2:$BK$999,Transport!$C41)/SUMIFS(BY_TRA!Y$2:Y$999,BY_TRA!$BJ$2:$BJ$999,Transport!$B41),0)</f>
        <v>0</v>
      </c>
      <c r="R41" s="1">
        <f>IFERROR(SUMIFS(BY_TRA!Z$2:Z$999,BY_TRA!$BJ$2:$BJ$999,Transport!$B41,BY_TRA!$BK$2:$BK$999,Transport!$C41)/SUMIFS(BY_TRA!Z$2:Z$999,BY_TRA!$BJ$2:$BJ$999,Transport!$B41),0)</f>
        <v>0</v>
      </c>
      <c r="S41" s="1">
        <f>IFERROR(SUMIFS(BY_TRA!AA$2:AA$999,BY_TRA!$BJ$2:$BJ$999,Transport!$B41,BY_TRA!$BK$2:$BK$999,Transport!$C41)/SUMIFS(BY_TRA!AA$2:AA$999,BY_TRA!$BJ$2:$BJ$999,Transport!$B41),0)</f>
        <v>0</v>
      </c>
      <c r="T41" s="1">
        <f>IFERROR(SUMIFS(BY_TRA!AB$2:AB$999,BY_TRA!$BJ$2:$BJ$999,Transport!$B41,BY_TRA!$BK$2:$BK$999,Transport!$C41)/SUMIFS(BY_TRA!AB$2:AB$999,BY_TRA!$BJ$2:$BJ$999,Transport!$B41),0)</f>
        <v>0</v>
      </c>
      <c r="U41" s="1">
        <f>IFERROR(SUMIFS(BY_TRA!AC$2:AC$999,BY_TRA!$BJ$2:$BJ$999,Transport!$B41,BY_TRA!$BK$2:$BK$999,Transport!$C41)/SUMIFS(BY_TRA!AC$2:AC$999,BY_TRA!$BJ$2:$BJ$999,Transport!$B41),0)</f>
        <v>0</v>
      </c>
      <c r="V41" s="1">
        <f>IFERROR(SUMIFS(BY_TRA!AD$2:AD$999,BY_TRA!$BJ$2:$BJ$999,Transport!$B41,BY_TRA!$BK$2:$BK$999,Transport!$C41)/SUMIFS(BY_TRA!AD$2:AD$999,BY_TRA!$BJ$2:$BJ$999,Transport!$B41),0)</f>
        <v>0</v>
      </c>
      <c r="W41" s="1">
        <f>IFERROR(SUMIFS(BY_TRA!AE$2:AE$999,BY_TRA!$BJ$2:$BJ$999,Transport!$B41,BY_TRA!$BK$2:$BK$999,Transport!$C41)/SUMIFS(BY_TRA!AE$2:AE$999,BY_TRA!$BJ$2:$BJ$999,Transport!$B41),0)</f>
        <v>0</v>
      </c>
      <c r="X41" s="1">
        <f>IFERROR(SUMIFS(BY_TRA!AF$2:AF$999,BY_TRA!$BJ$2:$BJ$999,Transport!$B41,BY_TRA!$BK$2:$BK$999,Transport!$C41)/SUMIFS(BY_TRA!AF$2:AF$999,BY_TRA!$BJ$2:$BJ$999,Transport!$B41),0)</f>
        <v>0</v>
      </c>
      <c r="Y41" s="1">
        <f>IFERROR(SUMIFS(BY_TRA!AG$2:AG$999,BY_TRA!$BJ$2:$BJ$999,Transport!$B41,BY_TRA!$BK$2:$BK$999,Transport!$C41)/SUMIFS(BY_TRA!AG$2:AG$999,BY_TRA!$BJ$2:$BJ$999,Transport!$B41),0)</f>
        <v>0</v>
      </c>
      <c r="Z41" s="1">
        <f>IFERROR(SUMIFS(BY_TRA!AH$2:AH$999,BY_TRA!$BJ$2:$BJ$999,Transport!$B41,BY_TRA!$BK$2:$BK$999,Transport!$C41)/SUMIFS(BY_TRA!AH$2:AH$999,BY_TRA!$BJ$2:$BJ$999,Transport!$B41),0)</f>
        <v>0</v>
      </c>
      <c r="AA41" s="1">
        <f>IFERROR(SUMIFS(BY_TRA!AI$2:AI$999,BY_TRA!$BJ$2:$BJ$999,Transport!$B41,BY_TRA!$BK$2:$BK$999,Transport!$C41)/SUMIFS(BY_TRA!AI$2:AI$999,BY_TRA!$BJ$2:$BJ$999,Transport!$B41),0)</f>
        <v>0</v>
      </c>
      <c r="AB41" s="1">
        <f>IFERROR(SUMIFS(BY_TRA!AJ$2:AJ$999,BY_TRA!$BJ$2:$BJ$999,Transport!$B41,BY_TRA!$BK$2:$BK$999,Transport!$C41)/SUMIFS(BY_TRA!AJ$2:AJ$999,BY_TRA!$BJ$2:$BJ$999,Transport!$B41),0)</f>
        <v>0</v>
      </c>
      <c r="AC41" s="1">
        <f>IFERROR(SUMIFS(BY_TRA!AK$2:AK$999,BY_TRA!$BJ$2:$BJ$999,Transport!$B41,BY_TRA!$BK$2:$BK$999,Transport!$C41)/SUMIFS(BY_TRA!AK$2:AK$999,BY_TRA!$BJ$2:$BJ$999,Transport!$B41),0)</f>
        <v>0</v>
      </c>
      <c r="AD41" s="1">
        <f>IFERROR(SUMIFS(BY_TRA!AL$2:AL$999,BY_TRA!$BJ$2:$BJ$999,Transport!$B41,BY_TRA!$BK$2:$BK$999,Transport!$C41)/SUMIFS(BY_TRA!AL$2:AL$999,BY_TRA!$BJ$2:$BJ$999,Transport!$B41),0)</f>
        <v>0</v>
      </c>
      <c r="AE41" s="1">
        <f>IFERROR(SUMIFS(BY_TRA!AM$2:AM$999,BY_TRA!$BJ$2:$BJ$999,Transport!$B41,BY_TRA!$BK$2:$BK$999,Transport!$C41)/SUMIFS(BY_TRA!AM$2:AM$999,BY_TRA!$BJ$2:$BJ$999,Transport!$B41),0)</f>
        <v>0</v>
      </c>
      <c r="AF41" s="1">
        <f>IFERROR(SUMIFS(BY_TRA!AN$2:AN$999,BY_TRA!$BJ$2:$BJ$999,Transport!$B41,BY_TRA!$BK$2:$BK$999,Transport!$C41)/SUMIFS(BY_TRA!AN$2:AN$999,BY_TRA!$BJ$2:$BJ$999,Transport!$B41),0)</f>
        <v>0</v>
      </c>
      <c r="AG41" s="1">
        <f>IFERROR(SUMIFS(BY_TRA!AO$2:AO$999,BY_TRA!$BJ$2:$BJ$999,Transport!$B41,BY_TRA!$BK$2:$BK$999,Transport!$C41)/SUMIFS(BY_TRA!AO$2:AO$999,BY_TRA!$BJ$2:$BJ$999,Transport!$B41),0)</f>
        <v>0</v>
      </c>
      <c r="AH41" s="1">
        <f>IFERROR(SUMIFS(BY_TRA!AP$2:AP$999,BY_TRA!$BJ$2:$BJ$999,Transport!$B41,BY_TRA!$BK$2:$BK$999,Transport!$C41)/SUMIFS(BY_TRA!AP$2:AP$999,BY_TRA!$BJ$2:$BJ$999,Transport!$B41),0)</f>
        <v>0</v>
      </c>
      <c r="AI41" s="1">
        <f>IFERROR(SUMIFS(BY_TRA!AQ$2:AQ$999,BY_TRA!$BJ$2:$BJ$999,Transport!$B41,BY_TRA!$BK$2:$BK$999,Transport!$C41)/SUMIFS(BY_TRA!AQ$2:AQ$999,BY_TRA!$BJ$2:$BJ$999,Transport!$B41),0)</f>
        <v>0</v>
      </c>
      <c r="AJ41" s="1">
        <f>IFERROR(SUMIFS(BY_TRA!AR$2:AR$999,BY_TRA!$BJ$2:$BJ$999,Transport!$B41,BY_TRA!$BK$2:$BK$999,Transport!$C41)/SUMIFS(BY_TRA!AR$2:AR$999,BY_TRA!$BJ$2:$BJ$999,Transport!$B41),0)</f>
        <v>0</v>
      </c>
      <c r="AK41" s="1">
        <f>IFERROR(SUMIFS(BY_TRA!AS$2:AS$999,BY_TRA!$BJ$2:$BJ$999,Transport!$B41,BY_TRA!$BK$2:$BK$999,Transport!$C41)/SUMIFS(BY_TRA!AS$2:AS$999,BY_TRA!$BJ$2:$BJ$999,Transport!$B41),0)</f>
        <v>0</v>
      </c>
      <c r="AL41" s="1">
        <f>IFERROR(SUMIFS(BY_TRA!AT$2:AT$999,BY_TRA!$BJ$2:$BJ$999,Transport!$B41,BY_TRA!$BK$2:$BK$999,Transport!$C41)/SUMIFS(BY_TRA!AT$2:AT$999,BY_TRA!$BJ$2:$BJ$999,Transport!$B41),0)</f>
        <v>0</v>
      </c>
      <c r="AM41" s="1">
        <f>IFERROR(SUMIFS(BY_TRA!AU$2:AU$999,BY_TRA!$BJ$2:$BJ$999,Transport!$B41,BY_TRA!$BK$2:$BK$999,Transport!$C41)/SUMIFS(BY_TRA!AU$2:AU$999,BY_TRA!$BJ$2:$BJ$999,Transport!$B41),0)</f>
        <v>0</v>
      </c>
      <c r="AN41" s="1">
        <f>IFERROR(SUMIFS(BY_TRA!AV$2:AV$999,BY_TRA!$BJ$2:$BJ$999,Transport!$B41,BY_TRA!$BK$2:$BK$999,Transport!$C41)/SUMIFS(BY_TRA!AV$2:AV$999,BY_TRA!$BJ$2:$BJ$999,Transport!$B41),0)</f>
        <v>0</v>
      </c>
      <c r="AO41" s="1">
        <f>IFERROR(SUMIFS(BY_TRA!AW$2:AW$999,BY_TRA!$BJ$2:$BJ$999,Transport!$B41,BY_TRA!$BK$2:$BK$999,Transport!$C41)/SUMIFS(BY_TRA!AW$2:AW$999,BY_TRA!$BJ$2:$BJ$999,Transport!$B41),0)</f>
        <v>0</v>
      </c>
      <c r="AP41" s="1">
        <f>IFERROR(SUMIFS(BY_TRA!AX$2:AX$999,BY_TRA!$BJ$2:$BJ$999,Transport!$B41,BY_TRA!$BK$2:$BK$999,Transport!$C41)/SUMIFS(BY_TRA!AX$2:AX$999,BY_TRA!$BJ$2:$BJ$999,Transport!$B41),0)</f>
        <v>0</v>
      </c>
      <c r="AQ41" s="1">
        <f>IFERROR(SUMIFS(BY_TRA!AY$2:AY$999,BY_TRA!$BJ$2:$BJ$999,Transport!$B41,BY_TRA!$BK$2:$BK$999,Transport!$C41)/SUMIFS(BY_TRA!AY$2:AY$999,BY_TRA!$BJ$2:$BJ$999,Transport!$B41),0)</f>
        <v>0</v>
      </c>
      <c r="AR41" s="1">
        <f>IFERROR(SUMIFS(BY_TRA!AZ$2:AZ$999,BY_TRA!$BJ$2:$BJ$999,Transport!$B41,BY_TRA!$BK$2:$BK$999,Transport!$C41)/SUMIFS(BY_TRA!AZ$2:AZ$999,BY_TRA!$BJ$2:$BJ$999,Transport!$B41),0)</f>
        <v>0</v>
      </c>
      <c r="AS41" s="1">
        <f>IFERROR(SUMIFS(BY_TRA!BA$2:BA$999,BY_TRA!$BJ$2:$BJ$999,Transport!$B41,BY_TRA!$BK$2:$BK$999,Transport!$C41)/SUMIFS(BY_TRA!BA$2:BA$999,BY_TRA!$BJ$2:$BJ$999,Transport!$B41),0)</f>
        <v>0</v>
      </c>
      <c r="AT41" s="1">
        <f>IFERROR(SUMIFS(BY_TRA!BB$2:BB$999,BY_TRA!$BJ$2:$BJ$999,Transport!$B41,BY_TRA!$BK$2:$BK$999,Transport!$C41)/SUMIFS(BY_TRA!BB$2:BB$999,BY_TRA!$BJ$2:$BJ$999,Transport!$B41),0)</f>
        <v>0</v>
      </c>
      <c r="AU41" s="1">
        <f>IFERROR(SUMIFS(BY_TRA!BC$2:BC$999,BY_TRA!$BJ$2:$BJ$999,Transport!$B41,BY_TRA!$BK$2:$BK$999,Transport!$C41)/SUMIFS(BY_TRA!BC$2:BC$999,BY_TRA!$BJ$2:$BJ$999,Transport!$B41),0)</f>
        <v>0</v>
      </c>
      <c r="AV41" s="1">
        <f>IFERROR(SUMIFS(BY_TRA!BD$2:BD$999,BY_TRA!$BJ$2:$BJ$999,Transport!$B41,BY_TRA!$BK$2:$BK$999,Transport!$C41)/SUMIFS(BY_TRA!BD$2:BD$999,BY_TRA!$BJ$2:$BJ$999,Transport!$B41),0)</f>
        <v>0</v>
      </c>
      <c r="AW41" s="1">
        <f>IFERROR(SUMIFS(BY_TRA!BE$2:BE$999,BY_TRA!$BJ$2:$BJ$999,Transport!$B41,BY_TRA!$BK$2:$BK$999,Transport!$C41)/SUMIFS(BY_TRA!BE$2:BE$999,BY_TRA!$BJ$2:$BJ$999,Transport!$B41),0)</f>
        <v>0</v>
      </c>
      <c r="AX41" s="1">
        <f>IFERROR(SUMIFS(BY_TRA!BF$2:BF$999,BY_TRA!$BJ$2:$BJ$999,Transport!$B41,BY_TRA!$BK$2:$BK$999,Transport!$C41)/SUMIFS(BY_TRA!BF$2:BF$999,BY_TRA!$BJ$2:$BJ$999,Transport!$B41),0)</f>
        <v>0</v>
      </c>
      <c r="AY41" s="1">
        <f>IFERROR(SUMIFS(BY_TRA!BG$2:BG$999,BY_TRA!$BJ$2:$BJ$999,Transport!$B41,BY_TRA!$BK$2:$BK$999,Transport!$C41)/SUMIFS(BY_TRA!BG$2:BG$999,BY_TRA!$BJ$2:$BJ$999,Transport!$B41),0)</f>
        <v>0</v>
      </c>
    </row>
    <row r="42" spans="2:51">
      <c r="B42" t="s">
        <v>128</v>
      </c>
      <c r="C42" t="s">
        <v>129</v>
      </c>
      <c r="D42" s="1">
        <f>IFERROR(SUMIFS(BY_TRA!L$2:L$999,BY_TRA!$BJ$2:$BJ$999,Transport!$B42,BY_TRA!$BK$2:$BK$999,Transport!$C42)/SUMIFS(BY_TRA!L$2:L$999,BY_TRA!$BJ$2:$BJ$999,Transport!$B42),0)</f>
        <v>0</v>
      </c>
      <c r="E42" s="1">
        <f>IFERROR(SUMIFS(BY_TRA!M$2:M$999,BY_TRA!$BJ$2:$BJ$999,Transport!$B42,BY_TRA!$BK$2:$BK$999,Transport!$C42)/SUMIFS(BY_TRA!M$2:M$999,BY_TRA!$BJ$2:$BJ$999,Transport!$B42),0)</f>
        <v>0</v>
      </c>
      <c r="F42" s="1">
        <f>IFERROR(SUMIFS(BY_TRA!N$2:N$999,BY_TRA!$BJ$2:$BJ$999,Transport!$B42,BY_TRA!$BK$2:$BK$999,Transport!$C42)/SUMIFS(BY_TRA!N$2:N$999,BY_TRA!$BJ$2:$BJ$999,Transport!$B42),0)</f>
        <v>0</v>
      </c>
      <c r="G42" s="1">
        <f>IFERROR(SUMIFS(BY_TRA!O$2:O$999,BY_TRA!$BJ$2:$BJ$999,Transport!$B42,BY_TRA!$BK$2:$BK$999,Transport!$C42)/SUMIFS(BY_TRA!O$2:O$999,BY_TRA!$BJ$2:$BJ$999,Transport!$B42),0)</f>
        <v>0</v>
      </c>
      <c r="H42" s="1">
        <f>IFERROR(SUMIFS(BY_TRA!P$2:P$999,BY_TRA!$BJ$2:$BJ$999,Transport!$B42,BY_TRA!$BK$2:$BK$999,Transport!$C42)/SUMIFS(BY_TRA!P$2:P$999,BY_TRA!$BJ$2:$BJ$999,Transport!$B42),0)</f>
        <v>0</v>
      </c>
      <c r="I42" s="1">
        <f>IFERROR(SUMIFS(BY_TRA!Q$2:Q$999,BY_TRA!$BJ$2:$BJ$999,Transport!$B42,BY_TRA!$BK$2:$BK$999,Transport!$C42)/SUMIFS(BY_TRA!Q$2:Q$999,BY_TRA!$BJ$2:$BJ$999,Transport!$B42),0)</f>
        <v>0</v>
      </c>
      <c r="J42" s="1">
        <f>IFERROR(SUMIFS(BY_TRA!R$2:R$999,BY_TRA!$BJ$2:$BJ$999,Transport!$B42,BY_TRA!$BK$2:$BK$999,Transport!$C42)/SUMIFS(BY_TRA!R$2:R$999,BY_TRA!$BJ$2:$BJ$999,Transport!$B42),0)</f>
        <v>0</v>
      </c>
      <c r="K42" s="1">
        <f>IFERROR(SUMIFS(BY_TRA!S$2:S$999,BY_TRA!$BJ$2:$BJ$999,Transport!$B42,BY_TRA!$BK$2:$BK$999,Transport!$C42)/SUMIFS(BY_TRA!S$2:S$999,BY_TRA!$BJ$2:$BJ$999,Transport!$B42),0)</f>
        <v>0</v>
      </c>
      <c r="L42" s="1">
        <f>IFERROR(SUMIFS(BY_TRA!T$2:T$999,BY_TRA!$BJ$2:$BJ$999,Transport!$B42,BY_TRA!$BK$2:$BK$999,Transport!$C42)/SUMIFS(BY_TRA!T$2:T$999,BY_TRA!$BJ$2:$BJ$999,Transport!$B42),0)</f>
        <v>0</v>
      </c>
      <c r="M42" s="1">
        <f>IFERROR(SUMIFS(BY_TRA!U$2:U$999,BY_TRA!$BJ$2:$BJ$999,Transport!$B42,BY_TRA!$BK$2:$BK$999,Transport!$C42)/SUMIFS(BY_TRA!U$2:U$999,BY_TRA!$BJ$2:$BJ$999,Transport!$B42),0)</f>
        <v>0</v>
      </c>
      <c r="N42" s="1">
        <f>IFERROR(SUMIFS(BY_TRA!V$2:V$999,BY_TRA!$BJ$2:$BJ$999,Transport!$B42,BY_TRA!$BK$2:$BK$999,Transport!$C42)/SUMIFS(BY_TRA!V$2:V$999,BY_TRA!$BJ$2:$BJ$999,Transport!$B42),0)</f>
        <v>0</v>
      </c>
      <c r="O42" s="1">
        <f>IFERROR(SUMIFS(BY_TRA!W$2:W$999,BY_TRA!$BJ$2:$BJ$999,Transport!$B42,BY_TRA!$BK$2:$BK$999,Transport!$C42)/SUMIFS(BY_TRA!W$2:W$999,BY_TRA!$BJ$2:$BJ$999,Transport!$B42),0)</f>
        <v>0</v>
      </c>
      <c r="P42" s="1">
        <f>IFERROR(SUMIFS(BY_TRA!X$2:X$999,BY_TRA!$BJ$2:$BJ$999,Transport!$B42,BY_TRA!$BK$2:$BK$999,Transport!$C42)/SUMIFS(BY_TRA!X$2:X$999,BY_TRA!$BJ$2:$BJ$999,Transport!$B42),0)</f>
        <v>0</v>
      </c>
      <c r="Q42" s="1">
        <f>IFERROR(SUMIFS(BY_TRA!Y$2:Y$999,BY_TRA!$BJ$2:$BJ$999,Transport!$B42,BY_TRA!$BK$2:$BK$999,Transport!$C42)/SUMIFS(BY_TRA!Y$2:Y$999,BY_TRA!$BJ$2:$BJ$999,Transport!$B42),0)</f>
        <v>0</v>
      </c>
      <c r="R42" s="1">
        <f>IFERROR(SUMIFS(BY_TRA!Z$2:Z$999,BY_TRA!$BJ$2:$BJ$999,Transport!$B42,BY_TRA!$BK$2:$BK$999,Transport!$C42)/SUMIFS(BY_TRA!Z$2:Z$999,BY_TRA!$BJ$2:$BJ$999,Transport!$B42),0)</f>
        <v>0</v>
      </c>
      <c r="S42" s="1">
        <f>IFERROR(SUMIFS(BY_TRA!AA$2:AA$999,BY_TRA!$BJ$2:$BJ$999,Transport!$B42,BY_TRA!$BK$2:$BK$999,Transport!$C42)/SUMIFS(BY_TRA!AA$2:AA$999,BY_TRA!$BJ$2:$BJ$999,Transport!$B42),0)</f>
        <v>0</v>
      </c>
      <c r="T42" s="1">
        <f>IFERROR(SUMIFS(BY_TRA!AB$2:AB$999,BY_TRA!$BJ$2:$BJ$999,Transport!$B42,BY_TRA!$BK$2:$BK$999,Transport!$C42)/SUMIFS(BY_TRA!AB$2:AB$999,BY_TRA!$BJ$2:$BJ$999,Transport!$B42),0)</f>
        <v>0</v>
      </c>
      <c r="U42" s="1">
        <f>IFERROR(SUMIFS(BY_TRA!AC$2:AC$999,BY_TRA!$BJ$2:$BJ$999,Transport!$B42,BY_TRA!$BK$2:$BK$999,Transport!$C42)/SUMIFS(BY_TRA!AC$2:AC$999,BY_TRA!$BJ$2:$BJ$999,Transport!$B42),0)</f>
        <v>0</v>
      </c>
      <c r="V42" s="1">
        <f>IFERROR(SUMIFS(BY_TRA!AD$2:AD$999,BY_TRA!$BJ$2:$BJ$999,Transport!$B42,BY_TRA!$BK$2:$BK$999,Transport!$C42)/SUMIFS(BY_TRA!AD$2:AD$999,BY_TRA!$BJ$2:$BJ$999,Transport!$B42),0)</f>
        <v>0</v>
      </c>
      <c r="W42" s="1">
        <f>IFERROR(SUMIFS(BY_TRA!AE$2:AE$999,BY_TRA!$BJ$2:$BJ$999,Transport!$B42,BY_TRA!$BK$2:$BK$999,Transport!$C42)/SUMIFS(BY_TRA!AE$2:AE$999,BY_TRA!$BJ$2:$BJ$999,Transport!$B42),0)</f>
        <v>0</v>
      </c>
      <c r="X42" s="1">
        <f>IFERROR(SUMIFS(BY_TRA!AF$2:AF$999,BY_TRA!$BJ$2:$BJ$999,Transport!$B42,BY_TRA!$BK$2:$BK$999,Transport!$C42)/SUMIFS(BY_TRA!AF$2:AF$999,BY_TRA!$BJ$2:$BJ$999,Transport!$B42),0)</f>
        <v>0</v>
      </c>
      <c r="Y42" s="1">
        <f>IFERROR(SUMIFS(BY_TRA!AG$2:AG$999,BY_TRA!$BJ$2:$BJ$999,Transport!$B42,BY_TRA!$BK$2:$BK$999,Transport!$C42)/SUMIFS(BY_TRA!AG$2:AG$999,BY_TRA!$BJ$2:$BJ$999,Transport!$B42),0)</f>
        <v>0</v>
      </c>
      <c r="Z42" s="1">
        <f>IFERROR(SUMIFS(BY_TRA!AH$2:AH$999,BY_TRA!$BJ$2:$BJ$999,Transport!$B42,BY_TRA!$BK$2:$BK$999,Transport!$C42)/SUMIFS(BY_TRA!AH$2:AH$999,BY_TRA!$BJ$2:$BJ$999,Transport!$B42),0)</f>
        <v>0</v>
      </c>
      <c r="AA42" s="1">
        <f>IFERROR(SUMIFS(BY_TRA!AI$2:AI$999,BY_TRA!$BJ$2:$BJ$999,Transport!$B42,BY_TRA!$BK$2:$BK$999,Transport!$C42)/SUMIFS(BY_TRA!AI$2:AI$999,BY_TRA!$BJ$2:$BJ$999,Transport!$B42),0)</f>
        <v>0</v>
      </c>
      <c r="AB42" s="1">
        <f>IFERROR(SUMIFS(BY_TRA!AJ$2:AJ$999,BY_TRA!$BJ$2:$BJ$999,Transport!$B42,BY_TRA!$BK$2:$BK$999,Transport!$C42)/SUMIFS(BY_TRA!AJ$2:AJ$999,BY_TRA!$BJ$2:$BJ$999,Transport!$B42),0)</f>
        <v>0</v>
      </c>
      <c r="AC42" s="1">
        <f>IFERROR(SUMIFS(BY_TRA!AK$2:AK$999,BY_TRA!$BJ$2:$BJ$999,Transport!$B42,BY_TRA!$BK$2:$BK$999,Transport!$C42)/SUMIFS(BY_TRA!AK$2:AK$999,BY_TRA!$BJ$2:$BJ$999,Transport!$B42),0)</f>
        <v>0</v>
      </c>
      <c r="AD42" s="1">
        <f>IFERROR(SUMIFS(BY_TRA!AL$2:AL$999,BY_TRA!$BJ$2:$BJ$999,Transport!$B42,BY_TRA!$BK$2:$BK$999,Transport!$C42)/SUMIFS(BY_TRA!AL$2:AL$999,BY_TRA!$BJ$2:$BJ$999,Transport!$B42),0)</f>
        <v>0</v>
      </c>
      <c r="AE42" s="1">
        <f>IFERROR(SUMIFS(BY_TRA!AM$2:AM$999,BY_TRA!$BJ$2:$BJ$999,Transport!$B42,BY_TRA!$BK$2:$BK$999,Transport!$C42)/SUMIFS(BY_TRA!AM$2:AM$999,BY_TRA!$BJ$2:$BJ$999,Transport!$B42),0)</f>
        <v>0</v>
      </c>
      <c r="AF42" s="1">
        <f>IFERROR(SUMIFS(BY_TRA!AN$2:AN$999,BY_TRA!$BJ$2:$BJ$999,Transport!$B42,BY_TRA!$BK$2:$BK$999,Transport!$C42)/SUMIFS(BY_TRA!AN$2:AN$999,BY_TRA!$BJ$2:$BJ$999,Transport!$B42),0)</f>
        <v>0</v>
      </c>
      <c r="AG42" s="1">
        <f>IFERROR(SUMIFS(BY_TRA!AO$2:AO$999,BY_TRA!$BJ$2:$BJ$999,Transport!$B42,BY_TRA!$BK$2:$BK$999,Transport!$C42)/SUMIFS(BY_TRA!AO$2:AO$999,BY_TRA!$BJ$2:$BJ$999,Transport!$B42),0)</f>
        <v>0</v>
      </c>
      <c r="AH42" s="1">
        <f>IFERROR(SUMIFS(BY_TRA!AP$2:AP$999,BY_TRA!$BJ$2:$BJ$999,Transport!$B42,BY_TRA!$BK$2:$BK$999,Transport!$C42)/SUMIFS(BY_TRA!AP$2:AP$999,BY_TRA!$BJ$2:$BJ$999,Transport!$B42),0)</f>
        <v>0</v>
      </c>
      <c r="AI42" s="1">
        <f>IFERROR(SUMIFS(BY_TRA!AQ$2:AQ$999,BY_TRA!$BJ$2:$BJ$999,Transport!$B42,BY_TRA!$BK$2:$BK$999,Transport!$C42)/SUMIFS(BY_TRA!AQ$2:AQ$999,BY_TRA!$BJ$2:$BJ$999,Transport!$B42),0)</f>
        <v>0</v>
      </c>
      <c r="AJ42" s="1">
        <f>IFERROR(SUMIFS(BY_TRA!AR$2:AR$999,BY_TRA!$BJ$2:$BJ$999,Transport!$B42,BY_TRA!$BK$2:$BK$999,Transport!$C42)/SUMIFS(BY_TRA!AR$2:AR$999,BY_TRA!$BJ$2:$BJ$999,Transport!$B42),0)</f>
        <v>0</v>
      </c>
      <c r="AK42" s="1">
        <f>IFERROR(SUMIFS(BY_TRA!AS$2:AS$999,BY_TRA!$BJ$2:$BJ$999,Transport!$B42,BY_TRA!$BK$2:$BK$999,Transport!$C42)/SUMIFS(BY_TRA!AS$2:AS$999,BY_TRA!$BJ$2:$BJ$999,Transport!$B42),0)</f>
        <v>0</v>
      </c>
      <c r="AL42" s="1">
        <f>IFERROR(SUMIFS(BY_TRA!AT$2:AT$999,BY_TRA!$BJ$2:$BJ$999,Transport!$B42,BY_TRA!$BK$2:$BK$999,Transport!$C42)/SUMIFS(BY_TRA!AT$2:AT$999,BY_TRA!$BJ$2:$BJ$999,Transport!$B42),0)</f>
        <v>0</v>
      </c>
      <c r="AM42" s="1">
        <f>IFERROR(SUMIFS(BY_TRA!AU$2:AU$999,BY_TRA!$BJ$2:$BJ$999,Transport!$B42,BY_TRA!$BK$2:$BK$999,Transport!$C42)/SUMIFS(BY_TRA!AU$2:AU$999,BY_TRA!$BJ$2:$BJ$999,Transport!$B42),0)</f>
        <v>0</v>
      </c>
      <c r="AN42" s="1">
        <f>IFERROR(SUMIFS(BY_TRA!AV$2:AV$999,BY_TRA!$BJ$2:$BJ$999,Transport!$B42,BY_TRA!$BK$2:$BK$999,Transport!$C42)/SUMIFS(BY_TRA!AV$2:AV$999,BY_TRA!$BJ$2:$BJ$999,Transport!$B42),0)</f>
        <v>0</v>
      </c>
      <c r="AO42" s="1">
        <f>IFERROR(SUMIFS(BY_TRA!AW$2:AW$999,BY_TRA!$BJ$2:$BJ$999,Transport!$B42,BY_TRA!$BK$2:$BK$999,Transport!$C42)/SUMIFS(BY_TRA!AW$2:AW$999,BY_TRA!$BJ$2:$BJ$999,Transport!$B42),0)</f>
        <v>0</v>
      </c>
      <c r="AP42" s="1">
        <f>IFERROR(SUMIFS(BY_TRA!AX$2:AX$999,BY_TRA!$BJ$2:$BJ$999,Transport!$B42,BY_TRA!$BK$2:$BK$999,Transport!$C42)/SUMIFS(BY_TRA!AX$2:AX$999,BY_TRA!$BJ$2:$BJ$999,Transport!$B42),0)</f>
        <v>0</v>
      </c>
      <c r="AQ42" s="1">
        <f>IFERROR(SUMIFS(BY_TRA!AY$2:AY$999,BY_TRA!$BJ$2:$BJ$999,Transport!$B42,BY_TRA!$BK$2:$BK$999,Transport!$C42)/SUMIFS(BY_TRA!AY$2:AY$999,BY_TRA!$BJ$2:$BJ$999,Transport!$B42),0)</f>
        <v>0</v>
      </c>
      <c r="AR42" s="1">
        <f>IFERROR(SUMIFS(BY_TRA!AZ$2:AZ$999,BY_TRA!$BJ$2:$BJ$999,Transport!$B42,BY_TRA!$BK$2:$BK$999,Transport!$C42)/SUMIFS(BY_TRA!AZ$2:AZ$999,BY_TRA!$BJ$2:$BJ$999,Transport!$B42),0)</f>
        <v>0</v>
      </c>
      <c r="AS42" s="1">
        <f>IFERROR(SUMIFS(BY_TRA!BA$2:BA$999,BY_TRA!$BJ$2:$BJ$999,Transport!$B42,BY_TRA!$BK$2:$BK$999,Transport!$C42)/SUMIFS(BY_TRA!BA$2:BA$999,BY_TRA!$BJ$2:$BJ$999,Transport!$B42),0)</f>
        <v>0</v>
      </c>
      <c r="AT42" s="1">
        <f>IFERROR(SUMIFS(BY_TRA!BB$2:BB$999,BY_TRA!$BJ$2:$BJ$999,Transport!$B42,BY_TRA!$BK$2:$BK$999,Transport!$C42)/SUMIFS(BY_TRA!BB$2:BB$999,BY_TRA!$BJ$2:$BJ$999,Transport!$B42),0)</f>
        <v>0</v>
      </c>
      <c r="AU42" s="1">
        <f>IFERROR(SUMIFS(BY_TRA!BC$2:BC$999,BY_TRA!$BJ$2:$BJ$999,Transport!$B42,BY_TRA!$BK$2:$BK$999,Transport!$C42)/SUMIFS(BY_TRA!BC$2:BC$999,BY_TRA!$BJ$2:$BJ$999,Transport!$B42),0)</f>
        <v>0</v>
      </c>
      <c r="AV42" s="1">
        <f>IFERROR(SUMIFS(BY_TRA!BD$2:BD$999,BY_TRA!$BJ$2:$BJ$999,Transport!$B42,BY_TRA!$BK$2:$BK$999,Transport!$C42)/SUMIFS(BY_TRA!BD$2:BD$999,BY_TRA!$BJ$2:$BJ$999,Transport!$B42),0)</f>
        <v>0</v>
      </c>
      <c r="AW42" s="1">
        <f>IFERROR(SUMIFS(BY_TRA!BE$2:BE$999,BY_TRA!$BJ$2:$BJ$999,Transport!$B42,BY_TRA!$BK$2:$BK$999,Transport!$C42)/SUMIFS(BY_TRA!BE$2:BE$999,BY_TRA!$BJ$2:$BJ$999,Transport!$B42),0)</f>
        <v>0</v>
      </c>
      <c r="AX42" s="1">
        <f>IFERROR(SUMIFS(BY_TRA!BF$2:BF$999,BY_TRA!$BJ$2:$BJ$999,Transport!$B42,BY_TRA!$BK$2:$BK$999,Transport!$C42)/SUMIFS(BY_TRA!BF$2:BF$999,BY_TRA!$BJ$2:$BJ$999,Transport!$B42),0)</f>
        <v>0</v>
      </c>
      <c r="AY42" s="1">
        <f>IFERROR(SUMIFS(BY_TRA!BG$2:BG$999,BY_TRA!$BJ$2:$BJ$999,Transport!$B42,BY_TRA!$BK$2:$BK$999,Transport!$C42)/SUMIFS(BY_TRA!BG$2:BG$999,BY_TRA!$BJ$2:$BJ$999,Transport!$B42),0)</f>
        <v>0</v>
      </c>
    </row>
    <row r="43" spans="2:51">
      <c r="B43" t="s">
        <v>128</v>
      </c>
      <c r="C43" t="s">
        <v>123</v>
      </c>
      <c r="D43" s="1">
        <f>IFERROR(SUMIFS(BY_TRA!L$2:L$999,BY_TRA!$BJ$2:$BJ$999,Transport!$B43,BY_TRA!$BK$2:$BK$999,Transport!$C43)/SUMIFS(BY_TRA!L$2:L$999,BY_TRA!$BJ$2:$BJ$999,Transport!$B43),0)</f>
        <v>0</v>
      </c>
      <c r="E43" s="1">
        <f>IFERROR(SUMIFS(BY_TRA!M$2:M$999,BY_TRA!$BJ$2:$BJ$999,Transport!$B43,BY_TRA!$BK$2:$BK$999,Transport!$C43)/SUMIFS(BY_TRA!M$2:M$999,BY_TRA!$BJ$2:$BJ$999,Transport!$B43),0)</f>
        <v>0</v>
      </c>
      <c r="F43" s="1">
        <f>IFERROR(SUMIFS(BY_TRA!N$2:N$999,BY_TRA!$BJ$2:$BJ$999,Transport!$B43,BY_TRA!$BK$2:$BK$999,Transport!$C43)/SUMIFS(BY_TRA!N$2:N$999,BY_TRA!$BJ$2:$BJ$999,Transport!$B43),0)</f>
        <v>0</v>
      </c>
      <c r="G43" s="1">
        <f>IFERROR(SUMIFS(BY_TRA!O$2:O$999,BY_TRA!$BJ$2:$BJ$999,Transport!$B43,BY_TRA!$BK$2:$BK$999,Transport!$C43)/SUMIFS(BY_TRA!O$2:O$999,BY_TRA!$BJ$2:$BJ$999,Transport!$B43),0)</f>
        <v>0</v>
      </c>
      <c r="H43" s="1">
        <f>IFERROR(SUMIFS(BY_TRA!P$2:P$999,BY_TRA!$BJ$2:$BJ$999,Transport!$B43,BY_TRA!$BK$2:$BK$999,Transport!$C43)/SUMIFS(BY_TRA!P$2:P$999,BY_TRA!$BJ$2:$BJ$999,Transport!$B43),0)</f>
        <v>0</v>
      </c>
      <c r="I43" s="1">
        <f>IFERROR(SUMIFS(BY_TRA!Q$2:Q$999,BY_TRA!$BJ$2:$BJ$999,Transport!$B43,BY_TRA!$BK$2:$BK$999,Transport!$C43)/SUMIFS(BY_TRA!Q$2:Q$999,BY_TRA!$BJ$2:$BJ$999,Transport!$B43),0)</f>
        <v>0</v>
      </c>
      <c r="J43" s="1">
        <f>IFERROR(SUMIFS(BY_TRA!R$2:R$999,BY_TRA!$BJ$2:$BJ$999,Transport!$B43,BY_TRA!$BK$2:$BK$999,Transport!$C43)/SUMIFS(BY_TRA!R$2:R$999,BY_TRA!$BJ$2:$BJ$999,Transport!$B43),0)</f>
        <v>0</v>
      </c>
      <c r="K43" s="1">
        <f>IFERROR(SUMIFS(BY_TRA!S$2:S$999,BY_TRA!$BJ$2:$BJ$999,Transport!$B43,BY_TRA!$BK$2:$BK$999,Transport!$C43)/SUMIFS(BY_TRA!S$2:S$999,BY_TRA!$BJ$2:$BJ$999,Transport!$B43),0)</f>
        <v>0</v>
      </c>
      <c r="L43" s="1">
        <f>IFERROR(SUMIFS(BY_TRA!T$2:T$999,BY_TRA!$BJ$2:$BJ$999,Transport!$B43,BY_TRA!$BK$2:$BK$999,Transport!$C43)/SUMIFS(BY_TRA!T$2:T$999,BY_TRA!$BJ$2:$BJ$999,Transport!$B43),0)</f>
        <v>0</v>
      </c>
      <c r="M43" s="1">
        <f>IFERROR(SUMIFS(BY_TRA!U$2:U$999,BY_TRA!$BJ$2:$BJ$999,Transport!$B43,BY_TRA!$BK$2:$BK$999,Transport!$C43)/SUMIFS(BY_TRA!U$2:U$999,BY_TRA!$BJ$2:$BJ$999,Transport!$B43),0)</f>
        <v>0</v>
      </c>
      <c r="N43" s="1">
        <f>IFERROR(SUMIFS(BY_TRA!V$2:V$999,BY_TRA!$BJ$2:$BJ$999,Transport!$B43,BY_TRA!$BK$2:$BK$999,Transport!$C43)/SUMIFS(BY_TRA!V$2:V$999,BY_TRA!$BJ$2:$BJ$999,Transport!$B43),0)</f>
        <v>0</v>
      </c>
      <c r="O43" s="1">
        <f>IFERROR(SUMIFS(BY_TRA!W$2:W$999,BY_TRA!$BJ$2:$BJ$999,Transport!$B43,BY_TRA!$BK$2:$BK$999,Transport!$C43)/SUMIFS(BY_TRA!W$2:W$999,BY_TRA!$BJ$2:$BJ$999,Transport!$B43),0)</f>
        <v>0</v>
      </c>
      <c r="P43" s="1">
        <f>IFERROR(SUMIFS(BY_TRA!X$2:X$999,BY_TRA!$BJ$2:$BJ$999,Transport!$B43,BY_TRA!$BK$2:$BK$999,Transport!$C43)/SUMIFS(BY_TRA!X$2:X$999,BY_TRA!$BJ$2:$BJ$999,Transport!$B43),0)</f>
        <v>0</v>
      </c>
      <c r="Q43" s="1">
        <f>IFERROR(SUMIFS(BY_TRA!Y$2:Y$999,BY_TRA!$BJ$2:$BJ$999,Transport!$B43,BY_TRA!$BK$2:$BK$999,Transport!$C43)/SUMIFS(BY_TRA!Y$2:Y$999,BY_TRA!$BJ$2:$BJ$999,Transport!$B43),0)</f>
        <v>0</v>
      </c>
      <c r="R43" s="1">
        <f>IFERROR(SUMIFS(BY_TRA!Z$2:Z$999,BY_TRA!$BJ$2:$BJ$999,Transport!$B43,BY_TRA!$BK$2:$BK$999,Transport!$C43)/SUMIFS(BY_TRA!Z$2:Z$999,BY_TRA!$BJ$2:$BJ$999,Transport!$B43),0)</f>
        <v>0</v>
      </c>
      <c r="S43" s="1">
        <f>IFERROR(SUMIFS(BY_TRA!AA$2:AA$999,BY_TRA!$BJ$2:$BJ$999,Transport!$B43,BY_TRA!$BK$2:$BK$999,Transport!$C43)/SUMIFS(BY_TRA!AA$2:AA$999,BY_TRA!$BJ$2:$BJ$999,Transport!$B43),0)</f>
        <v>0</v>
      </c>
      <c r="T43" s="1">
        <f>IFERROR(SUMIFS(BY_TRA!AB$2:AB$999,BY_TRA!$BJ$2:$BJ$999,Transport!$B43,BY_TRA!$BK$2:$BK$999,Transport!$C43)/SUMIFS(BY_TRA!AB$2:AB$999,BY_TRA!$BJ$2:$BJ$999,Transport!$B43),0)</f>
        <v>0</v>
      </c>
      <c r="U43" s="1">
        <f>IFERROR(SUMIFS(BY_TRA!AC$2:AC$999,BY_TRA!$BJ$2:$BJ$999,Transport!$B43,BY_TRA!$BK$2:$BK$999,Transport!$C43)/SUMIFS(BY_TRA!AC$2:AC$999,BY_TRA!$BJ$2:$BJ$999,Transport!$B43),0)</f>
        <v>0</v>
      </c>
      <c r="V43" s="1">
        <f>IFERROR(SUMIFS(BY_TRA!AD$2:AD$999,BY_TRA!$BJ$2:$BJ$999,Transport!$B43,BY_TRA!$BK$2:$BK$999,Transport!$C43)/SUMIFS(BY_TRA!AD$2:AD$999,BY_TRA!$BJ$2:$BJ$999,Transport!$B43),0)</f>
        <v>0</v>
      </c>
      <c r="W43" s="1">
        <f>IFERROR(SUMIFS(BY_TRA!AE$2:AE$999,BY_TRA!$BJ$2:$BJ$999,Transport!$B43,BY_TRA!$BK$2:$BK$999,Transport!$C43)/SUMIFS(BY_TRA!AE$2:AE$999,BY_TRA!$BJ$2:$BJ$999,Transport!$B43),0)</f>
        <v>0</v>
      </c>
      <c r="X43" s="1">
        <f>IFERROR(SUMIFS(BY_TRA!AF$2:AF$999,BY_TRA!$BJ$2:$BJ$999,Transport!$B43,BY_TRA!$BK$2:$BK$999,Transport!$C43)/SUMIFS(BY_TRA!AF$2:AF$999,BY_TRA!$BJ$2:$BJ$999,Transport!$B43),0)</f>
        <v>0</v>
      </c>
      <c r="Y43" s="1">
        <f>IFERROR(SUMIFS(BY_TRA!AG$2:AG$999,BY_TRA!$BJ$2:$BJ$999,Transport!$B43,BY_TRA!$BK$2:$BK$999,Transport!$C43)/SUMIFS(BY_TRA!AG$2:AG$999,BY_TRA!$BJ$2:$BJ$999,Transport!$B43),0)</f>
        <v>0</v>
      </c>
      <c r="Z43" s="1">
        <f>IFERROR(SUMIFS(BY_TRA!AH$2:AH$999,BY_TRA!$BJ$2:$BJ$999,Transport!$B43,BY_TRA!$BK$2:$BK$999,Transport!$C43)/SUMIFS(BY_TRA!AH$2:AH$999,BY_TRA!$BJ$2:$BJ$999,Transport!$B43),0)</f>
        <v>0</v>
      </c>
      <c r="AA43" s="1">
        <f>IFERROR(SUMIFS(BY_TRA!AI$2:AI$999,BY_TRA!$BJ$2:$BJ$999,Transport!$B43,BY_TRA!$BK$2:$BK$999,Transport!$C43)/SUMIFS(BY_TRA!AI$2:AI$999,BY_TRA!$BJ$2:$BJ$999,Transport!$B43),0)</f>
        <v>0</v>
      </c>
      <c r="AB43" s="1">
        <f>IFERROR(SUMIFS(BY_TRA!AJ$2:AJ$999,BY_TRA!$BJ$2:$BJ$999,Transport!$B43,BY_TRA!$BK$2:$BK$999,Transport!$C43)/SUMIFS(BY_TRA!AJ$2:AJ$999,BY_TRA!$BJ$2:$BJ$999,Transport!$B43),0)</f>
        <v>0</v>
      </c>
      <c r="AC43" s="1">
        <f>IFERROR(SUMIFS(BY_TRA!AK$2:AK$999,BY_TRA!$BJ$2:$BJ$999,Transport!$B43,BY_TRA!$BK$2:$BK$999,Transport!$C43)/SUMIFS(BY_TRA!AK$2:AK$999,BY_TRA!$BJ$2:$BJ$999,Transport!$B43),0)</f>
        <v>0</v>
      </c>
      <c r="AD43" s="1">
        <f>IFERROR(SUMIFS(BY_TRA!AL$2:AL$999,BY_TRA!$BJ$2:$BJ$999,Transport!$B43,BY_TRA!$BK$2:$BK$999,Transport!$C43)/SUMIFS(BY_TRA!AL$2:AL$999,BY_TRA!$BJ$2:$BJ$999,Transport!$B43),0)</f>
        <v>0</v>
      </c>
      <c r="AE43" s="1">
        <f>IFERROR(SUMIFS(BY_TRA!AM$2:AM$999,BY_TRA!$BJ$2:$BJ$999,Transport!$B43,BY_TRA!$BK$2:$BK$999,Transport!$C43)/SUMIFS(BY_TRA!AM$2:AM$999,BY_TRA!$BJ$2:$BJ$999,Transport!$B43),0)</f>
        <v>0</v>
      </c>
      <c r="AF43" s="1">
        <f>IFERROR(SUMIFS(BY_TRA!AN$2:AN$999,BY_TRA!$BJ$2:$BJ$999,Transport!$B43,BY_TRA!$BK$2:$BK$999,Transport!$C43)/SUMIFS(BY_TRA!AN$2:AN$999,BY_TRA!$BJ$2:$BJ$999,Transport!$B43),0)</f>
        <v>0</v>
      </c>
      <c r="AG43" s="1">
        <f>IFERROR(SUMIFS(BY_TRA!AO$2:AO$999,BY_TRA!$BJ$2:$BJ$999,Transport!$B43,BY_TRA!$BK$2:$BK$999,Transport!$C43)/SUMIFS(BY_TRA!AO$2:AO$999,BY_TRA!$BJ$2:$BJ$999,Transport!$B43),0)</f>
        <v>0</v>
      </c>
      <c r="AH43" s="1">
        <f>IFERROR(SUMIFS(BY_TRA!AP$2:AP$999,BY_TRA!$BJ$2:$BJ$999,Transport!$B43,BY_TRA!$BK$2:$BK$999,Transport!$C43)/SUMIFS(BY_TRA!AP$2:AP$999,BY_TRA!$BJ$2:$BJ$999,Transport!$B43),0)</f>
        <v>0</v>
      </c>
      <c r="AI43" s="1">
        <f>IFERROR(SUMIFS(BY_TRA!AQ$2:AQ$999,BY_TRA!$BJ$2:$BJ$999,Transport!$B43,BY_TRA!$BK$2:$BK$999,Transport!$C43)/SUMIFS(BY_TRA!AQ$2:AQ$999,BY_TRA!$BJ$2:$BJ$999,Transport!$B43),0)</f>
        <v>0</v>
      </c>
      <c r="AJ43" s="1">
        <f>IFERROR(SUMIFS(BY_TRA!AR$2:AR$999,BY_TRA!$BJ$2:$BJ$999,Transport!$B43,BY_TRA!$BK$2:$BK$999,Transport!$C43)/SUMIFS(BY_TRA!AR$2:AR$999,BY_TRA!$BJ$2:$BJ$999,Transport!$B43),0)</f>
        <v>0</v>
      </c>
      <c r="AK43" s="1">
        <f>IFERROR(SUMIFS(BY_TRA!AS$2:AS$999,BY_TRA!$BJ$2:$BJ$999,Transport!$B43,BY_TRA!$BK$2:$BK$999,Transport!$C43)/SUMIFS(BY_TRA!AS$2:AS$999,BY_TRA!$BJ$2:$BJ$999,Transport!$B43),0)</f>
        <v>0</v>
      </c>
      <c r="AL43" s="1">
        <f>IFERROR(SUMIFS(BY_TRA!AT$2:AT$999,BY_TRA!$BJ$2:$BJ$999,Transport!$B43,BY_TRA!$BK$2:$BK$999,Transport!$C43)/SUMIFS(BY_TRA!AT$2:AT$999,BY_TRA!$BJ$2:$BJ$999,Transport!$B43),0)</f>
        <v>0</v>
      </c>
      <c r="AM43" s="1">
        <f>IFERROR(SUMIFS(BY_TRA!AU$2:AU$999,BY_TRA!$BJ$2:$BJ$999,Transport!$B43,BY_TRA!$BK$2:$BK$999,Transport!$C43)/SUMIFS(BY_TRA!AU$2:AU$999,BY_TRA!$BJ$2:$BJ$999,Transport!$B43),0)</f>
        <v>0</v>
      </c>
      <c r="AN43" s="1">
        <f>IFERROR(SUMIFS(BY_TRA!AV$2:AV$999,BY_TRA!$BJ$2:$BJ$999,Transport!$B43,BY_TRA!$BK$2:$BK$999,Transport!$C43)/SUMIFS(BY_TRA!AV$2:AV$999,BY_TRA!$BJ$2:$BJ$999,Transport!$B43),0)</f>
        <v>0</v>
      </c>
      <c r="AO43" s="1">
        <f>IFERROR(SUMIFS(BY_TRA!AW$2:AW$999,BY_TRA!$BJ$2:$BJ$999,Transport!$B43,BY_TRA!$BK$2:$BK$999,Transport!$C43)/SUMIFS(BY_TRA!AW$2:AW$999,BY_TRA!$BJ$2:$BJ$999,Transport!$B43),0)</f>
        <v>0</v>
      </c>
      <c r="AP43" s="1">
        <f>IFERROR(SUMIFS(BY_TRA!AX$2:AX$999,BY_TRA!$BJ$2:$BJ$999,Transport!$B43,BY_TRA!$BK$2:$BK$999,Transport!$C43)/SUMIFS(BY_TRA!AX$2:AX$999,BY_TRA!$BJ$2:$BJ$999,Transport!$B43),0)</f>
        <v>0</v>
      </c>
      <c r="AQ43" s="1">
        <f>IFERROR(SUMIFS(BY_TRA!AY$2:AY$999,BY_TRA!$BJ$2:$BJ$999,Transport!$B43,BY_TRA!$BK$2:$BK$999,Transport!$C43)/SUMIFS(BY_TRA!AY$2:AY$999,BY_TRA!$BJ$2:$BJ$999,Transport!$B43),0)</f>
        <v>0</v>
      </c>
      <c r="AR43" s="1">
        <f>IFERROR(SUMIFS(BY_TRA!AZ$2:AZ$999,BY_TRA!$BJ$2:$BJ$999,Transport!$B43,BY_TRA!$BK$2:$BK$999,Transport!$C43)/SUMIFS(BY_TRA!AZ$2:AZ$999,BY_TRA!$BJ$2:$BJ$999,Transport!$B43),0)</f>
        <v>0</v>
      </c>
      <c r="AS43" s="1">
        <f>IFERROR(SUMIFS(BY_TRA!BA$2:BA$999,BY_TRA!$BJ$2:$BJ$999,Transport!$B43,BY_TRA!$BK$2:$BK$999,Transport!$C43)/SUMIFS(BY_TRA!BA$2:BA$999,BY_TRA!$BJ$2:$BJ$999,Transport!$B43),0)</f>
        <v>0</v>
      </c>
      <c r="AT43" s="1">
        <f>IFERROR(SUMIFS(BY_TRA!BB$2:BB$999,BY_TRA!$BJ$2:$BJ$999,Transport!$B43,BY_TRA!$BK$2:$BK$999,Transport!$C43)/SUMIFS(BY_TRA!BB$2:BB$999,BY_TRA!$BJ$2:$BJ$999,Transport!$B43),0)</f>
        <v>0</v>
      </c>
      <c r="AU43" s="1">
        <f>IFERROR(SUMIFS(BY_TRA!BC$2:BC$999,BY_TRA!$BJ$2:$BJ$999,Transport!$B43,BY_TRA!$BK$2:$BK$999,Transport!$C43)/SUMIFS(BY_TRA!BC$2:BC$999,BY_TRA!$BJ$2:$BJ$999,Transport!$B43),0)</f>
        <v>0</v>
      </c>
      <c r="AV43" s="1">
        <f>IFERROR(SUMIFS(BY_TRA!BD$2:BD$999,BY_TRA!$BJ$2:$BJ$999,Transport!$B43,BY_TRA!$BK$2:$BK$999,Transport!$C43)/SUMIFS(BY_TRA!BD$2:BD$999,BY_TRA!$BJ$2:$BJ$999,Transport!$B43),0)</f>
        <v>0</v>
      </c>
      <c r="AW43" s="1">
        <f>IFERROR(SUMIFS(BY_TRA!BE$2:BE$999,BY_TRA!$BJ$2:$BJ$999,Transport!$B43,BY_TRA!$BK$2:$BK$999,Transport!$C43)/SUMIFS(BY_TRA!BE$2:BE$999,BY_TRA!$BJ$2:$BJ$999,Transport!$B43),0)</f>
        <v>0</v>
      </c>
      <c r="AX43" s="1">
        <f>IFERROR(SUMIFS(BY_TRA!BF$2:BF$999,BY_TRA!$BJ$2:$BJ$999,Transport!$B43,BY_TRA!$BK$2:$BK$999,Transport!$C43)/SUMIFS(BY_TRA!BF$2:BF$999,BY_TRA!$BJ$2:$BJ$999,Transport!$B43),0)</f>
        <v>0</v>
      </c>
      <c r="AY43" s="1">
        <f>IFERROR(SUMIFS(BY_TRA!BG$2:BG$999,BY_TRA!$BJ$2:$BJ$999,Transport!$B43,BY_TRA!$BK$2:$BK$999,Transport!$C43)/SUMIFS(BY_TRA!BG$2:BG$999,BY_TRA!$BJ$2:$BJ$999,Transport!$B43),0)</f>
        <v>0</v>
      </c>
    </row>
    <row r="44" spans="2:51">
      <c r="B44" t="s">
        <v>128</v>
      </c>
      <c r="C44" t="s">
        <v>124</v>
      </c>
      <c r="D44" s="1">
        <f>IFERROR(SUMIFS(BY_TRA!L$2:L$999,BY_TRA!$BJ$2:$BJ$999,Transport!$B44,BY_TRA!$BK$2:$BK$999,Transport!$C44)/SUMIFS(BY_TRA!L$2:L$999,BY_TRA!$BJ$2:$BJ$999,Transport!$B44),0)</f>
        <v>0</v>
      </c>
      <c r="E44" s="1">
        <f>IFERROR(SUMIFS(BY_TRA!M$2:M$999,BY_TRA!$BJ$2:$BJ$999,Transport!$B44,BY_TRA!$BK$2:$BK$999,Transport!$C44)/SUMIFS(BY_TRA!M$2:M$999,BY_TRA!$BJ$2:$BJ$999,Transport!$B44),0)</f>
        <v>0</v>
      </c>
      <c r="F44" s="1">
        <f>IFERROR(SUMIFS(BY_TRA!N$2:N$999,BY_TRA!$BJ$2:$BJ$999,Transport!$B44,BY_TRA!$BK$2:$BK$999,Transport!$C44)/SUMIFS(BY_TRA!N$2:N$999,BY_TRA!$BJ$2:$BJ$999,Transport!$B44),0)</f>
        <v>0</v>
      </c>
      <c r="G44" s="1">
        <f>IFERROR(SUMIFS(BY_TRA!O$2:O$999,BY_TRA!$BJ$2:$BJ$999,Transport!$B44,BY_TRA!$BK$2:$BK$999,Transport!$C44)/SUMIFS(BY_TRA!O$2:O$999,BY_TRA!$BJ$2:$BJ$999,Transport!$B44),0)</f>
        <v>0</v>
      </c>
      <c r="H44" s="1">
        <f>IFERROR(SUMIFS(BY_TRA!P$2:P$999,BY_TRA!$BJ$2:$BJ$999,Transport!$B44,BY_TRA!$BK$2:$BK$999,Transport!$C44)/SUMIFS(BY_TRA!P$2:P$999,BY_TRA!$BJ$2:$BJ$999,Transport!$B44),0)</f>
        <v>0</v>
      </c>
      <c r="I44" s="1">
        <f>IFERROR(SUMIFS(BY_TRA!Q$2:Q$999,BY_TRA!$BJ$2:$BJ$999,Transport!$B44,BY_TRA!$BK$2:$BK$999,Transport!$C44)/SUMIFS(BY_TRA!Q$2:Q$999,BY_TRA!$BJ$2:$BJ$999,Transport!$B44),0)</f>
        <v>0</v>
      </c>
      <c r="J44" s="1">
        <f>IFERROR(SUMIFS(BY_TRA!R$2:R$999,BY_TRA!$BJ$2:$BJ$999,Transport!$B44,BY_TRA!$BK$2:$BK$999,Transport!$C44)/SUMIFS(BY_TRA!R$2:R$999,BY_TRA!$BJ$2:$BJ$999,Transport!$B44),0)</f>
        <v>0</v>
      </c>
      <c r="K44" s="1">
        <f>IFERROR(SUMIFS(BY_TRA!S$2:S$999,BY_TRA!$BJ$2:$BJ$999,Transport!$B44,BY_TRA!$BK$2:$BK$999,Transport!$C44)/SUMIFS(BY_TRA!S$2:S$999,BY_TRA!$BJ$2:$BJ$999,Transport!$B44),0)</f>
        <v>0</v>
      </c>
      <c r="L44" s="1">
        <f>IFERROR(SUMIFS(BY_TRA!T$2:T$999,BY_TRA!$BJ$2:$BJ$999,Transport!$B44,BY_TRA!$BK$2:$BK$999,Transport!$C44)/SUMIFS(BY_TRA!T$2:T$999,BY_TRA!$BJ$2:$BJ$999,Transport!$B44),0)</f>
        <v>0</v>
      </c>
      <c r="M44" s="1">
        <f>IFERROR(SUMIFS(BY_TRA!U$2:U$999,BY_TRA!$BJ$2:$BJ$999,Transport!$B44,BY_TRA!$BK$2:$BK$999,Transport!$C44)/SUMIFS(BY_TRA!U$2:U$999,BY_TRA!$BJ$2:$BJ$999,Transport!$B44),0)</f>
        <v>0</v>
      </c>
      <c r="N44" s="1">
        <f>IFERROR(SUMIFS(BY_TRA!V$2:V$999,BY_TRA!$BJ$2:$BJ$999,Transport!$B44,BY_TRA!$BK$2:$BK$999,Transport!$C44)/SUMIFS(BY_TRA!V$2:V$999,BY_TRA!$BJ$2:$BJ$999,Transport!$B44),0)</f>
        <v>0</v>
      </c>
      <c r="O44" s="1">
        <f>IFERROR(SUMIFS(BY_TRA!W$2:W$999,BY_TRA!$BJ$2:$BJ$999,Transport!$B44,BY_TRA!$BK$2:$BK$999,Transport!$C44)/SUMIFS(BY_TRA!W$2:W$999,BY_TRA!$BJ$2:$BJ$999,Transport!$B44),0)</f>
        <v>0</v>
      </c>
      <c r="P44" s="1">
        <f>IFERROR(SUMIFS(BY_TRA!X$2:X$999,BY_TRA!$BJ$2:$BJ$999,Transport!$B44,BY_TRA!$BK$2:$BK$999,Transport!$C44)/SUMIFS(BY_TRA!X$2:X$999,BY_TRA!$BJ$2:$BJ$999,Transport!$B44),0)</f>
        <v>0</v>
      </c>
      <c r="Q44" s="1">
        <f>IFERROR(SUMIFS(BY_TRA!Y$2:Y$999,BY_TRA!$BJ$2:$BJ$999,Transport!$B44,BY_TRA!$BK$2:$BK$999,Transport!$C44)/SUMIFS(BY_TRA!Y$2:Y$999,BY_TRA!$BJ$2:$BJ$999,Transport!$B44),0)</f>
        <v>0</v>
      </c>
      <c r="R44" s="1">
        <f>IFERROR(SUMIFS(BY_TRA!Z$2:Z$999,BY_TRA!$BJ$2:$BJ$999,Transport!$B44,BY_TRA!$BK$2:$BK$999,Transport!$C44)/SUMIFS(BY_TRA!Z$2:Z$999,BY_TRA!$BJ$2:$BJ$999,Transport!$B44),0)</f>
        <v>0</v>
      </c>
      <c r="S44" s="1">
        <f>IFERROR(SUMIFS(BY_TRA!AA$2:AA$999,BY_TRA!$BJ$2:$BJ$999,Transport!$B44,BY_TRA!$BK$2:$BK$999,Transport!$C44)/SUMIFS(BY_TRA!AA$2:AA$999,BY_TRA!$BJ$2:$BJ$999,Transport!$B44),0)</f>
        <v>0</v>
      </c>
      <c r="T44" s="1">
        <f>IFERROR(SUMIFS(BY_TRA!AB$2:AB$999,BY_TRA!$BJ$2:$BJ$999,Transport!$B44,BY_TRA!$BK$2:$BK$999,Transport!$C44)/SUMIFS(BY_TRA!AB$2:AB$999,BY_TRA!$BJ$2:$BJ$999,Transport!$B44),0)</f>
        <v>0</v>
      </c>
      <c r="U44" s="1">
        <f>IFERROR(SUMIFS(BY_TRA!AC$2:AC$999,BY_TRA!$BJ$2:$BJ$999,Transport!$B44,BY_TRA!$BK$2:$BK$999,Transport!$C44)/SUMIFS(BY_TRA!AC$2:AC$999,BY_TRA!$BJ$2:$BJ$999,Transport!$B44),0)</f>
        <v>0</v>
      </c>
      <c r="V44" s="1">
        <f>IFERROR(SUMIFS(BY_TRA!AD$2:AD$999,BY_TRA!$BJ$2:$BJ$999,Transport!$B44,BY_TRA!$BK$2:$BK$999,Transport!$C44)/SUMIFS(BY_TRA!AD$2:AD$999,BY_TRA!$BJ$2:$BJ$999,Transport!$B44),0)</f>
        <v>0</v>
      </c>
      <c r="W44" s="1">
        <f>IFERROR(SUMIFS(BY_TRA!AE$2:AE$999,BY_TRA!$BJ$2:$BJ$999,Transport!$B44,BY_TRA!$BK$2:$BK$999,Transport!$C44)/SUMIFS(BY_TRA!AE$2:AE$999,BY_TRA!$BJ$2:$BJ$999,Transport!$B44),0)</f>
        <v>0</v>
      </c>
      <c r="X44" s="1">
        <f>IFERROR(SUMIFS(BY_TRA!AF$2:AF$999,BY_TRA!$BJ$2:$BJ$999,Transport!$B44,BY_TRA!$BK$2:$BK$999,Transport!$C44)/SUMIFS(BY_TRA!AF$2:AF$999,BY_TRA!$BJ$2:$BJ$999,Transport!$B44),0)</f>
        <v>0</v>
      </c>
      <c r="Y44" s="1">
        <f>IFERROR(SUMIFS(BY_TRA!AG$2:AG$999,BY_TRA!$BJ$2:$BJ$999,Transport!$B44,BY_TRA!$BK$2:$BK$999,Transport!$C44)/SUMIFS(BY_TRA!AG$2:AG$999,BY_TRA!$BJ$2:$BJ$999,Transport!$B44),0)</f>
        <v>0</v>
      </c>
      <c r="Z44" s="1">
        <f>IFERROR(SUMIFS(BY_TRA!AH$2:AH$999,BY_TRA!$BJ$2:$BJ$999,Transport!$B44,BY_TRA!$BK$2:$BK$999,Transport!$C44)/SUMIFS(BY_TRA!AH$2:AH$999,BY_TRA!$BJ$2:$BJ$999,Transport!$B44),0)</f>
        <v>0</v>
      </c>
      <c r="AA44" s="1">
        <f>IFERROR(SUMIFS(BY_TRA!AI$2:AI$999,BY_TRA!$BJ$2:$BJ$999,Transport!$B44,BY_TRA!$BK$2:$BK$999,Transport!$C44)/SUMIFS(BY_TRA!AI$2:AI$999,BY_TRA!$BJ$2:$BJ$999,Transport!$B44),0)</f>
        <v>0</v>
      </c>
      <c r="AB44" s="1">
        <f>IFERROR(SUMIFS(BY_TRA!AJ$2:AJ$999,BY_TRA!$BJ$2:$BJ$999,Transport!$B44,BY_TRA!$BK$2:$BK$999,Transport!$C44)/SUMIFS(BY_TRA!AJ$2:AJ$999,BY_TRA!$BJ$2:$BJ$999,Transport!$B44),0)</f>
        <v>0</v>
      </c>
      <c r="AC44" s="1">
        <f>IFERROR(SUMIFS(BY_TRA!AK$2:AK$999,BY_TRA!$BJ$2:$BJ$999,Transport!$B44,BY_TRA!$BK$2:$BK$999,Transport!$C44)/SUMIFS(BY_TRA!AK$2:AK$999,BY_TRA!$BJ$2:$BJ$999,Transport!$B44),0)</f>
        <v>0</v>
      </c>
      <c r="AD44" s="1">
        <f>IFERROR(SUMIFS(BY_TRA!AL$2:AL$999,BY_TRA!$BJ$2:$BJ$999,Transport!$B44,BY_TRA!$BK$2:$BK$999,Transport!$C44)/SUMIFS(BY_TRA!AL$2:AL$999,BY_TRA!$BJ$2:$BJ$999,Transport!$B44),0)</f>
        <v>0</v>
      </c>
      <c r="AE44" s="1">
        <f>IFERROR(SUMIFS(BY_TRA!AM$2:AM$999,BY_TRA!$BJ$2:$BJ$999,Transport!$B44,BY_TRA!$BK$2:$BK$999,Transport!$C44)/SUMIFS(BY_TRA!AM$2:AM$999,BY_TRA!$BJ$2:$BJ$999,Transport!$B44),0)</f>
        <v>0</v>
      </c>
      <c r="AF44" s="1">
        <f>IFERROR(SUMIFS(BY_TRA!AN$2:AN$999,BY_TRA!$BJ$2:$BJ$999,Transport!$B44,BY_TRA!$BK$2:$BK$999,Transport!$C44)/SUMIFS(BY_TRA!AN$2:AN$999,BY_TRA!$BJ$2:$BJ$999,Transport!$B44),0)</f>
        <v>0</v>
      </c>
      <c r="AG44" s="1">
        <f>IFERROR(SUMIFS(BY_TRA!AO$2:AO$999,BY_TRA!$BJ$2:$BJ$999,Transport!$B44,BY_TRA!$BK$2:$BK$999,Transport!$C44)/SUMIFS(BY_TRA!AO$2:AO$999,BY_TRA!$BJ$2:$BJ$999,Transport!$B44),0)</f>
        <v>0</v>
      </c>
      <c r="AH44" s="1">
        <f>IFERROR(SUMIFS(BY_TRA!AP$2:AP$999,BY_TRA!$BJ$2:$BJ$999,Transport!$B44,BY_TRA!$BK$2:$BK$999,Transport!$C44)/SUMIFS(BY_TRA!AP$2:AP$999,BY_TRA!$BJ$2:$BJ$999,Transport!$B44),0)</f>
        <v>0</v>
      </c>
      <c r="AI44" s="1">
        <f>IFERROR(SUMIFS(BY_TRA!AQ$2:AQ$999,BY_TRA!$BJ$2:$BJ$999,Transport!$B44,BY_TRA!$BK$2:$BK$999,Transport!$C44)/SUMIFS(BY_TRA!AQ$2:AQ$999,BY_TRA!$BJ$2:$BJ$999,Transport!$B44),0)</f>
        <v>0</v>
      </c>
      <c r="AJ44" s="1">
        <f>IFERROR(SUMIFS(BY_TRA!AR$2:AR$999,BY_TRA!$BJ$2:$BJ$999,Transport!$B44,BY_TRA!$BK$2:$BK$999,Transport!$C44)/SUMIFS(BY_TRA!AR$2:AR$999,BY_TRA!$BJ$2:$BJ$999,Transport!$B44),0)</f>
        <v>0</v>
      </c>
      <c r="AK44" s="1">
        <f>IFERROR(SUMIFS(BY_TRA!AS$2:AS$999,BY_TRA!$BJ$2:$BJ$999,Transport!$B44,BY_TRA!$BK$2:$BK$999,Transport!$C44)/SUMIFS(BY_TRA!AS$2:AS$999,BY_TRA!$BJ$2:$BJ$999,Transport!$B44),0)</f>
        <v>0</v>
      </c>
      <c r="AL44" s="1">
        <f>IFERROR(SUMIFS(BY_TRA!AT$2:AT$999,BY_TRA!$BJ$2:$BJ$999,Transport!$B44,BY_TRA!$BK$2:$BK$999,Transport!$C44)/SUMIFS(BY_TRA!AT$2:AT$999,BY_TRA!$BJ$2:$BJ$999,Transport!$B44),0)</f>
        <v>0</v>
      </c>
      <c r="AM44" s="1">
        <f>IFERROR(SUMIFS(BY_TRA!AU$2:AU$999,BY_TRA!$BJ$2:$BJ$999,Transport!$B44,BY_TRA!$BK$2:$BK$999,Transport!$C44)/SUMIFS(BY_TRA!AU$2:AU$999,BY_TRA!$BJ$2:$BJ$999,Transport!$B44),0)</f>
        <v>0</v>
      </c>
      <c r="AN44" s="1">
        <f>IFERROR(SUMIFS(BY_TRA!AV$2:AV$999,BY_TRA!$BJ$2:$BJ$999,Transport!$B44,BY_TRA!$BK$2:$BK$999,Transport!$C44)/SUMIFS(BY_TRA!AV$2:AV$999,BY_TRA!$BJ$2:$BJ$999,Transport!$B44),0)</f>
        <v>0</v>
      </c>
      <c r="AO44" s="1">
        <f>IFERROR(SUMIFS(BY_TRA!AW$2:AW$999,BY_TRA!$BJ$2:$BJ$999,Transport!$B44,BY_TRA!$BK$2:$BK$999,Transport!$C44)/SUMIFS(BY_TRA!AW$2:AW$999,BY_TRA!$BJ$2:$BJ$999,Transport!$B44),0)</f>
        <v>0</v>
      </c>
      <c r="AP44" s="1">
        <f>IFERROR(SUMIFS(BY_TRA!AX$2:AX$999,BY_TRA!$BJ$2:$BJ$999,Transport!$B44,BY_TRA!$BK$2:$BK$999,Transport!$C44)/SUMIFS(BY_TRA!AX$2:AX$999,BY_TRA!$BJ$2:$BJ$999,Transport!$B44),0)</f>
        <v>0</v>
      </c>
      <c r="AQ44" s="1">
        <f>IFERROR(SUMIFS(BY_TRA!AY$2:AY$999,BY_TRA!$BJ$2:$BJ$999,Transport!$B44,BY_TRA!$BK$2:$BK$999,Transport!$C44)/SUMIFS(BY_TRA!AY$2:AY$999,BY_TRA!$BJ$2:$BJ$999,Transport!$B44),0)</f>
        <v>0</v>
      </c>
      <c r="AR44" s="1">
        <f>IFERROR(SUMIFS(BY_TRA!AZ$2:AZ$999,BY_TRA!$BJ$2:$BJ$999,Transport!$B44,BY_TRA!$BK$2:$BK$999,Transport!$C44)/SUMIFS(BY_TRA!AZ$2:AZ$999,BY_TRA!$BJ$2:$BJ$999,Transport!$B44),0)</f>
        <v>0</v>
      </c>
      <c r="AS44" s="1">
        <f>IFERROR(SUMIFS(BY_TRA!BA$2:BA$999,BY_TRA!$BJ$2:$BJ$999,Transport!$B44,BY_TRA!$BK$2:$BK$999,Transport!$C44)/SUMIFS(BY_TRA!BA$2:BA$999,BY_TRA!$BJ$2:$BJ$999,Transport!$B44),0)</f>
        <v>0</v>
      </c>
      <c r="AT44" s="1">
        <f>IFERROR(SUMIFS(BY_TRA!BB$2:BB$999,BY_TRA!$BJ$2:$BJ$999,Transport!$B44,BY_TRA!$BK$2:$BK$999,Transport!$C44)/SUMIFS(BY_TRA!BB$2:BB$999,BY_TRA!$BJ$2:$BJ$999,Transport!$B44),0)</f>
        <v>0</v>
      </c>
      <c r="AU44" s="1">
        <f>IFERROR(SUMIFS(BY_TRA!BC$2:BC$999,BY_TRA!$BJ$2:$BJ$999,Transport!$B44,BY_TRA!$BK$2:$BK$999,Transport!$C44)/SUMIFS(BY_TRA!BC$2:BC$999,BY_TRA!$BJ$2:$BJ$999,Transport!$B44),0)</f>
        <v>0</v>
      </c>
      <c r="AV44" s="1">
        <f>IFERROR(SUMIFS(BY_TRA!BD$2:BD$999,BY_TRA!$BJ$2:$BJ$999,Transport!$B44,BY_TRA!$BK$2:$BK$999,Transport!$C44)/SUMIFS(BY_TRA!BD$2:BD$999,BY_TRA!$BJ$2:$BJ$999,Transport!$B44),0)</f>
        <v>0</v>
      </c>
      <c r="AW44" s="1">
        <f>IFERROR(SUMIFS(BY_TRA!BE$2:BE$999,BY_TRA!$BJ$2:$BJ$999,Transport!$B44,BY_TRA!$BK$2:$BK$999,Transport!$C44)/SUMIFS(BY_TRA!BE$2:BE$999,BY_TRA!$BJ$2:$BJ$999,Transport!$B44),0)</f>
        <v>0</v>
      </c>
      <c r="AX44" s="1">
        <f>IFERROR(SUMIFS(BY_TRA!BF$2:BF$999,BY_TRA!$BJ$2:$BJ$999,Transport!$B44,BY_TRA!$BK$2:$BK$999,Transport!$C44)/SUMIFS(BY_TRA!BF$2:BF$999,BY_TRA!$BJ$2:$BJ$999,Transport!$B44),0)</f>
        <v>0</v>
      </c>
      <c r="AY44" s="1">
        <f>IFERROR(SUMIFS(BY_TRA!BG$2:BG$999,BY_TRA!$BJ$2:$BJ$999,Transport!$B44,BY_TRA!$BK$2:$BK$999,Transport!$C44)/SUMIFS(BY_TRA!BG$2:BG$999,BY_TRA!$BJ$2:$BJ$999,Transport!$B44),0)</f>
        <v>0</v>
      </c>
    </row>
    <row r="45" spans="2:51">
      <c r="B45" t="s">
        <v>128</v>
      </c>
      <c r="C45" t="s">
        <v>130</v>
      </c>
      <c r="D45" s="1">
        <f>IFERROR(SUMIFS(BY_TRA!L$2:L$999,BY_TRA!$BJ$2:$BJ$999,Transport!$B45,BY_TRA!$BK$2:$BK$999,Transport!$C45)/SUMIFS(BY_TRA!L$2:L$999,BY_TRA!$BJ$2:$BJ$999,Transport!$B45),0)</f>
        <v>0</v>
      </c>
      <c r="E45" s="1">
        <f>IFERROR(SUMIFS(BY_TRA!M$2:M$999,BY_TRA!$BJ$2:$BJ$999,Transport!$B45,BY_TRA!$BK$2:$BK$999,Transport!$C45)/SUMIFS(BY_TRA!M$2:M$999,BY_TRA!$BJ$2:$BJ$999,Transport!$B45),0)</f>
        <v>0</v>
      </c>
      <c r="F45" s="1">
        <f>IFERROR(SUMIFS(BY_TRA!N$2:N$999,BY_TRA!$BJ$2:$BJ$999,Transport!$B45,BY_TRA!$BK$2:$BK$999,Transport!$C45)/SUMIFS(BY_TRA!N$2:N$999,BY_TRA!$BJ$2:$BJ$999,Transport!$B45),0)</f>
        <v>0</v>
      </c>
      <c r="G45" s="1">
        <f>IFERROR(SUMIFS(BY_TRA!O$2:O$999,BY_TRA!$BJ$2:$BJ$999,Transport!$B45,BY_TRA!$BK$2:$BK$999,Transport!$C45)/SUMIFS(BY_TRA!O$2:O$999,BY_TRA!$BJ$2:$BJ$999,Transport!$B45),0)</f>
        <v>0</v>
      </c>
      <c r="H45" s="1">
        <f>IFERROR(SUMIFS(BY_TRA!P$2:P$999,BY_TRA!$BJ$2:$BJ$999,Transport!$B45,BY_TRA!$BK$2:$BK$999,Transport!$C45)/SUMIFS(BY_TRA!P$2:P$999,BY_TRA!$BJ$2:$BJ$999,Transport!$B45),0)</f>
        <v>0</v>
      </c>
      <c r="I45" s="1">
        <f>IFERROR(SUMIFS(BY_TRA!Q$2:Q$999,BY_TRA!$BJ$2:$BJ$999,Transport!$B45,BY_TRA!$BK$2:$BK$999,Transport!$C45)/SUMIFS(BY_TRA!Q$2:Q$999,BY_TRA!$BJ$2:$BJ$999,Transport!$B45),0)</f>
        <v>0</v>
      </c>
      <c r="J45" s="1">
        <f>IFERROR(SUMIFS(BY_TRA!R$2:R$999,BY_TRA!$BJ$2:$BJ$999,Transport!$B45,BY_TRA!$BK$2:$BK$999,Transport!$C45)/SUMIFS(BY_TRA!R$2:R$999,BY_TRA!$BJ$2:$BJ$999,Transport!$B45),0)</f>
        <v>0</v>
      </c>
      <c r="K45" s="1">
        <f>IFERROR(SUMIFS(BY_TRA!S$2:S$999,BY_TRA!$BJ$2:$BJ$999,Transport!$B45,BY_TRA!$BK$2:$BK$999,Transport!$C45)/SUMIFS(BY_TRA!S$2:S$999,BY_TRA!$BJ$2:$BJ$999,Transport!$B45),0)</f>
        <v>0</v>
      </c>
      <c r="L45" s="1">
        <f>IFERROR(SUMIFS(BY_TRA!T$2:T$999,BY_TRA!$BJ$2:$BJ$999,Transport!$B45,BY_TRA!$BK$2:$BK$999,Transport!$C45)/SUMIFS(BY_TRA!T$2:T$999,BY_TRA!$BJ$2:$BJ$999,Transport!$B45),0)</f>
        <v>0</v>
      </c>
      <c r="M45" s="1">
        <f>IFERROR(SUMIFS(BY_TRA!U$2:U$999,BY_TRA!$BJ$2:$BJ$999,Transport!$B45,BY_TRA!$BK$2:$BK$999,Transport!$C45)/SUMIFS(BY_TRA!U$2:U$999,BY_TRA!$BJ$2:$BJ$999,Transport!$B45),0)</f>
        <v>0</v>
      </c>
      <c r="N45" s="1">
        <f>IFERROR(SUMIFS(BY_TRA!V$2:V$999,BY_TRA!$BJ$2:$BJ$999,Transport!$B45,BY_TRA!$BK$2:$BK$999,Transport!$C45)/SUMIFS(BY_TRA!V$2:V$999,BY_TRA!$BJ$2:$BJ$999,Transport!$B45),0)</f>
        <v>0</v>
      </c>
      <c r="O45" s="1">
        <f>IFERROR(SUMIFS(BY_TRA!W$2:W$999,BY_TRA!$BJ$2:$BJ$999,Transport!$B45,BY_TRA!$BK$2:$BK$999,Transport!$C45)/SUMIFS(BY_TRA!W$2:W$999,BY_TRA!$BJ$2:$BJ$999,Transport!$B45),0)</f>
        <v>0</v>
      </c>
      <c r="P45" s="1">
        <f>IFERROR(SUMIFS(BY_TRA!X$2:X$999,BY_TRA!$BJ$2:$BJ$999,Transport!$B45,BY_TRA!$BK$2:$BK$999,Transport!$C45)/SUMIFS(BY_TRA!X$2:X$999,BY_TRA!$BJ$2:$BJ$999,Transport!$B45),0)</f>
        <v>0</v>
      </c>
      <c r="Q45" s="1">
        <f>IFERROR(SUMIFS(BY_TRA!Y$2:Y$999,BY_TRA!$BJ$2:$BJ$999,Transport!$B45,BY_TRA!$BK$2:$BK$999,Transport!$C45)/SUMIFS(BY_TRA!Y$2:Y$999,BY_TRA!$BJ$2:$BJ$999,Transport!$B45),0)</f>
        <v>0</v>
      </c>
      <c r="R45" s="1">
        <f>IFERROR(SUMIFS(BY_TRA!Z$2:Z$999,BY_TRA!$BJ$2:$BJ$999,Transport!$B45,BY_TRA!$BK$2:$BK$999,Transport!$C45)/SUMIFS(BY_TRA!Z$2:Z$999,BY_TRA!$BJ$2:$BJ$999,Transport!$B45),0)</f>
        <v>0</v>
      </c>
      <c r="S45" s="1">
        <f>IFERROR(SUMIFS(BY_TRA!AA$2:AA$999,BY_TRA!$BJ$2:$BJ$999,Transport!$B45,BY_TRA!$BK$2:$BK$999,Transport!$C45)/SUMIFS(BY_TRA!AA$2:AA$999,BY_TRA!$BJ$2:$BJ$999,Transport!$B45),0)</f>
        <v>0</v>
      </c>
      <c r="T45" s="1">
        <f>IFERROR(SUMIFS(BY_TRA!AB$2:AB$999,BY_TRA!$BJ$2:$BJ$999,Transport!$B45,BY_TRA!$BK$2:$BK$999,Transport!$C45)/SUMIFS(BY_TRA!AB$2:AB$999,BY_TRA!$BJ$2:$BJ$999,Transport!$B45),0)</f>
        <v>0</v>
      </c>
      <c r="U45" s="1">
        <f>IFERROR(SUMIFS(BY_TRA!AC$2:AC$999,BY_TRA!$BJ$2:$BJ$999,Transport!$B45,BY_TRA!$BK$2:$BK$999,Transport!$C45)/SUMIFS(BY_TRA!AC$2:AC$999,BY_TRA!$BJ$2:$BJ$999,Transport!$B45),0)</f>
        <v>0</v>
      </c>
      <c r="V45" s="1">
        <f>IFERROR(SUMIFS(BY_TRA!AD$2:AD$999,BY_TRA!$BJ$2:$BJ$999,Transport!$B45,BY_TRA!$BK$2:$BK$999,Transport!$C45)/SUMIFS(BY_TRA!AD$2:AD$999,BY_TRA!$BJ$2:$BJ$999,Transport!$B45),0)</f>
        <v>0</v>
      </c>
      <c r="W45" s="1">
        <f>IFERROR(SUMIFS(BY_TRA!AE$2:AE$999,BY_TRA!$BJ$2:$BJ$999,Transport!$B45,BY_TRA!$BK$2:$BK$999,Transport!$C45)/SUMIFS(BY_TRA!AE$2:AE$999,BY_TRA!$BJ$2:$BJ$999,Transport!$B45),0)</f>
        <v>0</v>
      </c>
      <c r="X45" s="1">
        <f>IFERROR(SUMIFS(BY_TRA!AF$2:AF$999,BY_TRA!$BJ$2:$BJ$999,Transport!$B45,BY_TRA!$BK$2:$BK$999,Transport!$C45)/SUMIFS(BY_TRA!AF$2:AF$999,BY_TRA!$BJ$2:$BJ$999,Transport!$B45),0)</f>
        <v>0</v>
      </c>
      <c r="Y45" s="1">
        <f>IFERROR(SUMIFS(BY_TRA!AG$2:AG$999,BY_TRA!$BJ$2:$BJ$999,Transport!$B45,BY_TRA!$BK$2:$BK$999,Transport!$C45)/SUMIFS(BY_TRA!AG$2:AG$999,BY_TRA!$BJ$2:$BJ$999,Transport!$B45),0)</f>
        <v>0</v>
      </c>
      <c r="Z45" s="1">
        <f>IFERROR(SUMIFS(BY_TRA!AH$2:AH$999,BY_TRA!$BJ$2:$BJ$999,Transport!$B45,BY_TRA!$BK$2:$BK$999,Transport!$C45)/SUMIFS(BY_TRA!AH$2:AH$999,BY_TRA!$BJ$2:$BJ$999,Transport!$B45),0)</f>
        <v>0</v>
      </c>
      <c r="AA45" s="1">
        <f>IFERROR(SUMIFS(BY_TRA!AI$2:AI$999,BY_TRA!$BJ$2:$BJ$999,Transport!$B45,BY_TRA!$BK$2:$BK$999,Transport!$C45)/SUMIFS(BY_TRA!AI$2:AI$999,BY_TRA!$BJ$2:$BJ$999,Transport!$B45),0)</f>
        <v>0</v>
      </c>
      <c r="AB45" s="1">
        <f>IFERROR(SUMIFS(BY_TRA!AJ$2:AJ$999,BY_TRA!$BJ$2:$BJ$999,Transport!$B45,BY_TRA!$BK$2:$BK$999,Transport!$C45)/SUMIFS(BY_TRA!AJ$2:AJ$999,BY_TRA!$BJ$2:$BJ$999,Transport!$B45),0)</f>
        <v>0</v>
      </c>
      <c r="AC45" s="1">
        <f>IFERROR(SUMIFS(BY_TRA!AK$2:AK$999,BY_TRA!$BJ$2:$BJ$999,Transport!$B45,BY_TRA!$BK$2:$BK$999,Transport!$C45)/SUMIFS(BY_TRA!AK$2:AK$999,BY_TRA!$BJ$2:$BJ$999,Transport!$B45),0)</f>
        <v>0</v>
      </c>
      <c r="AD45" s="1">
        <f>IFERROR(SUMIFS(BY_TRA!AL$2:AL$999,BY_TRA!$BJ$2:$BJ$999,Transport!$B45,BY_TRA!$BK$2:$BK$999,Transport!$C45)/SUMIFS(BY_TRA!AL$2:AL$999,BY_TRA!$BJ$2:$BJ$999,Transport!$B45),0)</f>
        <v>0</v>
      </c>
      <c r="AE45" s="1">
        <f>IFERROR(SUMIFS(BY_TRA!AM$2:AM$999,BY_TRA!$BJ$2:$BJ$999,Transport!$B45,BY_TRA!$BK$2:$BK$999,Transport!$C45)/SUMIFS(BY_TRA!AM$2:AM$999,BY_TRA!$BJ$2:$BJ$999,Transport!$B45),0)</f>
        <v>0</v>
      </c>
      <c r="AF45" s="1">
        <f>IFERROR(SUMIFS(BY_TRA!AN$2:AN$999,BY_TRA!$BJ$2:$BJ$999,Transport!$B45,BY_TRA!$BK$2:$BK$999,Transport!$C45)/SUMIFS(BY_TRA!AN$2:AN$999,BY_TRA!$BJ$2:$BJ$999,Transport!$B45),0)</f>
        <v>0</v>
      </c>
      <c r="AG45" s="1">
        <f>IFERROR(SUMIFS(BY_TRA!AO$2:AO$999,BY_TRA!$BJ$2:$BJ$999,Transport!$B45,BY_TRA!$BK$2:$BK$999,Transport!$C45)/SUMIFS(BY_TRA!AO$2:AO$999,BY_TRA!$BJ$2:$BJ$999,Transport!$B45),0)</f>
        <v>0</v>
      </c>
      <c r="AH45" s="1">
        <f>IFERROR(SUMIFS(BY_TRA!AP$2:AP$999,BY_TRA!$BJ$2:$BJ$999,Transport!$B45,BY_TRA!$BK$2:$BK$999,Transport!$C45)/SUMIFS(BY_TRA!AP$2:AP$999,BY_TRA!$BJ$2:$BJ$999,Transport!$B45),0)</f>
        <v>0</v>
      </c>
      <c r="AI45" s="1">
        <f>IFERROR(SUMIFS(BY_TRA!AQ$2:AQ$999,BY_TRA!$BJ$2:$BJ$999,Transport!$B45,BY_TRA!$BK$2:$BK$999,Transport!$C45)/SUMIFS(BY_TRA!AQ$2:AQ$999,BY_TRA!$BJ$2:$BJ$999,Transport!$B45),0)</f>
        <v>0</v>
      </c>
      <c r="AJ45" s="1">
        <f>IFERROR(SUMIFS(BY_TRA!AR$2:AR$999,BY_TRA!$BJ$2:$BJ$999,Transport!$B45,BY_TRA!$BK$2:$BK$999,Transport!$C45)/SUMIFS(BY_TRA!AR$2:AR$999,BY_TRA!$BJ$2:$BJ$999,Transport!$B45),0)</f>
        <v>0</v>
      </c>
      <c r="AK45" s="1">
        <f>IFERROR(SUMIFS(BY_TRA!AS$2:AS$999,BY_TRA!$BJ$2:$BJ$999,Transport!$B45,BY_TRA!$BK$2:$BK$999,Transport!$C45)/SUMIFS(BY_TRA!AS$2:AS$999,BY_TRA!$BJ$2:$BJ$999,Transport!$B45),0)</f>
        <v>0</v>
      </c>
      <c r="AL45" s="1">
        <f>IFERROR(SUMIFS(BY_TRA!AT$2:AT$999,BY_TRA!$BJ$2:$BJ$999,Transport!$B45,BY_TRA!$BK$2:$BK$999,Transport!$C45)/SUMIFS(BY_TRA!AT$2:AT$999,BY_TRA!$BJ$2:$BJ$999,Transport!$B45),0)</f>
        <v>0</v>
      </c>
      <c r="AM45" s="1">
        <f>IFERROR(SUMIFS(BY_TRA!AU$2:AU$999,BY_TRA!$BJ$2:$BJ$999,Transport!$B45,BY_TRA!$BK$2:$BK$999,Transport!$C45)/SUMIFS(BY_TRA!AU$2:AU$999,BY_TRA!$BJ$2:$BJ$999,Transport!$B45),0)</f>
        <v>0</v>
      </c>
      <c r="AN45" s="1">
        <f>IFERROR(SUMIFS(BY_TRA!AV$2:AV$999,BY_TRA!$BJ$2:$BJ$999,Transport!$B45,BY_TRA!$BK$2:$BK$999,Transport!$C45)/SUMIFS(BY_TRA!AV$2:AV$999,BY_TRA!$BJ$2:$BJ$999,Transport!$B45),0)</f>
        <v>0</v>
      </c>
      <c r="AO45" s="1">
        <f>IFERROR(SUMIFS(BY_TRA!AW$2:AW$999,BY_TRA!$BJ$2:$BJ$999,Transport!$B45,BY_TRA!$BK$2:$BK$999,Transport!$C45)/SUMIFS(BY_TRA!AW$2:AW$999,BY_TRA!$BJ$2:$BJ$999,Transport!$B45),0)</f>
        <v>0</v>
      </c>
      <c r="AP45" s="1">
        <f>IFERROR(SUMIFS(BY_TRA!AX$2:AX$999,BY_TRA!$BJ$2:$BJ$999,Transport!$B45,BY_TRA!$BK$2:$BK$999,Transport!$C45)/SUMIFS(BY_TRA!AX$2:AX$999,BY_TRA!$BJ$2:$BJ$999,Transport!$B45),0)</f>
        <v>0</v>
      </c>
      <c r="AQ45" s="1">
        <f>IFERROR(SUMIFS(BY_TRA!AY$2:AY$999,BY_TRA!$BJ$2:$BJ$999,Transport!$B45,BY_TRA!$BK$2:$BK$999,Transport!$C45)/SUMIFS(BY_TRA!AY$2:AY$999,BY_TRA!$BJ$2:$BJ$999,Transport!$B45),0)</f>
        <v>0</v>
      </c>
      <c r="AR45" s="1">
        <f>IFERROR(SUMIFS(BY_TRA!AZ$2:AZ$999,BY_TRA!$BJ$2:$BJ$999,Transport!$B45,BY_TRA!$BK$2:$BK$999,Transport!$C45)/SUMIFS(BY_TRA!AZ$2:AZ$999,BY_TRA!$BJ$2:$BJ$999,Transport!$B45),0)</f>
        <v>0</v>
      </c>
      <c r="AS45" s="1">
        <f>IFERROR(SUMIFS(BY_TRA!BA$2:BA$999,BY_TRA!$BJ$2:$BJ$999,Transport!$B45,BY_TRA!$BK$2:$BK$999,Transport!$C45)/SUMIFS(BY_TRA!BA$2:BA$999,BY_TRA!$BJ$2:$BJ$999,Transport!$B45),0)</f>
        <v>0</v>
      </c>
      <c r="AT45" s="1">
        <f>IFERROR(SUMIFS(BY_TRA!BB$2:BB$999,BY_TRA!$BJ$2:$BJ$999,Transport!$B45,BY_TRA!$BK$2:$BK$999,Transport!$C45)/SUMIFS(BY_TRA!BB$2:BB$999,BY_TRA!$BJ$2:$BJ$999,Transport!$B45),0)</f>
        <v>0</v>
      </c>
      <c r="AU45" s="1">
        <f>IFERROR(SUMIFS(BY_TRA!BC$2:BC$999,BY_TRA!$BJ$2:$BJ$999,Transport!$B45,BY_TRA!$BK$2:$BK$999,Transport!$C45)/SUMIFS(BY_TRA!BC$2:BC$999,BY_TRA!$BJ$2:$BJ$999,Transport!$B45),0)</f>
        <v>0</v>
      </c>
      <c r="AV45" s="1">
        <f>IFERROR(SUMIFS(BY_TRA!BD$2:BD$999,BY_TRA!$BJ$2:$BJ$999,Transport!$B45,BY_TRA!$BK$2:$BK$999,Transport!$C45)/SUMIFS(BY_TRA!BD$2:BD$999,BY_TRA!$BJ$2:$BJ$999,Transport!$B45),0)</f>
        <v>0</v>
      </c>
      <c r="AW45" s="1">
        <f>IFERROR(SUMIFS(BY_TRA!BE$2:BE$999,BY_TRA!$BJ$2:$BJ$999,Transport!$B45,BY_TRA!$BK$2:$BK$999,Transport!$C45)/SUMIFS(BY_TRA!BE$2:BE$999,BY_TRA!$BJ$2:$BJ$999,Transport!$B45),0)</f>
        <v>0</v>
      </c>
      <c r="AX45" s="1">
        <f>IFERROR(SUMIFS(BY_TRA!BF$2:BF$999,BY_TRA!$BJ$2:$BJ$999,Transport!$B45,BY_TRA!$BK$2:$BK$999,Transport!$C45)/SUMIFS(BY_TRA!BF$2:BF$999,BY_TRA!$BJ$2:$BJ$999,Transport!$B45),0)</f>
        <v>0</v>
      </c>
      <c r="AY45" s="1">
        <f>IFERROR(SUMIFS(BY_TRA!BG$2:BG$999,BY_TRA!$BJ$2:$BJ$999,Transport!$B45,BY_TRA!$BK$2:$BK$999,Transport!$C45)/SUMIFS(BY_TRA!BG$2:BG$999,BY_TRA!$BJ$2:$BJ$999,Transport!$B45),0)</f>
        <v>0</v>
      </c>
    </row>
    <row r="46" spans="2:51">
      <c r="B46" t="s">
        <v>128</v>
      </c>
      <c r="C46" s="2" t="s">
        <v>131</v>
      </c>
      <c r="D46" s="1">
        <f>IFERROR(SUMIFS(BY_TRA!L$2:L$999,BY_TRA!$BJ$2:$BJ$999,Transport!$B46,BY_TRA!$BK$2:$BK$999,Transport!$C46)/SUMIFS(BY_TRA!L$2:L$999,BY_TRA!$BJ$2:$BJ$999,Transport!$B46),0)</f>
        <v>0</v>
      </c>
      <c r="E46" s="1">
        <f>IFERROR(SUMIFS(BY_TRA!M$2:M$999,BY_TRA!$BJ$2:$BJ$999,Transport!$B46,BY_TRA!$BK$2:$BK$999,Transport!$C46)/SUMIFS(BY_TRA!M$2:M$999,BY_TRA!$BJ$2:$BJ$999,Transport!$B46),0)</f>
        <v>0</v>
      </c>
      <c r="F46" s="1">
        <f>IFERROR(SUMIFS(BY_TRA!N$2:N$999,BY_TRA!$BJ$2:$BJ$999,Transport!$B46,BY_TRA!$BK$2:$BK$999,Transport!$C46)/SUMIFS(BY_TRA!N$2:N$999,BY_TRA!$BJ$2:$BJ$999,Transport!$B46),0)</f>
        <v>0</v>
      </c>
      <c r="G46" s="1">
        <f>IFERROR(SUMIFS(BY_TRA!O$2:O$999,BY_TRA!$BJ$2:$BJ$999,Transport!$B46,BY_TRA!$BK$2:$BK$999,Transport!$C46)/SUMIFS(BY_TRA!O$2:O$999,BY_TRA!$BJ$2:$BJ$999,Transport!$B46),0)</f>
        <v>0</v>
      </c>
      <c r="H46" s="1">
        <f>IFERROR(SUMIFS(BY_TRA!P$2:P$999,BY_TRA!$BJ$2:$BJ$999,Transport!$B46,BY_TRA!$BK$2:$BK$999,Transport!$C46)/SUMIFS(BY_TRA!P$2:P$999,BY_TRA!$BJ$2:$BJ$999,Transport!$B46),0)</f>
        <v>0</v>
      </c>
      <c r="I46" s="1">
        <f>IFERROR(SUMIFS(BY_TRA!Q$2:Q$999,BY_TRA!$BJ$2:$BJ$999,Transport!$B46,BY_TRA!$BK$2:$BK$999,Transport!$C46)/SUMIFS(BY_TRA!Q$2:Q$999,BY_TRA!$BJ$2:$BJ$999,Transport!$B46),0)</f>
        <v>0</v>
      </c>
      <c r="J46" s="1">
        <f>IFERROR(SUMIFS(BY_TRA!R$2:R$999,BY_TRA!$BJ$2:$BJ$999,Transport!$B46,BY_TRA!$BK$2:$BK$999,Transport!$C46)/SUMIFS(BY_TRA!R$2:R$999,BY_TRA!$BJ$2:$BJ$999,Transport!$B46),0)</f>
        <v>0</v>
      </c>
      <c r="K46" s="1">
        <f>IFERROR(SUMIFS(BY_TRA!S$2:S$999,BY_TRA!$BJ$2:$BJ$999,Transport!$B46,BY_TRA!$BK$2:$BK$999,Transport!$C46)/SUMIFS(BY_TRA!S$2:S$999,BY_TRA!$BJ$2:$BJ$999,Transport!$B46),0)</f>
        <v>0</v>
      </c>
      <c r="L46" s="1">
        <f>IFERROR(SUMIFS(BY_TRA!T$2:T$999,BY_TRA!$BJ$2:$BJ$999,Transport!$B46,BY_TRA!$BK$2:$BK$999,Transport!$C46)/SUMIFS(BY_TRA!T$2:T$999,BY_TRA!$BJ$2:$BJ$999,Transport!$B46),0)</f>
        <v>0</v>
      </c>
      <c r="M46" s="1">
        <f>IFERROR(SUMIFS(BY_TRA!U$2:U$999,BY_TRA!$BJ$2:$BJ$999,Transport!$B46,BY_TRA!$BK$2:$BK$999,Transport!$C46)/SUMIFS(BY_TRA!U$2:U$999,BY_TRA!$BJ$2:$BJ$999,Transport!$B46),0)</f>
        <v>0</v>
      </c>
      <c r="N46" s="1">
        <f>IFERROR(SUMIFS(BY_TRA!V$2:V$999,BY_TRA!$BJ$2:$BJ$999,Transport!$B46,BY_TRA!$BK$2:$BK$999,Transport!$C46)/SUMIFS(BY_TRA!V$2:V$999,BY_TRA!$BJ$2:$BJ$999,Transport!$B46),0)</f>
        <v>0</v>
      </c>
      <c r="O46" s="1">
        <f>IFERROR(SUMIFS(BY_TRA!W$2:W$999,BY_TRA!$BJ$2:$BJ$999,Transport!$B46,BY_TRA!$BK$2:$BK$999,Transport!$C46)/SUMIFS(BY_TRA!W$2:W$999,BY_TRA!$BJ$2:$BJ$999,Transport!$B46),0)</f>
        <v>0</v>
      </c>
      <c r="P46" s="1">
        <f>IFERROR(SUMIFS(BY_TRA!X$2:X$999,BY_TRA!$BJ$2:$BJ$999,Transport!$B46,BY_TRA!$BK$2:$BK$999,Transport!$C46)/SUMIFS(BY_TRA!X$2:X$999,BY_TRA!$BJ$2:$BJ$999,Transport!$B46),0)</f>
        <v>0</v>
      </c>
      <c r="Q46" s="1">
        <f>IFERROR(SUMIFS(BY_TRA!Y$2:Y$999,BY_TRA!$BJ$2:$BJ$999,Transport!$B46,BY_TRA!$BK$2:$BK$999,Transport!$C46)/SUMIFS(BY_TRA!Y$2:Y$999,BY_TRA!$BJ$2:$BJ$999,Transport!$B46),0)</f>
        <v>0</v>
      </c>
      <c r="R46" s="1">
        <f>IFERROR(SUMIFS(BY_TRA!Z$2:Z$999,BY_TRA!$BJ$2:$BJ$999,Transport!$B46,BY_TRA!$BK$2:$BK$999,Transport!$C46)/SUMIFS(BY_TRA!Z$2:Z$999,BY_TRA!$BJ$2:$BJ$999,Transport!$B46),0)</f>
        <v>0</v>
      </c>
      <c r="S46" s="1">
        <f>IFERROR(SUMIFS(BY_TRA!AA$2:AA$999,BY_TRA!$BJ$2:$BJ$999,Transport!$B46,BY_TRA!$BK$2:$BK$999,Transport!$C46)/SUMIFS(BY_TRA!AA$2:AA$999,BY_TRA!$BJ$2:$BJ$999,Transport!$B46),0)</f>
        <v>0</v>
      </c>
      <c r="T46" s="1">
        <f>IFERROR(SUMIFS(BY_TRA!AB$2:AB$999,BY_TRA!$BJ$2:$BJ$999,Transport!$B46,BY_TRA!$BK$2:$BK$999,Transport!$C46)/SUMIFS(BY_TRA!AB$2:AB$999,BY_TRA!$BJ$2:$BJ$999,Transport!$B46),0)</f>
        <v>0</v>
      </c>
      <c r="U46" s="1">
        <f>IFERROR(SUMIFS(BY_TRA!AC$2:AC$999,BY_TRA!$BJ$2:$BJ$999,Transport!$B46,BY_TRA!$BK$2:$BK$999,Transport!$C46)/SUMIFS(BY_TRA!AC$2:AC$999,BY_TRA!$BJ$2:$BJ$999,Transport!$B46),0)</f>
        <v>0</v>
      </c>
      <c r="V46" s="1">
        <f>IFERROR(SUMIFS(BY_TRA!AD$2:AD$999,BY_TRA!$BJ$2:$BJ$999,Transport!$B46,BY_TRA!$BK$2:$BK$999,Transport!$C46)/SUMIFS(BY_TRA!AD$2:AD$999,BY_TRA!$BJ$2:$BJ$999,Transport!$B46),0)</f>
        <v>0</v>
      </c>
      <c r="W46" s="1">
        <f>IFERROR(SUMIFS(BY_TRA!AE$2:AE$999,BY_TRA!$BJ$2:$BJ$999,Transport!$B46,BY_TRA!$BK$2:$BK$999,Transport!$C46)/SUMIFS(BY_TRA!AE$2:AE$999,BY_TRA!$BJ$2:$BJ$999,Transport!$B46),0)</f>
        <v>0</v>
      </c>
      <c r="X46" s="1">
        <f>IFERROR(SUMIFS(BY_TRA!AF$2:AF$999,BY_TRA!$BJ$2:$BJ$999,Transport!$B46,BY_TRA!$BK$2:$BK$999,Transport!$C46)/SUMIFS(BY_TRA!AF$2:AF$999,BY_TRA!$BJ$2:$BJ$999,Transport!$B46),0)</f>
        <v>0</v>
      </c>
      <c r="Y46" s="1">
        <f>IFERROR(SUMIFS(BY_TRA!AG$2:AG$999,BY_TRA!$BJ$2:$BJ$999,Transport!$B46,BY_TRA!$BK$2:$BK$999,Transport!$C46)/SUMIFS(BY_TRA!AG$2:AG$999,BY_TRA!$BJ$2:$BJ$999,Transport!$B46),0)</f>
        <v>0</v>
      </c>
      <c r="Z46" s="1">
        <f>IFERROR(SUMIFS(BY_TRA!AH$2:AH$999,BY_TRA!$BJ$2:$BJ$999,Transport!$B46,BY_TRA!$BK$2:$BK$999,Transport!$C46)/SUMIFS(BY_TRA!AH$2:AH$999,BY_TRA!$BJ$2:$BJ$999,Transport!$B46),0)</f>
        <v>0</v>
      </c>
      <c r="AA46" s="1">
        <f>IFERROR(SUMIFS(BY_TRA!AI$2:AI$999,BY_TRA!$BJ$2:$BJ$999,Transport!$B46,BY_TRA!$BK$2:$BK$999,Transport!$C46)/SUMIFS(BY_TRA!AI$2:AI$999,BY_TRA!$BJ$2:$BJ$999,Transport!$B46),0)</f>
        <v>0</v>
      </c>
      <c r="AB46" s="1">
        <f>IFERROR(SUMIFS(BY_TRA!AJ$2:AJ$999,BY_TRA!$BJ$2:$BJ$999,Transport!$B46,BY_TRA!$BK$2:$BK$999,Transport!$C46)/SUMIFS(BY_TRA!AJ$2:AJ$999,BY_TRA!$BJ$2:$BJ$999,Transport!$B46),0)</f>
        <v>0</v>
      </c>
      <c r="AC46" s="1">
        <f>IFERROR(SUMIFS(BY_TRA!AK$2:AK$999,BY_TRA!$BJ$2:$BJ$999,Transport!$B46,BY_TRA!$BK$2:$BK$999,Transport!$C46)/SUMIFS(BY_TRA!AK$2:AK$999,BY_TRA!$BJ$2:$BJ$999,Transport!$B46),0)</f>
        <v>0</v>
      </c>
      <c r="AD46" s="1">
        <f>IFERROR(SUMIFS(BY_TRA!AL$2:AL$999,BY_TRA!$BJ$2:$BJ$999,Transport!$B46,BY_TRA!$BK$2:$BK$999,Transport!$C46)/SUMIFS(BY_TRA!AL$2:AL$999,BY_TRA!$BJ$2:$BJ$999,Transport!$B46),0)</f>
        <v>0</v>
      </c>
      <c r="AE46" s="1">
        <f>IFERROR(SUMIFS(BY_TRA!AM$2:AM$999,BY_TRA!$BJ$2:$BJ$999,Transport!$B46,BY_TRA!$BK$2:$BK$999,Transport!$C46)/SUMIFS(BY_TRA!AM$2:AM$999,BY_TRA!$BJ$2:$BJ$999,Transport!$B46),0)</f>
        <v>0</v>
      </c>
      <c r="AF46" s="1">
        <f>IFERROR(SUMIFS(BY_TRA!AN$2:AN$999,BY_TRA!$BJ$2:$BJ$999,Transport!$B46,BY_TRA!$BK$2:$BK$999,Transport!$C46)/SUMIFS(BY_TRA!AN$2:AN$999,BY_TRA!$BJ$2:$BJ$999,Transport!$B46),0)</f>
        <v>0</v>
      </c>
      <c r="AG46" s="1">
        <f>IFERROR(SUMIFS(BY_TRA!AO$2:AO$999,BY_TRA!$BJ$2:$BJ$999,Transport!$B46,BY_TRA!$BK$2:$BK$999,Transport!$C46)/SUMIFS(BY_TRA!AO$2:AO$999,BY_TRA!$BJ$2:$BJ$999,Transport!$B46),0)</f>
        <v>0</v>
      </c>
      <c r="AH46" s="1">
        <f>IFERROR(SUMIFS(BY_TRA!AP$2:AP$999,BY_TRA!$BJ$2:$BJ$999,Transport!$B46,BY_TRA!$BK$2:$BK$999,Transport!$C46)/SUMIFS(BY_TRA!AP$2:AP$999,BY_TRA!$BJ$2:$BJ$999,Transport!$B46),0)</f>
        <v>0</v>
      </c>
      <c r="AI46" s="1">
        <f>IFERROR(SUMIFS(BY_TRA!AQ$2:AQ$999,BY_TRA!$BJ$2:$BJ$999,Transport!$B46,BY_TRA!$BK$2:$BK$999,Transport!$C46)/SUMIFS(BY_TRA!AQ$2:AQ$999,BY_TRA!$BJ$2:$BJ$999,Transport!$B46),0)</f>
        <v>0</v>
      </c>
      <c r="AJ46" s="1">
        <f>IFERROR(SUMIFS(BY_TRA!AR$2:AR$999,BY_TRA!$BJ$2:$BJ$999,Transport!$B46,BY_TRA!$BK$2:$BK$999,Transport!$C46)/SUMIFS(BY_TRA!AR$2:AR$999,BY_TRA!$BJ$2:$BJ$999,Transport!$B46),0)</f>
        <v>0</v>
      </c>
      <c r="AK46" s="1">
        <f>IFERROR(SUMIFS(BY_TRA!AS$2:AS$999,BY_TRA!$BJ$2:$BJ$999,Transport!$B46,BY_TRA!$BK$2:$BK$999,Transport!$C46)/SUMIFS(BY_TRA!AS$2:AS$999,BY_TRA!$BJ$2:$BJ$999,Transport!$B46),0)</f>
        <v>0</v>
      </c>
      <c r="AL46" s="1">
        <f>IFERROR(SUMIFS(BY_TRA!AT$2:AT$999,BY_TRA!$BJ$2:$BJ$999,Transport!$B46,BY_TRA!$BK$2:$BK$999,Transport!$C46)/SUMIFS(BY_TRA!AT$2:AT$999,BY_TRA!$BJ$2:$BJ$999,Transport!$B46),0)</f>
        <v>0</v>
      </c>
      <c r="AM46" s="1">
        <f>IFERROR(SUMIFS(BY_TRA!AU$2:AU$999,BY_TRA!$BJ$2:$BJ$999,Transport!$B46,BY_TRA!$BK$2:$BK$999,Transport!$C46)/SUMIFS(BY_TRA!AU$2:AU$999,BY_TRA!$BJ$2:$BJ$999,Transport!$B46),0)</f>
        <v>0</v>
      </c>
      <c r="AN46" s="1">
        <f>IFERROR(SUMIFS(BY_TRA!AV$2:AV$999,BY_TRA!$BJ$2:$BJ$999,Transport!$B46,BY_TRA!$BK$2:$BK$999,Transport!$C46)/SUMIFS(BY_TRA!AV$2:AV$999,BY_TRA!$BJ$2:$BJ$999,Transport!$B46),0)</f>
        <v>0</v>
      </c>
      <c r="AO46" s="1">
        <f>IFERROR(SUMIFS(BY_TRA!AW$2:AW$999,BY_TRA!$BJ$2:$BJ$999,Transport!$B46,BY_TRA!$BK$2:$BK$999,Transport!$C46)/SUMIFS(BY_TRA!AW$2:AW$999,BY_TRA!$BJ$2:$BJ$999,Transport!$B46),0)</f>
        <v>0</v>
      </c>
      <c r="AP46" s="1">
        <f>IFERROR(SUMIFS(BY_TRA!AX$2:AX$999,BY_TRA!$BJ$2:$BJ$999,Transport!$B46,BY_TRA!$BK$2:$BK$999,Transport!$C46)/SUMIFS(BY_TRA!AX$2:AX$999,BY_TRA!$BJ$2:$BJ$999,Transport!$B46),0)</f>
        <v>0</v>
      </c>
      <c r="AQ46" s="1">
        <f>IFERROR(SUMIFS(BY_TRA!AY$2:AY$999,BY_TRA!$BJ$2:$BJ$999,Transport!$B46,BY_TRA!$BK$2:$BK$999,Transport!$C46)/SUMIFS(BY_TRA!AY$2:AY$999,BY_TRA!$BJ$2:$BJ$999,Transport!$B46),0)</f>
        <v>0</v>
      </c>
      <c r="AR46" s="1">
        <f>IFERROR(SUMIFS(BY_TRA!AZ$2:AZ$999,BY_TRA!$BJ$2:$BJ$999,Transport!$B46,BY_TRA!$BK$2:$BK$999,Transport!$C46)/SUMIFS(BY_TRA!AZ$2:AZ$999,BY_TRA!$BJ$2:$BJ$999,Transport!$B46),0)</f>
        <v>0</v>
      </c>
      <c r="AS46" s="1">
        <f>IFERROR(SUMIFS(BY_TRA!BA$2:BA$999,BY_TRA!$BJ$2:$BJ$999,Transport!$B46,BY_TRA!$BK$2:$BK$999,Transport!$C46)/SUMIFS(BY_TRA!BA$2:BA$999,BY_TRA!$BJ$2:$BJ$999,Transport!$B46),0)</f>
        <v>0</v>
      </c>
      <c r="AT46" s="1">
        <f>IFERROR(SUMIFS(BY_TRA!BB$2:BB$999,BY_TRA!$BJ$2:$BJ$999,Transport!$B46,BY_TRA!$BK$2:$BK$999,Transport!$C46)/SUMIFS(BY_TRA!BB$2:BB$999,BY_TRA!$BJ$2:$BJ$999,Transport!$B46),0)</f>
        <v>0</v>
      </c>
      <c r="AU46" s="1">
        <f>IFERROR(SUMIFS(BY_TRA!BC$2:BC$999,BY_TRA!$BJ$2:$BJ$999,Transport!$B46,BY_TRA!$BK$2:$BK$999,Transport!$C46)/SUMIFS(BY_TRA!BC$2:BC$999,BY_TRA!$BJ$2:$BJ$999,Transport!$B46),0)</f>
        <v>0</v>
      </c>
      <c r="AV46" s="1">
        <f>IFERROR(SUMIFS(BY_TRA!BD$2:BD$999,BY_TRA!$BJ$2:$BJ$999,Transport!$B46,BY_TRA!$BK$2:$BK$999,Transport!$C46)/SUMIFS(BY_TRA!BD$2:BD$999,BY_TRA!$BJ$2:$BJ$999,Transport!$B46),0)</f>
        <v>0</v>
      </c>
      <c r="AW46" s="1">
        <f>IFERROR(SUMIFS(BY_TRA!BE$2:BE$999,BY_TRA!$BJ$2:$BJ$999,Transport!$B46,BY_TRA!$BK$2:$BK$999,Transport!$C46)/SUMIFS(BY_TRA!BE$2:BE$999,BY_TRA!$BJ$2:$BJ$999,Transport!$B46),0)</f>
        <v>0</v>
      </c>
      <c r="AX46" s="1">
        <f>IFERROR(SUMIFS(BY_TRA!BF$2:BF$999,BY_TRA!$BJ$2:$BJ$999,Transport!$B46,BY_TRA!$BK$2:$BK$999,Transport!$C46)/SUMIFS(BY_TRA!BF$2:BF$999,BY_TRA!$BJ$2:$BJ$999,Transport!$B46),0)</f>
        <v>0</v>
      </c>
      <c r="AY46" s="1">
        <f>IFERROR(SUMIFS(BY_TRA!BG$2:BG$999,BY_TRA!$BJ$2:$BJ$999,Transport!$B46,BY_TRA!$BK$2:$BK$999,Transport!$C46)/SUMIFS(BY_TRA!BG$2:BG$999,BY_TRA!$BJ$2:$BJ$999,Transport!$B46),0)</f>
        <v>0</v>
      </c>
    </row>
    <row r="47" spans="2:51">
      <c r="B47" t="s">
        <v>132</v>
      </c>
      <c r="C47" t="s">
        <v>126</v>
      </c>
      <c r="D47" s="1">
        <f>IFERROR(SUMIFS(BY_TRA!L$2:L$999,BY_TRA!$BJ$2:$BJ$999,Transport!$B47,BY_TRA!$BK$2:$BK$999,Transport!$C47)/SUMIFS(BY_TRA!L$2:L$999,BY_TRA!$BJ$2:$BJ$999,Transport!$B47),0)</f>
        <v>0</v>
      </c>
      <c r="E47" s="1">
        <f>IFERROR(SUMIFS(BY_TRA!M$2:M$999,BY_TRA!$BJ$2:$BJ$999,Transport!$B47,BY_TRA!$BK$2:$BK$999,Transport!$C47)/SUMIFS(BY_TRA!M$2:M$999,BY_TRA!$BJ$2:$BJ$999,Transport!$B47),0)</f>
        <v>0</v>
      </c>
      <c r="F47" s="1">
        <f>IFERROR(SUMIFS(BY_TRA!N$2:N$999,BY_TRA!$BJ$2:$BJ$999,Transport!$B47,BY_TRA!$BK$2:$BK$999,Transport!$C47)/SUMIFS(BY_TRA!N$2:N$999,BY_TRA!$BJ$2:$BJ$999,Transport!$B47),0)</f>
        <v>0</v>
      </c>
      <c r="G47" s="1">
        <f>IFERROR(SUMIFS(BY_TRA!O$2:O$999,BY_TRA!$BJ$2:$BJ$999,Transport!$B47,BY_TRA!$BK$2:$BK$999,Transport!$C47)/SUMIFS(BY_TRA!O$2:O$999,BY_TRA!$BJ$2:$BJ$999,Transport!$B47),0)</f>
        <v>0</v>
      </c>
      <c r="H47" s="1">
        <f>IFERROR(SUMIFS(BY_TRA!P$2:P$999,BY_TRA!$BJ$2:$BJ$999,Transport!$B47,BY_TRA!$BK$2:$BK$999,Transport!$C47)/SUMIFS(BY_TRA!P$2:P$999,BY_TRA!$BJ$2:$BJ$999,Transport!$B47),0)</f>
        <v>0</v>
      </c>
      <c r="I47" s="1">
        <f>IFERROR(SUMIFS(BY_TRA!Q$2:Q$999,BY_TRA!$BJ$2:$BJ$999,Transport!$B47,BY_TRA!$BK$2:$BK$999,Transport!$C47)/SUMIFS(BY_TRA!Q$2:Q$999,BY_TRA!$BJ$2:$BJ$999,Transport!$B47),0)</f>
        <v>0</v>
      </c>
      <c r="J47" s="1">
        <f>IFERROR(SUMIFS(BY_TRA!R$2:R$999,BY_TRA!$BJ$2:$BJ$999,Transport!$B47,BY_TRA!$BK$2:$BK$999,Transport!$C47)/SUMIFS(BY_TRA!R$2:R$999,BY_TRA!$BJ$2:$BJ$999,Transport!$B47),0)</f>
        <v>0</v>
      </c>
      <c r="K47" s="1">
        <f>IFERROR(SUMIFS(BY_TRA!S$2:S$999,BY_TRA!$BJ$2:$BJ$999,Transport!$B47,BY_TRA!$BK$2:$BK$999,Transport!$C47)/SUMIFS(BY_TRA!S$2:S$999,BY_TRA!$BJ$2:$BJ$999,Transport!$B47),0)</f>
        <v>0</v>
      </c>
      <c r="L47" s="1">
        <f>IFERROR(SUMIFS(BY_TRA!T$2:T$999,BY_TRA!$BJ$2:$BJ$999,Transport!$B47,BY_TRA!$BK$2:$BK$999,Transport!$C47)/SUMIFS(BY_TRA!T$2:T$999,BY_TRA!$BJ$2:$BJ$999,Transport!$B47),0)</f>
        <v>0</v>
      </c>
      <c r="M47" s="1">
        <f>IFERROR(SUMIFS(BY_TRA!U$2:U$999,BY_TRA!$BJ$2:$BJ$999,Transport!$B47,BY_TRA!$BK$2:$BK$999,Transport!$C47)/SUMIFS(BY_TRA!U$2:U$999,BY_TRA!$BJ$2:$BJ$999,Transport!$B47),0)</f>
        <v>0</v>
      </c>
      <c r="N47" s="1">
        <f>IFERROR(SUMIFS(BY_TRA!V$2:V$999,BY_TRA!$BJ$2:$BJ$999,Transport!$B47,BY_TRA!$BK$2:$BK$999,Transport!$C47)/SUMIFS(BY_TRA!V$2:V$999,BY_TRA!$BJ$2:$BJ$999,Transport!$B47),0)</f>
        <v>0</v>
      </c>
      <c r="O47" s="1">
        <f>IFERROR(SUMIFS(BY_TRA!W$2:W$999,BY_TRA!$BJ$2:$BJ$999,Transport!$B47,BY_TRA!$BK$2:$BK$999,Transport!$C47)/SUMIFS(BY_TRA!W$2:W$999,BY_TRA!$BJ$2:$BJ$999,Transport!$B47),0)</f>
        <v>0</v>
      </c>
      <c r="P47" s="1">
        <f>IFERROR(SUMIFS(BY_TRA!X$2:X$999,BY_TRA!$BJ$2:$BJ$999,Transport!$B47,BY_TRA!$BK$2:$BK$999,Transport!$C47)/SUMIFS(BY_TRA!X$2:X$999,BY_TRA!$BJ$2:$BJ$999,Transport!$B47),0)</f>
        <v>0</v>
      </c>
      <c r="Q47" s="1">
        <f>IFERROR(SUMIFS(BY_TRA!Y$2:Y$999,BY_TRA!$BJ$2:$BJ$999,Transport!$B47,BY_TRA!$BK$2:$BK$999,Transport!$C47)/SUMIFS(BY_TRA!Y$2:Y$999,BY_TRA!$BJ$2:$BJ$999,Transport!$B47),0)</f>
        <v>0</v>
      </c>
      <c r="R47" s="1">
        <f>IFERROR(SUMIFS(BY_TRA!Z$2:Z$999,BY_TRA!$BJ$2:$BJ$999,Transport!$B47,BY_TRA!$BK$2:$BK$999,Transport!$C47)/SUMIFS(BY_TRA!Z$2:Z$999,BY_TRA!$BJ$2:$BJ$999,Transport!$B47),0)</f>
        <v>0</v>
      </c>
      <c r="S47" s="1">
        <f>IFERROR(SUMIFS(BY_TRA!AA$2:AA$999,BY_TRA!$BJ$2:$BJ$999,Transport!$B47,BY_TRA!$BK$2:$BK$999,Transport!$C47)/SUMIFS(BY_TRA!AA$2:AA$999,BY_TRA!$BJ$2:$BJ$999,Transport!$B47),0)</f>
        <v>0</v>
      </c>
      <c r="T47" s="1">
        <f>IFERROR(SUMIFS(BY_TRA!AB$2:AB$999,BY_TRA!$BJ$2:$BJ$999,Transport!$B47,BY_TRA!$BK$2:$BK$999,Transport!$C47)/SUMIFS(BY_TRA!AB$2:AB$999,BY_TRA!$BJ$2:$BJ$999,Transport!$B47),0)</f>
        <v>0</v>
      </c>
      <c r="U47" s="1">
        <f>IFERROR(SUMIFS(BY_TRA!AC$2:AC$999,BY_TRA!$BJ$2:$BJ$999,Transport!$B47,BY_TRA!$BK$2:$BK$999,Transport!$C47)/SUMIFS(BY_TRA!AC$2:AC$999,BY_TRA!$BJ$2:$BJ$999,Transport!$B47),0)</f>
        <v>0</v>
      </c>
      <c r="V47" s="1">
        <f>IFERROR(SUMIFS(BY_TRA!AD$2:AD$999,BY_TRA!$BJ$2:$BJ$999,Transport!$B47,BY_TRA!$BK$2:$BK$999,Transport!$C47)/SUMIFS(BY_TRA!AD$2:AD$999,BY_TRA!$BJ$2:$BJ$999,Transport!$B47),0)</f>
        <v>0</v>
      </c>
      <c r="W47" s="1">
        <f>IFERROR(SUMIFS(BY_TRA!AE$2:AE$999,BY_TRA!$BJ$2:$BJ$999,Transport!$B47,BY_TRA!$BK$2:$BK$999,Transport!$C47)/SUMIFS(BY_TRA!AE$2:AE$999,BY_TRA!$BJ$2:$BJ$999,Transport!$B47),0)</f>
        <v>0</v>
      </c>
      <c r="X47" s="1">
        <f>IFERROR(SUMIFS(BY_TRA!AF$2:AF$999,BY_TRA!$BJ$2:$BJ$999,Transport!$B47,BY_TRA!$BK$2:$BK$999,Transport!$C47)/SUMIFS(BY_TRA!AF$2:AF$999,BY_TRA!$BJ$2:$BJ$999,Transport!$B47),0)</f>
        <v>0</v>
      </c>
      <c r="Y47" s="1">
        <f>IFERROR(SUMIFS(BY_TRA!AG$2:AG$999,BY_TRA!$BJ$2:$BJ$999,Transport!$B47,BY_TRA!$BK$2:$BK$999,Transport!$C47)/SUMIFS(BY_TRA!AG$2:AG$999,BY_TRA!$BJ$2:$BJ$999,Transport!$B47),0)</f>
        <v>0</v>
      </c>
      <c r="Z47" s="1">
        <f>IFERROR(SUMIFS(BY_TRA!AH$2:AH$999,BY_TRA!$BJ$2:$BJ$999,Transport!$B47,BY_TRA!$BK$2:$BK$999,Transport!$C47)/SUMIFS(BY_TRA!AH$2:AH$999,BY_TRA!$BJ$2:$BJ$999,Transport!$B47),0)</f>
        <v>0</v>
      </c>
      <c r="AA47" s="1">
        <f>IFERROR(SUMIFS(BY_TRA!AI$2:AI$999,BY_TRA!$BJ$2:$BJ$999,Transport!$B47,BY_TRA!$BK$2:$BK$999,Transport!$C47)/SUMIFS(BY_TRA!AI$2:AI$999,BY_TRA!$BJ$2:$BJ$999,Transport!$B47),0)</f>
        <v>0</v>
      </c>
      <c r="AB47" s="1">
        <f>IFERROR(SUMIFS(BY_TRA!AJ$2:AJ$999,BY_TRA!$BJ$2:$BJ$999,Transport!$B47,BY_TRA!$BK$2:$BK$999,Transport!$C47)/SUMIFS(BY_TRA!AJ$2:AJ$999,BY_TRA!$BJ$2:$BJ$999,Transport!$B47),0)</f>
        <v>0</v>
      </c>
      <c r="AC47" s="1">
        <f>IFERROR(SUMIFS(BY_TRA!AK$2:AK$999,BY_TRA!$BJ$2:$BJ$999,Transport!$B47,BY_TRA!$BK$2:$BK$999,Transport!$C47)/SUMIFS(BY_TRA!AK$2:AK$999,BY_TRA!$BJ$2:$BJ$999,Transport!$B47),0)</f>
        <v>0</v>
      </c>
      <c r="AD47" s="1">
        <f>IFERROR(SUMIFS(BY_TRA!AL$2:AL$999,BY_TRA!$BJ$2:$BJ$999,Transport!$B47,BY_TRA!$BK$2:$BK$999,Transport!$C47)/SUMIFS(BY_TRA!AL$2:AL$999,BY_TRA!$BJ$2:$BJ$999,Transport!$B47),0)</f>
        <v>0</v>
      </c>
      <c r="AE47" s="1">
        <f>IFERROR(SUMIFS(BY_TRA!AM$2:AM$999,BY_TRA!$BJ$2:$BJ$999,Transport!$B47,BY_TRA!$BK$2:$BK$999,Transport!$C47)/SUMIFS(BY_TRA!AM$2:AM$999,BY_TRA!$BJ$2:$BJ$999,Transport!$B47),0)</f>
        <v>0</v>
      </c>
      <c r="AF47" s="1">
        <f>IFERROR(SUMIFS(BY_TRA!AN$2:AN$999,BY_TRA!$BJ$2:$BJ$999,Transport!$B47,BY_TRA!$BK$2:$BK$999,Transport!$C47)/SUMIFS(BY_TRA!AN$2:AN$999,BY_TRA!$BJ$2:$BJ$999,Transport!$B47),0)</f>
        <v>0</v>
      </c>
      <c r="AG47" s="1">
        <f>IFERROR(SUMIFS(BY_TRA!AO$2:AO$999,BY_TRA!$BJ$2:$BJ$999,Transport!$B47,BY_TRA!$BK$2:$BK$999,Transport!$C47)/SUMIFS(BY_TRA!AO$2:AO$999,BY_TRA!$BJ$2:$BJ$999,Transport!$B47),0)</f>
        <v>0</v>
      </c>
      <c r="AH47" s="1">
        <f>IFERROR(SUMIFS(BY_TRA!AP$2:AP$999,BY_TRA!$BJ$2:$BJ$999,Transport!$B47,BY_TRA!$BK$2:$BK$999,Transport!$C47)/SUMIFS(BY_TRA!AP$2:AP$999,BY_TRA!$BJ$2:$BJ$999,Transport!$B47),0)</f>
        <v>0</v>
      </c>
      <c r="AI47" s="1">
        <f>IFERROR(SUMIFS(BY_TRA!AQ$2:AQ$999,BY_TRA!$BJ$2:$BJ$999,Transport!$B47,BY_TRA!$BK$2:$BK$999,Transport!$C47)/SUMIFS(BY_TRA!AQ$2:AQ$999,BY_TRA!$BJ$2:$BJ$999,Transport!$B47),0)</f>
        <v>0</v>
      </c>
      <c r="AJ47" s="1">
        <f>IFERROR(SUMIFS(BY_TRA!AR$2:AR$999,BY_TRA!$BJ$2:$BJ$999,Transport!$B47,BY_TRA!$BK$2:$BK$999,Transport!$C47)/SUMIFS(BY_TRA!AR$2:AR$999,BY_TRA!$BJ$2:$BJ$999,Transport!$B47),0)</f>
        <v>0</v>
      </c>
      <c r="AK47" s="1">
        <f>IFERROR(SUMIFS(BY_TRA!AS$2:AS$999,BY_TRA!$BJ$2:$BJ$999,Transport!$B47,BY_TRA!$BK$2:$BK$999,Transport!$C47)/SUMIFS(BY_TRA!AS$2:AS$999,BY_TRA!$BJ$2:$BJ$999,Transport!$B47),0)</f>
        <v>0</v>
      </c>
      <c r="AL47" s="1">
        <f>IFERROR(SUMIFS(BY_TRA!AT$2:AT$999,BY_TRA!$BJ$2:$BJ$999,Transport!$B47,BY_TRA!$BK$2:$BK$999,Transport!$C47)/SUMIFS(BY_TRA!AT$2:AT$999,BY_TRA!$BJ$2:$BJ$999,Transport!$B47),0)</f>
        <v>0</v>
      </c>
      <c r="AM47" s="1">
        <f>IFERROR(SUMIFS(BY_TRA!AU$2:AU$999,BY_TRA!$BJ$2:$BJ$999,Transport!$B47,BY_TRA!$BK$2:$BK$999,Transport!$C47)/SUMIFS(BY_TRA!AU$2:AU$999,BY_TRA!$BJ$2:$BJ$999,Transport!$B47),0)</f>
        <v>0</v>
      </c>
      <c r="AN47" s="1">
        <f>IFERROR(SUMIFS(BY_TRA!AV$2:AV$999,BY_TRA!$BJ$2:$BJ$999,Transport!$B47,BY_TRA!$BK$2:$BK$999,Transport!$C47)/SUMIFS(BY_TRA!AV$2:AV$999,BY_TRA!$BJ$2:$BJ$999,Transport!$B47),0)</f>
        <v>0</v>
      </c>
      <c r="AO47" s="1">
        <f>IFERROR(SUMIFS(BY_TRA!AW$2:AW$999,BY_TRA!$BJ$2:$BJ$999,Transport!$B47,BY_TRA!$BK$2:$BK$999,Transport!$C47)/SUMIFS(BY_TRA!AW$2:AW$999,BY_TRA!$BJ$2:$BJ$999,Transport!$B47),0)</f>
        <v>0</v>
      </c>
      <c r="AP47" s="1">
        <f>IFERROR(SUMIFS(BY_TRA!AX$2:AX$999,BY_TRA!$BJ$2:$BJ$999,Transport!$B47,BY_TRA!$BK$2:$BK$999,Transport!$C47)/SUMIFS(BY_TRA!AX$2:AX$999,BY_TRA!$BJ$2:$BJ$999,Transport!$B47),0)</f>
        <v>0</v>
      </c>
      <c r="AQ47" s="1">
        <f>IFERROR(SUMIFS(BY_TRA!AY$2:AY$999,BY_TRA!$BJ$2:$BJ$999,Transport!$B47,BY_TRA!$BK$2:$BK$999,Transport!$C47)/SUMIFS(BY_TRA!AY$2:AY$999,BY_TRA!$BJ$2:$BJ$999,Transport!$B47),0)</f>
        <v>0</v>
      </c>
      <c r="AR47" s="1">
        <f>IFERROR(SUMIFS(BY_TRA!AZ$2:AZ$999,BY_TRA!$BJ$2:$BJ$999,Transport!$B47,BY_TRA!$BK$2:$BK$999,Transport!$C47)/SUMIFS(BY_TRA!AZ$2:AZ$999,BY_TRA!$BJ$2:$BJ$999,Transport!$B47),0)</f>
        <v>0</v>
      </c>
      <c r="AS47" s="1">
        <f>IFERROR(SUMIFS(BY_TRA!BA$2:BA$999,BY_TRA!$BJ$2:$BJ$999,Transport!$B47,BY_TRA!$BK$2:$BK$999,Transport!$C47)/SUMIFS(BY_TRA!BA$2:BA$999,BY_TRA!$BJ$2:$BJ$999,Transport!$B47),0)</f>
        <v>0</v>
      </c>
      <c r="AT47" s="1">
        <f>IFERROR(SUMIFS(BY_TRA!BB$2:BB$999,BY_TRA!$BJ$2:$BJ$999,Transport!$B47,BY_TRA!$BK$2:$BK$999,Transport!$C47)/SUMIFS(BY_TRA!BB$2:BB$999,BY_TRA!$BJ$2:$BJ$999,Transport!$B47),0)</f>
        <v>0</v>
      </c>
      <c r="AU47" s="1">
        <f>IFERROR(SUMIFS(BY_TRA!BC$2:BC$999,BY_TRA!$BJ$2:$BJ$999,Transport!$B47,BY_TRA!$BK$2:$BK$999,Transport!$C47)/SUMIFS(BY_TRA!BC$2:BC$999,BY_TRA!$BJ$2:$BJ$999,Transport!$B47),0)</f>
        <v>0</v>
      </c>
      <c r="AV47" s="1">
        <f>IFERROR(SUMIFS(BY_TRA!BD$2:BD$999,BY_TRA!$BJ$2:$BJ$999,Transport!$B47,BY_TRA!$BK$2:$BK$999,Transport!$C47)/SUMIFS(BY_TRA!BD$2:BD$999,BY_TRA!$BJ$2:$BJ$999,Transport!$B47),0)</f>
        <v>0</v>
      </c>
      <c r="AW47" s="1">
        <f>IFERROR(SUMIFS(BY_TRA!BE$2:BE$999,BY_TRA!$BJ$2:$BJ$999,Transport!$B47,BY_TRA!$BK$2:$BK$999,Transport!$C47)/SUMIFS(BY_TRA!BE$2:BE$999,BY_TRA!$BJ$2:$BJ$999,Transport!$B47),0)</f>
        <v>0</v>
      </c>
      <c r="AX47" s="1">
        <f>IFERROR(SUMIFS(BY_TRA!BF$2:BF$999,BY_TRA!$BJ$2:$BJ$999,Transport!$B47,BY_TRA!$BK$2:$BK$999,Transport!$C47)/SUMIFS(BY_TRA!BF$2:BF$999,BY_TRA!$BJ$2:$BJ$999,Transport!$B47),0)</f>
        <v>0</v>
      </c>
      <c r="AY47" s="1">
        <f>IFERROR(SUMIFS(BY_TRA!BG$2:BG$999,BY_TRA!$BJ$2:$BJ$999,Transport!$B47,BY_TRA!$BK$2:$BK$999,Transport!$C47)/SUMIFS(BY_TRA!BG$2:BG$999,BY_TRA!$BJ$2:$BJ$999,Transport!$B47),0)</f>
        <v>0</v>
      </c>
    </row>
    <row r="48" spans="2:51">
      <c r="B48" t="s">
        <v>132</v>
      </c>
      <c r="C48" t="s">
        <v>127</v>
      </c>
      <c r="D48" s="1">
        <f>IFERROR(SUMIFS(BY_TRA!L$2:L$999,BY_TRA!$BJ$2:$BJ$999,Transport!$B48,BY_TRA!$BK$2:$BK$999,Transport!$C48)/SUMIFS(BY_TRA!L$2:L$999,BY_TRA!$BJ$2:$BJ$999,Transport!$B48),0)</f>
        <v>0</v>
      </c>
      <c r="E48" s="1">
        <f>IFERROR(SUMIFS(BY_TRA!M$2:M$999,BY_TRA!$BJ$2:$BJ$999,Transport!$B48,BY_TRA!$BK$2:$BK$999,Transport!$C48)/SUMIFS(BY_TRA!M$2:M$999,BY_TRA!$BJ$2:$BJ$999,Transport!$B48),0)</f>
        <v>0</v>
      </c>
      <c r="F48" s="1">
        <f>IFERROR(SUMIFS(BY_TRA!N$2:N$999,BY_TRA!$BJ$2:$BJ$999,Transport!$B48,BY_TRA!$BK$2:$BK$999,Transport!$C48)/SUMIFS(BY_TRA!N$2:N$999,BY_TRA!$BJ$2:$BJ$999,Transport!$B48),0)</f>
        <v>0</v>
      </c>
      <c r="G48" s="1">
        <f>IFERROR(SUMIFS(BY_TRA!O$2:O$999,BY_TRA!$BJ$2:$BJ$999,Transport!$B48,BY_TRA!$BK$2:$BK$999,Transport!$C48)/SUMIFS(BY_TRA!O$2:O$999,BY_TRA!$BJ$2:$BJ$999,Transport!$B48),0)</f>
        <v>0</v>
      </c>
      <c r="H48" s="1">
        <f>IFERROR(SUMIFS(BY_TRA!P$2:P$999,BY_TRA!$BJ$2:$BJ$999,Transport!$B48,BY_TRA!$BK$2:$BK$999,Transport!$C48)/SUMIFS(BY_TRA!P$2:P$999,BY_TRA!$BJ$2:$BJ$999,Transport!$B48),0)</f>
        <v>0</v>
      </c>
      <c r="I48" s="1">
        <f>IFERROR(SUMIFS(BY_TRA!Q$2:Q$999,BY_TRA!$BJ$2:$BJ$999,Transport!$B48,BY_TRA!$BK$2:$BK$999,Transport!$C48)/SUMIFS(BY_TRA!Q$2:Q$999,BY_TRA!$BJ$2:$BJ$999,Transport!$B48),0)</f>
        <v>0</v>
      </c>
      <c r="J48" s="1">
        <f>IFERROR(SUMIFS(BY_TRA!R$2:R$999,BY_TRA!$BJ$2:$BJ$999,Transport!$B48,BY_TRA!$BK$2:$BK$999,Transport!$C48)/SUMIFS(BY_TRA!R$2:R$999,BY_TRA!$BJ$2:$BJ$999,Transport!$B48),0)</f>
        <v>0</v>
      </c>
      <c r="K48" s="1">
        <f>IFERROR(SUMIFS(BY_TRA!S$2:S$999,BY_TRA!$BJ$2:$BJ$999,Transport!$B48,BY_TRA!$BK$2:$BK$999,Transport!$C48)/SUMIFS(BY_TRA!S$2:S$999,BY_TRA!$BJ$2:$BJ$999,Transport!$B48),0)</f>
        <v>0</v>
      </c>
      <c r="L48" s="1">
        <f>IFERROR(SUMIFS(BY_TRA!T$2:T$999,BY_TRA!$BJ$2:$BJ$999,Transport!$B48,BY_TRA!$BK$2:$BK$999,Transport!$C48)/SUMIFS(BY_TRA!T$2:T$999,BY_TRA!$BJ$2:$BJ$999,Transport!$B48),0)</f>
        <v>0</v>
      </c>
      <c r="M48" s="1">
        <f>IFERROR(SUMIFS(BY_TRA!U$2:U$999,BY_TRA!$BJ$2:$BJ$999,Transport!$B48,BY_TRA!$BK$2:$BK$999,Transport!$C48)/SUMIFS(BY_TRA!U$2:U$999,BY_TRA!$BJ$2:$BJ$999,Transport!$B48),0)</f>
        <v>0</v>
      </c>
      <c r="N48" s="1">
        <f>IFERROR(SUMIFS(BY_TRA!V$2:V$999,BY_TRA!$BJ$2:$BJ$999,Transport!$B48,BY_TRA!$BK$2:$BK$999,Transport!$C48)/SUMIFS(BY_TRA!V$2:V$999,BY_TRA!$BJ$2:$BJ$999,Transport!$B48),0)</f>
        <v>0</v>
      </c>
      <c r="O48" s="1">
        <f>IFERROR(SUMIFS(BY_TRA!W$2:W$999,BY_TRA!$BJ$2:$BJ$999,Transport!$B48,BY_TRA!$BK$2:$BK$999,Transport!$C48)/SUMIFS(BY_TRA!W$2:W$999,BY_TRA!$BJ$2:$BJ$999,Transport!$B48),0)</f>
        <v>0</v>
      </c>
      <c r="P48" s="1">
        <f>IFERROR(SUMIFS(BY_TRA!X$2:X$999,BY_TRA!$BJ$2:$BJ$999,Transport!$B48,BY_TRA!$BK$2:$BK$999,Transport!$C48)/SUMIFS(BY_TRA!X$2:X$999,BY_TRA!$BJ$2:$BJ$999,Transport!$B48),0)</f>
        <v>0</v>
      </c>
      <c r="Q48" s="1">
        <f>IFERROR(SUMIFS(BY_TRA!Y$2:Y$999,BY_TRA!$BJ$2:$BJ$999,Transport!$B48,BY_TRA!$BK$2:$BK$999,Transport!$C48)/SUMIFS(BY_TRA!Y$2:Y$999,BY_TRA!$BJ$2:$BJ$999,Transport!$B48),0)</f>
        <v>0</v>
      </c>
      <c r="R48" s="1">
        <f>IFERROR(SUMIFS(BY_TRA!Z$2:Z$999,BY_TRA!$BJ$2:$BJ$999,Transport!$B48,BY_TRA!$BK$2:$BK$999,Transport!$C48)/SUMIFS(BY_TRA!Z$2:Z$999,BY_TRA!$BJ$2:$BJ$999,Transport!$B48),0)</f>
        <v>0</v>
      </c>
      <c r="S48" s="1">
        <f>IFERROR(SUMIFS(BY_TRA!AA$2:AA$999,BY_TRA!$BJ$2:$BJ$999,Transport!$B48,BY_TRA!$BK$2:$BK$999,Transport!$C48)/SUMIFS(BY_TRA!AA$2:AA$999,BY_TRA!$BJ$2:$BJ$999,Transport!$B48),0)</f>
        <v>0</v>
      </c>
      <c r="T48" s="1">
        <f>IFERROR(SUMIFS(BY_TRA!AB$2:AB$999,BY_TRA!$BJ$2:$BJ$999,Transport!$B48,BY_TRA!$BK$2:$BK$999,Transport!$C48)/SUMIFS(BY_TRA!AB$2:AB$999,BY_TRA!$BJ$2:$BJ$999,Transport!$B48),0)</f>
        <v>0</v>
      </c>
      <c r="U48" s="1">
        <f>IFERROR(SUMIFS(BY_TRA!AC$2:AC$999,BY_TRA!$BJ$2:$BJ$999,Transport!$B48,BY_TRA!$BK$2:$BK$999,Transport!$C48)/SUMIFS(BY_TRA!AC$2:AC$999,BY_TRA!$BJ$2:$BJ$999,Transport!$B48),0)</f>
        <v>0</v>
      </c>
      <c r="V48" s="1">
        <f>IFERROR(SUMIFS(BY_TRA!AD$2:AD$999,BY_TRA!$BJ$2:$BJ$999,Transport!$B48,BY_TRA!$BK$2:$BK$999,Transport!$C48)/SUMIFS(BY_TRA!AD$2:AD$999,BY_TRA!$BJ$2:$BJ$999,Transport!$B48),0)</f>
        <v>0</v>
      </c>
      <c r="W48" s="1">
        <f>IFERROR(SUMIFS(BY_TRA!AE$2:AE$999,BY_TRA!$BJ$2:$BJ$999,Transport!$B48,BY_TRA!$BK$2:$BK$999,Transport!$C48)/SUMIFS(BY_TRA!AE$2:AE$999,BY_TRA!$BJ$2:$BJ$999,Transport!$B48),0)</f>
        <v>0</v>
      </c>
      <c r="X48" s="1">
        <f>IFERROR(SUMIFS(BY_TRA!AF$2:AF$999,BY_TRA!$BJ$2:$BJ$999,Transport!$B48,BY_TRA!$BK$2:$BK$999,Transport!$C48)/SUMIFS(BY_TRA!AF$2:AF$999,BY_TRA!$BJ$2:$BJ$999,Transport!$B48),0)</f>
        <v>0</v>
      </c>
      <c r="Y48" s="1">
        <f>IFERROR(SUMIFS(BY_TRA!AG$2:AG$999,BY_TRA!$BJ$2:$BJ$999,Transport!$B48,BY_TRA!$BK$2:$BK$999,Transport!$C48)/SUMIFS(BY_TRA!AG$2:AG$999,BY_TRA!$BJ$2:$BJ$999,Transport!$B48),0)</f>
        <v>0</v>
      </c>
      <c r="Z48" s="1">
        <f>IFERROR(SUMIFS(BY_TRA!AH$2:AH$999,BY_TRA!$BJ$2:$BJ$999,Transport!$B48,BY_TRA!$BK$2:$BK$999,Transport!$C48)/SUMIFS(BY_TRA!AH$2:AH$999,BY_TRA!$BJ$2:$BJ$999,Transport!$B48),0)</f>
        <v>0</v>
      </c>
      <c r="AA48" s="1">
        <f>IFERROR(SUMIFS(BY_TRA!AI$2:AI$999,BY_TRA!$BJ$2:$BJ$999,Transport!$B48,BY_TRA!$BK$2:$BK$999,Transport!$C48)/SUMIFS(BY_TRA!AI$2:AI$999,BY_TRA!$BJ$2:$BJ$999,Transport!$B48),0)</f>
        <v>0</v>
      </c>
      <c r="AB48" s="1">
        <f>IFERROR(SUMIFS(BY_TRA!AJ$2:AJ$999,BY_TRA!$BJ$2:$BJ$999,Transport!$B48,BY_TRA!$BK$2:$BK$999,Transport!$C48)/SUMIFS(BY_TRA!AJ$2:AJ$999,BY_TRA!$BJ$2:$BJ$999,Transport!$B48),0)</f>
        <v>0</v>
      </c>
      <c r="AC48" s="1">
        <f>IFERROR(SUMIFS(BY_TRA!AK$2:AK$999,BY_TRA!$BJ$2:$BJ$999,Transport!$B48,BY_TRA!$BK$2:$BK$999,Transport!$C48)/SUMIFS(BY_TRA!AK$2:AK$999,BY_TRA!$BJ$2:$BJ$999,Transport!$B48),0)</f>
        <v>0</v>
      </c>
      <c r="AD48" s="1">
        <f>IFERROR(SUMIFS(BY_TRA!AL$2:AL$999,BY_TRA!$BJ$2:$BJ$999,Transport!$B48,BY_TRA!$BK$2:$BK$999,Transport!$C48)/SUMIFS(BY_TRA!AL$2:AL$999,BY_TRA!$BJ$2:$BJ$999,Transport!$B48),0)</f>
        <v>0</v>
      </c>
      <c r="AE48" s="1">
        <f>IFERROR(SUMIFS(BY_TRA!AM$2:AM$999,BY_TRA!$BJ$2:$BJ$999,Transport!$B48,BY_TRA!$BK$2:$BK$999,Transport!$C48)/SUMIFS(BY_TRA!AM$2:AM$999,BY_TRA!$BJ$2:$BJ$999,Transport!$B48),0)</f>
        <v>0</v>
      </c>
      <c r="AF48" s="1">
        <f>IFERROR(SUMIFS(BY_TRA!AN$2:AN$999,BY_TRA!$BJ$2:$BJ$999,Transport!$B48,BY_TRA!$BK$2:$BK$999,Transport!$C48)/SUMIFS(BY_TRA!AN$2:AN$999,BY_TRA!$BJ$2:$BJ$999,Transport!$B48),0)</f>
        <v>0</v>
      </c>
      <c r="AG48" s="1">
        <f>IFERROR(SUMIFS(BY_TRA!AO$2:AO$999,BY_TRA!$BJ$2:$BJ$999,Transport!$B48,BY_TRA!$BK$2:$BK$999,Transport!$C48)/SUMIFS(BY_TRA!AO$2:AO$999,BY_TRA!$BJ$2:$BJ$999,Transport!$B48),0)</f>
        <v>0</v>
      </c>
      <c r="AH48" s="1">
        <f>IFERROR(SUMIFS(BY_TRA!AP$2:AP$999,BY_TRA!$BJ$2:$BJ$999,Transport!$B48,BY_TRA!$BK$2:$BK$999,Transport!$C48)/SUMIFS(BY_TRA!AP$2:AP$999,BY_TRA!$BJ$2:$BJ$999,Transport!$B48),0)</f>
        <v>0</v>
      </c>
      <c r="AI48" s="1">
        <f>IFERROR(SUMIFS(BY_TRA!AQ$2:AQ$999,BY_TRA!$BJ$2:$BJ$999,Transport!$B48,BY_TRA!$BK$2:$BK$999,Transport!$C48)/SUMIFS(BY_TRA!AQ$2:AQ$999,BY_TRA!$BJ$2:$BJ$999,Transport!$B48),0)</f>
        <v>0</v>
      </c>
      <c r="AJ48" s="1">
        <f>IFERROR(SUMIFS(BY_TRA!AR$2:AR$999,BY_TRA!$BJ$2:$BJ$999,Transport!$B48,BY_TRA!$BK$2:$BK$999,Transport!$C48)/SUMIFS(BY_TRA!AR$2:AR$999,BY_TRA!$BJ$2:$BJ$999,Transport!$B48),0)</f>
        <v>0</v>
      </c>
      <c r="AK48" s="1">
        <f>IFERROR(SUMIFS(BY_TRA!AS$2:AS$999,BY_TRA!$BJ$2:$BJ$999,Transport!$B48,BY_TRA!$BK$2:$BK$999,Transport!$C48)/SUMIFS(BY_TRA!AS$2:AS$999,BY_TRA!$BJ$2:$BJ$999,Transport!$B48),0)</f>
        <v>0</v>
      </c>
      <c r="AL48" s="1">
        <f>IFERROR(SUMIFS(BY_TRA!AT$2:AT$999,BY_TRA!$BJ$2:$BJ$999,Transport!$B48,BY_TRA!$BK$2:$BK$999,Transport!$C48)/SUMIFS(BY_TRA!AT$2:AT$999,BY_TRA!$BJ$2:$BJ$999,Transport!$B48),0)</f>
        <v>0</v>
      </c>
      <c r="AM48" s="1">
        <f>IFERROR(SUMIFS(BY_TRA!AU$2:AU$999,BY_TRA!$BJ$2:$BJ$999,Transport!$B48,BY_TRA!$BK$2:$BK$999,Transport!$C48)/SUMIFS(BY_TRA!AU$2:AU$999,BY_TRA!$BJ$2:$BJ$999,Transport!$B48),0)</f>
        <v>0</v>
      </c>
      <c r="AN48" s="1">
        <f>IFERROR(SUMIFS(BY_TRA!AV$2:AV$999,BY_TRA!$BJ$2:$BJ$999,Transport!$B48,BY_TRA!$BK$2:$BK$999,Transport!$C48)/SUMIFS(BY_TRA!AV$2:AV$999,BY_TRA!$BJ$2:$BJ$999,Transport!$B48),0)</f>
        <v>0</v>
      </c>
      <c r="AO48" s="1">
        <f>IFERROR(SUMIFS(BY_TRA!AW$2:AW$999,BY_TRA!$BJ$2:$BJ$999,Transport!$B48,BY_TRA!$BK$2:$BK$999,Transport!$C48)/SUMIFS(BY_TRA!AW$2:AW$999,BY_TRA!$BJ$2:$BJ$999,Transport!$B48),0)</f>
        <v>0</v>
      </c>
      <c r="AP48" s="1">
        <f>IFERROR(SUMIFS(BY_TRA!AX$2:AX$999,BY_TRA!$BJ$2:$BJ$999,Transport!$B48,BY_TRA!$BK$2:$BK$999,Transport!$C48)/SUMIFS(BY_TRA!AX$2:AX$999,BY_TRA!$BJ$2:$BJ$999,Transport!$B48),0)</f>
        <v>0</v>
      </c>
      <c r="AQ48" s="1">
        <f>IFERROR(SUMIFS(BY_TRA!AY$2:AY$999,BY_TRA!$BJ$2:$BJ$999,Transport!$B48,BY_TRA!$BK$2:$BK$999,Transport!$C48)/SUMIFS(BY_TRA!AY$2:AY$999,BY_TRA!$BJ$2:$BJ$999,Transport!$B48),0)</f>
        <v>0</v>
      </c>
      <c r="AR48" s="1">
        <f>IFERROR(SUMIFS(BY_TRA!AZ$2:AZ$999,BY_TRA!$BJ$2:$BJ$999,Transport!$B48,BY_TRA!$BK$2:$BK$999,Transport!$C48)/SUMIFS(BY_TRA!AZ$2:AZ$999,BY_TRA!$BJ$2:$BJ$999,Transport!$B48),0)</f>
        <v>0</v>
      </c>
      <c r="AS48" s="1">
        <f>IFERROR(SUMIFS(BY_TRA!BA$2:BA$999,BY_TRA!$BJ$2:$BJ$999,Transport!$B48,BY_TRA!$BK$2:$BK$999,Transport!$C48)/SUMIFS(BY_TRA!BA$2:BA$999,BY_TRA!$BJ$2:$BJ$999,Transport!$B48),0)</f>
        <v>0</v>
      </c>
      <c r="AT48" s="1">
        <f>IFERROR(SUMIFS(BY_TRA!BB$2:BB$999,BY_TRA!$BJ$2:$BJ$999,Transport!$B48,BY_TRA!$BK$2:$BK$999,Transport!$C48)/SUMIFS(BY_TRA!BB$2:BB$999,BY_TRA!$BJ$2:$BJ$999,Transport!$B48),0)</f>
        <v>0</v>
      </c>
      <c r="AU48" s="1">
        <f>IFERROR(SUMIFS(BY_TRA!BC$2:BC$999,BY_TRA!$BJ$2:$BJ$999,Transport!$B48,BY_TRA!$BK$2:$BK$999,Transport!$C48)/SUMIFS(BY_TRA!BC$2:BC$999,BY_TRA!$BJ$2:$BJ$999,Transport!$B48),0)</f>
        <v>0</v>
      </c>
      <c r="AV48" s="1">
        <f>IFERROR(SUMIFS(BY_TRA!BD$2:BD$999,BY_TRA!$BJ$2:$BJ$999,Transport!$B48,BY_TRA!$BK$2:$BK$999,Transport!$C48)/SUMIFS(BY_TRA!BD$2:BD$999,BY_TRA!$BJ$2:$BJ$999,Transport!$B48),0)</f>
        <v>0</v>
      </c>
      <c r="AW48" s="1">
        <f>IFERROR(SUMIFS(BY_TRA!BE$2:BE$999,BY_TRA!$BJ$2:$BJ$999,Transport!$B48,BY_TRA!$BK$2:$BK$999,Transport!$C48)/SUMIFS(BY_TRA!BE$2:BE$999,BY_TRA!$BJ$2:$BJ$999,Transport!$B48),0)</f>
        <v>0</v>
      </c>
      <c r="AX48" s="1">
        <f>IFERROR(SUMIFS(BY_TRA!BF$2:BF$999,BY_TRA!$BJ$2:$BJ$999,Transport!$B48,BY_TRA!$BK$2:$BK$999,Transport!$C48)/SUMIFS(BY_TRA!BF$2:BF$999,BY_TRA!$BJ$2:$BJ$999,Transport!$B48),0)</f>
        <v>0</v>
      </c>
      <c r="AY48" s="1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132</v>
      </c>
      <c r="C49" t="s">
        <v>129</v>
      </c>
      <c r="D49" s="1">
        <f>IFERROR(SUMIFS(BY_TRA!L$2:L$999,BY_TRA!$BJ$2:$BJ$999,Transport!$B49,BY_TRA!$BK$2:$BK$999,Transport!$C49)/SUMIFS(BY_TRA!L$2:L$999,BY_TRA!$BJ$2:$BJ$999,Transport!$B49),0)</f>
        <v>0</v>
      </c>
      <c r="E49" s="1">
        <f>IFERROR(SUMIFS(BY_TRA!M$2:M$999,BY_TRA!$BJ$2:$BJ$999,Transport!$B49,BY_TRA!$BK$2:$BK$999,Transport!$C49)/SUMIFS(BY_TRA!M$2:M$999,BY_TRA!$BJ$2:$BJ$999,Transport!$B49),0)</f>
        <v>0</v>
      </c>
      <c r="F49" s="1">
        <f>IFERROR(SUMIFS(BY_TRA!N$2:N$999,BY_TRA!$BJ$2:$BJ$999,Transport!$B49,BY_TRA!$BK$2:$BK$999,Transport!$C49)/SUMIFS(BY_TRA!N$2:N$999,BY_TRA!$BJ$2:$BJ$999,Transport!$B49),0)</f>
        <v>0</v>
      </c>
      <c r="G49" s="1">
        <f>IFERROR(SUMIFS(BY_TRA!O$2:O$999,BY_TRA!$BJ$2:$BJ$999,Transport!$B49,BY_TRA!$BK$2:$BK$999,Transport!$C49)/SUMIFS(BY_TRA!O$2:O$999,BY_TRA!$BJ$2:$BJ$999,Transport!$B49),0)</f>
        <v>0</v>
      </c>
      <c r="H49" s="1">
        <f>IFERROR(SUMIFS(BY_TRA!P$2:P$999,BY_TRA!$BJ$2:$BJ$999,Transport!$B49,BY_TRA!$BK$2:$BK$999,Transport!$C49)/SUMIFS(BY_TRA!P$2:P$999,BY_TRA!$BJ$2:$BJ$999,Transport!$B49),0)</f>
        <v>0</v>
      </c>
      <c r="I49" s="1">
        <f>IFERROR(SUMIFS(BY_TRA!Q$2:Q$999,BY_TRA!$BJ$2:$BJ$999,Transport!$B49,BY_TRA!$BK$2:$BK$999,Transport!$C49)/SUMIFS(BY_TRA!Q$2:Q$999,BY_TRA!$BJ$2:$BJ$999,Transport!$B49),0)</f>
        <v>0</v>
      </c>
      <c r="J49" s="1">
        <f>IFERROR(SUMIFS(BY_TRA!R$2:R$999,BY_TRA!$BJ$2:$BJ$999,Transport!$B49,BY_TRA!$BK$2:$BK$999,Transport!$C49)/SUMIFS(BY_TRA!R$2:R$999,BY_TRA!$BJ$2:$BJ$999,Transport!$B49),0)</f>
        <v>0</v>
      </c>
      <c r="K49" s="1">
        <f>IFERROR(SUMIFS(BY_TRA!S$2:S$999,BY_TRA!$BJ$2:$BJ$999,Transport!$B49,BY_TRA!$BK$2:$BK$999,Transport!$C49)/SUMIFS(BY_TRA!S$2:S$999,BY_TRA!$BJ$2:$BJ$999,Transport!$B49),0)</f>
        <v>0</v>
      </c>
      <c r="L49" s="1">
        <f>IFERROR(SUMIFS(BY_TRA!T$2:T$999,BY_TRA!$BJ$2:$BJ$999,Transport!$B49,BY_TRA!$BK$2:$BK$999,Transport!$C49)/SUMIFS(BY_TRA!T$2:T$999,BY_TRA!$BJ$2:$BJ$999,Transport!$B49),0)</f>
        <v>0</v>
      </c>
      <c r="M49" s="1">
        <f>IFERROR(SUMIFS(BY_TRA!U$2:U$999,BY_TRA!$BJ$2:$BJ$999,Transport!$B49,BY_TRA!$BK$2:$BK$999,Transport!$C49)/SUMIFS(BY_TRA!U$2:U$999,BY_TRA!$BJ$2:$BJ$999,Transport!$B49),0)</f>
        <v>0</v>
      </c>
      <c r="N49" s="1">
        <f>IFERROR(SUMIFS(BY_TRA!V$2:V$999,BY_TRA!$BJ$2:$BJ$999,Transport!$B49,BY_TRA!$BK$2:$BK$999,Transport!$C49)/SUMIFS(BY_TRA!V$2:V$999,BY_TRA!$BJ$2:$BJ$999,Transport!$B49),0)</f>
        <v>0</v>
      </c>
      <c r="O49" s="1">
        <f>IFERROR(SUMIFS(BY_TRA!W$2:W$999,BY_TRA!$BJ$2:$BJ$999,Transport!$B49,BY_TRA!$BK$2:$BK$999,Transport!$C49)/SUMIFS(BY_TRA!W$2:W$999,BY_TRA!$BJ$2:$BJ$999,Transport!$B49),0)</f>
        <v>0</v>
      </c>
      <c r="P49" s="1">
        <f>IFERROR(SUMIFS(BY_TRA!X$2:X$999,BY_TRA!$BJ$2:$BJ$999,Transport!$B49,BY_TRA!$BK$2:$BK$999,Transport!$C49)/SUMIFS(BY_TRA!X$2:X$999,BY_TRA!$BJ$2:$BJ$999,Transport!$B49),0)</f>
        <v>0</v>
      </c>
      <c r="Q49" s="1">
        <f>IFERROR(SUMIFS(BY_TRA!Y$2:Y$999,BY_TRA!$BJ$2:$BJ$999,Transport!$B49,BY_TRA!$BK$2:$BK$999,Transport!$C49)/SUMIFS(BY_TRA!Y$2:Y$999,BY_TRA!$BJ$2:$BJ$999,Transport!$B49),0)</f>
        <v>0</v>
      </c>
      <c r="R49" s="1">
        <f>IFERROR(SUMIFS(BY_TRA!Z$2:Z$999,BY_TRA!$BJ$2:$BJ$999,Transport!$B49,BY_TRA!$BK$2:$BK$999,Transport!$C49)/SUMIFS(BY_TRA!Z$2:Z$999,BY_TRA!$BJ$2:$BJ$999,Transport!$B49),0)</f>
        <v>0</v>
      </c>
      <c r="S49" s="1">
        <f>IFERROR(SUMIFS(BY_TRA!AA$2:AA$999,BY_TRA!$BJ$2:$BJ$999,Transport!$B49,BY_TRA!$BK$2:$BK$999,Transport!$C49)/SUMIFS(BY_TRA!AA$2:AA$999,BY_TRA!$BJ$2:$BJ$999,Transport!$B49),0)</f>
        <v>0</v>
      </c>
      <c r="T49" s="1">
        <f>IFERROR(SUMIFS(BY_TRA!AB$2:AB$999,BY_TRA!$BJ$2:$BJ$999,Transport!$B49,BY_TRA!$BK$2:$BK$999,Transport!$C49)/SUMIFS(BY_TRA!AB$2:AB$999,BY_TRA!$BJ$2:$BJ$999,Transport!$B49),0)</f>
        <v>0</v>
      </c>
      <c r="U49" s="1">
        <f>IFERROR(SUMIFS(BY_TRA!AC$2:AC$999,BY_TRA!$BJ$2:$BJ$999,Transport!$B49,BY_TRA!$BK$2:$BK$999,Transport!$C49)/SUMIFS(BY_TRA!AC$2:AC$999,BY_TRA!$BJ$2:$BJ$999,Transport!$B49),0)</f>
        <v>0</v>
      </c>
      <c r="V49" s="1">
        <f>IFERROR(SUMIFS(BY_TRA!AD$2:AD$999,BY_TRA!$BJ$2:$BJ$999,Transport!$B49,BY_TRA!$BK$2:$BK$999,Transport!$C49)/SUMIFS(BY_TRA!AD$2:AD$999,BY_TRA!$BJ$2:$BJ$999,Transport!$B49),0)</f>
        <v>0</v>
      </c>
      <c r="W49" s="1">
        <f>IFERROR(SUMIFS(BY_TRA!AE$2:AE$999,BY_TRA!$BJ$2:$BJ$999,Transport!$B49,BY_TRA!$BK$2:$BK$999,Transport!$C49)/SUMIFS(BY_TRA!AE$2:AE$999,BY_TRA!$BJ$2:$BJ$999,Transport!$B49),0)</f>
        <v>0</v>
      </c>
      <c r="X49" s="1">
        <f>IFERROR(SUMIFS(BY_TRA!AF$2:AF$999,BY_TRA!$BJ$2:$BJ$999,Transport!$B49,BY_TRA!$BK$2:$BK$999,Transport!$C49)/SUMIFS(BY_TRA!AF$2:AF$999,BY_TRA!$BJ$2:$BJ$999,Transport!$B49),0)</f>
        <v>0</v>
      </c>
      <c r="Y49" s="1">
        <f>IFERROR(SUMIFS(BY_TRA!AG$2:AG$999,BY_TRA!$BJ$2:$BJ$999,Transport!$B49,BY_TRA!$BK$2:$BK$999,Transport!$C49)/SUMIFS(BY_TRA!AG$2:AG$999,BY_TRA!$BJ$2:$BJ$999,Transport!$B49),0)</f>
        <v>0</v>
      </c>
      <c r="Z49" s="1">
        <f>IFERROR(SUMIFS(BY_TRA!AH$2:AH$999,BY_TRA!$BJ$2:$BJ$999,Transport!$B49,BY_TRA!$BK$2:$BK$999,Transport!$C49)/SUMIFS(BY_TRA!AH$2:AH$999,BY_TRA!$BJ$2:$BJ$999,Transport!$B49),0)</f>
        <v>0</v>
      </c>
      <c r="AA49" s="1">
        <f>IFERROR(SUMIFS(BY_TRA!AI$2:AI$999,BY_TRA!$BJ$2:$BJ$999,Transport!$B49,BY_TRA!$BK$2:$BK$999,Transport!$C49)/SUMIFS(BY_TRA!AI$2:AI$999,BY_TRA!$BJ$2:$BJ$999,Transport!$B49),0)</f>
        <v>0</v>
      </c>
      <c r="AB49" s="1">
        <f>IFERROR(SUMIFS(BY_TRA!AJ$2:AJ$999,BY_TRA!$BJ$2:$BJ$999,Transport!$B49,BY_TRA!$BK$2:$BK$999,Transport!$C49)/SUMIFS(BY_TRA!AJ$2:AJ$999,BY_TRA!$BJ$2:$BJ$999,Transport!$B49),0)</f>
        <v>0</v>
      </c>
      <c r="AC49" s="1">
        <f>IFERROR(SUMIFS(BY_TRA!AK$2:AK$999,BY_TRA!$BJ$2:$BJ$999,Transport!$B49,BY_TRA!$BK$2:$BK$999,Transport!$C49)/SUMIFS(BY_TRA!AK$2:AK$999,BY_TRA!$BJ$2:$BJ$999,Transport!$B49),0)</f>
        <v>0</v>
      </c>
      <c r="AD49" s="1">
        <f>IFERROR(SUMIFS(BY_TRA!AL$2:AL$999,BY_TRA!$BJ$2:$BJ$999,Transport!$B49,BY_TRA!$BK$2:$BK$999,Transport!$C49)/SUMIFS(BY_TRA!AL$2:AL$999,BY_TRA!$BJ$2:$BJ$999,Transport!$B49),0)</f>
        <v>0</v>
      </c>
      <c r="AE49" s="1">
        <f>IFERROR(SUMIFS(BY_TRA!AM$2:AM$999,BY_TRA!$BJ$2:$BJ$999,Transport!$B49,BY_TRA!$BK$2:$BK$999,Transport!$C49)/SUMIFS(BY_TRA!AM$2:AM$999,BY_TRA!$BJ$2:$BJ$999,Transport!$B49),0)</f>
        <v>0</v>
      </c>
      <c r="AF49" s="1">
        <f>IFERROR(SUMIFS(BY_TRA!AN$2:AN$999,BY_TRA!$BJ$2:$BJ$999,Transport!$B49,BY_TRA!$BK$2:$BK$999,Transport!$C49)/SUMIFS(BY_TRA!AN$2:AN$999,BY_TRA!$BJ$2:$BJ$999,Transport!$B49),0)</f>
        <v>0</v>
      </c>
      <c r="AG49" s="1">
        <f>IFERROR(SUMIFS(BY_TRA!AO$2:AO$999,BY_TRA!$BJ$2:$BJ$999,Transport!$B49,BY_TRA!$BK$2:$BK$999,Transport!$C49)/SUMIFS(BY_TRA!AO$2:AO$999,BY_TRA!$BJ$2:$BJ$999,Transport!$B49),0)</f>
        <v>0</v>
      </c>
      <c r="AH49" s="1">
        <f>IFERROR(SUMIFS(BY_TRA!AP$2:AP$999,BY_TRA!$BJ$2:$BJ$999,Transport!$B49,BY_TRA!$BK$2:$BK$999,Transport!$C49)/SUMIFS(BY_TRA!AP$2:AP$999,BY_TRA!$BJ$2:$BJ$999,Transport!$B49),0)</f>
        <v>0</v>
      </c>
      <c r="AI49" s="1">
        <f>IFERROR(SUMIFS(BY_TRA!AQ$2:AQ$999,BY_TRA!$BJ$2:$BJ$999,Transport!$B49,BY_TRA!$BK$2:$BK$999,Transport!$C49)/SUMIFS(BY_TRA!AQ$2:AQ$999,BY_TRA!$BJ$2:$BJ$999,Transport!$B49),0)</f>
        <v>0</v>
      </c>
      <c r="AJ49" s="1">
        <f>IFERROR(SUMIFS(BY_TRA!AR$2:AR$999,BY_TRA!$BJ$2:$BJ$999,Transport!$B49,BY_TRA!$BK$2:$BK$999,Transport!$C49)/SUMIFS(BY_TRA!AR$2:AR$999,BY_TRA!$BJ$2:$BJ$999,Transport!$B49),0)</f>
        <v>0</v>
      </c>
      <c r="AK49" s="1">
        <f>IFERROR(SUMIFS(BY_TRA!AS$2:AS$999,BY_TRA!$BJ$2:$BJ$999,Transport!$B49,BY_TRA!$BK$2:$BK$999,Transport!$C49)/SUMIFS(BY_TRA!AS$2:AS$999,BY_TRA!$BJ$2:$BJ$999,Transport!$B49),0)</f>
        <v>0</v>
      </c>
      <c r="AL49" s="1">
        <f>IFERROR(SUMIFS(BY_TRA!AT$2:AT$999,BY_TRA!$BJ$2:$BJ$999,Transport!$B49,BY_TRA!$BK$2:$BK$999,Transport!$C49)/SUMIFS(BY_TRA!AT$2:AT$999,BY_TRA!$BJ$2:$BJ$999,Transport!$B49),0)</f>
        <v>0</v>
      </c>
      <c r="AM49" s="1">
        <f>IFERROR(SUMIFS(BY_TRA!AU$2:AU$999,BY_TRA!$BJ$2:$BJ$999,Transport!$B49,BY_TRA!$BK$2:$BK$999,Transport!$C49)/SUMIFS(BY_TRA!AU$2:AU$999,BY_TRA!$BJ$2:$BJ$999,Transport!$B49),0)</f>
        <v>0</v>
      </c>
      <c r="AN49" s="1">
        <f>IFERROR(SUMIFS(BY_TRA!AV$2:AV$999,BY_TRA!$BJ$2:$BJ$999,Transport!$B49,BY_TRA!$BK$2:$BK$999,Transport!$C49)/SUMIFS(BY_TRA!AV$2:AV$999,BY_TRA!$BJ$2:$BJ$999,Transport!$B49),0)</f>
        <v>0</v>
      </c>
      <c r="AO49" s="1">
        <f>IFERROR(SUMIFS(BY_TRA!AW$2:AW$999,BY_TRA!$BJ$2:$BJ$999,Transport!$B49,BY_TRA!$BK$2:$BK$999,Transport!$C49)/SUMIFS(BY_TRA!AW$2:AW$999,BY_TRA!$BJ$2:$BJ$999,Transport!$B49),0)</f>
        <v>0</v>
      </c>
      <c r="AP49" s="1">
        <f>IFERROR(SUMIFS(BY_TRA!AX$2:AX$999,BY_TRA!$BJ$2:$BJ$999,Transport!$B49,BY_TRA!$BK$2:$BK$999,Transport!$C49)/SUMIFS(BY_TRA!AX$2:AX$999,BY_TRA!$BJ$2:$BJ$999,Transport!$B49),0)</f>
        <v>0</v>
      </c>
      <c r="AQ49" s="1">
        <f>IFERROR(SUMIFS(BY_TRA!AY$2:AY$999,BY_TRA!$BJ$2:$BJ$999,Transport!$B49,BY_TRA!$BK$2:$BK$999,Transport!$C49)/SUMIFS(BY_TRA!AY$2:AY$999,BY_TRA!$BJ$2:$BJ$999,Transport!$B49),0)</f>
        <v>0</v>
      </c>
      <c r="AR49" s="1">
        <f>IFERROR(SUMIFS(BY_TRA!AZ$2:AZ$999,BY_TRA!$BJ$2:$BJ$999,Transport!$B49,BY_TRA!$BK$2:$BK$999,Transport!$C49)/SUMIFS(BY_TRA!AZ$2:AZ$999,BY_TRA!$BJ$2:$BJ$999,Transport!$B49),0)</f>
        <v>0</v>
      </c>
      <c r="AS49" s="1">
        <f>IFERROR(SUMIFS(BY_TRA!BA$2:BA$999,BY_TRA!$BJ$2:$BJ$999,Transport!$B49,BY_TRA!$BK$2:$BK$999,Transport!$C49)/SUMIFS(BY_TRA!BA$2:BA$999,BY_TRA!$BJ$2:$BJ$999,Transport!$B49),0)</f>
        <v>0</v>
      </c>
      <c r="AT49" s="1">
        <f>IFERROR(SUMIFS(BY_TRA!BB$2:BB$999,BY_TRA!$BJ$2:$BJ$999,Transport!$B49,BY_TRA!$BK$2:$BK$999,Transport!$C49)/SUMIFS(BY_TRA!BB$2:BB$999,BY_TRA!$BJ$2:$BJ$999,Transport!$B49),0)</f>
        <v>0</v>
      </c>
      <c r="AU49" s="1">
        <f>IFERROR(SUMIFS(BY_TRA!BC$2:BC$999,BY_TRA!$BJ$2:$BJ$999,Transport!$B49,BY_TRA!$BK$2:$BK$999,Transport!$C49)/SUMIFS(BY_TRA!BC$2:BC$999,BY_TRA!$BJ$2:$BJ$999,Transport!$B49),0)</f>
        <v>0</v>
      </c>
      <c r="AV49" s="1">
        <f>IFERROR(SUMIFS(BY_TRA!BD$2:BD$999,BY_TRA!$BJ$2:$BJ$999,Transport!$B49,BY_TRA!$BK$2:$BK$999,Transport!$C49)/SUMIFS(BY_TRA!BD$2:BD$999,BY_TRA!$BJ$2:$BJ$999,Transport!$B49),0)</f>
        <v>0</v>
      </c>
      <c r="AW49" s="1">
        <f>IFERROR(SUMIFS(BY_TRA!BE$2:BE$999,BY_TRA!$BJ$2:$BJ$999,Transport!$B49,BY_TRA!$BK$2:$BK$999,Transport!$C49)/SUMIFS(BY_TRA!BE$2:BE$999,BY_TRA!$BJ$2:$BJ$999,Transport!$B49),0)</f>
        <v>0</v>
      </c>
      <c r="AX49" s="1">
        <f>IFERROR(SUMIFS(BY_TRA!BF$2:BF$999,BY_TRA!$BJ$2:$BJ$999,Transport!$B49,BY_TRA!$BK$2:$BK$999,Transport!$C49)/SUMIFS(BY_TRA!BF$2:BF$999,BY_TRA!$BJ$2:$BJ$999,Transport!$B49),0)</f>
        <v>0</v>
      </c>
      <c r="AY49" s="1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132</v>
      </c>
      <c r="C50" t="s">
        <v>123</v>
      </c>
      <c r="D50" s="1">
        <f>IFERROR(SUMIFS(BY_TRA!L$2:L$999,BY_TRA!$BJ$2:$BJ$999,Transport!$B50,BY_TRA!$BK$2:$BK$999,Transport!$C50)/SUMIFS(BY_TRA!L$2:L$999,BY_TRA!$BJ$2:$BJ$999,Transport!$B50),0)</f>
        <v>0</v>
      </c>
      <c r="E50" s="1">
        <f>IFERROR(SUMIFS(BY_TRA!M$2:M$999,BY_TRA!$BJ$2:$BJ$999,Transport!$B50,BY_TRA!$BK$2:$BK$999,Transport!$C50)/SUMIFS(BY_TRA!M$2:M$999,BY_TRA!$BJ$2:$BJ$999,Transport!$B50),0)</f>
        <v>0</v>
      </c>
      <c r="F50" s="1">
        <f>IFERROR(SUMIFS(BY_TRA!N$2:N$999,BY_TRA!$BJ$2:$BJ$999,Transport!$B50,BY_TRA!$BK$2:$BK$999,Transport!$C50)/SUMIFS(BY_TRA!N$2:N$999,BY_TRA!$BJ$2:$BJ$999,Transport!$B50),0)</f>
        <v>0</v>
      </c>
      <c r="G50" s="1">
        <f>IFERROR(SUMIFS(BY_TRA!O$2:O$999,BY_TRA!$BJ$2:$BJ$999,Transport!$B50,BY_TRA!$BK$2:$BK$999,Transport!$C50)/SUMIFS(BY_TRA!O$2:O$999,BY_TRA!$BJ$2:$BJ$999,Transport!$B50),0)</f>
        <v>0</v>
      </c>
      <c r="H50" s="1">
        <f>IFERROR(SUMIFS(BY_TRA!P$2:P$999,BY_TRA!$BJ$2:$BJ$999,Transport!$B50,BY_TRA!$BK$2:$BK$999,Transport!$C50)/SUMIFS(BY_TRA!P$2:P$999,BY_TRA!$BJ$2:$BJ$999,Transport!$B50),0)</f>
        <v>0</v>
      </c>
      <c r="I50" s="1">
        <f>IFERROR(SUMIFS(BY_TRA!Q$2:Q$999,BY_TRA!$BJ$2:$BJ$999,Transport!$B50,BY_TRA!$BK$2:$BK$999,Transport!$C50)/SUMIFS(BY_TRA!Q$2:Q$999,BY_TRA!$BJ$2:$BJ$999,Transport!$B50),0)</f>
        <v>0</v>
      </c>
      <c r="J50" s="1">
        <f>IFERROR(SUMIFS(BY_TRA!R$2:R$999,BY_TRA!$BJ$2:$BJ$999,Transport!$B50,BY_TRA!$BK$2:$BK$999,Transport!$C50)/SUMIFS(BY_TRA!R$2:R$999,BY_TRA!$BJ$2:$BJ$999,Transport!$B50),0)</f>
        <v>0</v>
      </c>
      <c r="K50" s="1">
        <f>IFERROR(SUMIFS(BY_TRA!S$2:S$999,BY_TRA!$BJ$2:$BJ$999,Transport!$B50,BY_TRA!$BK$2:$BK$999,Transport!$C50)/SUMIFS(BY_TRA!S$2:S$999,BY_TRA!$BJ$2:$BJ$999,Transport!$B50),0)</f>
        <v>0</v>
      </c>
      <c r="L50" s="1">
        <f>IFERROR(SUMIFS(BY_TRA!T$2:T$999,BY_TRA!$BJ$2:$BJ$999,Transport!$B50,BY_TRA!$BK$2:$BK$999,Transport!$C50)/SUMIFS(BY_TRA!T$2:T$999,BY_TRA!$BJ$2:$BJ$999,Transport!$B50),0)</f>
        <v>0</v>
      </c>
      <c r="M50" s="1">
        <f>IFERROR(SUMIFS(BY_TRA!U$2:U$999,BY_TRA!$BJ$2:$BJ$999,Transport!$B50,BY_TRA!$BK$2:$BK$999,Transport!$C50)/SUMIFS(BY_TRA!U$2:U$999,BY_TRA!$BJ$2:$BJ$999,Transport!$B50),0)</f>
        <v>0</v>
      </c>
      <c r="N50" s="1">
        <f>IFERROR(SUMIFS(BY_TRA!V$2:V$999,BY_TRA!$BJ$2:$BJ$999,Transport!$B50,BY_TRA!$BK$2:$BK$999,Transport!$C50)/SUMIFS(BY_TRA!V$2:V$999,BY_TRA!$BJ$2:$BJ$999,Transport!$B50),0)</f>
        <v>0</v>
      </c>
      <c r="O50" s="1">
        <f>IFERROR(SUMIFS(BY_TRA!W$2:W$999,BY_TRA!$BJ$2:$BJ$999,Transport!$B50,BY_TRA!$BK$2:$BK$999,Transport!$C50)/SUMIFS(BY_TRA!W$2:W$999,BY_TRA!$BJ$2:$BJ$999,Transport!$B50),0)</f>
        <v>0</v>
      </c>
      <c r="P50" s="1">
        <f>IFERROR(SUMIFS(BY_TRA!X$2:X$999,BY_TRA!$BJ$2:$BJ$999,Transport!$B50,BY_TRA!$BK$2:$BK$999,Transport!$C50)/SUMIFS(BY_TRA!X$2:X$999,BY_TRA!$BJ$2:$BJ$999,Transport!$B50),0)</f>
        <v>0</v>
      </c>
      <c r="Q50" s="1">
        <f>IFERROR(SUMIFS(BY_TRA!Y$2:Y$999,BY_TRA!$BJ$2:$BJ$999,Transport!$B50,BY_TRA!$BK$2:$BK$999,Transport!$C50)/SUMIFS(BY_TRA!Y$2:Y$999,BY_TRA!$BJ$2:$BJ$999,Transport!$B50),0)</f>
        <v>0</v>
      </c>
      <c r="R50" s="1">
        <f>IFERROR(SUMIFS(BY_TRA!Z$2:Z$999,BY_TRA!$BJ$2:$BJ$999,Transport!$B50,BY_TRA!$BK$2:$BK$999,Transport!$C50)/SUMIFS(BY_TRA!Z$2:Z$999,BY_TRA!$BJ$2:$BJ$999,Transport!$B50),0)</f>
        <v>0</v>
      </c>
      <c r="S50" s="1">
        <f>IFERROR(SUMIFS(BY_TRA!AA$2:AA$999,BY_TRA!$BJ$2:$BJ$999,Transport!$B50,BY_TRA!$BK$2:$BK$999,Transport!$C50)/SUMIFS(BY_TRA!AA$2:AA$999,BY_TRA!$BJ$2:$BJ$999,Transport!$B50),0)</f>
        <v>0</v>
      </c>
      <c r="T50" s="1">
        <f>IFERROR(SUMIFS(BY_TRA!AB$2:AB$999,BY_TRA!$BJ$2:$BJ$999,Transport!$B50,BY_TRA!$BK$2:$BK$999,Transport!$C50)/SUMIFS(BY_TRA!AB$2:AB$999,BY_TRA!$BJ$2:$BJ$999,Transport!$B50),0)</f>
        <v>0</v>
      </c>
      <c r="U50" s="1">
        <f>IFERROR(SUMIFS(BY_TRA!AC$2:AC$999,BY_TRA!$BJ$2:$BJ$999,Transport!$B50,BY_TRA!$BK$2:$BK$999,Transport!$C50)/SUMIFS(BY_TRA!AC$2:AC$999,BY_TRA!$BJ$2:$BJ$999,Transport!$B50),0)</f>
        <v>0</v>
      </c>
      <c r="V50" s="1">
        <f>IFERROR(SUMIFS(BY_TRA!AD$2:AD$999,BY_TRA!$BJ$2:$BJ$999,Transport!$B50,BY_TRA!$BK$2:$BK$999,Transport!$C50)/SUMIFS(BY_TRA!AD$2:AD$999,BY_TRA!$BJ$2:$BJ$999,Transport!$B50),0)</f>
        <v>0</v>
      </c>
      <c r="W50" s="1">
        <f>IFERROR(SUMIFS(BY_TRA!AE$2:AE$999,BY_TRA!$BJ$2:$BJ$999,Transport!$B50,BY_TRA!$BK$2:$BK$999,Transport!$C50)/SUMIFS(BY_TRA!AE$2:AE$999,BY_TRA!$BJ$2:$BJ$999,Transport!$B50),0)</f>
        <v>0</v>
      </c>
      <c r="X50" s="1">
        <f>IFERROR(SUMIFS(BY_TRA!AF$2:AF$999,BY_TRA!$BJ$2:$BJ$999,Transport!$B50,BY_TRA!$BK$2:$BK$999,Transport!$C50)/SUMIFS(BY_TRA!AF$2:AF$999,BY_TRA!$BJ$2:$BJ$999,Transport!$B50),0)</f>
        <v>0</v>
      </c>
      <c r="Y50" s="1">
        <f>IFERROR(SUMIFS(BY_TRA!AG$2:AG$999,BY_TRA!$BJ$2:$BJ$999,Transport!$B50,BY_TRA!$BK$2:$BK$999,Transport!$C50)/SUMIFS(BY_TRA!AG$2:AG$999,BY_TRA!$BJ$2:$BJ$999,Transport!$B50),0)</f>
        <v>0</v>
      </c>
      <c r="Z50" s="1">
        <f>IFERROR(SUMIFS(BY_TRA!AH$2:AH$999,BY_TRA!$BJ$2:$BJ$999,Transport!$B50,BY_TRA!$BK$2:$BK$999,Transport!$C50)/SUMIFS(BY_TRA!AH$2:AH$999,BY_TRA!$BJ$2:$BJ$999,Transport!$B50),0)</f>
        <v>0</v>
      </c>
      <c r="AA50" s="1">
        <f>IFERROR(SUMIFS(BY_TRA!AI$2:AI$999,BY_TRA!$BJ$2:$BJ$999,Transport!$B50,BY_TRA!$BK$2:$BK$999,Transport!$C50)/SUMIFS(BY_TRA!AI$2:AI$999,BY_TRA!$BJ$2:$BJ$999,Transport!$B50),0)</f>
        <v>0</v>
      </c>
      <c r="AB50" s="1">
        <f>IFERROR(SUMIFS(BY_TRA!AJ$2:AJ$999,BY_TRA!$BJ$2:$BJ$999,Transport!$B50,BY_TRA!$BK$2:$BK$999,Transport!$C50)/SUMIFS(BY_TRA!AJ$2:AJ$999,BY_TRA!$BJ$2:$BJ$999,Transport!$B50),0)</f>
        <v>0</v>
      </c>
      <c r="AC50" s="1">
        <f>IFERROR(SUMIFS(BY_TRA!AK$2:AK$999,BY_TRA!$BJ$2:$BJ$999,Transport!$B50,BY_TRA!$BK$2:$BK$999,Transport!$C50)/SUMIFS(BY_TRA!AK$2:AK$999,BY_TRA!$BJ$2:$BJ$999,Transport!$B50),0)</f>
        <v>0</v>
      </c>
      <c r="AD50" s="1">
        <f>IFERROR(SUMIFS(BY_TRA!AL$2:AL$999,BY_TRA!$BJ$2:$BJ$999,Transport!$B50,BY_TRA!$BK$2:$BK$999,Transport!$C50)/SUMIFS(BY_TRA!AL$2:AL$999,BY_TRA!$BJ$2:$BJ$999,Transport!$B50),0)</f>
        <v>0</v>
      </c>
      <c r="AE50" s="1">
        <f>IFERROR(SUMIFS(BY_TRA!AM$2:AM$999,BY_TRA!$BJ$2:$BJ$999,Transport!$B50,BY_TRA!$BK$2:$BK$999,Transport!$C50)/SUMIFS(BY_TRA!AM$2:AM$999,BY_TRA!$BJ$2:$BJ$999,Transport!$B50),0)</f>
        <v>0</v>
      </c>
      <c r="AF50" s="1">
        <f>IFERROR(SUMIFS(BY_TRA!AN$2:AN$999,BY_TRA!$BJ$2:$BJ$999,Transport!$B50,BY_TRA!$BK$2:$BK$999,Transport!$C50)/SUMIFS(BY_TRA!AN$2:AN$999,BY_TRA!$BJ$2:$BJ$999,Transport!$B50),0)</f>
        <v>0</v>
      </c>
      <c r="AG50" s="1">
        <f>IFERROR(SUMIFS(BY_TRA!AO$2:AO$999,BY_TRA!$BJ$2:$BJ$999,Transport!$B50,BY_TRA!$BK$2:$BK$999,Transport!$C50)/SUMIFS(BY_TRA!AO$2:AO$999,BY_TRA!$BJ$2:$BJ$999,Transport!$B50),0)</f>
        <v>0</v>
      </c>
      <c r="AH50" s="1">
        <f>IFERROR(SUMIFS(BY_TRA!AP$2:AP$999,BY_TRA!$BJ$2:$BJ$999,Transport!$B50,BY_TRA!$BK$2:$BK$999,Transport!$C50)/SUMIFS(BY_TRA!AP$2:AP$999,BY_TRA!$BJ$2:$BJ$999,Transport!$B50),0)</f>
        <v>0</v>
      </c>
      <c r="AI50" s="1">
        <f>IFERROR(SUMIFS(BY_TRA!AQ$2:AQ$999,BY_TRA!$BJ$2:$BJ$999,Transport!$B50,BY_TRA!$BK$2:$BK$999,Transport!$C50)/SUMIFS(BY_TRA!AQ$2:AQ$999,BY_TRA!$BJ$2:$BJ$999,Transport!$B50),0)</f>
        <v>0</v>
      </c>
      <c r="AJ50" s="1">
        <f>IFERROR(SUMIFS(BY_TRA!AR$2:AR$999,BY_TRA!$BJ$2:$BJ$999,Transport!$B50,BY_TRA!$BK$2:$BK$999,Transport!$C50)/SUMIFS(BY_TRA!AR$2:AR$999,BY_TRA!$BJ$2:$BJ$999,Transport!$B50),0)</f>
        <v>0</v>
      </c>
      <c r="AK50" s="1">
        <f>IFERROR(SUMIFS(BY_TRA!AS$2:AS$999,BY_TRA!$BJ$2:$BJ$999,Transport!$B50,BY_TRA!$BK$2:$BK$999,Transport!$C50)/SUMIFS(BY_TRA!AS$2:AS$999,BY_TRA!$BJ$2:$BJ$999,Transport!$B50),0)</f>
        <v>0</v>
      </c>
      <c r="AL50" s="1">
        <f>IFERROR(SUMIFS(BY_TRA!AT$2:AT$999,BY_TRA!$BJ$2:$BJ$999,Transport!$B50,BY_TRA!$BK$2:$BK$999,Transport!$C50)/SUMIFS(BY_TRA!AT$2:AT$999,BY_TRA!$BJ$2:$BJ$999,Transport!$B50),0)</f>
        <v>0</v>
      </c>
      <c r="AM50" s="1">
        <f>IFERROR(SUMIFS(BY_TRA!AU$2:AU$999,BY_TRA!$BJ$2:$BJ$999,Transport!$B50,BY_TRA!$BK$2:$BK$999,Transport!$C50)/SUMIFS(BY_TRA!AU$2:AU$999,BY_TRA!$BJ$2:$BJ$999,Transport!$B50),0)</f>
        <v>0</v>
      </c>
      <c r="AN50" s="1">
        <f>IFERROR(SUMIFS(BY_TRA!AV$2:AV$999,BY_TRA!$BJ$2:$BJ$999,Transport!$B50,BY_TRA!$BK$2:$BK$999,Transport!$C50)/SUMIFS(BY_TRA!AV$2:AV$999,BY_TRA!$BJ$2:$BJ$999,Transport!$B50),0)</f>
        <v>0</v>
      </c>
      <c r="AO50" s="1">
        <f>IFERROR(SUMIFS(BY_TRA!AW$2:AW$999,BY_TRA!$BJ$2:$BJ$999,Transport!$B50,BY_TRA!$BK$2:$BK$999,Transport!$C50)/SUMIFS(BY_TRA!AW$2:AW$999,BY_TRA!$BJ$2:$BJ$999,Transport!$B50),0)</f>
        <v>0</v>
      </c>
      <c r="AP50" s="1">
        <f>IFERROR(SUMIFS(BY_TRA!AX$2:AX$999,BY_TRA!$BJ$2:$BJ$999,Transport!$B50,BY_TRA!$BK$2:$BK$999,Transport!$C50)/SUMIFS(BY_TRA!AX$2:AX$999,BY_TRA!$BJ$2:$BJ$999,Transport!$B50),0)</f>
        <v>0</v>
      </c>
      <c r="AQ50" s="1">
        <f>IFERROR(SUMIFS(BY_TRA!AY$2:AY$999,BY_TRA!$BJ$2:$BJ$999,Transport!$B50,BY_TRA!$BK$2:$BK$999,Transport!$C50)/SUMIFS(BY_TRA!AY$2:AY$999,BY_TRA!$BJ$2:$BJ$999,Transport!$B50),0)</f>
        <v>0</v>
      </c>
      <c r="AR50" s="1">
        <f>IFERROR(SUMIFS(BY_TRA!AZ$2:AZ$999,BY_TRA!$BJ$2:$BJ$999,Transport!$B50,BY_TRA!$BK$2:$BK$999,Transport!$C50)/SUMIFS(BY_TRA!AZ$2:AZ$999,BY_TRA!$BJ$2:$BJ$999,Transport!$B50),0)</f>
        <v>0</v>
      </c>
      <c r="AS50" s="1">
        <f>IFERROR(SUMIFS(BY_TRA!BA$2:BA$999,BY_TRA!$BJ$2:$BJ$999,Transport!$B50,BY_TRA!$BK$2:$BK$999,Transport!$C50)/SUMIFS(BY_TRA!BA$2:BA$999,BY_TRA!$BJ$2:$BJ$999,Transport!$B50),0)</f>
        <v>0</v>
      </c>
      <c r="AT50" s="1">
        <f>IFERROR(SUMIFS(BY_TRA!BB$2:BB$999,BY_TRA!$BJ$2:$BJ$999,Transport!$B50,BY_TRA!$BK$2:$BK$999,Transport!$C50)/SUMIFS(BY_TRA!BB$2:BB$999,BY_TRA!$BJ$2:$BJ$999,Transport!$B50),0)</f>
        <v>0</v>
      </c>
      <c r="AU50" s="1">
        <f>IFERROR(SUMIFS(BY_TRA!BC$2:BC$999,BY_TRA!$BJ$2:$BJ$999,Transport!$B50,BY_TRA!$BK$2:$BK$999,Transport!$C50)/SUMIFS(BY_TRA!BC$2:BC$999,BY_TRA!$BJ$2:$BJ$999,Transport!$B50),0)</f>
        <v>0</v>
      </c>
      <c r="AV50" s="1">
        <f>IFERROR(SUMIFS(BY_TRA!BD$2:BD$999,BY_TRA!$BJ$2:$BJ$999,Transport!$B50,BY_TRA!$BK$2:$BK$999,Transport!$C50)/SUMIFS(BY_TRA!BD$2:BD$999,BY_TRA!$BJ$2:$BJ$999,Transport!$B50),0)</f>
        <v>0</v>
      </c>
      <c r="AW50" s="1">
        <f>IFERROR(SUMIFS(BY_TRA!BE$2:BE$999,BY_TRA!$BJ$2:$BJ$999,Transport!$B50,BY_TRA!$BK$2:$BK$999,Transport!$C50)/SUMIFS(BY_TRA!BE$2:BE$999,BY_TRA!$BJ$2:$BJ$999,Transport!$B50),0)</f>
        <v>0</v>
      </c>
      <c r="AX50" s="1">
        <f>IFERROR(SUMIFS(BY_TRA!BF$2:BF$999,BY_TRA!$BJ$2:$BJ$999,Transport!$B50,BY_TRA!$BK$2:$BK$999,Transport!$C50)/SUMIFS(BY_TRA!BF$2:BF$999,BY_TRA!$BJ$2:$BJ$999,Transport!$B50),0)</f>
        <v>0</v>
      </c>
      <c r="AY50" s="1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132</v>
      </c>
      <c r="C51" t="s">
        <v>124</v>
      </c>
      <c r="D51" s="1">
        <f>IFERROR(SUMIFS(BY_TRA!L$2:L$999,BY_TRA!$BJ$2:$BJ$999,Transport!$B51,BY_TRA!$BK$2:$BK$999,Transport!$C51)/SUMIFS(BY_TRA!L$2:L$999,BY_TRA!$BJ$2:$BJ$999,Transport!$B51),0)</f>
        <v>0</v>
      </c>
      <c r="E51" s="1">
        <f>IFERROR(SUMIFS(BY_TRA!M$2:M$999,BY_TRA!$BJ$2:$BJ$999,Transport!$B51,BY_TRA!$BK$2:$BK$999,Transport!$C51)/SUMIFS(BY_TRA!M$2:M$999,BY_TRA!$BJ$2:$BJ$999,Transport!$B51),0)</f>
        <v>0</v>
      </c>
      <c r="F51" s="1">
        <f>IFERROR(SUMIFS(BY_TRA!N$2:N$999,BY_TRA!$BJ$2:$BJ$999,Transport!$B51,BY_TRA!$BK$2:$BK$999,Transport!$C51)/SUMIFS(BY_TRA!N$2:N$999,BY_TRA!$BJ$2:$BJ$999,Transport!$B51),0)</f>
        <v>0</v>
      </c>
      <c r="G51" s="1">
        <f>IFERROR(SUMIFS(BY_TRA!O$2:O$999,BY_TRA!$BJ$2:$BJ$999,Transport!$B51,BY_TRA!$BK$2:$BK$999,Transport!$C51)/SUMIFS(BY_TRA!O$2:O$999,BY_TRA!$BJ$2:$BJ$999,Transport!$B51),0)</f>
        <v>0</v>
      </c>
      <c r="H51" s="1">
        <f>IFERROR(SUMIFS(BY_TRA!P$2:P$999,BY_TRA!$BJ$2:$BJ$999,Transport!$B51,BY_TRA!$BK$2:$BK$999,Transport!$C51)/SUMIFS(BY_TRA!P$2:P$999,BY_TRA!$BJ$2:$BJ$999,Transport!$B51),0)</f>
        <v>0</v>
      </c>
      <c r="I51" s="1">
        <f>IFERROR(SUMIFS(BY_TRA!Q$2:Q$999,BY_TRA!$BJ$2:$BJ$999,Transport!$B51,BY_TRA!$BK$2:$BK$999,Transport!$C51)/SUMIFS(BY_TRA!Q$2:Q$999,BY_TRA!$BJ$2:$BJ$999,Transport!$B51),0)</f>
        <v>0</v>
      </c>
      <c r="J51" s="1">
        <f>IFERROR(SUMIFS(BY_TRA!R$2:R$999,BY_TRA!$BJ$2:$BJ$999,Transport!$B51,BY_TRA!$BK$2:$BK$999,Transport!$C51)/SUMIFS(BY_TRA!R$2:R$999,BY_TRA!$BJ$2:$BJ$999,Transport!$B51),0)</f>
        <v>0</v>
      </c>
      <c r="K51" s="1">
        <f>IFERROR(SUMIFS(BY_TRA!S$2:S$999,BY_TRA!$BJ$2:$BJ$999,Transport!$B51,BY_TRA!$BK$2:$BK$999,Transport!$C51)/SUMIFS(BY_TRA!S$2:S$999,BY_TRA!$BJ$2:$BJ$999,Transport!$B51),0)</f>
        <v>0</v>
      </c>
      <c r="L51" s="1">
        <f>IFERROR(SUMIFS(BY_TRA!T$2:T$999,BY_TRA!$BJ$2:$BJ$999,Transport!$B51,BY_TRA!$BK$2:$BK$999,Transport!$C51)/SUMIFS(BY_TRA!T$2:T$999,BY_TRA!$BJ$2:$BJ$999,Transport!$B51),0)</f>
        <v>0</v>
      </c>
      <c r="M51" s="1">
        <f>IFERROR(SUMIFS(BY_TRA!U$2:U$999,BY_TRA!$BJ$2:$BJ$999,Transport!$B51,BY_TRA!$BK$2:$BK$999,Transport!$C51)/SUMIFS(BY_TRA!U$2:U$999,BY_TRA!$BJ$2:$BJ$999,Transport!$B51),0)</f>
        <v>0</v>
      </c>
      <c r="N51" s="1">
        <f>IFERROR(SUMIFS(BY_TRA!V$2:V$999,BY_TRA!$BJ$2:$BJ$999,Transport!$B51,BY_TRA!$BK$2:$BK$999,Transport!$C51)/SUMIFS(BY_TRA!V$2:V$999,BY_TRA!$BJ$2:$BJ$999,Transport!$B51),0)</f>
        <v>0</v>
      </c>
      <c r="O51" s="1">
        <f>IFERROR(SUMIFS(BY_TRA!W$2:W$999,BY_TRA!$BJ$2:$BJ$999,Transport!$B51,BY_TRA!$BK$2:$BK$999,Transport!$C51)/SUMIFS(BY_TRA!W$2:W$999,BY_TRA!$BJ$2:$BJ$999,Transport!$B51),0)</f>
        <v>0</v>
      </c>
      <c r="P51" s="1">
        <f>IFERROR(SUMIFS(BY_TRA!X$2:X$999,BY_TRA!$BJ$2:$BJ$999,Transport!$B51,BY_TRA!$BK$2:$BK$999,Transport!$C51)/SUMIFS(BY_TRA!X$2:X$999,BY_TRA!$BJ$2:$BJ$999,Transport!$B51),0)</f>
        <v>0</v>
      </c>
      <c r="Q51" s="1">
        <f>IFERROR(SUMIFS(BY_TRA!Y$2:Y$999,BY_TRA!$BJ$2:$BJ$999,Transport!$B51,BY_TRA!$BK$2:$BK$999,Transport!$C51)/SUMIFS(BY_TRA!Y$2:Y$999,BY_TRA!$BJ$2:$BJ$999,Transport!$B51),0)</f>
        <v>0</v>
      </c>
      <c r="R51" s="1">
        <f>IFERROR(SUMIFS(BY_TRA!Z$2:Z$999,BY_TRA!$BJ$2:$BJ$999,Transport!$B51,BY_TRA!$BK$2:$BK$999,Transport!$C51)/SUMIFS(BY_TRA!Z$2:Z$999,BY_TRA!$BJ$2:$BJ$999,Transport!$B51),0)</f>
        <v>0</v>
      </c>
      <c r="S51" s="1">
        <f>IFERROR(SUMIFS(BY_TRA!AA$2:AA$999,BY_TRA!$BJ$2:$BJ$999,Transport!$B51,BY_TRA!$BK$2:$BK$999,Transport!$C51)/SUMIFS(BY_TRA!AA$2:AA$999,BY_TRA!$BJ$2:$BJ$999,Transport!$B51),0)</f>
        <v>0</v>
      </c>
      <c r="T51" s="1">
        <f>IFERROR(SUMIFS(BY_TRA!AB$2:AB$999,BY_TRA!$BJ$2:$BJ$999,Transport!$B51,BY_TRA!$BK$2:$BK$999,Transport!$C51)/SUMIFS(BY_TRA!AB$2:AB$999,BY_TRA!$BJ$2:$BJ$999,Transport!$B51),0)</f>
        <v>0</v>
      </c>
      <c r="U51" s="1">
        <f>IFERROR(SUMIFS(BY_TRA!AC$2:AC$999,BY_TRA!$BJ$2:$BJ$999,Transport!$B51,BY_TRA!$BK$2:$BK$999,Transport!$C51)/SUMIFS(BY_TRA!AC$2:AC$999,BY_TRA!$BJ$2:$BJ$999,Transport!$B51),0)</f>
        <v>0</v>
      </c>
      <c r="V51" s="1">
        <f>IFERROR(SUMIFS(BY_TRA!AD$2:AD$999,BY_TRA!$BJ$2:$BJ$999,Transport!$B51,BY_TRA!$BK$2:$BK$999,Transport!$C51)/SUMIFS(BY_TRA!AD$2:AD$999,BY_TRA!$BJ$2:$BJ$999,Transport!$B51),0)</f>
        <v>0</v>
      </c>
      <c r="W51" s="1">
        <f>IFERROR(SUMIFS(BY_TRA!AE$2:AE$999,BY_TRA!$BJ$2:$BJ$999,Transport!$B51,BY_TRA!$BK$2:$BK$999,Transport!$C51)/SUMIFS(BY_TRA!AE$2:AE$999,BY_TRA!$BJ$2:$BJ$999,Transport!$B51),0)</f>
        <v>0</v>
      </c>
      <c r="X51" s="1">
        <f>IFERROR(SUMIFS(BY_TRA!AF$2:AF$999,BY_TRA!$BJ$2:$BJ$999,Transport!$B51,BY_TRA!$BK$2:$BK$999,Transport!$C51)/SUMIFS(BY_TRA!AF$2:AF$999,BY_TRA!$BJ$2:$BJ$999,Transport!$B51),0)</f>
        <v>0</v>
      </c>
      <c r="Y51" s="1">
        <f>IFERROR(SUMIFS(BY_TRA!AG$2:AG$999,BY_TRA!$BJ$2:$BJ$999,Transport!$B51,BY_TRA!$BK$2:$BK$999,Transport!$C51)/SUMIFS(BY_TRA!AG$2:AG$999,BY_TRA!$BJ$2:$BJ$999,Transport!$B51),0)</f>
        <v>0</v>
      </c>
      <c r="Z51" s="1">
        <f>IFERROR(SUMIFS(BY_TRA!AH$2:AH$999,BY_TRA!$BJ$2:$BJ$999,Transport!$B51,BY_TRA!$BK$2:$BK$999,Transport!$C51)/SUMIFS(BY_TRA!AH$2:AH$999,BY_TRA!$BJ$2:$BJ$999,Transport!$B51),0)</f>
        <v>0</v>
      </c>
      <c r="AA51" s="1">
        <f>IFERROR(SUMIFS(BY_TRA!AI$2:AI$999,BY_TRA!$BJ$2:$BJ$999,Transport!$B51,BY_TRA!$BK$2:$BK$999,Transport!$C51)/SUMIFS(BY_TRA!AI$2:AI$999,BY_TRA!$BJ$2:$BJ$999,Transport!$B51),0)</f>
        <v>0</v>
      </c>
      <c r="AB51" s="1">
        <f>IFERROR(SUMIFS(BY_TRA!AJ$2:AJ$999,BY_TRA!$BJ$2:$BJ$999,Transport!$B51,BY_TRA!$BK$2:$BK$999,Transport!$C51)/SUMIFS(BY_TRA!AJ$2:AJ$999,BY_TRA!$BJ$2:$BJ$999,Transport!$B51),0)</f>
        <v>0</v>
      </c>
      <c r="AC51" s="1">
        <f>IFERROR(SUMIFS(BY_TRA!AK$2:AK$999,BY_TRA!$BJ$2:$BJ$999,Transport!$B51,BY_TRA!$BK$2:$BK$999,Transport!$C51)/SUMIFS(BY_TRA!AK$2:AK$999,BY_TRA!$BJ$2:$BJ$999,Transport!$B51),0)</f>
        <v>0</v>
      </c>
      <c r="AD51" s="1">
        <f>IFERROR(SUMIFS(BY_TRA!AL$2:AL$999,BY_TRA!$BJ$2:$BJ$999,Transport!$B51,BY_TRA!$BK$2:$BK$999,Transport!$C51)/SUMIFS(BY_TRA!AL$2:AL$999,BY_TRA!$BJ$2:$BJ$999,Transport!$B51),0)</f>
        <v>0</v>
      </c>
      <c r="AE51" s="1">
        <f>IFERROR(SUMIFS(BY_TRA!AM$2:AM$999,BY_TRA!$BJ$2:$BJ$999,Transport!$B51,BY_TRA!$BK$2:$BK$999,Transport!$C51)/SUMIFS(BY_TRA!AM$2:AM$999,BY_TRA!$BJ$2:$BJ$999,Transport!$B51),0)</f>
        <v>0</v>
      </c>
      <c r="AF51" s="1">
        <f>IFERROR(SUMIFS(BY_TRA!AN$2:AN$999,BY_TRA!$BJ$2:$BJ$999,Transport!$B51,BY_TRA!$BK$2:$BK$999,Transport!$C51)/SUMIFS(BY_TRA!AN$2:AN$999,BY_TRA!$BJ$2:$BJ$999,Transport!$B51),0)</f>
        <v>0</v>
      </c>
      <c r="AG51" s="1">
        <f>IFERROR(SUMIFS(BY_TRA!AO$2:AO$999,BY_TRA!$BJ$2:$BJ$999,Transport!$B51,BY_TRA!$BK$2:$BK$999,Transport!$C51)/SUMIFS(BY_TRA!AO$2:AO$999,BY_TRA!$BJ$2:$BJ$999,Transport!$B51),0)</f>
        <v>0</v>
      </c>
      <c r="AH51" s="1">
        <f>IFERROR(SUMIFS(BY_TRA!AP$2:AP$999,BY_TRA!$BJ$2:$BJ$999,Transport!$B51,BY_TRA!$BK$2:$BK$999,Transport!$C51)/SUMIFS(BY_TRA!AP$2:AP$999,BY_TRA!$BJ$2:$BJ$999,Transport!$B51),0)</f>
        <v>0</v>
      </c>
      <c r="AI51" s="1">
        <f>IFERROR(SUMIFS(BY_TRA!AQ$2:AQ$999,BY_TRA!$BJ$2:$BJ$999,Transport!$B51,BY_TRA!$BK$2:$BK$999,Transport!$C51)/SUMIFS(BY_TRA!AQ$2:AQ$999,BY_TRA!$BJ$2:$BJ$999,Transport!$B51),0)</f>
        <v>0</v>
      </c>
      <c r="AJ51" s="1">
        <f>IFERROR(SUMIFS(BY_TRA!AR$2:AR$999,BY_TRA!$BJ$2:$BJ$999,Transport!$B51,BY_TRA!$BK$2:$BK$999,Transport!$C51)/SUMIFS(BY_TRA!AR$2:AR$999,BY_TRA!$BJ$2:$BJ$999,Transport!$B51),0)</f>
        <v>0</v>
      </c>
      <c r="AK51" s="1">
        <f>IFERROR(SUMIFS(BY_TRA!AS$2:AS$999,BY_TRA!$BJ$2:$BJ$999,Transport!$B51,BY_TRA!$BK$2:$BK$999,Transport!$C51)/SUMIFS(BY_TRA!AS$2:AS$999,BY_TRA!$BJ$2:$BJ$999,Transport!$B51),0)</f>
        <v>0</v>
      </c>
      <c r="AL51" s="1">
        <f>IFERROR(SUMIFS(BY_TRA!AT$2:AT$999,BY_TRA!$BJ$2:$BJ$999,Transport!$B51,BY_TRA!$BK$2:$BK$999,Transport!$C51)/SUMIFS(BY_TRA!AT$2:AT$999,BY_TRA!$BJ$2:$BJ$999,Transport!$B51),0)</f>
        <v>0</v>
      </c>
      <c r="AM51" s="1">
        <f>IFERROR(SUMIFS(BY_TRA!AU$2:AU$999,BY_TRA!$BJ$2:$BJ$999,Transport!$B51,BY_TRA!$BK$2:$BK$999,Transport!$C51)/SUMIFS(BY_TRA!AU$2:AU$999,BY_TRA!$BJ$2:$BJ$999,Transport!$B51),0)</f>
        <v>0</v>
      </c>
      <c r="AN51" s="1">
        <f>IFERROR(SUMIFS(BY_TRA!AV$2:AV$999,BY_TRA!$BJ$2:$BJ$999,Transport!$B51,BY_TRA!$BK$2:$BK$999,Transport!$C51)/SUMIFS(BY_TRA!AV$2:AV$999,BY_TRA!$BJ$2:$BJ$999,Transport!$B51),0)</f>
        <v>0</v>
      </c>
      <c r="AO51" s="1">
        <f>IFERROR(SUMIFS(BY_TRA!AW$2:AW$999,BY_TRA!$BJ$2:$BJ$999,Transport!$B51,BY_TRA!$BK$2:$BK$999,Transport!$C51)/SUMIFS(BY_TRA!AW$2:AW$999,BY_TRA!$BJ$2:$BJ$999,Transport!$B51),0)</f>
        <v>0</v>
      </c>
      <c r="AP51" s="1">
        <f>IFERROR(SUMIFS(BY_TRA!AX$2:AX$999,BY_TRA!$BJ$2:$BJ$999,Transport!$B51,BY_TRA!$BK$2:$BK$999,Transport!$C51)/SUMIFS(BY_TRA!AX$2:AX$999,BY_TRA!$BJ$2:$BJ$999,Transport!$B51),0)</f>
        <v>0</v>
      </c>
      <c r="AQ51" s="1">
        <f>IFERROR(SUMIFS(BY_TRA!AY$2:AY$999,BY_TRA!$BJ$2:$BJ$999,Transport!$B51,BY_TRA!$BK$2:$BK$999,Transport!$C51)/SUMIFS(BY_TRA!AY$2:AY$999,BY_TRA!$BJ$2:$BJ$999,Transport!$B51),0)</f>
        <v>0</v>
      </c>
      <c r="AR51" s="1">
        <f>IFERROR(SUMIFS(BY_TRA!AZ$2:AZ$999,BY_TRA!$BJ$2:$BJ$999,Transport!$B51,BY_TRA!$BK$2:$BK$999,Transport!$C51)/SUMIFS(BY_TRA!AZ$2:AZ$999,BY_TRA!$BJ$2:$BJ$999,Transport!$B51),0)</f>
        <v>0</v>
      </c>
      <c r="AS51" s="1">
        <f>IFERROR(SUMIFS(BY_TRA!BA$2:BA$999,BY_TRA!$BJ$2:$BJ$999,Transport!$B51,BY_TRA!$BK$2:$BK$999,Transport!$C51)/SUMIFS(BY_TRA!BA$2:BA$999,BY_TRA!$BJ$2:$BJ$999,Transport!$B51),0)</f>
        <v>0</v>
      </c>
      <c r="AT51" s="1">
        <f>IFERROR(SUMIFS(BY_TRA!BB$2:BB$999,BY_TRA!$BJ$2:$BJ$999,Transport!$B51,BY_TRA!$BK$2:$BK$999,Transport!$C51)/SUMIFS(BY_TRA!BB$2:BB$999,BY_TRA!$BJ$2:$BJ$999,Transport!$B51),0)</f>
        <v>0</v>
      </c>
      <c r="AU51" s="1">
        <f>IFERROR(SUMIFS(BY_TRA!BC$2:BC$999,BY_TRA!$BJ$2:$BJ$999,Transport!$B51,BY_TRA!$BK$2:$BK$999,Transport!$C51)/SUMIFS(BY_TRA!BC$2:BC$999,BY_TRA!$BJ$2:$BJ$999,Transport!$B51),0)</f>
        <v>0</v>
      </c>
      <c r="AV51" s="1">
        <f>IFERROR(SUMIFS(BY_TRA!BD$2:BD$999,BY_TRA!$BJ$2:$BJ$999,Transport!$B51,BY_TRA!$BK$2:$BK$999,Transport!$C51)/SUMIFS(BY_TRA!BD$2:BD$999,BY_TRA!$BJ$2:$BJ$999,Transport!$B51),0)</f>
        <v>0</v>
      </c>
      <c r="AW51" s="1">
        <f>IFERROR(SUMIFS(BY_TRA!BE$2:BE$999,BY_TRA!$BJ$2:$BJ$999,Transport!$B51,BY_TRA!$BK$2:$BK$999,Transport!$C51)/SUMIFS(BY_TRA!BE$2:BE$999,BY_TRA!$BJ$2:$BJ$999,Transport!$B51),0)</f>
        <v>0</v>
      </c>
      <c r="AX51" s="1">
        <f>IFERROR(SUMIFS(BY_TRA!BF$2:BF$999,BY_TRA!$BJ$2:$BJ$999,Transport!$B51,BY_TRA!$BK$2:$BK$999,Transport!$C51)/SUMIFS(BY_TRA!BF$2:BF$999,BY_TRA!$BJ$2:$BJ$999,Transport!$B51),0)</f>
        <v>0</v>
      </c>
      <c r="AY51" s="1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132</v>
      </c>
      <c r="C52" t="s">
        <v>130</v>
      </c>
      <c r="D52" s="1">
        <f>IFERROR(SUMIFS(BY_TRA!L$2:L$999,BY_TRA!$BJ$2:$BJ$999,Transport!$B52,BY_TRA!$BK$2:$BK$999,Transport!$C52)/SUMIFS(BY_TRA!L$2:L$999,BY_TRA!$BJ$2:$BJ$999,Transport!$B52),0)</f>
        <v>0</v>
      </c>
      <c r="E52" s="1">
        <f>IFERROR(SUMIFS(BY_TRA!M$2:M$999,BY_TRA!$BJ$2:$BJ$999,Transport!$B52,BY_TRA!$BK$2:$BK$999,Transport!$C52)/SUMIFS(BY_TRA!M$2:M$999,BY_TRA!$BJ$2:$BJ$999,Transport!$B52),0)</f>
        <v>0</v>
      </c>
      <c r="F52" s="1">
        <f>IFERROR(SUMIFS(BY_TRA!N$2:N$999,BY_TRA!$BJ$2:$BJ$999,Transport!$B52,BY_TRA!$BK$2:$BK$999,Transport!$C52)/SUMIFS(BY_TRA!N$2:N$999,BY_TRA!$BJ$2:$BJ$999,Transport!$B52),0)</f>
        <v>0</v>
      </c>
      <c r="G52" s="1">
        <f>IFERROR(SUMIFS(BY_TRA!O$2:O$999,BY_TRA!$BJ$2:$BJ$999,Transport!$B52,BY_TRA!$BK$2:$BK$999,Transport!$C52)/SUMIFS(BY_TRA!O$2:O$999,BY_TRA!$BJ$2:$BJ$999,Transport!$B52),0)</f>
        <v>0</v>
      </c>
      <c r="H52" s="1">
        <f>IFERROR(SUMIFS(BY_TRA!P$2:P$999,BY_TRA!$BJ$2:$BJ$999,Transport!$B52,BY_TRA!$BK$2:$BK$999,Transport!$C52)/SUMIFS(BY_TRA!P$2:P$999,BY_TRA!$BJ$2:$BJ$999,Transport!$B52),0)</f>
        <v>0</v>
      </c>
      <c r="I52" s="1">
        <f>IFERROR(SUMIFS(BY_TRA!Q$2:Q$999,BY_TRA!$BJ$2:$BJ$999,Transport!$B52,BY_TRA!$BK$2:$BK$999,Transport!$C52)/SUMIFS(BY_TRA!Q$2:Q$999,BY_TRA!$BJ$2:$BJ$999,Transport!$B52),0)</f>
        <v>0</v>
      </c>
      <c r="J52" s="1">
        <f>IFERROR(SUMIFS(BY_TRA!R$2:R$999,BY_TRA!$BJ$2:$BJ$999,Transport!$B52,BY_TRA!$BK$2:$BK$999,Transport!$C52)/SUMIFS(BY_TRA!R$2:R$999,BY_TRA!$BJ$2:$BJ$999,Transport!$B52),0)</f>
        <v>0</v>
      </c>
      <c r="K52" s="1">
        <f>IFERROR(SUMIFS(BY_TRA!S$2:S$999,BY_TRA!$BJ$2:$BJ$999,Transport!$B52,BY_TRA!$BK$2:$BK$999,Transport!$C52)/SUMIFS(BY_TRA!S$2:S$999,BY_TRA!$BJ$2:$BJ$999,Transport!$B52),0)</f>
        <v>0</v>
      </c>
      <c r="L52" s="1">
        <f>IFERROR(SUMIFS(BY_TRA!T$2:T$999,BY_TRA!$BJ$2:$BJ$999,Transport!$B52,BY_TRA!$BK$2:$BK$999,Transport!$C52)/SUMIFS(BY_TRA!T$2:T$999,BY_TRA!$BJ$2:$BJ$999,Transport!$B52),0)</f>
        <v>0</v>
      </c>
      <c r="M52" s="1">
        <f>IFERROR(SUMIFS(BY_TRA!U$2:U$999,BY_TRA!$BJ$2:$BJ$999,Transport!$B52,BY_TRA!$BK$2:$BK$999,Transport!$C52)/SUMIFS(BY_TRA!U$2:U$999,BY_TRA!$BJ$2:$BJ$999,Transport!$B52),0)</f>
        <v>0</v>
      </c>
      <c r="N52" s="1">
        <f>IFERROR(SUMIFS(BY_TRA!V$2:V$999,BY_TRA!$BJ$2:$BJ$999,Transport!$B52,BY_TRA!$BK$2:$BK$999,Transport!$C52)/SUMIFS(BY_TRA!V$2:V$999,BY_TRA!$BJ$2:$BJ$999,Transport!$B52),0)</f>
        <v>0</v>
      </c>
      <c r="O52" s="1">
        <f>IFERROR(SUMIFS(BY_TRA!W$2:W$999,BY_TRA!$BJ$2:$BJ$999,Transport!$B52,BY_TRA!$BK$2:$BK$999,Transport!$C52)/SUMIFS(BY_TRA!W$2:W$999,BY_TRA!$BJ$2:$BJ$999,Transport!$B52),0)</f>
        <v>0</v>
      </c>
      <c r="P52" s="1">
        <f>IFERROR(SUMIFS(BY_TRA!X$2:X$999,BY_TRA!$BJ$2:$BJ$999,Transport!$B52,BY_TRA!$BK$2:$BK$999,Transport!$C52)/SUMIFS(BY_TRA!X$2:X$999,BY_TRA!$BJ$2:$BJ$999,Transport!$B52),0)</f>
        <v>0</v>
      </c>
      <c r="Q52" s="1">
        <f>IFERROR(SUMIFS(BY_TRA!Y$2:Y$999,BY_TRA!$BJ$2:$BJ$999,Transport!$B52,BY_TRA!$BK$2:$BK$999,Transport!$C52)/SUMIFS(BY_TRA!Y$2:Y$999,BY_TRA!$BJ$2:$BJ$999,Transport!$B52),0)</f>
        <v>0</v>
      </c>
      <c r="R52" s="1">
        <f>IFERROR(SUMIFS(BY_TRA!Z$2:Z$999,BY_TRA!$BJ$2:$BJ$999,Transport!$B52,BY_TRA!$BK$2:$BK$999,Transport!$C52)/SUMIFS(BY_TRA!Z$2:Z$999,BY_TRA!$BJ$2:$BJ$999,Transport!$B52),0)</f>
        <v>0</v>
      </c>
      <c r="S52" s="1">
        <f>IFERROR(SUMIFS(BY_TRA!AA$2:AA$999,BY_TRA!$BJ$2:$BJ$999,Transport!$B52,BY_TRA!$BK$2:$BK$999,Transport!$C52)/SUMIFS(BY_TRA!AA$2:AA$999,BY_TRA!$BJ$2:$BJ$999,Transport!$B52),0)</f>
        <v>0</v>
      </c>
      <c r="T52" s="1">
        <f>IFERROR(SUMIFS(BY_TRA!AB$2:AB$999,BY_TRA!$BJ$2:$BJ$999,Transport!$B52,BY_TRA!$BK$2:$BK$999,Transport!$C52)/SUMIFS(BY_TRA!AB$2:AB$999,BY_TRA!$BJ$2:$BJ$999,Transport!$B52),0)</f>
        <v>0</v>
      </c>
      <c r="U52" s="1">
        <f>IFERROR(SUMIFS(BY_TRA!AC$2:AC$999,BY_TRA!$BJ$2:$BJ$999,Transport!$B52,BY_TRA!$BK$2:$BK$999,Transport!$C52)/SUMIFS(BY_TRA!AC$2:AC$999,BY_TRA!$BJ$2:$BJ$999,Transport!$B52),0)</f>
        <v>0</v>
      </c>
      <c r="V52" s="1">
        <f>IFERROR(SUMIFS(BY_TRA!AD$2:AD$999,BY_TRA!$BJ$2:$BJ$999,Transport!$B52,BY_TRA!$BK$2:$BK$999,Transport!$C52)/SUMIFS(BY_TRA!AD$2:AD$999,BY_TRA!$BJ$2:$BJ$999,Transport!$B52),0)</f>
        <v>0</v>
      </c>
      <c r="W52" s="1">
        <f>IFERROR(SUMIFS(BY_TRA!AE$2:AE$999,BY_TRA!$BJ$2:$BJ$999,Transport!$B52,BY_TRA!$BK$2:$BK$999,Transport!$C52)/SUMIFS(BY_TRA!AE$2:AE$999,BY_TRA!$BJ$2:$BJ$999,Transport!$B52),0)</f>
        <v>0</v>
      </c>
      <c r="X52" s="1">
        <f>IFERROR(SUMIFS(BY_TRA!AF$2:AF$999,BY_TRA!$BJ$2:$BJ$999,Transport!$B52,BY_TRA!$BK$2:$BK$999,Transport!$C52)/SUMIFS(BY_TRA!AF$2:AF$999,BY_TRA!$BJ$2:$BJ$999,Transport!$B52),0)</f>
        <v>0</v>
      </c>
      <c r="Y52" s="1">
        <f>IFERROR(SUMIFS(BY_TRA!AG$2:AG$999,BY_TRA!$BJ$2:$BJ$999,Transport!$B52,BY_TRA!$BK$2:$BK$999,Transport!$C52)/SUMIFS(BY_TRA!AG$2:AG$999,BY_TRA!$BJ$2:$BJ$999,Transport!$B52),0)</f>
        <v>0</v>
      </c>
      <c r="Z52" s="1">
        <f>IFERROR(SUMIFS(BY_TRA!AH$2:AH$999,BY_TRA!$BJ$2:$BJ$999,Transport!$B52,BY_TRA!$BK$2:$BK$999,Transport!$C52)/SUMIFS(BY_TRA!AH$2:AH$999,BY_TRA!$BJ$2:$BJ$999,Transport!$B52),0)</f>
        <v>0</v>
      </c>
      <c r="AA52" s="1">
        <f>IFERROR(SUMIFS(BY_TRA!AI$2:AI$999,BY_TRA!$BJ$2:$BJ$999,Transport!$B52,BY_TRA!$BK$2:$BK$999,Transport!$C52)/SUMIFS(BY_TRA!AI$2:AI$999,BY_TRA!$BJ$2:$BJ$999,Transport!$B52),0)</f>
        <v>0</v>
      </c>
      <c r="AB52" s="1">
        <f>IFERROR(SUMIFS(BY_TRA!AJ$2:AJ$999,BY_TRA!$BJ$2:$BJ$999,Transport!$B52,BY_TRA!$BK$2:$BK$999,Transport!$C52)/SUMIFS(BY_TRA!AJ$2:AJ$999,BY_TRA!$BJ$2:$BJ$999,Transport!$B52),0)</f>
        <v>0</v>
      </c>
      <c r="AC52" s="1">
        <f>IFERROR(SUMIFS(BY_TRA!AK$2:AK$999,BY_TRA!$BJ$2:$BJ$999,Transport!$B52,BY_TRA!$BK$2:$BK$999,Transport!$C52)/SUMIFS(BY_TRA!AK$2:AK$999,BY_TRA!$BJ$2:$BJ$999,Transport!$B52),0)</f>
        <v>0</v>
      </c>
      <c r="AD52" s="1">
        <f>IFERROR(SUMIFS(BY_TRA!AL$2:AL$999,BY_TRA!$BJ$2:$BJ$999,Transport!$B52,BY_TRA!$BK$2:$BK$999,Transport!$C52)/SUMIFS(BY_TRA!AL$2:AL$999,BY_TRA!$BJ$2:$BJ$999,Transport!$B52),0)</f>
        <v>0</v>
      </c>
      <c r="AE52" s="1">
        <f>IFERROR(SUMIFS(BY_TRA!AM$2:AM$999,BY_TRA!$BJ$2:$BJ$999,Transport!$B52,BY_TRA!$BK$2:$BK$999,Transport!$C52)/SUMIFS(BY_TRA!AM$2:AM$999,BY_TRA!$BJ$2:$BJ$999,Transport!$B52),0)</f>
        <v>0</v>
      </c>
      <c r="AF52" s="1">
        <f>IFERROR(SUMIFS(BY_TRA!AN$2:AN$999,BY_TRA!$BJ$2:$BJ$999,Transport!$B52,BY_TRA!$BK$2:$BK$999,Transport!$C52)/SUMIFS(BY_TRA!AN$2:AN$999,BY_TRA!$BJ$2:$BJ$999,Transport!$B52),0)</f>
        <v>0</v>
      </c>
      <c r="AG52" s="1">
        <f>IFERROR(SUMIFS(BY_TRA!AO$2:AO$999,BY_TRA!$BJ$2:$BJ$999,Transport!$B52,BY_TRA!$BK$2:$BK$999,Transport!$C52)/SUMIFS(BY_TRA!AO$2:AO$999,BY_TRA!$BJ$2:$BJ$999,Transport!$B52),0)</f>
        <v>0</v>
      </c>
      <c r="AH52" s="1">
        <f>IFERROR(SUMIFS(BY_TRA!AP$2:AP$999,BY_TRA!$BJ$2:$BJ$999,Transport!$B52,BY_TRA!$BK$2:$BK$999,Transport!$C52)/SUMIFS(BY_TRA!AP$2:AP$999,BY_TRA!$BJ$2:$BJ$999,Transport!$B52),0)</f>
        <v>0</v>
      </c>
      <c r="AI52" s="1">
        <f>IFERROR(SUMIFS(BY_TRA!AQ$2:AQ$999,BY_TRA!$BJ$2:$BJ$999,Transport!$B52,BY_TRA!$BK$2:$BK$999,Transport!$C52)/SUMIFS(BY_TRA!AQ$2:AQ$999,BY_TRA!$BJ$2:$BJ$999,Transport!$B52),0)</f>
        <v>0</v>
      </c>
      <c r="AJ52" s="1">
        <f>IFERROR(SUMIFS(BY_TRA!AR$2:AR$999,BY_TRA!$BJ$2:$BJ$999,Transport!$B52,BY_TRA!$BK$2:$BK$999,Transport!$C52)/SUMIFS(BY_TRA!AR$2:AR$999,BY_TRA!$BJ$2:$BJ$999,Transport!$B52),0)</f>
        <v>0</v>
      </c>
      <c r="AK52" s="1">
        <f>IFERROR(SUMIFS(BY_TRA!AS$2:AS$999,BY_TRA!$BJ$2:$BJ$999,Transport!$B52,BY_TRA!$BK$2:$BK$999,Transport!$C52)/SUMIFS(BY_TRA!AS$2:AS$999,BY_TRA!$BJ$2:$BJ$999,Transport!$B52),0)</f>
        <v>0</v>
      </c>
      <c r="AL52" s="1">
        <f>IFERROR(SUMIFS(BY_TRA!AT$2:AT$999,BY_TRA!$BJ$2:$BJ$999,Transport!$B52,BY_TRA!$BK$2:$BK$999,Transport!$C52)/SUMIFS(BY_TRA!AT$2:AT$999,BY_TRA!$BJ$2:$BJ$999,Transport!$B52),0)</f>
        <v>0</v>
      </c>
      <c r="AM52" s="1">
        <f>IFERROR(SUMIFS(BY_TRA!AU$2:AU$999,BY_TRA!$BJ$2:$BJ$999,Transport!$B52,BY_TRA!$BK$2:$BK$999,Transport!$C52)/SUMIFS(BY_TRA!AU$2:AU$999,BY_TRA!$BJ$2:$BJ$999,Transport!$B52),0)</f>
        <v>0</v>
      </c>
      <c r="AN52" s="1">
        <f>IFERROR(SUMIFS(BY_TRA!AV$2:AV$999,BY_TRA!$BJ$2:$BJ$999,Transport!$B52,BY_TRA!$BK$2:$BK$999,Transport!$C52)/SUMIFS(BY_TRA!AV$2:AV$999,BY_TRA!$BJ$2:$BJ$999,Transport!$B52),0)</f>
        <v>0</v>
      </c>
      <c r="AO52" s="1">
        <f>IFERROR(SUMIFS(BY_TRA!AW$2:AW$999,BY_TRA!$BJ$2:$BJ$999,Transport!$B52,BY_TRA!$BK$2:$BK$999,Transport!$C52)/SUMIFS(BY_TRA!AW$2:AW$999,BY_TRA!$BJ$2:$BJ$999,Transport!$B52),0)</f>
        <v>0</v>
      </c>
      <c r="AP52" s="1">
        <f>IFERROR(SUMIFS(BY_TRA!AX$2:AX$999,BY_TRA!$BJ$2:$BJ$999,Transport!$B52,BY_TRA!$BK$2:$BK$999,Transport!$C52)/SUMIFS(BY_TRA!AX$2:AX$999,BY_TRA!$BJ$2:$BJ$999,Transport!$B52),0)</f>
        <v>0</v>
      </c>
      <c r="AQ52" s="1">
        <f>IFERROR(SUMIFS(BY_TRA!AY$2:AY$999,BY_TRA!$BJ$2:$BJ$999,Transport!$B52,BY_TRA!$BK$2:$BK$999,Transport!$C52)/SUMIFS(BY_TRA!AY$2:AY$999,BY_TRA!$BJ$2:$BJ$999,Transport!$B52),0)</f>
        <v>0</v>
      </c>
      <c r="AR52" s="1">
        <f>IFERROR(SUMIFS(BY_TRA!AZ$2:AZ$999,BY_TRA!$BJ$2:$BJ$999,Transport!$B52,BY_TRA!$BK$2:$BK$999,Transport!$C52)/SUMIFS(BY_TRA!AZ$2:AZ$999,BY_TRA!$BJ$2:$BJ$999,Transport!$B52),0)</f>
        <v>0</v>
      </c>
      <c r="AS52" s="1">
        <f>IFERROR(SUMIFS(BY_TRA!BA$2:BA$999,BY_TRA!$BJ$2:$BJ$999,Transport!$B52,BY_TRA!$BK$2:$BK$999,Transport!$C52)/SUMIFS(BY_TRA!BA$2:BA$999,BY_TRA!$BJ$2:$BJ$999,Transport!$B52),0)</f>
        <v>0</v>
      </c>
      <c r="AT52" s="1">
        <f>IFERROR(SUMIFS(BY_TRA!BB$2:BB$999,BY_TRA!$BJ$2:$BJ$999,Transport!$B52,BY_TRA!$BK$2:$BK$999,Transport!$C52)/SUMIFS(BY_TRA!BB$2:BB$999,BY_TRA!$BJ$2:$BJ$999,Transport!$B52),0)</f>
        <v>0</v>
      </c>
      <c r="AU52" s="1">
        <f>IFERROR(SUMIFS(BY_TRA!BC$2:BC$999,BY_TRA!$BJ$2:$BJ$999,Transport!$B52,BY_TRA!$BK$2:$BK$999,Transport!$C52)/SUMIFS(BY_TRA!BC$2:BC$999,BY_TRA!$BJ$2:$BJ$999,Transport!$B52),0)</f>
        <v>0</v>
      </c>
      <c r="AV52" s="1">
        <f>IFERROR(SUMIFS(BY_TRA!BD$2:BD$999,BY_TRA!$BJ$2:$BJ$999,Transport!$B52,BY_TRA!$BK$2:$BK$999,Transport!$C52)/SUMIFS(BY_TRA!BD$2:BD$999,BY_TRA!$BJ$2:$BJ$999,Transport!$B52),0)</f>
        <v>0</v>
      </c>
      <c r="AW52" s="1">
        <f>IFERROR(SUMIFS(BY_TRA!BE$2:BE$999,BY_TRA!$BJ$2:$BJ$999,Transport!$B52,BY_TRA!$BK$2:$BK$999,Transport!$C52)/SUMIFS(BY_TRA!BE$2:BE$999,BY_TRA!$BJ$2:$BJ$999,Transport!$B52),0)</f>
        <v>0</v>
      </c>
      <c r="AX52" s="1">
        <f>IFERROR(SUMIFS(BY_TRA!BF$2:BF$999,BY_TRA!$BJ$2:$BJ$999,Transport!$B52,BY_TRA!$BK$2:$BK$999,Transport!$C52)/SUMIFS(BY_TRA!BF$2:BF$999,BY_TRA!$BJ$2:$BJ$999,Transport!$B52),0)</f>
        <v>0</v>
      </c>
      <c r="AY52" s="1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132</v>
      </c>
      <c r="C53" s="2" t="s">
        <v>131</v>
      </c>
      <c r="D53" s="1">
        <f>IFERROR(SUMIFS(BY_TRA!L$2:L$999,BY_TRA!$BJ$2:$BJ$999,Transport!$B53,BY_TRA!$BK$2:$BK$999,Transport!$C53)/SUMIFS(BY_TRA!L$2:L$999,BY_TRA!$BJ$2:$BJ$999,Transport!$B53),0)</f>
        <v>0</v>
      </c>
      <c r="E53" s="1">
        <f>IFERROR(SUMIFS(BY_TRA!M$2:M$999,BY_TRA!$BJ$2:$BJ$999,Transport!$B53,BY_TRA!$BK$2:$BK$999,Transport!$C53)/SUMIFS(BY_TRA!M$2:M$999,BY_TRA!$BJ$2:$BJ$999,Transport!$B53),0)</f>
        <v>0</v>
      </c>
      <c r="F53" s="1">
        <f>IFERROR(SUMIFS(BY_TRA!N$2:N$999,BY_TRA!$BJ$2:$BJ$999,Transport!$B53,BY_TRA!$BK$2:$BK$999,Transport!$C53)/SUMIFS(BY_TRA!N$2:N$999,BY_TRA!$BJ$2:$BJ$999,Transport!$B53),0)</f>
        <v>0</v>
      </c>
      <c r="G53" s="1">
        <f>IFERROR(SUMIFS(BY_TRA!O$2:O$999,BY_TRA!$BJ$2:$BJ$999,Transport!$B53,BY_TRA!$BK$2:$BK$999,Transport!$C53)/SUMIFS(BY_TRA!O$2:O$999,BY_TRA!$BJ$2:$BJ$999,Transport!$B53),0)</f>
        <v>0</v>
      </c>
      <c r="H53" s="1">
        <f>IFERROR(SUMIFS(BY_TRA!P$2:P$999,BY_TRA!$BJ$2:$BJ$999,Transport!$B53,BY_TRA!$BK$2:$BK$999,Transport!$C53)/SUMIFS(BY_TRA!P$2:P$999,BY_TRA!$BJ$2:$BJ$999,Transport!$B53),0)</f>
        <v>0</v>
      </c>
      <c r="I53" s="1">
        <f>IFERROR(SUMIFS(BY_TRA!Q$2:Q$999,BY_TRA!$BJ$2:$BJ$999,Transport!$B53,BY_TRA!$BK$2:$BK$999,Transport!$C53)/SUMIFS(BY_TRA!Q$2:Q$999,BY_TRA!$BJ$2:$BJ$999,Transport!$B53),0)</f>
        <v>0</v>
      </c>
      <c r="J53" s="1">
        <f>IFERROR(SUMIFS(BY_TRA!R$2:R$999,BY_TRA!$BJ$2:$BJ$999,Transport!$B53,BY_TRA!$BK$2:$BK$999,Transport!$C53)/SUMIFS(BY_TRA!R$2:R$999,BY_TRA!$BJ$2:$BJ$999,Transport!$B53),0)</f>
        <v>0</v>
      </c>
      <c r="K53" s="1">
        <f>IFERROR(SUMIFS(BY_TRA!S$2:S$999,BY_TRA!$BJ$2:$BJ$999,Transport!$B53,BY_TRA!$BK$2:$BK$999,Transport!$C53)/SUMIFS(BY_TRA!S$2:S$999,BY_TRA!$BJ$2:$BJ$999,Transport!$B53),0)</f>
        <v>0</v>
      </c>
      <c r="L53" s="1">
        <f>IFERROR(SUMIFS(BY_TRA!T$2:T$999,BY_TRA!$BJ$2:$BJ$999,Transport!$B53,BY_TRA!$BK$2:$BK$999,Transport!$C53)/SUMIFS(BY_TRA!T$2:T$999,BY_TRA!$BJ$2:$BJ$999,Transport!$B53),0)</f>
        <v>0</v>
      </c>
      <c r="M53" s="1">
        <f>IFERROR(SUMIFS(BY_TRA!U$2:U$999,BY_TRA!$BJ$2:$BJ$999,Transport!$B53,BY_TRA!$BK$2:$BK$999,Transport!$C53)/SUMIFS(BY_TRA!U$2:U$999,BY_TRA!$BJ$2:$BJ$999,Transport!$B53),0)</f>
        <v>0</v>
      </c>
      <c r="N53" s="1">
        <f>IFERROR(SUMIFS(BY_TRA!V$2:V$999,BY_TRA!$BJ$2:$BJ$999,Transport!$B53,BY_TRA!$BK$2:$BK$999,Transport!$C53)/SUMIFS(BY_TRA!V$2:V$999,BY_TRA!$BJ$2:$BJ$999,Transport!$B53),0)</f>
        <v>0</v>
      </c>
      <c r="O53" s="1">
        <f>IFERROR(SUMIFS(BY_TRA!W$2:W$999,BY_TRA!$BJ$2:$BJ$999,Transport!$B53,BY_TRA!$BK$2:$BK$999,Transport!$C53)/SUMIFS(BY_TRA!W$2:W$999,BY_TRA!$BJ$2:$BJ$999,Transport!$B53),0)</f>
        <v>0</v>
      </c>
      <c r="P53" s="1">
        <f>IFERROR(SUMIFS(BY_TRA!X$2:X$999,BY_TRA!$BJ$2:$BJ$999,Transport!$B53,BY_TRA!$BK$2:$BK$999,Transport!$C53)/SUMIFS(BY_TRA!X$2:X$999,BY_TRA!$BJ$2:$BJ$999,Transport!$B53),0)</f>
        <v>0</v>
      </c>
      <c r="Q53" s="1">
        <f>IFERROR(SUMIFS(BY_TRA!Y$2:Y$999,BY_TRA!$BJ$2:$BJ$999,Transport!$B53,BY_TRA!$BK$2:$BK$999,Transport!$C53)/SUMIFS(BY_TRA!Y$2:Y$999,BY_TRA!$BJ$2:$BJ$999,Transport!$B53),0)</f>
        <v>0</v>
      </c>
      <c r="R53" s="1">
        <f>IFERROR(SUMIFS(BY_TRA!Z$2:Z$999,BY_TRA!$BJ$2:$BJ$999,Transport!$B53,BY_TRA!$BK$2:$BK$999,Transport!$C53)/SUMIFS(BY_TRA!Z$2:Z$999,BY_TRA!$BJ$2:$BJ$999,Transport!$B53),0)</f>
        <v>0</v>
      </c>
      <c r="S53" s="1">
        <f>IFERROR(SUMIFS(BY_TRA!AA$2:AA$999,BY_TRA!$BJ$2:$BJ$999,Transport!$B53,BY_TRA!$BK$2:$BK$999,Transport!$C53)/SUMIFS(BY_TRA!AA$2:AA$999,BY_TRA!$BJ$2:$BJ$999,Transport!$B53),0)</f>
        <v>0</v>
      </c>
      <c r="T53" s="1">
        <f>IFERROR(SUMIFS(BY_TRA!AB$2:AB$999,BY_TRA!$BJ$2:$BJ$999,Transport!$B53,BY_TRA!$BK$2:$BK$999,Transport!$C53)/SUMIFS(BY_TRA!AB$2:AB$999,BY_TRA!$BJ$2:$BJ$999,Transport!$B53),0)</f>
        <v>0</v>
      </c>
      <c r="U53" s="1">
        <f>IFERROR(SUMIFS(BY_TRA!AC$2:AC$999,BY_TRA!$BJ$2:$BJ$999,Transport!$B53,BY_TRA!$BK$2:$BK$999,Transport!$C53)/SUMIFS(BY_TRA!AC$2:AC$999,BY_TRA!$BJ$2:$BJ$999,Transport!$B53),0)</f>
        <v>0</v>
      </c>
      <c r="V53" s="1">
        <f>IFERROR(SUMIFS(BY_TRA!AD$2:AD$999,BY_TRA!$BJ$2:$BJ$999,Transport!$B53,BY_TRA!$BK$2:$BK$999,Transport!$C53)/SUMIFS(BY_TRA!AD$2:AD$999,BY_TRA!$BJ$2:$BJ$999,Transport!$B53),0)</f>
        <v>0</v>
      </c>
      <c r="W53" s="1">
        <f>IFERROR(SUMIFS(BY_TRA!AE$2:AE$999,BY_TRA!$BJ$2:$BJ$999,Transport!$B53,BY_TRA!$BK$2:$BK$999,Transport!$C53)/SUMIFS(BY_TRA!AE$2:AE$999,BY_TRA!$BJ$2:$BJ$999,Transport!$B53),0)</f>
        <v>0</v>
      </c>
      <c r="X53" s="1">
        <f>IFERROR(SUMIFS(BY_TRA!AF$2:AF$999,BY_TRA!$BJ$2:$BJ$999,Transport!$B53,BY_TRA!$BK$2:$BK$999,Transport!$C53)/SUMIFS(BY_TRA!AF$2:AF$999,BY_TRA!$BJ$2:$BJ$999,Transport!$B53),0)</f>
        <v>0</v>
      </c>
      <c r="Y53" s="1">
        <f>IFERROR(SUMIFS(BY_TRA!AG$2:AG$999,BY_TRA!$BJ$2:$BJ$999,Transport!$B53,BY_TRA!$BK$2:$BK$999,Transport!$C53)/SUMIFS(BY_TRA!AG$2:AG$999,BY_TRA!$BJ$2:$BJ$999,Transport!$B53),0)</f>
        <v>0</v>
      </c>
      <c r="Z53" s="1">
        <f>IFERROR(SUMIFS(BY_TRA!AH$2:AH$999,BY_TRA!$BJ$2:$BJ$999,Transport!$B53,BY_TRA!$BK$2:$BK$999,Transport!$C53)/SUMIFS(BY_TRA!AH$2:AH$999,BY_TRA!$BJ$2:$BJ$999,Transport!$B53),0)</f>
        <v>0</v>
      </c>
      <c r="AA53" s="1">
        <f>IFERROR(SUMIFS(BY_TRA!AI$2:AI$999,BY_TRA!$BJ$2:$BJ$999,Transport!$B53,BY_TRA!$BK$2:$BK$999,Transport!$C53)/SUMIFS(BY_TRA!AI$2:AI$999,BY_TRA!$BJ$2:$BJ$999,Transport!$B53),0)</f>
        <v>0</v>
      </c>
      <c r="AB53" s="1">
        <f>IFERROR(SUMIFS(BY_TRA!AJ$2:AJ$999,BY_TRA!$BJ$2:$BJ$999,Transport!$B53,BY_TRA!$BK$2:$BK$999,Transport!$C53)/SUMIFS(BY_TRA!AJ$2:AJ$999,BY_TRA!$BJ$2:$BJ$999,Transport!$B53),0)</f>
        <v>0</v>
      </c>
      <c r="AC53" s="1">
        <f>IFERROR(SUMIFS(BY_TRA!AK$2:AK$999,BY_TRA!$BJ$2:$BJ$999,Transport!$B53,BY_TRA!$BK$2:$BK$999,Transport!$C53)/SUMIFS(BY_TRA!AK$2:AK$999,BY_TRA!$BJ$2:$BJ$999,Transport!$B53),0)</f>
        <v>0</v>
      </c>
      <c r="AD53" s="1">
        <f>IFERROR(SUMIFS(BY_TRA!AL$2:AL$999,BY_TRA!$BJ$2:$BJ$999,Transport!$B53,BY_TRA!$BK$2:$BK$999,Transport!$C53)/SUMIFS(BY_TRA!AL$2:AL$999,BY_TRA!$BJ$2:$BJ$999,Transport!$B53),0)</f>
        <v>0</v>
      </c>
      <c r="AE53" s="1">
        <f>IFERROR(SUMIFS(BY_TRA!AM$2:AM$999,BY_TRA!$BJ$2:$BJ$999,Transport!$B53,BY_TRA!$BK$2:$BK$999,Transport!$C53)/SUMIFS(BY_TRA!AM$2:AM$999,BY_TRA!$BJ$2:$BJ$999,Transport!$B53),0)</f>
        <v>0</v>
      </c>
      <c r="AF53" s="1">
        <f>IFERROR(SUMIFS(BY_TRA!AN$2:AN$999,BY_TRA!$BJ$2:$BJ$999,Transport!$B53,BY_TRA!$BK$2:$BK$999,Transport!$C53)/SUMIFS(BY_TRA!AN$2:AN$999,BY_TRA!$BJ$2:$BJ$999,Transport!$B53),0)</f>
        <v>0</v>
      </c>
      <c r="AG53" s="1">
        <f>IFERROR(SUMIFS(BY_TRA!AO$2:AO$999,BY_TRA!$BJ$2:$BJ$999,Transport!$B53,BY_TRA!$BK$2:$BK$999,Transport!$C53)/SUMIFS(BY_TRA!AO$2:AO$999,BY_TRA!$BJ$2:$BJ$999,Transport!$B53),0)</f>
        <v>0</v>
      </c>
      <c r="AH53" s="1">
        <f>IFERROR(SUMIFS(BY_TRA!AP$2:AP$999,BY_TRA!$BJ$2:$BJ$999,Transport!$B53,BY_TRA!$BK$2:$BK$999,Transport!$C53)/SUMIFS(BY_TRA!AP$2:AP$999,BY_TRA!$BJ$2:$BJ$999,Transport!$B53),0)</f>
        <v>0</v>
      </c>
      <c r="AI53" s="1">
        <f>IFERROR(SUMIFS(BY_TRA!AQ$2:AQ$999,BY_TRA!$BJ$2:$BJ$999,Transport!$B53,BY_TRA!$BK$2:$BK$999,Transport!$C53)/SUMIFS(BY_TRA!AQ$2:AQ$999,BY_TRA!$BJ$2:$BJ$999,Transport!$B53),0)</f>
        <v>0</v>
      </c>
      <c r="AJ53" s="1">
        <f>IFERROR(SUMIFS(BY_TRA!AR$2:AR$999,BY_TRA!$BJ$2:$BJ$999,Transport!$B53,BY_TRA!$BK$2:$BK$999,Transport!$C53)/SUMIFS(BY_TRA!AR$2:AR$999,BY_TRA!$BJ$2:$BJ$999,Transport!$B53),0)</f>
        <v>0</v>
      </c>
      <c r="AK53" s="1">
        <f>IFERROR(SUMIFS(BY_TRA!AS$2:AS$999,BY_TRA!$BJ$2:$BJ$999,Transport!$B53,BY_TRA!$BK$2:$BK$999,Transport!$C53)/SUMIFS(BY_TRA!AS$2:AS$999,BY_TRA!$BJ$2:$BJ$999,Transport!$B53),0)</f>
        <v>0</v>
      </c>
      <c r="AL53" s="1">
        <f>IFERROR(SUMIFS(BY_TRA!AT$2:AT$999,BY_TRA!$BJ$2:$BJ$999,Transport!$B53,BY_TRA!$BK$2:$BK$999,Transport!$C53)/SUMIFS(BY_TRA!AT$2:AT$999,BY_TRA!$BJ$2:$BJ$999,Transport!$B53),0)</f>
        <v>0</v>
      </c>
      <c r="AM53" s="1">
        <f>IFERROR(SUMIFS(BY_TRA!AU$2:AU$999,BY_TRA!$BJ$2:$BJ$999,Transport!$B53,BY_TRA!$BK$2:$BK$999,Transport!$C53)/SUMIFS(BY_TRA!AU$2:AU$999,BY_TRA!$BJ$2:$BJ$999,Transport!$B53),0)</f>
        <v>0</v>
      </c>
      <c r="AN53" s="1">
        <f>IFERROR(SUMIFS(BY_TRA!AV$2:AV$999,BY_TRA!$BJ$2:$BJ$999,Transport!$B53,BY_TRA!$BK$2:$BK$999,Transport!$C53)/SUMIFS(BY_TRA!AV$2:AV$999,BY_TRA!$BJ$2:$BJ$999,Transport!$B53),0)</f>
        <v>0</v>
      </c>
      <c r="AO53" s="1">
        <f>IFERROR(SUMIFS(BY_TRA!AW$2:AW$999,BY_TRA!$BJ$2:$BJ$999,Transport!$B53,BY_TRA!$BK$2:$BK$999,Transport!$C53)/SUMIFS(BY_TRA!AW$2:AW$999,BY_TRA!$BJ$2:$BJ$999,Transport!$B53),0)</f>
        <v>0</v>
      </c>
      <c r="AP53" s="1">
        <f>IFERROR(SUMIFS(BY_TRA!AX$2:AX$999,BY_TRA!$BJ$2:$BJ$999,Transport!$B53,BY_TRA!$BK$2:$BK$999,Transport!$C53)/SUMIFS(BY_TRA!AX$2:AX$999,BY_TRA!$BJ$2:$BJ$999,Transport!$B53),0)</f>
        <v>0</v>
      </c>
      <c r="AQ53" s="1">
        <f>IFERROR(SUMIFS(BY_TRA!AY$2:AY$999,BY_TRA!$BJ$2:$BJ$999,Transport!$B53,BY_TRA!$BK$2:$BK$999,Transport!$C53)/SUMIFS(BY_TRA!AY$2:AY$999,BY_TRA!$BJ$2:$BJ$999,Transport!$B53),0)</f>
        <v>0</v>
      </c>
      <c r="AR53" s="1">
        <f>IFERROR(SUMIFS(BY_TRA!AZ$2:AZ$999,BY_TRA!$BJ$2:$BJ$999,Transport!$B53,BY_TRA!$BK$2:$BK$999,Transport!$C53)/SUMIFS(BY_TRA!AZ$2:AZ$999,BY_TRA!$BJ$2:$BJ$999,Transport!$B53),0)</f>
        <v>0</v>
      </c>
      <c r="AS53" s="1">
        <f>IFERROR(SUMIFS(BY_TRA!BA$2:BA$999,BY_TRA!$BJ$2:$BJ$999,Transport!$B53,BY_TRA!$BK$2:$BK$999,Transport!$C53)/SUMIFS(BY_TRA!BA$2:BA$999,BY_TRA!$BJ$2:$BJ$999,Transport!$B53),0)</f>
        <v>0</v>
      </c>
      <c r="AT53" s="1">
        <f>IFERROR(SUMIFS(BY_TRA!BB$2:BB$999,BY_TRA!$BJ$2:$BJ$999,Transport!$B53,BY_TRA!$BK$2:$BK$999,Transport!$C53)/SUMIFS(BY_TRA!BB$2:BB$999,BY_TRA!$BJ$2:$BJ$999,Transport!$B53),0)</f>
        <v>0</v>
      </c>
      <c r="AU53" s="1">
        <f>IFERROR(SUMIFS(BY_TRA!BC$2:BC$999,BY_TRA!$BJ$2:$BJ$999,Transport!$B53,BY_TRA!$BK$2:$BK$999,Transport!$C53)/SUMIFS(BY_TRA!BC$2:BC$999,BY_TRA!$BJ$2:$BJ$999,Transport!$B53),0)</f>
        <v>0</v>
      </c>
      <c r="AV53" s="1">
        <f>IFERROR(SUMIFS(BY_TRA!BD$2:BD$999,BY_TRA!$BJ$2:$BJ$999,Transport!$B53,BY_TRA!$BK$2:$BK$999,Transport!$C53)/SUMIFS(BY_TRA!BD$2:BD$999,BY_TRA!$BJ$2:$BJ$999,Transport!$B53),0)</f>
        <v>0</v>
      </c>
      <c r="AW53" s="1">
        <f>IFERROR(SUMIFS(BY_TRA!BE$2:BE$999,BY_TRA!$BJ$2:$BJ$999,Transport!$B53,BY_TRA!$BK$2:$BK$999,Transport!$C53)/SUMIFS(BY_TRA!BE$2:BE$999,BY_TRA!$BJ$2:$BJ$999,Transport!$B53),0)</f>
        <v>0</v>
      </c>
      <c r="AX53" s="1">
        <f>IFERROR(SUMIFS(BY_TRA!BF$2:BF$999,BY_TRA!$BJ$2:$BJ$999,Transport!$B53,BY_TRA!$BK$2:$BK$999,Transport!$C53)/SUMIFS(BY_TRA!BF$2:BF$999,BY_TRA!$BJ$2:$BJ$999,Transport!$B53),0)</f>
        <v>0</v>
      </c>
      <c r="AY53" s="1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133</v>
      </c>
      <c r="C54" t="s">
        <v>126</v>
      </c>
      <c r="D54" s="1">
        <f>IFERROR(SUMIFS(BY_TRA!L$2:L$999,BY_TRA!$BJ$2:$BJ$999,Transport!$B54,BY_TRA!$BK$2:$BK$999,Transport!$C54)/SUMIFS(BY_TRA!L$2:L$999,BY_TRA!$BJ$2:$BJ$999,Transport!$B54),0)</f>
        <v>0</v>
      </c>
      <c r="E54" s="1">
        <f>IFERROR(SUMIFS(BY_TRA!M$2:M$999,BY_TRA!$BJ$2:$BJ$999,Transport!$B54,BY_TRA!$BK$2:$BK$999,Transport!$C54)/SUMIFS(BY_TRA!M$2:M$999,BY_TRA!$BJ$2:$BJ$999,Transport!$B54),0)</f>
        <v>0</v>
      </c>
      <c r="F54" s="1">
        <f>IFERROR(SUMIFS(BY_TRA!N$2:N$999,BY_TRA!$BJ$2:$BJ$999,Transport!$B54,BY_TRA!$BK$2:$BK$999,Transport!$C54)/SUMIFS(BY_TRA!N$2:N$999,BY_TRA!$BJ$2:$BJ$999,Transport!$B54),0)</f>
        <v>0</v>
      </c>
      <c r="G54" s="1">
        <f>IFERROR(SUMIFS(BY_TRA!O$2:O$999,BY_TRA!$BJ$2:$BJ$999,Transport!$B54,BY_TRA!$BK$2:$BK$999,Transport!$C54)/SUMIFS(BY_TRA!O$2:O$999,BY_TRA!$BJ$2:$BJ$999,Transport!$B54),0)</f>
        <v>0</v>
      </c>
      <c r="H54" s="1">
        <f>IFERROR(SUMIFS(BY_TRA!P$2:P$999,BY_TRA!$BJ$2:$BJ$999,Transport!$B54,BY_TRA!$BK$2:$BK$999,Transport!$C54)/SUMIFS(BY_TRA!P$2:P$999,BY_TRA!$BJ$2:$BJ$999,Transport!$B54),0)</f>
        <v>0</v>
      </c>
      <c r="I54" s="1">
        <f>IFERROR(SUMIFS(BY_TRA!Q$2:Q$999,BY_TRA!$BJ$2:$BJ$999,Transport!$B54,BY_TRA!$BK$2:$BK$999,Transport!$C54)/SUMIFS(BY_TRA!Q$2:Q$999,BY_TRA!$BJ$2:$BJ$999,Transport!$B54),0)</f>
        <v>0</v>
      </c>
      <c r="J54" s="1">
        <f>IFERROR(SUMIFS(BY_TRA!R$2:R$999,BY_TRA!$BJ$2:$BJ$999,Transport!$B54,BY_TRA!$BK$2:$BK$999,Transport!$C54)/SUMIFS(BY_TRA!R$2:R$999,BY_TRA!$BJ$2:$BJ$999,Transport!$B54),0)</f>
        <v>0</v>
      </c>
      <c r="K54" s="1">
        <f>IFERROR(SUMIFS(BY_TRA!S$2:S$999,BY_TRA!$BJ$2:$BJ$999,Transport!$B54,BY_TRA!$BK$2:$BK$999,Transport!$C54)/SUMIFS(BY_TRA!S$2:S$999,BY_TRA!$BJ$2:$BJ$999,Transport!$B54),0)</f>
        <v>0</v>
      </c>
      <c r="L54" s="1">
        <f>IFERROR(SUMIFS(BY_TRA!T$2:T$999,BY_TRA!$BJ$2:$BJ$999,Transport!$B54,BY_TRA!$BK$2:$BK$999,Transport!$C54)/SUMIFS(BY_TRA!T$2:T$999,BY_TRA!$BJ$2:$BJ$999,Transport!$B54),0)</f>
        <v>0</v>
      </c>
      <c r="M54" s="1">
        <f>IFERROR(SUMIFS(BY_TRA!U$2:U$999,BY_TRA!$BJ$2:$BJ$999,Transport!$B54,BY_TRA!$BK$2:$BK$999,Transport!$C54)/SUMIFS(BY_TRA!U$2:U$999,BY_TRA!$BJ$2:$BJ$999,Transport!$B54),0)</f>
        <v>0</v>
      </c>
      <c r="N54" s="1">
        <f>IFERROR(SUMIFS(BY_TRA!V$2:V$999,BY_TRA!$BJ$2:$BJ$999,Transport!$B54,BY_TRA!$BK$2:$BK$999,Transport!$C54)/SUMIFS(BY_TRA!V$2:V$999,BY_TRA!$BJ$2:$BJ$999,Transport!$B54),0)</f>
        <v>0</v>
      </c>
      <c r="O54" s="1">
        <f>IFERROR(SUMIFS(BY_TRA!W$2:W$999,BY_TRA!$BJ$2:$BJ$999,Transport!$B54,BY_TRA!$BK$2:$BK$999,Transport!$C54)/SUMIFS(BY_TRA!W$2:W$999,BY_TRA!$BJ$2:$BJ$999,Transport!$B54),0)</f>
        <v>0</v>
      </c>
      <c r="P54" s="1">
        <f>IFERROR(SUMIFS(BY_TRA!X$2:X$999,BY_TRA!$BJ$2:$BJ$999,Transport!$B54,BY_TRA!$BK$2:$BK$999,Transport!$C54)/SUMIFS(BY_TRA!X$2:X$999,BY_TRA!$BJ$2:$BJ$999,Transport!$B54),0)</f>
        <v>0</v>
      </c>
      <c r="Q54" s="1">
        <f>IFERROR(SUMIFS(BY_TRA!Y$2:Y$999,BY_TRA!$BJ$2:$BJ$999,Transport!$B54,BY_TRA!$BK$2:$BK$999,Transport!$C54)/SUMIFS(BY_TRA!Y$2:Y$999,BY_TRA!$BJ$2:$BJ$999,Transport!$B54),0)</f>
        <v>0</v>
      </c>
      <c r="R54" s="1">
        <f>IFERROR(SUMIFS(BY_TRA!Z$2:Z$999,BY_TRA!$BJ$2:$BJ$999,Transport!$B54,BY_TRA!$BK$2:$BK$999,Transport!$C54)/SUMIFS(BY_TRA!Z$2:Z$999,BY_TRA!$BJ$2:$BJ$999,Transport!$B54),0)</f>
        <v>0</v>
      </c>
      <c r="S54" s="1">
        <f>IFERROR(SUMIFS(BY_TRA!AA$2:AA$999,BY_TRA!$BJ$2:$BJ$999,Transport!$B54,BY_TRA!$BK$2:$BK$999,Transport!$C54)/SUMIFS(BY_TRA!AA$2:AA$999,BY_TRA!$BJ$2:$BJ$999,Transport!$B54),0)</f>
        <v>0</v>
      </c>
      <c r="T54" s="1">
        <f>IFERROR(SUMIFS(BY_TRA!AB$2:AB$999,BY_TRA!$BJ$2:$BJ$999,Transport!$B54,BY_TRA!$BK$2:$BK$999,Transport!$C54)/SUMIFS(BY_TRA!AB$2:AB$999,BY_TRA!$BJ$2:$BJ$999,Transport!$B54),0)</f>
        <v>0</v>
      </c>
      <c r="U54" s="1">
        <f>IFERROR(SUMIFS(BY_TRA!AC$2:AC$999,BY_TRA!$BJ$2:$BJ$999,Transport!$B54,BY_TRA!$BK$2:$BK$999,Transport!$C54)/SUMIFS(BY_TRA!AC$2:AC$999,BY_TRA!$BJ$2:$BJ$999,Transport!$B54),0)</f>
        <v>0</v>
      </c>
      <c r="V54" s="1">
        <f>IFERROR(SUMIFS(BY_TRA!AD$2:AD$999,BY_TRA!$BJ$2:$BJ$999,Transport!$B54,BY_TRA!$BK$2:$BK$999,Transport!$C54)/SUMIFS(BY_TRA!AD$2:AD$999,BY_TRA!$BJ$2:$BJ$999,Transport!$B54),0)</f>
        <v>0</v>
      </c>
      <c r="W54" s="1">
        <f>IFERROR(SUMIFS(BY_TRA!AE$2:AE$999,BY_TRA!$BJ$2:$BJ$999,Transport!$B54,BY_TRA!$BK$2:$BK$999,Transport!$C54)/SUMIFS(BY_TRA!AE$2:AE$999,BY_TRA!$BJ$2:$BJ$999,Transport!$B54),0)</f>
        <v>0</v>
      </c>
      <c r="X54" s="1">
        <f>IFERROR(SUMIFS(BY_TRA!AF$2:AF$999,BY_TRA!$BJ$2:$BJ$999,Transport!$B54,BY_TRA!$BK$2:$BK$999,Transport!$C54)/SUMIFS(BY_TRA!AF$2:AF$999,BY_TRA!$BJ$2:$BJ$999,Transport!$B54),0)</f>
        <v>0</v>
      </c>
      <c r="Y54" s="1">
        <f>IFERROR(SUMIFS(BY_TRA!AG$2:AG$999,BY_TRA!$BJ$2:$BJ$999,Transport!$B54,BY_TRA!$BK$2:$BK$999,Transport!$C54)/SUMIFS(BY_TRA!AG$2:AG$999,BY_TRA!$BJ$2:$BJ$999,Transport!$B54),0)</f>
        <v>0</v>
      </c>
      <c r="Z54" s="1">
        <f>IFERROR(SUMIFS(BY_TRA!AH$2:AH$999,BY_TRA!$BJ$2:$BJ$999,Transport!$B54,BY_TRA!$BK$2:$BK$999,Transport!$C54)/SUMIFS(BY_TRA!AH$2:AH$999,BY_TRA!$BJ$2:$BJ$999,Transport!$B54),0)</f>
        <v>0</v>
      </c>
      <c r="AA54" s="1">
        <f>IFERROR(SUMIFS(BY_TRA!AI$2:AI$999,BY_TRA!$BJ$2:$BJ$999,Transport!$B54,BY_TRA!$BK$2:$BK$999,Transport!$C54)/SUMIFS(BY_TRA!AI$2:AI$999,BY_TRA!$BJ$2:$BJ$999,Transport!$B54),0)</f>
        <v>0</v>
      </c>
      <c r="AB54" s="1">
        <f>IFERROR(SUMIFS(BY_TRA!AJ$2:AJ$999,BY_TRA!$BJ$2:$BJ$999,Transport!$B54,BY_TRA!$BK$2:$BK$999,Transport!$C54)/SUMIFS(BY_TRA!AJ$2:AJ$999,BY_TRA!$BJ$2:$BJ$999,Transport!$B54),0)</f>
        <v>0</v>
      </c>
      <c r="AC54" s="1">
        <f>IFERROR(SUMIFS(BY_TRA!AK$2:AK$999,BY_TRA!$BJ$2:$BJ$999,Transport!$B54,BY_TRA!$BK$2:$BK$999,Transport!$C54)/SUMIFS(BY_TRA!AK$2:AK$999,BY_TRA!$BJ$2:$BJ$999,Transport!$B54),0)</f>
        <v>0</v>
      </c>
      <c r="AD54" s="1">
        <f>IFERROR(SUMIFS(BY_TRA!AL$2:AL$999,BY_TRA!$BJ$2:$BJ$999,Transport!$B54,BY_TRA!$BK$2:$BK$999,Transport!$C54)/SUMIFS(BY_TRA!AL$2:AL$999,BY_TRA!$BJ$2:$BJ$999,Transport!$B54),0)</f>
        <v>0</v>
      </c>
      <c r="AE54" s="1">
        <f>IFERROR(SUMIFS(BY_TRA!AM$2:AM$999,BY_TRA!$BJ$2:$BJ$999,Transport!$B54,BY_TRA!$BK$2:$BK$999,Transport!$C54)/SUMIFS(BY_TRA!AM$2:AM$999,BY_TRA!$BJ$2:$BJ$999,Transport!$B54),0)</f>
        <v>0</v>
      </c>
      <c r="AF54" s="1">
        <f>IFERROR(SUMIFS(BY_TRA!AN$2:AN$999,BY_TRA!$BJ$2:$BJ$999,Transport!$B54,BY_TRA!$BK$2:$BK$999,Transport!$C54)/SUMIFS(BY_TRA!AN$2:AN$999,BY_TRA!$BJ$2:$BJ$999,Transport!$B54),0)</f>
        <v>0</v>
      </c>
      <c r="AG54" s="1">
        <f>IFERROR(SUMIFS(BY_TRA!AO$2:AO$999,BY_TRA!$BJ$2:$BJ$999,Transport!$B54,BY_TRA!$BK$2:$BK$999,Transport!$C54)/SUMIFS(BY_TRA!AO$2:AO$999,BY_TRA!$BJ$2:$BJ$999,Transport!$B54),0)</f>
        <v>0</v>
      </c>
      <c r="AH54" s="1">
        <f>IFERROR(SUMIFS(BY_TRA!AP$2:AP$999,BY_TRA!$BJ$2:$BJ$999,Transport!$B54,BY_TRA!$BK$2:$BK$999,Transport!$C54)/SUMIFS(BY_TRA!AP$2:AP$999,BY_TRA!$BJ$2:$BJ$999,Transport!$B54),0)</f>
        <v>0</v>
      </c>
      <c r="AI54" s="1">
        <f>IFERROR(SUMIFS(BY_TRA!AQ$2:AQ$999,BY_TRA!$BJ$2:$BJ$999,Transport!$B54,BY_TRA!$BK$2:$BK$999,Transport!$C54)/SUMIFS(BY_TRA!AQ$2:AQ$999,BY_TRA!$BJ$2:$BJ$999,Transport!$B54),0)</f>
        <v>0</v>
      </c>
      <c r="AJ54" s="1">
        <f>IFERROR(SUMIFS(BY_TRA!AR$2:AR$999,BY_TRA!$BJ$2:$BJ$999,Transport!$B54,BY_TRA!$BK$2:$BK$999,Transport!$C54)/SUMIFS(BY_TRA!AR$2:AR$999,BY_TRA!$BJ$2:$BJ$999,Transport!$B54),0)</f>
        <v>0</v>
      </c>
      <c r="AK54" s="1">
        <f>IFERROR(SUMIFS(BY_TRA!AS$2:AS$999,BY_TRA!$BJ$2:$BJ$999,Transport!$B54,BY_TRA!$BK$2:$BK$999,Transport!$C54)/SUMIFS(BY_TRA!AS$2:AS$999,BY_TRA!$BJ$2:$BJ$999,Transport!$B54),0)</f>
        <v>0</v>
      </c>
      <c r="AL54" s="1">
        <f>IFERROR(SUMIFS(BY_TRA!AT$2:AT$999,BY_TRA!$BJ$2:$BJ$999,Transport!$B54,BY_TRA!$BK$2:$BK$999,Transport!$C54)/SUMIFS(BY_TRA!AT$2:AT$999,BY_TRA!$BJ$2:$BJ$999,Transport!$B54),0)</f>
        <v>0</v>
      </c>
      <c r="AM54" s="1">
        <f>IFERROR(SUMIFS(BY_TRA!AU$2:AU$999,BY_TRA!$BJ$2:$BJ$999,Transport!$B54,BY_TRA!$BK$2:$BK$999,Transport!$C54)/SUMIFS(BY_TRA!AU$2:AU$999,BY_TRA!$BJ$2:$BJ$999,Transport!$B54),0)</f>
        <v>0</v>
      </c>
      <c r="AN54" s="1">
        <f>IFERROR(SUMIFS(BY_TRA!AV$2:AV$999,BY_TRA!$BJ$2:$BJ$999,Transport!$B54,BY_TRA!$BK$2:$BK$999,Transport!$C54)/SUMIFS(BY_TRA!AV$2:AV$999,BY_TRA!$BJ$2:$BJ$999,Transport!$B54),0)</f>
        <v>0</v>
      </c>
      <c r="AO54" s="1">
        <f>IFERROR(SUMIFS(BY_TRA!AW$2:AW$999,BY_TRA!$BJ$2:$BJ$999,Transport!$B54,BY_TRA!$BK$2:$BK$999,Transport!$C54)/SUMIFS(BY_TRA!AW$2:AW$999,BY_TRA!$BJ$2:$BJ$999,Transport!$B54),0)</f>
        <v>0</v>
      </c>
      <c r="AP54" s="1">
        <f>IFERROR(SUMIFS(BY_TRA!AX$2:AX$999,BY_TRA!$BJ$2:$BJ$999,Transport!$B54,BY_TRA!$BK$2:$BK$999,Transport!$C54)/SUMIFS(BY_TRA!AX$2:AX$999,BY_TRA!$BJ$2:$BJ$999,Transport!$B54),0)</f>
        <v>0</v>
      </c>
      <c r="AQ54" s="1">
        <f>IFERROR(SUMIFS(BY_TRA!AY$2:AY$999,BY_TRA!$BJ$2:$BJ$999,Transport!$B54,BY_TRA!$BK$2:$BK$999,Transport!$C54)/SUMIFS(BY_TRA!AY$2:AY$999,BY_TRA!$BJ$2:$BJ$999,Transport!$B54),0)</f>
        <v>0</v>
      </c>
      <c r="AR54" s="1">
        <f>IFERROR(SUMIFS(BY_TRA!AZ$2:AZ$999,BY_TRA!$BJ$2:$BJ$999,Transport!$B54,BY_TRA!$BK$2:$BK$999,Transport!$C54)/SUMIFS(BY_TRA!AZ$2:AZ$999,BY_TRA!$BJ$2:$BJ$999,Transport!$B54),0)</f>
        <v>0</v>
      </c>
      <c r="AS54" s="1">
        <f>IFERROR(SUMIFS(BY_TRA!BA$2:BA$999,BY_TRA!$BJ$2:$BJ$999,Transport!$B54,BY_TRA!$BK$2:$BK$999,Transport!$C54)/SUMIFS(BY_TRA!BA$2:BA$999,BY_TRA!$BJ$2:$BJ$999,Transport!$B54),0)</f>
        <v>0</v>
      </c>
      <c r="AT54" s="1">
        <f>IFERROR(SUMIFS(BY_TRA!BB$2:BB$999,BY_TRA!$BJ$2:$BJ$999,Transport!$B54,BY_TRA!$BK$2:$BK$999,Transport!$C54)/SUMIFS(BY_TRA!BB$2:BB$999,BY_TRA!$BJ$2:$BJ$999,Transport!$B54),0)</f>
        <v>0</v>
      </c>
      <c r="AU54" s="1">
        <f>IFERROR(SUMIFS(BY_TRA!BC$2:BC$999,BY_TRA!$BJ$2:$BJ$999,Transport!$B54,BY_TRA!$BK$2:$BK$999,Transport!$C54)/SUMIFS(BY_TRA!BC$2:BC$999,BY_TRA!$BJ$2:$BJ$999,Transport!$B54),0)</f>
        <v>0</v>
      </c>
      <c r="AV54" s="1">
        <f>IFERROR(SUMIFS(BY_TRA!BD$2:BD$999,BY_TRA!$BJ$2:$BJ$999,Transport!$B54,BY_TRA!$BK$2:$BK$999,Transport!$C54)/SUMIFS(BY_TRA!BD$2:BD$999,BY_TRA!$BJ$2:$BJ$999,Transport!$B54),0)</f>
        <v>0</v>
      </c>
      <c r="AW54" s="1">
        <f>IFERROR(SUMIFS(BY_TRA!BE$2:BE$999,BY_TRA!$BJ$2:$BJ$999,Transport!$B54,BY_TRA!$BK$2:$BK$999,Transport!$C54)/SUMIFS(BY_TRA!BE$2:BE$999,BY_TRA!$BJ$2:$BJ$999,Transport!$B54),0)</f>
        <v>0</v>
      </c>
      <c r="AX54" s="1">
        <f>IFERROR(SUMIFS(BY_TRA!BF$2:BF$999,BY_TRA!$BJ$2:$BJ$999,Transport!$B54,BY_TRA!$BK$2:$BK$999,Transport!$C54)/SUMIFS(BY_TRA!BF$2:BF$999,BY_TRA!$BJ$2:$BJ$999,Transport!$B54),0)</f>
        <v>0</v>
      </c>
      <c r="AY54" s="1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133</v>
      </c>
      <c r="C55" t="s">
        <v>127</v>
      </c>
      <c r="D55" s="1">
        <f>IFERROR(SUMIFS(BY_TRA!L$2:L$999,BY_TRA!$BJ$2:$BJ$999,Transport!$B55,BY_TRA!$BK$2:$BK$999,Transport!$C55)/SUMIFS(BY_TRA!L$2:L$999,BY_TRA!$BJ$2:$BJ$999,Transport!$B55),0)</f>
        <v>0</v>
      </c>
      <c r="E55" s="1">
        <f>IFERROR(SUMIFS(BY_TRA!M$2:M$999,BY_TRA!$BJ$2:$BJ$999,Transport!$B55,BY_TRA!$BK$2:$BK$999,Transport!$C55)/SUMIFS(BY_TRA!M$2:M$999,BY_TRA!$BJ$2:$BJ$999,Transport!$B55),0)</f>
        <v>0</v>
      </c>
      <c r="F55" s="1">
        <f>IFERROR(SUMIFS(BY_TRA!N$2:N$999,BY_TRA!$BJ$2:$BJ$999,Transport!$B55,BY_TRA!$BK$2:$BK$999,Transport!$C55)/SUMIFS(BY_TRA!N$2:N$999,BY_TRA!$BJ$2:$BJ$999,Transport!$B55),0)</f>
        <v>0</v>
      </c>
      <c r="G55" s="1">
        <f>IFERROR(SUMIFS(BY_TRA!O$2:O$999,BY_TRA!$BJ$2:$BJ$999,Transport!$B55,BY_TRA!$BK$2:$BK$999,Transport!$C55)/SUMIFS(BY_TRA!O$2:O$999,BY_TRA!$BJ$2:$BJ$999,Transport!$B55),0)</f>
        <v>0</v>
      </c>
      <c r="H55" s="1">
        <f>IFERROR(SUMIFS(BY_TRA!P$2:P$999,BY_TRA!$BJ$2:$BJ$999,Transport!$B55,BY_TRA!$BK$2:$BK$999,Transport!$C55)/SUMIFS(BY_TRA!P$2:P$999,BY_TRA!$BJ$2:$BJ$999,Transport!$B55),0)</f>
        <v>0</v>
      </c>
      <c r="I55" s="1">
        <f>IFERROR(SUMIFS(BY_TRA!Q$2:Q$999,BY_TRA!$BJ$2:$BJ$999,Transport!$B55,BY_TRA!$BK$2:$BK$999,Transport!$C55)/SUMIFS(BY_TRA!Q$2:Q$999,BY_TRA!$BJ$2:$BJ$999,Transport!$B55),0)</f>
        <v>0</v>
      </c>
      <c r="J55" s="1">
        <f>IFERROR(SUMIFS(BY_TRA!R$2:R$999,BY_TRA!$BJ$2:$BJ$999,Transport!$B55,BY_TRA!$BK$2:$BK$999,Transport!$C55)/SUMIFS(BY_TRA!R$2:R$999,BY_TRA!$BJ$2:$BJ$999,Transport!$B55),0)</f>
        <v>0</v>
      </c>
      <c r="K55" s="1">
        <f>IFERROR(SUMIFS(BY_TRA!S$2:S$999,BY_TRA!$BJ$2:$BJ$999,Transport!$B55,BY_TRA!$BK$2:$BK$999,Transport!$C55)/SUMIFS(BY_TRA!S$2:S$999,BY_TRA!$BJ$2:$BJ$999,Transport!$B55),0)</f>
        <v>0</v>
      </c>
      <c r="L55" s="1">
        <f>IFERROR(SUMIFS(BY_TRA!T$2:T$999,BY_TRA!$BJ$2:$BJ$999,Transport!$B55,BY_TRA!$BK$2:$BK$999,Transport!$C55)/SUMIFS(BY_TRA!T$2:T$999,BY_TRA!$BJ$2:$BJ$999,Transport!$B55),0)</f>
        <v>0</v>
      </c>
      <c r="M55" s="1">
        <f>IFERROR(SUMIFS(BY_TRA!U$2:U$999,BY_TRA!$BJ$2:$BJ$999,Transport!$B55,BY_TRA!$BK$2:$BK$999,Transport!$C55)/SUMIFS(BY_TRA!U$2:U$999,BY_TRA!$BJ$2:$BJ$999,Transport!$B55),0)</f>
        <v>0</v>
      </c>
      <c r="N55" s="1">
        <f>IFERROR(SUMIFS(BY_TRA!V$2:V$999,BY_TRA!$BJ$2:$BJ$999,Transport!$B55,BY_TRA!$BK$2:$BK$999,Transport!$C55)/SUMIFS(BY_TRA!V$2:V$999,BY_TRA!$BJ$2:$BJ$999,Transport!$B55),0)</f>
        <v>0</v>
      </c>
      <c r="O55" s="1">
        <f>IFERROR(SUMIFS(BY_TRA!W$2:W$999,BY_TRA!$BJ$2:$BJ$999,Transport!$B55,BY_TRA!$BK$2:$BK$999,Transport!$C55)/SUMIFS(BY_TRA!W$2:W$999,BY_TRA!$BJ$2:$BJ$999,Transport!$B55),0)</f>
        <v>0</v>
      </c>
      <c r="P55" s="1">
        <f>IFERROR(SUMIFS(BY_TRA!X$2:X$999,BY_TRA!$BJ$2:$BJ$999,Transport!$B55,BY_TRA!$BK$2:$BK$999,Transport!$C55)/SUMIFS(BY_TRA!X$2:X$999,BY_TRA!$BJ$2:$BJ$999,Transport!$B55),0)</f>
        <v>0</v>
      </c>
      <c r="Q55" s="1">
        <f>IFERROR(SUMIFS(BY_TRA!Y$2:Y$999,BY_TRA!$BJ$2:$BJ$999,Transport!$B55,BY_TRA!$BK$2:$BK$999,Transport!$C55)/SUMIFS(BY_TRA!Y$2:Y$999,BY_TRA!$BJ$2:$BJ$999,Transport!$B55),0)</f>
        <v>0</v>
      </c>
      <c r="R55" s="1">
        <f>IFERROR(SUMIFS(BY_TRA!Z$2:Z$999,BY_TRA!$BJ$2:$BJ$999,Transport!$B55,BY_TRA!$BK$2:$BK$999,Transport!$C55)/SUMIFS(BY_TRA!Z$2:Z$999,BY_TRA!$BJ$2:$BJ$999,Transport!$B55),0)</f>
        <v>0</v>
      </c>
      <c r="S55" s="1">
        <f>IFERROR(SUMIFS(BY_TRA!AA$2:AA$999,BY_TRA!$BJ$2:$BJ$999,Transport!$B55,BY_TRA!$BK$2:$BK$999,Transport!$C55)/SUMIFS(BY_TRA!AA$2:AA$999,BY_TRA!$BJ$2:$BJ$999,Transport!$B55),0)</f>
        <v>0</v>
      </c>
      <c r="T55" s="1">
        <f>IFERROR(SUMIFS(BY_TRA!AB$2:AB$999,BY_TRA!$BJ$2:$BJ$999,Transport!$B55,BY_TRA!$BK$2:$BK$999,Transport!$C55)/SUMIFS(BY_TRA!AB$2:AB$999,BY_TRA!$BJ$2:$BJ$999,Transport!$B55),0)</f>
        <v>0</v>
      </c>
      <c r="U55" s="1">
        <f>IFERROR(SUMIFS(BY_TRA!AC$2:AC$999,BY_TRA!$BJ$2:$BJ$999,Transport!$B55,BY_TRA!$BK$2:$BK$999,Transport!$C55)/SUMIFS(BY_TRA!AC$2:AC$999,BY_TRA!$BJ$2:$BJ$999,Transport!$B55),0)</f>
        <v>0</v>
      </c>
      <c r="V55" s="1">
        <f>IFERROR(SUMIFS(BY_TRA!AD$2:AD$999,BY_TRA!$BJ$2:$BJ$999,Transport!$B55,BY_TRA!$BK$2:$BK$999,Transport!$C55)/SUMIFS(BY_TRA!AD$2:AD$999,BY_TRA!$BJ$2:$BJ$999,Transport!$B55),0)</f>
        <v>0</v>
      </c>
      <c r="W55" s="1">
        <f>IFERROR(SUMIFS(BY_TRA!AE$2:AE$999,BY_TRA!$BJ$2:$BJ$999,Transport!$B55,BY_TRA!$BK$2:$BK$999,Transport!$C55)/SUMIFS(BY_TRA!AE$2:AE$999,BY_TRA!$BJ$2:$BJ$999,Transport!$B55),0)</f>
        <v>0</v>
      </c>
      <c r="X55" s="1">
        <f>IFERROR(SUMIFS(BY_TRA!AF$2:AF$999,BY_TRA!$BJ$2:$BJ$999,Transport!$B55,BY_TRA!$BK$2:$BK$999,Transport!$C55)/SUMIFS(BY_TRA!AF$2:AF$999,BY_TRA!$BJ$2:$BJ$999,Transport!$B55),0)</f>
        <v>0</v>
      </c>
      <c r="Y55" s="1">
        <f>IFERROR(SUMIFS(BY_TRA!AG$2:AG$999,BY_TRA!$BJ$2:$BJ$999,Transport!$B55,BY_TRA!$BK$2:$BK$999,Transport!$C55)/SUMIFS(BY_TRA!AG$2:AG$999,BY_TRA!$BJ$2:$BJ$999,Transport!$B55),0)</f>
        <v>0</v>
      </c>
      <c r="Z55" s="1">
        <f>IFERROR(SUMIFS(BY_TRA!AH$2:AH$999,BY_TRA!$BJ$2:$BJ$999,Transport!$B55,BY_TRA!$BK$2:$BK$999,Transport!$C55)/SUMIFS(BY_TRA!AH$2:AH$999,BY_TRA!$BJ$2:$BJ$999,Transport!$B55),0)</f>
        <v>0</v>
      </c>
      <c r="AA55" s="1">
        <f>IFERROR(SUMIFS(BY_TRA!AI$2:AI$999,BY_TRA!$BJ$2:$BJ$999,Transport!$B55,BY_TRA!$BK$2:$BK$999,Transport!$C55)/SUMIFS(BY_TRA!AI$2:AI$999,BY_TRA!$BJ$2:$BJ$999,Transport!$B55),0)</f>
        <v>0</v>
      </c>
      <c r="AB55" s="1">
        <f>IFERROR(SUMIFS(BY_TRA!AJ$2:AJ$999,BY_TRA!$BJ$2:$BJ$999,Transport!$B55,BY_TRA!$BK$2:$BK$999,Transport!$C55)/SUMIFS(BY_TRA!AJ$2:AJ$999,BY_TRA!$BJ$2:$BJ$999,Transport!$B55),0)</f>
        <v>0</v>
      </c>
      <c r="AC55" s="1">
        <f>IFERROR(SUMIFS(BY_TRA!AK$2:AK$999,BY_TRA!$BJ$2:$BJ$999,Transport!$B55,BY_TRA!$BK$2:$BK$999,Transport!$C55)/SUMIFS(BY_TRA!AK$2:AK$999,BY_TRA!$BJ$2:$BJ$999,Transport!$B55),0)</f>
        <v>0</v>
      </c>
      <c r="AD55" s="1">
        <f>IFERROR(SUMIFS(BY_TRA!AL$2:AL$999,BY_TRA!$BJ$2:$BJ$999,Transport!$B55,BY_TRA!$BK$2:$BK$999,Transport!$C55)/SUMIFS(BY_TRA!AL$2:AL$999,BY_TRA!$BJ$2:$BJ$999,Transport!$B55),0)</f>
        <v>0</v>
      </c>
      <c r="AE55" s="1">
        <f>IFERROR(SUMIFS(BY_TRA!AM$2:AM$999,BY_TRA!$BJ$2:$BJ$999,Transport!$B55,BY_TRA!$BK$2:$BK$999,Transport!$C55)/SUMIFS(BY_TRA!AM$2:AM$999,BY_TRA!$BJ$2:$BJ$999,Transport!$B55),0)</f>
        <v>0</v>
      </c>
      <c r="AF55" s="1">
        <f>IFERROR(SUMIFS(BY_TRA!AN$2:AN$999,BY_TRA!$BJ$2:$BJ$999,Transport!$B55,BY_TRA!$BK$2:$BK$999,Transport!$C55)/SUMIFS(BY_TRA!AN$2:AN$999,BY_TRA!$BJ$2:$BJ$999,Transport!$B55),0)</f>
        <v>0</v>
      </c>
      <c r="AG55" s="1">
        <f>IFERROR(SUMIFS(BY_TRA!AO$2:AO$999,BY_TRA!$BJ$2:$BJ$999,Transport!$B55,BY_TRA!$BK$2:$BK$999,Transport!$C55)/SUMIFS(BY_TRA!AO$2:AO$999,BY_TRA!$BJ$2:$BJ$999,Transport!$B55),0)</f>
        <v>0</v>
      </c>
      <c r="AH55" s="1">
        <f>IFERROR(SUMIFS(BY_TRA!AP$2:AP$999,BY_TRA!$BJ$2:$BJ$999,Transport!$B55,BY_TRA!$BK$2:$BK$999,Transport!$C55)/SUMIFS(BY_TRA!AP$2:AP$999,BY_TRA!$BJ$2:$BJ$999,Transport!$B55),0)</f>
        <v>0</v>
      </c>
      <c r="AI55" s="1">
        <f>IFERROR(SUMIFS(BY_TRA!AQ$2:AQ$999,BY_TRA!$BJ$2:$BJ$999,Transport!$B55,BY_TRA!$BK$2:$BK$999,Transport!$C55)/SUMIFS(BY_TRA!AQ$2:AQ$999,BY_TRA!$BJ$2:$BJ$999,Transport!$B55),0)</f>
        <v>0</v>
      </c>
      <c r="AJ55" s="1">
        <f>IFERROR(SUMIFS(BY_TRA!AR$2:AR$999,BY_TRA!$BJ$2:$BJ$999,Transport!$B55,BY_TRA!$BK$2:$BK$999,Transport!$C55)/SUMIFS(BY_TRA!AR$2:AR$999,BY_TRA!$BJ$2:$BJ$999,Transport!$B55),0)</f>
        <v>0</v>
      </c>
      <c r="AK55" s="1">
        <f>IFERROR(SUMIFS(BY_TRA!AS$2:AS$999,BY_TRA!$BJ$2:$BJ$999,Transport!$B55,BY_TRA!$BK$2:$BK$999,Transport!$C55)/SUMIFS(BY_TRA!AS$2:AS$999,BY_TRA!$BJ$2:$BJ$999,Transport!$B55),0)</f>
        <v>0</v>
      </c>
      <c r="AL55" s="1">
        <f>IFERROR(SUMIFS(BY_TRA!AT$2:AT$999,BY_TRA!$BJ$2:$BJ$999,Transport!$B55,BY_TRA!$BK$2:$BK$999,Transport!$C55)/SUMIFS(BY_TRA!AT$2:AT$999,BY_TRA!$BJ$2:$BJ$999,Transport!$B55),0)</f>
        <v>0</v>
      </c>
      <c r="AM55" s="1">
        <f>IFERROR(SUMIFS(BY_TRA!AU$2:AU$999,BY_TRA!$BJ$2:$BJ$999,Transport!$B55,BY_TRA!$BK$2:$BK$999,Transport!$C55)/SUMIFS(BY_TRA!AU$2:AU$999,BY_TRA!$BJ$2:$BJ$999,Transport!$B55),0)</f>
        <v>0</v>
      </c>
      <c r="AN55" s="1">
        <f>IFERROR(SUMIFS(BY_TRA!AV$2:AV$999,BY_TRA!$BJ$2:$BJ$999,Transport!$B55,BY_TRA!$BK$2:$BK$999,Transport!$C55)/SUMIFS(BY_TRA!AV$2:AV$999,BY_TRA!$BJ$2:$BJ$999,Transport!$B55),0)</f>
        <v>0</v>
      </c>
      <c r="AO55" s="1">
        <f>IFERROR(SUMIFS(BY_TRA!AW$2:AW$999,BY_TRA!$BJ$2:$BJ$999,Transport!$B55,BY_TRA!$BK$2:$BK$999,Transport!$C55)/SUMIFS(BY_TRA!AW$2:AW$999,BY_TRA!$BJ$2:$BJ$999,Transport!$B55),0)</f>
        <v>0</v>
      </c>
      <c r="AP55" s="1">
        <f>IFERROR(SUMIFS(BY_TRA!AX$2:AX$999,BY_TRA!$BJ$2:$BJ$999,Transport!$B55,BY_TRA!$BK$2:$BK$999,Transport!$C55)/SUMIFS(BY_TRA!AX$2:AX$999,BY_TRA!$BJ$2:$BJ$999,Transport!$B55),0)</f>
        <v>0</v>
      </c>
      <c r="AQ55" s="1">
        <f>IFERROR(SUMIFS(BY_TRA!AY$2:AY$999,BY_TRA!$BJ$2:$BJ$999,Transport!$B55,BY_TRA!$BK$2:$BK$999,Transport!$C55)/SUMIFS(BY_TRA!AY$2:AY$999,BY_TRA!$BJ$2:$BJ$999,Transport!$B55),0)</f>
        <v>0</v>
      </c>
      <c r="AR55" s="1">
        <f>IFERROR(SUMIFS(BY_TRA!AZ$2:AZ$999,BY_TRA!$BJ$2:$BJ$999,Transport!$B55,BY_TRA!$BK$2:$BK$999,Transport!$C55)/SUMIFS(BY_TRA!AZ$2:AZ$999,BY_TRA!$BJ$2:$BJ$999,Transport!$B55),0)</f>
        <v>0</v>
      </c>
      <c r="AS55" s="1">
        <f>IFERROR(SUMIFS(BY_TRA!BA$2:BA$999,BY_TRA!$BJ$2:$BJ$999,Transport!$B55,BY_TRA!$BK$2:$BK$999,Transport!$C55)/SUMIFS(BY_TRA!BA$2:BA$999,BY_TRA!$BJ$2:$BJ$999,Transport!$B55),0)</f>
        <v>0</v>
      </c>
      <c r="AT55" s="1">
        <f>IFERROR(SUMIFS(BY_TRA!BB$2:BB$999,BY_TRA!$BJ$2:$BJ$999,Transport!$B55,BY_TRA!$BK$2:$BK$999,Transport!$C55)/SUMIFS(BY_TRA!BB$2:BB$999,BY_TRA!$BJ$2:$BJ$999,Transport!$B55),0)</f>
        <v>0</v>
      </c>
      <c r="AU55" s="1">
        <f>IFERROR(SUMIFS(BY_TRA!BC$2:BC$999,BY_TRA!$BJ$2:$BJ$999,Transport!$B55,BY_TRA!$BK$2:$BK$999,Transport!$C55)/SUMIFS(BY_TRA!BC$2:BC$999,BY_TRA!$BJ$2:$BJ$999,Transport!$B55),0)</f>
        <v>0</v>
      </c>
      <c r="AV55" s="1">
        <f>IFERROR(SUMIFS(BY_TRA!BD$2:BD$999,BY_TRA!$BJ$2:$BJ$999,Transport!$B55,BY_TRA!$BK$2:$BK$999,Transport!$C55)/SUMIFS(BY_TRA!BD$2:BD$999,BY_TRA!$BJ$2:$BJ$999,Transport!$B55),0)</f>
        <v>0</v>
      </c>
      <c r="AW55" s="1">
        <f>IFERROR(SUMIFS(BY_TRA!BE$2:BE$999,BY_TRA!$BJ$2:$BJ$999,Transport!$B55,BY_TRA!$BK$2:$BK$999,Transport!$C55)/SUMIFS(BY_TRA!BE$2:BE$999,BY_TRA!$BJ$2:$BJ$999,Transport!$B55),0)</f>
        <v>0</v>
      </c>
      <c r="AX55" s="1">
        <f>IFERROR(SUMIFS(BY_TRA!BF$2:BF$999,BY_TRA!$BJ$2:$BJ$999,Transport!$B55,BY_TRA!$BK$2:$BK$999,Transport!$C55)/SUMIFS(BY_TRA!BF$2:BF$999,BY_TRA!$BJ$2:$BJ$999,Transport!$B55),0)</f>
        <v>0</v>
      </c>
      <c r="AY55" s="1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133</v>
      </c>
      <c r="C56" t="s">
        <v>123</v>
      </c>
      <c r="D56" s="1">
        <f>IFERROR(SUMIFS(BY_TRA!L$2:L$999,BY_TRA!$BJ$2:$BJ$999,Transport!$B56,BY_TRA!$BK$2:$BK$999,Transport!$C56)/SUMIFS(BY_TRA!L$2:L$999,BY_TRA!$BJ$2:$BJ$999,Transport!$B56),0)</f>
        <v>0</v>
      </c>
      <c r="E56" s="1">
        <f>IFERROR(SUMIFS(BY_TRA!M$2:M$999,BY_TRA!$BJ$2:$BJ$999,Transport!$B56,BY_TRA!$BK$2:$BK$999,Transport!$C56)/SUMIFS(BY_TRA!M$2:M$999,BY_TRA!$BJ$2:$BJ$999,Transport!$B56),0)</f>
        <v>0</v>
      </c>
      <c r="F56" s="1">
        <f>IFERROR(SUMIFS(BY_TRA!N$2:N$999,BY_TRA!$BJ$2:$BJ$999,Transport!$B56,BY_TRA!$BK$2:$BK$999,Transport!$C56)/SUMIFS(BY_TRA!N$2:N$999,BY_TRA!$BJ$2:$BJ$999,Transport!$B56),0)</f>
        <v>0</v>
      </c>
      <c r="G56" s="1">
        <f>IFERROR(SUMIFS(BY_TRA!O$2:O$999,BY_TRA!$BJ$2:$BJ$999,Transport!$B56,BY_TRA!$BK$2:$BK$999,Transport!$C56)/SUMIFS(BY_TRA!O$2:O$999,BY_TRA!$BJ$2:$BJ$999,Transport!$B56),0)</f>
        <v>0</v>
      </c>
      <c r="H56" s="1">
        <f>IFERROR(SUMIFS(BY_TRA!P$2:P$999,BY_TRA!$BJ$2:$BJ$999,Transport!$B56,BY_TRA!$BK$2:$BK$999,Transport!$C56)/SUMIFS(BY_TRA!P$2:P$999,BY_TRA!$BJ$2:$BJ$999,Transport!$B56),0)</f>
        <v>0</v>
      </c>
      <c r="I56" s="1">
        <f>IFERROR(SUMIFS(BY_TRA!Q$2:Q$999,BY_TRA!$BJ$2:$BJ$999,Transport!$B56,BY_TRA!$BK$2:$BK$999,Transport!$C56)/SUMIFS(BY_TRA!Q$2:Q$999,BY_TRA!$BJ$2:$BJ$999,Transport!$B56),0)</f>
        <v>0</v>
      </c>
      <c r="J56" s="1">
        <f>IFERROR(SUMIFS(BY_TRA!R$2:R$999,BY_TRA!$BJ$2:$BJ$999,Transport!$B56,BY_TRA!$BK$2:$BK$999,Transport!$C56)/SUMIFS(BY_TRA!R$2:R$999,BY_TRA!$BJ$2:$BJ$999,Transport!$B56),0)</f>
        <v>0</v>
      </c>
      <c r="K56" s="1">
        <f>IFERROR(SUMIFS(BY_TRA!S$2:S$999,BY_TRA!$BJ$2:$BJ$999,Transport!$B56,BY_TRA!$BK$2:$BK$999,Transport!$C56)/SUMIFS(BY_TRA!S$2:S$999,BY_TRA!$BJ$2:$BJ$999,Transport!$B56),0)</f>
        <v>0</v>
      </c>
      <c r="L56" s="1">
        <f>IFERROR(SUMIFS(BY_TRA!T$2:T$999,BY_TRA!$BJ$2:$BJ$999,Transport!$B56,BY_TRA!$BK$2:$BK$999,Transport!$C56)/SUMIFS(BY_TRA!T$2:T$999,BY_TRA!$BJ$2:$BJ$999,Transport!$B56),0)</f>
        <v>0</v>
      </c>
      <c r="M56" s="1">
        <f>IFERROR(SUMIFS(BY_TRA!U$2:U$999,BY_TRA!$BJ$2:$BJ$999,Transport!$B56,BY_TRA!$BK$2:$BK$999,Transport!$C56)/SUMIFS(BY_TRA!U$2:U$999,BY_TRA!$BJ$2:$BJ$999,Transport!$B56),0)</f>
        <v>0</v>
      </c>
      <c r="N56" s="1">
        <f>IFERROR(SUMIFS(BY_TRA!V$2:V$999,BY_TRA!$BJ$2:$BJ$999,Transport!$B56,BY_TRA!$BK$2:$BK$999,Transport!$C56)/SUMIFS(BY_TRA!V$2:V$999,BY_TRA!$BJ$2:$BJ$999,Transport!$B56),0)</f>
        <v>0</v>
      </c>
      <c r="O56" s="1">
        <f>IFERROR(SUMIFS(BY_TRA!W$2:W$999,BY_TRA!$BJ$2:$BJ$999,Transport!$B56,BY_TRA!$BK$2:$BK$999,Transport!$C56)/SUMIFS(BY_TRA!W$2:W$999,BY_TRA!$BJ$2:$BJ$999,Transport!$B56),0)</f>
        <v>0</v>
      </c>
      <c r="P56" s="1">
        <f>IFERROR(SUMIFS(BY_TRA!X$2:X$999,BY_TRA!$BJ$2:$BJ$999,Transport!$B56,BY_TRA!$BK$2:$BK$999,Transport!$C56)/SUMIFS(BY_TRA!X$2:X$999,BY_TRA!$BJ$2:$BJ$999,Transport!$B56),0)</f>
        <v>0</v>
      </c>
      <c r="Q56" s="1">
        <f>IFERROR(SUMIFS(BY_TRA!Y$2:Y$999,BY_TRA!$BJ$2:$BJ$999,Transport!$B56,BY_TRA!$BK$2:$BK$999,Transport!$C56)/SUMIFS(BY_TRA!Y$2:Y$999,BY_TRA!$BJ$2:$BJ$999,Transport!$B56),0)</f>
        <v>0</v>
      </c>
      <c r="R56" s="1">
        <f>IFERROR(SUMIFS(BY_TRA!Z$2:Z$999,BY_TRA!$BJ$2:$BJ$999,Transport!$B56,BY_TRA!$BK$2:$BK$999,Transport!$C56)/SUMIFS(BY_TRA!Z$2:Z$999,BY_TRA!$BJ$2:$BJ$999,Transport!$B56),0)</f>
        <v>0</v>
      </c>
      <c r="S56" s="1">
        <f>IFERROR(SUMIFS(BY_TRA!AA$2:AA$999,BY_TRA!$BJ$2:$BJ$999,Transport!$B56,BY_TRA!$BK$2:$BK$999,Transport!$C56)/SUMIFS(BY_TRA!AA$2:AA$999,BY_TRA!$BJ$2:$BJ$999,Transport!$B56),0)</f>
        <v>0</v>
      </c>
      <c r="T56" s="1">
        <f>IFERROR(SUMIFS(BY_TRA!AB$2:AB$999,BY_TRA!$BJ$2:$BJ$999,Transport!$B56,BY_TRA!$BK$2:$BK$999,Transport!$C56)/SUMIFS(BY_TRA!AB$2:AB$999,BY_TRA!$BJ$2:$BJ$999,Transport!$B56),0)</f>
        <v>0</v>
      </c>
      <c r="U56" s="1">
        <f>IFERROR(SUMIFS(BY_TRA!AC$2:AC$999,BY_TRA!$BJ$2:$BJ$999,Transport!$B56,BY_TRA!$BK$2:$BK$999,Transport!$C56)/SUMIFS(BY_TRA!AC$2:AC$999,BY_TRA!$BJ$2:$BJ$999,Transport!$B56),0)</f>
        <v>0</v>
      </c>
      <c r="V56" s="1">
        <f>IFERROR(SUMIFS(BY_TRA!AD$2:AD$999,BY_TRA!$BJ$2:$BJ$999,Transport!$B56,BY_TRA!$BK$2:$BK$999,Transport!$C56)/SUMIFS(BY_TRA!AD$2:AD$999,BY_TRA!$BJ$2:$BJ$999,Transport!$B56),0)</f>
        <v>0</v>
      </c>
      <c r="W56" s="1">
        <f>IFERROR(SUMIFS(BY_TRA!AE$2:AE$999,BY_TRA!$BJ$2:$BJ$999,Transport!$B56,BY_TRA!$BK$2:$BK$999,Transport!$C56)/SUMIFS(BY_TRA!AE$2:AE$999,BY_TRA!$BJ$2:$BJ$999,Transport!$B56),0)</f>
        <v>0</v>
      </c>
      <c r="X56" s="1">
        <f>IFERROR(SUMIFS(BY_TRA!AF$2:AF$999,BY_TRA!$BJ$2:$BJ$999,Transport!$B56,BY_TRA!$BK$2:$BK$999,Transport!$C56)/SUMIFS(BY_TRA!AF$2:AF$999,BY_TRA!$BJ$2:$BJ$999,Transport!$B56),0)</f>
        <v>0</v>
      </c>
      <c r="Y56" s="1">
        <f>IFERROR(SUMIFS(BY_TRA!AG$2:AG$999,BY_TRA!$BJ$2:$BJ$999,Transport!$B56,BY_TRA!$BK$2:$BK$999,Transport!$C56)/SUMIFS(BY_TRA!AG$2:AG$999,BY_TRA!$BJ$2:$BJ$999,Transport!$B56),0)</f>
        <v>0</v>
      </c>
      <c r="Z56" s="1">
        <f>IFERROR(SUMIFS(BY_TRA!AH$2:AH$999,BY_TRA!$BJ$2:$BJ$999,Transport!$B56,BY_TRA!$BK$2:$BK$999,Transport!$C56)/SUMIFS(BY_TRA!AH$2:AH$999,BY_TRA!$BJ$2:$BJ$999,Transport!$B56),0)</f>
        <v>0</v>
      </c>
      <c r="AA56" s="1">
        <f>IFERROR(SUMIFS(BY_TRA!AI$2:AI$999,BY_TRA!$BJ$2:$BJ$999,Transport!$B56,BY_TRA!$BK$2:$BK$999,Transport!$C56)/SUMIFS(BY_TRA!AI$2:AI$999,BY_TRA!$BJ$2:$BJ$999,Transport!$B56),0)</f>
        <v>0</v>
      </c>
      <c r="AB56" s="1">
        <f>IFERROR(SUMIFS(BY_TRA!AJ$2:AJ$999,BY_TRA!$BJ$2:$BJ$999,Transport!$B56,BY_TRA!$BK$2:$BK$999,Transport!$C56)/SUMIFS(BY_TRA!AJ$2:AJ$999,BY_TRA!$BJ$2:$BJ$999,Transport!$B56),0)</f>
        <v>0</v>
      </c>
      <c r="AC56" s="1">
        <f>IFERROR(SUMIFS(BY_TRA!AK$2:AK$999,BY_TRA!$BJ$2:$BJ$999,Transport!$B56,BY_TRA!$BK$2:$BK$999,Transport!$C56)/SUMIFS(BY_TRA!AK$2:AK$999,BY_TRA!$BJ$2:$BJ$999,Transport!$B56),0)</f>
        <v>0</v>
      </c>
      <c r="AD56" s="1">
        <f>IFERROR(SUMIFS(BY_TRA!AL$2:AL$999,BY_TRA!$BJ$2:$BJ$999,Transport!$B56,BY_TRA!$BK$2:$BK$999,Transport!$C56)/SUMIFS(BY_TRA!AL$2:AL$999,BY_TRA!$BJ$2:$BJ$999,Transport!$B56),0)</f>
        <v>0</v>
      </c>
      <c r="AE56" s="1">
        <f>IFERROR(SUMIFS(BY_TRA!AM$2:AM$999,BY_TRA!$BJ$2:$BJ$999,Transport!$B56,BY_TRA!$BK$2:$BK$999,Transport!$C56)/SUMIFS(BY_TRA!AM$2:AM$999,BY_TRA!$BJ$2:$BJ$999,Transport!$B56),0)</f>
        <v>0</v>
      </c>
      <c r="AF56" s="1">
        <f>IFERROR(SUMIFS(BY_TRA!AN$2:AN$999,BY_TRA!$BJ$2:$BJ$999,Transport!$B56,BY_TRA!$BK$2:$BK$999,Transport!$C56)/SUMIFS(BY_TRA!AN$2:AN$999,BY_TRA!$BJ$2:$BJ$999,Transport!$B56),0)</f>
        <v>0</v>
      </c>
      <c r="AG56" s="1">
        <f>IFERROR(SUMIFS(BY_TRA!AO$2:AO$999,BY_TRA!$BJ$2:$BJ$999,Transport!$B56,BY_TRA!$BK$2:$BK$999,Transport!$C56)/SUMIFS(BY_TRA!AO$2:AO$999,BY_TRA!$BJ$2:$BJ$999,Transport!$B56),0)</f>
        <v>0</v>
      </c>
      <c r="AH56" s="1">
        <f>IFERROR(SUMIFS(BY_TRA!AP$2:AP$999,BY_TRA!$BJ$2:$BJ$999,Transport!$B56,BY_TRA!$BK$2:$BK$999,Transport!$C56)/SUMIFS(BY_TRA!AP$2:AP$999,BY_TRA!$BJ$2:$BJ$999,Transport!$B56),0)</f>
        <v>0</v>
      </c>
      <c r="AI56" s="1">
        <f>IFERROR(SUMIFS(BY_TRA!AQ$2:AQ$999,BY_TRA!$BJ$2:$BJ$999,Transport!$B56,BY_TRA!$BK$2:$BK$999,Transport!$C56)/SUMIFS(BY_TRA!AQ$2:AQ$999,BY_TRA!$BJ$2:$BJ$999,Transport!$B56),0)</f>
        <v>0</v>
      </c>
      <c r="AJ56" s="1">
        <f>IFERROR(SUMIFS(BY_TRA!AR$2:AR$999,BY_TRA!$BJ$2:$BJ$999,Transport!$B56,BY_TRA!$BK$2:$BK$999,Transport!$C56)/SUMIFS(BY_TRA!AR$2:AR$999,BY_TRA!$BJ$2:$BJ$999,Transport!$B56),0)</f>
        <v>0</v>
      </c>
      <c r="AK56" s="1">
        <f>IFERROR(SUMIFS(BY_TRA!AS$2:AS$999,BY_TRA!$BJ$2:$BJ$999,Transport!$B56,BY_TRA!$BK$2:$BK$999,Transport!$C56)/SUMIFS(BY_TRA!AS$2:AS$999,BY_TRA!$BJ$2:$BJ$999,Transport!$B56),0)</f>
        <v>0</v>
      </c>
      <c r="AL56" s="1">
        <f>IFERROR(SUMIFS(BY_TRA!AT$2:AT$999,BY_TRA!$BJ$2:$BJ$999,Transport!$B56,BY_TRA!$BK$2:$BK$999,Transport!$C56)/SUMIFS(BY_TRA!AT$2:AT$999,BY_TRA!$BJ$2:$BJ$999,Transport!$B56),0)</f>
        <v>0</v>
      </c>
      <c r="AM56" s="1">
        <f>IFERROR(SUMIFS(BY_TRA!AU$2:AU$999,BY_TRA!$BJ$2:$BJ$999,Transport!$B56,BY_TRA!$BK$2:$BK$999,Transport!$C56)/SUMIFS(BY_TRA!AU$2:AU$999,BY_TRA!$BJ$2:$BJ$999,Transport!$B56),0)</f>
        <v>0</v>
      </c>
      <c r="AN56" s="1">
        <f>IFERROR(SUMIFS(BY_TRA!AV$2:AV$999,BY_TRA!$BJ$2:$BJ$999,Transport!$B56,BY_TRA!$BK$2:$BK$999,Transport!$C56)/SUMIFS(BY_TRA!AV$2:AV$999,BY_TRA!$BJ$2:$BJ$999,Transport!$B56),0)</f>
        <v>0</v>
      </c>
      <c r="AO56" s="1">
        <f>IFERROR(SUMIFS(BY_TRA!AW$2:AW$999,BY_TRA!$BJ$2:$BJ$999,Transport!$B56,BY_TRA!$BK$2:$BK$999,Transport!$C56)/SUMIFS(BY_TRA!AW$2:AW$999,BY_TRA!$BJ$2:$BJ$999,Transport!$B56),0)</f>
        <v>0</v>
      </c>
      <c r="AP56" s="1">
        <f>IFERROR(SUMIFS(BY_TRA!AX$2:AX$999,BY_TRA!$BJ$2:$BJ$999,Transport!$B56,BY_TRA!$BK$2:$BK$999,Transport!$C56)/SUMIFS(BY_TRA!AX$2:AX$999,BY_TRA!$BJ$2:$BJ$999,Transport!$B56),0)</f>
        <v>0</v>
      </c>
      <c r="AQ56" s="1">
        <f>IFERROR(SUMIFS(BY_TRA!AY$2:AY$999,BY_TRA!$BJ$2:$BJ$999,Transport!$B56,BY_TRA!$BK$2:$BK$999,Transport!$C56)/SUMIFS(BY_TRA!AY$2:AY$999,BY_TRA!$BJ$2:$BJ$999,Transport!$B56),0)</f>
        <v>0</v>
      </c>
      <c r="AR56" s="1">
        <f>IFERROR(SUMIFS(BY_TRA!AZ$2:AZ$999,BY_TRA!$BJ$2:$BJ$999,Transport!$B56,BY_TRA!$BK$2:$BK$999,Transport!$C56)/SUMIFS(BY_TRA!AZ$2:AZ$999,BY_TRA!$BJ$2:$BJ$999,Transport!$B56),0)</f>
        <v>0</v>
      </c>
      <c r="AS56" s="1">
        <f>IFERROR(SUMIFS(BY_TRA!BA$2:BA$999,BY_TRA!$BJ$2:$BJ$999,Transport!$B56,BY_TRA!$BK$2:$BK$999,Transport!$C56)/SUMIFS(BY_TRA!BA$2:BA$999,BY_TRA!$BJ$2:$BJ$999,Transport!$B56),0)</f>
        <v>0</v>
      </c>
      <c r="AT56" s="1">
        <f>IFERROR(SUMIFS(BY_TRA!BB$2:BB$999,BY_TRA!$BJ$2:$BJ$999,Transport!$B56,BY_TRA!$BK$2:$BK$999,Transport!$C56)/SUMIFS(BY_TRA!BB$2:BB$999,BY_TRA!$BJ$2:$BJ$999,Transport!$B56),0)</f>
        <v>0</v>
      </c>
      <c r="AU56" s="1">
        <f>IFERROR(SUMIFS(BY_TRA!BC$2:BC$999,BY_TRA!$BJ$2:$BJ$999,Transport!$B56,BY_TRA!$BK$2:$BK$999,Transport!$C56)/SUMIFS(BY_TRA!BC$2:BC$999,BY_TRA!$BJ$2:$BJ$999,Transport!$B56),0)</f>
        <v>0</v>
      </c>
      <c r="AV56" s="1">
        <f>IFERROR(SUMIFS(BY_TRA!BD$2:BD$999,BY_TRA!$BJ$2:$BJ$999,Transport!$B56,BY_TRA!$BK$2:$BK$999,Transport!$C56)/SUMIFS(BY_TRA!BD$2:BD$999,BY_TRA!$BJ$2:$BJ$999,Transport!$B56),0)</f>
        <v>0</v>
      </c>
      <c r="AW56" s="1">
        <f>IFERROR(SUMIFS(BY_TRA!BE$2:BE$999,BY_TRA!$BJ$2:$BJ$999,Transport!$B56,BY_TRA!$BK$2:$BK$999,Transport!$C56)/SUMIFS(BY_TRA!BE$2:BE$999,BY_TRA!$BJ$2:$BJ$999,Transport!$B56),0)</f>
        <v>0</v>
      </c>
      <c r="AX56" s="1">
        <f>IFERROR(SUMIFS(BY_TRA!BF$2:BF$999,BY_TRA!$BJ$2:$BJ$999,Transport!$B56,BY_TRA!$BK$2:$BK$999,Transport!$C56)/SUMIFS(BY_TRA!BF$2:BF$999,BY_TRA!$BJ$2:$BJ$999,Transport!$B56),0)</f>
        <v>0</v>
      </c>
      <c r="AY56" s="1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133</v>
      </c>
      <c r="C57" t="s">
        <v>124</v>
      </c>
      <c r="D57" s="1">
        <f>IFERROR(SUMIFS(BY_TRA!L$2:L$999,BY_TRA!$BJ$2:$BJ$999,Transport!$B57,BY_TRA!$BK$2:$BK$999,Transport!$C57)/SUMIFS(BY_TRA!L$2:L$999,BY_TRA!$BJ$2:$BJ$999,Transport!$B57),0)</f>
        <v>0</v>
      </c>
      <c r="E57" s="1">
        <f>IFERROR(SUMIFS(BY_TRA!M$2:M$999,BY_TRA!$BJ$2:$BJ$999,Transport!$B57,BY_TRA!$BK$2:$BK$999,Transport!$C57)/SUMIFS(BY_TRA!M$2:M$999,BY_TRA!$BJ$2:$BJ$999,Transport!$B57),0)</f>
        <v>0</v>
      </c>
      <c r="F57" s="1">
        <f>IFERROR(SUMIFS(BY_TRA!N$2:N$999,BY_TRA!$BJ$2:$BJ$999,Transport!$B57,BY_TRA!$BK$2:$BK$999,Transport!$C57)/SUMIFS(BY_TRA!N$2:N$999,BY_TRA!$BJ$2:$BJ$999,Transport!$B57),0)</f>
        <v>0</v>
      </c>
      <c r="G57" s="1">
        <f>IFERROR(SUMIFS(BY_TRA!O$2:O$999,BY_TRA!$BJ$2:$BJ$999,Transport!$B57,BY_TRA!$BK$2:$BK$999,Transport!$C57)/SUMIFS(BY_TRA!O$2:O$999,BY_TRA!$BJ$2:$BJ$999,Transport!$B57),0)</f>
        <v>0</v>
      </c>
      <c r="H57" s="1">
        <f>IFERROR(SUMIFS(BY_TRA!P$2:P$999,BY_TRA!$BJ$2:$BJ$999,Transport!$B57,BY_TRA!$BK$2:$BK$999,Transport!$C57)/SUMIFS(BY_TRA!P$2:P$999,BY_TRA!$BJ$2:$BJ$999,Transport!$B57),0)</f>
        <v>0</v>
      </c>
      <c r="I57" s="1">
        <f>IFERROR(SUMIFS(BY_TRA!Q$2:Q$999,BY_TRA!$BJ$2:$BJ$999,Transport!$B57,BY_TRA!$BK$2:$BK$999,Transport!$C57)/SUMIFS(BY_TRA!Q$2:Q$999,BY_TRA!$BJ$2:$BJ$999,Transport!$B57),0)</f>
        <v>0</v>
      </c>
      <c r="J57" s="1">
        <f>IFERROR(SUMIFS(BY_TRA!R$2:R$999,BY_TRA!$BJ$2:$BJ$999,Transport!$B57,BY_TRA!$BK$2:$BK$999,Transport!$C57)/SUMIFS(BY_TRA!R$2:R$999,BY_TRA!$BJ$2:$BJ$999,Transport!$B57),0)</f>
        <v>0</v>
      </c>
      <c r="K57" s="1">
        <f>IFERROR(SUMIFS(BY_TRA!S$2:S$999,BY_TRA!$BJ$2:$BJ$999,Transport!$B57,BY_TRA!$BK$2:$BK$999,Transport!$C57)/SUMIFS(BY_TRA!S$2:S$999,BY_TRA!$BJ$2:$BJ$999,Transport!$B57),0)</f>
        <v>0</v>
      </c>
      <c r="L57" s="1">
        <f>IFERROR(SUMIFS(BY_TRA!T$2:T$999,BY_TRA!$BJ$2:$BJ$999,Transport!$B57,BY_TRA!$BK$2:$BK$999,Transport!$C57)/SUMIFS(BY_TRA!T$2:T$999,BY_TRA!$BJ$2:$BJ$999,Transport!$B57),0)</f>
        <v>0</v>
      </c>
      <c r="M57" s="1">
        <f>IFERROR(SUMIFS(BY_TRA!U$2:U$999,BY_TRA!$BJ$2:$BJ$999,Transport!$B57,BY_TRA!$BK$2:$BK$999,Transport!$C57)/SUMIFS(BY_TRA!U$2:U$999,BY_TRA!$BJ$2:$BJ$999,Transport!$B57),0)</f>
        <v>0</v>
      </c>
      <c r="N57" s="1">
        <f>IFERROR(SUMIFS(BY_TRA!V$2:V$999,BY_TRA!$BJ$2:$BJ$999,Transport!$B57,BY_TRA!$BK$2:$BK$999,Transport!$C57)/SUMIFS(BY_TRA!V$2:V$999,BY_TRA!$BJ$2:$BJ$999,Transport!$B57),0)</f>
        <v>0</v>
      </c>
      <c r="O57" s="1">
        <f>IFERROR(SUMIFS(BY_TRA!W$2:W$999,BY_TRA!$BJ$2:$BJ$999,Transport!$B57,BY_TRA!$BK$2:$BK$999,Transport!$C57)/SUMIFS(BY_TRA!W$2:W$999,BY_TRA!$BJ$2:$BJ$999,Transport!$B57),0)</f>
        <v>0</v>
      </c>
      <c r="P57" s="1">
        <f>IFERROR(SUMIFS(BY_TRA!X$2:X$999,BY_TRA!$BJ$2:$BJ$999,Transport!$B57,BY_TRA!$BK$2:$BK$999,Transport!$C57)/SUMIFS(BY_TRA!X$2:X$999,BY_TRA!$BJ$2:$BJ$999,Transport!$B57),0)</f>
        <v>0</v>
      </c>
      <c r="Q57" s="1">
        <f>IFERROR(SUMIFS(BY_TRA!Y$2:Y$999,BY_TRA!$BJ$2:$BJ$999,Transport!$B57,BY_TRA!$BK$2:$BK$999,Transport!$C57)/SUMIFS(BY_TRA!Y$2:Y$999,BY_TRA!$BJ$2:$BJ$999,Transport!$B57),0)</f>
        <v>0</v>
      </c>
      <c r="R57" s="1">
        <f>IFERROR(SUMIFS(BY_TRA!Z$2:Z$999,BY_TRA!$BJ$2:$BJ$999,Transport!$B57,BY_TRA!$BK$2:$BK$999,Transport!$C57)/SUMIFS(BY_TRA!Z$2:Z$999,BY_TRA!$BJ$2:$BJ$999,Transport!$B57),0)</f>
        <v>0</v>
      </c>
      <c r="S57" s="1">
        <f>IFERROR(SUMIFS(BY_TRA!AA$2:AA$999,BY_TRA!$BJ$2:$BJ$999,Transport!$B57,BY_TRA!$BK$2:$BK$999,Transport!$C57)/SUMIFS(BY_TRA!AA$2:AA$999,BY_TRA!$BJ$2:$BJ$999,Transport!$B57),0)</f>
        <v>0</v>
      </c>
      <c r="T57" s="1">
        <f>IFERROR(SUMIFS(BY_TRA!AB$2:AB$999,BY_TRA!$BJ$2:$BJ$999,Transport!$B57,BY_TRA!$BK$2:$BK$999,Transport!$C57)/SUMIFS(BY_TRA!AB$2:AB$999,BY_TRA!$BJ$2:$BJ$999,Transport!$B57),0)</f>
        <v>0</v>
      </c>
      <c r="U57" s="1">
        <f>IFERROR(SUMIFS(BY_TRA!AC$2:AC$999,BY_TRA!$BJ$2:$BJ$999,Transport!$B57,BY_TRA!$BK$2:$BK$999,Transport!$C57)/SUMIFS(BY_TRA!AC$2:AC$999,BY_TRA!$BJ$2:$BJ$999,Transport!$B57),0)</f>
        <v>0</v>
      </c>
      <c r="V57" s="1">
        <f>IFERROR(SUMIFS(BY_TRA!AD$2:AD$999,BY_TRA!$BJ$2:$BJ$999,Transport!$B57,BY_TRA!$BK$2:$BK$999,Transport!$C57)/SUMIFS(BY_TRA!AD$2:AD$999,BY_TRA!$BJ$2:$BJ$999,Transport!$B57),0)</f>
        <v>0</v>
      </c>
      <c r="W57" s="1">
        <f>IFERROR(SUMIFS(BY_TRA!AE$2:AE$999,BY_TRA!$BJ$2:$BJ$999,Transport!$B57,BY_TRA!$BK$2:$BK$999,Transport!$C57)/SUMIFS(BY_TRA!AE$2:AE$999,BY_TRA!$BJ$2:$BJ$999,Transport!$B57),0)</f>
        <v>0</v>
      </c>
      <c r="X57" s="1">
        <f>IFERROR(SUMIFS(BY_TRA!AF$2:AF$999,BY_TRA!$BJ$2:$BJ$999,Transport!$B57,BY_TRA!$BK$2:$BK$999,Transport!$C57)/SUMIFS(BY_TRA!AF$2:AF$999,BY_TRA!$BJ$2:$BJ$999,Transport!$B57),0)</f>
        <v>0</v>
      </c>
      <c r="Y57" s="1">
        <f>IFERROR(SUMIFS(BY_TRA!AG$2:AG$999,BY_TRA!$BJ$2:$BJ$999,Transport!$B57,BY_TRA!$BK$2:$BK$999,Transport!$C57)/SUMIFS(BY_TRA!AG$2:AG$999,BY_TRA!$BJ$2:$BJ$999,Transport!$B57),0)</f>
        <v>0</v>
      </c>
      <c r="Z57" s="1">
        <f>IFERROR(SUMIFS(BY_TRA!AH$2:AH$999,BY_TRA!$BJ$2:$BJ$999,Transport!$B57,BY_TRA!$BK$2:$BK$999,Transport!$C57)/SUMIFS(BY_TRA!AH$2:AH$999,BY_TRA!$BJ$2:$BJ$999,Transport!$B57),0)</f>
        <v>0</v>
      </c>
      <c r="AA57" s="1">
        <f>IFERROR(SUMIFS(BY_TRA!AI$2:AI$999,BY_TRA!$BJ$2:$BJ$999,Transport!$B57,BY_TRA!$BK$2:$BK$999,Transport!$C57)/SUMIFS(BY_TRA!AI$2:AI$999,BY_TRA!$BJ$2:$BJ$999,Transport!$B57),0)</f>
        <v>0</v>
      </c>
      <c r="AB57" s="1">
        <f>IFERROR(SUMIFS(BY_TRA!AJ$2:AJ$999,BY_TRA!$BJ$2:$BJ$999,Transport!$B57,BY_TRA!$BK$2:$BK$999,Transport!$C57)/SUMIFS(BY_TRA!AJ$2:AJ$999,BY_TRA!$BJ$2:$BJ$999,Transport!$B57),0)</f>
        <v>0</v>
      </c>
      <c r="AC57" s="1">
        <f>IFERROR(SUMIFS(BY_TRA!AK$2:AK$999,BY_TRA!$BJ$2:$BJ$999,Transport!$B57,BY_TRA!$BK$2:$BK$999,Transport!$C57)/SUMIFS(BY_TRA!AK$2:AK$999,BY_TRA!$BJ$2:$BJ$999,Transport!$B57),0)</f>
        <v>0</v>
      </c>
      <c r="AD57" s="1">
        <f>IFERROR(SUMIFS(BY_TRA!AL$2:AL$999,BY_TRA!$BJ$2:$BJ$999,Transport!$B57,BY_TRA!$BK$2:$BK$999,Transport!$C57)/SUMIFS(BY_TRA!AL$2:AL$999,BY_TRA!$BJ$2:$BJ$999,Transport!$B57),0)</f>
        <v>0</v>
      </c>
      <c r="AE57" s="1">
        <f>IFERROR(SUMIFS(BY_TRA!AM$2:AM$999,BY_TRA!$BJ$2:$BJ$999,Transport!$B57,BY_TRA!$BK$2:$BK$999,Transport!$C57)/SUMIFS(BY_TRA!AM$2:AM$999,BY_TRA!$BJ$2:$BJ$999,Transport!$B57),0)</f>
        <v>0</v>
      </c>
      <c r="AF57" s="1">
        <f>IFERROR(SUMIFS(BY_TRA!AN$2:AN$999,BY_TRA!$BJ$2:$BJ$999,Transport!$B57,BY_TRA!$BK$2:$BK$999,Transport!$C57)/SUMIFS(BY_TRA!AN$2:AN$999,BY_TRA!$BJ$2:$BJ$999,Transport!$B57),0)</f>
        <v>0</v>
      </c>
      <c r="AG57" s="1">
        <f>IFERROR(SUMIFS(BY_TRA!AO$2:AO$999,BY_TRA!$BJ$2:$BJ$999,Transport!$B57,BY_TRA!$BK$2:$BK$999,Transport!$C57)/SUMIFS(BY_TRA!AO$2:AO$999,BY_TRA!$BJ$2:$BJ$999,Transport!$B57),0)</f>
        <v>0</v>
      </c>
      <c r="AH57" s="1">
        <f>IFERROR(SUMIFS(BY_TRA!AP$2:AP$999,BY_TRA!$BJ$2:$BJ$999,Transport!$B57,BY_TRA!$BK$2:$BK$999,Transport!$C57)/SUMIFS(BY_TRA!AP$2:AP$999,BY_TRA!$BJ$2:$BJ$999,Transport!$B57),0)</f>
        <v>0</v>
      </c>
      <c r="AI57" s="1">
        <f>IFERROR(SUMIFS(BY_TRA!AQ$2:AQ$999,BY_TRA!$BJ$2:$BJ$999,Transport!$B57,BY_TRA!$BK$2:$BK$999,Transport!$C57)/SUMIFS(BY_TRA!AQ$2:AQ$999,BY_TRA!$BJ$2:$BJ$999,Transport!$B57),0)</f>
        <v>0</v>
      </c>
      <c r="AJ57" s="1">
        <f>IFERROR(SUMIFS(BY_TRA!AR$2:AR$999,BY_TRA!$BJ$2:$BJ$999,Transport!$B57,BY_TRA!$BK$2:$BK$999,Transport!$C57)/SUMIFS(BY_TRA!AR$2:AR$999,BY_TRA!$BJ$2:$BJ$999,Transport!$B57),0)</f>
        <v>0</v>
      </c>
      <c r="AK57" s="1">
        <f>IFERROR(SUMIFS(BY_TRA!AS$2:AS$999,BY_TRA!$BJ$2:$BJ$999,Transport!$B57,BY_TRA!$BK$2:$BK$999,Transport!$C57)/SUMIFS(BY_TRA!AS$2:AS$999,BY_TRA!$BJ$2:$BJ$999,Transport!$B57),0)</f>
        <v>0</v>
      </c>
      <c r="AL57" s="1">
        <f>IFERROR(SUMIFS(BY_TRA!AT$2:AT$999,BY_TRA!$BJ$2:$BJ$999,Transport!$B57,BY_TRA!$BK$2:$BK$999,Transport!$C57)/SUMIFS(BY_TRA!AT$2:AT$999,BY_TRA!$BJ$2:$BJ$999,Transport!$B57),0)</f>
        <v>0</v>
      </c>
      <c r="AM57" s="1">
        <f>IFERROR(SUMIFS(BY_TRA!AU$2:AU$999,BY_TRA!$BJ$2:$BJ$999,Transport!$B57,BY_TRA!$BK$2:$BK$999,Transport!$C57)/SUMIFS(BY_TRA!AU$2:AU$999,BY_TRA!$BJ$2:$BJ$999,Transport!$B57),0)</f>
        <v>0</v>
      </c>
      <c r="AN57" s="1">
        <f>IFERROR(SUMIFS(BY_TRA!AV$2:AV$999,BY_TRA!$BJ$2:$BJ$999,Transport!$B57,BY_TRA!$BK$2:$BK$999,Transport!$C57)/SUMIFS(BY_TRA!AV$2:AV$999,BY_TRA!$BJ$2:$BJ$999,Transport!$B57),0)</f>
        <v>0</v>
      </c>
      <c r="AO57" s="1">
        <f>IFERROR(SUMIFS(BY_TRA!AW$2:AW$999,BY_TRA!$BJ$2:$BJ$999,Transport!$B57,BY_TRA!$BK$2:$BK$999,Transport!$C57)/SUMIFS(BY_TRA!AW$2:AW$999,BY_TRA!$BJ$2:$BJ$999,Transport!$B57),0)</f>
        <v>0</v>
      </c>
      <c r="AP57" s="1">
        <f>IFERROR(SUMIFS(BY_TRA!AX$2:AX$999,BY_TRA!$BJ$2:$BJ$999,Transport!$B57,BY_TRA!$BK$2:$BK$999,Transport!$C57)/SUMIFS(BY_TRA!AX$2:AX$999,BY_TRA!$BJ$2:$BJ$999,Transport!$B57),0)</f>
        <v>0</v>
      </c>
      <c r="AQ57" s="1">
        <f>IFERROR(SUMIFS(BY_TRA!AY$2:AY$999,BY_TRA!$BJ$2:$BJ$999,Transport!$B57,BY_TRA!$BK$2:$BK$999,Transport!$C57)/SUMIFS(BY_TRA!AY$2:AY$999,BY_TRA!$BJ$2:$BJ$999,Transport!$B57),0)</f>
        <v>0</v>
      </c>
      <c r="AR57" s="1">
        <f>IFERROR(SUMIFS(BY_TRA!AZ$2:AZ$999,BY_TRA!$BJ$2:$BJ$999,Transport!$B57,BY_TRA!$BK$2:$BK$999,Transport!$C57)/SUMIFS(BY_TRA!AZ$2:AZ$999,BY_TRA!$BJ$2:$BJ$999,Transport!$B57),0)</f>
        <v>0</v>
      </c>
      <c r="AS57" s="1">
        <f>IFERROR(SUMIFS(BY_TRA!BA$2:BA$999,BY_TRA!$BJ$2:$BJ$999,Transport!$B57,BY_TRA!$BK$2:$BK$999,Transport!$C57)/SUMIFS(BY_TRA!BA$2:BA$999,BY_TRA!$BJ$2:$BJ$999,Transport!$B57),0)</f>
        <v>0</v>
      </c>
      <c r="AT57" s="1">
        <f>IFERROR(SUMIFS(BY_TRA!BB$2:BB$999,BY_TRA!$BJ$2:$BJ$999,Transport!$B57,BY_TRA!$BK$2:$BK$999,Transport!$C57)/SUMIFS(BY_TRA!BB$2:BB$999,BY_TRA!$BJ$2:$BJ$999,Transport!$B57),0)</f>
        <v>0</v>
      </c>
      <c r="AU57" s="1">
        <f>IFERROR(SUMIFS(BY_TRA!BC$2:BC$999,BY_TRA!$BJ$2:$BJ$999,Transport!$B57,BY_TRA!$BK$2:$BK$999,Transport!$C57)/SUMIFS(BY_TRA!BC$2:BC$999,BY_TRA!$BJ$2:$BJ$999,Transport!$B57),0)</f>
        <v>0</v>
      </c>
      <c r="AV57" s="1">
        <f>IFERROR(SUMIFS(BY_TRA!BD$2:BD$999,BY_TRA!$BJ$2:$BJ$999,Transport!$B57,BY_TRA!$BK$2:$BK$999,Transport!$C57)/SUMIFS(BY_TRA!BD$2:BD$999,BY_TRA!$BJ$2:$BJ$999,Transport!$B57),0)</f>
        <v>0</v>
      </c>
      <c r="AW57" s="1">
        <f>IFERROR(SUMIFS(BY_TRA!BE$2:BE$999,BY_TRA!$BJ$2:$BJ$999,Transport!$B57,BY_TRA!$BK$2:$BK$999,Transport!$C57)/SUMIFS(BY_TRA!BE$2:BE$999,BY_TRA!$BJ$2:$BJ$999,Transport!$B57),0)</f>
        <v>0</v>
      </c>
      <c r="AX57" s="1">
        <f>IFERROR(SUMIFS(BY_TRA!BF$2:BF$999,BY_TRA!$BJ$2:$BJ$999,Transport!$B57,BY_TRA!$BK$2:$BK$999,Transport!$C57)/SUMIFS(BY_TRA!BF$2:BF$999,BY_TRA!$BJ$2:$BJ$999,Transport!$B57),0)</f>
        <v>0</v>
      </c>
      <c r="AY57" s="1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133</v>
      </c>
      <c r="C58" t="s">
        <v>131</v>
      </c>
      <c r="D58" s="1">
        <f>IFERROR(SUMIFS(BY_TRA!L$2:L$999,BY_TRA!$BJ$2:$BJ$999,Transport!$B58,BY_TRA!$BK$2:$BK$999,Transport!$C58)/SUMIFS(BY_TRA!L$2:L$999,BY_TRA!$BJ$2:$BJ$999,Transport!$B58),0)</f>
        <v>0</v>
      </c>
      <c r="E58" s="1">
        <f>IFERROR(SUMIFS(BY_TRA!M$2:M$999,BY_TRA!$BJ$2:$BJ$999,Transport!$B58,BY_TRA!$BK$2:$BK$999,Transport!$C58)/SUMIFS(BY_TRA!M$2:M$999,BY_TRA!$BJ$2:$BJ$999,Transport!$B58),0)</f>
        <v>0</v>
      </c>
      <c r="F58" s="1">
        <f>IFERROR(SUMIFS(BY_TRA!N$2:N$999,BY_TRA!$BJ$2:$BJ$999,Transport!$B58,BY_TRA!$BK$2:$BK$999,Transport!$C58)/SUMIFS(BY_TRA!N$2:N$999,BY_TRA!$BJ$2:$BJ$999,Transport!$B58),0)</f>
        <v>0</v>
      </c>
      <c r="G58" s="1">
        <f>IFERROR(SUMIFS(BY_TRA!O$2:O$999,BY_TRA!$BJ$2:$BJ$999,Transport!$B58,BY_TRA!$BK$2:$BK$999,Transport!$C58)/SUMIFS(BY_TRA!O$2:O$999,BY_TRA!$BJ$2:$BJ$999,Transport!$B58),0)</f>
        <v>0</v>
      </c>
      <c r="H58" s="1">
        <f>IFERROR(SUMIFS(BY_TRA!P$2:P$999,BY_TRA!$BJ$2:$BJ$999,Transport!$B58,BY_TRA!$BK$2:$BK$999,Transport!$C58)/SUMIFS(BY_TRA!P$2:P$999,BY_TRA!$BJ$2:$BJ$999,Transport!$B58),0)</f>
        <v>0</v>
      </c>
      <c r="I58" s="1">
        <f>IFERROR(SUMIFS(BY_TRA!Q$2:Q$999,BY_TRA!$BJ$2:$BJ$999,Transport!$B58,BY_TRA!$BK$2:$BK$999,Transport!$C58)/SUMIFS(BY_TRA!Q$2:Q$999,BY_TRA!$BJ$2:$BJ$999,Transport!$B58),0)</f>
        <v>0</v>
      </c>
      <c r="J58" s="1">
        <f>IFERROR(SUMIFS(BY_TRA!R$2:R$999,BY_TRA!$BJ$2:$BJ$999,Transport!$B58,BY_TRA!$BK$2:$BK$999,Transport!$C58)/SUMIFS(BY_TRA!R$2:R$999,BY_TRA!$BJ$2:$BJ$999,Transport!$B58),0)</f>
        <v>0</v>
      </c>
      <c r="K58" s="1">
        <f>IFERROR(SUMIFS(BY_TRA!S$2:S$999,BY_TRA!$BJ$2:$BJ$999,Transport!$B58,BY_TRA!$BK$2:$BK$999,Transport!$C58)/SUMIFS(BY_TRA!S$2:S$999,BY_TRA!$BJ$2:$BJ$999,Transport!$B58),0)</f>
        <v>0</v>
      </c>
      <c r="L58" s="1">
        <f>IFERROR(SUMIFS(BY_TRA!T$2:T$999,BY_TRA!$BJ$2:$BJ$999,Transport!$B58,BY_TRA!$BK$2:$BK$999,Transport!$C58)/SUMIFS(BY_TRA!T$2:T$999,BY_TRA!$BJ$2:$BJ$999,Transport!$B58),0)</f>
        <v>0</v>
      </c>
      <c r="M58" s="1">
        <f>IFERROR(SUMIFS(BY_TRA!U$2:U$999,BY_TRA!$BJ$2:$BJ$999,Transport!$B58,BY_TRA!$BK$2:$BK$999,Transport!$C58)/SUMIFS(BY_TRA!U$2:U$999,BY_TRA!$BJ$2:$BJ$999,Transport!$B58),0)</f>
        <v>0</v>
      </c>
      <c r="N58" s="1">
        <f>IFERROR(SUMIFS(BY_TRA!V$2:V$999,BY_TRA!$BJ$2:$BJ$999,Transport!$B58,BY_TRA!$BK$2:$BK$999,Transport!$C58)/SUMIFS(BY_TRA!V$2:V$999,BY_TRA!$BJ$2:$BJ$999,Transport!$B58),0)</f>
        <v>0</v>
      </c>
      <c r="O58" s="1">
        <f>IFERROR(SUMIFS(BY_TRA!W$2:W$999,BY_TRA!$BJ$2:$BJ$999,Transport!$B58,BY_TRA!$BK$2:$BK$999,Transport!$C58)/SUMIFS(BY_TRA!W$2:W$999,BY_TRA!$BJ$2:$BJ$999,Transport!$B58),0)</f>
        <v>0</v>
      </c>
      <c r="P58" s="1">
        <f>IFERROR(SUMIFS(BY_TRA!X$2:X$999,BY_TRA!$BJ$2:$BJ$999,Transport!$B58,BY_TRA!$BK$2:$BK$999,Transport!$C58)/SUMIFS(BY_TRA!X$2:X$999,BY_TRA!$BJ$2:$BJ$999,Transport!$B58),0)</f>
        <v>0</v>
      </c>
      <c r="Q58" s="1">
        <f>IFERROR(SUMIFS(BY_TRA!Y$2:Y$999,BY_TRA!$BJ$2:$BJ$999,Transport!$B58,BY_TRA!$BK$2:$BK$999,Transport!$C58)/SUMIFS(BY_TRA!Y$2:Y$999,BY_TRA!$BJ$2:$BJ$999,Transport!$B58),0)</f>
        <v>0</v>
      </c>
      <c r="R58" s="1">
        <f>IFERROR(SUMIFS(BY_TRA!Z$2:Z$999,BY_TRA!$BJ$2:$BJ$999,Transport!$B58,BY_TRA!$BK$2:$BK$999,Transport!$C58)/SUMIFS(BY_TRA!Z$2:Z$999,BY_TRA!$BJ$2:$BJ$999,Transport!$B58),0)</f>
        <v>0</v>
      </c>
      <c r="S58" s="1">
        <f>IFERROR(SUMIFS(BY_TRA!AA$2:AA$999,BY_TRA!$BJ$2:$BJ$999,Transport!$B58,BY_TRA!$BK$2:$BK$999,Transport!$C58)/SUMIFS(BY_TRA!AA$2:AA$999,BY_TRA!$BJ$2:$BJ$999,Transport!$B58),0)</f>
        <v>0</v>
      </c>
      <c r="T58" s="1">
        <f>IFERROR(SUMIFS(BY_TRA!AB$2:AB$999,BY_TRA!$BJ$2:$BJ$999,Transport!$B58,BY_TRA!$BK$2:$BK$999,Transport!$C58)/SUMIFS(BY_TRA!AB$2:AB$999,BY_TRA!$BJ$2:$BJ$999,Transport!$B58),0)</f>
        <v>0</v>
      </c>
      <c r="U58" s="1">
        <f>IFERROR(SUMIFS(BY_TRA!AC$2:AC$999,BY_TRA!$BJ$2:$BJ$999,Transport!$B58,BY_TRA!$BK$2:$BK$999,Transport!$C58)/SUMIFS(BY_TRA!AC$2:AC$999,BY_TRA!$BJ$2:$BJ$999,Transport!$B58),0)</f>
        <v>0</v>
      </c>
      <c r="V58" s="1">
        <f>IFERROR(SUMIFS(BY_TRA!AD$2:AD$999,BY_TRA!$BJ$2:$BJ$999,Transport!$B58,BY_TRA!$BK$2:$BK$999,Transport!$C58)/SUMIFS(BY_TRA!AD$2:AD$999,BY_TRA!$BJ$2:$BJ$999,Transport!$B58),0)</f>
        <v>0</v>
      </c>
      <c r="W58" s="1">
        <f>IFERROR(SUMIFS(BY_TRA!AE$2:AE$999,BY_TRA!$BJ$2:$BJ$999,Transport!$B58,BY_TRA!$BK$2:$BK$999,Transport!$C58)/SUMIFS(BY_TRA!AE$2:AE$999,BY_TRA!$BJ$2:$BJ$999,Transport!$B58),0)</f>
        <v>0</v>
      </c>
      <c r="X58" s="1">
        <f>IFERROR(SUMIFS(BY_TRA!AF$2:AF$999,BY_TRA!$BJ$2:$BJ$999,Transport!$B58,BY_TRA!$BK$2:$BK$999,Transport!$C58)/SUMIFS(BY_TRA!AF$2:AF$999,BY_TRA!$BJ$2:$BJ$999,Transport!$B58),0)</f>
        <v>0</v>
      </c>
      <c r="Y58" s="1">
        <f>IFERROR(SUMIFS(BY_TRA!AG$2:AG$999,BY_TRA!$BJ$2:$BJ$999,Transport!$B58,BY_TRA!$BK$2:$BK$999,Transport!$C58)/SUMIFS(BY_TRA!AG$2:AG$999,BY_TRA!$BJ$2:$BJ$999,Transport!$B58),0)</f>
        <v>0</v>
      </c>
      <c r="Z58" s="1">
        <f>IFERROR(SUMIFS(BY_TRA!AH$2:AH$999,BY_TRA!$BJ$2:$BJ$999,Transport!$B58,BY_TRA!$BK$2:$BK$999,Transport!$C58)/SUMIFS(BY_TRA!AH$2:AH$999,BY_TRA!$BJ$2:$BJ$999,Transport!$B58),0)</f>
        <v>0</v>
      </c>
      <c r="AA58" s="1">
        <f>IFERROR(SUMIFS(BY_TRA!AI$2:AI$999,BY_TRA!$BJ$2:$BJ$999,Transport!$B58,BY_TRA!$BK$2:$BK$999,Transport!$C58)/SUMIFS(BY_TRA!AI$2:AI$999,BY_TRA!$BJ$2:$BJ$999,Transport!$B58),0)</f>
        <v>0</v>
      </c>
      <c r="AB58" s="1">
        <f>IFERROR(SUMIFS(BY_TRA!AJ$2:AJ$999,BY_TRA!$BJ$2:$BJ$999,Transport!$B58,BY_TRA!$BK$2:$BK$999,Transport!$C58)/SUMIFS(BY_TRA!AJ$2:AJ$999,BY_TRA!$BJ$2:$BJ$999,Transport!$B58),0)</f>
        <v>0</v>
      </c>
      <c r="AC58" s="1">
        <f>IFERROR(SUMIFS(BY_TRA!AK$2:AK$999,BY_TRA!$BJ$2:$BJ$999,Transport!$B58,BY_TRA!$BK$2:$BK$999,Transport!$C58)/SUMIFS(BY_TRA!AK$2:AK$999,BY_TRA!$BJ$2:$BJ$999,Transport!$B58),0)</f>
        <v>0</v>
      </c>
      <c r="AD58" s="1">
        <f>IFERROR(SUMIFS(BY_TRA!AL$2:AL$999,BY_TRA!$BJ$2:$BJ$999,Transport!$B58,BY_TRA!$BK$2:$BK$999,Transport!$C58)/SUMIFS(BY_TRA!AL$2:AL$999,BY_TRA!$BJ$2:$BJ$999,Transport!$B58),0)</f>
        <v>0</v>
      </c>
      <c r="AE58" s="1">
        <f>IFERROR(SUMIFS(BY_TRA!AM$2:AM$999,BY_TRA!$BJ$2:$BJ$999,Transport!$B58,BY_TRA!$BK$2:$BK$999,Transport!$C58)/SUMIFS(BY_TRA!AM$2:AM$999,BY_TRA!$BJ$2:$BJ$999,Transport!$B58),0)</f>
        <v>0</v>
      </c>
      <c r="AF58" s="1">
        <f>IFERROR(SUMIFS(BY_TRA!AN$2:AN$999,BY_TRA!$BJ$2:$BJ$999,Transport!$B58,BY_TRA!$BK$2:$BK$999,Transport!$C58)/SUMIFS(BY_TRA!AN$2:AN$999,BY_TRA!$BJ$2:$BJ$999,Transport!$B58),0)</f>
        <v>0</v>
      </c>
      <c r="AG58" s="1">
        <f>IFERROR(SUMIFS(BY_TRA!AO$2:AO$999,BY_TRA!$BJ$2:$BJ$999,Transport!$B58,BY_TRA!$BK$2:$BK$999,Transport!$C58)/SUMIFS(BY_TRA!AO$2:AO$999,BY_TRA!$BJ$2:$BJ$999,Transport!$B58),0)</f>
        <v>0</v>
      </c>
      <c r="AH58" s="1">
        <f>IFERROR(SUMIFS(BY_TRA!AP$2:AP$999,BY_TRA!$BJ$2:$BJ$999,Transport!$B58,BY_TRA!$BK$2:$BK$999,Transport!$C58)/SUMIFS(BY_TRA!AP$2:AP$999,BY_TRA!$BJ$2:$BJ$999,Transport!$B58),0)</f>
        <v>0</v>
      </c>
      <c r="AI58" s="1">
        <f>IFERROR(SUMIFS(BY_TRA!AQ$2:AQ$999,BY_TRA!$BJ$2:$BJ$999,Transport!$B58,BY_TRA!$BK$2:$BK$999,Transport!$C58)/SUMIFS(BY_TRA!AQ$2:AQ$999,BY_TRA!$BJ$2:$BJ$999,Transport!$B58),0)</f>
        <v>0</v>
      </c>
      <c r="AJ58" s="1">
        <f>IFERROR(SUMIFS(BY_TRA!AR$2:AR$999,BY_TRA!$BJ$2:$BJ$999,Transport!$B58,BY_TRA!$BK$2:$BK$999,Transport!$C58)/SUMIFS(BY_TRA!AR$2:AR$999,BY_TRA!$BJ$2:$BJ$999,Transport!$B58),0)</f>
        <v>0</v>
      </c>
      <c r="AK58" s="1">
        <f>IFERROR(SUMIFS(BY_TRA!AS$2:AS$999,BY_TRA!$BJ$2:$BJ$999,Transport!$B58,BY_TRA!$BK$2:$BK$999,Transport!$C58)/SUMIFS(BY_TRA!AS$2:AS$999,BY_TRA!$BJ$2:$BJ$999,Transport!$B58),0)</f>
        <v>0</v>
      </c>
      <c r="AL58" s="1">
        <f>IFERROR(SUMIFS(BY_TRA!AT$2:AT$999,BY_TRA!$BJ$2:$BJ$999,Transport!$B58,BY_TRA!$BK$2:$BK$999,Transport!$C58)/SUMIFS(BY_TRA!AT$2:AT$999,BY_TRA!$BJ$2:$BJ$999,Transport!$B58),0)</f>
        <v>0</v>
      </c>
      <c r="AM58" s="1">
        <f>IFERROR(SUMIFS(BY_TRA!AU$2:AU$999,BY_TRA!$BJ$2:$BJ$999,Transport!$B58,BY_TRA!$BK$2:$BK$999,Transport!$C58)/SUMIFS(BY_TRA!AU$2:AU$999,BY_TRA!$BJ$2:$BJ$999,Transport!$B58),0)</f>
        <v>0</v>
      </c>
      <c r="AN58" s="1">
        <f>IFERROR(SUMIFS(BY_TRA!AV$2:AV$999,BY_TRA!$BJ$2:$BJ$999,Transport!$B58,BY_TRA!$BK$2:$BK$999,Transport!$C58)/SUMIFS(BY_TRA!AV$2:AV$999,BY_TRA!$BJ$2:$BJ$999,Transport!$B58),0)</f>
        <v>0</v>
      </c>
      <c r="AO58" s="1">
        <f>IFERROR(SUMIFS(BY_TRA!AW$2:AW$999,BY_TRA!$BJ$2:$BJ$999,Transport!$B58,BY_TRA!$BK$2:$BK$999,Transport!$C58)/SUMIFS(BY_TRA!AW$2:AW$999,BY_TRA!$BJ$2:$BJ$999,Transport!$B58),0)</f>
        <v>0</v>
      </c>
      <c r="AP58" s="1">
        <f>IFERROR(SUMIFS(BY_TRA!AX$2:AX$999,BY_TRA!$BJ$2:$BJ$999,Transport!$B58,BY_TRA!$BK$2:$BK$999,Transport!$C58)/SUMIFS(BY_TRA!AX$2:AX$999,BY_TRA!$BJ$2:$BJ$999,Transport!$B58),0)</f>
        <v>0</v>
      </c>
      <c r="AQ58" s="1">
        <f>IFERROR(SUMIFS(BY_TRA!AY$2:AY$999,BY_TRA!$BJ$2:$BJ$999,Transport!$B58,BY_TRA!$BK$2:$BK$999,Transport!$C58)/SUMIFS(BY_TRA!AY$2:AY$999,BY_TRA!$BJ$2:$BJ$999,Transport!$B58),0)</f>
        <v>0</v>
      </c>
      <c r="AR58" s="1">
        <f>IFERROR(SUMIFS(BY_TRA!AZ$2:AZ$999,BY_TRA!$BJ$2:$BJ$999,Transport!$B58,BY_TRA!$BK$2:$BK$999,Transport!$C58)/SUMIFS(BY_TRA!AZ$2:AZ$999,BY_TRA!$BJ$2:$BJ$999,Transport!$B58),0)</f>
        <v>0</v>
      </c>
      <c r="AS58" s="1">
        <f>IFERROR(SUMIFS(BY_TRA!BA$2:BA$999,BY_TRA!$BJ$2:$BJ$999,Transport!$B58,BY_TRA!$BK$2:$BK$999,Transport!$C58)/SUMIFS(BY_TRA!BA$2:BA$999,BY_TRA!$BJ$2:$BJ$999,Transport!$B58),0)</f>
        <v>0</v>
      </c>
      <c r="AT58" s="1">
        <f>IFERROR(SUMIFS(BY_TRA!BB$2:BB$999,BY_TRA!$BJ$2:$BJ$999,Transport!$B58,BY_TRA!$BK$2:$BK$999,Transport!$C58)/SUMIFS(BY_TRA!BB$2:BB$999,BY_TRA!$BJ$2:$BJ$999,Transport!$B58),0)</f>
        <v>0</v>
      </c>
      <c r="AU58" s="1">
        <f>IFERROR(SUMIFS(BY_TRA!BC$2:BC$999,BY_TRA!$BJ$2:$BJ$999,Transport!$B58,BY_TRA!$BK$2:$BK$999,Transport!$C58)/SUMIFS(BY_TRA!BC$2:BC$999,BY_TRA!$BJ$2:$BJ$999,Transport!$B58),0)</f>
        <v>0</v>
      </c>
      <c r="AV58" s="1">
        <f>IFERROR(SUMIFS(BY_TRA!BD$2:BD$999,BY_TRA!$BJ$2:$BJ$999,Transport!$B58,BY_TRA!$BK$2:$BK$999,Transport!$C58)/SUMIFS(BY_TRA!BD$2:BD$999,BY_TRA!$BJ$2:$BJ$999,Transport!$B58),0)</f>
        <v>0</v>
      </c>
      <c r="AW58" s="1">
        <f>IFERROR(SUMIFS(BY_TRA!BE$2:BE$999,BY_TRA!$BJ$2:$BJ$999,Transport!$B58,BY_TRA!$BK$2:$BK$999,Transport!$C58)/SUMIFS(BY_TRA!BE$2:BE$999,BY_TRA!$BJ$2:$BJ$999,Transport!$B58),0)</f>
        <v>0</v>
      </c>
      <c r="AX58" s="1">
        <f>IFERROR(SUMIFS(BY_TRA!BF$2:BF$999,BY_TRA!$BJ$2:$BJ$999,Transport!$B58,BY_TRA!$BK$2:$BK$999,Transport!$C58)/SUMIFS(BY_TRA!BF$2:BF$999,BY_TRA!$BJ$2:$BJ$999,Transport!$B58),0)</f>
        <v>0</v>
      </c>
      <c r="AY58" s="1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134</v>
      </c>
      <c r="C59" t="s">
        <v>126</v>
      </c>
      <c r="D59" s="1">
        <f>IFERROR(SUMIFS(BY_TRA!L$2:L$999,BY_TRA!$BJ$2:$BJ$999,Transport!$B59,BY_TRA!$BK$2:$BK$999,Transport!$C59)/SUMIFS(BY_TRA!L$2:L$999,BY_TRA!$BJ$2:$BJ$999,Transport!$B59),0)</f>
        <v>0</v>
      </c>
      <c r="E59" s="1">
        <f>IFERROR(SUMIFS(BY_TRA!M$2:M$999,BY_TRA!$BJ$2:$BJ$999,Transport!$B59,BY_TRA!$BK$2:$BK$999,Transport!$C59)/SUMIFS(BY_TRA!M$2:M$999,BY_TRA!$BJ$2:$BJ$999,Transport!$B59),0)</f>
        <v>0</v>
      </c>
      <c r="F59" s="1">
        <f>IFERROR(SUMIFS(BY_TRA!N$2:N$999,BY_TRA!$BJ$2:$BJ$999,Transport!$B59,BY_TRA!$BK$2:$BK$999,Transport!$C59)/SUMIFS(BY_TRA!N$2:N$999,BY_TRA!$BJ$2:$BJ$999,Transport!$B59),0)</f>
        <v>0</v>
      </c>
      <c r="G59" s="1">
        <f>IFERROR(SUMIFS(BY_TRA!O$2:O$999,BY_TRA!$BJ$2:$BJ$999,Transport!$B59,BY_TRA!$BK$2:$BK$999,Transport!$C59)/SUMIFS(BY_TRA!O$2:O$999,BY_TRA!$BJ$2:$BJ$999,Transport!$B59),0)</f>
        <v>0</v>
      </c>
      <c r="H59" s="1">
        <f>IFERROR(SUMIFS(BY_TRA!P$2:P$999,BY_TRA!$BJ$2:$BJ$999,Transport!$B59,BY_TRA!$BK$2:$BK$999,Transport!$C59)/SUMIFS(BY_TRA!P$2:P$999,BY_TRA!$BJ$2:$BJ$999,Transport!$B59),0)</f>
        <v>0</v>
      </c>
      <c r="I59" s="1">
        <f>IFERROR(SUMIFS(BY_TRA!Q$2:Q$999,BY_TRA!$BJ$2:$BJ$999,Transport!$B59,BY_TRA!$BK$2:$BK$999,Transport!$C59)/SUMIFS(BY_TRA!Q$2:Q$999,BY_TRA!$BJ$2:$BJ$999,Transport!$B59),0)</f>
        <v>0</v>
      </c>
      <c r="J59" s="1">
        <f>IFERROR(SUMIFS(BY_TRA!R$2:R$999,BY_TRA!$BJ$2:$BJ$999,Transport!$B59,BY_TRA!$BK$2:$BK$999,Transport!$C59)/SUMIFS(BY_TRA!R$2:R$999,BY_TRA!$BJ$2:$BJ$999,Transport!$B59),0)</f>
        <v>0</v>
      </c>
      <c r="K59" s="1">
        <f>IFERROR(SUMIFS(BY_TRA!S$2:S$999,BY_TRA!$BJ$2:$BJ$999,Transport!$B59,BY_TRA!$BK$2:$BK$999,Transport!$C59)/SUMIFS(BY_TRA!S$2:S$999,BY_TRA!$BJ$2:$BJ$999,Transport!$B59),0)</f>
        <v>0</v>
      </c>
      <c r="L59" s="1">
        <f>IFERROR(SUMIFS(BY_TRA!T$2:T$999,BY_TRA!$BJ$2:$BJ$999,Transport!$B59,BY_TRA!$BK$2:$BK$999,Transport!$C59)/SUMIFS(BY_TRA!T$2:T$999,BY_TRA!$BJ$2:$BJ$999,Transport!$B59),0)</f>
        <v>0</v>
      </c>
      <c r="M59" s="1">
        <f>IFERROR(SUMIFS(BY_TRA!U$2:U$999,BY_TRA!$BJ$2:$BJ$999,Transport!$B59,BY_TRA!$BK$2:$BK$999,Transport!$C59)/SUMIFS(BY_TRA!U$2:U$999,BY_TRA!$BJ$2:$BJ$999,Transport!$B59),0)</f>
        <v>0</v>
      </c>
      <c r="N59" s="1">
        <f>IFERROR(SUMIFS(BY_TRA!V$2:V$999,BY_TRA!$BJ$2:$BJ$999,Transport!$B59,BY_TRA!$BK$2:$BK$999,Transport!$C59)/SUMIFS(BY_TRA!V$2:V$999,BY_TRA!$BJ$2:$BJ$999,Transport!$B59),0)</f>
        <v>0</v>
      </c>
      <c r="O59" s="1">
        <f>IFERROR(SUMIFS(BY_TRA!W$2:W$999,BY_TRA!$BJ$2:$BJ$999,Transport!$B59,BY_TRA!$BK$2:$BK$999,Transport!$C59)/SUMIFS(BY_TRA!W$2:W$999,BY_TRA!$BJ$2:$BJ$999,Transport!$B59),0)</f>
        <v>0</v>
      </c>
      <c r="P59" s="1">
        <f>IFERROR(SUMIFS(BY_TRA!X$2:X$999,BY_TRA!$BJ$2:$BJ$999,Transport!$B59,BY_TRA!$BK$2:$BK$999,Transport!$C59)/SUMIFS(BY_TRA!X$2:X$999,BY_TRA!$BJ$2:$BJ$999,Transport!$B59),0)</f>
        <v>0</v>
      </c>
      <c r="Q59" s="1">
        <f>IFERROR(SUMIFS(BY_TRA!Y$2:Y$999,BY_TRA!$BJ$2:$BJ$999,Transport!$B59,BY_TRA!$BK$2:$BK$999,Transport!$C59)/SUMIFS(BY_TRA!Y$2:Y$999,BY_TRA!$BJ$2:$BJ$999,Transport!$B59),0)</f>
        <v>0</v>
      </c>
      <c r="R59" s="1">
        <f>IFERROR(SUMIFS(BY_TRA!Z$2:Z$999,BY_TRA!$BJ$2:$BJ$999,Transport!$B59,BY_TRA!$BK$2:$BK$999,Transport!$C59)/SUMIFS(BY_TRA!Z$2:Z$999,BY_TRA!$BJ$2:$BJ$999,Transport!$B59),0)</f>
        <v>0</v>
      </c>
      <c r="S59" s="1">
        <f>IFERROR(SUMIFS(BY_TRA!AA$2:AA$999,BY_TRA!$BJ$2:$BJ$999,Transport!$B59,BY_TRA!$BK$2:$BK$999,Transport!$C59)/SUMIFS(BY_TRA!AA$2:AA$999,BY_TRA!$BJ$2:$BJ$999,Transport!$B59),0)</f>
        <v>0</v>
      </c>
      <c r="T59" s="1">
        <f>IFERROR(SUMIFS(BY_TRA!AB$2:AB$999,BY_TRA!$BJ$2:$BJ$999,Transport!$B59,BY_TRA!$BK$2:$BK$999,Transport!$C59)/SUMIFS(BY_TRA!AB$2:AB$999,BY_TRA!$BJ$2:$BJ$999,Transport!$B59),0)</f>
        <v>0</v>
      </c>
      <c r="U59" s="1">
        <f>IFERROR(SUMIFS(BY_TRA!AC$2:AC$999,BY_TRA!$BJ$2:$BJ$999,Transport!$B59,BY_TRA!$BK$2:$BK$999,Transport!$C59)/SUMIFS(BY_TRA!AC$2:AC$999,BY_TRA!$BJ$2:$BJ$999,Transport!$B59),0)</f>
        <v>0</v>
      </c>
      <c r="V59" s="1">
        <f>IFERROR(SUMIFS(BY_TRA!AD$2:AD$999,BY_TRA!$BJ$2:$BJ$999,Transport!$B59,BY_TRA!$BK$2:$BK$999,Transport!$C59)/SUMIFS(BY_TRA!AD$2:AD$999,BY_TRA!$BJ$2:$BJ$999,Transport!$B59),0)</f>
        <v>0</v>
      </c>
      <c r="W59" s="1">
        <f>IFERROR(SUMIFS(BY_TRA!AE$2:AE$999,BY_TRA!$BJ$2:$BJ$999,Transport!$B59,BY_TRA!$BK$2:$BK$999,Transport!$C59)/SUMIFS(BY_TRA!AE$2:AE$999,BY_TRA!$BJ$2:$BJ$999,Transport!$B59),0)</f>
        <v>0</v>
      </c>
      <c r="X59" s="1">
        <f>IFERROR(SUMIFS(BY_TRA!AF$2:AF$999,BY_TRA!$BJ$2:$BJ$999,Transport!$B59,BY_TRA!$BK$2:$BK$999,Transport!$C59)/SUMIFS(BY_TRA!AF$2:AF$999,BY_TRA!$BJ$2:$BJ$999,Transport!$B59),0)</f>
        <v>0</v>
      </c>
      <c r="Y59" s="1">
        <f>IFERROR(SUMIFS(BY_TRA!AG$2:AG$999,BY_TRA!$BJ$2:$BJ$999,Transport!$B59,BY_TRA!$BK$2:$BK$999,Transport!$C59)/SUMIFS(BY_TRA!AG$2:AG$999,BY_TRA!$BJ$2:$BJ$999,Transport!$B59),0)</f>
        <v>0</v>
      </c>
      <c r="Z59" s="1">
        <f>IFERROR(SUMIFS(BY_TRA!AH$2:AH$999,BY_TRA!$BJ$2:$BJ$999,Transport!$B59,BY_TRA!$BK$2:$BK$999,Transport!$C59)/SUMIFS(BY_TRA!AH$2:AH$999,BY_TRA!$BJ$2:$BJ$999,Transport!$B59),0)</f>
        <v>0</v>
      </c>
      <c r="AA59" s="1">
        <f>IFERROR(SUMIFS(BY_TRA!AI$2:AI$999,BY_TRA!$BJ$2:$BJ$999,Transport!$B59,BY_TRA!$BK$2:$BK$999,Transport!$C59)/SUMIFS(BY_TRA!AI$2:AI$999,BY_TRA!$BJ$2:$BJ$999,Transport!$B59),0)</f>
        <v>0</v>
      </c>
      <c r="AB59" s="1">
        <f>IFERROR(SUMIFS(BY_TRA!AJ$2:AJ$999,BY_TRA!$BJ$2:$BJ$999,Transport!$B59,BY_TRA!$BK$2:$BK$999,Transport!$C59)/SUMIFS(BY_TRA!AJ$2:AJ$999,BY_TRA!$BJ$2:$BJ$999,Transport!$B59),0)</f>
        <v>0</v>
      </c>
      <c r="AC59" s="1">
        <f>IFERROR(SUMIFS(BY_TRA!AK$2:AK$999,BY_TRA!$BJ$2:$BJ$999,Transport!$B59,BY_TRA!$BK$2:$BK$999,Transport!$C59)/SUMIFS(BY_TRA!AK$2:AK$999,BY_TRA!$BJ$2:$BJ$999,Transport!$B59),0)</f>
        <v>0</v>
      </c>
      <c r="AD59" s="1">
        <f>IFERROR(SUMIFS(BY_TRA!AL$2:AL$999,BY_TRA!$BJ$2:$BJ$999,Transport!$B59,BY_TRA!$BK$2:$BK$999,Transport!$C59)/SUMIFS(BY_TRA!AL$2:AL$999,BY_TRA!$BJ$2:$BJ$999,Transport!$B59),0)</f>
        <v>0</v>
      </c>
      <c r="AE59" s="1">
        <f>IFERROR(SUMIFS(BY_TRA!AM$2:AM$999,BY_TRA!$BJ$2:$BJ$999,Transport!$B59,BY_TRA!$BK$2:$BK$999,Transport!$C59)/SUMIFS(BY_TRA!AM$2:AM$999,BY_TRA!$BJ$2:$BJ$999,Transport!$B59),0)</f>
        <v>0</v>
      </c>
      <c r="AF59" s="1">
        <f>IFERROR(SUMIFS(BY_TRA!AN$2:AN$999,BY_TRA!$BJ$2:$BJ$999,Transport!$B59,BY_TRA!$BK$2:$BK$999,Transport!$C59)/SUMIFS(BY_TRA!AN$2:AN$999,BY_TRA!$BJ$2:$BJ$999,Transport!$B59),0)</f>
        <v>0</v>
      </c>
      <c r="AG59" s="1">
        <f>IFERROR(SUMIFS(BY_TRA!AO$2:AO$999,BY_TRA!$BJ$2:$BJ$999,Transport!$B59,BY_TRA!$BK$2:$BK$999,Transport!$C59)/SUMIFS(BY_TRA!AO$2:AO$999,BY_TRA!$BJ$2:$BJ$999,Transport!$B59),0)</f>
        <v>0</v>
      </c>
      <c r="AH59" s="1">
        <f>IFERROR(SUMIFS(BY_TRA!AP$2:AP$999,BY_TRA!$BJ$2:$BJ$999,Transport!$B59,BY_TRA!$BK$2:$BK$999,Transport!$C59)/SUMIFS(BY_TRA!AP$2:AP$999,BY_TRA!$BJ$2:$BJ$999,Transport!$B59),0)</f>
        <v>0</v>
      </c>
      <c r="AI59" s="1">
        <f>IFERROR(SUMIFS(BY_TRA!AQ$2:AQ$999,BY_TRA!$BJ$2:$BJ$999,Transport!$B59,BY_TRA!$BK$2:$BK$999,Transport!$C59)/SUMIFS(BY_TRA!AQ$2:AQ$999,BY_TRA!$BJ$2:$BJ$999,Transport!$B59),0)</f>
        <v>0</v>
      </c>
      <c r="AJ59" s="1">
        <f>IFERROR(SUMIFS(BY_TRA!AR$2:AR$999,BY_TRA!$BJ$2:$BJ$999,Transport!$B59,BY_TRA!$BK$2:$BK$999,Transport!$C59)/SUMIFS(BY_TRA!AR$2:AR$999,BY_TRA!$BJ$2:$BJ$999,Transport!$B59),0)</f>
        <v>0</v>
      </c>
      <c r="AK59" s="1">
        <f>IFERROR(SUMIFS(BY_TRA!AS$2:AS$999,BY_TRA!$BJ$2:$BJ$999,Transport!$B59,BY_TRA!$BK$2:$BK$999,Transport!$C59)/SUMIFS(BY_TRA!AS$2:AS$999,BY_TRA!$BJ$2:$BJ$999,Transport!$B59),0)</f>
        <v>0</v>
      </c>
      <c r="AL59" s="1">
        <f>IFERROR(SUMIFS(BY_TRA!AT$2:AT$999,BY_TRA!$BJ$2:$BJ$999,Transport!$B59,BY_TRA!$BK$2:$BK$999,Transport!$C59)/SUMIFS(BY_TRA!AT$2:AT$999,BY_TRA!$BJ$2:$BJ$999,Transport!$B59),0)</f>
        <v>0</v>
      </c>
      <c r="AM59" s="1">
        <f>IFERROR(SUMIFS(BY_TRA!AU$2:AU$999,BY_TRA!$BJ$2:$BJ$999,Transport!$B59,BY_TRA!$BK$2:$BK$999,Transport!$C59)/SUMIFS(BY_TRA!AU$2:AU$999,BY_TRA!$BJ$2:$BJ$999,Transport!$B59),0)</f>
        <v>0</v>
      </c>
      <c r="AN59" s="1">
        <f>IFERROR(SUMIFS(BY_TRA!AV$2:AV$999,BY_TRA!$BJ$2:$BJ$999,Transport!$B59,BY_TRA!$BK$2:$BK$999,Transport!$C59)/SUMIFS(BY_TRA!AV$2:AV$999,BY_TRA!$BJ$2:$BJ$999,Transport!$B59),0)</f>
        <v>0</v>
      </c>
      <c r="AO59" s="1">
        <f>IFERROR(SUMIFS(BY_TRA!AW$2:AW$999,BY_TRA!$BJ$2:$BJ$999,Transport!$B59,BY_TRA!$BK$2:$BK$999,Transport!$C59)/SUMIFS(BY_TRA!AW$2:AW$999,BY_TRA!$BJ$2:$BJ$999,Transport!$B59),0)</f>
        <v>0</v>
      </c>
      <c r="AP59" s="1">
        <f>IFERROR(SUMIFS(BY_TRA!AX$2:AX$999,BY_TRA!$BJ$2:$BJ$999,Transport!$B59,BY_TRA!$BK$2:$BK$999,Transport!$C59)/SUMIFS(BY_TRA!AX$2:AX$999,BY_TRA!$BJ$2:$BJ$999,Transport!$B59),0)</f>
        <v>0</v>
      </c>
      <c r="AQ59" s="1">
        <f>IFERROR(SUMIFS(BY_TRA!AY$2:AY$999,BY_TRA!$BJ$2:$BJ$999,Transport!$B59,BY_TRA!$BK$2:$BK$999,Transport!$C59)/SUMIFS(BY_TRA!AY$2:AY$999,BY_TRA!$BJ$2:$BJ$999,Transport!$B59),0)</f>
        <v>0</v>
      </c>
      <c r="AR59" s="1">
        <f>IFERROR(SUMIFS(BY_TRA!AZ$2:AZ$999,BY_TRA!$BJ$2:$BJ$999,Transport!$B59,BY_TRA!$BK$2:$BK$999,Transport!$C59)/SUMIFS(BY_TRA!AZ$2:AZ$999,BY_TRA!$BJ$2:$BJ$999,Transport!$B59),0)</f>
        <v>0</v>
      </c>
      <c r="AS59" s="1">
        <f>IFERROR(SUMIFS(BY_TRA!BA$2:BA$999,BY_TRA!$BJ$2:$BJ$999,Transport!$B59,BY_TRA!$BK$2:$BK$999,Transport!$C59)/SUMIFS(BY_TRA!BA$2:BA$999,BY_TRA!$BJ$2:$BJ$999,Transport!$B59),0)</f>
        <v>0</v>
      </c>
      <c r="AT59" s="1">
        <f>IFERROR(SUMIFS(BY_TRA!BB$2:BB$999,BY_TRA!$BJ$2:$BJ$999,Transport!$B59,BY_TRA!$BK$2:$BK$999,Transport!$C59)/SUMIFS(BY_TRA!BB$2:BB$999,BY_TRA!$BJ$2:$BJ$999,Transport!$B59),0)</f>
        <v>0</v>
      </c>
      <c r="AU59" s="1">
        <f>IFERROR(SUMIFS(BY_TRA!BC$2:BC$999,BY_TRA!$BJ$2:$BJ$999,Transport!$B59,BY_TRA!$BK$2:$BK$999,Transport!$C59)/SUMIFS(BY_TRA!BC$2:BC$999,BY_TRA!$BJ$2:$BJ$999,Transport!$B59),0)</f>
        <v>0</v>
      </c>
      <c r="AV59" s="1">
        <f>IFERROR(SUMIFS(BY_TRA!BD$2:BD$999,BY_TRA!$BJ$2:$BJ$999,Transport!$B59,BY_TRA!$BK$2:$BK$999,Transport!$C59)/SUMIFS(BY_TRA!BD$2:BD$999,BY_TRA!$BJ$2:$BJ$999,Transport!$B59),0)</f>
        <v>0</v>
      </c>
      <c r="AW59" s="1">
        <f>IFERROR(SUMIFS(BY_TRA!BE$2:BE$999,BY_TRA!$BJ$2:$BJ$999,Transport!$B59,BY_TRA!$BK$2:$BK$999,Transport!$C59)/SUMIFS(BY_TRA!BE$2:BE$999,BY_TRA!$BJ$2:$BJ$999,Transport!$B59),0)</f>
        <v>0</v>
      </c>
      <c r="AX59" s="1">
        <f>IFERROR(SUMIFS(BY_TRA!BF$2:BF$999,BY_TRA!$BJ$2:$BJ$999,Transport!$B59,BY_TRA!$BK$2:$BK$999,Transport!$C59)/SUMIFS(BY_TRA!BF$2:BF$999,BY_TRA!$BJ$2:$BJ$999,Transport!$B59),0)</f>
        <v>0</v>
      </c>
      <c r="AY59" s="1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134</v>
      </c>
      <c r="C60" t="s">
        <v>127</v>
      </c>
      <c r="D60" s="1">
        <f>IFERROR(SUMIFS(BY_TRA!L$2:L$999,BY_TRA!$BJ$2:$BJ$999,Transport!$B60,BY_TRA!$BK$2:$BK$999,Transport!$C60)/SUMIFS(BY_TRA!L$2:L$999,BY_TRA!$BJ$2:$BJ$999,Transport!$B60),0)</f>
        <v>0</v>
      </c>
      <c r="E60" s="1">
        <f>IFERROR(SUMIFS(BY_TRA!M$2:M$999,BY_TRA!$BJ$2:$BJ$999,Transport!$B60,BY_TRA!$BK$2:$BK$999,Transport!$C60)/SUMIFS(BY_TRA!M$2:M$999,BY_TRA!$BJ$2:$BJ$999,Transport!$B60),0)</f>
        <v>0</v>
      </c>
      <c r="F60" s="1">
        <f>IFERROR(SUMIFS(BY_TRA!N$2:N$999,BY_TRA!$BJ$2:$BJ$999,Transport!$B60,BY_TRA!$BK$2:$BK$999,Transport!$C60)/SUMIFS(BY_TRA!N$2:N$999,BY_TRA!$BJ$2:$BJ$999,Transport!$B60),0)</f>
        <v>0</v>
      </c>
      <c r="G60" s="1">
        <f>IFERROR(SUMIFS(BY_TRA!O$2:O$999,BY_TRA!$BJ$2:$BJ$999,Transport!$B60,BY_TRA!$BK$2:$BK$999,Transport!$C60)/SUMIFS(BY_TRA!O$2:O$999,BY_TRA!$BJ$2:$BJ$999,Transport!$B60),0)</f>
        <v>0</v>
      </c>
      <c r="H60" s="1">
        <f>IFERROR(SUMIFS(BY_TRA!P$2:P$999,BY_TRA!$BJ$2:$BJ$999,Transport!$B60,BY_TRA!$BK$2:$BK$999,Transport!$C60)/SUMIFS(BY_TRA!P$2:P$999,BY_TRA!$BJ$2:$BJ$999,Transport!$B60),0)</f>
        <v>0</v>
      </c>
      <c r="I60" s="1">
        <f>IFERROR(SUMIFS(BY_TRA!Q$2:Q$999,BY_TRA!$BJ$2:$BJ$999,Transport!$B60,BY_TRA!$BK$2:$BK$999,Transport!$C60)/SUMIFS(BY_TRA!Q$2:Q$999,BY_TRA!$BJ$2:$BJ$999,Transport!$B60),0)</f>
        <v>0</v>
      </c>
      <c r="J60" s="1">
        <f>IFERROR(SUMIFS(BY_TRA!R$2:R$999,BY_TRA!$BJ$2:$BJ$999,Transport!$B60,BY_TRA!$BK$2:$BK$999,Transport!$C60)/SUMIFS(BY_TRA!R$2:R$999,BY_TRA!$BJ$2:$BJ$999,Transport!$B60),0)</f>
        <v>0</v>
      </c>
      <c r="K60" s="1">
        <f>IFERROR(SUMIFS(BY_TRA!S$2:S$999,BY_TRA!$BJ$2:$BJ$999,Transport!$B60,BY_TRA!$BK$2:$BK$999,Transport!$C60)/SUMIFS(BY_TRA!S$2:S$999,BY_TRA!$BJ$2:$BJ$999,Transport!$B60),0)</f>
        <v>0</v>
      </c>
      <c r="L60" s="1">
        <f>IFERROR(SUMIFS(BY_TRA!T$2:T$999,BY_TRA!$BJ$2:$BJ$999,Transport!$B60,BY_TRA!$BK$2:$BK$999,Transport!$C60)/SUMIFS(BY_TRA!T$2:T$999,BY_TRA!$BJ$2:$BJ$999,Transport!$B60),0)</f>
        <v>0</v>
      </c>
      <c r="M60" s="1">
        <f>IFERROR(SUMIFS(BY_TRA!U$2:U$999,BY_TRA!$BJ$2:$BJ$999,Transport!$B60,BY_TRA!$BK$2:$BK$999,Transport!$C60)/SUMIFS(BY_TRA!U$2:U$999,BY_TRA!$BJ$2:$BJ$999,Transport!$B60),0)</f>
        <v>0</v>
      </c>
      <c r="N60" s="1">
        <f>IFERROR(SUMIFS(BY_TRA!V$2:V$999,BY_TRA!$BJ$2:$BJ$999,Transport!$B60,BY_TRA!$BK$2:$BK$999,Transport!$C60)/SUMIFS(BY_TRA!V$2:V$999,BY_TRA!$BJ$2:$BJ$999,Transport!$B60),0)</f>
        <v>0</v>
      </c>
      <c r="O60" s="1">
        <f>IFERROR(SUMIFS(BY_TRA!W$2:W$999,BY_TRA!$BJ$2:$BJ$999,Transport!$B60,BY_TRA!$BK$2:$BK$999,Transport!$C60)/SUMIFS(BY_TRA!W$2:W$999,BY_TRA!$BJ$2:$BJ$999,Transport!$B60),0)</f>
        <v>0</v>
      </c>
      <c r="P60" s="1">
        <f>IFERROR(SUMIFS(BY_TRA!X$2:X$999,BY_TRA!$BJ$2:$BJ$999,Transport!$B60,BY_TRA!$BK$2:$BK$999,Transport!$C60)/SUMIFS(BY_TRA!X$2:X$999,BY_TRA!$BJ$2:$BJ$999,Transport!$B60),0)</f>
        <v>0</v>
      </c>
      <c r="Q60" s="1">
        <f>IFERROR(SUMIFS(BY_TRA!Y$2:Y$999,BY_TRA!$BJ$2:$BJ$999,Transport!$B60,BY_TRA!$BK$2:$BK$999,Transport!$C60)/SUMIFS(BY_TRA!Y$2:Y$999,BY_TRA!$BJ$2:$BJ$999,Transport!$B60),0)</f>
        <v>0</v>
      </c>
      <c r="R60" s="1">
        <f>IFERROR(SUMIFS(BY_TRA!Z$2:Z$999,BY_TRA!$BJ$2:$BJ$999,Transport!$B60,BY_TRA!$BK$2:$BK$999,Transport!$C60)/SUMIFS(BY_TRA!Z$2:Z$999,BY_TRA!$BJ$2:$BJ$999,Transport!$B60),0)</f>
        <v>0</v>
      </c>
      <c r="S60" s="1">
        <f>IFERROR(SUMIFS(BY_TRA!AA$2:AA$999,BY_TRA!$BJ$2:$BJ$999,Transport!$B60,BY_TRA!$BK$2:$BK$999,Transport!$C60)/SUMIFS(BY_TRA!AA$2:AA$999,BY_TRA!$BJ$2:$BJ$999,Transport!$B60),0)</f>
        <v>0</v>
      </c>
      <c r="T60" s="1">
        <f>IFERROR(SUMIFS(BY_TRA!AB$2:AB$999,BY_TRA!$BJ$2:$BJ$999,Transport!$B60,BY_TRA!$BK$2:$BK$999,Transport!$C60)/SUMIFS(BY_TRA!AB$2:AB$999,BY_TRA!$BJ$2:$BJ$999,Transport!$B60),0)</f>
        <v>0</v>
      </c>
      <c r="U60" s="1">
        <f>IFERROR(SUMIFS(BY_TRA!AC$2:AC$999,BY_TRA!$BJ$2:$BJ$999,Transport!$B60,BY_TRA!$BK$2:$BK$999,Transport!$C60)/SUMIFS(BY_TRA!AC$2:AC$999,BY_TRA!$BJ$2:$BJ$999,Transport!$B60),0)</f>
        <v>0</v>
      </c>
      <c r="V60" s="1">
        <f>IFERROR(SUMIFS(BY_TRA!AD$2:AD$999,BY_TRA!$BJ$2:$BJ$999,Transport!$B60,BY_TRA!$BK$2:$BK$999,Transport!$C60)/SUMIFS(BY_TRA!AD$2:AD$999,BY_TRA!$BJ$2:$BJ$999,Transport!$B60),0)</f>
        <v>0</v>
      </c>
      <c r="W60" s="1">
        <f>IFERROR(SUMIFS(BY_TRA!AE$2:AE$999,BY_TRA!$BJ$2:$BJ$999,Transport!$B60,BY_TRA!$BK$2:$BK$999,Transport!$C60)/SUMIFS(BY_TRA!AE$2:AE$999,BY_TRA!$BJ$2:$BJ$999,Transport!$B60),0)</f>
        <v>0</v>
      </c>
      <c r="X60" s="1">
        <f>IFERROR(SUMIFS(BY_TRA!AF$2:AF$999,BY_TRA!$BJ$2:$BJ$999,Transport!$B60,BY_TRA!$BK$2:$BK$999,Transport!$C60)/SUMIFS(BY_TRA!AF$2:AF$999,BY_TRA!$BJ$2:$BJ$999,Transport!$B60),0)</f>
        <v>0</v>
      </c>
      <c r="Y60" s="1">
        <f>IFERROR(SUMIFS(BY_TRA!AG$2:AG$999,BY_TRA!$BJ$2:$BJ$999,Transport!$B60,BY_TRA!$BK$2:$BK$999,Transport!$C60)/SUMIFS(BY_TRA!AG$2:AG$999,BY_TRA!$BJ$2:$BJ$999,Transport!$B60),0)</f>
        <v>0</v>
      </c>
      <c r="Z60" s="1">
        <f>IFERROR(SUMIFS(BY_TRA!AH$2:AH$999,BY_TRA!$BJ$2:$BJ$999,Transport!$B60,BY_TRA!$BK$2:$BK$999,Transport!$C60)/SUMIFS(BY_TRA!AH$2:AH$999,BY_TRA!$BJ$2:$BJ$999,Transport!$B60),0)</f>
        <v>0</v>
      </c>
      <c r="AA60" s="1">
        <f>IFERROR(SUMIFS(BY_TRA!AI$2:AI$999,BY_TRA!$BJ$2:$BJ$999,Transport!$B60,BY_TRA!$BK$2:$BK$999,Transport!$C60)/SUMIFS(BY_TRA!AI$2:AI$999,BY_TRA!$BJ$2:$BJ$999,Transport!$B60),0)</f>
        <v>0</v>
      </c>
      <c r="AB60" s="1">
        <f>IFERROR(SUMIFS(BY_TRA!AJ$2:AJ$999,BY_TRA!$BJ$2:$BJ$999,Transport!$B60,BY_TRA!$BK$2:$BK$999,Transport!$C60)/SUMIFS(BY_TRA!AJ$2:AJ$999,BY_TRA!$BJ$2:$BJ$999,Transport!$B60),0)</f>
        <v>0</v>
      </c>
      <c r="AC60" s="1">
        <f>IFERROR(SUMIFS(BY_TRA!AK$2:AK$999,BY_TRA!$BJ$2:$BJ$999,Transport!$B60,BY_TRA!$BK$2:$BK$999,Transport!$C60)/SUMIFS(BY_TRA!AK$2:AK$999,BY_TRA!$BJ$2:$BJ$999,Transport!$B60),0)</f>
        <v>0</v>
      </c>
      <c r="AD60" s="1">
        <f>IFERROR(SUMIFS(BY_TRA!AL$2:AL$999,BY_TRA!$BJ$2:$BJ$999,Transport!$B60,BY_TRA!$BK$2:$BK$999,Transport!$C60)/SUMIFS(BY_TRA!AL$2:AL$999,BY_TRA!$BJ$2:$BJ$999,Transport!$B60),0)</f>
        <v>0</v>
      </c>
      <c r="AE60" s="1">
        <f>IFERROR(SUMIFS(BY_TRA!AM$2:AM$999,BY_TRA!$BJ$2:$BJ$999,Transport!$B60,BY_TRA!$BK$2:$BK$999,Transport!$C60)/SUMIFS(BY_TRA!AM$2:AM$999,BY_TRA!$BJ$2:$BJ$999,Transport!$B60),0)</f>
        <v>0</v>
      </c>
      <c r="AF60" s="1">
        <f>IFERROR(SUMIFS(BY_TRA!AN$2:AN$999,BY_TRA!$BJ$2:$BJ$999,Transport!$B60,BY_TRA!$BK$2:$BK$999,Transport!$C60)/SUMIFS(BY_TRA!AN$2:AN$999,BY_TRA!$BJ$2:$BJ$999,Transport!$B60),0)</f>
        <v>0</v>
      </c>
      <c r="AG60" s="1">
        <f>IFERROR(SUMIFS(BY_TRA!AO$2:AO$999,BY_TRA!$BJ$2:$BJ$999,Transport!$B60,BY_TRA!$BK$2:$BK$999,Transport!$C60)/SUMIFS(BY_TRA!AO$2:AO$999,BY_TRA!$BJ$2:$BJ$999,Transport!$B60),0)</f>
        <v>0</v>
      </c>
      <c r="AH60" s="1">
        <f>IFERROR(SUMIFS(BY_TRA!AP$2:AP$999,BY_TRA!$BJ$2:$BJ$999,Transport!$B60,BY_TRA!$BK$2:$BK$999,Transport!$C60)/SUMIFS(BY_TRA!AP$2:AP$999,BY_TRA!$BJ$2:$BJ$999,Transport!$B60),0)</f>
        <v>0</v>
      </c>
      <c r="AI60" s="1">
        <f>IFERROR(SUMIFS(BY_TRA!AQ$2:AQ$999,BY_TRA!$BJ$2:$BJ$999,Transport!$B60,BY_TRA!$BK$2:$BK$999,Transport!$C60)/SUMIFS(BY_TRA!AQ$2:AQ$999,BY_TRA!$BJ$2:$BJ$999,Transport!$B60),0)</f>
        <v>0</v>
      </c>
      <c r="AJ60" s="1">
        <f>IFERROR(SUMIFS(BY_TRA!AR$2:AR$999,BY_TRA!$BJ$2:$BJ$999,Transport!$B60,BY_TRA!$BK$2:$BK$999,Transport!$C60)/SUMIFS(BY_TRA!AR$2:AR$999,BY_TRA!$BJ$2:$BJ$999,Transport!$B60),0)</f>
        <v>0</v>
      </c>
      <c r="AK60" s="1">
        <f>IFERROR(SUMIFS(BY_TRA!AS$2:AS$999,BY_TRA!$BJ$2:$BJ$999,Transport!$B60,BY_TRA!$BK$2:$BK$999,Transport!$C60)/SUMIFS(BY_TRA!AS$2:AS$999,BY_TRA!$BJ$2:$BJ$999,Transport!$B60),0)</f>
        <v>0</v>
      </c>
      <c r="AL60" s="1">
        <f>IFERROR(SUMIFS(BY_TRA!AT$2:AT$999,BY_TRA!$BJ$2:$BJ$999,Transport!$B60,BY_TRA!$BK$2:$BK$999,Transport!$C60)/SUMIFS(BY_TRA!AT$2:AT$999,BY_TRA!$BJ$2:$BJ$999,Transport!$B60),0)</f>
        <v>0</v>
      </c>
      <c r="AM60" s="1">
        <f>IFERROR(SUMIFS(BY_TRA!AU$2:AU$999,BY_TRA!$BJ$2:$BJ$999,Transport!$B60,BY_TRA!$BK$2:$BK$999,Transport!$C60)/SUMIFS(BY_TRA!AU$2:AU$999,BY_TRA!$BJ$2:$BJ$999,Transport!$B60),0)</f>
        <v>0</v>
      </c>
      <c r="AN60" s="1">
        <f>IFERROR(SUMIFS(BY_TRA!AV$2:AV$999,BY_TRA!$BJ$2:$BJ$999,Transport!$B60,BY_TRA!$BK$2:$BK$999,Transport!$C60)/SUMIFS(BY_TRA!AV$2:AV$999,BY_TRA!$BJ$2:$BJ$999,Transport!$B60),0)</f>
        <v>0</v>
      </c>
      <c r="AO60" s="1">
        <f>IFERROR(SUMIFS(BY_TRA!AW$2:AW$999,BY_TRA!$BJ$2:$BJ$999,Transport!$B60,BY_TRA!$BK$2:$BK$999,Transport!$C60)/SUMIFS(BY_TRA!AW$2:AW$999,BY_TRA!$BJ$2:$BJ$999,Transport!$B60),0)</f>
        <v>0</v>
      </c>
      <c r="AP60" s="1">
        <f>IFERROR(SUMIFS(BY_TRA!AX$2:AX$999,BY_TRA!$BJ$2:$BJ$999,Transport!$B60,BY_TRA!$BK$2:$BK$999,Transport!$C60)/SUMIFS(BY_TRA!AX$2:AX$999,BY_TRA!$BJ$2:$BJ$999,Transport!$B60),0)</f>
        <v>0</v>
      </c>
      <c r="AQ60" s="1">
        <f>IFERROR(SUMIFS(BY_TRA!AY$2:AY$999,BY_TRA!$BJ$2:$BJ$999,Transport!$B60,BY_TRA!$BK$2:$BK$999,Transport!$C60)/SUMIFS(BY_TRA!AY$2:AY$999,BY_TRA!$BJ$2:$BJ$999,Transport!$B60),0)</f>
        <v>0</v>
      </c>
      <c r="AR60" s="1">
        <f>IFERROR(SUMIFS(BY_TRA!AZ$2:AZ$999,BY_TRA!$BJ$2:$BJ$999,Transport!$B60,BY_TRA!$BK$2:$BK$999,Transport!$C60)/SUMIFS(BY_TRA!AZ$2:AZ$999,BY_TRA!$BJ$2:$BJ$999,Transport!$B60),0)</f>
        <v>0</v>
      </c>
      <c r="AS60" s="1">
        <f>IFERROR(SUMIFS(BY_TRA!BA$2:BA$999,BY_TRA!$BJ$2:$BJ$999,Transport!$B60,BY_TRA!$BK$2:$BK$999,Transport!$C60)/SUMIFS(BY_TRA!BA$2:BA$999,BY_TRA!$BJ$2:$BJ$999,Transport!$B60),0)</f>
        <v>0</v>
      </c>
      <c r="AT60" s="1">
        <f>IFERROR(SUMIFS(BY_TRA!BB$2:BB$999,BY_TRA!$BJ$2:$BJ$999,Transport!$B60,BY_TRA!$BK$2:$BK$999,Transport!$C60)/SUMIFS(BY_TRA!BB$2:BB$999,BY_TRA!$BJ$2:$BJ$999,Transport!$B60),0)</f>
        <v>0</v>
      </c>
      <c r="AU60" s="1">
        <f>IFERROR(SUMIFS(BY_TRA!BC$2:BC$999,BY_TRA!$BJ$2:$BJ$999,Transport!$B60,BY_TRA!$BK$2:$BK$999,Transport!$C60)/SUMIFS(BY_TRA!BC$2:BC$999,BY_TRA!$BJ$2:$BJ$999,Transport!$B60),0)</f>
        <v>0</v>
      </c>
      <c r="AV60" s="1">
        <f>IFERROR(SUMIFS(BY_TRA!BD$2:BD$999,BY_TRA!$BJ$2:$BJ$999,Transport!$B60,BY_TRA!$BK$2:$BK$999,Transport!$C60)/SUMIFS(BY_TRA!BD$2:BD$999,BY_TRA!$BJ$2:$BJ$999,Transport!$B60),0)</f>
        <v>0</v>
      </c>
      <c r="AW60" s="1">
        <f>IFERROR(SUMIFS(BY_TRA!BE$2:BE$999,BY_TRA!$BJ$2:$BJ$999,Transport!$B60,BY_TRA!$BK$2:$BK$999,Transport!$C60)/SUMIFS(BY_TRA!BE$2:BE$999,BY_TRA!$BJ$2:$BJ$999,Transport!$B60),0)</f>
        <v>0</v>
      </c>
      <c r="AX60" s="1">
        <f>IFERROR(SUMIFS(BY_TRA!BF$2:BF$999,BY_TRA!$BJ$2:$BJ$999,Transport!$B60,BY_TRA!$BK$2:$BK$999,Transport!$C60)/SUMIFS(BY_TRA!BF$2:BF$999,BY_TRA!$BJ$2:$BJ$999,Transport!$B60),0)</f>
        <v>0</v>
      </c>
      <c r="AY60" s="1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134</v>
      </c>
      <c r="C61" t="s">
        <v>129</v>
      </c>
      <c r="D61" s="1">
        <f>IFERROR(SUMIFS(BY_TRA!L$2:L$999,BY_TRA!$BJ$2:$BJ$999,Transport!$B61,BY_TRA!$BK$2:$BK$999,Transport!$C61)/SUMIFS(BY_TRA!L$2:L$999,BY_TRA!$BJ$2:$BJ$999,Transport!$B61),0)</f>
        <v>0</v>
      </c>
      <c r="E61" s="1">
        <f>IFERROR(SUMIFS(BY_TRA!M$2:M$999,BY_TRA!$BJ$2:$BJ$999,Transport!$B61,BY_TRA!$BK$2:$BK$999,Transport!$C61)/SUMIFS(BY_TRA!M$2:M$999,BY_TRA!$BJ$2:$BJ$999,Transport!$B61),0)</f>
        <v>0</v>
      </c>
      <c r="F61" s="1">
        <f>IFERROR(SUMIFS(BY_TRA!N$2:N$999,BY_TRA!$BJ$2:$BJ$999,Transport!$B61,BY_TRA!$BK$2:$BK$999,Transport!$C61)/SUMIFS(BY_TRA!N$2:N$999,BY_TRA!$BJ$2:$BJ$999,Transport!$B61),0)</f>
        <v>0</v>
      </c>
      <c r="G61" s="1">
        <f>IFERROR(SUMIFS(BY_TRA!O$2:O$999,BY_TRA!$BJ$2:$BJ$999,Transport!$B61,BY_TRA!$BK$2:$BK$999,Transport!$C61)/SUMIFS(BY_TRA!O$2:O$999,BY_TRA!$BJ$2:$BJ$999,Transport!$B61),0)</f>
        <v>0</v>
      </c>
      <c r="H61" s="1">
        <f>IFERROR(SUMIFS(BY_TRA!P$2:P$999,BY_TRA!$BJ$2:$BJ$999,Transport!$B61,BY_TRA!$BK$2:$BK$999,Transport!$C61)/SUMIFS(BY_TRA!P$2:P$999,BY_TRA!$BJ$2:$BJ$999,Transport!$B61),0)</f>
        <v>0</v>
      </c>
      <c r="I61" s="1">
        <f>IFERROR(SUMIFS(BY_TRA!Q$2:Q$999,BY_TRA!$BJ$2:$BJ$999,Transport!$B61,BY_TRA!$BK$2:$BK$999,Transport!$C61)/SUMIFS(BY_TRA!Q$2:Q$999,BY_TRA!$BJ$2:$BJ$999,Transport!$B61),0)</f>
        <v>0</v>
      </c>
      <c r="J61" s="1">
        <f>IFERROR(SUMIFS(BY_TRA!R$2:R$999,BY_TRA!$BJ$2:$BJ$999,Transport!$B61,BY_TRA!$BK$2:$BK$999,Transport!$C61)/SUMIFS(BY_TRA!R$2:R$999,BY_TRA!$BJ$2:$BJ$999,Transport!$B61),0)</f>
        <v>0</v>
      </c>
      <c r="K61" s="1">
        <f>IFERROR(SUMIFS(BY_TRA!S$2:S$999,BY_TRA!$BJ$2:$BJ$999,Transport!$B61,BY_TRA!$BK$2:$BK$999,Transport!$C61)/SUMIFS(BY_TRA!S$2:S$999,BY_TRA!$BJ$2:$BJ$999,Transport!$B61),0)</f>
        <v>0</v>
      </c>
      <c r="L61" s="1">
        <f>IFERROR(SUMIFS(BY_TRA!T$2:T$999,BY_TRA!$BJ$2:$BJ$999,Transport!$B61,BY_TRA!$BK$2:$BK$999,Transport!$C61)/SUMIFS(BY_TRA!T$2:T$999,BY_TRA!$BJ$2:$BJ$999,Transport!$B61),0)</f>
        <v>0</v>
      </c>
      <c r="M61" s="1">
        <f>IFERROR(SUMIFS(BY_TRA!U$2:U$999,BY_TRA!$BJ$2:$BJ$999,Transport!$B61,BY_TRA!$BK$2:$BK$999,Transport!$C61)/SUMIFS(BY_TRA!U$2:U$999,BY_TRA!$BJ$2:$BJ$999,Transport!$B61),0)</f>
        <v>0</v>
      </c>
      <c r="N61" s="1">
        <f>IFERROR(SUMIFS(BY_TRA!V$2:V$999,BY_TRA!$BJ$2:$BJ$999,Transport!$B61,BY_TRA!$BK$2:$BK$999,Transport!$C61)/SUMIFS(BY_TRA!V$2:V$999,BY_TRA!$BJ$2:$BJ$999,Transport!$B61),0)</f>
        <v>0</v>
      </c>
      <c r="O61" s="1">
        <f>IFERROR(SUMIFS(BY_TRA!W$2:W$999,BY_TRA!$BJ$2:$BJ$999,Transport!$B61,BY_TRA!$BK$2:$BK$999,Transport!$C61)/SUMIFS(BY_TRA!W$2:W$999,BY_TRA!$BJ$2:$BJ$999,Transport!$B61),0)</f>
        <v>0</v>
      </c>
      <c r="P61" s="1">
        <f>IFERROR(SUMIFS(BY_TRA!X$2:X$999,BY_TRA!$BJ$2:$BJ$999,Transport!$B61,BY_TRA!$BK$2:$BK$999,Transport!$C61)/SUMIFS(BY_TRA!X$2:X$999,BY_TRA!$BJ$2:$BJ$999,Transport!$B61),0)</f>
        <v>0</v>
      </c>
      <c r="Q61" s="1">
        <f>IFERROR(SUMIFS(BY_TRA!Y$2:Y$999,BY_TRA!$BJ$2:$BJ$999,Transport!$B61,BY_TRA!$BK$2:$BK$999,Transport!$C61)/SUMIFS(BY_TRA!Y$2:Y$999,BY_TRA!$BJ$2:$BJ$999,Transport!$B61),0)</f>
        <v>0</v>
      </c>
      <c r="R61" s="1">
        <f>IFERROR(SUMIFS(BY_TRA!Z$2:Z$999,BY_TRA!$BJ$2:$BJ$999,Transport!$B61,BY_TRA!$BK$2:$BK$999,Transport!$C61)/SUMIFS(BY_TRA!Z$2:Z$999,BY_TRA!$BJ$2:$BJ$999,Transport!$B61),0)</f>
        <v>0</v>
      </c>
      <c r="S61" s="1">
        <f>IFERROR(SUMIFS(BY_TRA!AA$2:AA$999,BY_TRA!$BJ$2:$BJ$999,Transport!$B61,BY_TRA!$BK$2:$BK$999,Transport!$C61)/SUMIFS(BY_TRA!AA$2:AA$999,BY_TRA!$BJ$2:$BJ$999,Transport!$B61),0)</f>
        <v>0</v>
      </c>
      <c r="T61" s="1">
        <f>IFERROR(SUMIFS(BY_TRA!AB$2:AB$999,BY_TRA!$BJ$2:$BJ$999,Transport!$B61,BY_TRA!$BK$2:$BK$999,Transport!$C61)/SUMIFS(BY_TRA!AB$2:AB$999,BY_TRA!$BJ$2:$BJ$999,Transport!$B61),0)</f>
        <v>0</v>
      </c>
      <c r="U61" s="1">
        <f>IFERROR(SUMIFS(BY_TRA!AC$2:AC$999,BY_TRA!$BJ$2:$BJ$999,Transport!$B61,BY_TRA!$BK$2:$BK$999,Transport!$C61)/SUMIFS(BY_TRA!AC$2:AC$999,BY_TRA!$BJ$2:$BJ$999,Transport!$B61),0)</f>
        <v>0</v>
      </c>
      <c r="V61" s="1">
        <f>IFERROR(SUMIFS(BY_TRA!AD$2:AD$999,BY_TRA!$BJ$2:$BJ$999,Transport!$B61,BY_TRA!$BK$2:$BK$999,Transport!$C61)/SUMIFS(BY_TRA!AD$2:AD$999,BY_TRA!$BJ$2:$BJ$999,Transport!$B61),0)</f>
        <v>0</v>
      </c>
      <c r="W61" s="1">
        <f>IFERROR(SUMIFS(BY_TRA!AE$2:AE$999,BY_TRA!$BJ$2:$BJ$999,Transport!$B61,BY_TRA!$BK$2:$BK$999,Transport!$C61)/SUMIFS(BY_TRA!AE$2:AE$999,BY_TRA!$BJ$2:$BJ$999,Transport!$B61),0)</f>
        <v>0</v>
      </c>
      <c r="X61" s="1">
        <f>IFERROR(SUMIFS(BY_TRA!AF$2:AF$999,BY_TRA!$BJ$2:$BJ$999,Transport!$B61,BY_TRA!$BK$2:$BK$999,Transport!$C61)/SUMIFS(BY_TRA!AF$2:AF$999,BY_TRA!$BJ$2:$BJ$999,Transport!$B61),0)</f>
        <v>0</v>
      </c>
      <c r="Y61" s="1">
        <f>IFERROR(SUMIFS(BY_TRA!AG$2:AG$999,BY_TRA!$BJ$2:$BJ$999,Transport!$B61,BY_TRA!$BK$2:$BK$999,Transport!$C61)/SUMIFS(BY_TRA!AG$2:AG$999,BY_TRA!$BJ$2:$BJ$999,Transport!$B61),0)</f>
        <v>0</v>
      </c>
      <c r="Z61" s="1">
        <f>IFERROR(SUMIFS(BY_TRA!AH$2:AH$999,BY_TRA!$BJ$2:$BJ$999,Transport!$B61,BY_TRA!$BK$2:$BK$999,Transport!$C61)/SUMIFS(BY_TRA!AH$2:AH$999,BY_TRA!$BJ$2:$BJ$999,Transport!$B61),0)</f>
        <v>0</v>
      </c>
      <c r="AA61" s="1">
        <f>IFERROR(SUMIFS(BY_TRA!AI$2:AI$999,BY_TRA!$BJ$2:$BJ$999,Transport!$B61,BY_TRA!$BK$2:$BK$999,Transport!$C61)/SUMIFS(BY_TRA!AI$2:AI$999,BY_TRA!$BJ$2:$BJ$999,Transport!$B61),0)</f>
        <v>0</v>
      </c>
      <c r="AB61" s="1">
        <f>IFERROR(SUMIFS(BY_TRA!AJ$2:AJ$999,BY_TRA!$BJ$2:$BJ$999,Transport!$B61,BY_TRA!$BK$2:$BK$999,Transport!$C61)/SUMIFS(BY_TRA!AJ$2:AJ$999,BY_TRA!$BJ$2:$BJ$999,Transport!$B61),0)</f>
        <v>0</v>
      </c>
      <c r="AC61" s="1">
        <f>IFERROR(SUMIFS(BY_TRA!AK$2:AK$999,BY_TRA!$BJ$2:$BJ$999,Transport!$B61,BY_TRA!$BK$2:$BK$999,Transport!$C61)/SUMIFS(BY_TRA!AK$2:AK$999,BY_TRA!$BJ$2:$BJ$999,Transport!$B61),0)</f>
        <v>0</v>
      </c>
      <c r="AD61" s="1">
        <f>IFERROR(SUMIFS(BY_TRA!AL$2:AL$999,BY_TRA!$BJ$2:$BJ$999,Transport!$B61,BY_TRA!$BK$2:$BK$999,Transport!$C61)/SUMIFS(BY_TRA!AL$2:AL$999,BY_TRA!$BJ$2:$BJ$999,Transport!$B61),0)</f>
        <v>0</v>
      </c>
      <c r="AE61" s="1">
        <f>IFERROR(SUMIFS(BY_TRA!AM$2:AM$999,BY_TRA!$BJ$2:$BJ$999,Transport!$B61,BY_TRA!$BK$2:$BK$999,Transport!$C61)/SUMIFS(BY_TRA!AM$2:AM$999,BY_TRA!$BJ$2:$BJ$999,Transport!$B61),0)</f>
        <v>0</v>
      </c>
      <c r="AF61" s="1">
        <f>IFERROR(SUMIFS(BY_TRA!AN$2:AN$999,BY_TRA!$BJ$2:$BJ$999,Transport!$B61,BY_TRA!$BK$2:$BK$999,Transport!$C61)/SUMIFS(BY_TRA!AN$2:AN$999,BY_TRA!$BJ$2:$BJ$999,Transport!$B61),0)</f>
        <v>0</v>
      </c>
      <c r="AG61" s="1">
        <f>IFERROR(SUMIFS(BY_TRA!AO$2:AO$999,BY_TRA!$BJ$2:$BJ$999,Transport!$B61,BY_TRA!$BK$2:$BK$999,Transport!$C61)/SUMIFS(BY_TRA!AO$2:AO$999,BY_TRA!$BJ$2:$BJ$999,Transport!$B61),0)</f>
        <v>0</v>
      </c>
      <c r="AH61" s="1">
        <f>IFERROR(SUMIFS(BY_TRA!AP$2:AP$999,BY_TRA!$BJ$2:$BJ$999,Transport!$B61,BY_TRA!$BK$2:$BK$999,Transport!$C61)/SUMIFS(BY_TRA!AP$2:AP$999,BY_TRA!$BJ$2:$BJ$999,Transport!$B61),0)</f>
        <v>0</v>
      </c>
      <c r="AI61" s="1">
        <f>IFERROR(SUMIFS(BY_TRA!AQ$2:AQ$999,BY_TRA!$BJ$2:$BJ$999,Transport!$B61,BY_TRA!$BK$2:$BK$999,Transport!$C61)/SUMIFS(BY_TRA!AQ$2:AQ$999,BY_TRA!$BJ$2:$BJ$999,Transport!$B61),0)</f>
        <v>0</v>
      </c>
      <c r="AJ61" s="1">
        <f>IFERROR(SUMIFS(BY_TRA!AR$2:AR$999,BY_TRA!$BJ$2:$BJ$999,Transport!$B61,BY_TRA!$BK$2:$BK$999,Transport!$C61)/SUMIFS(BY_TRA!AR$2:AR$999,BY_TRA!$BJ$2:$BJ$999,Transport!$B61),0)</f>
        <v>0</v>
      </c>
      <c r="AK61" s="1">
        <f>IFERROR(SUMIFS(BY_TRA!AS$2:AS$999,BY_TRA!$BJ$2:$BJ$999,Transport!$B61,BY_TRA!$BK$2:$BK$999,Transport!$C61)/SUMIFS(BY_TRA!AS$2:AS$999,BY_TRA!$BJ$2:$BJ$999,Transport!$B61),0)</f>
        <v>0</v>
      </c>
      <c r="AL61" s="1">
        <f>IFERROR(SUMIFS(BY_TRA!AT$2:AT$999,BY_TRA!$BJ$2:$BJ$999,Transport!$B61,BY_TRA!$BK$2:$BK$999,Transport!$C61)/SUMIFS(BY_TRA!AT$2:AT$999,BY_TRA!$BJ$2:$BJ$999,Transport!$B61),0)</f>
        <v>0</v>
      </c>
      <c r="AM61" s="1">
        <f>IFERROR(SUMIFS(BY_TRA!AU$2:AU$999,BY_TRA!$BJ$2:$BJ$999,Transport!$B61,BY_TRA!$BK$2:$BK$999,Transport!$C61)/SUMIFS(BY_TRA!AU$2:AU$999,BY_TRA!$BJ$2:$BJ$999,Transport!$B61),0)</f>
        <v>0</v>
      </c>
      <c r="AN61" s="1">
        <f>IFERROR(SUMIFS(BY_TRA!AV$2:AV$999,BY_TRA!$BJ$2:$BJ$999,Transport!$B61,BY_TRA!$BK$2:$BK$999,Transport!$C61)/SUMIFS(BY_TRA!AV$2:AV$999,BY_TRA!$BJ$2:$BJ$999,Transport!$B61),0)</f>
        <v>0</v>
      </c>
      <c r="AO61" s="1">
        <f>IFERROR(SUMIFS(BY_TRA!AW$2:AW$999,BY_TRA!$BJ$2:$BJ$999,Transport!$B61,BY_TRA!$BK$2:$BK$999,Transport!$C61)/SUMIFS(BY_TRA!AW$2:AW$999,BY_TRA!$BJ$2:$BJ$999,Transport!$B61),0)</f>
        <v>0</v>
      </c>
      <c r="AP61" s="1">
        <f>IFERROR(SUMIFS(BY_TRA!AX$2:AX$999,BY_TRA!$BJ$2:$BJ$999,Transport!$B61,BY_TRA!$BK$2:$BK$999,Transport!$C61)/SUMIFS(BY_TRA!AX$2:AX$999,BY_TRA!$BJ$2:$BJ$999,Transport!$B61),0)</f>
        <v>0</v>
      </c>
      <c r="AQ61" s="1">
        <f>IFERROR(SUMIFS(BY_TRA!AY$2:AY$999,BY_TRA!$BJ$2:$BJ$999,Transport!$B61,BY_TRA!$BK$2:$BK$999,Transport!$C61)/SUMIFS(BY_TRA!AY$2:AY$999,BY_TRA!$BJ$2:$BJ$999,Transport!$B61),0)</f>
        <v>0</v>
      </c>
      <c r="AR61" s="1">
        <f>IFERROR(SUMIFS(BY_TRA!AZ$2:AZ$999,BY_TRA!$BJ$2:$BJ$999,Transport!$B61,BY_TRA!$BK$2:$BK$999,Transport!$C61)/SUMIFS(BY_TRA!AZ$2:AZ$999,BY_TRA!$BJ$2:$BJ$999,Transport!$B61),0)</f>
        <v>0</v>
      </c>
      <c r="AS61" s="1">
        <f>IFERROR(SUMIFS(BY_TRA!BA$2:BA$999,BY_TRA!$BJ$2:$BJ$999,Transport!$B61,BY_TRA!$BK$2:$BK$999,Transport!$C61)/SUMIFS(BY_TRA!BA$2:BA$999,BY_TRA!$BJ$2:$BJ$999,Transport!$B61),0)</f>
        <v>0</v>
      </c>
      <c r="AT61" s="1">
        <f>IFERROR(SUMIFS(BY_TRA!BB$2:BB$999,BY_TRA!$BJ$2:$BJ$999,Transport!$B61,BY_TRA!$BK$2:$BK$999,Transport!$C61)/SUMIFS(BY_TRA!BB$2:BB$999,BY_TRA!$BJ$2:$BJ$999,Transport!$B61),0)</f>
        <v>0</v>
      </c>
      <c r="AU61" s="1">
        <f>IFERROR(SUMIFS(BY_TRA!BC$2:BC$999,BY_TRA!$BJ$2:$BJ$999,Transport!$B61,BY_TRA!$BK$2:$BK$999,Transport!$C61)/SUMIFS(BY_TRA!BC$2:BC$999,BY_TRA!$BJ$2:$BJ$999,Transport!$B61),0)</f>
        <v>0</v>
      </c>
      <c r="AV61" s="1">
        <f>IFERROR(SUMIFS(BY_TRA!BD$2:BD$999,BY_TRA!$BJ$2:$BJ$999,Transport!$B61,BY_TRA!$BK$2:$BK$999,Transport!$C61)/SUMIFS(BY_TRA!BD$2:BD$999,BY_TRA!$BJ$2:$BJ$999,Transport!$B61),0)</f>
        <v>0</v>
      </c>
      <c r="AW61" s="1">
        <f>IFERROR(SUMIFS(BY_TRA!BE$2:BE$999,BY_TRA!$BJ$2:$BJ$999,Transport!$B61,BY_TRA!$BK$2:$BK$999,Transport!$C61)/SUMIFS(BY_TRA!BE$2:BE$999,BY_TRA!$BJ$2:$BJ$999,Transport!$B61),0)</f>
        <v>0</v>
      </c>
      <c r="AX61" s="1">
        <f>IFERROR(SUMIFS(BY_TRA!BF$2:BF$999,BY_TRA!$BJ$2:$BJ$999,Transport!$B61,BY_TRA!$BK$2:$BK$999,Transport!$C61)/SUMIFS(BY_TRA!BF$2:BF$999,BY_TRA!$BJ$2:$BJ$999,Transport!$B61),0)</f>
        <v>0</v>
      </c>
      <c r="AY61" s="1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134</v>
      </c>
      <c r="C62" t="s">
        <v>123</v>
      </c>
      <c r="D62" s="1">
        <f>IFERROR(SUMIFS(BY_TRA!L$2:L$999,BY_TRA!$BJ$2:$BJ$999,Transport!$B62,BY_TRA!$BK$2:$BK$999,Transport!$C62)/SUMIFS(BY_TRA!L$2:L$999,BY_TRA!$BJ$2:$BJ$999,Transport!$B62),0)</f>
        <v>0</v>
      </c>
      <c r="E62" s="1">
        <f>IFERROR(SUMIFS(BY_TRA!M$2:M$999,BY_TRA!$BJ$2:$BJ$999,Transport!$B62,BY_TRA!$BK$2:$BK$999,Transport!$C62)/SUMIFS(BY_TRA!M$2:M$999,BY_TRA!$BJ$2:$BJ$999,Transport!$B62),0)</f>
        <v>0</v>
      </c>
      <c r="F62" s="1">
        <f>IFERROR(SUMIFS(BY_TRA!N$2:N$999,BY_TRA!$BJ$2:$BJ$999,Transport!$B62,BY_TRA!$BK$2:$BK$999,Transport!$C62)/SUMIFS(BY_TRA!N$2:N$999,BY_TRA!$BJ$2:$BJ$999,Transport!$B62),0)</f>
        <v>0</v>
      </c>
      <c r="G62" s="1">
        <f>IFERROR(SUMIFS(BY_TRA!O$2:O$999,BY_TRA!$BJ$2:$BJ$999,Transport!$B62,BY_TRA!$BK$2:$BK$999,Transport!$C62)/SUMIFS(BY_TRA!O$2:O$999,BY_TRA!$BJ$2:$BJ$999,Transport!$B62),0)</f>
        <v>0</v>
      </c>
      <c r="H62" s="1">
        <f>IFERROR(SUMIFS(BY_TRA!P$2:P$999,BY_TRA!$BJ$2:$BJ$999,Transport!$B62,BY_TRA!$BK$2:$BK$999,Transport!$C62)/SUMIFS(BY_TRA!P$2:P$999,BY_TRA!$BJ$2:$BJ$999,Transport!$B62),0)</f>
        <v>0</v>
      </c>
      <c r="I62" s="1">
        <f>IFERROR(SUMIFS(BY_TRA!Q$2:Q$999,BY_TRA!$BJ$2:$BJ$999,Transport!$B62,BY_TRA!$BK$2:$BK$999,Transport!$C62)/SUMIFS(BY_TRA!Q$2:Q$999,BY_TRA!$BJ$2:$BJ$999,Transport!$B62),0)</f>
        <v>0</v>
      </c>
      <c r="J62" s="1">
        <f>IFERROR(SUMIFS(BY_TRA!R$2:R$999,BY_TRA!$BJ$2:$BJ$999,Transport!$B62,BY_TRA!$BK$2:$BK$999,Transport!$C62)/SUMIFS(BY_TRA!R$2:R$999,BY_TRA!$BJ$2:$BJ$999,Transport!$B62),0)</f>
        <v>0</v>
      </c>
      <c r="K62" s="1">
        <f>IFERROR(SUMIFS(BY_TRA!S$2:S$999,BY_TRA!$BJ$2:$BJ$999,Transport!$B62,BY_TRA!$BK$2:$BK$999,Transport!$C62)/SUMIFS(BY_TRA!S$2:S$999,BY_TRA!$BJ$2:$BJ$999,Transport!$B62),0)</f>
        <v>0</v>
      </c>
      <c r="L62" s="1">
        <f>IFERROR(SUMIFS(BY_TRA!T$2:T$999,BY_TRA!$BJ$2:$BJ$999,Transport!$B62,BY_TRA!$BK$2:$BK$999,Transport!$C62)/SUMIFS(BY_TRA!T$2:T$999,BY_TRA!$BJ$2:$BJ$999,Transport!$B62),0)</f>
        <v>0</v>
      </c>
      <c r="M62" s="1">
        <f>IFERROR(SUMIFS(BY_TRA!U$2:U$999,BY_TRA!$BJ$2:$BJ$999,Transport!$B62,BY_TRA!$BK$2:$BK$999,Transport!$C62)/SUMIFS(BY_TRA!U$2:U$999,BY_TRA!$BJ$2:$BJ$999,Transport!$B62),0)</f>
        <v>0</v>
      </c>
      <c r="N62" s="1">
        <f>IFERROR(SUMIFS(BY_TRA!V$2:V$999,BY_TRA!$BJ$2:$BJ$999,Transport!$B62,BY_TRA!$BK$2:$BK$999,Transport!$C62)/SUMIFS(BY_TRA!V$2:V$999,BY_TRA!$BJ$2:$BJ$999,Transport!$B62),0)</f>
        <v>0</v>
      </c>
      <c r="O62" s="1">
        <f>IFERROR(SUMIFS(BY_TRA!W$2:W$999,BY_TRA!$BJ$2:$BJ$999,Transport!$B62,BY_TRA!$BK$2:$BK$999,Transport!$C62)/SUMIFS(BY_TRA!W$2:W$999,BY_TRA!$BJ$2:$BJ$999,Transport!$B62),0)</f>
        <v>0</v>
      </c>
      <c r="P62" s="1">
        <f>IFERROR(SUMIFS(BY_TRA!X$2:X$999,BY_TRA!$BJ$2:$BJ$999,Transport!$B62,BY_TRA!$BK$2:$BK$999,Transport!$C62)/SUMIFS(BY_TRA!X$2:X$999,BY_TRA!$BJ$2:$BJ$999,Transport!$B62),0)</f>
        <v>0</v>
      </c>
      <c r="Q62" s="1">
        <f>IFERROR(SUMIFS(BY_TRA!Y$2:Y$999,BY_TRA!$BJ$2:$BJ$999,Transport!$B62,BY_TRA!$BK$2:$BK$999,Transport!$C62)/SUMIFS(BY_TRA!Y$2:Y$999,BY_TRA!$BJ$2:$BJ$999,Transport!$B62),0)</f>
        <v>0</v>
      </c>
      <c r="R62" s="1">
        <f>IFERROR(SUMIFS(BY_TRA!Z$2:Z$999,BY_TRA!$BJ$2:$BJ$999,Transport!$B62,BY_TRA!$BK$2:$BK$999,Transport!$C62)/SUMIFS(BY_TRA!Z$2:Z$999,BY_TRA!$BJ$2:$BJ$999,Transport!$B62),0)</f>
        <v>0</v>
      </c>
      <c r="S62" s="1">
        <f>IFERROR(SUMIFS(BY_TRA!AA$2:AA$999,BY_TRA!$BJ$2:$BJ$999,Transport!$B62,BY_TRA!$BK$2:$BK$999,Transport!$C62)/SUMIFS(BY_TRA!AA$2:AA$999,BY_TRA!$BJ$2:$BJ$999,Transport!$B62),0)</f>
        <v>0</v>
      </c>
      <c r="T62" s="1">
        <f>IFERROR(SUMIFS(BY_TRA!AB$2:AB$999,BY_TRA!$BJ$2:$BJ$999,Transport!$B62,BY_TRA!$BK$2:$BK$999,Transport!$C62)/SUMIFS(BY_TRA!AB$2:AB$999,BY_TRA!$BJ$2:$BJ$999,Transport!$B62),0)</f>
        <v>0</v>
      </c>
      <c r="U62" s="1">
        <f>IFERROR(SUMIFS(BY_TRA!AC$2:AC$999,BY_TRA!$BJ$2:$BJ$999,Transport!$B62,BY_TRA!$BK$2:$BK$999,Transport!$C62)/SUMIFS(BY_TRA!AC$2:AC$999,BY_TRA!$BJ$2:$BJ$999,Transport!$B62),0)</f>
        <v>0</v>
      </c>
      <c r="V62" s="1">
        <f>IFERROR(SUMIFS(BY_TRA!AD$2:AD$999,BY_TRA!$BJ$2:$BJ$999,Transport!$B62,BY_TRA!$BK$2:$BK$999,Transport!$C62)/SUMIFS(BY_TRA!AD$2:AD$999,BY_TRA!$BJ$2:$BJ$999,Transport!$B62),0)</f>
        <v>0</v>
      </c>
      <c r="W62" s="1">
        <f>IFERROR(SUMIFS(BY_TRA!AE$2:AE$999,BY_TRA!$BJ$2:$BJ$999,Transport!$B62,BY_TRA!$BK$2:$BK$999,Transport!$C62)/SUMIFS(BY_TRA!AE$2:AE$999,BY_TRA!$BJ$2:$BJ$999,Transport!$B62),0)</f>
        <v>0</v>
      </c>
      <c r="X62" s="1">
        <f>IFERROR(SUMIFS(BY_TRA!AF$2:AF$999,BY_TRA!$BJ$2:$BJ$999,Transport!$B62,BY_TRA!$BK$2:$BK$999,Transport!$C62)/SUMIFS(BY_TRA!AF$2:AF$999,BY_TRA!$BJ$2:$BJ$999,Transport!$B62),0)</f>
        <v>0</v>
      </c>
      <c r="Y62" s="1">
        <f>IFERROR(SUMIFS(BY_TRA!AG$2:AG$999,BY_TRA!$BJ$2:$BJ$999,Transport!$B62,BY_TRA!$BK$2:$BK$999,Transport!$C62)/SUMIFS(BY_TRA!AG$2:AG$999,BY_TRA!$BJ$2:$BJ$999,Transport!$B62),0)</f>
        <v>0</v>
      </c>
      <c r="Z62" s="1">
        <f>IFERROR(SUMIFS(BY_TRA!AH$2:AH$999,BY_TRA!$BJ$2:$BJ$999,Transport!$B62,BY_TRA!$BK$2:$BK$999,Transport!$C62)/SUMIFS(BY_TRA!AH$2:AH$999,BY_TRA!$BJ$2:$BJ$999,Transport!$B62),0)</f>
        <v>0</v>
      </c>
      <c r="AA62" s="1">
        <f>IFERROR(SUMIFS(BY_TRA!AI$2:AI$999,BY_TRA!$BJ$2:$BJ$999,Transport!$B62,BY_TRA!$BK$2:$BK$999,Transport!$C62)/SUMIFS(BY_TRA!AI$2:AI$999,BY_TRA!$BJ$2:$BJ$999,Transport!$B62),0)</f>
        <v>0</v>
      </c>
      <c r="AB62" s="1">
        <f>IFERROR(SUMIFS(BY_TRA!AJ$2:AJ$999,BY_TRA!$BJ$2:$BJ$999,Transport!$B62,BY_TRA!$BK$2:$BK$999,Transport!$C62)/SUMIFS(BY_TRA!AJ$2:AJ$999,BY_TRA!$BJ$2:$BJ$999,Transport!$B62),0)</f>
        <v>0</v>
      </c>
      <c r="AC62" s="1">
        <f>IFERROR(SUMIFS(BY_TRA!AK$2:AK$999,BY_TRA!$BJ$2:$BJ$999,Transport!$B62,BY_TRA!$BK$2:$BK$999,Transport!$C62)/SUMIFS(BY_TRA!AK$2:AK$999,BY_TRA!$BJ$2:$BJ$999,Transport!$B62),0)</f>
        <v>0</v>
      </c>
      <c r="AD62" s="1">
        <f>IFERROR(SUMIFS(BY_TRA!AL$2:AL$999,BY_TRA!$BJ$2:$BJ$999,Transport!$B62,BY_TRA!$BK$2:$BK$999,Transport!$C62)/SUMIFS(BY_TRA!AL$2:AL$999,BY_TRA!$BJ$2:$BJ$999,Transport!$B62),0)</f>
        <v>0</v>
      </c>
      <c r="AE62" s="1">
        <f>IFERROR(SUMIFS(BY_TRA!AM$2:AM$999,BY_TRA!$BJ$2:$BJ$999,Transport!$B62,BY_TRA!$BK$2:$BK$999,Transport!$C62)/SUMIFS(BY_TRA!AM$2:AM$999,BY_TRA!$BJ$2:$BJ$999,Transport!$B62),0)</f>
        <v>0</v>
      </c>
      <c r="AF62" s="1">
        <f>IFERROR(SUMIFS(BY_TRA!AN$2:AN$999,BY_TRA!$BJ$2:$BJ$999,Transport!$B62,BY_TRA!$BK$2:$BK$999,Transport!$C62)/SUMIFS(BY_TRA!AN$2:AN$999,BY_TRA!$BJ$2:$BJ$999,Transport!$B62),0)</f>
        <v>0</v>
      </c>
      <c r="AG62" s="1">
        <f>IFERROR(SUMIFS(BY_TRA!AO$2:AO$999,BY_TRA!$BJ$2:$BJ$999,Transport!$B62,BY_TRA!$BK$2:$BK$999,Transport!$C62)/SUMIFS(BY_TRA!AO$2:AO$999,BY_TRA!$BJ$2:$BJ$999,Transport!$B62),0)</f>
        <v>0</v>
      </c>
      <c r="AH62" s="1">
        <f>IFERROR(SUMIFS(BY_TRA!AP$2:AP$999,BY_TRA!$BJ$2:$BJ$999,Transport!$B62,BY_TRA!$BK$2:$BK$999,Transport!$C62)/SUMIFS(BY_TRA!AP$2:AP$999,BY_TRA!$BJ$2:$BJ$999,Transport!$B62),0)</f>
        <v>0</v>
      </c>
      <c r="AI62" s="1">
        <f>IFERROR(SUMIFS(BY_TRA!AQ$2:AQ$999,BY_TRA!$BJ$2:$BJ$999,Transport!$B62,BY_TRA!$BK$2:$BK$999,Transport!$C62)/SUMIFS(BY_TRA!AQ$2:AQ$999,BY_TRA!$BJ$2:$BJ$999,Transport!$B62),0)</f>
        <v>0</v>
      </c>
      <c r="AJ62" s="1">
        <f>IFERROR(SUMIFS(BY_TRA!AR$2:AR$999,BY_TRA!$BJ$2:$BJ$999,Transport!$B62,BY_TRA!$BK$2:$BK$999,Transport!$C62)/SUMIFS(BY_TRA!AR$2:AR$999,BY_TRA!$BJ$2:$BJ$999,Transport!$B62),0)</f>
        <v>0</v>
      </c>
      <c r="AK62" s="1">
        <f>IFERROR(SUMIFS(BY_TRA!AS$2:AS$999,BY_TRA!$BJ$2:$BJ$999,Transport!$B62,BY_TRA!$BK$2:$BK$999,Transport!$C62)/SUMIFS(BY_TRA!AS$2:AS$999,BY_TRA!$BJ$2:$BJ$999,Transport!$B62),0)</f>
        <v>0</v>
      </c>
      <c r="AL62" s="1">
        <f>IFERROR(SUMIFS(BY_TRA!AT$2:AT$999,BY_TRA!$BJ$2:$BJ$999,Transport!$B62,BY_TRA!$BK$2:$BK$999,Transport!$C62)/SUMIFS(BY_TRA!AT$2:AT$999,BY_TRA!$BJ$2:$BJ$999,Transport!$B62),0)</f>
        <v>0</v>
      </c>
      <c r="AM62" s="1">
        <f>IFERROR(SUMIFS(BY_TRA!AU$2:AU$999,BY_TRA!$BJ$2:$BJ$999,Transport!$B62,BY_TRA!$BK$2:$BK$999,Transport!$C62)/SUMIFS(BY_TRA!AU$2:AU$999,BY_TRA!$BJ$2:$BJ$999,Transport!$B62),0)</f>
        <v>0</v>
      </c>
      <c r="AN62" s="1">
        <f>IFERROR(SUMIFS(BY_TRA!AV$2:AV$999,BY_TRA!$BJ$2:$BJ$999,Transport!$B62,BY_TRA!$BK$2:$BK$999,Transport!$C62)/SUMIFS(BY_TRA!AV$2:AV$999,BY_TRA!$BJ$2:$BJ$999,Transport!$B62),0)</f>
        <v>0</v>
      </c>
      <c r="AO62" s="1">
        <f>IFERROR(SUMIFS(BY_TRA!AW$2:AW$999,BY_TRA!$BJ$2:$BJ$999,Transport!$B62,BY_TRA!$BK$2:$BK$999,Transport!$C62)/SUMIFS(BY_TRA!AW$2:AW$999,BY_TRA!$BJ$2:$BJ$999,Transport!$B62),0)</f>
        <v>0</v>
      </c>
      <c r="AP62" s="1">
        <f>IFERROR(SUMIFS(BY_TRA!AX$2:AX$999,BY_TRA!$BJ$2:$BJ$999,Transport!$B62,BY_TRA!$BK$2:$BK$999,Transport!$C62)/SUMIFS(BY_TRA!AX$2:AX$999,BY_TRA!$BJ$2:$BJ$999,Transport!$B62),0)</f>
        <v>0</v>
      </c>
      <c r="AQ62" s="1">
        <f>IFERROR(SUMIFS(BY_TRA!AY$2:AY$999,BY_TRA!$BJ$2:$BJ$999,Transport!$B62,BY_TRA!$BK$2:$BK$999,Transport!$C62)/SUMIFS(BY_TRA!AY$2:AY$999,BY_TRA!$BJ$2:$BJ$999,Transport!$B62),0)</f>
        <v>0</v>
      </c>
      <c r="AR62" s="1">
        <f>IFERROR(SUMIFS(BY_TRA!AZ$2:AZ$999,BY_TRA!$BJ$2:$BJ$999,Transport!$B62,BY_TRA!$BK$2:$BK$999,Transport!$C62)/SUMIFS(BY_TRA!AZ$2:AZ$999,BY_TRA!$BJ$2:$BJ$999,Transport!$B62),0)</f>
        <v>0</v>
      </c>
      <c r="AS62" s="1">
        <f>IFERROR(SUMIFS(BY_TRA!BA$2:BA$999,BY_TRA!$BJ$2:$BJ$999,Transport!$B62,BY_TRA!$BK$2:$BK$999,Transport!$C62)/SUMIFS(BY_TRA!BA$2:BA$999,BY_TRA!$BJ$2:$BJ$999,Transport!$B62),0)</f>
        <v>0</v>
      </c>
      <c r="AT62" s="1">
        <f>IFERROR(SUMIFS(BY_TRA!BB$2:BB$999,BY_TRA!$BJ$2:$BJ$999,Transport!$B62,BY_TRA!$BK$2:$BK$999,Transport!$C62)/SUMIFS(BY_TRA!BB$2:BB$999,BY_TRA!$BJ$2:$BJ$999,Transport!$B62),0)</f>
        <v>0</v>
      </c>
      <c r="AU62" s="1">
        <f>IFERROR(SUMIFS(BY_TRA!BC$2:BC$999,BY_TRA!$BJ$2:$BJ$999,Transport!$B62,BY_TRA!$BK$2:$BK$999,Transport!$C62)/SUMIFS(BY_TRA!BC$2:BC$999,BY_TRA!$BJ$2:$BJ$999,Transport!$B62),0)</f>
        <v>0</v>
      </c>
      <c r="AV62" s="1">
        <f>IFERROR(SUMIFS(BY_TRA!BD$2:BD$999,BY_TRA!$BJ$2:$BJ$999,Transport!$B62,BY_TRA!$BK$2:$BK$999,Transport!$C62)/SUMIFS(BY_TRA!BD$2:BD$999,BY_TRA!$BJ$2:$BJ$999,Transport!$B62),0)</f>
        <v>0</v>
      </c>
      <c r="AW62" s="1">
        <f>IFERROR(SUMIFS(BY_TRA!BE$2:BE$999,BY_TRA!$BJ$2:$BJ$999,Transport!$B62,BY_TRA!$BK$2:$BK$999,Transport!$C62)/SUMIFS(BY_TRA!BE$2:BE$999,BY_TRA!$BJ$2:$BJ$999,Transport!$B62),0)</f>
        <v>0</v>
      </c>
      <c r="AX62" s="1">
        <f>IFERROR(SUMIFS(BY_TRA!BF$2:BF$999,BY_TRA!$BJ$2:$BJ$999,Transport!$B62,BY_TRA!$BK$2:$BK$999,Transport!$C62)/SUMIFS(BY_TRA!BF$2:BF$999,BY_TRA!$BJ$2:$BJ$999,Transport!$B62),0)</f>
        <v>0</v>
      </c>
      <c r="AY62" s="1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134</v>
      </c>
      <c r="C63" t="s">
        <v>124</v>
      </c>
      <c r="D63" s="1">
        <f>IFERROR(SUMIFS(BY_TRA!L$2:L$999,BY_TRA!$BJ$2:$BJ$999,Transport!$B63,BY_TRA!$BK$2:$BK$999,Transport!$C63)/SUMIFS(BY_TRA!L$2:L$999,BY_TRA!$BJ$2:$BJ$999,Transport!$B63),0)</f>
        <v>0</v>
      </c>
      <c r="E63" s="1">
        <f>IFERROR(SUMIFS(BY_TRA!M$2:M$999,BY_TRA!$BJ$2:$BJ$999,Transport!$B63,BY_TRA!$BK$2:$BK$999,Transport!$C63)/SUMIFS(BY_TRA!M$2:M$999,BY_TRA!$BJ$2:$BJ$999,Transport!$B63),0)</f>
        <v>0</v>
      </c>
      <c r="F63" s="1">
        <f>IFERROR(SUMIFS(BY_TRA!N$2:N$999,BY_TRA!$BJ$2:$BJ$999,Transport!$B63,BY_TRA!$BK$2:$BK$999,Transport!$C63)/SUMIFS(BY_TRA!N$2:N$999,BY_TRA!$BJ$2:$BJ$999,Transport!$B63),0)</f>
        <v>0</v>
      </c>
      <c r="G63" s="1">
        <f>IFERROR(SUMIFS(BY_TRA!O$2:O$999,BY_TRA!$BJ$2:$BJ$999,Transport!$B63,BY_TRA!$BK$2:$BK$999,Transport!$C63)/SUMIFS(BY_TRA!O$2:O$999,BY_TRA!$BJ$2:$BJ$999,Transport!$B63),0)</f>
        <v>0</v>
      </c>
      <c r="H63" s="1">
        <f>IFERROR(SUMIFS(BY_TRA!P$2:P$999,BY_TRA!$BJ$2:$BJ$999,Transport!$B63,BY_TRA!$BK$2:$BK$999,Transport!$C63)/SUMIFS(BY_TRA!P$2:P$999,BY_TRA!$BJ$2:$BJ$999,Transport!$B63),0)</f>
        <v>0</v>
      </c>
      <c r="I63" s="1">
        <f>IFERROR(SUMIFS(BY_TRA!Q$2:Q$999,BY_TRA!$BJ$2:$BJ$999,Transport!$B63,BY_TRA!$BK$2:$BK$999,Transport!$C63)/SUMIFS(BY_TRA!Q$2:Q$999,BY_TRA!$BJ$2:$BJ$999,Transport!$B63),0)</f>
        <v>0</v>
      </c>
      <c r="J63" s="1">
        <f>IFERROR(SUMIFS(BY_TRA!R$2:R$999,BY_TRA!$BJ$2:$BJ$999,Transport!$B63,BY_TRA!$BK$2:$BK$999,Transport!$C63)/SUMIFS(BY_TRA!R$2:R$999,BY_TRA!$BJ$2:$BJ$999,Transport!$B63),0)</f>
        <v>0</v>
      </c>
      <c r="K63" s="1">
        <f>IFERROR(SUMIFS(BY_TRA!S$2:S$999,BY_TRA!$BJ$2:$BJ$999,Transport!$B63,BY_TRA!$BK$2:$BK$999,Transport!$C63)/SUMIFS(BY_TRA!S$2:S$999,BY_TRA!$BJ$2:$BJ$999,Transport!$B63),0)</f>
        <v>0</v>
      </c>
      <c r="L63" s="1">
        <f>IFERROR(SUMIFS(BY_TRA!T$2:T$999,BY_TRA!$BJ$2:$BJ$999,Transport!$B63,BY_TRA!$BK$2:$BK$999,Transport!$C63)/SUMIFS(BY_TRA!T$2:T$999,BY_TRA!$BJ$2:$BJ$999,Transport!$B63),0)</f>
        <v>0</v>
      </c>
      <c r="M63" s="1">
        <f>IFERROR(SUMIFS(BY_TRA!U$2:U$999,BY_TRA!$BJ$2:$BJ$999,Transport!$B63,BY_TRA!$BK$2:$BK$999,Transport!$C63)/SUMIFS(BY_TRA!U$2:U$999,BY_TRA!$BJ$2:$BJ$999,Transport!$B63),0)</f>
        <v>0</v>
      </c>
      <c r="N63" s="1">
        <f>IFERROR(SUMIFS(BY_TRA!V$2:V$999,BY_TRA!$BJ$2:$BJ$999,Transport!$B63,BY_TRA!$BK$2:$BK$999,Transport!$C63)/SUMIFS(BY_TRA!V$2:V$999,BY_TRA!$BJ$2:$BJ$999,Transport!$B63),0)</f>
        <v>0</v>
      </c>
      <c r="O63" s="1">
        <f>IFERROR(SUMIFS(BY_TRA!W$2:W$999,BY_TRA!$BJ$2:$BJ$999,Transport!$B63,BY_TRA!$BK$2:$BK$999,Transport!$C63)/SUMIFS(BY_TRA!W$2:W$999,BY_TRA!$BJ$2:$BJ$999,Transport!$B63),0)</f>
        <v>0</v>
      </c>
      <c r="P63" s="1">
        <f>IFERROR(SUMIFS(BY_TRA!X$2:X$999,BY_TRA!$BJ$2:$BJ$999,Transport!$B63,BY_TRA!$BK$2:$BK$999,Transport!$C63)/SUMIFS(BY_TRA!X$2:X$999,BY_TRA!$BJ$2:$BJ$999,Transport!$B63),0)</f>
        <v>0</v>
      </c>
      <c r="Q63" s="1">
        <f>IFERROR(SUMIFS(BY_TRA!Y$2:Y$999,BY_TRA!$BJ$2:$BJ$999,Transport!$B63,BY_TRA!$BK$2:$BK$999,Transport!$C63)/SUMIFS(BY_TRA!Y$2:Y$999,BY_TRA!$BJ$2:$BJ$999,Transport!$B63),0)</f>
        <v>0</v>
      </c>
      <c r="R63" s="1">
        <f>IFERROR(SUMIFS(BY_TRA!Z$2:Z$999,BY_TRA!$BJ$2:$BJ$999,Transport!$B63,BY_TRA!$BK$2:$BK$999,Transport!$C63)/SUMIFS(BY_TRA!Z$2:Z$999,BY_TRA!$BJ$2:$BJ$999,Transport!$B63),0)</f>
        <v>0</v>
      </c>
      <c r="S63" s="1">
        <f>IFERROR(SUMIFS(BY_TRA!AA$2:AA$999,BY_TRA!$BJ$2:$BJ$999,Transport!$B63,BY_TRA!$BK$2:$BK$999,Transport!$C63)/SUMIFS(BY_TRA!AA$2:AA$999,BY_TRA!$BJ$2:$BJ$999,Transport!$B63),0)</f>
        <v>0</v>
      </c>
      <c r="T63" s="1">
        <f>IFERROR(SUMIFS(BY_TRA!AB$2:AB$999,BY_TRA!$BJ$2:$BJ$999,Transport!$B63,BY_TRA!$BK$2:$BK$999,Transport!$C63)/SUMIFS(BY_TRA!AB$2:AB$999,BY_TRA!$BJ$2:$BJ$999,Transport!$B63),0)</f>
        <v>0</v>
      </c>
      <c r="U63" s="1">
        <f>IFERROR(SUMIFS(BY_TRA!AC$2:AC$999,BY_TRA!$BJ$2:$BJ$999,Transport!$B63,BY_TRA!$BK$2:$BK$999,Transport!$C63)/SUMIFS(BY_TRA!AC$2:AC$999,BY_TRA!$BJ$2:$BJ$999,Transport!$B63),0)</f>
        <v>0</v>
      </c>
      <c r="V63" s="1">
        <f>IFERROR(SUMIFS(BY_TRA!AD$2:AD$999,BY_TRA!$BJ$2:$BJ$999,Transport!$B63,BY_TRA!$BK$2:$BK$999,Transport!$C63)/SUMIFS(BY_TRA!AD$2:AD$999,BY_TRA!$BJ$2:$BJ$999,Transport!$B63),0)</f>
        <v>0</v>
      </c>
      <c r="W63" s="1">
        <f>IFERROR(SUMIFS(BY_TRA!AE$2:AE$999,BY_TRA!$BJ$2:$BJ$999,Transport!$B63,BY_TRA!$BK$2:$BK$999,Transport!$C63)/SUMIFS(BY_TRA!AE$2:AE$999,BY_TRA!$BJ$2:$BJ$999,Transport!$B63),0)</f>
        <v>0</v>
      </c>
      <c r="X63" s="1">
        <f>IFERROR(SUMIFS(BY_TRA!AF$2:AF$999,BY_TRA!$BJ$2:$BJ$999,Transport!$B63,BY_TRA!$BK$2:$BK$999,Transport!$C63)/SUMIFS(BY_TRA!AF$2:AF$999,BY_TRA!$BJ$2:$BJ$999,Transport!$B63),0)</f>
        <v>0</v>
      </c>
      <c r="Y63" s="1">
        <f>IFERROR(SUMIFS(BY_TRA!AG$2:AG$999,BY_TRA!$BJ$2:$BJ$999,Transport!$B63,BY_TRA!$BK$2:$BK$999,Transport!$C63)/SUMIFS(BY_TRA!AG$2:AG$999,BY_TRA!$BJ$2:$BJ$999,Transport!$B63),0)</f>
        <v>0</v>
      </c>
      <c r="Z63" s="1">
        <f>IFERROR(SUMIFS(BY_TRA!AH$2:AH$999,BY_TRA!$BJ$2:$BJ$999,Transport!$B63,BY_TRA!$BK$2:$BK$999,Transport!$C63)/SUMIFS(BY_TRA!AH$2:AH$999,BY_TRA!$BJ$2:$BJ$999,Transport!$B63),0)</f>
        <v>0</v>
      </c>
      <c r="AA63" s="1">
        <f>IFERROR(SUMIFS(BY_TRA!AI$2:AI$999,BY_TRA!$BJ$2:$BJ$999,Transport!$B63,BY_TRA!$BK$2:$BK$999,Transport!$C63)/SUMIFS(BY_TRA!AI$2:AI$999,BY_TRA!$BJ$2:$BJ$999,Transport!$B63),0)</f>
        <v>0</v>
      </c>
      <c r="AB63" s="1">
        <f>IFERROR(SUMIFS(BY_TRA!AJ$2:AJ$999,BY_TRA!$BJ$2:$BJ$999,Transport!$B63,BY_TRA!$BK$2:$BK$999,Transport!$C63)/SUMIFS(BY_TRA!AJ$2:AJ$999,BY_TRA!$BJ$2:$BJ$999,Transport!$B63),0)</f>
        <v>0</v>
      </c>
      <c r="AC63" s="1">
        <f>IFERROR(SUMIFS(BY_TRA!AK$2:AK$999,BY_TRA!$BJ$2:$BJ$999,Transport!$B63,BY_TRA!$BK$2:$BK$999,Transport!$C63)/SUMIFS(BY_TRA!AK$2:AK$999,BY_TRA!$BJ$2:$BJ$999,Transport!$B63),0)</f>
        <v>0</v>
      </c>
      <c r="AD63" s="1">
        <f>IFERROR(SUMIFS(BY_TRA!AL$2:AL$999,BY_TRA!$BJ$2:$BJ$999,Transport!$B63,BY_TRA!$BK$2:$BK$999,Transport!$C63)/SUMIFS(BY_TRA!AL$2:AL$999,BY_TRA!$BJ$2:$BJ$999,Transport!$B63),0)</f>
        <v>0</v>
      </c>
      <c r="AE63" s="1">
        <f>IFERROR(SUMIFS(BY_TRA!AM$2:AM$999,BY_TRA!$BJ$2:$BJ$999,Transport!$B63,BY_TRA!$BK$2:$BK$999,Transport!$C63)/SUMIFS(BY_TRA!AM$2:AM$999,BY_TRA!$BJ$2:$BJ$999,Transport!$B63),0)</f>
        <v>0</v>
      </c>
      <c r="AF63" s="1">
        <f>IFERROR(SUMIFS(BY_TRA!AN$2:AN$999,BY_TRA!$BJ$2:$BJ$999,Transport!$B63,BY_TRA!$BK$2:$BK$999,Transport!$C63)/SUMIFS(BY_TRA!AN$2:AN$999,BY_TRA!$BJ$2:$BJ$999,Transport!$B63),0)</f>
        <v>0</v>
      </c>
      <c r="AG63" s="1">
        <f>IFERROR(SUMIFS(BY_TRA!AO$2:AO$999,BY_TRA!$BJ$2:$BJ$999,Transport!$B63,BY_TRA!$BK$2:$BK$999,Transport!$C63)/SUMIFS(BY_TRA!AO$2:AO$999,BY_TRA!$BJ$2:$BJ$999,Transport!$B63),0)</f>
        <v>0</v>
      </c>
      <c r="AH63" s="1">
        <f>IFERROR(SUMIFS(BY_TRA!AP$2:AP$999,BY_TRA!$BJ$2:$BJ$999,Transport!$B63,BY_TRA!$BK$2:$BK$999,Transport!$C63)/SUMIFS(BY_TRA!AP$2:AP$999,BY_TRA!$BJ$2:$BJ$999,Transport!$B63),0)</f>
        <v>0</v>
      </c>
      <c r="AI63" s="1">
        <f>IFERROR(SUMIFS(BY_TRA!AQ$2:AQ$999,BY_TRA!$BJ$2:$BJ$999,Transport!$B63,BY_TRA!$BK$2:$BK$999,Transport!$C63)/SUMIFS(BY_TRA!AQ$2:AQ$999,BY_TRA!$BJ$2:$BJ$999,Transport!$B63),0)</f>
        <v>0</v>
      </c>
      <c r="AJ63" s="1">
        <f>IFERROR(SUMIFS(BY_TRA!AR$2:AR$999,BY_TRA!$BJ$2:$BJ$999,Transport!$B63,BY_TRA!$BK$2:$BK$999,Transport!$C63)/SUMIFS(BY_TRA!AR$2:AR$999,BY_TRA!$BJ$2:$BJ$999,Transport!$B63),0)</f>
        <v>0</v>
      </c>
      <c r="AK63" s="1">
        <f>IFERROR(SUMIFS(BY_TRA!AS$2:AS$999,BY_TRA!$BJ$2:$BJ$999,Transport!$B63,BY_TRA!$BK$2:$BK$999,Transport!$C63)/SUMIFS(BY_TRA!AS$2:AS$999,BY_TRA!$BJ$2:$BJ$999,Transport!$B63),0)</f>
        <v>0</v>
      </c>
      <c r="AL63" s="1">
        <f>IFERROR(SUMIFS(BY_TRA!AT$2:AT$999,BY_TRA!$BJ$2:$BJ$999,Transport!$B63,BY_TRA!$BK$2:$BK$999,Transport!$C63)/SUMIFS(BY_TRA!AT$2:AT$999,BY_TRA!$BJ$2:$BJ$999,Transport!$B63),0)</f>
        <v>0</v>
      </c>
      <c r="AM63" s="1">
        <f>IFERROR(SUMIFS(BY_TRA!AU$2:AU$999,BY_TRA!$BJ$2:$BJ$999,Transport!$B63,BY_TRA!$BK$2:$BK$999,Transport!$C63)/SUMIFS(BY_TRA!AU$2:AU$999,BY_TRA!$BJ$2:$BJ$999,Transport!$B63),0)</f>
        <v>0</v>
      </c>
      <c r="AN63" s="1">
        <f>IFERROR(SUMIFS(BY_TRA!AV$2:AV$999,BY_TRA!$BJ$2:$BJ$999,Transport!$B63,BY_TRA!$BK$2:$BK$999,Transport!$C63)/SUMIFS(BY_TRA!AV$2:AV$999,BY_TRA!$BJ$2:$BJ$999,Transport!$B63),0)</f>
        <v>0</v>
      </c>
      <c r="AO63" s="1">
        <f>IFERROR(SUMIFS(BY_TRA!AW$2:AW$999,BY_TRA!$BJ$2:$BJ$999,Transport!$B63,BY_TRA!$BK$2:$BK$999,Transport!$C63)/SUMIFS(BY_TRA!AW$2:AW$999,BY_TRA!$BJ$2:$BJ$999,Transport!$B63),0)</f>
        <v>0</v>
      </c>
      <c r="AP63" s="1">
        <f>IFERROR(SUMIFS(BY_TRA!AX$2:AX$999,BY_TRA!$BJ$2:$BJ$999,Transport!$B63,BY_TRA!$BK$2:$BK$999,Transport!$C63)/SUMIFS(BY_TRA!AX$2:AX$999,BY_TRA!$BJ$2:$BJ$999,Transport!$B63),0)</f>
        <v>0</v>
      </c>
      <c r="AQ63" s="1">
        <f>IFERROR(SUMIFS(BY_TRA!AY$2:AY$999,BY_TRA!$BJ$2:$BJ$999,Transport!$B63,BY_TRA!$BK$2:$BK$999,Transport!$C63)/SUMIFS(BY_TRA!AY$2:AY$999,BY_TRA!$BJ$2:$BJ$999,Transport!$B63),0)</f>
        <v>0</v>
      </c>
      <c r="AR63" s="1">
        <f>IFERROR(SUMIFS(BY_TRA!AZ$2:AZ$999,BY_TRA!$BJ$2:$BJ$999,Transport!$B63,BY_TRA!$BK$2:$BK$999,Transport!$C63)/SUMIFS(BY_TRA!AZ$2:AZ$999,BY_TRA!$BJ$2:$BJ$999,Transport!$B63),0)</f>
        <v>0</v>
      </c>
      <c r="AS63" s="1">
        <f>IFERROR(SUMIFS(BY_TRA!BA$2:BA$999,BY_TRA!$BJ$2:$BJ$999,Transport!$B63,BY_TRA!$BK$2:$BK$999,Transport!$C63)/SUMIFS(BY_TRA!BA$2:BA$999,BY_TRA!$BJ$2:$BJ$999,Transport!$B63),0)</f>
        <v>0</v>
      </c>
      <c r="AT63" s="1">
        <f>IFERROR(SUMIFS(BY_TRA!BB$2:BB$999,BY_TRA!$BJ$2:$BJ$999,Transport!$B63,BY_TRA!$BK$2:$BK$999,Transport!$C63)/SUMIFS(BY_TRA!BB$2:BB$999,BY_TRA!$BJ$2:$BJ$999,Transport!$B63),0)</f>
        <v>0</v>
      </c>
      <c r="AU63" s="1">
        <f>IFERROR(SUMIFS(BY_TRA!BC$2:BC$999,BY_TRA!$BJ$2:$BJ$999,Transport!$B63,BY_TRA!$BK$2:$BK$999,Transport!$C63)/SUMIFS(BY_TRA!BC$2:BC$999,BY_TRA!$BJ$2:$BJ$999,Transport!$B63),0)</f>
        <v>0</v>
      </c>
      <c r="AV63" s="1">
        <f>IFERROR(SUMIFS(BY_TRA!BD$2:BD$999,BY_TRA!$BJ$2:$BJ$999,Transport!$B63,BY_TRA!$BK$2:$BK$999,Transport!$C63)/SUMIFS(BY_TRA!BD$2:BD$999,BY_TRA!$BJ$2:$BJ$999,Transport!$B63),0)</f>
        <v>0</v>
      </c>
      <c r="AW63" s="1">
        <f>IFERROR(SUMIFS(BY_TRA!BE$2:BE$999,BY_TRA!$BJ$2:$BJ$999,Transport!$B63,BY_TRA!$BK$2:$BK$999,Transport!$C63)/SUMIFS(BY_TRA!BE$2:BE$999,BY_TRA!$BJ$2:$BJ$999,Transport!$B63),0)</f>
        <v>0</v>
      </c>
      <c r="AX63" s="1">
        <f>IFERROR(SUMIFS(BY_TRA!BF$2:BF$999,BY_TRA!$BJ$2:$BJ$999,Transport!$B63,BY_TRA!$BK$2:$BK$999,Transport!$C63)/SUMIFS(BY_TRA!BF$2:BF$999,BY_TRA!$BJ$2:$BJ$999,Transport!$B63),0)</f>
        <v>0</v>
      </c>
      <c r="AY63" s="1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134</v>
      </c>
      <c r="C64" t="s">
        <v>130</v>
      </c>
      <c r="D64" s="1">
        <f>IFERROR(SUMIFS(BY_TRA!L$2:L$999,BY_TRA!$BJ$2:$BJ$999,Transport!$B64,BY_TRA!$BK$2:$BK$999,Transport!$C64)/SUMIFS(BY_TRA!L$2:L$999,BY_TRA!$BJ$2:$BJ$999,Transport!$B64),0)</f>
        <v>0</v>
      </c>
      <c r="E64" s="1">
        <f>IFERROR(SUMIFS(BY_TRA!M$2:M$999,BY_TRA!$BJ$2:$BJ$999,Transport!$B64,BY_TRA!$BK$2:$BK$999,Transport!$C64)/SUMIFS(BY_TRA!M$2:M$999,BY_TRA!$BJ$2:$BJ$999,Transport!$B64),0)</f>
        <v>0</v>
      </c>
      <c r="F64" s="1">
        <f>IFERROR(SUMIFS(BY_TRA!N$2:N$999,BY_TRA!$BJ$2:$BJ$999,Transport!$B64,BY_TRA!$BK$2:$BK$999,Transport!$C64)/SUMIFS(BY_TRA!N$2:N$999,BY_TRA!$BJ$2:$BJ$999,Transport!$B64),0)</f>
        <v>0</v>
      </c>
      <c r="G64" s="1">
        <f>IFERROR(SUMIFS(BY_TRA!O$2:O$999,BY_TRA!$BJ$2:$BJ$999,Transport!$B64,BY_TRA!$BK$2:$BK$999,Transport!$C64)/SUMIFS(BY_TRA!O$2:O$999,BY_TRA!$BJ$2:$BJ$999,Transport!$B64),0)</f>
        <v>0</v>
      </c>
      <c r="H64" s="1">
        <f>IFERROR(SUMIFS(BY_TRA!P$2:P$999,BY_TRA!$BJ$2:$BJ$999,Transport!$B64,BY_TRA!$BK$2:$BK$999,Transport!$C64)/SUMIFS(BY_TRA!P$2:P$999,BY_TRA!$BJ$2:$BJ$999,Transport!$B64),0)</f>
        <v>0</v>
      </c>
      <c r="I64" s="1">
        <f>IFERROR(SUMIFS(BY_TRA!Q$2:Q$999,BY_TRA!$BJ$2:$BJ$999,Transport!$B64,BY_TRA!$BK$2:$BK$999,Transport!$C64)/SUMIFS(BY_TRA!Q$2:Q$999,BY_TRA!$BJ$2:$BJ$999,Transport!$B64),0)</f>
        <v>0</v>
      </c>
      <c r="J64" s="1">
        <f>IFERROR(SUMIFS(BY_TRA!R$2:R$999,BY_TRA!$BJ$2:$BJ$999,Transport!$B64,BY_TRA!$BK$2:$BK$999,Transport!$C64)/SUMIFS(BY_TRA!R$2:R$999,BY_TRA!$BJ$2:$BJ$999,Transport!$B64),0)</f>
        <v>0</v>
      </c>
      <c r="K64" s="1">
        <f>IFERROR(SUMIFS(BY_TRA!S$2:S$999,BY_TRA!$BJ$2:$BJ$999,Transport!$B64,BY_TRA!$BK$2:$BK$999,Transport!$C64)/SUMIFS(BY_TRA!S$2:S$999,BY_TRA!$BJ$2:$BJ$999,Transport!$B64),0)</f>
        <v>0</v>
      </c>
      <c r="L64" s="1">
        <f>IFERROR(SUMIFS(BY_TRA!T$2:T$999,BY_TRA!$BJ$2:$BJ$999,Transport!$B64,BY_TRA!$BK$2:$BK$999,Transport!$C64)/SUMIFS(BY_TRA!T$2:T$999,BY_TRA!$BJ$2:$BJ$999,Transport!$B64),0)</f>
        <v>0</v>
      </c>
      <c r="M64" s="1">
        <f>IFERROR(SUMIFS(BY_TRA!U$2:U$999,BY_TRA!$BJ$2:$BJ$999,Transport!$B64,BY_TRA!$BK$2:$BK$999,Transport!$C64)/SUMIFS(BY_TRA!U$2:U$999,BY_TRA!$BJ$2:$BJ$999,Transport!$B64),0)</f>
        <v>0</v>
      </c>
      <c r="N64" s="1">
        <f>IFERROR(SUMIFS(BY_TRA!V$2:V$999,BY_TRA!$BJ$2:$BJ$999,Transport!$B64,BY_TRA!$BK$2:$BK$999,Transport!$C64)/SUMIFS(BY_TRA!V$2:V$999,BY_TRA!$BJ$2:$BJ$999,Transport!$B64),0)</f>
        <v>0</v>
      </c>
      <c r="O64" s="1">
        <f>IFERROR(SUMIFS(BY_TRA!W$2:W$999,BY_TRA!$BJ$2:$BJ$999,Transport!$B64,BY_TRA!$BK$2:$BK$999,Transport!$C64)/SUMIFS(BY_TRA!W$2:W$999,BY_TRA!$BJ$2:$BJ$999,Transport!$B64),0)</f>
        <v>0</v>
      </c>
      <c r="P64" s="1">
        <f>IFERROR(SUMIFS(BY_TRA!X$2:X$999,BY_TRA!$BJ$2:$BJ$999,Transport!$B64,BY_TRA!$BK$2:$BK$999,Transport!$C64)/SUMIFS(BY_TRA!X$2:X$999,BY_TRA!$BJ$2:$BJ$999,Transport!$B64),0)</f>
        <v>0</v>
      </c>
      <c r="Q64" s="1">
        <f>IFERROR(SUMIFS(BY_TRA!Y$2:Y$999,BY_TRA!$BJ$2:$BJ$999,Transport!$B64,BY_TRA!$BK$2:$BK$999,Transport!$C64)/SUMIFS(BY_TRA!Y$2:Y$999,BY_TRA!$BJ$2:$BJ$999,Transport!$B64),0)</f>
        <v>0</v>
      </c>
      <c r="R64" s="1">
        <f>IFERROR(SUMIFS(BY_TRA!Z$2:Z$999,BY_TRA!$BJ$2:$BJ$999,Transport!$B64,BY_TRA!$BK$2:$BK$999,Transport!$C64)/SUMIFS(BY_TRA!Z$2:Z$999,BY_TRA!$BJ$2:$BJ$999,Transport!$B64),0)</f>
        <v>0</v>
      </c>
      <c r="S64" s="1">
        <f>IFERROR(SUMIFS(BY_TRA!AA$2:AA$999,BY_TRA!$BJ$2:$BJ$999,Transport!$B64,BY_TRA!$BK$2:$BK$999,Transport!$C64)/SUMIFS(BY_TRA!AA$2:AA$999,BY_TRA!$BJ$2:$BJ$999,Transport!$B64),0)</f>
        <v>0</v>
      </c>
      <c r="T64" s="1">
        <f>IFERROR(SUMIFS(BY_TRA!AB$2:AB$999,BY_TRA!$BJ$2:$BJ$999,Transport!$B64,BY_TRA!$BK$2:$BK$999,Transport!$C64)/SUMIFS(BY_TRA!AB$2:AB$999,BY_TRA!$BJ$2:$BJ$999,Transport!$B64),0)</f>
        <v>0</v>
      </c>
      <c r="U64" s="1">
        <f>IFERROR(SUMIFS(BY_TRA!AC$2:AC$999,BY_TRA!$BJ$2:$BJ$999,Transport!$B64,BY_TRA!$BK$2:$BK$999,Transport!$C64)/SUMIFS(BY_TRA!AC$2:AC$999,BY_TRA!$BJ$2:$BJ$999,Transport!$B64),0)</f>
        <v>0</v>
      </c>
      <c r="V64" s="1">
        <f>IFERROR(SUMIFS(BY_TRA!AD$2:AD$999,BY_TRA!$BJ$2:$BJ$999,Transport!$B64,BY_TRA!$BK$2:$BK$999,Transport!$C64)/SUMIFS(BY_TRA!AD$2:AD$999,BY_TRA!$BJ$2:$BJ$999,Transport!$B64),0)</f>
        <v>0</v>
      </c>
      <c r="W64" s="1">
        <f>IFERROR(SUMIFS(BY_TRA!AE$2:AE$999,BY_TRA!$BJ$2:$BJ$999,Transport!$B64,BY_TRA!$BK$2:$BK$999,Transport!$C64)/SUMIFS(BY_TRA!AE$2:AE$999,BY_TRA!$BJ$2:$BJ$999,Transport!$B64),0)</f>
        <v>0</v>
      </c>
      <c r="X64" s="1">
        <f>IFERROR(SUMIFS(BY_TRA!AF$2:AF$999,BY_TRA!$BJ$2:$BJ$999,Transport!$B64,BY_TRA!$BK$2:$BK$999,Transport!$C64)/SUMIFS(BY_TRA!AF$2:AF$999,BY_TRA!$BJ$2:$BJ$999,Transport!$B64),0)</f>
        <v>0</v>
      </c>
      <c r="Y64" s="1">
        <f>IFERROR(SUMIFS(BY_TRA!AG$2:AG$999,BY_TRA!$BJ$2:$BJ$999,Transport!$B64,BY_TRA!$BK$2:$BK$999,Transport!$C64)/SUMIFS(BY_TRA!AG$2:AG$999,BY_TRA!$BJ$2:$BJ$999,Transport!$B64),0)</f>
        <v>0</v>
      </c>
      <c r="Z64" s="1">
        <f>IFERROR(SUMIFS(BY_TRA!AH$2:AH$999,BY_TRA!$BJ$2:$BJ$999,Transport!$B64,BY_TRA!$BK$2:$BK$999,Transport!$C64)/SUMIFS(BY_TRA!AH$2:AH$999,BY_TRA!$BJ$2:$BJ$999,Transport!$B64),0)</f>
        <v>0</v>
      </c>
      <c r="AA64" s="1">
        <f>IFERROR(SUMIFS(BY_TRA!AI$2:AI$999,BY_TRA!$BJ$2:$BJ$999,Transport!$B64,BY_TRA!$BK$2:$BK$999,Transport!$C64)/SUMIFS(BY_TRA!AI$2:AI$999,BY_TRA!$BJ$2:$BJ$999,Transport!$B64),0)</f>
        <v>0</v>
      </c>
      <c r="AB64" s="1">
        <f>IFERROR(SUMIFS(BY_TRA!AJ$2:AJ$999,BY_TRA!$BJ$2:$BJ$999,Transport!$B64,BY_TRA!$BK$2:$BK$999,Transport!$C64)/SUMIFS(BY_TRA!AJ$2:AJ$999,BY_TRA!$BJ$2:$BJ$999,Transport!$B64),0)</f>
        <v>0</v>
      </c>
      <c r="AC64" s="1">
        <f>IFERROR(SUMIFS(BY_TRA!AK$2:AK$999,BY_TRA!$BJ$2:$BJ$999,Transport!$B64,BY_TRA!$BK$2:$BK$999,Transport!$C64)/SUMIFS(BY_TRA!AK$2:AK$999,BY_TRA!$BJ$2:$BJ$999,Transport!$B64),0)</f>
        <v>0</v>
      </c>
      <c r="AD64" s="1">
        <f>IFERROR(SUMIFS(BY_TRA!AL$2:AL$999,BY_TRA!$BJ$2:$BJ$999,Transport!$B64,BY_TRA!$BK$2:$BK$999,Transport!$C64)/SUMIFS(BY_TRA!AL$2:AL$999,BY_TRA!$BJ$2:$BJ$999,Transport!$B64),0)</f>
        <v>0</v>
      </c>
      <c r="AE64" s="1">
        <f>IFERROR(SUMIFS(BY_TRA!AM$2:AM$999,BY_TRA!$BJ$2:$BJ$999,Transport!$B64,BY_TRA!$BK$2:$BK$999,Transport!$C64)/SUMIFS(BY_TRA!AM$2:AM$999,BY_TRA!$BJ$2:$BJ$999,Transport!$B64),0)</f>
        <v>0</v>
      </c>
      <c r="AF64" s="1">
        <f>IFERROR(SUMIFS(BY_TRA!AN$2:AN$999,BY_TRA!$BJ$2:$BJ$999,Transport!$B64,BY_TRA!$BK$2:$BK$999,Transport!$C64)/SUMIFS(BY_TRA!AN$2:AN$999,BY_TRA!$BJ$2:$BJ$999,Transport!$B64),0)</f>
        <v>0</v>
      </c>
      <c r="AG64" s="1">
        <f>IFERROR(SUMIFS(BY_TRA!AO$2:AO$999,BY_TRA!$BJ$2:$BJ$999,Transport!$B64,BY_TRA!$BK$2:$BK$999,Transport!$C64)/SUMIFS(BY_TRA!AO$2:AO$999,BY_TRA!$BJ$2:$BJ$999,Transport!$B64),0)</f>
        <v>0</v>
      </c>
      <c r="AH64" s="1">
        <f>IFERROR(SUMIFS(BY_TRA!AP$2:AP$999,BY_TRA!$BJ$2:$BJ$999,Transport!$B64,BY_TRA!$BK$2:$BK$999,Transport!$C64)/SUMIFS(BY_TRA!AP$2:AP$999,BY_TRA!$BJ$2:$BJ$999,Transport!$B64),0)</f>
        <v>0</v>
      </c>
      <c r="AI64" s="1">
        <f>IFERROR(SUMIFS(BY_TRA!AQ$2:AQ$999,BY_TRA!$BJ$2:$BJ$999,Transport!$B64,BY_TRA!$BK$2:$BK$999,Transport!$C64)/SUMIFS(BY_TRA!AQ$2:AQ$999,BY_TRA!$BJ$2:$BJ$999,Transport!$B64),0)</f>
        <v>0</v>
      </c>
      <c r="AJ64" s="1">
        <f>IFERROR(SUMIFS(BY_TRA!AR$2:AR$999,BY_TRA!$BJ$2:$BJ$999,Transport!$B64,BY_TRA!$BK$2:$BK$999,Transport!$C64)/SUMIFS(BY_TRA!AR$2:AR$999,BY_TRA!$BJ$2:$BJ$999,Transport!$B64),0)</f>
        <v>0</v>
      </c>
      <c r="AK64" s="1">
        <f>IFERROR(SUMIFS(BY_TRA!AS$2:AS$999,BY_TRA!$BJ$2:$BJ$999,Transport!$B64,BY_TRA!$BK$2:$BK$999,Transport!$C64)/SUMIFS(BY_TRA!AS$2:AS$999,BY_TRA!$BJ$2:$BJ$999,Transport!$B64),0)</f>
        <v>0</v>
      </c>
      <c r="AL64" s="1">
        <f>IFERROR(SUMIFS(BY_TRA!AT$2:AT$999,BY_TRA!$BJ$2:$BJ$999,Transport!$B64,BY_TRA!$BK$2:$BK$999,Transport!$C64)/SUMIFS(BY_TRA!AT$2:AT$999,BY_TRA!$BJ$2:$BJ$999,Transport!$B64),0)</f>
        <v>0</v>
      </c>
      <c r="AM64" s="1">
        <f>IFERROR(SUMIFS(BY_TRA!AU$2:AU$999,BY_TRA!$BJ$2:$BJ$999,Transport!$B64,BY_TRA!$BK$2:$BK$999,Transport!$C64)/SUMIFS(BY_TRA!AU$2:AU$999,BY_TRA!$BJ$2:$BJ$999,Transport!$B64),0)</f>
        <v>0</v>
      </c>
      <c r="AN64" s="1">
        <f>IFERROR(SUMIFS(BY_TRA!AV$2:AV$999,BY_TRA!$BJ$2:$BJ$999,Transport!$B64,BY_TRA!$BK$2:$BK$999,Transport!$C64)/SUMIFS(BY_TRA!AV$2:AV$999,BY_TRA!$BJ$2:$BJ$999,Transport!$B64),0)</f>
        <v>0</v>
      </c>
      <c r="AO64" s="1">
        <f>IFERROR(SUMIFS(BY_TRA!AW$2:AW$999,BY_TRA!$BJ$2:$BJ$999,Transport!$B64,BY_TRA!$BK$2:$BK$999,Transport!$C64)/SUMIFS(BY_TRA!AW$2:AW$999,BY_TRA!$BJ$2:$BJ$999,Transport!$B64),0)</f>
        <v>0</v>
      </c>
      <c r="AP64" s="1">
        <f>IFERROR(SUMIFS(BY_TRA!AX$2:AX$999,BY_TRA!$BJ$2:$BJ$999,Transport!$B64,BY_TRA!$BK$2:$BK$999,Transport!$C64)/SUMIFS(BY_TRA!AX$2:AX$999,BY_TRA!$BJ$2:$BJ$999,Transport!$B64),0)</f>
        <v>0</v>
      </c>
      <c r="AQ64" s="1">
        <f>IFERROR(SUMIFS(BY_TRA!AY$2:AY$999,BY_TRA!$BJ$2:$BJ$999,Transport!$B64,BY_TRA!$BK$2:$BK$999,Transport!$C64)/SUMIFS(BY_TRA!AY$2:AY$999,BY_TRA!$BJ$2:$BJ$999,Transport!$B64),0)</f>
        <v>0</v>
      </c>
      <c r="AR64" s="1">
        <f>IFERROR(SUMIFS(BY_TRA!AZ$2:AZ$999,BY_TRA!$BJ$2:$BJ$999,Transport!$B64,BY_TRA!$BK$2:$BK$999,Transport!$C64)/SUMIFS(BY_TRA!AZ$2:AZ$999,BY_TRA!$BJ$2:$BJ$999,Transport!$B64),0)</f>
        <v>0</v>
      </c>
      <c r="AS64" s="1">
        <f>IFERROR(SUMIFS(BY_TRA!BA$2:BA$999,BY_TRA!$BJ$2:$BJ$999,Transport!$B64,BY_TRA!$BK$2:$BK$999,Transport!$C64)/SUMIFS(BY_TRA!BA$2:BA$999,BY_TRA!$BJ$2:$BJ$999,Transport!$B64),0)</f>
        <v>0</v>
      </c>
      <c r="AT64" s="1">
        <f>IFERROR(SUMIFS(BY_TRA!BB$2:BB$999,BY_TRA!$BJ$2:$BJ$999,Transport!$B64,BY_TRA!$BK$2:$BK$999,Transport!$C64)/SUMIFS(BY_TRA!BB$2:BB$999,BY_TRA!$BJ$2:$BJ$999,Transport!$B64),0)</f>
        <v>0</v>
      </c>
      <c r="AU64" s="1">
        <f>IFERROR(SUMIFS(BY_TRA!BC$2:BC$999,BY_TRA!$BJ$2:$BJ$999,Transport!$B64,BY_TRA!$BK$2:$BK$999,Transport!$C64)/SUMIFS(BY_TRA!BC$2:BC$999,BY_TRA!$BJ$2:$BJ$999,Transport!$B64),0)</f>
        <v>0</v>
      </c>
      <c r="AV64" s="1">
        <f>IFERROR(SUMIFS(BY_TRA!BD$2:BD$999,BY_TRA!$BJ$2:$BJ$999,Transport!$B64,BY_TRA!$BK$2:$BK$999,Transport!$C64)/SUMIFS(BY_TRA!BD$2:BD$999,BY_TRA!$BJ$2:$BJ$999,Transport!$B64),0)</f>
        <v>0</v>
      </c>
      <c r="AW64" s="1">
        <f>IFERROR(SUMIFS(BY_TRA!BE$2:BE$999,BY_TRA!$BJ$2:$BJ$999,Transport!$B64,BY_TRA!$BK$2:$BK$999,Transport!$C64)/SUMIFS(BY_TRA!BE$2:BE$999,BY_TRA!$BJ$2:$BJ$999,Transport!$B64),0)</f>
        <v>0</v>
      </c>
      <c r="AX64" s="1">
        <f>IFERROR(SUMIFS(BY_TRA!BF$2:BF$999,BY_TRA!$BJ$2:$BJ$999,Transport!$B64,BY_TRA!$BK$2:$BK$999,Transport!$C64)/SUMIFS(BY_TRA!BF$2:BF$999,BY_TRA!$BJ$2:$BJ$999,Transport!$B64),0)</f>
        <v>0</v>
      </c>
      <c r="AY64" s="1">
        <f>IFERROR(SUMIFS(BY_TRA!BG$2:BG$999,BY_TRA!$BJ$2:$BJ$999,Transport!$B64,BY_TRA!$BK$2:$BK$999,Transport!$C64)/SUMIFS(BY_TRA!BG$2:BG$999,BY_TRA!$BJ$2:$BJ$999,Transport!$B64),0)</f>
        <v>0</v>
      </c>
    </row>
    <row r="65" spans="2:51">
      <c r="B65" t="s">
        <v>134</v>
      </c>
      <c r="C65" s="2" t="s">
        <v>131</v>
      </c>
      <c r="D65" s="1">
        <f>IFERROR(SUMIFS(BY_TRA!L$2:L$999,BY_TRA!$BJ$2:$BJ$999,Transport!$B65,BY_TRA!$BK$2:$BK$999,Transport!$C65)/SUMIFS(BY_TRA!L$2:L$999,BY_TRA!$BJ$2:$BJ$999,Transport!$B65),0)</f>
        <v>0</v>
      </c>
      <c r="E65" s="1">
        <f>IFERROR(SUMIFS(BY_TRA!M$2:M$999,BY_TRA!$BJ$2:$BJ$999,Transport!$B65,BY_TRA!$BK$2:$BK$999,Transport!$C65)/SUMIFS(BY_TRA!M$2:M$999,BY_TRA!$BJ$2:$BJ$999,Transport!$B65),0)</f>
        <v>0</v>
      </c>
      <c r="F65" s="1">
        <f>IFERROR(SUMIFS(BY_TRA!N$2:N$999,BY_TRA!$BJ$2:$BJ$999,Transport!$B65,BY_TRA!$BK$2:$BK$999,Transport!$C65)/SUMIFS(BY_TRA!N$2:N$999,BY_TRA!$BJ$2:$BJ$999,Transport!$B65),0)</f>
        <v>0</v>
      </c>
      <c r="G65" s="1">
        <f>IFERROR(SUMIFS(BY_TRA!O$2:O$999,BY_TRA!$BJ$2:$BJ$999,Transport!$B65,BY_TRA!$BK$2:$BK$999,Transport!$C65)/SUMIFS(BY_TRA!O$2:O$999,BY_TRA!$BJ$2:$BJ$999,Transport!$B65),0)</f>
        <v>0</v>
      </c>
      <c r="H65" s="1">
        <f>IFERROR(SUMIFS(BY_TRA!P$2:P$999,BY_TRA!$BJ$2:$BJ$999,Transport!$B65,BY_TRA!$BK$2:$BK$999,Transport!$C65)/SUMIFS(BY_TRA!P$2:P$999,BY_TRA!$BJ$2:$BJ$999,Transport!$B65),0)</f>
        <v>0</v>
      </c>
      <c r="I65" s="1">
        <f>IFERROR(SUMIFS(BY_TRA!Q$2:Q$999,BY_TRA!$BJ$2:$BJ$999,Transport!$B65,BY_TRA!$BK$2:$BK$999,Transport!$C65)/SUMIFS(BY_TRA!Q$2:Q$999,BY_TRA!$BJ$2:$BJ$999,Transport!$B65),0)</f>
        <v>0</v>
      </c>
      <c r="J65" s="1">
        <f>IFERROR(SUMIFS(BY_TRA!R$2:R$999,BY_TRA!$BJ$2:$BJ$999,Transport!$B65,BY_TRA!$BK$2:$BK$999,Transport!$C65)/SUMIFS(BY_TRA!R$2:R$999,BY_TRA!$BJ$2:$BJ$999,Transport!$B65),0)</f>
        <v>0</v>
      </c>
      <c r="K65" s="1">
        <f>IFERROR(SUMIFS(BY_TRA!S$2:S$999,BY_TRA!$BJ$2:$BJ$999,Transport!$B65,BY_TRA!$BK$2:$BK$999,Transport!$C65)/SUMIFS(BY_TRA!S$2:S$999,BY_TRA!$BJ$2:$BJ$999,Transport!$B65),0)</f>
        <v>0</v>
      </c>
      <c r="L65" s="1">
        <f>IFERROR(SUMIFS(BY_TRA!T$2:T$999,BY_TRA!$BJ$2:$BJ$999,Transport!$B65,BY_TRA!$BK$2:$BK$999,Transport!$C65)/SUMIFS(BY_TRA!T$2:T$999,BY_TRA!$BJ$2:$BJ$999,Transport!$B65),0)</f>
        <v>0</v>
      </c>
      <c r="M65" s="1">
        <f>IFERROR(SUMIFS(BY_TRA!U$2:U$999,BY_TRA!$BJ$2:$BJ$999,Transport!$B65,BY_TRA!$BK$2:$BK$999,Transport!$C65)/SUMIFS(BY_TRA!U$2:U$999,BY_TRA!$BJ$2:$BJ$999,Transport!$B65),0)</f>
        <v>0</v>
      </c>
      <c r="N65" s="1">
        <f>IFERROR(SUMIFS(BY_TRA!V$2:V$999,BY_TRA!$BJ$2:$BJ$999,Transport!$B65,BY_TRA!$BK$2:$BK$999,Transport!$C65)/SUMIFS(BY_TRA!V$2:V$999,BY_TRA!$BJ$2:$BJ$999,Transport!$B65),0)</f>
        <v>0</v>
      </c>
      <c r="O65" s="1">
        <f>IFERROR(SUMIFS(BY_TRA!W$2:W$999,BY_TRA!$BJ$2:$BJ$999,Transport!$B65,BY_TRA!$BK$2:$BK$999,Transport!$C65)/SUMIFS(BY_TRA!W$2:W$999,BY_TRA!$BJ$2:$BJ$999,Transport!$B65),0)</f>
        <v>0</v>
      </c>
      <c r="P65" s="1">
        <f>IFERROR(SUMIFS(BY_TRA!X$2:X$999,BY_TRA!$BJ$2:$BJ$999,Transport!$B65,BY_TRA!$BK$2:$BK$999,Transport!$C65)/SUMIFS(BY_TRA!X$2:X$999,BY_TRA!$BJ$2:$BJ$999,Transport!$B65),0)</f>
        <v>0</v>
      </c>
      <c r="Q65" s="1">
        <f>IFERROR(SUMIFS(BY_TRA!Y$2:Y$999,BY_TRA!$BJ$2:$BJ$999,Transport!$B65,BY_TRA!$BK$2:$BK$999,Transport!$C65)/SUMIFS(BY_TRA!Y$2:Y$999,BY_TRA!$BJ$2:$BJ$999,Transport!$B65),0)</f>
        <v>0</v>
      </c>
      <c r="R65" s="1">
        <f>IFERROR(SUMIFS(BY_TRA!Z$2:Z$999,BY_TRA!$BJ$2:$BJ$999,Transport!$B65,BY_TRA!$BK$2:$BK$999,Transport!$C65)/SUMIFS(BY_TRA!Z$2:Z$999,BY_TRA!$BJ$2:$BJ$999,Transport!$B65),0)</f>
        <v>0</v>
      </c>
      <c r="S65" s="1">
        <f>IFERROR(SUMIFS(BY_TRA!AA$2:AA$999,BY_TRA!$BJ$2:$BJ$999,Transport!$B65,BY_TRA!$BK$2:$BK$999,Transport!$C65)/SUMIFS(BY_TRA!AA$2:AA$999,BY_TRA!$BJ$2:$BJ$999,Transport!$B65),0)</f>
        <v>0</v>
      </c>
      <c r="T65" s="1">
        <f>IFERROR(SUMIFS(BY_TRA!AB$2:AB$999,BY_TRA!$BJ$2:$BJ$999,Transport!$B65,BY_TRA!$BK$2:$BK$999,Transport!$C65)/SUMIFS(BY_TRA!AB$2:AB$999,BY_TRA!$BJ$2:$BJ$999,Transport!$B65),0)</f>
        <v>0</v>
      </c>
      <c r="U65" s="1">
        <f>IFERROR(SUMIFS(BY_TRA!AC$2:AC$999,BY_TRA!$BJ$2:$BJ$999,Transport!$B65,BY_TRA!$BK$2:$BK$999,Transport!$C65)/SUMIFS(BY_TRA!AC$2:AC$999,BY_TRA!$BJ$2:$BJ$999,Transport!$B65),0)</f>
        <v>0</v>
      </c>
      <c r="V65" s="1">
        <f>IFERROR(SUMIFS(BY_TRA!AD$2:AD$999,BY_TRA!$BJ$2:$BJ$999,Transport!$B65,BY_TRA!$BK$2:$BK$999,Transport!$C65)/SUMIFS(BY_TRA!AD$2:AD$999,BY_TRA!$BJ$2:$BJ$999,Transport!$B65),0)</f>
        <v>0</v>
      </c>
      <c r="W65" s="1">
        <f>IFERROR(SUMIFS(BY_TRA!AE$2:AE$999,BY_TRA!$BJ$2:$BJ$999,Transport!$B65,BY_TRA!$BK$2:$BK$999,Transport!$C65)/SUMIFS(BY_TRA!AE$2:AE$999,BY_TRA!$BJ$2:$BJ$999,Transport!$B65),0)</f>
        <v>0</v>
      </c>
      <c r="X65" s="1">
        <f>IFERROR(SUMIFS(BY_TRA!AF$2:AF$999,BY_TRA!$BJ$2:$BJ$999,Transport!$B65,BY_TRA!$BK$2:$BK$999,Transport!$C65)/SUMIFS(BY_TRA!AF$2:AF$999,BY_TRA!$BJ$2:$BJ$999,Transport!$B65),0)</f>
        <v>0</v>
      </c>
      <c r="Y65" s="1">
        <f>IFERROR(SUMIFS(BY_TRA!AG$2:AG$999,BY_TRA!$BJ$2:$BJ$999,Transport!$B65,BY_TRA!$BK$2:$BK$999,Transport!$C65)/SUMIFS(BY_TRA!AG$2:AG$999,BY_TRA!$BJ$2:$BJ$999,Transport!$B65),0)</f>
        <v>0</v>
      </c>
      <c r="Z65" s="1">
        <f>IFERROR(SUMIFS(BY_TRA!AH$2:AH$999,BY_TRA!$BJ$2:$BJ$999,Transport!$B65,BY_TRA!$BK$2:$BK$999,Transport!$C65)/SUMIFS(BY_TRA!AH$2:AH$999,BY_TRA!$BJ$2:$BJ$999,Transport!$B65),0)</f>
        <v>0</v>
      </c>
      <c r="AA65" s="1">
        <f>IFERROR(SUMIFS(BY_TRA!AI$2:AI$999,BY_TRA!$BJ$2:$BJ$999,Transport!$B65,BY_TRA!$BK$2:$BK$999,Transport!$C65)/SUMIFS(BY_TRA!AI$2:AI$999,BY_TRA!$BJ$2:$BJ$999,Transport!$B65),0)</f>
        <v>0</v>
      </c>
      <c r="AB65" s="1">
        <f>IFERROR(SUMIFS(BY_TRA!AJ$2:AJ$999,BY_TRA!$BJ$2:$BJ$999,Transport!$B65,BY_TRA!$BK$2:$BK$999,Transport!$C65)/SUMIFS(BY_TRA!AJ$2:AJ$999,BY_TRA!$BJ$2:$BJ$999,Transport!$B65),0)</f>
        <v>0</v>
      </c>
      <c r="AC65" s="1">
        <f>IFERROR(SUMIFS(BY_TRA!AK$2:AK$999,BY_TRA!$BJ$2:$BJ$999,Transport!$B65,BY_TRA!$BK$2:$BK$999,Transport!$C65)/SUMIFS(BY_TRA!AK$2:AK$999,BY_TRA!$BJ$2:$BJ$999,Transport!$B65),0)</f>
        <v>0</v>
      </c>
      <c r="AD65" s="1">
        <f>IFERROR(SUMIFS(BY_TRA!AL$2:AL$999,BY_TRA!$BJ$2:$BJ$999,Transport!$B65,BY_TRA!$BK$2:$BK$999,Transport!$C65)/SUMIFS(BY_TRA!AL$2:AL$999,BY_TRA!$BJ$2:$BJ$999,Transport!$B65),0)</f>
        <v>0</v>
      </c>
      <c r="AE65" s="1">
        <f>IFERROR(SUMIFS(BY_TRA!AM$2:AM$999,BY_TRA!$BJ$2:$BJ$999,Transport!$B65,BY_TRA!$BK$2:$BK$999,Transport!$C65)/SUMIFS(BY_TRA!AM$2:AM$999,BY_TRA!$BJ$2:$BJ$999,Transport!$B65),0)</f>
        <v>0</v>
      </c>
      <c r="AF65" s="1">
        <f>IFERROR(SUMIFS(BY_TRA!AN$2:AN$999,BY_TRA!$BJ$2:$BJ$999,Transport!$B65,BY_TRA!$BK$2:$BK$999,Transport!$C65)/SUMIFS(BY_TRA!AN$2:AN$999,BY_TRA!$BJ$2:$BJ$999,Transport!$B65),0)</f>
        <v>0</v>
      </c>
      <c r="AG65" s="1">
        <f>IFERROR(SUMIFS(BY_TRA!AO$2:AO$999,BY_TRA!$BJ$2:$BJ$999,Transport!$B65,BY_TRA!$BK$2:$BK$999,Transport!$C65)/SUMIFS(BY_TRA!AO$2:AO$999,BY_TRA!$BJ$2:$BJ$999,Transport!$B65),0)</f>
        <v>0</v>
      </c>
      <c r="AH65" s="1">
        <f>IFERROR(SUMIFS(BY_TRA!AP$2:AP$999,BY_TRA!$BJ$2:$BJ$999,Transport!$B65,BY_TRA!$BK$2:$BK$999,Transport!$C65)/SUMIFS(BY_TRA!AP$2:AP$999,BY_TRA!$BJ$2:$BJ$999,Transport!$B65),0)</f>
        <v>0</v>
      </c>
      <c r="AI65" s="1">
        <f>IFERROR(SUMIFS(BY_TRA!AQ$2:AQ$999,BY_TRA!$BJ$2:$BJ$999,Transport!$B65,BY_TRA!$BK$2:$BK$999,Transport!$C65)/SUMIFS(BY_TRA!AQ$2:AQ$999,BY_TRA!$BJ$2:$BJ$999,Transport!$B65),0)</f>
        <v>0</v>
      </c>
      <c r="AJ65" s="1">
        <f>IFERROR(SUMIFS(BY_TRA!AR$2:AR$999,BY_TRA!$BJ$2:$BJ$999,Transport!$B65,BY_TRA!$BK$2:$BK$999,Transport!$C65)/SUMIFS(BY_TRA!AR$2:AR$999,BY_TRA!$BJ$2:$BJ$999,Transport!$B65),0)</f>
        <v>0</v>
      </c>
      <c r="AK65" s="1">
        <f>IFERROR(SUMIFS(BY_TRA!AS$2:AS$999,BY_TRA!$BJ$2:$BJ$999,Transport!$B65,BY_TRA!$BK$2:$BK$999,Transport!$C65)/SUMIFS(BY_TRA!AS$2:AS$999,BY_TRA!$BJ$2:$BJ$999,Transport!$B65),0)</f>
        <v>0</v>
      </c>
      <c r="AL65" s="1">
        <f>IFERROR(SUMIFS(BY_TRA!AT$2:AT$999,BY_TRA!$BJ$2:$BJ$999,Transport!$B65,BY_TRA!$BK$2:$BK$999,Transport!$C65)/SUMIFS(BY_TRA!AT$2:AT$999,BY_TRA!$BJ$2:$BJ$999,Transport!$B65),0)</f>
        <v>0</v>
      </c>
      <c r="AM65" s="1">
        <f>IFERROR(SUMIFS(BY_TRA!AU$2:AU$999,BY_TRA!$BJ$2:$BJ$999,Transport!$B65,BY_TRA!$BK$2:$BK$999,Transport!$C65)/SUMIFS(BY_TRA!AU$2:AU$999,BY_TRA!$BJ$2:$BJ$999,Transport!$B65),0)</f>
        <v>0</v>
      </c>
      <c r="AN65" s="1">
        <f>IFERROR(SUMIFS(BY_TRA!AV$2:AV$999,BY_TRA!$BJ$2:$BJ$999,Transport!$B65,BY_TRA!$BK$2:$BK$999,Transport!$C65)/SUMIFS(BY_TRA!AV$2:AV$999,BY_TRA!$BJ$2:$BJ$999,Transport!$B65),0)</f>
        <v>0</v>
      </c>
      <c r="AO65" s="1">
        <f>IFERROR(SUMIFS(BY_TRA!AW$2:AW$999,BY_TRA!$BJ$2:$BJ$999,Transport!$B65,BY_TRA!$BK$2:$BK$999,Transport!$C65)/SUMIFS(BY_TRA!AW$2:AW$999,BY_TRA!$BJ$2:$BJ$999,Transport!$B65),0)</f>
        <v>0</v>
      </c>
      <c r="AP65" s="1">
        <f>IFERROR(SUMIFS(BY_TRA!AX$2:AX$999,BY_TRA!$BJ$2:$BJ$999,Transport!$B65,BY_TRA!$BK$2:$BK$999,Transport!$C65)/SUMIFS(BY_TRA!AX$2:AX$999,BY_TRA!$BJ$2:$BJ$999,Transport!$B65),0)</f>
        <v>0</v>
      </c>
      <c r="AQ65" s="1">
        <f>IFERROR(SUMIFS(BY_TRA!AY$2:AY$999,BY_TRA!$BJ$2:$BJ$999,Transport!$B65,BY_TRA!$BK$2:$BK$999,Transport!$C65)/SUMIFS(BY_TRA!AY$2:AY$999,BY_TRA!$BJ$2:$BJ$999,Transport!$B65),0)</f>
        <v>0</v>
      </c>
      <c r="AR65" s="1">
        <f>IFERROR(SUMIFS(BY_TRA!AZ$2:AZ$999,BY_TRA!$BJ$2:$BJ$999,Transport!$B65,BY_TRA!$BK$2:$BK$999,Transport!$C65)/SUMIFS(BY_TRA!AZ$2:AZ$999,BY_TRA!$BJ$2:$BJ$999,Transport!$B65),0)</f>
        <v>0</v>
      </c>
      <c r="AS65" s="1">
        <f>IFERROR(SUMIFS(BY_TRA!BA$2:BA$999,BY_TRA!$BJ$2:$BJ$999,Transport!$B65,BY_TRA!$BK$2:$BK$999,Transport!$C65)/SUMIFS(BY_TRA!BA$2:BA$999,BY_TRA!$BJ$2:$BJ$999,Transport!$B65),0)</f>
        <v>0</v>
      </c>
      <c r="AT65" s="1">
        <f>IFERROR(SUMIFS(BY_TRA!BB$2:BB$999,BY_TRA!$BJ$2:$BJ$999,Transport!$B65,BY_TRA!$BK$2:$BK$999,Transport!$C65)/SUMIFS(BY_TRA!BB$2:BB$999,BY_TRA!$BJ$2:$BJ$999,Transport!$B65),0)</f>
        <v>0</v>
      </c>
      <c r="AU65" s="1">
        <f>IFERROR(SUMIFS(BY_TRA!BC$2:BC$999,BY_TRA!$BJ$2:$BJ$999,Transport!$B65,BY_TRA!$BK$2:$BK$999,Transport!$C65)/SUMIFS(BY_TRA!BC$2:BC$999,BY_TRA!$BJ$2:$BJ$999,Transport!$B65),0)</f>
        <v>0</v>
      </c>
      <c r="AV65" s="1">
        <f>IFERROR(SUMIFS(BY_TRA!BD$2:BD$999,BY_TRA!$BJ$2:$BJ$999,Transport!$B65,BY_TRA!$BK$2:$BK$999,Transport!$C65)/SUMIFS(BY_TRA!BD$2:BD$999,BY_TRA!$BJ$2:$BJ$999,Transport!$B65),0)</f>
        <v>0</v>
      </c>
      <c r="AW65" s="1">
        <f>IFERROR(SUMIFS(BY_TRA!BE$2:BE$999,BY_TRA!$BJ$2:$BJ$999,Transport!$B65,BY_TRA!$BK$2:$BK$999,Transport!$C65)/SUMIFS(BY_TRA!BE$2:BE$999,BY_TRA!$BJ$2:$BJ$999,Transport!$B65),0)</f>
        <v>0</v>
      </c>
      <c r="AX65" s="1">
        <f>IFERROR(SUMIFS(BY_TRA!BF$2:BF$999,BY_TRA!$BJ$2:$BJ$999,Transport!$B65,BY_TRA!$BK$2:$BK$999,Transport!$C65)/SUMIFS(BY_TRA!BF$2:BF$999,BY_TRA!$BJ$2:$BJ$999,Transport!$B65),0)</f>
        <v>0</v>
      </c>
      <c r="AY65" s="1">
        <f>IFERROR(SUMIFS(BY_TRA!BG$2:BG$999,BY_TRA!$BJ$2:$BJ$999,Transport!$B65,BY_TRA!$BK$2:$BK$999,Transport!$C65)/SUMIFS(BY_TRA!BG$2:BG$999,BY_TRA!$BJ$2:$BJ$999,Transport!$B65),0)</f>
        <v>0</v>
      </c>
    </row>
    <row r="68" spans="1:1">
      <c r="A68" t="s">
        <v>135</v>
      </c>
    </row>
    <row r="69" spans="1:56">
      <c r="A69" t="s">
        <v>136</v>
      </c>
      <c r="B69" t="s">
        <v>113</v>
      </c>
      <c r="C69" t="s">
        <v>119</v>
      </c>
      <c r="D69" t="str">
        <f>D33</f>
        <v>valfield</v>
      </c>
      <c r="E69" t="str">
        <f t="shared" ref="E69:AW69" si="6">E33</f>
        <v>\I:</v>
      </c>
      <c r="F69" t="str">
        <f t="shared" si="6"/>
        <v>\I:</v>
      </c>
      <c r="G69" t="str">
        <f t="shared" si="6"/>
        <v>\I:</v>
      </c>
      <c r="H69" t="str">
        <f t="shared" si="6"/>
        <v>\I:</v>
      </c>
      <c r="I69" t="str">
        <f t="shared" si="6"/>
        <v>\I:</v>
      </c>
      <c r="J69" t="str">
        <f t="shared" si="6"/>
        <v>\I:</v>
      </c>
      <c r="K69" t="str">
        <f t="shared" si="6"/>
        <v>\I:</v>
      </c>
      <c r="L69" t="str">
        <f t="shared" si="6"/>
        <v>\I:</v>
      </c>
      <c r="M69" t="str">
        <f t="shared" si="6"/>
        <v>\I:</v>
      </c>
      <c r="N69" t="str">
        <f t="shared" si="6"/>
        <v>\I:</v>
      </c>
      <c r="O69" t="str">
        <f t="shared" si="6"/>
        <v>\I:</v>
      </c>
      <c r="P69" t="str">
        <f t="shared" si="6"/>
        <v>\I:</v>
      </c>
      <c r="Q69" t="str">
        <f t="shared" si="6"/>
        <v>\I:</v>
      </c>
      <c r="R69" t="str">
        <f t="shared" si="6"/>
        <v>\I:</v>
      </c>
      <c r="S69" t="str">
        <f t="shared" si="6"/>
        <v>\I:</v>
      </c>
      <c r="T69" t="str">
        <f t="shared" si="6"/>
        <v>\I:</v>
      </c>
      <c r="U69" t="str">
        <f t="shared" si="6"/>
        <v>\I:</v>
      </c>
      <c r="V69" t="str">
        <f t="shared" si="6"/>
        <v>\I:</v>
      </c>
      <c r="W69" t="str">
        <f t="shared" si="6"/>
        <v>\I:</v>
      </c>
      <c r="X69" t="str">
        <f t="shared" si="6"/>
        <v>\I:</v>
      </c>
      <c r="Y69" t="str">
        <f t="shared" si="6"/>
        <v>\I:</v>
      </c>
      <c r="Z69" t="str">
        <f t="shared" si="6"/>
        <v>\I:</v>
      </c>
      <c r="AA69" t="str">
        <f t="shared" si="6"/>
        <v>\I:</v>
      </c>
      <c r="AB69" t="str">
        <f t="shared" si="6"/>
        <v>\I:</v>
      </c>
      <c r="AC69" t="str">
        <f t="shared" si="6"/>
        <v>\I:</v>
      </c>
      <c r="AD69" t="str">
        <f t="shared" si="6"/>
        <v>\I:</v>
      </c>
      <c r="AE69" t="str">
        <f t="shared" si="6"/>
        <v>\I:</v>
      </c>
      <c r="AF69" t="str">
        <f t="shared" si="6"/>
        <v>\I:</v>
      </c>
      <c r="AG69" t="str">
        <f t="shared" si="6"/>
        <v>\I:</v>
      </c>
      <c r="AH69" t="str">
        <f t="shared" si="6"/>
        <v>\I:</v>
      </c>
      <c r="AI69" t="str">
        <f t="shared" si="6"/>
        <v>\I:</v>
      </c>
      <c r="AJ69" t="str">
        <f t="shared" si="6"/>
        <v>\I:</v>
      </c>
      <c r="AK69" t="str">
        <f t="shared" si="6"/>
        <v>\I:</v>
      </c>
      <c r="AL69" t="str">
        <f t="shared" si="6"/>
        <v>\I:</v>
      </c>
      <c r="AM69" t="str">
        <f t="shared" si="6"/>
        <v>\I: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90</v>
      </c>
      <c r="BC69" t="s">
        <v>137</v>
      </c>
      <c r="BD69" t="s">
        <v>138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1">
        <f t="shared" ref="D70" si="8">D46*$BF70</f>
        <v>0</v>
      </c>
      <c r="E70" s="1">
        <f t="shared" ref="E70:AW70" si="9">E46*$BF70</f>
        <v>0</v>
      </c>
      <c r="F70" s="1">
        <f t="shared" si="9"/>
        <v>0</v>
      </c>
      <c r="G70" s="1">
        <f t="shared" si="9"/>
        <v>0</v>
      </c>
      <c r="H70" s="1">
        <f t="shared" si="9"/>
        <v>0</v>
      </c>
      <c r="I70" s="1">
        <f t="shared" si="9"/>
        <v>0</v>
      </c>
      <c r="J70" s="1">
        <f t="shared" si="9"/>
        <v>0</v>
      </c>
      <c r="K70" s="1">
        <f t="shared" si="9"/>
        <v>0</v>
      </c>
      <c r="L70" s="1">
        <f t="shared" si="9"/>
        <v>0</v>
      </c>
      <c r="M70" s="1">
        <f t="shared" si="9"/>
        <v>0</v>
      </c>
      <c r="N70" s="1">
        <f t="shared" si="9"/>
        <v>0</v>
      </c>
      <c r="O70" s="1">
        <f t="shared" si="9"/>
        <v>0</v>
      </c>
      <c r="P70" s="1">
        <f t="shared" si="9"/>
        <v>0</v>
      </c>
      <c r="Q70" s="1">
        <f t="shared" si="9"/>
        <v>0</v>
      </c>
      <c r="R70" s="1">
        <f t="shared" si="9"/>
        <v>0</v>
      </c>
      <c r="S70" s="1">
        <f t="shared" si="9"/>
        <v>0</v>
      </c>
      <c r="T70" s="1">
        <f t="shared" si="9"/>
        <v>0</v>
      </c>
      <c r="U70" s="1">
        <f t="shared" si="9"/>
        <v>0</v>
      </c>
      <c r="V70" s="1">
        <f t="shared" si="9"/>
        <v>0</v>
      </c>
      <c r="W70" s="1">
        <f t="shared" si="9"/>
        <v>0</v>
      </c>
      <c r="X70" s="1">
        <f t="shared" si="9"/>
        <v>0</v>
      </c>
      <c r="Y70" s="1">
        <f t="shared" si="9"/>
        <v>0</v>
      </c>
      <c r="Z70" s="1">
        <f t="shared" si="9"/>
        <v>0</v>
      </c>
      <c r="AA70" s="1">
        <f t="shared" si="9"/>
        <v>0</v>
      </c>
      <c r="AB70" s="1">
        <f t="shared" si="9"/>
        <v>0</v>
      </c>
      <c r="AC70" s="1">
        <f t="shared" si="9"/>
        <v>0</v>
      </c>
      <c r="AD70" s="1">
        <f t="shared" si="9"/>
        <v>0</v>
      </c>
      <c r="AE70" s="1">
        <f t="shared" si="9"/>
        <v>0</v>
      </c>
      <c r="AF70" s="1">
        <f t="shared" si="9"/>
        <v>0</v>
      </c>
      <c r="AG70" s="1">
        <f t="shared" si="9"/>
        <v>0</v>
      </c>
      <c r="AH70" s="1">
        <f t="shared" si="9"/>
        <v>0</v>
      </c>
      <c r="AI70" s="1">
        <f t="shared" si="9"/>
        <v>0</v>
      </c>
      <c r="AJ70" s="1">
        <f t="shared" si="9"/>
        <v>0</v>
      </c>
      <c r="AK70" s="1">
        <f t="shared" si="9"/>
        <v>0</v>
      </c>
      <c r="AL70" s="1">
        <f t="shared" si="9"/>
        <v>0</v>
      </c>
      <c r="AM70" s="1">
        <f t="shared" si="9"/>
        <v>0</v>
      </c>
      <c r="AN70" s="1">
        <f t="shared" si="9"/>
        <v>0</v>
      </c>
      <c r="AO70" s="1">
        <f t="shared" si="9"/>
        <v>0</v>
      </c>
      <c r="AP70" s="1">
        <f t="shared" si="9"/>
        <v>0</v>
      </c>
      <c r="AQ70" s="1">
        <f t="shared" si="9"/>
        <v>0</v>
      </c>
      <c r="AR70" s="1">
        <f t="shared" si="9"/>
        <v>0</v>
      </c>
      <c r="AS70" s="1">
        <f t="shared" si="9"/>
        <v>0</v>
      </c>
      <c r="AT70" s="1">
        <f t="shared" si="9"/>
        <v>0</v>
      </c>
      <c r="AU70" s="1">
        <f t="shared" si="9"/>
        <v>0</v>
      </c>
      <c r="AV70" s="1">
        <f t="shared" si="9"/>
        <v>0</v>
      </c>
      <c r="AW70" s="1">
        <f t="shared" si="9"/>
        <v>0</v>
      </c>
      <c r="AX70" s="1">
        <f t="shared" ref="AX70:BA70" si="10">AX46*$BF70</f>
        <v>0</v>
      </c>
      <c r="AY70" s="1">
        <f t="shared" si="10"/>
        <v>0</v>
      </c>
      <c r="AZ70" s="1">
        <f t="shared" si="10"/>
        <v>0</v>
      </c>
      <c r="BA70" s="1">
        <f t="shared" si="10"/>
        <v>0</v>
      </c>
      <c r="BB70" t="s">
        <v>139</v>
      </c>
      <c r="BC70" t="str">
        <f>B70</f>
        <v>Trd_bus</v>
      </c>
      <c r="BD70" t="s">
        <v>140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1">
        <f t="shared" ref="D71" si="11">D53*$BF71</f>
        <v>0</v>
      </c>
      <c r="E71" s="1">
        <f t="shared" ref="E71:AW71" si="12">E53*$BF71</f>
        <v>0</v>
      </c>
      <c r="F71" s="1">
        <f t="shared" si="12"/>
        <v>0</v>
      </c>
      <c r="G71" s="1">
        <f t="shared" si="12"/>
        <v>0</v>
      </c>
      <c r="H71" s="1">
        <f t="shared" si="12"/>
        <v>0</v>
      </c>
      <c r="I71" s="1">
        <f t="shared" si="12"/>
        <v>0</v>
      </c>
      <c r="J71" s="1">
        <f t="shared" si="12"/>
        <v>0</v>
      </c>
      <c r="K71" s="1">
        <f t="shared" si="12"/>
        <v>0</v>
      </c>
      <c r="L71" s="1">
        <f t="shared" si="12"/>
        <v>0</v>
      </c>
      <c r="M71" s="1">
        <f t="shared" si="12"/>
        <v>0</v>
      </c>
      <c r="N71" s="1">
        <f t="shared" si="12"/>
        <v>0</v>
      </c>
      <c r="O71" s="1">
        <f t="shared" si="12"/>
        <v>0</v>
      </c>
      <c r="P71" s="1">
        <f t="shared" si="12"/>
        <v>0</v>
      </c>
      <c r="Q71" s="1">
        <f t="shared" si="12"/>
        <v>0</v>
      </c>
      <c r="R71" s="1">
        <f t="shared" si="12"/>
        <v>0</v>
      </c>
      <c r="S71" s="1">
        <f t="shared" si="12"/>
        <v>0</v>
      </c>
      <c r="T71" s="1">
        <f t="shared" si="12"/>
        <v>0</v>
      </c>
      <c r="U71" s="1">
        <f t="shared" si="12"/>
        <v>0</v>
      </c>
      <c r="V71" s="1">
        <f t="shared" si="12"/>
        <v>0</v>
      </c>
      <c r="W71" s="1">
        <f t="shared" si="12"/>
        <v>0</v>
      </c>
      <c r="X71" s="1">
        <f t="shared" si="12"/>
        <v>0</v>
      </c>
      <c r="Y71" s="1">
        <f t="shared" si="12"/>
        <v>0</v>
      </c>
      <c r="Z71" s="1">
        <f t="shared" si="12"/>
        <v>0</v>
      </c>
      <c r="AA71" s="1">
        <f t="shared" si="12"/>
        <v>0</v>
      </c>
      <c r="AB71" s="1">
        <f t="shared" si="12"/>
        <v>0</v>
      </c>
      <c r="AC71" s="1">
        <f t="shared" si="12"/>
        <v>0</v>
      </c>
      <c r="AD71" s="1">
        <f t="shared" si="12"/>
        <v>0</v>
      </c>
      <c r="AE71" s="1">
        <f t="shared" si="12"/>
        <v>0</v>
      </c>
      <c r="AF71" s="1">
        <f t="shared" si="12"/>
        <v>0</v>
      </c>
      <c r="AG71" s="1">
        <f t="shared" si="12"/>
        <v>0</v>
      </c>
      <c r="AH71" s="1">
        <f t="shared" si="12"/>
        <v>0</v>
      </c>
      <c r="AI71" s="1">
        <f t="shared" si="12"/>
        <v>0</v>
      </c>
      <c r="AJ71" s="1">
        <f t="shared" si="12"/>
        <v>0</v>
      </c>
      <c r="AK71" s="1">
        <f t="shared" si="12"/>
        <v>0</v>
      </c>
      <c r="AL71" s="1">
        <f t="shared" si="12"/>
        <v>0</v>
      </c>
      <c r="AM71" s="1">
        <f t="shared" si="12"/>
        <v>0</v>
      </c>
      <c r="AN71" s="1">
        <f t="shared" si="12"/>
        <v>0</v>
      </c>
      <c r="AO71" s="1">
        <f t="shared" si="12"/>
        <v>0</v>
      </c>
      <c r="AP71" s="1">
        <f t="shared" si="12"/>
        <v>0</v>
      </c>
      <c r="AQ71" s="1">
        <f t="shared" si="12"/>
        <v>0</v>
      </c>
      <c r="AR71" s="1">
        <f t="shared" si="12"/>
        <v>0</v>
      </c>
      <c r="AS71" s="1">
        <f t="shared" si="12"/>
        <v>0</v>
      </c>
      <c r="AT71" s="1">
        <f t="shared" si="12"/>
        <v>0</v>
      </c>
      <c r="AU71" s="1">
        <f t="shared" si="12"/>
        <v>0</v>
      </c>
      <c r="AV71" s="1">
        <f t="shared" si="12"/>
        <v>0</v>
      </c>
      <c r="AW71" s="1">
        <f t="shared" si="12"/>
        <v>0</v>
      </c>
      <c r="AX71" s="1">
        <f t="shared" ref="AX71:BA71" si="13">AX53*$BF71</f>
        <v>0</v>
      </c>
      <c r="AY71" s="1">
        <f t="shared" si="13"/>
        <v>0</v>
      </c>
      <c r="AZ71" s="1">
        <f t="shared" si="13"/>
        <v>0</v>
      </c>
      <c r="BA71" s="1">
        <f t="shared" si="13"/>
        <v>0</v>
      </c>
      <c r="BB71" t="s">
        <v>139</v>
      </c>
      <c r="BC71" t="str">
        <f t="shared" ref="BC71:BC80" si="14">B71</f>
        <v>Trd_car</v>
      </c>
      <c r="BD71" t="s">
        <v>140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1">
        <f>D65*$BF72</f>
        <v>0</v>
      </c>
      <c r="E72" s="1">
        <f t="shared" ref="E72:AW72" si="15">E65*$BF72</f>
        <v>0</v>
      </c>
      <c r="F72" s="1">
        <f t="shared" si="15"/>
        <v>0</v>
      </c>
      <c r="G72" s="1">
        <f t="shared" si="15"/>
        <v>0</v>
      </c>
      <c r="H72" s="1">
        <f t="shared" si="15"/>
        <v>0</v>
      </c>
      <c r="I72" s="1">
        <f t="shared" si="15"/>
        <v>0</v>
      </c>
      <c r="J72" s="1">
        <f t="shared" si="15"/>
        <v>0</v>
      </c>
      <c r="K72" s="1">
        <f t="shared" si="15"/>
        <v>0</v>
      </c>
      <c r="L72" s="1">
        <f t="shared" si="15"/>
        <v>0</v>
      </c>
      <c r="M72" s="1">
        <f t="shared" si="15"/>
        <v>0</v>
      </c>
      <c r="N72" s="1">
        <f t="shared" si="15"/>
        <v>0</v>
      </c>
      <c r="O72" s="1">
        <f t="shared" si="15"/>
        <v>0</v>
      </c>
      <c r="P72" s="1">
        <f t="shared" si="15"/>
        <v>0</v>
      </c>
      <c r="Q72" s="1">
        <f t="shared" si="15"/>
        <v>0</v>
      </c>
      <c r="R72" s="1">
        <f t="shared" si="15"/>
        <v>0</v>
      </c>
      <c r="S72" s="1">
        <f t="shared" si="15"/>
        <v>0</v>
      </c>
      <c r="T72" s="1">
        <f t="shared" si="15"/>
        <v>0</v>
      </c>
      <c r="U72" s="1">
        <f t="shared" si="15"/>
        <v>0</v>
      </c>
      <c r="V72" s="1">
        <f t="shared" si="15"/>
        <v>0</v>
      </c>
      <c r="W72" s="1">
        <f t="shared" si="15"/>
        <v>0</v>
      </c>
      <c r="X72" s="1">
        <f t="shared" si="15"/>
        <v>0</v>
      </c>
      <c r="Y72" s="1">
        <f t="shared" si="15"/>
        <v>0</v>
      </c>
      <c r="Z72" s="1">
        <f t="shared" si="15"/>
        <v>0</v>
      </c>
      <c r="AA72" s="1">
        <f t="shared" si="15"/>
        <v>0</v>
      </c>
      <c r="AB72" s="1">
        <f t="shared" si="15"/>
        <v>0</v>
      </c>
      <c r="AC72" s="1">
        <f t="shared" si="15"/>
        <v>0</v>
      </c>
      <c r="AD72" s="1">
        <f t="shared" si="15"/>
        <v>0</v>
      </c>
      <c r="AE72" s="1">
        <f t="shared" si="15"/>
        <v>0</v>
      </c>
      <c r="AF72" s="1">
        <f t="shared" si="15"/>
        <v>0</v>
      </c>
      <c r="AG72" s="1">
        <f t="shared" si="15"/>
        <v>0</v>
      </c>
      <c r="AH72" s="1">
        <f t="shared" si="15"/>
        <v>0</v>
      </c>
      <c r="AI72" s="1">
        <f t="shared" si="15"/>
        <v>0</v>
      </c>
      <c r="AJ72" s="1">
        <f t="shared" si="15"/>
        <v>0</v>
      </c>
      <c r="AK72" s="1">
        <f t="shared" si="15"/>
        <v>0</v>
      </c>
      <c r="AL72" s="1">
        <f t="shared" si="15"/>
        <v>0</v>
      </c>
      <c r="AM72" s="1">
        <f t="shared" si="15"/>
        <v>0</v>
      </c>
      <c r="AN72" s="1">
        <f t="shared" si="15"/>
        <v>0</v>
      </c>
      <c r="AO72" s="1">
        <f t="shared" si="15"/>
        <v>0</v>
      </c>
      <c r="AP72" s="1">
        <f t="shared" si="15"/>
        <v>0</v>
      </c>
      <c r="AQ72" s="1">
        <f t="shared" si="15"/>
        <v>0</v>
      </c>
      <c r="AR72" s="1">
        <f t="shared" si="15"/>
        <v>0</v>
      </c>
      <c r="AS72" s="1">
        <f t="shared" si="15"/>
        <v>0</v>
      </c>
      <c r="AT72" s="1">
        <f t="shared" si="15"/>
        <v>0</v>
      </c>
      <c r="AU72" s="1">
        <f t="shared" si="15"/>
        <v>0</v>
      </c>
      <c r="AV72" s="1">
        <f t="shared" si="15"/>
        <v>0</v>
      </c>
      <c r="AW72" s="1">
        <f t="shared" si="15"/>
        <v>0</v>
      </c>
      <c r="AX72" s="1">
        <f t="shared" ref="AX72:BA72" si="16">AX65*$BF72</f>
        <v>0</v>
      </c>
      <c r="AY72" s="1">
        <f t="shared" si="16"/>
        <v>0</v>
      </c>
      <c r="AZ72" s="1">
        <f t="shared" si="16"/>
        <v>0</v>
      </c>
      <c r="BA72" s="1">
        <f t="shared" si="16"/>
        <v>0</v>
      </c>
      <c r="BB72" t="s">
        <v>139</v>
      </c>
      <c r="BC72" t="str">
        <f t="shared" si="14"/>
        <v>Trd_lcv</v>
      </c>
      <c r="BD72" t="s">
        <v>140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1">
        <f>D58*$BF73</f>
        <v>0</v>
      </c>
      <c r="E73" s="1">
        <f t="shared" ref="E73:BA73" si="17">E58*$BF73</f>
        <v>0</v>
      </c>
      <c r="F73" s="1">
        <f t="shared" si="17"/>
        <v>0</v>
      </c>
      <c r="G73" s="1">
        <f t="shared" si="17"/>
        <v>0</v>
      </c>
      <c r="H73" s="1">
        <f t="shared" si="17"/>
        <v>0</v>
      </c>
      <c r="I73" s="1">
        <f t="shared" si="17"/>
        <v>0</v>
      </c>
      <c r="J73" s="1">
        <f t="shared" si="17"/>
        <v>0</v>
      </c>
      <c r="K73" s="1">
        <f t="shared" si="17"/>
        <v>0</v>
      </c>
      <c r="L73" s="1">
        <f t="shared" si="17"/>
        <v>0</v>
      </c>
      <c r="M73" s="1">
        <f t="shared" si="17"/>
        <v>0</v>
      </c>
      <c r="N73" s="1">
        <f t="shared" si="17"/>
        <v>0</v>
      </c>
      <c r="O73" s="1">
        <f t="shared" si="17"/>
        <v>0</v>
      </c>
      <c r="P73" s="1">
        <f t="shared" si="17"/>
        <v>0</v>
      </c>
      <c r="Q73" s="1">
        <f t="shared" si="17"/>
        <v>0</v>
      </c>
      <c r="R73" s="1">
        <f t="shared" si="17"/>
        <v>0</v>
      </c>
      <c r="S73" s="1">
        <f t="shared" si="17"/>
        <v>0</v>
      </c>
      <c r="T73" s="1">
        <f t="shared" si="17"/>
        <v>0</v>
      </c>
      <c r="U73" s="1">
        <f t="shared" si="17"/>
        <v>0</v>
      </c>
      <c r="V73" s="1">
        <f t="shared" si="17"/>
        <v>0</v>
      </c>
      <c r="W73" s="1">
        <f t="shared" si="17"/>
        <v>0</v>
      </c>
      <c r="X73" s="1">
        <f t="shared" si="17"/>
        <v>0</v>
      </c>
      <c r="Y73" s="1">
        <f t="shared" si="17"/>
        <v>0</v>
      </c>
      <c r="Z73" s="1">
        <f t="shared" si="17"/>
        <v>0</v>
      </c>
      <c r="AA73" s="1">
        <f t="shared" si="17"/>
        <v>0</v>
      </c>
      <c r="AB73" s="1">
        <f t="shared" si="17"/>
        <v>0</v>
      </c>
      <c r="AC73" s="1">
        <f t="shared" si="17"/>
        <v>0</v>
      </c>
      <c r="AD73" s="1">
        <f t="shared" si="17"/>
        <v>0</v>
      </c>
      <c r="AE73" s="1">
        <f t="shared" si="17"/>
        <v>0</v>
      </c>
      <c r="AF73" s="1">
        <f t="shared" si="17"/>
        <v>0</v>
      </c>
      <c r="AG73" s="1">
        <f t="shared" si="17"/>
        <v>0</v>
      </c>
      <c r="AH73" s="1">
        <f t="shared" si="17"/>
        <v>0</v>
      </c>
      <c r="AI73" s="1">
        <f t="shared" si="17"/>
        <v>0</v>
      </c>
      <c r="AJ73" s="1">
        <f t="shared" si="17"/>
        <v>0</v>
      </c>
      <c r="AK73" s="1">
        <f t="shared" si="17"/>
        <v>0</v>
      </c>
      <c r="AL73" s="1">
        <f t="shared" si="17"/>
        <v>0</v>
      </c>
      <c r="AM73" s="1">
        <f t="shared" si="17"/>
        <v>0</v>
      </c>
      <c r="AN73" s="1">
        <f t="shared" si="17"/>
        <v>0</v>
      </c>
      <c r="AO73" s="1">
        <f t="shared" si="17"/>
        <v>0</v>
      </c>
      <c r="AP73" s="1">
        <f t="shared" si="17"/>
        <v>0</v>
      </c>
      <c r="AQ73" s="1">
        <f t="shared" si="17"/>
        <v>0</v>
      </c>
      <c r="AR73" s="1">
        <f t="shared" si="17"/>
        <v>0</v>
      </c>
      <c r="AS73" s="1">
        <f t="shared" si="17"/>
        <v>0</v>
      </c>
      <c r="AT73" s="1">
        <f t="shared" si="17"/>
        <v>0</v>
      </c>
      <c r="AU73" s="1">
        <f t="shared" si="17"/>
        <v>0</v>
      </c>
      <c r="AV73" s="1">
        <f t="shared" si="17"/>
        <v>0</v>
      </c>
      <c r="AW73" s="1">
        <f t="shared" si="17"/>
        <v>0</v>
      </c>
      <c r="AX73" s="1">
        <f t="shared" si="17"/>
        <v>0</v>
      </c>
      <c r="AY73" s="1">
        <f t="shared" si="17"/>
        <v>0</v>
      </c>
      <c r="AZ73" s="1">
        <f t="shared" si="17"/>
        <v>0</v>
      </c>
      <c r="BA73" s="1">
        <f t="shared" si="17"/>
        <v>0</v>
      </c>
      <c r="BB73" t="s">
        <v>139</v>
      </c>
      <c r="BC73" t="str">
        <f t="shared" si="14"/>
        <v>Trd_hdt</v>
      </c>
      <c r="BD73" t="s">
        <v>140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1">
        <f>D46*$BF74</f>
        <v>0</v>
      </c>
      <c r="E74" s="1">
        <f t="shared" ref="E74:AW74" si="19">E46*$BF74</f>
        <v>0</v>
      </c>
      <c r="F74" s="1">
        <f t="shared" si="19"/>
        <v>0</v>
      </c>
      <c r="G74" s="1">
        <f t="shared" si="19"/>
        <v>0</v>
      </c>
      <c r="H74" s="1">
        <f t="shared" si="19"/>
        <v>0</v>
      </c>
      <c r="I74" s="1">
        <f t="shared" si="19"/>
        <v>0</v>
      </c>
      <c r="J74" s="1">
        <f t="shared" si="19"/>
        <v>0</v>
      </c>
      <c r="K74" s="1">
        <f t="shared" si="19"/>
        <v>0</v>
      </c>
      <c r="L74" s="1">
        <f t="shared" si="19"/>
        <v>0</v>
      </c>
      <c r="M74" s="1">
        <f t="shared" si="19"/>
        <v>0</v>
      </c>
      <c r="N74" s="1">
        <f t="shared" si="19"/>
        <v>0</v>
      </c>
      <c r="O74" s="1">
        <f t="shared" si="19"/>
        <v>0</v>
      </c>
      <c r="P74" s="1">
        <f t="shared" si="19"/>
        <v>0</v>
      </c>
      <c r="Q74" s="1">
        <f t="shared" si="19"/>
        <v>0</v>
      </c>
      <c r="R74" s="1">
        <f t="shared" si="19"/>
        <v>0</v>
      </c>
      <c r="S74" s="1">
        <f t="shared" si="19"/>
        <v>0</v>
      </c>
      <c r="T74" s="1">
        <f t="shared" si="19"/>
        <v>0</v>
      </c>
      <c r="U74" s="1">
        <f t="shared" si="19"/>
        <v>0</v>
      </c>
      <c r="V74" s="1">
        <f t="shared" si="19"/>
        <v>0</v>
      </c>
      <c r="W74" s="1">
        <f t="shared" si="19"/>
        <v>0</v>
      </c>
      <c r="X74" s="1">
        <f t="shared" si="19"/>
        <v>0</v>
      </c>
      <c r="Y74" s="1">
        <f t="shared" si="19"/>
        <v>0</v>
      </c>
      <c r="Z74" s="1">
        <f t="shared" si="19"/>
        <v>0</v>
      </c>
      <c r="AA74" s="1">
        <f t="shared" si="19"/>
        <v>0</v>
      </c>
      <c r="AB74" s="1">
        <f t="shared" si="19"/>
        <v>0</v>
      </c>
      <c r="AC74" s="1">
        <f t="shared" si="19"/>
        <v>0</v>
      </c>
      <c r="AD74" s="1">
        <f t="shared" si="19"/>
        <v>0</v>
      </c>
      <c r="AE74" s="1">
        <f t="shared" si="19"/>
        <v>0</v>
      </c>
      <c r="AF74" s="1">
        <f t="shared" si="19"/>
        <v>0</v>
      </c>
      <c r="AG74" s="1">
        <f t="shared" si="19"/>
        <v>0</v>
      </c>
      <c r="AH74" s="1">
        <f t="shared" si="19"/>
        <v>0</v>
      </c>
      <c r="AI74" s="1">
        <f t="shared" si="19"/>
        <v>0</v>
      </c>
      <c r="AJ74" s="1">
        <f t="shared" si="19"/>
        <v>0</v>
      </c>
      <c r="AK74" s="1">
        <f t="shared" si="19"/>
        <v>0</v>
      </c>
      <c r="AL74" s="1">
        <f t="shared" si="19"/>
        <v>0</v>
      </c>
      <c r="AM74" s="1">
        <f t="shared" si="19"/>
        <v>0</v>
      </c>
      <c r="AN74" s="1">
        <f t="shared" si="19"/>
        <v>0</v>
      </c>
      <c r="AO74" s="1">
        <f t="shared" si="19"/>
        <v>0</v>
      </c>
      <c r="AP74" s="1">
        <f t="shared" si="19"/>
        <v>0</v>
      </c>
      <c r="AQ74" s="1">
        <f t="shared" si="19"/>
        <v>0</v>
      </c>
      <c r="AR74" s="1">
        <f t="shared" si="19"/>
        <v>0</v>
      </c>
      <c r="AS74" s="1">
        <f t="shared" si="19"/>
        <v>0</v>
      </c>
      <c r="AT74" s="1">
        <f t="shared" si="19"/>
        <v>0</v>
      </c>
      <c r="AU74" s="1">
        <f t="shared" si="19"/>
        <v>0</v>
      </c>
      <c r="AV74" s="1">
        <f t="shared" si="19"/>
        <v>0</v>
      </c>
      <c r="AW74" s="1">
        <f t="shared" si="19"/>
        <v>0</v>
      </c>
      <c r="AX74" s="1">
        <f t="shared" ref="AX74:BA74" si="20">AX46*$BF74</f>
        <v>0</v>
      </c>
      <c r="AY74" s="1">
        <f t="shared" si="20"/>
        <v>0</v>
      </c>
      <c r="AZ74" s="1">
        <f t="shared" si="20"/>
        <v>0</v>
      </c>
      <c r="BA74" s="1">
        <f t="shared" si="20"/>
        <v>0</v>
      </c>
      <c r="BB74" t="s">
        <v>139</v>
      </c>
      <c r="BC74" t="str">
        <f t="shared" si="14"/>
        <v>Trd_bus</v>
      </c>
      <c r="BD74" s="1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1">
        <f>D53*$BF75</f>
        <v>0</v>
      </c>
      <c r="E75" s="1">
        <f t="shared" ref="E75:AW75" si="21">E53*$BF75</f>
        <v>0</v>
      </c>
      <c r="F75" s="1">
        <f t="shared" si="21"/>
        <v>0</v>
      </c>
      <c r="G75" s="1">
        <f t="shared" si="21"/>
        <v>0</v>
      </c>
      <c r="H75" s="1">
        <f t="shared" si="21"/>
        <v>0</v>
      </c>
      <c r="I75" s="1">
        <f t="shared" si="21"/>
        <v>0</v>
      </c>
      <c r="J75" s="1">
        <f t="shared" si="21"/>
        <v>0</v>
      </c>
      <c r="K75" s="1">
        <f t="shared" si="21"/>
        <v>0</v>
      </c>
      <c r="L75" s="1">
        <f t="shared" si="21"/>
        <v>0</v>
      </c>
      <c r="M75" s="1">
        <f t="shared" si="21"/>
        <v>0</v>
      </c>
      <c r="N75" s="1">
        <f t="shared" si="21"/>
        <v>0</v>
      </c>
      <c r="O75" s="1">
        <f t="shared" si="21"/>
        <v>0</v>
      </c>
      <c r="P75" s="1">
        <f t="shared" si="21"/>
        <v>0</v>
      </c>
      <c r="Q75" s="1">
        <f t="shared" si="21"/>
        <v>0</v>
      </c>
      <c r="R75" s="1">
        <f t="shared" si="21"/>
        <v>0</v>
      </c>
      <c r="S75" s="1">
        <f t="shared" si="21"/>
        <v>0</v>
      </c>
      <c r="T75" s="1">
        <f t="shared" si="21"/>
        <v>0</v>
      </c>
      <c r="U75" s="1">
        <f t="shared" si="21"/>
        <v>0</v>
      </c>
      <c r="V75" s="1">
        <f t="shared" si="21"/>
        <v>0</v>
      </c>
      <c r="W75" s="1">
        <f t="shared" si="21"/>
        <v>0</v>
      </c>
      <c r="X75" s="1">
        <f t="shared" si="21"/>
        <v>0</v>
      </c>
      <c r="Y75" s="1">
        <f t="shared" si="21"/>
        <v>0</v>
      </c>
      <c r="Z75" s="1">
        <f t="shared" si="21"/>
        <v>0</v>
      </c>
      <c r="AA75" s="1">
        <f t="shared" si="21"/>
        <v>0</v>
      </c>
      <c r="AB75" s="1">
        <f t="shared" si="21"/>
        <v>0</v>
      </c>
      <c r="AC75" s="1">
        <f t="shared" si="21"/>
        <v>0</v>
      </c>
      <c r="AD75" s="1">
        <f t="shared" si="21"/>
        <v>0</v>
      </c>
      <c r="AE75" s="1">
        <f t="shared" si="21"/>
        <v>0</v>
      </c>
      <c r="AF75" s="1">
        <f t="shared" si="21"/>
        <v>0</v>
      </c>
      <c r="AG75" s="1">
        <f t="shared" si="21"/>
        <v>0</v>
      </c>
      <c r="AH75" s="1">
        <f t="shared" si="21"/>
        <v>0</v>
      </c>
      <c r="AI75" s="1">
        <f t="shared" si="21"/>
        <v>0</v>
      </c>
      <c r="AJ75" s="1">
        <f t="shared" si="21"/>
        <v>0</v>
      </c>
      <c r="AK75" s="1">
        <f t="shared" si="21"/>
        <v>0</v>
      </c>
      <c r="AL75" s="1">
        <f t="shared" si="21"/>
        <v>0</v>
      </c>
      <c r="AM75" s="1">
        <f t="shared" si="21"/>
        <v>0</v>
      </c>
      <c r="AN75" s="1">
        <f t="shared" si="21"/>
        <v>0</v>
      </c>
      <c r="AO75" s="1">
        <f t="shared" si="21"/>
        <v>0</v>
      </c>
      <c r="AP75" s="1">
        <f t="shared" si="21"/>
        <v>0</v>
      </c>
      <c r="AQ75" s="1">
        <f t="shared" si="21"/>
        <v>0</v>
      </c>
      <c r="AR75" s="1">
        <f t="shared" si="21"/>
        <v>0</v>
      </c>
      <c r="AS75" s="1">
        <f t="shared" si="21"/>
        <v>0</v>
      </c>
      <c r="AT75" s="1">
        <f t="shared" si="21"/>
        <v>0</v>
      </c>
      <c r="AU75" s="1">
        <f t="shared" si="21"/>
        <v>0</v>
      </c>
      <c r="AV75" s="1">
        <f t="shared" si="21"/>
        <v>0</v>
      </c>
      <c r="AW75" s="1">
        <f t="shared" si="21"/>
        <v>0</v>
      </c>
      <c r="AX75" s="1">
        <f t="shared" ref="AX75:BA75" si="22">AX53*$BF75</f>
        <v>0</v>
      </c>
      <c r="AY75" s="1">
        <f t="shared" si="22"/>
        <v>0</v>
      </c>
      <c r="AZ75" s="1">
        <f t="shared" si="22"/>
        <v>0</v>
      </c>
      <c r="BA75" s="1">
        <f t="shared" si="22"/>
        <v>0</v>
      </c>
      <c r="BB75" t="s">
        <v>139</v>
      </c>
      <c r="BC75" t="str">
        <f t="shared" si="14"/>
        <v>Trd_car</v>
      </c>
      <c r="BD75" s="1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1">
        <f>D65*$BF76</f>
        <v>0</v>
      </c>
      <c r="E76" s="1">
        <f t="shared" ref="E76:AW76" si="23">E65*$BF76</f>
        <v>0</v>
      </c>
      <c r="F76" s="1">
        <f t="shared" si="23"/>
        <v>0</v>
      </c>
      <c r="G76" s="1">
        <f t="shared" si="23"/>
        <v>0</v>
      </c>
      <c r="H76" s="1">
        <f t="shared" si="23"/>
        <v>0</v>
      </c>
      <c r="I76" s="1">
        <f t="shared" si="23"/>
        <v>0</v>
      </c>
      <c r="J76" s="1">
        <f t="shared" si="23"/>
        <v>0</v>
      </c>
      <c r="K76" s="1">
        <f t="shared" si="23"/>
        <v>0</v>
      </c>
      <c r="L76" s="1">
        <f t="shared" si="23"/>
        <v>0</v>
      </c>
      <c r="M76" s="1">
        <f t="shared" si="23"/>
        <v>0</v>
      </c>
      <c r="N76" s="1">
        <f t="shared" si="23"/>
        <v>0</v>
      </c>
      <c r="O76" s="1">
        <f t="shared" si="23"/>
        <v>0</v>
      </c>
      <c r="P76" s="1">
        <f t="shared" si="23"/>
        <v>0</v>
      </c>
      <c r="Q76" s="1">
        <f t="shared" si="23"/>
        <v>0</v>
      </c>
      <c r="R76" s="1">
        <f t="shared" si="23"/>
        <v>0</v>
      </c>
      <c r="S76" s="1">
        <f t="shared" si="23"/>
        <v>0</v>
      </c>
      <c r="T76" s="1">
        <f t="shared" si="23"/>
        <v>0</v>
      </c>
      <c r="U76" s="1">
        <f t="shared" si="23"/>
        <v>0</v>
      </c>
      <c r="V76" s="1">
        <f t="shared" si="23"/>
        <v>0</v>
      </c>
      <c r="W76" s="1">
        <f t="shared" si="23"/>
        <v>0</v>
      </c>
      <c r="X76" s="1">
        <f t="shared" si="23"/>
        <v>0</v>
      </c>
      <c r="Y76" s="1">
        <f t="shared" si="23"/>
        <v>0</v>
      </c>
      <c r="Z76" s="1">
        <f t="shared" si="23"/>
        <v>0</v>
      </c>
      <c r="AA76" s="1">
        <f t="shared" si="23"/>
        <v>0</v>
      </c>
      <c r="AB76" s="1">
        <f t="shared" si="23"/>
        <v>0</v>
      </c>
      <c r="AC76" s="1">
        <f t="shared" si="23"/>
        <v>0</v>
      </c>
      <c r="AD76" s="1">
        <f t="shared" si="23"/>
        <v>0</v>
      </c>
      <c r="AE76" s="1">
        <f t="shared" si="23"/>
        <v>0</v>
      </c>
      <c r="AF76" s="1">
        <f t="shared" si="23"/>
        <v>0</v>
      </c>
      <c r="AG76" s="1">
        <f t="shared" si="23"/>
        <v>0</v>
      </c>
      <c r="AH76" s="1">
        <f t="shared" si="23"/>
        <v>0</v>
      </c>
      <c r="AI76" s="1">
        <f t="shared" si="23"/>
        <v>0</v>
      </c>
      <c r="AJ76" s="1">
        <f t="shared" si="23"/>
        <v>0</v>
      </c>
      <c r="AK76" s="1">
        <f t="shared" si="23"/>
        <v>0</v>
      </c>
      <c r="AL76" s="1">
        <f t="shared" si="23"/>
        <v>0</v>
      </c>
      <c r="AM76" s="1">
        <f t="shared" si="23"/>
        <v>0</v>
      </c>
      <c r="AN76" s="1">
        <f t="shared" si="23"/>
        <v>0</v>
      </c>
      <c r="AO76" s="1">
        <f t="shared" si="23"/>
        <v>0</v>
      </c>
      <c r="AP76" s="1">
        <f t="shared" si="23"/>
        <v>0</v>
      </c>
      <c r="AQ76" s="1">
        <f t="shared" si="23"/>
        <v>0</v>
      </c>
      <c r="AR76" s="1">
        <f t="shared" si="23"/>
        <v>0</v>
      </c>
      <c r="AS76" s="1">
        <f t="shared" si="23"/>
        <v>0</v>
      </c>
      <c r="AT76" s="1">
        <f t="shared" si="23"/>
        <v>0</v>
      </c>
      <c r="AU76" s="1">
        <f t="shared" si="23"/>
        <v>0</v>
      </c>
      <c r="AV76" s="1">
        <f t="shared" si="23"/>
        <v>0</v>
      </c>
      <c r="AW76" s="1">
        <f t="shared" si="23"/>
        <v>0</v>
      </c>
      <c r="AX76" s="1">
        <f t="shared" ref="AX76:BA76" si="24">AX65*$BF76</f>
        <v>0</v>
      </c>
      <c r="AY76" s="1">
        <f t="shared" si="24"/>
        <v>0</v>
      </c>
      <c r="AZ76" s="1">
        <f t="shared" si="24"/>
        <v>0</v>
      </c>
      <c r="BA76" s="1">
        <f t="shared" si="24"/>
        <v>0</v>
      </c>
      <c r="BB76" t="s">
        <v>139</v>
      </c>
      <c r="BC76" t="str">
        <f t="shared" si="14"/>
        <v>Trd_lcv</v>
      </c>
      <c r="BD76" s="1" t="str">
        <f>BD72</f>
        <v>CNGVeh</v>
      </c>
      <c r="BF76">
        <v>1.5</v>
      </c>
    </row>
    <row r="77" spans="1:56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139</v>
      </c>
      <c r="BC77" t="str">
        <f t="shared" si="14"/>
        <v>Trd_bus</v>
      </c>
      <c r="BD77" s="1" t="str">
        <f t="shared" ref="BD77:BD80" si="26">BD74</f>
        <v>CNGVeh</v>
      </c>
    </row>
    <row r="78" spans="1:56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139</v>
      </c>
      <c r="BC78" t="str">
        <f t="shared" si="14"/>
        <v>Trd_car</v>
      </c>
      <c r="BD78" s="1" t="str">
        <f t="shared" si="26"/>
        <v>CNGVeh</v>
      </c>
    </row>
    <row r="79" spans="1:56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139</v>
      </c>
      <c r="BC79" t="str">
        <f t="shared" si="14"/>
        <v>Trd_lcv</v>
      </c>
      <c r="BD79" s="1" t="str">
        <f t="shared" si="26"/>
        <v>CNGVeh</v>
      </c>
    </row>
    <row r="80" spans="1:56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139</v>
      </c>
      <c r="BC80" t="str">
        <f t="shared" si="14"/>
        <v>Trd_hdt</v>
      </c>
      <c r="BD80" s="1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2026-02-26T18:43:43Z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1033-12.2.0.23196</vt:lpwstr>
  </property>
</Properties>
</file>