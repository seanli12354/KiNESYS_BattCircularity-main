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updateLinks="never"/>
  <bookViews>
    <workbookView windowHeight="7510"/>
  </bookViews>
  <sheets>
    <sheet name="drate" sheetId="16" r:id="rId1"/>
    <sheet name="BY_TRA" sheetId="12" r:id="rId2"/>
    <sheet name="Transport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removed this limit since we have already limited bio in sce files</t>
        </r>
      </text>
    </comment>
    <comment ref="B30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12-03-2022
no role for LPG vehicles
</t>
        </r>
      </text>
    </comment>
  </commentList>
</comments>
</file>

<file path=xl/sharedStrings.xml><?xml version="1.0" encoding="utf-8"?>
<sst xmlns="http://schemas.openxmlformats.org/spreadsheetml/2006/main" count="494" uniqueCount="141">
  <si>
    <t>~TFM_INS-TS</t>
  </si>
  <si>
    <t>ActiveReg</t>
  </si>
  <si>
    <t>Status</t>
  </si>
  <si>
    <t>region</t>
  </si>
  <si>
    <t>attribute</t>
  </si>
  <si>
    <t>pset_set</t>
  </si>
  <si>
    <t>pset_co</t>
  </si>
  <si>
    <t>Africa_Other</t>
  </si>
  <si>
    <t>Eme</t>
  </si>
  <si>
    <t>NCAP_DRATE</t>
  </si>
  <si>
    <t>DMD</t>
  </si>
  <si>
    <t>C??</t>
  </si>
  <si>
    <t>Trd_*</t>
  </si>
  <si>
    <t>India</t>
  </si>
  <si>
    <t>ROW</t>
  </si>
  <si>
    <t>WestBalkans</t>
  </si>
  <si>
    <t>Brazil</t>
  </si>
  <si>
    <t>Africa_North</t>
  </si>
  <si>
    <t>Ukraine</t>
  </si>
  <si>
    <t>SouthAfrica</t>
  </si>
  <si>
    <t>LatAm</t>
  </si>
  <si>
    <t>MidEast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</si>
  <si>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</si>
  <si>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</si>
  <si>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</si>
  <si>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</si>
  <si>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</si>
  <si>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</si>
  <si>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</si>
  <si>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</si>
  <si>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</si>
  <si>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</si>
  <si>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</si>
  <si>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</si>
  <si>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</si>
  <si>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</si>
  <si>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</si>
  <si>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</si>
  <si>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</si>
  <si>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</si>
  <si>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</si>
  <si>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</si>
  <si>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</si>
  <si>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</si>
  <si>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</si>
  <si>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</si>
  <si>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</si>
  <si>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</si>
  <si>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scenario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</si>
  <si>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</si>
  <si>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</si>
  <si>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</si>
  <si>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</si>
  <si>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</si>
  <si>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</si>
  <si>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</si>
  <si>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</si>
  <si>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</si>
  <si>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</si>
  <si>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Dem</t>
  </si>
  <si>
    <t>Fuel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</si>
  <si>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</si>
  <si>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</si>
  <si>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</si>
  <si>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</si>
  <si>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</si>
  <si>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</si>
  <si>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</si>
  <si>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</si>
  <si>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</si>
  <si>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</si>
  <si>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</si>
  <si>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</si>
  <si>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</si>
  <si>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</si>
  <si>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</si>
  <si>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</si>
  <si>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</si>
  <si>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</si>
  <si>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</si>
  <si>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\I:</t>
  </si>
  <si>
    <t>WORLD</t>
  </si>
  <si>
    <t>Road</t>
  </si>
  <si>
    <t>BGS/GSL</t>
  </si>
  <si>
    <t>~TFM_MIG</t>
  </si>
  <si>
    <t>BDS/DST</t>
  </si>
  <si>
    <t>pset_pn</t>
  </si>
  <si>
    <t>Cset_CN</t>
  </si>
  <si>
    <t>year2</t>
  </si>
  <si>
    <t>value</t>
  </si>
  <si>
    <t>LimType</t>
  </si>
  <si>
    <t>Share</t>
  </si>
  <si>
    <t>T??_Generic,-TA*,-TT*</t>
  </si>
  <si>
    <t>LO</t>
  </si>
  <si>
    <t>~UC_Sets: R_E: allregions</t>
  </si>
  <si>
    <t>TA?_Generic</t>
  </si>
  <si>
    <t>*.5</t>
  </si>
  <si>
    <t>~UC_T: UC_FLO~LO</t>
  </si>
  <si>
    <t>UC_N</t>
  </si>
  <si>
    <t>cset_cn</t>
  </si>
  <si>
    <t>UC_RHSRT</t>
  </si>
  <si>
    <t>UC_RHSRT~0</t>
  </si>
  <si>
    <t>UCT_shareBGS_LO</t>
  </si>
  <si>
    <t>Trd*</t>
  </si>
  <si>
    <t>TRABGS</t>
  </si>
  <si>
    <t>TRAGSL</t>
  </si>
  <si>
    <t>ONLY 150cc SEGMENT ACTIVE for 2w</t>
  </si>
  <si>
    <t>UCT_shareBDS_LO</t>
  </si>
  <si>
    <t>TRABDS</t>
  </si>
  <si>
    <t>TRADST</t>
  </si>
  <si>
    <t>~TFM_FILL-R:w=BY_TRA; hcol=region</t>
  </si>
  <si>
    <t>Scenario</t>
  </si>
  <si>
    <t>Attribute</t>
  </si>
  <si>
    <t>PSET_CO</t>
  </si>
  <si>
    <t>AllRegions</t>
  </si>
  <si>
    <t>~TFM_INS</t>
  </si>
  <si>
    <t>PASTI</t>
  </si>
  <si>
    <t>Trd[_]*</t>
  </si>
  <si>
    <t>*1</t>
  </si>
  <si>
    <t>PSET_CI</t>
  </si>
  <si>
    <t>START</t>
  </si>
  <si>
    <t>TRALPG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</si>
  <si>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</si>
  <si>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</si>
  <si>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</si>
  <si>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</si>
  <si>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</si>
  <si>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</si>
  <si>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</si>
  <si>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</si>
  <si>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</si>
  <si>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</si>
  <si>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</si>
  <si>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</si>
  <si>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</si>
  <si>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~TFM_INS: attribute=PRC_MARK; limtype=UP</t>
  </si>
  <si>
    <t>Year</t>
  </si>
  <si>
    <t>CSET_CN</t>
  </si>
  <si>
    <t>Other_indexes</t>
  </si>
  <si>
    <t>UP</t>
  </si>
  <si>
    <t>CNGVeh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</si>
</sst>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6"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5" borderId="1" applyNumberFormat="0" applyAlignment="0" applyProtection="0"/>
    <xf numFmtId="0" fontId="10" fillId="7" borderId="5" applyNumberFormat="0" applyAlignment="0" applyProtection="0">
      <alignment vertical="center"/>
    </xf>
    <xf numFmtId="0" fontId="11" fillId="7" borderId="1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20" fillId="0" borderId="0"/>
    <xf numFmtId="0" fontId="21" fillId="0" borderId="0"/>
  </cellStyleXfs>
  <cellXfs count="8">
    <xf numFmtId="0" fontId="0" fillId="0" borderId="0" xfId="0"/>
    <xf numFmtId="9" fontId="0" fillId="0" borderId="0" xfId="3" applyFont="1"/>
    <xf numFmtId="0" fontId="0" fillId="2" borderId="0" xfId="0" applyFill="1"/>
    <xf numFmtId="0" fontId="0" fillId="3" borderId="0" xfId="0" applyFill="1"/>
    <xf numFmtId="9" fontId="0" fillId="3" borderId="0" xfId="3" applyFont="1" applyFill="1"/>
    <xf numFmtId="0" fontId="0" fillId="4" borderId="0" xfId="0" applyFill="1"/>
    <xf numFmtId="9" fontId="0" fillId="0" borderId="0" xfId="0" applyNumberFormat="1"/>
    <xf numFmtId="0" fontId="1" fillId="5" borderId="1" xfId="16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38"/>
  <sheetViews>
    <sheetView tabSelected="1" zoomScale="65" zoomScaleNormal="65" workbookViewId="0">
      <selection activeCell="AA21" sqref="AA21"/>
    </sheetView>
  </sheetViews>
  <sheetFormatPr defaultColWidth="9" defaultRowHeight="14.5"/>
  <cols>
    <col min="6" max="6" width="12.2727272727273" customWidth="1"/>
    <col min="7" max="7" width="12.7272727272727" customWidth="1"/>
    <col min="9" max="9" width="7.81818181818182" customWidth="1"/>
    <col min="10" max="10" width="5" customWidth="1"/>
    <col min="11" max="11" width="5.81818181818182" customWidth="1"/>
    <col min="13" max="13" width="12.3636363636364" customWidth="1"/>
    <col min="14" max="14" width="12.7272727272727" customWidth="1"/>
    <col min="17" max="17" width="5" customWidth="1"/>
    <col min="18" max="18" width="5.81818181818182" customWidth="1"/>
  </cols>
  <sheetData>
    <row r="2" spans="13:13">
      <c r="M2" t="s">
        <v>0</v>
      </c>
    </row>
    <row r="3" spans="2:18">
      <c r="B3" t="s">
        <v>1</v>
      </c>
      <c r="C3" t="s">
        <v>2</v>
      </c>
      <c r="F3" t="s">
        <v>3</v>
      </c>
      <c r="G3" t="s">
        <v>4</v>
      </c>
      <c r="H3" t="s">
        <v>5</v>
      </c>
      <c r="I3" t="s">
        <v>6</v>
      </c>
      <c r="J3">
        <v>2020</v>
      </c>
      <c r="K3">
        <v>2050</v>
      </c>
      <c r="M3" t="s">
        <v>3</v>
      </c>
      <c r="N3" t="s">
        <v>4</v>
      </c>
      <c r="O3" t="s">
        <v>5</v>
      </c>
      <c r="P3" t="s">
        <v>6</v>
      </c>
      <c r="Q3">
        <v>2020</v>
      </c>
      <c r="R3">
        <v>2050</v>
      </c>
    </row>
    <row r="4" spans="2:18">
      <c r="B4" t="s">
        <v>7</v>
      </c>
      <c r="C4" t="s">
        <v>8</v>
      </c>
      <c r="F4" t="str">
        <f>B4</f>
        <v>Africa_Other</v>
      </c>
      <c r="G4" t="s">
        <v>9</v>
      </c>
      <c r="H4" t="s">
        <v>10</v>
      </c>
      <c r="I4" t="s">
        <v>11</v>
      </c>
      <c r="J4">
        <f>Q4-0.1</f>
        <v>0.3</v>
      </c>
      <c r="K4">
        <f>R4-0.1</f>
        <v>0.2</v>
      </c>
      <c r="M4" t="str">
        <f>F4</f>
        <v>Africa_Other</v>
      </c>
      <c r="N4" t="s">
        <v>9</v>
      </c>
      <c r="O4" t="s">
        <v>10</v>
      </c>
      <c r="P4" t="s">
        <v>12</v>
      </c>
      <c r="Q4" s="7">
        <f>IF(C4="Eme",0.4,0.3)</f>
        <v>0.4</v>
      </c>
      <c r="R4">
        <f>Q4-0.1</f>
        <v>0.3</v>
      </c>
    </row>
    <row r="5" spans="2:18">
      <c r="B5" t="s">
        <v>13</v>
      </c>
      <c r="C5" t="s">
        <v>8</v>
      </c>
      <c r="F5" t="str">
        <f t="shared" ref="F5:F24" si="0">B5</f>
        <v>India</v>
      </c>
      <c r="G5" t="s">
        <v>9</v>
      </c>
      <c r="H5" t="s">
        <v>10</v>
      </c>
      <c r="I5" t="s">
        <v>11</v>
      </c>
      <c r="J5">
        <f t="shared" ref="J5:K38" si="1">Q5-0.1</f>
        <v>0.3</v>
      </c>
      <c r="K5">
        <f t="shared" si="1"/>
        <v>0.2</v>
      </c>
      <c r="M5" t="str">
        <f t="shared" ref="M5:M24" si="2">F5</f>
        <v>India</v>
      </c>
      <c r="N5" t="s">
        <v>9</v>
      </c>
      <c r="O5" t="s">
        <v>10</v>
      </c>
      <c r="P5" t="s">
        <v>12</v>
      </c>
      <c r="Q5" s="7">
        <f t="shared" ref="Q5:Q38" si="3">IF(C5="Eme",0.4,0.3)</f>
        <v>0.4</v>
      </c>
      <c r="R5">
        <f t="shared" ref="R5:R38" si="4">Q5-0.1</f>
        <v>0.3</v>
      </c>
    </row>
    <row r="6" spans="2:18">
      <c r="B6" t="s">
        <v>14</v>
      </c>
      <c r="C6" t="s">
        <v>8</v>
      </c>
      <c r="F6" t="str">
        <f t="shared" si="0"/>
        <v>ROW</v>
      </c>
      <c r="G6" t="s">
        <v>9</v>
      </c>
      <c r="H6" t="s">
        <v>10</v>
      </c>
      <c r="I6" t="s">
        <v>11</v>
      </c>
      <c r="J6">
        <f t="shared" si="1"/>
        <v>0.3</v>
      </c>
      <c r="K6">
        <f t="shared" si="1"/>
        <v>0.2</v>
      </c>
      <c r="M6" t="str">
        <f t="shared" si="2"/>
        <v>ROW</v>
      </c>
      <c r="N6" t="s">
        <v>9</v>
      </c>
      <c r="O6" t="s">
        <v>10</v>
      </c>
      <c r="P6" t="s">
        <v>12</v>
      </c>
      <c r="Q6" s="7">
        <f t="shared" si="3"/>
        <v>0.4</v>
      </c>
      <c r="R6">
        <f t="shared" si="4"/>
        <v>0.3</v>
      </c>
    </row>
    <row r="7" spans="2:18">
      <c r="B7" t="s">
        <v>15</v>
      </c>
      <c r="C7" t="s">
        <v>8</v>
      </c>
      <c r="F7" t="str">
        <f t="shared" si="0"/>
        <v>WestBalkans</v>
      </c>
      <c r="G7" t="s">
        <v>9</v>
      </c>
      <c r="H7" t="s">
        <v>10</v>
      </c>
      <c r="I7" t="s">
        <v>11</v>
      </c>
      <c r="J7">
        <f t="shared" si="1"/>
        <v>0.3</v>
      </c>
      <c r="K7">
        <f t="shared" si="1"/>
        <v>0.2</v>
      </c>
      <c r="M7" t="str">
        <f t="shared" si="2"/>
        <v>WestBalkans</v>
      </c>
      <c r="N7" t="s">
        <v>9</v>
      </c>
      <c r="O7" t="s">
        <v>10</v>
      </c>
      <c r="P7" t="s">
        <v>12</v>
      </c>
      <c r="Q7" s="7">
        <f t="shared" si="3"/>
        <v>0.4</v>
      </c>
      <c r="R7">
        <f t="shared" si="4"/>
        <v>0.3</v>
      </c>
    </row>
    <row r="8" spans="2:18">
      <c r="B8" t="s">
        <v>16</v>
      </c>
      <c r="C8" t="s">
        <v>8</v>
      </c>
      <c r="F8" t="str">
        <f t="shared" si="0"/>
        <v>Brazil</v>
      </c>
      <c r="G8" t="s">
        <v>9</v>
      </c>
      <c r="H8" t="s">
        <v>10</v>
      </c>
      <c r="I8" t="s">
        <v>11</v>
      </c>
      <c r="J8">
        <f t="shared" si="1"/>
        <v>0.3</v>
      </c>
      <c r="K8">
        <f t="shared" si="1"/>
        <v>0.2</v>
      </c>
      <c r="M8" t="str">
        <f t="shared" si="2"/>
        <v>Brazil</v>
      </c>
      <c r="N8" t="s">
        <v>9</v>
      </c>
      <c r="O8" t="s">
        <v>10</v>
      </c>
      <c r="P8" t="s">
        <v>12</v>
      </c>
      <c r="Q8" s="7">
        <f t="shared" si="3"/>
        <v>0.4</v>
      </c>
      <c r="R8">
        <f t="shared" si="4"/>
        <v>0.3</v>
      </c>
    </row>
    <row r="9" spans="2:18">
      <c r="B9" t="s">
        <v>17</v>
      </c>
      <c r="C9" t="s">
        <v>8</v>
      </c>
      <c r="F9" t="str">
        <f t="shared" si="0"/>
        <v>Africa_North</v>
      </c>
      <c r="G9" t="s">
        <v>9</v>
      </c>
      <c r="H9" t="s">
        <v>10</v>
      </c>
      <c r="I9" t="s">
        <v>11</v>
      </c>
      <c r="J9">
        <f t="shared" si="1"/>
        <v>0.3</v>
      </c>
      <c r="K9">
        <f t="shared" si="1"/>
        <v>0.2</v>
      </c>
      <c r="M9" t="str">
        <f t="shared" si="2"/>
        <v>Africa_North</v>
      </c>
      <c r="N9" t="s">
        <v>9</v>
      </c>
      <c r="O9" t="s">
        <v>10</v>
      </c>
      <c r="P9" t="s">
        <v>12</v>
      </c>
      <c r="Q9" s="7">
        <f t="shared" si="3"/>
        <v>0.4</v>
      </c>
      <c r="R9">
        <f t="shared" si="4"/>
        <v>0.3</v>
      </c>
    </row>
    <row r="10" spans="2:18">
      <c r="B10" t="s">
        <v>18</v>
      </c>
      <c r="C10" t="s">
        <v>8</v>
      </c>
      <c r="F10" t="str">
        <f t="shared" si="0"/>
        <v>Ukraine</v>
      </c>
      <c r="G10" t="s">
        <v>9</v>
      </c>
      <c r="H10" t="s">
        <v>10</v>
      </c>
      <c r="I10" t="s">
        <v>11</v>
      </c>
      <c r="J10">
        <f t="shared" si="1"/>
        <v>0.3</v>
      </c>
      <c r="K10">
        <f t="shared" si="1"/>
        <v>0.2</v>
      </c>
      <c r="M10" t="str">
        <f t="shared" si="2"/>
        <v>Ukraine</v>
      </c>
      <c r="N10" t="s">
        <v>9</v>
      </c>
      <c r="O10" t="s">
        <v>10</v>
      </c>
      <c r="P10" t="s">
        <v>12</v>
      </c>
      <c r="Q10" s="7">
        <f t="shared" si="3"/>
        <v>0.4</v>
      </c>
      <c r="R10">
        <f t="shared" si="4"/>
        <v>0.3</v>
      </c>
    </row>
    <row r="11" spans="2:18">
      <c r="B11" t="s">
        <v>19</v>
      </c>
      <c r="C11" t="s">
        <v>8</v>
      </c>
      <c r="F11" t="str">
        <f t="shared" si="0"/>
        <v>SouthAfrica</v>
      </c>
      <c r="G11" t="s">
        <v>9</v>
      </c>
      <c r="H11" t="s">
        <v>10</v>
      </c>
      <c r="I11" t="s">
        <v>11</v>
      </c>
      <c r="J11">
        <f t="shared" si="1"/>
        <v>0.3</v>
      </c>
      <c r="K11">
        <f t="shared" si="1"/>
        <v>0.2</v>
      </c>
      <c r="M11" t="str">
        <f t="shared" si="2"/>
        <v>SouthAfrica</v>
      </c>
      <c r="N11" t="s">
        <v>9</v>
      </c>
      <c r="O11" t="s">
        <v>10</v>
      </c>
      <c r="P11" t="s">
        <v>12</v>
      </c>
      <c r="Q11" s="7">
        <f t="shared" si="3"/>
        <v>0.4</v>
      </c>
      <c r="R11">
        <f t="shared" si="4"/>
        <v>0.3</v>
      </c>
    </row>
    <row r="12" spans="2:18">
      <c r="B12" t="s">
        <v>20</v>
      </c>
      <c r="C12" t="s">
        <v>8</v>
      </c>
      <c r="F12" t="str">
        <f t="shared" ref="F12:F22" si="5">B12</f>
        <v>LatAm</v>
      </c>
      <c r="G12" t="s">
        <v>9</v>
      </c>
      <c r="H12" t="s">
        <v>10</v>
      </c>
      <c r="I12" t="s">
        <v>11</v>
      </c>
      <c r="J12">
        <f t="shared" si="1"/>
        <v>0.3</v>
      </c>
      <c r="K12">
        <f t="shared" si="1"/>
        <v>0.2</v>
      </c>
      <c r="M12" t="str">
        <f t="shared" ref="M12:M22" si="6">F12</f>
        <v>LatAm</v>
      </c>
      <c r="N12" t="s">
        <v>9</v>
      </c>
      <c r="O12" t="s">
        <v>10</v>
      </c>
      <c r="P12" t="s">
        <v>12</v>
      </c>
      <c r="Q12" s="7">
        <f t="shared" si="3"/>
        <v>0.4</v>
      </c>
      <c r="R12">
        <f t="shared" si="4"/>
        <v>0.3</v>
      </c>
    </row>
    <row r="13" spans="2:18">
      <c r="B13" t="s">
        <v>21</v>
      </c>
      <c r="C13" t="s">
        <v>8</v>
      </c>
      <c r="F13" t="str">
        <f t="shared" si="5"/>
        <v>MidEast</v>
      </c>
      <c r="G13" t="s">
        <v>9</v>
      </c>
      <c r="H13" t="s">
        <v>10</v>
      </c>
      <c r="I13" t="s">
        <v>11</v>
      </c>
      <c r="J13">
        <f t="shared" si="1"/>
        <v>0.3</v>
      </c>
      <c r="K13">
        <f t="shared" si="1"/>
        <v>0.2</v>
      </c>
      <c r="M13" t="str">
        <f t="shared" si="6"/>
        <v>MidEast</v>
      </c>
      <c r="N13" t="s">
        <v>9</v>
      </c>
      <c r="O13" t="s">
        <v>10</v>
      </c>
      <c r="P13" t="s">
        <v>12</v>
      </c>
      <c r="Q13" s="7">
        <f t="shared" si="3"/>
        <v>0.4</v>
      </c>
      <c r="R13">
        <f t="shared" si="4"/>
        <v>0.3</v>
      </c>
    </row>
    <row r="14" spans="2:18">
      <c r="B14" t="s">
        <v>22</v>
      </c>
      <c r="C14" t="s">
        <v>23</v>
      </c>
      <c r="F14" t="str">
        <f t="shared" si="5"/>
        <v>Turkey</v>
      </c>
      <c r="G14" t="s">
        <v>9</v>
      </c>
      <c r="H14" t="s">
        <v>10</v>
      </c>
      <c r="I14" t="s">
        <v>11</v>
      </c>
      <c r="J14">
        <f t="shared" si="1"/>
        <v>0.2</v>
      </c>
      <c r="K14">
        <f t="shared" si="1"/>
        <v>0.1</v>
      </c>
      <c r="M14" t="str">
        <f t="shared" si="6"/>
        <v>Turkey</v>
      </c>
      <c r="N14" t="s">
        <v>9</v>
      </c>
      <c r="O14" t="s">
        <v>10</v>
      </c>
      <c r="P14" t="s">
        <v>12</v>
      </c>
      <c r="Q14" s="7">
        <f t="shared" si="3"/>
        <v>0.3</v>
      </c>
      <c r="R14">
        <f t="shared" si="4"/>
        <v>0.2</v>
      </c>
    </row>
    <row r="15" spans="2:18">
      <c r="B15" t="s">
        <v>24</v>
      </c>
      <c r="C15" t="s">
        <v>23</v>
      </c>
      <c r="F15" t="str">
        <f t="shared" si="5"/>
        <v>Russia</v>
      </c>
      <c r="G15" t="s">
        <v>9</v>
      </c>
      <c r="H15" t="s">
        <v>10</v>
      </c>
      <c r="I15" t="s">
        <v>11</v>
      </c>
      <c r="J15">
        <f t="shared" si="1"/>
        <v>0.2</v>
      </c>
      <c r="K15">
        <f t="shared" si="1"/>
        <v>0.1</v>
      </c>
      <c r="M15" t="str">
        <f t="shared" si="6"/>
        <v>Russia</v>
      </c>
      <c r="N15" t="s">
        <v>9</v>
      </c>
      <c r="O15" t="s">
        <v>10</v>
      </c>
      <c r="P15" t="s">
        <v>12</v>
      </c>
      <c r="Q15" s="7">
        <f t="shared" si="3"/>
        <v>0.3</v>
      </c>
      <c r="R15">
        <f t="shared" si="4"/>
        <v>0.2</v>
      </c>
    </row>
    <row r="16" spans="2:18">
      <c r="B16" t="s">
        <v>25</v>
      </c>
      <c r="C16" t="s">
        <v>23</v>
      </c>
      <c r="F16" t="str">
        <f t="shared" si="5"/>
        <v>HunRomBul</v>
      </c>
      <c r="G16" t="s">
        <v>9</v>
      </c>
      <c r="H16" t="s">
        <v>10</v>
      </c>
      <c r="I16" t="s">
        <v>11</v>
      </c>
      <c r="J16">
        <f t="shared" si="1"/>
        <v>0.2</v>
      </c>
      <c r="K16">
        <f t="shared" si="1"/>
        <v>0.1</v>
      </c>
      <c r="M16" t="str">
        <f t="shared" si="6"/>
        <v>HunRomBul</v>
      </c>
      <c r="N16" t="s">
        <v>9</v>
      </c>
      <c r="O16" t="s">
        <v>10</v>
      </c>
      <c r="P16" t="s">
        <v>12</v>
      </c>
      <c r="Q16" s="7">
        <f t="shared" si="3"/>
        <v>0.3</v>
      </c>
      <c r="R16">
        <f t="shared" si="4"/>
        <v>0.2</v>
      </c>
    </row>
    <row r="17" spans="2:18">
      <c r="B17" t="s">
        <v>26</v>
      </c>
      <c r="C17" t="s">
        <v>23</v>
      </c>
      <c r="F17" t="str">
        <f t="shared" si="5"/>
        <v>CroSloven</v>
      </c>
      <c r="G17" t="s">
        <v>9</v>
      </c>
      <c r="H17" t="s">
        <v>10</v>
      </c>
      <c r="I17" t="s">
        <v>11</v>
      </c>
      <c r="J17">
        <f t="shared" si="1"/>
        <v>0.2</v>
      </c>
      <c r="K17">
        <f t="shared" si="1"/>
        <v>0.1</v>
      </c>
      <c r="M17" t="str">
        <f t="shared" si="6"/>
        <v>CroSloven</v>
      </c>
      <c r="N17" t="s">
        <v>9</v>
      </c>
      <c r="O17" t="s">
        <v>10</v>
      </c>
      <c r="P17" t="s">
        <v>12</v>
      </c>
      <c r="Q17" s="7">
        <f t="shared" si="3"/>
        <v>0.3</v>
      </c>
      <c r="R17">
        <f t="shared" si="4"/>
        <v>0.2</v>
      </c>
    </row>
    <row r="18" spans="2:18">
      <c r="B18" t="s">
        <v>27</v>
      </c>
      <c r="C18" t="s">
        <v>23</v>
      </c>
      <c r="F18" t="str">
        <f t="shared" si="5"/>
        <v>SpainPor</v>
      </c>
      <c r="G18" t="s">
        <v>9</v>
      </c>
      <c r="H18" t="s">
        <v>10</v>
      </c>
      <c r="I18" t="s">
        <v>11</v>
      </c>
      <c r="J18">
        <f t="shared" si="1"/>
        <v>0.2</v>
      </c>
      <c r="K18">
        <f t="shared" si="1"/>
        <v>0.1</v>
      </c>
      <c r="M18" t="str">
        <f t="shared" si="6"/>
        <v>SpainPor</v>
      </c>
      <c r="N18" t="s">
        <v>9</v>
      </c>
      <c r="O18" t="s">
        <v>10</v>
      </c>
      <c r="P18" t="s">
        <v>12</v>
      </c>
      <c r="Q18" s="7">
        <f t="shared" si="3"/>
        <v>0.3</v>
      </c>
      <c r="R18">
        <f t="shared" si="4"/>
        <v>0.2</v>
      </c>
    </row>
    <row r="19" spans="2:18">
      <c r="B19" t="s">
        <v>28</v>
      </c>
      <c r="C19" t="s">
        <v>23</v>
      </c>
      <c r="F19" t="str">
        <f t="shared" si="5"/>
        <v>GreeceCyp</v>
      </c>
      <c r="G19" t="s">
        <v>9</v>
      </c>
      <c r="H19" t="s">
        <v>10</v>
      </c>
      <c r="I19" t="s">
        <v>11</v>
      </c>
      <c r="J19">
        <f t="shared" si="1"/>
        <v>0.2</v>
      </c>
      <c r="K19">
        <f t="shared" si="1"/>
        <v>0.1</v>
      </c>
      <c r="M19" t="str">
        <f t="shared" si="6"/>
        <v>GreeceCyp</v>
      </c>
      <c r="N19" t="s">
        <v>9</v>
      </c>
      <c r="O19" t="s">
        <v>10</v>
      </c>
      <c r="P19" t="s">
        <v>12</v>
      </c>
      <c r="Q19" s="7">
        <f t="shared" si="3"/>
        <v>0.3</v>
      </c>
      <c r="R19">
        <f t="shared" si="4"/>
        <v>0.2</v>
      </c>
    </row>
    <row r="20" spans="2:18">
      <c r="B20" t="s">
        <v>29</v>
      </c>
      <c r="C20" t="s">
        <v>23</v>
      </c>
      <c r="F20" t="str">
        <f t="shared" si="5"/>
        <v>China</v>
      </c>
      <c r="G20" t="s">
        <v>9</v>
      </c>
      <c r="H20" t="s">
        <v>10</v>
      </c>
      <c r="I20" t="s">
        <v>11</v>
      </c>
      <c r="J20">
        <f t="shared" si="1"/>
        <v>0.2</v>
      </c>
      <c r="K20">
        <f t="shared" si="1"/>
        <v>0.1</v>
      </c>
      <c r="M20" t="str">
        <f t="shared" si="6"/>
        <v>China</v>
      </c>
      <c r="N20" t="s">
        <v>9</v>
      </c>
      <c r="O20" t="s">
        <v>10</v>
      </c>
      <c r="P20" t="s">
        <v>12</v>
      </c>
      <c r="Q20" s="7">
        <f t="shared" si="3"/>
        <v>0.3</v>
      </c>
      <c r="R20">
        <f t="shared" si="4"/>
        <v>0.2</v>
      </c>
    </row>
    <row r="21" spans="2:18">
      <c r="B21" t="s">
        <v>30</v>
      </c>
      <c r="C21" t="s">
        <v>23</v>
      </c>
      <c r="F21" t="str">
        <f t="shared" si="5"/>
        <v>ItalyMal</v>
      </c>
      <c r="G21" t="s">
        <v>9</v>
      </c>
      <c r="H21" t="s">
        <v>10</v>
      </c>
      <c r="I21" t="s">
        <v>11</v>
      </c>
      <c r="J21">
        <f t="shared" si="1"/>
        <v>0.2</v>
      </c>
      <c r="K21">
        <f t="shared" si="1"/>
        <v>0.1</v>
      </c>
      <c r="M21" t="str">
        <f t="shared" si="6"/>
        <v>ItalyMal</v>
      </c>
      <c r="N21" t="s">
        <v>9</v>
      </c>
      <c r="O21" t="s">
        <v>10</v>
      </c>
      <c r="P21" t="s">
        <v>12</v>
      </c>
      <c r="Q21" s="7">
        <f t="shared" si="3"/>
        <v>0.3</v>
      </c>
      <c r="R21">
        <f t="shared" si="4"/>
        <v>0.2</v>
      </c>
    </row>
    <row r="22" spans="2:18">
      <c r="B22" t="s">
        <v>31</v>
      </c>
      <c r="C22" t="s">
        <v>23</v>
      </c>
      <c r="F22" t="str">
        <f t="shared" si="5"/>
        <v>Poland</v>
      </c>
      <c r="G22" t="s">
        <v>9</v>
      </c>
      <c r="H22" t="s">
        <v>10</v>
      </c>
      <c r="I22" t="s">
        <v>11</v>
      </c>
      <c r="J22">
        <f t="shared" si="1"/>
        <v>0.2</v>
      </c>
      <c r="K22">
        <f t="shared" si="1"/>
        <v>0.1</v>
      </c>
      <c r="M22" t="str">
        <f t="shared" si="6"/>
        <v>Poland</v>
      </c>
      <c r="N22" t="s">
        <v>9</v>
      </c>
      <c r="O22" t="s">
        <v>10</v>
      </c>
      <c r="P22" t="s">
        <v>12</v>
      </c>
      <c r="Q22" s="7">
        <f t="shared" si="3"/>
        <v>0.3</v>
      </c>
      <c r="R22">
        <f t="shared" si="4"/>
        <v>0.2</v>
      </c>
    </row>
    <row r="23" spans="2:18">
      <c r="B23" t="s">
        <v>32</v>
      </c>
      <c r="C23" t="s">
        <v>23</v>
      </c>
      <c r="F23" t="str">
        <f t="shared" ref="F23" si="7">B23</f>
        <v>Baltics</v>
      </c>
      <c r="G23" t="s">
        <v>9</v>
      </c>
      <c r="H23" t="s">
        <v>10</v>
      </c>
      <c r="I23" t="s">
        <v>11</v>
      </c>
      <c r="J23">
        <f t="shared" si="1"/>
        <v>0.2</v>
      </c>
      <c r="K23">
        <f t="shared" si="1"/>
        <v>0.1</v>
      </c>
      <c r="M23" t="str">
        <f t="shared" ref="M23" si="8">F23</f>
        <v>Baltics</v>
      </c>
      <c r="N23" t="s">
        <v>9</v>
      </c>
      <c r="O23" t="s">
        <v>10</v>
      </c>
      <c r="P23" t="s">
        <v>12</v>
      </c>
      <c r="Q23" s="7">
        <f t="shared" si="3"/>
        <v>0.3</v>
      </c>
      <c r="R23">
        <f t="shared" si="4"/>
        <v>0.2</v>
      </c>
    </row>
    <row r="24" spans="2:18">
      <c r="B24" t="s">
        <v>33</v>
      </c>
      <c r="C24" t="s">
        <v>23</v>
      </c>
      <c r="F24" t="str">
        <f t="shared" si="0"/>
        <v>France</v>
      </c>
      <c r="G24" t="s">
        <v>9</v>
      </c>
      <c r="H24" t="s">
        <v>10</v>
      </c>
      <c r="I24" t="s">
        <v>11</v>
      </c>
      <c r="J24">
        <f t="shared" si="1"/>
        <v>0.2</v>
      </c>
      <c r="K24">
        <f t="shared" si="1"/>
        <v>0.1</v>
      </c>
      <c r="M24" t="str">
        <f t="shared" si="2"/>
        <v>France</v>
      </c>
      <c r="N24" t="s">
        <v>9</v>
      </c>
      <c r="O24" t="s">
        <v>10</v>
      </c>
      <c r="P24" t="s">
        <v>12</v>
      </c>
      <c r="Q24" s="7">
        <f t="shared" si="3"/>
        <v>0.3</v>
      </c>
      <c r="R24">
        <f t="shared" si="4"/>
        <v>0.2</v>
      </c>
    </row>
    <row r="25" spans="2:18">
      <c r="B25" t="s">
        <v>34</v>
      </c>
      <c r="C25" t="s">
        <v>23</v>
      </c>
      <c r="F25" t="str">
        <f t="shared" ref="F25:F30" si="9">B25</f>
        <v>Japan</v>
      </c>
      <c r="G25" t="s">
        <v>9</v>
      </c>
      <c r="H25" t="s">
        <v>10</v>
      </c>
      <c r="I25" t="s">
        <v>11</v>
      </c>
      <c r="J25">
        <f t="shared" si="1"/>
        <v>0.2</v>
      </c>
      <c r="K25">
        <f t="shared" si="1"/>
        <v>0.1</v>
      </c>
      <c r="M25" t="str">
        <f t="shared" ref="M25:M30" si="10">F25</f>
        <v>Japan</v>
      </c>
      <c r="N25" t="s">
        <v>9</v>
      </c>
      <c r="O25" t="s">
        <v>10</v>
      </c>
      <c r="P25" t="s">
        <v>12</v>
      </c>
      <c r="Q25" s="7">
        <f t="shared" si="3"/>
        <v>0.3</v>
      </c>
      <c r="R25">
        <f t="shared" si="4"/>
        <v>0.2</v>
      </c>
    </row>
    <row r="26" spans="2:18">
      <c r="B26" t="s">
        <v>35</v>
      </c>
      <c r="C26" t="s">
        <v>23</v>
      </c>
      <c r="F26" t="str">
        <f t="shared" si="9"/>
        <v>UK</v>
      </c>
      <c r="G26" t="s">
        <v>9</v>
      </c>
      <c r="H26" t="s">
        <v>10</v>
      </c>
      <c r="I26" t="s">
        <v>11</v>
      </c>
      <c r="J26">
        <f t="shared" si="1"/>
        <v>0.2</v>
      </c>
      <c r="K26">
        <f t="shared" si="1"/>
        <v>0.1</v>
      </c>
      <c r="M26" t="str">
        <f t="shared" si="10"/>
        <v>UK</v>
      </c>
      <c r="N26" t="s">
        <v>9</v>
      </c>
      <c r="O26" t="s">
        <v>10</v>
      </c>
      <c r="P26" t="s">
        <v>12</v>
      </c>
      <c r="Q26" s="7">
        <f t="shared" si="3"/>
        <v>0.3</v>
      </c>
      <c r="R26">
        <f t="shared" si="4"/>
        <v>0.2</v>
      </c>
    </row>
    <row r="27" spans="2:18">
      <c r="B27" t="s">
        <v>36</v>
      </c>
      <c r="C27" t="s">
        <v>23</v>
      </c>
      <c r="F27" t="str">
        <f t="shared" si="9"/>
        <v>SaudiArabia</v>
      </c>
      <c r="G27" t="s">
        <v>9</v>
      </c>
      <c r="H27" t="s">
        <v>10</v>
      </c>
      <c r="I27" t="s">
        <v>11</v>
      </c>
      <c r="J27">
        <f t="shared" si="1"/>
        <v>0.2</v>
      </c>
      <c r="K27">
        <f t="shared" si="1"/>
        <v>0.1</v>
      </c>
      <c r="M27" t="str">
        <f t="shared" si="10"/>
        <v>SaudiArabia</v>
      </c>
      <c r="N27" t="s">
        <v>9</v>
      </c>
      <c r="O27" t="s">
        <v>10</v>
      </c>
      <c r="P27" t="s">
        <v>12</v>
      </c>
      <c r="Q27" s="7">
        <f t="shared" si="3"/>
        <v>0.3</v>
      </c>
      <c r="R27">
        <f t="shared" si="4"/>
        <v>0.2</v>
      </c>
    </row>
    <row r="28" spans="2:18">
      <c r="B28" t="s">
        <v>37</v>
      </c>
      <c r="C28" t="s">
        <v>23</v>
      </c>
      <c r="F28" t="str">
        <f t="shared" si="9"/>
        <v>SweFinDen</v>
      </c>
      <c r="G28" t="s">
        <v>9</v>
      </c>
      <c r="H28" t="s">
        <v>10</v>
      </c>
      <c r="I28" t="s">
        <v>11</v>
      </c>
      <c r="J28">
        <f t="shared" si="1"/>
        <v>0.2</v>
      </c>
      <c r="K28">
        <f t="shared" si="1"/>
        <v>0.1</v>
      </c>
      <c r="M28" t="str">
        <f t="shared" si="10"/>
        <v>SweFinDen</v>
      </c>
      <c r="N28" t="s">
        <v>9</v>
      </c>
      <c r="O28" t="s">
        <v>10</v>
      </c>
      <c r="P28" t="s">
        <v>12</v>
      </c>
      <c r="Q28" s="7">
        <f t="shared" si="3"/>
        <v>0.3</v>
      </c>
      <c r="R28">
        <f t="shared" si="4"/>
        <v>0.2</v>
      </c>
    </row>
    <row r="29" spans="2:18">
      <c r="B29" t="s">
        <v>38</v>
      </c>
      <c r="C29" t="s">
        <v>23</v>
      </c>
      <c r="F29" t="str">
        <f t="shared" si="9"/>
        <v>Germany</v>
      </c>
      <c r="G29" t="s">
        <v>9</v>
      </c>
      <c r="H29" t="s">
        <v>10</v>
      </c>
      <c r="I29" t="s">
        <v>11</v>
      </c>
      <c r="J29">
        <f t="shared" si="1"/>
        <v>0.2</v>
      </c>
      <c r="K29">
        <f t="shared" si="1"/>
        <v>0.1</v>
      </c>
      <c r="M29" t="str">
        <f t="shared" si="10"/>
        <v>Germany</v>
      </c>
      <c r="N29" t="s">
        <v>9</v>
      </c>
      <c r="O29" t="s">
        <v>10</v>
      </c>
      <c r="P29" t="s">
        <v>12</v>
      </c>
      <c r="Q29" s="7">
        <f t="shared" si="3"/>
        <v>0.3</v>
      </c>
      <c r="R29">
        <f t="shared" si="4"/>
        <v>0.2</v>
      </c>
    </row>
    <row r="30" spans="2:18">
      <c r="B30" t="s">
        <v>39</v>
      </c>
      <c r="C30" t="s">
        <v>23</v>
      </c>
      <c r="F30" t="str">
        <f t="shared" si="9"/>
        <v>Australia</v>
      </c>
      <c r="G30" t="s">
        <v>9</v>
      </c>
      <c r="H30" t="s">
        <v>10</v>
      </c>
      <c r="I30" t="s">
        <v>11</v>
      </c>
      <c r="J30">
        <f t="shared" si="1"/>
        <v>0.2</v>
      </c>
      <c r="K30">
        <f t="shared" si="1"/>
        <v>0.1</v>
      </c>
      <c r="M30" t="str">
        <f t="shared" si="10"/>
        <v>Australia</v>
      </c>
      <c r="N30" t="s">
        <v>9</v>
      </c>
      <c r="O30" t="s">
        <v>10</v>
      </c>
      <c r="P30" t="s">
        <v>12</v>
      </c>
      <c r="Q30" s="7">
        <f t="shared" si="3"/>
        <v>0.3</v>
      </c>
      <c r="R30">
        <f t="shared" si="4"/>
        <v>0.2</v>
      </c>
    </row>
    <row r="31" spans="2:18">
      <c r="B31" t="s">
        <v>40</v>
      </c>
      <c r="C31" t="s">
        <v>23</v>
      </c>
      <c r="F31" t="str">
        <f t="shared" ref="F31:F33" si="11">B31</f>
        <v>CzechSlovak</v>
      </c>
      <c r="G31" t="s">
        <v>9</v>
      </c>
      <c r="H31" t="s">
        <v>10</v>
      </c>
      <c r="I31" t="s">
        <v>11</v>
      </c>
      <c r="J31">
        <f t="shared" si="1"/>
        <v>0.2</v>
      </c>
      <c r="K31">
        <f t="shared" si="1"/>
        <v>0.1</v>
      </c>
      <c r="M31" t="str">
        <f t="shared" ref="M31:M33" si="12">F31</f>
        <v>CzechSlovak</v>
      </c>
      <c r="N31" t="s">
        <v>9</v>
      </c>
      <c r="O31" t="s">
        <v>10</v>
      </c>
      <c r="P31" t="s">
        <v>12</v>
      </c>
      <c r="Q31" s="7">
        <f t="shared" si="3"/>
        <v>0.3</v>
      </c>
      <c r="R31">
        <f t="shared" si="4"/>
        <v>0.2</v>
      </c>
    </row>
    <row r="32" spans="2:18">
      <c r="B32" t="s">
        <v>41</v>
      </c>
      <c r="C32" t="s">
        <v>23</v>
      </c>
      <c r="F32" t="str">
        <f t="shared" si="11"/>
        <v>NorthAm</v>
      </c>
      <c r="G32" t="s">
        <v>9</v>
      </c>
      <c r="H32" t="s">
        <v>10</v>
      </c>
      <c r="I32" t="s">
        <v>11</v>
      </c>
      <c r="J32">
        <f t="shared" si="1"/>
        <v>0.2</v>
      </c>
      <c r="K32">
        <f t="shared" si="1"/>
        <v>0.1</v>
      </c>
      <c r="M32" t="str">
        <f t="shared" si="12"/>
        <v>NorthAm</v>
      </c>
      <c r="N32" t="s">
        <v>9</v>
      </c>
      <c r="O32" t="s">
        <v>10</v>
      </c>
      <c r="P32" t="s">
        <v>12</v>
      </c>
      <c r="Q32" s="7">
        <f t="shared" si="3"/>
        <v>0.3</v>
      </c>
      <c r="R32">
        <f t="shared" si="4"/>
        <v>0.2</v>
      </c>
    </row>
    <row r="33" spans="2:18">
      <c r="B33" t="s">
        <v>42</v>
      </c>
      <c r="C33" t="s">
        <v>23</v>
      </c>
      <c r="F33" t="str">
        <f t="shared" si="11"/>
        <v>Austria</v>
      </c>
      <c r="G33" t="s">
        <v>9</v>
      </c>
      <c r="H33" t="s">
        <v>10</v>
      </c>
      <c r="I33" t="s">
        <v>11</v>
      </c>
      <c r="J33">
        <f t="shared" si="1"/>
        <v>0.2</v>
      </c>
      <c r="K33">
        <f t="shared" si="1"/>
        <v>0.1</v>
      </c>
      <c r="M33" t="str">
        <f t="shared" si="12"/>
        <v>Austria</v>
      </c>
      <c r="N33" t="s">
        <v>9</v>
      </c>
      <c r="O33" t="s">
        <v>10</v>
      </c>
      <c r="P33" t="s">
        <v>12</v>
      </c>
      <c r="Q33" s="7">
        <f t="shared" si="3"/>
        <v>0.3</v>
      </c>
      <c r="R33">
        <f t="shared" si="4"/>
        <v>0.2</v>
      </c>
    </row>
    <row r="34" spans="2:18">
      <c r="B34" t="s">
        <v>43</v>
      </c>
      <c r="C34" t="s">
        <v>23</v>
      </c>
      <c r="F34" t="str">
        <f t="shared" ref="F34:F38" si="13">B34</f>
        <v>BeNeLux</v>
      </c>
      <c r="G34" t="s">
        <v>9</v>
      </c>
      <c r="H34" t="s">
        <v>10</v>
      </c>
      <c r="I34" t="s">
        <v>11</v>
      </c>
      <c r="J34">
        <f t="shared" si="1"/>
        <v>0.2</v>
      </c>
      <c r="K34">
        <f t="shared" si="1"/>
        <v>0.1</v>
      </c>
      <c r="M34" t="str">
        <f t="shared" ref="M34:M38" si="14">F34</f>
        <v>BeNeLux</v>
      </c>
      <c r="N34" t="s">
        <v>9</v>
      </c>
      <c r="O34" t="s">
        <v>10</v>
      </c>
      <c r="P34" t="s">
        <v>12</v>
      </c>
      <c r="Q34" s="7">
        <f t="shared" si="3"/>
        <v>0.3</v>
      </c>
      <c r="R34">
        <f t="shared" si="4"/>
        <v>0.2</v>
      </c>
    </row>
    <row r="35" spans="2:18">
      <c r="B35" t="s">
        <v>44</v>
      </c>
      <c r="C35" t="s">
        <v>23</v>
      </c>
      <c r="F35" t="str">
        <f t="shared" si="13"/>
        <v>Norway</v>
      </c>
      <c r="G35" t="s">
        <v>9</v>
      </c>
      <c r="H35" t="s">
        <v>10</v>
      </c>
      <c r="I35" t="s">
        <v>11</v>
      </c>
      <c r="J35">
        <f t="shared" si="1"/>
        <v>0.2</v>
      </c>
      <c r="K35">
        <f t="shared" si="1"/>
        <v>0.1</v>
      </c>
      <c r="M35" t="str">
        <f t="shared" si="14"/>
        <v>Norway</v>
      </c>
      <c r="N35" t="s">
        <v>9</v>
      </c>
      <c r="O35" t="s">
        <v>10</v>
      </c>
      <c r="P35" t="s">
        <v>12</v>
      </c>
      <c r="Q35" s="7">
        <f t="shared" si="3"/>
        <v>0.3</v>
      </c>
      <c r="R35">
        <f t="shared" si="4"/>
        <v>0.2</v>
      </c>
    </row>
    <row r="36" spans="2:18">
      <c r="B36" t="s">
        <v>45</v>
      </c>
      <c r="C36" t="s">
        <v>23</v>
      </c>
      <c r="F36" t="str">
        <f t="shared" si="13"/>
        <v>Switzerland</v>
      </c>
      <c r="G36" t="s">
        <v>9</v>
      </c>
      <c r="H36" t="s">
        <v>10</v>
      </c>
      <c r="I36" t="s">
        <v>11</v>
      </c>
      <c r="J36">
        <f t="shared" si="1"/>
        <v>0.2</v>
      </c>
      <c r="K36">
        <f t="shared" si="1"/>
        <v>0.1</v>
      </c>
      <c r="M36" t="str">
        <f t="shared" si="14"/>
        <v>Switzerland</v>
      </c>
      <c r="N36" t="s">
        <v>9</v>
      </c>
      <c r="O36" t="s">
        <v>10</v>
      </c>
      <c r="P36" t="s">
        <v>12</v>
      </c>
      <c r="Q36" s="7">
        <f t="shared" si="3"/>
        <v>0.3</v>
      </c>
      <c r="R36">
        <f t="shared" si="4"/>
        <v>0.2</v>
      </c>
    </row>
    <row r="37" spans="2:18">
      <c r="B37" t="s">
        <v>46</v>
      </c>
      <c r="C37" t="s">
        <v>23</v>
      </c>
      <c r="F37" t="str">
        <f t="shared" si="13"/>
        <v>Iceland</v>
      </c>
      <c r="G37" t="s">
        <v>9</v>
      </c>
      <c r="H37" t="s">
        <v>10</v>
      </c>
      <c r="I37" t="s">
        <v>11</v>
      </c>
      <c r="J37">
        <f t="shared" si="1"/>
        <v>0.2</v>
      </c>
      <c r="K37">
        <f t="shared" si="1"/>
        <v>0.1</v>
      </c>
      <c r="M37" t="str">
        <f t="shared" si="14"/>
        <v>Iceland</v>
      </c>
      <c r="N37" t="s">
        <v>9</v>
      </c>
      <c r="O37" t="s">
        <v>10</v>
      </c>
      <c r="P37" t="s">
        <v>12</v>
      </c>
      <c r="Q37" s="7">
        <f t="shared" si="3"/>
        <v>0.3</v>
      </c>
      <c r="R37">
        <f t="shared" si="4"/>
        <v>0.2</v>
      </c>
    </row>
    <row r="38" spans="2:18">
      <c r="B38" t="s">
        <v>47</v>
      </c>
      <c r="C38" t="s">
        <v>23</v>
      </c>
      <c r="F38" t="str">
        <f t="shared" si="13"/>
        <v>Ireland</v>
      </c>
      <c r="G38" t="s">
        <v>9</v>
      </c>
      <c r="H38" t="s">
        <v>10</v>
      </c>
      <c r="I38" t="s">
        <v>11</v>
      </c>
      <c r="J38">
        <f t="shared" si="1"/>
        <v>0.2</v>
      </c>
      <c r="K38">
        <f t="shared" si="1"/>
        <v>0.1</v>
      </c>
      <c r="M38" t="str">
        <f t="shared" si="14"/>
        <v>Ireland</v>
      </c>
      <c r="N38" t="s">
        <v>9</v>
      </c>
      <c r="O38" t="s">
        <v>10</v>
      </c>
      <c r="P38" t="s">
        <v>12</v>
      </c>
      <c r="Q38" s="7">
        <f t="shared" si="3"/>
        <v>0.3</v>
      </c>
      <c r="R38">
        <f t="shared" si="4"/>
        <v>0.2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999"/>
  <sheetViews>
    <sheetView zoomScale="74" zoomScaleNormal="74" workbookViewId="0">
      <selection activeCell="J21" sqref="J21"/>
    </sheetView>
  </sheetViews>
  <sheetFormatPr defaultColWidth="9" defaultRowHeight="14.5"/>
  <cols>
    <col min="3" max="3" width="12.0909090909091" customWidth="1"/>
    <col min="4" max="4" width="10.8181818181818" customWidth="1"/>
  </cols>
  <sheetData>
    <row r="1" spans="1:63">
      <c r="A1" t="s">
        <v>48</v>
      </c>
      <c r="B1" t="s">
        <v>4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BJ1" t="s">
        <v>59</v>
      </c>
      <c r="BK1" t="s">
        <v>60</v>
      </c>
    </row>
    <row r="2" spans="62:63">
      <c r="BJ2" t="str">
        <f>MID(C2,5,3)</f>
        <v/>
      </c>
      <c r="BK2" t="str">
        <f>RIGHT(C2,3)</f>
        <v/>
      </c>
    </row>
    <row r="3" spans="62:63">
      <c r="BJ3" t="str">
        <f t="shared" ref="BJ3:BJ66" si="0">MID(C3,5,3)</f>
        <v/>
      </c>
      <c r="BK3" t="str">
        <f t="shared" ref="BK3:BK66" si="1">RIGHT(C3,3)</f>
        <v/>
      </c>
    </row>
    <row r="4" spans="62:63">
      <c r="BJ4" t="str">
        <f t="shared" si="0"/>
        <v/>
      </c>
      <c r="BK4" t="str">
        <f t="shared" si="1"/>
        <v/>
      </c>
    </row>
    <row r="5" spans="62:63">
      <c r="BJ5" t="str">
        <f t="shared" si="0"/>
        <v/>
      </c>
      <c r="BK5" t="str">
        <f t="shared" si="1"/>
        <v/>
      </c>
    </row>
    <row r="6" spans="62:63">
      <c r="BJ6" t="str">
        <f t="shared" si="0"/>
        <v/>
      </c>
      <c r="BK6" t="str">
        <f t="shared" si="1"/>
        <v/>
      </c>
    </row>
    <row r="7" spans="62:63">
      <c r="BJ7" t="str">
        <f t="shared" si="0"/>
        <v/>
      </c>
      <c r="BK7" t="str">
        <f t="shared" si="1"/>
        <v/>
      </c>
    </row>
    <row r="8" spans="62:63">
      <c r="BJ8" t="str">
        <f t="shared" si="0"/>
        <v/>
      </c>
      <c r="BK8" t="str">
        <f t="shared" si="1"/>
        <v/>
      </c>
    </row>
    <row r="9" spans="62:63">
      <c r="BJ9" t="str">
        <f t="shared" si="0"/>
        <v/>
      </c>
      <c r="BK9" t="str">
        <f t="shared" si="1"/>
        <v/>
      </c>
    </row>
    <row r="10" spans="62:63">
      <c r="BJ10" t="str">
        <f t="shared" si="0"/>
        <v/>
      </c>
      <c r="BK10" t="str">
        <f t="shared" si="1"/>
        <v/>
      </c>
    </row>
    <row r="11" spans="62:63">
      <c r="BJ11" t="str">
        <f t="shared" si="0"/>
        <v/>
      </c>
      <c r="BK11" t="str">
        <f t="shared" si="1"/>
        <v/>
      </c>
    </row>
    <row r="12" spans="62:63">
      <c r="BJ12" t="str">
        <f t="shared" si="0"/>
        <v/>
      </c>
      <c r="BK12" t="str">
        <f t="shared" si="1"/>
        <v/>
      </c>
    </row>
    <row r="13" spans="62:63">
      <c r="BJ13" t="str">
        <f t="shared" si="0"/>
        <v/>
      </c>
      <c r="BK13" t="str">
        <f t="shared" si="1"/>
        <v/>
      </c>
    </row>
    <row r="14" spans="62:63">
      <c r="BJ14" t="str">
        <f t="shared" si="0"/>
        <v/>
      </c>
      <c r="BK14" t="str">
        <f t="shared" si="1"/>
        <v/>
      </c>
    </row>
    <row r="15" spans="62:63">
      <c r="BJ15" t="str">
        <f t="shared" si="0"/>
        <v/>
      </c>
      <c r="BK15" t="str">
        <f t="shared" si="1"/>
        <v/>
      </c>
    </row>
    <row r="16" spans="62:63">
      <c r="BJ16" t="str">
        <f t="shared" si="0"/>
        <v/>
      </c>
      <c r="BK16" t="str">
        <f t="shared" si="1"/>
        <v/>
      </c>
    </row>
    <row r="17" spans="62:63">
      <c r="BJ17" t="str">
        <f t="shared" si="0"/>
        <v/>
      </c>
      <c r="BK17" t="str">
        <f t="shared" si="1"/>
        <v/>
      </c>
    </row>
    <row r="18" spans="62:63">
      <c r="BJ18" t="str">
        <f t="shared" si="0"/>
        <v/>
      </c>
      <c r="BK18" t="str">
        <f t="shared" si="1"/>
        <v/>
      </c>
    </row>
    <row r="19" spans="62:63">
      <c r="BJ19" t="str">
        <f t="shared" si="0"/>
        <v/>
      </c>
      <c r="BK19" t="str">
        <f t="shared" si="1"/>
        <v/>
      </c>
    </row>
    <row r="20" spans="62:63">
      <c r="BJ20" t="str">
        <f t="shared" si="0"/>
        <v/>
      </c>
      <c r="BK20" t="str">
        <f t="shared" si="1"/>
        <v/>
      </c>
    </row>
    <row r="21" spans="62:63">
      <c r="BJ21" t="str">
        <f t="shared" si="0"/>
        <v/>
      </c>
      <c r="BK21" t="str">
        <f t="shared" si="1"/>
        <v/>
      </c>
    </row>
    <row r="22" spans="62:63">
      <c r="BJ22" t="str">
        <f t="shared" si="0"/>
        <v/>
      </c>
      <c r="BK22" t="str">
        <f t="shared" si="1"/>
        <v/>
      </c>
    </row>
    <row r="23" spans="62:63">
      <c r="BJ23" t="str">
        <f t="shared" si="0"/>
        <v/>
      </c>
      <c r="BK23" t="str">
        <f t="shared" si="1"/>
        <v/>
      </c>
    </row>
    <row r="24" spans="62:63">
      <c r="BJ24" t="str">
        <f t="shared" si="0"/>
        <v/>
      </c>
      <c r="BK24" t="str">
        <f t="shared" si="1"/>
        <v/>
      </c>
    </row>
    <row r="25" spans="62:63">
      <c r="BJ25" t="str">
        <f t="shared" si="0"/>
        <v/>
      </c>
      <c r="BK25" t="str">
        <f t="shared" si="1"/>
        <v/>
      </c>
    </row>
    <row r="26" spans="62:63">
      <c r="BJ26" t="str">
        <f t="shared" si="0"/>
        <v/>
      </c>
      <c r="BK26" t="str">
        <f t="shared" si="1"/>
        <v/>
      </c>
    </row>
    <row r="27" spans="62:63">
      <c r="BJ27" t="str">
        <f t="shared" si="0"/>
        <v/>
      </c>
      <c r="BK27" t="str">
        <f t="shared" si="1"/>
        <v/>
      </c>
    </row>
    <row r="28" spans="62:63">
      <c r="BJ28" t="str">
        <f t="shared" si="0"/>
        <v/>
      </c>
      <c r="BK28" t="str">
        <f t="shared" si="1"/>
        <v/>
      </c>
    </row>
    <row r="29" spans="62:63">
      <c r="BJ29" t="str">
        <f t="shared" si="0"/>
        <v/>
      </c>
      <c r="BK29" t="str">
        <f t="shared" si="1"/>
        <v/>
      </c>
    </row>
    <row r="30" spans="62:63">
      <c r="BJ30" t="str">
        <f t="shared" si="0"/>
        <v/>
      </c>
      <c r="BK30" t="str">
        <f t="shared" si="1"/>
        <v/>
      </c>
    </row>
    <row r="31" spans="62:63">
      <c r="BJ31" t="str">
        <f t="shared" si="0"/>
        <v/>
      </c>
      <c r="BK31" t="str">
        <f t="shared" si="1"/>
        <v/>
      </c>
    </row>
    <row r="32" spans="62:63">
      <c r="BJ32" t="str">
        <f t="shared" si="0"/>
        <v/>
      </c>
      <c r="BK32" t="str">
        <f t="shared" si="1"/>
        <v/>
      </c>
    </row>
    <row r="33" spans="62:63">
      <c r="BJ33" t="str">
        <f t="shared" si="0"/>
        <v/>
      </c>
      <c r="BK33" t="str">
        <f t="shared" si="1"/>
        <v/>
      </c>
    </row>
    <row r="34" spans="62:63">
      <c r="BJ34" t="str">
        <f t="shared" si="0"/>
        <v/>
      </c>
      <c r="BK34" t="str">
        <f t="shared" si="1"/>
        <v/>
      </c>
    </row>
    <row r="35" spans="62:63">
      <c r="BJ35" t="str">
        <f t="shared" si="0"/>
        <v/>
      </c>
      <c r="BK35" t="str">
        <f t="shared" si="1"/>
        <v/>
      </c>
    </row>
    <row r="36" spans="62:63">
      <c r="BJ36" t="str">
        <f t="shared" si="0"/>
        <v/>
      </c>
      <c r="BK36" t="str">
        <f t="shared" si="1"/>
        <v/>
      </c>
    </row>
    <row r="37" spans="62:63">
      <c r="BJ37" t="str">
        <f t="shared" si="0"/>
        <v/>
      </c>
      <c r="BK37" t="str">
        <f t="shared" si="1"/>
        <v/>
      </c>
    </row>
    <row r="38" spans="62:63">
      <c r="BJ38" t="str">
        <f t="shared" si="0"/>
        <v/>
      </c>
      <c r="BK38" t="str">
        <f t="shared" si="1"/>
        <v/>
      </c>
    </row>
    <row r="39" spans="62:63">
      <c r="BJ39" t="str">
        <f t="shared" si="0"/>
        <v/>
      </c>
      <c r="BK39" t="str">
        <f t="shared" si="1"/>
        <v/>
      </c>
    </row>
    <row r="40" spans="62:63">
      <c r="BJ40" t="str">
        <f t="shared" si="0"/>
        <v/>
      </c>
      <c r="BK40" t="str">
        <f t="shared" si="1"/>
        <v/>
      </c>
    </row>
    <row r="41" spans="62:63">
      <c r="BJ41" t="str">
        <f t="shared" si="0"/>
        <v/>
      </c>
      <c r="BK41" t="str">
        <f t="shared" si="1"/>
        <v/>
      </c>
    </row>
    <row r="42" spans="62:63">
      <c r="BJ42" t="str">
        <f t="shared" si="0"/>
        <v/>
      </c>
      <c r="BK42" t="str">
        <f t="shared" si="1"/>
        <v/>
      </c>
    </row>
    <row r="43" spans="62:63">
      <c r="BJ43" t="str">
        <f t="shared" si="0"/>
        <v/>
      </c>
      <c r="BK43" t="str">
        <f t="shared" si="1"/>
        <v/>
      </c>
    </row>
    <row r="44" spans="62:63">
      <c r="BJ44" t="str">
        <f t="shared" si="0"/>
        <v/>
      </c>
      <c r="BK44" t="str">
        <f t="shared" si="1"/>
        <v/>
      </c>
    </row>
    <row r="45" spans="62:63">
      <c r="BJ45" t="str">
        <f t="shared" si="0"/>
        <v/>
      </c>
      <c r="BK45" t="str">
        <f t="shared" si="1"/>
        <v/>
      </c>
    </row>
    <row r="46" spans="62:63">
      <c r="BJ46" t="str">
        <f t="shared" si="0"/>
        <v/>
      </c>
      <c r="BK46" t="str">
        <f t="shared" si="1"/>
        <v/>
      </c>
    </row>
    <row r="47" spans="62:63">
      <c r="BJ47" t="str">
        <f t="shared" si="0"/>
        <v/>
      </c>
      <c r="BK47" t="str">
        <f t="shared" si="1"/>
        <v/>
      </c>
    </row>
    <row r="48" spans="62:63">
      <c r="BJ48" t="str">
        <f t="shared" si="0"/>
        <v/>
      </c>
      <c r="BK48" t="str">
        <f t="shared" si="1"/>
        <v/>
      </c>
    </row>
    <row r="49" spans="62:63">
      <c r="BJ49" t="str">
        <f t="shared" si="0"/>
        <v/>
      </c>
      <c r="BK49" t="str">
        <f t="shared" si="1"/>
        <v/>
      </c>
    </row>
    <row r="50" spans="62:63">
      <c r="BJ50" t="str">
        <f t="shared" si="0"/>
        <v/>
      </c>
      <c r="BK50" t="str">
        <f t="shared" si="1"/>
        <v/>
      </c>
    </row>
    <row r="51" spans="62:63">
      <c r="BJ51" t="str">
        <f t="shared" si="0"/>
        <v/>
      </c>
      <c r="BK51" t="str">
        <f t="shared" si="1"/>
        <v/>
      </c>
    </row>
    <row r="52" spans="62:63">
      <c r="BJ52" t="str">
        <f t="shared" si="0"/>
        <v/>
      </c>
      <c r="BK52" t="str">
        <f t="shared" si="1"/>
        <v/>
      </c>
    </row>
    <row r="53" spans="62:63">
      <c r="BJ53" t="str">
        <f t="shared" si="0"/>
        <v/>
      </c>
      <c r="BK53" t="str">
        <f t="shared" si="1"/>
        <v/>
      </c>
    </row>
    <row r="54" spans="62:63">
      <c r="BJ54" t="str">
        <f t="shared" si="0"/>
        <v/>
      </c>
      <c r="BK54" t="str">
        <f t="shared" si="1"/>
        <v/>
      </c>
    </row>
    <row r="55" spans="62:63">
      <c r="BJ55" t="str">
        <f t="shared" si="0"/>
        <v/>
      </c>
      <c r="BK55" t="str">
        <f t="shared" si="1"/>
        <v/>
      </c>
    </row>
    <row r="56" spans="62:63">
      <c r="BJ56" t="str">
        <f t="shared" si="0"/>
        <v/>
      </c>
      <c r="BK56" t="str">
        <f t="shared" si="1"/>
        <v/>
      </c>
    </row>
    <row r="57" spans="62:63">
      <c r="BJ57" t="str">
        <f t="shared" si="0"/>
        <v/>
      </c>
      <c r="BK57" t="str">
        <f t="shared" si="1"/>
        <v/>
      </c>
    </row>
    <row r="58" spans="62:63">
      <c r="BJ58" t="str">
        <f t="shared" si="0"/>
        <v/>
      </c>
      <c r="BK58" t="str">
        <f t="shared" si="1"/>
        <v/>
      </c>
    </row>
    <row r="59" spans="62:63">
      <c r="BJ59" t="str">
        <f t="shared" si="0"/>
        <v/>
      </c>
      <c r="BK59" t="str">
        <f t="shared" si="1"/>
        <v/>
      </c>
    </row>
    <row r="60" spans="62:63">
      <c r="BJ60" t="str">
        <f t="shared" si="0"/>
        <v/>
      </c>
      <c r="BK60" t="str">
        <f t="shared" si="1"/>
        <v/>
      </c>
    </row>
    <row r="61" spans="62:63">
      <c r="BJ61" t="str">
        <f t="shared" si="0"/>
        <v/>
      </c>
      <c r="BK61" t="str">
        <f t="shared" si="1"/>
        <v/>
      </c>
    </row>
    <row r="62" spans="62:63">
      <c r="BJ62" t="str">
        <f t="shared" si="0"/>
        <v/>
      </c>
      <c r="BK62" t="str">
        <f t="shared" si="1"/>
        <v/>
      </c>
    </row>
    <row r="63" spans="62:63">
      <c r="BJ63" t="str">
        <f t="shared" si="0"/>
        <v/>
      </c>
      <c r="BK63" t="str">
        <f t="shared" si="1"/>
        <v/>
      </c>
    </row>
    <row r="64" spans="62:63">
      <c r="BJ64" t="str">
        <f t="shared" si="0"/>
        <v/>
      </c>
      <c r="BK64" t="str">
        <f t="shared" si="1"/>
        <v/>
      </c>
    </row>
    <row r="65" spans="62:63">
      <c r="BJ65" t="str">
        <f t="shared" si="0"/>
        <v/>
      </c>
      <c r="BK65" t="str">
        <f t="shared" si="1"/>
        <v/>
      </c>
    </row>
    <row r="66" spans="62:63">
      <c r="BJ66" t="str">
        <f t="shared" si="0"/>
        <v/>
      </c>
      <c r="BK66" t="str">
        <f t="shared" si="1"/>
        <v/>
      </c>
    </row>
    <row r="67" spans="62:63">
      <c r="BJ67" t="str">
        <f t="shared" ref="BJ67:BJ130" si="2">MID(C67,5,3)</f>
        <v/>
      </c>
      <c r="BK67" t="str">
        <f t="shared" ref="BK67:BK130" si="3">RIGHT(C67,3)</f>
        <v/>
      </c>
    </row>
    <row r="68" spans="62:63">
      <c r="BJ68" t="str">
        <f t="shared" si="2"/>
        <v/>
      </c>
      <c r="BK68" t="str">
        <f t="shared" si="3"/>
        <v/>
      </c>
    </row>
    <row r="69" spans="62:63">
      <c r="BJ69" t="str">
        <f t="shared" si="2"/>
        <v/>
      </c>
      <c r="BK69" t="str">
        <f t="shared" si="3"/>
        <v/>
      </c>
    </row>
    <row r="70" spans="62:63">
      <c r="BJ70" t="str">
        <f t="shared" si="2"/>
        <v/>
      </c>
      <c r="BK70" t="str">
        <f t="shared" si="3"/>
        <v/>
      </c>
    </row>
    <row r="71" spans="62:63">
      <c r="BJ71" t="str">
        <f t="shared" si="2"/>
        <v/>
      </c>
      <c r="BK71" t="str">
        <f t="shared" si="3"/>
        <v/>
      </c>
    </row>
    <row r="72" spans="62:63">
      <c r="BJ72" t="str">
        <f t="shared" si="2"/>
        <v/>
      </c>
      <c r="BK72" t="str">
        <f t="shared" si="3"/>
        <v/>
      </c>
    </row>
    <row r="73" spans="62:63">
      <c r="BJ73" t="str">
        <f t="shared" si="2"/>
        <v/>
      </c>
      <c r="BK73" t="str">
        <f t="shared" si="3"/>
        <v/>
      </c>
    </row>
    <row r="74" spans="62:63">
      <c r="BJ74" t="str">
        <f t="shared" si="2"/>
        <v/>
      </c>
      <c r="BK74" t="str">
        <f t="shared" si="3"/>
        <v/>
      </c>
    </row>
    <row r="75" spans="62:63">
      <c r="BJ75" t="str">
        <f t="shared" si="2"/>
        <v/>
      </c>
      <c r="BK75" t="str">
        <f t="shared" si="3"/>
        <v/>
      </c>
    </row>
    <row r="76" spans="62:63">
      <c r="BJ76" t="str">
        <f t="shared" si="2"/>
        <v/>
      </c>
      <c r="BK76" t="str">
        <f t="shared" si="3"/>
        <v/>
      </c>
    </row>
    <row r="77" spans="62:63">
      <c r="BJ77" t="str">
        <f t="shared" si="2"/>
        <v/>
      </c>
      <c r="BK77" t="str">
        <f t="shared" si="3"/>
        <v/>
      </c>
    </row>
    <row r="78" spans="62:63">
      <c r="BJ78" t="str">
        <f t="shared" si="2"/>
        <v/>
      </c>
      <c r="BK78" t="str">
        <f t="shared" si="3"/>
        <v/>
      </c>
    </row>
    <row r="79" spans="62:63">
      <c r="BJ79" t="str">
        <f t="shared" si="2"/>
        <v/>
      </c>
      <c r="BK79" t="str">
        <f t="shared" si="3"/>
        <v/>
      </c>
    </row>
    <row r="80" spans="62:63">
      <c r="BJ80" t="str">
        <f t="shared" si="2"/>
        <v/>
      </c>
      <c r="BK80" t="str">
        <f t="shared" si="3"/>
        <v/>
      </c>
    </row>
    <row r="81" spans="62:63">
      <c r="BJ81" t="str">
        <f t="shared" si="2"/>
        <v/>
      </c>
      <c r="BK81" t="str">
        <f t="shared" si="3"/>
        <v/>
      </c>
    </row>
    <row r="82" spans="62:63">
      <c r="BJ82" t="str">
        <f t="shared" si="2"/>
        <v/>
      </c>
      <c r="BK82" t="str">
        <f t="shared" si="3"/>
        <v/>
      </c>
    </row>
    <row r="83" spans="62:63">
      <c r="BJ83" t="str">
        <f t="shared" si="2"/>
        <v/>
      </c>
      <c r="BK83" t="str">
        <f t="shared" si="3"/>
        <v/>
      </c>
    </row>
    <row r="84" spans="62:63">
      <c r="BJ84" t="str">
        <f t="shared" si="2"/>
        <v/>
      </c>
      <c r="BK84" t="str">
        <f t="shared" si="3"/>
        <v/>
      </c>
    </row>
    <row r="85" spans="62:63">
      <c r="BJ85" t="str">
        <f t="shared" si="2"/>
        <v/>
      </c>
      <c r="BK85" t="str">
        <f t="shared" si="3"/>
        <v/>
      </c>
    </row>
    <row r="86" spans="62:63">
      <c r="BJ86" t="str">
        <f t="shared" si="2"/>
        <v/>
      </c>
      <c r="BK86" t="str">
        <f t="shared" si="3"/>
        <v/>
      </c>
    </row>
    <row r="87" spans="62:63">
      <c r="BJ87" t="str">
        <f t="shared" si="2"/>
        <v/>
      </c>
      <c r="BK87" t="str">
        <f t="shared" si="3"/>
        <v/>
      </c>
    </row>
    <row r="88" spans="62:63">
      <c r="BJ88" t="str">
        <f t="shared" si="2"/>
        <v/>
      </c>
      <c r="BK88" t="str">
        <f t="shared" si="3"/>
        <v/>
      </c>
    </row>
    <row r="89" spans="62:63">
      <c r="BJ89" t="str">
        <f t="shared" si="2"/>
        <v/>
      </c>
      <c r="BK89" t="str">
        <f t="shared" si="3"/>
        <v/>
      </c>
    </row>
    <row r="90" spans="62:63">
      <c r="BJ90" t="str">
        <f t="shared" si="2"/>
        <v/>
      </c>
      <c r="BK90" t="str">
        <f t="shared" si="3"/>
        <v/>
      </c>
    </row>
    <row r="91" spans="62:63">
      <c r="BJ91" t="str">
        <f t="shared" si="2"/>
        <v/>
      </c>
      <c r="BK91" t="str">
        <f t="shared" si="3"/>
        <v/>
      </c>
    </row>
    <row r="92" spans="62:63">
      <c r="BJ92" t="str">
        <f t="shared" si="2"/>
        <v/>
      </c>
      <c r="BK92" t="str">
        <f t="shared" si="3"/>
        <v/>
      </c>
    </row>
    <row r="93" spans="62:63">
      <c r="BJ93" t="str">
        <f t="shared" si="2"/>
        <v/>
      </c>
      <c r="BK93" t="str">
        <f t="shared" si="3"/>
        <v/>
      </c>
    </row>
    <row r="94" spans="62:63">
      <c r="BJ94" t="str">
        <f t="shared" si="2"/>
        <v/>
      </c>
      <c r="BK94" t="str">
        <f t="shared" si="3"/>
        <v/>
      </c>
    </row>
    <row r="95" spans="62:63">
      <c r="BJ95" t="str">
        <f t="shared" si="2"/>
        <v/>
      </c>
      <c r="BK95" t="str">
        <f t="shared" si="3"/>
        <v/>
      </c>
    </row>
    <row r="96" spans="62:63">
      <c r="BJ96" t="str">
        <f t="shared" si="2"/>
        <v/>
      </c>
      <c r="BK96" t="str">
        <f t="shared" si="3"/>
        <v/>
      </c>
    </row>
    <row r="97" spans="62:63">
      <c r="BJ97" t="str">
        <f t="shared" si="2"/>
        <v/>
      </c>
      <c r="BK97" t="str">
        <f t="shared" si="3"/>
        <v/>
      </c>
    </row>
    <row r="98" spans="62:63">
      <c r="BJ98" t="str">
        <f t="shared" si="2"/>
        <v/>
      </c>
      <c r="BK98" t="str">
        <f t="shared" si="3"/>
        <v/>
      </c>
    </row>
    <row r="99" spans="62:63">
      <c r="BJ99" t="str">
        <f t="shared" si="2"/>
        <v/>
      </c>
      <c r="BK99" t="str">
        <f t="shared" si="3"/>
        <v/>
      </c>
    </row>
    <row r="100" spans="62:63">
      <c r="BJ100" t="str">
        <f t="shared" si="2"/>
        <v/>
      </c>
      <c r="BK100" t="str">
        <f t="shared" si="3"/>
        <v/>
      </c>
    </row>
    <row r="101" spans="62:63">
      <c r="BJ101" t="str">
        <f t="shared" si="2"/>
        <v/>
      </c>
      <c r="BK101" t="str">
        <f t="shared" si="3"/>
        <v/>
      </c>
    </row>
    <row r="102" spans="62:63">
      <c r="BJ102" t="str">
        <f t="shared" si="2"/>
        <v/>
      </c>
      <c r="BK102" t="str">
        <f t="shared" si="3"/>
        <v/>
      </c>
    </row>
    <row r="103" spans="62:63">
      <c r="BJ103" t="str">
        <f t="shared" si="2"/>
        <v/>
      </c>
      <c r="BK103" t="str">
        <f t="shared" si="3"/>
        <v/>
      </c>
    </row>
    <row r="104" spans="62:63">
      <c r="BJ104" t="str">
        <f t="shared" si="2"/>
        <v/>
      </c>
      <c r="BK104" t="str">
        <f t="shared" si="3"/>
        <v/>
      </c>
    </row>
    <row r="105" spans="62:63">
      <c r="BJ105" t="str">
        <f t="shared" si="2"/>
        <v/>
      </c>
      <c r="BK105" t="str">
        <f t="shared" si="3"/>
        <v/>
      </c>
    </row>
    <row r="106" spans="62:63">
      <c r="BJ106" t="str">
        <f t="shared" si="2"/>
        <v/>
      </c>
      <c r="BK106" t="str">
        <f t="shared" si="3"/>
        <v/>
      </c>
    </row>
    <row r="107" spans="62:63">
      <c r="BJ107" t="str">
        <f t="shared" si="2"/>
        <v/>
      </c>
      <c r="BK107" t="str">
        <f t="shared" si="3"/>
        <v/>
      </c>
    </row>
    <row r="108" spans="62:63">
      <c r="BJ108" t="str">
        <f t="shared" si="2"/>
        <v/>
      </c>
      <c r="BK108" t="str">
        <f t="shared" si="3"/>
        <v/>
      </c>
    </row>
    <row r="109" spans="62:63">
      <c r="BJ109" t="str">
        <f t="shared" si="2"/>
        <v/>
      </c>
      <c r="BK109" t="str">
        <f t="shared" si="3"/>
        <v/>
      </c>
    </row>
    <row r="110" spans="62:63">
      <c r="BJ110" t="str">
        <f t="shared" si="2"/>
        <v/>
      </c>
      <c r="BK110" t="str">
        <f t="shared" si="3"/>
        <v/>
      </c>
    </row>
    <row r="111" spans="62:63">
      <c r="BJ111" t="str">
        <f t="shared" si="2"/>
        <v/>
      </c>
      <c r="BK111" t="str">
        <f t="shared" si="3"/>
        <v/>
      </c>
    </row>
    <row r="112" spans="62:63">
      <c r="BJ112" t="str">
        <f t="shared" si="2"/>
        <v/>
      </c>
      <c r="BK112" t="str">
        <f t="shared" si="3"/>
        <v/>
      </c>
    </row>
    <row r="113" spans="62:63">
      <c r="BJ113" t="str">
        <f t="shared" si="2"/>
        <v/>
      </c>
      <c r="BK113" t="str">
        <f t="shared" si="3"/>
        <v/>
      </c>
    </row>
    <row r="114" spans="62:63">
      <c r="BJ114" t="str">
        <f t="shared" si="2"/>
        <v/>
      </c>
      <c r="BK114" t="str">
        <f t="shared" si="3"/>
        <v/>
      </c>
    </row>
    <row r="115" spans="62:63">
      <c r="BJ115" t="str">
        <f t="shared" si="2"/>
        <v/>
      </c>
      <c r="BK115" t="str">
        <f t="shared" si="3"/>
        <v/>
      </c>
    </row>
    <row r="116" spans="62:63">
      <c r="BJ116" t="str">
        <f t="shared" si="2"/>
        <v/>
      </c>
      <c r="BK116" t="str">
        <f t="shared" si="3"/>
        <v/>
      </c>
    </row>
    <row r="117" spans="62:63">
      <c r="BJ117" t="str">
        <f t="shared" si="2"/>
        <v/>
      </c>
      <c r="BK117" t="str">
        <f t="shared" si="3"/>
        <v/>
      </c>
    </row>
    <row r="118" spans="62:63">
      <c r="BJ118" t="str">
        <f t="shared" si="2"/>
        <v/>
      </c>
      <c r="BK118" t="str">
        <f t="shared" si="3"/>
        <v/>
      </c>
    </row>
    <row r="119" spans="62:63">
      <c r="BJ119" t="str">
        <f t="shared" si="2"/>
        <v/>
      </c>
      <c r="BK119" t="str">
        <f t="shared" si="3"/>
        <v/>
      </c>
    </row>
    <row r="120" spans="62:63">
      <c r="BJ120" t="str">
        <f t="shared" si="2"/>
        <v/>
      </c>
      <c r="BK120" t="str">
        <f t="shared" si="3"/>
        <v/>
      </c>
    </row>
    <row r="121" spans="62:63">
      <c r="BJ121" t="str">
        <f t="shared" si="2"/>
        <v/>
      </c>
      <c r="BK121" t="str">
        <f t="shared" si="3"/>
        <v/>
      </c>
    </row>
    <row r="122" spans="62:63">
      <c r="BJ122" t="str">
        <f t="shared" si="2"/>
        <v/>
      </c>
      <c r="BK122" t="str">
        <f t="shared" si="3"/>
        <v/>
      </c>
    </row>
    <row r="123" spans="62:63">
      <c r="BJ123" t="str">
        <f t="shared" si="2"/>
        <v/>
      </c>
      <c r="BK123" t="str">
        <f t="shared" si="3"/>
        <v/>
      </c>
    </row>
    <row r="124" spans="62:63">
      <c r="BJ124" t="str">
        <f t="shared" si="2"/>
        <v/>
      </c>
      <c r="BK124" t="str">
        <f t="shared" si="3"/>
        <v/>
      </c>
    </row>
    <row r="125" spans="62:63">
      <c r="BJ125" t="str">
        <f t="shared" si="2"/>
        <v/>
      </c>
      <c r="BK125" t="str">
        <f t="shared" si="3"/>
        <v/>
      </c>
    </row>
    <row r="126" spans="62:63">
      <c r="BJ126" t="str">
        <f t="shared" si="2"/>
        <v/>
      </c>
      <c r="BK126" t="str">
        <f t="shared" si="3"/>
        <v/>
      </c>
    </row>
    <row r="127" spans="62:63">
      <c r="BJ127" t="str">
        <f t="shared" si="2"/>
        <v/>
      </c>
      <c r="BK127" t="str">
        <f t="shared" si="3"/>
        <v/>
      </c>
    </row>
    <row r="128" spans="62:63">
      <c r="BJ128" t="str">
        <f t="shared" si="2"/>
        <v/>
      </c>
      <c r="BK128" t="str">
        <f t="shared" si="3"/>
        <v/>
      </c>
    </row>
    <row r="129" spans="62:63">
      <c r="BJ129" t="str">
        <f t="shared" si="2"/>
        <v/>
      </c>
      <c r="BK129" t="str">
        <f t="shared" si="3"/>
        <v/>
      </c>
    </row>
    <row r="130" spans="62:63">
      <c r="BJ130" t="str">
        <f t="shared" si="2"/>
        <v/>
      </c>
      <c r="BK130" t="str">
        <f t="shared" si="3"/>
        <v/>
      </c>
    </row>
    <row r="131" spans="62:63">
      <c r="BJ131" t="str">
        <f t="shared" ref="BJ131:BJ194" si="4">MID(C131,5,3)</f>
        <v/>
      </c>
      <c r="BK131" t="str">
        <f t="shared" ref="BK131:BK194" si="5">RIGHT(C131,3)</f>
        <v/>
      </c>
    </row>
    <row r="132" spans="62:63">
      <c r="BJ132" t="str">
        <f t="shared" si="4"/>
        <v/>
      </c>
      <c r="BK132" t="str">
        <f t="shared" si="5"/>
        <v/>
      </c>
    </row>
    <row r="133" spans="62:63">
      <c r="BJ133" t="str">
        <f t="shared" si="4"/>
        <v/>
      </c>
      <c r="BK133" t="str">
        <f t="shared" si="5"/>
        <v/>
      </c>
    </row>
    <row r="134" spans="62:63">
      <c r="BJ134" t="str">
        <f t="shared" si="4"/>
        <v/>
      </c>
      <c r="BK134" t="str">
        <f t="shared" si="5"/>
        <v/>
      </c>
    </row>
    <row r="135" spans="62:63">
      <c r="BJ135" t="str">
        <f t="shared" si="4"/>
        <v/>
      </c>
      <c r="BK135" t="str">
        <f t="shared" si="5"/>
        <v/>
      </c>
    </row>
    <row r="136" spans="62:63">
      <c r="BJ136" t="str">
        <f t="shared" si="4"/>
        <v/>
      </c>
      <c r="BK136" t="str">
        <f t="shared" si="5"/>
        <v/>
      </c>
    </row>
    <row r="137" spans="62:63">
      <c r="BJ137" t="str">
        <f t="shared" si="4"/>
        <v/>
      </c>
      <c r="BK137" t="str">
        <f t="shared" si="5"/>
        <v/>
      </c>
    </row>
    <row r="138" spans="62:63">
      <c r="BJ138" t="str">
        <f t="shared" si="4"/>
        <v/>
      </c>
      <c r="BK138" t="str">
        <f t="shared" si="5"/>
        <v/>
      </c>
    </row>
    <row r="139" spans="62:63">
      <c r="BJ139" t="str">
        <f t="shared" si="4"/>
        <v/>
      </c>
      <c r="BK139" t="str">
        <f t="shared" si="5"/>
        <v/>
      </c>
    </row>
    <row r="140" spans="62:63">
      <c r="BJ140" t="str">
        <f t="shared" si="4"/>
        <v/>
      </c>
      <c r="BK140" t="str">
        <f t="shared" si="5"/>
        <v/>
      </c>
    </row>
    <row r="141" spans="62:63">
      <c r="BJ141" t="str">
        <f t="shared" si="4"/>
        <v/>
      </c>
      <c r="BK141" t="str">
        <f t="shared" si="5"/>
        <v/>
      </c>
    </row>
    <row r="142" spans="62:63">
      <c r="BJ142" t="str">
        <f t="shared" si="4"/>
        <v/>
      </c>
      <c r="BK142" t="str">
        <f t="shared" si="5"/>
        <v/>
      </c>
    </row>
    <row r="143" spans="62:63">
      <c r="BJ143" t="str">
        <f t="shared" si="4"/>
        <v/>
      </c>
      <c r="BK143" t="str">
        <f t="shared" si="5"/>
        <v/>
      </c>
    </row>
    <row r="144" spans="62:63">
      <c r="BJ144" t="str">
        <f t="shared" si="4"/>
        <v/>
      </c>
      <c r="BK144" t="str">
        <f t="shared" si="5"/>
        <v/>
      </c>
    </row>
    <row r="145" spans="62:63">
      <c r="BJ145" t="str">
        <f t="shared" si="4"/>
        <v/>
      </c>
      <c r="BK145" t="str">
        <f t="shared" si="5"/>
        <v/>
      </c>
    </row>
    <row r="146" spans="62:63">
      <c r="BJ146" t="str">
        <f t="shared" si="4"/>
        <v/>
      </c>
      <c r="BK146" t="str">
        <f t="shared" si="5"/>
        <v/>
      </c>
    </row>
    <row r="147" spans="62:63">
      <c r="BJ147" t="str">
        <f t="shared" si="4"/>
        <v/>
      </c>
      <c r="BK147" t="str">
        <f t="shared" si="5"/>
        <v/>
      </c>
    </row>
    <row r="148" spans="62:63">
      <c r="BJ148" t="str">
        <f t="shared" si="4"/>
        <v/>
      </c>
      <c r="BK148" t="str">
        <f t="shared" si="5"/>
        <v/>
      </c>
    </row>
    <row r="149" spans="62:63">
      <c r="BJ149" t="str">
        <f t="shared" si="4"/>
        <v/>
      </c>
      <c r="BK149" t="str">
        <f t="shared" si="5"/>
        <v/>
      </c>
    </row>
    <row r="150" spans="62:63">
      <c r="BJ150" t="str">
        <f t="shared" si="4"/>
        <v/>
      </c>
      <c r="BK150" t="str">
        <f t="shared" si="5"/>
        <v/>
      </c>
    </row>
    <row r="151" spans="62:63">
      <c r="BJ151" t="str">
        <f t="shared" si="4"/>
        <v/>
      </c>
      <c r="BK151" t="str">
        <f t="shared" si="5"/>
        <v/>
      </c>
    </row>
    <row r="152" spans="62:63">
      <c r="BJ152" t="str">
        <f t="shared" si="4"/>
        <v/>
      </c>
      <c r="BK152" t="str">
        <f t="shared" si="5"/>
        <v/>
      </c>
    </row>
    <row r="153" spans="62:63">
      <c r="BJ153" t="str">
        <f t="shared" si="4"/>
        <v/>
      </c>
      <c r="BK153" t="str">
        <f t="shared" si="5"/>
        <v/>
      </c>
    </row>
    <row r="154" spans="62:63">
      <c r="BJ154" t="str">
        <f t="shared" si="4"/>
        <v/>
      </c>
      <c r="BK154" t="str">
        <f t="shared" si="5"/>
        <v/>
      </c>
    </row>
    <row r="155" spans="62:63">
      <c r="BJ155" t="str">
        <f t="shared" si="4"/>
        <v/>
      </c>
      <c r="BK155" t="str">
        <f t="shared" si="5"/>
        <v/>
      </c>
    </row>
    <row r="156" spans="62:63">
      <c r="BJ156" t="str">
        <f t="shared" si="4"/>
        <v/>
      </c>
      <c r="BK156" t="str">
        <f t="shared" si="5"/>
        <v/>
      </c>
    </row>
    <row r="157" spans="62:63">
      <c r="BJ157" t="str">
        <f t="shared" si="4"/>
        <v/>
      </c>
      <c r="BK157" t="str">
        <f t="shared" si="5"/>
        <v/>
      </c>
    </row>
    <row r="158" spans="62:63">
      <c r="BJ158" t="str">
        <f t="shared" si="4"/>
        <v/>
      </c>
      <c r="BK158" t="str">
        <f t="shared" si="5"/>
        <v/>
      </c>
    </row>
    <row r="159" spans="62:63">
      <c r="BJ159" t="str">
        <f t="shared" si="4"/>
        <v/>
      </c>
      <c r="BK159" t="str">
        <f t="shared" si="5"/>
        <v/>
      </c>
    </row>
    <row r="160" spans="62:63">
      <c r="BJ160" t="str">
        <f t="shared" si="4"/>
        <v/>
      </c>
      <c r="BK160" t="str">
        <f t="shared" si="5"/>
        <v/>
      </c>
    </row>
    <row r="161" spans="62:63">
      <c r="BJ161" t="str">
        <f t="shared" si="4"/>
        <v/>
      </c>
      <c r="BK161" t="str">
        <f t="shared" si="5"/>
        <v/>
      </c>
    </row>
    <row r="162" spans="62:63">
      <c r="BJ162" t="str">
        <f t="shared" si="4"/>
        <v/>
      </c>
      <c r="BK162" t="str">
        <f t="shared" si="5"/>
        <v/>
      </c>
    </row>
    <row r="163" spans="62:63">
      <c r="BJ163" t="str">
        <f t="shared" si="4"/>
        <v/>
      </c>
      <c r="BK163" t="str">
        <f t="shared" si="5"/>
        <v/>
      </c>
    </row>
    <row r="164" spans="62:63">
      <c r="BJ164" t="str">
        <f t="shared" si="4"/>
        <v/>
      </c>
      <c r="BK164" t="str">
        <f t="shared" si="5"/>
        <v/>
      </c>
    </row>
    <row r="165" spans="62:63">
      <c r="BJ165" t="str">
        <f t="shared" si="4"/>
        <v/>
      </c>
      <c r="BK165" t="str">
        <f t="shared" si="5"/>
        <v/>
      </c>
    </row>
    <row r="166" spans="62:63">
      <c r="BJ166" t="str">
        <f t="shared" si="4"/>
        <v/>
      </c>
      <c r="BK166" t="str">
        <f t="shared" si="5"/>
        <v/>
      </c>
    </row>
    <row r="167" spans="62:63">
      <c r="BJ167" t="str">
        <f t="shared" si="4"/>
        <v/>
      </c>
      <c r="BK167" t="str">
        <f t="shared" si="5"/>
        <v/>
      </c>
    </row>
    <row r="168" spans="62:63">
      <c r="BJ168" t="str">
        <f t="shared" si="4"/>
        <v/>
      </c>
      <c r="BK168" t="str">
        <f t="shared" si="5"/>
        <v/>
      </c>
    </row>
    <row r="169" spans="62:63">
      <c r="BJ169" t="str">
        <f t="shared" si="4"/>
        <v/>
      </c>
      <c r="BK169" t="str">
        <f t="shared" si="5"/>
        <v/>
      </c>
    </row>
    <row r="170" spans="62:63">
      <c r="BJ170" t="str">
        <f t="shared" si="4"/>
        <v/>
      </c>
      <c r="BK170" t="str">
        <f t="shared" si="5"/>
        <v/>
      </c>
    </row>
    <row r="171" spans="62:63">
      <c r="BJ171" t="str">
        <f t="shared" si="4"/>
        <v/>
      </c>
      <c r="BK171" t="str">
        <f t="shared" si="5"/>
        <v/>
      </c>
    </row>
    <row r="172" spans="62:63">
      <c r="BJ172" t="str">
        <f t="shared" si="4"/>
        <v/>
      </c>
      <c r="BK172" t="str">
        <f t="shared" si="5"/>
        <v/>
      </c>
    </row>
    <row r="173" spans="62:63">
      <c r="BJ173" t="str">
        <f t="shared" si="4"/>
        <v/>
      </c>
      <c r="BK173" t="str">
        <f t="shared" si="5"/>
        <v/>
      </c>
    </row>
    <row r="174" spans="62:63">
      <c r="BJ174" t="str">
        <f t="shared" si="4"/>
        <v/>
      </c>
      <c r="BK174" t="str">
        <f t="shared" si="5"/>
        <v/>
      </c>
    </row>
    <row r="175" spans="62:63">
      <c r="BJ175" t="str">
        <f t="shared" si="4"/>
        <v/>
      </c>
      <c r="BK175" t="str">
        <f t="shared" si="5"/>
        <v/>
      </c>
    </row>
    <row r="176" spans="62:63">
      <c r="BJ176" t="str">
        <f t="shared" si="4"/>
        <v/>
      </c>
      <c r="BK176" t="str">
        <f t="shared" si="5"/>
        <v/>
      </c>
    </row>
    <row r="177" spans="62:63">
      <c r="BJ177" t="str">
        <f t="shared" si="4"/>
        <v/>
      </c>
      <c r="BK177" t="str">
        <f t="shared" si="5"/>
        <v/>
      </c>
    </row>
    <row r="178" spans="62:63">
      <c r="BJ178" t="str">
        <f t="shared" si="4"/>
        <v/>
      </c>
      <c r="BK178" t="str">
        <f t="shared" si="5"/>
        <v/>
      </c>
    </row>
    <row r="179" spans="62:63">
      <c r="BJ179" t="str">
        <f t="shared" si="4"/>
        <v/>
      </c>
      <c r="BK179" t="str">
        <f t="shared" si="5"/>
        <v/>
      </c>
    </row>
    <row r="180" spans="62:63">
      <c r="BJ180" t="str">
        <f t="shared" si="4"/>
        <v/>
      </c>
      <c r="BK180" t="str">
        <f t="shared" si="5"/>
        <v/>
      </c>
    </row>
    <row r="181" spans="62:63">
      <c r="BJ181" t="str">
        <f t="shared" si="4"/>
        <v/>
      </c>
      <c r="BK181" t="str">
        <f t="shared" si="5"/>
        <v/>
      </c>
    </row>
    <row r="182" spans="62:63">
      <c r="BJ182" t="str">
        <f t="shared" si="4"/>
        <v/>
      </c>
      <c r="BK182" t="str">
        <f t="shared" si="5"/>
        <v/>
      </c>
    </row>
    <row r="183" spans="62:63">
      <c r="BJ183" t="str">
        <f t="shared" si="4"/>
        <v/>
      </c>
      <c r="BK183" t="str">
        <f t="shared" si="5"/>
        <v/>
      </c>
    </row>
    <row r="184" spans="62:63">
      <c r="BJ184" t="str">
        <f t="shared" si="4"/>
        <v/>
      </c>
      <c r="BK184" t="str">
        <f t="shared" si="5"/>
        <v/>
      </c>
    </row>
    <row r="185" spans="62:63">
      <c r="BJ185" t="str">
        <f t="shared" si="4"/>
        <v/>
      </c>
      <c r="BK185" t="str">
        <f t="shared" si="5"/>
        <v/>
      </c>
    </row>
    <row r="186" spans="62:63">
      <c r="BJ186" t="str">
        <f t="shared" si="4"/>
        <v/>
      </c>
      <c r="BK186" t="str">
        <f t="shared" si="5"/>
        <v/>
      </c>
    </row>
    <row r="187" spans="62:63">
      <c r="BJ187" t="str">
        <f t="shared" si="4"/>
        <v/>
      </c>
      <c r="BK187" t="str">
        <f t="shared" si="5"/>
        <v/>
      </c>
    </row>
    <row r="188" spans="62:63">
      <c r="BJ188" t="str">
        <f t="shared" si="4"/>
        <v/>
      </c>
      <c r="BK188" t="str">
        <f t="shared" si="5"/>
        <v/>
      </c>
    </row>
    <row r="189" spans="62:63">
      <c r="BJ189" t="str">
        <f t="shared" si="4"/>
        <v/>
      </c>
      <c r="BK189" t="str">
        <f t="shared" si="5"/>
        <v/>
      </c>
    </row>
    <row r="190" spans="62:63">
      <c r="BJ190" t="str">
        <f t="shared" si="4"/>
        <v/>
      </c>
      <c r="BK190" t="str">
        <f t="shared" si="5"/>
        <v/>
      </c>
    </row>
    <row r="191" spans="62:63">
      <c r="BJ191" t="str">
        <f t="shared" si="4"/>
        <v/>
      </c>
      <c r="BK191" t="str">
        <f t="shared" si="5"/>
        <v/>
      </c>
    </row>
    <row r="192" spans="62:63">
      <c r="BJ192" t="str">
        <f t="shared" si="4"/>
        <v/>
      </c>
      <c r="BK192" t="str">
        <f t="shared" si="5"/>
        <v/>
      </c>
    </row>
    <row r="193" spans="62:63">
      <c r="BJ193" t="str">
        <f t="shared" si="4"/>
        <v/>
      </c>
      <c r="BK193" t="str">
        <f t="shared" si="5"/>
        <v/>
      </c>
    </row>
    <row r="194" spans="62:63">
      <c r="BJ194" t="str">
        <f t="shared" si="4"/>
        <v/>
      </c>
      <c r="BK194" t="str">
        <f t="shared" si="5"/>
        <v/>
      </c>
    </row>
    <row r="195" spans="62:63">
      <c r="BJ195" t="str">
        <f t="shared" ref="BJ195:BJ258" si="6">MID(C195,5,3)</f>
        <v/>
      </c>
      <c r="BK195" t="str">
        <f t="shared" ref="BK195:BK258" si="7">RIGHT(C195,3)</f>
        <v/>
      </c>
    </row>
    <row r="196" spans="62:63">
      <c r="BJ196" t="str">
        <f t="shared" si="6"/>
        <v/>
      </c>
      <c r="BK196" t="str">
        <f t="shared" si="7"/>
        <v/>
      </c>
    </row>
    <row r="197" spans="62:63">
      <c r="BJ197" t="str">
        <f t="shared" si="6"/>
        <v/>
      </c>
      <c r="BK197" t="str">
        <f t="shared" si="7"/>
        <v/>
      </c>
    </row>
    <row r="198" spans="62:63">
      <c r="BJ198" t="str">
        <f t="shared" si="6"/>
        <v/>
      </c>
      <c r="BK198" t="str">
        <f t="shared" si="7"/>
        <v/>
      </c>
    </row>
    <row r="199" spans="62:63">
      <c r="BJ199" t="str">
        <f t="shared" si="6"/>
        <v/>
      </c>
      <c r="BK199" t="str">
        <f t="shared" si="7"/>
        <v/>
      </c>
    </row>
    <row r="200" spans="62:63">
      <c r="BJ200" t="str">
        <f t="shared" si="6"/>
        <v/>
      </c>
      <c r="BK200" t="str">
        <f t="shared" si="7"/>
        <v/>
      </c>
    </row>
    <row r="201" spans="62:63">
      <c r="BJ201" t="str">
        <f t="shared" si="6"/>
        <v/>
      </c>
      <c r="BK201" t="str">
        <f t="shared" si="7"/>
        <v/>
      </c>
    </row>
    <row r="202" spans="62:63">
      <c r="BJ202" t="str">
        <f t="shared" si="6"/>
        <v/>
      </c>
      <c r="BK202" t="str">
        <f t="shared" si="7"/>
        <v/>
      </c>
    </row>
    <row r="203" spans="62:63">
      <c r="BJ203" t="str">
        <f t="shared" si="6"/>
        <v/>
      </c>
      <c r="BK203" t="str">
        <f t="shared" si="7"/>
        <v/>
      </c>
    </row>
    <row r="204" spans="62:63">
      <c r="BJ204" t="str">
        <f t="shared" si="6"/>
        <v/>
      </c>
      <c r="BK204" t="str">
        <f t="shared" si="7"/>
        <v/>
      </c>
    </row>
    <row r="205" spans="62:63">
      <c r="BJ205" t="str">
        <f t="shared" si="6"/>
        <v/>
      </c>
      <c r="BK205" t="str">
        <f t="shared" si="7"/>
        <v/>
      </c>
    </row>
    <row r="206" spans="62:63">
      <c r="BJ206" t="str">
        <f t="shared" si="6"/>
        <v/>
      </c>
      <c r="BK206" t="str">
        <f t="shared" si="7"/>
        <v/>
      </c>
    </row>
    <row r="207" spans="62:63">
      <c r="BJ207" t="str">
        <f t="shared" si="6"/>
        <v/>
      </c>
      <c r="BK207" t="str">
        <f t="shared" si="7"/>
        <v/>
      </c>
    </row>
    <row r="208" spans="62:63">
      <c r="BJ208" t="str">
        <f t="shared" si="6"/>
        <v/>
      </c>
      <c r="BK208" t="str">
        <f t="shared" si="7"/>
        <v/>
      </c>
    </row>
    <row r="209" spans="62:63">
      <c r="BJ209" t="str">
        <f t="shared" si="6"/>
        <v/>
      </c>
      <c r="BK209" t="str">
        <f t="shared" si="7"/>
        <v/>
      </c>
    </row>
    <row r="210" spans="62:63">
      <c r="BJ210" t="str">
        <f t="shared" si="6"/>
        <v/>
      </c>
      <c r="BK210" t="str">
        <f t="shared" si="7"/>
        <v/>
      </c>
    </row>
    <row r="211" spans="62:63">
      <c r="BJ211" t="str">
        <f t="shared" si="6"/>
        <v/>
      </c>
      <c r="BK211" t="str">
        <f t="shared" si="7"/>
        <v/>
      </c>
    </row>
    <row r="212" spans="62:63">
      <c r="BJ212" t="str">
        <f t="shared" si="6"/>
        <v/>
      </c>
      <c r="BK212" t="str">
        <f t="shared" si="7"/>
        <v/>
      </c>
    </row>
    <row r="213" spans="62:63">
      <c r="BJ213" t="str">
        <f t="shared" si="6"/>
        <v/>
      </c>
      <c r="BK213" t="str">
        <f t="shared" si="7"/>
        <v/>
      </c>
    </row>
    <row r="214" spans="62:63">
      <c r="BJ214" t="str">
        <f t="shared" si="6"/>
        <v/>
      </c>
      <c r="BK214" t="str">
        <f t="shared" si="7"/>
        <v/>
      </c>
    </row>
    <row r="215" spans="62:63">
      <c r="BJ215" t="str">
        <f t="shared" si="6"/>
        <v/>
      </c>
      <c r="BK215" t="str">
        <f t="shared" si="7"/>
        <v/>
      </c>
    </row>
    <row r="216" spans="62:63">
      <c r="BJ216" t="str">
        <f t="shared" si="6"/>
        <v/>
      </c>
      <c r="BK216" t="str">
        <f t="shared" si="7"/>
        <v/>
      </c>
    </row>
    <row r="217" spans="62:63">
      <c r="BJ217" t="str">
        <f t="shared" si="6"/>
        <v/>
      </c>
      <c r="BK217" t="str">
        <f t="shared" si="7"/>
        <v/>
      </c>
    </row>
    <row r="218" spans="62:63">
      <c r="BJ218" t="str">
        <f t="shared" si="6"/>
        <v/>
      </c>
      <c r="BK218" t="str">
        <f t="shared" si="7"/>
        <v/>
      </c>
    </row>
    <row r="219" spans="62:63">
      <c r="BJ219" t="str">
        <f t="shared" si="6"/>
        <v/>
      </c>
      <c r="BK219" t="str">
        <f t="shared" si="7"/>
        <v/>
      </c>
    </row>
    <row r="220" spans="62:63">
      <c r="BJ220" t="str">
        <f t="shared" si="6"/>
        <v/>
      </c>
      <c r="BK220" t="str">
        <f t="shared" si="7"/>
        <v/>
      </c>
    </row>
    <row r="221" spans="62:63">
      <c r="BJ221" t="str">
        <f t="shared" si="6"/>
        <v/>
      </c>
      <c r="BK221" t="str">
        <f t="shared" si="7"/>
        <v/>
      </c>
    </row>
    <row r="222" spans="62:63">
      <c r="BJ222" t="str">
        <f t="shared" si="6"/>
        <v/>
      </c>
      <c r="BK222" t="str">
        <f t="shared" si="7"/>
        <v/>
      </c>
    </row>
    <row r="223" spans="62:63">
      <c r="BJ223" t="str">
        <f t="shared" si="6"/>
        <v/>
      </c>
      <c r="BK223" t="str">
        <f t="shared" si="7"/>
        <v/>
      </c>
    </row>
    <row r="224" spans="62:63">
      <c r="BJ224" t="str">
        <f t="shared" si="6"/>
        <v/>
      </c>
      <c r="BK224" t="str">
        <f t="shared" si="7"/>
        <v/>
      </c>
    </row>
    <row r="225" spans="62:63">
      <c r="BJ225" t="str">
        <f t="shared" si="6"/>
        <v/>
      </c>
      <c r="BK225" t="str">
        <f t="shared" si="7"/>
        <v/>
      </c>
    </row>
    <row r="226" spans="62:63">
      <c r="BJ226" t="str">
        <f t="shared" si="6"/>
        <v/>
      </c>
      <c r="BK226" t="str">
        <f t="shared" si="7"/>
        <v/>
      </c>
    </row>
    <row r="227" spans="62:63">
      <c r="BJ227" t="str">
        <f t="shared" si="6"/>
        <v/>
      </c>
      <c r="BK227" t="str">
        <f t="shared" si="7"/>
        <v/>
      </c>
    </row>
    <row r="228" spans="62:63">
      <c r="BJ228" t="str">
        <f t="shared" si="6"/>
        <v/>
      </c>
      <c r="BK228" t="str">
        <f t="shared" si="7"/>
        <v/>
      </c>
    </row>
    <row r="229" spans="62:63">
      <c r="BJ229" t="str">
        <f t="shared" si="6"/>
        <v/>
      </c>
      <c r="BK229" t="str">
        <f t="shared" si="7"/>
        <v/>
      </c>
    </row>
    <row r="230" spans="62:63">
      <c r="BJ230" t="str">
        <f t="shared" si="6"/>
        <v/>
      </c>
      <c r="BK230" t="str">
        <f t="shared" si="7"/>
        <v/>
      </c>
    </row>
    <row r="231" spans="62:63">
      <c r="BJ231" t="str">
        <f t="shared" si="6"/>
        <v/>
      </c>
      <c r="BK231" t="str">
        <f t="shared" si="7"/>
        <v/>
      </c>
    </row>
    <row r="232" spans="62:63">
      <c r="BJ232" t="str">
        <f t="shared" si="6"/>
        <v/>
      </c>
      <c r="BK232" t="str">
        <f t="shared" si="7"/>
        <v/>
      </c>
    </row>
    <row r="233" spans="62:63">
      <c r="BJ233" t="str">
        <f t="shared" si="6"/>
        <v/>
      </c>
      <c r="BK233" t="str">
        <f t="shared" si="7"/>
        <v/>
      </c>
    </row>
    <row r="234" spans="62:63">
      <c r="BJ234" t="str">
        <f t="shared" si="6"/>
        <v/>
      </c>
      <c r="BK234" t="str">
        <f t="shared" si="7"/>
        <v/>
      </c>
    </row>
    <row r="235" spans="62:63">
      <c r="BJ235" t="str">
        <f t="shared" si="6"/>
        <v/>
      </c>
      <c r="BK235" t="str">
        <f t="shared" si="7"/>
        <v/>
      </c>
    </row>
    <row r="236" spans="62:63">
      <c r="BJ236" t="str">
        <f t="shared" si="6"/>
        <v/>
      </c>
      <c r="BK236" t="str">
        <f t="shared" si="7"/>
        <v/>
      </c>
    </row>
    <row r="237" spans="62:63">
      <c r="BJ237" t="str">
        <f t="shared" si="6"/>
        <v/>
      </c>
      <c r="BK237" t="str">
        <f t="shared" si="7"/>
        <v/>
      </c>
    </row>
    <row r="238" spans="62:63">
      <c r="BJ238" t="str">
        <f t="shared" si="6"/>
        <v/>
      </c>
      <c r="BK238" t="str">
        <f t="shared" si="7"/>
        <v/>
      </c>
    </row>
    <row r="239" spans="62:63">
      <c r="BJ239" t="str">
        <f t="shared" si="6"/>
        <v/>
      </c>
      <c r="BK239" t="str">
        <f t="shared" si="7"/>
        <v/>
      </c>
    </row>
    <row r="240" spans="62:63">
      <c r="BJ240" t="str">
        <f t="shared" si="6"/>
        <v/>
      </c>
      <c r="BK240" t="str">
        <f t="shared" si="7"/>
        <v/>
      </c>
    </row>
    <row r="241" spans="62:63">
      <c r="BJ241" t="str">
        <f t="shared" si="6"/>
        <v/>
      </c>
      <c r="BK241" t="str">
        <f t="shared" si="7"/>
        <v/>
      </c>
    </row>
    <row r="242" spans="62:63">
      <c r="BJ242" t="str">
        <f t="shared" si="6"/>
        <v/>
      </c>
      <c r="BK242" t="str">
        <f t="shared" si="7"/>
        <v/>
      </c>
    </row>
    <row r="243" spans="62:63">
      <c r="BJ243" t="str">
        <f t="shared" si="6"/>
        <v/>
      </c>
      <c r="BK243" t="str">
        <f t="shared" si="7"/>
        <v/>
      </c>
    </row>
    <row r="244" spans="62:63">
      <c r="BJ244" t="str">
        <f t="shared" si="6"/>
        <v/>
      </c>
      <c r="BK244" t="str">
        <f t="shared" si="7"/>
        <v/>
      </c>
    </row>
    <row r="245" spans="62:63">
      <c r="BJ245" t="str">
        <f t="shared" si="6"/>
        <v/>
      </c>
      <c r="BK245" t="str">
        <f t="shared" si="7"/>
        <v/>
      </c>
    </row>
    <row r="246" spans="62:63">
      <c r="BJ246" t="str">
        <f t="shared" si="6"/>
        <v/>
      </c>
      <c r="BK246" t="str">
        <f t="shared" si="7"/>
        <v/>
      </c>
    </row>
    <row r="247" spans="62:63">
      <c r="BJ247" t="str">
        <f t="shared" si="6"/>
        <v/>
      </c>
      <c r="BK247" t="str">
        <f t="shared" si="7"/>
        <v/>
      </c>
    </row>
    <row r="248" spans="62:63">
      <c r="BJ248" t="str">
        <f t="shared" si="6"/>
        <v/>
      </c>
      <c r="BK248" t="str">
        <f t="shared" si="7"/>
        <v/>
      </c>
    </row>
    <row r="249" spans="62:63">
      <c r="BJ249" t="str">
        <f t="shared" si="6"/>
        <v/>
      </c>
      <c r="BK249" t="str">
        <f t="shared" si="7"/>
        <v/>
      </c>
    </row>
    <row r="250" spans="62:63">
      <c r="BJ250" t="str">
        <f t="shared" si="6"/>
        <v/>
      </c>
      <c r="BK250" t="str">
        <f t="shared" si="7"/>
        <v/>
      </c>
    </row>
    <row r="251" spans="62:63">
      <c r="BJ251" t="str">
        <f t="shared" si="6"/>
        <v/>
      </c>
      <c r="BK251" t="str">
        <f t="shared" si="7"/>
        <v/>
      </c>
    </row>
    <row r="252" spans="62:63">
      <c r="BJ252" t="str">
        <f t="shared" si="6"/>
        <v/>
      </c>
      <c r="BK252" t="str">
        <f t="shared" si="7"/>
        <v/>
      </c>
    </row>
    <row r="253" spans="62:63">
      <c r="BJ253" t="str">
        <f t="shared" si="6"/>
        <v/>
      </c>
      <c r="BK253" t="str">
        <f t="shared" si="7"/>
        <v/>
      </c>
    </row>
    <row r="254" spans="62:63">
      <c r="BJ254" t="str">
        <f t="shared" si="6"/>
        <v/>
      </c>
      <c r="BK254" t="str">
        <f t="shared" si="7"/>
        <v/>
      </c>
    </row>
    <row r="255" spans="62:63">
      <c r="BJ255" t="str">
        <f t="shared" si="6"/>
        <v/>
      </c>
      <c r="BK255" t="str">
        <f t="shared" si="7"/>
        <v/>
      </c>
    </row>
    <row r="256" spans="62:63">
      <c r="BJ256" t="str">
        <f t="shared" si="6"/>
        <v/>
      </c>
      <c r="BK256" t="str">
        <f t="shared" si="7"/>
        <v/>
      </c>
    </row>
    <row r="257" spans="62:63">
      <c r="BJ257" t="str">
        <f t="shared" si="6"/>
        <v/>
      </c>
      <c r="BK257" t="str">
        <f t="shared" si="7"/>
        <v/>
      </c>
    </row>
    <row r="258" spans="62:63">
      <c r="BJ258" t="str">
        <f t="shared" si="6"/>
        <v/>
      </c>
      <c r="BK258" t="str">
        <f t="shared" si="7"/>
        <v/>
      </c>
    </row>
    <row r="259" spans="62:63">
      <c r="BJ259" t="str">
        <f t="shared" ref="BJ259:BJ322" si="8">MID(C259,5,3)</f>
        <v/>
      </c>
      <c r="BK259" t="str">
        <f t="shared" ref="BK259:BK322" si="9">RIGHT(C259,3)</f>
        <v/>
      </c>
    </row>
    <row r="260" spans="62:63">
      <c r="BJ260" t="str">
        <f t="shared" si="8"/>
        <v/>
      </c>
      <c r="BK260" t="str">
        <f t="shared" si="9"/>
        <v/>
      </c>
    </row>
    <row r="261" spans="62:63">
      <c r="BJ261" t="str">
        <f t="shared" si="8"/>
        <v/>
      </c>
      <c r="BK261" t="str">
        <f t="shared" si="9"/>
        <v/>
      </c>
    </row>
    <row r="262" spans="62:63">
      <c r="BJ262" t="str">
        <f t="shared" si="8"/>
        <v/>
      </c>
      <c r="BK262" t="str">
        <f t="shared" si="9"/>
        <v/>
      </c>
    </row>
    <row r="263" spans="62:63">
      <c r="BJ263" t="str">
        <f t="shared" si="8"/>
        <v/>
      </c>
      <c r="BK263" t="str">
        <f t="shared" si="9"/>
        <v/>
      </c>
    </row>
    <row r="264" spans="62:63">
      <c r="BJ264" t="str">
        <f t="shared" si="8"/>
        <v/>
      </c>
      <c r="BK264" t="str">
        <f t="shared" si="9"/>
        <v/>
      </c>
    </row>
    <row r="265" spans="62:63">
      <c r="BJ265" t="str">
        <f t="shared" si="8"/>
        <v/>
      </c>
      <c r="BK265" t="str">
        <f t="shared" si="9"/>
        <v/>
      </c>
    </row>
    <row r="266" spans="62:63">
      <c r="BJ266" t="str">
        <f t="shared" si="8"/>
        <v/>
      </c>
      <c r="BK266" t="str">
        <f t="shared" si="9"/>
        <v/>
      </c>
    </row>
    <row r="267" spans="62:63">
      <c r="BJ267" t="str">
        <f t="shared" si="8"/>
        <v/>
      </c>
      <c r="BK267" t="str">
        <f t="shared" si="9"/>
        <v/>
      </c>
    </row>
    <row r="268" spans="62:63">
      <c r="BJ268" t="str">
        <f t="shared" si="8"/>
        <v/>
      </c>
      <c r="BK268" t="str">
        <f t="shared" si="9"/>
        <v/>
      </c>
    </row>
    <row r="269" spans="62:63">
      <c r="BJ269" t="str">
        <f t="shared" si="8"/>
        <v/>
      </c>
      <c r="BK269" t="str">
        <f t="shared" si="9"/>
        <v/>
      </c>
    </row>
    <row r="270" spans="62:63">
      <c r="BJ270" t="str">
        <f t="shared" si="8"/>
        <v/>
      </c>
      <c r="BK270" t="str">
        <f t="shared" si="9"/>
        <v/>
      </c>
    </row>
    <row r="271" spans="62:63">
      <c r="BJ271" t="str">
        <f t="shared" si="8"/>
        <v/>
      </c>
      <c r="BK271" t="str">
        <f t="shared" si="9"/>
        <v/>
      </c>
    </row>
    <row r="272" spans="62:63">
      <c r="BJ272" t="str">
        <f t="shared" si="8"/>
        <v/>
      </c>
      <c r="BK272" t="str">
        <f t="shared" si="9"/>
        <v/>
      </c>
    </row>
    <row r="273" spans="62:63">
      <c r="BJ273" t="str">
        <f t="shared" si="8"/>
        <v/>
      </c>
      <c r="BK273" t="str">
        <f t="shared" si="9"/>
        <v/>
      </c>
    </row>
    <row r="274" spans="62:63">
      <c r="BJ274" t="str">
        <f t="shared" si="8"/>
        <v/>
      </c>
      <c r="BK274" t="str">
        <f t="shared" si="9"/>
        <v/>
      </c>
    </row>
    <row r="275" spans="62:63">
      <c r="BJ275" t="str">
        <f t="shared" si="8"/>
        <v/>
      </c>
      <c r="BK275" t="str">
        <f t="shared" si="9"/>
        <v/>
      </c>
    </row>
    <row r="276" spans="62:63">
      <c r="BJ276" t="str">
        <f t="shared" si="8"/>
        <v/>
      </c>
      <c r="BK276" t="str">
        <f t="shared" si="9"/>
        <v/>
      </c>
    </row>
    <row r="277" spans="62:63">
      <c r="BJ277" t="str">
        <f t="shared" si="8"/>
        <v/>
      </c>
      <c r="BK277" t="str">
        <f t="shared" si="9"/>
        <v/>
      </c>
    </row>
    <row r="278" spans="62:63">
      <c r="BJ278" t="str">
        <f t="shared" si="8"/>
        <v/>
      </c>
      <c r="BK278" t="str">
        <f t="shared" si="9"/>
        <v/>
      </c>
    </row>
    <row r="279" spans="62:63">
      <c r="BJ279" t="str">
        <f t="shared" si="8"/>
        <v/>
      </c>
      <c r="BK279" t="str">
        <f t="shared" si="9"/>
        <v/>
      </c>
    </row>
    <row r="280" spans="62:63">
      <c r="BJ280" t="str">
        <f t="shared" si="8"/>
        <v/>
      </c>
      <c r="BK280" t="str">
        <f t="shared" si="9"/>
        <v/>
      </c>
    </row>
    <row r="281" spans="62:63">
      <c r="BJ281" t="str">
        <f t="shared" si="8"/>
        <v/>
      </c>
      <c r="BK281" t="str">
        <f t="shared" si="9"/>
        <v/>
      </c>
    </row>
    <row r="282" spans="62:63">
      <c r="BJ282" t="str">
        <f t="shared" si="8"/>
        <v/>
      </c>
      <c r="BK282" t="str">
        <f t="shared" si="9"/>
        <v/>
      </c>
    </row>
    <row r="283" spans="62:63">
      <c r="BJ283" t="str">
        <f t="shared" si="8"/>
        <v/>
      </c>
      <c r="BK283" t="str">
        <f t="shared" si="9"/>
        <v/>
      </c>
    </row>
    <row r="284" spans="62:63">
      <c r="BJ284" t="str">
        <f t="shared" si="8"/>
        <v/>
      </c>
      <c r="BK284" t="str">
        <f t="shared" si="9"/>
        <v/>
      </c>
    </row>
    <row r="285" spans="62:63">
      <c r="BJ285" t="str">
        <f t="shared" si="8"/>
        <v/>
      </c>
      <c r="BK285" t="str">
        <f t="shared" si="9"/>
        <v/>
      </c>
    </row>
    <row r="286" spans="62:63">
      <c r="BJ286" t="str">
        <f t="shared" si="8"/>
        <v/>
      </c>
      <c r="BK286" t="str">
        <f t="shared" si="9"/>
        <v/>
      </c>
    </row>
    <row r="287" spans="62:63">
      <c r="BJ287" t="str">
        <f t="shared" si="8"/>
        <v/>
      </c>
      <c r="BK287" t="str">
        <f t="shared" si="9"/>
        <v/>
      </c>
    </row>
    <row r="288" spans="62:63">
      <c r="BJ288" t="str">
        <f t="shared" si="8"/>
        <v/>
      </c>
      <c r="BK288" t="str">
        <f t="shared" si="9"/>
        <v/>
      </c>
    </row>
    <row r="289" spans="62:63">
      <c r="BJ289" t="str">
        <f t="shared" si="8"/>
        <v/>
      </c>
      <c r="BK289" t="str">
        <f t="shared" si="9"/>
        <v/>
      </c>
    </row>
    <row r="290" spans="62:63">
      <c r="BJ290" t="str">
        <f t="shared" si="8"/>
        <v/>
      </c>
      <c r="BK290" t="str">
        <f t="shared" si="9"/>
        <v/>
      </c>
    </row>
    <row r="291" spans="62:63">
      <c r="BJ291" t="str">
        <f t="shared" si="8"/>
        <v/>
      </c>
      <c r="BK291" t="str">
        <f t="shared" si="9"/>
        <v/>
      </c>
    </row>
    <row r="292" spans="62:63">
      <c r="BJ292" t="str">
        <f t="shared" si="8"/>
        <v/>
      </c>
      <c r="BK292" t="str">
        <f t="shared" si="9"/>
        <v/>
      </c>
    </row>
    <row r="293" spans="62:63">
      <c r="BJ293" t="str">
        <f t="shared" si="8"/>
        <v/>
      </c>
      <c r="BK293" t="str">
        <f t="shared" si="9"/>
        <v/>
      </c>
    </row>
    <row r="294" spans="62:63">
      <c r="BJ294" t="str">
        <f t="shared" si="8"/>
        <v/>
      </c>
      <c r="BK294" t="str">
        <f t="shared" si="9"/>
        <v/>
      </c>
    </row>
    <row r="295" spans="62:63">
      <c r="BJ295" t="str">
        <f t="shared" si="8"/>
        <v/>
      </c>
      <c r="BK295" t="str">
        <f t="shared" si="9"/>
        <v/>
      </c>
    </row>
    <row r="296" spans="62:63">
      <c r="BJ296" t="str">
        <f t="shared" si="8"/>
        <v/>
      </c>
      <c r="BK296" t="str">
        <f t="shared" si="9"/>
        <v/>
      </c>
    </row>
    <row r="297" spans="62:63">
      <c r="BJ297" t="str">
        <f t="shared" si="8"/>
        <v/>
      </c>
      <c r="BK297" t="str">
        <f t="shared" si="9"/>
        <v/>
      </c>
    </row>
    <row r="298" spans="62:63">
      <c r="BJ298" t="str">
        <f t="shared" si="8"/>
        <v/>
      </c>
      <c r="BK298" t="str">
        <f t="shared" si="9"/>
        <v/>
      </c>
    </row>
    <row r="299" spans="62:63">
      <c r="BJ299" t="str">
        <f t="shared" si="8"/>
        <v/>
      </c>
      <c r="BK299" t="str">
        <f t="shared" si="9"/>
        <v/>
      </c>
    </row>
    <row r="300" spans="62:63">
      <c r="BJ300" t="str">
        <f t="shared" si="8"/>
        <v/>
      </c>
      <c r="BK300" t="str">
        <f t="shared" si="9"/>
        <v/>
      </c>
    </row>
    <row r="301" spans="62:63">
      <c r="BJ301" t="str">
        <f t="shared" si="8"/>
        <v/>
      </c>
      <c r="BK301" t="str">
        <f t="shared" si="9"/>
        <v/>
      </c>
    </row>
    <row r="302" spans="62:63">
      <c r="BJ302" t="str">
        <f t="shared" si="8"/>
        <v/>
      </c>
      <c r="BK302" t="str">
        <f t="shared" si="9"/>
        <v/>
      </c>
    </row>
    <row r="303" spans="62:63">
      <c r="BJ303" t="str">
        <f t="shared" si="8"/>
        <v/>
      </c>
      <c r="BK303" t="str">
        <f t="shared" si="9"/>
        <v/>
      </c>
    </row>
    <row r="304" spans="62:63">
      <c r="BJ304" t="str">
        <f t="shared" si="8"/>
        <v/>
      </c>
      <c r="BK304" t="str">
        <f t="shared" si="9"/>
        <v/>
      </c>
    </row>
    <row r="305" spans="62:63">
      <c r="BJ305" t="str">
        <f t="shared" si="8"/>
        <v/>
      </c>
      <c r="BK305" t="str">
        <f t="shared" si="9"/>
        <v/>
      </c>
    </row>
    <row r="306" spans="62:63">
      <c r="BJ306" t="str">
        <f t="shared" si="8"/>
        <v/>
      </c>
      <c r="BK306" t="str">
        <f t="shared" si="9"/>
        <v/>
      </c>
    </row>
    <row r="307" spans="62:63">
      <c r="BJ307" t="str">
        <f t="shared" si="8"/>
        <v/>
      </c>
      <c r="BK307" t="str">
        <f t="shared" si="9"/>
        <v/>
      </c>
    </row>
    <row r="308" spans="62:63">
      <c r="BJ308" t="str">
        <f t="shared" si="8"/>
        <v/>
      </c>
      <c r="BK308" t="str">
        <f t="shared" si="9"/>
        <v/>
      </c>
    </row>
    <row r="309" spans="62:63">
      <c r="BJ309" t="str">
        <f t="shared" si="8"/>
        <v/>
      </c>
      <c r="BK309" t="str">
        <f t="shared" si="9"/>
        <v/>
      </c>
    </row>
    <row r="310" spans="62:63">
      <c r="BJ310" t="str">
        <f t="shared" si="8"/>
        <v/>
      </c>
      <c r="BK310" t="str">
        <f t="shared" si="9"/>
        <v/>
      </c>
    </row>
    <row r="311" spans="62:63">
      <c r="BJ311" t="str">
        <f t="shared" si="8"/>
        <v/>
      </c>
      <c r="BK311" t="str">
        <f t="shared" si="9"/>
        <v/>
      </c>
    </row>
    <row r="312" spans="62:63">
      <c r="BJ312" t="str">
        <f t="shared" si="8"/>
        <v/>
      </c>
      <c r="BK312" t="str">
        <f t="shared" si="9"/>
        <v/>
      </c>
    </row>
    <row r="313" spans="62:63">
      <c r="BJ313" t="str">
        <f t="shared" si="8"/>
        <v/>
      </c>
      <c r="BK313" t="str">
        <f t="shared" si="9"/>
        <v/>
      </c>
    </row>
    <row r="314" spans="62:63">
      <c r="BJ314" t="str">
        <f t="shared" si="8"/>
        <v/>
      </c>
      <c r="BK314" t="str">
        <f t="shared" si="9"/>
        <v/>
      </c>
    </row>
    <row r="315" spans="62:63">
      <c r="BJ315" t="str">
        <f t="shared" si="8"/>
        <v/>
      </c>
      <c r="BK315" t="str">
        <f t="shared" si="9"/>
        <v/>
      </c>
    </row>
    <row r="316" spans="62:63">
      <c r="BJ316" t="str">
        <f t="shared" si="8"/>
        <v/>
      </c>
      <c r="BK316" t="str">
        <f t="shared" si="9"/>
        <v/>
      </c>
    </row>
    <row r="317" spans="62:63">
      <c r="BJ317" t="str">
        <f t="shared" si="8"/>
        <v/>
      </c>
      <c r="BK317" t="str">
        <f t="shared" si="9"/>
        <v/>
      </c>
    </row>
    <row r="318" spans="62:63">
      <c r="BJ318" t="str">
        <f t="shared" si="8"/>
        <v/>
      </c>
      <c r="BK318" t="str">
        <f t="shared" si="9"/>
        <v/>
      </c>
    </row>
    <row r="319" spans="62:63">
      <c r="BJ319" t="str">
        <f t="shared" si="8"/>
        <v/>
      </c>
      <c r="BK319" t="str">
        <f t="shared" si="9"/>
        <v/>
      </c>
    </row>
    <row r="320" spans="62:63">
      <c r="BJ320" t="str">
        <f t="shared" si="8"/>
        <v/>
      </c>
      <c r="BK320" t="str">
        <f t="shared" si="9"/>
        <v/>
      </c>
    </row>
    <row r="321" spans="62:63">
      <c r="BJ321" t="str">
        <f t="shared" si="8"/>
        <v/>
      </c>
      <c r="BK321" t="str">
        <f t="shared" si="9"/>
        <v/>
      </c>
    </row>
    <row r="322" spans="62:63">
      <c r="BJ322" t="str">
        <f t="shared" si="8"/>
        <v/>
      </c>
      <c r="BK322" t="str">
        <f t="shared" si="9"/>
        <v/>
      </c>
    </row>
    <row r="323" spans="62:63">
      <c r="BJ323" t="str">
        <f t="shared" ref="BJ323:BJ386" si="10">MID(C323,5,3)</f>
        <v/>
      </c>
      <c r="BK323" t="str">
        <f t="shared" ref="BK323:BK386" si="11">RIGHT(C323,3)</f>
        <v/>
      </c>
    </row>
    <row r="324" spans="62:63">
      <c r="BJ324" t="str">
        <f t="shared" si="10"/>
        <v/>
      </c>
      <c r="BK324" t="str">
        <f t="shared" si="11"/>
        <v/>
      </c>
    </row>
    <row r="325" spans="62:63">
      <c r="BJ325" t="str">
        <f t="shared" si="10"/>
        <v/>
      </c>
      <c r="BK325" t="str">
        <f t="shared" si="11"/>
        <v/>
      </c>
    </row>
    <row r="326" spans="62:63">
      <c r="BJ326" t="str">
        <f t="shared" si="10"/>
        <v/>
      </c>
      <c r="BK326" t="str">
        <f t="shared" si="11"/>
        <v/>
      </c>
    </row>
    <row r="327" spans="62:63">
      <c r="BJ327" t="str">
        <f t="shared" si="10"/>
        <v/>
      </c>
      <c r="BK327" t="str">
        <f t="shared" si="11"/>
        <v/>
      </c>
    </row>
    <row r="328" spans="62:63">
      <c r="BJ328" t="str">
        <f t="shared" si="10"/>
        <v/>
      </c>
      <c r="BK328" t="str">
        <f t="shared" si="11"/>
        <v/>
      </c>
    </row>
    <row r="329" spans="62:63">
      <c r="BJ329" t="str">
        <f t="shared" si="10"/>
        <v/>
      </c>
      <c r="BK329" t="str">
        <f t="shared" si="11"/>
        <v/>
      </c>
    </row>
    <row r="330" spans="62:63">
      <c r="BJ330" t="str">
        <f t="shared" si="10"/>
        <v/>
      </c>
      <c r="BK330" t="str">
        <f t="shared" si="11"/>
        <v/>
      </c>
    </row>
    <row r="331" spans="62:63">
      <c r="BJ331" t="str">
        <f t="shared" si="10"/>
        <v/>
      </c>
      <c r="BK331" t="str">
        <f t="shared" si="11"/>
        <v/>
      </c>
    </row>
    <row r="332" spans="62:63">
      <c r="BJ332" t="str">
        <f t="shared" si="10"/>
        <v/>
      </c>
      <c r="BK332" t="str">
        <f t="shared" si="11"/>
        <v/>
      </c>
    </row>
    <row r="333" spans="62:63">
      <c r="BJ333" t="str">
        <f t="shared" si="10"/>
        <v/>
      </c>
      <c r="BK333" t="str">
        <f t="shared" si="11"/>
        <v/>
      </c>
    </row>
    <row r="334" spans="62:63">
      <c r="BJ334" t="str">
        <f t="shared" si="10"/>
        <v/>
      </c>
      <c r="BK334" t="str">
        <f t="shared" si="11"/>
        <v/>
      </c>
    </row>
    <row r="335" spans="62:63">
      <c r="BJ335" t="str">
        <f t="shared" si="10"/>
        <v/>
      </c>
      <c r="BK335" t="str">
        <f t="shared" si="11"/>
        <v/>
      </c>
    </row>
    <row r="336" spans="62:63">
      <c r="BJ336" t="str">
        <f t="shared" si="10"/>
        <v/>
      </c>
      <c r="BK336" t="str">
        <f t="shared" si="11"/>
        <v/>
      </c>
    </row>
    <row r="337" spans="62:63">
      <c r="BJ337" t="str">
        <f t="shared" si="10"/>
        <v/>
      </c>
      <c r="BK337" t="str">
        <f t="shared" si="11"/>
        <v/>
      </c>
    </row>
    <row r="338" spans="62:63">
      <c r="BJ338" t="str">
        <f t="shared" si="10"/>
        <v/>
      </c>
      <c r="BK338" t="str">
        <f t="shared" si="11"/>
        <v/>
      </c>
    </row>
    <row r="339" spans="62:63">
      <c r="BJ339" t="str">
        <f t="shared" si="10"/>
        <v/>
      </c>
      <c r="BK339" t="str">
        <f t="shared" si="11"/>
        <v/>
      </c>
    </row>
    <row r="340" spans="62:63">
      <c r="BJ340" t="str">
        <f t="shared" si="10"/>
        <v/>
      </c>
      <c r="BK340" t="str">
        <f t="shared" si="11"/>
        <v/>
      </c>
    </row>
    <row r="341" spans="62:63">
      <c r="BJ341" t="str">
        <f t="shared" si="10"/>
        <v/>
      </c>
      <c r="BK341" t="str">
        <f t="shared" si="11"/>
        <v/>
      </c>
    </row>
    <row r="342" spans="62:63">
      <c r="BJ342" t="str">
        <f t="shared" si="10"/>
        <v/>
      </c>
      <c r="BK342" t="str">
        <f t="shared" si="11"/>
        <v/>
      </c>
    </row>
    <row r="343" spans="62:63">
      <c r="BJ343" t="str">
        <f t="shared" si="10"/>
        <v/>
      </c>
      <c r="BK343" t="str">
        <f t="shared" si="11"/>
        <v/>
      </c>
    </row>
    <row r="344" spans="62:63">
      <c r="BJ344" t="str">
        <f t="shared" si="10"/>
        <v/>
      </c>
      <c r="BK344" t="str">
        <f t="shared" si="11"/>
        <v/>
      </c>
    </row>
    <row r="345" spans="62:63">
      <c r="BJ345" t="str">
        <f t="shared" si="10"/>
        <v/>
      </c>
      <c r="BK345" t="str">
        <f t="shared" si="11"/>
        <v/>
      </c>
    </row>
    <row r="346" spans="62:63">
      <c r="BJ346" t="str">
        <f t="shared" si="10"/>
        <v/>
      </c>
      <c r="BK346" t="str">
        <f t="shared" si="11"/>
        <v/>
      </c>
    </row>
    <row r="347" spans="62:63">
      <c r="BJ347" t="str">
        <f t="shared" si="10"/>
        <v/>
      </c>
      <c r="BK347" t="str">
        <f t="shared" si="11"/>
        <v/>
      </c>
    </row>
    <row r="348" spans="62:63">
      <c r="BJ348" t="str">
        <f t="shared" si="10"/>
        <v/>
      </c>
      <c r="BK348" t="str">
        <f t="shared" si="11"/>
        <v/>
      </c>
    </row>
    <row r="349" spans="62:63">
      <c r="BJ349" t="str">
        <f t="shared" si="10"/>
        <v/>
      </c>
      <c r="BK349" t="str">
        <f t="shared" si="11"/>
        <v/>
      </c>
    </row>
    <row r="350" spans="62:63">
      <c r="BJ350" t="str">
        <f t="shared" si="10"/>
        <v/>
      </c>
      <c r="BK350" t="str">
        <f t="shared" si="11"/>
        <v/>
      </c>
    </row>
    <row r="351" spans="62:63">
      <c r="BJ351" t="str">
        <f t="shared" si="10"/>
        <v/>
      </c>
      <c r="BK351" t="str">
        <f t="shared" si="11"/>
        <v/>
      </c>
    </row>
    <row r="352" spans="62:63">
      <c r="BJ352" t="str">
        <f t="shared" si="10"/>
        <v/>
      </c>
      <c r="BK352" t="str">
        <f t="shared" si="11"/>
        <v/>
      </c>
    </row>
    <row r="353" spans="62:63">
      <c r="BJ353" t="str">
        <f t="shared" si="10"/>
        <v/>
      </c>
      <c r="BK353" t="str">
        <f t="shared" si="11"/>
        <v/>
      </c>
    </row>
    <row r="354" spans="62:63">
      <c r="BJ354" t="str">
        <f t="shared" si="10"/>
        <v/>
      </c>
      <c r="BK354" t="str">
        <f t="shared" si="11"/>
        <v/>
      </c>
    </row>
    <row r="355" spans="62:63">
      <c r="BJ355" t="str">
        <f t="shared" si="10"/>
        <v/>
      </c>
      <c r="BK355" t="str">
        <f t="shared" si="11"/>
        <v/>
      </c>
    </row>
    <row r="356" spans="62:63">
      <c r="BJ356" t="str">
        <f t="shared" si="10"/>
        <v/>
      </c>
      <c r="BK356" t="str">
        <f t="shared" si="11"/>
        <v/>
      </c>
    </row>
    <row r="357" spans="62:63">
      <c r="BJ357" t="str">
        <f t="shared" si="10"/>
        <v/>
      </c>
      <c r="BK357" t="str">
        <f t="shared" si="11"/>
        <v/>
      </c>
    </row>
    <row r="358" spans="62:63">
      <c r="BJ358" t="str">
        <f t="shared" si="10"/>
        <v/>
      </c>
      <c r="BK358" t="str">
        <f t="shared" si="11"/>
        <v/>
      </c>
    </row>
    <row r="359" spans="62:63">
      <c r="BJ359" t="str">
        <f t="shared" si="10"/>
        <v/>
      </c>
      <c r="BK359" t="str">
        <f t="shared" si="11"/>
        <v/>
      </c>
    </row>
    <row r="360" spans="62:63">
      <c r="BJ360" t="str">
        <f t="shared" si="10"/>
        <v/>
      </c>
      <c r="BK360" t="str">
        <f t="shared" si="11"/>
        <v/>
      </c>
    </row>
    <row r="361" spans="62:63">
      <c r="BJ361" t="str">
        <f t="shared" si="10"/>
        <v/>
      </c>
      <c r="BK361" t="str">
        <f t="shared" si="11"/>
        <v/>
      </c>
    </row>
    <row r="362" spans="62:63">
      <c r="BJ362" t="str">
        <f t="shared" si="10"/>
        <v/>
      </c>
      <c r="BK362" t="str">
        <f t="shared" si="11"/>
        <v/>
      </c>
    </row>
    <row r="363" spans="62:63">
      <c r="BJ363" t="str">
        <f t="shared" si="10"/>
        <v/>
      </c>
      <c r="BK363" t="str">
        <f t="shared" si="11"/>
        <v/>
      </c>
    </row>
    <row r="364" spans="62:63">
      <c r="BJ364" t="str">
        <f t="shared" si="10"/>
        <v/>
      </c>
      <c r="BK364" t="str">
        <f t="shared" si="11"/>
        <v/>
      </c>
    </row>
    <row r="365" spans="62:63">
      <c r="BJ365" t="str">
        <f t="shared" si="10"/>
        <v/>
      </c>
      <c r="BK365" t="str">
        <f t="shared" si="11"/>
        <v/>
      </c>
    </row>
    <row r="366" spans="62:63">
      <c r="BJ366" t="str">
        <f t="shared" si="10"/>
        <v/>
      </c>
      <c r="BK366" t="str">
        <f t="shared" si="11"/>
        <v/>
      </c>
    </row>
    <row r="367" spans="62:63">
      <c r="BJ367" t="str">
        <f t="shared" si="10"/>
        <v/>
      </c>
      <c r="BK367" t="str">
        <f t="shared" si="11"/>
        <v/>
      </c>
    </row>
    <row r="368" spans="62:63">
      <c r="BJ368" t="str">
        <f t="shared" si="10"/>
        <v/>
      </c>
      <c r="BK368" t="str">
        <f t="shared" si="11"/>
        <v/>
      </c>
    </row>
    <row r="369" spans="62:63">
      <c r="BJ369" t="str">
        <f t="shared" si="10"/>
        <v/>
      </c>
      <c r="BK369" t="str">
        <f t="shared" si="11"/>
        <v/>
      </c>
    </row>
    <row r="370" spans="62:63">
      <c r="BJ370" t="str">
        <f t="shared" si="10"/>
        <v/>
      </c>
      <c r="BK370" t="str">
        <f t="shared" si="11"/>
        <v/>
      </c>
    </row>
    <row r="371" spans="62:63">
      <c r="BJ371" t="str">
        <f t="shared" si="10"/>
        <v/>
      </c>
      <c r="BK371" t="str">
        <f t="shared" si="11"/>
        <v/>
      </c>
    </row>
    <row r="372" spans="62:63">
      <c r="BJ372" t="str">
        <f t="shared" si="10"/>
        <v/>
      </c>
      <c r="BK372" t="str">
        <f t="shared" si="11"/>
        <v/>
      </c>
    </row>
    <row r="373" spans="62:63">
      <c r="BJ373" t="str">
        <f t="shared" si="10"/>
        <v/>
      </c>
      <c r="BK373" t="str">
        <f t="shared" si="11"/>
        <v/>
      </c>
    </row>
    <row r="374" spans="62:63">
      <c r="BJ374" t="str">
        <f t="shared" si="10"/>
        <v/>
      </c>
      <c r="BK374" t="str">
        <f t="shared" si="11"/>
        <v/>
      </c>
    </row>
    <row r="375" spans="62:63">
      <c r="BJ375" t="str">
        <f t="shared" si="10"/>
        <v/>
      </c>
      <c r="BK375" t="str">
        <f t="shared" si="11"/>
        <v/>
      </c>
    </row>
    <row r="376" spans="62:63">
      <c r="BJ376" t="str">
        <f t="shared" si="10"/>
        <v/>
      </c>
      <c r="BK376" t="str">
        <f t="shared" si="11"/>
        <v/>
      </c>
    </row>
    <row r="377" spans="62:63">
      <c r="BJ377" t="str">
        <f t="shared" si="10"/>
        <v/>
      </c>
      <c r="BK377" t="str">
        <f t="shared" si="11"/>
        <v/>
      </c>
    </row>
    <row r="378" spans="62:63">
      <c r="BJ378" t="str">
        <f t="shared" si="10"/>
        <v/>
      </c>
      <c r="BK378" t="str">
        <f t="shared" si="11"/>
        <v/>
      </c>
    </row>
    <row r="379" spans="62:63">
      <c r="BJ379" t="str">
        <f t="shared" si="10"/>
        <v/>
      </c>
      <c r="BK379" t="str">
        <f t="shared" si="11"/>
        <v/>
      </c>
    </row>
    <row r="380" spans="62:63">
      <c r="BJ380" t="str">
        <f t="shared" si="10"/>
        <v/>
      </c>
      <c r="BK380" t="str">
        <f t="shared" si="11"/>
        <v/>
      </c>
    </row>
    <row r="381" spans="62:63">
      <c r="BJ381" t="str">
        <f t="shared" si="10"/>
        <v/>
      </c>
      <c r="BK381" t="str">
        <f t="shared" si="11"/>
        <v/>
      </c>
    </row>
    <row r="382" spans="62:63">
      <c r="BJ382" t="str">
        <f t="shared" si="10"/>
        <v/>
      </c>
      <c r="BK382" t="str">
        <f t="shared" si="11"/>
        <v/>
      </c>
    </row>
    <row r="383" spans="62:63">
      <c r="BJ383" t="str">
        <f t="shared" si="10"/>
        <v/>
      </c>
      <c r="BK383" t="str">
        <f t="shared" si="11"/>
        <v/>
      </c>
    </row>
    <row r="384" spans="62:63">
      <c r="BJ384" t="str">
        <f t="shared" si="10"/>
        <v/>
      </c>
      <c r="BK384" t="str">
        <f t="shared" si="11"/>
        <v/>
      </c>
    </row>
    <row r="385" spans="62:63">
      <c r="BJ385" t="str">
        <f t="shared" si="10"/>
        <v/>
      </c>
      <c r="BK385" t="str">
        <f t="shared" si="11"/>
        <v/>
      </c>
    </row>
    <row r="386" spans="62:63">
      <c r="BJ386" t="str">
        <f t="shared" si="10"/>
        <v/>
      </c>
      <c r="BK386" t="str">
        <f t="shared" si="11"/>
        <v/>
      </c>
    </row>
    <row r="387" spans="62:63">
      <c r="BJ387" t="str">
        <f t="shared" ref="BJ387:BJ450" si="12">MID(C387,5,3)</f>
        <v/>
      </c>
      <c r="BK387" t="str">
        <f t="shared" ref="BK387:BK450" si="13">RIGHT(C387,3)</f>
        <v/>
      </c>
    </row>
    <row r="388" spans="62:63">
      <c r="BJ388" t="str">
        <f t="shared" si="12"/>
        <v/>
      </c>
      <c r="BK388" t="str">
        <f t="shared" si="13"/>
        <v/>
      </c>
    </row>
    <row r="389" spans="62:63">
      <c r="BJ389" t="str">
        <f t="shared" si="12"/>
        <v/>
      </c>
      <c r="BK389" t="str">
        <f t="shared" si="13"/>
        <v/>
      </c>
    </row>
    <row r="390" spans="62:63">
      <c r="BJ390" t="str">
        <f t="shared" si="12"/>
        <v/>
      </c>
      <c r="BK390" t="str">
        <f t="shared" si="13"/>
        <v/>
      </c>
    </row>
    <row r="391" spans="62:63">
      <c r="BJ391" t="str">
        <f t="shared" si="12"/>
        <v/>
      </c>
      <c r="BK391" t="str">
        <f t="shared" si="13"/>
        <v/>
      </c>
    </row>
    <row r="392" spans="62:63">
      <c r="BJ392" t="str">
        <f t="shared" si="12"/>
        <v/>
      </c>
      <c r="BK392" t="str">
        <f t="shared" si="13"/>
        <v/>
      </c>
    </row>
    <row r="393" spans="62:63">
      <c r="BJ393" t="str">
        <f t="shared" si="12"/>
        <v/>
      </c>
      <c r="BK393" t="str">
        <f t="shared" si="13"/>
        <v/>
      </c>
    </row>
    <row r="394" spans="62:63">
      <c r="BJ394" t="str">
        <f t="shared" si="12"/>
        <v/>
      </c>
      <c r="BK394" t="str">
        <f t="shared" si="13"/>
        <v/>
      </c>
    </row>
    <row r="395" spans="62:63">
      <c r="BJ395" t="str">
        <f t="shared" si="12"/>
        <v/>
      </c>
      <c r="BK395" t="str">
        <f t="shared" si="13"/>
        <v/>
      </c>
    </row>
    <row r="396" spans="62:63">
      <c r="BJ396" t="str">
        <f t="shared" si="12"/>
        <v/>
      </c>
      <c r="BK396" t="str">
        <f t="shared" si="13"/>
        <v/>
      </c>
    </row>
    <row r="397" spans="62:63">
      <c r="BJ397" t="str">
        <f t="shared" si="12"/>
        <v/>
      </c>
      <c r="BK397" t="str">
        <f t="shared" si="13"/>
        <v/>
      </c>
    </row>
    <row r="398" spans="62:63">
      <c r="BJ398" t="str">
        <f t="shared" si="12"/>
        <v/>
      </c>
      <c r="BK398" t="str">
        <f t="shared" si="13"/>
        <v/>
      </c>
    </row>
    <row r="399" spans="62:63">
      <c r="BJ399" t="str">
        <f t="shared" si="12"/>
        <v/>
      </c>
      <c r="BK399" t="str">
        <f t="shared" si="13"/>
        <v/>
      </c>
    </row>
    <row r="400" spans="62:63">
      <c r="BJ400" t="str">
        <f t="shared" si="12"/>
        <v/>
      </c>
      <c r="BK400" t="str">
        <f t="shared" si="13"/>
        <v/>
      </c>
    </row>
    <row r="401" spans="62:63">
      <c r="BJ401" t="str">
        <f t="shared" si="12"/>
        <v/>
      </c>
      <c r="BK401" t="str">
        <f t="shared" si="13"/>
        <v/>
      </c>
    </row>
    <row r="402" spans="62:63">
      <c r="BJ402" t="str">
        <f t="shared" si="12"/>
        <v/>
      </c>
      <c r="BK402" t="str">
        <f t="shared" si="13"/>
        <v/>
      </c>
    </row>
    <row r="403" spans="62:63">
      <c r="BJ403" t="str">
        <f t="shared" si="12"/>
        <v/>
      </c>
      <c r="BK403" t="str">
        <f t="shared" si="13"/>
        <v/>
      </c>
    </row>
    <row r="404" spans="62:63">
      <c r="BJ404" t="str">
        <f t="shared" si="12"/>
        <v/>
      </c>
      <c r="BK404" t="str">
        <f t="shared" si="13"/>
        <v/>
      </c>
    </row>
    <row r="405" spans="62:63">
      <c r="BJ405" t="str">
        <f t="shared" si="12"/>
        <v/>
      </c>
      <c r="BK405" t="str">
        <f t="shared" si="13"/>
        <v/>
      </c>
    </row>
    <row r="406" spans="62:63">
      <c r="BJ406" t="str">
        <f t="shared" si="12"/>
        <v/>
      </c>
      <c r="BK406" t="str">
        <f t="shared" si="13"/>
        <v/>
      </c>
    </row>
    <row r="407" spans="62:63">
      <c r="BJ407" t="str">
        <f t="shared" si="12"/>
        <v/>
      </c>
      <c r="BK407" t="str">
        <f t="shared" si="13"/>
        <v/>
      </c>
    </row>
    <row r="408" spans="62:63">
      <c r="BJ408" t="str">
        <f t="shared" si="12"/>
        <v/>
      </c>
      <c r="BK408" t="str">
        <f t="shared" si="13"/>
        <v/>
      </c>
    </row>
    <row r="409" spans="62:63">
      <c r="BJ409" t="str">
        <f t="shared" si="12"/>
        <v/>
      </c>
      <c r="BK409" t="str">
        <f t="shared" si="13"/>
        <v/>
      </c>
    </row>
    <row r="410" spans="62:63">
      <c r="BJ410" t="str">
        <f t="shared" si="12"/>
        <v/>
      </c>
      <c r="BK410" t="str">
        <f t="shared" si="13"/>
        <v/>
      </c>
    </row>
    <row r="411" spans="62:63">
      <c r="BJ411" t="str">
        <f t="shared" si="12"/>
        <v/>
      </c>
      <c r="BK411" t="str">
        <f t="shared" si="13"/>
        <v/>
      </c>
    </row>
    <row r="412" spans="62:63">
      <c r="BJ412" t="str">
        <f t="shared" si="12"/>
        <v/>
      </c>
      <c r="BK412" t="str">
        <f t="shared" si="13"/>
        <v/>
      </c>
    </row>
    <row r="413" spans="62:63">
      <c r="BJ413" t="str">
        <f t="shared" si="12"/>
        <v/>
      </c>
      <c r="BK413" t="str">
        <f t="shared" si="13"/>
        <v/>
      </c>
    </row>
    <row r="414" spans="62:63">
      <c r="BJ414" t="str">
        <f t="shared" si="12"/>
        <v/>
      </c>
      <c r="BK414" t="str">
        <f t="shared" si="13"/>
        <v/>
      </c>
    </row>
    <row r="415" spans="62:63">
      <c r="BJ415" t="str">
        <f t="shared" si="12"/>
        <v/>
      </c>
      <c r="BK415" t="str">
        <f t="shared" si="13"/>
        <v/>
      </c>
    </row>
    <row r="416" spans="62:63">
      <c r="BJ416" t="str">
        <f t="shared" si="12"/>
        <v/>
      </c>
      <c r="BK416" t="str">
        <f t="shared" si="13"/>
        <v/>
      </c>
    </row>
    <row r="417" spans="62:63">
      <c r="BJ417" t="str">
        <f t="shared" si="12"/>
        <v/>
      </c>
      <c r="BK417" t="str">
        <f t="shared" si="13"/>
        <v/>
      </c>
    </row>
    <row r="418" spans="62:63">
      <c r="BJ418" t="str">
        <f t="shared" si="12"/>
        <v/>
      </c>
      <c r="BK418" t="str">
        <f t="shared" si="13"/>
        <v/>
      </c>
    </row>
    <row r="419" spans="62:63">
      <c r="BJ419" t="str">
        <f t="shared" si="12"/>
        <v/>
      </c>
      <c r="BK419" t="str">
        <f t="shared" si="13"/>
        <v/>
      </c>
    </row>
    <row r="420" spans="62:63">
      <c r="BJ420" t="str">
        <f t="shared" si="12"/>
        <v/>
      </c>
      <c r="BK420" t="str">
        <f t="shared" si="13"/>
        <v/>
      </c>
    </row>
    <row r="421" spans="62:63">
      <c r="BJ421" t="str">
        <f t="shared" si="12"/>
        <v/>
      </c>
      <c r="BK421" t="str">
        <f t="shared" si="13"/>
        <v/>
      </c>
    </row>
    <row r="422" spans="62:63">
      <c r="BJ422" t="str">
        <f t="shared" si="12"/>
        <v/>
      </c>
      <c r="BK422" t="str">
        <f t="shared" si="13"/>
        <v/>
      </c>
    </row>
    <row r="423" spans="62:63">
      <c r="BJ423" t="str">
        <f t="shared" si="12"/>
        <v/>
      </c>
      <c r="BK423" t="str">
        <f t="shared" si="13"/>
        <v/>
      </c>
    </row>
    <row r="424" spans="62:63">
      <c r="BJ424" t="str">
        <f t="shared" si="12"/>
        <v/>
      </c>
      <c r="BK424" t="str">
        <f t="shared" si="13"/>
        <v/>
      </c>
    </row>
    <row r="425" spans="62:63">
      <c r="BJ425" t="str">
        <f t="shared" si="12"/>
        <v/>
      </c>
      <c r="BK425" t="str">
        <f t="shared" si="13"/>
        <v/>
      </c>
    </row>
    <row r="426" spans="62:63">
      <c r="BJ426" t="str">
        <f t="shared" si="12"/>
        <v/>
      </c>
      <c r="BK426" t="str">
        <f t="shared" si="13"/>
        <v/>
      </c>
    </row>
    <row r="427" spans="62:63">
      <c r="BJ427" t="str">
        <f t="shared" si="12"/>
        <v/>
      </c>
      <c r="BK427" t="str">
        <f t="shared" si="13"/>
        <v/>
      </c>
    </row>
    <row r="428" spans="62:63">
      <c r="BJ428" t="str">
        <f t="shared" si="12"/>
        <v/>
      </c>
      <c r="BK428" t="str">
        <f t="shared" si="13"/>
        <v/>
      </c>
    </row>
    <row r="429" spans="62:63">
      <c r="BJ429" t="str">
        <f t="shared" si="12"/>
        <v/>
      </c>
      <c r="BK429" t="str">
        <f t="shared" si="13"/>
        <v/>
      </c>
    </row>
    <row r="430" spans="62:63">
      <c r="BJ430" t="str">
        <f t="shared" si="12"/>
        <v/>
      </c>
      <c r="BK430" t="str">
        <f t="shared" si="13"/>
        <v/>
      </c>
    </row>
    <row r="431" spans="62:63">
      <c r="BJ431" t="str">
        <f t="shared" si="12"/>
        <v/>
      </c>
      <c r="BK431" t="str">
        <f t="shared" si="13"/>
        <v/>
      </c>
    </row>
    <row r="432" spans="62:63">
      <c r="BJ432" t="str">
        <f t="shared" si="12"/>
        <v/>
      </c>
      <c r="BK432" t="str">
        <f t="shared" si="13"/>
        <v/>
      </c>
    </row>
    <row r="433" spans="62:63">
      <c r="BJ433" t="str">
        <f t="shared" si="12"/>
        <v/>
      </c>
      <c r="BK433" t="str">
        <f t="shared" si="13"/>
        <v/>
      </c>
    </row>
    <row r="434" spans="62:63">
      <c r="BJ434" t="str">
        <f t="shared" si="12"/>
        <v/>
      </c>
      <c r="BK434" t="str">
        <f t="shared" si="13"/>
        <v/>
      </c>
    </row>
    <row r="435" spans="62:63">
      <c r="BJ435" t="str">
        <f t="shared" si="12"/>
        <v/>
      </c>
      <c r="BK435" t="str">
        <f t="shared" si="13"/>
        <v/>
      </c>
    </row>
    <row r="436" spans="62:63">
      <c r="BJ436" t="str">
        <f t="shared" si="12"/>
        <v/>
      </c>
      <c r="BK436" t="str">
        <f t="shared" si="13"/>
        <v/>
      </c>
    </row>
    <row r="437" spans="62:63">
      <c r="BJ437" t="str">
        <f t="shared" si="12"/>
        <v/>
      </c>
      <c r="BK437" t="str">
        <f t="shared" si="13"/>
        <v/>
      </c>
    </row>
    <row r="438" spans="62:63">
      <c r="BJ438" t="str">
        <f t="shared" si="12"/>
        <v/>
      </c>
      <c r="BK438" t="str">
        <f t="shared" si="13"/>
        <v/>
      </c>
    </row>
    <row r="439" spans="62:63">
      <c r="BJ439" t="str">
        <f t="shared" si="12"/>
        <v/>
      </c>
      <c r="BK439" t="str">
        <f t="shared" si="13"/>
        <v/>
      </c>
    </row>
    <row r="440" spans="62:63">
      <c r="BJ440" t="str">
        <f t="shared" si="12"/>
        <v/>
      </c>
      <c r="BK440" t="str">
        <f t="shared" si="13"/>
        <v/>
      </c>
    </row>
    <row r="441" spans="62:63">
      <c r="BJ441" t="str">
        <f t="shared" si="12"/>
        <v/>
      </c>
      <c r="BK441" t="str">
        <f t="shared" si="13"/>
        <v/>
      </c>
    </row>
    <row r="442" spans="62:63">
      <c r="BJ442" t="str">
        <f t="shared" si="12"/>
        <v/>
      </c>
      <c r="BK442" t="str">
        <f t="shared" si="13"/>
        <v/>
      </c>
    </row>
    <row r="443" spans="62:63">
      <c r="BJ443" t="str">
        <f t="shared" si="12"/>
        <v/>
      </c>
      <c r="BK443" t="str">
        <f t="shared" si="13"/>
        <v/>
      </c>
    </row>
    <row r="444" spans="62:63">
      <c r="BJ444" t="str">
        <f t="shared" si="12"/>
        <v/>
      </c>
      <c r="BK444" t="str">
        <f t="shared" si="13"/>
        <v/>
      </c>
    </row>
    <row r="445" spans="62:63">
      <c r="BJ445" t="str">
        <f t="shared" si="12"/>
        <v/>
      </c>
      <c r="BK445" t="str">
        <f t="shared" si="13"/>
        <v/>
      </c>
    </row>
    <row r="446" spans="62:63">
      <c r="BJ446" t="str">
        <f t="shared" si="12"/>
        <v/>
      </c>
      <c r="BK446" t="str">
        <f t="shared" si="13"/>
        <v/>
      </c>
    </row>
    <row r="447" spans="62:63">
      <c r="BJ447" t="str">
        <f t="shared" si="12"/>
        <v/>
      </c>
      <c r="BK447" t="str">
        <f t="shared" si="13"/>
        <v/>
      </c>
    </row>
    <row r="448" spans="62:63">
      <c r="BJ448" t="str">
        <f t="shared" si="12"/>
        <v/>
      </c>
      <c r="BK448" t="str">
        <f t="shared" si="13"/>
        <v/>
      </c>
    </row>
    <row r="449" spans="62:63">
      <c r="BJ449" t="str">
        <f t="shared" si="12"/>
        <v/>
      </c>
      <c r="BK449" t="str">
        <f t="shared" si="13"/>
        <v/>
      </c>
    </row>
    <row r="450" spans="62:63">
      <c r="BJ450" t="str">
        <f t="shared" si="12"/>
        <v/>
      </c>
      <c r="BK450" t="str">
        <f t="shared" si="13"/>
        <v/>
      </c>
    </row>
    <row r="451" spans="62:63">
      <c r="BJ451" t="str">
        <f t="shared" ref="BJ451:BJ514" si="14">MID(C451,5,3)</f>
        <v/>
      </c>
      <c r="BK451" t="str">
        <f t="shared" ref="BK451:BK514" si="15">RIGHT(C451,3)</f>
        <v/>
      </c>
    </row>
    <row r="452" spans="62:63">
      <c r="BJ452" t="str">
        <f t="shared" si="14"/>
        <v/>
      </c>
      <c r="BK452" t="str">
        <f t="shared" si="15"/>
        <v/>
      </c>
    </row>
    <row r="453" spans="62:63">
      <c r="BJ453" t="str">
        <f t="shared" si="14"/>
        <v/>
      </c>
      <c r="BK453" t="str">
        <f t="shared" si="15"/>
        <v/>
      </c>
    </row>
    <row r="454" spans="62:63">
      <c r="BJ454" t="str">
        <f t="shared" si="14"/>
        <v/>
      </c>
      <c r="BK454" t="str">
        <f t="shared" si="15"/>
        <v/>
      </c>
    </row>
    <row r="455" spans="62:63">
      <c r="BJ455" t="str">
        <f t="shared" si="14"/>
        <v/>
      </c>
      <c r="BK455" t="str">
        <f t="shared" si="15"/>
        <v/>
      </c>
    </row>
    <row r="456" spans="62:63">
      <c r="BJ456" t="str">
        <f t="shared" si="14"/>
        <v/>
      </c>
      <c r="BK456" t="str">
        <f t="shared" si="15"/>
        <v/>
      </c>
    </row>
    <row r="457" spans="62:63">
      <c r="BJ457" t="str">
        <f t="shared" si="14"/>
        <v/>
      </c>
      <c r="BK457" t="str">
        <f t="shared" si="15"/>
        <v/>
      </c>
    </row>
    <row r="458" spans="62:63">
      <c r="BJ458" t="str">
        <f t="shared" si="14"/>
        <v/>
      </c>
      <c r="BK458" t="str">
        <f t="shared" si="15"/>
        <v/>
      </c>
    </row>
    <row r="459" spans="62:63">
      <c r="BJ459" t="str">
        <f t="shared" si="14"/>
        <v/>
      </c>
      <c r="BK459" t="str">
        <f t="shared" si="15"/>
        <v/>
      </c>
    </row>
    <row r="460" spans="62:63">
      <c r="BJ460" t="str">
        <f t="shared" si="14"/>
        <v/>
      </c>
      <c r="BK460" t="str">
        <f t="shared" si="15"/>
        <v/>
      </c>
    </row>
    <row r="461" spans="62:63">
      <c r="BJ461" t="str">
        <f t="shared" si="14"/>
        <v/>
      </c>
      <c r="BK461" t="str">
        <f t="shared" si="15"/>
        <v/>
      </c>
    </row>
    <row r="462" spans="62:63">
      <c r="BJ462" t="str">
        <f t="shared" si="14"/>
        <v/>
      </c>
      <c r="BK462" t="str">
        <f t="shared" si="15"/>
        <v/>
      </c>
    </row>
    <row r="463" spans="62:63">
      <c r="BJ463" t="str">
        <f t="shared" si="14"/>
        <v/>
      </c>
      <c r="BK463" t="str">
        <f t="shared" si="15"/>
        <v/>
      </c>
    </row>
    <row r="464" spans="62:63">
      <c r="BJ464" t="str">
        <f t="shared" si="14"/>
        <v/>
      </c>
      <c r="BK464" t="str">
        <f t="shared" si="15"/>
        <v/>
      </c>
    </row>
    <row r="465" spans="62:63">
      <c r="BJ465" t="str">
        <f t="shared" si="14"/>
        <v/>
      </c>
      <c r="BK465" t="str">
        <f t="shared" si="15"/>
        <v/>
      </c>
    </row>
    <row r="466" spans="62:63">
      <c r="BJ466" t="str">
        <f t="shared" si="14"/>
        <v/>
      </c>
      <c r="BK466" t="str">
        <f t="shared" si="15"/>
        <v/>
      </c>
    </row>
    <row r="467" spans="62:63">
      <c r="BJ467" t="str">
        <f t="shared" si="14"/>
        <v/>
      </c>
      <c r="BK467" t="str">
        <f t="shared" si="15"/>
        <v/>
      </c>
    </row>
    <row r="468" spans="62:63">
      <c r="BJ468" t="str">
        <f t="shared" si="14"/>
        <v/>
      </c>
      <c r="BK468" t="str">
        <f t="shared" si="15"/>
        <v/>
      </c>
    </row>
    <row r="469" spans="62:63">
      <c r="BJ469" t="str">
        <f t="shared" si="14"/>
        <v/>
      </c>
      <c r="BK469" t="str">
        <f t="shared" si="15"/>
        <v/>
      </c>
    </row>
    <row r="470" spans="62:63">
      <c r="BJ470" t="str">
        <f t="shared" si="14"/>
        <v/>
      </c>
      <c r="BK470" t="str">
        <f t="shared" si="15"/>
        <v/>
      </c>
    </row>
    <row r="471" spans="62:63">
      <c r="BJ471" t="str">
        <f t="shared" si="14"/>
        <v/>
      </c>
      <c r="BK471" t="str">
        <f t="shared" si="15"/>
        <v/>
      </c>
    </row>
    <row r="472" spans="62:63">
      <c r="BJ472" t="str">
        <f t="shared" si="14"/>
        <v/>
      </c>
      <c r="BK472" t="str">
        <f t="shared" si="15"/>
        <v/>
      </c>
    </row>
    <row r="473" spans="62:63">
      <c r="BJ473" t="str">
        <f t="shared" si="14"/>
        <v/>
      </c>
      <c r="BK473" t="str">
        <f t="shared" si="15"/>
        <v/>
      </c>
    </row>
    <row r="474" spans="62:63">
      <c r="BJ474" t="str">
        <f t="shared" si="14"/>
        <v/>
      </c>
      <c r="BK474" t="str">
        <f t="shared" si="15"/>
        <v/>
      </c>
    </row>
    <row r="475" spans="62:63">
      <c r="BJ475" t="str">
        <f t="shared" si="14"/>
        <v/>
      </c>
      <c r="BK475" t="str">
        <f t="shared" si="15"/>
        <v/>
      </c>
    </row>
    <row r="476" spans="62:63">
      <c r="BJ476" t="str">
        <f t="shared" si="14"/>
        <v/>
      </c>
      <c r="BK476" t="str">
        <f t="shared" si="15"/>
        <v/>
      </c>
    </row>
    <row r="477" spans="62:63">
      <c r="BJ477" t="str">
        <f t="shared" si="14"/>
        <v/>
      </c>
      <c r="BK477" t="str">
        <f t="shared" si="15"/>
        <v/>
      </c>
    </row>
    <row r="478" spans="62:63">
      <c r="BJ478" t="str">
        <f t="shared" si="14"/>
        <v/>
      </c>
      <c r="BK478" t="str">
        <f t="shared" si="15"/>
        <v/>
      </c>
    </row>
    <row r="479" spans="62:63">
      <c r="BJ479" t="str">
        <f t="shared" si="14"/>
        <v/>
      </c>
      <c r="BK479" t="str">
        <f t="shared" si="15"/>
        <v/>
      </c>
    </row>
    <row r="480" spans="62:63">
      <c r="BJ480" t="str">
        <f t="shared" si="14"/>
        <v/>
      </c>
      <c r="BK480" t="str">
        <f t="shared" si="15"/>
        <v/>
      </c>
    </row>
    <row r="481" spans="62:63">
      <c r="BJ481" t="str">
        <f t="shared" si="14"/>
        <v/>
      </c>
      <c r="BK481" t="str">
        <f t="shared" si="15"/>
        <v/>
      </c>
    </row>
    <row r="482" spans="62:63">
      <c r="BJ482" t="str">
        <f t="shared" si="14"/>
        <v/>
      </c>
      <c r="BK482" t="str">
        <f t="shared" si="15"/>
        <v/>
      </c>
    </row>
    <row r="483" spans="62:63">
      <c r="BJ483" t="str">
        <f t="shared" si="14"/>
        <v/>
      </c>
      <c r="BK483" t="str">
        <f t="shared" si="15"/>
        <v/>
      </c>
    </row>
    <row r="484" spans="62:63">
      <c r="BJ484" t="str">
        <f t="shared" si="14"/>
        <v/>
      </c>
      <c r="BK484" t="str">
        <f t="shared" si="15"/>
        <v/>
      </c>
    </row>
    <row r="485" spans="62:63">
      <c r="BJ485" t="str">
        <f t="shared" si="14"/>
        <v/>
      </c>
      <c r="BK485" t="str">
        <f t="shared" si="15"/>
        <v/>
      </c>
    </row>
    <row r="486" spans="62:63">
      <c r="BJ486" t="str">
        <f t="shared" si="14"/>
        <v/>
      </c>
      <c r="BK486" t="str">
        <f t="shared" si="15"/>
        <v/>
      </c>
    </row>
    <row r="487" spans="62:63">
      <c r="BJ487" t="str">
        <f t="shared" si="14"/>
        <v/>
      </c>
      <c r="BK487" t="str">
        <f t="shared" si="15"/>
        <v/>
      </c>
    </row>
    <row r="488" spans="62:63">
      <c r="BJ488" t="str">
        <f t="shared" si="14"/>
        <v/>
      </c>
      <c r="BK488" t="str">
        <f t="shared" si="15"/>
        <v/>
      </c>
    </row>
    <row r="489" spans="62:63">
      <c r="BJ489" t="str">
        <f t="shared" si="14"/>
        <v/>
      </c>
      <c r="BK489" t="str">
        <f t="shared" si="15"/>
        <v/>
      </c>
    </row>
    <row r="490" spans="62:63">
      <c r="BJ490" t="str">
        <f t="shared" si="14"/>
        <v/>
      </c>
      <c r="BK490" t="str">
        <f t="shared" si="15"/>
        <v/>
      </c>
    </row>
    <row r="491" spans="62:63">
      <c r="BJ491" t="str">
        <f t="shared" si="14"/>
        <v/>
      </c>
      <c r="BK491" t="str">
        <f t="shared" si="15"/>
        <v/>
      </c>
    </row>
    <row r="492" spans="62:63">
      <c r="BJ492" t="str">
        <f t="shared" si="14"/>
        <v/>
      </c>
      <c r="BK492" t="str">
        <f t="shared" si="15"/>
        <v/>
      </c>
    </row>
    <row r="493" spans="62:63">
      <c r="BJ493" t="str">
        <f t="shared" si="14"/>
        <v/>
      </c>
      <c r="BK493" t="str">
        <f t="shared" si="15"/>
        <v/>
      </c>
    </row>
    <row r="494" spans="62:63">
      <c r="BJ494" t="str">
        <f t="shared" si="14"/>
        <v/>
      </c>
      <c r="BK494" t="str">
        <f t="shared" si="15"/>
        <v/>
      </c>
    </row>
    <row r="495" spans="62:63">
      <c r="BJ495" t="str">
        <f t="shared" si="14"/>
        <v/>
      </c>
      <c r="BK495" t="str">
        <f t="shared" si="15"/>
        <v/>
      </c>
    </row>
    <row r="496" spans="62:63">
      <c r="BJ496" t="str">
        <f t="shared" si="14"/>
        <v/>
      </c>
      <c r="BK496" t="str">
        <f t="shared" si="15"/>
        <v/>
      </c>
    </row>
    <row r="497" spans="62:63">
      <c r="BJ497" t="str">
        <f t="shared" si="14"/>
        <v/>
      </c>
      <c r="BK497" t="str">
        <f t="shared" si="15"/>
        <v/>
      </c>
    </row>
    <row r="498" spans="62:63">
      <c r="BJ498" t="str">
        <f t="shared" si="14"/>
        <v/>
      </c>
      <c r="BK498" t="str">
        <f t="shared" si="15"/>
        <v/>
      </c>
    </row>
    <row r="499" spans="62:63">
      <c r="BJ499" t="str">
        <f t="shared" si="14"/>
        <v/>
      </c>
      <c r="BK499" t="str">
        <f t="shared" si="15"/>
        <v/>
      </c>
    </row>
    <row r="500" spans="62:63">
      <c r="BJ500" t="str">
        <f t="shared" si="14"/>
        <v/>
      </c>
      <c r="BK500" t="str">
        <f t="shared" si="15"/>
        <v/>
      </c>
    </row>
    <row r="501" spans="62:63">
      <c r="BJ501" t="str">
        <f t="shared" si="14"/>
        <v/>
      </c>
      <c r="BK501" t="str">
        <f t="shared" si="15"/>
        <v/>
      </c>
    </row>
    <row r="502" spans="62:63">
      <c r="BJ502" t="str">
        <f t="shared" si="14"/>
        <v/>
      </c>
      <c r="BK502" t="str">
        <f t="shared" si="15"/>
        <v/>
      </c>
    </row>
    <row r="503" spans="62:63">
      <c r="BJ503" t="str">
        <f t="shared" si="14"/>
        <v/>
      </c>
      <c r="BK503" t="str">
        <f t="shared" si="15"/>
        <v/>
      </c>
    </row>
    <row r="504" spans="62:63">
      <c r="BJ504" t="str">
        <f t="shared" si="14"/>
        <v/>
      </c>
      <c r="BK504" t="str">
        <f t="shared" si="15"/>
        <v/>
      </c>
    </row>
    <row r="505" spans="62:63">
      <c r="BJ505" t="str">
        <f t="shared" si="14"/>
        <v/>
      </c>
      <c r="BK505" t="str">
        <f t="shared" si="15"/>
        <v/>
      </c>
    </row>
    <row r="506" spans="62:63">
      <c r="BJ506" t="str">
        <f t="shared" si="14"/>
        <v/>
      </c>
      <c r="BK506" t="str">
        <f t="shared" si="15"/>
        <v/>
      </c>
    </row>
    <row r="507" spans="62:63">
      <c r="BJ507" t="str">
        <f t="shared" si="14"/>
        <v/>
      </c>
      <c r="BK507" t="str">
        <f t="shared" si="15"/>
        <v/>
      </c>
    </row>
    <row r="508" spans="62:63">
      <c r="BJ508" t="str">
        <f t="shared" si="14"/>
        <v/>
      </c>
      <c r="BK508" t="str">
        <f t="shared" si="15"/>
        <v/>
      </c>
    </row>
    <row r="509" spans="62:63">
      <c r="BJ509" t="str">
        <f t="shared" si="14"/>
        <v/>
      </c>
      <c r="BK509" t="str">
        <f t="shared" si="15"/>
        <v/>
      </c>
    </row>
    <row r="510" spans="62:63">
      <c r="BJ510" t="str">
        <f t="shared" si="14"/>
        <v/>
      </c>
      <c r="BK510" t="str">
        <f t="shared" si="15"/>
        <v/>
      </c>
    </row>
    <row r="511" spans="62:63">
      <c r="BJ511" t="str">
        <f t="shared" si="14"/>
        <v/>
      </c>
      <c r="BK511" t="str">
        <f t="shared" si="15"/>
        <v/>
      </c>
    </row>
    <row r="512" spans="62:63">
      <c r="BJ512" t="str">
        <f t="shared" si="14"/>
        <v/>
      </c>
      <c r="BK512" t="str">
        <f t="shared" si="15"/>
        <v/>
      </c>
    </row>
    <row r="513" spans="62:63">
      <c r="BJ513" t="str">
        <f t="shared" si="14"/>
        <v/>
      </c>
      <c r="BK513" t="str">
        <f t="shared" si="15"/>
        <v/>
      </c>
    </row>
    <row r="514" spans="62:63">
      <c r="BJ514" t="str">
        <f t="shared" si="14"/>
        <v/>
      </c>
      <c r="BK514" t="str">
        <f t="shared" si="15"/>
        <v/>
      </c>
    </row>
    <row r="515" spans="62:63">
      <c r="BJ515" t="str">
        <f t="shared" ref="BJ515:BJ578" si="16">MID(C515,5,3)</f>
        <v/>
      </c>
      <c r="BK515" t="str">
        <f t="shared" ref="BK515:BK578" si="17">RIGHT(C515,3)</f>
        <v/>
      </c>
    </row>
    <row r="516" spans="62:63">
      <c r="BJ516" t="str">
        <f t="shared" si="16"/>
        <v/>
      </c>
      <c r="BK516" t="str">
        <f t="shared" si="17"/>
        <v/>
      </c>
    </row>
    <row r="517" spans="62:63">
      <c r="BJ517" t="str">
        <f t="shared" si="16"/>
        <v/>
      </c>
      <c r="BK517" t="str">
        <f t="shared" si="17"/>
        <v/>
      </c>
    </row>
    <row r="518" spans="62:63">
      <c r="BJ518" t="str">
        <f t="shared" si="16"/>
        <v/>
      </c>
      <c r="BK518" t="str">
        <f t="shared" si="17"/>
        <v/>
      </c>
    </row>
    <row r="519" spans="62:63">
      <c r="BJ519" t="str">
        <f t="shared" si="16"/>
        <v/>
      </c>
      <c r="BK519" t="str">
        <f t="shared" si="17"/>
        <v/>
      </c>
    </row>
    <row r="520" spans="62:63">
      <c r="BJ520" t="str">
        <f t="shared" si="16"/>
        <v/>
      </c>
      <c r="BK520" t="str">
        <f t="shared" si="17"/>
        <v/>
      </c>
    </row>
    <row r="521" spans="62:63">
      <c r="BJ521" t="str">
        <f t="shared" si="16"/>
        <v/>
      </c>
      <c r="BK521" t="str">
        <f t="shared" si="17"/>
        <v/>
      </c>
    </row>
    <row r="522" spans="62:63">
      <c r="BJ522" t="str">
        <f t="shared" si="16"/>
        <v/>
      </c>
      <c r="BK522" t="str">
        <f t="shared" si="17"/>
        <v/>
      </c>
    </row>
    <row r="523" spans="62:63">
      <c r="BJ523" t="str">
        <f t="shared" si="16"/>
        <v/>
      </c>
      <c r="BK523" t="str">
        <f t="shared" si="17"/>
        <v/>
      </c>
    </row>
    <row r="524" spans="62:63">
      <c r="BJ524" t="str">
        <f t="shared" si="16"/>
        <v/>
      </c>
      <c r="BK524" t="str">
        <f t="shared" si="17"/>
        <v/>
      </c>
    </row>
    <row r="525" spans="62:63">
      <c r="BJ525" t="str">
        <f t="shared" si="16"/>
        <v/>
      </c>
      <c r="BK525" t="str">
        <f t="shared" si="17"/>
        <v/>
      </c>
    </row>
    <row r="526" spans="62:63">
      <c r="BJ526" t="str">
        <f t="shared" si="16"/>
        <v/>
      </c>
      <c r="BK526" t="str">
        <f t="shared" si="17"/>
        <v/>
      </c>
    </row>
    <row r="527" spans="62:63">
      <c r="BJ527" t="str">
        <f t="shared" si="16"/>
        <v/>
      </c>
      <c r="BK527" t="str">
        <f t="shared" si="17"/>
        <v/>
      </c>
    </row>
    <row r="528" spans="62:63">
      <c r="BJ528" t="str">
        <f t="shared" si="16"/>
        <v/>
      </c>
      <c r="BK528" t="str">
        <f t="shared" si="17"/>
        <v/>
      </c>
    </row>
    <row r="529" spans="62:63">
      <c r="BJ529" t="str">
        <f t="shared" si="16"/>
        <v/>
      </c>
      <c r="BK529" t="str">
        <f t="shared" si="17"/>
        <v/>
      </c>
    </row>
    <row r="530" spans="62:63">
      <c r="BJ530" t="str">
        <f t="shared" si="16"/>
        <v/>
      </c>
      <c r="BK530" t="str">
        <f t="shared" si="17"/>
        <v/>
      </c>
    </row>
    <row r="531" spans="62:63">
      <c r="BJ531" t="str">
        <f t="shared" si="16"/>
        <v/>
      </c>
      <c r="BK531" t="str">
        <f t="shared" si="17"/>
        <v/>
      </c>
    </row>
    <row r="532" spans="62:63">
      <c r="BJ532" t="str">
        <f t="shared" si="16"/>
        <v/>
      </c>
      <c r="BK532" t="str">
        <f t="shared" si="17"/>
        <v/>
      </c>
    </row>
    <row r="533" spans="62:63">
      <c r="BJ533" t="str">
        <f t="shared" si="16"/>
        <v/>
      </c>
      <c r="BK533" t="str">
        <f t="shared" si="17"/>
        <v/>
      </c>
    </row>
    <row r="534" spans="62:63">
      <c r="BJ534" t="str">
        <f t="shared" si="16"/>
        <v/>
      </c>
      <c r="BK534" t="str">
        <f t="shared" si="17"/>
        <v/>
      </c>
    </row>
    <row r="535" spans="62:63">
      <c r="BJ535" t="str">
        <f t="shared" si="16"/>
        <v/>
      </c>
      <c r="BK535" t="str">
        <f t="shared" si="17"/>
        <v/>
      </c>
    </row>
    <row r="536" spans="62:63">
      <c r="BJ536" t="str">
        <f t="shared" si="16"/>
        <v/>
      </c>
      <c r="BK536" t="str">
        <f t="shared" si="17"/>
        <v/>
      </c>
    </row>
    <row r="537" spans="62:63">
      <c r="BJ537" t="str">
        <f t="shared" si="16"/>
        <v/>
      </c>
      <c r="BK537" t="str">
        <f t="shared" si="17"/>
        <v/>
      </c>
    </row>
    <row r="538" spans="62:63">
      <c r="BJ538" t="str">
        <f t="shared" si="16"/>
        <v/>
      </c>
      <c r="BK538" t="str">
        <f t="shared" si="17"/>
        <v/>
      </c>
    </row>
    <row r="539" spans="62:63">
      <c r="BJ539" t="str">
        <f t="shared" si="16"/>
        <v/>
      </c>
      <c r="BK539" t="str">
        <f t="shared" si="17"/>
        <v/>
      </c>
    </row>
    <row r="540" spans="62:63">
      <c r="BJ540" t="str">
        <f t="shared" si="16"/>
        <v/>
      </c>
      <c r="BK540" t="str">
        <f t="shared" si="17"/>
        <v/>
      </c>
    </row>
    <row r="541" spans="62:63">
      <c r="BJ541" t="str">
        <f t="shared" si="16"/>
        <v/>
      </c>
      <c r="BK541" t="str">
        <f t="shared" si="17"/>
        <v/>
      </c>
    </row>
    <row r="542" spans="62:63">
      <c r="BJ542" t="str">
        <f t="shared" si="16"/>
        <v/>
      </c>
      <c r="BK542" t="str">
        <f t="shared" si="17"/>
        <v/>
      </c>
    </row>
    <row r="543" spans="62:63">
      <c r="BJ543" t="str">
        <f t="shared" si="16"/>
        <v/>
      </c>
      <c r="BK543" t="str">
        <f t="shared" si="17"/>
        <v/>
      </c>
    </row>
    <row r="544" spans="62:63">
      <c r="BJ544" t="str">
        <f t="shared" si="16"/>
        <v/>
      </c>
      <c r="BK544" t="str">
        <f t="shared" si="17"/>
        <v/>
      </c>
    </row>
    <row r="545" spans="62:63">
      <c r="BJ545" t="str">
        <f t="shared" si="16"/>
        <v/>
      </c>
      <c r="BK545" t="str">
        <f t="shared" si="17"/>
        <v/>
      </c>
    </row>
    <row r="546" spans="62:63">
      <c r="BJ546" t="str">
        <f t="shared" si="16"/>
        <v/>
      </c>
      <c r="BK546" t="str">
        <f t="shared" si="17"/>
        <v/>
      </c>
    </row>
    <row r="547" spans="62:63">
      <c r="BJ547" t="str">
        <f t="shared" si="16"/>
        <v/>
      </c>
      <c r="BK547" t="str">
        <f t="shared" si="17"/>
        <v/>
      </c>
    </row>
    <row r="548" spans="62:63">
      <c r="BJ548" t="str">
        <f t="shared" si="16"/>
        <v/>
      </c>
      <c r="BK548" t="str">
        <f t="shared" si="17"/>
        <v/>
      </c>
    </row>
    <row r="549" spans="62:63">
      <c r="BJ549" t="str">
        <f t="shared" si="16"/>
        <v/>
      </c>
      <c r="BK549" t="str">
        <f t="shared" si="17"/>
        <v/>
      </c>
    </row>
    <row r="550" spans="62:63">
      <c r="BJ550" t="str">
        <f t="shared" si="16"/>
        <v/>
      </c>
      <c r="BK550" t="str">
        <f t="shared" si="17"/>
        <v/>
      </c>
    </row>
    <row r="551" spans="62:63">
      <c r="BJ551" t="str">
        <f t="shared" si="16"/>
        <v/>
      </c>
      <c r="BK551" t="str">
        <f t="shared" si="17"/>
        <v/>
      </c>
    </row>
    <row r="552" spans="62:63">
      <c r="BJ552" t="str">
        <f t="shared" si="16"/>
        <v/>
      </c>
      <c r="BK552" t="str">
        <f t="shared" si="17"/>
        <v/>
      </c>
    </row>
    <row r="553" spans="62:63">
      <c r="BJ553" t="str">
        <f t="shared" si="16"/>
        <v/>
      </c>
      <c r="BK553" t="str">
        <f t="shared" si="17"/>
        <v/>
      </c>
    </row>
    <row r="554" spans="62:63">
      <c r="BJ554" t="str">
        <f t="shared" si="16"/>
        <v/>
      </c>
      <c r="BK554" t="str">
        <f t="shared" si="17"/>
        <v/>
      </c>
    </row>
    <row r="555" spans="62:63">
      <c r="BJ555" t="str">
        <f t="shared" si="16"/>
        <v/>
      </c>
      <c r="BK555" t="str">
        <f t="shared" si="17"/>
        <v/>
      </c>
    </row>
    <row r="556" spans="62:63">
      <c r="BJ556" t="str">
        <f t="shared" si="16"/>
        <v/>
      </c>
      <c r="BK556" t="str">
        <f t="shared" si="17"/>
        <v/>
      </c>
    </row>
    <row r="557" spans="62:63">
      <c r="BJ557" t="str">
        <f t="shared" si="16"/>
        <v/>
      </c>
      <c r="BK557" t="str">
        <f t="shared" si="17"/>
        <v/>
      </c>
    </row>
    <row r="558" spans="62:63">
      <c r="BJ558" t="str">
        <f t="shared" si="16"/>
        <v/>
      </c>
      <c r="BK558" t="str">
        <f t="shared" si="17"/>
        <v/>
      </c>
    </row>
    <row r="559" spans="62:63">
      <c r="BJ559" t="str">
        <f t="shared" si="16"/>
        <v/>
      </c>
      <c r="BK559" t="str">
        <f t="shared" si="17"/>
        <v/>
      </c>
    </row>
    <row r="560" spans="62:63">
      <c r="BJ560" t="str">
        <f t="shared" si="16"/>
        <v/>
      </c>
      <c r="BK560" t="str">
        <f t="shared" si="17"/>
        <v/>
      </c>
    </row>
    <row r="561" spans="62:63">
      <c r="BJ561" t="str">
        <f t="shared" si="16"/>
        <v/>
      </c>
      <c r="BK561" t="str">
        <f t="shared" si="17"/>
        <v/>
      </c>
    </row>
    <row r="562" spans="62:63">
      <c r="BJ562" t="str">
        <f t="shared" si="16"/>
        <v/>
      </c>
      <c r="BK562" t="str">
        <f t="shared" si="17"/>
        <v/>
      </c>
    </row>
    <row r="563" spans="62:63">
      <c r="BJ563" t="str">
        <f t="shared" si="16"/>
        <v/>
      </c>
      <c r="BK563" t="str">
        <f t="shared" si="17"/>
        <v/>
      </c>
    </row>
    <row r="564" spans="62:63">
      <c r="BJ564" t="str">
        <f t="shared" si="16"/>
        <v/>
      </c>
      <c r="BK564" t="str">
        <f t="shared" si="17"/>
        <v/>
      </c>
    </row>
    <row r="565" spans="62:63">
      <c r="BJ565" t="str">
        <f t="shared" si="16"/>
        <v/>
      </c>
      <c r="BK565" t="str">
        <f t="shared" si="17"/>
        <v/>
      </c>
    </row>
    <row r="566" spans="62:63">
      <c r="BJ566" t="str">
        <f t="shared" si="16"/>
        <v/>
      </c>
      <c r="BK566" t="str">
        <f t="shared" si="17"/>
        <v/>
      </c>
    </row>
    <row r="567" spans="62:63">
      <c r="BJ567" t="str">
        <f t="shared" si="16"/>
        <v/>
      </c>
      <c r="BK567" t="str">
        <f t="shared" si="17"/>
        <v/>
      </c>
    </row>
    <row r="568" spans="62:63">
      <c r="BJ568" t="str">
        <f t="shared" si="16"/>
        <v/>
      </c>
      <c r="BK568" t="str">
        <f t="shared" si="17"/>
        <v/>
      </c>
    </row>
    <row r="569" spans="62:63">
      <c r="BJ569" t="str">
        <f t="shared" si="16"/>
        <v/>
      </c>
      <c r="BK569" t="str">
        <f t="shared" si="17"/>
        <v/>
      </c>
    </row>
    <row r="570" spans="62:63">
      <c r="BJ570" t="str">
        <f t="shared" si="16"/>
        <v/>
      </c>
      <c r="BK570" t="str">
        <f t="shared" si="17"/>
        <v/>
      </c>
    </row>
    <row r="571" spans="62:63">
      <c r="BJ571" t="str">
        <f t="shared" si="16"/>
        <v/>
      </c>
      <c r="BK571" t="str">
        <f t="shared" si="17"/>
        <v/>
      </c>
    </row>
    <row r="572" spans="62:63">
      <c r="BJ572" t="str">
        <f t="shared" si="16"/>
        <v/>
      </c>
      <c r="BK572" t="str">
        <f t="shared" si="17"/>
        <v/>
      </c>
    </row>
    <row r="573" spans="62:63">
      <c r="BJ573" t="str">
        <f t="shared" si="16"/>
        <v/>
      </c>
      <c r="BK573" t="str">
        <f t="shared" si="17"/>
        <v/>
      </c>
    </row>
    <row r="574" spans="62:63">
      <c r="BJ574" t="str">
        <f t="shared" si="16"/>
        <v/>
      </c>
      <c r="BK574" t="str">
        <f t="shared" si="17"/>
        <v/>
      </c>
    </row>
    <row r="575" spans="62:63">
      <c r="BJ575" t="str">
        <f t="shared" si="16"/>
        <v/>
      </c>
      <c r="BK575" t="str">
        <f t="shared" si="17"/>
        <v/>
      </c>
    </row>
    <row r="576" spans="62:63">
      <c r="BJ576" t="str">
        <f t="shared" si="16"/>
        <v/>
      </c>
      <c r="BK576" t="str">
        <f t="shared" si="17"/>
        <v/>
      </c>
    </row>
    <row r="577" spans="62:63">
      <c r="BJ577" t="str">
        <f t="shared" si="16"/>
        <v/>
      </c>
      <c r="BK577" t="str">
        <f t="shared" si="17"/>
        <v/>
      </c>
    </row>
    <row r="578" spans="62:63">
      <c r="BJ578" t="str">
        <f t="shared" si="16"/>
        <v/>
      </c>
      <c r="BK578" t="str">
        <f t="shared" si="17"/>
        <v/>
      </c>
    </row>
    <row r="579" spans="62:63">
      <c r="BJ579" t="str">
        <f t="shared" ref="BJ579:BJ642" si="18">MID(C579,5,3)</f>
        <v/>
      </c>
      <c r="BK579" t="str">
        <f t="shared" ref="BK579:BK642" si="19">RIGHT(C579,3)</f>
        <v/>
      </c>
    </row>
    <row r="580" spans="62:63">
      <c r="BJ580" t="str">
        <f t="shared" si="18"/>
        <v/>
      </c>
      <c r="BK580" t="str">
        <f t="shared" si="19"/>
        <v/>
      </c>
    </row>
    <row r="581" spans="62:63">
      <c r="BJ581" t="str">
        <f t="shared" si="18"/>
        <v/>
      </c>
      <c r="BK581" t="str">
        <f t="shared" si="19"/>
        <v/>
      </c>
    </row>
    <row r="582" spans="62:63">
      <c r="BJ582" t="str">
        <f t="shared" si="18"/>
        <v/>
      </c>
      <c r="BK582" t="str">
        <f t="shared" si="19"/>
        <v/>
      </c>
    </row>
    <row r="583" spans="62:63">
      <c r="BJ583" t="str">
        <f t="shared" si="18"/>
        <v/>
      </c>
      <c r="BK583" t="str">
        <f t="shared" si="19"/>
        <v/>
      </c>
    </row>
    <row r="584" spans="62:63">
      <c r="BJ584" t="str">
        <f t="shared" si="18"/>
        <v/>
      </c>
      <c r="BK584" t="str">
        <f t="shared" si="19"/>
        <v/>
      </c>
    </row>
    <row r="585" spans="62:63">
      <c r="BJ585" t="str">
        <f t="shared" si="18"/>
        <v/>
      </c>
      <c r="BK585" t="str">
        <f t="shared" si="19"/>
        <v/>
      </c>
    </row>
    <row r="586" spans="62:63">
      <c r="BJ586" t="str">
        <f t="shared" si="18"/>
        <v/>
      </c>
      <c r="BK586" t="str">
        <f t="shared" si="19"/>
        <v/>
      </c>
    </row>
    <row r="587" spans="62:63">
      <c r="BJ587" t="str">
        <f t="shared" si="18"/>
        <v/>
      </c>
      <c r="BK587" t="str">
        <f t="shared" si="19"/>
        <v/>
      </c>
    </row>
    <row r="588" spans="62:63">
      <c r="BJ588" t="str">
        <f t="shared" si="18"/>
        <v/>
      </c>
      <c r="BK588" t="str">
        <f t="shared" si="19"/>
        <v/>
      </c>
    </row>
    <row r="589" spans="62:63">
      <c r="BJ589" t="str">
        <f t="shared" si="18"/>
        <v/>
      </c>
      <c r="BK589" t="str">
        <f t="shared" si="19"/>
        <v/>
      </c>
    </row>
    <row r="590" spans="62:63">
      <c r="BJ590" t="str">
        <f t="shared" si="18"/>
        <v/>
      </c>
      <c r="BK590" t="str">
        <f t="shared" si="19"/>
        <v/>
      </c>
    </row>
    <row r="591" spans="62:63">
      <c r="BJ591" t="str">
        <f t="shared" si="18"/>
        <v/>
      </c>
      <c r="BK591" t="str">
        <f t="shared" si="19"/>
        <v/>
      </c>
    </row>
    <row r="592" spans="62:63">
      <c r="BJ592" t="str">
        <f t="shared" si="18"/>
        <v/>
      </c>
      <c r="BK592" t="str">
        <f t="shared" si="19"/>
        <v/>
      </c>
    </row>
    <row r="593" spans="62:63">
      <c r="BJ593" t="str">
        <f t="shared" si="18"/>
        <v/>
      </c>
      <c r="BK593" t="str">
        <f t="shared" si="19"/>
        <v/>
      </c>
    </row>
    <row r="594" spans="62:63">
      <c r="BJ594" t="str">
        <f t="shared" si="18"/>
        <v/>
      </c>
      <c r="BK594" t="str">
        <f t="shared" si="19"/>
        <v/>
      </c>
    </row>
    <row r="595" spans="62:63">
      <c r="BJ595" t="str">
        <f t="shared" si="18"/>
        <v/>
      </c>
      <c r="BK595" t="str">
        <f t="shared" si="19"/>
        <v/>
      </c>
    </row>
    <row r="596" spans="62:63">
      <c r="BJ596" t="str">
        <f t="shared" si="18"/>
        <v/>
      </c>
      <c r="BK596" t="str">
        <f t="shared" si="19"/>
        <v/>
      </c>
    </row>
    <row r="597" spans="62:63">
      <c r="BJ597" t="str">
        <f t="shared" si="18"/>
        <v/>
      </c>
      <c r="BK597" t="str">
        <f t="shared" si="19"/>
        <v/>
      </c>
    </row>
    <row r="598" spans="62:63">
      <c r="BJ598" t="str">
        <f t="shared" si="18"/>
        <v/>
      </c>
      <c r="BK598" t="str">
        <f t="shared" si="19"/>
        <v/>
      </c>
    </row>
    <row r="599" spans="62:63">
      <c r="BJ599" t="str">
        <f t="shared" si="18"/>
        <v/>
      </c>
      <c r="BK599" t="str">
        <f t="shared" si="19"/>
        <v/>
      </c>
    </row>
    <row r="600" spans="62:63">
      <c r="BJ600" t="str">
        <f t="shared" si="18"/>
        <v/>
      </c>
      <c r="BK600" t="str">
        <f t="shared" si="19"/>
        <v/>
      </c>
    </row>
    <row r="601" spans="62:63">
      <c r="BJ601" t="str">
        <f t="shared" si="18"/>
        <v/>
      </c>
      <c r="BK601" t="str">
        <f t="shared" si="19"/>
        <v/>
      </c>
    </row>
    <row r="602" spans="62:63">
      <c r="BJ602" t="str">
        <f t="shared" si="18"/>
        <v/>
      </c>
      <c r="BK602" t="str">
        <f t="shared" si="19"/>
        <v/>
      </c>
    </row>
    <row r="603" spans="62:63">
      <c r="BJ603" t="str">
        <f t="shared" si="18"/>
        <v/>
      </c>
      <c r="BK603" t="str">
        <f t="shared" si="19"/>
        <v/>
      </c>
    </row>
    <row r="604" spans="62:63">
      <c r="BJ604" t="str">
        <f t="shared" si="18"/>
        <v/>
      </c>
      <c r="BK604" t="str">
        <f t="shared" si="19"/>
        <v/>
      </c>
    </row>
    <row r="605" spans="62:63">
      <c r="BJ605" t="str">
        <f t="shared" si="18"/>
        <v/>
      </c>
      <c r="BK605" t="str">
        <f t="shared" si="19"/>
        <v/>
      </c>
    </row>
    <row r="606" spans="62:63">
      <c r="BJ606" t="str">
        <f t="shared" si="18"/>
        <v/>
      </c>
      <c r="BK606" t="str">
        <f t="shared" si="19"/>
        <v/>
      </c>
    </row>
    <row r="607" spans="62:63">
      <c r="BJ607" t="str">
        <f t="shared" si="18"/>
        <v/>
      </c>
      <c r="BK607" t="str">
        <f t="shared" si="19"/>
        <v/>
      </c>
    </row>
    <row r="608" spans="62:63">
      <c r="BJ608" t="str">
        <f t="shared" si="18"/>
        <v/>
      </c>
      <c r="BK608" t="str">
        <f t="shared" si="19"/>
        <v/>
      </c>
    </row>
    <row r="609" spans="62:63">
      <c r="BJ609" t="str">
        <f t="shared" si="18"/>
        <v/>
      </c>
      <c r="BK609" t="str">
        <f t="shared" si="19"/>
        <v/>
      </c>
    </row>
    <row r="610" spans="62:63">
      <c r="BJ610" t="str">
        <f t="shared" si="18"/>
        <v/>
      </c>
      <c r="BK610" t="str">
        <f t="shared" si="19"/>
        <v/>
      </c>
    </row>
    <row r="611" spans="62:63">
      <c r="BJ611" t="str">
        <f t="shared" si="18"/>
        <v/>
      </c>
      <c r="BK611" t="str">
        <f t="shared" si="19"/>
        <v/>
      </c>
    </row>
    <row r="612" spans="62:63">
      <c r="BJ612" t="str">
        <f t="shared" si="18"/>
        <v/>
      </c>
      <c r="BK612" t="str">
        <f t="shared" si="19"/>
        <v/>
      </c>
    </row>
    <row r="613" spans="62:63">
      <c r="BJ613" t="str">
        <f t="shared" si="18"/>
        <v/>
      </c>
      <c r="BK613" t="str">
        <f t="shared" si="19"/>
        <v/>
      </c>
    </row>
    <row r="614" spans="62:63">
      <c r="BJ614" t="str">
        <f t="shared" si="18"/>
        <v/>
      </c>
      <c r="BK614" t="str">
        <f t="shared" si="19"/>
        <v/>
      </c>
    </row>
    <row r="615" spans="62:63">
      <c r="BJ615" t="str">
        <f t="shared" si="18"/>
        <v/>
      </c>
      <c r="BK615" t="str">
        <f t="shared" si="19"/>
        <v/>
      </c>
    </row>
    <row r="616" spans="62:63">
      <c r="BJ616" t="str">
        <f t="shared" si="18"/>
        <v/>
      </c>
      <c r="BK616" t="str">
        <f t="shared" si="19"/>
        <v/>
      </c>
    </row>
    <row r="617" spans="62:63">
      <c r="BJ617" t="str">
        <f t="shared" si="18"/>
        <v/>
      </c>
      <c r="BK617" t="str">
        <f t="shared" si="19"/>
        <v/>
      </c>
    </row>
    <row r="618" spans="62:63">
      <c r="BJ618" t="str">
        <f t="shared" si="18"/>
        <v/>
      </c>
      <c r="BK618" t="str">
        <f t="shared" si="19"/>
        <v/>
      </c>
    </row>
    <row r="619" spans="62:63">
      <c r="BJ619" t="str">
        <f t="shared" si="18"/>
        <v/>
      </c>
      <c r="BK619" t="str">
        <f t="shared" si="19"/>
        <v/>
      </c>
    </row>
    <row r="620" spans="62:63">
      <c r="BJ620" t="str">
        <f t="shared" si="18"/>
        <v/>
      </c>
      <c r="BK620" t="str">
        <f t="shared" si="19"/>
        <v/>
      </c>
    </row>
    <row r="621" spans="62:63">
      <c r="BJ621" t="str">
        <f t="shared" si="18"/>
        <v/>
      </c>
      <c r="BK621" t="str">
        <f t="shared" si="19"/>
        <v/>
      </c>
    </row>
    <row r="622" spans="62:63">
      <c r="BJ622" t="str">
        <f t="shared" si="18"/>
        <v/>
      </c>
      <c r="BK622" t="str">
        <f t="shared" si="19"/>
        <v/>
      </c>
    </row>
    <row r="623" spans="62:63">
      <c r="BJ623" t="str">
        <f t="shared" si="18"/>
        <v/>
      </c>
      <c r="BK623" t="str">
        <f t="shared" si="19"/>
        <v/>
      </c>
    </row>
    <row r="624" spans="62:63">
      <c r="BJ624" t="str">
        <f t="shared" si="18"/>
        <v/>
      </c>
      <c r="BK624" t="str">
        <f t="shared" si="19"/>
        <v/>
      </c>
    </row>
    <row r="625" spans="62:63">
      <c r="BJ625" t="str">
        <f t="shared" si="18"/>
        <v/>
      </c>
      <c r="BK625" t="str">
        <f t="shared" si="19"/>
        <v/>
      </c>
    </row>
    <row r="626" spans="62:63">
      <c r="BJ626" t="str">
        <f t="shared" si="18"/>
        <v/>
      </c>
      <c r="BK626" t="str">
        <f t="shared" si="19"/>
        <v/>
      </c>
    </row>
    <row r="627" spans="62:63">
      <c r="BJ627" t="str">
        <f t="shared" si="18"/>
        <v/>
      </c>
      <c r="BK627" t="str">
        <f t="shared" si="19"/>
        <v/>
      </c>
    </row>
    <row r="628" spans="62:63">
      <c r="BJ628" t="str">
        <f t="shared" si="18"/>
        <v/>
      </c>
      <c r="BK628" t="str">
        <f t="shared" si="19"/>
        <v/>
      </c>
    </row>
    <row r="629" spans="62:63">
      <c r="BJ629" t="str">
        <f t="shared" si="18"/>
        <v/>
      </c>
      <c r="BK629" t="str">
        <f t="shared" si="19"/>
        <v/>
      </c>
    </row>
    <row r="630" spans="62:63">
      <c r="BJ630" t="str">
        <f t="shared" si="18"/>
        <v/>
      </c>
      <c r="BK630" t="str">
        <f t="shared" si="19"/>
        <v/>
      </c>
    </row>
    <row r="631" spans="62:63">
      <c r="BJ631" t="str">
        <f t="shared" si="18"/>
        <v/>
      </c>
      <c r="BK631" t="str">
        <f t="shared" si="19"/>
        <v/>
      </c>
    </row>
    <row r="632" spans="62:63">
      <c r="BJ632" t="str">
        <f t="shared" si="18"/>
        <v/>
      </c>
      <c r="BK632" t="str">
        <f t="shared" si="19"/>
        <v/>
      </c>
    </row>
    <row r="633" spans="62:63">
      <c r="BJ633" t="str">
        <f t="shared" si="18"/>
        <v/>
      </c>
      <c r="BK633" t="str">
        <f t="shared" si="19"/>
        <v/>
      </c>
    </row>
    <row r="634" spans="62:63">
      <c r="BJ634" t="str">
        <f t="shared" si="18"/>
        <v/>
      </c>
      <c r="BK634" t="str">
        <f t="shared" si="19"/>
        <v/>
      </c>
    </row>
    <row r="635" spans="62:63">
      <c r="BJ635" t="str">
        <f t="shared" si="18"/>
        <v/>
      </c>
      <c r="BK635" t="str">
        <f t="shared" si="19"/>
        <v/>
      </c>
    </row>
    <row r="636" spans="62:63">
      <c r="BJ636" t="str">
        <f t="shared" si="18"/>
        <v/>
      </c>
      <c r="BK636" t="str">
        <f t="shared" si="19"/>
        <v/>
      </c>
    </row>
    <row r="637" spans="62:63">
      <c r="BJ637" t="str">
        <f t="shared" si="18"/>
        <v/>
      </c>
      <c r="BK637" t="str">
        <f t="shared" si="19"/>
        <v/>
      </c>
    </row>
    <row r="638" spans="62:63">
      <c r="BJ638" t="str">
        <f t="shared" si="18"/>
        <v/>
      </c>
      <c r="BK638" t="str">
        <f t="shared" si="19"/>
        <v/>
      </c>
    </row>
    <row r="639" spans="62:63">
      <c r="BJ639" t="str">
        <f t="shared" si="18"/>
        <v/>
      </c>
      <c r="BK639" t="str">
        <f t="shared" si="19"/>
        <v/>
      </c>
    </row>
    <row r="640" spans="62:63">
      <c r="BJ640" t="str">
        <f t="shared" si="18"/>
        <v/>
      </c>
      <c r="BK640" t="str">
        <f t="shared" si="19"/>
        <v/>
      </c>
    </row>
    <row r="641" spans="62:63">
      <c r="BJ641" t="str">
        <f t="shared" si="18"/>
        <v/>
      </c>
      <c r="BK641" t="str">
        <f t="shared" si="19"/>
        <v/>
      </c>
    </row>
    <row r="642" spans="62:63">
      <c r="BJ642" t="str">
        <f t="shared" si="18"/>
        <v/>
      </c>
      <c r="BK642" t="str">
        <f t="shared" si="19"/>
        <v/>
      </c>
    </row>
    <row r="643" spans="62:63">
      <c r="BJ643" t="str">
        <f t="shared" ref="BJ643:BJ652" si="20">MID(C643,5,3)</f>
        <v/>
      </c>
      <c r="BK643" t="str">
        <f t="shared" ref="BK643:BK652" si="21">RIGHT(C643,3)</f>
        <v/>
      </c>
    </row>
    <row r="644" spans="62:63">
      <c r="BJ644" t="str">
        <f t="shared" si="20"/>
        <v/>
      </c>
      <c r="BK644" t="str">
        <f t="shared" si="21"/>
        <v/>
      </c>
    </row>
    <row r="645" spans="62:63">
      <c r="BJ645" t="str">
        <f t="shared" si="20"/>
        <v/>
      </c>
      <c r="BK645" t="str">
        <f t="shared" si="21"/>
        <v/>
      </c>
    </row>
    <row r="646" spans="62:63">
      <c r="BJ646" t="str">
        <f t="shared" si="20"/>
        <v/>
      </c>
      <c r="BK646" t="str">
        <f t="shared" si="21"/>
        <v/>
      </c>
    </row>
    <row r="647" spans="62:63">
      <c r="BJ647" t="str">
        <f t="shared" si="20"/>
        <v/>
      </c>
      <c r="BK647" t="str">
        <f t="shared" si="21"/>
        <v/>
      </c>
    </row>
    <row r="648" spans="62:63">
      <c r="BJ648" t="str">
        <f t="shared" si="20"/>
        <v/>
      </c>
      <c r="BK648" t="str">
        <f t="shared" si="21"/>
        <v/>
      </c>
    </row>
    <row r="649" spans="62:63">
      <c r="BJ649" t="str">
        <f t="shared" si="20"/>
        <v/>
      </c>
      <c r="BK649" t="str">
        <f t="shared" si="21"/>
        <v/>
      </c>
    </row>
    <row r="650" spans="62:63">
      <c r="BJ650" t="str">
        <f t="shared" si="20"/>
        <v/>
      </c>
      <c r="BK650" t="str">
        <f t="shared" si="21"/>
        <v/>
      </c>
    </row>
    <row r="651" spans="62:63">
      <c r="BJ651" t="str">
        <f t="shared" si="20"/>
        <v/>
      </c>
      <c r="BK651" t="str">
        <f t="shared" si="21"/>
        <v/>
      </c>
    </row>
    <row r="652" spans="62:63">
      <c r="BJ652" t="str">
        <f t="shared" si="20"/>
        <v/>
      </c>
      <c r="BK652" t="str">
        <f t="shared" si="21"/>
        <v/>
      </c>
    </row>
    <row r="653" spans="62:63">
      <c r="BJ653" t="str">
        <f t="shared" ref="BJ653:BJ716" si="22">MID(C653,5,3)</f>
        <v/>
      </c>
      <c r="BK653" t="str">
        <f t="shared" ref="BK653:BK716" si="23">RIGHT(C653,3)</f>
        <v/>
      </c>
    </row>
    <row r="654" spans="62:63">
      <c r="BJ654" t="str">
        <f t="shared" si="22"/>
        <v/>
      </c>
      <c r="BK654" t="str">
        <f t="shared" si="23"/>
        <v/>
      </c>
    </row>
    <row r="655" spans="62:63">
      <c r="BJ655" t="str">
        <f t="shared" si="22"/>
        <v/>
      </c>
      <c r="BK655" t="str">
        <f t="shared" si="23"/>
        <v/>
      </c>
    </row>
    <row r="656" spans="62:63">
      <c r="BJ656" t="str">
        <f t="shared" si="22"/>
        <v/>
      </c>
      <c r="BK656" t="str">
        <f t="shared" si="23"/>
        <v/>
      </c>
    </row>
    <row r="657" spans="62:63">
      <c r="BJ657" t="str">
        <f t="shared" si="22"/>
        <v/>
      </c>
      <c r="BK657" t="str">
        <f t="shared" si="23"/>
        <v/>
      </c>
    </row>
    <row r="658" spans="62:63">
      <c r="BJ658" t="str">
        <f t="shared" si="22"/>
        <v/>
      </c>
      <c r="BK658" t="str">
        <f t="shared" si="23"/>
        <v/>
      </c>
    </row>
    <row r="659" spans="62:63">
      <c r="BJ659" t="str">
        <f t="shared" si="22"/>
        <v/>
      </c>
      <c r="BK659" t="str">
        <f t="shared" si="23"/>
        <v/>
      </c>
    </row>
    <row r="660" spans="62:63">
      <c r="BJ660" t="str">
        <f t="shared" si="22"/>
        <v/>
      </c>
      <c r="BK660" t="str">
        <f t="shared" si="23"/>
        <v/>
      </c>
    </row>
    <row r="661" spans="62:63">
      <c r="BJ661" t="str">
        <f t="shared" si="22"/>
        <v/>
      </c>
      <c r="BK661" t="str">
        <f t="shared" si="23"/>
        <v/>
      </c>
    </row>
    <row r="662" spans="62:63">
      <c r="BJ662" t="str">
        <f t="shared" si="22"/>
        <v/>
      </c>
      <c r="BK662" t="str">
        <f t="shared" si="23"/>
        <v/>
      </c>
    </row>
    <row r="663" spans="62:63">
      <c r="BJ663" t="str">
        <f t="shared" si="22"/>
        <v/>
      </c>
      <c r="BK663" t="str">
        <f t="shared" si="23"/>
        <v/>
      </c>
    </row>
    <row r="664" spans="62:63">
      <c r="BJ664" t="str">
        <f t="shared" si="22"/>
        <v/>
      </c>
      <c r="BK664" t="str">
        <f t="shared" si="23"/>
        <v/>
      </c>
    </row>
    <row r="665" spans="62:63">
      <c r="BJ665" t="str">
        <f t="shared" si="22"/>
        <v/>
      </c>
      <c r="BK665" t="str">
        <f t="shared" si="23"/>
        <v/>
      </c>
    </row>
    <row r="666" spans="62:63">
      <c r="BJ666" t="str">
        <f t="shared" si="22"/>
        <v/>
      </c>
      <c r="BK666" t="str">
        <f t="shared" si="23"/>
        <v/>
      </c>
    </row>
    <row r="667" spans="62:63">
      <c r="BJ667" t="str">
        <f t="shared" si="22"/>
        <v/>
      </c>
      <c r="BK667" t="str">
        <f t="shared" si="23"/>
        <v/>
      </c>
    </row>
    <row r="668" spans="62:63">
      <c r="BJ668" t="str">
        <f t="shared" si="22"/>
        <v/>
      </c>
      <c r="BK668" t="str">
        <f t="shared" si="23"/>
        <v/>
      </c>
    </row>
    <row r="669" spans="62:63">
      <c r="BJ669" t="str">
        <f t="shared" si="22"/>
        <v/>
      </c>
      <c r="BK669" t="str">
        <f t="shared" si="23"/>
        <v/>
      </c>
    </row>
    <row r="670" spans="62:63">
      <c r="BJ670" t="str">
        <f t="shared" si="22"/>
        <v/>
      </c>
      <c r="BK670" t="str">
        <f t="shared" si="23"/>
        <v/>
      </c>
    </row>
    <row r="671" spans="62:63">
      <c r="BJ671" t="str">
        <f t="shared" si="22"/>
        <v/>
      </c>
      <c r="BK671" t="str">
        <f t="shared" si="23"/>
        <v/>
      </c>
    </row>
    <row r="672" spans="62:63">
      <c r="BJ672" t="str">
        <f t="shared" si="22"/>
        <v/>
      </c>
      <c r="BK672" t="str">
        <f t="shared" si="23"/>
        <v/>
      </c>
    </row>
    <row r="673" spans="62:63">
      <c r="BJ673" t="str">
        <f t="shared" si="22"/>
        <v/>
      </c>
      <c r="BK673" t="str">
        <f t="shared" si="23"/>
        <v/>
      </c>
    </row>
    <row r="674" spans="62:63">
      <c r="BJ674" t="str">
        <f t="shared" si="22"/>
        <v/>
      </c>
      <c r="BK674" t="str">
        <f t="shared" si="23"/>
        <v/>
      </c>
    </row>
    <row r="675" spans="62:63">
      <c r="BJ675" t="str">
        <f t="shared" si="22"/>
        <v/>
      </c>
      <c r="BK675" t="str">
        <f t="shared" si="23"/>
        <v/>
      </c>
    </row>
    <row r="676" spans="62:63">
      <c r="BJ676" t="str">
        <f t="shared" si="22"/>
        <v/>
      </c>
      <c r="BK676" t="str">
        <f t="shared" si="23"/>
        <v/>
      </c>
    </row>
    <row r="677" spans="62:63">
      <c r="BJ677" t="str">
        <f t="shared" si="22"/>
        <v/>
      </c>
      <c r="BK677" t="str">
        <f t="shared" si="23"/>
        <v/>
      </c>
    </row>
    <row r="678" spans="62:63">
      <c r="BJ678" t="str">
        <f t="shared" si="22"/>
        <v/>
      </c>
      <c r="BK678" t="str">
        <f t="shared" si="23"/>
        <v/>
      </c>
    </row>
    <row r="679" spans="62:63">
      <c r="BJ679" t="str">
        <f t="shared" si="22"/>
        <v/>
      </c>
      <c r="BK679" t="str">
        <f t="shared" si="23"/>
        <v/>
      </c>
    </row>
    <row r="680" spans="62:63">
      <c r="BJ680" t="str">
        <f t="shared" si="22"/>
        <v/>
      </c>
      <c r="BK680" t="str">
        <f t="shared" si="23"/>
        <v/>
      </c>
    </row>
    <row r="681" spans="62:63">
      <c r="BJ681" t="str">
        <f t="shared" si="22"/>
        <v/>
      </c>
      <c r="BK681" t="str">
        <f t="shared" si="23"/>
        <v/>
      </c>
    </row>
    <row r="682" spans="62:63">
      <c r="BJ682" t="str">
        <f t="shared" si="22"/>
        <v/>
      </c>
      <c r="BK682" t="str">
        <f t="shared" si="23"/>
        <v/>
      </c>
    </row>
    <row r="683" spans="62:63">
      <c r="BJ683" t="str">
        <f t="shared" si="22"/>
        <v/>
      </c>
      <c r="BK683" t="str">
        <f t="shared" si="23"/>
        <v/>
      </c>
    </row>
    <row r="684" spans="62:63">
      <c r="BJ684" t="str">
        <f t="shared" si="22"/>
        <v/>
      </c>
      <c r="BK684" t="str">
        <f t="shared" si="23"/>
        <v/>
      </c>
    </row>
    <row r="685" spans="62:63">
      <c r="BJ685" t="str">
        <f t="shared" si="22"/>
        <v/>
      </c>
      <c r="BK685" t="str">
        <f t="shared" si="23"/>
        <v/>
      </c>
    </row>
    <row r="686" spans="62:63">
      <c r="BJ686" t="str">
        <f t="shared" si="22"/>
        <v/>
      </c>
      <c r="BK686" t="str">
        <f t="shared" si="23"/>
        <v/>
      </c>
    </row>
    <row r="687" spans="62:63">
      <c r="BJ687" t="str">
        <f t="shared" si="22"/>
        <v/>
      </c>
      <c r="BK687" t="str">
        <f t="shared" si="23"/>
        <v/>
      </c>
    </row>
    <row r="688" spans="62:63">
      <c r="BJ688" t="str">
        <f t="shared" si="22"/>
        <v/>
      </c>
      <c r="BK688" t="str">
        <f t="shared" si="23"/>
        <v/>
      </c>
    </row>
    <row r="689" spans="62:63">
      <c r="BJ689" t="str">
        <f t="shared" si="22"/>
        <v/>
      </c>
      <c r="BK689" t="str">
        <f t="shared" si="23"/>
        <v/>
      </c>
    </row>
    <row r="690" spans="62:63">
      <c r="BJ690" t="str">
        <f t="shared" si="22"/>
        <v/>
      </c>
      <c r="BK690" t="str">
        <f t="shared" si="23"/>
        <v/>
      </c>
    </row>
    <row r="691" spans="62:63">
      <c r="BJ691" t="str">
        <f t="shared" si="22"/>
        <v/>
      </c>
      <c r="BK691" t="str">
        <f t="shared" si="23"/>
        <v/>
      </c>
    </row>
    <row r="692" spans="62:63">
      <c r="BJ692" t="str">
        <f t="shared" si="22"/>
        <v/>
      </c>
      <c r="BK692" t="str">
        <f t="shared" si="23"/>
        <v/>
      </c>
    </row>
    <row r="693" spans="62:63">
      <c r="BJ693" t="str">
        <f t="shared" si="22"/>
        <v/>
      </c>
      <c r="BK693" t="str">
        <f t="shared" si="23"/>
        <v/>
      </c>
    </row>
    <row r="694" spans="62:63">
      <c r="BJ694" t="str">
        <f t="shared" si="22"/>
        <v/>
      </c>
      <c r="BK694" t="str">
        <f t="shared" si="23"/>
        <v/>
      </c>
    </row>
    <row r="695" spans="62:63">
      <c r="BJ695" t="str">
        <f t="shared" si="22"/>
        <v/>
      </c>
      <c r="BK695" t="str">
        <f t="shared" si="23"/>
        <v/>
      </c>
    </row>
    <row r="696" spans="62:63">
      <c r="BJ696" t="str">
        <f t="shared" si="22"/>
        <v/>
      </c>
      <c r="BK696" t="str">
        <f t="shared" si="23"/>
        <v/>
      </c>
    </row>
    <row r="697" spans="62:63">
      <c r="BJ697" t="str">
        <f t="shared" si="22"/>
        <v/>
      </c>
      <c r="BK697" t="str">
        <f t="shared" si="23"/>
        <v/>
      </c>
    </row>
    <row r="698" spans="62:63">
      <c r="BJ698" t="str">
        <f t="shared" si="22"/>
        <v/>
      </c>
      <c r="BK698" t="str">
        <f t="shared" si="23"/>
        <v/>
      </c>
    </row>
    <row r="699" spans="62:63">
      <c r="BJ699" t="str">
        <f t="shared" si="22"/>
        <v/>
      </c>
      <c r="BK699" t="str">
        <f t="shared" si="23"/>
        <v/>
      </c>
    </row>
    <row r="700" spans="62:63">
      <c r="BJ700" t="str">
        <f t="shared" si="22"/>
        <v/>
      </c>
      <c r="BK700" t="str">
        <f t="shared" si="23"/>
        <v/>
      </c>
    </row>
    <row r="701" spans="62:63">
      <c r="BJ701" t="str">
        <f t="shared" si="22"/>
        <v/>
      </c>
      <c r="BK701" t="str">
        <f t="shared" si="23"/>
        <v/>
      </c>
    </row>
    <row r="702" spans="62:63">
      <c r="BJ702" t="str">
        <f t="shared" si="22"/>
        <v/>
      </c>
      <c r="BK702" t="str">
        <f t="shared" si="23"/>
        <v/>
      </c>
    </row>
    <row r="703" spans="62:63">
      <c r="BJ703" t="str">
        <f t="shared" si="22"/>
        <v/>
      </c>
      <c r="BK703" t="str">
        <f t="shared" si="23"/>
        <v/>
      </c>
    </row>
    <row r="704" spans="62:63">
      <c r="BJ704" t="str">
        <f t="shared" si="22"/>
        <v/>
      </c>
      <c r="BK704" t="str">
        <f t="shared" si="23"/>
        <v/>
      </c>
    </row>
    <row r="705" spans="62:63">
      <c r="BJ705" t="str">
        <f t="shared" si="22"/>
        <v/>
      </c>
      <c r="BK705" t="str">
        <f t="shared" si="23"/>
        <v/>
      </c>
    </row>
    <row r="706" spans="62:63">
      <c r="BJ706" t="str">
        <f t="shared" si="22"/>
        <v/>
      </c>
      <c r="BK706" t="str">
        <f t="shared" si="23"/>
        <v/>
      </c>
    </row>
    <row r="707" spans="62:63">
      <c r="BJ707" t="str">
        <f t="shared" si="22"/>
        <v/>
      </c>
      <c r="BK707" t="str">
        <f t="shared" si="23"/>
        <v/>
      </c>
    </row>
    <row r="708" spans="62:63">
      <c r="BJ708" t="str">
        <f t="shared" si="22"/>
        <v/>
      </c>
      <c r="BK708" t="str">
        <f t="shared" si="23"/>
        <v/>
      </c>
    </row>
    <row r="709" spans="62:63">
      <c r="BJ709" t="str">
        <f t="shared" si="22"/>
        <v/>
      </c>
      <c r="BK709" t="str">
        <f t="shared" si="23"/>
        <v/>
      </c>
    </row>
    <row r="710" spans="62:63">
      <c r="BJ710" t="str">
        <f t="shared" si="22"/>
        <v/>
      </c>
      <c r="BK710" t="str">
        <f t="shared" si="23"/>
        <v/>
      </c>
    </row>
    <row r="711" spans="62:63">
      <c r="BJ711" t="str">
        <f t="shared" si="22"/>
        <v/>
      </c>
      <c r="BK711" t="str">
        <f t="shared" si="23"/>
        <v/>
      </c>
    </row>
    <row r="712" spans="62:63">
      <c r="BJ712" t="str">
        <f t="shared" si="22"/>
        <v/>
      </c>
      <c r="BK712" t="str">
        <f t="shared" si="23"/>
        <v/>
      </c>
    </row>
    <row r="713" spans="62:63">
      <c r="BJ713" t="str">
        <f t="shared" si="22"/>
        <v/>
      </c>
      <c r="BK713" t="str">
        <f t="shared" si="23"/>
        <v/>
      </c>
    </row>
    <row r="714" spans="62:63">
      <c r="BJ714" t="str">
        <f t="shared" si="22"/>
        <v/>
      </c>
      <c r="BK714" t="str">
        <f t="shared" si="23"/>
        <v/>
      </c>
    </row>
    <row r="715" spans="62:63">
      <c r="BJ715" t="str">
        <f t="shared" si="22"/>
        <v/>
      </c>
      <c r="BK715" t="str">
        <f t="shared" si="23"/>
        <v/>
      </c>
    </row>
    <row r="716" spans="62:63">
      <c r="BJ716" t="str">
        <f t="shared" si="22"/>
        <v/>
      </c>
      <c r="BK716" t="str">
        <f t="shared" si="23"/>
        <v/>
      </c>
    </row>
    <row r="717" spans="62:63">
      <c r="BJ717" t="str">
        <f t="shared" ref="BJ717:BJ780" si="24">MID(C717,5,3)</f>
        <v/>
      </c>
      <c r="BK717" t="str">
        <f t="shared" ref="BK717:BK780" si="25">RIGHT(C717,3)</f>
        <v/>
      </c>
    </row>
    <row r="718" spans="62:63">
      <c r="BJ718" t="str">
        <f t="shared" si="24"/>
        <v/>
      </c>
      <c r="BK718" t="str">
        <f t="shared" si="25"/>
        <v/>
      </c>
    </row>
    <row r="719" spans="62:63">
      <c r="BJ719" t="str">
        <f t="shared" si="24"/>
        <v/>
      </c>
      <c r="BK719" t="str">
        <f t="shared" si="25"/>
        <v/>
      </c>
    </row>
    <row r="720" spans="62:63">
      <c r="BJ720" t="str">
        <f t="shared" si="24"/>
        <v/>
      </c>
      <c r="BK720" t="str">
        <f t="shared" si="25"/>
        <v/>
      </c>
    </row>
    <row r="721" spans="62:63">
      <c r="BJ721" t="str">
        <f t="shared" si="24"/>
        <v/>
      </c>
      <c r="BK721" t="str">
        <f t="shared" si="25"/>
        <v/>
      </c>
    </row>
    <row r="722" spans="62:63">
      <c r="BJ722" t="str">
        <f t="shared" si="24"/>
        <v/>
      </c>
      <c r="BK722" t="str">
        <f t="shared" si="25"/>
        <v/>
      </c>
    </row>
    <row r="723" spans="62:63">
      <c r="BJ723" t="str">
        <f t="shared" si="24"/>
        <v/>
      </c>
      <c r="BK723" t="str">
        <f t="shared" si="25"/>
        <v/>
      </c>
    </row>
    <row r="724" spans="62:63">
      <c r="BJ724" t="str">
        <f t="shared" si="24"/>
        <v/>
      </c>
      <c r="BK724" t="str">
        <f t="shared" si="25"/>
        <v/>
      </c>
    </row>
    <row r="725" spans="62:63">
      <c r="BJ725" t="str">
        <f t="shared" si="24"/>
        <v/>
      </c>
      <c r="BK725" t="str">
        <f t="shared" si="25"/>
        <v/>
      </c>
    </row>
    <row r="726" spans="62:63">
      <c r="BJ726" t="str">
        <f t="shared" si="24"/>
        <v/>
      </c>
      <c r="BK726" t="str">
        <f t="shared" si="25"/>
        <v/>
      </c>
    </row>
    <row r="727" spans="62:63">
      <c r="BJ727" t="str">
        <f t="shared" si="24"/>
        <v/>
      </c>
      <c r="BK727" t="str">
        <f t="shared" si="25"/>
        <v/>
      </c>
    </row>
    <row r="728" spans="62:63">
      <c r="BJ728" t="str">
        <f t="shared" si="24"/>
        <v/>
      </c>
      <c r="BK728" t="str">
        <f t="shared" si="25"/>
        <v/>
      </c>
    </row>
    <row r="729" spans="62:63">
      <c r="BJ729" t="str">
        <f t="shared" si="24"/>
        <v/>
      </c>
      <c r="BK729" t="str">
        <f t="shared" si="25"/>
        <v/>
      </c>
    </row>
    <row r="730" spans="62:63">
      <c r="BJ730" t="str">
        <f t="shared" si="24"/>
        <v/>
      </c>
      <c r="BK730" t="str">
        <f t="shared" si="25"/>
        <v/>
      </c>
    </row>
    <row r="731" spans="62:63">
      <c r="BJ731" t="str">
        <f t="shared" si="24"/>
        <v/>
      </c>
      <c r="BK731" t="str">
        <f t="shared" si="25"/>
        <v/>
      </c>
    </row>
    <row r="732" spans="62:63">
      <c r="BJ732" t="str">
        <f t="shared" si="24"/>
        <v/>
      </c>
      <c r="BK732" t="str">
        <f t="shared" si="25"/>
        <v/>
      </c>
    </row>
    <row r="733" spans="62:63">
      <c r="BJ733" t="str">
        <f t="shared" si="24"/>
        <v/>
      </c>
      <c r="BK733" t="str">
        <f t="shared" si="25"/>
        <v/>
      </c>
    </row>
    <row r="734" spans="62:63">
      <c r="BJ734" t="str">
        <f t="shared" si="24"/>
        <v/>
      </c>
      <c r="BK734" t="str">
        <f t="shared" si="25"/>
        <v/>
      </c>
    </row>
    <row r="735" spans="62:63">
      <c r="BJ735" t="str">
        <f t="shared" si="24"/>
        <v/>
      </c>
      <c r="BK735" t="str">
        <f t="shared" si="25"/>
        <v/>
      </c>
    </row>
    <row r="736" spans="62:63">
      <c r="BJ736" t="str">
        <f t="shared" si="24"/>
        <v/>
      </c>
      <c r="BK736" t="str">
        <f t="shared" si="25"/>
        <v/>
      </c>
    </row>
    <row r="737" spans="62:63">
      <c r="BJ737" t="str">
        <f t="shared" si="24"/>
        <v/>
      </c>
      <c r="BK737" t="str">
        <f t="shared" si="25"/>
        <v/>
      </c>
    </row>
    <row r="738" spans="62:63">
      <c r="BJ738" t="str">
        <f t="shared" si="24"/>
        <v/>
      </c>
      <c r="BK738" t="str">
        <f t="shared" si="25"/>
        <v/>
      </c>
    </row>
    <row r="739" spans="62:63">
      <c r="BJ739" t="str">
        <f t="shared" si="24"/>
        <v/>
      </c>
      <c r="BK739" t="str">
        <f t="shared" si="25"/>
        <v/>
      </c>
    </row>
    <row r="740" spans="62:63">
      <c r="BJ740" t="str">
        <f t="shared" si="24"/>
        <v/>
      </c>
      <c r="BK740" t="str">
        <f t="shared" si="25"/>
        <v/>
      </c>
    </row>
    <row r="741" spans="62:63">
      <c r="BJ741" t="str">
        <f t="shared" si="24"/>
        <v/>
      </c>
      <c r="BK741" t="str">
        <f t="shared" si="25"/>
        <v/>
      </c>
    </row>
    <row r="742" spans="62:63">
      <c r="BJ742" t="str">
        <f t="shared" si="24"/>
        <v/>
      </c>
      <c r="BK742" t="str">
        <f t="shared" si="25"/>
        <v/>
      </c>
    </row>
    <row r="743" spans="62:63">
      <c r="BJ743" t="str">
        <f t="shared" si="24"/>
        <v/>
      </c>
      <c r="BK743" t="str">
        <f t="shared" si="25"/>
        <v/>
      </c>
    </row>
    <row r="744" spans="62:63">
      <c r="BJ744" t="str">
        <f t="shared" si="24"/>
        <v/>
      </c>
      <c r="BK744" t="str">
        <f t="shared" si="25"/>
        <v/>
      </c>
    </row>
    <row r="745" spans="62:63">
      <c r="BJ745" t="str">
        <f t="shared" si="24"/>
        <v/>
      </c>
      <c r="BK745" t="str">
        <f t="shared" si="25"/>
        <v/>
      </c>
    </row>
    <row r="746" spans="62:63">
      <c r="BJ746" t="str">
        <f t="shared" si="24"/>
        <v/>
      </c>
      <c r="BK746" t="str">
        <f t="shared" si="25"/>
        <v/>
      </c>
    </row>
    <row r="747" spans="62:63">
      <c r="BJ747" t="str">
        <f t="shared" si="24"/>
        <v/>
      </c>
      <c r="BK747" t="str">
        <f t="shared" si="25"/>
        <v/>
      </c>
    </row>
    <row r="748" spans="62:63">
      <c r="BJ748" t="str">
        <f t="shared" si="24"/>
        <v/>
      </c>
      <c r="BK748" t="str">
        <f t="shared" si="25"/>
        <v/>
      </c>
    </row>
    <row r="749" spans="62:63">
      <c r="BJ749" t="str">
        <f t="shared" si="24"/>
        <v/>
      </c>
      <c r="BK749" t="str">
        <f t="shared" si="25"/>
        <v/>
      </c>
    </row>
    <row r="750" spans="62:63">
      <c r="BJ750" t="str">
        <f t="shared" si="24"/>
        <v/>
      </c>
      <c r="BK750" t="str">
        <f t="shared" si="25"/>
        <v/>
      </c>
    </row>
    <row r="751" spans="62:63">
      <c r="BJ751" t="str">
        <f t="shared" si="24"/>
        <v/>
      </c>
      <c r="BK751" t="str">
        <f t="shared" si="25"/>
        <v/>
      </c>
    </row>
    <row r="752" spans="62:63">
      <c r="BJ752" t="str">
        <f t="shared" si="24"/>
        <v/>
      </c>
      <c r="BK752" t="str">
        <f t="shared" si="25"/>
        <v/>
      </c>
    </row>
    <row r="753" spans="62:63">
      <c r="BJ753" t="str">
        <f t="shared" si="24"/>
        <v/>
      </c>
      <c r="BK753" t="str">
        <f t="shared" si="25"/>
        <v/>
      </c>
    </row>
    <row r="754" spans="62:63">
      <c r="BJ754" t="str">
        <f t="shared" si="24"/>
        <v/>
      </c>
      <c r="BK754" t="str">
        <f t="shared" si="25"/>
        <v/>
      </c>
    </row>
    <row r="755" spans="62:63">
      <c r="BJ755" t="str">
        <f t="shared" si="24"/>
        <v/>
      </c>
      <c r="BK755" t="str">
        <f t="shared" si="25"/>
        <v/>
      </c>
    </row>
    <row r="756" spans="62:63">
      <c r="BJ756" t="str">
        <f t="shared" si="24"/>
        <v/>
      </c>
      <c r="BK756" t="str">
        <f t="shared" si="25"/>
        <v/>
      </c>
    </row>
    <row r="757" spans="62:63">
      <c r="BJ757" t="str">
        <f t="shared" si="24"/>
        <v/>
      </c>
      <c r="BK757" t="str">
        <f t="shared" si="25"/>
        <v/>
      </c>
    </row>
    <row r="758" spans="62:63">
      <c r="BJ758" t="str">
        <f t="shared" si="24"/>
        <v/>
      </c>
      <c r="BK758" t="str">
        <f t="shared" si="25"/>
        <v/>
      </c>
    </row>
    <row r="759" spans="62:63">
      <c r="BJ759" t="str">
        <f t="shared" si="24"/>
        <v/>
      </c>
      <c r="BK759" t="str">
        <f t="shared" si="25"/>
        <v/>
      </c>
    </row>
    <row r="760" spans="62:63">
      <c r="BJ760" t="str">
        <f t="shared" si="24"/>
        <v/>
      </c>
      <c r="BK760" t="str">
        <f t="shared" si="25"/>
        <v/>
      </c>
    </row>
    <row r="761" spans="62:63">
      <c r="BJ761" t="str">
        <f t="shared" si="24"/>
        <v/>
      </c>
      <c r="BK761" t="str">
        <f t="shared" si="25"/>
        <v/>
      </c>
    </row>
    <row r="762" spans="62:63">
      <c r="BJ762" t="str">
        <f t="shared" si="24"/>
        <v/>
      </c>
      <c r="BK762" t="str">
        <f t="shared" si="25"/>
        <v/>
      </c>
    </row>
    <row r="763" spans="62:63">
      <c r="BJ763" t="str">
        <f t="shared" si="24"/>
        <v/>
      </c>
      <c r="BK763" t="str">
        <f t="shared" si="25"/>
        <v/>
      </c>
    </row>
    <row r="764" spans="62:63">
      <c r="BJ764" t="str">
        <f t="shared" si="24"/>
        <v/>
      </c>
      <c r="BK764" t="str">
        <f t="shared" si="25"/>
        <v/>
      </c>
    </row>
    <row r="765" spans="62:63">
      <c r="BJ765" t="str">
        <f t="shared" si="24"/>
        <v/>
      </c>
      <c r="BK765" t="str">
        <f t="shared" si="25"/>
        <v/>
      </c>
    </row>
    <row r="766" spans="62:63">
      <c r="BJ766" t="str">
        <f t="shared" si="24"/>
        <v/>
      </c>
      <c r="BK766" t="str">
        <f t="shared" si="25"/>
        <v/>
      </c>
    </row>
    <row r="767" spans="62:63">
      <c r="BJ767" t="str">
        <f t="shared" si="24"/>
        <v/>
      </c>
      <c r="BK767" t="str">
        <f t="shared" si="25"/>
        <v/>
      </c>
    </row>
    <row r="768" spans="62:63">
      <c r="BJ768" t="str">
        <f t="shared" si="24"/>
        <v/>
      </c>
      <c r="BK768" t="str">
        <f t="shared" si="25"/>
        <v/>
      </c>
    </row>
    <row r="769" spans="62:63">
      <c r="BJ769" t="str">
        <f t="shared" si="24"/>
        <v/>
      </c>
      <c r="BK769" t="str">
        <f t="shared" si="25"/>
        <v/>
      </c>
    </row>
    <row r="770" spans="62:63">
      <c r="BJ770" t="str">
        <f t="shared" si="24"/>
        <v/>
      </c>
      <c r="BK770" t="str">
        <f t="shared" si="25"/>
        <v/>
      </c>
    </row>
    <row r="771" spans="62:63">
      <c r="BJ771" t="str">
        <f t="shared" si="24"/>
        <v/>
      </c>
      <c r="BK771" t="str">
        <f t="shared" si="25"/>
        <v/>
      </c>
    </row>
    <row r="772" spans="62:63">
      <c r="BJ772" t="str">
        <f t="shared" si="24"/>
        <v/>
      </c>
      <c r="BK772" t="str">
        <f t="shared" si="25"/>
        <v/>
      </c>
    </row>
    <row r="773" spans="62:63">
      <c r="BJ773" t="str">
        <f t="shared" si="24"/>
        <v/>
      </c>
      <c r="BK773" t="str">
        <f t="shared" si="25"/>
        <v/>
      </c>
    </row>
    <row r="774" spans="62:63">
      <c r="BJ774" t="str">
        <f t="shared" si="24"/>
        <v/>
      </c>
      <c r="BK774" t="str">
        <f t="shared" si="25"/>
        <v/>
      </c>
    </row>
    <row r="775" spans="62:63">
      <c r="BJ775" t="str">
        <f t="shared" si="24"/>
        <v/>
      </c>
      <c r="BK775" t="str">
        <f t="shared" si="25"/>
        <v/>
      </c>
    </row>
    <row r="776" spans="62:63">
      <c r="BJ776" t="str">
        <f t="shared" si="24"/>
        <v/>
      </c>
      <c r="BK776" t="str">
        <f t="shared" si="25"/>
        <v/>
      </c>
    </row>
    <row r="777" spans="62:63">
      <c r="BJ777" t="str">
        <f t="shared" si="24"/>
        <v/>
      </c>
      <c r="BK777" t="str">
        <f t="shared" si="25"/>
        <v/>
      </c>
    </row>
    <row r="778" spans="62:63">
      <c r="BJ778" t="str">
        <f t="shared" si="24"/>
        <v/>
      </c>
      <c r="BK778" t="str">
        <f t="shared" si="25"/>
        <v/>
      </c>
    </row>
    <row r="779" spans="62:63">
      <c r="BJ779" t="str">
        <f t="shared" si="24"/>
        <v/>
      </c>
      <c r="BK779" t="str">
        <f t="shared" si="25"/>
        <v/>
      </c>
    </row>
    <row r="780" spans="62:63">
      <c r="BJ780" t="str">
        <f t="shared" si="24"/>
        <v/>
      </c>
      <c r="BK780" t="str">
        <f t="shared" si="25"/>
        <v/>
      </c>
    </row>
    <row r="781" spans="62:63">
      <c r="BJ781" t="str">
        <f t="shared" ref="BJ781:BJ844" si="26">MID(C781,5,3)</f>
        <v/>
      </c>
      <c r="BK781" t="str">
        <f t="shared" ref="BK781:BK844" si="27">RIGHT(C781,3)</f>
        <v/>
      </c>
    </row>
    <row r="782" spans="62:63">
      <c r="BJ782" t="str">
        <f t="shared" si="26"/>
        <v/>
      </c>
      <c r="BK782" t="str">
        <f t="shared" si="27"/>
        <v/>
      </c>
    </row>
    <row r="783" spans="62:63">
      <c r="BJ783" t="str">
        <f t="shared" si="26"/>
        <v/>
      </c>
      <c r="BK783" t="str">
        <f t="shared" si="27"/>
        <v/>
      </c>
    </row>
    <row r="784" spans="62:63">
      <c r="BJ784" t="str">
        <f t="shared" si="26"/>
        <v/>
      </c>
      <c r="BK784" t="str">
        <f t="shared" si="27"/>
        <v/>
      </c>
    </row>
    <row r="785" spans="62:63">
      <c r="BJ785" t="str">
        <f t="shared" si="26"/>
        <v/>
      </c>
      <c r="BK785" t="str">
        <f t="shared" si="27"/>
        <v/>
      </c>
    </row>
    <row r="786" spans="62:63">
      <c r="BJ786" t="str">
        <f t="shared" si="26"/>
        <v/>
      </c>
      <c r="BK786" t="str">
        <f t="shared" si="27"/>
        <v/>
      </c>
    </row>
    <row r="787" spans="62:63">
      <c r="BJ787" t="str">
        <f t="shared" si="26"/>
        <v/>
      </c>
      <c r="BK787" t="str">
        <f t="shared" si="27"/>
        <v/>
      </c>
    </row>
    <row r="788" spans="62:63">
      <c r="BJ788" t="str">
        <f t="shared" si="26"/>
        <v/>
      </c>
      <c r="BK788" t="str">
        <f t="shared" si="27"/>
        <v/>
      </c>
    </row>
    <row r="789" spans="62:63">
      <c r="BJ789" t="str">
        <f t="shared" si="26"/>
        <v/>
      </c>
      <c r="BK789" t="str">
        <f t="shared" si="27"/>
        <v/>
      </c>
    </row>
    <row r="790" spans="62:63">
      <c r="BJ790" t="str">
        <f t="shared" si="26"/>
        <v/>
      </c>
      <c r="BK790" t="str">
        <f t="shared" si="27"/>
        <v/>
      </c>
    </row>
    <row r="791" spans="62:63">
      <c r="BJ791" t="str">
        <f t="shared" si="26"/>
        <v/>
      </c>
      <c r="BK791" t="str">
        <f t="shared" si="27"/>
        <v/>
      </c>
    </row>
    <row r="792" spans="62:63">
      <c r="BJ792" t="str">
        <f t="shared" si="26"/>
        <v/>
      </c>
      <c r="BK792" t="str">
        <f t="shared" si="27"/>
        <v/>
      </c>
    </row>
    <row r="793" spans="62:63">
      <c r="BJ793" t="str">
        <f t="shared" si="26"/>
        <v/>
      </c>
      <c r="BK793" t="str">
        <f t="shared" si="27"/>
        <v/>
      </c>
    </row>
    <row r="794" spans="62:63">
      <c r="BJ794" t="str">
        <f t="shared" si="26"/>
        <v/>
      </c>
      <c r="BK794" t="str">
        <f t="shared" si="27"/>
        <v/>
      </c>
    </row>
    <row r="795" spans="62:63">
      <c r="BJ795" t="str">
        <f t="shared" si="26"/>
        <v/>
      </c>
      <c r="BK795" t="str">
        <f t="shared" si="27"/>
        <v/>
      </c>
    </row>
    <row r="796" spans="62:63">
      <c r="BJ796" t="str">
        <f t="shared" si="26"/>
        <v/>
      </c>
      <c r="BK796" t="str">
        <f t="shared" si="27"/>
        <v/>
      </c>
    </row>
    <row r="797" spans="62:63">
      <c r="BJ797" t="str">
        <f t="shared" si="26"/>
        <v/>
      </c>
      <c r="BK797" t="str">
        <f t="shared" si="27"/>
        <v/>
      </c>
    </row>
    <row r="798" spans="62:63">
      <c r="BJ798" t="str">
        <f t="shared" si="26"/>
        <v/>
      </c>
      <c r="BK798" t="str">
        <f t="shared" si="27"/>
        <v/>
      </c>
    </row>
    <row r="799" spans="62:63">
      <c r="BJ799" t="str">
        <f t="shared" si="26"/>
        <v/>
      </c>
      <c r="BK799" t="str">
        <f t="shared" si="27"/>
        <v/>
      </c>
    </row>
    <row r="800" spans="62:63">
      <c r="BJ800" t="str">
        <f t="shared" si="26"/>
        <v/>
      </c>
      <c r="BK800" t="str">
        <f t="shared" si="27"/>
        <v/>
      </c>
    </row>
    <row r="801" spans="62:63">
      <c r="BJ801" t="str">
        <f t="shared" si="26"/>
        <v/>
      </c>
      <c r="BK801" t="str">
        <f t="shared" si="27"/>
        <v/>
      </c>
    </row>
    <row r="802" spans="62:63">
      <c r="BJ802" t="str">
        <f t="shared" si="26"/>
        <v/>
      </c>
      <c r="BK802" t="str">
        <f t="shared" si="27"/>
        <v/>
      </c>
    </row>
    <row r="803" spans="62:63">
      <c r="BJ803" t="str">
        <f t="shared" si="26"/>
        <v/>
      </c>
      <c r="BK803" t="str">
        <f t="shared" si="27"/>
        <v/>
      </c>
    </row>
    <row r="804" spans="62:63">
      <c r="BJ804" t="str">
        <f t="shared" si="26"/>
        <v/>
      </c>
      <c r="BK804" t="str">
        <f t="shared" si="27"/>
        <v/>
      </c>
    </row>
    <row r="805" spans="62:63">
      <c r="BJ805" t="str">
        <f t="shared" si="26"/>
        <v/>
      </c>
      <c r="BK805" t="str">
        <f t="shared" si="27"/>
        <v/>
      </c>
    </row>
    <row r="806" spans="62:63">
      <c r="BJ806" t="str">
        <f t="shared" si="26"/>
        <v/>
      </c>
      <c r="BK806" t="str">
        <f t="shared" si="27"/>
        <v/>
      </c>
    </row>
    <row r="807" spans="62:63">
      <c r="BJ807" t="str">
        <f t="shared" si="26"/>
        <v/>
      </c>
      <c r="BK807" t="str">
        <f t="shared" si="27"/>
        <v/>
      </c>
    </row>
    <row r="808" spans="62:63">
      <c r="BJ808" t="str">
        <f t="shared" si="26"/>
        <v/>
      </c>
      <c r="BK808" t="str">
        <f t="shared" si="27"/>
        <v/>
      </c>
    </row>
    <row r="809" spans="62:63">
      <c r="BJ809" t="str">
        <f t="shared" si="26"/>
        <v/>
      </c>
      <c r="BK809" t="str">
        <f t="shared" si="27"/>
        <v/>
      </c>
    </row>
    <row r="810" spans="62:63">
      <c r="BJ810" t="str">
        <f t="shared" si="26"/>
        <v/>
      </c>
      <c r="BK810" t="str">
        <f t="shared" si="27"/>
        <v/>
      </c>
    </row>
    <row r="811" spans="62:63">
      <c r="BJ811" t="str">
        <f t="shared" si="26"/>
        <v/>
      </c>
      <c r="BK811" t="str">
        <f t="shared" si="27"/>
        <v/>
      </c>
    </row>
    <row r="812" spans="62:63">
      <c r="BJ812" t="str">
        <f t="shared" si="26"/>
        <v/>
      </c>
      <c r="BK812" t="str">
        <f t="shared" si="27"/>
        <v/>
      </c>
    </row>
    <row r="813" spans="62:63">
      <c r="BJ813" t="str">
        <f t="shared" si="26"/>
        <v/>
      </c>
      <c r="BK813" t="str">
        <f t="shared" si="27"/>
        <v/>
      </c>
    </row>
    <row r="814" spans="62:63">
      <c r="BJ814" t="str">
        <f t="shared" si="26"/>
        <v/>
      </c>
      <c r="BK814" t="str">
        <f t="shared" si="27"/>
        <v/>
      </c>
    </row>
    <row r="815" spans="62:63">
      <c r="BJ815" t="str">
        <f t="shared" si="26"/>
        <v/>
      </c>
      <c r="BK815" t="str">
        <f t="shared" si="27"/>
        <v/>
      </c>
    </row>
    <row r="816" spans="62:63">
      <c r="BJ816" t="str">
        <f t="shared" si="26"/>
        <v/>
      </c>
      <c r="BK816" t="str">
        <f t="shared" si="27"/>
        <v/>
      </c>
    </row>
    <row r="817" spans="62:63">
      <c r="BJ817" t="str">
        <f t="shared" si="26"/>
        <v/>
      </c>
      <c r="BK817" t="str">
        <f t="shared" si="27"/>
        <v/>
      </c>
    </row>
    <row r="818" spans="62:63">
      <c r="BJ818" t="str">
        <f t="shared" si="26"/>
        <v/>
      </c>
      <c r="BK818" t="str">
        <f t="shared" si="27"/>
        <v/>
      </c>
    </row>
    <row r="819" spans="62:63">
      <c r="BJ819" t="str">
        <f t="shared" si="26"/>
        <v/>
      </c>
      <c r="BK819" t="str">
        <f t="shared" si="27"/>
        <v/>
      </c>
    </row>
    <row r="820" spans="62:63">
      <c r="BJ820" t="str">
        <f t="shared" si="26"/>
        <v/>
      </c>
      <c r="BK820" t="str">
        <f t="shared" si="27"/>
        <v/>
      </c>
    </row>
    <row r="821" spans="62:63">
      <c r="BJ821" t="str">
        <f t="shared" si="26"/>
        <v/>
      </c>
      <c r="BK821" t="str">
        <f t="shared" si="27"/>
        <v/>
      </c>
    </row>
    <row r="822" spans="62:63">
      <c r="BJ822" t="str">
        <f t="shared" si="26"/>
        <v/>
      </c>
      <c r="BK822" t="str">
        <f t="shared" si="27"/>
        <v/>
      </c>
    </row>
    <row r="823" spans="62:63">
      <c r="BJ823" t="str">
        <f t="shared" si="26"/>
        <v/>
      </c>
      <c r="BK823" t="str">
        <f t="shared" si="27"/>
        <v/>
      </c>
    </row>
    <row r="824" spans="62:63">
      <c r="BJ824" t="str">
        <f t="shared" si="26"/>
        <v/>
      </c>
      <c r="BK824" t="str">
        <f t="shared" si="27"/>
        <v/>
      </c>
    </row>
    <row r="825" spans="62:63">
      <c r="BJ825" t="str">
        <f t="shared" si="26"/>
        <v/>
      </c>
      <c r="BK825" t="str">
        <f t="shared" si="27"/>
        <v/>
      </c>
    </row>
    <row r="826" spans="62:63">
      <c r="BJ826" t="str">
        <f t="shared" si="26"/>
        <v/>
      </c>
      <c r="BK826" t="str">
        <f t="shared" si="27"/>
        <v/>
      </c>
    </row>
    <row r="827" spans="62:63">
      <c r="BJ827" t="str">
        <f t="shared" si="26"/>
        <v/>
      </c>
      <c r="BK827" t="str">
        <f t="shared" si="27"/>
        <v/>
      </c>
    </row>
    <row r="828" spans="62:63">
      <c r="BJ828" t="str">
        <f t="shared" si="26"/>
        <v/>
      </c>
      <c r="BK828" t="str">
        <f t="shared" si="27"/>
        <v/>
      </c>
    </row>
    <row r="829" spans="62:63">
      <c r="BJ829" t="str">
        <f t="shared" si="26"/>
        <v/>
      </c>
      <c r="BK829" t="str">
        <f t="shared" si="27"/>
        <v/>
      </c>
    </row>
    <row r="830" spans="62:63">
      <c r="BJ830" t="str">
        <f t="shared" si="26"/>
        <v/>
      </c>
      <c r="BK830" t="str">
        <f t="shared" si="27"/>
        <v/>
      </c>
    </row>
    <row r="831" spans="62:63">
      <c r="BJ831" t="str">
        <f t="shared" si="26"/>
        <v/>
      </c>
      <c r="BK831" t="str">
        <f t="shared" si="27"/>
        <v/>
      </c>
    </row>
    <row r="832" spans="62:63">
      <c r="BJ832" t="str">
        <f t="shared" si="26"/>
        <v/>
      </c>
      <c r="BK832" t="str">
        <f t="shared" si="27"/>
        <v/>
      </c>
    </row>
    <row r="833" spans="62:63">
      <c r="BJ833" t="str">
        <f t="shared" si="26"/>
        <v/>
      </c>
      <c r="BK833" t="str">
        <f t="shared" si="27"/>
        <v/>
      </c>
    </row>
    <row r="834" spans="62:63">
      <c r="BJ834" t="str">
        <f t="shared" si="26"/>
        <v/>
      </c>
      <c r="BK834" t="str">
        <f t="shared" si="27"/>
        <v/>
      </c>
    </row>
    <row r="835" spans="62:63">
      <c r="BJ835" t="str">
        <f t="shared" si="26"/>
        <v/>
      </c>
      <c r="BK835" t="str">
        <f t="shared" si="27"/>
        <v/>
      </c>
    </row>
    <row r="836" spans="62:63">
      <c r="BJ836" t="str">
        <f t="shared" si="26"/>
        <v/>
      </c>
      <c r="BK836" t="str">
        <f t="shared" si="27"/>
        <v/>
      </c>
    </row>
    <row r="837" spans="62:63">
      <c r="BJ837" t="str">
        <f t="shared" si="26"/>
        <v/>
      </c>
      <c r="BK837" t="str">
        <f t="shared" si="27"/>
        <v/>
      </c>
    </row>
    <row r="838" spans="62:63">
      <c r="BJ838" t="str">
        <f t="shared" si="26"/>
        <v/>
      </c>
      <c r="BK838" t="str">
        <f t="shared" si="27"/>
        <v/>
      </c>
    </row>
    <row r="839" spans="62:63">
      <c r="BJ839" t="str">
        <f t="shared" si="26"/>
        <v/>
      </c>
      <c r="BK839" t="str">
        <f t="shared" si="27"/>
        <v/>
      </c>
    </row>
    <row r="840" spans="62:63">
      <c r="BJ840" t="str">
        <f t="shared" si="26"/>
        <v/>
      </c>
      <c r="BK840" t="str">
        <f t="shared" si="27"/>
        <v/>
      </c>
    </row>
    <row r="841" spans="62:63">
      <c r="BJ841" t="str">
        <f t="shared" si="26"/>
        <v/>
      </c>
      <c r="BK841" t="str">
        <f t="shared" si="27"/>
        <v/>
      </c>
    </row>
    <row r="842" spans="62:63">
      <c r="BJ842" t="str">
        <f t="shared" si="26"/>
        <v/>
      </c>
      <c r="BK842" t="str">
        <f t="shared" si="27"/>
        <v/>
      </c>
    </row>
    <row r="843" spans="62:63">
      <c r="BJ843" t="str">
        <f t="shared" si="26"/>
        <v/>
      </c>
      <c r="BK843" t="str">
        <f t="shared" si="27"/>
        <v/>
      </c>
    </row>
    <row r="844" spans="62:63">
      <c r="BJ844" t="str">
        <f t="shared" si="26"/>
        <v/>
      </c>
      <c r="BK844" t="str">
        <f t="shared" si="27"/>
        <v/>
      </c>
    </row>
    <row r="845" spans="62:63">
      <c r="BJ845" t="str">
        <f t="shared" ref="BJ845:BJ868" si="28">MID(C845,5,3)</f>
        <v/>
      </c>
      <c r="BK845" t="str">
        <f t="shared" ref="BK845:BK868" si="29">RIGHT(C845,3)</f>
        <v/>
      </c>
    </row>
    <row r="846" spans="62:63">
      <c r="BJ846" t="str">
        <f t="shared" si="28"/>
        <v/>
      </c>
      <c r="BK846" t="str">
        <f t="shared" si="29"/>
        <v/>
      </c>
    </row>
    <row r="847" spans="62:63">
      <c r="BJ847" t="str">
        <f t="shared" si="28"/>
        <v/>
      </c>
      <c r="BK847" t="str">
        <f t="shared" si="29"/>
        <v/>
      </c>
    </row>
    <row r="848" spans="62:63">
      <c r="BJ848" t="str">
        <f t="shared" si="28"/>
        <v/>
      </c>
      <c r="BK848" t="str">
        <f t="shared" si="29"/>
        <v/>
      </c>
    </row>
    <row r="849" spans="62:63">
      <c r="BJ849" t="str">
        <f t="shared" si="28"/>
        <v/>
      </c>
      <c r="BK849" t="str">
        <f t="shared" si="29"/>
        <v/>
      </c>
    </row>
    <row r="850" spans="62:63">
      <c r="BJ850" t="str">
        <f t="shared" si="28"/>
        <v/>
      </c>
      <c r="BK850" t="str">
        <f t="shared" si="29"/>
        <v/>
      </c>
    </row>
    <row r="851" spans="62:63">
      <c r="BJ851" t="str">
        <f t="shared" si="28"/>
        <v/>
      </c>
      <c r="BK851" t="str">
        <f t="shared" si="29"/>
        <v/>
      </c>
    </row>
    <row r="852" spans="62:63">
      <c r="BJ852" t="str">
        <f t="shared" si="28"/>
        <v/>
      </c>
      <c r="BK852" t="str">
        <f t="shared" si="29"/>
        <v/>
      </c>
    </row>
    <row r="853" spans="62:63">
      <c r="BJ853" t="str">
        <f t="shared" si="28"/>
        <v/>
      </c>
      <c r="BK853" t="str">
        <f t="shared" si="29"/>
        <v/>
      </c>
    </row>
    <row r="854" spans="62:63">
      <c r="BJ854" t="str">
        <f t="shared" si="28"/>
        <v/>
      </c>
      <c r="BK854" t="str">
        <f t="shared" si="29"/>
        <v/>
      </c>
    </row>
    <row r="855" spans="62:63">
      <c r="BJ855" t="str">
        <f t="shared" si="28"/>
        <v/>
      </c>
      <c r="BK855" t="str">
        <f t="shared" si="29"/>
        <v/>
      </c>
    </row>
    <row r="856" spans="62:63">
      <c r="BJ856" t="str">
        <f t="shared" si="28"/>
        <v/>
      </c>
      <c r="BK856" t="str">
        <f t="shared" si="29"/>
        <v/>
      </c>
    </row>
    <row r="857" spans="62:63">
      <c r="BJ857" t="str">
        <f t="shared" si="28"/>
        <v/>
      </c>
      <c r="BK857" t="str">
        <f t="shared" si="29"/>
        <v/>
      </c>
    </row>
    <row r="858" spans="62:63">
      <c r="BJ858" t="str">
        <f t="shared" si="28"/>
        <v/>
      </c>
      <c r="BK858" t="str">
        <f t="shared" si="29"/>
        <v/>
      </c>
    </row>
    <row r="859" spans="62:63">
      <c r="BJ859" t="str">
        <f t="shared" si="28"/>
        <v/>
      </c>
      <c r="BK859" t="str">
        <f t="shared" si="29"/>
        <v/>
      </c>
    </row>
    <row r="860" spans="62:63">
      <c r="BJ860" t="str">
        <f t="shared" si="28"/>
        <v/>
      </c>
      <c r="BK860" t="str">
        <f t="shared" si="29"/>
        <v/>
      </c>
    </row>
    <row r="861" spans="62:63">
      <c r="BJ861" t="str">
        <f t="shared" si="28"/>
        <v/>
      </c>
      <c r="BK861" t="str">
        <f t="shared" si="29"/>
        <v/>
      </c>
    </row>
    <row r="862" spans="62:63">
      <c r="BJ862" t="str">
        <f t="shared" si="28"/>
        <v/>
      </c>
      <c r="BK862" t="str">
        <f t="shared" si="29"/>
        <v/>
      </c>
    </row>
    <row r="863" spans="62:63">
      <c r="BJ863" t="str">
        <f t="shared" si="28"/>
        <v/>
      </c>
      <c r="BK863" t="str">
        <f t="shared" si="29"/>
        <v/>
      </c>
    </row>
    <row r="864" spans="62:63">
      <c r="BJ864" t="str">
        <f t="shared" si="28"/>
        <v/>
      </c>
      <c r="BK864" t="str">
        <f t="shared" si="29"/>
        <v/>
      </c>
    </row>
    <row r="865" spans="62:63">
      <c r="BJ865" t="str">
        <f t="shared" si="28"/>
        <v/>
      </c>
      <c r="BK865" t="str">
        <f t="shared" si="29"/>
        <v/>
      </c>
    </row>
    <row r="866" spans="62:63">
      <c r="BJ866" t="str">
        <f t="shared" si="28"/>
        <v/>
      </c>
      <c r="BK866" t="str">
        <f t="shared" si="29"/>
        <v/>
      </c>
    </row>
    <row r="867" spans="62:63">
      <c r="BJ867" t="str">
        <f t="shared" si="28"/>
        <v/>
      </c>
      <c r="BK867" t="str">
        <f t="shared" si="29"/>
        <v/>
      </c>
    </row>
    <row r="868" spans="62:63">
      <c r="BJ868" t="str">
        <f t="shared" si="28"/>
        <v/>
      </c>
      <c r="BK868" t="str">
        <f t="shared" si="29"/>
        <v/>
      </c>
    </row>
    <row r="869" spans="62:63">
      <c r="BJ869" t="str">
        <f t="shared" ref="BJ869:BJ932" si="30">MID(C869,5,3)</f>
        <v/>
      </c>
      <c r="BK869" t="str">
        <f t="shared" ref="BK869:BK932" si="31">RIGHT(C869,3)</f>
        <v/>
      </c>
    </row>
    <row r="870" spans="62:63">
      <c r="BJ870" t="str">
        <f t="shared" si="30"/>
        <v/>
      </c>
      <c r="BK870" t="str">
        <f t="shared" si="31"/>
        <v/>
      </c>
    </row>
    <row r="871" spans="62:63">
      <c r="BJ871" t="str">
        <f t="shared" si="30"/>
        <v/>
      </c>
      <c r="BK871" t="str">
        <f t="shared" si="31"/>
        <v/>
      </c>
    </row>
    <row r="872" spans="62:63">
      <c r="BJ872" t="str">
        <f t="shared" si="30"/>
        <v/>
      </c>
      <c r="BK872" t="str">
        <f t="shared" si="31"/>
        <v/>
      </c>
    </row>
    <row r="873" spans="62:63">
      <c r="BJ873" t="str">
        <f t="shared" si="30"/>
        <v/>
      </c>
      <c r="BK873" t="str">
        <f t="shared" si="31"/>
        <v/>
      </c>
    </row>
    <row r="874" spans="62:63">
      <c r="BJ874" t="str">
        <f t="shared" si="30"/>
        <v/>
      </c>
      <c r="BK874" t="str">
        <f t="shared" si="31"/>
        <v/>
      </c>
    </row>
    <row r="875" spans="62:63">
      <c r="BJ875" t="str">
        <f t="shared" si="30"/>
        <v/>
      </c>
      <c r="BK875" t="str">
        <f t="shared" si="31"/>
        <v/>
      </c>
    </row>
    <row r="876" spans="62:63">
      <c r="BJ876" t="str">
        <f t="shared" si="30"/>
        <v/>
      </c>
      <c r="BK876" t="str">
        <f t="shared" si="31"/>
        <v/>
      </c>
    </row>
    <row r="877" spans="62:63">
      <c r="BJ877" t="str">
        <f t="shared" si="30"/>
        <v/>
      </c>
      <c r="BK877" t="str">
        <f t="shared" si="31"/>
        <v/>
      </c>
    </row>
    <row r="878" spans="62:63">
      <c r="BJ878" t="str">
        <f t="shared" si="30"/>
        <v/>
      </c>
      <c r="BK878" t="str">
        <f t="shared" si="31"/>
        <v/>
      </c>
    </row>
    <row r="879" spans="62:63">
      <c r="BJ879" t="str">
        <f t="shared" si="30"/>
        <v/>
      </c>
      <c r="BK879" t="str">
        <f t="shared" si="31"/>
        <v/>
      </c>
    </row>
    <row r="880" spans="62:63">
      <c r="BJ880" t="str">
        <f t="shared" si="30"/>
        <v/>
      </c>
      <c r="BK880" t="str">
        <f t="shared" si="31"/>
        <v/>
      </c>
    </row>
    <row r="881" spans="62:63">
      <c r="BJ881" t="str">
        <f t="shared" si="30"/>
        <v/>
      </c>
      <c r="BK881" t="str">
        <f t="shared" si="31"/>
        <v/>
      </c>
    </row>
    <row r="882" spans="62:63">
      <c r="BJ882" t="str">
        <f t="shared" si="30"/>
        <v/>
      </c>
      <c r="BK882" t="str">
        <f t="shared" si="31"/>
        <v/>
      </c>
    </row>
    <row r="883" spans="62:63">
      <c r="BJ883" t="str">
        <f t="shared" si="30"/>
        <v/>
      </c>
      <c r="BK883" t="str">
        <f t="shared" si="31"/>
        <v/>
      </c>
    </row>
    <row r="884" spans="62:63">
      <c r="BJ884" t="str">
        <f t="shared" si="30"/>
        <v/>
      </c>
      <c r="BK884" t="str">
        <f t="shared" si="31"/>
        <v/>
      </c>
    </row>
    <row r="885" spans="62:63">
      <c r="BJ885" t="str">
        <f t="shared" si="30"/>
        <v/>
      </c>
      <c r="BK885" t="str">
        <f t="shared" si="31"/>
        <v/>
      </c>
    </row>
    <row r="886" spans="62:63">
      <c r="BJ886" t="str">
        <f t="shared" si="30"/>
        <v/>
      </c>
      <c r="BK886" t="str">
        <f t="shared" si="31"/>
        <v/>
      </c>
    </row>
    <row r="887" spans="62:63">
      <c r="BJ887" t="str">
        <f t="shared" si="30"/>
        <v/>
      </c>
      <c r="BK887" t="str">
        <f t="shared" si="31"/>
        <v/>
      </c>
    </row>
    <row r="888" spans="62:63">
      <c r="BJ888" t="str">
        <f t="shared" si="30"/>
        <v/>
      </c>
      <c r="BK888" t="str">
        <f t="shared" si="31"/>
        <v/>
      </c>
    </row>
    <row r="889" spans="62:63">
      <c r="BJ889" t="str">
        <f t="shared" si="30"/>
        <v/>
      </c>
      <c r="BK889" t="str">
        <f t="shared" si="31"/>
        <v/>
      </c>
    </row>
    <row r="890" spans="62:63">
      <c r="BJ890" t="str">
        <f t="shared" si="30"/>
        <v/>
      </c>
      <c r="BK890" t="str">
        <f t="shared" si="31"/>
        <v/>
      </c>
    </row>
    <row r="891" spans="62:63">
      <c r="BJ891" t="str">
        <f t="shared" si="30"/>
        <v/>
      </c>
      <c r="BK891" t="str">
        <f t="shared" si="31"/>
        <v/>
      </c>
    </row>
    <row r="892" spans="62:63">
      <c r="BJ892" t="str">
        <f t="shared" si="30"/>
        <v/>
      </c>
      <c r="BK892" t="str">
        <f t="shared" si="31"/>
        <v/>
      </c>
    </row>
    <row r="893" spans="62:63">
      <c r="BJ893" t="str">
        <f t="shared" si="30"/>
        <v/>
      </c>
      <c r="BK893" t="str">
        <f t="shared" si="31"/>
        <v/>
      </c>
    </row>
    <row r="894" spans="62:63">
      <c r="BJ894" t="str">
        <f t="shared" si="30"/>
        <v/>
      </c>
      <c r="BK894" t="str">
        <f t="shared" si="31"/>
        <v/>
      </c>
    </row>
    <row r="895" spans="62:63">
      <c r="BJ895" t="str">
        <f t="shared" si="30"/>
        <v/>
      </c>
      <c r="BK895" t="str">
        <f t="shared" si="31"/>
        <v/>
      </c>
    </row>
    <row r="896" spans="62:63">
      <c r="BJ896" t="str">
        <f t="shared" si="30"/>
        <v/>
      </c>
      <c r="BK896" t="str">
        <f t="shared" si="31"/>
        <v/>
      </c>
    </row>
    <row r="897" spans="62:63">
      <c r="BJ897" t="str">
        <f t="shared" si="30"/>
        <v/>
      </c>
      <c r="BK897" t="str">
        <f t="shared" si="31"/>
        <v/>
      </c>
    </row>
    <row r="898" spans="62:63">
      <c r="BJ898" t="str">
        <f t="shared" si="30"/>
        <v/>
      </c>
      <c r="BK898" t="str">
        <f t="shared" si="31"/>
        <v/>
      </c>
    </row>
    <row r="899" spans="62:63">
      <c r="BJ899" t="str">
        <f t="shared" si="30"/>
        <v/>
      </c>
      <c r="BK899" t="str">
        <f t="shared" si="31"/>
        <v/>
      </c>
    </row>
    <row r="900" spans="62:63">
      <c r="BJ900" t="str">
        <f t="shared" si="30"/>
        <v/>
      </c>
      <c r="BK900" t="str">
        <f t="shared" si="31"/>
        <v/>
      </c>
    </row>
    <row r="901" spans="62:63">
      <c r="BJ901" t="str">
        <f t="shared" si="30"/>
        <v/>
      </c>
      <c r="BK901" t="str">
        <f t="shared" si="31"/>
        <v/>
      </c>
    </row>
    <row r="902" spans="62:63">
      <c r="BJ902" t="str">
        <f t="shared" si="30"/>
        <v/>
      </c>
      <c r="BK902" t="str">
        <f t="shared" si="31"/>
        <v/>
      </c>
    </row>
    <row r="903" spans="62:63">
      <c r="BJ903" t="str">
        <f t="shared" si="30"/>
        <v/>
      </c>
      <c r="BK903" t="str">
        <f t="shared" si="31"/>
        <v/>
      </c>
    </row>
    <row r="904" spans="62:63">
      <c r="BJ904" t="str">
        <f t="shared" si="30"/>
        <v/>
      </c>
      <c r="BK904" t="str">
        <f t="shared" si="31"/>
        <v/>
      </c>
    </row>
    <row r="905" spans="62:63">
      <c r="BJ905" t="str">
        <f t="shared" si="30"/>
        <v/>
      </c>
      <c r="BK905" t="str">
        <f t="shared" si="31"/>
        <v/>
      </c>
    </row>
    <row r="906" spans="62:63">
      <c r="BJ906" t="str">
        <f t="shared" si="30"/>
        <v/>
      </c>
      <c r="BK906" t="str">
        <f t="shared" si="31"/>
        <v/>
      </c>
    </row>
    <row r="907" spans="62:63">
      <c r="BJ907" t="str">
        <f t="shared" si="30"/>
        <v/>
      </c>
      <c r="BK907" t="str">
        <f t="shared" si="31"/>
        <v/>
      </c>
    </row>
    <row r="908" spans="62:63">
      <c r="BJ908" t="str">
        <f t="shared" si="30"/>
        <v/>
      </c>
      <c r="BK908" t="str">
        <f t="shared" si="31"/>
        <v/>
      </c>
    </row>
    <row r="909" spans="62:63">
      <c r="BJ909" t="str">
        <f t="shared" si="30"/>
        <v/>
      </c>
      <c r="BK909" t="str">
        <f t="shared" si="31"/>
        <v/>
      </c>
    </row>
    <row r="910" spans="62:63">
      <c r="BJ910" t="str">
        <f t="shared" si="30"/>
        <v/>
      </c>
      <c r="BK910" t="str">
        <f t="shared" si="31"/>
        <v/>
      </c>
    </row>
    <row r="911" spans="62:63">
      <c r="BJ911" t="str">
        <f t="shared" si="30"/>
        <v/>
      </c>
      <c r="BK911" t="str">
        <f t="shared" si="31"/>
        <v/>
      </c>
    </row>
    <row r="912" spans="62:63">
      <c r="BJ912" t="str">
        <f t="shared" si="30"/>
        <v/>
      </c>
      <c r="BK912" t="str">
        <f t="shared" si="31"/>
        <v/>
      </c>
    </row>
    <row r="913" spans="62:63">
      <c r="BJ913" t="str">
        <f t="shared" si="30"/>
        <v/>
      </c>
      <c r="BK913" t="str">
        <f t="shared" si="31"/>
        <v/>
      </c>
    </row>
    <row r="914" spans="62:63">
      <c r="BJ914" t="str">
        <f t="shared" si="30"/>
        <v/>
      </c>
      <c r="BK914" t="str">
        <f t="shared" si="31"/>
        <v/>
      </c>
    </row>
    <row r="915" spans="62:63">
      <c r="BJ915" t="str">
        <f t="shared" si="30"/>
        <v/>
      </c>
      <c r="BK915" t="str">
        <f t="shared" si="31"/>
        <v/>
      </c>
    </row>
    <row r="916" spans="62:63">
      <c r="BJ916" t="str">
        <f t="shared" si="30"/>
        <v/>
      </c>
      <c r="BK916" t="str">
        <f t="shared" si="31"/>
        <v/>
      </c>
    </row>
    <row r="917" spans="62:63">
      <c r="BJ917" t="str">
        <f t="shared" si="30"/>
        <v/>
      </c>
      <c r="BK917" t="str">
        <f t="shared" si="31"/>
        <v/>
      </c>
    </row>
    <row r="918" spans="62:63">
      <c r="BJ918" t="str">
        <f t="shared" si="30"/>
        <v/>
      </c>
      <c r="BK918" t="str">
        <f t="shared" si="31"/>
        <v/>
      </c>
    </row>
    <row r="919" spans="62:63">
      <c r="BJ919" t="str">
        <f t="shared" si="30"/>
        <v/>
      </c>
      <c r="BK919" t="str">
        <f t="shared" si="31"/>
        <v/>
      </c>
    </row>
    <row r="920" spans="62:63">
      <c r="BJ920" t="str">
        <f t="shared" si="30"/>
        <v/>
      </c>
      <c r="BK920" t="str">
        <f t="shared" si="31"/>
        <v/>
      </c>
    </row>
    <row r="921" spans="62:63">
      <c r="BJ921" t="str">
        <f t="shared" si="30"/>
        <v/>
      </c>
      <c r="BK921" t="str">
        <f t="shared" si="31"/>
        <v/>
      </c>
    </row>
    <row r="922" spans="62:63">
      <c r="BJ922" t="str">
        <f t="shared" si="30"/>
        <v/>
      </c>
      <c r="BK922" t="str">
        <f t="shared" si="31"/>
        <v/>
      </c>
    </row>
    <row r="923" spans="62:63">
      <c r="BJ923" t="str">
        <f t="shared" si="30"/>
        <v/>
      </c>
      <c r="BK923" t="str">
        <f t="shared" si="31"/>
        <v/>
      </c>
    </row>
    <row r="924" spans="62:63">
      <c r="BJ924" t="str">
        <f t="shared" si="30"/>
        <v/>
      </c>
      <c r="BK924" t="str">
        <f t="shared" si="31"/>
        <v/>
      </c>
    </row>
    <row r="925" spans="62:63">
      <c r="BJ925" t="str">
        <f t="shared" si="30"/>
        <v/>
      </c>
      <c r="BK925" t="str">
        <f t="shared" si="31"/>
        <v/>
      </c>
    </row>
    <row r="926" spans="62:63">
      <c r="BJ926" t="str">
        <f t="shared" si="30"/>
        <v/>
      </c>
      <c r="BK926" t="str">
        <f t="shared" si="31"/>
        <v/>
      </c>
    </row>
    <row r="927" spans="62:63">
      <c r="BJ927" t="str">
        <f t="shared" si="30"/>
        <v/>
      </c>
      <c r="BK927" t="str">
        <f t="shared" si="31"/>
        <v/>
      </c>
    </row>
    <row r="928" spans="62:63">
      <c r="BJ928" t="str">
        <f t="shared" si="30"/>
        <v/>
      </c>
      <c r="BK928" t="str">
        <f t="shared" si="31"/>
        <v/>
      </c>
    </row>
    <row r="929" spans="62:63">
      <c r="BJ929" t="str">
        <f t="shared" si="30"/>
        <v/>
      </c>
      <c r="BK929" t="str">
        <f t="shared" si="31"/>
        <v/>
      </c>
    </row>
    <row r="930" spans="62:63">
      <c r="BJ930" t="str">
        <f t="shared" si="30"/>
        <v/>
      </c>
      <c r="BK930" t="str">
        <f t="shared" si="31"/>
        <v/>
      </c>
    </row>
    <row r="931" spans="62:63">
      <c r="BJ931" t="str">
        <f t="shared" si="30"/>
        <v/>
      </c>
      <c r="BK931" t="str">
        <f t="shared" si="31"/>
        <v/>
      </c>
    </row>
    <row r="932" spans="62:63">
      <c r="BJ932" t="str">
        <f t="shared" si="30"/>
        <v/>
      </c>
      <c r="BK932" t="str">
        <f t="shared" si="31"/>
        <v/>
      </c>
    </row>
    <row r="933" spans="62:63">
      <c r="BJ933" t="str">
        <f t="shared" ref="BJ933:BJ996" si="32">MID(C933,5,3)</f>
        <v/>
      </c>
      <c r="BK933" t="str">
        <f t="shared" ref="BK933:BK996" si="33">RIGHT(C933,3)</f>
        <v/>
      </c>
    </row>
    <row r="934" spans="62:63">
      <c r="BJ934" t="str">
        <f t="shared" si="32"/>
        <v/>
      </c>
      <c r="BK934" t="str">
        <f t="shared" si="33"/>
        <v/>
      </c>
    </row>
    <row r="935" spans="62:63">
      <c r="BJ935" t="str">
        <f t="shared" si="32"/>
        <v/>
      </c>
      <c r="BK935" t="str">
        <f t="shared" si="33"/>
        <v/>
      </c>
    </row>
    <row r="936" spans="62:63">
      <c r="BJ936" t="str">
        <f t="shared" si="32"/>
        <v/>
      </c>
      <c r="BK936" t="str">
        <f t="shared" si="33"/>
        <v/>
      </c>
    </row>
    <row r="937" spans="62:63">
      <c r="BJ937" t="str">
        <f t="shared" si="32"/>
        <v/>
      </c>
      <c r="BK937" t="str">
        <f t="shared" si="33"/>
        <v/>
      </c>
    </row>
    <row r="938" spans="62:63">
      <c r="BJ938" t="str">
        <f t="shared" si="32"/>
        <v/>
      </c>
      <c r="BK938" t="str">
        <f t="shared" si="33"/>
        <v/>
      </c>
    </row>
    <row r="939" spans="62:63">
      <c r="BJ939" t="str">
        <f t="shared" si="32"/>
        <v/>
      </c>
      <c r="BK939" t="str">
        <f t="shared" si="33"/>
        <v/>
      </c>
    </row>
    <row r="940" spans="62:63">
      <c r="BJ940" t="str">
        <f t="shared" si="32"/>
        <v/>
      </c>
      <c r="BK940" t="str">
        <f t="shared" si="33"/>
        <v/>
      </c>
    </row>
    <row r="941" spans="62:63">
      <c r="BJ941" t="str">
        <f t="shared" si="32"/>
        <v/>
      </c>
      <c r="BK941" t="str">
        <f t="shared" si="33"/>
        <v/>
      </c>
    </row>
    <row r="942" spans="62:63">
      <c r="BJ942" t="str">
        <f t="shared" si="32"/>
        <v/>
      </c>
      <c r="BK942" t="str">
        <f t="shared" si="33"/>
        <v/>
      </c>
    </row>
    <row r="943" spans="62:63">
      <c r="BJ943" t="str">
        <f t="shared" si="32"/>
        <v/>
      </c>
      <c r="BK943" t="str">
        <f t="shared" si="33"/>
        <v/>
      </c>
    </row>
    <row r="944" spans="62:63">
      <c r="BJ944" t="str">
        <f t="shared" si="32"/>
        <v/>
      </c>
      <c r="BK944" t="str">
        <f t="shared" si="33"/>
        <v/>
      </c>
    </row>
    <row r="945" spans="62:63">
      <c r="BJ945" t="str">
        <f t="shared" si="32"/>
        <v/>
      </c>
      <c r="BK945" t="str">
        <f t="shared" si="33"/>
        <v/>
      </c>
    </row>
    <row r="946" spans="62:63">
      <c r="BJ946" t="str">
        <f t="shared" si="32"/>
        <v/>
      </c>
      <c r="BK946" t="str">
        <f t="shared" si="33"/>
        <v/>
      </c>
    </row>
    <row r="947" spans="62:63">
      <c r="BJ947" t="str">
        <f t="shared" si="32"/>
        <v/>
      </c>
      <c r="BK947" t="str">
        <f t="shared" si="33"/>
        <v/>
      </c>
    </row>
    <row r="948" spans="62:63">
      <c r="BJ948" t="str">
        <f t="shared" si="32"/>
        <v/>
      </c>
      <c r="BK948" t="str">
        <f t="shared" si="33"/>
        <v/>
      </c>
    </row>
    <row r="949" spans="62:63">
      <c r="BJ949" t="str">
        <f t="shared" si="32"/>
        <v/>
      </c>
      <c r="BK949" t="str">
        <f t="shared" si="33"/>
        <v/>
      </c>
    </row>
    <row r="950" spans="62:63">
      <c r="BJ950" t="str">
        <f t="shared" si="32"/>
        <v/>
      </c>
      <c r="BK950" t="str">
        <f t="shared" si="33"/>
        <v/>
      </c>
    </row>
    <row r="951" spans="62:63">
      <c r="BJ951" t="str">
        <f t="shared" si="32"/>
        <v/>
      </c>
      <c r="BK951" t="str">
        <f t="shared" si="33"/>
        <v/>
      </c>
    </row>
    <row r="952" spans="62:63">
      <c r="BJ952" t="str">
        <f t="shared" si="32"/>
        <v/>
      </c>
      <c r="BK952" t="str">
        <f t="shared" si="33"/>
        <v/>
      </c>
    </row>
    <row r="953" spans="62:63">
      <c r="BJ953" t="str">
        <f t="shared" si="32"/>
        <v/>
      </c>
      <c r="BK953" t="str">
        <f t="shared" si="33"/>
        <v/>
      </c>
    </row>
    <row r="954" spans="62:63">
      <c r="BJ954" t="str">
        <f t="shared" si="32"/>
        <v/>
      </c>
      <c r="BK954" t="str">
        <f t="shared" si="33"/>
        <v/>
      </c>
    </row>
    <row r="955" spans="62:63">
      <c r="BJ955" t="str">
        <f t="shared" si="32"/>
        <v/>
      </c>
      <c r="BK955" t="str">
        <f t="shared" si="33"/>
        <v/>
      </c>
    </row>
    <row r="956" spans="62:63">
      <c r="BJ956" t="str">
        <f t="shared" si="32"/>
        <v/>
      </c>
      <c r="BK956" t="str">
        <f t="shared" si="33"/>
        <v/>
      </c>
    </row>
    <row r="957" spans="62:63">
      <c r="BJ957" t="str">
        <f t="shared" si="32"/>
        <v/>
      </c>
      <c r="BK957" t="str">
        <f t="shared" si="33"/>
        <v/>
      </c>
    </row>
    <row r="958" spans="62:63">
      <c r="BJ958" t="str">
        <f t="shared" si="32"/>
        <v/>
      </c>
      <c r="BK958" t="str">
        <f t="shared" si="33"/>
        <v/>
      </c>
    </row>
    <row r="959" spans="62:63">
      <c r="BJ959" t="str">
        <f t="shared" si="32"/>
        <v/>
      </c>
      <c r="BK959" t="str">
        <f t="shared" si="33"/>
        <v/>
      </c>
    </row>
    <row r="960" spans="62:63">
      <c r="BJ960" t="str">
        <f t="shared" si="32"/>
        <v/>
      </c>
      <c r="BK960" t="str">
        <f t="shared" si="33"/>
        <v/>
      </c>
    </row>
    <row r="961" spans="62:63">
      <c r="BJ961" t="str">
        <f t="shared" si="32"/>
        <v/>
      </c>
      <c r="BK961" t="str">
        <f t="shared" si="33"/>
        <v/>
      </c>
    </row>
    <row r="962" spans="62:63">
      <c r="BJ962" t="str">
        <f t="shared" si="32"/>
        <v/>
      </c>
      <c r="BK962" t="str">
        <f t="shared" si="33"/>
        <v/>
      </c>
    </row>
    <row r="963" spans="62:63">
      <c r="BJ963" t="str">
        <f t="shared" si="32"/>
        <v/>
      </c>
      <c r="BK963" t="str">
        <f t="shared" si="33"/>
        <v/>
      </c>
    </row>
    <row r="964" spans="62:63">
      <c r="BJ964" t="str">
        <f t="shared" si="32"/>
        <v/>
      </c>
      <c r="BK964" t="str">
        <f t="shared" si="33"/>
        <v/>
      </c>
    </row>
    <row r="965" spans="62:63">
      <c r="BJ965" t="str">
        <f t="shared" si="32"/>
        <v/>
      </c>
      <c r="BK965" t="str">
        <f t="shared" si="33"/>
        <v/>
      </c>
    </row>
    <row r="966" spans="62:63">
      <c r="BJ966" t="str">
        <f t="shared" si="32"/>
        <v/>
      </c>
      <c r="BK966" t="str">
        <f t="shared" si="33"/>
        <v/>
      </c>
    </row>
    <row r="967" spans="62:63">
      <c r="BJ967" t="str">
        <f t="shared" si="32"/>
        <v/>
      </c>
      <c r="BK967" t="str">
        <f t="shared" si="33"/>
        <v/>
      </c>
    </row>
    <row r="968" spans="62:63">
      <c r="BJ968" t="str">
        <f t="shared" si="32"/>
        <v/>
      </c>
      <c r="BK968" t="str">
        <f t="shared" si="33"/>
        <v/>
      </c>
    </row>
    <row r="969" spans="62:63">
      <c r="BJ969" t="str">
        <f t="shared" si="32"/>
        <v/>
      </c>
      <c r="BK969" t="str">
        <f t="shared" si="33"/>
        <v/>
      </c>
    </row>
    <row r="970" spans="62:63">
      <c r="BJ970" t="str">
        <f t="shared" si="32"/>
        <v/>
      </c>
      <c r="BK970" t="str">
        <f t="shared" si="33"/>
        <v/>
      </c>
    </row>
    <row r="971" spans="62:63">
      <c r="BJ971" t="str">
        <f t="shared" si="32"/>
        <v/>
      </c>
      <c r="BK971" t="str">
        <f t="shared" si="33"/>
        <v/>
      </c>
    </row>
    <row r="972" spans="62:63">
      <c r="BJ972" t="str">
        <f t="shared" si="32"/>
        <v/>
      </c>
      <c r="BK972" t="str">
        <f t="shared" si="33"/>
        <v/>
      </c>
    </row>
    <row r="973" spans="62:63">
      <c r="BJ973" t="str">
        <f t="shared" si="32"/>
        <v/>
      </c>
      <c r="BK973" t="str">
        <f t="shared" si="33"/>
        <v/>
      </c>
    </row>
    <row r="974" spans="62:63">
      <c r="BJ974" t="str">
        <f t="shared" si="32"/>
        <v/>
      </c>
      <c r="BK974" t="str">
        <f t="shared" si="33"/>
        <v/>
      </c>
    </row>
    <row r="975" spans="62:63">
      <c r="BJ975" t="str">
        <f t="shared" si="32"/>
        <v/>
      </c>
      <c r="BK975" t="str">
        <f t="shared" si="33"/>
        <v/>
      </c>
    </row>
    <row r="976" spans="62:63">
      <c r="BJ976" t="str">
        <f t="shared" si="32"/>
        <v/>
      </c>
      <c r="BK976" t="str">
        <f t="shared" si="33"/>
        <v/>
      </c>
    </row>
    <row r="977" spans="62:63">
      <c r="BJ977" t="str">
        <f t="shared" si="32"/>
        <v/>
      </c>
      <c r="BK977" t="str">
        <f t="shared" si="33"/>
        <v/>
      </c>
    </row>
    <row r="978" spans="62:63">
      <c r="BJ978" t="str">
        <f t="shared" si="32"/>
        <v/>
      </c>
      <c r="BK978" t="str">
        <f t="shared" si="33"/>
        <v/>
      </c>
    </row>
    <row r="979" spans="62:63">
      <c r="BJ979" t="str">
        <f t="shared" si="32"/>
        <v/>
      </c>
      <c r="BK979" t="str">
        <f t="shared" si="33"/>
        <v/>
      </c>
    </row>
    <row r="980" spans="62:63">
      <c r="BJ980" t="str">
        <f t="shared" si="32"/>
        <v/>
      </c>
      <c r="BK980" t="str">
        <f t="shared" si="33"/>
        <v/>
      </c>
    </row>
    <row r="981" spans="62:63">
      <c r="BJ981" t="str">
        <f t="shared" si="32"/>
        <v/>
      </c>
      <c r="BK981" t="str">
        <f t="shared" si="33"/>
        <v/>
      </c>
    </row>
    <row r="982" spans="62:63">
      <c r="BJ982" t="str">
        <f t="shared" si="32"/>
        <v/>
      </c>
      <c r="BK982" t="str">
        <f t="shared" si="33"/>
        <v/>
      </c>
    </row>
    <row r="983" spans="62:63">
      <c r="BJ983" t="str">
        <f t="shared" si="32"/>
        <v/>
      </c>
      <c r="BK983" t="str">
        <f t="shared" si="33"/>
        <v/>
      </c>
    </row>
    <row r="984" spans="62:63">
      <c r="BJ984" t="str">
        <f t="shared" si="32"/>
        <v/>
      </c>
      <c r="BK984" t="str">
        <f t="shared" si="33"/>
        <v/>
      </c>
    </row>
    <row r="985" spans="62:63">
      <c r="BJ985" t="str">
        <f t="shared" si="32"/>
        <v/>
      </c>
      <c r="BK985" t="str">
        <f t="shared" si="33"/>
        <v/>
      </c>
    </row>
    <row r="986" spans="62:63">
      <c r="BJ986" t="str">
        <f t="shared" si="32"/>
        <v/>
      </c>
      <c r="BK986" t="str">
        <f t="shared" si="33"/>
        <v/>
      </c>
    </row>
    <row r="987" spans="62:63">
      <c r="BJ987" t="str">
        <f t="shared" si="32"/>
        <v/>
      </c>
      <c r="BK987" t="str">
        <f t="shared" si="33"/>
        <v/>
      </c>
    </row>
    <row r="988" spans="62:63">
      <c r="BJ988" t="str">
        <f t="shared" si="32"/>
        <v/>
      </c>
      <c r="BK988" t="str">
        <f t="shared" si="33"/>
        <v/>
      </c>
    </row>
    <row r="989" spans="62:63">
      <c r="BJ989" t="str">
        <f t="shared" si="32"/>
        <v/>
      </c>
      <c r="BK989" t="str">
        <f t="shared" si="33"/>
        <v/>
      </c>
    </row>
    <row r="990" spans="62:63">
      <c r="BJ990" t="str">
        <f t="shared" si="32"/>
        <v/>
      </c>
      <c r="BK990" t="str">
        <f t="shared" si="33"/>
        <v/>
      </c>
    </row>
    <row r="991" spans="62:63">
      <c r="BJ991" t="str">
        <f t="shared" si="32"/>
        <v/>
      </c>
      <c r="BK991" t="str">
        <f t="shared" si="33"/>
        <v/>
      </c>
    </row>
    <row r="992" spans="62:63">
      <c r="BJ992" t="str">
        <f t="shared" si="32"/>
        <v/>
      </c>
      <c r="BK992" t="str">
        <f t="shared" si="33"/>
        <v/>
      </c>
    </row>
    <row r="993" spans="62:63">
      <c r="BJ993" t="str">
        <f t="shared" si="32"/>
        <v/>
      </c>
      <c r="BK993" t="str">
        <f t="shared" si="33"/>
        <v/>
      </c>
    </row>
    <row r="994" spans="62:63">
      <c r="BJ994" t="str">
        <f t="shared" si="32"/>
        <v/>
      </c>
      <c r="BK994" t="str">
        <f t="shared" si="33"/>
        <v/>
      </c>
    </row>
    <row r="995" spans="62:63">
      <c r="BJ995" t="str">
        <f t="shared" si="32"/>
        <v/>
      </c>
      <c r="BK995" t="str">
        <f t="shared" si="33"/>
        <v/>
      </c>
    </row>
    <row r="996" spans="62:63">
      <c r="BJ996" t="str">
        <f t="shared" si="32"/>
        <v/>
      </c>
      <c r="BK996" t="str">
        <f t="shared" si="33"/>
        <v/>
      </c>
    </row>
    <row r="997" spans="62:63">
      <c r="BJ997" t="str">
        <f t="shared" ref="BJ997:BJ999" si="34">MID(C997,5,3)</f>
        <v/>
      </c>
      <c r="BK997" t="str">
        <f t="shared" ref="BK997:BK999" si="35">RIGHT(C997,3)</f>
        <v/>
      </c>
    </row>
    <row r="998" spans="62:63">
      <c r="BJ998" t="str">
        <f t="shared" si="34"/>
        <v/>
      </c>
      <c r="BK998" t="str">
        <f t="shared" si="35"/>
        <v/>
      </c>
    </row>
    <row r="999" spans="62:63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80"/>
  <sheetViews>
    <sheetView zoomScale="61" zoomScaleNormal="61" topLeftCell="C1" workbookViewId="0">
      <selection activeCell="N18" sqref="N18"/>
    </sheetView>
  </sheetViews>
  <sheetFormatPr defaultColWidth="9" defaultRowHeight="14.5"/>
  <cols>
    <col min="2" max="2" width="10.2727272727273" customWidth="1"/>
    <col min="3" max="3" width="16.6363636363636" customWidth="1"/>
    <col min="4" max="4" width="15.3636363636364" customWidth="1"/>
    <col min="5" max="6" width="5.81818181818182" customWidth="1"/>
    <col min="7" max="7" width="6.09090909090909" customWidth="1"/>
    <col min="8" max="8" width="8.81818181818182" customWidth="1"/>
    <col min="9" max="9" width="17.2727272727273" customWidth="1"/>
    <col min="10" max="10" width="8.09090909090909" customWidth="1"/>
    <col min="11" max="45" width="7.72727272727273" customWidth="1"/>
    <col min="46" max="46" width="8.27272727272727" customWidth="1"/>
    <col min="47" max="47" width="6" customWidth="1"/>
  </cols>
  <sheetData>
    <row r="1" spans="13:59">
      <c r="M1" t="s">
        <v>17</v>
      </c>
      <c r="N1" t="s">
        <v>7</v>
      </c>
      <c r="O1" t="s">
        <v>61</v>
      </c>
      <c r="P1" t="s">
        <v>62</v>
      </c>
      <c r="Q1" t="s">
        <v>32</v>
      </c>
      <c r="R1" t="s">
        <v>43</v>
      </c>
      <c r="S1" t="s">
        <v>63</v>
      </c>
      <c r="T1" t="s">
        <v>64</v>
      </c>
      <c r="U1" t="s">
        <v>26</v>
      </c>
      <c r="V1" t="s">
        <v>40</v>
      </c>
      <c r="W1" t="s">
        <v>65</v>
      </c>
      <c r="X1" t="s">
        <v>66</v>
      </c>
      <c r="Y1" t="s">
        <v>28</v>
      </c>
      <c r="Z1" t="s">
        <v>25</v>
      </c>
      <c r="AA1" t="s">
        <v>67</v>
      </c>
      <c r="AB1" t="s">
        <v>68</v>
      </c>
      <c r="AC1" t="s">
        <v>69</v>
      </c>
      <c r="AD1" t="s">
        <v>30</v>
      </c>
      <c r="AE1" t="s">
        <v>70</v>
      </c>
      <c r="AF1" t="s">
        <v>20</v>
      </c>
      <c r="AG1" t="s">
        <v>21</v>
      </c>
      <c r="AH1" t="s">
        <v>41</v>
      </c>
      <c r="AI1" t="s">
        <v>71</v>
      </c>
      <c r="AJ1" t="s">
        <v>72</v>
      </c>
      <c r="AK1" t="s">
        <v>14</v>
      </c>
      <c r="AL1" t="s">
        <v>73</v>
      </c>
      <c r="AM1" t="s">
        <v>74</v>
      </c>
      <c r="AN1" t="s">
        <v>75</v>
      </c>
      <c r="AO1" t="s">
        <v>27</v>
      </c>
      <c r="AP1" t="s">
        <v>37</v>
      </c>
      <c r="AQ1" t="s">
        <v>76</v>
      </c>
      <c r="AR1" t="s">
        <v>77</v>
      </c>
      <c r="AS1" t="s">
        <v>78</v>
      </c>
      <c r="AT1" t="s">
        <v>79</v>
      </c>
      <c r="AU1" t="s">
        <v>15</v>
      </c>
      <c r="AV1" t="s">
        <v>80</v>
      </c>
      <c r="AW1" t="s">
        <v>80</v>
      </c>
      <c r="AX1" t="s">
        <v>80</v>
      </c>
      <c r="AY1" t="s">
        <v>80</v>
      </c>
      <c r="AZ1" t="s">
        <v>80</v>
      </c>
      <c r="BA1" t="s">
        <v>80</v>
      </c>
      <c r="BB1" t="s">
        <v>80</v>
      </c>
      <c r="BC1" t="s">
        <v>80</v>
      </c>
      <c r="BD1" t="s">
        <v>80</v>
      </c>
      <c r="BE1" t="s">
        <v>80</v>
      </c>
      <c r="BF1" t="s">
        <v>80</v>
      </c>
      <c r="BG1" t="s">
        <v>81</v>
      </c>
    </row>
    <row r="2" spans="11:59">
      <c r="K2" s="3" t="s">
        <v>82</v>
      </c>
      <c r="L2" s="3" t="s">
        <v>83</v>
      </c>
      <c r="M2" s="4">
        <v>0</v>
      </c>
      <c r="N2" s="4">
        <v>0.00154668594043321</v>
      </c>
      <c r="O2" s="4">
        <v>0.00937422319222144</v>
      </c>
      <c r="P2" s="4">
        <v>0.0341636572578982</v>
      </c>
      <c r="Q2" s="4">
        <v>0.0353607186558534</v>
      </c>
      <c r="R2" s="4">
        <v>0.0543422220932431</v>
      </c>
      <c r="S2" s="4">
        <v>0.262701313368659</v>
      </c>
      <c r="T2" s="4">
        <v>0.0142888210067871</v>
      </c>
      <c r="U2" s="4">
        <v>0.00578692551396977</v>
      </c>
      <c r="V2" s="4">
        <v>0.0438686876708376</v>
      </c>
      <c r="W2" s="4">
        <v>0.0831104964538051</v>
      </c>
      <c r="X2" s="4">
        <v>0.0416509748769461</v>
      </c>
      <c r="Y2" s="4">
        <v>0.00931873881780423</v>
      </c>
      <c r="Z2" s="4">
        <v>0.0528749179403314</v>
      </c>
      <c r="AA2" s="4">
        <v>0.032251602082527</v>
      </c>
      <c r="AB2" s="4">
        <v>0.0274192904415345</v>
      </c>
      <c r="AC2" s="4">
        <v>0.0340245632867295</v>
      </c>
      <c r="AD2" s="4">
        <v>0.00390313490238861</v>
      </c>
      <c r="AE2" s="4">
        <v>0.0104994932971253</v>
      </c>
      <c r="AF2" s="4">
        <v>0.0310866753975418</v>
      </c>
      <c r="AG2" s="4">
        <v>0</v>
      </c>
      <c r="AH2" s="4">
        <v>0.0782243871274655</v>
      </c>
      <c r="AI2" s="4">
        <v>0.0639480555813204</v>
      </c>
      <c r="AJ2" s="4">
        <v>0.0403600231596315</v>
      </c>
      <c r="AK2" s="4">
        <v>0.0118148447044803</v>
      </c>
      <c r="AL2" s="4">
        <v>0</v>
      </c>
      <c r="AM2" s="4">
        <v>0</v>
      </c>
      <c r="AN2" s="4">
        <v>0</v>
      </c>
      <c r="AO2" s="4">
        <v>0.0213826315120774</v>
      </c>
      <c r="AP2" s="4">
        <v>0.0493251712308786</v>
      </c>
      <c r="AQ2" s="4">
        <v>0.0134070831833431</v>
      </c>
      <c r="AR2" s="4">
        <v>0.0224231668141415</v>
      </c>
      <c r="AS2" s="4">
        <v>0.0310737358837812</v>
      </c>
      <c r="AT2" s="4">
        <v>0.0478153452018106</v>
      </c>
      <c r="AU2" s="4">
        <v>0</v>
      </c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>
        <v>0.0442204303555906</v>
      </c>
    </row>
    <row r="3" spans="2:59">
      <c r="B3" t="s">
        <v>84</v>
      </c>
      <c r="K3" s="3"/>
      <c r="L3" s="3" t="s">
        <v>85</v>
      </c>
      <c r="M3" s="4">
        <v>0</v>
      </c>
      <c r="N3" s="4">
        <v>0</v>
      </c>
      <c r="O3" s="4">
        <v>6.39325021734687e-5</v>
      </c>
      <c r="P3" s="4">
        <v>0.0689133691308702</v>
      </c>
      <c r="Q3" s="4">
        <v>0.037794492670514</v>
      </c>
      <c r="R3" s="4">
        <v>0.0673618026810702</v>
      </c>
      <c r="S3" s="4">
        <v>0.453366100113129</v>
      </c>
      <c r="T3" s="4">
        <v>0.00976562008057987</v>
      </c>
      <c r="U3" s="4">
        <v>0.0529760327705428</v>
      </c>
      <c r="V3" s="4">
        <v>0.0647945028931237</v>
      </c>
      <c r="W3" s="4">
        <v>0.0821698118854082</v>
      </c>
      <c r="X3" s="4">
        <v>0.0569319293364532</v>
      </c>
      <c r="Y3" s="4">
        <v>0.063781720673862</v>
      </c>
      <c r="Z3" s="4">
        <v>0.0643218571721316</v>
      </c>
      <c r="AA3" s="4">
        <v>0.0842267544319646</v>
      </c>
      <c r="AB3" s="4">
        <v>0.000672624377589211</v>
      </c>
      <c r="AC3" s="4">
        <v>0.0549826953913666</v>
      </c>
      <c r="AD3" s="4">
        <v>0.0584518356760712</v>
      </c>
      <c r="AE3" s="4">
        <v>0.000568557356125225</v>
      </c>
      <c r="AF3" s="4">
        <v>0.0503697390552527</v>
      </c>
      <c r="AG3" s="4">
        <v>0</v>
      </c>
      <c r="AH3" s="4">
        <v>0.0324182053873617</v>
      </c>
      <c r="AI3" s="4">
        <v>0.197996530065871</v>
      </c>
      <c r="AJ3" s="4">
        <v>0.0591709061499185</v>
      </c>
      <c r="AK3" s="4">
        <v>0.0709933315950041</v>
      </c>
      <c r="AL3" s="4">
        <v>0.000102662723730354</v>
      </c>
      <c r="AM3" s="4">
        <v>0</v>
      </c>
      <c r="AN3" s="4">
        <v>0</v>
      </c>
      <c r="AO3" s="4">
        <v>0.0685029645717881</v>
      </c>
      <c r="AP3" s="4">
        <v>0.222242764065942</v>
      </c>
      <c r="AQ3" s="4">
        <v>0.0551178640310267</v>
      </c>
      <c r="AR3" s="4">
        <v>0.00581199953960751</v>
      </c>
      <c r="AS3" s="4">
        <v>0.05214825516063</v>
      </c>
      <c r="AT3" s="4">
        <v>0</v>
      </c>
      <c r="AU3" s="4">
        <v>0.026823157444209</v>
      </c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>
        <v>0.045617324142886</v>
      </c>
    </row>
    <row r="4" spans="2:7">
      <c r="B4" t="s">
        <v>4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</row>
    <row r="5" spans="2:11">
      <c r="B5" t="s">
        <v>91</v>
      </c>
      <c r="C5" t="s">
        <v>92</v>
      </c>
      <c r="E5">
        <v>2050</v>
      </c>
      <c r="F5">
        <v>0</v>
      </c>
      <c r="G5" t="s">
        <v>93</v>
      </c>
      <c r="K5" t="s">
        <v>94</v>
      </c>
    </row>
    <row r="6" spans="2:13">
      <c r="B6" t="s">
        <v>91</v>
      </c>
      <c r="C6" t="s">
        <v>95</v>
      </c>
      <c r="E6">
        <v>2050</v>
      </c>
      <c r="F6" t="s">
        <v>96</v>
      </c>
      <c r="G6" t="s">
        <v>93</v>
      </c>
      <c r="M6" s="5" t="s">
        <v>97</v>
      </c>
    </row>
    <row r="7" spans="2:7">
      <c r="B7" t="s">
        <v>91</v>
      </c>
      <c r="C7" t="s">
        <v>95</v>
      </c>
      <c r="E7">
        <v>2100</v>
      </c>
      <c r="F7">
        <v>0</v>
      </c>
      <c r="G7" t="s">
        <v>93</v>
      </c>
    </row>
    <row r="8" spans="9:60">
      <c r="I8" t="s">
        <v>98</v>
      </c>
      <c r="J8" t="s">
        <v>86</v>
      </c>
      <c r="K8" t="s">
        <v>99</v>
      </c>
      <c r="L8">
        <v>2018</v>
      </c>
      <c r="M8" t="str">
        <f>M1</f>
        <v>Africa_North</v>
      </c>
      <c r="N8" t="str">
        <f t="shared" ref="N8:AO8" si="0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ref="AP8:BF8" si="1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100</v>
      </c>
      <c r="BH8" t="s">
        <v>101</v>
      </c>
    </row>
    <row r="9" spans="9:60">
      <c r="I9" t="s">
        <v>102</v>
      </c>
      <c r="J9" t="s">
        <v>103</v>
      </c>
      <c r="K9" t="s">
        <v>104</v>
      </c>
      <c r="L9">
        <v>1</v>
      </c>
      <c r="BG9">
        <v>0</v>
      </c>
      <c r="BH9">
        <v>3</v>
      </c>
    </row>
    <row r="10" spans="10:58">
      <c r="J10" t="s">
        <v>103</v>
      </c>
      <c r="K10" t="s">
        <v>105</v>
      </c>
      <c r="M10" s="6">
        <f>IFERROR(-M2,"")</f>
        <v>0</v>
      </c>
      <c r="N10" s="6">
        <f t="shared" ref="N10:AO10" si="2">IFERROR(-N2,"")</f>
        <v>-0.00154668594043321</v>
      </c>
      <c r="O10" s="6">
        <f t="shared" si="2"/>
        <v>-0.00937422319222144</v>
      </c>
      <c r="P10" s="6">
        <f t="shared" si="2"/>
        <v>-0.0341636572578982</v>
      </c>
      <c r="Q10" s="6">
        <f t="shared" si="2"/>
        <v>-0.0353607186558534</v>
      </c>
      <c r="R10" s="6">
        <f t="shared" si="2"/>
        <v>-0.0543422220932431</v>
      </c>
      <c r="S10" s="6">
        <f t="shared" si="2"/>
        <v>-0.262701313368659</v>
      </c>
      <c r="T10" s="6">
        <f t="shared" si="2"/>
        <v>-0.0142888210067871</v>
      </c>
      <c r="U10" s="6">
        <f t="shared" si="2"/>
        <v>-0.00578692551396977</v>
      </c>
      <c r="V10" s="6">
        <f t="shared" si="2"/>
        <v>-0.0438686876708376</v>
      </c>
      <c r="W10" s="6">
        <f t="shared" si="2"/>
        <v>-0.0831104964538051</v>
      </c>
      <c r="X10" s="6">
        <f t="shared" si="2"/>
        <v>-0.0416509748769461</v>
      </c>
      <c r="Y10" s="6">
        <f t="shared" si="2"/>
        <v>-0.00931873881780423</v>
      </c>
      <c r="Z10" s="6">
        <f t="shared" si="2"/>
        <v>-0.0528749179403314</v>
      </c>
      <c r="AA10" s="6">
        <f t="shared" si="2"/>
        <v>-0.032251602082527</v>
      </c>
      <c r="AB10" s="6">
        <f t="shared" si="2"/>
        <v>-0.0274192904415345</v>
      </c>
      <c r="AC10" s="6">
        <f t="shared" si="2"/>
        <v>-0.0340245632867295</v>
      </c>
      <c r="AD10" s="6">
        <f t="shared" si="2"/>
        <v>-0.00390313490238861</v>
      </c>
      <c r="AE10" s="6">
        <f t="shared" si="2"/>
        <v>-0.0104994932971253</v>
      </c>
      <c r="AF10" s="6">
        <f t="shared" si="2"/>
        <v>-0.0310866753975418</v>
      </c>
      <c r="AG10" s="6">
        <f t="shared" si="2"/>
        <v>0</v>
      </c>
      <c r="AH10" s="6">
        <f t="shared" si="2"/>
        <v>-0.0782243871274655</v>
      </c>
      <c r="AI10" s="6">
        <f t="shared" si="2"/>
        <v>-0.0639480555813204</v>
      </c>
      <c r="AJ10" s="6">
        <f t="shared" si="2"/>
        <v>-0.0403600231596315</v>
      </c>
      <c r="AK10" s="6">
        <f t="shared" si="2"/>
        <v>-0.0118148447044803</v>
      </c>
      <c r="AL10" s="6">
        <f t="shared" si="2"/>
        <v>0</v>
      </c>
      <c r="AM10" s="6">
        <f t="shared" si="2"/>
        <v>0</v>
      </c>
      <c r="AN10" s="6">
        <f t="shared" si="2"/>
        <v>0</v>
      </c>
      <c r="AO10" s="6">
        <f t="shared" si="2"/>
        <v>-0.0213826315120774</v>
      </c>
      <c r="AP10" s="6">
        <f t="shared" ref="AP10:BF10" si="3">IFERROR(-AP2,"")</f>
        <v>-0.0493251712308786</v>
      </c>
      <c r="AQ10" s="6">
        <f t="shared" si="3"/>
        <v>-0.0134070831833431</v>
      </c>
      <c r="AR10" s="6">
        <f t="shared" si="3"/>
        <v>-0.0224231668141415</v>
      </c>
      <c r="AS10" s="6">
        <f t="shared" si="3"/>
        <v>-0.0310737358837812</v>
      </c>
      <c r="AT10" s="6">
        <f t="shared" si="3"/>
        <v>-0.0478153452018106</v>
      </c>
      <c r="AU10" s="6">
        <f t="shared" si="3"/>
        <v>0</v>
      </c>
      <c r="AV10" s="6">
        <f t="shared" si="3"/>
        <v>0</v>
      </c>
      <c r="AW10" s="6">
        <f t="shared" si="3"/>
        <v>0</v>
      </c>
      <c r="AX10" s="6">
        <f t="shared" si="3"/>
        <v>0</v>
      </c>
      <c r="AY10" s="6">
        <f t="shared" si="3"/>
        <v>0</v>
      </c>
      <c r="AZ10" s="6">
        <f t="shared" si="3"/>
        <v>0</v>
      </c>
      <c r="BA10" s="6">
        <f t="shared" si="3"/>
        <v>0</v>
      </c>
      <c r="BB10" s="6">
        <f t="shared" si="3"/>
        <v>0</v>
      </c>
      <c r="BC10" s="6">
        <f t="shared" si="3"/>
        <v>0</v>
      </c>
      <c r="BD10" s="6">
        <f t="shared" si="3"/>
        <v>0</v>
      </c>
      <c r="BE10" s="6">
        <f t="shared" si="3"/>
        <v>0</v>
      </c>
      <c r="BF10" s="6">
        <f t="shared" si="3"/>
        <v>0</v>
      </c>
    </row>
    <row r="11" spans="2:60">
      <c r="B11" t="s">
        <v>106</v>
      </c>
      <c r="I11" t="s">
        <v>107</v>
      </c>
      <c r="J11" t="s">
        <v>103</v>
      </c>
      <c r="K11" t="s">
        <v>108</v>
      </c>
      <c r="L11">
        <v>1</v>
      </c>
      <c r="BG11">
        <v>0</v>
      </c>
      <c r="BH11">
        <v>3</v>
      </c>
    </row>
    <row r="12" spans="10:58">
      <c r="J12" t="s">
        <v>103</v>
      </c>
      <c r="K12" t="s">
        <v>109</v>
      </c>
      <c r="M12" s="6">
        <f t="shared" ref="M12:BF12" si="4">IFERROR(-M3,"")</f>
        <v>0</v>
      </c>
      <c r="N12" s="6">
        <f t="shared" ref="N12:AO12" si="5">IFERROR(-N3,"")</f>
        <v>0</v>
      </c>
      <c r="O12" s="6">
        <f t="shared" si="5"/>
        <v>-6.39325021734687e-5</v>
      </c>
      <c r="P12" s="6">
        <f t="shared" si="5"/>
        <v>-0.0689133691308702</v>
      </c>
      <c r="Q12" s="6">
        <f t="shared" si="5"/>
        <v>-0.037794492670514</v>
      </c>
      <c r="R12" s="6">
        <f t="shared" si="5"/>
        <v>-0.0673618026810702</v>
      </c>
      <c r="S12" s="6">
        <f t="shared" si="5"/>
        <v>-0.453366100113129</v>
      </c>
      <c r="T12" s="6">
        <f t="shared" si="5"/>
        <v>-0.00976562008057987</v>
      </c>
      <c r="U12" s="6">
        <f t="shared" si="5"/>
        <v>-0.0529760327705428</v>
      </c>
      <c r="V12" s="6">
        <f t="shared" si="5"/>
        <v>-0.0647945028931237</v>
      </c>
      <c r="W12" s="6">
        <f t="shared" si="5"/>
        <v>-0.0821698118854082</v>
      </c>
      <c r="X12" s="6">
        <f t="shared" si="5"/>
        <v>-0.0569319293364532</v>
      </c>
      <c r="Y12" s="6">
        <f t="shared" si="5"/>
        <v>-0.063781720673862</v>
      </c>
      <c r="Z12" s="6">
        <f t="shared" si="5"/>
        <v>-0.0643218571721316</v>
      </c>
      <c r="AA12" s="6">
        <f t="shared" si="5"/>
        <v>-0.0842267544319646</v>
      </c>
      <c r="AB12" s="6">
        <f t="shared" si="5"/>
        <v>-0.000672624377589211</v>
      </c>
      <c r="AC12" s="6">
        <f t="shared" si="5"/>
        <v>-0.0549826953913666</v>
      </c>
      <c r="AD12" s="6">
        <f t="shared" si="5"/>
        <v>-0.0584518356760712</v>
      </c>
      <c r="AE12" s="6">
        <f t="shared" si="5"/>
        <v>-0.000568557356125225</v>
      </c>
      <c r="AF12" s="6">
        <f t="shared" si="5"/>
        <v>-0.0503697390552527</v>
      </c>
      <c r="AG12" s="6">
        <f t="shared" si="5"/>
        <v>0</v>
      </c>
      <c r="AH12" s="6">
        <f t="shared" si="5"/>
        <v>-0.0324182053873617</v>
      </c>
      <c r="AI12" s="6">
        <f t="shared" si="5"/>
        <v>-0.197996530065871</v>
      </c>
      <c r="AJ12" s="6">
        <f t="shared" si="5"/>
        <v>-0.0591709061499185</v>
      </c>
      <c r="AK12" s="6">
        <f t="shared" si="5"/>
        <v>-0.0709933315950041</v>
      </c>
      <c r="AL12" s="6">
        <f t="shared" si="5"/>
        <v>-0.000102662723730354</v>
      </c>
      <c r="AM12" s="6">
        <f t="shared" si="5"/>
        <v>0</v>
      </c>
      <c r="AN12" s="6">
        <f t="shared" si="5"/>
        <v>0</v>
      </c>
      <c r="AO12" s="6">
        <f t="shared" si="5"/>
        <v>-0.0685029645717881</v>
      </c>
      <c r="AP12" s="6">
        <f t="shared" si="4"/>
        <v>-0.222242764065942</v>
      </c>
      <c r="AQ12" s="6">
        <f t="shared" si="4"/>
        <v>-0.0551178640310267</v>
      </c>
      <c r="AR12" s="6">
        <f t="shared" si="4"/>
        <v>-0.00581199953960751</v>
      </c>
      <c r="AS12" s="6">
        <f t="shared" si="4"/>
        <v>-0.05214825516063</v>
      </c>
      <c r="AT12" s="6">
        <f t="shared" si="4"/>
        <v>0</v>
      </c>
      <c r="AU12" s="6">
        <f t="shared" si="4"/>
        <v>-0.026823157444209</v>
      </c>
      <c r="AV12" s="6">
        <f t="shared" si="4"/>
        <v>0</v>
      </c>
      <c r="AW12" s="6">
        <f t="shared" si="4"/>
        <v>0</v>
      </c>
      <c r="AX12" s="6">
        <f t="shared" si="4"/>
        <v>0</v>
      </c>
      <c r="AY12" s="6">
        <f t="shared" si="4"/>
        <v>0</v>
      </c>
      <c r="AZ12" s="6">
        <f t="shared" si="4"/>
        <v>0</v>
      </c>
      <c r="BA12" s="6">
        <f t="shared" si="4"/>
        <v>0</v>
      </c>
      <c r="BB12" s="6">
        <f t="shared" si="4"/>
        <v>0</v>
      </c>
      <c r="BC12" s="6">
        <f t="shared" si="4"/>
        <v>0</v>
      </c>
      <c r="BD12" s="6">
        <f t="shared" si="4"/>
        <v>0</v>
      </c>
      <c r="BE12" s="6">
        <f t="shared" si="4"/>
        <v>0</v>
      </c>
      <c r="BF12" s="6">
        <f t="shared" si="4"/>
        <v>0</v>
      </c>
    </row>
    <row r="18" spans="13:58"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</row>
    <row r="20" spans="13:58"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</row>
    <row r="26" spans="11:11">
      <c r="K26" t="s">
        <v>110</v>
      </c>
    </row>
    <row r="27" spans="11:14">
      <c r="K27" t="s">
        <v>111</v>
      </c>
      <c r="L27" t="s">
        <v>112</v>
      </c>
      <c r="M27" t="s">
        <v>113</v>
      </c>
      <c r="N27" t="s">
        <v>114</v>
      </c>
    </row>
    <row r="28" spans="2:14">
      <c r="B28" t="s">
        <v>115</v>
      </c>
      <c r="L28" t="s">
        <v>116</v>
      </c>
      <c r="M28" t="s">
        <v>117</v>
      </c>
      <c r="N28" t="s">
        <v>118</v>
      </c>
    </row>
    <row r="29" spans="2:5">
      <c r="B29" t="s">
        <v>4</v>
      </c>
      <c r="C29" t="s">
        <v>119</v>
      </c>
      <c r="D29" t="s">
        <v>113</v>
      </c>
      <c r="E29" t="s">
        <v>89</v>
      </c>
    </row>
    <row r="30" spans="2:5">
      <c r="B30" t="s">
        <v>120</v>
      </c>
      <c r="C30" t="s">
        <v>121</v>
      </c>
      <c r="D30" t="s">
        <v>103</v>
      </c>
      <c r="E30">
        <v>2150</v>
      </c>
    </row>
    <row r="33" spans="2:53">
      <c r="B33" t="s">
        <v>59</v>
      </c>
      <c r="C33" t="s">
        <v>60</v>
      </c>
      <c r="D33" t="str">
        <f>IF(BY_TRA!L1="","\I:",BY_TRA!L1)</f>
        <v>valfield</v>
      </c>
      <c r="E33" t="str">
        <f>IF(BY_TRA!M1="","\I:",BY_TRA!M1)</f>
        <v>\I:</v>
      </c>
      <c r="F33" t="str">
        <f>IF(BY_TRA!N1="","\I:",BY_TRA!N1)</f>
        <v>\I:</v>
      </c>
      <c r="G33" t="str">
        <f>IF(BY_TRA!O1="","\I:",BY_TRA!O1)</f>
        <v>\I:</v>
      </c>
      <c r="H33" t="str">
        <f>IF(BY_TRA!P1="","\I:",BY_TRA!P1)</f>
        <v>\I:</v>
      </c>
      <c r="I33" t="str">
        <f>IF(BY_TRA!Q1="","\I:",BY_TRA!Q1)</f>
        <v>\I:</v>
      </c>
      <c r="J33" t="str">
        <f>IF(BY_TRA!R1="","\I:",BY_TRA!R1)</f>
        <v>\I:</v>
      </c>
      <c r="K33" t="str">
        <f>IF(BY_TRA!S1="","\I:",BY_TRA!S1)</f>
        <v>\I:</v>
      </c>
      <c r="L33" t="str">
        <f>IF(BY_TRA!T1="","\I:",BY_TRA!T1)</f>
        <v>\I:</v>
      </c>
      <c r="M33" t="str">
        <f>IF(BY_TRA!U1="","\I:",BY_TRA!U1)</f>
        <v>\I:</v>
      </c>
      <c r="N33" t="str">
        <f>IF(BY_TRA!V1="","\I:",BY_TRA!V1)</f>
        <v>\I:</v>
      </c>
      <c r="O33" t="str">
        <f>IF(BY_TRA!W1="","\I:",BY_TRA!W1)</f>
        <v>\I:</v>
      </c>
      <c r="P33" t="str">
        <f>IF(BY_TRA!X1="","\I:",BY_TRA!X1)</f>
        <v>\I:</v>
      </c>
      <c r="Q33" t="str">
        <f>IF(BY_TRA!Y1="","\I:",BY_TRA!Y1)</f>
        <v>\I:</v>
      </c>
      <c r="R33" t="str">
        <f>IF(BY_TRA!Z1="","\I:",BY_TRA!Z1)</f>
        <v>\I:</v>
      </c>
      <c r="S33" t="str">
        <f>IF(BY_TRA!AA1="","\I:",BY_TRA!AA1)</f>
        <v>\I:</v>
      </c>
      <c r="T33" t="str">
        <f>IF(BY_TRA!AB1="","\I:",BY_TRA!AB1)</f>
        <v>\I:</v>
      </c>
      <c r="U33" t="str">
        <f>IF(BY_TRA!AC1="","\I:",BY_TRA!AC1)</f>
        <v>\I:</v>
      </c>
      <c r="V33" t="str">
        <f>IF(BY_TRA!AD1="","\I:",BY_TRA!AD1)</f>
        <v>\I:</v>
      </c>
      <c r="W33" t="str">
        <f>IF(BY_TRA!AE1="","\I:",BY_TRA!AE1)</f>
        <v>\I:</v>
      </c>
      <c r="X33" t="str">
        <f>IF(BY_TRA!AF1="","\I:",BY_TRA!AF1)</f>
        <v>\I:</v>
      </c>
      <c r="Y33" t="str">
        <f>IF(BY_TRA!AG1="","\I:",BY_TRA!AG1)</f>
        <v>\I:</v>
      </c>
      <c r="Z33" t="str">
        <f>IF(BY_TRA!AH1="","\I:",BY_TRA!AH1)</f>
        <v>\I:</v>
      </c>
      <c r="AA33" t="str">
        <f>IF(BY_TRA!AI1="","\I:",BY_TRA!AI1)</f>
        <v>\I:</v>
      </c>
      <c r="AB33" t="str">
        <f>IF(BY_TRA!AJ1="","\I:",BY_TRA!AJ1)</f>
        <v>\I:</v>
      </c>
      <c r="AC33" t="str">
        <f>IF(BY_TRA!AK1="","\I:",BY_TRA!AK1)</f>
        <v>\I:</v>
      </c>
      <c r="AD33" t="str">
        <f>IF(BY_TRA!AL1="","\I:",BY_TRA!AL1)</f>
        <v>\I:</v>
      </c>
      <c r="AE33" t="str">
        <f>IF(BY_TRA!AM1="","\I:",BY_TRA!AM1)</f>
        <v>\I:</v>
      </c>
      <c r="AF33" t="str">
        <f>IF(BY_TRA!AN1="","\I:",BY_TRA!AN1)</f>
        <v>\I:</v>
      </c>
      <c r="AG33" t="str">
        <f>IF(BY_TRA!AO1="","\I:",BY_TRA!AO1)</f>
        <v>\I:</v>
      </c>
      <c r="AH33" t="str">
        <f>IF(BY_TRA!AP1="","\I:",BY_TRA!AP1)</f>
        <v>\I:</v>
      </c>
      <c r="AI33" t="str">
        <f>IF(BY_TRA!AQ1="","\I:",BY_TRA!AQ1)</f>
        <v>\I:</v>
      </c>
      <c r="AJ33" t="str">
        <f>IF(BY_TRA!AR1="","\I:",BY_TRA!AR1)</f>
        <v>\I:</v>
      </c>
      <c r="AK33" t="str">
        <f>IF(BY_TRA!AS1="","\I:",BY_TRA!AS1)</f>
        <v>\I:</v>
      </c>
      <c r="AL33" t="str">
        <f>IF(BY_TRA!AT1="","\I:",BY_TRA!AT1)</f>
        <v>\I:</v>
      </c>
      <c r="AM33" t="str">
        <f>IF(BY_TRA!AU1="","\I:",BY_TRA!AU1)</f>
        <v>\I:</v>
      </c>
      <c r="AN33" t="str">
        <f>IF(BY_TRA!AV1="","\I:",BY_TRA!AV1)</f>
        <v>\I:</v>
      </c>
      <c r="AO33" t="str">
        <f>IF(BY_TRA!AW1="","\I:",BY_TRA!AW1)</f>
        <v>\I:</v>
      </c>
      <c r="AP33" t="str">
        <f>IF(BY_TRA!AX1="","\I:",BY_TRA!AX1)</f>
        <v>\I:</v>
      </c>
      <c r="AQ33" t="str">
        <f>IF(BY_TRA!AY1="","\I:",BY_TRA!AY1)</f>
        <v>\I:</v>
      </c>
      <c r="AR33" t="str">
        <f>IF(BY_TRA!AZ1="","\I:",BY_TRA!AZ1)</f>
        <v>\I:</v>
      </c>
      <c r="AS33" t="str">
        <f>IF(BY_TRA!BA1="","\I:",BY_TRA!BA1)</f>
        <v>\I:</v>
      </c>
      <c r="AT33" t="str">
        <f>IF(BY_TRA!BB1="","\I:",BY_TRA!BB1)</f>
        <v>\I:</v>
      </c>
      <c r="AU33" t="str">
        <f>IF(BY_TRA!BC1="","\I:",BY_TRA!BC1)</f>
        <v>\I:</v>
      </c>
      <c r="AV33" t="str">
        <f>IF(BY_TRA!BD1="","\I:",BY_TRA!BD1)</f>
        <v>\I:</v>
      </c>
      <c r="AW33" t="str">
        <f>IF(BY_TRA!BE1="","\I:",BY_TRA!BE1)</f>
        <v>\I:</v>
      </c>
      <c r="AX33" t="str">
        <f>IF(BY_TRA!BF1="","\I:",BY_TRA!BF1)</f>
        <v>\I:</v>
      </c>
      <c r="AY33" t="str">
        <f>IF(BY_TRA!BG1="","\I:",BY_TRA!BG1)</f>
        <v>\I:</v>
      </c>
      <c r="AZ33" t="str">
        <f>IF(BY_TRA!BH1="","\I:",BY_TRA!BH1)</f>
        <v>\I:</v>
      </c>
      <c r="BA33" t="str">
        <f>IF(BY_TRA!BI1="","\I:",BY_TRA!BI1)</f>
        <v>\I:</v>
      </c>
    </row>
    <row r="34" spans="2:51">
      <c r="B34" t="s">
        <v>122</v>
      </c>
      <c r="C34" t="s">
        <v>123</v>
      </c>
      <c r="D34" s="1">
        <f>IFERROR(SUMIFS(BY_TRA!L$2:L$999,BY_TRA!$BJ$2:$BJ$999,Transport!$B34,BY_TRA!$BK$2:$BK$999,Transport!$C34)/SUMIFS(BY_TRA!L$2:L$999,BY_TRA!$BJ$2:$BJ$999,Transport!$B34),0)</f>
        <v>0</v>
      </c>
      <c r="E34" s="1">
        <f>IFERROR(SUMIFS(BY_TRA!M$2:M$999,BY_TRA!$BJ$2:$BJ$999,Transport!$B34,BY_TRA!$BK$2:$BK$999,Transport!$C34)/SUMIFS(BY_TRA!M$2:M$999,BY_TRA!$BJ$2:$BJ$999,Transport!$B34),0)</f>
        <v>0</v>
      </c>
      <c r="F34" s="1">
        <f>IFERROR(SUMIFS(BY_TRA!N$2:N$999,BY_TRA!$BJ$2:$BJ$999,Transport!$B34,BY_TRA!$BK$2:$BK$999,Transport!$C34)/SUMIFS(BY_TRA!N$2:N$999,BY_TRA!$BJ$2:$BJ$999,Transport!$B34),0)</f>
        <v>0</v>
      </c>
      <c r="G34" s="1">
        <f>IFERROR(SUMIFS(BY_TRA!O$2:O$999,BY_TRA!$BJ$2:$BJ$999,Transport!$B34,BY_TRA!$BK$2:$BK$999,Transport!$C34)/SUMIFS(BY_TRA!O$2:O$999,BY_TRA!$BJ$2:$BJ$999,Transport!$B34),0)</f>
        <v>0</v>
      </c>
      <c r="H34" s="1">
        <f>IFERROR(SUMIFS(BY_TRA!P$2:P$999,BY_TRA!$BJ$2:$BJ$999,Transport!$B34,BY_TRA!$BK$2:$BK$999,Transport!$C34)/SUMIFS(BY_TRA!P$2:P$999,BY_TRA!$BJ$2:$BJ$999,Transport!$B34),0)</f>
        <v>0</v>
      </c>
      <c r="I34" s="1">
        <f>IFERROR(SUMIFS(BY_TRA!Q$2:Q$999,BY_TRA!$BJ$2:$BJ$999,Transport!$B34,BY_TRA!$BK$2:$BK$999,Transport!$C34)/SUMIFS(BY_TRA!Q$2:Q$999,BY_TRA!$BJ$2:$BJ$999,Transport!$B34),0)</f>
        <v>0</v>
      </c>
      <c r="J34" s="1">
        <f>IFERROR(SUMIFS(BY_TRA!R$2:R$999,BY_TRA!$BJ$2:$BJ$999,Transport!$B34,BY_TRA!$BK$2:$BK$999,Transport!$C34)/SUMIFS(BY_TRA!R$2:R$999,BY_TRA!$BJ$2:$BJ$999,Transport!$B34),0)</f>
        <v>0</v>
      </c>
      <c r="K34" s="1">
        <f>IFERROR(SUMIFS(BY_TRA!S$2:S$999,BY_TRA!$BJ$2:$BJ$999,Transport!$B34,BY_TRA!$BK$2:$BK$999,Transport!$C34)/SUMIFS(BY_TRA!S$2:S$999,BY_TRA!$BJ$2:$BJ$999,Transport!$B34),0)</f>
        <v>0</v>
      </c>
      <c r="L34" s="1">
        <f>IFERROR(SUMIFS(BY_TRA!T$2:T$999,BY_TRA!$BJ$2:$BJ$999,Transport!$B34,BY_TRA!$BK$2:$BK$999,Transport!$C34)/SUMIFS(BY_TRA!T$2:T$999,BY_TRA!$BJ$2:$BJ$999,Transport!$B34),0)</f>
        <v>0</v>
      </c>
      <c r="M34" s="1">
        <f>IFERROR(SUMIFS(BY_TRA!U$2:U$999,BY_TRA!$BJ$2:$BJ$999,Transport!$B34,BY_TRA!$BK$2:$BK$999,Transport!$C34)/SUMIFS(BY_TRA!U$2:U$999,BY_TRA!$BJ$2:$BJ$999,Transport!$B34),0)</f>
        <v>0</v>
      </c>
      <c r="N34" s="1">
        <f>IFERROR(SUMIFS(BY_TRA!V$2:V$999,BY_TRA!$BJ$2:$BJ$999,Transport!$B34,BY_TRA!$BK$2:$BK$999,Transport!$C34)/SUMIFS(BY_TRA!V$2:V$999,BY_TRA!$BJ$2:$BJ$999,Transport!$B34),0)</f>
        <v>0</v>
      </c>
      <c r="O34" s="1">
        <f>IFERROR(SUMIFS(BY_TRA!W$2:W$999,BY_TRA!$BJ$2:$BJ$999,Transport!$B34,BY_TRA!$BK$2:$BK$999,Transport!$C34)/SUMIFS(BY_TRA!W$2:W$999,BY_TRA!$BJ$2:$BJ$999,Transport!$B34),0)</f>
        <v>0</v>
      </c>
      <c r="P34" s="1">
        <f>IFERROR(SUMIFS(BY_TRA!X$2:X$999,BY_TRA!$BJ$2:$BJ$999,Transport!$B34,BY_TRA!$BK$2:$BK$999,Transport!$C34)/SUMIFS(BY_TRA!X$2:X$999,BY_TRA!$BJ$2:$BJ$999,Transport!$B34),0)</f>
        <v>0</v>
      </c>
      <c r="Q34" s="1">
        <f>IFERROR(SUMIFS(BY_TRA!Y$2:Y$999,BY_TRA!$BJ$2:$BJ$999,Transport!$B34,BY_TRA!$BK$2:$BK$999,Transport!$C34)/SUMIFS(BY_TRA!Y$2:Y$999,BY_TRA!$BJ$2:$BJ$999,Transport!$B34),0)</f>
        <v>0</v>
      </c>
      <c r="R34" s="1">
        <f>IFERROR(SUMIFS(BY_TRA!Z$2:Z$999,BY_TRA!$BJ$2:$BJ$999,Transport!$B34,BY_TRA!$BK$2:$BK$999,Transport!$C34)/SUMIFS(BY_TRA!Z$2:Z$999,BY_TRA!$BJ$2:$BJ$999,Transport!$B34),0)</f>
        <v>0</v>
      </c>
      <c r="S34" s="1">
        <f>IFERROR(SUMIFS(BY_TRA!AA$2:AA$999,BY_TRA!$BJ$2:$BJ$999,Transport!$B34,BY_TRA!$BK$2:$BK$999,Transport!$C34)/SUMIFS(BY_TRA!AA$2:AA$999,BY_TRA!$BJ$2:$BJ$999,Transport!$B34),0)</f>
        <v>0</v>
      </c>
      <c r="T34" s="1">
        <f>IFERROR(SUMIFS(BY_TRA!AB$2:AB$999,BY_TRA!$BJ$2:$BJ$999,Transport!$B34,BY_TRA!$BK$2:$BK$999,Transport!$C34)/SUMIFS(BY_TRA!AB$2:AB$999,BY_TRA!$BJ$2:$BJ$999,Transport!$B34),0)</f>
        <v>0</v>
      </c>
      <c r="U34" s="1">
        <f>IFERROR(SUMIFS(BY_TRA!AC$2:AC$999,BY_TRA!$BJ$2:$BJ$999,Transport!$B34,BY_TRA!$BK$2:$BK$999,Transport!$C34)/SUMIFS(BY_TRA!AC$2:AC$999,BY_TRA!$BJ$2:$BJ$999,Transport!$B34),0)</f>
        <v>0</v>
      </c>
      <c r="V34" s="1">
        <f>IFERROR(SUMIFS(BY_TRA!AD$2:AD$999,BY_TRA!$BJ$2:$BJ$999,Transport!$B34,BY_TRA!$BK$2:$BK$999,Transport!$C34)/SUMIFS(BY_TRA!AD$2:AD$999,BY_TRA!$BJ$2:$BJ$999,Transport!$B34),0)</f>
        <v>0</v>
      </c>
      <c r="W34" s="1">
        <f>IFERROR(SUMIFS(BY_TRA!AE$2:AE$999,BY_TRA!$BJ$2:$BJ$999,Transport!$B34,BY_TRA!$BK$2:$BK$999,Transport!$C34)/SUMIFS(BY_TRA!AE$2:AE$999,BY_TRA!$BJ$2:$BJ$999,Transport!$B34),0)</f>
        <v>0</v>
      </c>
      <c r="X34" s="1">
        <f>IFERROR(SUMIFS(BY_TRA!AF$2:AF$999,BY_TRA!$BJ$2:$BJ$999,Transport!$B34,BY_TRA!$BK$2:$BK$999,Transport!$C34)/SUMIFS(BY_TRA!AF$2:AF$999,BY_TRA!$BJ$2:$BJ$999,Transport!$B34),0)</f>
        <v>0</v>
      </c>
      <c r="Y34" s="1">
        <f>IFERROR(SUMIFS(BY_TRA!AG$2:AG$999,BY_TRA!$BJ$2:$BJ$999,Transport!$B34,BY_TRA!$BK$2:$BK$999,Transport!$C34)/SUMIFS(BY_TRA!AG$2:AG$999,BY_TRA!$BJ$2:$BJ$999,Transport!$B34),0)</f>
        <v>0</v>
      </c>
      <c r="Z34" s="1">
        <f>IFERROR(SUMIFS(BY_TRA!AH$2:AH$999,BY_TRA!$BJ$2:$BJ$999,Transport!$B34,BY_TRA!$BK$2:$BK$999,Transport!$C34)/SUMIFS(BY_TRA!AH$2:AH$999,BY_TRA!$BJ$2:$BJ$999,Transport!$B34),0)</f>
        <v>0</v>
      </c>
      <c r="AA34" s="1">
        <f>IFERROR(SUMIFS(BY_TRA!AI$2:AI$999,BY_TRA!$BJ$2:$BJ$999,Transport!$B34,BY_TRA!$BK$2:$BK$999,Transport!$C34)/SUMIFS(BY_TRA!AI$2:AI$999,BY_TRA!$BJ$2:$BJ$999,Transport!$B34),0)</f>
        <v>0</v>
      </c>
      <c r="AB34" s="1">
        <f>IFERROR(SUMIFS(BY_TRA!AJ$2:AJ$999,BY_TRA!$BJ$2:$BJ$999,Transport!$B34,BY_TRA!$BK$2:$BK$999,Transport!$C34)/SUMIFS(BY_TRA!AJ$2:AJ$999,BY_TRA!$BJ$2:$BJ$999,Transport!$B34),0)</f>
        <v>0</v>
      </c>
      <c r="AC34" s="1">
        <f>IFERROR(SUMIFS(BY_TRA!AK$2:AK$999,BY_TRA!$BJ$2:$BJ$999,Transport!$B34,BY_TRA!$BK$2:$BK$999,Transport!$C34)/SUMIFS(BY_TRA!AK$2:AK$999,BY_TRA!$BJ$2:$BJ$999,Transport!$B34),0)</f>
        <v>0</v>
      </c>
      <c r="AD34" s="1">
        <f>IFERROR(SUMIFS(BY_TRA!AL$2:AL$999,BY_TRA!$BJ$2:$BJ$999,Transport!$B34,BY_TRA!$BK$2:$BK$999,Transport!$C34)/SUMIFS(BY_TRA!AL$2:AL$999,BY_TRA!$BJ$2:$BJ$999,Transport!$B34),0)</f>
        <v>0</v>
      </c>
      <c r="AE34" s="1">
        <f>IFERROR(SUMIFS(BY_TRA!AM$2:AM$999,BY_TRA!$BJ$2:$BJ$999,Transport!$B34,BY_TRA!$BK$2:$BK$999,Transport!$C34)/SUMIFS(BY_TRA!AM$2:AM$999,BY_TRA!$BJ$2:$BJ$999,Transport!$B34),0)</f>
        <v>0</v>
      </c>
      <c r="AF34" s="1">
        <f>IFERROR(SUMIFS(BY_TRA!AN$2:AN$999,BY_TRA!$BJ$2:$BJ$999,Transport!$B34,BY_TRA!$BK$2:$BK$999,Transport!$C34)/SUMIFS(BY_TRA!AN$2:AN$999,BY_TRA!$BJ$2:$BJ$999,Transport!$B34),0)</f>
        <v>0</v>
      </c>
      <c r="AG34" s="1">
        <f>IFERROR(SUMIFS(BY_TRA!AO$2:AO$999,BY_TRA!$BJ$2:$BJ$999,Transport!$B34,BY_TRA!$BK$2:$BK$999,Transport!$C34)/SUMIFS(BY_TRA!AO$2:AO$999,BY_TRA!$BJ$2:$BJ$999,Transport!$B34),0)</f>
        <v>0</v>
      </c>
      <c r="AH34" s="1">
        <f>IFERROR(SUMIFS(BY_TRA!AP$2:AP$999,BY_TRA!$BJ$2:$BJ$999,Transport!$B34,BY_TRA!$BK$2:$BK$999,Transport!$C34)/SUMIFS(BY_TRA!AP$2:AP$999,BY_TRA!$BJ$2:$BJ$999,Transport!$B34),0)</f>
        <v>0</v>
      </c>
      <c r="AI34" s="1">
        <f>IFERROR(SUMIFS(BY_TRA!AQ$2:AQ$999,BY_TRA!$BJ$2:$BJ$999,Transport!$B34,BY_TRA!$BK$2:$BK$999,Transport!$C34)/SUMIFS(BY_TRA!AQ$2:AQ$999,BY_TRA!$BJ$2:$BJ$999,Transport!$B34),0)</f>
        <v>0</v>
      </c>
      <c r="AJ34" s="1">
        <f>IFERROR(SUMIFS(BY_TRA!AR$2:AR$999,BY_TRA!$BJ$2:$BJ$999,Transport!$B34,BY_TRA!$BK$2:$BK$999,Transport!$C34)/SUMIFS(BY_TRA!AR$2:AR$999,BY_TRA!$BJ$2:$BJ$999,Transport!$B34),0)</f>
        <v>0</v>
      </c>
      <c r="AK34" s="1">
        <f>IFERROR(SUMIFS(BY_TRA!AS$2:AS$999,BY_TRA!$BJ$2:$BJ$999,Transport!$B34,BY_TRA!$BK$2:$BK$999,Transport!$C34)/SUMIFS(BY_TRA!AS$2:AS$999,BY_TRA!$BJ$2:$BJ$999,Transport!$B34),0)</f>
        <v>0</v>
      </c>
      <c r="AL34" s="1">
        <f>IFERROR(SUMIFS(BY_TRA!AT$2:AT$999,BY_TRA!$BJ$2:$BJ$999,Transport!$B34,BY_TRA!$BK$2:$BK$999,Transport!$C34)/SUMIFS(BY_TRA!AT$2:AT$999,BY_TRA!$BJ$2:$BJ$999,Transport!$B34),0)</f>
        <v>0</v>
      </c>
      <c r="AM34" s="1">
        <f>IFERROR(SUMIFS(BY_TRA!AU$2:AU$999,BY_TRA!$BJ$2:$BJ$999,Transport!$B34,BY_TRA!$BK$2:$BK$999,Transport!$C34)/SUMIFS(BY_TRA!AU$2:AU$999,BY_TRA!$BJ$2:$BJ$999,Transport!$B34),0)</f>
        <v>0</v>
      </c>
      <c r="AN34" s="1">
        <f>IFERROR(SUMIFS(BY_TRA!AV$2:AV$999,BY_TRA!$BJ$2:$BJ$999,Transport!$B34,BY_TRA!$BK$2:$BK$999,Transport!$C34)/SUMIFS(BY_TRA!AV$2:AV$999,BY_TRA!$BJ$2:$BJ$999,Transport!$B34),0)</f>
        <v>0</v>
      </c>
      <c r="AO34" s="1">
        <f>IFERROR(SUMIFS(BY_TRA!AW$2:AW$999,BY_TRA!$BJ$2:$BJ$999,Transport!$B34,BY_TRA!$BK$2:$BK$999,Transport!$C34)/SUMIFS(BY_TRA!AW$2:AW$999,BY_TRA!$BJ$2:$BJ$999,Transport!$B34),0)</f>
        <v>0</v>
      </c>
      <c r="AP34" s="1">
        <f>IFERROR(SUMIFS(BY_TRA!AX$2:AX$999,BY_TRA!$BJ$2:$BJ$999,Transport!$B34,BY_TRA!$BK$2:$BK$999,Transport!$C34)/SUMIFS(BY_TRA!AX$2:AX$999,BY_TRA!$BJ$2:$BJ$999,Transport!$B34),0)</f>
        <v>0</v>
      </c>
      <c r="AQ34" s="1">
        <f>IFERROR(SUMIFS(BY_TRA!AY$2:AY$999,BY_TRA!$BJ$2:$BJ$999,Transport!$B34,BY_TRA!$BK$2:$BK$999,Transport!$C34)/SUMIFS(BY_TRA!AY$2:AY$999,BY_TRA!$BJ$2:$BJ$999,Transport!$B34),0)</f>
        <v>0</v>
      </c>
      <c r="AR34" s="1">
        <f>IFERROR(SUMIFS(BY_TRA!AZ$2:AZ$999,BY_TRA!$BJ$2:$BJ$999,Transport!$B34,BY_TRA!$BK$2:$BK$999,Transport!$C34)/SUMIFS(BY_TRA!AZ$2:AZ$999,BY_TRA!$BJ$2:$BJ$999,Transport!$B34),0)</f>
        <v>0</v>
      </c>
      <c r="AS34" s="1">
        <f>IFERROR(SUMIFS(BY_TRA!BA$2:BA$999,BY_TRA!$BJ$2:$BJ$999,Transport!$B34,BY_TRA!$BK$2:$BK$999,Transport!$C34)/SUMIFS(BY_TRA!BA$2:BA$999,BY_TRA!$BJ$2:$BJ$999,Transport!$B34),0)</f>
        <v>0</v>
      </c>
      <c r="AT34" s="1">
        <f>IFERROR(SUMIFS(BY_TRA!BB$2:BB$999,BY_TRA!$BJ$2:$BJ$999,Transport!$B34,BY_TRA!$BK$2:$BK$999,Transport!$C34)/SUMIFS(BY_TRA!BB$2:BB$999,BY_TRA!$BJ$2:$BJ$999,Transport!$B34),0)</f>
        <v>0</v>
      </c>
      <c r="AU34" s="1">
        <f>IFERROR(SUMIFS(BY_TRA!BC$2:BC$999,BY_TRA!$BJ$2:$BJ$999,Transport!$B34,BY_TRA!$BK$2:$BK$999,Transport!$C34)/SUMIFS(BY_TRA!BC$2:BC$999,BY_TRA!$BJ$2:$BJ$999,Transport!$B34),0)</f>
        <v>0</v>
      </c>
      <c r="AV34" s="1">
        <f>IFERROR(SUMIFS(BY_TRA!BD$2:BD$999,BY_TRA!$BJ$2:$BJ$999,Transport!$B34,BY_TRA!$BK$2:$BK$999,Transport!$C34)/SUMIFS(BY_TRA!BD$2:BD$999,BY_TRA!$BJ$2:$BJ$999,Transport!$B34),0)</f>
        <v>0</v>
      </c>
      <c r="AW34" s="1">
        <f>IFERROR(SUMIFS(BY_TRA!BE$2:BE$999,BY_TRA!$BJ$2:$BJ$999,Transport!$B34,BY_TRA!$BK$2:$BK$999,Transport!$C34)/SUMIFS(BY_TRA!BE$2:BE$999,BY_TRA!$BJ$2:$BJ$999,Transport!$B34),0)</f>
        <v>0</v>
      </c>
      <c r="AX34" s="1">
        <f>IFERROR(SUMIFS(BY_TRA!BF$2:BF$999,BY_TRA!$BJ$2:$BJ$999,Transport!$B34,BY_TRA!$BK$2:$BK$999,Transport!$C34)/SUMIFS(BY_TRA!BF$2:BF$999,BY_TRA!$BJ$2:$BJ$999,Transport!$B34),0)</f>
        <v>0</v>
      </c>
      <c r="AY34" s="1">
        <f>IFERROR(SUMIFS(BY_TRA!BG$2:BG$999,BY_TRA!$BJ$2:$BJ$999,Transport!$B34,BY_TRA!$BK$2:$BK$999,Transport!$C34)/SUMIFS(BY_TRA!BG$2:BG$999,BY_TRA!$BJ$2:$BJ$999,Transport!$B34),0)</f>
        <v>0</v>
      </c>
    </row>
    <row r="35" spans="2:51">
      <c r="B35" t="s">
        <v>122</v>
      </c>
      <c r="C35" t="s">
        <v>124</v>
      </c>
      <c r="D35" s="1">
        <f>IFERROR(SUMIFS(BY_TRA!L$2:L$999,BY_TRA!$BJ$2:$BJ$999,Transport!$B35,BY_TRA!$BK$2:$BK$999,Transport!$C35)/SUMIFS(BY_TRA!L$2:L$999,BY_TRA!$BJ$2:$BJ$999,Transport!$B35),0)</f>
        <v>0</v>
      </c>
      <c r="E35" s="1">
        <f>IFERROR(SUMIFS(BY_TRA!M$2:M$999,BY_TRA!$BJ$2:$BJ$999,Transport!$B35,BY_TRA!$BK$2:$BK$999,Transport!$C35)/SUMIFS(BY_TRA!M$2:M$999,BY_TRA!$BJ$2:$BJ$999,Transport!$B35),0)</f>
        <v>0</v>
      </c>
      <c r="F35" s="1">
        <f>IFERROR(SUMIFS(BY_TRA!N$2:N$999,BY_TRA!$BJ$2:$BJ$999,Transport!$B35,BY_TRA!$BK$2:$BK$999,Transport!$C35)/SUMIFS(BY_TRA!N$2:N$999,BY_TRA!$BJ$2:$BJ$999,Transport!$B35),0)</f>
        <v>0</v>
      </c>
      <c r="G35" s="1">
        <f>IFERROR(SUMIFS(BY_TRA!O$2:O$999,BY_TRA!$BJ$2:$BJ$999,Transport!$B35,BY_TRA!$BK$2:$BK$999,Transport!$C35)/SUMIFS(BY_TRA!O$2:O$999,BY_TRA!$BJ$2:$BJ$999,Transport!$B35),0)</f>
        <v>0</v>
      </c>
      <c r="H35" s="1">
        <f>IFERROR(SUMIFS(BY_TRA!P$2:P$999,BY_TRA!$BJ$2:$BJ$999,Transport!$B35,BY_TRA!$BK$2:$BK$999,Transport!$C35)/SUMIFS(BY_TRA!P$2:P$999,BY_TRA!$BJ$2:$BJ$999,Transport!$B35),0)</f>
        <v>0</v>
      </c>
      <c r="I35" s="1">
        <f>IFERROR(SUMIFS(BY_TRA!Q$2:Q$999,BY_TRA!$BJ$2:$BJ$999,Transport!$B35,BY_TRA!$BK$2:$BK$999,Transport!$C35)/SUMIFS(BY_TRA!Q$2:Q$999,BY_TRA!$BJ$2:$BJ$999,Transport!$B35),0)</f>
        <v>0</v>
      </c>
      <c r="J35" s="1">
        <f>IFERROR(SUMIFS(BY_TRA!R$2:R$999,BY_TRA!$BJ$2:$BJ$999,Transport!$B35,BY_TRA!$BK$2:$BK$999,Transport!$C35)/SUMIFS(BY_TRA!R$2:R$999,BY_TRA!$BJ$2:$BJ$999,Transport!$B35),0)</f>
        <v>0</v>
      </c>
      <c r="K35" s="1">
        <f>IFERROR(SUMIFS(BY_TRA!S$2:S$999,BY_TRA!$BJ$2:$BJ$999,Transport!$B35,BY_TRA!$BK$2:$BK$999,Transport!$C35)/SUMIFS(BY_TRA!S$2:S$999,BY_TRA!$BJ$2:$BJ$999,Transport!$B35),0)</f>
        <v>0</v>
      </c>
      <c r="L35" s="1">
        <f>IFERROR(SUMIFS(BY_TRA!T$2:T$999,BY_TRA!$BJ$2:$BJ$999,Transport!$B35,BY_TRA!$BK$2:$BK$999,Transport!$C35)/SUMIFS(BY_TRA!T$2:T$999,BY_TRA!$BJ$2:$BJ$999,Transport!$B35),0)</f>
        <v>0</v>
      </c>
      <c r="M35" s="1">
        <f>IFERROR(SUMIFS(BY_TRA!U$2:U$999,BY_TRA!$BJ$2:$BJ$999,Transport!$B35,BY_TRA!$BK$2:$BK$999,Transport!$C35)/SUMIFS(BY_TRA!U$2:U$999,BY_TRA!$BJ$2:$BJ$999,Transport!$B35),0)</f>
        <v>0</v>
      </c>
      <c r="N35" s="1">
        <f>IFERROR(SUMIFS(BY_TRA!V$2:V$999,BY_TRA!$BJ$2:$BJ$999,Transport!$B35,BY_TRA!$BK$2:$BK$999,Transport!$C35)/SUMIFS(BY_TRA!V$2:V$999,BY_TRA!$BJ$2:$BJ$999,Transport!$B35),0)</f>
        <v>0</v>
      </c>
      <c r="O35" s="1">
        <f>IFERROR(SUMIFS(BY_TRA!W$2:W$999,BY_TRA!$BJ$2:$BJ$999,Transport!$B35,BY_TRA!$BK$2:$BK$999,Transport!$C35)/SUMIFS(BY_TRA!W$2:W$999,BY_TRA!$BJ$2:$BJ$999,Transport!$B35),0)</f>
        <v>0</v>
      </c>
      <c r="P35" s="1">
        <f>IFERROR(SUMIFS(BY_TRA!X$2:X$999,BY_TRA!$BJ$2:$BJ$999,Transport!$B35,BY_TRA!$BK$2:$BK$999,Transport!$C35)/SUMIFS(BY_TRA!X$2:X$999,BY_TRA!$BJ$2:$BJ$999,Transport!$B35),0)</f>
        <v>0</v>
      </c>
      <c r="Q35" s="1">
        <f>IFERROR(SUMIFS(BY_TRA!Y$2:Y$999,BY_TRA!$BJ$2:$BJ$999,Transport!$B35,BY_TRA!$BK$2:$BK$999,Transport!$C35)/SUMIFS(BY_TRA!Y$2:Y$999,BY_TRA!$BJ$2:$BJ$999,Transport!$B35),0)</f>
        <v>0</v>
      </c>
      <c r="R35" s="1">
        <f>IFERROR(SUMIFS(BY_TRA!Z$2:Z$999,BY_TRA!$BJ$2:$BJ$999,Transport!$B35,BY_TRA!$BK$2:$BK$999,Transport!$C35)/SUMIFS(BY_TRA!Z$2:Z$999,BY_TRA!$BJ$2:$BJ$999,Transport!$B35),0)</f>
        <v>0</v>
      </c>
      <c r="S35" s="1">
        <f>IFERROR(SUMIFS(BY_TRA!AA$2:AA$999,BY_TRA!$BJ$2:$BJ$999,Transport!$B35,BY_TRA!$BK$2:$BK$999,Transport!$C35)/SUMIFS(BY_TRA!AA$2:AA$999,BY_TRA!$BJ$2:$BJ$999,Transport!$B35),0)</f>
        <v>0</v>
      </c>
      <c r="T35" s="1">
        <f>IFERROR(SUMIFS(BY_TRA!AB$2:AB$999,BY_TRA!$BJ$2:$BJ$999,Transport!$B35,BY_TRA!$BK$2:$BK$999,Transport!$C35)/SUMIFS(BY_TRA!AB$2:AB$999,BY_TRA!$BJ$2:$BJ$999,Transport!$B35),0)</f>
        <v>0</v>
      </c>
      <c r="U35" s="1">
        <f>IFERROR(SUMIFS(BY_TRA!AC$2:AC$999,BY_TRA!$BJ$2:$BJ$999,Transport!$B35,BY_TRA!$BK$2:$BK$999,Transport!$C35)/SUMIFS(BY_TRA!AC$2:AC$999,BY_TRA!$BJ$2:$BJ$999,Transport!$B35),0)</f>
        <v>0</v>
      </c>
      <c r="V35" s="1">
        <f>IFERROR(SUMIFS(BY_TRA!AD$2:AD$999,BY_TRA!$BJ$2:$BJ$999,Transport!$B35,BY_TRA!$BK$2:$BK$999,Transport!$C35)/SUMIFS(BY_TRA!AD$2:AD$999,BY_TRA!$BJ$2:$BJ$999,Transport!$B35),0)</f>
        <v>0</v>
      </c>
      <c r="W35" s="1">
        <f>IFERROR(SUMIFS(BY_TRA!AE$2:AE$999,BY_TRA!$BJ$2:$BJ$999,Transport!$B35,BY_TRA!$BK$2:$BK$999,Transport!$C35)/SUMIFS(BY_TRA!AE$2:AE$999,BY_TRA!$BJ$2:$BJ$999,Transport!$B35),0)</f>
        <v>0</v>
      </c>
      <c r="X35" s="1">
        <f>IFERROR(SUMIFS(BY_TRA!AF$2:AF$999,BY_TRA!$BJ$2:$BJ$999,Transport!$B35,BY_TRA!$BK$2:$BK$999,Transport!$C35)/SUMIFS(BY_TRA!AF$2:AF$999,BY_TRA!$BJ$2:$BJ$999,Transport!$B35),0)</f>
        <v>0</v>
      </c>
      <c r="Y35" s="1">
        <f>IFERROR(SUMIFS(BY_TRA!AG$2:AG$999,BY_TRA!$BJ$2:$BJ$999,Transport!$B35,BY_TRA!$BK$2:$BK$999,Transport!$C35)/SUMIFS(BY_TRA!AG$2:AG$999,BY_TRA!$BJ$2:$BJ$999,Transport!$B35),0)</f>
        <v>0</v>
      </c>
      <c r="Z35" s="1">
        <f>IFERROR(SUMIFS(BY_TRA!AH$2:AH$999,BY_TRA!$BJ$2:$BJ$999,Transport!$B35,BY_TRA!$BK$2:$BK$999,Transport!$C35)/SUMIFS(BY_TRA!AH$2:AH$999,BY_TRA!$BJ$2:$BJ$999,Transport!$B35),0)</f>
        <v>0</v>
      </c>
      <c r="AA35" s="1">
        <f>IFERROR(SUMIFS(BY_TRA!AI$2:AI$999,BY_TRA!$BJ$2:$BJ$999,Transport!$B35,BY_TRA!$BK$2:$BK$999,Transport!$C35)/SUMIFS(BY_TRA!AI$2:AI$999,BY_TRA!$BJ$2:$BJ$999,Transport!$B35),0)</f>
        <v>0</v>
      </c>
      <c r="AB35" s="1">
        <f>IFERROR(SUMIFS(BY_TRA!AJ$2:AJ$999,BY_TRA!$BJ$2:$BJ$999,Transport!$B35,BY_TRA!$BK$2:$BK$999,Transport!$C35)/SUMIFS(BY_TRA!AJ$2:AJ$999,BY_TRA!$BJ$2:$BJ$999,Transport!$B35),0)</f>
        <v>0</v>
      </c>
      <c r="AC35" s="1">
        <f>IFERROR(SUMIFS(BY_TRA!AK$2:AK$999,BY_TRA!$BJ$2:$BJ$999,Transport!$B35,BY_TRA!$BK$2:$BK$999,Transport!$C35)/SUMIFS(BY_TRA!AK$2:AK$999,BY_TRA!$BJ$2:$BJ$999,Transport!$B35),0)</f>
        <v>0</v>
      </c>
      <c r="AD35" s="1">
        <f>IFERROR(SUMIFS(BY_TRA!AL$2:AL$999,BY_TRA!$BJ$2:$BJ$999,Transport!$B35,BY_TRA!$BK$2:$BK$999,Transport!$C35)/SUMIFS(BY_TRA!AL$2:AL$999,BY_TRA!$BJ$2:$BJ$999,Transport!$B35),0)</f>
        <v>0</v>
      </c>
      <c r="AE35" s="1">
        <f>IFERROR(SUMIFS(BY_TRA!AM$2:AM$999,BY_TRA!$BJ$2:$BJ$999,Transport!$B35,BY_TRA!$BK$2:$BK$999,Transport!$C35)/SUMIFS(BY_TRA!AM$2:AM$999,BY_TRA!$BJ$2:$BJ$999,Transport!$B35),0)</f>
        <v>0</v>
      </c>
      <c r="AF35" s="1">
        <f>IFERROR(SUMIFS(BY_TRA!AN$2:AN$999,BY_TRA!$BJ$2:$BJ$999,Transport!$B35,BY_TRA!$BK$2:$BK$999,Transport!$C35)/SUMIFS(BY_TRA!AN$2:AN$999,BY_TRA!$BJ$2:$BJ$999,Transport!$B35),0)</f>
        <v>0</v>
      </c>
      <c r="AG35" s="1">
        <f>IFERROR(SUMIFS(BY_TRA!AO$2:AO$999,BY_TRA!$BJ$2:$BJ$999,Transport!$B35,BY_TRA!$BK$2:$BK$999,Transport!$C35)/SUMIFS(BY_TRA!AO$2:AO$999,BY_TRA!$BJ$2:$BJ$999,Transport!$B35),0)</f>
        <v>0</v>
      </c>
      <c r="AH35" s="1">
        <f>IFERROR(SUMIFS(BY_TRA!AP$2:AP$999,BY_TRA!$BJ$2:$BJ$999,Transport!$B35,BY_TRA!$BK$2:$BK$999,Transport!$C35)/SUMIFS(BY_TRA!AP$2:AP$999,BY_TRA!$BJ$2:$BJ$999,Transport!$B35),0)</f>
        <v>0</v>
      </c>
      <c r="AI35" s="1">
        <f>IFERROR(SUMIFS(BY_TRA!AQ$2:AQ$999,BY_TRA!$BJ$2:$BJ$999,Transport!$B35,BY_TRA!$BK$2:$BK$999,Transport!$C35)/SUMIFS(BY_TRA!AQ$2:AQ$999,BY_TRA!$BJ$2:$BJ$999,Transport!$B35),0)</f>
        <v>0</v>
      </c>
      <c r="AJ35" s="1">
        <f>IFERROR(SUMIFS(BY_TRA!AR$2:AR$999,BY_TRA!$BJ$2:$BJ$999,Transport!$B35,BY_TRA!$BK$2:$BK$999,Transport!$C35)/SUMIFS(BY_TRA!AR$2:AR$999,BY_TRA!$BJ$2:$BJ$999,Transport!$B35),0)</f>
        <v>0</v>
      </c>
      <c r="AK35" s="1">
        <f>IFERROR(SUMIFS(BY_TRA!AS$2:AS$999,BY_TRA!$BJ$2:$BJ$999,Transport!$B35,BY_TRA!$BK$2:$BK$999,Transport!$C35)/SUMIFS(BY_TRA!AS$2:AS$999,BY_TRA!$BJ$2:$BJ$999,Transport!$B35),0)</f>
        <v>0</v>
      </c>
      <c r="AL35" s="1">
        <f>IFERROR(SUMIFS(BY_TRA!AT$2:AT$999,BY_TRA!$BJ$2:$BJ$999,Transport!$B35,BY_TRA!$BK$2:$BK$999,Transport!$C35)/SUMIFS(BY_TRA!AT$2:AT$999,BY_TRA!$BJ$2:$BJ$999,Transport!$B35),0)</f>
        <v>0</v>
      </c>
      <c r="AM35" s="1">
        <f>IFERROR(SUMIFS(BY_TRA!AU$2:AU$999,BY_TRA!$BJ$2:$BJ$999,Transport!$B35,BY_TRA!$BK$2:$BK$999,Transport!$C35)/SUMIFS(BY_TRA!AU$2:AU$999,BY_TRA!$BJ$2:$BJ$999,Transport!$B35),0)</f>
        <v>0</v>
      </c>
      <c r="AN35" s="1">
        <f>IFERROR(SUMIFS(BY_TRA!AV$2:AV$999,BY_TRA!$BJ$2:$BJ$999,Transport!$B35,BY_TRA!$BK$2:$BK$999,Transport!$C35)/SUMIFS(BY_TRA!AV$2:AV$999,BY_TRA!$BJ$2:$BJ$999,Transport!$B35),0)</f>
        <v>0</v>
      </c>
      <c r="AO35" s="1">
        <f>IFERROR(SUMIFS(BY_TRA!AW$2:AW$999,BY_TRA!$BJ$2:$BJ$999,Transport!$B35,BY_TRA!$BK$2:$BK$999,Transport!$C35)/SUMIFS(BY_TRA!AW$2:AW$999,BY_TRA!$BJ$2:$BJ$999,Transport!$B35),0)</f>
        <v>0</v>
      </c>
      <c r="AP35" s="1">
        <f>IFERROR(SUMIFS(BY_TRA!AX$2:AX$999,BY_TRA!$BJ$2:$BJ$999,Transport!$B35,BY_TRA!$BK$2:$BK$999,Transport!$C35)/SUMIFS(BY_TRA!AX$2:AX$999,BY_TRA!$BJ$2:$BJ$999,Transport!$B35),0)</f>
        <v>0</v>
      </c>
      <c r="AQ35" s="1">
        <f>IFERROR(SUMIFS(BY_TRA!AY$2:AY$999,BY_TRA!$BJ$2:$BJ$999,Transport!$B35,BY_TRA!$BK$2:$BK$999,Transport!$C35)/SUMIFS(BY_TRA!AY$2:AY$999,BY_TRA!$BJ$2:$BJ$999,Transport!$B35),0)</f>
        <v>0</v>
      </c>
      <c r="AR35" s="1">
        <f>IFERROR(SUMIFS(BY_TRA!AZ$2:AZ$999,BY_TRA!$BJ$2:$BJ$999,Transport!$B35,BY_TRA!$BK$2:$BK$999,Transport!$C35)/SUMIFS(BY_TRA!AZ$2:AZ$999,BY_TRA!$BJ$2:$BJ$999,Transport!$B35),0)</f>
        <v>0</v>
      </c>
      <c r="AS35" s="1">
        <f>IFERROR(SUMIFS(BY_TRA!BA$2:BA$999,BY_TRA!$BJ$2:$BJ$999,Transport!$B35,BY_TRA!$BK$2:$BK$999,Transport!$C35)/SUMIFS(BY_TRA!BA$2:BA$999,BY_TRA!$BJ$2:$BJ$999,Transport!$B35),0)</f>
        <v>0</v>
      </c>
      <c r="AT35" s="1">
        <f>IFERROR(SUMIFS(BY_TRA!BB$2:BB$999,BY_TRA!$BJ$2:$BJ$999,Transport!$B35,BY_TRA!$BK$2:$BK$999,Transport!$C35)/SUMIFS(BY_TRA!BB$2:BB$999,BY_TRA!$BJ$2:$BJ$999,Transport!$B35),0)</f>
        <v>0</v>
      </c>
      <c r="AU35" s="1">
        <f>IFERROR(SUMIFS(BY_TRA!BC$2:BC$999,BY_TRA!$BJ$2:$BJ$999,Transport!$B35,BY_TRA!$BK$2:$BK$999,Transport!$C35)/SUMIFS(BY_TRA!BC$2:BC$999,BY_TRA!$BJ$2:$BJ$999,Transport!$B35),0)</f>
        <v>0</v>
      </c>
      <c r="AV35" s="1">
        <f>IFERROR(SUMIFS(BY_TRA!BD$2:BD$999,BY_TRA!$BJ$2:$BJ$999,Transport!$B35,BY_TRA!$BK$2:$BK$999,Transport!$C35)/SUMIFS(BY_TRA!BD$2:BD$999,BY_TRA!$BJ$2:$BJ$999,Transport!$B35),0)</f>
        <v>0</v>
      </c>
      <c r="AW35" s="1">
        <f>IFERROR(SUMIFS(BY_TRA!BE$2:BE$999,BY_TRA!$BJ$2:$BJ$999,Transport!$B35,BY_TRA!$BK$2:$BK$999,Transport!$C35)/SUMIFS(BY_TRA!BE$2:BE$999,BY_TRA!$BJ$2:$BJ$999,Transport!$B35),0)</f>
        <v>0</v>
      </c>
      <c r="AX35" s="1">
        <f>IFERROR(SUMIFS(BY_TRA!BF$2:BF$999,BY_TRA!$BJ$2:$BJ$999,Transport!$B35,BY_TRA!$BK$2:$BK$999,Transport!$C35)/SUMIFS(BY_TRA!BF$2:BF$999,BY_TRA!$BJ$2:$BJ$999,Transport!$B35),0)</f>
        <v>0</v>
      </c>
      <c r="AY35" s="1">
        <f>IFERROR(SUMIFS(BY_TRA!BG$2:BG$999,BY_TRA!$BJ$2:$BJ$999,Transport!$B35,BY_TRA!$BK$2:$BK$999,Transport!$C35)/SUMIFS(BY_TRA!BG$2:BG$999,BY_TRA!$BJ$2:$BJ$999,Transport!$B35),0)</f>
        <v>0</v>
      </c>
    </row>
    <row r="36" spans="2:51">
      <c r="B36" t="s">
        <v>125</v>
      </c>
      <c r="C36" t="s">
        <v>126</v>
      </c>
      <c r="D36" s="1">
        <f>IFERROR(SUMIFS(BY_TRA!L$2:L$999,BY_TRA!$BJ$2:$BJ$999,Transport!$B36,BY_TRA!$BK$2:$BK$999,Transport!$C36)/SUMIFS(BY_TRA!L$2:L$999,BY_TRA!$BJ$2:$BJ$999,Transport!$B36),0)</f>
        <v>0</v>
      </c>
      <c r="E36" s="1">
        <f>IFERROR(SUMIFS(BY_TRA!M$2:M$999,BY_TRA!$BJ$2:$BJ$999,Transport!$B36,BY_TRA!$BK$2:$BK$999,Transport!$C36)/SUMIFS(BY_TRA!M$2:M$999,BY_TRA!$BJ$2:$BJ$999,Transport!$B36),0)</f>
        <v>0</v>
      </c>
      <c r="F36" s="1">
        <f>IFERROR(SUMIFS(BY_TRA!N$2:N$999,BY_TRA!$BJ$2:$BJ$999,Transport!$B36,BY_TRA!$BK$2:$BK$999,Transport!$C36)/SUMIFS(BY_TRA!N$2:N$999,BY_TRA!$BJ$2:$BJ$999,Transport!$B36),0)</f>
        <v>0</v>
      </c>
      <c r="G36" s="1">
        <f>IFERROR(SUMIFS(BY_TRA!O$2:O$999,BY_TRA!$BJ$2:$BJ$999,Transport!$B36,BY_TRA!$BK$2:$BK$999,Transport!$C36)/SUMIFS(BY_TRA!O$2:O$999,BY_TRA!$BJ$2:$BJ$999,Transport!$B36),0)</f>
        <v>0</v>
      </c>
      <c r="H36" s="1">
        <f>IFERROR(SUMIFS(BY_TRA!P$2:P$999,BY_TRA!$BJ$2:$BJ$999,Transport!$B36,BY_TRA!$BK$2:$BK$999,Transport!$C36)/SUMIFS(BY_TRA!P$2:P$999,BY_TRA!$BJ$2:$BJ$999,Transport!$B36),0)</f>
        <v>0</v>
      </c>
      <c r="I36" s="1">
        <f>IFERROR(SUMIFS(BY_TRA!Q$2:Q$999,BY_TRA!$BJ$2:$BJ$999,Transport!$B36,BY_TRA!$BK$2:$BK$999,Transport!$C36)/SUMIFS(BY_TRA!Q$2:Q$999,BY_TRA!$BJ$2:$BJ$999,Transport!$B36),0)</f>
        <v>0</v>
      </c>
      <c r="J36" s="1">
        <f>IFERROR(SUMIFS(BY_TRA!R$2:R$999,BY_TRA!$BJ$2:$BJ$999,Transport!$B36,BY_TRA!$BK$2:$BK$999,Transport!$C36)/SUMIFS(BY_TRA!R$2:R$999,BY_TRA!$BJ$2:$BJ$999,Transport!$B36),0)</f>
        <v>0</v>
      </c>
      <c r="K36" s="1">
        <f>IFERROR(SUMIFS(BY_TRA!S$2:S$999,BY_TRA!$BJ$2:$BJ$999,Transport!$B36,BY_TRA!$BK$2:$BK$999,Transport!$C36)/SUMIFS(BY_TRA!S$2:S$999,BY_TRA!$BJ$2:$BJ$999,Transport!$B36),0)</f>
        <v>0</v>
      </c>
      <c r="L36" s="1">
        <f>IFERROR(SUMIFS(BY_TRA!T$2:T$999,BY_TRA!$BJ$2:$BJ$999,Transport!$B36,BY_TRA!$BK$2:$BK$999,Transport!$C36)/SUMIFS(BY_TRA!T$2:T$999,BY_TRA!$BJ$2:$BJ$999,Transport!$B36),0)</f>
        <v>0</v>
      </c>
      <c r="M36" s="1">
        <f>IFERROR(SUMIFS(BY_TRA!U$2:U$999,BY_TRA!$BJ$2:$BJ$999,Transport!$B36,BY_TRA!$BK$2:$BK$999,Transport!$C36)/SUMIFS(BY_TRA!U$2:U$999,BY_TRA!$BJ$2:$BJ$999,Transport!$B36),0)</f>
        <v>0</v>
      </c>
      <c r="N36" s="1">
        <f>IFERROR(SUMIFS(BY_TRA!V$2:V$999,BY_TRA!$BJ$2:$BJ$999,Transport!$B36,BY_TRA!$BK$2:$BK$999,Transport!$C36)/SUMIFS(BY_TRA!V$2:V$999,BY_TRA!$BJ$2:$BJ$999,Transport!$B36),0)</f>
        <v>0</v>
      </c>
      <c r="O36" s="1">
        <f>IFERROR(SUMIFS(BY_TRA!W$2:W$999,BY_TRA!$BJ$2:$BJ$999,Transport!$B36,BY_TRA!$BK$2:$BK$999,Transport!$C36)/SUMIFS(BY_TRA!W$2:W$999,BY_TRA!$BJ$2:$BJ$999,Transport!$B36),0)</f>
        <v>0</v>
      </c>
      <c r="P36" s="1">
        <f>IFERROR(SUMIFS(BY_TRA!X$2:X$999,BY_TRA!$BJ$2:$BJ$999,Transport!$B36,BY_TRA!$BK$2:$BK$999,Transport!$C36)/SUMIFS(BY_TRA!X$2:X$999,BY_TRA!$BJ$2:$BJ$999,Transport!$B36),0)</f>
        <v>0</v>
      </c>
      <c r="Q36" s="1">
        <f>IFERROR(SUMIFS(BY_TRA!Y$2:Y$999,BY_TRA!$BJ$2:$BJ$999,Transport!$B36,BY_TRA!$BK$2:$BK$999,Transport!$C36)/SUMIFS(BY_TRA!Y$2:Y$999,BY_TRA!$BJ$2:$BJ$999,Transport!$B36),0)</f>
        <v>0</v>
      </c>
      <c r="R36" s="1">
        <f>IFERROR(SUMIFS(BY_TRA!Z$2:Z$999,BY_TRA!$BJ$2:$BJ$999,Transport!$B36,BY_TRA!$BK$2:$BK$999,Transport!$C36)/SUMIFS(BY_TRA!Z$2:Z$999,BY_TRA!$BJ$2:$BJ$999,Transport!$B36),0)</f>
        <v>0</v>
      </c>
      <c r="S36" s="1">
        <f>IFERROR(SUMIFS(BY_TRA!AA$2:AA$999,BY_TRA!$BJ$2:$BJ$999,Transport!$B36,BY_TRA!$BK$2:$BK$999,Transport!$C36)/SUMIFS(BY_TRA!AA$2:AA$999,BY_TRA!$BJ$2:$BJ$999,Transport!$B36),0)</f>
        <v>0</v>
      </c>
      <c r="T36" s="1">
        <f>IFERROR(SUMIFS(BY_TRA!AB$2:AB$999,BY_TRA!$BJ$2:$BJ$999,Transport!$B36,BY_TRA!$BK$2:$BK$999,Transport!$C36)/SUMIFS(BY_TRA!AB$2:AB$999,BY_TRA!$BJ$2:$BJ$999,Transport!$B36),0)</f>
        <v>0</v>
      </c>
      <c r="U36" s="1">
        <f>IFERROR(SUMIFS(BY_TRA!AC$2:AC$999,BY_TRA!$BJ$2:$BJ$999,Transport!$B36,BY_TRA!$BK$2:$BK$999,Transport!$C36)/SUMIFS(BY_TRA!AC$2:AC$999,BY_TRA!$BJ$2:$BJ$999,Transport!$B36),0)</f>
        <v>0</v>
      </c>
      <c r="V36" s="1">
        <f>IFERROR(SUMIFS(BY_TRA!AD$2:AD$999,BY_TRA!$BJ$2:$BJ$999,Transport!$B36,BY_TRA!$BK$2:$BK$999,Transport!$C36)/SUMIFS(BY_TRA!AD$2:AD$999,BY_TRA!$BJ$2:$BJ$999,Transport!$B36),0)</f>
        <v>0</v>
      </c>
      <c r="W36" s="1">
        <f>IFERROR(SUMIFS(BY_TRA!AE$2:AE$999,BY_TRA!$BJ$2:$BJ$999,Transport!$B36,BY_TRA!$BK$2:$BK$999,Transport!$C36)/SUMIFS(BY_TRA!AE$2:AE$999,BY_TRA!$BJ$2:$BJ$999,Transport!$B36),0)</f>
        <v>0</v>
      </c>
      <c r="X36" s="1">
        <f>IFERROR(SUMIFS(BY_TRA!AF$2:AF$999,BY_TRA!$BJ$2:$BJ$999,Transport!$B36,BY_TRA!$BK$2:$BK$999,Transport!$C36)/SUMIFS(BY_TRA!AF$2:AF$999,BY_TRA!$BJ$2:$BJ$999,Transport!$B36),0)</f>
        <v>0</v>
      </c>
      <c r="Y36" s="1">
        <f>IFERROR(SUMIFS(BY_TRA!AG$2:AG$999,BY_TRA!$BJ$2:$BJ$999,Transport!$B36,BY_TRA!$BK$2:$BK$999,Transport!$C36)/SUMIFS(BY_TRA!AG$2:AG$999,BY_TRA!$BJ$2:$BJ$999,Transport!$B36),0)</f>
        <v>0</v>
      </c>
      <c r="Z36" s="1">
        <f>IFERROR(SUMIFS(BY_TRA!AH$2:AH$999,BY_TRA!$BJ$2:$BJ$999,Transport!$B36,BY_TRA!$BK$2:$BK$999,Transport!$C36)/SUMIFS(BY_TRA!AH$2:AH$999,BY_TRA!$BJ$2:$BJ$999,Transport!$B36),0)</f>
        <v>0</v>
      </c>
      <c r="AA36" s="1">
        <f>IFERROR(SUMIFS(BY_TRA!AI$2:AI$999,BY_TRA!$BJ$2:$BJ$999,Transport!$B36,BY_TRA!$BK$2:$BK$999,Transport!$C36)/SUMIFS(BY_TRA!AI$2:AI$999,BY_TRA!$BJ$2:$BJ$999,Transport!$B36),0)</f>
        <v>0</v>
      </c>
      <c r="AB36" s="1">
        <f>IFERROR(SUMIFS(BY_TRA!AJ$2:AJ$999,BY_TRA!$BJ$2:$BJ$999,Transport!$B36,BY_TRA!$BK$2:$BK$999,Transport!$C36)/SUMIFS(BY_TRA!AJ$2:AJ$999,BY_TRA!$BJ$2:$BJ$999,Transport!$B36),0)</f>
        <v>0</v>
      </c>
      <c r="AC36" s="1">
        <f>IFERROR(SUMIFS(BY_TRA!AK$2:AK$999,BY_TRA!$BJ$2:$BJ$999,Transport!$B36,BY_TRA!$BK$2:$BK$999,Transport!$C36)/SUMIFS(BY_TRA!AK$2:AK$999,BY_TRA!$BJ$2:$BJ$999,Transport!$B36),0)</f>
        <v>0</v>
      </c>
      <c r="AD36" s="1">
        <f>IFERROR(SUMIFS(BY_TRA!AL$2:AL$999,BY_TRA!$BJ$2:$BJ$999,Transport!$B36,BY_TRA!$BK$2:$BK$999,Transport!$C36)/SUMIFS(BY_TRA!AL$2:AL$999,BY_TRA!$BJ$2:$BJ$999,Transport!$B36),0)</f>
        <v>0</v>
      </c>
      <c r="AE36" s="1">
        <f>IFERROR(SUMIFS(BY_TRA!AM$2:AM$999,BY_TRA!$BJ$2:$BJ$999,Transport!$B36,BY_TRA!$BK$2:$BK$999,Transport!$C36)/SUMIFS(BY_TRA!AM$2:AM$999,BY_TRA!$BJ$2:$BJ$999,Transport!$B36),0)</f>
        <v>0</v>
      </c>
      <c r="AF36" s="1">
        <f>IFERROR(SUMIFS(BY_TRA!AN$2:AN$999,BY_TRA!$BJ$2:$BJ$999,Transport!$B36,BY_TRA!$BK$2:$BK$999,Transport!$C36)/SUMIFS(BY_TRA!AN$2:AN$999,BY_TRA!$BJ$2:$BJ$999,Transport!$B36),0)</f>
        <v>0</v>
      </c>
      <c r="AG36" s="1">
        <f>IFERROR(SUMIFS(BY_TRA!AO$2:AO$999,BY_TRA!$BJ$2:$BJ$999,Transport!$B36,BY_TRA!$BK$2:$BK$999,Transport!$C36)/SUMIFS(BY_TRA!AO$2:AO$999,BY_TRA!$BJ$2:$BJ$999,Transport!$B36),0)</f>
        <v>0</v>
      </c>
      <c r="AH36" s="1">
        <f>IFERROR(SUMIFS(BY_TRA!AP$2:AP$999,BY_TRA!$BJ$2:$BJ$999,Transport!$B36,BY_TRA!$BK$2:$BK$999,Transport!$C36)/SUMIFS(BY_TRA!AP$2:AP$999,BY_TRA!$BJ$2:$BJ$999,Transport!$B36),0)</f>
        <v>0</v>
      </c>
      <c r="AI36" s="1">
        <f>IFERROR(SUMIFS(BY_TRA!AQ$2:AQ$999,BY_TRA!$BJ$2:$BJ$999,Transport!$B36,BY_TRA!$BK$2:$BK$999,Transport!$C36)/SUMIFS(BY_TRA!AQ$2:AQ$999,BY_TRA!$BJ$2:$BJ$999,Transport!$B36),0)</f>
        <v>0</v>
      </c>
      <c r="AJ36" s="1">
        <f>IFERROR(SUMIFS(BY_TRA!AR$2:AR$999,BY_TRA!$BJ$2:$BJ$999,Transport!$B36,BY_TRA!$BK$2:$BK$999,Transport!$C36)/SUMIFS(BY_TRA!AR$2:AR$999,BY_TRA!$BJ$2:$BJ$999,Transport!$B36),0)</f>
        <v>0</v>
      </c>
      <c r="AK36" s="1">
        <f>IFERROR(SUMIFS(BY_TRA!AS$2:AS$999,BY_TRA!$BJ$2:$BJ$999,Transport!$B36,BY_TRA!$BK$2:$BK$999,Transport!$C36)/SUMIFS(BY_TRA!AS$2:AS$999,BY_TRA!$BJ$2:$BJ$999,Transport!$B36),0)</f>
        <v>0</v>
      </c>
      <c r="AL36" s="1">
        <f>IFERROR(SUMIFS(BY_TRA!AT$2:AT$999,BY_TRA!$BJ$2:$BJ$999,Transport!$B36,BY_TRA!$BK$2:$BK$999,Transport!$C36)/SUMIFS(BY_TRA!AT$2:AT$999,BY_TRA!$BJ$2:$BJ$999,Transport!$B36),0)</f>
        <v>0</v>
      </c>
      <c r="AM36" s="1">
        <f>IFERROR(SUMIFS(BY_TRA!AU$2:AU$999,BY_TRA!$BJ$2:$BJ$999,Transport!$B36,BY_TRA!$BK$2:$BK$999,Transport!$C36)/SUMIFS(BY_TRA!AU$2:AU$999,BY_TRA!$BJ$2:$BJ$999,Transport!$B36),0)</f>
        <v>0</v>
      </c>
      <c r="AN36" s="1">
        <f>IFERROR(SUMIFS(BY_TRA!AV$2:AV$999,BY_TRA!$BJ$2:$BJ$999,Transport!$B36,BY_TRA!$BK$2:$BK$999,Transport!$C36)/SUMIFS(BY_TRA!AV$2:AV$999,BY_TRA!$BJ$2:$BJ$999,Transport!$B36),0)</f>
        <v>0</v>
      </c>
      <c r="AO36" s="1">
        <f>IFERROR(SUMIFS(BY_TRA!AW$2:AW$999,BY_TRA!$BJ$2:$BJ$999,Transport!$B36,BY_TRA!$BK$2:$BK$999,Transport!$C36)/SUMIFS(BY_TRA!AW$2:AW$999,BY_TRA!$BJ$2:$BJ$999,Transport!$B36),0)</f>
        <v>0</v>
      </c>
      <c r="AP36" s="1">
        <f>IFERROR(SUMIFS(BY_TRA!AX$2:AX$999,BY_TRA!$BJ$2:$BJ$999,Transport!$B36,BY_TRA!$BK$2:$BK$999,Transport!$C36)/SUMIFS(BY_TRA!AX$2:AX$999,BY_TRA!$BJ$2:$BJ$999,Transport!$B36),0)</f>
        <v>0</v>
      </c>
      <c r="AQ36" s="1">
        <f>IFERROR(SUMIFS(BY_TRA!AY$2:AY$999,BY_TRA!$BJ$2:$BJ$999,Transport!$B36,BY_TRA!$BK$2:$BK$999,Transport!$C36)/SUMIFS(BY_TRA!AY$2:AY$999,BY_TRA!$BJ$2:$BJ$999,Transport!$B36),0)</f>
        <v>0</v>
      </c>
      <c r="AR36" s="1">
        <f>IFERROR(SUMIFS(BY_TRA!AZ$2:AZ$999,BY_TRA!$BJ$2:$BJ$999,Transport!$B36,BY_TRA!$BK$2:$BK$999,Transport!$C36)/SUMIFS(BY_TRA!AZ$2:AZ$999,BY_TRA!$BJ$2:$BJ$999,Transport!$B36),0)</f>
        <v>0</v>
      </c>
      <c r="AS36" s="1">
        <f>IFERROR(SUMIFS(BY_TRA!BA$2:BA$999,BY_TRA!$BJ$2:$BJ$999,Transport!$B36,BY_TRA!$BK$2:$BK$999,Transport!$C36)/SUMIFS(BY_TRA!BA$2:BA$999,BY_TRA!$BJ$2:$BJ$999,Transport!$B36),0)</f>
        <v>0</v>
      </c>
      <c r="AT36" s="1">
        <f>IFERROR(SUMIFS(BY_TRA!BB$2:BB$999,BY_TRA!$BJ$2:$BJ$999,Transport!$B36,BY_TRA!$BK$2:$BK$999,Transport!$C36)/SUMIFS(BY_TRA!BB$2:BB$999,BY_TRA!$BJ$2:$BJ$999,Transport!$B36),0)</f>
        <v>0</v>
      </c>
      <c r="AU36" s="1">
        <f>IFERROR(SUMIFS(BY_TRA!BC$2:BC$999,BY_TRA!$BJ$2:$BJ$999,Transport!$B36,BY_TRA!$BK$2:$BK$999,Transport!$C36)/SUMIFS(BY_TRA!BC$2:BC$999,BY_TRA!$BJ$2:$BJ$999,Transport!$B36),0)</f>
        <v>0</v>
      </c>
      <c r="AV36" s="1">
        <f>IFERROR(SUMIFS(BY_TRA!BD$2:BD$999,BY_TRA!$BJ$2:$BJ$999,Transport!$B36,BY_TRA!$BK$2:$BK$999,Transport!$C36)/SUMIFS(BY_TRA!BD$2:BD$999,BY_TRA!$BJ$2:$BJ$999,Transport!$B36),0)</f>
        <v>0</v>
      </c>
      <c r="AW36" s="1">
        <f>IFERROR(SUMIFS(BY_TRA!BE$2:BE$999,BY_TRA!$BJ$2:$BJ$999,Transport!$B36,BY_TRA!$BK$2:$BK$999,Transport!$C36)/SUMIFS(BY_TRA!BE$2:BE$999,BY_TRA!$BJ$2:$BJ$999,Transport!$B36),0)</f>
        <v>0</v>
      </c>
      <c r="AX36" s="1">
        <f>IFERROR(SUMIFS(BY_TRA!BF$2:BF$999,BY_TRA!$BJ$2:$BJ$999,Transport!$B36,BY_TRA!$BK$2:$BK$999,Transport!$C36)/SUMIFS(BY_TRA!BF$2:BF$999,BY_TRA!$BJ$2:$BJ$999,Transport!$B36),0)</f>
        <v>0</v>
      </c>
      <c r="AY36" s="1">
        <f>IFERROR(SUMIFS(BY_TRA!BG$2:BG$999,BY_TRA!$BJ$2:$BJ$999,Transport!$B36,BY_TRA!$BK$2:$BK$999,Transport!$C36)/SUMIFS(BY_TRA!BG$2:BG$999,BY_TRA!$BJ$2:$BJ$999,Transport!$B36),0)</f>
        <v>0</v>
      </c>
    </row>
    <row r="37" spans="2:51">
      <c r="B37" t="s">
        <v>125</v>
      </c>
      <c r="C37" t="s">
        <v>127</v>
      </c>
      <c r="D37" s="1">
        <f>IFERROR(SUMIFS(BY_TRA!L$2:L$999,BY_TRA!$BJ$2:$BJ$999,Transport!$B37,BY_TRA!$BK$2:$BK$999,Transport!$C37)/SUMIFS(BY_TRA!L$2:L$999,BY_TRA!$BJ$2:$BJ$999,Transport!$B37),0)</f>
        <v>0</v>
      </c>
      <c r="E37" s="1">
        <f>IFERROR(SUMIFS(BY_TRA!M$2:M$999,BY_TRA!$BJ$2:$BJ$999,Transport!$B37,BY_TRA!$BK$2:$BK$999,Transport!$C37)/SUMIFS(BY_TRA!M$2:M$999,BY_TRA!$BJ$2:$BJ$999,Transport!$B37),0)</f>
        <v>0</v>
      </c>
      <c r="F37" s="1">
        <f>IFERROR(SUMIFS(BY_TRA!N$2:N$999,BY_TRA!$BJ$2:$BJ$999,Transport!$B37,BY_TRA!$BK$2:$BK$999,Transport!$C37)/SUMIFS(BY_TRA!N$2:N$999,BY_TRA!$BJ$2:$BJ$999,Transport!$B37),0)</f>
        <v>0</v>
      </c>
      <c r="G37" s="1">
        <f>IFERROR(SUMIFS(BY_TRA!O$2:O$999,BY_TRA!$BJ$2:$BJ$999,Transport!$B37,BY_TRA!$BK$2:$BK$999,Transport!$C37)/SUMIFS(BY_TRA!O$2:O$999,BY_TRA!$BJ$2:$BJ$999,Transport!$B37),0)</f>
        <v>0</v>
      </c>
      <c r="H37" s="1">
        <f>IFERROR(SUMIFS(BY_TRA!P$2:P$999,BY_TRA!$BJ$2:$BJ$999,Transport!$B37,BY_TRA!$BK$2:$BK$999,Transport!$C37)/SUMIFS(BY_TRA!P$2:P$999,BY_TRA!$BJ$2:$BJ$999,Transport!$B37),0)</f>
        <v>0</v>
      </c>
      <c r="I37" s="1">
        <f>IFERROR(SUMIFS(BY_TRA!Q$2:Q$999,BY_TRA!$BJ$2:$BJ$999,Transport!$B37,BY_TRA!$BK$2:$BK$999,Transport!$C37)/SUMIFS(BY_TRA!Q$2:Q$999,BY_TRA!$BJ$2:$BJ$999,Transport!$B37),0)</f>
        <v>0</v>
      </c>
      <c r="J37" s="1">
        <f>IFERROR(SUMIFS(BY_TRA!R$2:R$999,BY_TRA!$BJ$2:$BJ$999,Transport!$B37,BY_TRA!$BK$2:$BK$999,Transport!$C37)/SUMIFS(BY_TRA!R$2:R$999,BY_TRA!$BJ$2:$BJ$999,Transport!$B37),0)</f>
        <v>0</v>
      </c>
      <c r="K37" s="1">
        <f>IFERROR(SUMIFS(BY_TRA!S$2:S$999,BY_TRA!$BJ$2:$BJ$999,Transport!$B37,BY_TRA!$BK$2:$BK$999,Transport!$C37)/SUMIFS(BY_TRA!S$2:S$999,BY_TRA!$BJ$2:$BJ$999,Transport!$B37),0)</f>
        <v>0</v>
      </c>
      <c r="L37" s="1">
        <f>IFERROR(SUMIFS(BY_TRA!T$2:T$999,BY_TRA!$BJ$2:$BJ$999,Transport!$B37,BY_TRA!$BK$2:$BK$999,Transport!$C37)/SUMIFS(BY_TRA!T$2:T$999,BY_TRA!$BJ$2:$BJ$999,Transport!$B37),0)</f>
        <v>0</v>
      </c>
      <c r="M37" s="1">
        <f>IFERROR(SUMIFS(BY_TRA!U$2:U$999,BY_TRA!$BJ$2:$BJ$999,Transport!$B37,BY_TRA!$BK$2:$BK$999,Transport!$C37)/SUMIFS(BY_TRA!U$2:U$999,BY_TRA!$BJ$2:$BJ$999,Transport!$B37),0)</f>
        <v>0</v>
      </c>
      <c r="N37" s="1">
        <f>IFERROR(SUMIFS(BY_TRA!V$2:V$999,BY_TRA!$BJ$2:$BJ$999,Transport!$B37,BY_TRA!$BK$2:$BK$999,Transport!$C37)/SUMIFS(BY_TRA!V$2:V$999,BY_TRA!$BJ$2:$BJ$999,Transport!$B37),0)</f>
        <v>0</v>
      </c>
      <c r="O37" s="1">
        <f>IFERROR(SUMIFS(BY_TRA!W$2:W$999,BY_TRA!$BJ$2:$BJ$999,Transport!$B37,BY_TRA!$BK$2:$BK$999,Transport!$C37)/SUMIFS(BY_TRA!W$2:W$999,BY_TRA!$BJ$2:$BJ$999,Transport!$B37),0)</f>
        <v>0</v>
      </c>
      <c r="P37" s="1">
        <f>IFERROR(SUMIFS(BY_TRA!X$2:X$999,BY_TRA!$BJ$2:$BJ$999,Transport!$B37,BY_TRA!$BK$2:$BK$999,Transport!$C37)/SUMIFS(BY_TRA!X$2:X$999,BY_TRA!$BJ$2:$BJ$999,Transport!$B37),0)</f>
        <v>0</v>
      </c>
      <c r="Q37" s="1">
        <f>IFERROR(SUMIFS(BY_TRA!Y$2:Y$999,BY_TRA!$BJ$2:$BJ$999,Transport!$B37,BY_TRA!$BK$2:$BK$999,Transport!$C37)/SUMIFS(BY_TRA!Y$2:Y$999,BY_TRA!$BJ$2:$BJ$999,Transport!$B37),0)</f>
        <v>0</v>
      </c>
      <c r="R37" s="1">
        <f>IFERROR(SUMIFS(BY_TRA!Z$2:Z$999,BY_TRA!$BJ$2:$BJ$999,Transport!$B37,BY_TRA!$BK$2:$BK$999,Transport!$C37)/SUMIFS(BY_TRA!Z$2:Z$999,BY_TRA!$BJ$2:$BJ$999,Transport!$B37),0)</f>
        <v>0</v>
      </c>
      <c r="S37" s="1">
        <f>IFERROR(SUMIFS(BY_TRA!AA$2:AA$999,BY_TRA!$BJ$2:$BJ$999,Transport!$B37,BY_TRA!$BK$2:$BK$999,Transport!$C37)/SUMIFS(BY_TRA!AA$2:AA$999,BY_TRA!$BJ$2:$BJ$999,Transport!$B37),0)</f>
        <v>0</v>
      </c>
      <c r="T37" s="1">
        <f>IFERROR(SUMIFS(BY_TRA!AB$2:AB$999,BY_TRA!$BJ$2:$BJ$999,Transport!$B37,BY_TRA!$BK$2:$BK$999,Transport!$C37)/SUMIFS(BY_TRA!AB$2:AB$999,BY_TRA!$BJ$2:$BJ$999,Transport!$B37),0)</f>
        <v>0</v>
      </c>
      <c r="U37" s="1">
        <f>IFERROR(SUMIFS(BY_TRA!AC$2:AC$999,BY_TRA!$BJ$2:$BJ$999,Transport!$B37,BY_TRA!$BK$2:$BK$999,Transport!$C37)/SUMIFS(BY_TRA!AC$2:AC$999,BY_TRA!$BJ$2:$BJ$999,Transport!$B37),0)</f>
        <v>0</v>
      </c>
      <c r="V37" s="1">
        <f>IFERROR(SUMIFS(BY_TRA!AD$2:AD$999,BY_TRA!$BJ$2:$BJ$999,Transport!$B37,BY_TRA!$BK$2:$BK$999,Transport!$C37)/SUMIFS(BY_TRA!AD$2:AD$999,BY_TRA!$BJ$2:$BJ$999,Transport!$B37),0)</f>
        <v>0</v>
      </c>
      <c r="W37" s="1">
        <f>IFERROR(SUMIFS(BY_TRA!AE$2:AE$999,BY_TRA!$BJ$2:$BJ$999,Transport!$B37,BY_TRA!$BK$2:$BK$999,Transport!$C37)/SUMIFS(BY_TRA!AE$2:AE$999,BY_TRA!$BJ$2:$BJ$999,Transport!$B37),0)</f>
        <v>0</v>
      </c>
      <c r="X37" s="1">
        <f>IFERROR(SUMIFS(BY_TRA!AF$2:AF$999,BY_TRA!$BJ$2:$BJ$999,Transport!$B37,BY_TRA!$BK$2:$BK$999,Transport!$C37)/SUMIFS(BY_TRA!AF$2:AF$999,BY_TRA!$BJ$2:$BJ$999,Transport!$B37),0)</f>
        <v>0</v>
      </c>
      <c r="Y37" s="1">
        <f>IFERROR(SUMIFS(BY_TRA!AG$2:AG$999,BY_TRA!$BJ$2:$BJ$999,Transport!$B37,BY_TRA!$BK$2:$BK$999,Transport!$C37)/SUMIFS(BY_TRA!AG$2:AG$999,BY_TRA!$BJ$2:$BJ$999,Transport!$B37),0)</f>
        <v>0</v>
      </c>
      <c r="Z37" s="1">
        <f>IFERROR(SUMIFS(BY_TRA!AH$2:AH$999,BY_TRA!$BJ$2:$BJ$999,Transport!$B37,BY_TRA!$BK$2:$BK$999,Transport!$C37)/SUMIFS(BY_TRA!AH$2:AH$999,BY_TRA!$BJ$2:$BJ$999,Transport!$B37),0)</f>
        <v>0</v>
      </c>
      <c r="AA37" s="1">
        <f>IFERROR(SUMIFS(BY_TRA!AI$2:AI$999,BY_TRA!$BJ$2:$BJ$999,Transport!$B37,BY_TRA!$BK$2:$BK$999,Transport!$C37)/SUMIFS(BY_TRA!AI$2:AI$999,BY_TRA!$BJ$2:$BJ$999,Transport!$B37),0)</f>
        <v>0</v>
      </c>
      <c r="AB37" s="1">
        <f>IFERROR(SUMIFS(BY_TRA!AJ$2:AJ$999,BY_TRA!$BJ$2:$BJ$999,Transport!$B37,BY_TRA!$BK$2:$BK$999,Transport!$C37)/SUMIFS(BY_TRA!AJ$2:AJ$999,BY_TRA!$BJ$2:$BJ$999,Transport!$B37),0)</f>
        <v>0</v>
      </c>
      <c r="AC37" s="1">
        <f>IFERROR(SUMIFS(BY_TRA!AK$2:AK$999,BY_TRA!$BJ$2:$BJ$999,Transport!$B37,BY_TRA!$BK$2:$BK$999,Transport!$C37)/SUMIFS(BY_TRA!AK$2:AK$999,BY_TRA!$BJ$2:$BJ$999,Transport!$B37),0)</f>
        <v>0</v>
      </c>
      <c r="AD37" s="1">
        <f>IFERROR(SUMIFS(BY_TRA!AL$2:AL$999,BY_TRA!$BJ$2:$BJ$999,Transport!$B37,BY_TRA!$BK$2:$BK$999,Transport!$C37)/SUMIFS(BY_TRA!AL$2:AL$999,BY_TRA!$BJ$2:$BJ$999,Transport!$B37),0)</f>
        <v>0</v>
      </c>
      <c r="AE37" s="1">
        <f>IFERROR(SUMIFS(BY_TRA!AM$2:AM$999,BY_TRA!$BJ$2:$BJ$999,Transport!$B37,BY_TRA!$BK$2:$BK$999,Transport!$C37)/SUMIFS(BY_TRA!AM$2:AM$999,BY_TRA!$BJ$2:$BJ$999,Transport!$B37),0)</f>
        <v>0</v>
      </c>
      <c r="AF37" s="1">
        <f>IFERROR(SUMIFS(BY_TRA!AN$2:AN$999,BY_TRA!$BJ$2:$BJ$999,Transport!$B37,BY_TRA!$BK$2:$BK$999,Transport!$C37)/SUMIFS(BY_TRA!AN$2:AN$999,BY_TRA!$BJ$2:$BJ$999,Transport!$B37),0)</f>
        <v>0</v>
      </c>
      <c r="AG37" s="1">
        <f>IFERROR(SUMIFS(BY_TRA!AO$2:AO$999,BY_TRA!$BJ$2:$BJ$999,Transport!$B37,BY_TRA!$BK$2:$BK$999,Transport!$C37)/SUMIFS(BY_TRA!AO$2:AO$999,BY_TRA!$BJ$2:$BJ$999,Transport!$B37),0)</f>
        <v>0</v>
      </c>
      <c r="AH37" s="1">
        <f>IFERROR(SUMIFS(BY_TRA!AP$2:AP$999,BY_TRA!$BJ$2:$BJ$999,Transport!$B37,BY_TRA!$BK$2:$BK$999,Transport!$C37)/SUMIFS(BY_TRA!AP$2:AP$999,BY_TRA!$BJ$2:$BJ$999,Transport!$B37),0)</f>
        <v>0</v>
      </c>
      <c r="AI37" s="1">
        <f>IFERROR(SUMIFS(BY_TRA!AQ$2:AQ$999,BY_TRA!$BJ$2:$BJ$999,Transport!$B37,BY_TRA!$BK$2:$BK$999,Transport!$C37)/SUMIFS(BY_TRA!AQ$2:AQ$999,BY_TRA!$BJ$2:$BJ$999,Transport!$B37),0)</f>
        <v>0</v>
      </c>
      <c r="AJ37" s="1">
        <f>IFERROR(SUMIFS(BY_TRA!AR$2:AR$999,BY_TRA!$BJ$2:$BJ$999,Transport!$B37,BY_TRA!$BK$2:$BK$999,Transport!$C37)/SUMIFS(BY_TRA!AR$2:AR$999,BY_TRA!$BJ$2:$BJ$999,Transport!$B37),0)</f>
        <v>0</v>
      </c>
      <c r="AK37" s="1">
        <f>IFERROR(SUMIFS(BY_TRA!AS$2:AS$999,BY_TRA!$BJ$2:$BJ$999,Transport!$B37,BY_TRA!$BK$2:$BK$999,Transport!$C37)/SUMIFS(BY_TRA!AS$2:AS$999,BY_TRA!$BJ$2:$BJ$999,Transport!$B37),0)</f>
        <v>0</v>
      </c>
      <c r="AL37" s="1">
        <f>IFERROR(SUMIFS(BY_TRA!AT$2:AT$999,BY_TRA!$BJ$2:$BJ$999,Transport!$B37,BY_TRA!$BK$2:$BK$999,Transport!$C37)/SUMIFS(BY_TRA!AT$2:AT$999,BY_TRA!$BJ$2:$BJ$999,Transport!$B37),0)</f>
        <v>0</v>
      </c>
      <c r="AM37" s="1">
        <f>IFERROR(SUMIFS(BY_TRA!AU$2:AU$999,BY_TRA!$BJ$2:$BJ$999,Transport!$B37,BY_TRA!$BK$2:$BK$999,Transport!$C37)/SUMIFS(BY_TRA!AU$2:AU$999,BY_TRA!$BJ$2:$BJ$999,Transport!$B37),0)</f>
        <v>0</v>
      </c>
      <c r="AN37" s="1">
        <f>IFERROR(SUMIFS(BY_TRA!AV$2:AV$999,BY_TRA!$BJ$2:$BJ$999,Transport!$B37,BY_TRA!$BK$2:$BK$999,Transport!$C37)/SUMIFS(BY_TRA!AV$2:AV$999,BY_TRA!$BJ$2:$BJ$999,Transport!$B37),0)</f>
        <v>0</v>
      </c>
      <c r="AO37" s="1">
        <f>IFERROR(SUMIFS(BY_TRA!AW$2:AW$999,BY_TRA!$BJ$2:$BJ$999,Transport!$B37,BY_TRA!$BK$2:$BK$999,Transport!$C37)/SUMIFS(BY_TRA!AW$2:AW$999,BY_TRA!$BJ$2:$BJ$999,Transport!$B37),0)</f>
        <v>0</v>
      </c>
      <c r="AP37" s="1">
        <f>IFERROR(SUMIFS(BY_TRA!AX$2:AX$999,BY_TRA!$BJ$2:$BJ$999,Transport!$B37,BY_TRA!$BK$2:$BK$999,Transport!$C37)/SUMIFS(BY_TRA!AX$2:AX$999,BY_TRA!$BJ$2:$BJ$999,Transport!$B37),0)</f>
        <v>0</v>
      </c>
      <c r="AQ37" s="1">
        <f>IFERROR(SUMIFS(BY_TRA!AY$2:AY$999,BY_TRA!$BJ$2:$BJ$999,Transport!$B37,BY_TRA!$BK$2:$BK$999,Transport!$C37)/SUMIFS(BY_TRA!AY$2:AY$999,BY_TRA!$BJ$2:$BJ$999,Transport!$B37),0)</f>
        <v>0</v>
      </c>
      <c r="AR37" s="1">
        <f>IFERROR(SUMIFS(BY_TRA!AZ$2:AZ$999,BY_TRA!$BJ$2:$BJ$999,Transport!$B37,BY_TRA!$BK$2:$BK$999,Transport!$C37)/SUMIFS(BY_TRA!AZ$2:AZ$999,BY_TRA!$BJ$2:$BJ$999,Transport!$B37),0)</f>
        <v>0</v>
      </c>
      <c r="AS37" s="1">
        <f>IFERROR(SUMIFS(BY_TRA!BA$2:BA$999,BY_TRA!$BJ$2:$BJ$999,Transport!$B37,BY_TRA!$BK$2:$BK$999,Transport!$C37)/SUMIFS(BY_TRA!BA$2:BA$999,BY_TRA!$BJ$2:$BJ$999,Transport!$B37),0)</f>
        <v>0</v>
      </c>
      <c r="AT37" s="1">
        <f>IFERROR(SUMIFS(BY_TRA!BB$2:BB$999,BY_TRA!$BJ$2:$BJ$999,Transport!$B37,BY_TRA!$BK$2:$BK$999,Transport!$C37)/SUMIFS(BY_TRA!BB$2:BB$999,BY_TRA!$BJ$2:$BJ$999,Transport!$B37),0)</f>
        <v>0</v>
      </c>
      <c r="AU37" s="1">
        <f>IFERROR(SUMIFS(BY_TRA!BC$2:BC$999,BY_TRA!$BJ$2:$BJ$999,Transport!$B37,BY_TRA!$BK$2:$BK$999,Transport!$C37)/SUMIFS(BY_TRA!BC$2:BC$999,BY_TRA!$BJ$2:$BJ$999,Transport!$B37),0)</f>
        <v>0</v>
      </c>
      <c r="AV37" s="1">
        <f>IFERROR(SUMIFS(BY_TRA!BD$2:BD$999,BY_TRA!$BJ$2:$BJ$999,Transport!$B37,BY_TRA!$BK$2:$BK$999,Transport!$C37)/SUMIFS(BY_TRA!BD$2:BD$999,BY_TRA!$BJ$2:$BJ$999,Transport!$B37),0)</f>
        <v>0</v>
      </c>
      <c r="AW37" s="1">
        <f>IFERROR(SUMIFS(BY_TRA!BE$2:BE$999,BY_TRA!$BJ$2:$BJ$999,Transport!$B37,BY_TRA!$BK$2:$BK$999,Transport!$C37)/SUMIFS(BY_TRA!BE$2:BE$999,BY_TRA!$BJ$2:$BJ$999,Transport!$B37),0)</f>
        <v>0</v>
      </c>
      <c r="AX37" s="1">
        <f>IFERROR(SUMIFS(BY_TRA!BF$2:BF$999,BY_TRA!$BJ$2:$BJ$999,Transport!$B37,BY_TRA!$BK$2:$BK$999,Transport!$C37)/SUMIFS(BY_TRA!BF$2:BF$999,BY_TRA!$BJ$2:$BJ$999,Transport!$B37),0)</f>
        <v>0</v>
      </c>
      <c r="AY37" s="1">
        <f>IFERROR(SUMIFS(BY_TRA!BG$2:BG$999,BY_TRA!$BJ$2:$BJ$999,Transport!$B37,BY_TRA!$BK$2:$BK$999,Transport!$C37)/SUMIFS(BY_TRA!BG$2:BG$999,BY_TRA!$BJ$2:$BJ$999,Transport!$B37),0)</f>
        <v>0</v>
      </c>
    </row>
    <row r="38" spans="2:51">
      <c r="B38" t="s">
        <v>125</v>
      </c>
      <c r="C38" t="s">
        <v>123</v>
      </c>
      <c r="D38" s="1">
        <f>IFERROR(SUMIFS(BY_TRA!L$2:L$999,BY_TRA!$BJ$2:$BJ$999,Transport!$B38,BY_TRA!$BK$2:$BK$999,Transport!$C38)/SUMIFS(BY_TRA!L$2:L$999,BY_TRA!$BJ$2:$BJ$999,Transport!$B38),0)</f>
        <v>0</v>
      </c>
      <c r="E38" s="1">
        <f>IFERROR(SUMIFS(BY_TRA!M$2:M$999,BY_TRA!$BJ$2:$BJ$999,Transport!$B38,BY_TRA!$BK$2:$BK$999,Transport!$C38)/SUMIFS(BY_TRA!M$2:M$999,BY_TRA!$BJ$2:$BJ$999,Transport!$B38),0)</f>
        <v>0</v>
      </c>
      <c r="F38" s="1">
        <f>IFERROR(SUMIFS(BY_TRA!N$2:N$999,BY_TRA!$BJ$2:$BJ$999,Transport!$B38,BY_TRA!$BK$2:$BK$999,Transport!$C38)/SUMIFS(BY_TRA!N$2:N$999,BY_TRA!$BJ$2:$BJ$999,Transport!$B38),0)</f>
        <v>0</v>
      </c>
      <c r="G38" s="1">
        <f>IFERROR(SUMIFS(BY_TRA!O$2:O$999,BY_TRA!$BJ$2:$BJ$999,Transport!$B38,BY_TRA!$BK$2:$BK$999,Transport!$C38)/SUMIFS(BY_TRA!O$2:O$999,BY_TRA!$BJ$2:$BJ$999,Transport!$B38),0)</f>
        <v>0</v>
      </c>
      <c r="H38" s="1">
        <f>IFERROR(SUMIFS(BY_TRA!P$2:P$999,BY_TRA!$BJ$2:$BJ$999,Transport!$B38,BY_TRA!$BK$2:$BK$999,Transport!$C38)/SUMIFS(BY_TRA!P$2:P$999,BY_TRA!$BJ$2:$BJ$999,Transport!$B38),0)</f>
        <v>0</v>
      </c>
      <c r="I38" s="1">
        <f>IFERROR(SUMIFS(BY_TRA!Q$2:Q$999,BY_TRA!$BJ$2:$BJ$999,Transport!$B38,BY_TRA!$BK$2:$BK$999,Transport!$C38)/SUMIFS(BY_TRA!Q$2:Q$999,BY_TRA!$BJ$2:$BJ$999,Transport!$B38),0)</f>
        <v>0</v>
      </c>
      <c r="J38" s="1">
        <f>IFERROR(SUMIFS(BY_TRA!R$2:R$999,BY_TRA!$BJ$2:$BJ$999,Transport!$B38,BY_TRA!$BK$2:$BK$999,Transport!$C38)/SUMIFS(BY_TRA!R$2:R$999,BY_TRA!$BJ$2:$BJ$999,Transport!$B38),0)</f>
        <v>0</v>
      </c>
      <c r="K38" s="1">
        <f>IFERROR(SUMIFS(BY_TRA!S$2:S$999,BY_TRA!$BJ$2:$BJ$999,Transport!$B38,BY_TRA!$BK$2:$BK$999,Transport!$C38)/SUMIFS(BY_TRA!S$2:S$999,BY_TRA!$BJ$2:$BJ$999,Transport!$B38),0)</f>
        <v>0</v>
      </c>
      <c r="L38" s="1">
        <f>IFERROR(SUMIFS(BY_TRA!T$2:T$999,BY_TRA!$BJ$2:$BJ$999,Transport!$B38,BY_TRA!$BK$2:$BK$999,Transport!$C38)/SUMIFS(BY_TRA!T$2:T$999,BY_TRA!$BJ$2:$BJ$999,Transport!$B38),0)</f>
        <v>0</v>
      </c>
      <c r="M38" s="1">
        <f>IFERROR(SUMIFS(BY_TRA!U$2:U$999,BY_TRA!$BJ$2:$BJ$999,Transport!$B38,BY_TRA!$BK$2:$BK$999,Transport!$C38)/SUMIFS(BY_TRA!U$2:U$999,BY_TRA!$BJ$2:$BJ$999,Transport!$B38),0)</f>
        <v>0</v>
      </c>
      <c r="N38" s="1">
        <f>IFERROR(SUMIFS(BY_TRA!V$2:V$999,BY_TRA!$BJ$2:$BJ$999,Transport!$B38,BY_TRA!$BK$2:$BK$999,Transport!$C38)/SUMIFS(BY_TRA!V$2:V$999,BY_TRA!$BJ$2:$BJ$999,Transport!$B38),0)</f>
        <v>0</v>
      </c>
      <c r="O38" s="1">
        <f>IFERROR(SUMIFS(BY_TRA!W$2:W$999,BY_TRA!$BJ$2:$BJ$999,Transport!$B38,BY_TRA!$BK$2:$BK$999,Transport!$C38)/SUMIFS(BY_TRA!W$2:W$999,BY_TRA!$BJ$2:$BJ$999,Transport!$B38),0)</f>
        <v>0</v>
      </c>
      <c r="P38" s="1">
        <f>IFERROR(SUMIFS(BY_TRA!X$2:X$999,BY_TRA!$BJ$2:$BJ$999,Transport!$B38,BY_TRA!$BK$2:$BK$999,Transport!$C38)/SUMIFS(BY_TRA!X$2:X$999,BY_TRA!$BJ$2:$BJ$999,Transport!$B38),0)</f>
        <v>0</v>
      </c>
      <c r="Q38" s="1">
        <f>IFERROR(SUMIFS(BY_TRA!Y$2:Y$999,BY_TRA!$BJ$2:$BJ$999,Transport!$B38,BY_TRA!$BK$2:$BK$999,Transport!$C38)/SUMIFS(BY_TRA!Y$2:Y$999,BY_TRA!$BJ$2:$BJ$999,Transport!$B38),0)</f>
        <v>0</v>
      </c>
      <c r="R38" s="1">
        <f>IFERROR(SUMIFS(BY_TRA!Z$2:Z$999,BY_TRA!$BJ$2:$BJ$999,Transport!$B38,BY_TRA!$BK$2:$BK$999,Transport!$C38)/SUMIFS(BY_TRA!Z$2:Z$999,BY_TRA!$BJ$2:$BJ$999,Transport!$B38),0)</f>
        <v>0</v>
      </c>
      <c r="S38" s="1">
        <f>IFERROR(SUMIFS(BY_TRA!AA$2:AA$999,BY_TRA!$BJ$2:$BJ$999,Transport!$B38,BY_TRA!$BK$2:$BK$999,Transport!$C38)/SUMIFS(BY_TRA!AA$2:AA$999,BY_TRA!$BJ$2:$BJ$999,Transport!$B38),0)</f>
        <v>0</v>
      </c>
      <c r="T38" s="1">
        <f>IFERROR(SUMIFS(BY_TRA!AB$2:AB$999,BY_TRA!$BJ$2:$BJ$999,Transport!$B38,BY_TRA!$BK$2:$BK$999,Transport!$C38)/SUMIFS(BY_TRA!AB$2:AB$999,BY_TRA!$BJ$2:$BJ$999,Transport!$B38),0)</f>
        <v>0</v>
      </c>
      <c r="U38" s="1">
        <f>IFERROR(SUMIFS(BY_TRA!AC$2:AC$999,BY_TRA!$BJ$2:$BJ$999,Transport!$B38,BY_TRA!$BK$2:$BK$999,Transport!$C38)/SUMIFS(BY_TRA!AC$2:AC$999,BY_TRA!$BJ$2:$BJ$999,Transport!$B38),0)</f>
        <v>0</v>
      </c>
      <c r="V38" s="1">
        <f>IFERROR(SUMIFS(BY_TRA!AD$2:AD$999,BY_TRA!$BJ$2:$BJ$999,Transport!$B38,BY_TRA!$BK$2:$BK$999,Transport!$C38)/SUMIFS(BY_TRA!AD$2:AD$999,BY_TRA!$BJ$2:$BJ$999,Transport!$B38),0)</f>
        <v>0</v>
      </c>
      <c r="W38" s="1">
        <f>IFERROR(SUMIFS(BY_TRA!AE$2:AE$999,BY_TRA!$BJ$2:$BJ$999,Transport!$B38,BY_TRA!$BK$2:$BK$999,Transport!$C38)/SUMIFS(BY_TRA!AE$2:AE$999,BY_TRA!$BJ$2:$BJ$999,Transport!$B38),0)</f>
        <v>0</v>
      </c>
      <c r="X38" s="1">
        <f>IFERROR(SUMIFS(BY_TRA!AF$2:AF$999,BY_TRA!$BJ$2:$BJ$999,Transport!$B38,BY_TRA!$BK$2:$BK$999,Transport!$C38)/SUMIFS(BY_TRA!AF$2:AF$999,BY_TRA!$BJ$2:$BJ$999,Transport!$B38),0)</f>
        <v>0</v>
      </c>
      <c r="Y38" s="1">
        <f>IFERROR(SUMIFS(BY_TRA!AG$2:AG$999,BY_TRA!$BJ$2:$BJ$999,Transport!$B38,BY_TRA!$BK$2:$BK$999,Transport!$C38)/SUMIFS(BY_TRA!AG$2:AG$999,BY_TRA!$BJ$2:$BJ$999,Transport!$B38),0)</f>
        <v>0</v>
      </c>
      <c r="Z38" s="1">
        <f>IFERROR(SUMIFS(BY_TRA!AH$2:AH$999,BY_TRA!$BJ$2:$BJ$999,Transport!$B38,BY_TRA!$BK$2:$BK$999,Transport!$C38)/SUMIFS(BY_TRA!AH$2:AH$999,BY_TRA!$BJ$2:$BJ$999,Transport!$B38),0)</f>
        <v>0</v>
      </c>
      <c r="AA38" s="1">
        <f>IFERROR(SUMIFS(BY_TRA!AI$2:AI$999,BY_TRA!$BJ$2:$BJ$999,Transport!$B38,BY_TRA!$BK$2:$BK$999,Transport!$C38)/SUMIFS(BY_TRA!AI$2:AI$999,BY_TRA!$BJ$2:$BJ$999,Transport!$B38),0)</f>
        <v>0</v>
      </c>
      <c r="AB38" s="1">
        <f>IFERROR(SUMIFS(BY_TRA!AJ$2:AJ$999,BY_TRA!$BJ$2:$BJ$999,Transport!$B38,BY_TRA!$BK$2:$BK$999,Transport!$C38)/SUMIFS(BY_TRA!AJ$2:AJ$999,BY_TRA!$BJ$2:$BJ$999,Transport!$B38),0)</f>
        <v>0</v>
      </c>
      <c r="AC38" s="1">
        <f>IFERROR(SUMIFS(BY_TRA!AK$2:AK$999,BY_TRA!$BJ$2:$BJ$999,Transport!$B38,BY_TRA!$BK$2:$BK$999,Transport!$C38)/SUMIFS(BY_TRA!AK$2:AK$999,BY_TRA!$BJ$2:$BJ$999,Transport!$B38),0)</f>
        <v>0</v>
      </c>
      <c r="AD38" s="1">
        <f>IFERROR(SUMIFS(BY_TRA!AL$2:AL$999,BY_TRA!$BJ$2:$BJ$999,Transport!$B38,BY_TRA!$BK$2:$BK$999,Transport!$C38)/SUMIFS(BY_TRA!AL$2:AL$999,BY_TRA!$BJ$2:$BJ$999,Transport!$B38),0)</f>
        <v>0</v>
      </c>
      <c r="AE38" s="1">
        <f>IFERROR(SUMIFS(BY_TRA!AM$2:AM$999,BY_TRA!$BJ$2:$BJ$999,Transport!$B38,BY_TRA!$BK$2:$BK$999,Transport!$C38)/SUMIFS(BY_TRA!AM$2:AM$999,BY_TRA!$BJ$2:$BJ$999,Transport!$B38),0)</f>
        <v>0</v>
      </c>
      <c r="AF38" s="1">
        <f>IFERROR(SUMIFS(BY_TRA!AN$2:AN$999,BY_TRA!$BJ$2:$BJ$999,Transport!$B38,BY_TRA!$BK$2:$BK$999,Transport!$C38)/SUMIFS(BY_TRA!AN$2:AN$999,BY_TRA!$BJ$2:$BJ$999,Transport!$B38),0)</f>
        <v>0</v>
      </c>
      <c r="AG38" s="1">
        <f>IFERROR(SUMIFS(BY_TRA!AO$2:AO$999,BY_TRA!$BJ$2:$BJ$999,Transport!$B38,BY_TRA!$BK$2:$BK$999,Transport!$C38)/SUMIFS(BY_TRA!AO$2:AO$999,BY_TRA!$BJ$2:$BJ$999,Transport!$B38),0)</f>
        <v>0</v>
      </c>
      <c r="AH38" s="1">
        <f>IFERROR(SUMIFS(BY_TRA!AP$2:AP$999,BY_TRA!$BJ$2:$BJ$999,Transport!$B38,BY_TRA!$BK$2:$BK$999,Transport!$C38)/SUMIFS(BY_TRA!AP$2:AP$999,BY_TRA!$BJ$2:$BJ$999,Transport!$B38),0)</f>
        <v>0</v>
      </c>
      <c r="AI38" s="1">
        <f>IFERROR(SUMIFS(BY_TRA!AQ$2:AQ$999,BY_TRA!$BJ$2:$BJ$999,Transport!$B38,BY_TRA!$BK$2:$BK$999,Transport!$C38)/SUMIFS(BY_TRA!AQ$2:AQ$999,BY_TRA!$BJ$2:$BJ$999,Transport!$B38),0)</f>
        <v>0</v>
      </c>
      <c r="AJ38" s="1">
        <f>IFERROR(SUMIFS(BY_TRA!AR$2:AR$999,BY_TRA!$BJ$2:$BJ$999,Transport!$B38,BY_TRA!$BK$2:$BK$999,Transport!$C38)/SUMIFS(BY_TRA!AR$2:AR$999,BY_TRA!$BJ$2:$BJ$999,Transport!$B38),0)</f>
        <v>0</v>
      </c>
      <c r="AK38" s="1">
        <f>IFERROR(SUMIFS(BY_TRA!AS$2:AS$999,BY_TRA!$BJ$2:$BJ$999,Transport!$B38,BY_TRA!$BK$2:$BK$999,Transport!$C38)/SUMIFS(BY_TRA!AS$2:AS$999,BY_TRA!$BJ$2:$BJ$999,Transport!$B38),0)</f>
        <v>0</v>
      </c>
      <c r="AL38" s="1">
        <f>IFERROR(SUMIFS(BY_TRA!AT$2:AT$999,BY_TRA!$BJ$2:$BJ$999,Transport!$B38,BY_TRA!$BK$2:$BK$999,Transport!$C38)/SUMIFS(BY_TRA!AT$2:AT$999,BY_TRA!$BJ$2:$BJ$999,Transport!$B38),0)</f>
        <v>0</v>
      </c>
      <c r="AM38" s="1">
        <f>IFERROR(SUMIFS(BY_TRA!AU$2:AU$999,BY_TRA!$BJ$2:$BJ$999,Transport!$B38,BY_TRA!$BK$2:$BK$999,Transport!$C38)/SUMIFS(BY_TRA!AU$2:AU$999,BY_TRA!$BJ$2:$BJ$999,Transport!$B38),0)</f>
        <v>0</v>
      </c>
      <c r="AN38" s="1">
        <f>IFERROR(SUMIFS(BY_TRA!AV$2:AV$999,BY_TRA!$BJ$2:$BJ$999,Transport!$B38,BY_TRA!$BK$2:$BK$999,Transport!$C38)/SUMIFS(BY_TRA!AV$2:AV$999,BY_TRA!$BJ$2:$BJ$999,Transport!$B38),0)</f>
        <v>0</v>
      </c>
      <c r="AO38" s="1">
        <f>IFERROR(SUMIFS(BY_TRA!AW$2:AW$999,BY_TRA!$BJ$2:$BJ$999,Transport!$B38,BY_TRA!$BK$2:$BK$999,Transport!$C38)/SUMIFS(BY_TRA!AW$2:AW$999,BY_TRA!$BJ$2:$BJ$999,Transport!$B38),0)</f>
        <v>0</v>
      </c>
      <c r="AP38" s="1">
        <f>IFERROR(SUMIFS(BY_TRA!AX$2:AX$999,BY_TRA!$BJ$2:$BJ$999,Transport!$B38,BY_TRA!$BK$2:$BK$999,Transport!$C38)/SUMIFS(BY_TRA!AX$2:AX$999,BY_TRA!$BJ$2:$BJ$999,Transport!$B38),0)</f>
        <v>0</v>
      </c>
      <c r="AQ38" s="1">
        <f>IFERROR(SUMIFS(BY_TRA!AY$2:AY$999,BY_TRA!$BJ$2:$BJ$999,Transport!$B38,BY_TRA!$BK$2:$BK$999,Transport!$C38)/SUMIFS(BY_TRA!AY$2:AY$999,BY_TRA!$BJ$2:$BJ$999,Transport!$B38),0)</f>
        <v>0</v>
      </c>
      <c r="AR38" s="1">
        <f>IFERROR(SUMIFS(BY_TRA!AZ$2:AZ$999,BY_TRA!$BJ$2:$BJ$999,Transport!$B38,BY_TRA!$BK$2:$BK$999,Transport!$C38)/SUMIFS(BY_TRA!AZ$2:AZ$999,BY_TRA!$BJ$2:$BJ$999,Transport!$B38),0)</f>
        <v>0</v>
      </c>
      <c r="AS38" s="1">
        <f>IFERROR(SUMIFS(BY_TRA!BA$2:BA$999,BY_TRA!$BJ$2:$BJ$999,Transport!$B38,BY_TRA!$BK$2:$BK$999,Transport!$C38)/SUMIFS(BY_TRA!BA$2:BA$999,BY_TRA!$BJ$2:$BJ$999,Transport!$B38),0)</f>
        <v>0</v>
      </c>
      <c r="AT38" s="1">
        <f>IFERROR(SUMIFS(BY_TRA!BB$2:BB$999,BY_TRA!$BJ$2:$BJ$999,Transport!$B38,BY_TRA!$BK$2:$BK$999,Transport!$C38)/SUMIFS(BY_TRA!BB$2:BB$999,BY_TRA!$BJ$2:$BJ$999,Transport!$B38),0)</f>
        <v>0</v>
      </c>
      <c r="AU38" s="1">
        <f>IFERROR(SUMIFS(BY_TRA!BC$2:BC$999,BY_TRA!$BJ$2:$BJ$999,Transport!$B38,BY_TRA!$BK$2:$BK$999,Transport!$C38)/SUMIFS(BY_TRA!BC$2:BC$999,BY_TRA!$BJ$2:$BJ$999,Transport!$B38),0)</f>
        <v>0</v>
      </c>
      <c r="AV38" s="1">
        <f>IFERROR(SUMIFS(BY_TRA!BD$2:BD$999,BY_TRA!$BJ$2:$BJ$999,Transport!$B38,BY_TRA!$BK$2:$BK$999,Transport!$C38)/SUMIFS(BY_TRA!BD$2:BD$999,BY_TRA!$BJ$2:$BJ$999,Transport!$B38),0)</f>
        <v>0</v>
      </c>
      <c r="AW38" s="1">
        <f>IFERROR(SUMIFS(BY_TRA!BE$2:BE$999,BY_TRA!$BJ$2:$BJ$999,Transport!$B38,BY_TRA!$BK$2:$BK$999,Transport!$C38)/SUMIFS(BY_TRA!BE$2:BE$999,BY_TRA!$BJ$2:$BJ$999,Transport!$B38),0)</f>
        <v>0</v>
      </c>
      <c r="AX38" s="1">
        <f>IFERROR(SUMIFS(BY_TRA!BF$2:BF$999,BY_TRA!$BJ$2:$BJ$999,Transport!$B38,BY_TRA!$BK$2:$BK$999,Transport!$C38)/SUMIFS(BY_TRA!BF$2:BF$999,BY_TRA!$BJ$2:$BJ$999,Transport!$B38),0)</f>
        <v>0</v>
      </c>
      <c r="AY38" s="1">
        <f>IFERROR(SUMIFS(BY_TRA!BG$2:BG$999,BY_TRA!$BJ$2:$BJ$999,Transport!$B38,BY_TRA!$BK$2:$BK$999,Transport!$C38)/SUMIFS(BY_TRA!BG$2:BG$999,BY_TRA!$BJ$2:$BJ$999,Transport!$B38),0)</f>
        <v>0</v>
      </c>
    </row>
    <row r="39" spans="2:51">
      <c r="B39" t="s">
        <v>125</v>
      </c>
      <c r="C39" t="s">
        <v>124</v>
      </c>
      <c r="D39" s="1">
        <f>IFERROR(SUMIFS(BY_TRA!L$2:L$999,BY_TRA!$BJ$2:$BJ$999,Transport!$B39,BY_TRA!$BK$2:$BK$999,Transport!$C39)/SUMIFS(BY_TRA!L$2:L$999,BY_TRA!$BJ$2:$BJ$999,Transport!$B39),0)</f>
        <v>0</v>
      </c>
      <c r="E39" s="1">
        <f>IFERROR(SUMIFS(BY_TRA!M$2:M$999,BY_TRA!$BJ$2:$BJ$999,Transport!$B39,BY_TRA!$BK$2:$BK$999,Transport!$C39)/SUMIFS(BY_TRA!M$2:M$999,BY_TRA!$BJ$2:$BJ$999,Transport!$B39),0)</f>
        <v>0</v>
      </c>
      <c r="F39" s="1">
        <f>IFERROR(SUMIFS(BY_TRA!N$2:N$999,BY_TRA!$BJ$2:$BJ$999,Transport!$B39,BY_TRA!$BK$2:$BK$999,Transport!$C39)/SUMIFS(BY_TRA!N$2:N$999,BY_TRA!$BJ$2:$BJ$999,Transport!$B39),0)</f>
        <v>0</v>
      </c>
      <c r="G39" s="1">
        <f>IFERROR(SUMIFS(BY_TRA!O$2:O$999,BY_TRA!$BJ$2:$BJ$999,Transport!$B39,BY_TRA!$BK$2:$BK$999,Transport!$C39)/SUMIFS(BY_TRA!O$2:O$999,BY_TRA!$BJ$2:$BJ$999,Transport!$B39),0)</f>
        <v>0</v>
      </c>
      <c r="H39" s="1">
        <f>IFERROR(SUMIFS(BY_TRA!P$2:P$999,BY_TRA!$BJ$2:$BJ$999,Transport!$B39,BY_TRA!$BK$2:$BK$999,Transport!$C39)/SUMIFS(BY_TRA!P$2:P$999,BY_TRA!$BJ$2:$BJ$999,Transport!$B39),0)</f>
        <v>0</v>
      </c>
      <c r="I39" s="1">
        <f>IFERROR(SUMIFS(BY_TRA!Q$2:Q$999,BY_TRA!$BJ$2:$BJ$999,Transport!$B39,BY_TRA!$BK$2:$BK$999,Transport!$C39)/SUMIFS(BY_TRA!Q$2:Q$999,BY_TRA!$BJ$2:$BJ$999,Transport!$B39),0)</f>
        <v>0</v>
      </c>
      <c r="J39" s="1">
        <f>IFERROR(SUMIFS(BY_TRA!R$2:R$999,BY_TRA!$BJ$2:$BJ$999,Transport!$B39,BY_TRA!$BK$2:$BK$999,Transport!$C39)/SUMIFS(BY_TRA!R$2:R$999,BY_TRA!$BJ$2:$BJ$999,Transport!$B39),0)</f>
        <v>0</v>
      </c>
      <c r="K39" s="1">
        <f>IFERROR(SUMIFS(BY_TRA!S$2:S$999,BY_TRA!$BJ$2:$BJ$999,Transport!$B39,BY_TRA!$BK$2:$BK$999,Transport!$C39)/SUMIFS(BY_TRA!S$2:S$999,BY_TRA!$BJ$2:$BJ$999,Transport!$B39),0)</f>
        <v>0</v>
      </c>
      <c r="L39" s="1">
        <f>IFERROR(SUMIFS(BY_TRA!T$2:T$999,BY_TRA!$BJ$2:$BJ$999,Transport!$B39,BY_TRA!$BK$2:$BK$999,Transport!$C39)/SUMIFS(BY_TRA!T$2:T$999,BY_TRA!$BJ$2:$BJ$999,Transport!$B39),0)</f>
        <v>0</v>
      </c>
      <c r="M39" s="1">
        <f>IFERROR(SUMIFS(BY_TRA!U$2:U$999,BY_TRA!$BJ$2:$BJ$999,Transport!$B39,BY_TRA!$BK$2:$BK$999,Transport!$C39)/SUMIFS(BY_TRA!U$2:U$999,BY_TRA!$BJ$2:$BJ$999,Transport!$B39),0)</f>
        <v>0</v>
      </c>
      <c r="N39" s="1">
        <f>IFERROR(SUMIFS(BY_TRA!V$2:V$999,BY_TRA!$BJ$2:$BJ$999,Transport!$B39,BY_TRA!$BK$2:$BK$999,Transport!$C39)/SUMIFS(BY_TRA!V$2:V$999,BY_TRA!$BJ$2:$BJ$999,Transport!$B39),0)</f>
        <v>0</v>
      </c>
      <c r="O39" s="1">
        <f>IFERROR(SUMIFS(BY_TRA!W$2:W$999,BY_TRA!$BJ$2:$BJ$999,Transport!$B39,BY_TRA!$BK$2:$BK$999,Transport!$C39)/SUMIFS(BY_TRA!W$2:W$999,BY_TRA!$BJ$2:$BJ$999,Transport!$B39),0)</f>
        <v>0</v>
      </c>
      <c r="P39" s="1">
        <f>IFERROR(SUMIFS(BY_TRA!X$2:X$999,BY_TRA!$BJ$2:$BJ$999,Transport!$B39,BY_TRA!$BK$2:$BK$999,Transport!$C39)/SUMIFS(BY_TRA!X$2:X$999,BY_TRA!$BJ$2:$BJ$999,Transport!$B39),0)</f>
        <v>0</v>
      </c>
      <c r="Q39" s="1">
        <f>IFERROR(SUMIFS(BY_TRA!Y$2:Y$999,BY_TRA!$BJ$2:$BJ$999,Transport!$B39,BY_TRA!$BK$2:$BK$999,Transport!$C39)/SUMIFS(BY_TRA!Y$2:Y$999,BY_TRA!$BJ$2:$BJ$999,Transport!$B39),0)</f>
        <v>0</v>
      </c>
      <c r="R39" s="1">
        <f>IFERROR(SUMIFS(BY_TRA!Z$2:Z$999,BY_TRA!$BJ$2:$BJ$999,Transport!$B39,BY_TRA!$BK$2:$BK$999,Transport!$C39)/SUMIFS(BY_TRA!Z$2:Z$999,BY_TRA!$BJ$2:$BJ$999,Transport!$B39),0)</f>
        <v>0</v>
      </c>
      <c r="S39" s="1">
        <f>IFERROR(SUMIFS(BY_TRA!AA$2:AA$999,BY_TRA!$BJ$2:$BJ$999,Transport!$B39,BY_TRA!$BK$2:$BK$999,Transport!$C39)/SUMIFS(BY_TRA!AA$2:AA$999,BY_TRA!$BJ$2:$BJ$999,Transport!$B39),0)</f>
        <v>0</v>
      </c>
      <c r="T39" s="1">
        <f>IFERROR(SUMIFS(BY_TRA!AB$2:AB$999,BY_TRA!$BJ$2:$BJ$999,Transport!$B39,BY_TRA!$BK$2:$BK$999,Transport!$C39)/SUMIFS(BY_TRA!AB$2:AB$999,BY_TRA!$BJ$2:$BJ$999,Transport!$B39),0)</f>
        <v>0</v>
      </c>
      <c r="U39" s="1">
        <f>IFERROR(SUMIFS(BY_TRA!AC$2:AC$999,BY_TRA!$BJ$2:$BJ$999,Transport!$B39,BY_TRA!$BK$2:$BK$999,Transport!$C39)/SUMIFS(BY_TRA!AC$2:AC$999,BY_TRA!$BJ$2:$BJ$999,Transport!$B39),0)</f>
        <v>0</v>
      </c>
      <c r="V39" s="1">
        <f>IFERROR(SUMIFS(BY_TRA!AD$2:AD$999,BY_TRA!$BJ$2:$BJ$999,Transport!$B39,BY_TRA!$BK$2:$BK$999,Transport!$C39)/SUMIFS(BY_TRA!AD$2:AD$999,BY_TRA!$BJ$2:$BJ$999,Transport!$B39),0)</f>
        <v>0</v>
      </c>
      <c r="W39" s="1">
        <f>IFERROR(SUMIFS(BY_TRA!AE$2:AE$999,BY_TRA!$BJ$2:$BJ$999,Transport!$B39,BY_TRA!$BK$2:$BK$999,Transport!$C39)/SUMIFS(BY_TRA!AE$2:AE$999,BY_TRA!$BJ$2:$BJ$999,Transport!$B39),0)</f>
        <v>0</v>
      </c>
      <c r="X39" s="1">
        <f>IFERROR(SUMIFS(BY_TRA!AF$2:AF$999,BY_TRA!$BJ$2:$BJ$999,Transport!$B39,BY_TRA!$BK$2:$BK$999,Transport!$C39)/SUMIFS(BY_TRA!AF$2:AF$999,BY_TRA!$BJ$2:$BJ$999,Transport!$B39),0)</f>
        <v>0</v>
      </c>
      <c r="Y39" s="1">
        <f>IFERROR(SUMIFS(BY_TRA!AG$2:AG$999,BY_TRA!$BJ$2:$BJ$999,Transport!$B39,BY_TRA!$BK$2:$BK$999,Transport!$C39)/SUMIFS(BY_TRA!AG$2:AG$999,BY_TRA!$BJ$2:$BJ$999,Transport!$B39),0)</f>
        <v>0</v>
      </c>
      <c r="Z39" s="1">
        <f>IFERROR(SUMIFS(BY_TRA!AH$2:AH$999,BY_TRA!$BJ$2:$BJ$999,Transport!$B39,BY_TRA!$BK$2:$BK$999,Transport!$C39)/SUMIFS(BY_TRA!AH$2:AH$999,BY_TRA!$BJ$2:$BJ$999,Transport!$B39),0)</f>
        <v>0</v>
      </c>
      <c r="AA39" s="1">
        <f>IFERROR(SUMIFS(BY_TRA!AI$2:AI$999,BY_TRA!$BJ$2:$BJ$999,Transport!$B39,BY_TRA!$BK$2:$BK$999,Transport!$C39)/SUMIFS(BY_TRA!AI$2:AI$999,BY_TRA!$BJ$2:$BJ$999,Transport!$B39),0)</f>
        <v>0</v>
      </c>
      <c r="AB39" s="1">
        <f>IFERROR(SUMIFS(BY_TRA!AJ$2:AJ$999,BY_TRA!$BJ$2:$BJ$999,Transport!$B39,BY_TRA!$BK$2:$BK$999,Transport!$C39)/SUMIFS(BY_TRA!AJ$2:AJ$999,BY_TRA!$BJ$2:$BJ$999,Transport!$B39),0)</f>
        <v>0</v>
      </c>
      <c r="AC39" s="1">
        <f>IFERROR(SUMIFS(BY_TRA!AK$2:AK$999,BY_TRA!$BJ$2:$BJ$999,Transport!$B39,BY_TRA!$BK$2:$BK$999,Transport!$C39)/SUMIFS(BY_TRA!AK$2:AK$999,BY_TRA!$BJ$2:$BJ$999,Transport!$B39),0)</f>
        <v>0</v>
      </c>
      <c r="AD39" s="1">
        <f>IFERROR(SUMIFS(BY_TRA!AL$2:AL$999,BY_TRA!$BJ$2:$BJ$999,Transport!$B39,BY_TRA!$BK$2:$BK$999,Transport!$C39)/SUMIFS(BY_TRA!AL$2:AL$999,BY_TRA!$BJ$2:$BJ$999,Transport!$B39),0)</f>
        <v>0</v>
      </c>
      <c r="AE39" s="1">
        <f>IFERROR(SUMIFS(BY_TRA!AM$2:AM$999,BY_TRA!$BJ$2:$BJ$999,Transport!$B39,BY_TRA!$BK$2:$BK$999,Transport!$C39)/SUMIFS(BY_TRA!AM$2:AM$999,BY_TRA!$BJ$2:$BJ$999,Transport!$B39),0)</f>
        <v>0</v>
      </c>
      <c r="AF39" s="1">
        <f>IFERROR(SUMIFS(BY_TRA!AN$2:AN$999,BY_TRA!$BJ$2:$BJ$999,Transport!$B39,BY_TRA!$BK$2:$BK$999,Transport!$C39)/SUMIFS(BY_TRA!AN$2:AN$999,BY_TRA!$BJ$2:$BJ$999,Transport!$B39),0)</f>
        <v>0</v>
      </c>
      <c r="AG39" s="1">
        <f>IFERROR(SUMIFS(BY_TRA!AO$2:AO$999,BY_TRA!$BJ$2:$BJ$999,Transport!$B39,BY_TRA!$BK$2:$BK$999,Transport!$C39)/SUMIFS(BY_TRA!AO$2:AO$999,BY_TRA!$BJ$2:$BJ$999,Transport!$B39),0)</f>
        <v>0</v>
      </c>
      <c r="AH39" s="1">
        <f>IFERROR(SUMIFS(BY_TRA!AP$2:AP$999,BY_TRA!$BJ$2:$BJ$999,Transport!$B39,BY_TRA!$BK$2:$BK$999,Transport!$C39)/SUMIFS(BY_TRA!AP$2:AP$999,BY_TRA!$BJ$2:$BJ$999,Transport!$B39),0)</f>
        <v>0</v>
      </c>
      <c r="AI39" s="1">
        <f>IFERROR(SUMIFS(BY_TRA!AQ$2:AQ$999,BY_TRA!$BJ$2:$BJ$999,Transport!$B39,BY_TRA!$BK$2:$BK$999,Transport!$C39)/SUMIFS(BY_TRA!AQ$2:AQ$999,BY_TRA!$BJ$2:$BJ$999,Transport!$B39),0)</f>
        <v>0</v>
      </c>
      <c r="AJ39" s="1">
        <f>IFERROR(SUMIFS(BY_TRA!AR$2:AR$999,BY_TRA!$BJ$2:$BJ$999,Transport!$B39,BY_TRA!$BK$2:$BK$999,Transport!$C39)/SUMIFS(BY_TRA!AR$2:AR$999,BY_TRA!$BJ$2:$BJ$999,Transport!$B39),0)</f>
        <v>0</v>
      </c>
      <c r="AK39" s="1">
        <f>IFERROR(SUMIFS(BY_TRA!AS$2:AS$999,BY_TRA!$BJ$2:$BJ$999,Transport!$B39,BY_TRA!$BK$2:$BK$999,Transport!$C39)/SUMIFS(BY_TRA!AS$2:AS$999,BY_TRA!$BJ$2:$BJ$999,Transport!$B39),0)</f>
        <v>0</v>
      </c>
      <c r="AL39" s="1">
        <f>IFERROR(SUMIFS(BY_TRA!AT$2:AT$999,BY_TRA!$BJ$2:$BJ$999,Transport!$B39,BY_TRA!$BK$2:$BK$999,Transport!$C39)/SUMIFS(BY_TRA!AT$2:AT$999,BY_TRA!$BJ$2:$BJ$999,Transport!$B39),0)</f>
        <v>0</v>
      </c>
      <c r="AM39" s="1">
        <f>IFERROR(SUMIFS(BY_TRA!AU$2:AU$999,BY_TRA!$BJ$2:$BJ$999,Transport!$B39,BY_TRA!$BK$2:$BK$999,Transport!$C39)/SUMIFS(BY_TRA!AU$2:AU$999,BY_TRA!$BJ$2:$BJ$999,Transport!$B39),0)</f>
        <v>0</v>
      </c>
      <c r="AN39" s="1">
        <f>IFERROR(SUMIFS(BY_TRA!AV$2:AV$999,BY_TRA!$BJ$2:$BJ$999,Transport!$B39,BY_TRA!$BK$2:$BK$999,Transport!$C39)/SUMIFS(BY_TRA!AV$2:AV$999,BY_TRA!$BJ$2:$BJ$999,Transport!$B39),0)</f>
        <v>0</v>
      </c>
      <c r="AO39" s="1">
        <f>IFERROR(SUMIFS(BY_TRA!AW$2:AW$999,BY_TRA!$BJ$2:$BJ$999,Transport!$B39,BY_TRA!$BK$2:$BK$999,Transport!$C39)/SUMIFS(BY_TRA!AW$2:AW$999,BY_TRA!$BJ$2:$BJ$999,Transport!$B39),0)</f>
        <v>0</v>
      </c>
      <c r="AP39" s="1">
        <f>IFERROR(SUMIFS(BY_TRA!AX$2:AX$999,BY_TRA!$BJ$2:$BJ$999,Transport!$B39,BY_TRA!$BK$2:$BK$999,Transport!$C39)/SUMIFS(BY_TRA!AX$2:AX$999,BY_TRA!$BJ$2:$BJ$999,Transport!$B39),0)</f>
        <v>0</v>
      </c>
      <c r="AQ39" s="1">
        <f>IFERROR(SUMIFS(BY_TRA!AY$2:AY$999,BY_TRA!$BJ$2:$BJ$999,Transport!$B39,BY_TRA!$BK$2:$BK$999,Transport!$C39)/SUMIFS(BY_TRA!AY$2:AY$999,BY_TRA!$BJ$2:$BJ$999,Transport!$B39),0)</f>
        <v>0</v>
      </c>
      <c r="AR39" s="1">
        <f>IFERROR(SUMIFS(BY_TRA!AZ$2:AZ$999,BY_TRA!$BJ$2:$BJ$999,Transport!$B39,BY_TRA!$BK$2:$BK$999,Transport!$C39)/SUMIFS(BY_TRA!AZ$2:AZ$999,BY_TRA!$BJ$2:$BJ$999,Transport!$B39),0)</f>
        <v>0</v>
      </c>
      <c r="AS39" s="1">
        <f>IFERROR(SUMIFS(BY_TRA!BA$2:BA$999,BY_TRA!$BJ$2:$BJ$999,Transport!$B39,BY_TRA!$BK$2:$BK$999,Transport!$C39)/SUMIFS(BY_TRA!BA$2:BA$999,BY_TRA!$BJ$2:$BJ$999,Transport!$B39),0)</f>
        <v>0</v>
      </c>
      <c r="AT39" s="1">
        <f>IFERROR(SUMIFS(BY_TRA!BB$2:BB$999,BY_TRA!$BJ$2:$BJ$999,Transport!$B39,BY_TRA!$BK$2:$BK$999,Transport!$C39)/SUMIFS(BY_TRA!BB$2:BB$999,BY_TRA!$BJ$2:$BJ$999,Transport!$B39),0)</f>
        <v>0</v>
      </c>
      <c r="AU39" s="1">
        <f>IFERROR(SUMIFS(BY_TRA!BC$2:BC$999,BY_TRA!$BJ$2:$BJ$999,Transport!$B39,BY_TRA!$BK$2:$BK$999,Transport!$C39)/SUMIFS(BY_TRA!BC$2:BC$999,BY_TRA!$BJ$2:$BJ$999,Transport!$B39),0)</f>
        <v>0</v>
      </c>
      <c r="AV39" s="1">
        <f>IFERROR(SUMIFS(BY_TRA!BD$2:BD$999,BY_TRA!$BJ$2:$BJ$999,Transport!$B39,BY_TRA!$BK$2:$BK$999,Transport!$C39)/SUMIFS(BY_TRA!BD$2:BD$999,BY_TRA!$BJ$2:$BJ$999,Transport!$B39),0)</f>
        <v>0</v>
      </c>
      <c r="AW39" s="1">
        <f>IFERROR(SUMIFS(BY_TRA!BE$2:BE$999,BY_TRA!$BJ$2:$BJ$999,Transport!$B39,BY_TRA!$BK$2:$BK$999,Transport!$C39)/SUMIFS(BY_TRA!BE$2:BE$999,BY_TRA!$BJ$2:$BJ$999,Transport!$B39),0)</f>
        <v>0</v>
      </c>
      <c r="AX39" s="1">
        <f>IFERROR(SUMIFS(BY_TRA!BF$2:BF$999,BY_TRA!$BJ$2:$BJ$999,Transport!$B39,BY_TRA!$BK$2:$BK$999,Transport!$C39)/SUMIFS(BY_TRA!BF$2:BF$999,BY_TRA!$BJ$2:$BJ$999,Transport!$B39),0)</f>
        <v>0</v>
      </c>
      <c r="AY39" s="1">
        <f>IFERROR(SUMIFS(BY_TRA!BG$2:BG$999,BY_TRA!$BJ$2:$BJ$999,Transport!$B39,BY_TRA!$BK$2:$BK$999,Transport!$C39)/SUMIFS(BY_TRA!BG$2:BG$999,BY_TRA!$BJ$2:$BJ$999,Transport!$B39),0)</f>
        <v>0</v>
      </c>
    </row>
    <row r="40" spans="2:51">
      <c r="B40" t="s">
        <v>128</v>
      </c>
      <c r="C40" t="s">
        <v>126</v>
      </c>
      <c r="D40" s="1">
        <f>IFERROR(SUMIFS(BY_TRA!L$2:L$999,BY_TRA!$BJ$2:$BJ$999,Transport!$B40,BY_TRA!$BK$2:$BK$999,Transport!$C40)/SUMIFS(BY_TRA!L$2:L$999,BY_TRA!$BJ$2:$BJ$999,Transport!$B40),0)</f>
        <v>0</v>
      </c>
      <c r="E40" s="1">
        <f>IFERROR(SUMIFS(BY_TRA!M$2:M$999,BY_TRA!$BJ$2:$BJ$999,Transport!$B40,BY_TRA!$BK$2:$BK$999,Transport!$C40)/SUMIFS(BY_TRA!M$2:M$999,BY_TRA!$BJ$2:$BJ$999,Transport!$B40),0)</f>
        <v>0</v>
      </c>
      <c r="F40" s="1">
        <f>IFERROR(SUMIFS(BY_TRA!N$2:N$999,BY_TRA!$BJ$2:$BJ$999,Transport!$B40,BY_TRA!$BK$2:$BK$999,Transport!$C40)/SUMIFS(BY_TRA!N$2:N$999,BY_TRA!$BJ$2:$BJ$999,Transport!$B40),0)</f>
        <v>0</v>
      </c>
      <c r="G40" s="1">
        <f>IFERROR(SUMIFS(BY_TRA!O$2:O$999,BY_TRA!$BJ$2:$BJ$999,Transport!$B40,BY_TRA!$BK$2:$BK$999,Transport!$C40)/SUMIFS(BY_TRA!O$2:O$999,BY_TRA!$BJ$2:$BJ$999,Transport!$B40),0)</f>
        <v>0</v>
      </c>
      <c r="H40" s="1">
        <f>IFERROR(SUMIFS(BY_TRA!P$2:P$999,BY_TRA!$BJ$2:$BJ$999,Transport!$B40,BY_TRA!$BK$2:$BK$999,Transport!$C40)/SUMIFS(BY_TRA!P$2:P$999,BY_TRA!$BJ$2:$BJ$999,Transport!$B40),0)</f>
        <v>0</v>
      </c>
      <c r="I40" s="1">
        <f>IFERROR(SUMIFS(BY_TRA!Q$2:Q$999,BY_TRA!$BJ$2:$BJ$999,Transport!$B40,BY_TRA!$BK$2:$BK$999,Transport!$C40)/SUMIFS(BY_TRA!Q$2:Q$999,BY_TRA!$BJ$2:$BJ$999,Transport!$B40),0)</f>
        <v>0</v>
      </c>
      <c r="J40" s="1">
        <f>IFERROR(SUMIFS(BY_TRA!R$2:R$999,BY_TRA!$BJ$2:$BJ$999,Transport!$B40,BY_TRA!$BK$2:$BK$999,Transport!$C40)/SUMIFS(BY_TRA!R$2:R$999,BY_TRA!$BJ$2:$BJ$999,Transport!$B40),0)</f>
        <v>0</v>
      </c>
      <c r="K40" s="1">
        <f>IFERROR(SUMIFS(BY_TRA!S$2:S$999,BY_TRA!$BJ$2:$BJ$999,Transport!$B40,BY_TRA!$BK$2:$BK$999,Transport!$C40)/SUMIFS(BY_TRA!S$2:S$999,BY_TRA!$BJ$2:$BJ$999,Transport!$B40),0)</f>
        <v>0</v>
      </c>
      <c r="L40" s="1">
        <f>IFERROR(SUMIFS(BY_TRA!T$2:T$999,BY_TRA!$BJ$2:$BJ$999,Transport!$B40,BY_TRA!$BK$2:$BK$999,Transport!$C40)/SUMIFS(BY_TRA!T$2:T$999,BY_TRA!$BJ$2:$BJ$999,Transport!$B40),0)</f>
        <v>0</v>
      </c>
      <c r="M40" s="1">
        <f>IFERROR(SUMIFS(BY_TRA!U$2:U$999,BY_TRA!$BJ$2:$BJ$999,Transport!$B40,BY_TRA!$BK$2:$BK$999,Transport!$C40)/SUMIFS(BY_TRA!U$2:U$999,BY_TRA!$BJ$2:$BJ$999,Transport!$B40),0)</f>
        <v>0</v>
      </c>
      <c r="N40" s="1">
        <f>IFERROR(SUMIFS(BY_TRA!V$2:V$999,BY_TRA!$BJ$2:$BJ$999,Transport!$B40,BY_TRA!$BK$2:$BK$999,Transport!$C40)/SUMIFS(BY_TRA!V$2:V$999,BY_TRA!$BJ$2:$BJ$999,Transport!$B40),0)</f>
        <v>0</v>
      </c>
      <c r="O40" s="1">
        <f>IFERROR(SUMIFS(BY_TRA!W$2:W$999,BY_TRA!$BJ$2:$BJ$999,Transport!$B40,BY_TRA!$BK$2:$BK$999,Transport!$C40)/SUMIFS(BY_TRA!W$2:W$999,BY_TRA!$BJ$2:$BJ$999,Transport!$B40),0)</f>
        <v>0</v>
      </c>
      <c r="P40" s="1">
        <f>IFERROR(SUMIFS(BY_TRA!X$2:X$999,BY_TRA!$BJ$2:$BJ$999,Transport!$B40,BY_TRA!$BK$2:$BK$999,Transport!$C40)/SUMIFS(BY_TRA!X$2:X$999,BY_TRA!$BJ$2:$BJ$999,Transport!$B40),0)</f>
        <v>0</v>
      </c>
      <c r="Q40" s="1">
        <f>IFERROR(SUMIFS(BY_TRA!Y$2:Y$999,BY_TRA!$BJ$2:$BJ$999,Transport!$B40,BY_TRA!$BK$2:$BK$999,Transport!$C40)/SUMIFS(BY_TRA!Y$2:Y$999,BY_TRA!$BJ$2:$BJ$999,Transport!$B40),0)</f>
        <v>0</v>
      </c>
      <c r="R40" s="1">
        <f>IFERROR(SUMIFS(BY_TRA!Z$2:Z$999,BY_TRA!$BJ$2:$BJ$999,Transport!$B40,BY_TRA!$BK$2:$BK$999,Transport!$C40)/SUMIFS(BY_TRA!Z$2:Z$999,BY_TRA!$BJ$2:$BJ$999,Transport!$B40),0)</f>
        <v>0</v>
      </c>
      <c r="S40" s="1">
        <f>IFERROR(SUMIFS(BY_TRA!AA$2:AA$999,BY_TRA!$BJ$2:$BJ$999,Transport!$B40,BY_TRA!$BK$2:$BK$999,Transport!$C40)/SUMIFS(BY_TRA!AA$2:AA$999,BY_TRA!$BJ$2:$BJ$999,Transport!$B40),0)</f>
        <v>0</v>
      </c>
      <c r="T40" s="1">
        <f>IFERROR(SUMIFS(BY_TRA!AB$2:AB$999,BY_TRA!$BJ$2:$BJ$999,Transport!$B40,BY_TRA!$BK$2:$BK$999,Transport!$C40)/SUMIFS(BY_TRA!AB$2:AB$999,BY_TRA!$BJ$2:$BJ$999,Transport!$B40),0)</f>
        <v>0</v>
      </c>
      <c r="U40" s="1">
        <f>IFERROR(SUMIFS(BY_TRA!AC$2:AC$999,BY_TRA!$BJ$2:$BJ$999,Transport!$B40,BY_TRA!$BK$2:$BK$999,Transport!$C40)/SUMIFS(BY_TRA!AC$2:AC$999,BY_TRA!$BJ$2:$BJ$999,Transport!$B40),0)</f>
        <v>0</v>
      </c>
      <c r="V40" s="1">
        <f>IFERROR(SUMIFS(BY_TRA!AD$2:AD$999,BY_TRA!$BJ$2:$BJ$999,Transport!$B40,BY_TRA!$BK$2:$BK$999,Transport!$C40)/SUMIFS(BY_TRA!AD$2:AD$999,BY_TRA!$BJ$2:$BJ$999,Transport!$B40),0)</f>
        <v>0</v>
      </c>
      <c r="W40" s="1">
        <f>IFERROR(SUMIFS(BY_TRA!AE$2:AE$999,BY_TRA!$BJ$2:$BJ$999,Transport!$B40,BY_TRA!$BK$2:$BK$999,Transport!$C40)/SUMIFS(BY_TRA!AE$2:AE$999,BY_TRA!$BJ$2:$BJ$999,Transport!$B40),0)</f>
        <v>0</v>
      </c>
      <c r="X40" s="1">
        <f>IFERROR(SUMIFS(BY_TRA!AF$2:AF$999,BY_TRA!$BJ$2:$BJ$999,Transport!$B40,BY_TRA!$BK$2:$BK$999,Transport!$C40)/SUMIFS(BY_TRA!AF$2:AF$999,BY_TRA!$BJ$2:$BJ$999,Transport!$B40),0)</f>
        <v>0</v>
      </c>
      <c r="Y40" s="1">
        <f>IFERROR(SUMIFS(BY_TRA!AG$2:AG$999,BY_TRA!$BJ$2:$BJ$999,Transport!$B40,BY_TRA!$BK$2:$BK$999,Transport!$C40)/SUMIFS(BY_TRA!AG$2:AG$999,BY_TRA!$BJ$2:$BJ$999,Transport!$B40),0)</f>
        <v>0</v>
      </c>
      <c r="Z40" s="1">
        <f>IFERROR(SUMIFS(BY_TRA!AH$2:AH$999,BY_TRA!$BJ$2:$BJ$999,Transport!$B40,BY_TRA!$BK$2:$BK$999,Transport!$C40)/SUMIFS(BY_TRA!AH$2:AH$999,BY_TRA!$BJ$2:$BJ$999,Transport!$B40),0)</f>
        <v>0</v>
      </c>
      <c r="AA40" s="1">
        <f>IFERROR(SUMIFS(BY_TRA!AI$2:AI$999,BY_TRA!$BJ$2:$BJ$999,Transport!$B40,BY_TRA!$BK$2:$BK$999,Transport!$C40)/SUMIFS(BY_TRA!AI$2:AI$999,BY_TRA!$BJ$2:$BJ$999,Transport!$B40),0)</f>
        <v>0</v>
      </c>
      <c r="AB40" s="1">
        <f>IFERROR(SUMIFS(BY_TRA!AJ$2:AJ$999,BY_TRA!$BJ$2:$BJ$999,Transport!$B40,BY_TRA!$BK$2:$BK$999,Transport!$C40)/SUMIFS(BY_TRA!AJ$2:AJ$999,BY_TRA!$BJ$2:$BJ$999,Transport!$B40),0)</f>
        <v>0</v>
      </c>
      <c r="AC40" s="1">
        <f>IFERROR(SUMIFS(BY_TRA!AK$2:AK$999,BY_TRA!$BJ$2:$BJ$999,Transport!$B40,BY_TRA!$BK$2:$BK$999,Transport!$C40)/SUMIFS(BY_TRA!AK$2:AK$999,BY_TRA!$BJ$2:$BJ$999,Transport!$B40),0)</f>
        <v>0</v>
      </c>
      <c r="AD40" s="1">
        <f>IFERROR(SUMIFS(BY_TRA!AL$2:AL$999,BY_TRA!$BJ$2:$BJ$999,Transport!$B40,BY_TRA!$BK$2:$BK$999,Transport!$C40)/SUMIFS(BY_TRA!AL$2:AL$999,BY_TRA!$BJ$2:$BJ$999,Transport!$B40),0)</f>
        <v>0</v>
      </c>
      <c r="AE40" s="1">
        <f>IFERROR(SUMIFS(BY_TRA!AM$2:AM$999,BY_TRA!$BJ$2:$BJ$999,Transport!$B40,BY_TRA!$BK$2:$BK$999,Transport!$C40)/SUMIFS(BY_TRA!AM$2:AM$999,BY_TRA!$BJ$2:$BJ$999,Transport!$B40),0)</f>
        <v>0</v>
      </c>
      <c r="AF40" s="1">
        <f>IFERROR(SUMIFS(BY_TRA!AN$2:AN$999,BY_TRA!$BJ$2:$BJ$999,Transport!$B40,BY_TRA!$BK$2:$BK$999,Transport!$C40)/SUMIFS(BY_TRA!AN$2:AN$999,BY_TRA!$BJ$2:$BJ$999,Transport!$B40),0)</f>
        <v>0</v>
      </c>
      <c r="AG40" s="1">
        <f>IFERROR(SUMIFS(BY_TRA!AO$2:AO$999,BY_TRA!$BJ$2:$BJ$999,Transport!$B40,BY_TRA!$BK$2:$BK$999,Transport!$C40)/SUMIFS(BY_TRA!AO$2:AO$999,BY_TRA!$BJ$2:$BJ$999,Transport!$B40),0)</f>
        <v>0</v>
      </c>
      <c r="AH40" s="1">
        <f>IFERROR(SUMIFS(BY_TRA!AP$2:AP$999,BY_TRA!$BJ$2:$BJ$999,Transport!$B40,BY_TRA!$BK$2:$BK$999,Transport!$C40)/SUMIFS(BY_TRA!AP$2:AP$999,BY_TRA!$BJ$2:$BJ$999,Transport!$B40),0)</f>
        <v>0</v>
      </c>
      <c r="AI40" s="1">
        <f>IFERROR(SUMIFS(BY_TRA!AQ$2:AQ$999,BY_TRA!$BJ$2:$BJ$999,Transport!$B40,BY_TRA!$BK$2:$BK$999,Transport!$C40)/SUMIFS(BY_TRA!AQ$2:AQ$999,BY_TRA!$BJ$2:$BJ$999,Transport!$B40),0)</f>
        <v>0</v>
      </c>
      <c r="AJ40" s="1">
        <f>IFERROR(SUMIFS(BY_TRA!AR$2:AR$999,BY_TRA!$BJ$2:$BJ$999,Transport!$B40,BY_TRA!$BK$2:$BK$999,Transport!$C40)/SUMIFS(BY_TRA!AR$2:AR$999,BY_TRA!$BJ$2:$BJ$999,Transport!$B40),0)</f>
        <v>0</v>
      </c>
      <c r="AK40" s="1">
        <f>IFERROR(SUMIFS(BY_TRA!AS$2:AS$999,BY_TRA!$BJ$2:$BJ$999,Transport!$B40,BY_TRA!$BK$2:$BK$999,Transport!$C40)/SUMIFS(BY_TRA!AS$2:AS$999,BY_TRA!$BJ$2:$BJ$999,Transport!$B40),0)</f>
        <v>0</v>
      </c>
      <c r="AL40" s="1">
        <f>IFERROR(SUMIFS(BY_TRA!AT$2:AT$999,BY_TRA!$BJ$2:$BJ$999,Transport!$B40,BY_TRA!$BK$2:$BK$999,Transport!$C40)/SUMIFS(BY_TRA!AT$2:AT$999,BY_TRA!$BJ$2:$BJ$999,Transport!$B40),0)</f>
        <v>0</v>
      </c>
      <c r="AM40" s="1">
        <f>IFERROR(SUMIFS(BY_TRA!AU$2:AU$999,BY_TRA!$BJ$2:$BJ$999,Transport!$B40,BY_TRA!$BK$2:$BK$999,Transport!$C40)/SUMIFS(BY_TRA!AU$2:AU$999,BY_TRA!$BJ$2:$BJ$999,Transport!$B40),0)</f>
        <v>0</v>
      </c>
      <c r="AN40" s="1">
        <f>IFERROR(SUMIFS(BY_TRA!AV$2:AV$999,BY_TRA!$BJ$2:$BJ$999,Transport!$B40,BY_TRA!$BK$2:$BK$999,Transport!$C40)/SUMIFS(BY_TRA!AV$2:AV$999,BY_TRA!$BJ$2:$BJ$999,Transport!$B40),0)</f>
        <v>0</v>
      </c>
      <c r="AO40" s="1">
        <f>IFERROR(SUMIFS(BY_TRA!AW$2:AW$999,BY_TRA!$BJ$2:$BJ$999,Transport!$B40,BY_TRA!$BK$2:$BK$999,Transport!$C40)/SUMIFS(BY_TRA!AW$2:AW$999,BY_TRA!$BJ$2:$BJ$999,Transport!$B40),0)</f>
        <v>0</v>
      </c>
      <c r="AP40" s="1">
        <f>IFERROR(SUMIFS(BY_TRA!AX$2:AX$999,BY_TRA!$BJ$2:$BJ$999,Transport!$B40,BY_TRA!$BK$2:$BK$999,Transport!$C40)/SUMIFS(BY_TRA!AX$2:AX$999,BY_TRA!$BJ$2:$BJ$999,Transport!$B40),0)</f>
        <v>0</v>
      </c>
      <c r="AQ40" s="1">
        <f>IFERROR(SUMIFS(BY_TRA!AY$2:AY$999,BY_TRA!$BJ$2:$BJ$999,Transport!$B40,BY_TRA!$BK$2:$BK$999,Transport!$C40)/SUMIFS(BY_TRA!AY$2:AY$999,BY_TRA!$BJ$2:$BJ$999,Transport!$B40),0)</f>
        <v>0</v>
      </c>
      <c r="AR40" s="1">
        <f>IFERROR(SUMIFS(BY_TRA!AZ$2:AZ$999,BY_TRA!$BJ$2:$BJ$999,Transport!$B40,BY_TRA!$BK$2:$BK$999,Transport!$C40)/SUMIFS(BY_TRA!AZ$2:AZ$999,BY_TRA!$BJ$2:$BJ$999,Transport!$B40),0)</f>
        <v>0</v>
      </c>
      <c r="AS40" s="1">
        <f>IFERROR(SUMIFS(BY_TRA!BA$2:BA$999,BY_TRA!$BJ$2:$BJ$999,Transport!$B40,BY_TRA!$BK$2:$BK$999,Transport!$C40)/SUMIFS(BY_TRA!BA$2:BA$999,BY_TRA!$BJ$2:$BJ$999,Transport!$B40),0)</f>
        <v>0</v>
      </c>
      <c r="AT40" s="1">
        <f>IFERROR(SUMIFS(BY_TRA!BB$2:BB$999,BY_TRA!$BJ$2:$BJ$999,Transport!$B40,BY_TRA!$BK$2:$BK$999,Transport!$C40)/SUMIFS(BY_TRA!BB$2:BB$999,BY_TRA!$BJ$2:$BJ$999,Transport!$B40),0)</f>
        <v>0</v>
      </c>
      <c r="AU40" s="1">
        <f>IFERROR(SUMIFS(BY_TRA!BC$2:BC$999,BY_TRA!$BJ$2:$BJ$999,Transport!$B40,BY_TRA!$BK$2:$BK$999,Transport!$C40)/SUMIFS(BY_TRA!BC$2:BC$999,BY_TRA!$BJ$2:$BJ$999,Transport!$B40),0)</f>
        <v>0</v>
      </c>
      <c r="AV40" s="1">
        <f>IFERROR(SUMIFS(BY_TRA!BD$2:BD$999,BY_TRA!$BJ$2:$BJ$999,Transport!$B40,BY_TRA!$BK$2:$BK$999,Transport!$C40)/SUMIFS(BY_TRA!BD$2:BD$999,BY_TRA!$BJ$2:$BJ$999,Transport!$B40),0)</f>
        <v>0</v>
      </c>
      <c r="AW40" s="1">
        <f>IFERROR(SUMIFS(BY_TRA!BE$2:BE$999,BY_TRA!$BJ$2:$BJ$999,Transport!$B40,BY_TRA!$BK$2:$BK$999,Transport!$C40)/SUMIFS(BY_TRA!BE$2:BE$999,BY_TRA!$BJ$2:$BJ$999,Transport!$B40),0)</f>
        <v>0</v>
      </c>
      <c r="AX40" s="1">
        <f>IFERROR(SUMIFS(BY_TRA!BF$2:BF$999,BY_TRA!$BJ$2:$BJ$999,Transport!$B40,BY_TRA!$BK$2:$BK$999,Transport!$C40)/SUMIFS(BY_TRA!BF$2:BF$999,BY_TRA!$BJ$2:$BJ$999,Transport!$B40),0)</f>
        <v>0</v>
      </c>
      <c r="AY40" s="1">
        <f>IFERROR(SUMIFS(BY_TRA!BG$2:BG$999,BY_TRA!$BJ$2:$BJ$999,Transport!$B40,BY_TRA!$BK$2:$BK$999,Transport!$C40)/SUMIFS(BY_TRA!BG$2:BG$999,BY_TRA!$BJ$2:$BJ$999,Transport!$B40),0)</f>
        <v>0</v>
      </c>
    </row>
    <row r="41" spans="2:51">
      <c r="B41" t="s">
        <v>128</v>
      </c>
      <c r="C41" t="s">
        <v>127</v>
      </c>
      <c r="D41" s="1">
        <f>IFERROR(SUMIFS(BY_TRA!L$2:L$999,BY_TRA!$BJ$2:$BJ$999,Transport!$B41,BY_TRA!$BK$2:$BK$999,Transport!$C41)/SUMIFS(BY_TRA!L$2:L$999,BY_TRA!$BJ$2:$BJ$999,Transport!$B41),0)</f>
        <v>0</v>
      </c>
      <c r="E41" s="1">
        <f>IFERROR(SUMIFS(BY_TRA!M$2:M$999,BY_TRA!$BJ$2:$BJ$999,Transport!$B41,BY_TRA!$BK$2:$BK$999,Transport!$C41)/SUMIFS(BY_TRA!M$2:M$999,BY_TRA!$BJ$2:$BJ$999,Transport!$B41),0)</f>
        <v>0</v>
      </c>
      <c r="F41" s="1">
        <f>IFERROR(SUMIFS(BY_TRA!N$2:N$999,BY_TRA!$BJ$2:$BJ$999,Transport!$B41,BY_TRA!$BK$2:$BK$999,Transport!$C41)/SUMIFS(BY_TRA!N$2:N$999,BY_TRA!$BJ$2:$BJ$999,Transport!$B41),0)</f>
        <v>0</v>
      </c>
      <c r="G41" s="1">
        <f>IFERROR(SUMIFS(BY_TRA!O$2:O$999,BY_TRA!$BJ$2:$BJ$999,Transport!$B41,BY_TRA!$BK$2:$BK$999,Transport!$C41)/SUMIFS(BY_TRA!O$2:O$999,BY_TRA!$BJ$2:$BJ$999,Transport!$B41),0)</f>
        <v>0</v>
      </c>
      <c r="H41" s="1">
        <f>IFERROR(SUMIFS(BY_TRA!P$2:P$999,BY_TRA!$BJ$2:$BJ$999,Transport!$B41,BY_TRA!$BK$2:$BK$999,Transport!$C41)/SUMIFS(BY_TRA!P$2:P$999,BY_TRA!$BJ$2:$BJ$999,Transport!$B41),0)</f>
        <v>0</v>
      </c>
      <c r="I41" s="1">
        <f>IFERROR(SUMIFS(BY_TRA!Q$2:Q$999,BY_TRA!$BJ$2:$BJ$999,Transport!$B41,BY_TRA!$BK$2:$BK$999,Transport!$C41)/SUMIFS(BY_TRA!Q$2:Q$999,BY_TRA!$BJ$2:$BJ$999,Transport!$B41),0)</f>
        <v>0</v>
      </c>
      <c r="J41" s="1">
        <f>IFERROR(SUMIFS(BY_TRA!R$2:R$999,BY_TRA!$BJ$2:$BJ$999,Transport!$B41,BY_TRA!$BK$2:$BK$999,Transport!$C41)/SUMIFS(BY_TRA!R$2:R$999,BY_TRA!$BJ$2:$BJ$999,Transport!$B41),0)</f>
        <v>0</v>
      </c>
      <c r="K41" s="1">
        <f>IFERROR(SUMIFS(BY_TRA!S$2:S$999,BY_TRA!$BJ$2:$BJ$999,Transport!$B41,BY_TRA!$BK$2:$BK$999,Transport!$C41)/SUMIFS(BY_TRA!S$2:S$999,BY_TRA!$BJ$2:$BJ$999,Transport!$B41),0)</f>
        <v>0</v>
      </c>
      <c r="L41" s="1">
        <f>IFERROR(SUMIFS(BY_TRA!T$2:T$999,BY_TRA!$BJ$2:$BJ$999,Transport!$B41,BY_TRA!$BK$2:$BK$999,Transport!$C41)/SUMIFS(BY_TRA!T$2:T$999,BY_TRA!$BJ$2:$BJ$999,Transport!$B41),0)</f>
        <v>0</v>
      </c>
      <c r="M41" s="1">
        <f>IFERROR(SUMIFS(BY_TRA!U$2:U$999,BY_TRA!$BJ$2:$BJ$999,Transport!$B41,BY_TRA!$BK$2:$BK$999,Transport!$C41)/SUMIFS(BY_TRA!U$2:U$999,BY_TRA!$BJ$2:$BJ$999,Transport!$B41),0)</f>
        <v>0</v>
      </c>
      <c r="N41" s="1">
        <f>IFERROR(SUMIFS(BY_TRA!V$2:V$999,BY_TRA!$BJ$2:$BJ$999,Transport!$B41,BY_TRA!$BK$2:$BK$999,Transport!$C41)/SUMIFS(BY_TRA!V$2:V$999,BY_TRA!$BJ$2:$BJ$999,Transport!$B41),0)</f>
        <v>0</v>
      </c>
      <c r="O41" s="1">
        <f>IFERROR(SUMIFS(BY_TRA!W$2:W$999,BY_TRA!$BJ$2:$BJ$999,Transport!$B41,BY_TRA!$BK$2:$BK$999,Transport!$C41)/SUMIFS(BY_TRA!W$2:W$999,BY_TRA!$BJ$2:$BJ$999,Transport!$B41),0)</f>
        <v>0</v>
      </c>
      <c r="P41" s="1">
        <f>IFERROR(SUMIFS(BY_TRA!X$2:X$999,BY_TRA!$BJ$2:$BJ$999,Transport!$B41,BY_TRA!$BK$2:$BK$999,Transport!$C41)/SUMIFS(BY_TRA!X$2:X$999,BY_TRA!$BJ$2:$BJ$999,Transport!$B41),0)</f>
        <v>0</v>
      </c>
      <c r="Q41" s="1">
        <f>IFERROR(SUMIFS(BY_TRA!Y$2:Y$999,BY_TRA!$BJ$2:$BJ$999,Transport!$B41,BY_TRA!$BK$2:$BK$999,Transport!$C41)/SUMIFS(BY_TRA!Y$2:Y$999,BY_TRA!$BJ$2:$BJ$999,Transport!$B41),0)</f>
        <v>0</v>
      </c>
      <c r="R41" s="1">
        <f>IFERROR(SUMIFS(BY_TRA!Z$2:Z$999,BY_TRA!$BJ$2:$BJ$999,Transport!$B41,BY_TRA!$BK$2:$BK$999,Transport!$C41)/SUMIFS(BY_TRA!Z$2:Z$999,BY_TRA!$BJ$2:$BJ$999,Transport!$B41),0)</f>
        <v>0</v>
      </c>
      <c r="S41" s="1">
        <f>IFERROR(SUMIFS(BY_TRA!AA$2:AA$999,BY_TRA!$BJ$2:$BJ$999,Transport!$B41,BY_TRA!$BK$2:$BK$999,Transport!$C41)/SUMIFS(BY_TRA!AA$2:AA$999,BY_TRA!$BJ$2:$BJ$999,Transport!$B41),0)</f>
        <v>0</v>
      </c>
      <c r="T41" s="1">
        <f>IFERROR(SUMIFS(BY_TRA!AB$2:AB$999,BY_TRA!$BJ$2:$BJ$999,Transport!$B41,BY_TRA!$BK$2:$BK$999,Transport!$C41)/SUMIFS(BY_TRA!AB$2:AB$999,BY_TRA!$BJ$2:$BJ$999,Transport!$B41),0)</f>
        <v>0</v>
      </c>
      <c r="U41" s="1">
        <f>IFERROR(SUMIFS(BY_TRA!AC$2:AC$999,BY_TRA!$BJ$2:$BJ$999,Transport!$B41,BY_TRA!$BK$2:$BK$999,Transport!$C41)/SUMIFS(BY_TRA!AC$2:AC$999,BY_TRA!$BJ$2:$BJ$999,Transport!$B41),0)</f>
        <v>0</v>
      </c>
      <c r="V41" s="1">
        <f>IFERROR(SUMIFS(BY_TRA!AD$2:AD$999,BY_TRA!$BJ$2:$BJ$999,Transport!$B41,BY_TRA!$BK$2:$BK$999,Transport!$C41)/SUMIFS(BY_TRA!AD$2:AD$999,BY_TRA!$BJ$2:$BJ$999,Transport!$B41),0)</f>
        <v>0</v>
      </c>
      <c r="W41" s="1">
        <f>IFERROR(SUMIFS(BY_TRA!AE$2:AE$999,BY_TRA!$BJ$2:$BJ$999,Transport!$B41,BY_TRA!$BK$2:$BK$999,Transport!$C41)/SUMIFS(BY_TRA!AE$2:AE$999,BY_TRA!$BJ$2:$BJ$999,Transport!$B41),0)</f>
        <v>0</v>
      </c>
      <c r="X41" s="1">
        <f>IFERROR(SUMIFS(BY_TRA!AF$2:AF$999,BY_TRA!$BJ$2:$BJ$999,Transport!$B41,BY_TRA!$BK$2:$BK$999,Transport!$C41)/SUMIFS(BY_TRA!AF$2:AF$999,BY_TRA!$BJ$2:$BJ$999,Transport!$B41),0)</f>
        <v>0</v>
      </c>
      <c r="Y41" s="1">
        <f>IFERROR(SUMIFS(BY_TRA!AG$2:AG$999,BY_TRA!$BJ$2:$BJ$999,Transport!$B41,BY_TRA!$BK$2:$BK$999,Transport!$C41)/SUMIFS(BY_TRA!AG$2:AG$999,BY_TRA!$BJ$2:$BJ$999,Transport!$B41),0)</f>
        <v>0</v>
      </c>
      <c r="Z41" s="1">
        <f>IFERROR(SUMIFS(BY_TRA!AH$2:AH$999,BY_TRA!$BJ$2:$BJ$999,Transport!$B41,BY_TRA!$BK$2:$BK$999,Transport!$C41)/SUMIFS(BY_TRA!AH$2:AH$999,BY_TRA!$BJ$2:$BJ$999,Transport!$B41),0)</f>
        <v>0</v>
      </c>
      <c r="AA41" s="1">
        <f>IFERROR(SUMIFS(BY_TRA!AI$2:AI$999,BY_TRA!$BJ$2:$BJ$999,Transport!$B41,BY_TRA!$BK$2:$BK$999,Transport!$C41)/SUMIFS(BY_TRA!AI$2:AI$999,BY_TRA!$BJ$2:$BJ$999,Transport!$B41),0)</f>
        <v>0</v>
      </c>
      <c r="AB41" s="1">
        <f>IFERROR(SUMIFS(BY_TRA!AJ$2:AJ$999,BY_TRA!$BJ$2:$BJ$999,Transport!$B41,BY_TRA!$BK$2:$BK$999,Transport!$C41)/SUMIFS(BY_TRA!AJ$2:AJ$999,BY_TRA!$BJ$2:$BJ$999,Transport!$B41),0)</f>
        <v>0</v>
      </c>
      <c r="AC41" s="1">
        <f>IFERROR(SUMIFS(BY_TRA!AK$2:AK$999,BY_TRA!$BJ$2:$BJ$999,Transport!$B41,BY_TRA!$BK$2:$BK$999,Transport!$C41)/SUMIFS(BY_TRA!AK$2:AK$999,BY_TRA!$BJ$2:$BJ$999,Transport!$B41),0)</f>
        <v>0</v>
      </c>
      <c r="AD41" s="1">
        <f>IFERROR(SUMIFS(BY_TRA!AL$2:AL$999,BY_TRA!$BJ$2:$BJ$999,Transport!$B41,BY_TRA!$BK$2:$BK$999,Transport!$C41)/SUMIFS(BY_TRA!AL$2:AL$999,BY_TRA!$BJ$2:$BJ$999,Transport!$B41),0)</f>
        <v>0</v>
      </c>
      <c r="AE41" s="1">
        <f>IFERROR(SUMIFS(BY_TRA!AM$2:AM$999,BY_TRA!$BJ$2:$BJ$999,Transport!$B41,BY_TRA!$BK$2:$BK$999,Transport!$C41)/SUMIFS(BY_TRA!AM$2:AM$999,BY_TRA!$BJ$2:$BJ$999,Transport!$B41),0)</f>
        <v>0</v>
      </c>
      <c r="AF41" s="1">
        <f>IFERROR(SUMIFS(BY_TRA!AN$2:AN$999,BY_TRA!$BJ$2:$BJ$999,Transport!$B41,BY_TRA!$BK$2:$BK$999,Transport!$C41)/SUMIFS(BY_TRA!AN$2:AN$999,BY_TRA!$BJ$2:$BJ$999,Transport!$B41),0)</f>
        <v>0</v>
      </c>
      <c r="AG41" s="1">
        <f>IFERROR(SUMIFS(BY_TRA!AO$2:AO$999,BY_TRA!$BJ$2:$BJ$999,Transport!$B41,BY_TRA!$BK$2:$BK$999,Transport!$C41)/SUMIFS(BY_TRA!AO$2:AO$999,BY_TRA!$BJ$2:$BJ$999,Transport!$B41),0)</f>
        <v>0</v>
      </c>
      <c r="AH41" s="1">
        <f>IFERROR(SUMIFS(BY_TRA!AP$2:AP$999,BY_TRA!$BJ$2:$BJ$999,Transport!$B41,BY_TRA!$BK$2:$BK$999,Transport!$C41)/SUMIFS(BY_TRA!AP$2:AP$999,BY_TRA!$BJ$2:$BJ$999,Transport!$B41),0)</f>
        <v>0</v>
      </c>
      <c r="AI41" s="1">
        <f>IFERROR(SUMIFS(BY_TRA!AQ$2:AQ$999,BY_TRA!$BJ$2:$BJ$999,Transport!$B41,BY_TRA!$BK$2:$BK$999,Transport!$C41)/SUMIFS(BY_TRA!AQ$2:AQ$999,BY_TRA!$BJ$2:$BJ$999,Transport!$B41),0)</f>
        <v>0</v>
      </c>
      <c r="AJ41" s="1">
        <f>IFERROR(SUMIFS(BY_TRA!AR$2:AR$999,BY_TRA!$BJ$2:$BJ$999,Transport!$B41,BY_TRA!$BK$2:$BK$999,Transport!$C41)/SUMIFS(BY_TRA!AR$2:AR$999,BY_TRA!$BJ$2:$BJ$999,Transport!$B41),0)</f>
        <v>0</v>
      </c>
      <c r="AK41" s="1">
        <f>IFERROR(SUMIFS(BY_TRA!AS$2:AS$999,BY_TRA!$BJ$2:$BJ$999,Transport!$B41,BY_TRA!$BK$2:$BK$999,Transport!$C41)/SUMIFS(BY_TRA!AS$2:AS$999,BY_TRA!$BJ$2:$BJ$999,Transport!$B41),0)</f>
        <v>0</v>
      </c>
      <c r="AL41" s="1">
        <f>IFERROR(SUMIFS(BY_TRA!AT$2:AT$999,BY_TRA!$BJ$2:$BJ$999,Transport!$B41,BY_TRA!$BK$2:$BK$999,Transport!$C41)/SUMIFS(BY_TRA!AT$2:AT$999,BY_TRA!$BJ$2:$BJ$999,Transport!$B41),0)</f>
        <v>0</v>
      </c>
      <c r="AM41" s="1">
        <f>IFERROR(SUMIFS(BY_TRA!AU$2:AU$999,BY_TRA!$BJ$2:$BJ$999,Transport!$B41,BY_TRA!$BK$2:$BK$999,Transport!$C41)/SUMIFS(BY_TRA!AU$2:AU$999,BY_TRA!$BJ$2:$BJ$999,Transport!$B41),0)</f>
        <v>0</v>
      </c>
      <c r="AN41" s="1">
        <f>IFERROR(SUMIFS(BY_TRA!AV$2:AV$999,BY_TRA!$BJ$2:$BJ$999,Transport!$B41,BY_TRA!$BK$2:$BK$999,Transport!$C41)/SUMIFS(BY_TRA!AV$2:AV$999,BY_TRA!$BJ$2:$BJ$999,Transport!$B41),0)</f>
        <v>0</v>
      </c>
      <c r="AO41" s="1">
        <f>IFERROR(SUMIFS(BY_TRA!AW$2:AW$999,BY_TRA!$BJ$2:$BJ$999,Transport!$B41,BY_TRA!$BK$2:$BK$999,Transport!$C41)/SUMIFS(BY_TRA!AW$2:AW$999,BY_TRA!$BJ$2:$BJ$999,Transport!$B41),0)</f>
        <v>0</v>
      </c>
      <c r="AP41" s="1">
        <f>IFERROR(SUMIFS(BY_TRA!AX$2:AX$999,BY_TRA!$BJ$2:$BJ$999,Transport!$B41,BY_TRA!$BK$2:$BK$999,Transport!$C41)/SUMIFS(BY_TRA!AX$2:AX$999,BY_TRA!$BJ$2:$BJ$999,Transport!$B41),0)</f>
        <v>0</v>
      </c>
      <c r="AQ41" s="1">
        <f>IFERROR(SUMIFS(BY_TRA!AY$2:AY$999,BY_TRA!$BJ$2:$BJ$999,Transport!$B41,BY_TRA!$BK$2:$BK$999,Transport!$C41)/SUMIFS(BY_TRA!AY$2:AY$999,BY_TRA!$BJ$2:$BJ$999,Transport!$B41),0)</f>
        <v>0</v>
      </c>
      <c r="AR41" s="1">
        <f>IFERROR(SUMIFS(BY_TRA!AZ$2:AZ$999,BY_TRA!$BJ$2:$BJ$999,Transport!$B41,BY_TRA!$BK$2:$BK$999,Transport!$C41)/SUMIFS(BY_TRA!AZ$2:AZ$999,BY_TRA!$BJ$2:$BJ$999,Transport!$B41),0)</f>
        <v>0</v>
      </c>
      <c r="AS41" s="1">
        <f>IFERROR(SUMIFS(BY_TRA!BA$2:BA$999,BY_TRA!$BJ$2:$BJ$999,Transport!$B41,BY_TRA!$BK$2:$BK$999,Transport!$C41)/SUMIFS(BY_TRA!BA$2:BA$999,BY_TRA!$BJ$2:$BJ$999,Transport!$B41),0)</f>
        <v>0</v>
      </c>
      <c r="AT41" s="1">
        <f>IFERROR(SUMIFS(BY_TRA!BB$2:BB$999,BY_TRA!$BJ$2:$BJ$999,Transport!$B41,BY_TRA!$BK$2:$BK$999,Transport!$C41)/SUMIFS(BY_TRA!BB$2:BB$999,BY_TRA!$BJ$2:$BJ$999,Transport!$B41),0)</f>
        <v>0</v>
      </c>
      <c r="AU41" s="1">
        <f>IFERROR(SUMIFS(BY_TRA!BC$2:BC$999,BY_TRA!$BJ$2:$BJ$999,Transport!$B41,BY_TRA!$BK$2:$BK$999,Transport!$C41)/SUMIFS(BY_TRA!BC$2:BC$999,BY_TRA!$BJ$2:$BJ$999,Transport!$B41),0)</f>
        <v>0</v>
      </c>
      <c r="AV41" s="1">
        <f>IFERROR(SUMIFS(BY_TRA!BD$2:BD$999,BY_TRA!$BJ$2:$BJ$999,Transport!$B41,BY_TRA!$BK$2:$BK$999,Transport!$C41)/SUMIFS(BY_TRA!BD$2:BD$999,BY_TRA!$BJ$2:$BJ$999,Transport!$B41),0)</f>
        <v>0</v>
      </c>
      <c r="AW41" s="1">
        <f>IFERROR(SUMIFS(BY_TRA!BE$2:BE$999,BY_TRA!$BJ$2:$BJ$999,Transport!$B41,BY_TRA!$BK$2:$BK$999,Transport!$C41)/SUMIFS(BY_TRA!BE$2:BE$999,BY_TRA!$BJ$2:$BJ$999,Transport!$B41),0)</f>
        <v>0</v>
      </c>
      <c r="AX41" s="1">
        <f>IFERROR(SUMIFS(BY_TRA!BF$2:BF$999,BY_TRA!$BJ$2:$BJ$999,Transport!$B41,BY_TRA!$BK$2:$BK$999,Transport!$C41)/SUMIFS(BY_TRA!BF$2:BF$999,BY_TRA!$BJ$2:$BJ$999,Transport!$B41),0)</f>
        <v>0</v>
      </c>
      <c r="AY41" s="1">
        <f>IFERROR(SUMIFS(BY_TRA!BG$2:BG$999,BY_TRA!$BJ$2:$BJ$999,Transport!$B41,BY_TRA!$BK$2:$BK$999,Transport!$C41)/SUMIFS(BY_TRA!BG$2:BG$999,BY_TRA!$BJ$2:$BJ$999,Transport!$B41),0)</f>
        <v>0</v>
      </c>
    </row>
    <row r="42" spans="2:51">
      <c r="B42" t="s">
        <v>128</v>
      </c>
      <c r="C42" t="s">
        <v>129</v>
      </c>
      <c r="D42" s="1">
        <f>IFERROR(SUMIFS(BY_TRA!L$2:L$999,BY_TRA!$BJ$2:$BJ$999,Transport!$B42,BY_TRA!$BK$2:$BK$999,Transport!$C42)/SUMIFS(BY_TRA!L$2:L$999,BY_TRA!$BJ$2:$BJ$999,Transport!$B42),0)</f>
        <v>0</v>
      </c>
      <c r="E42" s="1">
        <f>IFERROR(SUMIFS(BY_TRA!M$2:M$999,BY_TRA!$BJ$2:$BJ$999,Transport!$B42,BY_TRA!$BK$2:$BK$999,Transport!$C42)/SUMIFS(BY_TRA!M$2:M$999,BY_TRA!$BJ$2:$BJ$999,Transport!$B42),0)</f>
        <v>0</v>
      </c>
      <c r="F42" s="1">
        <f>IFERROR(SUMIFS(BY_TRA!N$2:N$999,BY_TRA!$BJ$2:$BJ$999,Transport!$B42,BY_TRA!$BK$2:$BK$999,Transport!$C42)/SUMIFS(BY_TRA!N$2:N$999,BY_TRA!$BJ$2:$BJ$999,Transport!$B42),0)</f>
        <v>0</v>
      </c>
      <c r="G42" s="1">
        <f>IFERROR(SUMIFS(BY_TRA!O$2:O$999,BY_TRA!$BJ$2:$BJ$999,Transport!$B42,BY_TRA!$BK$2:$BK$999,Transport!$C42)/SUMIFS(BY_TRA!O$2:O$999,BY_TRA!$BJ$2:$BJ$999,Transport!$B42),0)</f>
        <v>0</v>
      </c>
      <c r="H42" s="1">
        <f>IFERROR(SUMIFS(BY_TRA!P$2:P$999,BY_TRA!$BJ$2:$BJ$999,Transport!$B42,BY_TRA!$BK$2:$BK$999,Transport!$C42)/SUMIFS(BY_TRA!P$2:P$999,BY_TRA!$BJ$2:$BJ$999,Transport!$B42),0)</f>
        <v>0</v>
      </c>
      <c r="I42" s="1">
        <f>IFERROR(SUMIFS(BY_TRA!Q$2:Q$999,BY_TRA!$BJ$2:$BJ$999,Transport!$B42,BY_TRA!$BK$2:$BK$999,Transport!$C42)/SUMIFS(BY_TRA!Q$2:Q$999,BY_TRA!$BJ$2:$BJ$999,Transport!$B42),0)</f>
        <v>0</v>
      </c>
      <c r="J42" s="1">
        <f>IFERROR(SUMIFS(BY_TRA!R$2:R$999,BY_TRA!$BJ$2:$BJ$999,Transport!$B42,BY_TRA!$BK$2:$BK$999,Transport!$C42)/SUMIFS(BY_TRA!R$2:R$999,BY_TRA!$BJ$2:$BJ$999,Transport!$B42),0)</f>
        <v>0</v>
      </c>
      <c r="K42" s="1">
        <f>IFERROR(SUMIFS(BY_TRA!S$2:S$999,BY_TRA!$BJ$2:$BJ$999,Transport!$B42,BY_TRA!$BK$2:$BK$999,Transport!$C42)/SUMIFS(BY_TRA!S$2:S$999,BY_TRA!$BJ$2:$BJ$999,Transport!$B42),0)</f>
        <v>0</v>
      </c>
      <c r="L42" s="1">
        <f>IFERROR(SUMIFS(BY_TRA!T$2:T$999,BY_TRA!$BJ$2:$BJ$999,Transport!$B42,BY_TRA!$BK$2:$BK$999,Transport!$C42)/SUMIFS(BY_TRA!T$2:T$999,BY_TRA!$BJ$2:$BJ$999,Transport!$B42),0)</f>
        <v>0</v>
      </c>
      <c r="M42" s="1">
        <f>IFERROR(SUMIFS(BY_TRA!U$2:U$999,BY_TRA!$BJ$2:$BJ$999,Transport!$B42,BY_TRA!$BK$2:$BK$999,Transport!$C42)/SUMIFS(BY_TRA!U$2:U$999,BY_TRA!$BJ$2:$BJ$999,Transport!$B42),0)</f>
        <v>0</v>
      </c>
      <c r="N42" s="1">
        <f>IFERROR(SUMIFS(BY_TRA!V$2:V$999,BY_TRA!$BJ$2:$BJ$999,Transport!$B42,BY_TRA!$BK$2:$BK$999,Transport!$C42)/SUMIFS(BY_TRA!V$2:V$999,BY_TRA!$BJ$2:$BJ$999,Transport!$B42),0)</f>
        <v>0</v>
      </c>
      <c r="O42" s="1">
        <f>IFERROR(SUMIFS(BY_TRA!W$2:W$999,BY_TRA!$BJ$2:$BJ$999,Transport!$B42,BY_TRA!$BK$2:$BK$999,Transport!$C42)/SUMIFS(BY_TRA!W$2:W$999,BY_TRA!$BJ$2:$BJ$999,Transport!$B42),0)</f>
        <v>0</v>
      </c>
      <c r="P42" s="1">
        <f>IFERROR(SUMIFS(BY_TRA!X$2:X$999,BY_TRA!$BJ$2:$BJ$999,Transport!$B42,BY_TRA!$BK$2:$BK$999,Transport!$C42)/SUMIFS(BY_TRA!X$2:X$999,BY_TRA!$BJ$2:$BJ$999,Transport!$B42),0)</f>
        <v>0</v>
      </c>
      <c r="Q42" s="1">
        <f>IFERROR(SUMIFS(BY_TRA!Y$2:Y$999,BY_TRA!$BJ$2:$BJ$999,Transport!$B42,BY_TRA!$BK$2:$BK$999,Transport!$C42)/SUMIFS(BY_TRA!Y$2:Y$999,BY_TRA!$BJ$2:$BJ$999,Transport!$B42),0)</f>
        <v>0</v>
      </c>
      <c r="R42" s="1">
        <f>IFERROR(SUMIFS(BY_TRA!Z$2:Z$999,BY_TRA!$BJ$2:$BJ$999,Transport!$B42,BY_TRA!$BK$2:$BK$999,Transport!$C42)/SUMIFS(BY_TRA!Z$2:Z$999,BY_TRA!$BJ$2:$BJ$999,Transport!$B42),0)</f>
        <v>0</v>
      </c>
      <c r="S42" s="1">
        <f>IFERROR(SUMIFS(BY_TRA!AA$2:AA$999,BY_TRA!$BJ$2:$BJ$999,Transport!$B42,BY_TRA!$BK$2:$BK$999,Transport!$C42)/SUMIFS(BY_TRA!AA$2:AA$999,BY_TRA!$BJ$2:$BJ$999,Transport!$B42),0)</f>
        <v>0</v>
      </c>
      <c r="T42" s="1">
        <f>IFERROR(SUMIFS(BY_TRA!AB$2:AB$999,BY_TRA!$BJ$2:$BJ$999,Transport!$B42,BY_TRA!$BK$2:$BK$999,Transport!$C42)/SUMIFS(BY_TRA!AB$2:AB$999,BY_TRA!$BJ$2:$BJ$999,Transport!$B42),0)</f>
        <v>0</v>
      </c>
      <c r="U42" s="1">
        <f>IFERROR(SUMIFS(BY_TRA!AC$2:AC$999,BY_TRA!$BJ$2:$BJ$999,Transport!$B42,BY_TRA!$BK$2:$BK$999,Transport!$C42)/SUMIFS(BY_TRA!AC$2:AC$999,BY_TRA!$BJ$2:$BJ$999,Transport!$B42),0)</f>
        <v>0</v>
      </c>
      <c r="V42" s="1">
        <f>IFERROR(SUMIFS(BY_TRA!AD$2:AD$999,BY_TRA!$BJ$2:$BJ$999,Transport!$B42,BY_TRA!$BK$2:$BK$999,Transport!$C42)/SUMIFS(BY_TRA!AD$2:AD$999,BY_TRA!$BJ$2:$BJ$999,Transport!$B42),0)</f>
        <v>0</v>
      </c>
      <c r="W42" s="1">
        <f>IFERROR(SUMIFS(BY_TRA!AE$2:AE$999,BY_TRA!$BJ$2:$BJ$999,Transport!$B42,BY_TRA!$BK$2:$BK$999,Transport!$C42)/SUMIFS(BY_TRA!AE$2:AE$999,BY_TRA!$BJ$2:$BJ$999,Transport!$B42),0)</f>
        <v>0</v>
      </c>
      <c r="X42" s="1">
        <f>IFERROR(SUMIFS(BY_TRA!AF$2:AF$999,BY_TRA!$BJ$2:$BJ$999,Transport!$B42,BY_TRA!$BK$2:$BK$999,Transport!$C42)/SUMIFS(BY_TRA!AF$2:AF$999,BY_TRA!$BJ$2:$BJ$999,Transport!$B42),0)</f>
        <v>0</v>
      </c>
      <c r="Y42" s="1">
        <f>IFERROR(SUMIFS(BY_TRA!AG$2:AG$999,BY_TRA!$BJ$2:$BJ$999,Transport!$B42,BY_TRA!$BK$2:$BK$999,Transport!$C42)/SUMIFS(BY_TRA!AG$2:AG$999,BY_TRA!$BJ$2:$BJ$999,Transport!$B42),0)</f>
        <v>0</v>
      </c>
      <c r="Z42" s="1">
        <f>IFERROR(SUMIFS(BY_TRA!AH$2:AH$999,BY_TRA!$BJ$2:$BJ$999,Transport!$B42,BY_TRA!$BK$2:$BK$999,Transport!$C42)/SUMIFS(BY_TRA!AH$2:AH$999,BY_TRA!$BJ$2:$BJ$999,Transport!$B42),0)</f>
        <v>0</v>
      </c>
      <c r="AA42" s="1">
        <f>IFERROR(SUMIFS(BY_TRA!AI$2:AI$999,BY_TRA!$BJ$2:$BJ$999,Transport!$B42,BY_TRA!$BK$2:$BK$999,Transport!$C42)/SUMIFS(BY_TRA!AI$2:AI$999,BY_TRA!$BJ$2:$BJ$999,Transport!$B42),0)</f>
        <v>0</v>
      </c>
      <c r="AB42" s="1">
        <f>IFERROR(SUMIFS(BY_TRA!AJ$2:AJ$999,BY_TRA!$BJ$2:$BJ$999,Transport!$B42,BY_TRA!$BK$2:$BK$999,Transport!$C42)/SUMIFS(BY_TRA!AJ$2:AJ$999,BY_TRA!$BJ$2:$BJ$999,Transport!$B42),0)</f>
        <v>0</v>
      </c>
      <c r="AC42" s="1">
        <f>IFERROR(SUMIFS(BY_TRA!AK$2:AK$999,BY_TRA!$BJ$2:$BJ$999,Transport!$B42,BY_TRA!$BK$2:$BK$999,Transport!$C42)/SUMIFS(BY_TRA!AK$2:AK$999,BY_TRA!$BJ$2:$BJ$999,Transport!$B42),0)</f>
        <v>0</v>
      </c>
      <c r="AD42" s="1">
        <f>IFERROR(SUMIFS(BY_TRA!AL$2:AL$999,BY_TRA!$BJ$2:$BJ$999,Transport!$B42,BY_TRA!$BK$2:$BK$999,Transport!$C42)/SUMIFS(BY_TRA!AL$2:AL$999,BY_TRA!$BJ$2:$BJ$999,Transport!$B42),0)</f>
        <v>0</v>
      </c>
      <c r="AE42" s="1">
        <f>IFERROR(SUMIFS(BY_TRA!AM$2:AM$999,BY_TRA!$BJ$2:$BJ$999,Transport!$B42,BY_TRA!$BK$2:$BK$999,Transport!$C42)/SUMIFS(BY_TRA!AM$2:AM$999,BY_TRA!$BJ$2:$BJ$999,Transport!$B42),0)</f>
        <v>0</v>
      </c>
      <c r="AF42" s="1">
        <f>IFERROR(SUMIFS(BY_TRA!AN$2:AN$999,BY_TRA!$BJ$2:$BJ$999,Transport!$B42,BY_TRA!$BK$2:$BK$999,Transport!$C42)/SUMIFS(BY_TRA!AN$2:AN$999,BY_TRA!$BJ$2:$BJ$999,Transport!$B42),0)</f>
        <v>0</v>
      </c>
      <c r="AG42" s="1">
        <f>IFERROR(SUMIFS(BY_TRA!AO$2:AO$999,BY_TRA!$BJ$2:$BJ$999,Transport!$B42,BY_TRA!$BK$2:$BK$999,Transport!$C42)/SUMIFS(BY_TRA!AO$2:AO$999,BY_TRA!$BJ$2:$BJ$999,Transport!$B42),0)</f>
        <v>0</v>
      </c>
      <c r="AH42" s="1">
        <f>IFERROR(SUMIFS(BY_TRA!AP$2:AP$999,BY_TRA!$BJ$2:$BJ$999,Transport!$B42,BY_TRA!$BK$2:$BK$999,Transport!$C42)/SUMIFS(BY_TRA!AP$2:AP$999,BY_TRA!$BJ$2:$BJ$999,Transport!$B42),0)</f>
        <v>0</v>
      </c>
      <c r="AI42" s="1">
        <f>IFERROR(SUMIFS(BY_TRA!AQ$2:AQ$999,BY_TRA!$BJ$2:$BJ$999,Transport!$B42,BY_TRA!$BK$2:$BK$999,Transport!$C42)/SUMIFS(BY_TRA!AQ$2:AQ$999,BY_TRA!$BJ$2:$BJ$999,Transport!$B42),0)</f>
        <v>0</v>
      </c>
      <c r="AJ42" s="1">
        <f>IFERROR(SUMIFS(BY_TRA!AR$2:AR$999,BY_TRA!$BJ$2:$BJ$999,Transport!$B42,BY_TRA!$BK$2:$BK$999,Transport!$C42)/SUMIFS(BY_TRA!AR$2:AR$999,BY_TRA!$BJ$2:$BJ$999,Transport!$B42),0)</f>
        <v>0</v>
      </c>
      <c r="AK42" s="1">
        <f>IFERROR(SUMIFS(BY_TRA!AS$2:AS$999,BY_TRA!$BJ$2:$BJ$999,Transport!$B42,BY_TRA!$BK$2:$BK$999,Transport!$C42)/SUMIFS(BY_TRA!AS$2:AS$999,BY_TRA!$BJ$2:$BJ$999,Transport!$B42),0)</f>
        <v>0</v>
      </c>
      <c r="AL42" s="1">
        <f>IFERROR(SUMIFS(BY_TRA!AT$2:AT$999,BY_TRA!$BJ$2:$BJ$999,Transport!$B42,BY_TRA!$BK$2:$BK$999,Transport!$C42)/SUMIFS(BY_TRA!AT$2:AT$999,BY_TRA!$BJ$2:$BJ$999,Transport!$B42),0)</f>
        <v>0</v>
      </c>
      <c r="AM42" s="1">
        <f>IFERROR(SUMIFS(BY_TRA!AU$2:AU$999,BY_TRA!$BJ$2:$BJ$999,Transport!$B42,BY_TRA!$BK$2:$BK$999,Transport!$C42)/SUMIFS(BY_TRA!AU$2:AU$999,BY_TRA!$BJ$2:$BJ$999,Transport!$B42),0)</f>
        <v>0</v>
      </c>
      <c r="AN42" s="1">
        <f>IFERROR(SUMIFS(BY_TRA!AV$2:AV$999,BY_TRA!$BJ$2:$BJ$999,Transport!$B42,BY_TRA!$BK$2:$BK$999,Transport!$C42)/SUMIFS(BY_TRA!AV$2:AV$999,BY_TRA!$BJ$2:$BJ$999,Transport!$B42),0)</f>
        <v>0</v>
      </c>
      <c r="AO42" s="1">
        <f>IFERROR(SUMIFS(BY_TRA!AW$2:AW$999,BY_TRA!$BJ$2:$BJ$999,Transport!$B42,BY_TRA!$BK$2:$BK$999,Transport!$C42)/SUMIFS(BY_TRA!AW$2:AW$999,BY_TRA!$BJ$2:$BJ$999,Transport!$B42),0)</f>
        <v>0</v>
      </c>
      <c r="AP42" s="1">
        <f>IFERROR(SUMIFS(BY_TRA!AX$2:AX$999,BY_TRA!$BJ$2:$BJ$999,Transport!$B42,BY_TRA!$BK$2:$BK$999,Transport!$C42)/SUMIFS(BY_TRA!AX$2:AX$999,BY_TRA!$BJ$2:$BJ$999,Transport!$B42),0)</f>
        <v>0</v>
      </c>
      <c r="AQ42" s="1">
        <f>IFERROR(SUMIFS(BY_TRA!AY$2:AY$999,BY_TRA!$BJ$2:$BJ$999,Transport!$B42,BY_TRA!$BK$2:$BK$999,Transport!$C42)/SUMIFS(BY_TRA!AY$2:AY$999,BY_TRA!$BJ$2:$BJ$999,Transport!$B42),0)</f>
        <v>0</v>
      </c>
      <c r="AR42" s="1">
        <f>IFERROR(SUMIFS(BY_TRA!AZ$2:AZ$999,BY_TRA!$BJ$2:$BJ$999,Transport!$B42,BY_TRA!$BK$2:$BK$999,Transport!$C42)/SUMIFS(BY_TRA!AZ$2:AZ$999,BY_TRA!$BJ$2:$BJ$999,Transport!$B42),0)</f>
        <v>0</v>
      </c>
      <c r="AS42" s="1">
        <f>IFERROR(SUMIFS(BY_TRA!BA$2:BA$999,BY_TRA!$BJ$2:$BJ$999,Transport!$B42,BY_TRA!$BK$2:$BK$999,Transport!$C42)/SUMIFS(BY_TRA!BA$2:BA$999,BY_TRA!$BJ$2:$BJ$999,Transport!$B42),0)</f>
        <v>0</v>
      </c>
      <c r="AT42" s="1">
        <f>IFERROR(SUMIFS(BY_TRA!BB$2:BB$999,BY_TRA!$BJ$2:$BJ$999,Transport!$B42,BY_TRA!$BK$2:$BK$999,Transport!$C42)/SUMIFS(BY_TRA!BB$2:BB$999,BY_TRA!$BJ$2:$BJ$999,Transport!$B42),0)</f>
        <v>0</v>
      </c>
      <c r="AU42" s="1">
        <f>IFERROR(SUMIFS(BY_TRA!BC$2:BC$999,BY_TRA!$BJ$2:$BJ$999,Transport!$B42,BY_TRA!$BK$2:$BK$999,Transport!$C42)/SUMIFS(BY_TRA!BC$2:BC$999,BY_TRA!$BJ$2:$BJ$999,Transport!$B42),0)</f>
        <v>0</v>
      </c>
      <c r="AV42" s="1">
        <f>IFERROR(SUMIFS(BY_TRA!BD$2:BD$999,BY_TRA!$BJ$2:$BJ$999,Transport!$B42,BY_TRA!$BK$2:$BK$999,Transport!$C42)/SUMIFS(BY_TRA!BD$2:BD$999,BY_TRA!$BJ$2:$BJ$999,Transport!$B42),0)</f>
        <v>0</v>
      </c>
      <c r="AW42" s="1">
        <f>IFERROR(SUMIFS(BY_TRA!BE$2:BE$999,BY_TRA!$BJ$2:$BJ$999,Transport!$B42,BY_TRA!$BK$2:$BK$999,Transport!$C42)/SUMIFS(BY_TRA!BE$2:BE$999,BY_TRA!$BJ$2:$BJ$999,Transport!$B42),0)</f>
        <v>0</v>
      </c>
      <c r="AX42" s="1">
        <f>IFERROR(SUMIFS(BY_TRA!BF$2:BF$999,BY_TRA!$BJ$2:$BJ$999,Transport!$B42,BY_TRA!$BK$2:$BK$999,Transport!$C42)/SUMIFS(BY_TRA!BF$2:BF$999,BY_TRA!$BJ$2:$BJ$999,Transport!$B42),0)</f>
        <v>0</v>
      </c>
      <c r="AY42" s="1">
        <f>IFERROR(SUMIFS(BY_TRA!BG$2:BG$999,BY_TRA!$BJ$2:$BJ$999,Transport!$B42,BY_TRA!$BK$2:$BK$999,Transport!$C42)/SUMIFS(BY_TRA!BG$2:BG$999,BY_TRA!$BJ$2:$BJ$999,Transport!$B42),0)</f>
        <v>0</v>
      </c>
    </row>
    <row r="43" spans="2:51">
      <c r="B43" t="s">
        <v>128</v>
      </c>
      <c r="C43" t="s">
        <v>123</v>
      </c>
      <c r="D43" s="1">
        <f>IFERROR(SUMIFS(BY_TRA!L$2:L$999,BY_TRA!$BJ$2:$BJ$999,Transport!$B43,BY_TRA!$BK$2:$BK$999,Transport!$C43)/SUMIFS(BY_TRA!L$2:L$999,BY_TRA!$BJ$2:$BJ$999,Transport!$B43),0)</f>
        <v>0</v>
      </c>
      <c r="E43" s="1">
        <f>IFERROR(SUMIFS(BY_TRA!M$2:M$999,BY_TRA!$BJ$2:$BJ$999,Transport!$B43,BY_TRA!$BK$2:$BK$999,Transport!$C43)/SUMIFS(BY_TRA!M$2:M$999,BY_TRA!$BJ$2:$BJ$999,Transport!$B43),0)</f>
        <v>0</v>
      </c>
      <c r="F43" s="1">
        <f>IFERROR(SUMIFS(BY_TRA!N$2:N$999,BY_TRA!$BJ$2:$BJ$999,Transport!$B43,BY_TRA!$BK$2:$BK$999,Transport!$C43)/SUMIFS(BY_TRA!N$2:N$999,BY_TRA!$BJ$2:$BJ$999,Transport!$B43),0)</f>
        <v>0</v>
      </c>
      <c r="G43" s="1">
        <f>IFERROR(SUMIFS(BY_TRA!O$2:O$999,BY_TRA!$BJ$2:$BJ$999,Transport!$B43,BY_TRA!$BK$2:$BK$999,Transport!$C43)/SUMIFS(BY_TRA!O$2:O$999,BY_TRA!$BJ$2:$BJ$999,Transport!$B43),0)</f>
        <v>0</v>
      </c>
      <c r="H43" s="1">
        <f>IFERROR(SUMIFS(BY_TRA!P$2:P$999,BY_TRA!$BJ$2:$BJ$999,Transport!$B43,BY_TRA!$BK$2:$BK$999,Transport!$C43)/SUMIFS(BY_TRA!P$2:P$999,BY_TRA!$BJ$2:$BJ$999,Transport!$B43),0)</f>
        <v>0</v>
      </c>
      <c r="I43" s="1">
        <f>IFERROR(SUMIFS(BY_TRA!Q$2:Q$999,BY_TRA!$BJ$2:$BJ$999,Transport!$B43,BY_TRA!$BK$2:$BK$999,Transport!$C43)/SUMIFS(BY_TRA!Q$2:Q$999,BY_TRA!$BJ$2:$BJ$999,Transport!$B43),0)</f>
        <v>0</v>
      </c>
      <c r="J43" s="1">
        <f>IFERROR(SUMIFS(BY_TRA!R$2:R$999,BY_TRA!$BJ$2:$BJ$999,Transport!$B43,BY_TRA!$BK$2:$BK$999,Transport!$C43)/SUMIFS(BY_TRA!R$2:R$999,BY_TRA!$BJ$2:$BJ$999,Transport!$B43),0)</f>
        <v>0</v>
      </c>
      <c r="K43" s="1">
        <f>IFERROR(SUMIFS(BY_TRA!S$2:S$999,BY_TRA!$BJ$2:$BJ$999,Transport!$B43,BY_TRA!$BK$2:$BK$999,Transport!$C43)/SUMIFS(BY_TRA!S$2:S$999,BY_TRA!$BJ$2:$BJ$999,Transport!$B43),0)</f>
        <v>0</v>
      </c>
      <c r="L43" s="1">
        <f>IFERROR(SUMIFS(BY_TRA!T$2:T$999,BY_TRA!$BJ$2:$BJ$999,Transport!$B43,BY_TRA!$BK$2:$BK$999,Transport!$C43)/SUMIFS(BY_TRA!T$2:T$999,BY_TRA!$BJ$2:$BJ$999,Transport!$B43),0)</f>
        <v>0</v>
      </c>
      <c r="M43" s="1">
        <f>IFERROR(SUMIFS(BY_TRA!U$2:U$999,BY_TRA!$BJ$2:$BJ$999,Transport!$B43,BY_TRA!$BK$2:$BK$999,Transport!$C43)/SUMIFS(BY_TRA!U$2:U$999,BY_TRA!$BJ$2:$BJ$999,Transport!$B43),0)</f>
        <v>0</v>
      </c>
      <c r="N43" s="1">
        <f>IFERROR(SUMIFS(BY_TRA!V$2:V$999,BY_TRA!$BJ$2:$BJ$999,Transport!$B43,BY_TRA!$BK$2:$BK$999,Transport!$C43)/SUMIFS(BY_TRA!V$2:V$999,BY_TRA!$BJ$2:$BJ$999,Transport!$B43),0)</f>
        <v>0</v>
      </c>
      <c r="O43" s="1">
        <f>IFERROR(SUMIFS(BY_TRA!W$2:W$999,BY_TRA!$BJ$2:$BJ$999,Transport!$B43,BY_TRA!$BK$2:$BK$999,Transport!$C43)/SUMIFS(BY_TRA!W$2:W$999,BY_TRA!$BJ$2:$BJ$999,Transport!$B43),0)</f>
        <v>0</v>
      </c>
      <c r="P43" s="1">
        <f>IFERROR(SUMIFS(BY_TRA!X$2:X$999,BY_TRA!$BJ$2:$BJ$999,Transport!$B43,BY_TRA!$BK$2:$BK$999,Transport!$C43)/SUMIFS(BY_TRA!X$2:X$999,BY_TRA!$BJ$2:$BJ$999,Transport!$B43),0)</f>
        <v>0</v>
      </c>
      <c r="Q43" s="1">
        <f>IFERROR(SUMIFS(BY_TRA!Y$2:Y$999,BY_TRA!$BJ$2:$BJ$999,Transport!$B43,BY_TRA!$BK$2:$BK$999,Transport!$C43)/SUMIFS(BY_TRA!Y$2:Y$999,BY_TRA!$BJ$2:$BJ$999,Transport!$B43),0)</f>
        <v>0</v>
      </c>
      <c r="R43" s="1">
        <f>IFERROR(SUMIFS(BY_TRA!Z$2:Z$999,BY_TRA!$BJ$2:$BJ$999,Transport!$B43,BY_TRA!$BK$2:$BK$999,Transport!$C43)/SUMIFS(BY_TRA!Z$2:Z$999,BY_TRA!$BJ$2:$BJ$999,Transport!$B43),0)</f>
        <v>0</v>
      </c>
      <c r="S43" s="1">
        <f>IFERROR(SUMIFS(BY_TRA!AA$2:AA$999,BY_TRA!$BJ$2:$BJ$999,Transport!$B43,BY_TRA!$BK$2:$BK$999,Transport!$C43)/SUMIFS(BY_TRA!AA$2:AA$999,BY_TRA!$BJ$2:$BJ$999,Transport!$B43),0)</f>
        <v>0</v>
      </c>
      <c r="T43" s="1">
        <f>IFERROR(SUMIFS(BY_TRA!AB$2:AB$999,BY_TRA!$BJ$2:$BJ$999,Transport!$B43,BY_TRA!$BK$2:$BK$999,Transport!$C43)/SUMIFS(BY_TRA!AB$2:AB$999,BY_TRA!$BJ$2:$BJ$999,Transport!$B43),0)</f>
        <v>0</v>
      </c>
      <c r="U43" s="1">
        <f>IFERROR(SUMIFS(BY_TRA!AC$2:AC$999,BY_TRA!$BJ$2:$BJ$999,Transport!$B43,BY_TRA!$BK$2:$BK$999,Transport!$C43)/SUMIFS(BY_TRA!AC$2:AC$999,BY_TRA!$BJ$2:$BJ$999,Transport!$B43),0)</f>
        <v>0</v>
      </c>
      <c r="V43" s="1">
        <f>IFERROR(SUMIFS(BY_TRA!AD$2:AD$999,BY_TRA!$BJ$2:$BJ$999,Transport!$B43,BY_TRA!$BK$2:$BK$999,Transport!$C43)/SUMIFS(BY_TRA!AD$2:AD$999,BY_TRA!$BJ$2:$BJ$999,Transport!$B43),0)</f>
        <v>0</v>
      </c>
      <c r="W43" s="1">
        <f>IFERROR(SUMIFS(BY_TRA!AE$2:AE$999,BY_TRA!$BJ$2:$BJ$999,Transport!$B43,BY_TRA!$BK$2:$BK$999,Transport!$C43)/SUMIFS(BY_TRA!AE$2:AE$999,BY_TRA!$BJ$2:$BJ$999,Transport!$B43),0)</f>
        <v>0</v>
      </c>
      <c r="X43" s="1">
        <f>IFERROR(SUMIFS(BY_TRA!AF$2:AF$999,BY_TRA!$BJ$2:$BJ$999,Transport!$B43,BY_TRA!$BK$2:$BK$999,Transport!$C43)/SUMIFS(BY_TRA!AF$2:AF$999,BY_TRA!$BJ$2:$BJ$999,Transport!$B43),0)</f>
        <v>0</v>
      </c>
      <c r="Y43" s="1">
        <f>IFERROR(SUMIFS(BY_TRA!AG$2:AG$999,BY_TRA!$BJ$2:$BJ$999,Transport!$B43,BY_TRA!$BK$2:$BK$999,Transport!$C43)/SUMIFS(BY_TRA!AG$2:AG$999,BY_TRA!$BJ$2:$BJ$999,Transport!$B43),0)</f>
        <v>0</v>
      </c>
      <c r="Z43" s="1">
        <f>IFERROR(SUMIFS(BY_TRA!AH$2:AH$999,BY_TRA!$BJ$2:$BJ$999,Transport!$B43,BY_TRA!$BK$2:$BK$999,Transport!$C43)/SUMIFS(BY_TRA!AH$2:AH$999,BY_TRA!$BJ$2:$BJ$999,Transport!$B43),0)</f>
        <v>0</v>
      </c>
      <c r="AA43" s="1">
        <f>IFERROR(SUMIFS(BY_TRA!AI$2:AI$999,BY_TRA!$BJ$2:$BJ$999,Transport!$B43,BY_TRA!$BK$2:$BK$999,Transport!$C43)/SUMIFS(BY_TRA!AI$2:AI$999,BY_TRA!$BJ$2:$BJ$999,Transport!$B43),0)</f>
        <v>0</v>
      </c>
      <c r="AB43" s="1">
        <f>IFERROR(SUMIFS(BY_TRA!AJ$2:AJ$999,BY_TRA!$BJ$2:$BJ$999,Transport!$B43,BY_TRA!$BK$2:$BK$999,Transport!$C43)/SUMIFS(BY_TRA!AJ$2:AJ$999,BY_TRA!$BJ$2:$BJ$999,Transport!$B43),0)</f>
        <v>0</v>
      </c>
      <c r="AC43" s="1">
        <f>IFERROR(SUMIFS(BY_TRA!AK$2:AK$999,BY_TRA!$BJ$2:$BJ$999,Transport!$B43,BY_TRA!$BK$2:$BK$999,Transport!$C43)/SUMIFS(BY_TRA!AK$2:AK$999,BY_TRA!$BJ$2:$BJ$999,Transport!$B43),0)</f>
        <v>0</v>
      </c>
      <c r="AD43" s="1">
        <f>IFERROR(SUMIFS(BY_TRA!AL$2:AL$999,BY_TRA!$BJ$2:$BJ$999,Transport!$B43,BY_TRA!$BK$2:$BK$999,Transport!$C43)/SUMIFS(BY_TRA!AL$2:AL$999,BY_TRA!$BJ$2:$BJ$999,Transport!$B43),0)</f>
        <v>0</v>
      </c>
      <c r="AE43" s="1">
        <f>IFERROR(SUMIFS(BY_TRA!AM$2:AM$999,BY_TRA!$BJ$2:$BJ$999,Transport!$B43,BY_TRA!$BK$2:$BK$999,Transport!$C43)/SUMIFS(BY_TRA!AM$2:AM$999,BY_TRA!$BJ$2:$BJ$999,Transport!$B43),0)</f>
        <v>0</v>
      </c>
      <c r="AF43" s="1">
        <f>IFERROR(SUMIFS(BY_TRA!AN$2:AN$999,BY_TRA!$BJ$2:$BJ$999,Transport!$B43,BY_TRA!$BK$2:$BK$999,Transport!$C43)/SUMIFS(BY_TRA!AN$2:AN$999,BY_TRA!$BJ$2:$BJ$999,Transport!$B43),0)</f>
        <v>0</v>
      </c>
      <c r="AG43" s="1">
        <f>IFERROR(SUMIFS(BY_TRA!AO$2:AO$999,BY_TRA!$BJ$2:$BJ$999,Transport!$B43,BY_TRA!$BK$2:$BK$999,Transport!$C43)/SUMIFS(BY_TRA!AO$2:AO$999,BY_TRA!$BJ$2:$BJ$999,Transport!$B43),0)</f>
        <v>0</v>
      </c>
      <c r="AH43" s="1">
        <f>IFERROR(SUMIFS(BY_TRA!AP$2:AP$999,BY_TRA!$BJ$2:$BJ$999,Transport!$B43,BY_TRA!$BK$2:$BK$999,Transport!$C43)/SUMIFS(BY_TRA!AP$2:AP$999,BY_TRA!$BJ$2:$BJ$999,Transport!$B43),0)</f>
        <v>0</v>
      </c>
      <c r="AI43" s="1">
        <f>IFERROR(SUMIFS(BY_TRA!AQ$2:AQ$999,BY_TRA!$BJ$2:$BJ$999,Transport!$B43,BY_TRA!$BK$2:$BK$999,Transport!$C43)/SUMIFS(BY_TRA!AQ$2:AQ$999,BY_TRA!$BJ$2:$BJ$999,Transport!$B43),0)</f>
        <v>0</v>
      </c>
      <c r="AJ43" s="1">
        <f>IFERROR(SUMIFS(BY_TRA!AR$2:AR$999,BY_TRA!$BJ$2:$BJ$999,Transport!$B43,BY_TRA!$BK$2:$BK$999,Transport!$C43)/SUMIFS(BY_TRA!AR$2:AR$999,BY_TRA!$BJ$2:$BJ$999,Transport!$B43),0)</f>
        <v>0</v>
      </c>
      <c r="AK43" s="1">
        <f>IFERROR(SUMIFS(BY_TRA!AS$2:AS$999,BY_TRA!$BJ$2:$BJ$999,Transport!$B43,BY_TRA!$BK$2:$BK$999,Transport!$C43)/SUMIFS(BY_TRA!AS$2:AS$999,BY_TRA!$BJ$2:$BJ$999,Transport!$B43),0)</f>
        <v>0</v>
      </c>
      <c r="AL43" s="1">
        <f>IFERROR(SUMIFS(BY_TRA!AT$2:AT$999,BY_TRA!$BJ$2:$BJ$999,Transport!$B43,BY_TRA!$BK$2:$BK$999,Transport!$C43)/SUMIFS(BY_TRA!AT$2:AT$999,BY_TRA!$BJ$2:$BJ$999,Transport!$B43),0)</f>
        <v>0</v>
      </c>
      <c r="AM43" s="1">
        <f>IFERROR(SUMIFS(BY_TRA!AU$2:AU$999,BY_TRA!$BJ$2:$BJ$999,Transport!$B43,BY_TRA!$BK$2:$BK$999,Transport!$C43)/SUMIFS(BY_TRA!AU$2:AU$999,BY_TRA!$BJ$2:$BJ$999,Transport!$B43),0)</f>
        <v>0</v>
      </c>
      <c r="AN43" s="1">
        <f>IFERROR(SUMIFS(BY_TRA!AV$2:AV$999,BY_TRA!$BJ$2:$BJ$999,Transport!$B43,BY_TRA!$BK$2:$BK$999,Transport!$C43)/SUMIFS(BY_TRA!AV$2:AV$999,BY_TRA!$BJ$2:$BJ$999,Transport!$B43),0)</f>
        <v>0</v>
      </c>
      <c r="AO43" s="1">
        <f>IFERROR(SUMIFS(BY_TRA!AW$2:AW$999,BY_TRA!$BJ$2:$BJ$999,Transport!$B43,BY_TRA!$BK$2:$BK$999,Transport!$C43)/SUMIFS(BY_TRA!AW$2:AW$999,BY_TRA!$BJ$2:$BJ$999,Transport!$B43),0)</f>
        <v>0</v>
      </c>
      <c r="AP43" s="1">
        <f>IFERROR(SUMIFS(BY_TRA!AX$2:AX$999,BY_TRA!$BJ$2:$BJ$999,Transport!$B43,BY_TRA!$BK$2:$BK$999,Transport!$C43)/SUMIFS(BY_TRA!AX$2:AX$999,BY_TRA!$BJ$2:$BJ$999,Transport!$B43),0)</f>
        <v>0</v>
      </c>
      <c r="AQ43" s="1">
        <f>IFERROR(SUMIFS(BY_TRA!AY$2:AY$999,BY_TRA!$BJ$2:$BJ$999,Transport!$B43,BY_TRA!$BK$2:$BK$999,Transport!$C43)/SUMIFS(BY_TRA!AY$2:AY$999,BY_TRA!$BJ$2:$BJ$999,Transport!$B43),0)</f>
        <v>0</v>
      </c>
      <c r="AR43" s="1">
        <f>IFERROR(SUMIFS(BY_TRA!AZ$2:AZ$999,BY_TRA!$BJ$2:$BJ$999,Transport!$B43,BY_TRA!$BK$2:$BK$999,Transport!$C43)/SUMIFS(BY_TRA!AZ$2:AZ$999,BY_TRA!$BJ$2:$BJ$999,Transport!$B43),0)</f>
        <v>0</v>
      </c>
      <c r="AS43" s="1">
        <f>IFERROR(SUMIFS(BY_TRA!BA$2:BA$999,BY_TRA!$BJ$2:$BJ$999,Transport!$B43,BY_TRA!$BK$2:$BK$999,Transport!$C43)/SUMIFS(BY_TRA!BA$2:BA$999,BY_TRA!$BJ$2:$BJ$999,Transport!$B43),0)</f>
        <v>0</v>
      </c>
      <c r="AT43" s="1">
        <f>IFERROR(SUMIFS(BY_TRA!BB$2:BB$999,BY_TRA!$BJ$2:$BJ$999,Transport!$B43,BY_TRA!$BK$2:$BK$999,Transport!$C43)/SUMIFS(BY_TRA!BB$2:BB$999,BY_TRA!$BJ$2:$BJ$999,Transport!$B43),0)</f>
        <v>0</v>
      </c>
      <c r="AU43" s="1">
        <f>IFERROR(SUMIFS(BY_TRA!BC$2:BC$999,BY_TRA!$BJ$2:$BJ$999,Transport!$B43,BY_TRA!$BK$2:$BK$999,Transport!$C43)/SUMIFS(BY_TRA!BC$2:BC$999,BY_TRA!$BJ$2:$BJ$999,Transport!$B43),0)</f>
        <v>0</v>
      </c>
      <c r="AV43" s="1">
        <f>IFERROR(SUMIFS(BY_TRA!BD$2:BD$999,BY_TRA!$BJ$2:$BJ$999,Transport!$B43,BY_TRA!$BK$2:$BK$999,Transport!$C43)/SUMIFS(BY_TRA!BD$2:BD$999,BY_TRA!$BJ$2:$BJ$999,Transport!$B43),0)</f>
        <v>0</v>
      </c>
      <c r="AW43" s="1">
        <f>IFERROR(SUMIFS(BY_TRA!BE$2:BE$999,BY_TRA!$BJ$2:$BJ$999,Transport!$B43,BY_TRA!$BK$2:$BK$999,Transport!$C43)/SUMIFS(BY_TRA!BE$2:BE$999,BY_TRA!$BJ$2:$BJ$999,Transport!$B43),0)</f>
        <v>0</v>
      </c>
      <c r="AX43" s="1">
        <f>IFERROR(SUMIFS(BY_TRA!BF$2:BF$999,BY_TRA!$BJ$2:$BJ$999,Transport!$B43,BY_TRA!$BK$2:$BK$999,Transport!$C43)/SUMIFS(BY_TRA!BF$2:BF$999,BY_TRA!$BJ$2:$BJ$999,Transport!$B43),0)</f>
        <v>0</v>
      </c>
      <c r="AY43" s="1">
        <f>IFERROR(SUMIFS(BY_TRA!BG$2:BG$999,BY_TRA!$BJ$2:$BJ$999,Transport!$B43,BY_TRA!$BK$2:$BK$999,Transport!$C43)/SUMIFS(BY_TRA!BG$2:BG$999,BY_TRA!$BJ$2:$BJ$999,Transport!$B43),0)</f>
        <v>0</v>
      </c>
    </row>
    <row r="44" spans="2:51">
      <c r="B44" t="s">
        <v>128</v>
      </c>
      <c r="C44" t="s">
        <v>124</v>
      </c>
      <c r="D44" s="1">
        <f>IFERROR(SUMIFS(BY_TRA!L$2:L$999,BY_TRA!$BJ$2:$BJ$999,Transport!$B44,BY_TRA!$BK$2:$BK$999,Transport!$C44)/SUMIFS(BY_TRA!L$2:L$999,BY_TRA!$BJ$2:$BJ$999,Transport!$B44),0)</f>
        <v>0</v>
      </c>
      <c r="E44" s="1">
        <f>IFERROR(SUMIFS(BY_TRA!M$2:M$999,BY_TRA!$BJ$2:$BJ$999,Transport!$B44,BY_TRA!$BK$2:$BK$999,Transport!$C44)/SUMIFS(BY_TRA!M$2:M$999,BY_TRA!$BJ$2:$BJ$999,Transport!$B44),0)</f>
        <v>0</v>
      </c>
      <c r="F44" s="1">
        <f>IFERROR(SUMIFS(BY_TRA!N$2:N$999,BY_TRA!$BJ$2:$BJ$999,Transport!$B44,BY_TRA!$BK$2:$BK$999,Transport!$C44)/SUMIFS(BY_TRA!N$2:N$999,BY_TRA!$BJ$2:$BJ$999,Transport!$B44),0)</f>
        <v>0</v>
      </c>
      <c r="G44" s="1">
        <f>IFERROR(SUMIFS(BY_TRA!O$2:O$999,BY_TRA!$BJ$2:$BJ$999,Transport!$B44,BY_TRA!$BK$2:$BK$999,Transport!$C44)/SUMIFS(BY_TRA!O$2:O$999,BY_TRA!$BJ$2:$BJ$999,Transport!$B44),0)</f>
        <v>0</v>
      </c>
      <c r="H44" s="1">
        <f>IFERROR(SUMIFS(BY_TRA!P$2:P$999,BY_TRA!$BJ$2:$BJ$999,Transport!$B44,BY_TRA!$BK$2:$BK$999,Transport!$C44)/SUMIFS(BY_TRA!P$2:P$999,BY_TRA!$BJ$2:$BJ$999,Transport!$B44),0)</f>
        <v>0</v>
      </c>
      <c r="I44" s="1">
        <f>IFERROR(SUMIFS(BY_TRA!Q$2:Q$999,BY_TRA!$BJ$2:$BJ$999,Transport!$B44,BY_TRA!$BK$2:$BK$999,Transport!$C44)/SUMIFS(BY_TRA!Q$2:Q$999,BY_TRA!$BJ$2:$BJ$999,Transport!$B44),0)</f>
        <v>0</v>
      </c>
      <c r="J44" s="1">
        <f>IFERROR(SUMIFS(BY_TRA!R$2:R$999,BY_TRA!$BJ$2:$BJ$999,Transport!$B44,BY_TRA!$BK$2:$BK$999,Transport!$C44)/SUMIFS(BY_TRA!R$2:R$999,BY_TRA!$BJ$2:$BJ$999,Transport!$B44),0)</f>
        <v>0</v>
      </c>
      <c r="K44" s="1">
        <f>IFERROR(SUMIFS(BY_TRA!S$2:S$999,BY_TRA!$BJ$2:$BJ$999,Transport!$B44,BY_TRA!$BK$2:$BK$999,Transport!$C44)/SUMIFS(BY_TRA!S$2:S$999,BY_TRA!$BJ$2:$BJ$999,Transport!$B44),0)</f>
        <v>0</v>
      </c>
      <c r="L44" s="1">
        <f>IFERROR(SUMIFS(BY_TRA!T$2:T$999,BY_TRA!$BJ$2:$BJ$999,Transport!$B44,BY_TRA!$BK$2:$BK$999,Transport!$C44)/SUMIFS(BY_TRA!T$2:T$999,BY_TRA!$BJ$2:$BJ$999,Transport!$B44),0)</f>
        <v>0</v>
      </c>
      <c r="M44" s="1">
        <f>IFERROR(SUMIFS(BY_TRA!U$2:U$999,BY_TRA!$BJ$2:$BJ$999,Transport!$B44,BY_TRA!$BK$2:$BK$999,Transport!$C44)/SUMIFS(BY_TRA!U$2:U$999,BY_TRA!$BJ$2:$BJ$999,Transport!$B44),0)</f>
        <v>0</v>
      </c>
      <c r="N44" s="1">
        <f>IFERROR(SUMIFS(BY_TRA!V$2:V$999,BY_TRA!$BJ$2:$BJ$999,Transport!$B44,BY_TRA!$BK$2:$BK$999,Transport!$C44)/SUMIFS(BY_TRA!V$2:V$999,BY_TRA!$BJ$2:$BJ$999,Transport!$B44),0)</f>
        <v>0</v>
      </c>
      <c r="O44" s="1">
        <f>IFERROR(SUMIFS(BY_TRA!W$2:W$999,BY_TRA!$BJ$2:$BJ$999,Transport!$B44,BY_TRA!$BK$2:$BK$999,Transport!$C44)/SUMIFS(BY_TRA!W$2:W$999,BY_TRA!$BJ$2:$BJ$999,Transport!$B44),0)</f>
        <v>0</v>
      </c>
      <c r="P44" s="1">
        <f>IFERROR(SUMIFS(BY_TRA!X$2:X$999,BY_TRA!$BJ$2:$BJ$999,Transport!$B44,BY_TRA!$BK$2:$BK$999,Transport!$C44)/SUMIFS(BY_TRA!X$2:X$999,BY_TRA!$BJ$2:$BJ$999,Transport!$B44),0)</f>
        <v>0</v>
      </c>
      <c r="Q44" s="1">
        <f>IFERROR(SUMIFS(BY_TRA!Y$2:Y$999,BY_TRA!$BJ$2:$BJ$999,Transport!$B44,BY_TRA!$BK$2:$BK$999,Transport!$C44)/SUMIFS(BY_TRA!Y$2:Y$999,BY_TRA!$BJ$2:$BJ$999,Transport!$B44),0)</f>
        <v>0</v>
      </c>
      <c r="R44" s="1">
        <f>IFERROR(SUMIFS(BY_TRA!Z$2:Z$999,BY_TRA!$BJ$2:$BJ$999,Transport!$B44,BY_TRA!$BK$2:$BK$999,Transport!$C44)/SUMIFS(BY_TRA!Z$2:Z$999,BY_TRA!$BJ$2:$BJ$999,Transport!$B44),0)</f>
        <v>0</v>
      </c>
      <c r="S44" s="1">
        <f>IFERROR(SUMIFS(BY_TRA!AA$2:AA$999,BY_TRA!$BJ$2:$BJ$999,Transport!$B44,BY_TRA!$BK$2:$BK$999,Transport!$C44)/SUMIFS(BY_TRA!AA$2:AA$999,BY_TRA!$BJ$2:$BJ$999,Transport!$B44),0)</f>
        <v>0</v>
      </c>
      <c r="T44" s="1">
        <f>IFERROR(SUMIFS(BY_TRA!AB$2:AB$999,BY_TRA!$BJ$2:$BJ$999,Transport!$B44,BY_TRA!$BK$2:$BK$999,Transport!$C44)/SUMIFS(BY_TRA!AB$2:AB$999,BY_TRA!$BJ$2:$BJ$999,Transport!$B44),0)</f>
        <v>0</v>
      </c>
      <c r="U44" s="1">
        <f>IFERROR(SUMIFS(BY_TRA!AC$2:AC$999,BY_TRA!$BJ$2:$BJ$999,Transport!$B44,BY_TRA!$BK$2:$BK$999,Transport!$C44)/SUMIFS(BY_TRA!AC$2:AC$999,BY_TRA!$BJ$2:$BJ$999,Transport!$B44),0)</f>
        <v>0</v>
      </c>
      <c r="V44" s="1">
        <f>IFERROR(SUMIFS(BY_TRA!AD$2:AD$999,BY_TRA!$BJ$2:$BJ$999,Transport!$B44,BY_TRA!$BK$2:$BK$999,Transport!$C44)/SUMIFS(BY_TRA!AD$2:AD$999,BY_TRA!$BJ$2:$BJ$999,Transport!$B44),0)</f>
        <v>0</v>
      </c>
      <c r="W44" s="1">
        <f>IFERROR(SUMIFS(BY_TRA!AE$2:AE$999,BY_TRA!$BJ$2:$BJ$999,Transport!$B44,BY_TRA!$BK$2:$BK$999,Transport!$C44)/SUMIFS(BY_TRA!AE$2:AE$999,BY_TRA!$BJ$2:$BJ$999,Transport!$B44),0)</f>
        <v>0</v>
      </c>
      <c r="X44" s="1">
        <f>IFERROR(SUMIFS(BY_TRA!AF$2:AF$999,BY_TRA!$BJ$2:$BJ$999,Transport!$B44,BY_TRA!$BK$2:$BK$999,Transport!$C44)/SUMIFS(BY_TRA!AF$2:AF$999,BY_TRA!$BJ$2:$BJ$999,Transport!$B44),0)</f>
        <v>0</v>
      </c>
      <c r="Y44" s="1">
        <f>IFERROR(SUMIFS(BY_TRA!AG$2:AG$999,BY_TRA!$BJ$2:$BJ$999,Transport!$B44,BY_TRA!$BK$2:$BK$999,Transport!$C44)/SUMIFS(BY_TRA!AG$2:AG$999,BY_TRA!$BJ$2:$BJ$999,Transport!$B44),0)</f>
        <v>0</v>
      </c>
      <c r="Z44" s="1">
        <f>IFERROR(SUMIFS(BY_TRA!AH$2:AH$999,BY_TRA!$BJ$2:$BJ$999,Transport!$B44,BY_TRA!$BK$2:$BK$999,Transport!$C44)/SUMIFS(BY_TRA!AH$2:AH$999,BY_TRA!$BJ$2:$BJ$999,Transport!$B44),0)</f>
        <v>0</v>
      </c>
      <c r="AA44" s="1">
        <f>IFERROR(SUMIFS(BY_TRA!AI$2:AI$999,BY_TRA!$BJ$2:$BJ$999,Transport!$B44,BY_TRA!$BK$2:$BK$999,Transport!$C44)/SUMIFS(BY_TRA!AI$2:AI$999,BY_TRA!$BJ$2:$BJ$999,Transport!$B44),0)</f>
        <v>0</v>
      </c>
      <c r="AB44" s="1">
        <f>IFERROR(SUMIFS(BY_TRA!AJ$2:AJ$999,BY_TRA!$BJ$2:$BJ$999,Transport!$B44,BY_TRA!$BK$2:$BK$999,Transport!$C44)/SUMIFS(BY_TRA!AJ$2:AJ$999,BY_TRA!$BJ$2:$BJ$999,Transport!$B44),0)</f>
        <v>0</v>
      </c>
      <c r="AC44" s="1">
        <f>IFERROR(SUMIFS(BY_TRA!AK$2:AK$999,BY_TRA!$BJ$2:$BJ$999,Transport!$B44,BY_TRA!$BK$2:$BK$999,Transport!$C44)/SUMIFS(BY_TRA!AK$2:AK$999,BY_TRA!$BJ$2:$BJ$999,Transport!$B44),0)</f>
        <v>0</v>
      </c>
      <c r="AD44" s="1">
        <f>IFERROR(SUMIFS(BY_TRA!AL$2:AL$999,BY_TRA!$BJ$2:$BJ$999,Transport!$B44,BY_TRA!$BK$2:$BK$999,Transport!$C44)/SUMIFS(BY_TRA!AL$2:AL$999,BY_TRA!$BJ$2:$BJ$999,Transport!$B44),0)</f>
        <v>0</v>
      </c>
      <c r="AE44" s="1">
        <f>IFERROR(SUMIFS(BY_TRA!AM$2:AM$999,BY_TRA!$BJ$2:$BJ$999,Transport!$B44,BY_TRA!$BK$2:$BK$999,Transport!$C44)/SUMIFS(BY_TRA!AM$2:AM$999,BY_TRA!$BJ$2:$BJ$999,Transport!$B44),0)</f>
        <v>0</v>
      </c>
      <c r="AF44" s="1">
        <f>IFERROR(SUMIFS(BY_TRA!AN$2:AN$999,BY_TRA!$BJ$2:$BJ$999,Transport!$B44,BY_TRA!$BK$2:$BK$999,Transport!$C44)/SUMIFS(BY_TRA!AN$2:AN$999,BY_TRA!$BJ$2:$BJ$999,Transport!$B44),0)</f>
        <v>0</v>
      </c>
      <c r="AG44" s="1">
        <f>IFERROR(SUMIFS(BY_TRA!AO$2:AO$999,BY_TRA!$BJ$2:$BJ$999,Transport!$B44,BY_TRA!$BK$2:$BK$999,Transport!$C44)/SUMIFS(BY_TRA!AO$2:AO$999,BY_TRA!$BJ$2:$BJ$999,Transport!$B44),0)</f>
        <v>0</v>
      </c>
      <c r="AH44" s="1">
        <f>IFERROR(SUMIFS(BY_TRA!AP$2:AP$999,BY_TRA!$BJ$2:$BJ$999,Transport!$B44,BY_TRA!$BK$2:$BK$999,Transport!$C44)/SUMIFS(BY_TRA!AP$2:AP$999,BY_TRA!$BJ$2:$BJ$999,Transport!$B44),0)</f>
        <v>0</v>
      </c>
      <c r="AI44" s="1">
        <f>IFERROR(SUMIFS(BY_TRA!AQ$2:AQ$999,BY_TRA!$BJ$2:$BJ$999,Transport!$B44,BY_TRA!$BK$2:$BK$999,Transport!$C44)/SUMIFS(BY_TRA!AQ$2:AQ$999,BY_TRA!$BJ$2:$BJ$999,Transport!$B44),0)</f>
        <v>0</v>
      </c>
      <c r="AJ44" s="1">
        <f>IFERROR(SUMIFS(BY_TRA!AR$2:AR$999,BY_TRA!$BJ$2:$BJ$999,Transport!$B44,BY_TRA!$BK$2:$BK$999,Transport!$C44)/SUMIFS(BY_TRA!AR$2:AR$999,BY_TRA!$BJ$2:$BJ$999,Transport!$B44),0)</f>
        <v>0</v>
      </c>
      <c r="AK44" s="1">
        <f>IFERROR(SUMIFS(BY_TRA!AS$2:AS$999,BY_TRA!$BJ$2:$BJ$999,Transport!$B44,BY_TRA!$BK$2:$BK$999,Transport!$C44)/SUMIFS(BY_TRA!AS$2:AS$999,BY_TRA!$BJ$2:$BJ$999,Transport!$B44),0)</f>
        <v>0</v>
      </c>
      <c r="AL44" s="1">
        <f>IFERROR(SUMIFS(BY_TRA!AT$2:AT$999,BY_TRA!$BJ$2:$BJ$999,Transport!$B44,BY_TRA!$BK$2:$BK$999,Transport!$C44)/SUMIFS(BY_TRA!AT$2:AT$999,BY_TRA!$BJ$2:$BJ$999,Transport!$B44),0)</f>
        <v>0</v>
      </c>
      <c r="AM44" s="1">
        <f>IFERROR(SUMIFS(BY_TRA!AU$2:AU$999,BY_TRA!$BJ$2:$BJ$999,Transport!$B44,BY_TRA!$BK$2:$BK$999,Transport!$C44)/SUMIFS(BY_TRA!AU$2:AU$999,BY_TRA!$BJ$2:$BJ$999,Transport!$B44),0)</f>
        <v>0</v>
      </c>
      <c r="AN44" s="1">
        <f>IFERROR(SUMIFS(BY_TRA!AV$2:AV$999,BY_TRA!$BJ$2:$BJ$999,Transport!$B44,BY_TRA!$BK$2:$BK$999,Transport!$C44)/SUMIFS(BY_TRA!AV$2:AV$999,BY_TRA!$BJ$2:$BJ$999,Transport!$B44),0)</f>
        <v>0</v>
      </c>
      <c r="AO44" s="1">
        <f>IFERROR(SUMIFS(BY_TRA!AW$2:AW$999,BY_TRA!$BJ$2:$BJ$999,Transport!$B44,BY_TRA!$BK$2:$BK$999,Transport!$C44)/SUMIFS(BY_TRA!AW$2:AW$999,BY_TRA!$BJ$2:$BJ$999,Transport!$B44),0)</f>
        <v>0</v>
      </c>
      <c r="AP44" s="1">
        <f>IFERROR(SUMIFS(BY_TRA!AX$2:AX$999,BY_TRA!$BJ$2:$BJ$999,Transport!$B44,BY_TRA!$BK$2:$BK$999,Transport!$C44)/SUMIFS(BY_TRA!AX$2:AX$999,BY_TRA!$BJ$2:$BJ$999,Transport!$B44),0)</f>
        <v>0</v>
      </c>
      <c r="AQ44" s="1">
        <f>IFERROR(SUMIFS(BY_TRA!AY$2:AY$999,BY_TRA!$BJ$2:$BJ$999,Transport!$B44,BY_TRA!$BK$2:$BK$999,Transport!$C44)/SUMIFS(BY_TRA!AY$2:AY$999,BY_TRA!$BJ$2:$BJ$999,Transport!$B44),0)</f>
        <v>0</v>
      </c>
      <c r="AR44" s="1">
        <f>IFERROR(SUMIFS(BY_TRA!AZ$2:AZ$999,BY_TRA!$BJ$2:$BJ$999,Transport!$B44,BY_TRA!$BK$2:$BK$999,Transport!$C44)/SUMIFS(BY_TRA!AZ$2:AZ$999,BY_TRA!$BJ$2:$BJ$999,Transport!$B44),0)</f>
        <v>0</v>
      </c>
      <c r="AS44" s="1">
        <f>IFERROR(SUMIFS(BY_TRA!BA$2:BA$999,BY_TRA!$BJ$2:$BJ$999,Transport!$B44,BY_TRA!$BK$2:$BK$999,Transport!$C44)/SUMIFS(BY_TRA!BA$2:BA$999,BY_TRA!$BJ$2:$BJ$999,Transport!$B44),0)</f>
        <v>0</v>
      </c>
      <c r="AT44" s="1">
        <f>IFERROR(SUMIFS(BY_TRA!BB$2:BB$999,BY_TRA!$BJ$2:$BJ$999,Transport!$B44,BY_TRA!$BK$2:$BK$999,Transport!$C44)/SUMIFS(BY_TRA!BB$2:BB$999,BY_TRA!$BJ$2:$BJ$999,Transport!$B44),0)</f>
        <v>0</v>
      </c>
      <c r="AU44" s="1">
        <f>IFERROR(SUMIFS(BY_TRA!BC$2:BC$999,BY_TRA!$BJ$2:$BJ$999,Transport!$B44,BY_TRA!$BK$2:$BK$999,Transport!$C44)/SUMIFS(BY_TRA!BC$2:BC$999,BY_TRA!$BJ$2:$BJ$999,Transport!$B44),0)</f>
        <v>0</v>
      </c>
      <c r="AV44" s="1">
        <f>IFERROR(SUMIFS(BY_TRA!BD$2:BD$999,BY_TRA!$BJ$2:$BJ$999,Transport!$B44,BY_TRA!$BK$2:$BK$999,Transport!$C44)/SUMIFS(BY_TRA!BD$2:BD$999,BY_TRA!$BJ$2:$BJ$999,Transport!$B44),0)</f>
        <v>0</v>
      </c>
      <c r="AW44" s="1">
        <f>IFERROR(SUMIFS(BY_TRA!BE$2:BE$999,BY_TRA!$BJ$2:$BJ$999,Transport!$B44,BY_TRA!$BK$2:$BK$999,Transport!$C44)/SUMIFS(BY_TRA!BE$2:BE$999,BY_TRA!$BJ$2:$BJ$999,Transport!$B44),0)</f>
        <v>0</v>
      </c>
      <c r="AX44" s="1">
        <f>IFERROR(SUMIFS(BY_TRA!BF$2:BF$999,BY_TRA!$BJ$2:$BJ$999,Transport!$B44,BY_TRA!$BK$2:$BK$999,Transport!$C44)/SUMIFS(BY_TRA!BF$2:BF$999,BY_TRA!$BJ$2:$BJ$999,Transport!$B44),0)</f>
        <v>0</v>
      </c>
      <c r="AY44" s="1">
        <f>IFERROR(SUMIFS(BY_TRA!BG$2:BG$999,BY_TRA!$BJ$2:$BJ$999,Transport!$B44,BY_TRA!$BK$2:$BK$999,Transport!$C44)/SUMIFS(BY_TRA!BG$2:BG$999,BY_TRA!$BJ$2:$BJ$999,Transport!$B44),0)</f>
        <v>0</v>
      </c>
    </row>
    <row r="45" spans="2:51">
      <c r="B45" t="s">
        <v>128</v>
      </c>
      <c r="C45" t="s">
        <v>130</v>
      </c>
      <c r="D45" s="1">
        <f>IFERROR(SUMIFS(BY_TRA!L$2:L$999,BY_TRA!$BJ$2:$BJ$999,Transport!$B45,BY_TRA!$BK$2:$BK$999,Transport!$C45)/SUMIFS(BY_TRA!L$2:L$999,BY_TRA!$BJ$2:$BJ$999,Transport!$B45),0)</f>
        <v>0</v>
      </c>
      <c r="E45" s="1">
        <f>IFERROR(SUMIFS(BY_TRA!M$2:M$999,BY_TRA!$BJ$2:$BJ$999,Transport!$B45,BY_TRA!$BK$2:$BK$999,Transport!$C45)/SUMIFS(BY_TRA!M$2:M$999,BY_TRA!$BJ$2:$BJ$999,Transport!$B45),0)</f>
        <v>0</v>
      </c>
      <c r="F45" s="1">
        <f>IFERROR(SUMIFS(BY_TRA!N$2:N$999,BY_TRA!$BJ$2:$BJ$999,Transport!$B45,BY_TRA!$BK$2:$BK$999,Transport!$C45)/SUMIFS(BY_TRA!N$2:N$999,BY_TRA!$BJ$2:$BJ$999,Transport!$B45),0)</f>
        <v>0</v>
      </c>
      <c r="G45" s="1">
        <f>IFERROR(SUMIFS(BY_TRA!O$2:O$999,BY_TRA!$BJ$2:$BJ$999,Transport!$B45,BY_TRA!$BK$2:$BK$999,Transport!$C45)/SUMIFS(BY_TRA!O$2:O$999,BY_TRA!$BJ$2:$BJ$999,Transport!$B45),0)</f>
        <v>0</v>
      </c>
      <c r="H45" s="1">
        <f>IFERROR(SUMIFS(BY_TRA!P$2:P$999,BY_TRA!$BJ$2:$BJ$999,Transport!$B45,BY_TRA!$BK$2:$BK$999,Transport!$C45)/SUMIFS(BY_TRA!P$2:P$999,BY_TRA!$BJ$2:$BJ$999,Transport!$B45),0)</f>
        <v>0</v>
      </c>
      <c r="I45" s="1">
        <f>IFERROR(SUMIFS(BY_TRA!Q$2:Q$999,BY_TRA!$BJ$2:$BJ$999,Transport!$B45,BY_TRA!$BK$2:$BK$999,Transport!$C45)/SUMIFS(BY_TRA!Q$2:Q$999,BY_TRA!$BJ$2:$BJ$999,Transport!$B45),0)</f>
        <v>0</v>
      </c>
      <c r="J45" s="1">
        <f>IFERROR(SUMIFS(BY_TRA!R$2:R$999,BY_TRA!$BJ$2:$BJ$999,Transport!$B45,BY_TRA!$BK$2:$BK$999,Transport!$C45)/SUMIFS(BY_TRA!R$2:R$999,BY_TRA!$BJ$2:$BJ$999,Transport!$B45),0)</f>
        <v>0</v>
      </c>
      <c r="K45" s="1">
        <f>IFERROR(SUMIFS(BY_TRA!S$2:S$999,BY_TRA!$BJ$2:$BJ$999,Transport!$B45,BY_TRA!$BK$2:$BK$999,Transport!$C45)/SUMIFS(BY_TRA!S$2:S$999,BY_TRA!$BJ$2:$BJ$999,Transport!$B45),0)</f>
        <v>0</v>
      </c>
      <c r="L45" s="1">
        <f>IFERROR(SUMIFS(BY_TRA!T$2:T$999,BY_TRA!$BJ$2:$BJ$999,Transport!$B45,BY_TRA!$BK$2:$BK$999,Transport!$C45)/SUMIFS(BY_TRA!T$2:T$999,BY_TRA!$BJ$2:$BJ$999,Transport!$B45),0)</f>
        <v>0</v>
      </c>
      <c r="M45" s="1">
        <f>IFERROR(SUMIFS(BY_TRA!U$2:U$999,BY_TRA!$BJ$2:$BJ$999,Transport!$B45,BY_TRA!$BK$2:$BK$999,Transport!$C45)/SUMIFS(BY_TRA!U$2:U$999,BY_TRA!$BJ$2:$BJ$999,Transport!$B45),0)</f>
        <v>0</v>
      </c>
      <c r="N45" s="1">
        <f>IFERROR(SUMIFS(BY_TRA!V$2:V$999,BY_TRA!$BJ$2:$BJ$999,Transport!$B45,BY_TRA!$BK$2:$BK$999,Transport!$C45)/SUMIFS(BY_TRA!V$2:V$999,BY_TRA!$BJ$2:$BJ$999,Transport!$B45),0)</f>
        <v>0</v>
      </c>
      <c r="O45" s="1">
        <f>IFERROR(SUMIFS(BY_TRA!W$2:W$999,BY_TRA!$BJ$2:$BJ$999,Transport!$B45,BY_TRA!$BK$2:$BK$999,Transport!$C45)/SUMIFS(BY_TRA!W$2:W$999,BY_TRA!$BJ$2:$BJ$999,Transport!$B45),0)</f>
        <v>0</v>
      </c>
      <c r="P45" s="1">
        <f>IFERROR(SUMIFS(BY_TRA!X$2:X$999,BY_TRA!$BJ$2:$BJ$999,Transport!$B45,BY_TRA!$BK$2:$BK$999,Transport!$C45)/SUMIFS(BY_TRA!X$2:X$999,BY_TRA!$BJ$2:$BJ$999,Transport!$B45),0)</f>
        <v>0</v>
      </c>
      <c r="Q45" s="1">
        <f>IFERROR(SUMIFS(BY_TRA!Y$2:Y$999,BY_TRA!$BJ$2:$BJ$999,Transport!$B45,BY_TRA!$BK$2:$BK$999,Transport!$C45)/SUMIFS(BY_TRA!Y$2:Y$999,BY_TRA!$BJ$2:$BJ$999,Transport!$B45),0)</f>
        <v>0</v>
      </c>
      <c r="R45" s="1">
        <f>IFERROR(SUMIFS(BY_TRA!Z$2:Z$999,BY_TRA!$BJ$2:$BJ$999,Transport!$B45,BY_TRA!$BK$2:$BK$999,Transport!$C45)/SUMIFS(BY_TRA!Z$2:Z$999,BY_TRA!$BJ$2:$BJ$999,Transport!$B45),0)</f>
        <v>0</v>
      </c>
      <c r="S45" s="1">
        <f>IFERROR(SUMIFS(BY_TRA!AA$2:AA$999,BY_TRA!$BJ$2:$BJ$999,Transport!$B45,BY_TRA!$BK$2:$BK$999,Transport!$C45)/SUMIFS(BY_TRA!AA$2:AA$999,BY_TRA!$BJ$2:$BJ$999,Transport!$B45),0)</f>
        <v>0</v>
      </c>
      <c r="T45" s="1">
        <f>IFERROR(SUMIFS(BY_TRA!AB$2:AB$999,BY_TRA!$BJ$2:$BJ$999,Transport!$B45,BY_TRA!$BK$2:$BK$999,Transport!$C45)/SUMIFS(BY_TRA!AB$2:AB$999,BY_TRA!$BJ$2:$BJ$999,Transport!$B45),0)</f>
        <v>0</v>
      </c>
      <c r="U45" s="1">
        <f>IFERROR(SUMIFS(BY_TRA!AC$2:AC$999,BY_TRA!$BJ$2:$BJ$999,Transport!$B45,BY_TRA!$BK$2:$BK$999,Transport!$C45)/SUMIFS(BY_TRA!AC$2:AC$999,BY_TRA!$BJ$2:$BJ$999,Transport!$B45),0)</f>
        <v>0</v>
      </c>
      <c r="V45" s="1">
        <f>IFERROR(SUMIFS(BY_TRA!AD$2:AD$999,BY_TRA!$BJ$2:$BJ$999,Transport!$B45,BY_TRA!$BK$2:$BK$999,Transport!$C45)/SUMIFS(BY_TRA!AD$2:AD$999,BY_TRA!$BJ$2:$BJ$999,Transport!$B45),0)</f>
        <v>0</v>
      </c>
      <c r="W45" s="1">
        <f>IFERROR(SUMIFS(BY_TRA!AE$2:AE$999,BY_TRA!$BJ$2:$BJ$999,Transport!$B45,BY_TRA!$BK$2:$BK$999,Transport!$C45)/SUMIFS(BY_TRA!AE$2:AE$999,BY_TRA!$BJ$2:$BJ$999,Transport!$B45),0)</f>
        <v>0</v>
      </c>
      <c r="X45" s="1">
        <f>IFERROR(SUMIFS(BY_TRA!AF$2:AF$999,BY_TRA!$BJ$2:$BJ$999,Transport!$B45,BY_TRA!$BK$2:$BK$999,Transport!$C45)/SUMIFS(BY_TRA!AF$2:AF$999,BY_TRA!$BJ$2:$BJ$999,Transport!$B45),0)</f>
        <v>0</v>
      </c>
      <c r="Y45" s="1">
        <f>IFERROR(SUMIFS(BY_TRA!AG$2:AG$999,BY_TRA!$BJ$2:$BJ$999,Transport!$B45,BY_TRA!$BK$2:$BK$999,Transport!$C45)/SUMIFS(BY_TRA!AG$2:AG$999,BY_TRA!$BJ$2:$BJ$999,Transport!$B45),0)</f>
        <v>0</v>
      </c>
      <c r="Z45" s="1">
        <f>IFERROR(SUMIFS(BY_TRA!AH$2:AH$999,BY_TRA!$BJ$2:$BJ$999,Transport!$B45,BY_TRA!$BK$2:$BK$999,Transport!$C45)/SUMIFS(BY_TRA!AH$2:AH$999,BY_TRA!$BJ$2:$BJ$999,Transport!$B45),0)</f>
        <v>0</v>
      </c>
      <c r="AA45" s="1">
        <f>IFERROR(SUMIFS(BY_TRA!AI$2:AI$999,BY_TRA!$BJ$2:$BJ$999,Transport!$B45,BY_TRA!$BK$2:$BK$999,Transport!$C45)/SUMIFS(BY_TRA!AI$2:AI$999,BY_TRA!$BJ$2:$BJ$999,Transport!$B45),0)</f>
        <v>0</v>
      </c>
      <c r="AB45" s="1">
        <f>IFERROR(SUMIFS(BY_TRA!AJ$2:AJ$999,BY_TRA!$BJ$2:$BJ$999,Transport!$B45,BY_TRA!$BK$2:$BK$999,Transport!$C45)/SUMIFS(BY_TRA!AJ$2:AJ$999,BY_TRA!$BJ$2:$BJ$999,Transport!$B45),0)</f>
        <v>0</v>
      </c>
      <c r="AC45" s="1">
        <f>IFERROR(SUMIFS(BY_TRA!AK$2:AK$999,BY_TRA!$BJ$2:$BJ$999,Transport!$B45,BY_TRA!$BK$2:$BK$999,Transport!$C45)/SUMIFS(BY_TRA!AK$2:AK$999,BY_TRA!$BJ$2:$BJ$999,Transport!$B45),0)</f>
        <v>0</v>
      </c>
      <c r="AD45" s="1">
        <f>IFERROR(SUMIFS(BY_TRA!AL$2:AL$999,BY_TRA!$BJ$2:$BJ$999,Transport!$B45,BY_TRA!$BK$2:$BK$999,Transport!$C45)/SUMIFS(BY_TRA!AL$2:AL$999,BY_TRA!$BJ$2:$BJ$999,Transport!$B45),0)</f>
        <v>0</v>
      </c>
      <c r="AE45" s="1">
        <f>IFERROR(SUMIFS(BY_TRA!AM$2:AM$999,BY_TRA!$BJ$2:$BJ$999,Transport!$B45,BY_TRA!$BK$2:$BK$999,Transport!$C45)/SUMIFS(BY_TRA!AM$2:AM$999,BY_TRA!$BJ$2:$BJ$999,Transport!$B45),0)</f>
        <v>0</v>
      </c>
      <c r="AF45" s="1">
        <f>IFERROR(SUMIFS(BY_TRA!AN$2:AN$999,BY_TRA!$BJ$2:$BJ$999,Transport!$B45,BY_TRA!$BK$2:$BK$999,Transport!$C45)/SUMIFS(BY_TRA!AN$2:AN$999,BY_TRA!$BJ$2:$BJ$999,Transport!$B45),0)</f>
        <v>0</v>
      </c>
      <c r="AG45" s="1">
        <f>IFERROR(SUMIFS(BY_TRA!AO$2:AO$999,BY_TRA!$BJ$2:$BJ$999,Transport!$B45,BY_TRA!$BK$2:$BK$999,Transport!$C45)/SUMIFS(BY_TRA!AO$2:AO$999,BY_TRA!$BJ$2:$BJ$999,Transport!$B45),0)</f>
        <v>0</v>
      </c>
      <c r="AH45" s="1">
        <f>IFERROR(SUMIFS(BY_TRA!AP$2:AP$999,BY_TRA!$BJ$2:$BJ$999,Transport!$B45,BY_TRA!$BK$2:$BK$999,Transport!$C45)/SUMIFS(BY_TRA!AP$2:AP$999,BY_TRA!$BJ$2:$BJ$999,Transport!$B45),0)</f>
        <v>0</v>
      </c>
      <c r="AI45" s="1">
        <f>IFERROR(SUMIFS(BY_TRA!AQ$2:AQ$999,BY_TRA!$BJ$2:$BJ$999,Transport!$B45,BY_TRA!$BK$2:$BK$999,Transport!$C45)/SUMIFS(BY_TRA!AQ$2:AQ$999,BY_TRA!$BJ$2:$BJ$999,Transport!$B45),0)</f>
        <v>0</v>
      </c>
      <c r="AJ45" s="1">
        <f>IFERROR(SUMIFS(BY_TRA!AR$2:AR$999,BY_TRA!$BJ$2:$BJ$999,Transport!$B45,BY_TRA!$BK$2:$BK$999,Transport!$C45)/SUMIFS(BY_TRA!AR$2:AR$999,BY_TRA!$BJ$2:$BJ$999,Transport!$B45),0)</f>
        <v>0</v>
      </c>
      <c r="AK45" s="1">
        <f>IFERROR(SUMIFS(BY_TRA!AS$2:AS$999,BY_TRA!$BJ$2:$BJ$999,Transport!$B45,BY_TRA!$BK$2:$BK$999,Transport!$C45)/SUMIFS(BY_TRA!AS$2:AS$999,BY_TRA!$BJ$2:$BJ$999,Transport!$B45),0)</f>
        <v>0</v>
      </c>
      <c r="AL45" s="1">
        <f>IFERROR(SUMIFS(BY_TRA!AT$2:AT$999,BY_TRA!$BJ$2:$BJ$999,Transport!$B45,BY_TRA!$BK$2:$BK$999,Transport!$C45)/SUMIFS(BY_TRA!AT$2:AT$999,BY_TRA!$BJ$2:$BJ$999,Transport!$B45),0)</f>
        <v>0</v>
      </c>
      <c r="AM45" s="1">
        <f>IFERROR(SUMIFS(BY_TRA!AU$2:AU$999,BY_TRA!$BJ$2:$BJ$999,Transport!$B45,BY_TRA!$BK$2:$BK$999,Transport!$C45)/SUMIFS(BY_TRA!AU$2:AU$999,BY_TRA!$BJ$2:$BJ$999,Transport!$B45),0)</f>
        <v>0</v>
      </c>
      <c r="AN45" s="1">
        <f>IFERROR(SUMIFS(BY_TRA!AV$2:AV$999,BY_TRA!$BJ$2:$BJ$999,Transport!$B45,BY_TRA!$BK$2:$BK$999,Transport!$C45)/SUMIFS(BY_TRA!AV$2:AV$999,BY_TRA!$BJ$2:$BJ$999,Transport!$B45),0)</f>
        <v>0</v>
      </c>
      <c r="AO45" s="1">
        <f>IFERROR(SUMIFS(BY_TRA!AW$2:AW$999,BY_TRA!$BJ$2:$BJ$999,Transport!$B45,BY_TRA!$BK$2:$BK$999,Transport!$C45)/SUMIFS(BY_TRA!AW$2:AW$999,BY_TRA!$BJ$2:$BJ$999,Transport!$B45),0)</f>
        <v>0</v>
      </c>
      <c r="AP45" s="1">
        <f>IFERROR(SUMIFS(BY_TRA!AX$2:AX$999,BY_TRA!$BJ$2:$BJ$999,Transport!$B45,BY_TRA!$BK$2:$BK$999,Transport!$C45)/SUMIFS(BY_TRA!AX$2:AX$999,BY_TRA!$BJ$2:$BJ$999,Transport!$B45),0)</f>
        <v>0</v>
      </c>
      <c r="AQ45" s="1">
        <f>IFERROR(SUMIFS(BY_TRA!AY$2:AY$999,BY_TRA!$BJ$2:$BJ$999,Transport!$B45,BY_TRA!$BK$2:$BK$999,Transport!$C45)/SUMIFS(BY_TRA!AY$2:AY$999,BY_TRA!$BJ$2:$BJ$999,Transport!$B45),0)</f>
        <v>0</v>
      </c>
      <c r="AR45" s="1">
        <f>IFERROR(SUMIFS(BY_TRA!AZ$2:AZ$999,BY_TRA!$BJ$2:$BJ$999,Transport!$B45,BY_TRA!$BK$2:$BK$999,Transport!$C45)/SUMIFS(BY_TRA!AZ$2:AZ$999,BY_TRA!$BJ$2:$BJ$999,Transport!$B45),0)</f>
        <v>0</v>
      </c>
      <c r="AS45" s="1">
        <f>IFERROR(SUMIFS(BY_TRA!BA$2:BA$999,BY_TRA!$BJ$2:$BJ$999,Transport!$B45,BY_TRA!$BK$2:$BK$999,Transport!$C45)/SUMIFS(BY_TRA!BA$2:BA$999,BY_TRA!$BJ$2:$BJ$999,Transport!$B45),0)</f>
        <v>0</v>
      </c>
      <c r="AT45" s="1">
        <f>IFERROR(SUMIFS(BY_TRA!BB$2:BB$999,BY_TRA!$BJ$2:$BJ$999,Transport!$B45,BY_TRA!$BK$2:$BK$999,Transport!$C45)/SUMIFS(BY_TRA!BB$2:BB$999,BY_TRA!$BJ$2:$BJ$999,Transport!$B45),0)</f>
        <v>0</v>
      </c>
      <c r="AU45" s="1">
        <f>IFERROR(SUMIFS(BY_TRA!BC$2:BC$999,BY_TRA!$BJ$2:$BJ$999,Transport!$B45,BY_TRA!$BK$2:$BK$999,Transport!$C45)/SUMIFS(BY_TRA!BC$2:BC$999,BY_TRA!$BJ$2:$BJ$999,Transport!$B45),0)</f>
        <v>0</v>
      </c>
      <c r="AV45" s="1">
        <f>IFERROR(SUMIFS(BY_TRA!BD$2:BD$999,BY_TRA!$BJ$2:$BJ$999,Transport!$B45,BY_TRA!$BK$2:$BK$999,Transport!$C45)/SUMIFS(BY_TRA!BD$2:BD$999,BY_TRA!$BJ$2:$BJ$999,Transport!$B45),0)</f>
        <v>0</v>
      </c>
      <c r="AW45" s="1">
        <f>IFERROR(SUMIFS(BY_TRA!BE$2:BE$999,BY_TRA!$BJ$2:$BJ$999,Transport!$B45,BY_TRA!$BK$2:$BK$999,Transport!$C45)/SUMIFS(BY_TRA!BE$2:BE$999,BY_TRA!$BJ$2:$BJ$999,Transport!$B45),0)</f>
        <v>0</v>
      </c>
      <c r="AX45" s="1">
        <f>IFERROR(SUMIFS(BY_TRA!BF$2:BF$999,BY_TRA!$BJ$2:$BJ$999,Transport!$B45,BY_TRA!$BK$2:$BK$999,Transport!$C45)/SUMIFS(BY_TRA!BF$2:BF$999,BY_TRA!$BJ$2:$BJ$999,Transport!$B45),0)</f>
        <v>0</v>
      </c>
      <c r="AY45" s="1">
        <f>IFERROR(SUMIFS(BY_TRA!BG$2:BG$999,BY_TRA!$BJ$2:$BJ$999,Transport!$B45,BY_TRA!$BK$2:$BK$999,Transport!$C45)/SUMIFS(BY_TRA!BG$2:BG$999,BY_TRA!$BJ$2:$BJ$999,Transport!$B45),0)</f>
        <v>0</v>
      </c>
    </row>
    <row r="46" spans="2:51">
      <c r="B46" t="s">
        <v>128</v>
      </c>
      <c r="C46" s="2" t="s">
        <v>131</v>
      </c>
      <c r="D46" s="1">
        <f>IFERROR(SUMIFS(BY_TRA!L$2:L$999,BY_TRA!$BJ$2:$BJ$999,Transport!$B46,BY_TRA!$BK$2:$BK$999,Transport!$C46)/SUMIFS(BY_TRA!L$2:L$999,BY_TRA!$BJ$2:$BJ$999,Transport!$B46),0)</f>
        <v>0</v>
      </c>
      <c r="E46" s="1">
        <f>IFERROR(SUMIFS(BY_TRA!M$2:M$999,BY_TRA!$BJ$2:$BJ$999,Transport!$B46,BY_TRA!$BK$2:$BK$999,Transport!$C46)/SUMIFS(BY_TRA!M$2:M$999,BY_TRA!$BJ$2:$BJ$999,Transport!$B46),0)</f>
        <v>0</v>
      </c>
      <c r="F46" s="1">
        <f>IFERROR(SUMIFS(BY_TRA!N$2:N$999,BY_TRA!$BJ$2:$BJ$999,Transport!$B46,BY_TRA!$BK$2:$BK$999,Transport!$C46)/SUMIFS(BY_TRA!N$2:N$999,BY_TRA!$BJ$2:$BJ$999,Transport!$B46),0)</f>
        <v>0</v>
      </c>
      <c r="G46" s="1">
        <f>IFERROR(SUMIFS(BY_TRA!O$2:O$999,BY_TRA!$BJ$2:$BJ$999,Transport!$B46,BY_TRA!$BK$2:$BK$999,Transport!$C46)/SUMIFS(BY_TRA!O$2:O$999,BY_TRA!$BJ$2:$BJ$999,Transport!$B46),0)</f>
        <v>0</v>
      </c>
      <c r="H46" s="1">
        <f>IFERROR(SUMIFS(BY_TRA!P$2:P$999,BY_TRA!$BJ$2:$BJ$999,Transport!$B46,BY_TRA!$BK$2:$BK$999,Transport!$C46)/SUMIFS(BY_TRA!P$2:P$999,BY_TRA!$BJ$2:$BJ$999,Transport!$B46),0)</f>
        <v>0</v>
      </c>
      <c r="I46" s="1">
        <f>IFERROR(SUMIFS(BY_TRA!Q$2:Q$999,BY_TRA!$BJ$2:$BJ$999,Transport!$B46,BY_TRA!$BK$2:$BK$999,Transport!$C46)/SUMIFS(BY_TRA!Q$2:Q$999,BY_TRA!$BJ$2:$BJ$999,Transport!$B46),0)</f>
        <v>0</v>
      </c>
      <c r="J46" s="1">
        <f>IFERROR(SUMIFS(BY_TRA!R$2:R$999,BY_TRA!$BJ$2:$BJ$999,Transport!$B46,BY_TRA!$BK$2:$BK$999,Transport!$C46)/SUMIFS(BY_TRA!R$2:R$999,BY_TRA!$BJ$2:$BJ$999,Transport!$B46),0)</f>
        <v>0</v>
      </c>
      <c r="K46" s="1">
        <f>IFERROR(SUMIFS(BY_TRA!S$2:S$999,BY_TRA!$BJ$2:$BJ$999,Transport!$B46,BY_TRA!$BK$2:$BK$999,Transport!$C46)/SUMIFS(BY_TRA!S$2:S$999,BY_TRA!$BJ$2:$BJ$999,Transport!$B46),0)</f>
        <v>0</v>
      </c>
      <c r="L46" s="1">
        <f>IFERROR(SUMIFS(BY_TRA!T$2:T$999,BY_TRA!$BJ$2:$BJ$999,Transport!$B46,BY_TRA!$BK$2:$BK$999,Transport!$C46)/SUMIFS(BY_TRA!T$2:T$999,BY_TRA!$BJ$2:$BJ$999,Transport!$B46),0)</f>
        <v>0</v>
      </c>
      <c r="M46" s="1">
        <f>IFERROR(SUMIFS(BY_TRA!U$2:U$999,BY_TRA!$BJ$2:$BJ$999,Transport!$B46,BY_TRA!$BK$2:$BK$999,Transport!$C46)/SUMIFS(BY_TRA!U$2:U$999,BY_TRA!$BJ$2:$BJ$999,Transport!$B46),0)</f>
        <v>0</v>
      </c>
      <c r="N46" s="1">
        <f>IFERROR(SUMIFS(BY_TRA!V$2:V$999,BY_TRA!$BJ$2:$BJ$999,Transport!$B46,BY_TRA!$BK$2:$BK$999,Transport!$C46)/SUMIFS(BY_TRA!V$2:V$999,BY_TRA!$BJ$2:$BJ$999,Transport!$B46),0)</f>
        <v>0</v>
      </c>
      <c r="O46" s="1">
        <f>IFERROR(SUMIFS(BY_TRA!W$2:W$999,BY_TRA!$BJ$2:$BJ$999,Transport!$B46,BY_TRA!$BK$2:$BK$999,Transport!$C46)/SUMIFS(BY_TRA!W$2:W$999,BY_TRA!$BJ$2:$BJ$999,Transport!$B46),0)</f>
        <v>0</v>
      </c>
      <c r="P46" s="1">
        <f>IFERROR(SUMIFS(BY_TRA!X$2:X$999,BY_TRA!$BJ$2:$BJ$999,Transport!$B46,BY_TRA!$BK$2:$BK$999,Transport!$C46)/SUMIFS(BY_TRA!X$2:X$999,BY_TRA!$BJ$2:$BJ$999,Transport!$B46),0)</f>
        <v>0</v>
      </c>
      <c r="Q46" s="1">
        <f>IFERROR(SUMIFS(BY_TRA!Y$2:Y$999,BY_TRA!$BJ$2:$BJ$999,Transport!$B46,BY_TRA!$BK$2:$BK$999,Transport!$C46)/SUMIFS(BY_TRA!Y$2:Y$999,BY_TRA!$BJ$2:$BJ$999,Transport!$B46),0)</f>
        <v>0</v>
      </c>
      <c r="R46" s="1">
        <f>IFERROR(SUMIFS(BY_TRA!Z$2:Z$999,BY_TRA!$BJ$2:$BJ$999,Transport!$B46,BY_TRA!$BK$2:$BK$999,Transport!$C46)/SUMIFS(BY_TRA!Z$2:Z$999,BY_TRA!$BJ$2:$BJ$999,Transport!$B46),0)</f>
        <v>0</v>
      </c>
      <c r="S46" s="1">
        <f>IFERROR(SUMIFS(BY_TRA!AA$2:AA$999,BY_TRA!$BJ$2:$BJ$999,Transport!$B46,BY_TRA!$BK$2:$BK$999,Transport!$C46)/SUMIFS(BY_TRA!AA$2:AA$999,BY_TRA!$BJ$2:$BJ$999,Transport!$B46),0)</f>
        <v>0</v>
      </c>
      <c r="T46" s="1">
        <f>IFERROR(SUMIFS(BY_TRA!AB$2:AB$999,BY_TRA!$BJ$2:$BJ$999,Transport!$B46,BY_TRA!$BK$2:$BK$999,Transport!$C46)/SUMIFS(BY_TRA!AB$2:AB$999,BY_TRA!$BJ$2:$BJ$999,Transport!$B46),0)</f>
        <v>0</v>
      </c>
      <c r="U46" s="1">
        <f>IFERROR(SUMIFS(BY_TRA!AC$2:AC$999,BY_TRA!$BJ$2:$BJ$999,Transport!$B46,BY_TRA!$BK$2:$BK$999,Transport!$C46)/SUMIFS(BY_TRA!AC$2:AC$999,BY_TRA!$BJ$2:$BJ$999,Transport!$B46),0)</f>
        <v>0</v>
      </c>
      <c r="V46" s="1">
        <f>IFERROR(SUMIFS(BY_TRA!AD$2:AD$999,BY_TRA!$BJ$2:$BJ$999,Transport!$B46,BY_TRA!$BK$2:$BK$999,Transport!$C46)/SUMIFS(BY_TRA!AD$2:AD$999,BY_TRA!$BJ$2:$BJ$999,Transport!$B46),0)</f>
        <v>0</v>
      </c>
      <c r="W46" s="1">
        <f>IFERROR(SUMIFS(BY_TRA!AE$2:AE$999,BY_TRA!$BJ$2:$BJ$999,Transport!$B46,BY_TRA!$BK$2:$BK$999,Transport!$C46)/SUMIFS(BY_TRA!AE$2:AE$999,BY_TRA!$BJ$2:$BJ$999,Transport!$B46),0)</f>
        <v>0</v>
      </c>
      <c r="X46" s="1">
        <f>IFERROR(SUMIFS(BY_TRA!AF$2:AF$999,BY_TRA!$BJ$2:$BJ$999,Transport!$B46,BY_TRA!$BK$2:$BK$999,Transport!$C46)/SUMIFS(BY_TRA!AF$2:AF$999,BY_TRA!$BJ$2:$BJ$999,Transport!$B46),0)</f>
        <v>0</v>
      </c>
      <c r="Y46" s="1">
        <f>IFERROR(SUMIFS(BY_TRA!AG$2:AG$999,BY_TRA!$BJ$2:$BJ$999,Transport!$B46,BY_TRA!$BK$2:$BK$999,Transport!$C46)/SUMIFS(BY_TRA!AG$2:AG$999,BY_TRA!$BJ$2:$BJ$999,Transport!$B46),0)</f>
        <v>0</v>
      </c>
      <c r="Z46" s="1">
        <f>IFERROR(SUMIFS(BY_TRA!AH$2:AH$999,BY_TRA!$BJ$2:$BJ$999,Transport!$B46,BY_TRA!$BK$2:$BK$999,Transport!$C46)/SUMIFS(BY_TRA!AH$2:AH$999,BY_TRA!$BJ$2:$BJ$999,Transport!$B46),0)</f>
        <v>0</v>
      </c>
      <c r="AA46" s="1">
        <f>IFERROR(SUMIFS(BY_TRA!AI$2:AI$999,BY_TRA!$BJ$2:$BJ$999,Transport!$B46,BY_TRA!$BK$2:$BK$999,Transport!$C46)/SUMIFS(BY_TRA!AI$2:AI$999,BY_TRA!$BJ$2:$BJ$999,Transport!$B46),0)</f>
        <v>0</v>
      </c>
      <c r="AB46" s="1">
        <f>IFERROR(SUMIFS(BY_TRA!AJ$2:AJ$999,BY_TRA!$BJ$2:$BJ$999,Transport!$B46,BY_TRA!$BK$2:$BK$999,Transport!$C46)/SUMIFS(BY_TRA!AJ$2:AJ$999,BY_TRA!$BJ$2:$BJ$999,Transport!$B46),0)</f>
        <v>0</v>
      </c>
      <c r="AC46" s="1">
        <f>IFERROR(SUMIFS(BY_TRA!AK$2:AK$999,BY_TRA!$BJ$2:$BJ$999,Transport!$B46,BY_TRA!$BK$2:$BK$999,Transport!$C46)/SUMIFS(BY_TRA!AK$2:AK$999,BY_TRA!$BJ$2:$BJ$999,Transport!$B46),0)</f>
        <v>0</v>
      </c>
      <c r="AD46" s="1">
        <f>IFERROR(SUMIFS(BY_TRA!AL$2:AL$999,BY_TRA!$BJ$2:$BJ$999,Transport!$B46,BY_TRA!$BK$2:$BK$999,Transport!$C46)/SUMIFS(BY_TRA!AL$2:AL$999,BY_TRA!$BJ$2:$BJ$999,Transport!$B46),0)</f>
        <v>0</v>
      </c>
      <c r="AE46" s="1">
        <f>IFERROR(SUMIFS(BY_TRA!AM$2:AM$999,BY_TRA!$BJ$2:$BJ$999,Transport!$B46,BY_TRA!$BK$2:$BK$999,Transport!$C46)/SUMIFS(BY_TRA!AM$2:AM$999,BY_TRA!$BJ$2:$BJ$999,Transport!$B46),0)</f>
        <v>0</v>
      </c>
      <c r="AF46" s="1">
        <f>IFERROR(SUMIFS(BY_TRA!AN$2:AN$999,BY_TRA!$BJ$2:$BJ$999,Transport!$B46,BY_TRA!$BK$2:$BK$999,Transport!$C46)/SUMIFS(BY_TRA!AN$2:AN$999,BY_TRA!$BJ$2:$BJ$999,Transport!$B46),0)</f>
        <v>0</v>
      </c>
      <c r="AG46" s="1">
        <f>IFERROR(SUMIFS(BY_TRA!AO$2:AO$999,BY_TRA!$BJ$2:$BJ$999,Transport!$B46,BY_TRA!$BK$2:$BK$999,Transport!$C46)/SUMIFS(BY_TRA!AO$2:AO$999,BY_TRA!$BJ$2:$BJ$999,Transport!$B46),0)</f>
        <v>0</v>
      </c>
      <c r="AH46" s="1">
        <f>IFERROR(SUMIFS(BY_TRA!AP$2:AP$999,BY_TRA!$BJ$2:$BJ$999,Transport!$B46,BY_TRA!$BK$2:$BK$999,Transport!$C46)/SUMIFS(BY_TRA!AP$2:AP$999,BY_TRA!$BJ$2:$BJ$999,Transport!$B46),0)</f>
        <v>0</v>
      </c>
      <c r="AI46" s="1">
        <f>IFERROR(SUMIFS(BY_TRA!AQ$2:AQ$999,BY_TRA!$BJ$2:$BJ$999,Transport!$B46,BY_TRA!$BK$2:$BK$999,Transport!$C46)/SUMIFS(BY_TRA!AQ$2:AQ$999,BY_TRA!$BJ$2:$BJ$999,Transport!$B46),0)</f>
        <v>0</v>
      </c>
      <c r="AJ46" s="1">
        <f>IFERROR(SUMIFS(BY_TRA!AR$2:AR$999,BY_TRA!$BJ$2:$BJ$999,Transport!$B46,BY_TRA!$BK$2:$BK$999,Transport!$C46)/SUMIFS(BY_TRA!AR$2:AR$999,BY_TRA!$BJ$2:$BJ$999,Transport!$B46),0)</f>
        <v>0</v>
      </c>
      <c r="AK46" s="1">
        <f>IFERROR(SUMIFS(BY_TRA!AS$2:AS$999,BY_TRA!$BJ$2:$BJ$999,Transport!$B46,BY_TRA!$BK$2:$BK$999,Transport!$C46)/SUMIFS(BY_TRA!AS$2:AS$999,BY_TRA!$BJ$2:$BJ$999,Transport!$B46),0)</f>
        <v>0</v>
      </c>
      <c r="AL46" s="1">
        <f>IFERROR(SUMIFS(BY_TRA!AT$2:AT$999,BY_TRA!$BJ$2:$BJ$999,Transport!$B46,BY_TRA!$BK$2:$BK$999,Transport!$C46)/SUMIFS(BY_TRA!AT$2:AT$999,BY_TRA!$BJ$2:$BJ$999,Transport!$B46),0)</f>
        <v>0</v>
      </c>
      <c r="AM46" s="1">
        <f>IFERROR(SUMIFS(BY_TRA!AU$2:AU$999,BY_TRA!$BJ$2:$BJ$999,Transport!$B46,BY_TRA!$BK$2:$BK$999,Transport!$C46)/SUMIFS(BY_TRA!AU$2:AU$999,BY_TRA!$BJ$2:$BJ$999,Transport!$B46),0)</f>
        <v>0</v>
      </c>
      <c r="AN46" s="1">
        <f>IFERROR(SUMIFS(BY_TRA!AV$2:AV$999,BY_TRA!$BJ$2:$BJ$999,Transport!$B46,BY_TRA!$BK$2:$BK$999,Transport!$C46)/SUMIFS(BY_TRA!AV$2:AV$999,BY_TRA!$BJ$2:$BJ$999,Transport!$B46),0)</f>
        <v>0</v>
      </c>
      <c r="AO46" s="1">
        <f>IFERROR(SUMIFS(BY_TRA!AW$2:AW$999,BY_TRA!$BJ$2:$BJ$999,Transport!$B46,BY_TRA!$BK$2:$BK$999,Transport!$C46)/SUMIFS(BY_TRA!AW$2:AW$999,BY_TRA!$BJ$2:$BJ$999,Transport!$B46),0)</f>
        <v>0</v>
      </c>
      <c r="AP46" s="1">
        <f>IFERROR(SUMIFS(BY_TRA!AX$2:AX$999,BY_TRA!$BJ$2:$BJ$999,Transport!$B46,BY_TRA!$BK$2:$BK$999,Transport!$C46)/SUMIFS(BY_TRA!AX$2:AX$999,BY_TRA!$BJ$2:$BJ$999,Transport!$B46),0)</f>
        <v>0</v>
      </c>
      <c r="AQ46" s="1">
        <f>IFERROR(SUMIFS(BY_TRA!AY$2:AY$999,BY_TRA!$BJ$2:$BJ$999,Transport!$B46,BY_TRA!$BK$2:$BK$999,Transport!$C46)/SUMIFS(BY_TRA!AY$2:AY$999,BY_TRA!$BJ$2:$BJ$999,Transport!$B46),0)</f>
        <v>0</v>
      </c>
      <c r="AR46" s="1">
        <f>IFERROR(SUMIFS(BY_TRA!AZ$2:AZ$999,BY_TRA!$BJ$2:$BJ$999,Transport!$B46,BY_TRA!$BK$2:$BK$999,Transport!$C46)/SUMIFS(BY_TRA!AZ$2:AZ$999,BY_TRA!$BJ$2:$BJ$999,Transport!$B46),0)</f>
        <v>0</v>
      </c>
      <c r="AS46" s="1">
        <f>IFERROR(SUMIFS(BY_TRA!BA$2:BA$999,BY_TRA!$BJ$2:$BJ$999,Transport!$B46,BY_TRA!$BK$2:$BK$999,Transport!$C46)/SUMIFS(BY_TRA!BA$2:BA$999,BY_TRA!$BJ$2:$BJ$999,Transport!$B46),0)</f>
        <v>0</v>
      </c>
      <c r="AT46" s="1">
        <f>IFERROR(SUMIFS(BY_TRA!BB$2:BB$999,BY_TRA!$BJ$2:$BJ$999,Transport!$B46,BY_TRA!$BK$2:$BK$999,Transport!$C46)/SUMIFS(BY_TRA!BB$2:BB$999,BY_TRA!$BJ$2:$BJ$999,Transport!$B46),0)</f>
        <v>0</v>
      </c>
      <c r="AU46" s="1">
        <f>IFERROR(SUMIFS(BY_TRA!BC$2:BC$999,BY_TRA!$BJ$2:$BJ$999,Transport!$B46,BY_TRA!$BK$2:$BK$999,Transport!$C46)/SUMIFS(BY_TRA!BC$2:BC$999,BY_TRA!$BJ$2:$BJ$999,Transport!$B46),0)</f>
        <v>0</v>
      </c>
      <c r="AV46" s="1">
        <f>IFERROR(SUMIFS(BY_TRA!BD$2:BD$999,BY_TRA!$BJ$2:$BJ$999,Transport!$B46,BY_TRA!$BK$2:$BK$999,Transport!$C46)/SUMIFS(BY_TRA!BD$2:BD$999,BY_TRA!$BJ$2:$BJ$999,Transport!$B46),0)</f>
        <v>0</v>
      </c>
      <c r="AW46" s="1">
        <f>IFERROR(SUMIFS(BY_TRA!BE$2:BE$999,BY_TRA!$BJ$2:$BJ$999,Transport!$B46,BY_TRA!$BK$2:$BK$999,Transport!$C46)/SUMIFS(BY_TRA!BE$2:BE$999,BY_TRA!$BJ$2:$BJ$999,Transport!$B46),0)</f>
        <v>0</v>
      </c>
      <c r="AX46" s="1">
        <f>IFERROR(SUMIFS(BY_TRA!BF$2:BF$999,BY_TRA!$BJ$2:$BJ$999,Transport!$B46,BY_TRA!$BK$2:$BK$999,Transport!$C46)/SUMIFS(BY_TRA!BF$2:BF$999,BY_TRA!$BJ$2:$BJ$999,Transport!$B46),0)</f>
        <v>0</v>
      </c>
      <c r="AY46" s="1">
        <f>IFERROR(SUMIFS(BY_TRA!BG$2:BG$999,BY_TRA!$BJ$2:$BJ$999,Transport!$B46,BY_TRA!$BK$2:$BK$999,Transport!$C46)/SUMIFS(BY_TRA!BG$2:BG$999,BY_TRA!$BJ$2:$BJ$999,Transport!$B46),0)</f>
        <v>0</v>
      </c>
    </row>
    <row r="47" spans="2:51">
      <c r="B47" t="s">
        <v>132</v>
      </c>
      <c r="C47" t="s">
        <v>126</v>
      </c>
      <c r="D47" s="1">
        <f>IFERROR(SUMIFS(BY_TRA!L$2:L$999,BY_TRA!$BJ$2:$BJ$999,Transport!$B47,BY_TRA!$BK$2:$BK$999,Transport!$C47)/SUMIFS(BY_TRA!L$2:L$999,BY_TRA!$BJ$2:$BJ$999,Transport!$B47),0)</f>
        <v>0</v>
      </c>
      <c r="E47" s="1">
        <f>IFERROR(SUMIFS(BY_TRA!M$2:M$999,BY_TRA!$BJ$2:$BJ$999,Transport!$B47,BY_TRA!$BK$2:$BK$999,Transport!$C47)/SUMIFS(BY_TRA!M$2:M$999,BY_TRA!$BJ$2:$BJ$999,Transport!$B47),0)</f>
        <v>0</v>
      </c>
      <c r="F47" s="1">
        <f>IFERROR(SUMIFS(BY_TRA!N$2:N$999,BY_TRA!$BJ$2:$BJ$999,Transport!$B47,BY_TRA!$BK$2:$BK$999,Transport!$C47)/SUMIFS(BY_TRA!N$2:N$999,BY_TRA!$BJ$2:$BJ$999,Transport!$B47),0)</f>
        <v>0</v>
      </c>
      <c r="G47" s="1">
        <f>IFERROR(SUMIFS(BY_TRA!O$2:O$999,BY_TRA!$BJ$2:$BJ$999,Transport!$B47,BY_TRA!$BK$2:$BK$999,Transport!$C47)/SUMIFS(BY_TRA!O$2:O$999,BY_TRA!$BJ$2:$BJ$999,Transport!$B47),0)</f>
        <v>0</v>
      </c>
      <c r="H47" s="1">
        <f>IFERROR(SUMIFS(BY_TRA!P$2:P$999,BY_TRA!$BJ$2:$BJ$999,Transport!$B47,BY_TRA!$BK$2:$BK$999,Transport!$C47)/SUMIFS(BY_TRA!P$2:P$999,BY_TRA!$BJ$2:$BJ$999,Transport!$B47),0)</f>
        <v>0</v>
      </c>
      <c r="I47" s="1">
        <f>IFERROR(SUMIFS(BY_TRA!Q$2:Q$999,BY_TRA!$BJ$2:$BJ$999,Transport!$B47,BY_TRA!$BK$2:$BK$999,Transport!$C47)/SUMIFS(BY_TRA!Q$2:Q$999,BY_TRA!$BJ$2:$BJ$999,Transport!$B47),0)</f>
        <v>0</v>
      </c>
      <c r="J47" s="1">
        <f>IFERROR(SUMIFS(BY_TRA!R$2:R$999,BY_TRA!$BJ$2:$BJ$999,Transport!$B47,BY_TRA!$BK$2:$BK$999,Transport!$C47)/SUMIFS(BY_TRA!R$2:R$999,BY_TRA!$BJ$2:$BJ$999,Transport!$B47),0)</f>
        <v>0</v>
      </c>
      <c r="K47" s="1">
        <f>IFERROR(SUMIFS(BY_TRA!S$2:S$999,BY_TRA!$BJ$2:$BJ$999,Transport!$B47,BY_TRA!$BK$2:$BK$999,Transport!$C47)/SUMIFS(BY_TRA!S$2:S$999,BY_TRA!$BJ$2:$BJ$999,Transport!$B47),0)</f>
        <v>0</v>
      </c>
      <c r="L47" s="1">
        <f>IFERROR(SUMIFS(BY_TRA!T$2:T$999,BY_TRA!$BJ$2:$BJ$999,Transport!$B47,BY_TRA!$BK$2:$BK$999,Transport!$C47)/SUMIFS(BY_TRA!T$2:T$999,BY_TRA!$BJ$2:$BJ$999,Transport!$B47),0)</f>
        <v>0</v>
      </c>
      <c r="M47" s="1">
        <f>IFERROR(SUMIFS(BY_TRA!U$2:U$999,BY_TRA!$BJ$2:$BJ$999,Transport!$B47,BY_TRA!$BK$2:$BK$999,Transport!$C47)/SUMIFS(BY_TRA!U$2:U$999,BY_TRA!$BJ$2:$BJ$999,Transport!$B47),0)</f>
        <v>0</v>
      </c>
      <c r="N47" s="1">
        <f>IFERROR(SUMIFS(BY_TRA!V$2:V$999,BY_TRA!$BJ$2:$BJ$999,Transport!$B47,BY_TRA!$BK$2:$BK$999,Transport!$C47)/SUMIFS(BY_TRA!V$2:V$999,BY_TRA!$BJ$2:$BJ$999,Transport!$B47),0)</f>
        <v>0</v>
      </c>
      <c r="O47" s="1">
        <f>IFERROR(SUMIFS(BY_TRA!W$2:W$999,BY_TRA!$BJ$2:$BJ$999,Transport!$B47,BY_TRA!$BK$2:$BK$999,Transport!$C47)/SUMIFS(BY_TRA!W$2:W$999,BY_TRA!$BJ$2:$BJ$999,Transport!$B47),0)</f>
        <v>0</v>
      </c>
      <c r="P47" s="1">
        <f>IFERROR(SUMIFS(BY_TRA!X$2:X$999,BY_TRA!$BJ$2:$BJ$999,Transport!$B47,BY_TRA!$BK$2:$BK$999,Transport!$C47)/SUMIFS(BY_TRA!X$2:X$999,BY_TRA!$BJ$2:$BJ$999,Transport!$B47),0)</f>
        <v>0</v>
      </c>
      <c r="Q47" s="1">
        <f>IFERROR(SUMIFS(BY_TRA!Y$2:Y$999,BY_TRA!$BJ$2:$BJ$999,Transport!$B47,BY_TRA!$BK$2:$BK$999,Transport!$C47)/SUMIFS(BY_TRA!Y$2:Y$999,BY_TRA!$BJ$2:$BJ$999,Transport!$B47),0)</f>
        <v>0</v>
      </c>
      <c r="R47" s="1">
        <f>IFERROR(SUMIFS(BY_TRA!Z$2:Z$999,BY_TRA!$BJ$2:$BJ$999,Transport!$B47,BY_TRA!$BK$2:$BK$999,Transport!$C47)/SUMIFS(BY_TRA!Z$2:Z$999,BY_TRA!$BJ$2:$BJ$999,Transport!$B47),0)</f>
        <v>0</v>
      </c>
      <c r="S47" s="1">
        <f>IFERROR(SUMIFS(BY_TRA!AA$2:AA$999,BY_TRA!$BJ$2:$BJ$999,Transport!$B47,BY_TRA!$BK$2:$BK$999,Transport!$C47)/SUMIFS(BY_TRA!AA$2:AA$999,BY_TRA!$BJ$2:$BJ$999,Transport!$B47),0)</f>
        <v>0</v>
      </c>
      <c r="T47" s="1">
        <f>IFERROR(SUMIFS(BY_TRA!AB$2:AB$999,BY_TRA!$BJ$2:$BJ$999,Transport!$B47,BY_TRA!$BK$2:$BK$999,Transport!$C47)/SUMIFS(BY_TRA!AB$2:AB$999,BY_TRA!$BJ$2:$BJ$999,Transport!$B47),0)</f>
        <v>0</v>
      </c>
      <c r="U47" s="1">
        <f>IFERROR(SUMIFS(BY_TRA!AC$2:AC$999,BY_TRA!$BJ$2:$BJ$999,Transport!$B47,BY_TRA!$BK$2:$BK$999,Transport!$C47)/SUMIFS(BY_TRA!AC$2:AC$999,BY_TRA!$BJ$2:$BJ$999,Transport!$B47),0)</f>
        <v>0</v>
      </c>
      <c r="V47" s="1">
        <f>IFERROR(SUMIFS(BY_TRA!AD$2:AD$999,BY_TRA!$BJ$2:$BJ$999,Transport!$B47,BY_TRA!$BK$2:$BK$999,Transport!$C47)/SUMIFS(BY_TRA!AD$2:AD$999,BY_TRA!$BJ$2:$BJ$999,Transport!$B47),0)</f>
        <v>0</v>
      </c>
      <c r="W47" s="1">
        <f>IFERROR(SUMIFS(BY_TRA!AE$2:AE$999,BY_TRA!$BJ$2:$BJ$999,Transport!$B47,BY_TRA!$BK$2:$BK$999,Transport!$C47)/SUMIFS(BY_TRA!AE$2:AE$999,BY_TRA!$BJ$2:$BJ$999,Transport!$B47),0)</f>
        <v>0</v>
      </c>
      <c r="X47" s="1">
        <f>IFERROR(SUMIFS(BY_TRA!AF$2:AF$999,BY_TRA!$BJ$2:$BJ$999,Transport!$B47,BY_TRA!$BK$2:$BK$999,Transport!$C47)/SUMIFS(BY_TRA!AF$2:AF$999,BY_TRA!$BJ$2:$BJ$999,Transport!$B47),0)</f>
        <v>0</v>
      </c>
      <c r="Y47" s="1">
        <f>IFERROR(SUMIFS(BY_TRA!AG$2:AG$999,BY_TRA!$BJ$2:$BJ$999,Transport!$B47,BY_TRA!$BK$2:$BK$999,Transport!$C47)/SUMIFS(BY_TRA!AG$2:AG$999,BY_TRA!$BJ$2:$BJ$999,Transport!$B47),0)</f>
        <v>0</v>
      </c>
      <c r="Z47" s="1">
        <f>IFERROR(SUMIFS(BY_TRA!AH$2:AH$999,BY_TRA!$BJ$2:$BJ$999,Transport!$B47,BY_TRA!$BK$2:$BK$999,Transport!$C47)/SUMIFS(BY_TRA!AH$2:AH$999,BY_TRA!$BJ$2:$BJ$999,Transport!$B47),0)</f>
        <v>0</v>
      </c>
      <c r="AA47" s="1">
        <f>IFERROR(SUMIFS(BY_TRA!AI$2:AI$999,BY_TRA!$BJ$2:$BJ$999,Transport!$B47,BY_TRA!$BK$2:$BK$999,Transport!$C47)/SUMIFS(BY_TRA!AI$2:AI$999,BY_TRA!$BJ$2:$BJ$999,Transport!$B47),0)</f>
        <v>0</v>
      </c>
      <c r="AB47" s="1">
        <f>IFERROR(SUMIFS(BY_TRA!AJ$2:AJ$999,BY_TRA!$BJ$2:$BJ$999,Transport!$B47,BY_TRA!$BK$2:$BK$999,Transport!$C47)/SUMIFS(BY_TRA!AJ$2:AJ$999,BY_TRA!$BJ$2:$BJ$999,Transport!$B47),0)</f>
        <v>0</v>
      </c>
      <c r="AC47" s="1">
        <f>IFERROR(SUMIFS(BY_TRA!AK$2:AK$999,BY_TRA!$BJ$2:$BJ$999,Transport!$B47,BY_TRA!$BK$2:$BK$999,Transport!$C47)/SUMIFS(BY_TRA!AK$2:AK$999,BY_TRA!$BJ$2:$BJ$999,Transport!$B47),0)</f>
        <v>0</v>
      </c>
      <c r="AD47" s="1">
        <f>IFERROR(SUMIFS(BY_TRA!AL$2:AL$999,BY_TRA!$BJ$2:$BJ$999,Transport!$B47,BY_TRA!$BK$2:$BK$999,Transport!$C47)/SUMIFS(BY_TRA!AL$2:AL$999,BY_TRA!$BJ$2:$BJ$999,Transport!$B47),0)</f>
        <v>0</v>
      </c>
      <c r="AE47" s="1">
        <f>IFERROR(SUMIFS(BY_TRA!AM$2:AM$999,BY_TRA!$BJ$2:$BJ$999,Transport!$B47,BY_TRA!$BK$2:$BK$999,Transport!$C47)/SUMIFS(BY_TRA!AM$2:AM$999,BY_TRA!$BJ$2:$BJ$999,Transport!$B47),0)</f>
        <v>0</v>
      </c>
      <c r="AF47" s="1">
        <f>IFERROR(SUMIFS(BY_TRA!AN$2:AN$999,BY_TRA!$BJ$2:$BJ$999,Transport!$B47,BY_TRA!$BK$2:$BK$999,Transport!$C47)/SUMIFS(BY_TRA!AN$2:AN$999,BY_TRA!$BJ$2:$BJ$999,Transport!$B47),0)</f>
        <v>0</v>
      </c>
      <c r="AG47" s="1">
        <f>IFERROR(SUMIFS(BY_TRA!AO$2:AO$999,BY_TRA!$BJ$2:$BJ$999,Transport!$B47,BY_TRA!$BK$2:$BK$999,Transport!$C47)/SUMIFS(BY_TRA!AO$2:AO$999,BY_TRA!$BJ$2:$BJ$999,Transport!$B47),0)</f>
        <v>0</v>
      </c>
      <c r="AH47" s="1">
        <f>IFERROR(SUMIFS(BY_TRA!AP$2:AP$999,BY_TRA!$BJ$2:$BJ$999,Transport!$B47,BY_TRA!$BK$2:$BK$999,Transport!$C47)/SUMIFS(BY_TRA!AP$2:AP$999,BY_TRA!$BJ$2:$BJ$999,Transport!$B47),0)</f>
        <v>0</v>
      </c>
      <c r="AI47" s="1">
        <f>IFERROR(SUMIFS(BY_TRA!AQ$2:AQ$999,BY_TRA!$BJ$2:$BJ$999,Transport!$B47,BY_TRA!$BK$2:$BK$999,Transport!$C47)/SUMIFS(BY_TRA!AQ$2:AQ$999,BY_TRA!$BJ$2:$BJ$999,Transport!$B47),0)</f>
        <v>0</v>
      </c>
      <c r="AJ47" s="1">
        <f>IFERROR(SUMIFS(BY_TRA!AR$2:AR$999,BY_TRA!$BJ$2:$BJ$999,Transport!$B47,BY_TRA!$BK$2:$BK$999,Transport!$C47)/SUMIFS(BY_TRA!AR$2:AR$999,BY_TRA!$BJ$2:$BJ$999,Transport!$B47),0)</f>
        <v>0</v>
      </c>
      <c r="AK47" s="1">
        <f>IFERROR(SUMIFS(BY_TRA!AS$2:AS$999,BY_TRA!$BJ$2:$BJ$999,Transport!$B47,BY_TRA!$BK$2:$BK$999,Transport!$C47)/SUMIFS(BY_TRA!AS$2:AS$999,BY_TRA!$BJ$2:$BJ$999,Transport!$B47),0)</f>
        <v>0</v>
      </c>
      <c r="AL47" s="1">
        <f>IFERROR(SUMIFS(BY_TRA!AT$2:AT$999,BY_TRA!$BJ$2:$BJ$999,Transport!$B47,BY_TRA!$BK$2:$BK$999,Transport!$C47)/SUMIFS(BY_TRA!AT$2:AT$999,BY_TRA!$BJ$2:$BJ$999,Transport!$B47),0)</f>
        <v>0</v>
      </c>
      <c r="AM47" s="1">
        <f>IFERROR(SUMIFS(BY_TRA!AU$2:AU$999,BY_TRA!$BJ$2:$BJ$999,Transport!$B47,BY_TRA!$BK$2:$BK$999,Transport!$C47)/SUMIFS(BY_TRA!AU$2:AU$999,BY_TRA!$BJ$2:$BJ$999,Transport!$B47),0)</f>
        <v>0</v>
      </c>
      <c r="AN47" s="1">
        <f>IFERROR(SUMIFS(BY_TRA!AV$2:AV$999,BY_TRA!$BJ$2:$BJ$999,Transport!$B47,BY_TRA!$BK$2:$BK$999,Transport!$C47)/SUMIFS(BY_TRA!AV$2:AV$999,BY_TRA!$BJ$2:$BJ$999,Transport!$B47),0)</f>
        <v>0</v>
      </c>
      <c r="AO47" s="1">
        <f>IFERROR(SUMIFS(BY_TRA!AW$2:AW$999,BY_TRA!$BJ$2:$BJ$999,Transport!$B47,BY_TRA!$BK$2:$BK$999,Transport!$C47)/SUMIFS(BY_TRA!AW$2:AW$999,BY_TRA!$BJ$2:$BJ$999,Transport!$B47),0)</f>
        <v>0</v>
      </c>
      <c r="AP47" s="1">
        <f>IFERROR(SUMIFS(BY_TRA!AX$2:AX$999,BY_TRA!$BJ$2:$BJ$999,Transport!$B47,BY_TRA!$BK$2:$BK$999,Transport!$C47)/SUMIFS(BY_TRA!AX$2:AX$999,BY_TRA!$BJ$2:$BJ$999,Transport!$B47),0)</f>
        <v>0</v>
      </c>
      <c r="AQ47" s="1">
        <f>IFERROR(SUMIFS(BY_TRA!AY$2:AY$999,BY_TRA!$BJ$2:$BJ$999,Transport!$B47,BY_TRA!$BK$2:$BK$999,Transport!$C47)/SUMIFS(BY_TRA!AY$2:AY$999,BY_TRA!$BJ$2:$BJ$999,Transport!$B47),0)</f>
        <v>0</v>
      </c>
      <c r="AR47" s="1">
        <f>IFERROR(SUMIFS(BY_TRA!AZ$2:AZ$999,BY_TRA!$BJ$2:$BJ$999,Transport!$B47,BY_TRA!$BK$2:$BK$999,Transport!$C47)/SUMIFS(BY_TRA!AZ$2:AZ$999,BY_TRA!$BJ$2:$BJ$999,Transport!$B47),0)</f>
        <v>0</v>
      </c>
      <c r="AS47" s="1">
        <f>IFERROR(SUMIFS(BY_TRA!BA$2:BA$999,BY_TRA!$BJ$2:$BJ$999,Transport!$B47,BY_TRA!$BK$2:$BK$999,Transport!$C47)/SUMIFS(BY_TRA!BA$2:BA$999,BY_TRA!$BJ$2:$BJ$999,Transport!$B47),0)</f>
        <v>0</v>
      </c>
      <c r="AT47" s="1">
        <f>IFERROR(SUMIFS(BY_TRA!BB$2:BB$999,BY_TRA!$BJ$2:$BJ$999,Transport!$B47,BY_TRA!$BK$2:$BK$999,Transport!$C47)/SUMIFS(BY_TRA!BB$2:BB$999,BY_TRA!$BJ$2:$BJ$999,Transport!$B47),0)</f>
        <v>0</v>
      </c>
      <c r="AU47" s="1">
        <f>IFERROR(SUMIFS(BY_TRA!BC$2:BC$999,BY_TRA!$BJ$2:$BJ$999,Transport!$B47,BY_TRA!$BK$2:$BK$999,Transport!$C47)/SUMIFS(BY_TRA!BC$2:BC$999,BY_TRA!$BJ$2:$BJ$999,Transport!$B47),0)</f>
        <v>0</v>
      </c>
      <c r="AV47" s="1">
        <f>IFERROR(SUMIFS(BY_TRA!BD$2:BD$999,BY_TRA!$BJ$2:$BJ$999,Transport!$B47,BY_TRA!$BK$2:$BK$999,Transport!$C47)/SUMIFS(BY_TRA!BD$2:BD$999,BY_TRA!$BJ$2:$BJ$999,Transport!$B47),0)</f>
        <v>0</v>
      </c>
      <c r="AW47" s="1">
        <f>IFERROR(SUMIFS(BY_TRA!BE$2:BE$999,BY_TRA!$BJ$2:$BJ$999,Transport!$B47,BY_TRA!$BK$2:$BK$999,Transport!$C47)/SUMIFS(BY_TRA!BE$2:BE$999,BY_TRA!$BJ$2:$BJ$999,Transport!$B47),0)</f>
        <v>0</v>
      </c>
      <c r="AX47" s="1">
        <f>IFERROR(SUMIFS(BY_TRA!BF$2:BF$999,BY_TRA!$BJ$2:$BJ$999,Transport!$B47,BY_TRA!$BK$2:$BK$999,Transport!$C47)/SUMIFS(BY_TRA!BF$2:BF$999,BY_TRA!$BJ$2:$BJ$999,Transport!$B47),0)</f>
        <v>0</v>
      </c>
      <c r="AY47" s="1">
        <f>IFERROR(SUMIFS(BY_TRA!BG$2:BG$999,BY_TRA!$BJ$2:$BJ$999,Transport!$B47,BY_TRA!$BK$2:$BK$999,Transport!$C47)/SUMIFS(BY_TRA!BG$2:BG$999,BY_TRA!$BJ$2:$BJ$999,Transport!$B47),0)</f>
        <v>0</v>
      </c>
    </row>
    <row r="48" spans="2:51">
      <c r="B48" t="s">
        <v>132</v>
      </c>
      <c r="C48" t="s">
        <v>127</v>
      </c>
      <c r="D48" s="1">
        <f>IFERROR(SUMIFS(BY_TRA!L$2:L$999,BY_TRA!$BJ$2:$BJ$999,Transport!$B48,BY_TRA!$BK$2:$BK$999,Transport!$C48)/SUMIFS(BY_TRA!L$2:L$999,BY_TRA!$BJ$2:$BJ$999,Transport!$B48),0)</f>
        <v>0</v>
      </c>
      <c r="E48" s="1">
        <f>IFERROR(SUMIFS(BY_TRA!M$2:M$999,BY_TRA!$BJ$2:$BJ$999,Transport!$B48,BY_TRA!$BK$2:$BK$999,Transport!$C48)/SUMIFS(BY_TRA!M$2:M$999,BY_TRA!$BJ$2:$BJ$999,Transport!$B48),0)</f>
        <v>0</v>
      </c>
      <c r="F48" s="1">
        <f>IFERROR(SUMIFS(BY_TRA!N$2:N$999,BY_TRA!$BJ$2:$BJ$999,Transport!$B48,BY_TRA!$BK$2:$BK$999,Transport!$C48)/SUMIFS(BY_TRA!N$2:N$999,BY_TRA!$BJ$2:$BJ$999,Transport!$B48),0)</f>
        <v>0</v>
      </c>
      <c r="G48" s="1">
        <f>IFERROR(SUMIFS(BY_TRA!O$2:O$999,BY_TRA!$BJ$2:$BJ$999,Transport!$B48,BY_TRA!$BK$2:$BK$999,Transport!$C48)/SUMIFS(BY_TRA!O$2:O$999,BY_TRA!$BJ$2:$BJ$999,Transport!$B48),0)</f>
        <v>0</v>
      </c>
      <c r="H48" s="1">
        <f>IFERROR(SUMIFS(BY_TRA!P$2:P$999,BY_TRA!$BJ$2:$BJ$999,Transport!$B48,BY_TRA!$BK$2:$BK$999,Transport!$C48)/SUMIFS(BY_TRA!P$2:P$999,BY_TRA!$BJ$2:$BJ$999,Transport!$B48),0)</f>
        <v>0</v>
      </c>
      <c r="I48" s="1">
        <f>IFERROR(SUMIFS(BY_TRA!Q$2:Q$999,BY_TRA!$BJ$2:$BJ$999,Transport!$B48,BY_TRA!$BK$2:$BK$999,Transport!$C48)/SUMIFS(BY_TRA!Q$2:Q$999,BY_TRA!$BJ$2:$BJ$999,Transport!$B48),0)</f>
        <v>0</v>
      </c>
      <c r="J48" s="1">
        <f>IFERROR(SUMIFS(BY_TRA!R$2:R$999,BY_TRA!$BJ$2:$BJ$999,Transport!$B48,BY_TRA!$BK$2:$BK$999,Transport!$C48)/SUMIFS(BY_TRA!R$2:R$999,BY_TRA!$BJ$2:$BJ$999,Transport!$B48),0)</f>
        <v>0</v>
      </c>
      <c r="K48" s="1">
        <f>IFERROR(SUMIFS(BY_TRA!S$2:S$999,BY_TRA!$BJ$2:$BJ$999,Transport!$B48,BY_TRA!$BK$2:$BK$999,Transport!$C48)/SUMIFS(BY_TRA!S$2:S$999,BY_TRA!$BJ$2:$BJ$999,Transport!$B48),0)</f>
        <v>0</v>
      </c>
      <c r="L48" s="1">
        <f>IFERROR(SUMIFS(BY_TRA!T$2:T$999,BY_TRA!$BJ$2:$BJ$999,Transport!$B48,BY_TRA!$BK$2:$BK$999,Transport!$C48)/SUMIFS(BY_TRA!T$2:T$999,BY_TRA!$BJ$2:$BJ$999,Transport!$B48),0)</f>
        <v>0</v>
      </c>
      <c r="M48" s="1">
        <f>IFERROR(SUMIFS(BY_TRA!U$2:U$999,BY_TRA!$BJ$2:$BJ$999,Transport!$B48,BY_TRA!$BK$2:$BK$999,Transport!$C48)/SUMIFS(BY_TRA!U$2:U$999,BY_TRA!$BJ$2:$BJ$999,Transport!$B48),0)</f>
        <v>0</v>
      </c>
      <c r="N48" s="1">
        <f>IFERROR(SUMIFS(BY_TRA!V$2:V$999,BY_TRA!$BJ$2:$BJ$999,Transport!$B48,BY_TRA!$BK$2:$BK$999,Transport!$C48)/SUMIFS(BY_TRA!V$2:V$999,BY_TRA!$BJ$2:$BJ$999,Transport!$B48),0)</f>
        <v>0</v>
      </c>
      <c r="O48" s="1">
        <f>IFERROR(SUMIFS(BY_TRA!W$2:W$999,BY_TRA!$BJ$2:$BJ$999,Transport!$B48,BY_TRA!$BK$2:$BK$999,Transport!$C48)/SUMIFS(BY_TRA!W$2:W$999,BY_TRA!$BJ$2:$BJ$999,Transport!$B48),0)</f>
        <v>0</v>
      </c>
      <c r="P48" s="1">
        <f>IFERROR(SUMIFS(BY_TRA!X$2:X$999,BY_TRA!$BJ$2:$BJ$999,Transport!$B48,BY_TRA!$BK$2:$BK$999,Transport!$C48)/SUMIFS(BY_TRA!X$2:X$999,BY_TRA!$BJ$2:$BJ$999,Transport!$B48),0)</f>
        <v>0</v>
      </c>
      <c r="Q48" s="1">
        <f>IFERROR(SUMIFS(BY_TRA!Y$2:Y$999,BY_TRA!$BJ$2:$BJ$999,Transport!$B48,BY_TRA!$BK$2:$BK$999,Transport!$C48)/SUMIFS(BY_TRA!Y$2:Y$999,BY_TRA!$BJ$2:$BJ$999,Transport!$B48),0)</f>
        <v>0</v>
      </c>
      <c r="R48" s="1">
        <f>IFERROR(SUMIFS(BY_TRA!Z$2:Z$999,BY_TRA!$BJ$2:$BJ$999,Transport!$B48,BY_TRA!$BK$2:$BK$999,Transport!$C48)/SUMIFS(BY_TRA!Z$2:Z$999,BY_TRA!$BJ$2:$BJ$999,Transport!$B48),0)</f>
        <v>0</v>
      </c>
      <c r="S48" s="1">
        <f>IFERROR(SUMIFS(BY_TRA!AA$2:AA$999,BY_TRA!$BJ$2:$BJ$999,Transport!$B48,BY_TRA!$BK$2:$BK$999,Transport!$C48)/SUMIFS(BY_TRA!AA$2:AA$999,BY_TRA!$BJ$2:$BJ$999,Transport!$B48),0)</f>
        <v>0</v>
      </c>
      <c r="T48" s="1">
        <f>IFERROR(SUMIFS(BY_TRA!AB$2:AB$999,BY_TRA!$BJ$2:$BJ$999,Transport!$B48,BY_TRA!$BK$2:$BK$999,Transport!$C48)/SUMIFS(BY_TRA!AB$2:AB$999,BY_TRA!$BJ$2:$BJ$999,Transport!$B48),0)</f>
        <v>0</v>
      </c>
      <c r="U48" s="1">
        <f>IFERROR(SUMIFS(BY_TRA!AC$2:AC$999,BY_TRA!$BJ$2:$BJ$999,Transport!$B48,BY_TRA!$BK$2:$BK$999,Transport!$C48)/SUMIFS(BY_TRA!AC$2:AC$999,BY_TRA!$BJ$2:$BJ$999,Transport!$B48),0)</f>
        <v>0</v>
      </c>
      <c r="V48" s="1">
        <f>IFERROR(SUMIFS(BY_TRA!AD$2:AD$999,BY_TRA!$BJ$2:$BJ$999,Transport!$B48,BY_TRA!$BK$2:$BK$999,Transport!$C48)/SUMIFS(BY_TRA!AD$2:AD$999,BY_TRA!$BJ$2:$BJ$999,Transport!$B48),0)</f>
        <v>0</v>
      </c>
      <c r="W48" s="1">
        <f>IFERROR(SUMIFS(BY_TRA!AE$2:AE$999,BY_TRA!$BJ$2:$BJ$999,Transport!$B48,BY_TRA!$BK$2:$BK$999,Transport!$C48)/SUMIFS(BY_TRA!AE$2:AE$999,BY_TRA!$BJ$2:$BJ$999,Transport!$B48),0)</f>
        <v>0</v>
      </c>
      <c r="X48" s="1">
        <f>IFERROR(SUMIFS(BY_TRA!AF$2:AF$999,BY_TRA!$BJ$2:$BJ$999,Transport!$B48,BY_TRA!$BK$2:$BK$999,Transport!$C48)/SUMIFS(BY_TRA!AF$2:AF$999,BY_TRA!$BJ$2:$BJ$999,Transport!$B48),0)</f>
        <v>0</v>
      </c>
      <c r="Y48" s="1">
        <f>IFERROR(SUMIFS(BY_TRA!AG$2:AG$999,BY_TRA!$BJ$2:$BJ$999,Transport!$B48,BY_TRA!$BK$2:$BK$999,Transport!$C48)/SUMIFS(BY_TRA!AG$2:AG$999,BY_TRA!$BJ$2:$BJ$999,Transport!$B48),0)</f>
        <v>0</v>
      </c>
      <c r="Z48" s="1">
        <f>IFERROR(SUMIFS(BY_TRA!AH$2:AH$999,BY_TRA!$BJ$2:$BJ$999,Transport!$B48,BY_TRA!$BK$2:$BK$999,Transport!$C48)/SUMIFS(BY_TRA!AH$2:AH$999,BY_TRA!$BJ$2:$BJ$999,Transport!$B48),0)</f>
        <v>0</v>
      </c>
      <c r="AA48" s="1">
        <f>IFERROR(SUMIFS(BY_TRA!AI$2:AI$999,BY_TRA!$BJ$2:$BJ$999,Transport!$B48,BY_TRA!$BK$2:$BK$999,Transport!$C48)/SUMIFS(BY_TRA!AI$2:AI$999,BY_TRA!$BJ$2:$BJ$999,Transport!$B48),0)</f>
        <v>0</v>
      </c>
      <c r="AB48" s="1">
        <f>IFERROR(SUMIFS(BY_TRA!AJ$2:AJ$999,BY_TRA!$BJ$2:$BJ$999,Transport!$B48,BY_TRA!$BK$2:$BK$999,Transport!$C48)/SUMIFS(BY_TRA!AJ$2:AJ$999,BY_TRA!$BJ$2:$BJ$999,Transport!$B48),0)</f>
        <v>0</v>
      </c>
      <c r="AC48" s="1">
        <f>IFERROR(SUMIFS(BY_TRA!AK$2:AK$999,BY_TRA!$BJ$2:$BJ$999,Transport!$B48,BY_TRA!$BK$2:$BK$999,Transport!$C48)/SUMIFS(BY_TRA!AK$2:AK$999,BY_TRA!$BJ$2:$BJ$999,Transport!$B48),0)</f>
        <v>0</v>
      </c>
      <c r="AD48" s="1">
        <f>IFERROR(SUMIFS(BY_TRA!AL$2:AL$999,BY_TRA!$BJ$2:$BJ$999,Transport!$B48,BY_TRA!$BK$2:$BK$999,Transport!$C48)/SUMIFS(BY_TRA!AL$2:AL$999,BY_TRA!$BJ$2:$BJ$999,Transport!$B48),0)</f>
        <v>0</v>
      </c>
      <c r="AE48" s="1">
        <f>IFERROR(SUMIFS(BY_TRA!AM$2:AM$999,BY_TRA!$BJ$2:$BJ$999,Transport!$B48,BY_TRA!$BK$2:$BK$999,Transport!$C48)/SUMIFS(BY_TRA!AM$2:AM$999,BY_TRA!$BJ$2:$BJ$999,Transport!$B48),0)</f>
        <v>0</v>
      </c>
      <c r="AF48" s="1">
        <f>IFERROR(SUMIFS(BY_TRA!AN$2:AN$999,BY_TRA!$BJ$2:$BJ$999,Transport!$B48,BY_TRA!$BK$2:$BK$999,Transport!$C48)/SUMIFS(BY_TRA!AN$2:AN$999,BY_TRA!$BJ$2:$BJ$999,Transport!$B48),0)</f>
        <v>0</v>
      </c>
      <c r="AG48" s="1">
        <f>IFERROR(SUMIFS(BY_TRA!AO$2:AO$999,BY_TRA!$BJ$2:$BJ$999,Transport!$B48,BY_TRA!$BK$2:$BK$999,Transport!$C48)/SUMIFS(BY_TRA!AO$2:AO$999,BY_TRA!$BJ$2:$BJ$999,Transport!$B48),0)</f>
        <v>0</v>
      </c>
      <c r="AH48" s="1">
        <f>IFERROR(SUMIFS(BY_TRA!AP$2:AP$999,BY_TRA!$BJ$2:$BJ$999,Transport!$B48,BY_TRA!$BK$2:$BK$999,Transport!$C48)/SUMIFS(BY_TRA!AP$2:AP$999,BY_TRA!$BJ$2:$BJ$999,Transport!$B48),0)</f>
        <v>0</v>
      </c>
      <c r="AI48" s="1">
        <f>IFERROR(SUMIFS(BY_TRA!AQ$2:AQ$999,BY_TRA!$BJ$2:$BJ$999,Transport!$B48,BY_TRA!$BK$2:$BK$999,Transport!$C48)/SUMIFS(BY_TRA!AQ$2:AQ$999,BY_TRA!$BJ$2:$BJ$999,Transport!$B48),0)</f>
        <v>0</v>
      </c>
      <c r="AJ48" s="1">
        <f>IFERROR(SUMIFS(BY_TRA!AR$2:AR$999,BY_TRA!$BJ$2:$BJ$999,Transport!$B48,BY_TRA!$BK$2:$BK$999,Transport!$C48)/SUMIFS(BY_TRA!AR$2:AR$999,BY_TRA!$BJ$2:$BJ$999,Transport!$B48),0)</f>
        <v>0</v>
      </c>
      <c r="AK48" s="1">
        <f>IFERROR(SUMIFS(BY_TRA!AS$2:AS$999,BY_TRA!$BJ$2:$BJ$999,Transport!$B48,BY_TRA!$BK$2:$BK$999,Transport!$C48)/SUMIFS(BY_TRA!AS$2:AS$999,BY_TRA!$BJ$2:$BJ$999,Transport!$B48),0)</f>
        <v>0</v>
      </c>
      <c r="AL48" s="1">
        <f>IFERROR(SUMIFS(BY_TRA!AT$2:AT$999,BY_TRA!$BJ$2:$BJ$999,Transport!$B48,BY_TRA!$BK$2:$BK$999,Transport!$C48)/SUMIFS(BY_TRA!AT$2:AT$999,BY_TRA!$BJ$2:$BJ$999,Transport!$B48),0)</f>
        <v>0</v>
      </c>
      <c r="AM48" s="1">
        <f>IFERROR(SUMIFS(BY_TRA!AU$2:AU$999,BY_TRA!$BJ$2:$BJ$999,Transport!$B48,BY_TRA!$BK$2:$BK$999,Transport!$C48)/SUMIFS(BY_TRA!AU$2:AU$999,BY_TRA!$BJ$2:$BJ$999,Transport!$B48),0)</f>
        <v>0</v>
      </c>
      <c r="AN48" s="1">
        <f>IFERROR(SUMIFS(BY_TRA!AV$2:AV$999,BY_TRA!$BJ$2:$BJ$999,Transport!$B48,BY_TRA!$BK$2:$BK$999,Transport!$C48)/SUMIFS(BY_TRA!AV$2:AV$999,BY_TRA!$BJ$2:$BJ$999,Transport!$B48),0)</f>
        <v>0</v>
      </c>
      <c r="AO48" s="1">
        <f>IFERROR(SUMIFS(BY_TRA!AW$2:AW$999,BY_TRA!$BJ$2:$BJ$999,Transport!$B48,BY_TRA!$BK$2:$BK$999,Transport!$C48)/SUMIFS(BY_TRA!AW$2:AW$999,BY_TRA!$BJ$2:$BJ$999,Transport!$B48),0)</f>
        <v>0</v>
      </c>
      <c r="AP48" s="1">
        <f>IFERROR(SUMIFS(BY_TRA!AX$2:AX$999,BY_TRA!$BJ$2:$BJ$999,Transport!$B48,BY_TRA!$BK$2:$BK$999,Transport!$C48)/SUMIFS(BY_TRA!AX$2:AX$999,BY_TRA!$BJ$2:$BJ$999,Transport!$B48),0)</f>
        <v>0</v>
      </c>
      <c r="AQ48" s="1">
        <f>IFERROR(SUMIFS(BY_TRA!AY$2:AY$999,BY_TRA!$BJ$2:$BJ$999,Transport!$B48,BY_TRA!$BK$2:$BK$999,Transport!$C48)/SUMIFS(BY_TRA!AY$2:AY$999,BY_TRA!$BJ$2:$BJ$999,Transport!$B48),0)</f>
        <v>0</v>
      </c>
      <c r="AR48" s="1">
        <f>IFERROR(SUMIFS(BY_TRA!AZ$2:AZ$999,BY_TRA!$BJ$2:$BJ$999,Transport!$B48,BY_TRA!$BK$2:$BK$999,Transport!$C48)/SUMIFS(BY_TRA!AZ$2:AZ$999,BY_TRA!$BJ$2:$BJ$999,Transport!$B48),0)</f>
        <v>0</v>
      </c>
      <c r="AS48" s="1">
        <f>IFERROR(SUMIFS(BY_TRA!BA$2:BA$999,BY_TRA!$BJ$2:$BJ$999,Transport!$B48,BY_TRA!$BK$2:$BK$999,Transport!$C48)/SUMIFS(BY_TRA!BA$2:BA$999,BY_TRA!$BJ$2:$BJ$999,Transport!$B48),0)</f>
        <v>0</v>
      </c>
      <c r="AT48" s="1">
        <f>IFERROR(SUMIFS(BY_TRA!BB$2:BB$999,BY_TRA!$BJ$2:$BJ$999,Transport!$B48,BY_TRA!$BK$2:$BK$999,Transport!$C48)/SUMIFS(BY_TRA!BB$2:BB$999,BY_TRA!$BJ$2:$BJ$999,Transport!$B48),0)</f>
        <v>0</v>
      </c>
      <c r="AU48" s="1">
        <f>IFERROR(SUMIFS(BY_TRA!BC$2:BC$999,BY_TRA!$BJ$2:$BJ$999,Transport!$B48,BY_TRA!$BK$2:$BK$999,Transport!$C48)/SUMIFS(BY_TRA!BC$2:BC$999,BY_TRA!$BJ$2:$BJ$999,Transport!$B48),0)</f>
        <v>0</v>
      </c>
      <c r="AV48" s="1">
        <f>IFERROR(SUMIFS(BY_TRA!BD$2:BD$999,BY_TRA!$BJ$2:$BJ$999,Transport!$B48,BY_TRA!$BK$2:$BK$999,Transport!$C48)/SUMIFS(BY_TRA!BD$2:BD$999,BY_TRA!$BJ$2:$BJ$999,Transport!$B48),0)</f>
        <v>0</v>
      </c>
      <c r="AW48" s="1">
        <f>IFERROR(SUMIFS(BY_TRA!BE$2:BE$999,BY_TRA!$BJ$2:$BJ$999,Transport!$B48,BY_TRA!$BK$2:$BK$999,Transport!$C48)/SUMIFS(BY_TRA!BE$2:BE$999,BY_TRA!$BJ$2:$BJ$999,Transport!$B48),0)</f>
        <v>0</v>
      </c>
      <c r="AX48" s="1">
        <f>IFERROR(SUMIFS(BY_TRA!BF$2:BF$999,BY_TRA!$BJ$2:$BJ$999,Transport!$B48,BY_TRA!$BK$2:$BK$999,Transport!$C48)/SUMIFS(BY_TRA!BF$2:BF$999,BY_TRA!$BJ$2:$BJ$999,Transport!$B48),0)</f>
        <v>0</v>
      </c>
      <c r="AY48" s="1">
        <f>IFERROR(SUMIFS(BY_TRA!BG$2:BG$999,BY_TRA!$BJ$2:$BJ$999,Transport!$B48,BY_TRA!$BK$2:$BK$999,Transport!$C48)/SUMIFS(BY_TRA!BG$2:BG$999,BY_TRA!$BJ$2:$BJ$999,Transport!$B48),0)</f>
        <v>0</v>
      </c>
    </row>
    <row r="49" spans="2:51">
      <c r="B49" t="s">
        <v>132</v>
      </c>
      <c r="C49" t="s">
        <v>129</v>
      </c>
      <c r="D49" s="1">
        <f>IFERROR(SUMIFS(BY_TRA!L$2:L$999,BY_TRA!$BJ$2:$BJ$999,Transport!$B49,BY_TRA!$BK$2:$BK$999,Transport!$C49)/SUMIFS(BY_TRA!L$2:L$999,BY_TRA!$BJ$2:$BJ$999,Transport!$B49),0)</f>
        <v>0</v>
      </c>
      <c r="E49" s="1">
        <f>IFERROR(SUMIFS(BY_TRA!M$2:M$999,BY_TRA!$BJ$2:$BJ$999,Transport!$B49,BY_TRA!$BK$2:$BK$999,Transport!$C49)/SUMIFS(BY_TRA!M$2:M$999,BY_TRA!$BJ$2:$BJ$999,Transport!$B49),0)</f>
        <v>0</v>
      </c>
      <c r="F49" s="1">
        <f>IFERROR(SUMIFS(BY_TRA!N$2:N$999,BY_TRA!$BJ$2:$BJ$999,Transport!$B49,BY_TRA!$BK$2:$BK$999,Transport!$C49)/SUMIFS(BY_TRA!N$2:N$999,BY_TRA!$BJ$2:$BJ$999,Transport!$B49),0)</f>
        <v>0</v>
      </c>
      <c r="G49" s="1">
        <f>IFERROR(SUMIFS(BY_TRA!O$2:O$999,BY_TRA!$BJ$2:$BJ$999,Transport!$B49,BY_TRA!$BK$2:$BK$999,Transport!$C49)/SUMIFS(BY_TRA!O$2:O$999,BY_TRA!$BJ$2:$BJ$999,Transport!$B49),0)</f>
        <v>0</v>
      </c>
      <c r="H49" s="1">
        <f>IFERROR(SUMIFS(BY_TRA!P$2:P$999,BY_TRA!$BJ$2:$BJ$999,Transport!$B49,BY_TRA!$BK$2:$BK$999,Transport!$C49)/SUMIFS(BY_TRA!P$2:P$999,BY_TRA!$BJ$2:$BJ$999,Transport!$B49),0)</f>
        <v>0</v>
      </c>
      <c r="I49" s="1">
        <f>IFERROR(SUMIFS(BY_TRA!Q$2:Q$999,BY_TRA!$BJ$2:$BJ$999,Transport!$B49,BY_TRA!$BK$2:$BK$999,Transport!$C49)/SUMIFS(BY_TRA!Q$2:Q$999,BY_TRA!$BJ$2:$BJ$999,Transport!$B49),0)</f>
        <v>0</v>
      </c>
      <c r="J49" s="1">
        <f>IFERROR(SUMIFS(BY_TRA!R$2:R$999,BY_TRA!$BJ$2:$BJ$999,Transport!$B49,BY_TRA!$BK$2:$BK$999,Transport!$C49)/SUMIFS(BY_TRA!R$2:R$999,BY_TRA!$BJ$2:$BJ$999,Transport!$B49),0)</f>
        <v>0</v>
      </c>
      <c r="K49" s="1">
        <f>IFERROR(SUMIFS(BY_TRA!S$2:S$999,BY_TRA!$BJ$2:$BJ$999,Transport!$B49,BY_TRA!$BK$2:$BK$999,Transport!$C49)/SUMIFS(BY_TRA!S$2:S$999,BY_TRA!$BJ$2:$BJ$999,Transport!$B49),0)</f>
        <v>0</v>
      </c>
      <c r="L49" s="1">
        <f>IFERROR(SUMIFS(BY_TRA!T$2:T$999,BY_TRA!$BJ$2:$BJ$999,Transport!$B49,BY_TRA!$BK$2:$BK$999,Transport!$C49)/SUMIFS(BY_TRA!T$2:T$999,BY_TRA!$BJ$2:$BJ$999,Transport!$B49),0)</f>
        <v>0</v>
      </c>
      <c r="M49" s="1">
        <f>IFERROR(SUMIFS(BY_TRA!U$2:U$999,BY_TRA!$BJ$2:$BJ$999,Transport!$B49,BY_TRA!$BK$2:$BK$999,Transport!$C49)/SUMIFS(BY_TRA!U$2:U$999,BY_TRA!$BJ$2:$BJ$999,Transport!$B49),0)</f>
        <v>0</v>
      </c>
      <c r="N49" s="1">
        <f>IFERROR(SUMIFS(BY_TRA!V$2:V$999,BY_TRA!$BJ$2:$BJ$999,Transport!$B49,BY_TRA!$BK$2:$BK$999,Transport!$C49)/SUMIFS(BY_TRA!V$2:V$999,BY_TRA!$BJ$2:$BJ$999,Transport!$B49),0)</f>
        <v>0</v>
      </c>
      <c r="O49" s="1">
        <f>IFERROR(SUMIFS(BY_TRA!W$2:W$999,BY_TRA!$BJ$2:$BJ$999,Transport!$B49,BY_TRA!$BK$2:$BK$999,Transport!$C49)/SUMIFS(BY_TRA!W$2:W$999,BY_TRA!$BJ$2:$BJ$999,Transport!$B49),0)</f>
        <v>0</v>
      </c>
      <c r="P49" s="1">
        <f>IFERROR(SUMIFS(BY_TRA!X$2:X$999,BY_TRA!$BJ$2:$BJ$999,Transport!$B49,BY_TRA!$BK$2:$BK$999,Transport!$C49)/SUMIFS(BY_TRA!X$2:X$999,BY_TRA!$BJ$2:$BJ$999,Transport!$B49),0)</f>
        <v>0</v>
      </c>
      <c r="Q49" s="1">
        <f>IFERROR(SUMIFS(BY_TRA!Y$2:Y$999,BY_TRA!$BJ$2:$BJ$999,Transport!$B49,BY_TRA!$BK$2:$BK$999,Transport!$C49)/SUMIFS(BY_TRA!Y$2:Y$999,BY_TRA!$BJ$2:$BJ$999,Transport!$B49),0)</f>
        <v>0</v>
      </c>
      <c r="R49" s="1">
        <f>IFERROR(SUMIFS(BY_TRA!Z$2:Z$999,BY_TRA!$BJ$2:$BJ$999,Transport!$B49,BY_TRA!$BK$2:$BK$999,Transport!$C49)/SUMIFS(BY_TRA!Z$2:Z$999,BY_TRA!$BJ$2:$BJ$999,Transport!$B49),0)</f>
        <v>0</v>
      </c>
      <c r="S49" s="1">
        <f>IFERROR(SUMIFS(BY_TRA!AA$2:AA$999,BY_TRA!$BJ$2:$BJ$999,Transport!$B49,BY_TRA!$BK$2:$BK$999,Transport!$C49)/SUMIFS(BY_TRA!AA$2:AA$999,BY_TRA!$BJ$2:$BJ$999,Transport!$B49),0)</f>
        <v>0</v>
      </c>
      <c r="T49" s="1">
        <f>IFERROR(SUMIFS(BY_TRA!AB$2:AB$999,BY_TRA!$BJ$2:$BJ$999,Transport!$B49,BY_TRA!$BK$2:$BK$999,Transport!$C49)/SUMIFS(BY_TRA!AB$2:AB$999,BY_TRA!$BJ$2:$BJ$999,Transport!$B49),0)</f>
        <v>0</v>
      </c>
      <c r="U49" s="1">
        <f>IFERROR(SUMIFS(BY_TRA!AC$2:AC$999,BY_TRA!$BJ$2:$BJ$999,Transport!$B49,BY_TRA!$BK$2:$BK$999,Transport!$C49)/SUMIFS(BY_TRA!AC$2:AC$999,BY_TRA!$BJ$2:$BJ$999,Transport!$B49),0)</f>
        <v>0</v>
      </c>
      <c r="V49" s="1">
        <f>IFERROR(SUMIFS(BY_TRA!AD$2:AD$999,BY_TRA!$BJ$2:$BJ$999,Transport!$B49,BY_TRA!$BK$2:$BK$999,Transport!$C49)/SUMIFS(BY_TRA!AD$2:AD$999,BY_TRA!$BJ$2:$BJ$999,Transport!$B49),0)</f>
        <v>0</v>
      </c>
      <c r="W49" s="1">
        <f>IFERROR(SUMIFS(BY_TRA!AE$2:AE$999,BY_TRA!$BJ$2:$BJ$999,Transport!$B49,BY_TRA!$BK$2:$BK$999,Transport!$C49)/SUMIFS(BY_TRA!AE$2:AE$999,BY_TRA!$BJ$2:$BJ$999,Transport!$B49),0)</f>
        <v>0</v>
      </c>
      <c r="X49" s="1">
        <f>IFERROR(SUMIFS(BY_TRA!AF$2:AF$999,BY_TRA!$BJ$2:$BJ$999,Transport!$B49,BY_TRA!$BK$2:$BK$999,Transport!$C49)/SUMIFS(BY_TRA!AF$2:AF$999,BY_TRA!$BJ$2:$BJ$999,Transport!$B49),0)</f>
        <v>0</v>
      </c>
      <c r="Y49" s="1">
        <f>IFERROR(SUMIFS(BY_TRA!AG$2:AG$999,BY_TRA!$BJ$2:$BJ$999,Transport!$B49,BY_TRA!$BK$2:$BK$999,Transport!$C49)/SUMIFS(BY_TRA!AG$2:AG$999,BY_TRA!$BJ$2:$BJ$999,Transport!$B49),0)</f>
        <v>0</v>
      </c>
      <c r="Z49" s="1">
        <f>IFERROR(SUMIFS(BY_TRA!AH$2:AH$999,BY_TRA!$BJ$2:$BJ$999,Transport!$B49,BY_TRA!$BK$2:$BK$999,Transport!$C49)/SUMIFS(BY_TRA!AH$2:AH$999,BY_TRA!$BJ$2:$BJ$999,Transport!$B49),0)</f>
        <v>0</v>
      </c>
      <c r="AA49" s="1">
        <f>IFERROR(SUMIFS(BY_TRA!AI$2:AI$999,BY_TRA!$BJ$2:$BJ$999,Transport!$B49,BY_TRA!$BK$2:$BK$999,Transport!$C49)/SUMIFS(BY_TRA!AI$2:AI$999,BY_TRA!$BJ$2:$BJ$999,Transport!$B49),0)</f>
        <v>0</v>
      </c>
      <c r="AB49" s="1">
        <f>IFERROR(SUMIFS(BY_TRA!AJ$2:AJ$999,BY_TRA!$BJ$2:$BJ$999,Transport!$B49,BY_TRA!$BK$2:$BK$999,Transport!$C49)/SUMIFS(BY_TRA!AJ$2:AJ$999,BY_TRA!$BJ$2:$BJ$999,Transport!$B49),0)</f>
        <v>0</v>
      </c>
      <c r="AC49" s="1">
        <f>IFERROR(SUMIFS(BY_TRA!AK$2:AK$999,BY_TRA!$BJ$2:$BJ$999,Transport!$B49,BY_TRA!$BK$2:$BK$999,Transport!$C49)/SUMIFS(BY_TRA!AK$2:AK$999,BY_TRA!$BJ$2:$BJ$999,Transport!$B49),0)</f>
        <v>0</v>
      </c>
      <c r="AD49" s="1">
        <f>IFERROR(SUMIFS(BY_TRA!AL$2:AL$999,BY_TRA!$BJ$2:$BJ$999,Transport!$B49,BY_TRA!$BK$2:$BK$999,Transport!$C49)/SUMIFS(BY_TRA!AL$2:AL$999,BY_TRA!$BJ$2:$BJ$999,Transport!$B49),0)</f>
        <v>0</v>
      </c>
      <c r="AE49" s="1">
        <f>IFERROR(SUMIFS(BY_TRA!AM$2:AM$999,BY_TRA!$BJ$2:$BJ$999,Transport!$B49,BY_TRA!$BK$2:$BK$999,Transport!$C49)/SUMIFS(BY_TRA!AM$2:AM$999,BY_TRA!$BJ$2:$BJ$999,Transport!$B49),0)</f>
        <v>0</v>
      </c>
      <c r="AF49" s="1">
        <f>IFERROR(SUMIFS(BY_TRA!AN$2:AN$999,BY_TRA!$BJ$2:$BJ$999,Transport!$B49,BY_TRA!$BK$2:$BK$999,Transport!$C49)/SUMIFS(BY_TRA!AN$2:AN$999,BY_TRA!$BJ$2:$BJ$999,Transport!$B49),0)</f>
        <v>0</v>
      </c>
      <c r="AG49" s="1">
        <f>IFERROR(SUMIFS(BY_TRA!AO$2:AO$999,BY_TRA!$BJ$2:$BJ$999,Transport!$B49,BY_TRA!$BK$2:$BK$999,Transport!$C49)/SUMIFS(BY_TRA!AO$2:AO$999,BY_TRA!$BJ$2:$BJ$999,Transport!$B49),0)</f>
        <v>0</v>
      </c>
      <c r="AH49" s="1">
        <f>IFERROR(SUMIFS(BY_TRA!AP$2:AP$999,BY_TRA!$BJ$2:$BJ$999,Transport!$B49,BY_TRA!$BK$2:$BK$999,Transport!$C49)/SUMIFS(BY_TRA!AP$2:AP$999,BY_TRA!$BJ$2:$BJ$999,Transport!$B49),0)</f>
        <v>0</v>
      </c>
      <c r="AI49" s="1">
        <f>IFERROR(SUMIFS(BY_TRA!AQ$2:AQ$999,BY_TRA!$BJ$2:$BJ$999,Transport!$B49,BY_TRA!$BK$2:$BK$999,Transport!$C49)/SUMIFS(BY_TRA!AQ$2:AQ$999,BY_TRA!$BJ$2:$BJ$999,Transport!$B49),0)</f>
        <v>0</v>
      </c>
      <c r="AJ49" s="1">
        <f>IFERROR(SUMIFS(BY_TRA!AR$2:AR$999,BY_TRA!$BJ$2:$BJ$999,Transport!$B49,BY_TRA!$BK$2:$BK$999,Transport!$C49)/SUMIFS(BY_TRA!AR$2:AR$999,BY_TRA!$BJ$2:$BJ$999,Transport!$B49),0)</f>
        <v>0</v>
      </c>
      <c r="AK49" s="1">
        <f>IFERROR(SUMIFS(BY_TRA!AS$2:AS$999,BY_TRA!$BJ$2:$BJ$999,Transport!$B49,BY_TRA!$BK$2:$BK$999,Transport!$C49)/SUMIFS(BY_TRA!AS$2:AS$999,BY_TRA!$BJ$2:$BJ$999,Transport!$B49),0)</f>
        <v>0</v>
      </c>
      <c r="AL49" s="1">
        <f>IFERROR(SUMIFS(BY_TRA!AT$2:AT$999,BY_TRA!$BJ$2:$BJ$999,Transport!$B49,BY_TRA!$BK$2:$BK$999,Transport!$C49)/SUMIFS(BY_TRA!AT$2:AT$999,BY_TRA!$BJ$2:$BJ$999,Transport!$B49),0)</f>
        <v>0</v>
      </c>
      <c r="AM49" s="1">
        <f>IFERROR(SUMIFS(BY_TRA!AU$2:AU$999,BY_TRA!$BJ$2:$BJ$999,Transport!$B49,BY_TRA!$BK$2:$BK$999,Transport!$C49)/SUMIFS(BY_TRA!AU$2:AU$999,BY_TRA!$BJ$2:$BJ$999,Transport!$B49),0)</f>
        <v>0</v>
      </c>
      <c r="AN49" s="1">
        <f>IFERROR(SUMIFS(BY_TRA!AV$2:AV$999,BY_TRA!$BJ$2:$BJ$999,Transport!$B49,BY_TRA!$BK$2:$BK$999,Transport!$C49)/SUMIFS(BY_TRA!AV$2:AV$999,BY_TRA!$BJ$2:$BJ$999,Transport!$B49),0)</f>
        <v>0</v>
      </c>
      <c r="AO49" s="1">
        <f>IFERROR(SUMIFS(BY_TRA!AW$2:AW$999,BY_TRA!$BJ$2:$BJ$999,Transport!$B49,BY_TRA!$BK$2:$BK$999,Transport!$C49)/SUMIFS(BY_TRA!AW$2:AW$999,BY_TRA!$BJ$2:$BJ$999,Transport!$B49),0)</f>
        <v>0</v>
      </c>
      <c r="AP49" s="1">
        <f>IFERROR(SUMIFS(BY_TRA!AX$2:AX$999,BY_TRA!$BJ$2:$BJ$999,Transport!$B49,BY_TRA!$BK$2:$BK$999,Transport!$C49)/SUMIFS(BY_TRA!AX$2:AX$999,BY_TRA!$BJ$2:$BJ$999,Transport!$B49),0)</f>
        <v>0</v>
      </c>
      <c r="AQ49" s="1">
        <f>IFERROR(SUMIFS(BY_TRA!AY$2:AY$999,BY_TRA!$BJ$2:$BJ$999,Transport!$B49,BY_TRA!$BK$2:$BK$999,Transport!$C49)/SUMIFS(BY_TRA!AY$2:AY$999,BY_TRA!$BJ$2:$BJ$999,Transport!$B49),0)</f>
        <v>0</v>
      </c>
      <c r="AR49" s="1">
        <f>IFERROR(SUMIFS(BY_TRA!AZ$2:AZ$999,BY_TRA!$BJ$2:$BJ$999,Transport!$B49,BY_TRA!$BK$2:$BK$999,Transport!$C49)/SUMIFS(BY_TRA!AZ$2:AZ$999,BY_TRA!$BJ$2:$BJ$999,Transport!$B49),0)</f>
        <v>0</v>
      </c>
      <c r="AS49" s="1">
        <f>IFERROR(SUMIFS(BY_TRA!BA$2:BA$999,BY_TRA!$BJ$2:$BJ$999,Transport!$B49,BY_TRA!$BK$2:$BK$999,Transport!$C49)/SUMIFS(BY_TRA!BA$2:BA$999,BY_TRA!$BJ$2:$BJ$999,Transport!$B49),0)</f>
        <v>0</v>
      </c>
      <c r="AT49" s="1">
        <f>IFERROR(SUMIFS(BY_TRA!BB$2:BB$999,BY_TRA!$BJ$2:$BJ$999,Transport!$B49,BY_TRA!$BK$2:$BK$999,Transport!$C49)/SUMIFS(BY_TRA!BB$2:BB$999,BY_TRA!$BJ$2:$BJ$999,Transport!$B49),0)</f>
        <v>0</v>
      </c>
      <c r="AU49" s="1">
        <f>IFERROR(SUMIFS(BY_TRA!BC$2:BC$999,BY_TRA!$BJ$2:$BJ$999,Transport!$B49,BY_TRA!$BK$2:$BK$999,Transport!$C49)/SUMIFS(BY_TRA!BC$2:BC$999,BY_TRA!$BJ$2:$BJ$999,Transport!$B49),0)</f>
        <v>0</v>
      </c>
      <c r="AV49" s="1">
        <f>IFERROR(SUMIFS(BY_TRA!BD$2:BD$999,BY_TRA!$BJ$2:$BJ$999,Transport!$B49,BY_TRA!$BK$2:$BK$999,Transport!$C49)/SUMIFS(BY_TRA!BD$2:BD$999,BY_TRA!$BJ$2:$BJ$999,Transport!$B49),0)</f>
        <v>0</v>
      </c>
      <c r="AW49" s="1">
        <f>IFERROR(SUMIFS(BY_TRA!BE$2:BE$999,BY_TRA!$BJ$2:$BJ$999,Transport!$B49,BY_TRA!$BK$2:$BK$999,Transport!$C49)/SUMIFS(BY_TRA!BE$2:BE$999,BY_TRA!$BJ$2:$BJ$999,Transport!$B49),0)</f>
        <v>0</v>
      </c>
      <c r="AX49" s="1">
        <f>IFERROR(SUMIFS(BY_TRA!BF$2:BF$999,BY_TRA!$BJ$2:$BJ$999,Transport!$B49,BY_TRA!$BK$2:$BK$999,Transport!$C49)/SUMIFS(BY_TRA!BF$2:BF$999,BY_TRA!$BJ$2:$BJ$999,Transport!$B49),0)</f>
        <v>0</v>
      </c>
      <c r="AY49" s="1">
        <f>IFERROR(SUMIFS(BY_TRA!BG$2:BG$999,BY_TRA!$BJ$2:$BJ$999,Transport!$B49,BY_TRA!$BK$2:$BK$999,Transport!$C49)/SUMIFS(BY_TRA!BG$2:BG$999,BY_TRA!$BJ$2:$BJ$999,Transport!$B49),0)</f>
        <v>0</v>
      </c>
    </row>
    <row r="50" spans="2:51">
      <c r="B50" t="s">
        <v>132</v>
      </c>
      <c r="C50" t="s">
        <v>123</v>
      </c>
      <c r="D50" s="1">
        <f>IFERROR(SUMIFS(BY_TRA!L$2:L$999,BY_TRA!$BJ$2:$BJ$999,Transport!$B50,BY_TRA!$BK$2:$BK$999,Transport!$C50)/SUMIFS(BY_TRA!L$2:L$999,BY_TRA!$BJ$2:$BJ$999,Transport!$B50),0)</f>
        <v>0</v>
      </c>
      <c r="E50" s="1">
        <f>IFERROR(SUMIFS(BY_TRA!M$2:M$999,BY_TRA!$BJ$2:$BJ$999,Transport!$B50,BY_TRA!$BK$2:$BK$999,Transport!$C50)/SUMIFS(BY_TRA!M$2:M$999,BY_TRA!$BJ$2:$BJ$999,Transport!$B50),0)</f>
        <v>0</v>
      </c>
      <c r="F50" s="1">
        <f>IFERROR(SUMIFS(BY_TRA!N$2:N$999,BY_TRA!$BJ$2:$BJ$999,Transport!$B50,BY_TRA!$BK$2:$BK$999,Transport!$C50)/SUMIFS(BY_TRA!N$2:N$999,BY_TRA!$BJ$2:$BJ$999,Transport!$B50),0)</f>
        <v>0</v>
      </c>
      <c r="G50" s="1">
        <f>IFERROR(SUMIFS(BY_TRA!O$2:O$999,BY_TRA!$BJ$2:$BJ$999,Transport!$B50,BY_TRA!$BK$2:$BK$999,Transport!$C50)/SUMIFS(BY_TRA!O$2:O$999,BY_TRA!$BJ$2:$BJ$999,Transport!$B50),0)</f>
        <v>0</v>
      </c>
      <c r="H50" s="1">
        <f>IFERROR(SUMIFS(BY_TRA!P$2:P$999,BY_TRA!$BJ$2:$BJ$999,Transport!$B50,BY_TRA!$BK$2:$BK$999,Transport!$C50)/SUMIFS(BY_TRA!P$2:P$999,BY_TRA!$BJ$2:$BJ$999,Transport!$B50),0)</f>
        <v>0</v>
      </c>
      <c r="I50" s="1">
        <f>IFERROR(SUMIFS(BY_TRA!Q$2:Q$999,BY_TRA!$BJ$2:$BJ$999,Transport!$B50,BY_TRA!$BK$2:$BK$999,Transport!$C50)/SUMIFS(BY_TRA!Q$2:Q$999,BY_TRA!$BJ$2:$BJ$999,Transport!$B50),0)</f>
        <v>0</v>
      </c>
      <c r="J50" s="1">
        <f>IFERROR(SUMIFS(BY_TRA!R$2:R$999,BY_TRA!$BJ$2:$BJ$999,Transport!$B50,BY_TRA!$BK$2:$BK$999,Transport!$C50)/SUMIFS(BY_TRA!R$2:R$999,BY_TRA!$BJ$2:$BJ$999,Transport!$B50),0)</f>
        <v>0</v>
      </c>
      <c r="K50" s="1">
        <f>IFERROR(SUMIFS(BY_TRA!S$2:S$999,BY_TRA!$BJ$2:$BJ$999,Transport!$B50,BY_TRA!$BK$2:$BK$999,Transport!$C50)/SUMIFS(BY_TRA!S$2:S$999,BY_TRA!$BJ$2:$BJ$999,Transport!$B50),0)</f>
        <v>0</v>
      </c>
      <c r="L50" s="1">
        <f>IFERROR(SUMIFS(BY_TRA!T$2:T$999,BY_TRA!$BJ$2:$BJ$999,Transport!$B50,BY_TRA!$BK$2:$BK$999,Transport!$C50)/SUMIFS(BY_TRA!T$2:T$999,BY_TRA!$BJ$2:$BJ$999,Transport!$B50),0)</f>
        <v>0</v>
      </c>
      <c r="M50" s="1">
        <f>IFERROR(SUMIFS(BY_TRA!U$2:U$999,BY_TRA!$BJ$2:$BJ$999,Transport!$B50,BY_TRA!$BK$2:$BK$999,Transport!$C50)/SUMIFS(BY_TRA!U$2:U$999,BY_TRA!$BJ$2:$BJ$999,Transport!$B50),0)</f>
        <v>0</v>
      </c>
      <c r="N50" s="1">
        <f>IFERROR(SUMIFS(BY_TRA!V$2:V$999,BY_TRA!$BJ$2:$BJ$999,Transport!$B50,BY_TRA!$BK$2:$BK$999,Transport!$C50)/SUMIFS(BY_TRA!V$2:V$999,BY_TRA!$BJ$2:$BJ$999,Transport!$B50),0)</f>
        <v>0</v>
      </c>
      <c r="O50" s="1">
        <f>IFERROR(SUMIFS(BY_TRA!W$2:W$999,BY_TRA!$BJ$2:$BJ$999,Transport!$B50,BY_TRA!$BK$2:$BK$999,Transport!$C50)/SUMIFS(BY_TRA!W$2:W$999,BY_TRA!$BJ$2:$BJ$999,Transport!$B50),0)</f>
        <v>0</v>
      </c>
      <c r="P50" s="1">
        <f>IFERROR(SUMIFS(BY_TRA!X$2:X$999,BY_TRA!$BJ$2:$BJ$999,Transport!$B50,BY_TRA!$BK$2:$BK$999,Transport!$C50)/SUMIFS(BY_TRA!X$2:X$999,BY_TRA!$BJ$2:$BJ$999,Transport!$B50),0)</f>
        <v>0</v>
      </c>
      <c r="Q50" s="1">
        <f>IFERROR(SUMIFS(BY_TRA!Y$2:Y$999,BY_TRA!$BJ$2:$BJ$999,Transport!$B50,BY_TRA!$BK$2:$BK$999,Transport!$C50)/SUMIFS(BY_TRA!Y$2:Y$999,BY_TRA!$BJ$2:$BJ$999,Transport!$B50),0)</f>
        <v>0</v>
      </c>
      <c r="R50" s="1">
        <f>IFERROR(SUMIFS(BY_TRA!Z$2:Z$999,BY_TRA!$BJ$2:$BJ$999,Transport!$B50,BY_TRA!$BK$2:$BK$999,Transport!$C50)/SUMIFS(BY_TRA!Z$2:Z$999,BY_TRA!$BJ$2:$BJ$999,Transport!$B50),0)</f>
        <v>0</v>
      </c>
      <c r="S50" s="1">
        <f>IFERROR(SUMIFS(BY_TRA!AA$2:AA$999,BY_TRA!$BJ$2:$BJ$999,Transport!$B50,BY_TRA!$BK$2:$BK$999,Transport!$C50)/SUMIFS(BY_TRA!AA$2:AA$999,BY_TRA!$BJ$2:$BJ$999,Transport!$B50),0)</f>
        <v>0</v>
      </c>
      <c r="T50" s="1">
        <f>IFERROR(SUMIFS(BY_TRA!AB$2:AB$999,BY_TRA!$BJ$2:$BJ$999,Transport!$B50,BY_TRA!$BK$2:$BK$999,Transport!$C50)/SUMIFS(BY_TRA!AB$2:AB$999,BY_TRA!$BJ$2:$BJ$999,Transport!$B50),0)</f>
        <v>0</v>
      </c>
      <c r="U50" s="1">
        <f>IFERROR(SUMIFS(BY_TRA!AC$2:AC$999,BY_TRA!$BJ$2:$BJ$999,Transport!$B50,BY_TRA!$BK$2:$BK$999,Transport!$C50)/SUMIFS(BY_TRA!AC$2:AC$999,BY_TRA!$BJ$2:$BJ$999,Transport!$B50),0)</f>
        <v>0</v>
      </c>
      <c r="V50" s="1">
        <f>IFERROR(SUMIFS(BY_TRA!AD$2:AD$999,BY_TRA!$BJ$2:$BJ$999,Transport!$B50,BY_TRA!$BK$2:$BK$999,Transport!$C50)/SUMIFS(BY_TRA!AD$2:AD$999,BY_TRA!$BJ$2:$BJ$999,Transport!$B50),0)</f>
        <v>0</v>
      </c>
      <c r="W50" s="1">
        <f>IFERROR(SUMIFS(BY_TRA!AE$2:AE$999,BY_TRA!$BJ$2:$BJ$999,Transport!$B50,BY_TRA!$BK$2:$BK$999,Transport!$C50)/SUMIFS(BY_TRA!AE$2:AE$999,BY_TRA!$BJ$2:$BJ$999,Transport!$B50),0)</f>
        <v>0</v>
      </c>
      <c r="X50" s="1">
        <f>IFERROR(SUMIFS(BY_TRA!AF$2:AF$999,BY_TRA!$BJ$2:$BJ$999,Transport!$B50,BY_TRA!$BK$2:$BK$999,Transport!$C50)/SUMIFS(BY_TRA!AF$2:AF$999,BY_TRA!$BJ$2:$BJ$999,Transport!$B50),0)</f>
        <v>0</v>
      </c>
      <c r="Y50" s="1">
        <f>IFERROR(SUMIFS(BY_TRA!AG$2:AG$999,BY_TRA!$BJ$2:$BJ$999,Transport!$B50,BY_TRA!$BK$2:$BK$999,Transport!$C50)/SUMIFS(BY_TRA!AG$2:AG$999,BY_TRA!$BJ$2:$BJ$999,Transport!$B50),0)</f>
        <v>0</v>
      </c>
      <c r="Z50" s="1">
        <f>IFERROR(SUMIFS(BY_TRA!AH$2:AH$999,BY_TRA!$BJ$2:$BJ$999,Transport!$B50,BY_TRA!$BK$2:$BK$999,Transport!$C50)/SUMIFS(BY_TRA!AH$2:AH$999,BY_TRA!$BJ$2:$BJ$999,Transport!$B50),0)</f>
        <v>0</v>
      </c>
      <c r="AA50" s="1">
        <f>IFERROR(SUMIFS(BY_TRA!AI$2:AI$999,BY_TRA!$BJ$2:$BJ$999,Transport!$B50,BY_TRA!$BK$2:$BK$999,Transport!$C50)/SUMIFS(BY_TRA!AI$2:AI$999,BY_TRA!$BJ$2:$BJ$999,Transport!$B50),0)</f>
        <v>0</v>
      </c>
      <c r="AB50" s="1">
        <f>IFERROR(SUMIFS(BY_TRA!AJ$2:AJ$999,BY_TRA!$BJ$2:$BJ$999,Transport!$B50,BY_TRA!$BK$2:$BK$999,Transport!$C50)/SUMIFS(BY_TRA!AJ$2:AJ$999,BY_TRA!$BJ$2:$BJ$999,Transport!$B50),0)</f>
        <v>0</v>
      </c>
      <c r="AC50" s="1">
        <f>IFERROR(SUMIFS(BY_TRA!AK$2:AK$999,BY_TRA!$BJ$2:$BJ$999,Transport!$B50,BY_TRA!$BK$2:$BK$999,Transport!$C50)/SUMIFS(BY_TRA!AK$2:AK$999,BY_TRA!$BJ$2:$BJ$999,Transport!$B50),0)</f>
        <v>0</v>
      </c>
      <c r="AD50" s="1">
        <f>IFERROR(SUMIFS(BY_TRA!AL$2:AL$999,BY_TRA!$BJ$2:$BJ$999,Transport!$B50,BY_TRA!$BK$2:$BK$999,Transport!$C50)/SUMIFS(BY_TRA!AL$2:AL$999,BY_TRA!$BJ$2:$BJ$999,Transport!$B50),0)</f>
        <v>0</v>
      </c>
      <c r="AE50" s="1">
        <f>IFERROR(SUMIFS(BY_TRA!AM$2:AM$999,BY_TRA!$BJ$2:$BJ$999,Transport!$B50,BY_TRA!$BK$2:$BK$999,Transport!$C50)/SUMIFS(BY_TRA!AM$2:AM$999,BY_TRA!$BJ$2:$BJ$999,Transport!$B50),0)</f>
        <v>0</v>
      </c>
      <c r="AF50" s="1">
        <f>IFERROR(SUMIFS(BY_TRA!AN$2:AN$999,BY_TRA!$BJ$2:$BJ$999,Transport!$B50,BY_TRA!$BK$2:$BK$999,Transport!$C50)/SUMIFS(BY_TRA!AN$2:AN$999,BY_TRA!$BJ$2:$BJ$999,Transport!$B50),0)</f>
        <v>0</v>
      </c>
      <c r="AG50" s="1">
        <f>IFERROR(SUMIFS(BY_TRA!AO$2:AO$999,BY_TRA!$BJ$2:$BJ$999,Transport!$B50,BY_TRA!$BK$2:$BK$999,Transport!$C50)/SUMIFS(BY_TRA!AO$2:AO$999,BY_TRA!$BJ$2:$BJ$999,Transport!$B50),0)</f>
        <v>0</v>
      </c>
      <c r="AH50" s="1">
        <f>IFERROR(SUMIFS(BY_TRA!AP$2:AP$999,BY_TRA!$BJ$2:$BJ$999,Transport!$B50,BY_TRA!$BK$2:$BK$999,Transport!$C50)/SUMIFS(BY_TRA!AP$2:AP$999,BY_TRA!$BJ$2:$BJ$999,Transport!$B50),0)</f>
        <v>0</v>
      </c>
      <c r="AI50" s="1">
        <f>IFERROR(SUMIFS(BY_TRA!AQ$2:AQ$999,BY_TRA!$BJ$2:$BJ$999,Transport!$B50,BY_TRA!$BK$2:$BK$999,Transport!$C50)/SUMIFS(BY_TRA!AQ$2:AQ$999,BY_TRA!$BJ$2:$BJ$999,Transport!$B50),0)</f>
        <v>0</v>
      </c>
      <c r="AJ50" s="1">
        <f>IFERROR(SUMIFS(BY_TRA!AR$2:AR$999,BY_TRA!$BJ$2:$BJ$999,Transport!$B50,BY_TRA!$BK$2:$BK$999,Transport!$C50)/SUMIFS(BY_TRA!AR$2:AR$999,BY_TRA!$BJ$2:$BJ$999,Transport!$B50),0)</f>
        <v>0</v>
      </c>
      <c r="AK50" s="1">
        <f>IFERROR(SUMIFS(BY_TRA!AS$2:AS$999,BY_TRA!$BJ$2:$BJ$999,Transport!$B50,BY_TRA!$BK$2:$BK$999,Transport!$C50)/SUMIFS(BY_TRA!AS$2:AS$999,BY_TRA!$BJ$2:$BJ$999,Transport!$B50),0)</f>
        <v>0</v>
      </c>
      <c r="AL50" s="1">
        <f>IFERROR(SUMIFS(BY_TRA!AT$2:AT$999,BY_TRA!$BJ$2:$BJ$999,Transport!$B50,BY_TRA!$BK$2:$BK$999,Transport!$C50)/SUMIFS(BY_TRA!AT$2:AT$999,BY_TRA!$BJ$2:$BJ$999,Transport!$B50),0)</f>
        <v>0</v>
      </c>
      <c r="AM50" s="1">
        <f>IFERROR(SUMIFS(BY_TRA!AU$2:AU$999,BY_TRA!$BJ$2:$BJ$999,Transport!$B50,BY_TRA!$BK$2:$BK$999,Transport!$C50)/SUMIFS(BY_TRA!AU$2:AU$999,BY_TRA!$BJ$2:$BJ$999,Transport!$B50),0)</f>
        <v>0</v>
      </c>
      <c r="AN50" s="1">
        <f>IFERROR(SUMIFS(BY_TRA!AV$2:AV$999,BY_TRA!$BJ$2:$BJ$999,Transport!$B50,BY_TRA!$BK$2:$BK$999,Transport!$C50)/SUMIFS(BY_TRA!AV$2:AV$999,BY_TRA!$BJ$2:$BJ$999,Transport!$B50),0)</f>
        <v>0</v>
      </c>
      <c r="AO50" s="1">
        <f>IFERROR(SUMIFS(BY_TRA!AW$2:AW$999,BY_TRA!$BJ$2:$BJ$999,Transport!$B50,BY_TRA!$BK$2:$BK$999,Transport!$C50)/SUMIFS(BY_TRA!AW$2:AW$999,BY_TRA!$BJ$2:$BJ$999,Transport!$B50),0)</f>
        <v>0</v>
      </c>
      <c r="AP50" s="1">
        <f>IFERROR(SUMIFS(BY_TRA!AX$2:AX$999,BY_TRA!$BJ$2:$BJ$999,Transport!$B50,BY_TRA!$BK$2:$BK$999,Transport!$C50)/SUMIFS(BY_TRA!AX$2:AX$999,BY_TRA!$BJ$2:$BJ$999,Transport!$B50),0)</f>
        <v>0</v>
      </c>
      <c r="AQ50" s="1">
        <f>IFERROR(SUMIFS(BY_TRA!AY$2:AY$999,BY_TRA!$BJ$2:$BJ$999,Transport!$B50,BY_TRA!$BK$2:$BK$999,Transport!$C50)/SUMIFS(BY_TRA!AY$2:AY$999,BY_TRA!$BJ$2:$BJ$999,Transport!$B50),0)</f>
        <v>0</v>
      </c>
      <c r="AR50" s="1">
        <f>IFERROR(SUMIFS(BY_TRA!AZ$2:AZ$999,BY_TRA!$BJ$2:$BJ$999,Transport!$B50,BY_TRA!$BK$2:$BK$999,Transport!$C50)/SUMIFS(BY_TRA!AZ$2:AZ$999,BY_TRA!$BJ$2:$BJ$999,Transport!$B50),0)</f>
        <v>0</v>
      </c>
      <c r="AS50" s="1">
        <f>IFERROR(SUMIFS(BY_TRA!BA$2:BA$999,BY_TRA!$BJ$2:$BJ$999,Transport!$B50,BY_TRA!$BK$2:$BK$999,Transport!$C50)/SUMIFS(BY_TRA!BA$2:BA$999,BY_TRA!$BJ$2:$BJ$999,Transport!$B50),0)</f>
        <v>0</v>
      </c>
      <c r="AT50" s="1">
        <f>IFERROR(SUMIFS(BY_TRA!BB$2:BB$999,BY_TRA!$BJ$2:$BJ$999,Transport!$B50,BY_TRA!$BK$2:$BK$999,Transport!$C50)/SUMIFS(BY_TRA!BB$2:BB$999,BY_TRA!$BJ$2:$BJ$999,Transport!$B50),0)</f>
        <v>0</v>
      </c>
      <c r="AU50" s="1">
        <f>IFERROR(SUMIFS(BY_TRA!BC$2:BC$999,BY_TRA!$BJ$2:$BJ$999,Transport!$B50,BY_TRA!$BK$2:$BK$999,Transport!$C50)/SUMIFS(BY_TRA!BC$2:BC$999,BY_TRA!$BJ$2:$BJ$999,Transport!$B50),0)</f>
        <v>0</v>
      </c>
      <c r="AV50" s="1">
        <f>IFERROR(SUMIFS(BY_TRA!BD$2:BD$999,BY_TRA!$BJ$2:$BJ$999,Transport!$B50,BY_TRA!$BK$2:$BK$999,Transport!$C50)/SUMIFS(BY_TRA!BD$2:BD$999,BY_TRA!$BJ$2:$BJ$999,Transport!$B50),0)</f>
        <v>0</v>
      </c>
      <c r="AW50" s="1">
        <f>IFERROR(SUMIFS(BY_TRA!BE$2:BE$999,BY_TRA!$BJ$2:$BJ$999,Transport!$B50,BY_TRA!$BK$2:$BK$999,Transport!$C50)/SUMIFS(BY_TRA!BE$2:BE$999,BY_TRA!$BJ$2:$BJ$999,Transport!$B50),0)</f>
        <v>0</v>
      </c>
      <c r="AX50" s="1">
        <f>IFERROR(SUMIFS(BY_TRA!BF$2:BF$999,BY_TRA!$BJ$2:$BJ$999,Transport!$B50,BY_TRA!$BK$2:$BK$999,Transport!$C50)/SUMIFS(BY_TRA!BF$2:BF$999,BY_TRA!$BJ$2:$BJ$999,Transport!$B50),0)</f>
        <v>0</v>
      </c>
      <c r="AY50" s="1">
        <f>IFERROR(SUMIFS(BY_TRA!BG$2:BG$999,BY_TRA!$BJ$2:$BJ$999,Transport!$B50,BY_TRA!$BK$2:$BK$999,Transport!$C50)/SUMIFS(BY_TRA!BG$2:BG$999,BY_TRA!$BJ$2:$BJ$999,Transport!$B50),0)</f>
        <v>0</v>
      </c>
    </row>
    <row r="51" spans="2:51">
      <c r="B51" t="s">
        <v>132</v>
      </c>
      <c r="C51" t="s">
        <v>124</v>
      </c>
      <c r="D51" s="1">
        <f>IFERROR(SUMIFS(BY_TRA!L$2:L$999,BY_TRA!$BJ$2:$BJ$999,Transport!$B51,BY_TRA!$BK$2:$BK$999,Transport!$C51)/SUMIFS(BY_TRA!L$2:L$999,BY_TRA!$BJ$2:$BJ$999,Transport!$B51),0)</f>
        <v>0</v>
      </c>
      <c r="E51" s="1">
        <f>IFERROR(SUMIFS(BY_TRA!M$2:M$999,BY_TRA!$BJ$2:$BJ$999,Transport!$B51,BY_TRA!$BK$2:$BK$999,Transport!$C51)/SUMIFS(BY_TRA!M$2:M$999,BY_TRA!$BJ$2:$BJ$999,Transport!$B51),0)</f>
        <v>0</v>
      </c>
      <c r="F51" s="1">
        <f>IFERROR(SUMIFS(BY_TRA!N$2:N$999,BY_TRA!$BJ$2:$BJ$999,Transport!$B51,BY_TRA!$BK$2:$BK$999,Transport!$C51)/SUMIFS(BY_TRA!N$2:N$999,BY_TRA!$BJ$2:$BJ$999,Transport!$B51),0)</f>
        <v>0</v>
      </c>
      <c r="G51" s="1">
        <f>IFERROR(SUMIFS(BY_TRA!O$2:O$999,BY_TRA!$BJ$2:$BJ$999,Transport!$B51,BY_TRA!$BK$2:$BK$999,Transport!$C51)/SUMIFS(BY_TRA!O$2:O$999,BY_TRA!$BJ$2:$BJ$999,Transport!$B51),0)</f>
        <v>0</v>
      </c>
      <c r="H51" s="1">
        <f>IFERROR(SUMIFS(BY_TRA!P$2:P$999,BY_TRA!$BJ$2:$BJ$999,Transport!$B51,BY_TRA!$BK$2:$BK$999,Transport!$C51)/SUMIFS(BY_TRA!P$2:P$999,BY_TRA!$BJ$2:$BJ$999,Transport!$B51),0)</f>
        <v>0</v>
      </c>
      <c r="I51" s="1">
        <f>IFERROR(SUMIFS(BY_TRA!Q$2:Q$999,BY_TRA!$BJ$2:$BJ$999,Transport!$B51,BY_TRA!$BK$2:$BK$999,Transport!$C51)/SUMIFS(BY_TRA!Q$2:Q$999,BY_TRA!$BJ$2:$BJ$999,Transport!$B51),0)</f>
        <v>0</v>
      </c>
      <c r="J51" s="1">
        <f>IFERROR(SUMIFS(BY_TRA!R$2:R$999,BY_TRA!$BJ$2:$BJ$999,Transport!$B51,BY_TRA!$BK$2:$BK$999,Transport!$C51)/SUMIFS(BY_TRA!R$2:R$999,BY_TRA!$BJ$2:$BJ$999,Transport!$B51),0)</f>
        <v>0</v>
      </c>
      <c r="K51" s="1">
        <f>IFERROR(SUMIFS(BY_TRA!S$2:S$999,BY_TRA!$BJ$2:$BJ$999,Transport!$B51,BY_TRA!$BK$2:$BK$999,Transport!$C51)/SUMIFS(BY_TRA!S$2:S$999,BY_TRA!$BJ$2:$BJ$999,Transport!$B51),0)</f>
        <v>0</v>
      </c>
      <c r="L51" s="1">
        <f>IFERROR(SUMIFS(BY_TRA!T$2:T$999,BY_TRA!$BJ$2:$BJ$999,Transport!$B51,BY_TRA!$BK$2:$BK$999,Transport!$C51)/SUMIFS(BY_TRA!T$2:T$999,BY_TRA!$BJ$2:$BJ$999,Transport!$B51),0)</f>
        <v>0</v>
      </c>
      <c r="M51" s="1">
        <f>IFERROR(SUMIFS(BY_TRA!U$2:U$999,BY_TRA!$BJ$2:$BJ$999,Transport!$B51,BY_TRA!$BK$2:$BK$999,Transport!$C51)/SUMIFS(BY_TRA!U$2:U$999,BY_TRA!$BJ$2:$BJ$999,Transport!$B51),0)</f>
        <v>0</v>
      </c>
      <c r="N51" s="1">
        <f>IFERROR(SUMIFS(BY_TRA!V$2:V$999,BY_TRA!$BJ$2:$BJ$999,Transport!$B51,BY_TRA!$BK$2:$BK$999,Transport!$C51)/SUMIFS(BY_TRA!V$2:V$999,BY_TRA!$BJ$2:$BJ$999,Transport!$B51),0)</f>
        <v>0</v>
      </c>
      <c r="O51" s="1">
        <f>IFERROR(SUMIFS(BY_TRA!W$2:W$999,BY_TRA!$BJ$2:$BJ$999,Transport!$B51,BY_TRA!$BK$2:$BK$999,Transport!$C51)/SUMIFS(BY_TRA!W$2:W$999,BY_TRA!$BJ$2:$BJ$999,Transport!$B51),0)</f>
        <v>0</v>
      </c>
      <c r="P51" s="1">
        <f>IFERROR(SUMIFS(BY_TRA!X$2:X$999,BY_TRA!$BJ$2:$BJ$999,Transport!$B51,BY_TRA!$BK$2:$BK$999,Transport!$C51)/SUMIFS(BY_TRA!X$2:X$999,BY_TRA!$BJ$2:$BJ$999,Transport!$B51),0)</f>
        <v>0</v>
      </c>
      <c r="Q51" s="1">
        <f>IFERROR(SUMIFS(BY_TRA!Y$2:Y$999,BY_TRA!$BJ$2:$BJ$999,Transport!$B51,BY_TRA!$BK$2:$BK$999,Transport!$C51)/SUMIFS(BY_TRA!Y$2:Y$999,BY_TRA!$BJ$2:$BJ$999,Transport!$B51),0)</f>
        <v>0</v>
      </c>
      <c r="R51" s="1">
        <f>IFERROR(SUMIFS(BY_TRA!Z$2:Z$999,BY_TRA!$BJ$2:$BJ$999,Transport!$B51,BY_TRA!$BK$2:$BK$999,Transport!$C51)/SUMIFS(BY_TRA!Z$2:Z$999,BY_TRA!$BJ$2:$BJ$999,Transport!$B51),0)</f>
        <v>0</v>
      </c>
      <c r="S51" s="1">
        <f>IFERROR(SUMIFS(BY_TRA!AA$2:AA$999,BY_TRA!$BJ$2:$BJ$999,Transport!$B51,BY_TRA!$BK$2:$BK$999,Transport!$C51)/SUMIFS(BY_TRA!AA$2:AA$999,BY_TRA!$BJ$2:$BJ$999,Transport!$B51),0)</f>
        <v>0</v>
      </c>
      <c r="T51" s="1">
        <f>IFERROR(SUMIFS(BY_TRA!AB$2:AB$999,BY_TRA!$BJ$2:$BJ$999,Transport!$B51,BY_TRA!$BK$2:$BK$999,Transport!$C51)/SUMIFS(BY_TRA!AB$2:AB$999,BY_TRA!$BJ$2:$BJ$999,Transport!$B51),0)</f>
        <v>0</v>
      </c>
      <c r="U51" s="1">
        <f>IFERROR(SUMIFS(BY_TRA!AC$2:AC$999,BY_TRA!$BJ$2:$BJ$999,Transport!$B51,BY_TRA!$BK$2:$BK$999,Transport!$C51)/SUMIFS(BY_TRA!AC$2:AC$999,BY_TRA!$BJ$2:$BJ$999,Transport!$B51),0)</f>
        <v>0</v>
      </c>
      <c r="V51" s="1">
        <f>IFERROR(SUMIFS(BY_TRA!AD$2:AD$999,BY_TRA!$BJ$2:$BJ$999,Transport!$B51,BY_TRA!$BK$2:$BK$999,Transport!$C51)/SUMIFS(BY_TRA!AD$2:AD$999,BY_TRA!$BJ$2:$BJ$999,Transport!$B51),0)</f>
        <v>0</v>
      </c>
      <c r="W51" s="1">
        <f>IFERROR(SUMIFS(BY_TRA!AE$2:AE$999,BY_TRA!$BJ$2:$BJ$999,Transport!$B51,BY_TRA!$BK$2:$BK$999,Transport!$C51)/SUMIFS(BY_TRA!AE$2:AE$999,BY_TRA!$BJ$2:$BJ$999,Transport!$B51),0)</f>
        <v>0</v>
      </c>
      <c r="X51" s="1">
        <f>IFERROR(SUMIFS(BY_TRA!AF$2:AF$999,BY_TRA!$BJ$2:$BJ$999,Transport!$B51,BY_TRA!$BK$2:$BK$999,Transport!$C51)/SUMIFS(BY_TRA!AF$2:AF$999,BY_TRA!$BJ$2:$BJ$999,Transport!$B51),0)</f>
        <v>0</v>
      </c>
      <c r="Y51" s="1">
        <f>IFERROR(SUMIFS(BY_TRA!AG$2:AG$999,BY_TRA!$BJ$2:$BJ$999,Transport!$B51,BY_TRA!$BK$2:$BK$999,Transport!$C51)/SUMIFS(BY_TRA!AG$2:AG$999,BY_TRA!$BJ$2:$BJ$999,Transport!$B51),0)</f>
        <v>0</v>
      </c>
      <c r="Z51" s="1">
        <f>IFERROR(SUMIFS(BY_TRA!AH$2:AH$999,BY_TRA!$BJ$2:$BJ$999,Transport!$B51,BY_TRA!$BK$2:$BK$999,Transport!$C51)/SUMIFS(BY_TRA!AH$2:AH$999,BY_TRA!$BJ$2:$BJ$999,Transport!$B51),0)</f>
        <v>0</v>
      </c>
      <c r="AA51" s="1">
        <f>IFERROR(SUMIFS(BY_TRA!AI$2:AI$999,BY_TRA!$BJ$2:$BJ$999,Transport!$B51,BY_TRA!$BK$2:$BK$999,Transport!$C51)/SUMIFS(BY_TRA!AI$2:AI$999,BY_TRA!$BJ$2:$BJ$999,Transport!$B51),0)</f>
        <v>0</v>
      </c>
      <c r="AB51" s="1">
        <f>IFERROR(SUMIFS(BY_TRA!AJ$2:AJ$999,BY_TRA!$BJ$2:$BJ$999,Transport!$B51,BY_TRA!$BK$2:$BK$999,Transport!$C51)/SUMIFS(BY_TRA!AJ$2:AJ$999,BY_TRA!$BJ$2:$BJ$999,Transport!$B51),0)</f>
        <v>0</v>
      </c>
      <c r="AC51" s="1">
        <f>IFERROR(SUMIFS(BY_TRA!AK$2:AK$999,BY_TRA!$BJ$2:$BJ$999,Transport!$B51,BY_TRA!$BK$2:$BK$999,Transport!$C51)/SUMIFS(BY_TRA!AK$2:AK$999,BY_TRA!$BJ$2:$BJ$999,Transport!$B51),0)</f>
        <v>0</v>
      </c>
      <c r="AD51" s="1">
        <f>IFERROR(SUMIFS(BY_TRA!AL$2:AL$999,BY_TRA!$BJ$2:$BJ$999,Transport!$B51,BY_TRA!$BK$2:$BK$999,Transport!$C51)/SUMIFS(BY_TRA!AL$2:AL$999,BY_TRA!$BJ$2:$BJ$999,Transport!$B51),0)</f>
        <v>0</v>
      </c>
      <c r="AE51" s="1">
        <f>IFERROR(SUMIFS(BY_TRA!AM$2:AM$999,BY_TRA!$BJ$2:$BJ$999,Transport!$B51,BY_TRA!$BK$2:$BK$999,Transport!$C51)/SUMIFS(BY_TRA!AM$2:AM$999,BY_TRA!$BJ$2:$BJ$999,Transport!$B51),0)</f>
        <v>0</v>
      </c>
      <c r="AF51" s="1">
        <f>IFERROR(SUMIFS(BY_TRA!AN$2:AN$999,BY_TRA!$BJ$2:$BJ$999,Transport!$B51,BY_TRA!$BK$2:$BK$999,Transport!$C51)/SUMIFS(BY_TRA!AN$2:AN$999,BY_TRA!$BJ$2:$BJ$999,Transport!$B51),0)</f>
        <v>0</v>
      </c>
      <c r="AG51" s="1">
        <f>IFERROR(SUMIFS(BY_TRA!AO$2:AO$999,BY_TRA!$BJ$2:$BJ$999,Transport!$B51,BY_TRA!$BK$2:$BK$999,Transport!$C51)/SUMIFS(BY_TRA!AO$2:AO$999,BY_TRA!$BJ$2:$BJ$999,Transport!$B51),0)</f>
        <v>0</v>
      </c>
      <c r="AH51" s="1">
        <f>IFERROR(SUMIFS(BY_TRA!AP$2:AP$999,BY_TRA!$BJ$2:$BJ$999,Transport!$B51,BY_TRA!$BK$2:$BK$999,Transport!$C51)/SUMIFS(BY_TRA!AP$2:AP$999,BY_TRA!$BJ$2:$BJ$999,Transport!$B51),0)</f>
        <v>0</v>
      </c>
      <c r="AI51" s="1">
        <f>IFERROR(SUMIFS(BY_TRA!AQ$2:AQ$999,BY_TRA!$BJ$2:$BJ$999,Transport!$B51,BY_TRA!$BK$2:$BK$999,Transport!$C51)/SUMIFS(BY_TRA!AQ$2:AQ$999,BY_TRA!$BJ$2:$BJ$999,Transport!$B51),0)</f>
        <v>0</v>
      </c>
      <c r="AJ51" s="1">
        <f>IFERROR(SUMIFS(BY_TRA!AR$2:AR$999,BY_TRA!$BJ$2:$BJ$999,Transport!$B51,BY_TRA!$BK$2:$BK$999,Transport!$C51)/SUMIFS(BY_TRA!AR$2:AR$999,BY_TRA!$BJ$2:$BJ$999,Transport!$B51),0)</f>
        <v>0</v>
      </c>
      <c r="AK51" s="1">
        <f>IFERROR(SUMIFS(BY_TRA!AS$2:AS$999,BY_TRA!$BJ$2:$BJ$999,Transport!$B51,BY_TRA!$BK$2:$BK$999,Transport!$C51)/SUMIFS(BY_TRA!AS$2:AS$999,BY_TRA!$BJ$2:$BJ$999,Transport!$B51),0)</f>
        <v>0</v>
      </c>
      <c r="AL51" s="1">
        <f>IFERROR(SUMIFS(BY_TRA!AT$2:AT$999,BY_TRA!$BJ$2:$BJ$999,Transport!$B51,BY_TRA!$BK$2:$BK$999,Transport!$C51)/SUMIFS(BY_TRA!AT$2:AT$999,BY_TRA!$BJ$2:$BJ$999,Transport!$B51),0)</f>
        <v>0</v>
      </c>
      <c r="AM51" s="1">
        <f>IFERROR(SUMIFS(BY_TRA!AU$2:AU$999,BY_TRA!$BJ$2:$BJ$999,Transport!$B51,BY_TRA!$BK$2:$BK$999,Transport!$C51)/SUMIFS(BY_TRA!AU$2:AU$999,BY_TRA!$BJ$2:$BJ$999,Transport!$B51),0)</f>
        <v>0</v>
      </c>
      <c r="AN51" s="1">
        <f>IFERROR(SUMIFS(BY_TRA!AV$2:AV$999,BY_TRA!$BJ$2:$BJ$999,Transport!$B51,BY_TRA!$BK$2:$BK$999,Transport!$C51)/SUMIFS(BY_TRA!AV$2:AV$999,BY_TRA!$BJ$2:$BJ$999,Transport!$B51),0)</f>
        <v>0</v>
      </c>
      <c r="AO51" s="1">
        <f>IFERROR(SUMIFS(BY_TRA!AW$2:AW$999,BY_TRA!$BJ$2:$BJ$999,Transport!$B51,BY_TRA!$BK$2:$BK$999,Transport!$C51)/SUMIFS(BY_TRA!AW$2:AW$999,BY_TRA!$BJ$2:$BJ$999,Transport!$B51),0)</f>
        <v>0</v>
      </c>
      <c r="AP51" s="1">
        <f>IFERROR(SUMIFS(BY_TRA!AX$2:AX$999,BY_TRA!$BJ$2:$BJ$999,Transport!$B51,BY_TRA!$BK$2:$BK$999,Transport!$C51)/SUMIFS(BY_TRA!AX$2:AX$999,BY_TRA!$BJ$2:$BJ$999,Transport!$B51),0)</f>
        <v>0</v>
      </c>
      <c r="AQ51" s="1">
        <f>IFERROR(SUMIFS(BY_TRA!AY$2:AY$999,BY_TRA!$BJ$2:$BJ$999,Transport!$B51,BY_TRA!$BK$2:$BK$999,Transport!$C51)/SUMIFS(BY_TRA!AY$2:AY$999,BY_TRA!$BJ$2:$BJ$999,Transport!$B51),0)</f>
        <v>0</v>
      </c>
      <c r="AR51" s="1">
        <f>IFERROR(SUMIFS(BY_TRA!AZ$2:AZ$999,BY_TRA!$BJ$2:$BJ$999,Transport!$B51,BY_TRA!$BK$2:$BK$999,Transport!$C51)/SUMIFS(BY_TRA!AZ$2:AZ$999,BY_TRA!$BJ$2:$BJ$999,Transport!$B51),0)</f>
        <v>0</v>
      </c>
      <c r="AS51" s="1">
        <f>IFERROR(SUMIFS(BY_TRA!BA$2:BA$999,BY_TRA!$BJ$2:$BJ$999,Transport!$B51,BY_TRA!$BK$2:$BK$999,Transport!$C51)/SUMIFS(BY_TRA!BA$2:BA$999,BY_TRA!$BJ$2:$BJ$999,Transport!$B51),0)</f>
        <v>0</v>
      </c>
      <c r="AT51" s="1">
        <f>IFERROR(SUMIFS(BY_TRA!BB$2:BB$999,BY_TRA!$BJ$2:$BJ$999,Transport!$B51,BY_TRA!$BK$2:$BK$999,Transport!$C51)/SUMIFS(BY_TRA!BB$2:BB$999,BY_TRA!$BJ$2:$BJ$999,Transport!$B51),0)</f>
        <v>0</v>
      </c>
      <c r="AU51" s="1">
        <f>IFERROR(SUMIFS(BY_TRA!BC$2:BC$999,BY_TRA!$BJ$2:$BJ$999,Transport!$B51,BY_TRA!$BK$2:$BK$999,Transport!$C51)/SUMIFS(BY_TRA!BC$2:BC$999,BY_TRA!$BJ$2:$BJ$999,Transport!$B51),0)</f>
        <v>0</v>
      </c>
      <c r="AV51" s="1">
        <f>IFERROR(SUMIFS(BY_TRA!BD$2:BD$999,BY_TRA!$BJ$2:$BJ$999,Transport!$B51,BY_TRA!$BK$2:$BK$999,Transport!$C51)/SUMIFS(BY_TRA!BD$2:BD$999,BY_TRA!$BJ$2:$BJ$999,Transport!$B51),0)</f>
        <v>0</v>
      </c>
      <c r="AW51" s="1">
        <f>IFERROR(SUMIFS(BY_TRA!BE$2:BE$999,BY_TRA!$BJ$2:$BJ$999,Transport!$B51,BY_TRA!$BK$2:$BK$999,Transport!$C51)/SUMIFS(BY_TRA!BE$2:BE$999,BY_TRA!$BJ$2:$BJ$999,Transport!$B51),0)</f>
        <v>0</v>
      </c>
      <c r="AX51" s="1">
        <f>IFERROR(SUMIFS(BY_TRA!BF$2:BF$999,BY_TRA!$BJ$2:$BJ$999,Transport!$B51,BY_TRA!$BK$2:$BK$999,Transport!$C51)/SUMIFS(BY_TRA!BF$2:BF$999,BY_TRA!$BJ$2:$BJ$999,Transport!$B51),0)</f>
        <v>0</v>
      </c>
      <c r="AY51" s="1">
        <f>IFERROR(SUMIFS(BY_TRA!BG$2:BG$999,BY_TRA!$BJ$2:$BJ$999,Transport!$B51,BY_TRA!$BK$2:$BK$999,Transport!$C51)/SUMIFS(BY_TRA!BG$2:BG$999,BY_TRA!$BJ$2:$BJ$999,Transport!$B51),0)</f>
        <v>0</v>
      </c>
    </row>
    <row r="52" spans="2:51">
      <c r="B52" t="s">
        <v>132</v>
      </c>
      <c r="C52" t="s">
        <v>130</v>
      </c>
      <c r="D52" s="1">
        <f>IFERROR(SUMIFS(BY_TRA!L$2:L$999,BY_TRA!$BJ$2:$BJ$999,Transport!$B52,BY_TRA!$BK$2:$BK$999,Transport!$C52)/SUMIFS(BY_TRA!L$2:L$999,BY_TRA!$BJ$2:$BJ$999,Transport!$B52),0)</f>
        <v>0</v>
      </c>
      <c r="E52" s="1">
        <f>IFERROR(SUMIFS(BY_TRA!M$2:M$999,BY_TRA!$BJ$2:$BJ$999,Transport!$B52,BY_TRA!$BK$2:$BK$999,Transport!$C52)/SUMIFS(BY_TRA!M$2:M$999,BY_TRA!$BJ$2:$BJ$999,Transport!$B52),0)</f>
        <v>0</v>
      </c>
      <c r="F52" s="1">
        <f>IFERROR(SUMIFS(BY_TRA!N$2:N$999,BY_TRA!$BJ$2:$BJ$999,Transport!$B52,BY_TRA!$BK$2:$BK$999,Transport!$C52)/SUMIFS(BY_TRA!N$2:N$999,BY_TRA!$BJ$2:$BJ$999,Transport!$B52),0)</f>
        <v>0</v>
      </c>
      <c r="G52" s="1">
        <f>IFERROR(SUMIFS(BY_TRA!O$2:O$999,BY_TRA!$BJ$2:$BJ$999,Transport!$B52,BY_TRA!$BK$2:$BK$999,Transport!$C52)/SUMIFS(BY_TRA!O$2:O$999,BY_TRA!$BJ$2:$BJ$999,Transport!$B52),0)</f>
        <v>0</v>
      </c>
      <c r="H52" s="1">
        <f>IFERROR(SUMIFS(BY_TRA!P$2:P$999,BY_TRA!$BJ$2:$BJ$999,Transport!$B52,BY_TRA!$BK$2:$BK$999,Transport!$C52)/SUMIFS(BY_TRA!P$2:P$999,BY_TRA!$BJ$2:$BJ$999,Transport!$B52),0)</f>
        <v>0</v>
      </c>
      <c r="I52" s="1">
        <f>IFERROR(SUMIFS(BY_TRA!Q$2:Q$999,BY_TRA!$BJ$2:$BJ$999,Transport!$B52,BY_TRA!$BK$2:$BK$999,Transport!$C52)/SUMIFS(BY_TRA!Q$2:Q$999,BY_TRA!$BJ$2:$BJ$999,Transport!$B52),0)</f>
        <v>0</v>
      </c>
      <c r="J52" s="1">
        <f>IFERROR(SUMIFS(BY_TRA!R$2:R$999,BY_TRA!$BJ$2:$BJ$999,Transport!$B52,BY_TRA!$BK$2:$BK$999,Transport!$C52)/SUMIFS(BY_TRA!R$2:R$999,BY_TRA!$BJ$2:$BJ$999,Transport!$B52),0)</f>
        <v>0</v>
      </c>
      <c r="K52" s="1">
        <f>IFERROR(SUMIFS(BY_TRA!S$2:S$999,BY_TRA!$BJ$2:$BJ$999,Transport!$B52,BY_TRA!$BK$2:$BK$999,Transport!$C52)/SUMIFS(BY_TRA!S$2:S$999,BY_TRA!$BJ$2:$BJ$999,Transport!$B52),0)</f>
        <v>0</v>
      </c>
      <c r="L52" s="1">
        <f>IFERROR(SUMIFS(BY_TRA!T$2:T$999,BY_TRA!$BJ$2:$BJ$999,Transport!$B52,BY_TRA!$BK$2:$BK$999,Transport!$C52)/SUMIFS(BY_TRA!T$2:T$999,BY_TRA!$BJ$2:$BJ$999,Transport!$B52),0)</f>
        <v>0</v>
      </c>
      <c r="M52" s="1">
        <f>IFERROR(SUMIFS(BY_TRA!U$2:U$999,BY_TRA!$BJ$2:$BJ$999,Transport!$B52,BY_TRA!$BK$2:$BK$999,Transport!$C52)/SUMIFS(BY_TRA!U$2:U$999,BY_TRA!$BJ$2:$BJ$999,Transport!$B52),0)</f>
        <v>0</v>
      </c>
      <c r="N52" s="1">
        <f>IFERROR(SUMIFS(BY_TRA!V$2:V$999,BY_TRA!$BJ$2:$BJ$999,Transport!$B52,BY_TRA!$BK$2:$BK$999,Transport!$C52)/SUMIFS(BY_TRA!V$2:V$999,BY_TRA!$BJ$2:$BJ$999,Transport!$B52),0)</f>
        <v>0</v>
      </c>
      <c r="O52" s="1">
        <f>IFERROR(SUMIFS(BY_TRA!W$2:W$999,BY_TRA!$BJ$2:$BJ$999,Transport!$B52,BY_TRA!$BK$2:$BK$999,Transport!$C52)/SUMIFS(BY_TRA!W$2:W$999,BY_TRA!$BJ$2:$BJ$999,Transport!$B52),0)</f>
        <v>0</v>
      </c>
      <c r="P52" s="1">
        <f>IFERROR(SUMIFS(BY_TRA!X$2:X$999,BY_TRA!$BJ$2:$BJ$999,Transport!$B52,BY_TRA!$BK$2:$BK$999,Transport!$C52)/SUMIFS(BY_TRA!X$2:X$999,BY_TRA!$BJ$2:$BJ$999,Transport!$B52),0)</f>
        <v>0</v>
      </c>
      <c r="Q52" s="1">
        <f>IFERROR(SUMIFS(BY_TRA!Y$2:Y$999,BY_TRA!$BJ$2:$BJ$999,Transport!$B52,BY_TRA!$BK$2:$BK$999,Transport!$C52)/SUMIFS(BY_TRA!Y$2:Y$999,BY_TRA!$BJ$2:$BJ$999,Transport!$B52),0)</f>
        <v>0</v>
      </c>
      <c r="R52" s="1">
        <f>IFERROR(SUMIFS(BY_TRA!Z$2:Z$999,BY_TRA!$BJ$2:$BJ$999,Transport!$B52,BY_TRA!$BK$2:$BK$999,Transport!$C52)/SUMIFS(BY_TRA!Z$2:Z$999,BY_TRA!$BJ$2:$BJ$999,Transport!$B52),0)</f>
        <v>0</v>
      </c>
      <c r="S52" s="1">
        <f>IFERROR(SUMIFS(BY_TRA!AA$2:AA$999,BY_TRA!$BJ$2:$BJ$999,Transport!$B52,BY_TRA!$BK$2:$BK$999,Transport!$C52)/SUMIFS(BY_TRA!AA$2:AA$999,BY_TRA!$BJ$2:$BJ$999,Transport!$B52),0)</f>
        <v>0</v>
      </c>
      <c r="T52" s="1">
        <f>IFERROR(SUMIFS(BY_TRA!AB$2:AB$999,BY_TRA!$BJ$2:$BJ$999,Transport!$B52,BY_TRA!$BK$2:$BK$999,Transport!$C52)/SUMIFS(BY_TRA!AB$2:AB$999,BY_TRA!$BJ$2:$BJ$999,Transport!$B52),0)</f>
        <v>0</v>
      </c>
      <c r="U52" s="1">
        <f>IFERROR(SUMIFS(BY_TRA!AC$2:AC$999,BY_TRA!$BJ$2:$BJ$999,Transport!$B52,BY_TRA!$BK$2:$BK$999,Transport!$C52)/SUMIFS(BY_TRA!AC$2:AC$999,BY_TRA!$BJ$2:$BJ$999,Transport!$B52),0)</f>
        <v>0</v>
      </c>
      <c r="V52" s="1">
        <f>IFERROR(SUMIFS(BY_TRA!AD$2:AD$999,BY_TRA!$BJ$2:$BJ$999,Transport!$B52,BY_TRA!$BK$2:$BK$999,Transport!$C52)/SUMIFS(BY_TRA!AD$2:AD$999,BY_TRA!$BJ$2:$BJ$999,Transport!$B52),0)</f>
        <v>0</v>
      </c>
      <c r="W52" s="1">
        <f>IFERROR(SUMIFS(BY_TRA!AE$2:AE$999,BY_TRA!$BJ$2:$BJ$999,Transport!$B52,BY_TRA!$BK$2:$BK$999,Transport!$C52)/SUMIFS(BY_TRA!AE$2:AE$999,BY_TRA!$BJ$2:$BJ$999,Transport!$B52),0)</f>
        <v>0</v>
      </c>
      <c r="X52" s="1">
        <f>IFERROR(SUMIFS(BY_TRA!AF$2:AF$999,BY_TRA!$BJ$2:$BJ$999,Transport!$B52,BY_TRA!$BK$2:$BK$999,Transport!$C52)/SUMIFS(BY_TRA!AF$2:AF$999,BY_TRA!$BJ$2:$BJ$999,Transport!$B52),0)</f>
        <v>0</v>
      </c>
      <c r="Y52" s="1">
        <f>IFERROR(SUMIFS(BY_TRA!AG$2:AG$999,BY_TRA!$BJ$2:$BJ$999,Transport!$B52,BY_TRA!$BK$2:$BK$999,Transport!$C52)/SUMIFS(BY_TRA!AG$2:AG$999,BY_TRA!$BJ$2:$BJ$999,Transport!$B52),0)</f>
        <v>0</v>
      </c>
      <c r="Z52" s="1">
        <f>IFERROR(SUMIFS(BY_TRA!AH$2:AH$999,BY_TRA!$BJ$2:$BJ$999,Transport!$B52,BY_TRA!$BK$2:$BK$999,Transport!$C52)/SUMIFS(BY_TRA!AH$2:AH$999,BY_TRA!$BJ$2:$BJ$999,Transport!$B52),0)</f>
        <v>0</v>
      </c>
      <c r="AA52" s="1">
        <f>IFERROR(SUMIFS(BY_TRA!AI$2:AI$999,BY_TRA!$BJ$2:$BJ$999,Transport!$B52,BY_TRA!$BK$2:$BK$999,Transport!$C52)/SUMIFS(BY_TRA!AI$2:AI$999,BY_TRA!$BJ$2:$BJ$999,Transport!$B52),0)</f>
        <v>0</v>
      </c>
      <c r="AB52" s="1">
        <f>IFERROR(SUMIFS(BY_TRA!AJ$2:AJ$999,BY_TRA!$BJ$2:$BJ$999,Transport!$B52,BY_TRA!$BK$2:$BK$999,Transport!$C52)/SUMIFS(BY_TRA!AJ$2:AJ$999,BY_TRA!$BJ$2:$BJ$999,Transport!$B52),0)</f>
        <v>0</v>
      </c>
      <c r="AC52" s="1">
        <f>IFERROR(SUMIFS(BY_TRA!AK$2:AK$999,BY_TRA!$BJ$2:$BJ$999,Transport!$B52,BY_TRA!$BK$2:$BK$999,Transport!$C52)/SUMIFS(BY_TRA!AK$2:AK$999,BY_TRA!$BJ$2:$BJ$999,Transport!$B52),0)</f>
        <v>0</v>
      </c>
      <c r="AD52" s="1">
        <f>IFERROR(SUMIFS(BY_TRA!AL$2:AL$999,BY_TRA!$BJ$2:$BJ$999,Transport!$B52,BY_TRA!$BK$2:$BK$999,Transport!$C52)/SUMIFS(BY_TRA!AL$2:AL$999,BY_TRA!$BJ$2:$BJ$999,Transport!$B52),0)</f>
        <v>0</v>
      </c>
      <c r="AE52" s="1">
        <f>IFERROR(SUMIFS(BY_TRA!AM$2:AM$999,BY_TRA!$BJ$2:$BJ$999,Transport!$B52,BY_TRA!$BK$2:$BK$999,Transport!$C52)/SUMIFS(BY_TRA!AM$2:AM$999,BY_TRA!$BJ$2:$BJ$999,Transport!$B52),0)</f>
        <v>0</v>
      </c>
      <c r="AF52" s="1">
        <f>IFERROR(SUMIFS(BY_TRA!AN$2:AN$999,BY_TRA!$BJ$2:$BJ$999,Transport!$B52,BY_TRA!$BK$2:$BK$999,Transport!$C52)/SUMIFS(BY_TRA!AN$2:AN$999,BY_TRA!$BJ$2:$BJ$999,Transport!$B52),0)</f>
        <v>0</v>
      </c>
      <c r="AG52" s="1">
        <f>IFERROR(SUMIFS(BY_TRA!AO$2:AO$999,BY_TRA!$BJ$2:$BJ$999,Transport!$B52,BY_TRA!$BK$2:$BK$999,Transport!$C52)/SUMIFS(BY_TRA!AO$2:AO$999,BY_TRA!$BJ$2:$BJ$999,Transport!$B52),0)</f>
        <v>0</v>
      </c>
      <c r="AH52" s="1">
        <f>IFERROR(SUMIFS(BY_TRA!AP$2:AP$999,BY_TRA!$BJ$2:$BJ$999,Transport!$B52,BY_TRA!$BK$2:$BK$999,Transport!$C52)/SUMIFS(BY_TRA!AP$2:AP$999,BY_TRA!$BJ$2:$BJ$999,Transport!$B52),0)</f>
        <v>0</v>
      </c>
      <c r="AI52" s="1">
        <f>IFERROR(SUMIFS(BY_TRA!AQ$2:AQ$999,BY_TRA!$BJ$2:$BJ$999,Transport!$B52,BY_TRA!$BK$2:$BK$999,Transport!$C52)/SUMIFS(BY_TRA!AQ$2:AQ$999,BY_TRA!$BJ$2:$BJ$999,Transport!$B52),0)</f>
        <v>0</v>
      </c>
      <c r="AJ52" s="1">
        <f>IFERROR(SUMIFS(BY_TRA!AR$2:AR$999,BY_TRA!$BJ$2:$BJ$999,Transport!$B52,BY_TRA!$BK$2:$BK$999,Transport!$C52)/SUMIFS(BY_TRA!AR$2:AR$999,BY_TRA!$BJ$2:$BJ$999,Transport!$B52),0)</f>
        <v>0</v>
      </c>
      <c r="AK52" s="1">
        <f>IFERROR(SUMIFS(BY_TRA!AS$2:AS$999,BY_TRA!$BJ$2:$BJ$999,Transport!$B52,BY_TRA!$BK$2:$BK$999,Transport!$C52)/SUMIFS(BY_TRA!AS$2:AS$999,BY_TRA!$BJ$2:$BJ$999,Transport!$B52),0)</f>
        <v>0</v>
      </c>
      <c r="AL52" s="1">
        <f>IFERROR(SUMIFS(BY_TRA!AT$2:AT$999,BY_TRA!$BJ$2:$BJ$999,Transport!$B52,BY_TRA!$BK$2:$BK$999,Transport!$C52)/SUMIFS(BY_TRA!AT$2:AT$999,BY_TRA!$BJ$2:$BJ$999,Transport!$B52),0)</f>
        <v>0</v>
      </c>
      <c r="AM52" s="1">
        <f>IFERROR(SUMIFS(BY_TRA!AU$2:AU$999,BY_TRA!$BJ$2:$BJ$999,Transport!$B52,BY_TRA!$BK$2:$BK$999,Transport!$C52)/SUMIFS(BY_TRA!AU$2:AU$999,BY_TRA!$BJ$2:$BJ$999,Transport!$B52),0)</f>
        <v>0</v>
      </c>
      <c r="AN52" s="1">
        <f>IFERROR(SUMIFS(BY_TRA!AV$2:AV$999,BY_TRA!$BJ$2:$BJ$999,Transport!$B52,BY_TRA!$BK$2:$BK$999,Transport!$C52)/SUMIFS(BY_TRA!AV$2:AV$999,BY_TRA!$BJ$2:$BJ$999,Transport!$B52),0)</f>
        <v>0</v>
      </c>
      <c r="AO52" s="1">
        <f>IFERROR(SUMIFS(BY_TRA!AW$2:AW$999,BY_TRA!$BJ$2:$BJ$999,Transport!$B52,BY_TRA!$BK$2:$BK$999,Transport!$C52)/SUMIFS(BY_TRA!AW$2:AW$999,BY_TRA!$BJ$2:$BJ$999,Transport!$B52),0)</f>
        <v>0</v>
      </c>
      <c r="AP52" s="1">
        <f>IFERROR(SUMIFS(BY_TRA!AX$2:AX$999,BY_TRA!$BJ$2:$BJ$999,Transport!$B52,BY_TRA!$BK$2:$BK$999,Transport!$C52)/SUMIFS(BY_TRA!AX$2:AX$999,BY_TRA!$BJ$2:$BJ$999,Transport!$B52),0)</f>
        <v>0</v>
      </c>
      <c r="AQ52" s="1">
        <f>IFERROR(SUMIFS(BY_TRA!AY$2:AY$999,BY_TRA!$BJ$2:$BJ$999,Transport!$B52,BY_TRA!$BK$2:$BK$999,Transport!$C52)/SUMIFS(BY_TRA!AY$2:AY$999,BY_TRA!$BJ$2:$BJ$999,Transport!$B52),0)</f>
        <v>0</v>
      </c>
      <c r="AR52" s="1">
        <f>IFERROR(SUMIFS(BY_TRA!AZ$2:AZ$999,BY_TRA!$BJ$2:$BJ$999,Transport!$B52,BY_TRA!$BK$2:$BK$999,Transport!$C52)/SUMIFS(BY_TRA!AZ$2:AZ$999,BY_TRA!$BJ$2:$BJ$999,Transport!$B52),0)</f>
        <v>0</v>
      </c>
      <c r="AS52" s="1">
        <f>IFERROR(SUMIFS(BY_TRA!BA$2:BA$999,BY_TRA!$BJ$2:$BJ$999,Transport!$B52,BY_TRA!$BK$2:$BK$999,Transport!$C52)/SUMIFS(BY_TRA!BA$2:BA$999,BY_TRA!$BJ$2:$BJ$999,Transport!$B52),0)</f>
        <v>0</v>
      </c>
      <c r="AT52" s="1">
        <f>IFERROR(SUMIFS(BY_TRA!BB$2:BB$999,BY_TRA!$BJ$2:$BJ$999,Transport!$B52,BY_TRA!$BK$2:$BK$999,Transport!$C52)/SUMIFS(BY_TRA!BB$2:BB$999,BY_TRA!$BJ$2:$BJ$999,Transport!$B52),0)</f>
        <v>0</v>
      </c>
      <c r="AU52" s="1">
        <f>IFERROR(SUMIFS(BY_TRA!BC$2:BC$999,BY_TRA!$BJ$2:$BJ$999,Transport!$B52,BY_TRA!$BK$2:$BK$999,Transport!$C52)/SUMIFS(BY_TRA!BC$2:BC$999,BY_TRA!$BJ$2:$BJ$999,Transport!$B52),0)</f>
        <v>0</v>
      </c>
      <c r="AV52" s="1">
        <f>IFERROR(SUMIFS(BY_TRA!BD$2:BD$999,BY_TRA!$BJ$2:$BJ$999,Transport!$B52,BY_TRA!$BK$2:$BK$999,Transport!$C52)/SUMIFS(BY_TRA!BD$2:BD$999,BY_TRA!$BJ$2:$BJ$999,Transport!$B52),0)</f>
        <v>0</v>
      </c>
      <c r="AW52" s="1">
        <f>IFERROR(SUMIFS(BY_TRA!BE$2:BE$999,BY_TRA!$BJ$2:$BJ$999,Transport!$B52,BY_TRA!$BK$2:$BK$999,Transport!$C52)/SUMIFS(BY_TRA!BE$2:BE$999,BY_TRA!$BJ$2:$BJ$999,Transport!$B52),0)</f>
        <v>0</v>
      </c>
      <c r="AX52" s="1">
        <f>IFERROR(SUMIFS(BY_TRA!BF$2:BF$999,BY_TRA!$BJ$2:$BJ$999,Transport!$B52,BY_TRA!$BK$2:$BK$999,Transport!$C52)/SUMIFS(BY_TRA!BF$2:BF$999,BY_TRA!$BJ$2:$BJ$999,Transport!$B52),0)</f>
        <v>0</v>
      </c>
      <c r="AY52" s="1">
        <f>IFERROR(SUMIFS(BY_TRA!BG$2:BG$999,BY_TRA!$BJ$2:$BJ$999,Transport!$B52,BY_TRA!$BK$2:$BK$999,Transport!$C52)/SUMIFS(BY_TRA!BG$2:BG$999,BY_TRA!$BJ$2:$BJ$999,Transport!$B52),0)</f>
        <v>0</v>
      </c>
    </row>
    <row r="53" spans="2:51">
      <c r="B53" t="s">
        <v>132</v>
      </c>
      <c r="C53" s="2" t="s">
        <v>131</v>
      </c>
      <c r="D53" s="1">
        <f>IFERROR(SUMIFS(BY_TRA!L$2:L$999,BY_TRA!$BJ$2:$BJ$999,Transport!$B53,BY_TRA!$BK$2:$BK$999,Transport!$C53)/SUMIFS(BY_TRA!L$2:L$999,BY_TRA!$BJ$2:$BJ$999,Transport!$B53),0)</f>
        <v>0</v>
      </c>
      <c r="E53" s="1">
        <f>IFERROR(SUMIFS(BY_TRA!M$2:M$999,BY_TRA!$BJ$2:$BJ$999,Transport!$B53,BY_TRA!$BK$2:$BK$999,Transport!$C53)/SUMIFS(BY_TRA!M$2:M$999,BY_TRA!$BJ$2:$BJ$999,Transport!$B53),0)</f>
        <v>0</v>
      </c>
      <c r="F53" s="1">
        <f>IFERROR(SUMIFS(BY_TRA!N$2:N$999,BY_TRA!$BJ$2:$BJ$999,Transport!$B53,BY_TRA!$BK$2:$BK$999,Transport!$C53)/SUMIFS(BY_TRA!N$2:N$999,BY_TRA!$BJ$2:$BJ$999,Transport!$B53),0)</f>
        <v>0</v>
      </c>
      <c r="G53" s="1">
        <f>IFERROR(SUMIFS(BY_TRA!O$2:O$999,BY_TRA!$BJ$2:$BJ$999,Transport!$B53,BY_TRA!$BK$2:$BK$999,Transport!$C53)/SUMIFS(BY_TRA!O$2:O$999,BY_TRA!$BJ$2:$BJ$999,Transport!$B53),0)</f>
        <v>0</v>
      </c>
      <c r="H53" s="1">
        <f>IFERROR(SUMIFS(BY_TRA!P$2:P$999,BY_TRA!$BJ$2:$BJ$999,Transport!$B53,BY_TRA!$BK$2:$BK$999,Transport!$C53)/SUMIFS(BY_TRA!P$2:P$999,BY_TRA!$BJ$2:$BJ$999,Transport!$B53),0)</f>
        <v>0</v>
      </c>
      <c r="I53" s="1">
        <f>IFERROR(SUMIFS(BY_TRA!Q$2:Q$999,BY_TRA!$BJ$2:$BJ$999,Transport!$B53,BY_TRA!$BK$2:$BK$999,Transport!$C53)/SUMIFS(BY_TRA!Q$2:Q$999,BY_TRA!$BJ$2:$BJ$999,Transport!$B53),0)</f>
        <v>0</v>
      </c>
      <c r="J53" s="1">
        <f>IFERROR(SUMIFS(BY_TRA!R$2:R$999,BY_TRA!$BJ$2:$BJ$999,Transport!$B53,BY_TRA!$BK$2:$BK$999,Transport!$C53)/SUMIFS(BY_TRA!R$2:R$999,BY_TRA!$BJ$2:$BJ$999,Transport!$B53),0)</f>
        <v>0</v>
      </c>
      <c r="K53" s="1">
        <f>IFERROR(SUMIFS(BY_TRA!S$2:S$999,BY_TRA!$BJ$2:$BJ$999,Transport!$B53,BY_TRA!$BK$2:$BK$999,Transport!$C53)/SUMIFS(BY_TRA!S$2:S$999,BY_TRA!$BJ$2:$BJ$999,Transport!$B53),0)</f>
        <v>0</v>
      </c>
      <c r="L53" s="1">
        <f>IFERROR(SUMIFS(BY_TRA!T$2:T$999,BY_TRA!$BJ$2:$BJ$999,Transport!$B53,BY_TRA!$BK$2:$BK$999,Transport!$C53)/SUMIFS(BY_TRA!T$2:T$999,BY_TRA!$BJ$2:$BJ$999,Transport!$B53),0)</f>
        <v>0</v>
      </c>
      <c r="M53" s="1">
        <f>IFERROR(SUMIFS(BY_TRA!U$2:U$999,BY_TRA!$BJ$2:$BJ$999,Transport!$B53,BY_TRA!$BK$2:$BK$999,Transport!$C53)/SUMIFS(BY_TRA!U$2:U$999,BY_TRA!$BJ$2:$BJ$999,Transport!$B53),0)</f>
        <v>0</v>
      </c>
      <c r="N53" s="1">
        <f>IFERROR(SUMIFS(BY_TRA!V$2:V$999,BY_TRA!$BJ$2:$BJ$999,Transport!$B53,BY_TRA!$BK$2:$BK$999,Transport!$C53)/SUMIFS(BY_TRA!V$2:V$999,BY_TRA!$BJ$2:$BJ$999,Transport!$B53),0)</f>
        <v>0</v>
      </c>
      <c r="O53" s="1">
        <f>IFERROR(SUMIFS(BY_TRA!W$2:W$999,BY_TRA!$BJ$2:$BJ$999,Transport!$B53,BY_TRA!$BK$2:$BK$999,Transport!$C53)/SUMIFS(BY_TRA!W$2:W$999,BY_TRA!$BJ$2:$BJ$999,Transport!$B53),0)</f>
        <v>0</v>
      </c>
      <c r="P53" s="1">
        <f>IFERROR(SUMIFS(BY_TRA!X$2:X$999,BY_TRA!$BJ$2:$BJ$999,Transport!$B53,BY_TRA!$BK$2:$BK$999,Transport!$C53)/SUMIFS(BY_TRA!X$2:X$999,BY_TRA!$BJ$2:$BJ$999,Transport!$B53),0)</f>
        <v>0</v>
      </c>
      <c r="Q53" s="1">
        <f>IFERROR(SUMIFS(BY_TRA!Y$2:Y$999,BY_TRA!$BJ$2:$BJ$999,Transport!$B53,BY_TRA!$BK$2:$BK$999,Transport!$C53)/SUMIFS(BY_TRA!Y$2:Y$999,BY_TRA!$BJ$2:$BJ$999,Transport!$B53),0)</f>
        <v>0</v>
      </c>
      <c r="R53" s="1">
        <f>IFERROR(SUMIFS(BY_TRA!Z$2:Z$999,BY_TRA!$BJ$2:$BJ$999,Transport!$B53,BY_TRA!$BK$2:$BK$999,Transport!$C53)/SUMIFS(BY_TRA!Z$2:Z$999,BY_TRA!$BJ$2:$BJ$999,Transport!$B53),0)</f>
        <v>0</v>
      </c>
      <c r="S53" s="1">
        <f>IFERROR(SUMIFS(BY_TRA!AA$2:AA$999,BY_TRA!$BJ$2:$BJ$999,Transport!$B53,BY_TRA!$BK$2:$BK$999,Transport!$C53)/SUMIFS(BY_TRA!AA$2:AA$999,BY_TRA!$BJ$2:$BJ$999,Transport!$B53),0)</f>
        <v>0</v>
      </c>
      <c r="T53" s="1">
        <f>IFERROR(SUMIFS(BY_TRA!AB$2:AB$999,BY_TRA!$BJ$2:$BJ$999,Transport!$B53,BY_TRA!$BK$2:$BK$999,Transport!$C53)/SUMIFS(BY_TRA!AB$2:AB$999,BY_TRA!$BJ$2:$BJ$999,Transport!$B53),0)</f>
        <v>0</v>
      </c>
      <c r="U53" s="1">
        <f>IFERROR(SUMIFS(BY_TRA!AC$2:AC$999,BY_TRA!$BJ$2:$BJ$999,Transport!$B53,BY_TRA!$BK$2:$BK$999,Transport!$C53)/SUMIFS(BY_TRA!AC$2:AC$999,BY_TRA!$BJ$2:$BJ$999,Transport!$B53),0)</f>
        <v>0</v>
      </c>
      <c r="V53" s="1">
        <f>IFERROR(SUMIFS(BY_TRA!AD$2:AD$999,BY_TRA!$BJ$2:$BJ$999,Transport!$B53,BY_TRA!$BK$2:$BK$999,Transport!$C53)/SUMIFS(BY_TRA!AD$2:AD$999,BY_TRA!$BJ$2:$BJ$999,Transport!$B53),0)</f>
        <v>0</v>
      </c>
      <c r="W53" s="1">
        <f>IFERROR(SUMIFS(BY_TRA!AE$2:AE$999,BY_TRA!$BJ$2:$BJ$999,Transport!$B53,BY_TRA!$BK$2:$BK$999,Transport!$C53)/SUMIFS(BY_TRA!AE$2:AE$999,BY_TRA!$BJ$2:$BJ$999,Transport!$B53),0)</f>
        <v>0</v>
      </c>
      <c r="X53" s="1">
        <f>IFERROR(SUMIFS(BY_TRA!AF$2:AF$999,BY_TRA!$BJ$2:$BJ$999,Transport!$B53,BY_TRA!$BK$2:$BK$999,Transport!$C53)/SUMIFS(BY_TRA!AF$2:AF$999,BY_TRA!$BJ$2:$BJ$999,Transport!$B53),0)</f>
        <v>0</v>
      </c>
      <c r="Y53" s="1">
        <f>IFERROR(SUMIFS(BY_TRA!AG$2:AG$999,BY_TRA!$BJ$2:$BJ$999,Transport!$B53,BY_TRA!$BK$2:$BK$999,Transport!$C53)/SUMIFS(BY_TRA!AG$2:AG$999,BY_TRA!$BJ$2:$BJ$999,Transport!$B53),0)</f>
        <v>0</v>
      </c>
      <c r="Z53" s="1">
        <f>IFERROR(SUMIFS(BY_TRA!AH$2:AH$999,BY_TRA!$BJ$2:$BJ$999,Transport!$B53,BY_TRA!$BK$2:$BK$999,Transport!$C53)/SUMIFS(BY_TRA!AH$2:AH$999,BY_TRA!$BJ$2:$BJ$999,Transport!$B53),0)</f>
        <v>0</v>
      </c>
      <c r="AA53" s="1">
        <f>IFERROR(SUMIFS(BY_TRA!AI$2:AI$999,BY_TRA!$BJ$2:$BJ$999,Transport!$B53,BY_TRA!$BK$2:$BK$999,Transport!$C53)/SUMIFS(BY_TRA!AI$2:AI$999,BY_TRA!$BJ$2:$BJ$999,Transport!$B53),0)</f>
        <v>0</v>
      </c>
      <c r="AB53" s="1">
        <f>IFERROR(SUMIFS(BY_TRA!AJ$2:AJ$999,BY_TRA!$BJ$2:$BJ$999,Transport!$B53,BY_TRA!$BK$2:$BK$999,Transport!$C53)/SUMIFS(BY_TRA!AJ$2:AJ$999,BY_TRA!$BJ$2:$BJ$999,Transport!$B53),0)</f>
        <v>0</v>
      </c>
      <c r="AC53" s="1">
        <f>IFERROR(SUMIFS(BY_TRA!AK$2:AK$999,BY_TRA!$BJ$2:$BJ$999,Transport!$B53,BY_TRA!$BK$2:$BK$999,Transport!$C53)/SUMIFS(BY_TRA!AK$2:AK$999,BY_TRA!$BJ$2:$BJ$999,Transport!$B53),0)</f>
        <v>0</v>
      </c>
      <c r="AD53" s="1">
        <f>IFERROR(SUMIFS(BY_TRA!AL$2:AL$999,BY_TRA!$BJ$2:$BJ$999,Transport!$B53,BY_TRA!$BK$2:$BK$999,Transport!$C53)/SUMIFS(BY_TRA!AL$2:AL$999,BY_TRA!$BJ$2:$BJ$999,Transport!$B53),0)</f>
        <v>0</v>
      </c>
      <c r="AE53" s="1">
        <f>IFERROR(SUMIFS(BY_TRA!AM$2:AM$999,BY_TRA!$BJ$2:$BJ$999,Transport!$B53,BY_TRA!$BK$2:$BK$999,Transport!$C53)/SUMIFS(BY_TRA!AM$2:AM$999,BY_TRA!$BJ$2:$BJ$999,Transport!$B53),0)</f>
        <v>0</v>
      </c>
      <c r="AF53" s="1">
        <f>IFERROR(SUMIFS(BY_TRA!AN$2:AN$999,BY_TRA!$BJ$2:$BJ$999,Transport!$B53,BY_TRA!$BK$2:$BK$999,Transport!$C53)/SUMIFS(BY_TRA!AN$2:AN$999,BY_TRA!$BJ$2:$BJ$999,Transport!$B53),0)</f>
        <v>0</v>
      </c>
      <c r="AG53" s="1">
        <f>IFERROR(SUMIFS(BY_TRA!AO$2:AO$999,BY_TRA!$BJ$2:$BJ$999,Transport!$B53,BY_TRA!$BK$2:$BK$999,Transport!$C53)/SUMIFS(BY_TRA!AO$2:AO$999,BY_TRA!$BJ$2:$BJ$999,Transport!$B53),0)</f>
        <v>0</v>
      </c>
      <c r="AH53" s="1">
        <f>IFERROR(SUMIFS(BY_TRA!AP$2:AP$999,BY_TRA!$BJ$2:$BJ$999,Transport!$B53,BY_TRA!$BK$2:$BK$999,Transport!$C53)/SUMIFS(BY_TRA!AP$2:AP$999,BY_TRA!$BJ$2:$BJ$999,Transport!$B53),0)</f>
        <v>0</v>
      </c>
      <c r="AI53" s="1">
        <f>IFERROR(SUMIFS(BY_TRA!AQ$2:AQ$999,BY_TRA!$BJ$2:$BJ$999,Transport!$B53,BY_TRA!$BK$2:$BK$999,Transport!$C53)/SUMIFS(BY_TRA!AQ$2:AQ$999,BY_TRA!$BJ$2:$BJ$999,Transport!$B53),0)</f>
        <v>0</v>
      </c>
      <c r="AJ53" s="1">
        <f>IFERROR(SUMIFS(BY_TRA!AR$2:AR$999,BY_TRA!$BJ$2:$BJ$999,Transport!$B53,BY_TRA!$BK$2:$BK$999,Transport!$C53)/SUMIFS(BY_TRA!AR$2:AR$999,BY_TRA!$BJ$2:$BJ$999,Transport!$B53),0)</f>
        <v>0</v>
      </c>
      <c r="AK53" s="1">
        <f>IFERROR(SUMIFS(BY_TRA!AS$2:AS$999,BY_TRA!$BJ$2:$BJ$999,Transport!$B53,BY_TRA!$BK$2:$BK$999,Transport!$C53)/SUMIFS(BY_TRA!AS$2:AS$999,BY_TRA!$BJ$2:$BJ$999,Transport!$B53),0)</f>
        <v>0</v>
      </c>
      <c r="AL53" s="1">
        <f>IFERROR(SUMIFS(BY_TRA!AT$2:AT$999,BY_TRA!$BJ$2:$BJ$999,Transport!$B53,BY_TRA!$BK$2:$BK$999,Transport!$C53)/SUMIFS(BY_TRA!AT$2:AT$999,BY_TRA!$BJ$2:$BJ$999,Transport!$B53),0)</f>
        <v>0</v>
      </c>
      <c r="AM53" s="1">
        <f>IFERROR(SUMIFS(BY_TRA!AU$2:AU$999,BY_TRA!$BJ$2:$BJ$999,Transport!$B53,BY_TRA!$BK$2:$BK$999,Transport!$C53)/SUMIFS(BY_TRA!AU$2:AU$999,BY_TRA!$BJ$2:$BJ$999,Transport!$B53),0)</f>
        <v>0</v>
      </c>
      <c r="AN53" s="1">
        <f>IFERROR(SUMIFS(BY_TRA!AV$2:AV$999,BY_TRA!$BJ$2:$BJ$999,Transport!$B53,BY_TRA!$BK$2:$BK$999,Transport!$C53)/SUMIFS(BY_TRA!AV$2:AV$999,BY_TRA!$BJ$2:$BJ$999,Transport!$B53),0)</f>
        <v>0</v>
      </c>
      <c r="AO53" s="1">
        <f>IFERROR(SUMIFS(BY_TRA!AW$2:AW$999,BY_TRA!$BJ$2:$BJ$999,Transport!$B53,BY_TRA!$BK$2:$BK$999,Transport!$C53)/SUMIFS(BY_TRA!AW$2:AW$999,BY_TRA!$BJ$2:$BJ$999,Transport!$B53),0)</f>
        <v>0</v>
      </c>
      <c r="AP53" s="1">
        <f>IFERROR(SUMIFS(BY_TRA!AX$2:AX$999,BY_TRA!$BJ$2:$BJ$999,Transport!$B53,BY_TRA!$BK$2:$BK$999,Transport!$C53)/SUMIFS(BY_TRA!AX$2:AX$999,BY_TRA!$BJ$2:$BJ$999,Transport!$B53),0)</f>
        <v>0</v>
      </c>
      <c r="AQ53" s="1">
        <f>IFERROR(SUMIFS(BY_TRA!AY$2:AY$999,BY_TRA!$BJ$2:$BJ$999,Transport!$B53,BY_TRA!$BK$2:$BK$999,Transport!$C53)/SUMIFS(BY_TRA!AY$2:AY$999,BY_TRA!$BJ$2:$BJ$999,Transport!$B53),0)</f>
        <v>0</v>
      </c>
      <c r="AR53" s="1">
        <f>IFERROR(SUMIFS(BY_TRA!AZ$2:AZ$999,BY_TRA!$BJ$2:$BJ$999,Transport!$B53,BY_TRA!$BK$2:$BK$999,Transport!$C53)/SUMIFS(BY_TRA!AZ$2:AZ$999,BY_TRA!$BJ$2:$BJ$999,Transport!$B53),0)</f>
        <v>0</v>
      </c>
      <c r="AS53" s="1">
        <f>IFERROR(SUMIFS(BY_TRA!BA$2:BA$999,BY_TRA!$BJ$2:$BJ$999,Transport!$B53,BY_TRA!$BK$2:$BK$999,Transport!$C53)/SUMIFS(BY_TRA!BA$2:BA$999,BY_TRA!$BJ$2:$BJ$999,Transport!$B53),0)</f>
        <v>0</v>
      </c>
      <c r="AT53" s="1">
        <f>IFERROR(SUMIFS(BY_TRA!BB$2:BB$999,BY_TRA!$BJ$2:$BJ$999,Transport!$B53,BY_TRA!$BK$2:$BK$999,Transport!$C53)/SUMIFS(BY_TRA!BB$2:BB$999,BY_TRA!$BJ$2:$BJ$999,Transport!$B53),0)</f>
        <v>0</v>
      </c>
      <c r="AU53" s="1">
        <f>IFERROR(SUMIFS(BY_TRA!BC$2:BC$999,BY_TRA!$BJ$2:$BJ$999,Transport!$B53,BY_TRA!$BK$2:$BK$999,Transport!$C53)/SUMIFS(BY_TRA!BC$2:BC$999,BY_TRA!$BJ$2:$BJ$999,Transport!$B53),0)</f>
        <v>0</v>
      </c>
      <c r="AV53" s="1">
        <f>IFERROR(SUMIFS(BY_TRA!BD$2:BD$999,BY_TRA!$BJ$2:$BJ$999,Transport!$B53,BY_TRA!$BK$2:$BK$999,Transport!$C53)/SUMIFS(BY_TRA!BD$2:BD$999,BY_TRA!$BJ$2:$BJ$999,Transport!$B53),0)</f>
        <v>0</v>
      </c>
      <c r="AW53" s="1">
        <f>IFERROR(SUMIFS(BY_TRA!BE$2:BE$999,BY_TRA!$BJ$2:$BJ$999,Transport!$B53,BY_TRA!$BK$2:$BK$999,Transport!$C53)/SUMIFS(BY_TRA!BE$2:BE$999,BY_TRA!$BJ$2:$BJ$999,Transport!$B53),0)</f>
        <v>0</v>
      </c>
      <c r="AX53" s="1">
        <f>IFERROR(SUMIFS(BY_TRA!BF$2:BF$999,BY_TRA!$BJ$2:$BJ$999,Transport!$B53,BY_TRA!$BK$2:$BK$999,Transport!$C53)/SUMIFS(BY_TRA!BF$2:BF$999,BY_TRA!$BJ$2:$BJ$999,Transport!$B53),0)</f>
        <v>0</v>
      </c>
      <c r="AY53" s="1">
        <f>IFERROR(SUMIFS(BY_TRA!BG$2:BG$999,BY_TRA!$BJ$2:$BJ$999,Transport!$B53,BY_TRA!$BK$2:$BK$999,Transport!$C53)/SUMIFS(BY_TRA!BG$2:BG$999,BY_TRA!$BJ$2:$BJ$999,Transport!$B53),0)</f>
        <v>0</v>
      </c>
    </row>
    <row r="54" spans="2:51">
      <c r="B54" t="s">
        <v>133</v>
      </c>
      <c r="C54" t="s">
        <v>126</v>
      </c>
      <c r="D54" s="1">
        <f>IFERROR(SUMIFS(BY_TRA!L$2:L$999,BY_TRA!$BJ$2:$BJ$999,Transport!$B54,BY_TRA!$BK$2:$BK$999,Transport!$C54)/SUMIFS(BY_TRA!L$2:L$999,BY_TRA!$BJ$2:$BJ$999,Transport!$B54),0)</f>
        <v>0</v>
      </c>
      <c r="E54" s="1">
        <f>IFERROR(SUMIFS(BY_TRA!M$2:M$999,BY_TRA!$BJ$2:$BJ$999,Transport!$B54,BY_TRA!$BK$2:$BK$999,Transport!$C54)/SUMIFS(BY_TRA!M$2:M$999,BY_TRA!$BJ$2:$BJ$999,Transport!$B54),0)</f>
        <v>0</v>
      </c>
      <c r="F54" s="1">
        <f>IFERROR(SUMIFS(BY_TRA!N$2:N$999,BY_TRA!$BJ$2:$BJ$999,Transport!$B54,BY_TRA!$BK$2:$BK$999,Transport!$C54)/SUMIFS(BY_TRA!N$2:N$999,BY_TRA!$BJ$2:$BJ$999,Transport!$B54),0)</f>
        <v>0</v>
      </c>
      <c r="G54" s="1">
        <f>IFERROR(SUMIFS(BY_TRA!O$2:O$999,BY_TRA!$BJ$2:$BJ$999,Transport!$B54,BY_TRA!$BK$2:$BK$999,Transport!$C54)/SUMIFS(BY_TRA!O$2:O$999,BY_TRA!$BJ$2:$BJ$999,Transport!$B54),0)</f>
        <v>0</v>
      </c>
      <c r="H54" s="1">
        <f>IFERROR(SUMIFS(BY_TRA!P$2:P$999,BY_TRA!$BJ$2:$BJ$999,Transport!$B54,BY_TRA!$BK$2:$BK$999,Transport!$C54)/SUMIFS(BY_TRA!P$2:P$999,BY_TRA!$BJ$2:$BJ$999,Transport!$B54),0)</f>
        <v>0</v>
      </c>
      <c r="I54" s="1">
        <f>IFERROR(SUMIFS(BY_TRA!Q$2:Q$999,BY_TRA!$BJ$2:$BJ$999,Transport!$B54,BY_TRA!$BK$2:$BK$999,Transport!$C54)/SUMIFS(BY_TRA!Q$2:Q$999,BY_TRA!$BJ$2:$BJ$999,Transport!$B54),0)</f>
        <v>0</v>
      </c>
      <c r="J54" s="1">
        <f>IFERROR(SUMIFS(BY_TRA!R$2:R$999,BY_TRA!$BJ$2:$BJ$999,Transport!$B54,BY_TRA!$BK$2:$BK$999,Transport!$C54)/SUMIFS(BY_TRA!R$2:R$999,BY_TRA!$BJ$2:$BJ$999,Transport!$B54),0)</f>
        <v>0</v>
      </c>
      <c r="K54" s="1">
        <f>IFERROR(SUMIFS(BY_TRA!S$2:S$999,BY_TRA!$BJ$2:$BJ$999,Transport!$B54,BY_TRA!$BK$2:$BK$999,Transport!$C54)/SUMIFS(BY_TRA!S$2:S$999,BY_TRA!$BJ$2:$BJ$999,Transport!$B54),0)</f>
        <v>0</v>
      </c>
      <c r="L54" s="1">
        <f>IFERROR(SUMIFS(BY_TRA!T$2:T$999,BY_TRA!$BJ$2:$BJ$999,Transport!$B54,BY_TRA!$BK$2:$BK$999,Transport!$C54)/SUMIFS(BY_TRA!T$2:T$999,BY_TRA!$BJ$2:$BJ$999,Transport!$B54),0)</f>
        <v>0</v>
      </c>
      <c r="M54" s="1">
        <f>IFERROR(SUMIFS(BY_TRA!U$2:U$999,BY_TRA!$BJ$2:$BJ$999,Transport!$B54,BY_TRA!$BK$2:$BK$999,Transport!$C54)/SUMIFS(BY_TRA!U$2:U$999,BY_TRA!$BJ$2:$BJ$999,Transport!$B54),0)</f>
        <v>0</v>
      </c>
      <c r="N54" s="1">
        <f>IFERROR(SUMIFS(BY_TRA!V$2:V$999,BY_TRA!$BJ$2:$BJ$999,Transport!$B54,BY_TRA!$BK$2:$BK$999,Transport!$C54)/SUMIFS(BY_TRA!V$2:V$999,BY_TRA!$BJ$2:$BJ$999,Transport!$B54),0)</f>
        <v>0</v>
      </c>
      <c r="O54" s="1">
        <f>IFERROR(SUMIFS(BY_TRA!W$2:W$999,BY_TRA!$BJ$2:$BJ$999,Transport!$B54,BY_TRA!$BK$2:$BK$999,Transport!$C54)/SUMIFS(BY_TRA!W$2:W$999,BY_TRA!$BJ$2:$BJ$999,Transport!$B54),0)</f>
        <v>0</v>
      </c>
      <c r="P54" s="1">
        <f>IFERROR(SUMIFS(BY_TRA!X$2:X$999,BY_TRA!$BJ$2:$BJ$999,Transport!$B54,BY_TRA!$BK$2:$BK$999,Transport!$C54)/SUMIFS(BY_TRA!X$2:X$999,BY_TRA!$BJ$2:$BJ$999,Transport!$B54),0)</f>
        <v>0</v>
      </c>
      <c r="Q54" s="1">
        <f>IFERROR(SUMIFS(BY_TRA!Y$2:Y$999,BY_TRA!$BJ$2:$BJ$999,Transport!$B54,BY_TRA!$BK$2:$BK$999,Transport!$C54)/SUMIFS(BY_TRA!Y$2:Y$999,BY_TRA!$BJ$2:$BJ$999,Transport!$B54),0)</f>
        <v>0</v>
      </c>
      <c r="R54" s="1">
        <f>IFERROR(SUMIFS(BY_TRA!Z$2:Z$999,BY_TRA!$BJ$2:$BJ$999,Transport!$B54,BY_TRA!$BK$2:$BK$999,Transport!$C54)/SUMIFS(BY_TRA!Z$2:Z$999,BY_TRA!$BJ$2:$BJ$999,Transport!$B54),0)</f>
        <v>0</v>
      </c>
      <c r="S54" s="1">
        <f>IFERROR(SUMIFS(BY_TRA!AA$2:AA$999,BY_TRA!$BJ$2:$BJ$999,Transport!$B54,BY_TRA!$BK$2:$BK$999,Transport!$C54)/SUMIFS(BY_TRA!AA$2:AA$999,BY_TRA!$BJ$2:$BJ$999,Transport!$B54),0)</f>
        <v>0</v>
      </c>
      <c r="T54" s="1">
        <f>IFERROR(SUMIFS(BY_TRA!AB$2:AB$999,BY_TRA!$BJ$2:$BJ$999,Transport!$B54,BY_TRA!$BK$2:$BK$999,Transport!$C54)/SUMIFS(BY_TRA!AB$2:AB$999,BY_TRA!$BJ$2:$BJ$999,Transport!$B54),0)</f>
        <v>0</v>
      </c>
      <c r="U54" s="1">
        <f>IFERROR(SUMIFS(BY_TRA!AC$2:AC$999,BY_TRA!$BJ$2:$BJ$999,Transport!$B54,BY_TRA!$BK$2:$BK$999,Transport!$C54)/SUMIFS(BY_TRA!AC$2:AC$999,BY_TRA!$BJ$2:$BJ$999,Transport!$B54),0)</f>
        <v>0</v>
      </c>
      <c r="V54" s="1">
        <f>IFERROR(SUMIFS(BY_TRA!AD$2:AD$999,BY_TRA!$BJ$2:$BJ$999,Transport!$B54,BY_TRA!$BK$2:$BK$999,Transport!$C54)/SUMIFS(BY_TRA!AD$2:AD$999,BY_TRA!$BJ$2:$BJ$999,Transport!$B54),0)</f>
        <v>0</v>
      </c>
      <c r="W54" s="1">
        <f>IFERROR(SUMIFS(BY_TRA!AE$2:AE$999,BY_TRA!$BJ$2:$BJ$999,Transport!$B54,BY_TRA!$BK$2:$BK$999,Transport!$C54)/SUMIFS(BY_TRA!AE$2:AE$999,BY_TRA!$BJ$2:$BJ$999,Transport!$B54),0)</f>
        <v>0</v>
      </c>
      <c r="X54" s="1">
        <f>IFERROR(SUMIFS(BY_TRA!AF$2:AF$999,BY_TRA!$BJ$2:$BJ$999,Transport!$B54,BY_TRA!$BK$2:$BK$999,Transport!$C54)/SUMIFS(BY_TRA!AF$2:AF$999,BY_TRA!$BJ$2:$BJ$999,Transport!$B54),0)</f>
        <v>0</v>
      </c>
      <c r="Y54" s="1">
        <f>IFERROR(SUMIFS(BY_TRA!AG$2:AG$999,BY_TRA!$BJ$2:$BJ$999,Transport!$B54,BY_TRA!$BK$2:$BK$999,Transport!$C54)/SUMIFS(BY_TRA!AG$2:AG$999,BY_TRA!$BJ$2:$BJ$999,Transport!$B54),0)</f>
        <v>0</v>
      </c>
      <c r="Z54" s="1">
        <f>IFERROR(SUMIFS(BY_TRA!AH$2:AH$999,BY_TRA!$BJ$2:$BJ$999,Transport!$B54,BY_TRA!$BK$2:$BK$999,Transport!$C54)/SUMIFS(BY_TRA!AH$2:AH$999,BY_TRA!$BJ$2:$BJ$999,Transport!$B54),0)</f>
        <v>0</v>
      </c>
      <c r="AA54" s="1">
        <f>IFERROR(SUMIFS(BY_TRA!AI$2:AI$999,BY_TRA!$BJ$2:$BJ$999,Transport!$B54,BY_TRA!$BK$2:$BK$999,Transport!$C54)/SUMIFS(BY_TRA!AI$2:AI$999,BY_TRA!$BJ$2:$BJ$999,Transport!$B54),0)</f>
        <v>0</v>
      </c>
      <c r="AB54" s="1">
        <f>IFERROR(SUMIFS(BY_TRA!AJ$2:AJ$999,BY_TRA!$BJ$2:$BJ$999,Transport!$B54,BY_TRA!$BK$2:$BK$999,Transport!$C54)/SUMIFS(BY_TRA!AJ$2:AJ$999,BY_TRA!$BJ$2:$BJ$999,Transport!$B54),0)</f>
        <v>0</v>
      </c>
      <c r="AC54" s="1">
        <f>IFERROR(SUMIFS(BY_TRA!AK$2:AK$999,BY_TRA!$BJ$2:$BJ$999,Transport!$B54,BY_TRA!$BK$2:$BK$999,Transport!$C54)/SUMIFS(BY_TRA!AK$2:AK$999,BY_TRA!$BJ$2:$BJ$999,Transport!$B54),0)</f>
        <v>0</v>
      </c>
      <c r="AD54" s="1">
        <f>IFERROR(SUMIFS(BY_TRA!AL$2:AL$999,BY_TRA!$BJ$2:$BJ$999,Transport!$B54,BY_TRA!$BK$2:$BK$999,Transport!$C54)/SUMIFS(BY_TRA!AL$2:AL$999,BY_TRA!$BJ$2:$BJ$999,Transport!$B54),0)</f>
        <v>0</v>
      </c>
      <c r="AE54" s="1">
        <f>IFERROR(SUMIFS(BY_TRA!AM$2:AM$999,BY_TRA!$BJ$2:$BJ$999,Transport!$B54,BY_TRA!$BK$2:$BK$999,Transport!$C54)/SUMIFS(BY_TRA!AM$2:AM$999,BY_TRA!$BJ$2:$BJ$999,Transport!$B54),0)</f>
        <v>0</v>
      </c>
      <c r="AF54" s="1">
        <f>IFERROR(SUMIFS(BY_TRA!AN$2:AN$999,BY_TRA!$BJ$2:$BJ$999,Transport!$B54,BY_TRA!$BK$2:$BK$999,Transport!$C54)/SUMIFS(BY_TRA!AN$2:AN$999,BY_TRA!$BJ$2:$BJ$999,Transport!$B54),0)</f>
        <v>0</v>
      </c>
      <c r="AG54" s="1">
        <f>IFERROR(SUMIFS(BY_TRA!AO$2:AO$999,BY_TRA!$BJ$2:$BJ$999,Transport!$B54,BY_TRA!$BK$2:$BK$999,Transport!$C54)/SUMIFS(BY_TRA!AO$2:AO$999,BY_TRA!$BJ$2:$BJ$999,Transport!$B54),0)</f>
        <v>0</v>
      </c>
      <c r="AH54" s="1">
        <f>IFERROR(SUMIFS(BY_TRA!AP$2:AP$999,BY_TRA!$BJ$2:$BJ$999,Transport!$B54,BY_TRA!$BK$2:$BK$999,Transport!$C54)/SUMIFS(BY_TRA!AP$2:AP$999,BY_TRA!$BJ$2:$BJ$999,Transport!$B54),0)</f>
        <v>0</v>
      </c>
      <c r="AI54" s="1">
        <f>IFERROR(SUMIFS(BY_TRA!AQ$2:AQ$999,BY_TRA!$BJ$2:$BJ$999,Transport!$B54,BY_TRA!$BK$2:$BK$999,Transport!$C54)/SUMIFS(BY_TRA!AQ$2:AQ$999,BY_TRA!$BJ$2:$BJ$999,Transport!$B54),0)</f>
        <v>0</v>
      </c>
      <c r="AJ54" s="1">
        <f>IFERROR(SUMIFS(BY_TRA!AR$2:AR$999,BY_TRA!$BJ$2:$BJ$999,Transport!$B54,BY_TRA!$BK$2:$BK$999,Transport!$C54)/SUMIFS(BY_TRA!AR$2:AR$999,BY_TRA!$BJ$2:$BJ$999,Transport!$B54),0)</f>
        <v>0</v>
      </c>
      <c r="AK54" s="1">
        <f>IFERROR(SUMIFS(BY_TRA!AS$2:AS$999,BY_TRA!$BJ$2:$BJ$999,Transport!$B54,BY_TRA!$BK$2:$BK$999,Transport!$C54)/SUMIFS(BY_TRA!AS$2:AS$999,BY_TRA!$BJ$2:$BJ$999,Transport!$B54),0)</f>
        <v>0</v>
      </c>
      <c r="AL54" s="1">
        <f>IFERROR(SUMIFS(BY_TRA!AT$2:AT$999,BY_TRA!$BJ$2:$BJ$999,Transport!$B54,BY_TRA!$BK$2:$BK$999,Transport!$C54)/SUMIFS(BY_TRA!AT$2:AT$999,BY_TRA!$BJ$2:$BJ$999,Transport!$B54),0)</f>
        <v>0</v>
      </c>
      <c r="AM54" s="1">
        <f>IFERROR(SUMIFS(BY_TRA!AU$2:AU$999,BY_TRA!$BJ$2:$BJ$999,Transport!$B54,BY_TRA!$BK$2:$BK$999,Transport!$C54)/SUMIFS(BY_TRA!AU$2:AU$999,BY_TRA!$BJ$2:$BJ$999,Transport!$B54),0)</f>
        <v>0</v>
      </c>
      <c r="AN54" s="1">
        <f>IFERROR(SUMIFS(BY_TRA!AV$2:AV$999,BY_TRA!$BJ$2:$BJ$999,Transport!$B54,BY_TRA!$BK$2:$BK$999,Transport!$C54)/SUMIFS(BY_TRA!AV$2:AV$999,BY_TRA!$BJ$2:$BJ$999,Transport!$B54),0)</f>
        <v>0</v>
      </c>
      <c r="AO54" s="1">
        <f>IFERROR(SUMIFS(BY_TRA!AW$2:AW$999,BY_TRA!$BJ$2:$BJ$999,Transport!$B54,BY_TRA!$BK$2:$BK$999,Transport!$C54)/SUMIFS(BY_TRA!AW$2:AW$999,BY_TRA!$BJ$2:$BJ$999,Transport!$B54),0)</f>
        <v>0</v>
      </c>
      <c r="AP54" s="1">
        <f>IFERROR(SUMIFS(BY_TRA!AX$2:AX$999,BY_TRA!$BJ$2:$BJ$999,Transport!$B54,BY_TRA!$BK$2:$BK$999,Transport!$C54)/SUMIFS(BY_TRA!AX$2:AX$999,BY_TRA!$BJ$2:$BJ$999,Transport!$B54),0)</f>
        <v>0</v>
      </c>
      <c r="AQ54" s="1">
        <f>IFERROR(SUMIFS(BY_TRA!AY$2:AY$999,BY_TRA!$BJ$2:$BJ$999,Transport!$B54,BY_TRA!$BK$2:$BK$999,Transport!$C54)/SUMIFS(BY_TRA!AY$2:AY$999,BY_TRA!$BJ$2:$BJ$999,Transport!$B54),0)</f>
        <v>0</v>
      </c>
      <c r="AR54" s="1">
        <f>IFERROR(SUMIFS(BY_TRA!AZ$2:AZ$999,BY_TRA!$BJ$2:$BJ$999,Transport!$B54,BY_TRA!$BK$2:$BK$999,Transport!$C54)/SUMIFS(BY_TRA!AZ$2:AZ$999,BY_TRA!$BJ$2:$BJ$999,Transport!$B54),0)</f>
        <v>0</v>
      </c>
      <c r="AS54" s="1">
        <f>IFERROR(SUMIFS(BY_TRA!BA$2:BA$999,BY_TRA!$BJ$2:$BJ$999,Transport!$B54,BY_TRA!$BK$2:$BK$999,Transport!$C54)/SUMIFS(BY_TRA!BA$2:BA$999,BY_TRA!$BJ$2:$BJ$999,Transport!$B54),0)</f>
        <v>0</v>
      </c>
      <c r="AT54" s="1">
        <f>IFERROR(SUMIFS(BY_TRA!BB$2:BB$999,BY_TRA!$BJ$2:$BJ$999,Transport!$B54,BY_TRA!$BK$2:$BK$999,Transport!$C54)/SUMIFS(BY_TRA!BB$2:BB$999,BY_TRA!$BJ$2:$BJ$999,Transport!$B54),0)</f>
        <v>0</v>
      </c>
      <c r="AU54" s="1">
        <f>IFERROR(SUMIFS(BY_TRA!BC$2:BC$999,BY_TRA!$BJ$2:$BJ$999,Transport!$B54,BY_TRA!$BK$2:$BK$999,Transport!$C54)/SUMIFS(BY_TRA!BC$2:BC$999,BY_TRA!$BJ$2:$BJ$999,Transport!$B54),0)</f>
        <v>0</v>
      </c>
      <c r="AV54" s="1">
        <f>IFERROR(SUMIFS(BY_TRA!BD$2:BD$999,BY_TRA!$BJ$2:$BJ$999,Transport!$B54,BY_TRA!$BK$2:$BK$999,Transport!$C54)/SUMIFS(BY_TRA!BD$2:BD$999,BY_TRA!$BJ$2:$BJ$999,Transport!$B54),0)</f>
        <v>0</v>
      </c>
      <c r="AW54" s="1">
        <f>IFERROR(SUMIFS(BY_TRA!BE$2:BE$999,BY_TRA!$BJ$2:$BJ$999,Transport!$B54,BY_TRA!$BK$2:$BK$999,Transport!$C54)/SUMIFS(BY_TRA!BE$2:BE$999,BY_TRA!$BJ$2:$BJ$999,Transport!$B54),0)</f>
        <v>0</v>
      </c>
      <c r="AX54" s="1">
        <f>IFERROR(SUMIFS(BY_TRA!BF$2:BF$999,BY_TRA!$BJ$2:$BJ$999,Transport!$B54,BY_TRA!$BK$2:$BK$999,Transport!$C54)/SUMIFS(BY_TRA!BF$2:BF$999,BY_TRA!$BJ$2:$BJ$999,Transport!$B54),0)</f>
        <v>0</v>
      </c>
      <c r="AY54" s="1">
        <f>IFERROR(SUMIFS(BY_TRA!BG$2:BG$999,BY_TRA!$BJ$2:$BJ$999,Transport!$B54,BY_TRA!$BK$2:$BK$999,Transport!$C54)/SUMIFS(BY_TRA!BG$2:BG$999,BY_TRA!$BJ$2:$BJ$999,Transport!$B54),0)</f>
        <v>0</v>
      </c>
    </row>
    <row r="55" spans="2:51">
      <c r="B55" t="s">
        <v>133</v>
      </c>
      <c r="C55" t="s">
        <v>127</v>
      </c>
      <c r="D55" s="1">
        <f>IFERROR(SUMIFS(BY_TRA!L$2:L$999,BY_TRA!$BJ$2:$BJ$999,Transport!$B55,BY_TRA!$BK$2:$BK$999,Transport!$C55)/SUMIFS(BY_TRA!L$2:L$999,BY_TRA!$BJ$2:$BJ$999,Transport!$B55),0)</f>
        <v>0</v>
      </c>
      <c r="E55" s="1">
        <f>IFERROR(SUMIFS(BY_TRA!M$2:M$999,BY_TRA!$BJ$2:$BJ$999,Transport!$B55,BY_TRA!$BK$2:$BK$999,Transport!$C55)/SUMIFS(BY_TRA!M$2:M$999,BY_TRA!$BJ$2:$BJ$999,Transport!$B55),0)</f>
        <v>0</v>
      </c>
      <c r="F55" s="1">
        <f>IFERROR(SUMIFS(BY_TRA!N$2:N$999,BY_TRA!$BJ$2:$BJ$999,Transport!$B55,BY_TRA!$BK$2:$BK$999,Transport!$C55)/SUMIFS(BY_TRA!N$2:N$999,BY_TRA!$BJ$2:$BJ$999,Transport!$B55),0)</f>
        <v>0</v>
      </c>
      <c r="G55" s="1">
        <f>IFERROR(SUMIFS(BY_TRA!O$2:O$999,BY_TRA!$BJ$2:$BJ$999,Transport!$B55,BY_TRA!$BK$2:$BK$999,Transport!$C55)/SUMIFS(BY_TRA!O$2:O$999,BY_TRA!$BJ$2:$BJ$999,Transport!$B55),0)</f>
        <v>0</v>
      </c>
      <c r="H55" s="1">
        <f>IFERROR(SUMIFS(BY_TRA!P$2:P$999,BY_TRA!$BJ$2:$BJ$999,Transport!$B55,BY_TRA!$BK$2:$BK$999,Transport!$C55)/SUMIFS(BY_TRA!P$2:P$999,BY_TRA!$BJ$2:$BJ$999,Transport!$B55),0)</f>
        <v>0</v>
      </c>
      <c r="I55" s="1">
        <f>IFERROR(SUMIFS(BY_TRA!Q$2:Q$999,BY_TRA!$BJ$2:$BJ$999,Transport!$B55,BY_TRA!$BK$2:$BK$999,Transport!$C55)/SUMIFS(BY_TRA!Q$2:Q$999,BY_TRA!$BJ$2:$BJ$999,Transport!$B55),0)</f>
        <v>0</v>
      </c>
      <c r="J55" s="1">
        <f>IFERROR(SUMIFS(BY_TRA!R$2:R$999,BY_TRA!$BJ$2:$BJ$999,Transport!$B55,BY_TRA!$BK$2:$BK$999,Transport!$C55)/SUMIFS(BY_TRA!R$2:R$999,BY_TRA!$BJ$2:$BJ$999,Transport!$B55),0)</f>
        <v>0</v>
      </c>
      <c r="K55" s="1">
        <f>IFERROR(SUMIFS(BY_TRA!S$2:S$999,BY_TRA!$BJ$2:$BJ$999,Transport!$B55,BY_TRA!$BK$2:$BK$999,Transport!$C55)/SUMIFS(BY_TRA!S$2:S$999,BY_TRA!$BJ$2:$BJ$999,Transport!$B55),0)</f>
        <v>0</v>
      </c>
      <c r="L55" s="1">
        <f>IFERROR(SUMIFS(BY_TRA!T$2:T$999,BY_TRA!$BJ$2:$BJ$999,Transport!$B55,BY_TRA!$BK$2:$BK$999,Transport!$C55)/SUMIFS(BY_TRA!T$2:T$999,BY_TRA!$BJ$2:$BJ$999,Transport!$B55),0)</f>
        <v>0</v>
      </c>
      <c r="M55" s="1">
        <f>IFERROR(SUMIFS(BY_TRA!U$2:U$999,BY_TRA!$BJ$2:$BJ$999,Transport!$B55,BY_TRA!$BK$2:$BK$999,Transport!$C55)/SUMIFS(BY_TRA!U$2:U$999,BY_TRA!$BJ$2:$BJ$999,Transport!$B55),0)</f>
        <v>0</v>
      </c>
      <c r="N55" s="1">
        <f>IFERROR(SUMIFS(BY_TRA!V$2:V$999,BY_TRA!$BJ$2:$BJ$999,Transport!$B55,BY_TRA!$BK$2:$BK$999,Transport!$C55)/SUMIFS(BY_TRA!V$2:V$999,BY_TRA!$BJ$2:$BJ$999,Transport!$B55),0)</f>
        <v>0</v>
      </c>
      <c r="O55" s="1">
        <f>IFERROR(SUMIFS(BY_TRA!W$2:W$999,BY_TRA!$BJ$2:$BJ$999,Transport!$B55,BY_TRA!$BK$2:$BK$999,Transport!$C55)/SUMIFS(BY_TRA!W$2:W$999,BY_TRA!$BJ$2:$BJ$999,Transport!$B55),0)</f>
        <v>0</v>
      </c>
      <c r="P55" s="1">
        <f>IFERROR(SUMIFS(BY_TRA!X$2:X$999,BY_TRA!$BJ$2:$BJ$999,Transport!$B55,BY_TRA!$BK$2:$BK$999,Transport!$C55)/SUMIFS(BY_TRA!X$2:X$999,BY_TRA!$BJ$2:$BJ$999,Transport!$B55),0)</f>
        <v>0</v>
      </c>
      <c r="Q55" s="1">
        <f>IFERROR(SUMIFS(BY_TRA!Y$2:Y$999,BY_TRA!$BJ$2:$BJ$999,Transport!$B55,BY_TRA!$BK$2:$BK$999,Transport!$C55)/SUMIFS(BY_TRA!Y$2:Y$999,BY_TRA!$BJ$2:$BJ$999,Transport!$B55),0)</f>
        <v>0</v>
      </c>
      <c r="R55" s="1">
        <f>IFERROR(SUMIFS(BY_TRA!Z$2:Z$999,BY_TRA!$BJ$2:$BJ$999,Transport!$B55,BY_TRA!$BK$2:$BK$999,Transport!$C55)/SUMIFS(BY_TRA!Z$2:Z$999,BY_TRA!$BJ$2:$BJ$999,Transport!$B55),0)</f>
        <v>0</v>
      </c>
      <c r="S55" s="1">
        <f>IFERROR(SUMIFS(BY_TRA!AA$2:AA$999,BY_TRA!$BJ$2:$BJ$999,Transport!$B55,BY_TRA!$BK$2:$BK$999,Transport!$C55)/SUMIFS(BY_TRA!AA$2:AA$999,BY_TRA!$BJ$2:$BJ$999,Transport!$B55),0)</f>
        <v>0</v>
      </c>
      <c r="T55" s="1">
        <f>IFERROR(SUMIFS(BY_TRA!AB$2:AB$999,BY_TRA!$BJ$2:$BJ$999,Transport!$B55,BY_TRA!$BK$2:$BK$999,Transport!$C55)/SUMIFS(BY_TRA!AB$2:AB$999,BY_TRA!$BJ$2:$BJ$999,Transport!$B55),0)</f>
        <v>0</v>
      </c>
      <c r="U55" s="1">
        <f>IFERROR(SUMIFS(BY_TRA!AC$2:AC$999,BY_TRA!$BJ$2:$BJ$999,Transport!$B55,BY_TRA!$BK$2:$BK$999,Transport!$C55)/SUMIFS(BY_TRA!AC$2:AC$999,BY_TRA!$BJ$2:$BJ$999,Transport!$B55),0)</f>
        <v>0</v>
      </c>
      <c r="V55" s="1">
        <f>IFERROR(SUMIFS(BY_TRA!AD$2:AD$999,BY_TRA!$BJ$2:$BJ$999,Transport!$B55,BY_TRA!$BK$2:$BK$999,Transport!$C55)/SUMIFS(BY_TRA!AD$2:AD$999,BY_TRA!$BJ$2:$BJ$999,Transport!$B55),0)</f>
        <v>0</v>
      </c>
      <c r="W55" s="1">
        <f>IFERROR(SUMIFS(BY_TRA!AE$2:AE$999,BY_TRA!$BJ$2:$BJ$999,Transport!$B55,BY_TRA!$BK$2:$BK$999,Transport!$C55)/SUMIFS(BY_TRA!AE$2:AE$999,BY_TRA!$BJ$2:$BJ$999,Transport!$B55),0)</f>
        <v>0</v>
      </c>
      <c r="X55" s="1">
        <f>IFERROR(SUMIFS(BY_TRA!AF$2:AF$999,BY_TRA!$BJ$2:$BJ$999,Transport!$B55,BY_TRA!$BK$2:$BK$999,Transport!$C55)/SUMIFS(BY_TRA!AF$2:AF$999,BY_TRA!$BJ$2:$BJ$999,Transport!$B55),0)</f>
        <v>0</v>
      </c>
      <c r="Y55" s="1">
        <f>IFERROR(SUMIFS(BY_TRA!AG$2:AG$999,BY_TRA!$BJ$2:$BJ$999,Transport!$B55,BY_TRA!$BK$2:$BK$999,Transport!$C55)/SUMIFS(BY_TRA!AG$2:AG$999,BY_TRA!$BJ$2:$BJ$999,Transport!$B55),0)</f>
        <v>0</v>
      </c>
      <c r="Z55" s="1">
        <f>IFERROR(SUMIFS(BY_TRA!AH$2:AH$999,BY_TRA!$BJ$2:$BJ$999,Transport!$B55,BY_TRA!$BK$2:$BK$999,Transport!$C55)/SUMIFS(BY_TRA!AH$2:AH$999,BY_TRA!$BJ$2:$BJ$999,Transport!$B55),0)</f>
        <v>0</v>
      </c>
      <c r="AA55" s="1">
        <f>IFERROR(SUMIFS(BY_TRA!AI$2:AI$999,BY_TRA!$BJ$2:$BJ$999,Transport!$B55,BY_TRA!$BK$2:$BK$999,Transport!$C55)/SUMIFS(BY_TRA!AI$2:AI$999,BY_TRA!$BJ$2:$BJ$999,Transport!$B55),0)</f>
        <v>0</v>
      </c>
      <c r="AB55" s="1">
        <f>IFERROR(SUMIFS(BY_TRA!AJ$2:AJ$999,BY_TRA!$BJ$2:$BJ$999,Transport!$B55,BY_TRA!$BK$2:$BK$999,Transport!$C55)/SUMIFS(BY_TRA!AJ$2:AJ$999,BY_TRA!$BJ$2:$BJ$999,Transport!$B55),0)</f>
        <v>0</v>
      </c>
      <c r="AC55" s="1">
        <f>IFERROR(SUMIFS(BY_TRA!AK$2:AK$999,BY_TRA!$BJ$2:$BJ$999,Transport!$B55,BY_TRA!$BK$2:$BK$999,Transport!$C55)/SUMIFS(BY_TRA!AK$2:AK$999,BY_TRA!$BJ$2:$BJ$999,Transport!$B55),0)</f>
        <v>0</v>
      </c>
      <c r="AD55" s="1">
        <f>IFERROR(SUMIFS(BY_TRA!AL$2:AL$999,BY_TRA!$BJ$2:$BJ$999,Transport!$B55,BY_TRA!$BK$2:$BK$999,Transport!$C55)/SUMIFS(BY_TRA!AL$2:AL$999,BY_TRA!$BJ$2:$BJ$999,Transport!$B55),0)</f>
        <v>0</v>
      </c>
      <c r="AE55" s="1">
        <f>IFERROR(SUMIFS(BY_TRA!AM$2:AM$999,BY_TRA!$BJ$2:$BJ$999,Transport!$B55,BY_TRA!$BK$2:$BK$999,Transport!$C55)/SUMIFS(BY_TRA!AM$2:AM$999,BY_TRA!$BJ$2:$BJ$999,Transport!$B55),0)</f>
        <v>0</v>
      </c>
      <c r="AF55" s="1">
        <f>IFERROR(SUMIFS(BY_TRA!AN$2:AN$999,BY_TRA!$BJ$2:$BJ$999,Transport!$B55,BY_TRA!$BK$2:$BK$999,Transport!$C55)/SUMIFS(BY_TRA!AN$2:AN$999,BY_TRA!$BJ$2:$BJ$999,Transport!$B55),0)</f>
        <v>0</v>
      </c>
      <c r="AG55" s="1">
        <f>IFERROR(SUMIFS(BY_TRA!AO$2:AO$999,BY_TRA!$BJ$2:$BJ$999,Transport!$B55,BY_TRA!$BK$2:$BK$999,Transport!$C55)/SUMIFS(BY_TRA!AO$2:AO$999,BY_TRA!$BJ$2:$BJ$999,Transport!$B55),0)</f>
        <v>0</v>
      </c>
      <c r="AH55" s="1">
        <f>IFERROR(SUMIFS(BY_TRA!AP$2:AP$999,BY_TRA!$BJ$2:$BJ$999,Transport!$B55,BY_TRA!$BK$2:$BK$999,Transport!$C55)/SUMIFS(BY_TRA!AP$2:AP$999,BY_TRA!$BJ$2:$BJ$999,Transport!$B55),0)</f>
        <v>0</v>
      </c>
      <c r="AI55" s="1">
        <f>IFERROR(SUMIFS(BY_TRA!AQ$2:AQ$999,BY_TRA!$BJ$2:$BJ$999,Transport!$B55,BY_TRA!$BK$2:$BK$999,Transport!$C55)/SUMIFS(BY_TRA!AQ$2:AQ$999,BY_TRA!$BJ$2:$BJ$999,Transport!$B55),0)</f>
        <v>0</v>
      </c>
      <c r="AJ55" s="1">
        <f>IFERROR(SUMIFS(BY_TRA!AR$2:AR$999,BY_TRA!$BJ$2:$BJ$999,Transport!$B55,BY_TRA!$BK$2:$BK$999,Transport!$C55)/SUMIFS(BY_TRA!AR$2:AR$999,BY_TRA!$BJ$2:$BJ$999,Transport!$B55),0)</f>
        <v>0</v>
      </c>
      <c r="AK55" s="1">
        <f>IFERROR(SUMIFS(BY_TRA!AS$2:AS$999,BY_TRA!$BJ$2:$BJ$999,Transport!$B55,BY_TRA!$BK$2:$BK$999,Transport!$C55)/SUMIFS(BY_TRA!AS$2:AS$999,BY_TRA!$BJ$2:$BJ$999,Transport!$B55),0)</f>
        <v>0</v>
      </c>
      <c r="AL55" s="1">
        <f>IFERROR(SUMIFS(BY_TRA!AT$2:AT$999,BY_TRA!$BJ$2:$BJ$999,Transport!$B55,BY_TRA!$BK$2:$BK$999,Transport!$C55)/SUMIFS(BY_TRA!AT$2:AT$999,BY_TRA!$BJ$2:$BJ$999,Transport!$B55),0)</f>
        <v>0</v>
      </c>
      <c r="AM55" s="1">
        <f>IFERROR(SUMIFS(BY_TRA!AU$2:AU$999,BY_TRA!$BJ$2:$BJ$999,Transport!$B55,BY_TRA!$BK$2:$BK$999,Transport!$C55)/SUMIFS(BY_TRA!AU$2:AU$999,BY_TRA!$BJ$2:$BJ$999,Transport!$B55),0)</f>
        <v>0</v>
      </c>
      <c r="AN55" s="1">
        <f>IFERROR(SUMIFS(BY_TRA!AV$2:AV$999,BY_TRA!$BJ$2:$BJ$999,Transport!$B55,BY_TRA!$BK$2:$BK$999,Transport!$C55)/SUMIFS(BY_TRA!AV$2:AV$999,BY_TRA!$BJ$2:$BJ$999,Transport!$B55),0)</f>
        <v>0</v>
      </c>
      <c r="AO55" s="1">
        <f>IFERROR(SUMIFS(BY_TRA!AW$2:AW$999,BY_TRA!$BJ$2:$BJ$999,Transport!$B55,BY_TRA!$BK$2:$BK$999,Transport!$C55)/SUMIFS(BY_TRA!AW$2:AW$999,BY_TRA!$BJ$2:$BJ$999,Transport!$B55),0)</f>
        <v>0</v>
      </c>
      <c r="AP55" s="1">
        <f>IFERROR(SUMIFS(BY_TRA!AX$2:AX$999,BY_TRA!$BJ$2:$BJ$999,Transport!$B55,BY_TRA!$BK$2:$BK$999,Transport!$C55)/SUMIFS(BY_TRA!AX$2:AX$999,BY_TRA!$BJ$2:$BJ$999,Transport!$B55),0)</f>
        <v>0</v>
      </c>
      <c r="AQ55" s="1">
        <f>IFERROR(SUMIFS(BY_TRA!AY$2:AY$999,BY_TRA!$BJ$2:$BJ$999,Transport!$B55,BY_TRA!$BK$2:$BK$999,Transport!$C55)/SUMIFS(BY_TRA!AY$2:AY$999,BY_TRA!$BJ$2:$BJ$999,Transport!$B55),0)</f>
        <v>0</v>
      </c>
      <c r="AR55" s="1">
        <f>IFERROR(SUMIFS(BY_TRA!AZ$2:AZ$999,BY_TRA!$BJ$2:$BJ$999,Transport!$B55,BY_TRA!$BK$2:$BK$999,Transport!$C55)/SUMIFS(BY_TRA!AZ$2:AZ$999,BY_TRA!$BJ$2:$BJ$999,Transport!$B55),0)</f>
        <v>0</v>
      </c>
      <c r="AS55" s="1">
        <f>IFERROR(SUMIFS(BY_TRA!BA$2:BA$999,BY_TRA!$BJ$2:$BJ$999,Transport!$B55,BY_TRA!$BK$2:$BK$999,Transport!$C55)/SUMIFS(BY_TRA!BA$2:BA$999,BY_TRA!$BJ$2:$BJ$999,Transport!$B55),0)</f>
        <v>0</v>
      </c>
      <c r="AT55" s="1">
        <f>IFERROR(SUMIFS(BY_TRA!BB$2:BB$999,BY_TRA!$BJ$2:$BJ$999,Transport!$B55,BY_TRA!$BK$2:$BK$999,Transport!$C55)/SUMIFS(BY_TRA!BB$2:BB$999,BY_TRA!$BJ$2:$BJ$999,Transport!$B55),0)</f>
        <v>0</v>
      </c>
      <c r="AU55" s="1">
        <f>IFERROR(SUMIFS(BY_TRA!BC$2:BC$999,BY_TRA!$BJ$2:$BJ$999,Transport!$B55,BY_TRA!$BK$2:$BK$999,Transport!$C55)/SUMIFS(BY_TRA!BC$2:BC$999,BY_TRA!$BJ$2:$BJ$999,Transport!$B55),0)</f>
        <v>0</v>
      </c>
      <c r="AV55" s="1">
        <f>IFERROR(SUMIFS(BY_TRA!BD$2:BD$999,BY_TRA!$BJ$2:$BJ$999,Transport!$B55,BY_TRA!$BK$2:$BK$999,Transport!$C55)/SUMIFS(BY_TRA!BD$2:BD$999,BY_TRA!$BJ$2:$BJ$999,Transport!$B55),0)</f>
        <v>0</v>
      </c>
      <c r="AW55" s="1">
        <f>IFERROR(SUMIFS(BY_TRA!BE$2:BE$999,BY_TRA!$BJ$2:$BJ$999,Transport!$B55,BY_TRA!$BK$2:$BK$999,Transport!$C55)/SUMIFS(BY_TRA!BE$2:BE$999,BY_TRA!$BJ$2:$BJ$999,Transport!$B55),0)</f>
        <v>0</v>
      </c>
      <c r="AX55" s="1">
        <f>IFERROR(SUMIFS(BY_TRA!BF$2:BF$999,BY_TRA!$BJ$2:$BJ$999,Transport!$B55,BY_TRA!$BK$2:$BK$999,Transport!$C55)/SUMIFS(BY_TRA!BF$2:BF$999,BY_TRA!$BJ$2:$BJ$999,Transport!$B55),0)</f>
        <v>0</v>
      </c>
      <c r="AY55" s="1">
        <f>IFERROR(SUMIFS(BY_TRA!BG$2:BG$999,BY_TRA!$BJ$2:$BJ$999,Transport!$B55,BY_TRA!$BK$2:$BK$999,Transport!$C55)/SUMIFS(BY_TRA!BG$2:BG$999,BY_TRA!$BJ$2:$BJ$999,Transport!$B55),0)</f>
        <v>0</v>
      </c>
    </row>
    <row r="56" spans="2:51">
      <c r="B56" t="s">
        <v>133</v>
      </c>
      <c r="C56" t="s">
        <v>123</v>
      </c>
      <c r="D56" s="1">
        <f>IFERROR(SUMIFS(BY_TRA!L$2:L$999,BY_TRA!$BJ$2:$BJ$999,Transport!$B56,BY_TRA!$BK$2:$BK$999,Transport!$C56)/SUMIFS(BY_TRA!L$2:L$999,BY_TRA!$BJ$2:$BJ$999,Transport!$B56),0)</f>
        <v>0</v>
      </c>
      <c r="E56" s="1">
        <f>IFERROR(SUMIFS(BY_TRA!M$2:M$999,BY_TRA!$BJ$2:$BJ$999,Transport!$B56,BY_TRA!$BK$2:$BK$999,Transport!$C56)/SUMIFS(BY_TRA!M$2:M$999,BY_TRA!$BJ$2:$BJ$999,Transport!$B56),0)</f>
        <v>0</v>
      </c>
      <c r="F56" s="1">
        <f>IFERROR(SUMIFS(BY_TRA!N$2:N$999,BY_TRA!$BJ$2:$BJ$999,Transport!$B56,BY_TRA!$BK$2:$BK$999,Transport!$C56)/SUMIFS(BY_TRA!N$2:N$999,BY_TRA!$BJ$2:$BJ$999,Transport!$B56),0)</f>
        <v>0</v>
      </c>
      <c r="G56" s="1">
        <f>IFERROR(SUMIFS(BY_TRA!O$2:O$999,BY_TRA!$BJ$2:$BJ$999,Transport!$B56,BY_TRA!$BK$2:$BK$999,Transport!$C56)/SUMIFS(BY_TRA!O$2:O$999,BY_TRA!$BJ$2:$BJ$999,Transport!$B56),0)</f>
        <v>0</v>
      </c>
      <c r="H56" s="1">
        <f>IFERROR(SUMIFS(BY_TRA!P$2:P$999,BY_TRA!$BJ$2:$BJ$999,Transport!$B56,BY_TRA!$BK$2:$BK$999,Transport!$C56)/SUMIFS(BY_TRA!P$2:P$999,BY_TRA!$BJ$2:$BJ$999,Transport!$B56),0)</f>
        <v>0</v>
      </c>
      <c r="I56" s="1">
        <f>IFERROR(SUMIFS(BY_TRA!Q$2:Q$999,BY_TRA!$BJ$2:$BJ$999,Transport!$B56,BY_TRA!$BK$2:$BK$999,Transport!$C56)/SUMIFS(BY_TRA!Q$2:Q$999,BY_TRA!$BJ$2:$BJ$999,Transport!$B56),0)</f>
        <v>0</v>
      </c>
      <c r="J56" s="1">
        <f>IFERROR(SUMIFS(BY_TRA!R$2:R$999,BY_TRA!$BJ$2:$BJ$999,Transport!$B56,BY_TRA!$BK$2:$BK$999,Transport!$C56)/SUMIFS(BY_TRA!R$2:R$999,BY_TRA!$BJ$2:$BJ$999,Transport!$B56),0)</f>
        <v>0</v>
      </c>
      <c r="K56" s="1">
        <f>IFERROR(SUMIFS(BY_TRA!S$2:S$999,BY_TRA!$BJ$2:$BJ$999,Transport!$B56,BY_TRA!$BK$2:$BK$999,Transport!$C56)/SUMIFS(BY_TRA!S$2:S$999,BY_TRA!$BJ$2:$BJ$999,Transport!$B56),0)</f>
        <v>0</v>
      </c>
      <c r="L56" s="1">
        <f>IFERROR(SUMIFS(BY_TRA!T$2:T$999,BY_TRA!$BJ$2:$BJ$999,Transport!$B56,BY_TRA!$BK$2:$BK$999,Transport!$C56)/SUMIFS(BY_TRA!T$2:T$999,BY_TRA!$BJ$2:$BJ$999,Transport!$B56),0)</f>
        <v>0</v>
      </c>
      <c r="M56" s="1">
        <f>IFERROR(SUMIFS(BY_TRA!U$2:U$999,BY_TRA!$BJ$2:$BJ$999,Transport!$B56,BY_TRA!$BK$2:$BK$999,Transport!$C56)/SUMIFS(BY_TRA!U$2:U$999,BY_TRA!$BJ$2:$BJ$999,Transport!$B56),0)</f>
        <v>0</v>
      </c>
      <c r="N56" s="1">
        <f>IFERROR(SUMIFS(BY_TRA!V$2:V$999,BY_TRA!$BJ$2:$BJ$999,Transport!$B56,BY_TRA!$BK$2:$BK$999,Transport!$C56)/SUMIFS(BY_TRA!V$2:V$999,BY_TRA!$BJ$2:$BJ$999,Transport!$B56),0)</f>
        <v>0</v>
      </c>
      <c r="O56" s="1">
        <f>IFERROR(SUMIFS(BY_TRA!W$2:W$999,BY_TRA!$BJ$2:$BJ$999,Transport!$B56,BY_TRA!$BK$2:$BK$999,Transport!$C56)/SUMIFS(BY_TRA!W$2:W$999,BY_TRA!$BJ$2:$BJ$999,Transport!$B56),0)</f>
        <v>0</v>
      </c>
      <c r="P56" s="1">
        <f>IFERROR(SUMIFS(BY_TRA!X$2:X$999,BY_TRA!$BJ$2:$BJ$999,Transport!$B56,BY_TRA!$BK$2:$BK$999,Transport!$C56)/SUMIFS(BY_TRA!X$2:X$999,BY_TRA!$BJ$2:$BJ$999,Transport!$B56),0)</f>
        <v>0</v>
      </c>
      <c r="Q56" s="1">
        <f>IFERROR(SUMIFS(BY_TRA!Y$2:Y$999,BY_TRA!$BJ$2:$BJ$999,Transport!$B56,BY_TRA!$BK$2:$BK$999,Transport!$C56)/SUMIFS(BY_TRA!Y$2:Y$999,BY_TRA!$BJ$2:$BJ$999,Transport!$B56),0)</f>
        <v>0</v>
      </c>
      <c r="R56" s="1">
        <f>IFERROR(SUMIFS(BY_TRA!Z$2:Z$999,BY_TRA!$BJ$2:$BJ$999,Transport!$B56,BY_TRA!$BK$2:$BK$999,Transport!$C56)/SUMIFS(BY_TRA!Z$2:Z$999,BY_TRA!$BJ$2:$BJ$999,Transport!$B56),0)</f>
        <v>0</v>
      </c>
      <c r="S56" s="1">
        <f>IFERROR(SUMIFS(BY_TRA!AA$2:AA$999,BY_TRA!$BJ$2:$BJ$999,Transport!$B56,BY_TRA!$BK$2:$BK$999,Transport!$C56)/SUMIFS(BY_TRA!AA$2:AA$999,BY_TRA!$BJ$2:$BJ$999,Transport!$B56),0)</f>
        <v>0</v>
      </c>
      <c r="T56" s="1">
        <f>IFERROR(SUMIFS(BY_TRA!AB$2:AB$999,BY_TRA!$BJ$2:$BJ$999,Transport!$B56,BY_TRA!$BK$2:$BK$999,Transport!$C56)/SUMIFS(BY_TRA!AB$2:AB$999,BY_TRA!$BJ$2:$BJ$999,Transport!$B56),0)</f>
        <v>0</v>
      </c>
      <c r="U56" s="1">
        <f>IFERROR(SUMIFS(BY_TRA!AC$2:AC$999,BY_TRA!$BJ$2:$BJ$999,Transport!$B56,BY_TRA!$BK$2:$BK$999,Transport!$C56)/SUMIFS(BY_TRA!AC$2:AC$999,BY_TRA!$BJ$2:$BJ$999,Transport!$B56),0)</f>
        <v>0</v>
      </c>
      <c r="V56" s="1">
        <f>IFERROR(SUMIFS(BY_TRA!AD$2:AD$999,BY_TRA!$BJ$2:$BJ$999,Transport!$B56,BY_TRA!$BK$2:$BK$999,Transport!$C56)/SUMIFS(BY_TRA!AD$2:AD$999,BY_TRA!$BJ$2:$BJ$999,Transport!$B56),0)</f>
        <v>0</v>
      </c>
      <c r="W56" s="1">
        <f>IFERROR(SUMIFS(BY_TRA!AE$2:AE$999,BY_TRA!$BJ$2:$BJ$999,Transport!$B56,BY_TRA!$BK$2:$BK$999,Transport!$C56)/SUMIFS(BY_TRA!AE$2:AE$999,BY_TRA!$BJ$2:$BJ$999,Transport!$B56),0)</f>
        <v>0</v>
      </c>
      <c r="X56" s="1">
        <f>IFERROR(SUMIFS(BY_TRA!AF$2:AF$999,BY_TRA!$BJ$2:$BJ$999,Transport!$B56,BY_TRA!$BK$2:$BK$999,Transport!$C56)/SUMIFS(BY_TRA!AF$2:AF$999,BY_TRA!$BJ$2:$BJ$999,Transport!$B56),0)</f>
        <v>0</v>
      </c>
      <c r="Y56" s="1">
        <f>IFERROR(SUMIFS(BY_TRA!AG$2:AG$999,BY_TRA!$BJ$2:$BJ$999,Transport!$B56,BY_TRA!$BK$2:$BK$999,Transport!$C56)/SUMIFS(BY_TRA!AG$2:AG$999,BY_TRA!$BJ$2:$BJ$999,Transport!$B56),0)</f>
        <v>0</v>
      </c>
      <c r="Z56" s="1">
        <f>IFERROR(SUMIFS(BY_TRA!AH$2:AH$999,BY_TRA!$BJ$2:$BJ$999,Transport!$B56,BY_TRA!$BK$2:$BK$999,Transport!$C56)/SUMIFS(BY_TRA!AH$2:AH$999,BY_TRA!$BJ$2:$BJ$999,Transport!$B56),0)</f>
        <v>0</v>
      </c>
      <c r="AA56" s="1">
        <f>IFERROR(SUMIFS(BY_TRA!AI$2:AI$999,BY_TRA!$BJ$2:$BJ$999,Transport!$B56,BY_TRA!$BK$2:$BK$999,Transport!$C56)/SUMIFS(BY_TRA!AI$2:AI$999,BY_TRA!$BJ$2:$BJ$999,Transport!$B56),0)</f>
        <v>0</v>
      </c>
      <c r="AB56" s="1">
        <f>IFERROR(SUMIFS(BY_TRA!AJ$2:AJ$999,BY_TRA!$BJ$2:$BJ$999,Transport!$B56,BY_TRA!$BK$2:$BK$999,Transport!$C56)/SUMIFS(BY_TRA!AJ$2:AJ$999,BY_TRA!$BJ$2:$BJ$999,Transport!$B56),0)</f>
        <v>0</v>
      </c>
      <c r="AC56" s="1">
        <f>IFERROR(SUMIFS(BY_TRA!AK$2:AK$999,BY_TRA!$BJ$2:$BJ$999,Transport!$B56,BY_TRA!$BK$2:$BK$999,Transport!$C56)/SUMIFS(BY_TRA!AK$2:AK$999,BY_TRA!$BJ$2:$BJ$999,Transport!$B56),0)</f>
        <v>0</v>
      </c>
      <c r="AD56" s="1">
        <f>IFERROR(SUMIFS(BY_TRA!AL$2:AL$999,BY_TRA!$BJ$2:$BJ$999,Transport!$B56,BY_TRA!$BK$2:$BK$999,Transport!$C56)/SUMIFS(BY_TRA!AL$2:AL$999,BY_TRA!$BJ$2:$BJ$999,Transport!$B56),0)</f>
        <v>0</v>
      </c>
      <c r="AE56" s="1">
        <f>IFERROR(SUMIFS(BY_TRA!AM$2:AM$999,BY_TRA!$BJ$2:$BJ$999,Transport!$B56,BY_TRA!$BK$2:$BK$999,Transport!$C56)/SUMIFS(BY_TRA!AM$2:AM$999,BY_TRA!$BJ$2:$BJ$999,Transport!$B56),0)</f>
        <v>0</v>
      </c>
      <c r="AF56" s="1">
        <f>IFERROR(SUMIFS(BY_TRA!AN$2:AN$999,BY_TRA!$BJ$2:$BJ$999,Transport!$B56,BY_TRA!$BK$2:$BK$999,Transport!$C56)/SUMIFS(BY_TRA!AN$2:AN$999,BY_TRA!$BJ$2:$BJ$999,Transport!$B56),0)</f>
        <v>0</v>
      </c>
      <c r="AG56" s="1">
        <f>IFERROR(SUMIFS(BY_TRA!AO$2:AO$999,BY_TRA!$BJ$2:$BJ$999,Transport!$B56,BY_TRA!$BK$2:$BK$999,Transport!$C56)/SUMIFS(BY_TRA!AO$2:AO$999,BY_TRA!$BJ$2:$BJ$999,Transport!$B56),0)</f>
        <v>0</v>
      </c>
      <c r="AH56" s="1">
        <f>IFERROR(SUMIFS(BY_TRA!AP$2:AP$999,BY_TRA!$BJ$2:$BJ$999,Transport!$B56,BY_TRA!$BK$2:$BK$999,Transport!$C56)/SUMIFS(BY_TRA!AP$2:AP$999,BY_TRA!$BJ$2:$BJ$999,Transport!$B56),0)</f>
        <v>0</v>
      </c>
      <c r="AI56" s="1">
        <f>IFERROR(SUMIFS(BY_TRA!AQ$2:AQ$999,BY_TRA!$BJ$2:$BJ$999,Transport!$B56,BY_TRA!$BK$2:$BK$999,Transport!$C56)/SUMIFS(BY_TRA!AQ$2:AQ$999,BY_TRA!$BJ$2:$BJ$999,Transport!$B56),0)</f>
        <v>0</v>
      </c>
      <c r="AJ56" s="1">
        <f>IFERROR(SUMIFS(BY_TRA!AR$2:AR$999,BY_TRA!$BJ$2:$BJ$999,Transport!$B56,BY_TRA!$BK$2:$BK$999,Transport!$C56)/SUMIFS(BY_TRA!AR$2:AR$999,BY_TRA!$BJ$2:$BJ$999,Transport!$B56),0)</f>
        <v>0</v>
      </c>
      <c r="AK56" s="1">
        <f>IFERROR(SUMIFS(BY_TRA!AS$2:AS$999,BY_TRA!$BJ$2:$BJ$999,Transport!$B56,BY_TRA!$BK$2:$BK$999,Transport!$C56)/SUMIFS(BY_TRA!AS$2:AS$999,BY_TRA!$BJ$2:$BJ$999,Transport!$B56),0)</f>
        <v>0</v>
      </c>
      <c r="AL56" s="1">
        <f>IFERROR(SUMIFS(BY_TRA!AT$2:AT$999,BY_TRA!$BJ$2:$BJ$999,Transport!$B56,BY_TRA!$BK$2:$BK$999,Transport!$C56)/SUMIFS(BY_TRA!AT$2:AT$999,BY_TRA!$BJ$2:$BJ$999,Transport!$B56),0)</f>
        <v>0</v>
      </c>
      <c r="AM56" s="1">
        <f>IFERROR(SUMIFS(BY_TRA!AU$2:AU$999,BY_TRA!$BJ$2:$BJ$999,Transport!$B56,BY_TRA!$BK$2:$BK$999,Transport!$C56)/SUMIFS(BY_TRA!AU$2:AU$999,BY_TRA!$BJ$2:$BJ$999,Transport!$B56),0)</f>
        <v>0</v>
      </c>
      <c r="AN56" s="1">
        <f>IFERROR(SUMIFS(BY_TRA!AV$2:AV$999,BY_TRA!$BJ$2:$BJ$999,Transport!$B56,BY_TRA!$BK$2:$BK$999,Transport!$C56)/SUMIFS(BY_TRA!AV$2:AV$999,BY_TRA!$BJ$2:$BJ$999,Transport!$B56),0)</f>
        <v>0</v>
      </c>
      <c r="AO56" s="1">
        <f>IFERROR(SUMIFS(BY_TRA!AW$2:AW$999,BY_TRA!$BJ$2:$BJ$999,Transport!$B56,BY_TRA!$BK$2:$BK$999,Transport!$C56)/SUMIFS(BY_TRA!AW$2:AW$999,BY_TRA!$BJ$2:$BJ$999,Transport!$B56),0)</f>
        <v>0</v>
      </c>
      <c r="AP56" s="1">
        <f>IFERROR(SUMIFS(BY_TRA!AX$2:AX$999,BY_TRA!$BJ$2:$BJ$999,Transport!$B56,BY_TRA!$BK$2:$BK$999,Transport!$C56)/SUMIFS(BY_TRA!AX$2:AX$999,BY_TRA!$BJ$2:$BJ$999,Transport!$B56),0)</f>
        <v>0</v>
      </c>
      <c r="AQ56" s="1">
        <f>IFERROR(SUMIFS(BY_TRA!AY$2:AY$999,BY_TRA!$BJ$2:$BJ$999,Transport!$B56,BY_TRA!$BK$2:$BK$999,Transport!$C56)/SUMIFS(BY_TRA!AY$2:AY$999,BY_TRA!$BJ$2:$BJ$999,Transport!$B56),0)</f>
        <v>0</v>
      </c>
      <c r="AR56" s="1">
        <f>IFERROR(SUMIFS(BY_TRA!AZ$2:AZ$999,BY_TRA!$BJ$2:$BJ$999,Transport!$B56,BY_TRA!$BK$2:$BK$999,Transport!$C56)/SUMIFS(BY_TRA!AZ$2:AZ$999,BY_TRA!$BJ$2:$BJ$999,Transport!$B56),0)</f>
        <v>0</v>
      </c>
      <c r="AS56" s="1">
        <f>IFERROR(SUMIFS(BY_TRA!BA$2:BA$999,BY_TRA!$BJ$2:$BJ$999,Transport!$B56,BY_TRA!$BK$2:$BK$999,Transport!$C56)/SUMIFS(BY_TRA!BA$2:BA$999,BY_TRA!$BJ$2:$BJ$999,Transport!$B56),0)</f>
        <v>0</v>
      </c>
      <c r="AT56" s="1">
        <f>IFERROR(SUMIFS(BY_TRA!BB$2:BB$999,BY_TRA!$BJ$2:$BJ$999,Transport!$B56,BY_TRA!$BK$2:$BK$999,Transport!$C56)/SUMIFS(BY_TRA!BB$2:BB$999,BY_TRA!$BJ$2:$BJ$999,Transport!$B56),0)</f>
        <v>0</v>
      </c>
      <c r="AU56" s="1">
        <f>IFERROR(SUMIFS(BY_TRA!BC$2:BC$999,BY_TRA!$BJ$2:$BJ$999,Transport!$B56,BY_TRA!$BK$2:$BK$999,Transport!$C56)/SUMIFS(BY_TRA!BC$2:BC$999,BY_TRA!$BJ$2:$BJ$999,Transport!$B56),0)</f>
        <v>0</v>
      </c>
      <c r="AV56" s="1">
        <f>IFERROR(SUMIFS(BY_TRA!BD$2:BD$999,BY_TRA!$BJ$2:$BJ$999,Transport!$B56,BY_TRA!$BK$2:$BK$999,Transport!$C56)/SUMIFS(BY_TRA!BD$2:BD$999,BY_TRA!$BJ$2:$BJ$999,Transport!$B56),0)</f>
        <v>0</v>
      </c>
      <c r="AW56" s="1">
        <f>IFERROR(SUMIFS(BY_TRA!BE$2:BE$999,BY_TRA!$BJ$2:$BJ$999,Transport!$B56,BY_TRA!$BK$2:$BK$999,Transport!$C56)/SUMIFS(BY_TRA!BE$2:BE$999,BY_TRA!$BJ$2:$BJ$999,Transport!$B56),0)</f>
        <v>0</v>
      </c>
      <c r="AX56" s="1">
        <f>IFERROR(SUMIFS(BY_TRA!BF$2:BF$999,BY_TRA!$BJ$2:$BJ$999,Transport!$B56,BY_TRA!$BK$2:$BK$999,Transport!$C56)/SUMIFS(BY_TRA!BF$2:BF$999,BY_TRA!$BJ$2:$BJ$999,Transport!$B56),0)</f>
        <v>0</v>
      </c>
      <c r="AY56" s="1">
        <f>IFERROR(SUMIFS(BY_TRA!BG$2:BG$999,BY_TRA!$BJ$2:$BJ$999,Transport!$B56,BY_TRA!$BK$2:$BK$999,Transport!$C56)/SUMIFS(BY_TRA!BG$2:BG$999,BY_TRA!$BJ$2:$BJ$999,Transport!$B56),0)</f>
        <v>0</v>
      </c>
    </row>
    <row r="57" spans="2:51">
      <c r="B57" t="s">
        <v>133</v>
      </c>
      <c r="C57" t="s">
        <v>124</v>
      </c>
      <c r="D57" s="1">
        <f>IFERROR(SUMIFS(BY_TRA!L$2:L$999,BY_TRA!$BJ$2:$BJ$999,Transport!$B57,BY_TRA!$BK$2:$BK$999,Transport!$C57)/SUMIFS(BY_TRA!L$2:L$999,BY_TRA!$BJ$2:$BJ$999,Transport!$B57),0)</f>
        <v>0</v>
      </c>
      <c r="E57" s="1">
        <f>IFERROR(SUMIFS(BY_TRA!M$2:M$999,BY_TRA!$BJ$2:$BJ$999,Transport!$B57,BY_TRA!$BK$2:$BK$999,Transport!$C57)/SUMIFS(BY_TRA!M$2:M$999,BY_TRA!$BJ$2:$BJ$999,Transport!$B57),0)</f>
        <v>0</v>
      </c>
      <c r="F57" s="1">
        <f>IFERROR(SUMIFS(BY_TRA!N$2:N$999,BY_TRA!$BJ$2:$BJ$999,Transport!$B57,BY_TRA!$BK$2:$BK$999,Transport!$C57)/SUMIFS(BY_TRA!N$2:N$999,BY_TRA!$BJ$2:$BJ$999,Transport!$B57),0)</f>
        <v>0</v>
      </c>
      <c r="G57" s="1">
        <f>IFERROR(SUMIFS(BY_TRA!O$2:O$999,BY_TRA!$BJ$2:$BJ$999,Transport!$B57,BY_TRA!$BK$2:$BK$999,Transport!$C57)/SUMIFS(BY_TRA!O$2:O$999,BY_TRA!$BJ$2:$BJ$999,Transport!$B57),0)</f>
        <v>0</v>
      </c>
      <c r="H57" s="1">
        <f>IFERROR(SUMIFS(BY_TRA!P$2:P$999,BY_TRA!$BJ$2:$BJ$999,Transport!$B57,BY_TRA!$BK$2:$BK$999,Transport!$C57)/SUMIFS(BY_TRA!P$2:P$999,BY_TRA!$BJ$2:$BJ$999,Transport!$B57),0)</f>
        <v>0</v>
      </c>
      <c r="I57" s="1">
        <f>IFERROR(SUMIFS(BY_TRA!Q$2:Q$999,BY_TRA!$BJ$2:$BJ$999,Transport!$B57,BY_TRA!$BK$2:$BK$999,Transport!$C57)/SUMIFS(BY_TRA!Q$2:Q$999,BY_TRA!$BJ$2:$BJ$999,Transport!$B57),0)</f>
        <v>0</v>
      </c>
      <c r="J57" s="1">
        <f>IFERROR(SUMIFS(BY_TRA!R$2:R$999,BY_TRA!$BJ$2:$BJ$999,Transport!$B57,BY_TRA!$BK$2:$BK$999,Transport!$C57)/SUMIFS(BY_TRA!R$2:R$999,BY_TRA!$BJ$2:$BJ$999,Transport!$B57),0)</f>
        <v>0</v>
      </c>
      <c r="K57" s="1">
        <f>IFERROR(SUMIFS(BY_TRA!S$2:S$999,BY_TRA!$BJ$2:$BJ$999,Transport!$B57,BY_TRA!$BK$2:$BK$999,Transport!$C57)/SUMIFS(BY_TRA!S$2:S$999,BY_TRA!$BJ$2:$BJ$999,Transport!$B57),0)</f>
        <v>0</v>
      </c>
      <c r="L57" s="1">
        <f>IFERROR(SUMIFS(BY_TRA!T$2:T$999,BY_TRA!$BJ$2:$BJ$999,Transport!$B57,BY_TRA!$BK$2:$BK$999,Transport!$C57)/SUMIFS(BY_TRA!T$2:T$999,BY_TRA!$BJ$2:$BJ$999,Transport!$B57),0)</f>
        <v>0</v>
      </c>
      <c r="M57" s="1">
        <f>IFERROR(SUMIFS(BY_TRA!U$2:U$999,BY_TRA!$BJ$2:$BJ$999,Transport!$B57,BY_TRA!$BK$2:$BK$999,Transport!$C57)/SUMIFS(BY_TRA!U$2:U$999,BY_TRA!$BJ$2:$BJ$999,Transport!$B57),0)</f>
        <v>0</v>
      </c>
      <c r="N57" s="1">
        <f>IFERROR(SUMIFS(BY_TRA!V$2:V$999,BY_TRA!$BJ$2:$BJ$999,Transport!$B57,BY_TRA!$BK$2:$BK$999,Transport!$C57)/SUMIFS(BY_TRA!V$2:V$999,BY_TRA!$BJ$2:$BJ$999,Transport!$B57),0)</f>
        <v>0</v>
      </c>
      <c r="O57" s="1">
        <f>IFERROR(SUMIFS(BY_TRA!W$2:W$999,BY_TRA!$BJ$2:$BJ$999,Transport!$B57,BY_TRA!$BK$2:$BK$999,Transport!$C57)/SUMIFS(BY_TRA!W$2:W$999,BY_TRA!$BJ$2:$BJ$999,Transport!$B57),0)</f>
        <v>0</v>
      </c>
      <c r="P57" s="1">
        <f>IFERROR(SUMIFS(BY_TRA!X$2:X$999,BY_TRA!$BJ$2:$BJ$999,Transport!$B57,BY_TRA!$BK$2:$BK$999,Transport!$C57)/SUMIFS(BY_TRA!X$2:X$999,BY_TRA!$BJ$2:$BJ$999,Transport!$B57),0)</f>
        <v>0</v>
      </c>
      <c r="Q57" s="1">
        <f>IFERROR(SUMIFS(BY_TRA!Y$2:Y$999,BY_TRA!$BJ$2:$BJ$999,Transport!$B57,BY_TRA!$BK$2:$BK$999,Transport!$C57)/SUMIFS(BY_TRA!Y$2:Y$999,BY_TRA!$BJ$2:$BJ$999,Transport!$B57),0)</f>
        <v>0</v>
      </c>
      <c r="R57" s="1">
        <f>IFERROR(SUMIFS(BY_TRA!Z$2:Z$999,BY_TRA!$BJ$2:$BJ$999,Transport!$B57,BY_TRA!$BK$2:$BK$999,Transport!$C57)/SUMIFS(BY_TRA!Z$2:Z$999,BY_TRA!$BJ$2:$BJ$999,Transport!$B57),0)</f>
        <v>0</v>
      </c>
      <c r="S57" s="1">
        <f>IFERROR(SUMIFS(BY_TRA!AA$2:AA$999,BY_TRA!$BJ$2:$BJ$999,Transport!$B57,BY_TRA!$BK$2:$BK$999,Transport!$C57)/SUMIFS(BY_TRA!AA$2:AA$999,BY_TRA!$BJ$2:$BJ$999,Transport!$B57),0)</f>
        <v>0</v>
      </c>
      <c r="T57" s="1">
        <f>IFERROR(SUMIFS(BY_TRA!AB$2:AB$999,BY_TRA!$BJ$2:$BJ$999,Transport!$B57,BY_TRA!$BK$2:$BK$999,Transport!$C57)/SUMIFS(BY_TRA!AB$2:AB$999,BY_TRA!$BJ$2:$BJ$999,Transport!$B57),0)</f>
        <v>0</v>
      </c>
      <c r="U57" s="1">
        <f>IFERROR(SUMIFS(BY_TRA!AC$2:AC$999,BY_TRA!$BJ$2:$BJ$999,Transport!$B57,BY_TRA!$BK$2:$BK$999,Transport!$C57)/SUMIFS(BY_TRA!AC$2:AC$999,BY_TRA!$BJ$2:$BJ$999,Transport!$B57),0)</f>
        <v>0</v>
      </c>
      <c r="V57" s="1">
        <f>IFERROR(SUMIFS(BY_TRA!AD$2:AD$999,BY_TRA!$BJ$2:$BJ$999,Transport!$B57,BY_TRA!$BK$2:$BK$999,Transport!$C57)/SUMIFS(BY_TRA!AD$2:AD$999,BY_TRA!$BJ$2:$BJ$999,Transport!$B57),0)</f>
        <v>0</v>
      </c>
      <c r="W57" s="1">
        <f>IFERROR(SUMIFS(BY_TRA!AE$2:AE$999,BY_TRA!$BJ$2:$BJ$999,Transport!$B57,BY_TRA!$BK$2:$BK$999,Transport!$C57)/SUMIFS(BY_TRA!AE$2:AE$999,BY_TRA!$BJ$2:$BJ$999,Transport!$B57),0)</f>
        <v>0</v>
      </c>
      <c r="X57" s="1">
        <f>IFERROR(SUMIFS(BY_TRA!AF$2:AF$999,BY_TRA!$BJ$2:$BJ$999,Transport!$B57,BY_TRA!$BK$2:$BK$999,Transport!$C57)/SUMIFS(BY_TRA!AF$2:AF$999,BY_TRA!$BJ$2:$BJ$999,Transport!$B57),0)</f>
        <v>0</v>
      </c>
      <c r="Y57" s="1">
        <f>IFERROR(SUMIFS(BY_TRA!AG$2:AG$999,BY_TRA!$BJ$2:$BJ$999,Transport!$B57,BY_TRA!$BK$2:$BK$999,Transport!$C57)/SUMIFS(BY_TRA!AG$2:AG$999,BY_TRA!$BJ$2:$BJ$999,Transport!$B57),0)</f>
        <v>0</v>
      </c>
      <c r="Z57" s="1">
        <f>IFERROR(SUMIFS(BY_TRA!AH$2:AH$999,BY_TRA!$BJ$2:$BJ$999,Transport!$B57,BY_TRA!$BK$2:$BK$999,Transport!$C57)/SUMIFS(BY_TRA!AH$2:AH$999,BY_TRA!$BJ$2:$BJ$999,Transport!$B57),0)</f>
        <v>0</v>
      </c>
      <c r="AA57" s="1">
        <f>IFERROR(SUMIFS(BY_TRA!AI$2:AI$999,BY_TRA!$BJ$2:$BJ$999,Transport!$B57,BY_TRA!$BK$2:$BK$999,Transport!$C57)/SUMIFS(BY_TRA!AI$2:AI$999,BY_TRA!$BJ$2:$BJ$999,Transport!$B57),0)</f>
        <v>0</v>
      </c>
      <c r="AB57" s="1">
        <f>IFERROR(SUMIFS(BY_TRA!AJ$2:AJ$999,BY_TRA!$BJ$2:$BJ$999,Transport!$B57,BY_TRA!$BK$2:$BK$999,Transport!$C57)/SUMIFS(BY_TRA!AJ$2:AJ$999,BY_TRA!$BJ$2:$BJ$999,Transport!$B57),0)</f>
        <v>0</v>
      </c>
      <c r="AC57" s="1">
        <f>IFERROR(SUMIFS(BY_TRA!AK$2:AK$999,BY_TRA!$BJ$2:$BJ$999,Transport!$B57,BY_TRA!$BK$2:$BK$999,Transport!$C57)/SUMIFS(BY_TRA!AK$2:AK$999,BY_TRA!$BJ$2:$BJ$999,Transport!$B57),0)</f>
        <v>0</v>
      </c>
      <c r="AD57" s="1">
        <f>IFERROR(SUMIFS(BY_TRA!AL$2:AL$999,BY_TRA!$BJ$2:$BJ$999,Transport!$B57,BY_TRA!$BK$2:$BK$999,Transport!$C57)/SUMIFS(BY_TRA!AL$2:AL$999,BY_TRA!$BJ$2:$BJ$999,Transport!$B57),0)</f>
        <v>0</v>
      </c>
      <c r="AE57" s="1">
        <f>IFERROR(SUMIFS(BY_TRA!AM$2:AM$999,BY_TRA!$BJ$2:$BJ$999,Transport!$B57,BY_TRA!$BK$2:$BK$999,Transport!$C57)/SUMIFS(BY_TRA!AM$2:AM$999,BY_TRA!$BJ$2:$BJ$999,Transport!$B57),0)</f>
        <v>0</v>
      </c>
      <c r="AF57" s="1">
        <f>IFERROR(SUMIFS(BY_TRA!AN$2:AN$999,BY_TRA!$BJ$2:$BJ$999,Transport!$B57,BY_TRA!$BK$2:$BK$999,Transport!$C57)/SUMIFS(BY_TRA!AN$2:AN$999,BY_TRA!$BJ$2:$BJ$999,Transport!$B57),0)</f>
        <v>0</v>
      </c>
      <c r="AG57" s="1">
        <f>IFERROR(SUMIFS(BY_TRA!AO$2:AO$999,BY_TRA!$BJ$2:$BJ$999,Transport!$B57,BY_TRA!$BK$2:$BK$999,Transport!$C57)/SUMIFS(BY_TRA!AO$2:AO$999,BY_TRA!$BJ$2:$BJ$999,Transport!$B57),0)</f>
        <v>0</v>
      </c>
      <c r="AH57" s="1">
        <f>IFERROR(SUMIFS(BY_TRA!AP$2:AP$999,BY_TRA!$BJ$2:$BJ$999,Transport!$B57,BY_TRA!$BK$2:$BK$999,Transport!$C57)/SUMIFS(BY_TRA!AP$2:AP$999,BY_TRA!$BJ$2:$BJ$999,Transport!$B57),0)</f>
        <v>0</v>
      </c>
      <c r="AI57" s="1">
        <f>IFERROR(SUMIFS(BY_TRA!AQ$2:AQ$999,BY_TRA!$BJ$2:$BJ$999,Transport!$B57,BY_TRA!$BK$2:$BK$999,Transport!$C57)/SUMIFS(BY_TRA!AQ$2:AQ$999,BY_TRA!$BJ$2:$BJ$999,Transport!$B57),0)</f>
        <v>0</v>
      </c>
      <c r="AJ57" s="1">
        <f>IFERROR(SUMIFS(BY_TRA!AR$2:AR$999,BY_TRA!$BJ$2:$BJ$999,Transport!$B57,BY_TRA!$BK$2:$BK$999,Transport!$C57)/SUMIFS(BY_TRA!AR$2:AR$999,BY_TRA!$BJ$2:$BJ$999,Transport!$B57),0)</f>
        <v>0</v>
      </c>
      <c r="AK57" s="1">
        <f>IFERROR(SUMIFS(BY_TRA!AS$2:AS$999,BY_TRA!$BJ$2:$BJ$999,Transport!$B57,BY_TRA!$BK$2:$BK$999,Transport!$C57)/SUMIFS(BY_TRA!AS$2:AS$999,BY_TRA!$BJ$2:$BJ$999,Transport!$B57),0)</f>
        <v>0</v>
      </c>
      <c r="AL57" s="1">
        <f>IFERROR(SUMIFS(BY_TRA!AT$2:AT$999,BY_TRA!$BJ$2:$BJ$999,Transport!$B57,BY_TRA!$BK$2:$BK$999,Transport!$C57)/SUMIFS(BY_TRA!AT$2:AT$999,BY_TRA!$BJ$2:$BJ$999,Transport!$B57),0)</f>
        <v>0</v>
      </c>
      <c r="AM57" s="1">
        <f>IFERROR(SUMIFS(BY_TRA!AU$2:AU$999,BY_TRA!$BJ$2:$BJ$999,Transport!$B57,BY_TRA!$BK$2:$BK$999,Transport!$C57)/SUMIFS(BY_TRA!AU$2:AU$999,BY_TRA!$BJ$2:$BJ$999,Transport!$B57),0)</f>
        <v>0</v>
      </c>
      <c r="AN57" s="1">
        <f>IFERROR(SUMIFS(BY_TRA!AV$2:AV$999,BY_TRA!$BJ$2:$BJ$999,Transport!$B57,BY_TRA!$BK$2:$BK$999,Transport!$C57)/SUMIFS(BY_TRA!AV$2:AV$999,BY_TRA!$BJ$2:$BJ$999,Transport!$B57),0)</f>
        <v>0</v>
      </c>
      <c r="AO57" s="1">
        <f>IFERROR(SUMIFS(BY_TRA!AW$2:AW$999,BY_TRA!$BJ$2:$BJ$999,Transport!$B57,BY_TRA!$BK$2:$BK$999,Transport!$C57)/SUMIFS(BY_TRA!AW$2:AW$999,BY_TRA!$BJ$2:$BJ$999,Transport!$B57),0)</f>
        <v>0</v>
      </c>
      <c r="AP57" s="1">
        <f>IFERROR(SUMIFS(BY_TRA!AX$2:AX$999,BY_TRA!$BJ$2:$BJ$999,Transport!$B57,BY_TRA!$BK$2:$BK$999,Transport!$C57)/SUMIFS(BY_TRA!AX$2:AX$999,BY_TRA!$BJ$2:$BJ$999,Transport!$B57),0)</f>
        <v>0</v>
      </c>
      <c r="AQ57" s="1">
        <f>IFERROR(SUMIFS(BY_TRA!AY$2:AY$999,BY_TRA!$BJ$2:$BJ$999,Transport!$B57,BY_TRA!$BK$2:$BK$999,Transport!$C57)/SUMIFS(BY_TRA!AY$2:AY$999,BY_TRA!$BJ$2:$BJ$999,Transport!$B57),0)</f>
        <v>0</v>
      </c>
      <c r="AR57" s="1">
        <f>IFERROR(SUMIFS(BY_TRA!AZ$2:AZ$999,BY_TRA!$BJ$2:$BJ$999,Transport!$B57,BY_TRA!$BK$2:$BK$999,Transport!$C57)/SUMIFS(BY_TRA!AZ$2:AZ$999,BY_TRA!$BJ$2:$BJ$999,Transport!$B57),0)</f>
        <v>0</v>
      </c>
      <c r="AS57" s="1">
        <f>IFERROR(SUMIFS(BY_TRA!BA$2:BA$999,BY_TRA!$BJ$2:$BJ$999,Transport!$B57,BY_TRA!$BK$2:$BK$999,Transport!$C57)/SUMIFS(BY_TRA!BA$2:BA$999,BY_TRA!$BJ$2:$BJ$999,Transport!$B57),0)</f>
        <v>0</v>
      </c>
      <c r="AT57" s="1">
        <f>IFERROR(SUMIFS(BY_TRA!BB$2:BB$999,BY_TRA!$BJ$2:$BJ$999,Transport!$B57,BY_TRA!$BK$2:$BK$999,Transport!$C57)/SUMIFS(BY_TRA!BB$2:BB$999,BY_TRA!$BJ$2:$BJ$999,Transport!$B57),0)</f>
        <v>0</v>
      </c>
      <c r="AU57" s="1">
        <f>IFERROR(SUMIFS(BY_TRA!BC$2:BC$999,BY_TRA!$BJ$2:$BJ$999,Transport!$B57,BY_TRA!$BK$2:$BK$999,Transport!$C57)/SUMIFS(BY_TRA!BC$2:BC$999,BY_TRA!$BJ$2:$BJ$999,Transport!$B57),0)</f>
        <v>0</v>
      </c>
      <c r="AV57" s="1">
        <f>IFERROR(SUMIFS(BY_TRA!BD$2:BD$999,BY_TRA!$BJ$2:$BJ$999,Transport!$B57,BY_TRA!$BK$2:$BK$999,Transport!$C57)/SUMIFS(BY_TRA!BD$2:BD$999,BY_TRA!$BJ$2:$BJ$999,Transport!$B57),0)</f>
        <v>0</v>
      </c>
      <c r="AW57" s="1">
        <f>IFERROR(SUMIFS(BY_TRA!BE$2:BE$999,BY_TRA!$BJ$2:$BJ$999,Transport!$B57,BY_TRA!$BK$2:$BK$999,Transport!$C57)/SUMIFS(BY_TRA!BE$2:BE$999,BY_TRA!$BJ$2:$BJ$999,Transport!$B57),0)</f>
        <v>0</v>
      </c>
      <c r="AX57" s="1">
        <f>IFERROR(SUMIFS(BY_TRA!BF$2:BF$999,BY_TRA!$BJ$2:$BJ$999,Transport!$B57,BY_TRA!$BK$2:$BK$999,Transport!$C57)/SUMIFS(BY_TRA!BF$2:BF$999,BY_TRA!$BJ$2:$BJ$999,Transport!$B57),0)</f>
        <v>0</v>
      </c>
      <c r="AY57" s="1">
        <f>IFERROR(SUMIFS(BY_TRA!BG$2:BG$999,BY_TRA!$BJ$2:$BJ$999,Transport!$B57,BY_TRA!$BK$2:$BK$999,Transport!$C57)/SUMIFS(BY_TRA!BG$2:BG$999,BY_TRA!$BJ$2:$BJ$999,Transport!$B57),0)</f>
        <v>0</v>
      </c>
    </row>
    <row r="58" spans="2:51">
      <c r="B58" t="s">
        <v>133</v>
      </c>
      <c r="C58" t="s">
        <v>131</v>
      </c>
      <c r="D58" s="1">
        <f>IFERROR(SUMIFS(BY_TRA!L$2:L$999,BY_TRA!$BJ$2:$BJ$999,Transport!$B58,BY_TRA!$BK$2:$BK$999,Transport!$C58)/SUMIFS(BY_TRA!L$2:L$999,BY_TRA!$BJ$2:$BJ$999,Transport!$B58),0)</f>
        <v>0</v>
      </c>
      <c r="E58" s="1">
        <f>IFERROR(SUMIFS(BY_TRA!M$2:M$999,BY_TRA!$BJ$2:$BJ$999,Transport!$B58,BY_TRA!$BK$2:$BK$999,Transport!$C58)/SUMIFS(BY_TRA!M$2:M$999,BY_TRA!$BJ$2:$BJ$999,Transport!$B58),0)</f>
        <v>0</v>
      </c>
      <c r="F58" s="1">
        <f>IFERROR(SUMIFS(BY_TRA!N$2:N$999,BY_TRA!$BJ$2:$BJ$999,Transport!$B58,BY_TRA!$BK$2:$BK$999,Transport!$C58)/SUMIFS(BY_TRA!N$2:N$999,BY_TRA!$BJ$2:$BJ$999,Transport!$B58),0)</f>
        <v>0</v>
      </c>
      <c r="G58" s="1">
        <f>IFERROR(SUMIFS(BY_TRA!O$2:O$999,BY_TRA!$BJ$2:$BJ$999,Transport!$B58,BY_TRA!$BK$2:$BK$999,Transport!$C58)/SUMIFS(BY_TRA!O$2:O$999,BY_TRA!$BJ$2:$BJ$999,Transport!$B58),0)</f>
        <v>0</v>
      </c>
      <c r="H58" s="1">
        <f>IFERROR(SUMIFS(BY_TRA!P$2:P$999,BY_TRA!$BJ$2:$BJ$999,Transport!$B58,BY_TRA!$BK$2:$BK$999,Transport!$C58)/SUMIFS(BY_TRA!P$2:P$999,BY_TRA!$BJ$2:$BJ$999,Transport!$B58),0)</f>
        <v>0</v>
      </c>
      <c r="I58" s="1">
        <f>IFERROR(SUMIFS(BY_TRA!Q$2:Q$999,BY_TRA!$BJ$2:$BJ$999,Transport!$B58,BY_TRA!$BK$2:$BK$999,Transport!$C58)/SUMIFS(BY_TRA!Q$2:Q$999,BY_TRA!$BJ$2:$BJ$999,Transport!$B58),0)</f>
        <v>0</v>
      </c>
      <c r="J58" s="1">
        <f>IFERROR(SUMIFS(BY_TRA!R$2:R$999,BY_TRA!$BJ$2:$BJ$999,Transport!$B58,BY_TRA!$BK$2:$BK$999,Transport!$C58)/SUMIFS(BY_TRA!R$2:R$999,BY_TRA!$BJ$2:$BJ$999,Transport!$B58),0)</f>
        <v>0</v>
      </c>
      <c r="K58" s="1">
        <f>IFERROR(SUMIFS(BY_TRA!S$2:S$999,BY_TRA!$BJ$2:$BJ$999,Transport!$B58,BY_TRA!$BK$2:$BK$999,Transport!$C58)/SUMIFS(BY_TRA!S$2:S$999,BY_TRA!$BJ$2:$BJ$999,Transport!$B58),0)</f>
        <v>0</v>
      </c>
      <c r="L58" s="1">
        <f>IFERROR(SUMIFS(BY_TRA!T$2:T$999,BY_TRA!$BJ$2:$BJ$999,Transport!$B58,BY_TRA!$BK$2:$BK$999,Transport!$C58)/SUMIFS(BY_TRA!T$2:T$999,BY_TRA!$BJ$2:$BJ$999,Transport!$B58),0)</f>
        <v>0</v>
      </c>
      <c r="M58" s="1">
        <f>IFERROR(SUMIFS(BY_TRA!U$2:U$999,BY_TRA!$BJ$2:$BJ$999,Transport!$B58,BY_TRA!$BK$2:$BK$999,Transport!$C58)/SUMIFS(BY_TRA!U$2:U$999,BY_TRA!$BJ$2:$BJ$999,Transport!$B58),0)</f>
        <v>0</v>
      </c>
      <c r="N58" s="1">
        <f>IFERROR(SUMIFS(BY_TRA!V$2:V$999,BY_TRA!$BJ$2:$BJ$999,Transport!$B58,BY_TRA!$BK$2:$BK$999,Transport!$C58)/SUMIFS(BY_TRA!V$2:V$999,BY_TRA!$BJ$2:$BJ$999,Transport!$B58),0)</f>
        <v>0</v>
      </c>
      <c r="O58" s="1">
        <f>IFERROR(SUMIFS(BY_TRA!W$2:W$999,BY_TRA!$BJ$2:$BJ$999,Transport!$B58,BY_TRA!$BK$2:$BK$999,Transport!$C58)/SUMIFS(BY_TRA!W$2:W$999,BY_TRA!$BJ$2:$BJ$999,Transport!$B58),0)</f>
        <v>0</v>
      </c>
      <c r="P58" s="1">
        <f>IFERROR(SUMIFS(BY_TRA!X$2:X$999,BY_TRA!$BJ$2:$BJ$999,Transport!$B58,BY_TRA!$BK$2:$BK$999,Transport!$C58)/SUMIFS(BY_TRA!X$2:X$999,BY_TRA!$BJ$2:$BJ$999,Transport!$B58),0)</f>
        <v>0</v>
      </c>
      <c r="Q58" s="1">
        <f>IFERROR(SUMIFS(BY_TRA!Y$2:Y$999,BY_TRA!$BJ$2:$BJ$999,Transport!$B58,BY_TRA!$BK$2:$BK$999,Transport!$C58)/SUMIFS(BY_TRA!Y$2:Y$999,BY_TRA!$BJ$2:$BJ$999,Transport!$B58),0)</f>
        <v>0</v>
      </c>
      <c r="R58" s="1">
        <f>IFERROR(SUMIFS(BY_TRA!Z$2:Z$999,BY_TRA!$BJ$2:$BJ$999,Transport!$B58,BY_TRA!$BK$2:$BK$999,Transport!$C58)/SUMIFS(BY_TRA!Z$2:Z$999,BY_TRA!$BJ$2:$BJ$999,Transport!$B58),0)</f>
        <v>0</v>
      </c>
      <c r="S58" s="1">
        <f>IFERROR(SUMIFS(BY_TRA!AA$2:AA$999,BY_TRA!$BJ$2:$BJ$999,Transport!$B58,BY_TRA!$BK$2:$BK$999,Transport!$C58)/SUMIFS(BY_TRA!AA$2:AA$999,BY_TRA!$BJ$2:$BJ$999,Transport!$B58),0)</f>
        <v>0</v>
      </c>
      <c r="T58" s="1">
        <f>IFERROR(SUMIFS(BY_TRA!AB$2:AB$999,BY_TRA!$BJ$2:$BJ$999,Transport!$B58,BY_TRA!$BK$2:$BK$999,Transport!$C58)/SUMIFS(BY_TRA!AB$2:AB$999,BY_TRA!$BJ$2:$BJ$999,Transport!$B58),0)</f>
        <v>0</v>
      </c>
      <c r="U58" s="1">
        <f>IFERROR(SUMIFS(BY_TRA!AC$2:AC$999,BY_TRA!$BJ$2:$BJ$999,Transport!$B58,BY_TRA!$BK$2:$BK$999,Transport!$C58)/SUMIFS(BY_TRA!AC$2:AC$999,BY_TRA!$BJ$2:$BJ$999,Transport!$B58),0)</f>
        <v>0</v>
      </c>
      <c r="V58" s="1">
        <f>IFERROR(SUMIFS(BY_TRA!AD$2:AD$999,BY_TRA!$BJ$2:$BJ$999,Transport!$B58,BY_TRA!$BK$2:$BK$999,Transport!$C58)/SUMIFS(BY_TRA!AD$2:AD$999,BY_TRA!$BJ$2:$BJ$999,Transport!$B58),0)</f>
        <v>0</v>
      </c>
      <c r="W58" s="1">
        <f>IFERROR(SUMIFS(BY_TRA!AE$2:AE$999,BY_TRA!$BJ$2:$BJ$999,Transport!$B58,BY_TRA!$BK$2:$BK$999,Transport!$C58)/SUMIFS(BY_TRA!AE$2:AE$999,BY_TRA!$BJ$2:$BJ$999,Transport!$B58),0)</f>
        <v>0</v>
      </c>
      <c r="X58" s="1">
        <f>IFERROR(SUMIFS(BY_TRA!AF$2:AF$999,BY_TRA!$BJ$2:$BJ$999,Transport!$B58,BY_TRA!$BK$2:$BK$999,Transport!$C58)/SUMIFS(BY_TRA!AF$2:AF$999,BY_TRA!$BJ$2:$BJ$999,Transport!$B58),0)</f>
        <v>0</v>
      </c>
      <c r="Y58" s="1">
        <f>IFERROR(SUMIFS(BY_TRA!AG$2:AG$999,BY_TRA!$BJ$2:$BJ$999,Transport!$B58,BY_TRA!$BK$2:$BK$999,Transport!$C58)/SUMIFS(BY_TRA!AG$2:AG$999,BY_TRA!$BJ$2:$BJ$999,Transport!$B58),0)</f>
        <v>0</v>
      </c>
      <c r="Z58" s="1">
        <f>IFERROR(SUMIFS(BY_TRA!AH$2:AH$999,BY_TRA!$BJ$2:$BJ$999,Transport!$B58,BY_TRA!$BK$2:$BK$999,Transport!$C58)/SUMIFS(BY_TRA!AH$2:AH$999,BY_TRA!$BJ$2:$BJ$999,Transport!$B58),0)</f>
        <v>0</v>
      </c>
      <c r="AA58" s="1">
        <f>IFERROR(SUMIFS(BY_TRA!AI$2:AI$999,BY_TRA!$BJ$2:$BJ$999,Transport!$B58,BY_TRA!$BK$2:$BK$999,Transport!$C58)/SUMIFS(BY_TRA!AI$2:AI$999,BY_TRA!$BJ$2:$BJ$999,Transport!$B58),0)</f>
        <v>0</v>
      </c>
      <c r="AB58" s="1">
        <f>IFERROR(SUMIFS(BY_TRA!AJ$2:AJ$999,BY_TRA!$BJ$2:$BJ$999,Transport!$B58,BY_TRA!$BK$2:$BK$999,Transport!$C58)/SUMIFS(BY_TRA!AJ$2:AJ$999,BY_TRA!$BJ$2:$BJ$999,Transport!$B58),0)</f>
        <v>0</v>
      </c>
      <c r="AC58" s="1">
        <f>IFERROR(SUMIFS(BY_TRA!AK$2:AK$999,BY_TRA!$BJ$2:$BJ$999,Transport!$B58,BY_TRA!$BK$2:$BK$999,Transport!$C58)/SUMIFS(BY_TRA!AK$2:AK$999,BY_TRA!$BJ$2:$BJ$999,Transport!$B58),0)</f>
        <v>0</v>
      </c>
      <c r="AD58" s="1">
        <f>IFERROR(SUMIFS(BY_TRA!AL$2:AL$999,BY_TRA!$BJ$2:$BJ$999,Transport!$B58,BY_TRA!$BK$2:$BK$999,Transport!$C58)/SUMIFS(BY_TRA!AL$2:AL$999,BY_TRA!$BJ$2:$BJ$999,Transport!$B58),0)</f>
        <v>0</v>
      </c>
      <c r="AE58" s="1">
        <f>IFERROR(SUMIFS(BY_TRA!AM$2:AM$999,BY_TRA!$BJ$2:$BJ$999,Transport!$B58,BY_TRA!$BK$2:$BK$999,Transport!$C58)/SUMIFS(BY_TRA!AM$2:AM$999,BY_TRA!$BJ$2:$BJ$999,Transport!$B58),0)</f>
        <v>0</v>
      </c>
      <c r="AF58" s="1">
        <f>IFERROR(SUMIFS(BY_TRA!AN$2:AN$999,BY_TRA!$BJ$2:$BJ$999,Transport!$B58,BY_TRA!$BK$2:$BK$999,Transport!$C58)/SUMIFS(BY_TRA!AN$2:AN$999,BY_TRA!$BJ$2:$BJ$999,Transport!$B58),0)</f>
        <v>0</v>
      </c>
      <c r="AG58" s="1">
        <f>IFERROR(SUMIFS(BY_TRA!AO$2:AO$999,BY_TRA!$BJ$2:$BJ$999,Transport!$B58,BY_TRA!$BK$2:$BK$999,Transport!$C58)/SUMIFS(BY_TRA!AO$2:AO$999,BY_TRA!$BJ$2:$BJ$999,Transport!$B58),0)</f>
        <v>0</v>
      </c>
      <c r="AH58" s="1">
        <f>IFERROR(SUMIFS(BY_TRA!AP$2:AP$999,BY_TRA!$BJ$2:$BJ$999,Transport!$B58,BY_TRA!$BK$2:$BK$999,Transport!$C58)/SUMIFS(BY_TRA!AP$2:AP$999,BY_TRA!$BJ$2:$BJ$999,Transport!$B58),0)</f>
        <v>0</v>
      </c>
      <c r="AI58" s="1">
        <f>IFERROR(SUMIFS(BY_TRA!AQ$2:AQ$999,BY_TRA!$BJ$2:$BJ$999,Transport!$B58,BY_TRA!$BK$2:$BK$999,Transport!$C58)/SUMIFS(BY_TRA!AQ$2:AQ$999,BY_TRA!$BJ$2:$BJ$999,Transport!$B58),0)</f>
        <v>0</v>
      </c>
      <c r="AJ58" s="1">
        <f>IFERROR(SUMIFS(BY_TRA!AR$2:AR$999,BY_TRA!$BJ$2:$BJ$999,Transport!$B58,BY_TRA!$BK$2:$BK$999,Transport!$C58)/SUMIFS(BY_TRA!AR$2:AR$999,BY_TRA!$BJ$2:$BJ$999,Transport!$B58),0)</f>
        <v>0</v>
      </c>
      <c r="AK58" s="1">
        <f>IFERROR(SUMIFS(BY_TRA!AS$2:AS$999,BY_TRA!$BJ$2:$BJ$999,Transport!$B58,BY_TRA!$BK$2:$BK$999,Transport!$C58)/SUMIFS(BY_TRA!AS$2:AS$999,BY_TRA!$BJ$2:$BJ$999,Transport!$B58),0)</f>
        <v>0</v>
      </c>
      <c r="AL58" s="1">
        <f>IFERROR(SUMIFS(BY_TRA!AT$2:AT$999,BY_TRA!$BJ$2:$BJ$999,Transport!$B58,BY_TRA!$BK$2:$BK$999,Transport!$C58)/SUMIFS(BY_TRA!AT$2:AT$999,BY_TRA!$BJ$2:$BJ$999,Transport!$B58),0)</f>
        <v>0</v>
      </c>
      <c r="AM58" s="1">
        <f>IFERROR(SUMIFS(BY_TRA!AU$2:AU$999,BY_TRA!$BJ$2:$BJ$999,Transport!$B58,BY_TRA!$BK$2:$BK$999,Transport!$C58)/SUMIFS(BY_TRA!AU$2:AU$999,BY_TRA!$BJ$2:$BJ$999,Transport!$B58),0)</f>
        <v>0</v>
      </c>
      <c r="AN58" s="1">
        <f>IFERROR(SUMIFS(BY_TRA!AV$2:AV$999,BY_TRA!$BJ$2:$BJ$999,Transport!$B58,BY_TRA!$BK$2:$BK$999,Transport!$C58)/SUMIFS(BY_TRA!AV$2:AV$999,BY_TRA!$BJ$2:$BJ$999,Transport!$B58),0)</f>
        <v>0</v>
      </c>
      <c r="AO58" s="1">
        <f>IFERROR(SUMIFS(BY_TRA!AW$2:AW$999,BY_TRA!$BJ$2:$BJ$999,Transport!$B58,BY_TRA!$BK$2:$BK$999,Transport!$C58)/SUMIFS(BY_TRA!AW$2:AW$999,BY_TRA!$BJ$2:$BJ$999,Transport!$B58),0)</f>
        <v>0</v>
      </c>
      <c r="AP58" s="1">
        <f>IFERROR(SUMIFS(BY_TRA!AX$2:AX$999,BY_TRA!$BJ$2:$BJ$999,Transport!$B58,BY_TRA!$BK$2:$BK$999,Transport!$C58)/SUMIFS(BY_TRA!AX$2:AX$999,BY_TRA!$BJ$2:$BJ$999,Transport!$B58),0)</f>
        <v>0</v>
      </c>
      <c r="AQ58" s="1">
        <f>IFERROR(SUMIFS(BY_TRA!AY$2:AY$999,BY_TRA!$BJ$2:$BJ$999,Transport!$B58,BY_TRA!$BK$2:$BK$999,Transport!$C58)/SUMIFS(BY_TRA!AY$2:AY$999,BY_TRA!$BJ$2:$BJ$999,Transport!$B58),0)</f>
        <v>0</v>
      </c>
      <c r="AR58" s="1">
        <f>IFERROR(SUMIFS(BY_TRA!AZ$2:AZ$999,BY_TRA!$BJ$2:$BJ$999,Transport!$B58,BY_TRA!$BK$2:$BK$999,Transport!$C58)/SUMIFS(BY_TRA!AZ$2:AZ$999,BY_TRA!$BJ$2:$BJ$999,Transport!$B58),0)</f>
        <v>0</v>
      </c>
      <c r="AS58" s="1">
        <f>IFERROR(SUMIFS(BY_TRA!BA$2:BA$999,BY_TRA!$BJ$2:$BJ$999,Transport!$B58,BY_TRA!$BK$2:$BK$999,Transport!$C58)/SUMIFS(BY_TRA!BA$2:BA$999,BY_TRA!$BJ$2:$BJ$999,Transport!$B58),0)</f>
        <v>0</v>
      </c>
      <c r="AT58" s="1">
        <f>IFERROR(SUMIFS(BY_TRA!BB$2:BB$999,BY_TRA!$BJ$2:$BJ$999,Transport!$B58,BY_TRA!$BK$2:$BK$999,Transport!$C58)/SUMIFS(BY_TRA!BB$2:BB$999,BY_TRA!$BJ$2:$BJ$999,Transport!$B58),0)</f>
        <v>0</v>
      </c>
      <c r="AU58" s="1">
        <f>IFERROR(SUMIFS(BY_TRA!BC$2:BC$999,BY_TRA!$BJ$2:$BJ$999,Transport!$B58,BY_TRA!$BK$2:$BK$999,Transport!$C58)/SUMIFS(BY_TRA!BC$2:BC$999,BY_TRA!$BJ$2:$BJ$999,Transport!$B58),0)</f>
        <v>0</v>
      </c>
      <c r="AV58" s="1">
        <f>IFERROR(SUMIFS(BY_TRA!BD$2:BD$999,BY_TRA!$BJ$2:$BJ$999,Transport!$B58,BY_TRA!$BK$2:$BK$999,Transport!$C58)/SUMIFS(BY_TRA!BD$2:BD$999,BY_TRA!$BJ$2:$BJ$999,Transport!$B58),0)</f>
        <v>0</v>
      </c>
      <c r="AW58" s="1">
        <f>IFERROR(SUMIFS(BY_TRA!BE$2:BE$999,BY_TRA!$BJ$2:$BJ$999,Transport!$B58,BY_TRA!$BK$2:$BK$999,Transport!$C58)/SUMIFS(BY_TRA!BE$2:BE$999,BY_TRA!$BJ$2:$BJ$999,Transport!$B58),0)</f>
        <v>0</v>
      </c>
      <c r="AX58" s="1">
        <f>IFERROR(SUMIFS(BY_TRA!BF$2:BF$999,BY_TRA!$BJ$2:$BJ$999,Transport!$B58,BY_TRA!$BK$2:$BK$999,Transport!$C58)/SUMIFS(BY_TRA!BF$2:BF$999,BY_TRA!$BJ$2:$BJ$999,Transport!$B58),0)</f>
        <v>0</v>
      </c>
      <c r="AY58" s="1">
        <f>IFERROR(SUMIFS(BY_TRA!BG$2:BG$999,BY_TRA!$BJ$2:$BJ$999,Transport!$B58,BY_TRA!$BK$2:$BK$999,Transport!$C58)/SUMIFS(BY_TRA!BG$2:BG$999,BY_TRA!$BJ$2:$BJ$999,Transport!$B58),0)</f>
        <v>0</v>
      </c>
    </row>
    <row r="59" spans="2:51">
      <c r="B59" t="s">
        <v>134</v>
      </c>
      <c r="C59" t="s">
        <v>126</v>
      </c>
      <c r="D59" s="1">
        <f>IFERROR(SUMIFS(BY_TRA!L$2:L$999,BY_TRA!$BJ$2:$BJ$999,Transport!$B59,BY_TRA!$BK$2:$BK$999,Transport!$C59)/SUMIFS(BY_TRA!L$2:L$999,BY_TRA!$BJ$2:$BJ$999,Transport!$B59),0)</f>
        <v>0</v>
      </c>
      <c r="E59" s="1">
        <f>IFERROR(SUMIFS(BY_TRA!M$2:M$999,BY_TRA!$BJ$2:$BJ$999,Transport!$B59,BY_TRA!$BK$2:$BK$999,Transport!$C59)/SUMIFS(BY_TRA!M$2:M$999,BY_TRA!$BJ$2:$BJ$999,Transport!$B59),0)</f>
        <v>0</v>
      </c>
      <c r="F59" s="1">
        <f>IFERROR(SUMIFS(BY_TRA!N$2:N$999,BY_TRA!$BJ$2:$BJ$999,Transport!$B59,BY_TRA!$BK$2:$BK$999,Transport!$C59)/SUMIFS(BY_TRA!N$2:N$999,BY_TRA!$BJ$2:$BJ$999,Transport!$B59),0)</f>
        <v>0</v>
      </c>
      <c r="G59" s="1">
        <f>IFERROR(SUMIFS(BY_TRA!O$2:O$999,BY_TRA!$BJ$2:$BJ$999,Transport!$B59,BY_TRA!$BK$2:$BK$999,Transport!$C59)/SUMIFS(BY_TRA!O$2:O$999,BY_TRA!$BJ$2:$BJ$999,Transport!$B59),0)</f>
        <v>0</v>
      </c>
      <c r="H59" s="1">
        <f>IFERROR(SUMIFS(BY_TRA!P$2:P$999,BY_TRA!$BJ$2:$BJ$999,Transport!$B59,BY_TRA!$BK$2:$BK$999,Transport!$C59)/SUMIFS(BY_TRA!P$2:P$999,BY_TRA!$BJ$2:$BJ$999,Transport!$B59),0)</f>
        <v>0</v>
      </c>
      <c r="I59" s="1">
        <f>IFERROR(SUMIFS(BY_TRA!Q$2:Q$999,BY_TRA!$BJ$2:$BJ$999,Transport!$B59,BY_TRA!$BK$2:$BK$999,Transport!$C59)/SUMIFS(BY_TRA!Q$2:Q$999,BY_TRA!$BJ$2:$BJ$999,Transport!$B59),0)</f>
        <v>0</v>
      </c>
      <c r="J59" s="1">
        <f>IFERROR(SUMIFS(BY_TRA!R$2:R$999,BY_TRA!$BJ$2:$BJ$999,Transport!$B59,BY_TRA!$BK$2:$BK$999,Transport!$C59)/SUMIFS(BY_TRA!R$2:R$999,BY_TRA!$BJ$2:$BJ$999,Transport!$B59),0)</f>
        <v>0</v>
      </c>
      <c r="K59" s="1">
        <f>IFERROR(SUMIFS(BY_TRA!S$2:S$999,BY_TRA!$BJ$2:$BJ$999,Transport!$B59,BY_TRA!$BK$2:$BK$999,Transport!$C59)/SUMIFS(BY_TRA!S$2:S$999,BY_TRA!$BJ$2:$BJ$999,Transport!$B59),0)</f>
        <v>0</v>
      </c>
      <c r="L59" s="1">
        <f>IFERROR(SUMIFS(BY_TRA!T$2:T$999,BY_TRA!$BJ$2:$BJ$999,Transport!$B59,BY_TRA!$BK$2:$BK$999,Transport!$C59)/SUMIFS(BY_TRA!T$2:T$999,BY_TRA!$BJ$2:$BJ$999,Transport!$B59),0)</f>
        <v>0</v>
      </c>
      <c r="M59" s="1">
        <f>IFERROR(SUMIFS(BY_TRA!U$2:U$999,BY_TRA!$BJ$2:$BJ$999,Transport!$B59,BY_TRA!$BK$2:$BK$999,Transport!$C59)/SUMIFS(BY_TRA!U$2:U$999,BY_TRA!$BJ$2:$BJ$999,Transport!$B59),0)</f>
        <v>0</v>
      </c>
      <c r="N59" s="1">
        <f>IFERROR(SUMIFS(BY_TRA!V$2:V$999,BY_TRA!$BJ$2:$BJ$999,Transport!$B59,BY_TRA!$BK$2:$BK$999,Transport!$C59)/SUMIFS(BY_TRA!V$2:V$999,BY_TRA!$BJ$2:$BJ$999,Transport!$B59),0)</f>
        <v>0</v>
      </c>
      <c r="O59" s="1">
        <f>IFERROR(SUMIFS(BY_TRA!W$2:W$999,BY_TRA!$BJ$2:$BJ$999,Transport!$B59,BY_TRA!$BK$2:$BK$999,Transport!$C59)/SUMIFS(BY_TRA!W$2:W$999,BY_TRA!$BJ$2:$BJ$999,Transport!$B59),0)</f>
        <v>0</v>
      </c>
      <c r="P59" s="1">
        <f>IFERROR(SUMIFS(BY_TRA!X$2:X$999,BY_TRA!$BJ$2:$BJ$999,Transport!$B59,BY_TRA!$BK$2:$BK$999,Transport!$C59)/SUMIFS(BY_TRA!X$2:X$999,BY_TRA!$BJ$2:$BJ$999,Transport!$B59),0)</f>
        <v>0</v>
      </c>
      <c r="Q59" s="1">
        <f>IFERROR(SUMIFS(BY_TRA!Y$2:Y$999,BY_TRA!$BJ$2:$BJ$999,Transport!$B59,BY_TRA!$BK$2:$BK$999,Transport!$C59)/SUMIFS(BY_TRA!Y$2:Y$999,BY_TRA!$BJ$2:$BJ$999,Transport!$B59),0)</f>
        <v>0</v>
      </c>
      <c r="R59" s="1">
        <f>IFERROR(SUMIFS(BY_TRA!Z$2:Z$999,BY_TRA!$BJ$2:$BJ$999,Transport!$B59,BY_TRA!$BK$2:$BK$999,Transport!$C59)/SUMIFS(BY_TRA!Z$2:Z$999,BY_TRA!$BJ$2:$BJ$999,Transport!$B59),0)</f>
        <v>0</v>
      </c>
      <c r="S59" s="1">
        <f>IFERROR(SUMIFS(BY_TRA!AA$2:AA$999,BY_TRA!$BJ$2:$BJ$999,Transport!$B59,BY_TRA!$BK$2:$BK$999,Transport!$C59)/SUMIFS(BY_TRA!AA$2:AA$999,BY_TRA!$BJ$2:$BJ$999,Transport!$B59),0)</f>
        <v>0</v>
      </c>
      <c r="T59" s="1">
        <f>IFERROR(SUMIFS(BY_TRA!AB$2:AB$999,BY_TRA!$BJ$2:$BJ$999,Transport!$B59,BY_TRA!$BK$2:$BK$999,Transport!$C59)/SUMIFS(BY_TRA!AB$2:AB$999,BY_TRA!$BJ$2:$BJ$999,Transport!$B59),0)</f>
        <v>0</v>
      </c>
      <c r="U59" s="1">
        <f>IFERROR(SUMIFS(BY_TRA!AC$2:AC$999,BY_TRA!$BJ$2:$BJ$999,Transport!$B59,BY_TRA!$BK$2:$BK$999,Transport!$C59)/SUMIFS(BY_TRA!AC$2:AC$999,BY_TRA!$BJ$2:$BJ$999,Transport!$B59),0)</f>
        <v>0</v>
      </c>
      <c r="V59" s="1">
        <f>IFERROR(SUMIFS(BY_TRA!AD$2:AD$999,BY_TRA!$BJ$2:$BJ$999,Transport!$B59,BY_TRA!$BK$2:$BK$999,Transport!$C59)/SUMIFS(BY_TRA!AD$2:AD$999,BY_TRA!$BJ$2:$BJ$999,Transport!$B59),0)</f>
        <v>0</v>
      </c>
      <c r="W59" s="1">
        <f>IFERROR(SUMIFS(BY_TRA!AE$2:AE$999,BY_TRA!$BJ$2:$BJ$999,Transport!$B59,BY_TRA!$BK$2:$BK$999,Transport!$C59)/SUMIFS(BY_TRA!AE$2:AE$999,BY_TRA!$BJ$2:$BJ$999,Transport!$B59),0)</f>
        <v>0</v>
      </c>
      <c r="X59" s="1">
        <f>IFERROR(SUMIFS(BY_TRA!AF$2:AF$999,BY_TRA!$BJ$2:$BJ$999,Transport!$B59,BY_TRA!$BK$2:$BK$999,Transport!$C59)/SUMIFS(BY_TRA!AF$2:AF$999,BY_TRA!$BJ$2:$BJ$999,Transport!$B59),0)</f>
        <v>0</v>
      </c>
      <c r="Y59" s="1">
        <f>IFERROR(SUMIFS(BY_TRA!AG$2:AG$999,BY_TRA!$BJ$2:$BJ$999,Transport!$B59,BY_TRA!$BK$2:$BK$999,Transport!$C59)/SUMIFS(BY_TRA!AG$2:AG$999,BY_TRA!$BJ$2:$BJ$999,Transport!$B59),0)</f>
        <v>0</v>
      </c>
      <c r="Z59" s="1">
        <f>IFERROR(SUMIFS(BY_TRA!AH$2:AH$999,BY_TRA!$BJ$2:$BJ$999,Transport!$B59,BY_TRA!$BK$2:$BK$999,Transport!$C59)/SUMIFS(BY_TRA!AH$2:AH$999,BY_TRA!$BJ$2:$BJ$999,Transport!$B59),0)</f>
        <v>0</v>
      </c>
      <c r="AA59" s="1">
        <f>IFERROR(SUMIFS(BY_TRA!AI$2:AI$999,BY_TRA!$BJ$2:$BJ$999,Transport!$B59,BY_TRA!$BK$2:$BK$999,Transport!$C59)/SUMIFS(BY_TRA!AI$2:AI$999,BY_TRA!$BJ$2:$BJ$999,Transport!$B59),0)</f>
        <v>0</v>
      </c>
      <c r="AB59" s="1">
        <f>IFERROR(SUMIFS(BY_TRA!AJ$2:AJ$999,BY_TRA!$BJ$2:$BJ$999,Transport!$B59,BY_TRA!$BK$2:$BK$999,Transport!$C59)/SUMIFS(BY_TRA!AJ$2:AJ$999,BY_TRA!$BJ$2:$BJ$999,Transport!$B59),0)</f>
        <v>0</v>
      </c>
      <c r="AC59" s="1">
        <f>IFERROR(SUMIFS(BY_TRA!AK$2:AK$999,BY_TRA!$BJ$2:$BJ$999,Transport!$B59,BY_TRA!$BK$2:$BK$999,Transport!$C59)/SUMIFS(BY_TRA!AK$2:AK$999,BY_TRA!$BJ$2:$BJ$999,Transport!$B59),0)</f>
        <v>0</v>
      </c>
      <c r="AD59" s="1">
        <f>IFERROR(SUMIFS(BY_TRA!AL$2:AL$999,BY_TRA!$BJ$2:$BJ$999,Transport!$B59,BY_TRA!$BK$2:$BK$999,Transport!$C59)/SUMIFS(BY_TRA!AL$2:AL$999,BY_TRA!$BJ$2:$BJ$999,Transport!$B59),0)</f>
        <v>0</v>
      </c>
      <c r="AE59" s="1">
        <f>IFERROR(SUMIFS(BY_TRA!AM$2:AM$999,BY_TRA!$BJ$2:$BJ$999,Transport!$B59,BY_TRA!$BK$2:$BK$999,Transport!$C59)/SUMIFS(BY_TRA!AM$2:AM$999,BY_TRA!$BJ$2:$BJ$999,Transport!$B59),0)</f>
        <v>0</v>
      </c>
      <c r="AF59" s="1">
        <f>IFERROR(SUMIFS(BY_TRA!AN$2:AN$999,BY_TRA!$BJ$2:$BJ$999,Transport!$B59,BY_TRA!$BK$2:$BK$999,Transport!$C59)/SUMIFS(BY_TRA!AN$2:AN$999,BY_TRA!$BJ$2:$BJ$999,Transport!$B59),0)</f>
        <v>0</v>
      </c>
      <c r="AG59" s="1">
        <f>IFERROR(SUMIFS(BY_TRA!AO$2:AO$999,BY_TRA!$BJ$2:$BJ$999,Transport!$B59,BY_TRA!$BK$2:$BK$999,Transport!$C59)/SUMIFS(BY_TRA!AO$2:AO$999,BY_TRA!$BJ$2:$BJ$999,Transport!$B59),0)</f>
        <v>0</v>
      </c>
      <c r="AH59" s="1">
        <f>IFERROR(SUMIFS(BY_TRA!AP$2:AP$999,BY_TRA!$BJ$2:$BJ$999,Transport!$B59,BY_TRA!$BK$2:$BK$999,Transport!$C59)/SUMIFS(BY_TRA!AP$2:AP$999,BY_TRA!$BJ$2:$BJ$999,Transport!$B59),0)</f>
        <v>0</v>
      </c>
      <c r="AI59" s="1">
        <f>IFERROR(SUMIFS(BY_TRA!AQ$2:AQ$999,BY_TRA!$BJ$2:$BJ$999,Transport!$B59,BY_TRA!$BK$2:$BK$999,Transport!$C59)/SUMIFS(BY_TRA!AQ$2:AQ$999,BY_TRA!$BJ$2:$BJ$999,Transport!$B59),0)</f>
        <v>0</v>
      </c>
      <c r="AJ59" s="1">
        <f>IFERROR(SUMIFS(BY_TRA!AR$2:AR$999,BY_TRA!$BJ$2:$BJ$999,Transport!$B59,BY_TRA!$BK$2:$BK$999,Transport!$C59)/SUMIFS(BY_TRA!AR$2:AR$999,BY_TRA!$BJ$2:$BJ$999,Transport!$B59),0)</f>
        <v>0</v>
      </c>
      <c r="AK59" s="1">
        <f>IFERROR(SUMIFS(BY_TRA!AS$2:AS$999,BY_TRA!$BJ$2:$BJ$999,Transport!$B59,BY_TRA!$BK$2:$BK$999,Transport!$C59)/SUMIFS(BY_TRA!AS$2:AS$999,BY_TRA!$BJ$2:$BJ$999,Transport!$B59),0)</f>
        <v>0</v>
      </c>
      <c r="AL59" s="1">
        <f>IFERROR(SUMIFS(BY_TRA!AT$2:AT$999,BY_TRA!$BJ$2:$BJ$999,Transport!$B59,BY_TRA!$BK$2:$BK$999,Transport!$C59)/SUMIFS(BY_TRA!AT$2:AT$999,BY_TRA!$BJ$2:$BJ$999,Transport!$B59),0)</f>
        <v>0</v>
      </c>
      <c r="AM59" s="1">
        <f>IFERROR(SUMIFS(BY_TRA!AU$2:AU$999,BY_TRA!$BJ$2:$BJ$999,Transport!$B59,BY_TRA!$BK$2:$BK$999,Transport!$C59)/SUMIFS(BY_TRA!AU$2:AU$999,BY_TRA!$BJ$2:$BJ$999,Transport!$B59),0)</f>
        <v>0</v>
      </c>
      <c r="AN59" s="1">
        <f>IFERROR(SUMIFS(BY_TRA!AV$2:AV$999,BY_TRA!$BJ$2:$BJ$999,Transport!$B59,BY_TRA!$BK$2:$BK$999,Transport!$C59)/SUMIFS(BY_TRA!AV$2:AV$999,BY_TRA!$BJ$2:$BJ$999,Transport!$B59),0)</f>
        <v>0</v>
      </c>
      <c r="AO59" s="1">
        <f>IFERROR(SUMIFS(BY_TRA!AW$2:AW$999,BY_TRA!$BJ$2:$BJ$999,Transport!$B59,BY_TRA!$BK$2:$BK$999,Transport!$C59)/SUMIFS(BY_TRA!AW$2:AW$999,BY_TRA!$BJ$2:$BJ$999,Transport!$B59),0)</f>
        <v>0</v>
      </c>
      <c r="AP59" s="1">
        <f>IFERROR(SUMIFS(BY_TRA!AX$2:AX$999,BY_TRA!$BJ$2:$BJ$999,Transport!$B59,BY_TRA!$BK$2:$BK$999,Transport!$C59)/SUMIFS(BY_TRA!AX$2:AX$999,BY_TRA!$BJ$2:$BJ$999,Transport!$B59),0)</f>
        <v>0</v>
      </c>
      <c r="AQ59" s="1">
        <f>IFERROR(SUMIFS(BY_TRA!AY$2:AY$999,BY_TRA!$BJ$2:$BJ$999,Transport!$B59,BY_TRA!$BK$2:$BK$999,Transport!$C59)/SUMIFS(BY_TRA!AY$2:AY$999,BY_TRA!$BJ$2:$BJ$999,Transport!$B59),0)</f>
        <v>0</v>
      </c>
      <c r="AR59" s="1">
        <f>IFERROR(SUMIFS(BY_TRA!AZ$2:AZ$999,BY_TRA!$BJ$2:$BJ$999,Transport!$B59,BY_TRA!$BK$2:$BK$999,Transport!$C59)/SUMIFS(BY_TRA!AZ$2:AZ$999,BY_TRA!$BJ$2:$BJ$999,Transport!$B59),0)</f>
        <v>0</v>
      </c>
      <c r="AS59" s="1">
        <f>IFERROR(SUMIFS(BY_TRA!BA$2:BA$999,BY_TRA!$BJ$2:$BJ$999,Transport!$B59,BY_TRA!$BK$2:$BK$999,Transport!$C59)/SUMIFS(BY_TRA!BA$2:BA$999,BY_TRA!$BJ$2:$BJ$999,Transport!$B59),0)</f>
        <v>0</v>
      </c>
      <c r="AT59" s="1">
        <f>IFERROR(SUMIFS(BY_TRA!BB$2:BB$999,BY_TRA!$BJ$2:$BJ$999,Transport!$B59,BY_TRA!$BK$2:$BK$999,Transport!$C59)/SUMIFS(BY_TRA!BB$2:BB$999,BY_TRA!$BJ$2:$BJ$999,Transport!$B59),0)</f>
        <v>0</v>
      </c>
      <c r="AU59" s="1">
        <f>IFERROR(SUMIFS(BY_TRA!BC$2:BC$999,BY_TRA!$BJ$2:$BJ$999,Transport!$B59,BY_TRA!$BK$2:$BK$999,Transport!$C59)/SUMIFS(BY_TRA!BC$2:BC$999,BY_TRA!$BJ$2:$BJ$999,Transport!$B59),0)</f>
        <v>0</v>
      </c>
      <c r="AV59" s="1">
        <f>IFERROR(SUMIFS(BY_TRA!BD$2:BD$999,BY_TRA!$BJ$2:$BJ$999,Transport!$B59,BY_TRA!$BK$2:$BK$999,Transport!$C59)/SUMIFS(BY_TRA!BD$2:BD$999,BY_TRA!$BJ$2:$BJ$999,Transport!$B59),0)</f>
        <v>0</v>
      </c>
      <c r="AW59" s="1">
        <f>IFERROR(SUMIFS(BY_TRA!BE$2:BE$999,BY_TRA!$BJ$2:$BJ$999,Transport!$B59,BY_TRA!$BK$2:$BK$999,Transport!$C59)/SUMIFS(BY_TRA!BE$2:BE$999,BY_TRA!$BJ$2:$BJ$999,Transport!$B59),0)</f>
        <v>0</v>
      </c>
      <c r="AX59" s="1">
        <f>IFERROR(SUMIFS(BY_TRA!BF$2:BF$999,BY_TRA!$BJ$2:$BJ$999,Transport!$B59,BY_TRA!$BK$2:$BK$999,Transport!$C59)/SUMIFS(BY_TRA!BF$2:BF$999,BY_TRA!$BJ$2:$BJ$999,Transport!$B59),0)</f>
        <v>0</v>
      </c>
      <c r="AY59" s="1">
        <f>IFERROR(SUMIFS(BY_TRA!BG$2:BG$999,BY_TRA!$BJ$2:$BJ$999,Transport!$B59,BY_TRA!$BK$2:$BK$999,Transport!$C59)/SUMIFS(BY_TRA!BG$2:BG$999,BY_TRA!$BJ$2:$BJ$999,Transport!$B59),0)</f>
        <v>0</v>
      </c>
    </row>
    <row r="60" spans="2:51">
      <c r="B60" t="s">
        <v>134</v>
      </c>
      <c r="C60" t="s">
        <v>127</v>
      </c>
      <c r="D60" s="1">
        <f>IFERROR(SUMIFS(BY_TRA!L$2:L$999,BY_TRA!$BJ$2:$BJ$999,Transport!$B60,BY_TRA!$BK$2:$BK$999,Transport!$C60)/SUMIFS(BY_TRA!L$2:L$999,BY_TRA!$BJ$2:$BJ$999,Transport!$B60),0)</f>
        <v>0</v>
      </c>
      <c r="E60" s="1">
        <f>IFERROR(SUMIFS(BY_TRA!M$2:M$999,BY_TRA!$BJ$2:$BJ$999,Transport!$B60,BY_TRA!$BK$2:$BK$999,Transport!$C60)/SUMIFS(BY_TRA!M$2:M$999,BY_TRA!$BJ$2:$BJ$999,Transport!$B60),0)</f>
        <v>0</v>
      </c>
      <c r="F60" s="1">
        <f>IFERROR(SUMIFS(BY_TRA!N$2:N$999,BY_TRA!$BJ$2:$BJ$999,Transport!$B60,BY_TRA!$BK$2:$BK$999,Transport!$C60)/SUMIFS(BY_TRA!N$2:N$999,BY_TRA!$BJ$2:$BJ$999,Transport!$B60),0)</f>
        <v>0</v>
      </c>
      <c r="G60" s="1">
        <f>IFERROR(SUMIFS(BY_TRA!O$2:O$999,BY_TRA!$BJ$2:$BJ$999,Transport!$B60,BY_TRA!$BK$2:$BK$999,Transport!$C60)/SUMIFS(BY_TRA!O$2:O$999,BY_TRA!$BJ$2:$BJ$999,Transport!$B60),0)</f>
        <v>0</v>
      </c>
      <c r="H60" s="1">
        <f>IFERROR(SUMIFS(BY_TRA!P$2:P$999,BY_TRA!$BJ$2:$BJ$999,Transport!$B60,BY_TRA!$BK$2:$BK$999,Transport!$C60)/SUMIFS(BY_TRA!P$2:P$999,BY_TRA!$BJ$2:$BJ$999,Transport!$B60),0)</f>
        <v>0</v>
      </c>
      <c r="I60" s="1">
        <f>IFERROR(SUMIFS(BY_TRA!Q$2:Q$999,BY_TRA!$BJ$2:$BJ$999,Transport!$B60,BY_TRA!$BK$2:$BK$999,Transport!$C60)/SUMIFS(BY_TRA!Q$2:Q$999,BY_TRA!$BJ$2:$BJ$999,Transport!$B60),0)</f>
        <v>0</v>
      </c>
      <c r="J60" s="1">
        <f>IFERROR(SUMIFS(BY_TRA!R$2:R$999,BY_TRA!$BJ$2:$BJ$999,Transport!$B60,BY_TRA!$BK$2:$BK$999,Transport!$C60)/SUMIFS(BY_TRA!R$2:R$999,BY_TRA!$BJ$2:$BJ$999,Transport!$B60),0)</f>
        <v>0</v>
      </c>
      <c r="K60" s="1">
        <f>IFERROR(SUMIFS(BY_TRA!S$2:S$999,BY_TRA!$BJ$2:$BJ$999,Transport!$B60,BY_TRA!$BK$2:$BK$999,Transport!$C60)/SUMIFS(BY_TRA!S$2:S$999,BY_TRA!$BJ$2:$BJ$999,Transport!$B60),0)</f>
        <v>0</v>
      </c>
      <c r="L60" s="1">
        <f>IFERROR(SUMIFS(BY_TRA!T$2:T$999,BY_TRA!$BJ$2:$BJ$999,Transport!$B60,BY_TRA!$BK$2:$BK$999,Transport!$C60)/SUMIFS(BY_TRA!T$2:T$999,BY_TRA!$BJ$2:$BJ$999,Transport!$B60),0)</f>
        <v>0</v>
      </c>
      <c r="M60" s="1">
        <f>IFERROR(SUMIFS(BY_TRA!U$2:U$999,BY_TRA!$BJ$2:$BJ$999,Transport!$B60,BY_TRA!$BK$2:$BK$999,Transport!$C60)/SUMIFS(BY_TRA!U$2:U$999,BY_TRA!$BJ$2:$BJ$999,Transport!$B60),0)</f>
        <v>0</v>
      </c>
      <c r="N60" s="1">
        <f>IFERROR(SUMIFS(BY_TRA!V$2:V$999,BY_TRA!$BJ$2:$BJ$999,Transport!$B60,BY_TRA!$BK$2:$BK$999,Transport!$C60)/SUMIFS(BY_TRA!V$2:V$999,BY_TRA!$BJ$2:$BJ$999,Transport!$B60),0)</f>
        <v>0</v>
      </c>
      <c r="O60" s="1">
        <f>IFERROR(SUMIFS(BY_TRA!W$2:W$999,BY_TRA!$BJ$2:$BJ$999,Transport!$B60,BY_TRA!$BK$2:$BK$999,Transport!$C60)/SUMIFS(BY_TRA!W$2:W$999,BY_TRA!$BJ$2:$BJ$999,Transport!$B60),0)</f>
        <v>0</v>
      </c>
      <c r="P60" s="1">
        <f>IFERROR(SUMIFS(BY_TRA!X$2:X$999,BY_TRA!$BJ$2:$BJ$999,Transport!$B60,BY_TRA!$BK$2:$BK$999,Transport!$C60)/SUMIFS(BY_TRA!X$2:X$999,BY_TRA!$BJ$2:$BJ$999,Transport!$B60),0)</f>
        <v>0</v>
      </c>
      <c r="Q60" s="1">
        <f>IFERROR(SUMIFS(BY_TRA!Y$2:Y$999,BY_TRA!$BJ$2:$BJ$999,Transport!$B60,BY_TRA!$BK$2:$BK$999,Transport!$C60)/SUMIFS(BY_TRA!Y$2:Y$999,BY_TRA!$BJ$2:$BJ$999,Transport!$B60),0)</f>
        <v>0</v>
      </c>
      <c r="R60" s="1">
        <f>IFERROR(SUMIFS(BY_TRA!Z$2:Z$999,BY_TRA!$BJ$2:$BJ$999,Transport!$B60,BY_TRA!$BK$2:$BK$999,Transport!$C60)/SUMIFS(BY_TRA!Z$2:Z$999,BY_TRA!$BJ$2:$BJ$999,Transport!$B60),0)</f>
        <v>0</v>
      </c>
      <c r="S60" s="1">
        <f>IFERROR(SUMIFS(BY_TRA!AA$2:AA$999,BY_TRA!$BJ$2:$BJ$999,Transport!$B60,BY_TRA!$BK$2:$BK$999,Transport!$C60)/SUMIFS(BY_TRA!AA$2:AA$999,BY_TRA!$BJ$2:$BJ$999,Transport!$B60),0)</f>
        <v>0</v>
      </c>
      <c r="T60" s="1">
        <f>IFERROR(SUMIFS(BY_TRA!AB$2:AB$999,BY_TRA!$BJ$2:$BJ$999,Transport!$B60,BY_TRA!$BK$2:$BK$999,Transport!$C60)/SUMIFS(BY_TRA!AB$2:AB$999,BY_TRA!$BJ$2:$BJ$999,Transport!$B60),0)</f>
        <v>0</v>
      </c>
      <c r="U60" s="1">
        <f>IFERROR(SUMIFS(BY_TRA!AC$2:AC$999,BY_TRA!$BJ$2:$BJ$999,Transport!$B60,BY_TRA!$BK$2:$BK$999,Transport!$C60)/SUMIFS(BY_TRA!AC$2:AC$999,BY_TRA!$BJ$2:$BJ$999,Transport!$B60),0)</f>
        <v>0</v>
      </c>
      <c r="V60" s="1">
        <f>IFERROR(SUMIFS(BY_TRA!AD$2:AD$999,BY_TRA!$BJ$2:$BJ$999,Transport!$B60,BY_TRA!$BK$2:$BK$999,Transport!$C60)/SUMIFS(BY_TRA!AD$2:AD$999,BY_TRA!$BJ$2:$BJ$999,Transport!$B60),0)</f>
        <v>0</v>
      </c>
      <c r="W60" s="1">
        <f>IFERROR(SUMIFS(BY_TRA!AE$2:AE$999,BY_TRA!$BJ$2:$BJ$999,Transport!$B60,BY_TRA!$BK$2:$BK$999,Transport!$C60)/SUMIFS(BY_TRA!AE$2:AE$999,BY_TRA!$BJ$2:$BJ$999,Transport!$B60),0)</f>
        <v>0</v>
      </c>
      <c r="X60" s="1">
        <f>IFERROR(SUMIFS(BY_TRA!AF$2:AF$999,BY_TRA!$BJ$2:$BJ$999,Transport!$B60,BY_TRA!$BK$2:$BK$999,Transport!$C60)/SUMIFS(BY_TRA!AF$2:AF$999,BY_TRA!$BJ$2:$BJ$999,Transport!$B60),0)</f>
        <v>0</v>
      </c>
      <c r="Y60" s="1">
        <f>IFERROR(SUMIFS(BY_TRA!AG$2:AG$999,BY_TRA!$BJ$2:$BJ$999,Transport!$B60,BY_TRA!$BK$2:$BK$999,Transport!$C60)/SUMIFS(BY_TRA!AG$2:AG$999,BY_TRA!$BJ$2:$BJ$999,Transport!$B60),0)</f>
        <v>0</v>
      </c>
      <c r="Z60" s="1">
        <f>IFERROR(SUMIFS(BY_TRA!AH$2:AH$999,BY_TRA!$BJ$2:$BJ$999,Transport!$B60,BY_TRA!$BK$2:$BK$999,Transport!$C60)/SUMIFS(BY_TRA!AH$2:AH$999,BY_TRA!$BJ$2:$BJ$999,Transport!$B60),0)</f>
        <v>0</v>
      </c>
      <c r="AA60" s="1">
        <f>IFERROR(SUMIFS(BY_TRA!AI$2:AI$999,BY_TRA!$BJ$2:$BJ$999,Transport!$B60,BY_TRA!$BK$2:$BK$999,Transport!$C60)/SUMIFS(BY_TRA!AI$2:AI$999,BY_TRA!$BJ$2:$BJ$999,Transport!$B60),0)</f>
        <v>0</v>
      </c>
      <c r="AB60" s="1">
        <f>IFERROR(SUMIFS(BY_TRA!AJ$2:AJ$999,BY_TRA!$BJ$2:$BJ$999,Transport!$B60,BY_TRA!$BK$2:$BK$999,Transport!$C60)/SUMIFS(BY_TRA!AJ$2:AJ$999,BY_TRA!$BJ$2:$BJ$999,Transport!$B60),0)</f>
        <v>0</v>
      </c>
      <c r="AC60" s="1">
        <f>IFERROR(SUMIFS(BY_TRA!AK$2:AK$999,BY_TRA!$BJ$2:$BJ$999,Transport!$B60,BY_TRA!$BK$2:$BK$999,Transport!$C60)/SUMIFS(BY_TRA!AK$2:AK$999,BY_TRA!$BJ$2:$BJ$999,Transport!$B60),0)</f>
        <v>0</v>
      </c>
      <c r="AD60" s="1">
        <f>IFERROR(SUMIFS(BY_TRA!AL$2:AL$999,BY_TRA!$BJ$2:$BJ$999,Transport!$B60,BY_TRA!$BK$2:$BK$999,Transport!$C60)/SUMIFS(BY_TRA!AL$2:AL$999,BY_TRA!$BJ$2:$BJ$999,Transport!$B60),0)</f>
        <v>0</v>
      </c>
      <c r="AE60" s="1">
        <f>IFERROR(SUMIFS(BY_TRA!AM$2:AM$999,BY_TRA!$BJ$2:$BJ$999,Transport!$B60,BY_TRA!$BK$2:$BK$999,Transport!$C60)/SUMIFS(BY_TRA!AM$2:AM$999,BY_TRA!$BJ$2:$BJ$999,Transport!$B60),0)</f>
        <v>0</v>
      </c>
      <c r="AF60" s="1">
        <f>IFERROR(SUMIFS(BY_TRA!AN$2:AN$999,BY_TRA!$BJ$2:$BJ$999,Transport!$B60,BY_TRA!$BK$2:$BK$999,Transport!$C60)/SUMIFS(BY_TRA!AN$2:AN$999,BY_TRA!$BJ$2:$BJ$999,Transport!$B60),0)</f>
        <v>0</v>
      </c>
      <c r="AG60" s="1">
        <f>IFERROR(SUMIFS(BY_TRA!AO$2:AO$999,BY_TRA!$BJ$2:$BJ$999,Transport!$B60,BY_TRA!$BK$2:$BK$999,Transport!$C60)/SUMIFS(BY_TRA!AO$2:AO$999,BY_TRA!$BJ$2:$BJ$999,Transport!$B60),0)</f>
        <v>0</v>
      </c>
      <c r="AH60" s="1">
        <f>IFERROR(SUMIFS(BY_TRA!AP$2:AP$999,BY_TRA!$BJ$2:$BJ$999,Transport!$B60,BY_TRA!$BK$2:$BK$999,Transport!$C60)/SUMIFS(BY_TRA!AP$2:AP$999,BY_TRA!$BJ$2:$BJ$999,Transport!$B60),0)</f>
        <v>0</v>
      </c>
      <c r="AI60" s="1">
        <f>IFERROR(SUMIFS(BY_TRA!AQ$2:AQ$999,BY_TRA!$BJ$2:$BJ$999,Transport!$B60,BY_TRA!$BK$2:$BK$999,Transport!$C60)/SUMIFS(BY_TRA!AQ$2:AQ$999,BY_TRA!$BJ$2:$BJ$999,Transport!$B60),0)</f>
        <v>0</v>
      </c>
      <c r="AJ60" s="1">
        <f>IFERROR(SUMIFS(BY_TRA!AR$2:AR$999,BY_TRA!$BJ$2:$BJ$999,Transport!$B60,BY_TRA!$BK$2:$BK$999,Transport!$C60)/SUMIFS(BY_TRA!AR$2:AR$999,BY_TRA!$BJ$2:$BJ$999,Transport!$B60),0)</f>
        <v>0</v>
      </c>
      <c r="AK60" s="1">
        <f>IFERROR(SUMIFS(BY_TRA!AS$2:AS$999,BY_TRA!$BJ$2:$BJ$999,Transport!$B60,BY_TRA!$BK$2:$BK$999,Transport!$C60)/SUMIFS(BY_TRA!AS$2:AS$999,BY_TRA!$BJ$2:$BJ$999,Transport!$B60),0)</f>
        <v>0</v>
      </c>
      <c r="AL60" s="1">
        <f>IFERROR(SUMIFS(BY_TRA!AT$2:AT$999,BY_TRA!$BJ$2:$BJ$999,Transport!$B60,BY_TRA!$BK$2:$BK$999,Transport!$C60)/SUMIFS(BY_TRA!AT$2:AT$999,BY_TRA!$BJ$2:$BJ$999,Transport!$B60),0)</f>
        <v>0</v>
      </c>
      <c r="AM60" s="1">
        <f>IFERROR(SUMIFS(BY_TRA!AU$2:AU$999,BY_TRA!$BJ$2:$BJ$999,Transport!$B60,BY_TRA!$BK$2:$BK$999,Transport!$C60)/SUMIFS(BY_TRA!AU$2:AU$999,BY_TRA!$BJ$2:$BJ$999,Transport!$B60),0)</f>
        <v>0</v>
      </c>
      <c r="AN60" s="1">
        <f>IFERROR(SUMIFS(BY_TRA!AV$2:AV$999,BY_TRA!$BJ$2:$BJ$999,Transport!$B60,BY_TRA!$BK$2:$BK$999,Transport!$C60)/SUMIFS(BY_TRA!AV$2:AV$999,BY_TRA!$BJ$2:$BJ$999,Transport!$B60),0)</f>
        <v>0</v>
      </c>
      <c r="AO60" s="1">
        <f>IFERROR(SUMIFS(BY_TRA!AW$2:AW$999,BY_TRA!$BJ$2:$BJ$999,Transport!$B60,BY_TRA!$BK$2:$BK$999,Transport!$C60)/SUMIFS(BY_TRA!AW$2:AW$999,BY_TRA!$BJ$2:$BJ$999,Transport!$B60),0)</f>
        <v>0</v>
      </c>
      <c r="AP60" s="1">
        <f>IFERROR(SUMIFS(BY_TRA!AX$2:AX$999,BY_TRA!$BJ$2:$BJ$999,Transport!$B60,BY_TRA!$BK$2:$BK$999,Transport!$C60)/SUMIFS(BY_TRA!AX$2:AX$999,BY_TRA!$BJ$2:$BJ$999,Transport!$B60),0)</f>
        <v>0</v>
      </c>
      <c r="AQ60" s="1">
        <f>IFERROR(SUMIFS(BY_TRA!AY$2:AY$999,BY_TRA!$BJ$2:$BJ$999,Transport!$B60,BY_TRA!$BK$2:$BK$999,Transport!$C60)/SUMIFS(BY_TRA!AY$2:AY$999,BY_TRA!$BJ$2:$BJ$999,Transport!$B60),0)</f>
        <v>0</v>
      </c>
      <c r="AR60" s="1">
        <f>IFERROR(SUMIFS(BY_TRA!AZ$2:AZ$999,BY_TRA!$BJ$2:$BJ$999,Transport!$B60,BY_TRA!$BK$2:$BK$999,Transport!$C60)/SUMIFS(BY_TRA!AZ$2:AZ$999,BY_TRA!$BJ$2:$BJ$999,Transport!$B60),0)</f>
        <v>0</v>
      </c>
      <c r="AS60" s="1">
        <f>IFERROR(SUMIFS(BY_TRA!BA$2:BA$999,BY_TRA!$BJ$2:$BJ$999,Transport!$B60,BY_TRA!$BK$2:$BK$999,Transport!$C60)/SUMIFS(BY_TRA!BA$2:BA$999,BY_TRA!$BJ$2:$BJ$999,Transport!$B60),0)</f>
        <v>0</v>
      </c>
      <c r="AT60" s="1">
        <f>IFERROR(SUMIFS(BY_TRA!BB$2:BB$999,BY_TRA!$BJ$2:$BJ$999,Transport!$B60,BY_TRA!$BK$2:$BK$999,Transport!$C60)/SUMIFS(BY_TRA!BB$2:BB$999,BY_TRA!$BJ$2:$BJ$999,Transport!$B60),0)</f>
        <v>0</v>
      </c>
      <c r="AU60" s="1">
        <f>IFERROR(SUMIFS(BY_TRA!BC$2:BC$999,BY_TRA!$BJ$2:$BJ$999,Transport!$B60,BY_TRA!$BK$2:$BK$999,Transport!$C60)/SUMIFS(BY_TRA!BC$2:BC$999,BY_TRA!$BJ$2:$BJ$999,Transport!$B60),0)</f>
        <v>0</v>
      </c>
      <c r="AV60" s="1">
        <f>IFERROR(SUMIFS(BY_TRA!BD$2:BD$999,BY_TRA!$BJ$2:$BJ$999,Transport!$B60,BY_TRA!$BK$2:$BK$999,Transport!$C60)/SUMIFS(BY_TRA!BD$2:BD$999,BY_TRA!$BJ$2:$BJ$999,Transport!$B60),0)</f>
        <v>0</v>
      </c>
      <c r="AW60" s="1">
        <f>IFERROR(SUMIFS(BY_TRA!BE$2:BE$999,BY_TRA!$BJ$2:$BJ$999,Transport!$B60,BY_TRA!$BK$2:$BK$999,Transport!$C60)/SUMIFS(BY_TRA!BE$2:BE$999,BY_TRA!$BJ$2:$BJ$999,Transport!$B60),0)</f>
        <v>0</v>
      </c>
      <c r="AX60" s="1">
        <f>IFERROR(SUMIFS(BY_TRA!BF$2:BF$999,BY_TRA!$BJ$2:$BJ$999,Transport!$B60,BY_TRA!$BK$2:$BK$999,Transport!$C60)/SUMIFS(BY_TRA!BF$2:BF$999,BY_TRA!$BJ$2:$BJ$999,Transport!$B60),0)</f>
        <v>0</v>
      </c>
      <c r="AY60" s="1">
        <f>IFERROR(SUMIFS(BY_TRA!BG$2:BG$999,BY_TRA!$BJ$2:$BJ$999,Transport!$B60,BY_TRA!$BK$2:$BK$999,Transport!$C60)/SUMIFS(BY_TRA!BG$2:BG$999,BY_TRA!$BJ$2:$BJ$999,Transport!$B60),0)</f>
        <v>0</v>
      </c>
    </row>
    <row r="61" spans="2:51">
      <c r="B61" t="s">
        <v>134</v>
      </c>
      <c r="C61" t="s">
        <v>129</v>
      </c>
      <c r="D61" s="1">
        <f>IFERROR(SUMIFS(BY_TRA!L$2:L$999,BY_TRA!$BJ$2:$BJ$999,Transport!$B61,BY_TRA!$BK$2:$BK$999,Transport!$C61)/SUMIFS(BY_TRA!L$2:L$999,BY_TRA!$BJ$2:$BJ$999,Transport!$B61),0)</f>
        <v>0</v>
      </c>
      <c r="E61" s="1">
        <f>IFERROR(SUMIFS(BY_TRA!M$2:M$999,BY_TRA!$BJ$2:$BJ$999,Transport!$B61,BY_TRA!$BK$2:$BK$999,Transport!$C61)/SUMIFS(BY_TRA!M$2:M$999,BY_TRA!$BJ$2:$BJ$999,Transport!$B61),0)</f>
        <v>0</v>
      </c>
      <c r="F61" s="1">
        <f>IFERROR(SUMIFS(BY_TRA!N$2:N$999,BY_TRA!$BJ$2:$BJ$999,Transport!$B61,BY_TRA!$BK$2:$BK$999,Transport!$C61)/SUMIFS(BY_TRA!N$2:N$999,BY_TRA!$BJ$2:$BJ$999,Transport!$B61),0)</f>
        <v>0</v>
      </c>
      <c r="G61" s="1">
        <f>IFERROR(SUMIFS(BY_TRA!O$2:O$999,BY_TRA!$BJ$2:$BJ$999,Transport!$B61,BY_TRA!$BK$2:$BK$999,Transport!$C61)/SUMIFS(BY_TRA!O$2:O$999,BY_TRA!$BJ$2:$BJ$999,Transport!$B61),0)</f>
        <v>0</v>
      </c>
      <c r="H61" s="1">
        <f>IFERROR(SUMIFS(BY_TRA!P$2:P$999,BY_TRA!$BJ$2:$BJ$999,Transport!$B61,BY_TRA!$BK$2:$BK$999,Transport!$C61)/SUMIFS(BY_TRA!P$2:P$999,BY_TRA!$BJ$2:$BJ$999,Transport!$B61),0)</f>
        <v>0</v>
      </c>
      <c r="I61" s="1">
        <f>IFERROR(SUMIFS(BY_TRA!Q$2:Q$999,BY_TRA!$BJ$2:$BJ$999,Transport!$B61,BY_TRA!$BK$2:$BK$999,Transport!$C61)/SUMIFS(BY_TRA!Q$2:Q$999,BY_TRA!$BJ$2:$BJ$999,Transport!$B61),0)</f>
        <v>0</v>
      </c>
      <c r="J61" s="1">
        <f>IFERROR(SUMIFS(BY_TRA!R$2:R$999,BY_TRA!$BJ$2:$BJ$999,Transport!$B61,BY_TRA!$BK$2:$BK$999,Transport!$C61)/SUMIFS(BY_TRA!R$2:R$999,BY_TRA!$BJ$2:$BJ$999,Transport!$B61),0)</f>
        <v>0</v>
      </c>
      <c r="K61" s="1">
        <f>IFERROR(SUMIFS(BY_TRA!S$2:S$999,BY_TRA!$BJ$2:$BJ$999,Transport!$B61,BY_TRA!$BK$2:$BK$999,Transport!$C61)/SUMIFS(BY_TRA!S$2:S$999,BY_TRA!$BJ$2:$BJ$999,Transport!$B61),0)</f>
        <v>0</v>
      </c>
      <c r="L61" s="1">
        <f>IFERROR(SUMIFS(BY_TRA!T$2:T$999,BY_TRA!$BJ$2:$BJ$999,Transport!$B61,BY_TRA!$BK$2:$BK$999,Transport!$C61)/SUMIFS(BY_TRA!T$2:T$999,BY_TRA!$BJ$2:$BJ$999,Transport!$B61),0)</f>
        <v>0</v>
      </c>
      <c r="M61" s="1">
        <f>IFERROR(SUMIFS(BY_TRA!U$2:U$999,BY_TRA!$BJ$2:$BJ$999,Transport!$B61,BY_TRA!$BK$2:$BK$999,Transport!$C61)/SUMIFS(BY_TRA!U$2:U$999,BY_TRA!$BJ$2:$BJ$999,Transport!$B61),0)</f>
        <v>0</v>
      </c>
      <c r="N61" s="1">
        <f>IFERROR(SUMIFS(BY_TRA!V$2:V$999,BY_TRA!$BJ$2:$BJ$999,Transport!$B61,BY_TRA!$BK$2:$BK$999,Transport!$C61)/SUMIFS(BY_TRA!V$2:V$999,BY_TRA!$BJ$2:$BJ$999,Transport!$B61),0)</f>
        <v>0</v>
      </c>
      <c r="O61" s="1">
        <f>IFERROR(SUMIFS(BY_TRA!W$2:W$999,BY_TRA!$BJ$2:$BJ$999,Transport!$B61,BY_TRA!$BK$2:$BK$999,Transport!$C61)/SUMIFS(BY_TRA!W$2:W$999,BY_TRA!$BJ$2:$BJ$999,Transport!$B61),0)</f>
        <v>0</v>
      </c>
      <c r="P61" s="1">
        <f>IFERROR(SUMIFS(BY_TRA!X$2:X$999,BY_TRA!$BJ$2:$BJ$999,Transport!$B61,BY_TRA!$BK$2:$BK$999,Transport!$C61)/SUMIFS(BY_TRA!X$2:X$999,BY_TRA!$BJ$2:$BJ$999,Transport!$B61),0)</f>
        <v>0</v>
      </c>
      <c r="Q61" s="1">
        <f>IFERROR(SUMIFS(BY_TRA!Y$2:Y$999,BY_TRA!$BJ$2:$BJ$999,Transport!$B61,BY_TRA!$BK$2:$BK$999,Transport!$C61)/SUMIFS(BY_TRA!Y$2:Y$999,BY_TRA!$BJ$2:$BJ$999,Transport!$B61),0)</f>
        <v>0</v>
      </c>
      <c r="R61" s="1">
        <f>IFERROR(SUMIFS(BY_TRA!Z$2:Z$999,BY_TRA!$BJ$2:$BJ$999,Transport!$B61,BY_TRA!$BK$2:$BK$999,Transport!$C61)/SUMIFS(BY_TRA!Z$2:Z$999,BY_TRA!$BJ$2:$BJ$999,Transport!$B61),0)</f>
        <v>0</v>
      </c>
      <c r="S61" s="1">
        <f>IFERROR(SUMIFS(BY_TRA!AA$2:AA$999,BY_TRA!$BJ$2:$BJ$999,Transport!$B61,BY_TRA!$BK$2:$BK$999,Transport!$C61)/SUMIFS(BY_TRA!AA$2:AA$999,BY_TRA!$BJ$2:$BJ$999,Transport!$B61),0)</f>
        <v>0</v>
      </c>
      <c r="T61" s="1">
        <f>IFERROR(SUMIFS(BY_TRA!AB$2:AB$999,BY_TRA!$BJ$2:$BJ$999,Transport!$B61,BY_TRA!$BK$2:$BK$999,Transport!$C61)/SUMIFS(BY_TRA!AB$2:AB$999,BY_TRA!$BJ$2:$BJ$999,Transport!$B61),0)</f>
        <v>0</v>
      </c>
      <c r="U61" s="1">
        <f>IFERROR(SUMIFS(BY_TRA!AC$2:AC$999,BY_TRA!$BJ$2:$BJ$999,Transport!$B61,BY_TRA!$BK$2:$BK$999,Transport!$C61)/SUMIFS(BY_TRA!AC$2:AC$999,BY_TRA!$BJ$2:$BJ$999,Transport!$B61),0)</f>
        <v>0</v>
      </c>
      <c r="V61" s="1">
        <f>IFERROR(SUMIFS(BY_TRA!AD$2:AD$999,BY_TRA!$BJ$2:$BJ$999,Transport!$B61,BY_TRA!$BK$2:$BK$999,Transport!$C61)/SUMIFS(BY_TRA!AD$2:AD$999,BY_TRA!$BJ$2:$BJ$999,Transport!$B61),0)</f>
        <v>0</v>
      </c>
      <c r="W61" s="1">
        <f>IFERROR(SUMIFS(BY_TRA!AE$2:AE$999,BY_TRA!$BJ$2:$BJ$999,Transport!$B61,BY_TRA!$BK$2:$BK$999,Transport!$C61)/SUMIFS(BY_TRA!AE$2:AE$999,BY_TRA!$BJ$2:$BJ$999,Transport!$B61),0)</f>
        <v>0</v>
      </c>
      <c r="X61" s="1">
        <f>IFERROR(SUMIFS(BY_TRA!AF$2:AF$999,BY_TRA!$BJ$2:$BJ$999,Transport!$B61,BY_TRA!$BK$2:$BK$999,Transport!$C61)/SUMIFS(BY_TRA!AF$2:AF$999,BY_TRA!$BJ$2:$BJ$999,Transport!$B61),0)</f>
        <v>0</v>
      </c>
      <c r="Y61" s="1">
        <f>IFERROR(SUMIFS(BY_TRA!AG$2:AG$999,BY_TRA!$BJ$2:$BJ$999,Transport!$B61,BY_TRA!$BK$2:$BK$999,Transport!$C61)/SUMIFS(BY_TRA!AG$2:AG$999,BY_TRA!$BJ$2:$BJ$999,Transport!$B61),0)</f>
        <v>0</v>
      </c>
      <c r="Z61" s="1">
        <f>IFERROR(SUMIFS(BY_TRA!AH$2:AH$999,BY_TRA!$BJ$2:$BJ$999,Transport!$B61,BY_TRA!$BK$2:$BK$999,Transport!$C61)/SUMIFS(BY_TRA!AH$2:AH$999,BY_TRA!$BJ$2:$BJ$999,Transport!$B61),0)</f>
        <v>0</v>
      </c>
      <c r="AA61" s="1">
        <f>IFERROR(SUMIFS(BY_TRA!AI$2:AI$999,BY_TRA!$BJ$2:$BJ$999,Transport!$B61,BY_TRA!$BK$2:$BK$999,Transport!$C61)/SUMIFS(BY_TRA!AI$2:AI$999,BY_TRA!$BJ$2:$BJ$999,Transport!$B61),0)</f>
        <v>0</v>
      </c>
      <c r="AB61" s="1">
        <f>IFERROR(SUMIFS(BY_TRA!AJ$2:AJ$999,BY_TRA!$BJ$2:$BJ$999,Transport!$B61,BY_TRA!$BK$2:$BK$999,Transport!$C61)/SUMIFS(BY_TRA!AJ$2:AJ$999,BY_TRA!$BJ$2:$BJ$999,Transport!$B61),0)</f>
        <v>0</v>
      </c>
      <c r="AC61" s="1">
        <f>IFERROR(SUMIFS(BY_TRA!AK$2:AK$999,BY_TRA!$BJ$2:$BJ$999,Transport!$B61,BY_TRA!$BK$2:$BK$999,Transport!$C61)/SUMIFS(BY_TRA!AK$2:AK$999,BY_TRA!$BJ$2:$BJ$999,Transport!$B61),0)</f>
        <v>0</v>
      </c>
      <c r="AD61" s="1">
        <f>IFERROR(SUMIFS(BY_TRA!AL$2:AL$999,BY_TRA!$BJ$2:$BJ$999,Transport!$B61,BY_TRA!$BK$2:$BK$999,Transport!$C61)/SUMIFS(BY_TRA!AL$2:AL$999,BY_TRA!$BJ$2:$BJ$999,Transport!$B61),0)</f>
        <v>0</v>
      </c>
      <c r="AE61" s="1">
        <f>IFERROR(SUMIFS(BY_TRA!AM$2:AM$999,BY_TRA!$BJ$2:$BJ$999,Transport!$B61,BY_TRA!$BK$2:$BK$999,Transport!$C61)/SUMIFS(BY_TRA!AM$2:AM$999,BY_TRA!$BJ$2:$BJ$999,Transport!$B61),0)</f>
        <v>0</v>
      </c>
      <c r="AF61" s="1">
        <f>IFERROR(SUMIFS(BY_TRA!AN$2:AN$999,BY_TRA!$BJ$2:$BJ$999,Transport!$B61,BY_TRA!$BK$2:$BK$999,Transport!$C61)/SUMIFS(BY_TRA!AN$2:AN$999,BY_TRA!$BJ$2:$BJ$999,Transport!$B61),0)</f>
        <v>0</v>
      </c>
      <c r="AG61" s="1">
        <f>IFERROR(SUMIFS(BY_TRA!AO$2:AO$999,BY_TRA!$BJ$2:$BJ$999,Transport!$B61,BY_TRA!$BK$2:$BK$999,Transport!$C61)/SUMIFS(BY_TRA!AO$2:AO$999,BY_TRA!$BJ$2:$BJ$999,Transport!$B61),0)</f>
        <v>0</v>
      </c>
      <c r="AH61" s="1">
        <f>IFERROR(SUMIFS(BY_TRA!AP$2:AP$999,BY_TRA!$BJ$2:$BJ$999,Transport!$B61,BY_TRA!$BK$2:$BK$999,Transport!$C61)/SUMIFS(BY_TRA!AP$2:AP$999,BY_TRA!$BJ$2:$BJ$999,Transport!$B61),0)</f>
        <v>0</v>
      </c>
      <c r="AI61" s="1">
        <f>IFERROR(SUMIFS(BY_TRA!AQ$2:AQ$999,BY_TRA!$BJ$2:$BJ$999,Transport!$B61,BY_TRA!$BK$2:$BK$999,Transport!$C61)/SUMIFS(BY_TRA!AQ$2:AQ$999,BY_TRA!$BJ$2:$BJ$999,Transport!$B61),0)</f>
        <v>0</v>
      </c>
      <c r="AJ61" s="1">
        <f>IFERROR(SUMIFS(BY_TRA!AR$2:AR$999,BY_TRA!$BJ$2:$BJ$999,Transport!$B61,BY_TRA!$BK$2:$BK$999,Transport!$C61)/SUMIFS(BY_TRA!AR$2:AR$999,BY_TRA!$BJ$2:$BJ$999,Transport!$B61),0)</f>
        <v>0</v>
      </c>
      <c r="AK61" s="1">
        <f>IFERROR(SUMIFS(BY_TRA!AS$2:AS$999,BY_TRA!$BJ$2:$BJ$999,Transport!$B61,BY_TRA!$BK$2:$BK$999,Transport!$C61)/SUMIFS(BY_TRA!AS$2:AS$999,BY_TRA!$BJ$2:$BJ$999,Transport!$B61),0)</f>
        <v>0</v>
      </c>
      <c r="AL61" s="1">
        <f>IFERROR(SUMIFS(BY_TRA!AT$2:AT$999,BY_TRA!$BJ$2:$BJ$999,Transport!$B61,BY_TRA!$BK$2:$BK$999,Transport!$C61)/SUMIFS(BY_TRA!AT$2:AT$999,BY_TRA!$BJ$2:$BJ$999,Transport!$B61),0)</f>
        <v>0</v>
      </c>
      <c r="AM61" s="1">
        <f>IFERROR(SUMIFS(BY_TRA!AU$2:AU$999,BY_TRA!$BJ$2:$BJ$999,Transport!$B61,BY_TRA!$BK$2:$BK$999,Transport!$C61)/SUMIFS(BY_TRA!AU$2:AU$999,BY_TRA!$BJ$2:$BJ$999,Transport!$B61),0)</f>
        <v>0</v>
      </c>
      <c r="AN61" s="1">
        <f>IFERROR(SUMIFS(BY_TRA!AV$2:AV$999,BY_TRA!$BJ$2:$BJ$999,Transport!$B61,BY_TRA!$BK$2:$BK$999,Transport!$C61)/SUMIFS(BY_TRA!AV$2:AV$999,BY_TRA!$BJ$2:$BJ$999,Transport!$B61),0)</f>
        <v>0</v>
      </c>
      <c r="AO61" s="1">
        <f>IFERROR(SUMIFS(BY_TRA!AW$2:AW$999,BY_TRA!$BJ$2:$BJ$999,Transport!$B61,BY_TRA!$BK$2:$BK$999,Transport!$C61)/SUMIFS(BY_TRA!AW$2:AW$999,BY_TRA!$BJ$2:$BJ$999,Transport!$B61),0)</f>
        <v>0</v>
      </c>
      <c r="AP61" s="1">
        <f>IFERROR(SUMIFS(BY_TRA!AX$2:AX$999,BY_TRA!$BJ$2:$BJ$999,Transport!$B61,BY_TRA!$BK$2:$BK$999,Transport!$C61)/SUMIFS(BY_TRA!AX$2:AX$999,BY_TRA!$BJ$2:$BJ$999,Transport!$B61),0)</f>
        <v>0</v>
      </c>
      <c r="AQ61" s="1">
        <f>IFERROR(SUMIFS(BY_TRA!AY$2:AY$999,BY_TRA!$BJ$2:$BJ$999,Transport!$B61,BY_TRA!$BK$2:$BK$999,Transport!$C61)/SUMIFS(BY_TRA!AY$2:AY$999,BY_TRA!$BJ$2:$BJ$999,Transport!$B61),0)</f>
        <v>0</v>
      </c>
      <c r="AR61" s="1">
        <f>IFERROR(SUMIFS(BY_TRA!AZ$2:AZ$999,BY_TRA!$BJ$2:$BJ$999,Transport!$B61,BY_TRA!$BK$2:$BK$999,Transport!$C61)/SUMIFS(BY_TRA!AZ$2:AZ$999,BY_TRA!$BJ$2:$BJ$999,Transport!$B61),0)</f>
        <v>0</v>
      </c>
      <c r="AS61" s="1">
        <f>IFERROR(SUMIFS(BY_TRA!BA$2:BA$999,BY_TRA!$BJ$2:$BJ$999,Transport!$B61,BY_TRA!$BK$2:$BK$999,Transport!$C61)/SUMIFS(BY_TRA!BA$2:BA$999,BY_TRA!$BJ$2:$BJ$999,Transport!$B61),0)</f>
        <v>0</v>
      </c>
      <c r="AT61" s="1">
        <f>IFERROR(SUMIFS(BY_TRA!BB$2:BB$999,BY_TRA!$BJ$2:$BJ$999,Transport!$B61,BY_TRA!$BK$2:$BK$999,Transport!$C61)/SUMIFS(BY_TRA!BB$2:BB$999,BY_TRA!$BJ$2:$BJ$999,Transport!$B61),0)</f>
        <v>0</v>
      </c>
      <c r="AU61" s="1">
        <f>IFERROR(SUMIFS(BY_TRA!BC$2:BC$999,BY_TRA!$BJ$2:$BJ$999,Transport!$B61,BY_TRA!$BK$2:$BK$999,Transport!$C61)/SUMIFS(BY_TRA!BC$2:BC$999,BY_TRA!$BJ$2:$BJ$999,Transport!$B61),0)</f>
        <v>0</v>
      </c>
      <c r="AV61" s="1">
        <f>IFERROR(SUMIFS(BY_TRA!BD$2:BD$999,BY_TRA!$BJ$2:$BJ$999,Transport!$B61,BY_TRA!$BK$2:$BK$999,Transport!$C61)/SUMIFS(BY_TRA!BD$2:BD$999,BY_TRA!$BJ$2:$BJ$999,Transport!$B61),0)</f>
        <v>0</v>
      </c>
      <c r="AW61" s="1">
        <f>IFERROR(SUMIFS(BY_TRA!BE$2:BE$999,BY_TRA!$BJ$2:$BJ$999,Transport!$B61,BY_TRA!$BK$2:$BK$999,Transport!$C61)/SUMIFS(BY_TRA!BE$2:BE$999,BY_TRA!$BJ$2:$BJ$999,Transport!$B61),0)</f>
        <v>0</v>
      </c>
      <c r="AX61" s="1">
        <f>IFERROR(SUMIFS(BY_TRA!BF$2:BF$999,BY_TRA!$BJ$2:$BJ$999,Transport!$B61,BY_TRA!$BK$2:$BK$999,Transport!$C61)/SUMIFS(BY_TRA!BF$2:BF$999,BY_TRA!$BJ$2:$BJ$999,Transport!$B61),0)</f>
        <v>0</v>
      </c>
      <c r="AY61" s="1">
        <f>IFERROR(SUMIFS(BY_TRA!BG$2:BG$999,BY_TRA!$BJ$2:$BJ$999,Transport!$B61,BY_TRA!$BK$2:$BK$999,Transport!$C61)/SUMIFS(BY_TRA!BG$2:BG$999,BY_TRA!$BJ$2:$BJ$999,Transport!$B61),0)</f>
        <v>0</v>
      </c>
    </row>
    <row r="62" spans="2:51">
      <c r="B62" t="s">
        <v>134</v>
      </c>
      <c r="C62" t="s">
        <v>123</v>
      </c>
      <c r="D62" s="1">
        <f>IFERROR(SUMIFS(BY_TRA!L$2:L$999,BY_TRA!$BJ$2:$BJ$999,Transport!$B62,BY_TRA!$BK$2:$BK$999,Transport!$C62)/SUMIFS(BY_TRA!L$2:L$999,BY_TRA!$BJ$2:$BJ$999,Transport!$B62),0)</f>
        <v>0</v>
      </c>
      <c r="E62" s="1">
        <f>IFERROR(SUMIFS(BY_TRA!M$2:M$999,BY_TRA!$BJ$2:$BJ$999,Transport!$B62,BY_TRA!$BK$2:$BK$999,Transport!$C62)/SUMIFS(BY_TRA!M$2:M$999,BY_TRA!$BJ$2:$BJ$999,Transport!$B62),0)</f>
        <v>0</v>
      </c>
      <c r="F62" s="1">
        <f>IFERROR(SUMIFS(BY_TRA!N$2:N$999,BY_TRA!$BJ$2:$BJ$999,Transport!$B62,BY_TRA!$BK$2:$BK$999,Transport!$C62)/SUMIFS(BY_TRA!N$2:N$999,BY_TRA!$BJ$2:$BJ$999,Transport!$B62),0)</f>
        <v>0</v>
      </c>
      <c r="G62" s="1">
        <f>IFERROR(SUMIFS(BY_TRA!O$2:O$999,BY_TRA!$BJ$2:$BJ$999,Transport!$B62,BY_TRA!$BK$2:$BK$999,Transport!$C62)/SUMIFS(BY_TRA!O$2:O$999,BY_TRA!$BJ$2:$BJ$999,Transport!$B62),0)</f>
        <v>0</v>
      </c>
      <c r="H62" s="1">
        <f>IFERROR(SUMIFS(BY_TRA!P$2:P$999,BY_TRA!$BJ$2:$BJ$999,Transport!$B62,BY_TRA!$BK$2:$BK$999,Transport!$C62)/SUMIFS(BY_TRA!P$2:P$999,BY_TRA!$BJ$2:$BJ$999,Transport!$B62),0)</f>
        <v>0</v>
      </c>
      <c r="I62" s="1">
        <f>IFERROR(SUMIFS(BY_TRA!Q$2:Q$999,BY_TRA!$BJ$2:$BJ$999,Transport!$B62,BY_TRA!$BK$2:$BK$999,Transport!$C62)/SUMIFS(BY_TRA!Q$2:Q$999,BY_TRA!$BJ$2:$BJ$999,Transport!$B62),0)</f>
        <v>0</v>
      </c>
      <c r="J62" s="1">
        <f>IFERROR(SUMIFS(BY_TRA!R$2:R$999,BY_TRA!$BJ$2:$BJ$999,Transport!$B62,BY_TRA!$BK$2:$BK$999,Transport!$C62)/SUMIFS(BY_TRA!R$2:R$999,BY_TRA!$BJ$2:$BJ$999,Transport!$B62),0)</f>
        <v>0</v>
      </c>
      <c r="K62" s="1">
        <f>IFERROR(SUMIFS(BY_TRA!S$2:S$999,BY_TRA!$BJ$2:$BJ$999,Transport!$B62,BY_TRA!$BK$2:$BK$999,Transport!$C62)/SUMIFS(BY_TRA!S$2:S$999,BY_TRA!$BJ$2:$BJ$999,Transport!$B62),0)</f>
        <v>0</v>
      </c>
      <c r="L62" s="1">
        <f>IFERROR(SUMIFS(BY_TRA!T$2:T$999,BY_TRA!$BJ$2:$BJ$999,Transport!$B62,BY_TRA!$BK$2:$BK$999,Transport!$C62)/SUMIFS(BY_TRA!T$2:T$999,BY_TRA!$BJ$2:$BJ$999,Transport!$B62),0)</f>
        <v>0</v>
      </c>
      <c r="M62" s="1">
        <f>IFERROR(SUMIFS(BY_TRA!U$2:U$999,BY_TRA!$BJ$2:$BJ$999,Transport!$B62,BY_TRA!$BK$2:$BK$999,Transport!$C62)/SUMIFS(BY_TRA!U$2:U$999,BY_TRA!$BJ$2:$BJ$999,Transport!$B62),0)</f>
        <v>0</v>
      </c>
      <c r="N62" s="1">
        <f>IFERROR(SUMIFS(BY_TRA!V$2:V$999,BY_TRA!$BJ$2:$BJ$999,Transport!$B62,BY_TRA!$BK$2:$BK$999,Transport!$C62)/SUMIFS(BY_TRA!V$2:V$999,BY_TRA!$BJ$2:$BJ$999,Transport!$B62),0)</f>
        <v>0</v>
      </c>
      <c r="O62" s="1">
        <f>IFERROR(SUMIFS(BY_TRA!W$2:W$999,BY_TRA!$BJ$2:$BJ$999,Transport!$B62,BY_TRA!$BK$2:$BK$999,Transport!$C62)/SUMIFS(BY_TRA!W$2:W$999,BY_TRA!$BJ$2:$BJ$999,Transport!$B62),0)</f>
        <v>0</v>
      </c>
      <c r="P62" s="1">
        <f>IFERROR(SUMIFS(BY_TRA!X$2:X$999,BY_TRA!$BJ$2:$BJ$999,Transport!$B62,BY_TRA!$BK$2:$BK$999,Transport!$C62)/SUMIFS(BY_TRA!X$2:X$999,BY_TRA!$BJ$2:$BJ$999,Transport!$B62),0)</f>
        <v>0</v>
      </c>
      <c r="Q62" s="1">
        <f>IFERROR(SUMIFS(BY_TRA!Y$2:Y$999,BY_TRA!$BJ$2:$BJ$999,Transport!$B62,BY_TRA!$BK$2:$BK$999,Transport!$C62)/SUMIFS(BY_TRA!Y$2:Y$999,BY_TRA!$BJ$2:$BJ$999,Transport!$B62),0)</f>
        <v>0</v>
      </c>
      <c r="R62" s="1">
        <f>IFERROR(SUMIFS(BY_TRA!Z$2:Z$999,BY_TRA!$BJ$2:$BJ$999,Transport!$B62,BY_TRA!$BK$2:$BK$999,Transport!$C62)/SUMIFS(BY_TRA!Z$2:Z$999,BY_TRA!$BJ$2:$BJ$999,Transport!$B62),0)</f>
        <v>0</v>
      </c>
      <c r="S62" s="1">
        <f>IFERROR(SUMIFS(BY_TRA!AA$2:AA$999,BY_TRA!$BJ$2:$BJ$999,Transport!$B62,BY_TRA!$BK$2:$BK$999,Transport!$C62)/SUMIFS(BY_TRA!AA$2:AA$999,BY_TRA!$BJ$2:$BJ$999,Transport!$B62),0)</f>
        <v>0</v>
      </c>
      <c r="T62" s="1">
        <f>IFERROR(SUMIFS(BY_TRA!AB$2:AB$999,BY_TRA!$BJ$2:$BJ$999,Transport!$B62,BY_TRA!$BK$2:$BK$999,Transport!$C62)/SUMIFS(BY_TRA!AB$2:AB$999,BY_TRA!$BJ$2:$BJ$999,Transport!$B62),0)</f>
        <v>0</v>
      </c>
      <c r="U62" s="1">
        <f>IFERROR(SUMIFS(BY_TRA!AC$2:AC$999,BY_TRA!$BJ$2:$BJ$999,Transport!$B62,BY_TRA!$BK$2:$BK$999,Transport!$C62)/SUMIFS(BY_TRA!AC$2:AC$999,BY_TRA!$BJ$2:$BJ$999,Transport!$B62),0)</f>
        <v>0</v>
      </c>
      <c r="V62" s="1">
        <f>IFERROR(SUMIFS(BY_TRA!AD$2:AD$999,BY_TRA!$BJ$2:$BJ$999,Transport!$B62,BY_TRA!$BK$2:$BK$999,Transport!$C62)/SUMIFS(BY_TRA!AD$2:AD$999,BY_TRA!$BJ$2:$BJ$999,Transport!$B62),0)</f>
        <v>0</v>
      </c>
      <c r="W62" s="1">
        <f>IFERROR(SUMIFS(BY_TRA!AE$2:AE$999,BY_TRA!$BJ$2:$BJ$999,Transport!$B62,BY_TRA!$BK$2:$BK$999,Transport!$C62)/SUMIFS(BY_TRA!AE$2:AE$999,BY_TRA!$BJ$2:$BJ$999,Transport!$B62),0)</f>
        <v>0</v>
      </c>
      <c r="X62" s="1">
        <f>IFERROR(SUMIFS(BY_TRA!AF$2:AF$999,BY_TRA!$BJ$2:$BJ$999,Transport!$B62,BY_TRA!$BK$2:$BK$999,Transport!$C62)/SUMIFS(BY_TRA!AF$2:AF$999,BY_TRA!$BJ$2:$BJ$999,Transport!$B62),0)</f>
        <v>0</v>
      </c>
      <c r="Y62" s="1">
        <f>IFERROR(SUMIFS(BY_TRA!AG$2:AG$999,BY_TRA!$BJ$2:$BJ$999,Transport!$B62,BY_TRA!$BK$2:$BK$999,Transport!$C62)/SUMIFS(BY_TRA!AG$2:AG$999,BY_TRA!$BJ$2:$BJ$999,Transport!$B62),0)</f>
        <v>0</v>
      </c>
      <c r="Z62" s="1">
        <f>IFERROR(SUMIFS(BY_TRA!AH$2:AH$999,BY_TRA!$BJ$2:$BJ$999,Transport!$B62,BY_TRA!$BK$2:$BK$999,Transport!$C62)/SUMIFS(BY_TRA!AH$2:AH$999,BY_TRA!$BJ$2:$BJ$999,Transport!$B62),0)</f>
        <v>0</v>
      </c>
      <c r="AA62" s="1">
        <f>IFERROR(SUMIFS(BY_TRA!AI$2:AI$999,BY_TRA!$BJ$2:$BJ$999,Transport!$B62,BY_TRA!$BK$2:$BK$999,Transport!$C62)/SUMIFS(BY_TRA!AI$2:AI$999,BY_TRA!$BJ$2:$BJ$999,Transport!$B62),0)</f>
        <v>0</v>
      </c>
      <c r="AB62" s="1">
        <f>IFERROR(SUMIFS(BY_TRA!AJ$2:AJ$999,BY_TRA!$BJ$2:$BJ$999,Transport!$B62,BY_TRA!$BK$2:$BK$999,Transport!$C62)/SUMIFS(BY_TRA!AJ$2:AJ$999,BY_TRA!$BJ$2:$BJ$999,Transport!$B62),0)</f>
        <v>0</v>
      </c>
      <c r="AC62" s="1">
        <f>IFERROR(SUMIFS(BY_TRA!AK$2:AK$999,BY_TRA!$BJ$2:$BJ$999,Transport!$B62,BY_TRA!$BK$2:$BK$999,Transport!$C62)/SUMIFS(BY_TRA!AK$2:AK$999,BY_TRA!$BJ$2:$BJ$999,Transport!$B62),0)</f>
        <v>0</v>
      </c>
      <c r="AD62" s="1">
        <f>IFERROR(SUMIFS(BY_TRA!AL$2:AL$999,BY_TRA!$BJ$2:$BJ$999,Transport!$B62,BY_TRA!$BK$2:$BK$999,Transport!$C62)/SUMIFS(BY_TRA!AL$2:AL$999,BY_TRA!$BJ$2:$BJ$999,Transport!$B62),0)</f>
        <v>0</v>
      </c>
      <c r="AE62" s="1">
        <f>IFERROR(SUMIFS(BY_TRA!AM$2:AM$999,BY_TRA!$BJ$2:$BJ$999,Transport!$B62,BY_TRA!$BK$2:$BK$999,Transport!$C62)/SUMIFS(BY_TRA!AM$2:AM$999,BY_TRA!$BJ$2:$BJ$999,Transport!$B62),0)</f>
        <v>0</v>
      </c>
      <c r="AF62" s="1">
        <f>IFERROR(SUMIFS(BY_TRA!AN$2:AN$999,BY_TRA!$BJ$2:$BJ$999,Transport!$B62,BY_TRA!$BK$2:$BK$999,Transport!$C62)/SUMIFS(BY_TRA!AN$2:AN$999,BY_TRA!$BJ$2:$BJ$999,Transport!$B62),0)</f>
        <v>0</v>
      </c>
      <c r="AG62" s="1">
        <f>IFERROR(SUMIFS(BY_TRA!AO$2:AO$999,BY_TRA!$BJ$2:$BJ$999,Transport!$B62,BY_TRA!$BK$2:$BK$999,Transport!$C62)/SUMIFS(BY_TRA!AO$2:AO$999,BY_TRA!$BJ$2:$BJ$999,Transport!$B62),0)</f>
        <v>0</v>
      </c>
      <c r="AH62" s="1">
        <f>IFERROR(SUMIFS(BY_TRA!AP$2:AP$999,BY_TRA!$BJ$2:$BJ$999,Transport!$B62,BY_TRA!$BK$2:$BK$999,Transport!$C62)/SUMIFS(BY_TRA!AP$2:AP$999,BY_TRA!$BJ$2:$BJ$999,Transport!$B62),0)</f>
        <v>0</v>
      </c>
      <c r="AI62" s="1">
        <f>IFERROR(SUMIFS(BY_TRA!AQ$2:AQ$999,BY_TRA!$BJ$2:$BJ$999,Transport!$B62,BY_TRA!$BK$2:$BK$999,Transport!$C62)/SUMIFS(BY_TRA!AQ$2:AQ$999,BY_TRA!$BJ$2:$BJ$999,Transport!$B62),0)</f>
        <v>0</v>
      </c>
      <c r="AJ62" s="1">
        <f>IFERROR(SUMIFS(BY_TRA!AR$2:AR$999,BY_TRA!$BJ$2:$BJ$999,Transport!$B62,BY_TRA!$BK$2:$BK$999,Transport!$C62)/SUMIFS(BY_TRA!AR$2:AR$999,BY_TRA!$BJ$2:$BJ$999,Transport!$B62),0)</f>
        <v>0</v>
      </c>
      <c r="AK62" s="1">
        <f>IFERROR(SUMIFS(BY_TRA!AS$2:AS$999,BY_TRA!$BJ$2:$BJ$999,Transport!$B62,BY_TRA!$BK$2:$BK$999,Transport!$C62)/SUMIFS(BY_TRA!AS$2:AS$999,BY_TRA!$BJ$2:$BJ$999,Transport!$B62),0)</f>
        <v>0</v>
      </c>
      <c r="AL62" s="1">
        <f>IFERROR(SUMIFS(BY_TRA!AT$2:AT$999,BY_TRA!$BJ$2:$BJ$999,Transport!$B62,BY_TRA!$BK$2:$BK$999,Transport!$C62)/SUMIFS(BY_TRA!AT$2:AT$999,BY_TRA!$BJ$2:$BJ$999,Transport!$B62),0)</f>
        <v>0</v>
      </c>
      <c r="AM62" s="1">
        <f>IFERROR(SUMIFS(BY_TRA!AU$2:AU$999,BY_TRA!$BJ$2:$BJ$999,Transport!$B62,BY_TRA!$BK$2:$BK$999,Transport!$C62)/SUMIFS(BY_TRA!AU$2:AU$999,BY_TRA!$BJ$2:$BJ$999,Transport!$B62),0)</f>
        <v>0</v>
      </c>
      <c r="AN62" s="1">
        <f>IFERROR(SUMIFS(BY_TRA!AV$2:AV$999,BY_TRA!$BJ$2:$BJ$999,Transport!$B62,BY_TRA!$BK$2:$BK$999,Transport!$C62)/SUMIFS(BY_TRA!AV$2:AV$999,BY_TRA!$BJ$2:$BJ$999,Transport!$B62),0)</f>
        <v>0</v>
      </c>
      <c r="AO62" s="1">
        <f>IFERROR(SUMIFS(BY_TRA!AW$2:AW$999,BY_TRA!$BJ$2:$BJ$999,Transport!$B62,BY_TRA!$BK$2:$BK$999,Transport!$C62)/SUMIFS(BY_TRA!AW$2:AW$999,BY_TRA!$BJ$2:$BJ$999,Transport!$B62),0)</f>
        <v>0</v>
      </c>
      <c r="AP62" s="1">
        <f>IFERROR(SUMIFS(BY_TRA!AX$2:AX$999,BY_TRA!$BJ$2:$BJ$999,Transport!$B62,BY_TRA!$BK$2:$BK$999,Transport!$C62)/SUMIFS(BY_TRA!AX$2:AX$999,BY_TRA!$BJ$2:$BJ$999,Transport!$B62),0)</f>
        <v>0</v>
      </c>
      <c r="AQ62" s="1">
        <f>IFERROR(SUMIFS(BY_TRA!AY$2:AY$999,BY_TRA!$BJ$2:$BJ$999,Transport!$B62,BY_TRA!$BK$2:$BK$999,Transport!$C62)/SUMIFS(BY_TRA!AY$2:AY$999,BY_TRA!$BJ$2:$BJ$999,Transport!$B62),0)</f>
        <v>0</v>
      </c>
      <c r="AR62" s="1">
        <f>IFERROR(SUMIFS(BY_TRA!AZ$2:AZ$999,BY_TRA!$BJ$2:$BJ$999,Transport!$B62,BY_TRA!$BK$2:$BK$999,Transport!$C62)/SUMIFS(BY_TRA!AZ$2:AZ$999,BY_TRA!$BJ$2:$BJ$999,Transport!$B62),0)</f>
        <v>0</v>
      </c>
      <c r="AS62" s="1">
        <f>IFERROR(SUMIFS(BY_TRA!BA$2:BA$999,BY_TRA!$BJ$2:$BJ$999,Transport!$B62,BY_TRA!$BK$2:$BK$999,Transport!$C62)/SUMIFS(BY_TRA!BA$2:BA$999,BY_TRA!$BJ$2:$BJ$999,Transport!$B62),0)</f>
        <v>0</v>
      </c>
      <c r="AT62" s="1">
        <f>IFERROR(SUMIFS(BY_TRA!BB$2:BB$999,BY_TRA!$BJ$2:$BJ$999,Transport!$B62,BY_TRA!$BK$2:$BK$999,Transport!$C62)/SUMIFS(BY_TRA!BB$2:BB$999,BY_TRA!$BJ$2:$BJ$999,Transport!$B62),0)</f>
        <v>0</v>
      </c>
      <c r="AU62" s="1">
        <f>IFERROR(SUMIFS(BY_TRA!BC$2:BC$999,BY_TRA!$BJ$2:$BJ$999,Transport!$B62,BY_TRA!$BK$2:$BK$999,Transport!$C62)/SUMIFS(BY_TRA!BC$2:BC$999,BY_TRA!$BJ$2:$BJ$999,Transport!$B62),0)</f>
        <v>0</v>
      </c>
      <c r="AV62" s="1">
        <f>IFERROR(SUMIFS(BY_TRA!BD$2:BD$999,BY_TRA!$BJ$2:$BJ$999,Transport!$B62,BY_TRA!$BK$2:$BK$999,Transport!$C62)/SUMIFS(BY_TRA!BD$2:BD$999,BY_TRA!$BJ$2:$BJ$999,Transport!$B62),0)</f>
        <v>0</v>
      </c>
      <c r="AW62" s="1">
        <f>IFERROR(SUMIFS(BY_TRA!BE$2:BE$999,BY_TRA!$BJ$2:$BJ$999,Transport!$B62,BY_TRA!$BK$2:$BK$999,Transport!$C62)/SUMIFS(BY_TRA!BE$2:BE$999,BY_TRA!$BJ$2:$BJ$999,Transport!$B62),0)</f>
        <v>0</v>
      </c>
      <c r="AX62" s="1">
        <f>IFERROR(SUMIFS(BY_TRA!BF$2:BF$999,BY_TRA!$BJ$2:$BJ$999,Transport!$B62,BY_TRA!$BK$2:$BK$999,Transport!$C62)/SUMIFS(BY_TRA!BF$2:BF$999,BY_TRA!$BJ$2:$BJ$999,Transport!$B62),0)</f>
        <v>0</v>
      </c>
      <c r="AY62" s="1">
        <f>IFERROR(SUMIFS(BY_TRA!BG$2:BG$999,BY_TRA!$BJ$2:$BJ$999,Transport!$B62,BY_TRA!$BK$2:$BK$999,Transport!$C62)/SUMIFS(BY_TRA!BG$2:BG$999,BY_TRA!$BJ$2:$BJ$999,Transport!$B62),0)</f>
        <v>0</v>
      </c>
    </row>
    <row r="63" spans="2:51">
      <c r="B63" t="s">
        <v>134</v>
      </c>
      <c r="C63" t="s">
        <v>124</v>
      </c>
      <c r="D63" s="1">
        <f>IFERROR(SUMIFS(BY_TRA!L$2:L$999,BY_TRA!$BJ$2:$BJ$999,Transport!$B63,BY_TRA!$BK$2:$BK$999,Transport!$C63)/SUMIFS(BY_TRA!L$2:L$999,BY_TRA!$BJ$2:$BJ$999,Transport!$B63),0)</f>
        <v>0</v>
      </c>
      <c r="E63" s="1">
        <f>IFERROR(SUMIFS(BY_TRA!M$2:M$999,BY_TRA!$BJ$2:$BJ$999,Transport!$B63,BY_TRA!$BK$2:$BK$999,Transport!$C63)/SUMIFS(BY_TRA!M$2:M$999,BY_TRA!$BJ$2:$BJ$999,Transport!$B63),0)</f>
        <v>0</v>
      </c>
      <c r="F63" s="1">
        <f>IFERROR(SUMIFS(BY_TRA!N$2:N$999,BY_TRA!$BJ$2:$BJ$999,Transport!$B63,BY_TRA!$BK$2:$BK$999,Transport!$C63)/SUMIFS(BY_TRA!N$2:N$999,BY_TRA!$BJ$2:$BJ$999,Transport!$B63),0)</f>
        <v>0</v>
      </c>
      <c r="G63" s="1">
        <f>IFERROR(SUMIFS(BY_TRA!O$2:O$999,BY_TRA!$BJ$2:$BJ$999,Transport!$B63,BY_TRA!$BK$2:$BK$999,Transport!$C63)/SUMIFS(BY_TRA!O$2:O$999,BY_TRA!$BJ$2:$BJ$999,Transport!$B63),0)</f>
        <v>0</v>
      </c>
      <c r="H63" s="1">
        <f>IFERROR(SUMIFS(BY_TRA!P$2:P$999,BY_TRA!$BJ$2:$BJ$999,Transport!$B63,BY_TRA!$BK$2:$BK$999,Transport!$C63)/SUMIFS(BY_TRA!P$2:P$999,BY_TRA!$BJ$2:$BJ$999,Transport!$B63),0)</f>
        <v>0</v>
      </c>
      <c r="I63" s="1">
        <f>IFERROR(SUMIFS(BY_TRA!Q$2:Q$999,BY_TRA!$BJ$2:$BJ$999,Transport!$B63,BY_TRA!$BK$2:$BK$999,Transport!$C63)/SUMIFS(BY_TRA!Q$2:Q$999,BY_TRA!$BJ$2:$BJ$999,Transport!$B63),0)</f>
        <v>0</v>
      </c>
      <c r="J63" s="1">
        <f>IFERROR(SUMIFS(BY_TRA!R$2:R$999,BY_TRA!$BJ$2:$BJ$999,Transport!$B63,BY_TRA!$BK$2:$BK$999,Transport!$C63)/SUMIFS(BY_TRA!R$2:R$999,BY_TRA!$BJ$2:$BJ$999,Transport!$B63),0)</f>
        <v>0</v>
      </c>
      <c r="K63" s="1">
        <f>IFERROR(SUMIFS(BY_TRA!S$2:S$999,BY_TRA!$BJ$2:$BJ$999,Transport!$B63,BY_TRA!$BK$2:$BK$999,Transport!$C63)/SUMIFS(BY_TRA!S$2:S$999,BY_TRA!$BJ$2:$BJ$999,Transport!$B63),0)</f>
        <v>0</v>
      </c>
      <c r="L63" s="1">
        <f>IFERROR(SUMIFS(BY_TRA!T$2:T$999,BY_TRA!$BJ$2:$BJ$999,Transport!$B63,BY_TRA!$BK$2:$BK$999,Transport!$C63)/SUMIFS(BY_TRA!T$2:T$999,BY_TRA!$BJ$2:$BJ$999,Transport!$B63),0)</f>
        <v>0</v>
      </c>
      <c r="M63" s="1">
        <f>IFERROR(SUMIFS(BY_TRA!U$2:U$999,BY_TRA!$BJ$2:$BJ$999,Transport!$B63,BY_TRA!$BK$2:$BK$999,Transport!$C63)/SUMIFS(BY_TRA!U$2:U$999,BY_TRA!$BJ$2:$BJ$999,Transport!$B63),0)</f>
        <v>0</v>
      </c>
      <c r="N63" s="1">
        <f>IFERROR(SUMIFS(BY_TRA!V$2:V$999,BY_TRA!$BJ$2:$BJ$999,Transport!$B63,BY_TRA!$BK$2:$BK$999,Transport!$C63)/SUMIFS(BY_TRA!V$2:V$999,BY_TRA!$BJ$2:$BJ$999,Transport!$B63),0)</f>
        <v>0</v>
      </c>
      <c r="O63" s="1">
        <f>IFERROR(SUMIFS(BY_TRA!W$2:W$999,BY_TRA!$BJ$2:$BJ$999,Transport!$B63,BY_TRA!$BK$2:$BK$999,Transport!$C63)/SUMIFS(BY_TRA!W$2:W$999,BY_TRA!$BJ$2:$BJ$999,Transport!$B63),0)</f>
        <v>0</v>
      </c>
      <c r="P63" s="1">
        <f>IFERROR(SUMIFS(BY_TRA!X$2:X$999,BY_TRA!$BJ$2:$BJ$999,Transport!$B63,BY_TRA!$BK$2:$BK$999,Transport!$C63)/SUMIFS(BY_TRA!X$2:X$999,BY_TRA!$BJ$2:$BJ$999,Transport!$B63),0)</f>
        <v>0</v>
      </c>
      <c r="Q63" s="1">
        <f>IFERROR(SUMIFS(BY_TRA!Y$2:Y$999,BY_TRA!$BJ$2:$BJ$999,Transport!$B63,BY_TRA!$BK$2:$BK$999,Transport!$C63)/SUMIFS(BY_TRA!Y$2:Y$999,BY_TRA!$BJ$2:$BJ$999,Transport!$B63),0)</f>
        <v>0</v>
      </c>
      <c r="R63" s="1">
        <f>IFERROR(SUMIFS(BY_TRA!Z$2:Z$999,BY_TRA!$BJ$2:$BJ$999,Transport!$B63,BY_TRA!$BK$2:$BK$999,Transport!$C63)/SUMIFS(BY_TRA!Z$2:Z$999,BY_TRA!$BJ$2:$BJ$999,Transport!$B63),0)</f>
        <v>0</v>
      </c>
      <c r="S63" s="1">
        <f>IFERROR(SUMIFS(BY_TRA!AA$2:AA$999,BY_TRA!$BJ$2:$BJ$999,Transport!$B63,BY_TRA!$BK$2:$BK$999,Transport!$C63)/SUMIFS(BY_TRA!AA$2:AA$999,BY_TRA!$BJ$2:$BJ$999,Transport!$B63),0)</f>
        <v>0</v>
      </c>
      <c r="T63" s="1">
        <f>IFERROR(SUMIFS(BY_TRA!AB$2:AB$999,BY_TRA!$BJ$2:$BJ$999,Transport!$B63,BY_TRA!$BK$2:$BK$999,Transport!$C63)/SUMIFS(BY_TRA!AB$2:AB$999,BY_TRA!$BJ$2:$BJ$999,Transport!$B63),0)</f>
        <v>0</v>
      </c>
      <c r="U63" s="1">
        <f>IFERROR(SUMIFS(BY_TRA!AC$2:AC$999,BY_TRA!$BJ$2:$BJ$999,Transport!$B63,BY_TRA!$BK$2:$BK$999,Transport!$C63)/SUMIFS(BY_TRA!AC$2:AC$999,BY_TRA!$BJ$2:$BJ$999,Transport!$B63),0)</f>
        <v>0</v>
      </c>
      <c r="V63" s="1">
        <f>IFERROR(SUMIFS(BY_TRA!AD$2:AD$999,BY_TRA!$BJ$2:$BJ$999,Transport!$B63,BY_TRA!$BK$2:$BK$999,Transport!$C63)/SUMIFS(BY_TRA!AD$2:AD$999,BY_TRA!$BJ$2:$BJ$999,Transport!$B63),0)</f>
        <v>0</v>
      </c>
      <c r="W63" s="1">
        <f>IFERROR(SUMIFS(BY_TRA!AE$2:AE$999,BY_TRA!$BJ$2:$BJ$999,Transport!$B63,BY_TRA!$BK$2:$BK$999,Transport!$C63)/SUMIFS(BY_TRA!AE$2:AE$999,BY_TRA!$BJ$2:$BJ$999,Transport!$B63),0)</f>
        <v>0</v>
      </c>
      <c r="X63" s="1">
        <f>IFERROR(SUMIFS(BY_TRA!AF$2:AF$999,BY_TRA!$BJ$2:$BJ$999,Transport!$B63,BY_TRA!$BK$2:$BK$999,Transport!$C63)/SUMIFS(BY_TRA!AF$2:AF$999,BY_TRA!$BJ$2:$BJ$999,Transport!$B63),0)</f>
        <v>0</v>
      </c>
      <c r="Y63" s="1">
        <f>IFERROR(SUMIFS(BY_TRA!AG$2:AG$999,BY_TRA!$BJ$2:$BJ$999,Transport!$B63,BY_TRA!$BK$2:$BK$999,Transport!$C63)/SUMIFS(BY_TRA!AG$2:AG$999,BY_TRA!$BJ$2:$BJ$999,Transport!$B63),0)</f>
        <v>0</v>
      </c>
      <c r="Z63" s="1">
        <f>IFERROR(SUMIFS(BY_TRA!AH$2:AH$999,BY_TRA!$BJ$2:$BJ$999,Transport!$B63,BY_TRA!$BK$2:$BK$999,Transport!$C63)/SUMIFS(BY_TRA!AH$2:AH$999,BY_TRA!$BJ$2:$BJ$999,Transport!$B63),0)</f>
        <v>0</v>
      </c>
      <c r="AA63" s="1">
        <f>IFERROR(SUMIFS(BY_TRA!AI$2:AI$999,BY_TRA!$BJ$2:$BJ$999,Transport!$B63,BY_TRA!$BK$2:$BK$999,Transport!$C63)/SUMIFS(BY_TRA!AI$2:AI$999,BY_TRA!$BJ$2:$BJ$999,Transport!$B63),0)</f>
        <v>0</v>
      </c>
      <c r="AB63" s="1">
        <f>IFERROR(SUMIFS(BY_TRA!AJ$2:AJ$999,BY_TRA!$BJ$2:$BJ$999,Transport!$B63,BY_TRA!$BK$2:$BK$999,Transport!$C63)/SUMIFS(BY_TRA!AJ$2:AJ$999,BY_TRA!$BJ$2:$BJ$999,Transport!$B63),0)</f>
        <v>0</v>
      </c>
      <c r="AC63" s="1">
        <f>IFERROR(SUMIFS(BY_TRA!AK$2:AK$999,BY_TRA!$BJ$2:$BJ$999,Transport!$B63,BY_TRA!$BK$2:$BK$999,Transport!$C63)/SUMIFS(BY_TRA!AK$2:AK$999,BY_TRA!$BJ$2:$BJ$999,Transport!$B63),0)</f>
        <v>0</v>
      </c>
      <c r="AD63" s="1">
        <f>IFERROR(SUMIFS(BY_TRA!AL$2:AL$999,BY_TRA!$BJ$2:$BJ$999,Transport!$B63,BY_TRA!$BK$2:$BK$999,Transport!$C63)/SUMIFS(BY_TRA!AL$2:AL$999,BY_TRA!$BJ$2:$BJ$999,Transport!$B63),0)</f>
        <v>0</v>
      </c>
      <c r="AE63" s="1">
        <f>IFERROR(SUMIFS(BY_TRA!AM$2:AM$999,BY_TRA!$BJ$2:$BJ$999,Transport!$B63,BY_TRA!$BK$2:$BK$999,Transport!$C63)/SUMIFS(BY_TRA!AM$2:AM$999,BY_TRA!$BJ$2:$BJ$999,Transport!$B63),0)</f>
        <v>0</v>
      </c>
      <c r="AF63" s="1">
        <f>IFERROR(SUMIFS(BY_TRA!AN$2:AN$999,BY_TRA!$BJ$2:$BJ$999,Transport!$B63,BY_TRA!$BK$2:$BK$999,Transport!$C63)/SUMIFS(BY_TRA!AN$2:AN$999,BY_TRA!$BJ$2:$BJ$999,Transport!$B63),0)</f>
        <v>0</v>
      </c>
      <c r="AG63" s="1">
        <f>IFERROR(SUMIFS(BY_TRA!AO$2:AO$999,BY_TRA!$BJ$2:$BJ$999,Transport!$B63,BY_TRA!$BK$2:$BK$999,Transport!$C63)/SUMIFS(BY_TRA!AO$2:AO$999,BY_TRA!$BJ$2:$BJ$999,Transport!$B63),0)</f>
        <v>0</v>
      </c>
      <c r="AH63" s="1">
        <f>IFERROR(SUMIFS(BY_TRA!AP$2:AP$999,BY_TRA!$BJ$2:$BJ$999,Transport!$B63,BY_TRA!$BK$2:$BK$999,Transport!$C63)/SUMIFS(BY_TRA!AP$2:AP$999,BY_TRA!$BJ$2:$BJ$999,Transport!$B63),0)</f>
        <v>0</v>
      </c>
      <c r="AI63" s="1">
        <f>IFERROR(SUMIFS(BY_TRA!AQ$2:AQ$999,BY_TRA!$BJ$2:$BJ$999,Transport!$B63,BY_TRA!$BK$2:$BK$999,Transport!$C63)/SUMIFS(BY_TRA!AQ$2:AQ$999,BY_TRA!$BJ$2:$BJ$999,Transport!$B63),0)</f>
        <v>0</v>
      </c>
      <c r="AJ63" s="1">
        <f>IFERROR(SUMIFS(BY_TRA!AR$2:AR$999,BY_TRA!$BJ$2:$BJ$999,Transport!$B63,BY_TRA!$BK$2:$BK$999,Transport!$C63)/SUMIFS(BY_TRA!AR$2:AR$999,BY_TRA!$BJ$2:$BJ$999,Transport!$B63),0)</f>
        <v>0</v>
      </c>
      <c r="AK63" s="1">
        <f>IFERROR(SUMIFS(BY_TRA!AS$2:AS$999,BY_TRA!$BJ$2:$BJ$999,Transport!$B63,BY_TRA!$BK$2:$BK$999,Transport!$C63)/SUMIFS(BY_TRA!AS$2:AS$999,BY_TRA!$BJ$2:$BJ$999,Transport!$B63),0)</f>
        <v>0</v>
      </c>
      <c r="AL63" s="1">
        <f>IFERROR(SUMIFS(BY_TRA!AT$2:AT$999,BY_TRA!$BJ$2:$BJ$999,Transport!$B63,BY_TRA!$BK$2:$BK$999,Transport!$C63)/SUMIFS(BY_TRA!AT$2:AT$999,BY_TRA!$BJ$2:$BJ$999,Transport!$B63),0)</f>
        <v>0</v>
      </c>
      <c r="AM63" s="1">
        <f>IFERROR(SUMIFS(BY_TRA!AU$2:AU$999,BY_TRA!$BJ$2:$BJ$999,Transport!$B63,BY_TRA!$BK$2:$BK$999,Transport!$C63)/SUMIFS(BY_TRA!AU$2:AU$999,BY_TRA!$BJ$2:$BJ$999,Transport!$B63),0)</f>
        <v>0</v>
      </c>
      <c r="AN63" s="1">
        <f>IFERROR(SUMIFS(BY_TRA!AV$2:AV$999,BY_TRA!$BJ$2:$BJ$999,Transport!$B63,BY_TRA!$BK$2:$BK$999,Transport!$C63)/SUMIFS(BY_TRA!AV$2:AV$999,BY_TRA!$BJ$2:$BJ$999,Transport!$B63),0)</f>
        <v>0</v>
      </c>
      <c r="AO63" s="1">
        <f>IFERROR(SUMIFS(BY_TRA!AW$2:AW$999,BY_TRA!$BJ$2:$BJ$999,Transport!$B63,BY_TRA!$BK$2:$BK$999,Transport!$C63)/SUMIFS(BY_TRA!AW$2:AW$999,BY_TRA!$BJ$2:$BJ$999,Transport!$B63),0)</f>
        <v>0</v>
      </c>
      <c r="AP63" s="1">
        <f>IFERROR(SUMIFS(BY_TRA!AX$2:AX$999,BY_TRA!$BJ$2:$BJ$999,Transport!$B63,BY_TRA!$BK$2:$BK$999,Transport!$C63)/SUMIFS(BY_TRA!AX$2:AX$999,BY_TRA!$BJ$2:$BJ$999,Transport!$B63),0)</f>
        <v>0</v>
      </c>
      <c r="AQ63" s="1">
        <f>IFERROR(SUMIFS(BY_TRA!AY$2:AY$999,BY_TRA!$BJ$2:$BJ$999,Transport!$B63,BY_TRA!$BK$2:$BK$999,Transport!$C63)/SUMIFS(BY_TRA!AY$2:AY$999,BY_TRA!$BJ$2:$BJ$999,Transport!$B63),0)</f>
        <v>0</v>
      </c>
      <c r="AR63" s="1">
        <f>IFERROR(SUMIFS(BY_TRA!AZ$2:AZ$999,BY_TRA!$BJ$2:$BJ$999,Transport!$B63,BY_TRA!$BK$2:$BK$999,Transport!$C63)/SUMIFS(BY_TRA!AZ$2:AZ$999,BY_TRA!$BJ$2:$BJ$999,Transport!$B63),0)</f>
        <v>0</v>
      </c>
      <c r="AS63" s="1">
        <f>IFERROR(SUMIFS(BY_TRA!BA$2:BA$999,BY_TRA!$BJ$2:$BJ$999,Transport!$B63,BY_TRA!$BK$2:$BK$999,Transport!$C63)/SUMIFS(BY_TRA!BA$2:BA$999,BY_TRA!$BJ$2:$BJ$999,Transport!$B63),0)</f>
        <v>0</v>
      </c>
      <c r="AT63" s="1">
        <f>IFERROR(SUMIFS(BY_TRA!BB$2:BB$999,BY_TRA!$BJ$2:$BJ$999,Transport!$B63,BY_TRA!$BK$2:$BK$999,Transport!$C63)/SUMIFS(BY_TRA!BB$2:BB$999,BY_TRA!$BJ$2:$BJ$999,Transport!$B63),0)</f>
        <v>0</v>
      </c>
      <c r="AU63" s="1">
        <f>IFERROR(SUMIFS(BY_TRA!BC$2:BC$999,BY_TRA!$BJ$2:$BJ$999,Transport!$B63,BY_TRA!$BK$2:$BK$999,Transport!$C63)/SUMIFS(BY_TRA!BC$2:BC$999,BY_TRA!$BJ$2:$BJ$999,Transport!$B63),0)</f>
        <v>0</v>
      </c>
      <c r="AV63" s="1">
        <f>IFERROR(SUMIFS(BY_TRA!BD$2:BD$999,BY_TRA!$BJ$2:$BJ$999,Transport!$B63,BY_TRA!$BK$2:$BK$999,Transport!$C63)/SUMIFS(BY_TRA!BD$2:BD$999,BY_TRA!$BJ$2:$BJ$999,Transport!$B63),0)</f>
        <v>0</v>
      </c>
      <c r="AW63" s="1">
        <f>IFERROR(SUMIFS(BY_TRA!BE$2:BE$999,BY_TRA!$BJ$2:$BJ$999,Transport!$B63,BY_TRA!$BK$2:$BK$999,Transport!$C63)/SUMIFS(BY_TRA!BE$2:BE$999,BY_TRA!$BJ$2:$BJ$999,Transport!$B63),0)</f>
        <v>0</v>
      </c>
      <c r="AX63" s="1">
        <f>IFERROR(SUMIFS(BY_TRA!BF$2:BF$999,BY_TRA!$BJ$2:$BJ$999,Transport!$B63,BY_TRA!$BK$2:$BK$999,Transport!$C63)/SUMIFS(BY_TRA!BF$2:BF$999,BY_TRA!$BJ$2:$BJ$999,Transport!$B63),0)</f>
        <v>0</v>
      </c>
      <c r="AY63" s="1">
        <f>IFERROR(SUMIFS(BY_TRA!BG$2:BG$999,BY_TRA!$BJ$2:$BJ$999,Transport!$B63,BY_TRA!$BK$2:$BK$999,Transport!$C63)/SUMIFS(BY_TRA!BG$2:BG$999,BY_TRA!$BJ$2:$BJ$999,Transport!$B63),0)</f>
        <v>0</v>
      </c>
    </row>
    <row r="64" spans="2:51">
      <c r="B64" t="s">
        <v>134</v>
      </c>
      <c r="C64" t="s">
        <v>130</v>
      </c>
      <c r="D64" s="1">
        <f>IFERROR(SUMIFS(BY_TRA!L$2:L$999,BY_TRA!$BJ$2:$BJ$999,Transport!$B64,BY_TRA!$BK$2:$BK$999,Transport!$C64)/SUMIFS(BY_TRA!L$2:L$999,BY_TRA!$BJ$2:$BJ$999,Transport!$B64),0)</f>
        <v>0</v>
      </c>
      <c r="E64" s="1">
        <f>IFERROR(SUMIFS(BY_TRA!M$2:M$999,BY_TRA!$BJ$2:$BJ$999,Transport!$B64,BY_TRA!$BK$2:$BK$999,Transport!$C64)/SUMIFS(BY_TRA!M$2:M$999,BY_TRA!$BJ$2:$BJ$999,Transport!$B64),0)</f>
        <v>0</v>
      </c>
      <c r="F64" s="1">
        <f>IFERROR(SUMIFS(BY_TRA!N$2:N$999,BY_TRA!$BJ$2:$BJ$999,Transport!$B64,BY_TRA!$BK$2:$BK$999,Transport!$C64)/SUMIFS(BY_TRA!N$2:N$999,BY_TRA!$BJ$2:$BJ$999,Transport!$B64),0)</f>
        <v>0</v>
      </c>
      <c r="G64" s="1">
        <f>IFERROR(SUMIFS(BY_TRA!O$2:O$999,BY_TRA!$BJ$2:$BJ$999,Transport!$B64,BY_TRA!$BK$2:$BK$999,Transport!$C64)/SUMIFS(BY_TRA!O$2:O$999,BY_TRA!$BJ$2:$BJ$999,Transport!$B64),0)</f>
        <v>0</v>
      </c>
      <c r="H64" s="1">
        <f>IFERROR(SUMIFS(BY_TRA!P$2:P$999,BY_TRA!$BJ$2:$BJ$999,Transport!$B64,BY_TRA!$BK$2:$BK$999,Transport!$C64)/SUMIFS(BY_TRA!P$2:P$999,BY_TRA!$BJ$2:$BJ$999,Transport!$B64),0)</f>
        <v>0</v>
      </c>
      <c r="I64" s="1">
        <f>IFERROR(SUMIFS(BY_TRA!Q$2:Q$999,BY_TRA!$BJ$2:$BJ$999,Transport!$B64,BY_TRA!$BK$2:$BK$999,Transport!$C64)/SUMIFS(BY_TRA!Q$2:Q$999,BY_TRA!$BJ$2:$BJ$999,Transport!$B64),0)</f>
        <v>0</v>
      </c>
      <c r="J64" s="1">
        <f>IFERROR(SUMIFS(BY_TRA!R$2:R$999,BY_TRA!$BJ$2:$BJ$999,Transport!$B64,BY_TRA!$BK$2:$BK$999,Transport!$C64)/SUMIFS(BY_TRA!R$2:R$999,BY_TRA!$BJ$2:$BJ$999,Transport!$B64),0)</f>
        <v>0</v>
      </c>
      <c r="K64" s="1">
        <f>IFERROR(SUMIFS(BY_TRA!S$2:S$999,BY_TRA!$BJ$2:$BJ$999,Transport!$B64,BY_TRA!$BK$2:$BK$999,Transport!$C64)/SUMIFS(BY_TRA!S$2:S$999,BY_TRA!$BJ$2:$BJ$999,Transport!$B64),0)</f>
        <v>0</v>
      </c>
      <c r="L64" s="1">
        <f>IFERROR(SUMIFS(BY_TRA!T$2:T$999,BY_TRA!$BJ$2:$BJ$999,Transport!$B64,BY_TRA!$BK$2:$BK$999,Transport!$C64)/SUMIFS(BY_TRA!T$2:T$999,BY_TRA!$BJ$2:$BJ$999,Transport!$B64),0)</f>
        <v>0</v>
      </c>
      <c r="M64" s="1">
        <f>IFERROR(SUMIFS(BY_TRA!U$2:U$999,BY_TRA!$BJ$2:$BJ$999,Transport!$B64,BY_TRA!$BK$2:$BK$999,Transport!$C64)/SUMIFS(BY_TRA!U$2:U$999,BY_TRA!$BJ$2:$BJ$999,Transport!$B64),0)</f>
        <v>0</v>
      </c>
      <c r="N64" s="1">
        <f>IFERROR(SUMIFS(BY_TRA!V$2:V$999,BY_TRA!$BJ$2:$BJ$999,Transport!$B64,BY_TRA!$BK$2:$BK$999,Transport!$C64)/SUMIFS(BY_TRA!V$2:V$999,BY_TRA!$BJ$2:$BJ$999,Transport!$B64),0)</f>
        <v>0</v>
      </c>
      <c r="O64" s="1">
        <f>IFERROR(SUMIFS(BY_TRA!W$2:W$999,BY_TRA!$BJ$2:$BJ$999,Transport!$B64,BY_TRA!$BK$2:$BK$999,Transport!$C64)/SUMIFS(BY_TRA!W$2:W$999,BY_TRA!$BJ$2:$BJ$999,Transport!$B64),0)</f>
        <v>0</v>
      </c>
      <c r="P64" s="1">
        <f>IFERROR(SUMIFS(BY_TRA!X$2:X$999,BY_TRA!$BJ$2:$BJ$999,Transport!$B64,BY_TRA!$BK$2:$BK$999,Transport!$C64)/SUMIFS(BY_TRA!X$2:X$999,BY_TRA!$BJ$2:$BJ$999,Transport!$B64),0)</f>
        <v>0</v>
      </c>
      <c r="Q64" s="1">
        <f>IFERROR(SUMIFS(BY_TRA!Y$2:Y$999,BY_TRA!$BJ$2:$BJ$999,Transport!$B64,BY_TRA!$BK$2:$BK$999,Transport!$C64)/SUMIFS(BY_TRA!Y$2:Y$999,BY_TRA!$BJ$2:$BJ$999,Transport!$B64),0)</f>
        <v>0</v>
      </c>
      <c r="R64" s="1">
        <f>IFERROR(SUMIFS(BY_TRA!Z$2:Z$999,BY_TRA!$BJ$2:$BJ$999,Transport!$B64,BY_TRA!$BK$2:$BK$999,Transport!$C64)/SUMIFS(BY_TRA!Z$2:Z$999,BY_TRA!$BJ$2:$BJ$999,Transport!$B64),0)</f>
        <v>0</v>
      </c>
      <c r="S64" s="1">
        <f>IFERROR(SUMIFS(BY_TRA!AA$2:AA$999,BY_TRA!$BJ$2:$BJ$999,Transport!$B64,BY_TRA!$BK$2:$BK$999,Transport!$C64)/SUMIFS(BY_TRA!AA$2:AA$999,BY_TRA!$BJ$2:$BJ$999,Transport!$B64),0)</f>
        <v>0</v>
      </c>
      <c r="T64" s="1">
        <f>IFERROR(SUMIFS(BY_TRA!AB$2:AB$999,BY_TRA!$BJ$2:$BJ$999,Transport!$B64,BY_TRA!$BK$2:$BK$999,Transport!$C64)/SUMIFS(BY_TRA!AB$2:AB$999,BY_TRA!$BJ$2:$BJ$999,Transport!$B64),0)</f>
        <v>0</v>
      </c>
      <c r="U64" s="1">
        <f>IFERROR(SUMIFS(BY_TRA!AC$2:AC$999,BY_TRA!$BJ$2:$BJ$999,Transport!$B64,BY_TRA!$BK$2:$BK$999,Transport!$C64)/SUMIFS(BY_TRA!AC$2:AC$999,BY_TRA!$BJ$2:$BJ$999,Transport!$B64),0)</f>
        <v>0</v>
      </c>
      <c r="V64" s="1">
        <f>IFERROR(SUMIFS(BY_TRA!AD$2:AD$999,BY_TRA!$BJ$2:$BJ$999,Transport!$B64,BY_TRA!$BK$2:$BK$999,Transport!$C64)/SUMIFS(BY_TRA!AD$2:AD$999,BY_TRA!$BJ$2:$BJ$999,Transport!$B64),0)</f>
        <v>0</v>
      </c>
      <c r="W64" s="1">
        <f>IFERROR(SUMIFS(BY_TRA!AE$2:AE$999,BY_TRA!$BJ$2:$BJ$999,Transport!$B64,BY_TRA!$BK$2:$BK$999,Transport!$C64)/SUMIFS(BY_TRA!AE$2:AE$999,BY_TRA!$BJ$2:$BJ$999,Transport!$B64),0)</f>
        <v>0</v>
      </c>
      <c r="X64" s="1">
        <f>IFERROR(SUMIFS(BY_TRA!AF$2:AF$999,BY_TRA!$BJ$2:$BJ$999,Transport!$B64,BY_TRA!$BK$2:$BK$999,Transport!$C64)/SUMIFS(BY_TRA!AF$2:AF$999,BY_TRA!$BJ$2:$BJ$999,Transport!$B64),0)</f>
        <v>0</v>
      </c>
      <c r="Y64" s="1">
        <f>IFERROR(SUMIFS(BY_TRA!AG$2:AG$999,BY_TRA!$BJ$2:$BJ$999,Transport!$B64,BY_TRA!$BK$2:$BK$999,Transport!$C64)/SUMIFS(BY_TRA!AG$2:AG$999,BY_TRA!$BJ$2:$BJ$999,Transport!$B64),0)</f>
        <v>0</v>
      </c>
      <c r="Z64" s="1">
        <f>IFERROR(SUMIFS(BY_TRA!AH$2:AH$999,BY_TRA!$BJ$2:$BJ$999,Transport!$B64,BY_TRA!$BK$2:$BK$999,Transport!$C64)/SUMIFS(BY_TRA!AH$2:AH$999,BY_TRA!$BJ$2:$BJ$999,Transport!$B64),0)</f>
        <v>0</v>
      </c>
      <c r="AA64" s="1">
        <f>IFERROR(SUMIFS(BY_TRA!AI$2:AI$999,BY_TRA!$BJ$2:$BJ$999,Transport!$B64,BY_TRA!$BK$2:$BK$999,Transport!$C64)/SUMIFS(BY_TRA!AI$2:AI$999,BY_TRA!$BJ$2:$BJ$999,Transport!$B64),0)</f>
        <v>0</v>
      </c>
      <c r="AB64" s="1">
        <f>IFERROR(SUMIFS(BY_TRA!AJ$2:AJ$999,BY_TRA!$BJ$2:$BJ$999,Transport!$B64,BY_TRA!$BK$2:$BK$999,Transport!$C64)/SUMIFS(BY_TRA!AJ$2:AJ$999,BY_TRA!$BJ$2:$BJ$999,Transport!$B64),0)</f>
        <v>0</v>
      </c>
      <c r="AC64" s="1">
        <f>IFERROR(SUMIFS(BY_TRA!AK$2:AK$999,BY_TRA!$BJ$2:$BJ$999,Transport!$B64,BY_TRA!$BK$2:$BK$999,Transport!$C64)/SUMIFS(BY_TRA!AK$2:AK$999,BY_TRA!$BJ$2:$BJ$999,Transport!$B64),0)</f>
        <v>0</v>
      </c>
      <c r="AD64" s="1">
        <f>IFERROR(SUMIFS(BY_TRA!AL$2:AL$999,BY_TRA!$BJ$2:$BJ$999,Transport!$B64,BY_TRA!$BK$2:$BK$999,Transport!$C64)/SUMIFS(BY_TRA!AL$2:AL$999,BY_TRA!$BJ$2:$BJ$999,Transport!$B64),0)</f>
        <v>0</v>
      </c>
      <c r="AE64" s="1">
        <f>IFERROR(SUMIFS(BY_TRA!AM$2:AM$999,BY_TRA!$BJ$2:$BJ$999,Transport!$B64,BY_TRA!$BK$2:$BK$999,Transport!$C64)/SUMIFS(BY_TRA!AM$2:AM$999,BY_TRA!$BJ$2:$BJ$999,Transport!$B64),0)</f>
        <v>0</v>
      </c>
      <c r="AF64" s="1">
        <f>IFERROR(SUMIFS(BY_TRA!AN$2:AN$999,BY_TRA!$BJ$2:$BJ$999,Transport!$B64,BY_TRA!$BK$2:$BK$999,Transport!$C64)/SUMIFS(BY_TRA!AN$2:AN$999,BY_TRA!$BJ$2:$BJ$999,Transport!$B64),0)</f>
        <v>0</v>
      </c>
      <c r="AG64" s="1">
        <f>IFERROR(SUMIFS(BY_TRA!AO$2:AO$999,BY_TRA!$BJ$2:$BJ$999,Transport!$B64,BY_TRA!$BK$2:$BK$999,Transport!$C64)/SUMIFS(BY_TRA!AO$2:AO$999,BY_TRA!$BJ$2:$BJ$999,Transport!$B64),0)</f>
        <v>0</v>
      </c>
      <c r="AH64" s="1">
        <f>IFERROR(SUMIFS(BY_TRA!AP$2:AP$999,BY_TRA!$BJ$2:$BJ$999,Transport!$B64,BY_TRA!$BK$2:$BK$999,Transport!$C64)/SUMIFS(BY_TRA!AP$2:AP$999,BY_TRA!$BJ$2:$BJ$999,Transport!$B64),0)</f>
        <v>0</v>
      </c>
      <c r="AI64" s="1">
        <f>IFERROR(SUMIFS(BY_TRA!AQ$2:AQ$999,BY_TRA!$BJ$2:$BJ$999,Transport!$B64,BY_TRA!$BK$2:$BK$999,Transport!$C64)/SUMIFS(BY_TRA!AQ$2:AQ$999,BY_TRA!$BJ$2:$BJ$999,Transport!$B64),0)</f>
        <v>0</v>
      </c>
      <c r="AJ64" s="1">
        <f>IFERROR(SUMIFS(BY_TRA!AR$2:AR$999,BY_TRA!$BJ$2:$BJ$999,Transport!$B64,BY_TRA!$BK$2:$BK$999,Transport!$C64)/SUMIFS(BY_TRA!AR$2:AR$999,BY_TRA!$BJ$2:$BJ$999,Transport!$B64),0)</f>
        <v>0</v>
      </c>
      <c r="AK64" s="1">
        <f>IFERROR(SUMIFS(BY_TRA!AS$2:AS$999,BY_TRA!$BJ$2:$BJ$999,Transport!$B64,BY_TRA!$BK$2:$BK$999,Transport!$C64)/SUMIFS(BY_TRA!AS$2:AS$999,BY_TRA!$BJ$2:$BJ$999,Transport!$B64),0)</f>
        <v>0</v>
      </c>
      <c r="AL64" s="1">
        <f>IFERROR(SUMIFS(BY_TRA!AT$2:AT$999,BY_TRA!$BJ$2:$BJ$999,Transport!$B64,BY_TRA!$BK$2:$BK$999,Transport!$C64)/SUMIFS(BY_TRA!AT$2:AT$999,BY_TRA!$BJ$2:$BJ$999,Transport!$B64),0)</f>
        <v>0</v>
      </c>
      <c r="AM64" s="1">
        <f>IFERROR(SUMIFS(BY_TRA!AU$2:AU$999,BY_TRA!$BJ$2:$BJ$999,Transport!$B64,BY_TRA!$BK$2:$BK$999,Transport!$C64)/SUMIFS(BY_TRA!AU$2:AU$999,BY_TRA!$BJ$2:$BJ$999,Transport!$B64),0)</f>
        <v>0</v>
      </c>
      <c r="AN64" s="1">
        <f>IFERROR(SUMIFS(BY_TRA!AV$2:AV$999,BY_TRA!$BJ$2:$BJ$999,Transport!$B64,BY_TRA!$BK$2:$BK$999,Transport!$C64)/SUMIFS(BY_TRA!AV$2:AV$999,BY_TRA!$BJ$2:$BJ$999,Transport!$B64),0)</f>
        <v>0</v>
      </c>
      <c r="AO64" s="1">
        <f>IFERROR(SUMIFS(BY_TRA!AW$2:AW$999,BY_TRA!$BJ$2:$BJ$999,Transport!$B64,BY_TRA!$BK$2:$BK$999,Transport!$C64)/SUMIFS(BY_TRA!AW$2:AW$999,BY_TRA!$BJ$2:$BJ$999,Transport!$B64),0)</f>
        <v>0</v>
      </c>
      <c r="AP64" s="1">
        <f>IFERROR(SUMIFS(BY_TRA!AX$2:AX$999,BY_TRA!$BJ$2:$BJ$999,Transport!$B64,BY_TRA!$BK$2:$BK$999,Transport!$C64)/SUMIFS(BY_TRA!AX$2:AX$999,BY_TRA!$BJ$2:$BJ$999,Transport!$B64),0)</f>
        <v>0</v>
      </c>
      <c r="AQ64" s="1">
        <f>IFERROR(SUMIFS(BY_TRA!AY$2:AY$999,BY_TRA!$BJ$2:$BJ$999,Transport!$B64,BY_TRA!$BK$2:$BK$999,Transport!$C64)/SUMIFS(BY_TRA!AY$2:AY$999,BY_TRA!$BJ$2:$BJ$999,Transport!$B64),0)</f>
        <v>0</v>
      </c>
      <c r="AR64" s="1">
        <f>IFERROR(SUMIFS(BY_TRA!AZ$2:AZ$999,BY_TRA!$BJ$2:$BJ$999,Transport!$B64,BY_TRA!$BK$2:$BK$999,Transport!$C64)/SUMIFS(BY_TRA!AZ$2:AZ$999,BY_TRA!$BJ$2:$BJ$999,Transport!$B64),0)</f>
        <v>0</v>
      </c>
      <c r="AS64" s="1">
        <f>IFERROR(SUMIFS(BY_TRA!BA$2:BA$999,BY_TRA!$BJ$2:$BJ$999,Transport!$B64,BY_TRA!$BK$2:$BK$999,Transport!$C64)/SUMIFS(BY_TRA!BA$2:BA$999,BY_TRA!$BJ$2:$BJ$999,Transport!$B64),0)</f>
        <v>0</v>
      </c>
      <c r="AT64" s="1">
        <f>IFERROR(SUMIFS(BY_TRA!BB$2:BB$999,BY_TRA!$BJ$2:$BJ$999,Transport!$B64,BY_TRA!$BK$2:$BK$999,Transport!$C64)/SUMIFS(BY_TRA!BB$2:BB$999,BY_TRA!$BJ$2:$BJ$999,Transport!$B64),0)</f>
        <v>0</v>
      </c>
      <c r="AU64" s="1">
        <f>IFERROR(SUMIFS(BY_TRA!BC$2:BC$999,BY_TRA!$BJ$2:$BJ$999,Transport!$B64,BY_TRA!$BK$2:$BK$999,Transport!$C64)/SUMIFS(BY_TRA!BC$2:BC$999,BY_TRA!$BJ$2:$BJ$999,Transport!$B64),0)</f>
        <v>0</v>
      </c>
      <c r="AV64" s="1">
        <f>IFERROR(SUMIFS(BY_TRA!BD$2:BD$999,BY_TRA!$BJ$2:$BJ$999,Transport!$B64,BY_TRA!$BK$2:$BK$999,Transport!$C64)/SUMIFS(BY_TRA!BD$2:BD$999,BY_TRA!$BJ$2:$BJ$999,Transport!$B64),0)</f>
        <v>0</v>
      </c>
      <c r="AW64" s="1">
        <f>IFERROR(SUMIFS(BY_TRA!BE$2:BE$999,BY_TRA!$BJ$2:$BJ$999,Transport!$B64,BY_TRA!$BK$2:$BK$999,Transport!$C64)/SUMIFS(BY_TRA!BE$2:BE$999,BY_TRA!$BJ$2:$BJ$999,Transport!$B64),0)</f>
        <v>0</v>
      </c>
      <c r="AX64" s="1">
        <f>IFERROR(SUMIFS(BY_TRA!BF$2:BF$999,BY_TRA!$BJ$2:$BJ$999,Transport!$B64,BY_TRA!$BK$2:$BK$999,Transport!$C64)/SUMIFS(BY_TRA!BF$2:BF$999,BY_TRA!$BJ$2:$BJ$999,Transport!$B64),0)</f>
        <v>0</v>
      </c>
      <c r="AY64" s="1">
        <f>IFERROR(SUMIFS(BY_TRA!BG$2:BG$999,BY_TRA!$BJ$2:$BJ$999,Transport!$B64,BY_TRA!$BK$2:$BK$999,Transport!$C64)/SUMIFS(BY_TRA!BG$2:BG$999,BY_TRA!$BJ$2:$BJ$999,Transport!$B64),0)</f>
        <v>0</v>
      </c>
    </row>
    <row r="65" spans="2:51">
      <c r="B65" t="s">
        <v>134</v>
      </c>
      <c r="C65" s="2" t="s">
        <v>131</v>
      </c>
      <c r="D65" s="1">
        <f>IFERROR(SUMIFS(BY_TRA!L$2:L$999,BY_TRA!$BJ$2:$BJ$999,Transport!$B65,BY_TRA!$BK$2:$BK$999,Transport!$C65)/SUMIFS(BY_TRA!L$2:L$999,BY_TRA!$BJ$2:$BJ$999,Transport!$B65),0)</f>
        <v>0</v>
      </c>
      <c r="E65" s="1">
        <f>IFERROR(SUMIFS(BY_TRA!M$2:M$999,BY_TRA!$BJ$2:$BJ$999,Transport!$B65,BY_TRA!$BK$2:$BK$999,Transport!$C65)/SUMIFS(BY_TRA!M$2:M$999,BY_TRA!$BJ$2:$BJ$999,Transport!$B65),0)</f>
        <v>0</v>
      </c>
      <c r="F65" s="1">
        <f>IFERROR(SUMIFS(BY_TRA!N$2:N$999,BY_TRA!$BJ$2:$BJ$999,Transport!$B65,BY_TRA!$BK$2:$BK$999,Transport!$C65)/SUMIFS(BY_TRA!N$2:N$999,BY_TRA!$BJ$2:$BJ$999,Transport!$B65),0)</f>
        <v>0</v>
      </c>
      <c r="G65" s="1">
        <f>IFERROR(SUMIFS(BY_TRA!O$2:O$999,BY_TRA!$BJ$2:$BJ$999,Transport!$B65,BY_TRA!$BK$2:$BK$999,Transport!$C65)/SUMIFS(BY_TRA!O$2:O$999,BY_TRA!$BJ$2:$BJ$999,Transport!$B65),0)</f>
        <v>0</v>
      </c>
      <c r="H65" s="1">
        <f>IFERROR(SUMIFS(BY_TRA!P$2:P$999,BY_TRA!$BJ$2:$BJ$999,Transport!$B65,BY_TRA!$BK$2:$BK$999,Transport!$C65)/SUMIFS(BY_TRA!P$2:P$999,BY_TRA!$BJ$2:$BJ$999,Transport!$B65),0)</f>
        <v>0</v>
      </c>
      <c r="I65" s="1">
        <f>IFERROR(SUMIFS(BY_TRA!Q$2:Q$999,BY_TRA!$BJ$2:$BJ$999,Transport!$B65,BY_TRA!$BK$2:$BK$999,Transport!$C65)/SUMIFS(BY_TRA!Q$2:Q$999,BY_TRA!$BJ$2:$BJ$999,Transport!$B65),0)</f>
        <v>0</v>
      </c>
      <c r="J65" s="1">
        <f>IFERROR(SUMIFS(BY_TRA!R$2:R$999,BY_TRA!$BJ$2:$BJ$999,Transport!$B65,BY_TRA!$BK$2:$BK$999,Transport!$C65)/SUMIFS(BY_TRA!R$2:R$999,BY_TRA!$BJ$2:$BJ$999,Transport!$B65),0)</f>
        <v>0</v>
      </c>
      <c r="K65" s="1">
        <f>IFERROR(SUMIFS(BY_TRA!S$2:S$999,BY_TRA!$BJ$2:$BJ$999,Transport!$B65,BY_TRA!$BK$2:$BK$999,Transport!$C65)/SUMIFS(BY_TRA!S$2:S$999,BY_TRA!$BJ$2:$BJ$999,Transport!$B65),0)</f>
        <v>0</v>
      </c>
      <c r="L65" s="1">
        <f>IFERROR(SUMIFS(BY_TRA!T$2:T$999,BY_TRA!$BJ$2:$BJ$999,Transport!$B65,BY_TRA!$BK$2:$BK$999,Transport!$C65)/SUMIFS(BY_TRA!T$2:T$999,BY_TRA!$BJ$2:$BJ$999,Transport!$B65),0)</f>
        <v>0</v>
      </c>
      <c r="M65" s="1">
        <f>IFERROR(SUMIFS(BY_TRA!U$2:U$999,BY_TRA!$BJ$2:$BJ$999,Transport!$B65,BY_TRA!$BK$2:$BK$999,Transport!$C65)/SUMIFS(BY_TRA!U$2:U$999,BY_TRA!$BJ$2:$BJ$999,Transport!$B65),0)</f>
        <v>0</v>
      </c>
      <c r="N65" s="1">
        <f>IFERROR(SUMIFS(BY_TRA!V$2:V$999,BY_TRA!$BJ$2:$BJ$999,Transport!$B65,BY_TRA!$BK$2:$BK$999,Transport!$C65)/SUMIFS(BY_TRA!V$2:V$999,BY_TRA!$BJ$2:$BJ$999,Transport!$B65),0)</f>
        <v>0</v>
      </c>
      <c r="O65" s="1">
        <f>IFERROR(SUMIFS(BY_TRA!W$2:W$999,BY_TRA!$BJ$2:$BJ$999,Transport!$B65,BY_TRA!$BK$2:$BK$999,Transport!$C65)/SUMIFS(BY_TRA!W$2:W$999,BY_TRA!$BJ$2:$BJ$999,Transport!$B65),0)</f>
        <v>0</v>
      </c>
      <c r="P65" s="1">
        <f>IFERROR(SUMIFS(BY_TRA!X$2:X$999,BY_TRA!$BJ$2:$BJ$999,Transport!$B65,BY_TRA!$BK$2:$BK$999,Transport!$C65)/SUMIFS(BY_TRA!X$2:X$999,BY_TRA!$BJ$2:$BJ$999,Transport!$B65),0)</f>
        <v>0</v>
      </c>
      <c r="Q65" s="1">
        <f>IFERROR(SUMIFS(BY_TRA!Y$2:Y$999,BY_TRA!$BJ$2:$BJ$999,Transport!$B65,BY_TRA!$BK$2:$BK$999,Transport!$C65)/SUMIFS(BY_TRA!Y$2:Y$999,BY_TRA!$BJ$2:$BJ$999,Transport!$B65),0)</f>
        <v>0</v>
      </c>
      <c r="R65" s="1">
        <f>IFERROR(SUMIFS(BY_TRA!Z$2:Z$999,BY_TRA!$BJ$2:$BJ$999,Transport!$B65,BY_TRA!$BK$2:$BK$999,Transport!$C65)/SUMIFS(BY_TRA!Z$2:Z$999,BY_TRA!$BJ$2:$BJ$999,Transport!$B65),0)</f>
        <v>0</v>
      </c>
      <c r="S65" s="1">
        <f>IFERROR(SUMIFS(BY_TRA!AA$2:AA$999,BY_TRA!$BJ$2:$BJ$999,Transport!$B65,BY_TRA!$BK$2:$BK$999,Transport!$C65)/SUMIFS(BY_TRA!AA$2:AA$999,BY_TRA!$BJ$2:$BJ$999,Transport!$B65),0)</f>
        <v>0</v>
      </c>
      <c r="T65" s="1">
        <f>IFERROR(SUMIFS(BY_TRA!AB$2:AB$999,BY_TRA!$BJ$2:$BJ$999,Transport!$B65,BY_TRA!$BK$2:$BK$999,Transport!$C65)/SUMIFS(BY_TRA!AB$2:AB$999,BY_TRA!$BJ$2:$BJ$999,Transport!$B65),0)</f>
        <v>0</v>
      </c>
      <c r="U65" s="1">
        <f>IFERROR(SUMIFS(BY_TRA!AC$2:AC$999,BY_TRA!$BJ$2:$BJ$999,Transport!$B65,BY_TRA!$BK$2:$BK$999,Transport!$C65)/SUMIFS(BY_TRA!AC$2:AC$999,BY_TRA!$BJ$2:$BJ$999,Transport!$B65),0)</f>
        <v>0</v>
      </c>
      <c r="V65" s="1">
        <f>IFERROR(SUMIFS(BY_TRA!AD$2:AD$999,BY_TRA!$BJ$2:$BJ$999,Transport!$B65,BY_TRA!$BK$2:$BK$999,Transport!$C65)/SUMIFS(BY_TRA!AD$2:AD$999,BY_TRA!$BJ$2:$BJ$999,Transport!$B65),0)</f>
        <v>0</v>
      </c>
      <c r="W65" s="1">
        <f>IFERROR(SUMIFS(BY_TRA!AE$2:AE$999,BY_TRA!$BJ$2:$BJ$999,Transport!$B65,BY_TRA!$BK$2:$BK$999,Transport!$C65)/SUMIFS(BY_TRA!AE$2:AE$999,BY_TRA!$BJ$2:$BJ$999,Transport!$B65),0)</f>
        <v>0</v>
      </c>
      <c r="X65" s="1">
        <f>IFERROR(SUMIFS(BY_TRA!AF$2:AF$999,BY_TRA!$BJ$2:$BJ$999,Transport!$B65,BY_TRA!$BK$2:$BK$999,Transport!$C65)/SUMIFS(BY_TRA!AF$2:AF$999,BY_TRA!$BJ$2:$BJ$999,Transport!$B65),0)</f>
        <v>0</v>
      </c>
      <c r="Y65" s="1">
        <f>IFERROR(SUMIFS(BY_TRA!AG$2:AG$999,BY_TRA!$BJ$2:$BJ$999,Transport!$B65,BY_TRA!$BK$2:$BK$999,Transport!$C65)/SUMIFS(BY_TRA!AG$2:AG$999,BY_TRA!$BJ$2:$BJ$999,Transport!$B65),0)</f>
        <v>0</v>
      </c>
      <c r="Z65" s="1">
        <f>IFERROR(SUMIFS(BY_TRA!AH$2:AH$999,BY_TRA!$BJ$2:$BJ$999,Transport!$B65,BY_TRA!$BK$2:$BK$999,Transport!$C65)/SUMIFS(BY_TRA!AH$2:AH$999,BY_TRA!$BJ$2:$BJ$999,Transport!$B65),0)</f>
        <v>0</v>
      </c>
      <c r="AA65" s="1">
        <f>IFERROR(SUMIFS(BY_TRA!AI$2:AI$999,BY_TRA!$BJ$2:$BJ$999,Transport!$B65,BY_TRA!$BK$2:$BK$999,Transport!$C65)/SUMIFS(BY_TRA!AI$2:AI$999,BY_TRA!$BJ$2:$BJ$999,Transport!$B65),0)</f>
        <v>0</v>
      </c>
      <c r="AB65" s="1">
        <f>IFERROR(SUMIFS(BY_TRA!AJ$2:AJ$999,BY_TRA!$BJ$2:$BJ$999,Transport!$B65,BY_TRA!$BK$2:$BK$999,Transport!$C65)/SUMIFS(BY_TRA!AJ$2:AJ$999,BY_TRA!$BJ$2:$BJ$999,Transport!$B65),0)</f>
        <v>0</v>
      </c>
      <c r="AC65" s="1">
        <f>IFERROR(SUMIFS(BY_TRA!AK$2:AK$999,BY_TRA!$BJ$2:$BJ$999,Transport!$B65,BY_TRA!$BK$2:$BK$999,Transport!$C65)/SUMIFS(BY_TRA!AK$2:AK$999,BY_TRA!$BJ$2:$BJ$999,Transport!$B65),0)</f>
        <v>0</v>
      </c>
      <c r="AD65" s="1">
        <f>IFERROR(SUMIFS(BY_TRA!AL$2:AL$999,BY_TRA!$BJ$2:$BJ$999,Transport!$B65,BY_TRA!$BK$2:$BK$999,Transport!$C65)/SUMIFS(BY_TRA!AL$2:AL$999,BY_TRA!$BJ$2:$BJ$999,Transport!$B65),0)</f>
        <v>0</v>
      </c>
      <c r="AE65" s="1">
        <f>IFERROR(SUMIFS(BY_TRA!AM$2:AM$999,BY_TRA!$BJ$2:$BJ$999,Transport!$B65,BY_TRA!$BK$2:$BK$999,Transport!$C65)/SUMIFS(BY_TRA!AM$2:AM$999,BY_TRA!$BJ$2:$BJ$999,Transport!$B65),0)</f>
        <v>0</v>
      </c>
      <c r="AF65" s="1">
        <f>IFERROR(SUMIFS(BY_TRA!AN$2:AN$999,BY_TRA!$BJ$2:$BJ$999,Transport!$B65,BY_TRA!$BK$2:$BK$999,Transport!$C65)/SUMIFS(BY_TRA!AN$2:AN$999,BY_TRA!$BJ$2:$BJ$999,Transport!$B65),0)</f>
        <v>0</v>
      </c>
      <c r="AG65" s="1">
        <f>IFERROR(SUMIFS(BY_TRA!AO$2:AO$999,BY_TRA!$BJ$2:$BJ$999,Transport!$B65,BY_TRA!$BK$2:$BK$999,Transport!$C65)/SUMIFS(BY_TRA!AO$2:AO$999,BY_TRA!$BJ$2:$BJ$999,Transport!$B65),0)</f>
        <v>0</v>
      </c>
      <c r="AH65" s="1">
        <f>IFERROR(SUMIFS(BY_TRA!AP$2:AP$999,BY_TRA!$BJ$2:$BJ$999,Transport!$B65,BY_TRA!$BK$2:$BK$999,Transport!$C65)/SUMIFS(BY_TRA!AP$2:AP$999,BY_TRA!$BJ$2:$BJ$999,Transport!$B65),0)</f>
        <v>0</v>
      </c>
      <c r="AI65" s="1">
        <f>IFERROR(SUMIFS(BY_TRA!AQ$2:AQ$999,BY_TRA!$BJ$2:$BJ$999,Transport!$B65,BY_TRA!$BK$2:$BK$999,Transport!$C65)/SUMIFS(BY_TRA!AQ$2:AQ$999,BY_TRA!$BJ$2:$BJ$999,Transport!$B65),0)</f>
        <v>0</v>
      </c>
      <c r="AJ65" s="1">
        <f>IFERROR(SUMIFS(BY_TRA!AR$2:AR$999,BY_TRA!$BJ$2:$BJ$999,Transport!$B65,BY_TRA!$BK$2:$BK$999,Transport!$C65)/SUMIFS(BY_TRA!AR$2:AR$999,BY_TRA!$BJ$2:$BJ$999,Transport!$B65),0)</f>
        <v>0</v>
      </c>
      <c r="AK65" s="1">
        <f>IFERROR(SUMIFS(BY_TRA!AS$2:AS$999,BY_TRA!$BJ$2:$BJ$999,Transport!$B65,BY_TRA!$BK$2:$BK$999,Transport!$C65)/SUMIFS(BY_TRA!AS$2:AS$999,BY_TRA!$BJ$2:$BJ$999,Transport!$B65),0)</f>
        <v>0</v>
      </c>
      <c r="AL65" s="1">
        <f>IFERROR(SUMIFS(BY_TRA!AT$2:AT$999,BY_TRA!$BJ$2:$BJ$999,Transport!$B65,BY_TRA!$BK$2:$BK$999,Transport!$C65)/SUMIFS(BY_TRA!AT$2:AT$999,BY_TRA!$BJ$2:$BJ$999,Transport!$B65),0)</f>
        <v>0</v>
      </c>
      <c r="AM65" s="1">
        <f>IFERROR(SUMIFS(BY_TRA!AU$2:AU$999,BY_TRA!$BJ$2:$BJ$999,Transport!$B65,BY_TRA!$BK$2:$BK$999,Transport!$C65)/SUMIFS(BY_TRA!AU$2:AU$999,BY_TRA!$BJ$2:$BJ$999,Transport!$B65),0)</f>
        <v>0</v>
      </c>
      <c r="AN65" s="1">
        <f>IFERROR(SUMIFS(BY_TRA!AV$2:AV$999,BY_TRA!$BJ$2:$BJ$999,Transport!$B65,BY_TRA!$BK$2:$BK$999,Transport!$C65)/SUMIFS(BY_TRA!AV$2:AV$999,BY_TRA!$BJ$2:$BJ$999,Transport!$B65),0)</f>
        <v>0</v>
      </c>
      <c r="AO65" s="1">
        <f>IFERROR(SUMIFS(BY_TRA!AW$2:AW$999,BY_TRA!$BJ$2:$BJ$999,Transport!$B65,BY_TRA!$BK$2:$BK$999,Transport!$C65)/SUMIFS(BY_TRA!AW$2:AW$999,BY_TRA!$BJ$2:$BJ$999,Transport!$B65),0)</f>
        <v>0</v>
      </c>
      <c r="AP65" s="1">
        <f>IFERROR(SUMIFS(BY_TRA!AX$2:AX$999,BY_TRA!$BJ$2:$BJ$999,Transport!$B65,BY_TRA!$BK$2:$BK$999,Transport!$C65)/SUMIFS(BY_TRA!AX$2:AX$999,BY_TRA!$BJ$2:$BJ$999,Transport!$B65),0)</f>
        <v>0</v>
      </c>
      <c r="AQ65" s="1">
        <f>IFERROR(SUMIFS(BY_TRA!AY$2:AY$999,BY_TRA!$BJ$2:$BJ$999,Transport!$B65,BY_TRA!$BK$2:$BK$999,Transport!$C65)/SUMIFS(BY_TRA!AY$2:AY$999,BY_TRA!$BJ$2:$BJ$999,Transport!$B65),0)</f>
        <v>0</v>
      </c>
      <c r="AR65" s="1">
        <f>IFERROR(SUMIFS(BY_TRA!AZ$2:AZ$999,BY_TRA!$BJ$2:$BJ$999,Transport!$B65,BY_TRA!$BK$2:$BK$999,Transport!$C65)/SUMIFS(BY_TRA!AZ$2:AZ$999,BY_TRA!$BJ$2:$BJ$999,Transport!$B65),0)</f>
        <v>0</v>
      </c>
      <c r="AS65" s="1">
        <f>IFERROR(SUMIFS(BY_TRA!BA$2:BA$999,BY_TRA!$BJ$2:$BJ$999,Transport!$B65,BY_TRA!$BK$2:$BK$999,Transport!$C65)/SUMIFS(BY_TRA!BA$2:BA$999,BY_TRA!$BJ$2:$BJ$999,Transport!$B65),0)</f>
        <v>0</v>
      </c>
      <c r="AT65" s="1">
        <f>IFERROR(SUMIFS(BY_TRA!BB$2:BB$999,BY_TRA!$BJ$2:$BJ$999,Transport!$B65,BY_TRA!$BK$2:$BK$999,Transport!$C65)/SUMIFS(BY_TRA!BB$2:BB$999,BY_TRA!$BJ$2:$BJ$999,Transport!$B65),0)</f>
        <v>0</v>
      </c>
      <c r="AU65" s="1">
        <f>IFERROR(SUMIFS(BY_TRA!BC$2:BC$999,BY_TRA!$BJ$2:$BJ$999,Transport!$B65,BY_TRA!$BK$2:$BK$999,Transport!$C65)/SUMIFS(BY_TRA!BC$2:BC$999,BY_TRA!$BJ$2:$BJ$999,Transport!$B65),0)</f>
        <v>0</v>
      </c>
      <c r="AV65" s="1">
        <f>IFERROR(SUMIFS(BY_TRA!BD$2:BD$999,BY_TRA!$BJ$2:$BJ$999,Transport!$B65,BY_TRA!$BK$2:$BK$999,Transport!$C65)/SUMIFS(BY_TRA!BD$2:BD$999,BY_TRA!$BJ$2:$BJ$999,Transport!$B65),0)</f>
        <v>0</v>
      </c>
      <c r="AW65" s="1">
        <f>IFERROR(SUMIFS(BY_TRA!BE$2:BE$999,BY_TRA!$BJ$2:$BJ$999,Transport!$B65,BY_TRA!$BK$2:$BK$999,Transport!$C65)/SUMIFS(BY_TRA!BE$2:BE$999,BY_TRA!$BJ$2:$BJ$999,Transport!$B65),0)</f>
        <v>0</v>
      </c>
      <c r="AX65" s="1">
        <f>IFERROR(SUMIFS(BY_TRA!BF$2:BF$999,BY_TRA!$BJ$2:$BJ$999,Transport!$B65,BY_TRA!$BK$2:$BK$999,Transport!$C65)/SUMIFS(BY_TRA!BF$2:BF$999,BY_TRA!$BJ$2:$BJ$999,Transport!$B65),0)</f>
        <v>0</v>
      </c>
      <c r="AY65" s="1">
        <f>IFERROR(SUMIFS(BY_TRA!BG$2:BG$999,BY_TRA!$BJ$2:$BJ$999,Transport!$B65,BY_TRA!$BK$2:$BK$999,Transport!$C65)/SUMIFS(BY_TRA!BG$2:BG$999,BY_TRA!$BJ$2:$BJ$999,Transport!$B65),0)</f>
        <v>0</v>
      </c>
    </row>
    <row r="68" spans="1:1">
      <c r="A68" t="s">
        <v>135</v>
      </c>
    </row>
    <row r="69" spans="1:56">
      <c r="A69" t="s">
        <v>136</v>
      </c>
      <c r="B69" t="s">
        <v>113</v>
      </c>
      <c r="C69" t="s">
        <v>119</v>
      </c>
      <c r="D69" t="str">
        <f>D33</f>
        <v>valfield</v>
      </c>
      <c r="E69" t="str">
        <f t="shared" ref="E69:AW69" si="6">E33</f>
        <v>\I:</v>
      </c>
      <c r="F69" t="str">
        <f t="shared" si="6"/>
        <v>\I:</v>
      </c>
      <c r="G69" t="str">
        <f t="shared" si="6"/>
        <v>\I:</v>
      </c>
      <c r="H69" t="str">
        <f t="shared" si="6"/>
        <v>\I:</v>
      </c>
      <c r="I69" t="str">
        <f t="shared" si="6"/>
        <v>\I:</v>
      </c>
      <c r="J69" t="str">
        <f t="shared" si="6"/>
        <v>\I:</v>
      </c>
      <c r="K69" t="str">
        <f t="shared" si="6"/>
        <v>\I:</v>
      </c>
      <c r="L69" t="str">
        <f t="shared" si="6"/>
        <v>\I:</v>
      </c>
      <c r="M69" t="str">
        <f t="shared" si="6"/>
        <v>\I:</v>
      </c>
      <c r="N69" t="str">
        <f t="shared" si="6"/>
        <v>\I:</v>
      </c>
      <c r="O69" t="str">
        <f t="shared" si="6"/>
        <v>\I:</v>
      </c>
      <c r="P69" t="str">
        <f t="shared" si="6"/>
        <v>\I:</v>
      </c>
      <c r="Q69" t="str">
        <f t="shared" si="6"/>
        <v>\I:</v>
      </c>
      <c r="R69" t="str">
        <f t="shared" si="6"/>
        <v>\I:</v>
      </c>
      <c r="S69" t="str">
        <f t="shared" si="6"/>
        <v>\I:</v>
      </c>
      <c r="T69" t="str">
        <f t="shared" si="6"/>
        <v>\I:</v>
      </c>
      <c r="U69" t="str">
        <f t="shared" si="6"/>
        <v>\I:</v>
      </c>
      <c r="V69" t="str">
        <f t="shared" si="6"/>
        <v>\I:</v>
      </c>
      <c r="W69" t="str">
        <f t="shared" si="6"/>
        <v>\I:</v>
      </c>
      <c r="X69" t="str">
        <f t="shared" si="6"/>
        <v>\I:</v>
      </c>
      <c r="Y69" t="str">
        <f t="shared" si="6"/>
        <v>\I:</v>
      </c>
      <c r="Z69" t="str">
        <f t="shared" si="6"/>
        <v>\I:</v>
      </c>
      <c r="AA69" t="str">
        <f t="shared" si="6"/>
        <v>\I:</v>
      </c>
      <c r="AB69" t="str">
        <f t="shared" si="6"/>
        <v>\I:</v>
      </c>
      <c r="AC69" t="str">
        <f t="shared" si="6"/>
        <v>\I:</v>
      </c>
      <c r="AD69" t="str">
        <f t="shared" si="6"/>
        <v>\I:</v>
      </c>
      <c r="AE69" t="str">
        <f t="shared" si="6"/>
        <v>\I:</v>
      </c>
      <c r="AF69" t="str">
        <f t="shared" si="6"/>
        <v>\I:</v>
      </c>
      <c r="AG69" t="str">
        <f t="shared" si="6"/>
        <v>\I:</v>
      </c>
      <c r="AH69" t="str">
        <f t="shared" si="6"/>
        <v>\I:</v>
      </c>
      <c r="AI69" t="str">
        <f t="shared" si="6"/>
        <v>\I:</v>
      </c>
      <c r="AJ69" t="str">
        <f t="shared" si="6"/>
        <v>\I:</v>
      </c>
      <c r="AK69" t="str">
        <f t="shared" si="6"/>
        <v>\I:</v>
      </c>
      <c r="AL69" t="str">
        <f t="shared" si="6"/>
        <v>\I:</v>
      </c>
      <c r="AM69" t="str">
        <f t="shared" si="6"/>
        <v>\I:</v>
      </c>
      <c r="AN69" t="str">
        <f t="shared" si="6"/>
        <v>\I:</v>
      </c>
      <c r="AO69" t="str">
        <f t="shared" si="6"/>
        <v>\I:</v>
      </c>
      <c r="AP69" t="str">
        <f t="shared" si="6"/>
        <v>\I:</v>
      </c>
      <c r="AQ69" t="str">
        <f t="shared" si="6"/>
        <v>\I:</v>
      </c>
      <c r="AR69" t="str">
        <f t="shared" si="6"/>
        <v>\I:</v>
      </c>
      <c r="AS69" t="str">
        <f t="shared" si="6"/>
        <v>\I:</v>
      </c>
      <c r="AT69" t="str">
        <f t="shared" si="6"/>
        <v>\I:</v>
      </c>
      <c r="AU69" t="str">
        <f t="shared" si="6"/>
        <v>\I:</v>
      </c>
      <c r="AV69" t="str">
        <f t="shared" si="6"/>
        <v>\I:</v>
      </c>
      <c r="AW69" t="str">
        <f t="shared" si="6"/>
        <v>\I:</v>
      </c>
      <c r="AX69" t="str">
        <f t="shared" ref="AX69:BA69" si="7">AX33</f>
        <v>\I:</v>
      </c>
      <c r="AY69" t="str">
        <f t="shared" si="7"/>
        <v>\I:</v>
      </c>
      <c r="AZ69" t="str">
        <f t="shared" si="7"/>
        <v>\I:</v>
      </c>
      <c r="BA69" t="str">
        <f t="shared" si="7"/>
        <v>\I:</v>
      </c>
      <c r="BB69" t="s">
        <v>90</v>
      </c>
      <c r="BC69" t="s">
        <v>137</v>
      </c>
      <c r="BD69" t="s">
        <v>138</v>
      </c>
    </row>
    <row r="70" spans="1:58">
      <c r="A70">
        <v>2025</v>
      </c>
      <c r="B70" t="str">
        <f>"Trd_"&amp;B46</f>
        <v>Trd_bus</v>
      </c>
      <c r="C70" t="str">
        <f>"*"&amp;C46</f>
        <v>*nga</v>
      </c>
      <c r="D70" s="1">
        <f t="shared" ref="D70" si="8">D46*$BF70</f>
        <v>0</v>
      </c>
      <c r="E70" s="1">
        <f t="shared" ref="E70:AW70" si="9">E46*$BF70</f>
        <v>0</v>
      </c>
      <c r="F70" s="1">
        <f t="shared" si="9"/>
        <v>0</v>
      </c>
      <c r="G70" s="1">
        <f t="shared" si="9"/>
        <v>0</v>
      </c>
      <c r="H70" s="1">
        <f t="shared" si="9"/>
        <v>0</v>
      </c>
      <c r="I70" s="1">
        <f t="shared" si="9"/>
        <v>0</v>
      </c>
      <c r="J70" s="1">
        <f t="shared" si="9"/>
        <v>0</v>
      </c>
      <c r="K70" s="1">
        <f t="shared" si="9"/>
        <v>0</v>
      </c>
      <c r="L70" s="1">
        <f t="shared" si="9"/>
        <v>0</v>
      </c>
      <c r="M70" s="1">
        <f t="shared" si="9"/>
        <v>0</v>
      </c>
      <c r="N70" s="1">
        <f t="shared" si="9"/>
        <v>0</v>
      </c>
      <c r="O70" s="1">
        <f t="shared" si="9"/>
        <v>0</v>
      </c>
      <c r="P70" s="1">
        <f t="shared" si="9"/>
        <v>0</v>
      </c>
      <c r="Q70" s="1">
        <f t="shared" si="9"/>
        <v>0</v>
      </c>
      <c r="R70" s="1">
        <f t="shared" si="9"/>
        <v>0</v>
      </c>
      <c r="S70" s="1">
        <f t="shared" si="9"/>
        <v>0</v>
      </c>
      <c r="T70" s="1">
        <f t="shared" si="9"/>
        <v>0</v>
      </c>
      <c r="U70" s="1">
        <f t="shared" si="9"/>
        <v>0</v>
      </c>
      <c r="V70" s="1">
        <f t="shared" si="9"/>
        <v>0</v>
      </c>
      <c r="W70" s="1">
        <f t="shared" si="9"/>
        <v>0</v>
      </c>
      <c r="X70" s="1">
        <f t="shared" si="9"/>
        <v>0</v>
      </c>
      <c r="Y70" s="1">
        <f t="shared" si="9"/>
        <v>0</v>
      </c>
      <c r="Z70" s="1">
        <f t="shared" si="9"/>
        <v>0</v>
      </c>
      <c r="AA70" s="1">
        <f t="shared" si="9"/>
        <v>0</v>
      </c>
      <c r="AB70" s="1">
        <f t="shared" si="9"/>
        <v>0</v>
      </c>
      <c r="AC70" s="1">
        <f t="shared" si="9"/>
        <v>0</v>
      </c>
      <c r="AD70" s="1">
        <f t="shared" si="9"/>
        <v>0</v>
      </c>
      <c r="AE70" s="1">
        <f t="shared" si="9"/>
        <v>0</v>
      </c>
      <c r="AF70" s="1">
        <f t="shared" si="9"/>
        <v>0</v>
      </c>
      <c r="AG70" s="1">
        <f t="shared" si="9"/>
        <v>0</v>
      </c>
      <c r="AH70" s="1">
        <f t="shared" si="9"/>
        <v>0</v>
      </c>
      <c r="AI70" s="1">
        <f t="shared" si="9"/>
        <v>0</v>
      </c>
      <c r="AJ70" s="1">
        <f t="shared" si="9"/>
        <v>0</v>
      </c>
      <c r="AK70" s="1">
        <f t="shared" si="9"/>
        <v>0</v>
      </c>
      <c r="AL70" s="1">
        <f t="shared" si="9"/>
        <v>0</v>
      </c>
      <c r="AM70" s="1">
        <f t="shared" si="9"/>
        <v>0</v>
      </c>
      <c r="AN70" s="1">
        <f t="shared" si="9"/>
        <v>0</v>
      </c>
      <c r="AO70" s="1">
        <f t="shared" si="9"/>
        <v>0</v>
      </c>
      <c r="AP70" s="1">
        <f t="shared" si="9"/>
        <v>0</v>
      </c>
      <c r="AQ70" s="1">
        <f t="shared" si="9"/>
        <v>0</v>
      </c>
      <c r="AR70" s="1">
        <f t="shared" si="9"/>
        <v>0</v>
      </c>
      <c r="AS70" s="1">
        <f t="shared" si="9"/>
        <v>0</v>
      </c>
      <c r="AT70" s="1">
        <f t="shared" si="9"/>
        <v>0</v>
      </c>
      <c r="AU70" s="1">
        <f t="shared" si="9"/>
        <v>0</v>
      </c>
      <c r="AV70" s="1">
        <f t="shared" si="9"/>
        <v>0</v>
      </c>
      <c r="AW70" s="1">
        <f t="shared" si="9"/>
        <v>0</v>
      </c>
      <c r="AX70" s="1">
        <f t="shared" ref="AX70:BA70" si="10">AX46*$BF70</f>
        <v>0</v>
      </c>
      <c r="AY70" s="1">
        <f t="shared" si="10"/>
        <v>0</v>
      </c>
      <c r="AZ70" s="1">
        <f t="shared" si="10"/>
        <v>0</v>
      </c>
      <c r="BA70" s="1">
        <f t="shared" si="10"/>
        <v>0</v>
      </c>
      <c r="BB70" t="s">
        <v>139</v>
      </c>
      <c r="BC70" t="str">
        <f>B70</f>
        <v>Trd_bus</v>
      </c>
      <c r="BD70" t="s">
        <v>140</v>
      </c>
      <c r="BF70">
        <v>1.1</v>
      </c>
    </row>
    <row r="71" spans="1:58">
      <c r="A71">
        <v>2025</v>
      </c>
      <c r="B71" t="str">
        <f>"Trd_"&amp;B53</f>
        <v>Trd_car</v>
      </c>
      <c r="C71" t="str">
        <f>"*"&amp;C53</f>
        <v>*nga</v>
      </c>
      <c r="D71" s="1">
        <f t="shared" ref="D71" si="11">D53*$BF71</f>
        <v>0</v>
      </c>
      <c r="E71" s="1">
        <f t="shared" ref="E71:AW71" si="12">E53*$BF71</f>
        <v>0</v>
      </c>
      <c r="F71" s="1">
        <f t="shared" si="12"/>
        <v>0</v>
      </c>
      <c r="G71" s="1">
        <f t="shared" si="12"/>
        <v>0</v>
      </c>
      <c r="H71" s="1">
        <f t="shared" si="12"/>
        <v>0</v>
      </c>
      <c r="I71" s="1">
        <f t="shared" si="12"/>
        <v>0</v>
      </c>
      <c r="J71" s="1">
        <f t="shared" si="12"/>
        <v>0</v>
      </c>
      <c r="K71" s="1">
        <f t="shared" si="12"/>
        <v>0</v>
      </c>
      <c r="L71" s="1">
        <f t="shared" si="12"/>
        <v>0</v>
      </c>
      <c r="M71" s="1">
        <f t="shared" si="12"/>
        <v>0</v>
      </c>
      <c r="N71" s="1">
        <f t="shared" si="12"/>
        <v>0</v>
      </c>
      <c r="O71" s="1">
        <f t="shared" si="12"/>
        <v>0</v>
      </c>
      <c r="P71" s="1">
        <f t="shared" si="12"/>
        <v>0</v>
      </c>
      <c r="Q71" s="1">
        <f t="shared" si="12"/>
        <v>0</v>
      </c>
      <c r="R71" s="1">
        <f t="shared" si="12"/>
        <v>0</v>
      </c>
      <c r="S71" s="1">
        <f t="shared" si="12"/>
        <v>0</v>
      </c>
      <c r="T71" s="1">
        <f t="shared" si="12"/>
        <v>0</v>
      </c>
      <c r="U71" s="1">
        <f t="shared" si="12"/>
        <v>0</v>
      </c>
      <c r="V71" s="1">
        <f t="shared" si="12"/>
        <v>0</v>
      </c>
      <c r="W71" s="1">
        <f t="shared" si="12"/>
        <v>0</v>
      </c>
      <c r="X71" s="1">
        <f t="shared" si="12"/>
        <v>0</v>
      </c>
      <c r="Y71" s="1">
        <f t="shared" si="12"/>
        <v>0</v>
      </c>
      <c r="Z71" s="1">
        <f t="shared" si="12"/>
        <v>0</v>
      </c>
      <c r="AA71" s="1">
        <f t="shared" si="12"/>
        <v>0</v>
      </c>
      <c r="AB71" s="1">
        <f t="shared" si="12"/>
        <v>0</v>
      </c>
      <c r="AC71" s="1">
        <f t="shared" si="12"/>
        <v>0</v>
      </c>
      <c r="AD71" s="1">
        <f t="shared" si="12"/>
        <v>0</v>
      </c>
      <c r="AE71" s="1">
        <f t="shared" si="12"/>
        <v>0</v>
      </c>
      <c r="AF71" s="1">
        <f t="shared" si="12"/>
        <v>0</v>
      </c>
      <c r="AG71" s="1">
        <f t="shared" si="12"/>
        <v>0</v>
      </c>
      <c r="AH71" s="1">
        <f t="shared" si="12"/>
        <v>0</v>
      </c>
      <c r="AI71" s="1">
        <f t="shared" si="12"/>
        <v>0</v>
      </c>
      <c r="AJ71" s="1">
        <f t="shared" si="12"/>
        <v>0</v>
      </c>
      <c r="AK71" s="1">
        <f t="shared" si="12"/>
        <v>0</v>
      </c>
      <c r="AL71" s="1">
        <f t="shared" si="12"/>
        <v>0</v>
      </c>
      <c r="AM71" s="1">
        <f t="shared" si="12"/>
        <v>0</v>
      </c>
      <c r="AN71" s="1">
        <f t="shared" si="12"/>
        <v>0</v>
      </c>
      <c r="AO71" s="1">
        <f t="shared" si="12"/>
        <v>0</v>
      </c>
      <c r="AP71" s="1">
        <f t="shared" si="12"/>
        <v>0</v>
      </c>
      <c r="AQ71" s="1">
        <f t="shared" si="12"/>
        <v>0</v>
      </c>
      <c r="AR71" s="1">
        <f t="shared" si="12"/>
        <v>0</v>
      </c>
      <c r="AS71" s="1">
        <f t="shared" si="12"/>
        <v>0</v>
      </c>
      <c r="AT71" s="1">
        <f t="shared" si="12"/>
        <v>0</v>
      </c>
      <c r="AU71" s="1">
        <f t="shared" si="12"/>
        <v>0</v>
      </c>
      <c r="AV71" s="1">
        <f t="shared" si="12"/>
        <v>0</v>
      </c>
      <c r="AW71" s="1">
        <f t="shared" si="12"/>
        <v>0</v>
      </c>
      <c r="AX71" s="1">
        <f t="shared" ref="AX71:BA71" si="13">AX53*$BF71</f>
        <v>0</v>
      </c>
      <c r="AY71" s="1">
        <f t="shared" si="13"/>
        <v>0</v>
      </c>
      <c r="AZ71" s="1">
        <f t="shared" si="13"/>
        <v>0</v>
      </c>
      <c r="BA71" s="1">
        <f t="shared" si="13"/>
        <v>0</v>
      </c>
      <c r="BB71" t="s">
        <v>139</v>
      </c>
      <c r="BC71" t="str">
        <f t="shared" ref="BC71:BC80" si="14">B71</f>
        <v>Trd_car</v>
      </c>
      <c r="BD71" t="s">
        <v>140</v>
      </c>
      <c r="BF71">
        <v>1.1</v>
      </c>
    </row>
    <row r="72" spans="1:58">
      <c r="A72">
        <v>2025</v>
      </c>
      <c r="B72" t="str">
        <f>"Trd_"&amp;B65</f>
        <v>Trd_lcv</v>
      </c>
      <c r="C72" t="str">
        <f>"*"&amp;C65</f>
        <v>*nga</v>
      </c>
      <c r="D72" s="1">
        <f>D65*$BF72</f>
        <v>0</v>
      </c>
      <c r="E72" s="1">
        <f t="shared" ref="E72:AW72" si="15">E65*$BF72</f>
        <v>0</v>
      </c>
      <c r="F72" s="1">
        <f t="shared" si="15"/>
        <v>0</v>
      </c>
      <c r="G72" s="1">
        <f t="shared" si="15"/>
        <v>0</v>
      </c>
      <c r="H72" s="1">
        <f t="shared" si="15"/>
        <v>0</v>
      </c>
      <c r="I72" s="1">
        <f t="shared" si="15"/>
        <v>0</v>
      </c>
      <c r="J72" s="1">
        <f t="shared" si="15"/>
        <v>0</v>
      </c>
      <c r="K72" s="1">
        <f t="shared" si="15"/>
        <v>0</v>
      </c>
      <c r="L72" s="1">
        <f t="shared" si="15"/>
        <v>0</v>
      </c>
      <c r="M72" s="1">
        <f t="shared" si="15"/>
        <v>0</v>
      </c>
      <c r="N72" s="1">
        <f t="shared" si="15"/>
        <v>0</v>
      </c>
      <c r="O72" s="1">
        <f t="shared" si="15"/>
        <v>0</v>
      </c>
      <c r="P72" s="1">
        <f t="shared" si="15"/>
        <v>0</v>
      </c>
      <c r="Q72" s="1">
        <f t="shared" si="15"/>
        <v>0</v>
      </c>
      <c r="R72" s="1">
        <f t="shared" si="15"/>
        <v>0</v>
      </c>
      <c r="S72" s="1">
        <f t="shared" si="15"/>
        <v>0</v>
      </c>
      <c r="T72" s="1">
        <f t="shared" si="15"/>
        <v>0</v>
      </c>
      <c r="U72" s="1">
        <f t="shared" si="15"/>
        <v>0</v>
      </c>
      <c r="V72" s="1">
        <f t="shared" si="15"/>
        <v>0</v>
      </c>
      <c r="W72" s="1">
        <f t="shared" si="15"/>
        <v>0</v>
      </c>
      <c r="X72" s="1">
        <f t="shared" si="15"/>
        <v>0</v>
      </c>
      <c r="Y72" s="1">
        <f t="shared" si="15"/>
        <v>0</v>
      </c>
      <c r="Z72" s="1">
        <f t="shared" si="15"/>
        <v>0</v>
      </c>
      <c r="AA72" s="1">
        <f t="shared" si="15"/>
        <v>0</v>
      </c>
      <c r="AB72" s="1">
        <f t="shared" si="15"/>
        <v>0</v>
      </c>
      <c r="AC72" s="1">
        <f t="shared" si="15"/>
        <v>0</v>
      </c>
      <c r="AD72" s="1">
        <f t="shared" si="15"/>
        <v>0</v>
      </c>
      <c r="AE72" s="1">
        <f t="shared" si="15"/>
        <v>0</v>
      </c>
      <c r="AF72" s="1">
        <f t="shared" si="15"/>
        <v>0</v>
      </c>
      <c r="AG72" s="1">
        <f t="shared" si="15"/>
        <v>0</v>
      </c>
      <c r="AH72" s="1">
        <f t="shared" si="15"/>
        <v>0</v>
      </c>
      <c r="AI72" s="1">
        <f t="shared" si="15"/>
        <v>0</v>
      </c>
      <c r="AJ72" s="1">
        <f t="shared" si="15"/>
        <v>0</v>
      </c>
      <c r="AK72" s="1">
        <f t="shared" si="15"/>
        <v>0</v>
      </c>
      <c r="AL72" s="1">
        <f t="shared" si="15"/>
        <v>0</v>
      </c>
      <c r="AM72" s="1">
        <f t="shared" si="15"/>
        <v>0</v>
      </c>
      <c r="AN72" s="1">
        <f t="shared" si="15"/>
        <v>0</v>
      </c>
      <c r="AO72" s="1">
        <f t="shared" si="15"/>
        <v>0</v>
      </c>
      <c r="AP72" s="1">
        <f t="shared" si="15"/>
        <v>0</v>
      </c>
      <c r="AQ72" s="1">
        <f t="shared" si="15"/>
        <v>0</v>
      </c>
      <c r="AR72" s="1">
        <f t="shared" si="15"/>
        <v>0</v>
      </c>
      <c r="AS72" s="1">
        <f t="shared" si="15"/>
        <v>0</v>
      </c>
      <c r="AT72" s="1">
        <f t="shared" si="15"/>
        <v>0</v>
      </c>
      <c r="AU72" s="1">
        <f t="shared" si="15"/>
        <v>0</v>
      </c>
      <c r="AV72" s="1">
        <f t="shared" si="15"/>
        <v>0</v>
      </c>
      <c r="AW72" s="1">
        <f t="shared" si="15"/>
        <v>0</v>
      </c>
      <c r="AX72" s="1">
        <f t="shared" ref="AX72:BA72" si="16">AX65*$BF72</f>
        <v>0</v>
      </c>
      <c r="AY72" s="1">
        <f t="shared" si="16"/>
        <v>0</v>
      </c>
      <c r="AZ72" s="1">
        <f t="shared" si="16"/>
        <v>0</v>
      </c>
      <c r="BA72" s="1">
        <f t="shared" si="16"/>
        <v>0</v>
      </c>
      <c r="BB72" t="s">
        <v>139</v>
      </c>
      <c r="BC72" t="str">
        <f t="shared" si="14"/>
        <v>Trd_lcv</v>
      </c>
      <c r="BD72" t="s">
        <v>140</v>
      </c>
      <c r="BF72">
        <v>1.1</v>
      </c>
    </row>
    <row r="73" spans="1:58">
      <c r="A73">
        <v>2025</v>
      </c>
      <c r="B73" t="str">
        <f>"Trd_"&amp;B58</f>
        <v>Trd_hdt</v>
      </c>
      <c r="C73" t="str">
        <f>"*"&amp;C58</f>
        <v>*nga</v>
      </c>
      <c r="D73" s="1">
        <f>D58*$BF73</f>
        <v>0</v>
      </c>
      <c r="E73" s="1">
        <f t="shared" ref="E73:BA73" si="17">E58*$BF73</f>
        <v>0</v>
      </c>
      <c r="F73" s="1">
        <f t="shared" si="17"/>
        <v>0</v>
      </c>
      <c r="G73" s="1">
        <f t="shared" si="17"/>
        <v>0</v>
      </c>
      <c r="H73" s="1">
        <f t="shared" si="17"/>
        <v>0</v>
      </c>
      <c r="I73" s="1">
        <f t="shared" si="17"/>
        <v>0</v>
      </c>
      <c r="J73" s="1">
        <f t="shared" si="17"/>
        <v>0</v>
      </c>
      <c r="K73" s="1">
        <f t="shared" si="17"/>
        <v>0</v>
      </c>
      <c r="L73" s="1">
        <f t="shared" si="17"/>
        <v>0</v>
      </c>
      <c r="M73" s="1">
        <f t="shared" si="17"/>
        <v>0</v>
      </c>
      <c r="N73" s="1">
        <f t="shared" si="17"/>
        <v>0</v>
      </c>
      <c r="O73" s="1">
        <f t="shared" si="17"/>
        <v>0</v>
      </c>
      <c r="P73" s="1">
        <f t="shared" si="17"/>
        <v>0</v>
      </c>
      <c r="Q73" s="1">
        <f t="shared" si="17"/>
        <v>0</v>
      </c>
      <c r="R73" s="1">
        <f t="shared" si="17"/>
        <v>0</v>
      </c>
      <c r="S73" s="1">
        <f t="shared" si="17"/>
        <v>0</v>
      </c>
      <c r="T73" s="1">
        <f t="shared" si="17"/>
        <v>0</v>
      </c>
      <c r="U73" s="1">
        <f t="shared" si="17"/>
        <v>0</v>
      </c>
      <c r="V73" s="1">
        <f t="shared" si="17"/>
        <v>0</v>
      </c>
      <c r="W73" s="1">
        <f t="shared" si="17"/>
        <v>0</v>
      </c>
      <c r="X73" s="1">
        <f t="shared" si="17"/>
        <v>0</v>
      </c>
      <c r="Y73" s="1">
        <f t="shared" si="17"/>
        <v>0</v>
      </c>
      <c r="Z73" s="1">
        <f t="shared" si="17"/>
        <v>0</v>
      </c>
      <c r="AA73" s="1">
        <f t="shared" si="17"/>
        <v>0</v>
      </c>
      <c r="AB73" s="1">
        <f t="shared" si="17"/>
        <v>0</v>
      </c>
      <c r="AC73" s="1">
        <f t="shared" si="17"/>
        <v>0</v>
      </c>
      <c r="AD73" s="1">
        <f t="shared" si="17"/>
        <v>0</v>
      </c>
      <c r="AE73" s="1">
        <f t="shared" si="17"/>
        <v>0</v>
      </c>
      <c r="AF73" s="1">
        <f t="shared" si="17"/>
        <v>0</v>
      </c>
      <c r="AG73" s="1">
        <f t="shared" si="17"/>
        <v>0</v>
      </c>
      <c r="AH73" s="1">
        <f t="shared" si="17"/>
        <v>0</v>
      </c>
      <c r="AI73" s="1">
        <f t="shared" si="17"/>
        <v>0</v>
      </c>
      <c r="AJ73" s="1">
        <f t="shared" si="17"/>
        <v>0</v>
      </c>
      <c r="AK73" s="1">
        <f t="shared" si="17"/>
        <v>0</v>
      </c>
      <c r="AL73" s="1">
        <f t="shared" si="17"/>
        <v>0</v>
      </c>
      <c r="AM73" s="1">
        <f t="shared" si="17"/>
        <v>0</v>
      </c>
      <c r="AN73" s="1">
        <f t="shared" si="17"/>
        <v>0</v>
      </c>
      <c r="AO73" s="1">
        <f t="shared" si="17"/>
        <v>0</v>
      </c>
      <c r="AP73" s="1">
        <f t="shared" si="17"/>
        <v>0</v>
      </c>
      <c r="AQ73" s="1">
        <f t="shared" si="17"/>
        <v>0</v>
      </c>
      <c r="AR73" s="1">
        <f t="shared" si="17"/>
        <v>0</v>
      </c>
      <c r="AS73" s="1">
        <f t="shared" si="17"/>
        <v>0</v>
      </c>
      <c r="AT73" s="1">
        <f t="shared" si="17"/>
        <v>0</v>
      </c>
      <c r="AU73" s="1">
        <f t="shared" si="17"/>
        <v>0</v>
      </c>
      <c r="AV73" s="1">
        <f t="shared" si="17"/>
        <v>0</v>
      </c>
      <c r="AW73" s="1">
        <f t="shared" si="17"/>
        <v>0</v>
      </c>
      <c r="AX73" s="1">
        <f t="shared" si="17"/>
        <v>0</v>
      </c>
      <c r="AY73" s="1">
        <f t="shared" si="17"/>
        <v>0</v>
      </c>
      <c r="AZ73" s="1">
        <f t="shared" si="17"/>
        <v>0</v>
      </c>
      <c r="BA73" s="1">
        <f t="shared" si="17"/>
        <v>0</v>
      </c>
      <c r="BB73" t="s">
        <v>139</v>
      </c>
      <c r="BC73" t="str">
        <f t="shared" si="14"/>
        <v>Trd_hdt</v>
      </c>
      <c r="BD73" t="s">
        <v>140</v>
      </c>
      <c r="BF73">
        <v>1.1</v>
      </c>
    </row>
    <row r="74" spans="1:58">
      <c r="A74">
        <v>2050</v>
      </c>
      <c r="B74" t="str">
        <f t="shared" ref="B74:C76" si="18">B70</f>
        <v>Trd_bus</v>
      </c>
      <c r="C74" t="str">
        <f t="shared" si="18"/>
        <v>*nga</v>
      </c>
      <c r="D74" s="1">
        <f>D46*$BF74</f>
        <v>0</v>
      </c>
      <c r="E74" s="1">
        <f t="shared" ref="E74:AW74" si="19">E46*$BF74</f>
        <v>0</v>
      </c>
      <c r="F74" s="1">
        <f t="shared" si="19"/>
        <v>0</v>
      </c>
      <c r="G74" s="1">
        <f t="shared" si="19"/>
        <v>0</v>
      </c>
      <c r="H74" s="1">
        <f t="shared" si="19"/>
        <v>0</v>
      </c>
      <c r="I74" s="1">
        <f t="shared" si="19"/>
        <v>0</v>
      </c>
      <c r="J74" s="1">
        <f t="shared" si="19"/>
        <v>0</v>
      </c>
      <c r="K74" s="1">
        <f t="shared" si="19"/>
        <v>0</v>
      </c>
      <c r="L74" s="1">
        <f t="shared" si="19"/>
        <v>0</v>
      </c>
      <c r="M74" s="1">
        <f t="shared" si="19"/>
        <v>0</v>
      </c>
      <c r="N74" s="1">
        <f t="shared" si="19"/>
        <v>0</v>
      </c>
      <c r="O74" s="1">
        <f t="shared" si="19"/>
        <v>0</v>
      </c>
      <c r="P74" s="1">
        <f t="shared" si="19"/>
        <v>0</v>
      </c>
      <c r="Q74" s="1">
        <f t="shared" si="19"/>
        <v>0</v>
      </c>
      <c r="R74" s="1">
        <f t="shared" si="19"/>
        <v>0</v>
      </c>
      <c r="S74" s="1">
        <f t="shared" si="19"/>
        <v>0</v>
      </c>
      <c r="T74" s="1">
        <f t="shared" si="19"/>
        <v>0</v>
      </c>
      <c r="U74" s="1">
        <f t="shared" si="19"/>
        <v>0</v>
      </c>
      <c r="V74" s="1">
        <f t="shared" si="19"/>
        <v>0</v>
      </c>
      <c r="W74" s="1">
        <f t="shared" si="19"/>
        <v>0</v>
      </c>
      <c r="X74" s="1">
        <f t="shared" si="19"/>
        <v>0</v>
      </c>
      <c r="Y74" s="1">
        <f t="shared" si="19"/>
        <v>0</v>
      </c>
      <c r="Z74" s="1">
        <f t="shared" si="19"/>
        <v>0</v>
      </c>
      <c r="AA74" s="1">
        <f t="shared" si="19"/>
        <v>0</v>
      </c>
      <c r="AB74" s="1">
        <f t="shared" si="19"/>
        <v>0</v>
      </c>
      <c r="AC74" s="1">
        <f t="shared" si="19"/>
        <v>0</v>
      </c>
      <c r="AD74" s="1">
        <f t="shared" si="19"/>
        <v>0</v>
      </c>
      <c r="AE74" s="1">
        <f t="shared" si="19"/>
        <v>0</v>
      </c>
      <c r="AF74" s="1">
        <f t="shared" si="19"/>
        <v>0</v>
      </c>
      <c r="AG74" s="1">
        <f t="shared" si="19"/>
        <v>0</v>
      </c>
      <c r="AH74" s="1">
        <f t="shared" si="19"/>
        <v>0</v>
      </c>
      <c r="AI74" s="1">
        <f t="shared" si="19"/>
        <v>0</v>
      </c>
      <c r="AJ74" s="1">
        <f t="shared" si="19"/>
        <v>0</v>
      </c>
      <c r="AK74" s="1">
        <f t="shared" si="19"/>
        <v>0</v>
      </c>
      <c r="AL74" s="1">
        <f t="shared" si="19"/>
        <v>0</v>
      </c>
      <c r="AM74" s="1">
        <f t="shared" si="19"/>
        <v>0</v>
      </c>
      <c r="AN74" s="1">
        <f t="shared" si="19"/>
        <v>0</v>
      </c>
      <c r="AO74" s="1">
        <f t="shared" si="19"/>
        <v>0</v>
      </c>
      <c r="AP74" s="1">
        <f t="shared" si="19"/>
        <v>0</v>
      </c>
      <c r="AQ74" s="1">
        <f t="shared" si="19"/>
        <v>0</v>
      </c>
      <c r="AR74" s="1">
        <f t="shared" si="19"/>
        <v>0</v>
      </c>
      <c r="AS74" s="1">
        <f t="shared" si="19"/>
        <v>0</v>
      </c>
      <c r="AT74" s="1">
        <f t="shared" si="19"/>
        <v>0</v>
      </c>
      <c r="AU74" s="1">
        <f t="shared" si="19"/>
        <v>0</v>
      </c>
      <c r="AV74" s="1">
        <f t="shared" si="19"/>
        <v>0</v>
      </c>
      <c r="AW74" s="1">
        <f t="shared" si="19"/>
        <v>0</v>
      </c>
      <c r="AX74" s="1">
        <f t="shared" ref="AX74:BA74" si="20">AX46*$BF74</f>
        <v>0</v>
      </c>
      <c r="AY74" s="1">
        <f t="shared" si="20"/>
        <v>0</v>
      </c>
      <c r="AZ74" s="1">
        <f t="shared" si="20"/>
        <v>0</v>
      </c>
      <c r="BA74" s="1">
        <f t="shared" si="20"/>
        <v>0</v>
      </c>
      <c r="BB74" t="s">
        <v>139</v>
      </c>
      <c r="BC74" t="str">
        <f t="shared" si="14"/>
        <v>Trd_bus</v>
      </c>
      <c r="BD74" s="1" t="str">
        <f>BD70</f>
        <v>CNGVeh</v>
      </c>
      <c r="BF74">
        <v>1.5</v>
      </c>
    </row>
    <row r="75" spans="1:58">
      <c r="A75">
        <v>2050</v>
      </c>
      <c r="B75" t="str">
        <f t="shared" si="18"/>
        <v>Trd_car</v>
      </c>
      <c r="C75" t="str">
        <f t="shared" si="18"/>
        <v>*nga</v>
      </c>
      <c r="D75" s="1">
        <f>D53*$BF75</f>
        <v>0</v>
      </c>
      <c r="E75" s="1">
        <f t="shared" ref="E75:AW75" si="21">E53*$BF75</f>
        <v>0</v>
      </c>
      <c r="F75" s="1">
        <f t="shared" si="21"/>
        <v>0</v>
      </c>
      <c r="G75" s="1">
        <f t="shared" si="21"/>
        <v>0</v>
      </c>
      <c r="H75" s="1">
        <f t="shared" si="21"/>
        <v>0</v>
      </c>
      <c r="I75" s="1">
        <f t="shared" si="21"/>
        <v>0</v>
      </c>
      <c r="J75" s="1">
        <f t="shared" si="21"/>
        <v>0</v>
      </c>
      <c r="K75" s="1">
        <f t="shared" si="21"/>
        <v>0</v>
      </c>
      <c r="L75" s="1">
        <f t="shared" si="21"/>
        <v>0</v>
      </c>
      <c r="M75" s="1">
        <f t="shared" si="21"/>
        <v>0</v>
      </c>
      <c r="N75" s="1">
        <f t="shared" si="21"/>
        <v>0</v>
      </c>
      <c r="O75" s="1">
        <f t="shared" si="21"/>
        <v>0</v>
      </c>
      <c r="P75" s="1">
        <f t="shared" si="21"/>
        <v>0</v>
      </c>
      <c r="Q75" s="1">
        <f t="shared" si="21"/>
        <v>0</v>
      </c>
      <c r="R75" s="1">
        <f t="shared" si="21"/>
        <v>0</v>
      </c>
      <c r="S75" s="1">
        <f t="shared" si="21"/>
        <v>0</v>
      </c>
      <c r="T75" s="1">
        <f t="shared" si="21"/>
        <v>0</v>
      </c>
      <c r="U75" s="1">
        <f t="shared" si="21"/>
        <v>0</v>
      </c>
      <c r="V75" s="1">
        <f t="shared" si="21"/>
        <v>0</v>
      </c>
      <c r="W75" s="1">
        <f t="shared" si="21"/>
        <v>0</v>
      </c>
      <c r="X75" s="1">
        <f t="shared" si="21"/>
        <v>0</v>
      </c>
      <c r="Y75" s="1">
        <f t="shared" si="21"/>
        <v>0</v>
      </c>
      <c r="Z75" s="1">
        <f t="shared" si="21"/>
        <v>0</v>
      </c>
      <c r="AA75" s="1">
        <f t="shared" si="21"/>
        <v>0</v>
      </c>
      <c r="AB75" s="1">
        <f t="shared" si="21"/>
        <v>0</v>
      </c>
      <c r="AC75" s="1">
        <f t="shared" si="21"/>
        <v>0</v>
      </c>
      <c r="AD75" s="1">
        <f t="shared" si="21"/>
        <v>0</v>
      </c>
      <c r="AE75" s="1">
        <f t="shared" si="21"/>
        <v>0</v>
      </c>
      <c r="AF75" s="1">
        <f t="shared" si="21"/>
        <v>0</v>
      </c>
      <c r="AG75" s="1">
        <f t="shared" si="21"/>
        <v>0</v>
      </c>
      <c r="AH75" s="1">
        <f t="shared" si="21"/>
        <v>0</v>
      </c>
      <c r="AI75" s="1">
        <f t="shared" si="21"/>
        <v>0</v>
      </c>
      <c r="AJ75" s="1">
        <f t="shared" si="21"/>
        <v>0</v>
      </c>
      <c r="AK75" s="1">
        <f t="shared" si="21"/>
        <v>0</v>
      </c>
      <c r="AL75" s="1">
        <f t="shared" si="21"/>
        <v>0</v>
      </c>
      <c r="AM75" s="1">
        <f t="shared" si="21"/>
        <v>0</v>
      </c>
      <c r="AN75" s="1">
        <f t="shared" si="21"/>
        <v>0</v>
      </c>
      <c r="AO75" s="1">
        <f t="shared" si="21"/>
        <v>0</v>
      </c>
      <c r="AP75" s="1">
        <f t="shared" si="21"/>
        <v>0</v>
      </c>
      <c r="AQ75" s="1">
        <f t="shared" si="21"/>
        <v>0</v>
      </c>
      <c r="AR75" s="1">
        <f t="shared" si="21"/>
        <v>0</v>
      </c>
      <c r="AS75" s="1">
        <f t="shared" si="21"/>
        <v>0</v>
      </c>
      <c r="AT75" s="1">
        <f t="shared" si="21"/>
        <v>0</v>
      </c>
      <c r="AU75" s="1">
        <f t="shared" si="21"/>
        <v>0</v>
      </c>
      <c r="AV75" s="1">
        <f t="shared" si="21"/>
        <v>0</v>
      </c>
      <c r="AW75" s="1">
        <f t="shared" si="21"/>
        <v>0</v>
      </c>
      <c r="AX75" s="1">
        <f t="shared" ref="AX75:BA75" si="22">AX53*$BF75</f>
        <v>0</v>
      </c>
      <c r="AY75" s="1">
        <f t="shared" si="22"/>
        <v>0</v>
      </c>
      <c r="AZ75" s="1">
        <f t="shared" si="22"/>
        <v>0</v>
      </c>
      <c r="BA75" s="1">
        <f t="shared" si="22"/>
        <v>0</v>
      </c>
      <c r="BB75" t="s">
        <v>139</v>
      </c>
      <c r="BC75" t="str">
        <f t="shared" si="14"/>
        <v>Trd_car</v>
      </c>
      <c r="BD75" s="1" t="str">
        <f>BD71</f>
        <v>CNGVeh</v>
      </c>
      <c r="BF75">
        <v>1.5</v>
      </c>
    </row>
    <row r="76" spans="1:58">
      <c r="A76">
        <v>2050</v>
      </c>
      <c r="B76" t="str">
        <f t="shared" si="18"/>
        <v>Trd_lcv</v>
      </c>
      <c r="C76" t="str">
        <f t="shared" si="18"/>
        <v>*nga</v>
      </c>
      <c r="D76" s="1">
        <f>D65*$BF76</f>
        <v>0</v>
      </c>
      <c r="E76" s="1">
        <f t="shared" ref="E76:AW76" si="23">E65*$BF76</f>
        <v>0</v>
      </c>
      <c r="F76" s="1">
        <f t="shared" si="23"/>
        <v>0</v>
      </c>
      <c r="G76" s="1">
        <f t="shared" si="23"/>
        <v>0</v>
      </c>
      <c r="H76" s="1">
        <f t="shared" si="23"/>
        <v>0</v>
      </c>
      <c r="I76" s="1">
        <f t="shared" si="23"/>
        <v>0</v>
      </c>
      <c r="J76" s="1">
        <f t="shared" si="23"/>
        <v>0</v>
      </c>
      <c r="K76" s="1">
        <f t="shared" si="23"/>
        <v>0</v>
      </c>
      <c r="L76" s="1">
        <f t="shared" si="23"/>
        <v>0</v>
      </c>
      <c r="M76" s="1">
        <f t="shared" si="23"/>
        <v>0</v>
      </c>
      <c r="N76" s="1">
        <f t="shared" si="23"/>
        <v>0</v>
      </c>
      <c r="O76" s="1">
        <f t="shared" si="23"/>
        <v>0</v>
      </c>
      <c r="P76" s="1">
        <f t="shared" si="23"/>
        <v>0</v>
      </c>
      <c r="Q76" s="1">
        <f t="shared" si="23"/>
        <v>0</v>
      </c>
      <c r="R76" s="1">
        <f t="shared" si="23"/>
        <v>0</v>
      </c>
      <c r="S76" s="1">
        <f t="shared" si="23"/>
        <v>0</v>
      </c>
      <c r="T76" s="1">
        <f t="shared" si="23"/>
        <v>0</v>
      </c>
      <c r="U76" s="1">
        <f t="shared" si="23"/>
        <v>0</v>
      </c>
      <c r="V76" s="1">
        <f t="shared" si="23"/>
        <v>0</v>
      </c>
      <c r="W76" s="1">
        <f t="shared" si="23"/>
        <v>0</v>
      </c>
      <c r="X76" s="1">
        <f t="shared" si="23"/>
        <v>0</v>
      </c>
      <c r="Y76" s="1">
        <f t="shared" si="23"/>
        <v>0</v>
      </c>
      <c r="Z76" s="1">
        <f t="shared" si="23"/>
        <v>0</v>
      </c>
      <c r="AA76" s="1">
        <f t="shared" si="23"/>
        <v>0</v>
      </c>
      <c r="AB76" s="1">
        <f t="shared" si="23"/>
        <v>0</v>
      </c>
      <c r="AC76" s="1">
        <f t="shared" si="23"/>
        <v>0</v>
      </c>
      <c r="AD76" s="1">
        <f t="shared" si="23"/>
        <v>0</v>
      </c>
      <c r="AE76" s="1">
        <f t="shared" si="23"/>
        <v>0</v>
      </c>
      <c r="AF76" s="1">
        <f t="shared" si="23"/>
        <v>0</v>
      </c>
      <c r="AG76" s="1">
        <f t="shared" si="23"/>
        <v>0</v>
      </c>
      <c r="AH76" s="1">
        <f t="shared" si="23"/>
        <v>0</v>
      </c>
      <c r="AI76" s="1">
        <f t="shared" si="23"/>
        <v>0</v>
      </c>
      <c r="AJ76" s="1">
        <f t="shared" si="23"/>
        <v>0</v>
      </c>
      <c r="AK76" s="1">
        <f t="shared" si="23"/>
        <v>0</v>
      </c>
      <c r="AL76" s="1">
        <f t="shared" si="23"/>
        <v>0</v>
      </c>
      <c r="AM76" s="1">
        <f t="shared" si="23"/>
        <v>0</v>
      </c>
      <c r="AN76" s="1">
        <f t="shared" si="23"/>
        <v>0</v>
      </c>
      <c r="AO76" s="1">
        <f t="shared" si="23"/>
        <v>0</v>
      </c>
      <c r="AP76" s="1">
        <f t="shared" si="23"/>
        <v>0</v>
      </c>
      <c r="AQ76" s="1">
        <f t="shared" si="23"/>
        <v>0</v>
      </c>
      <c r="AR76" s="1">
        <f t="shared" si="23"/>
        <v>0</v>
      </c>
      <c r="AS76" s="1">
        <f t="shared" si="23"/>
        <v>0</v>
      </c>
      <c r="AT76" s="1">
        <f t="shared" si="23"/>
        <v>0</v>
      </c>
      <c r="AU76" s="1">
        <f t="shared" si="23"/>
        <v>0</v>
      </c>
      <c r="AV76" s="1">
        <f t="shared" si="23"/>
        <v>0</v>
      </c>
      <c r="AW76" s="1">
        <f t="shared" si="23"/>
        <v>0</v>
      </c>
      <c r="AX76" s="1">
        <f t="shared" ref="AX76:BA76" si="24">AX65*$BF76</f>
        <v>0</v>
      </c>
      <c r="AY76" s="1">
        <f t="shared" si="24"/>
        <v>0</v>
      </c>
      <c r="AZ76" s="1">
        <f t="shared" si="24"/>
        <v>0</v>
      </c>
      <c r="BA76" s="1">
        <f t="shared" si="24"/>
        <v>0</v>
      </c>
      <c r="BB76" t="s">
        <v>139</v>
      </c>
      <c r="BC76" t="str">
        <f t="shared" si="14"/>
        <v>Trd_lcv</v>
      </c>
      <c r="BD76" s="1" t="str">
        <f>BD72</f>
        <v>CNGVeh</v>
      </c>
      <c r="BF76">
        <v>1.5</v>
      </c>
    </row>
    <row r="77" spans="1:56">
      <c r="A77">
        <v>0</v>
      </c>
      <c r="B77" t="str">
        <f>B74</f>
        <v>Trd_bus</v>
      </c>
      <c r="C77" t="str">
        <f t="shared" ref="C77:C80" si="25">C74</f>
        <v>*nga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>
        <v>5</v>
      </c>
      <c r="O77">
        <v>5</v>
      </c>
      <c r="P77">
        <v>5</v>
      </c>
      <c r="Q77">
        <v>5</v>
      </c>
      <c r="R77">
        <v>5</v>
      </c>
      <c r="S77">
        <v>5</v>
      </c>
      <c r="T77">
        <v>5</v>
      </c>
      <c r="U77">
        <v>5</v>
      </c>
      <c r="V77">
        <v>5</v>
      </c>
      <c r="W77">
        <v>5</v>
      </c>
      <c r="X77">
        <v>5</v>
      </c>
      <c r="Y77">
        <v>5</v>
      </c>
      <c r="Z77">
        <v>5</v>
      </c>
      <c r="AA77">
        <v>5</v>
      </c>
      <c r="AB77">
        <v>5</v>
      </c>
      <c r="AC77">
        <v>5</v>
      </c>
      <c r="AD77">
        <v>5</v>
      </c>
      <c r="AE77">
        <v>5</v>
      </c>
      <c r="AF77">
        <v>5</v>
      </c>
      <c r="AG77">
        <v>5</v>
      </c>
      <c r="AH77">
        <v>5</v>
      </c>
      <c r="AI77">
        <v>5</v>
      </c>
      <c r="AJ77">
        <v>5</v>
      </c>
      <c r="AK77">
        <v>5</v>
      </c>
      <c r="AL77">
        <v>5</v>
      </c>
      <c r="AM77">
        <v>5</v>
      </c>
      <c r="AN77">
        <v>5</v>
      </c>
      <c r="AO77">
        <v>5</v>
      </c>
      <c r="AP77">
        <v>5</v>
      </c>
      <c r="AQ77">
        <v>5</v>
      </c>
      <c r="AR77">
        <v>5</v>
      </c>
      <c r="AS77">
        <v>5</v>
      </c>
      <c r="AT77">
        <v>5</v>
      </c>
      <c r="AU77">
        <v>5</v>
      </c>
      <c r="AV77">
        <v>5</v>
      </c>
      <c r="AW77">
        <v>5</v>
      </c>
      <c r="AX77">
        <v>5</v>
      </c>
      <c r="AY77">
        <v>5</v>
      </c>
      <c r="AZ77">
        <v>5</v>
      </c>
      <c r="BA77">
        <v>5</v>
      </c>
      <c r="BB77" t="s">
        <v>139</v>
      </c>
      <c r="BC77" t="str">
        <f t="shared" si="14"/>
        <v>Trd_bus</v>
      </c>
      <c r="BD77" s="1" t="str">
        <f t="shared" ref="BD77:BD80" si="26">BD74</f>
        <v>CNGVeh</v>
      </c>
    </row>
    <row r="78" spans="1:56">
      <c r="A78">
        <v>0</v>
      </c>
      <c r="B78" t="str">
        <f t="shared" ref="B78" si="27">B75</f>
        <v>Trd_car</v>
      </c>
      <c r="C78" t="str">
        <f t="shared" si="25"/>
        <v>*nga</v>
      </c>
      <c r="D78">
        <v>5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>
        <v>5</v>
      </c>
      <c r="O78">
        <v>5</v>
      </c>
      <c r="P78">
        <v>5</v>
      </c>
      <c r="Q78">
        <v>5</v>
      </c>
      <c r="R78">
        <v>5</v>
      </c>
      <c r="S78">
        <v>5</v>
      </c>
      <c r="T78">
        <v>5</v>
      </c>
      <c r="U78">
        <v>5</v>
      </c>
      <c r="V78">
        <v>5</v>
      </c>
      <c r="W78">
        <v>5</v>
      </c>
      <c r="X78">
        <v>5</v>
      </c>
      <c r="Y78">
        <v>5</v>
      </c>
      <c r="Z78">
        <v>5</v>
      </c>
      <c r="AA78">
        <v>5</v>
      </c>
      <c r="AB78">
        <v>5</v>
      </c>
      <c r="AC78">
        <v>5</v>
      </c>
      <c r="AD78">
        <v>5</v>
      </c>
      <c r="AE78">
        <v>5</v>
      </c>
      <c r="AF78">
        <v>5</v>
      </c>
      <c r="AG78">
        <v>5</v>
      </c>
      <c r="AH78">
        <v>5</v>
      </c>
      <c r="AI78">
        <v>5</v>
      </c>
      <c r="AJ78">
        <v>5</v>
      </c>
      <c r="AK78">
        <v>5</v>
      </c>
      <c r="AL78">
        <v>5</v>
      </c>
      <c r="AM78">
        <v>5</v>
      </c>
      <c r="AN78">
        <v>5</v>
      </c>
      <c r="AO78">
        <v>5</v>
      </c>
      <c r="AP78">
        <v>5</v>
      </c>
      <c r="AQ78">
        <v>5</v>
      </c>
      <c r="AR78">
        <v>5</v>
      </c>
      <c r="AS78">
        <v>5</v>
      </c>
      <c r="AT78">
        <v>5</v>
      </c>
      <c r="AU78">
        <v>5</v>
      </c>
      <c r="AV78">
        <v>5</v>
      </c>
      <c r="AW78">
        <v>5</v>
      </c>
      <c r="AX78">
        <v>5</v>
      </c>
      <c r="AY78">
        <v>5</v>
      </c>
      <c r="AZ78">
        <v>5</v>
      </c>
      <c r="BA78">
        <v>5</v>
      </c>
      <c r="BB78" t="s">
        <v>139</v>
      </c>
      <c r="BC78" t="str">
        <f t="shared" si="14"/>
        <v>Trd_car</v>
      </c>
      <c r="BD78" s="1" t="str">
        <f t="shared" si="26"/>
        <v>CNGVeh</v>
      </c>
    </row>
    <row r="79" spans="1:56">
      <c r="A79">
        <v>0</v>
      </c>
      <c r="B79" t="str">
        <f t="shared" ref="B79" si="28">B76</f>
        <v>Trd_lcv</v>
      </c>
      <c r="C79" t="str">
        <f t="shared" si="25"/>
        <v>*nga</v>
      </c>
      <c r="D79">
        <v>5</v>
      </c>
      <c r="E79">
        <v>5</v>
      </c>
      <c r="F79">
        <v>5</v>
      </c>
      <c r="G79">
        <v>5</v>
      </c>
      <c r="H79">
        <v>5</v>
      </c>
      <c r="I79">
        <v>5</v>
      </c>
      <c r="J79">
        <v>5</v>
      </c>
      <c r="K79">
        <v>5</v>
      </c>
      <c r="L79">
        <v>5</v>
      </c>
      <c r="M79">
        <v>5</v>
      </c>
      <c r="N79">
        <v>5</v>
      </c>
      <c r="O79">
        <v>5</v>
      </c>
      <c r="P79">
        <v>5</v>
      </c>
      <c r="Q79">
        <v>5</v>
      </c>
      <c r="R79">
        <v>5</v>
      </c>
      <c r="S79">
        <v>5</v>
      </c>
      <c r="T79">
        <v>5</v>
      </c>
      <c r="U79">
        <v>5</v>
      </c>
      <c r="V79">
        <v>5</v>
      </c>
      <c r="W79">
        <v>5</v>
      </c>
      <c r="X79">
        <v>5</v>
      </c>
      <c r="Y79">
        <v>5</v>
      </c>
      <c r="Z79">
        <v>5</v>
      </c>
      <c r="AA79">
        <v>5</v>
      </c>
      <c r="AB79">
        <v>5</v>
      </c>
      <c r="AC79">
        <v>5</v>
      </c>
      <c r="AD79">
        <v>5</v>
      </c>
      <c r="AE79">
        <v>5</v>
      </c>
      <c r="AF79">
        <v>5</v>
      </c>
      <c r="AG79">
        <v>5</v>
      </c>
      <c r="AH79">
        <v>5</v>
      </c>
      <c r="AI79">
        <v>5</v>
      </c>
      <c r="AJ79">
        <v>5</v>
      </c>
      <c r="AK79">
        <v>5</v>
      </c>
      <c r="AL79">
        <v>5</v>
      </c>
      <c r="AM79">
        <v>5</v>
      </c>
      <c r="AN79">
        <v>5</v>
      </c>
      <c r="AO79">
        <v>5</v>
      </c>
      <c r="AP79">
        <v>5</v>
      </c>
      <c r="AQ79">
        <v>5</v>
      </c>
      <c r="AR79">
        <v>5</v>
      </c>
      <c r="AS79">
        <v>5</v>
      </c>
      <c r="AT79">
        <v>5</v>
      </c>
      <c r="AU79">
        <v>5</v>
      </c>
      <c r="AV79">
        <v>5</v>
      </c>
      <c r="AW79">
        <v>5</v>
      </c>
      <c r="AX79">
        <v>5</v>
      </c>
      <c r="AY79">
        <v>5</v>
      </c>
      <c r="AZ79">
        <v>5</v>
      </c>
      <c r="BA79">
        <v>5</v>
      </c>
      <c r="BB79" t="s">
        <v>139</v>
      </c>
      <c r="BC79" t="str">
        <f t="shared" si="14"/>
        <v>Trd_lcv</v>
      </c>
      <c r="BD79" s="1" t="str">
        <f t="shared" si="26"/>
        <v>CNGVeh</v>
      </c>
    </row>
    <row r="80" spans="1:56">
      <c r="A80">
        <v>0</v>
      </c>
      <c r="B80" t="str">
        <f>B73</f>
        <v>Trd_hdt</v>
      </c>
      <c r="C80" t="str">
        <f t="shared" si="25"/>
        <v>*nga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  <c r="M80">
        <v>5</v>
      </c>
      <c r="N80">
        <v>5</v>
      </c>
      <c r="O80">
        <v>5</v>
      </c>
      <c r="P80">
        <v>5</v>
      </c>
      <c r="Q80">
        <v>5</v>
      </c>
      <c r="R80">
        <v>5</v>
      </c>
      <c r="S80">
        <v>5</v>
      </c>
      <c r="T80">
        <v>5</v>
      </c>
      <c r="U80">
        <v>5</v>
      </c>
      <c r="V80">
        <v>5</v>
      </c>
      <c r="W80">
        <v>5</v>
      </c>
      <c r="X80">
        <v>5</v>
      </c>
      <c r="Y80">
        <v>5</v>
      </c>
      <c r="Z80">
        <v>5</v>
      </c>
      <c r="AA80">
        <v>5</v>
      </c>
      <c r="AB80">
        <v>5</v>
      </c>
      <c r="AC80">
        <v>5</v>
      </c>
      <c r="AD80">
        <v>5</v>
      </c>
      <c r="AE80">
        <v>5</v>
      </c>
      <c r="AF80">
        <v>5</v>
      </c>
      <c r="AG80">
        <v>5</v>
      </c>
      <c r="AH80">
        <v>5</v>
      </c>
      <c r="AI80">
        <v>5</v>
      </c>
      <c r="AJ80">
        <v>5</v>
      </c>
      <c r="AK80">
        <v>5</v>
      </c>
      <c r="AL80">
        <v>5</v>
      </c>
      <c r="AM80">
        <v>5</v>
      </c>
      <c r="AN80">
        <v>5</v>
      </c>
      <c r="AO80">
        <v>5</v>
      </c>
      <c r="AP80">
        <v>5</v>
      </c>
      <c r="AQ80">
        <v>5</v>
      </c>
      <c r="AR80">
        <v>5</v>
      </c>
      <c r="AS80">
        <v>5</v>
      </c>
      <c r="AT80">
        <v>5</v>
      </c>
      <c r="AU80">
        <v>5</v>
      </c>
      <c r="AV80">
        <v>5</v>
      </c>
      <c r="AW80">
        <v>5</v>
      </c>
      <c r="AX80">
        <v>5</v>
      </c>
      <c r="AY80">
        <v>5</v>
      </c>
      <c r="AZ80">
        <v>5</v>
      </c>
      <c r="BA80">
        <v>5</v>
      </c>
      <c r="BB80" t="s">
        <v>139</v>
      </c>
      <c r="BC80" t="str">
        <f t="shared" si="14"/>
        <v>Trd_hdt</v>
      </c>
      <c r="BD80" s="1" t="str">
        <f t="shared" si="26"/>
        <v>CNGVeh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2026-04-03T03:59:37Z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662075248476160</vt:r8>
  </property>
  <property fmtid="{D5CDD505-2E9C-101B-9397-08002B2CF9AE}" pid="3" name="{A44787D4-0540-4523-9961-78E4036D8C6D}">
    <vt:lpwstr>{6FC98AD7-F2AF-42FD-99BE-9EAABD4832B8}</vt:lpwstr>
  </property>
  <property fmtid="{D5CDD505-2E9C-101B-9397-08002B2CF9AE}" pid="4" name="ICV">
    <vt:lpwstr>E61876ACA2534DD6B40B666FD3966E62_12</vt:lpwstr>
  </property>
  <property fmtid="{D5CDD505-2E9C-101B-9397-08002B2CF9AE}" pid="5" name="KSOProductBuildVer">
    <vt:lpwstr>1033-12.2.0.23196</vt:lpwstr>
  </property>
</Properties>
</file>