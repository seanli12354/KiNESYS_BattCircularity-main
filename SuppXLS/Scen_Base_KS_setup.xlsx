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activeTab="1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removed this since all Aviation demand are satisifed by Jet-fuels instead of ELC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5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6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7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8.xml><?xml version="1.0" encoding="utf-8"?>
<comments xmlns="http://schemas.openxmlformats.org/spreadsheetml/2006/main">
  <authors>
    <author>xli9</author>
    <author>Amit Kanudia</author>
  </authors>
  <commentList>
    <comment ref="C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<sst xmlns="http://schemas.openxmlformats.org/spreadsheetml/2006/main" count="3975" uniqueCount="750">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</sst>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4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0"/>
    </font>
    <font>
      <b/>
      <sz val="9"/>
      <name val="Tahoma"/>
      <charset val="1"/>
    </font>
    <font>
      <b/>
      <sz val="9"/>
      <name val="Tahoma"/>
      <charset val="134"/>
    </font>
    <font>
      <sz val="9"/>
      <name val="Times New Roman"/>
      <charset val="0"/>
    </font>
    <font>
      <sz val="9"/>
      <name val="Tahoma"/>
      <charset val="1"/>
    </font>
    <font>
      <b/>
      <sz val="8"/>
      <name val="Tahoma"/>
      <charset val="134"/>
    </font>
    <font>
      <sz val="8"/>
      <name val="Tahoma"/>
      <charset val="134"/>
    </font>
    <font>
      <sz val="9"/>
      <name val="Tahoma"/>
      <charset val="134"/>
    </font>
  </fonts>
  <fills count="76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9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10" borderId="1" applyNumberFormat="0" applyAlignment="0" applyProtection="0"/>
    <xf numFmtId="0" fontId="22" fillId="20" borderId="7" applyNumberFormat="0" applyAlignment="0" applyProtection="0">
      <alignment vertical="center"/>
    </xf>
    <xf numFmtId="0" fontId="23" fillId="20" borderId="1" applyNumberFormat="0" applyAlignment="0" applyProtection="0">
      <alignment vertical="center"/>
    </xf>
    <xf numFmtId="0" fontId="24" fillId="21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4" fillId="8" borderId="0" applyNumberFormat="0" applyBorder="0" applyAlignment="0" applyProtection="0"/>
    <xf numFmtId="0" fontId="27" fillId="22" borderId="0" applyNumberFormat="0" applyBorder="0" applyAlignment="0" applyProtection="0">
      <alignment vertical="center"/>
    </xf>
    <xf numFmtId="0" fontId="3" fillId="7" borderId="0" applyNumberFormat="0" applyBorder="0" applyAlignment="0" applyProtection="0"/>
    <xf numFmtId="0" fontId="28" fillId="5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30" fillId="45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45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1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7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17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53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53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50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0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7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17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31" fillId="55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5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47" borderId="0" applyNumberFormat="0" applyBorder="0" applyAlignment="0" applyProtection="0"/>
    <xf numFmtId="0" fontId="31" fillId="56" borderId="0" applyNumberFormat="0" applyBorder="0" applyAlignment="0" applyProtection="0"/>
    <xf numFmtId="0" fontId="31" fillId="53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3" borderId="0" applyNumberFormat="0" applyBorder="0" applyAlignment="0" applyProtection="0"/>
    <xf numFmtId="0" fontId="31" fillId="54" borderId="0" applyNumberFormat="0" applyBorder="0" applyAlignment="0" applyProtection="0"/>
    <xf numFmtId="0" fontId="31" fillId="57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57" borderId="0" applyNumberFormat="0" applyBorder="0" applyAlignment="0" applyProtection="0"/>
    <xf numFmtId="0" fontId="31" fillId="46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9" borderId="0" applyNumberFormat="0" applyBorder="0" applyAlignment="0" applyProtection="0"/>
    <xf numFmtId="0" fontId="31" fillId="47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63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63" borderId="0" applyNumberFormat="0" applyBorder="0" applyAlignment="0" applyProtection="0"/>
    <xf numFmtId="0" fontId="31" fillId="54" borderId="0" applyNumberFormat="0" applyBorder="0" applyAlignment="0" applyProtection="0"/>
    <xf numFmtId="0" fontId="31" fillId="57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57" borderId="0" applyNumberFormat="0" applyBorder="0" applyAlignment="0" applyProtection="0"/>
    <xf numFmtId="0" fontId="31" fillId="64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4" fontId="32" fillId="51" borderId="11">
      <alignment horizontal="right" vertical="center"/>
    </xf>
    <xf numFmtId="4" fontId="32" fillId="51" borderId="11">
      <alignment horizontal="right" vertical="center"/>
    </xf>
    <xf numFmtId="0" fontId="33" fillId="46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46" borderId="0" applyNumberFormat="0" applyBorder="0" applyAlignment="0" applyProtection="0"/>
    <xf numFmtId="0" fontId="33" fillId="50" borderId="0" applyNumberFormat="0" applyBorder="0" applyAlignment="0" applyProtection="0"/>
    <xf numFmtId="0" fontId="34" fillId="22" borderId="0" applyNumberFormat="0" applyBorder="0" applyAlignment="0" applyProtection="0"/>
    <xf numFmtId="0" fontId="35" fillId="65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5" fillId="65" borderId="12" applyNumberFormat="0" applyAlignment="0" applyProtection="0"/>
    <xf numFmtId="0" fontId="36" fillId="66" borderId="12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49" fontId="13" fillId="52" borderId="14">
      <alignment vertical="top" wrapText="1"/>
    </xf>
    <xf numFmtId="49" fontId="13" fillId="52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5" fillId="58" borderId="11">
      <alignment horizontal="centerContinuous" vertical="top" wrapText="1"/>
    </xf>
    <xf numFmtId="0" fontId="42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4" fillId="48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48" borderId="0" applyNumberFormat="0" applyBorder="0" applyAlignment="0" applyProtection="0"/>
    <xf numFmtId="0" fontId="44" fillId="52" borderId="0" applyNumberFormat="0" applyBorder="0" applyAlignment="0" applyProtection="0"/>
    <xf numFmtId="0" fontId="4" fillId="8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8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51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16" borderId="12" applyNumberFormat="0" applyAlignment="0" applyProtection="0"/>
    <xf numFmtId="0" fontId="53" fillId="51" borderId="12" applyNumberFormat="0" applyAlignment="0" applyProtection="0"/>
    <xf numFmtId="0" fontId="53" fillId="16" borderId="12" applyNumberFormat="0" applyAlignment="0" applyProtection="0"/>
    <xf numFmtId="0" fontId="6" fillId="10" borderId="1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13" fillId="0" borderId="0" applyFont="0" applyFill="0" applyBorder="0" applyAlignment="0" applyProtection="0"/>
    <xf numFmtId="0" fontId="57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8" fillId="16" borderId="0" applyNumberFormat="0" applyBorder="0" applyAlignment="0" applyProtection="0"/>
    <xf numFmtId="0" fontId="59" fillId="16" borderId="0" applyNumberFormat="0" applyBorder="0" applyAlignment="0" applyProtection="0"/>
    <xf numFmtId="0" fontId="58" fillId="16" borderId="0" applyNumberFormat="0" applyBorder="0" applyAlignment="0" applyProtection="0"/>
    <xf numFmtId="0" fontId="57" fillId="16" borderId="0" applyNumberFormat="0" applyBorder="0" applyAlignment="0" applyProtection="0"/>
    <xf numFmtId="0" fontId="3" fillId="7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39" fillId="0" borderId="1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62" fillId="0" borderId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192" fontId="63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4" fillId="65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5" borderId="26" applyNumberFormat="0" applyAlignment="0" applyProtection="0"/>
    <xf numFmtId="0" fontId="64" fillId="66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5" fillId="68" borderId="11" applyNumberFormat="0" applyProtection="0">
      <alignment horizontal="right"/>
    </xf>
    <xf numFmtId="0" fontId="66" fillId="68" borderId="0" applyNumberFormat="0" applyBorder="0" applyProtection="0">
      <alignment horizontal="left"/>
    </xf>
    <xf numFmtId="0" fontId="15" fillId="68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7" fillId="60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8" fillId="69" borderId="27">
      <alignment vertical="center"/>
    </xf>
    <xf numFmtId="178" fontId="69" fillId="69" borderId="27">
      <alignment vertical="center"/>
    </xf>
    <xf numFmtId="197" fontId="70" fillId="70" borderId="27">
      <alignment vertical="center"/>
    </xf>
    <xf numFmtId="0" fontId="13" fillId="71" borderId="28" applyBorder="0">
      <alignment horizontal="left" vertical="center"/>
    </xf>
    <xf numFmtId="0" fontId="13" fillId="71" borderId="28" applyBorder="0">
      <alignment horizontal="left" vertical="center"/>
    </xf>
    <xf numFmtId="49" fontId="13" fillId="72" borderId="11">
      <alignment vertical="center" wrapText="1"/>
    </xf>
    <xf numFmtId="49" fontId="13" fillId="72" borderId="11">
      <alignment vertical="center" wrapText="1"/>
    </xf>
    <xf numFmtId="0" fontId="13" fillId="73" borderId="29">
      <alignment horizontal="left" vertical="center" wrapText="1"/>
    </xf>
    <xf numFmtId="0" fontId="13" fillId="73" borderId="29">
      <alignment horizontal="left" vertical="center" wrapText="1"/>
    </xf>
    <xf numFmtId="0" fontId="71" fillId="74" borderId="11">
      <alignment horizontal="left" vertical="center" wrapText="1"/>
    </xf>
    <xf numFmtId="0" fontId="13" fillId="59" borderId="11">
      <alignment horizontal="left" vertical="center" wrapText="1"/>
    </xf>
    <xf numFmtId="0" fontId="13" fillId="59" borderId="11">
      <alignment horizontal="left" vertical="center" wrapText="1"/>
    </xf>
    <xf numFmtId="0" fontId="13" fillId="75" borderId="11">
      <alignment horizontal="left" vertical="center" wrapText="1"/>
    </xf>
    <xf numFmtId="0" fontId="13" fillId="75" borderId="1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5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1" fontId="0" fillId="0" borderId="0" xfId="0" applyNumberFormat="1"/>
    <xf numFmtId="2" fontId="0" fillId="0" borderId="0" xfId="0" applyNumberFormat="1"/>
    <xf numFmtId="1" fontId="0" fillId="5" borderId="0" xfId="0" applyNumberFormat="1" applyFill="1"/>
    <xf numFmtId="2" fontId="0" fillId="5" borderId="0" xfId="0" applyNumberFormat="1" applyFill="1"/>
    <xf numFmtId="0" fontId="2" fillId="7" borderId="0" xfId="24" applyFont="1"/>
    <xf numFmtId="0" fontId="3" fillId="7" borderId="0" xfId="24"/>
    <xf numFmtId="0" fontId="4" fillId="8" borderId="0" xfId="22"/>
    <xf numFmtId="0" fontId="5" fillId="9" borderId="0" xfId="0" applyFont="1" applyFill="1"/>
    <xf numFmtId="199" fontId="5" fillId="9" borderId="0" xfId="0" applyNumberFormat="1" applyFont="1" applyFill="1"/>
    <xf numFmtId="4" fontId="4" fillId="8" borderId="0" xfId="22" applyNumberFormat="1"/>
    <xf numFmtId="0" fontId="6" fillId="10" borderId="1" xfId="16"/>
    <xf numFmtId="0" fontId="0" fillId="9" borderId="0" xfId="0" applyFill="1"/>
    <xf numFmtId="0" fontId="7" fillId="0" borderId="0" xfId="0" applyFont="1"/>
    <xf numFmtId="0" fontId="8" fillId="0" borderId="2" xfId="13"/>
    <xf numFmtId="0" fontId="9" fillId="0" borderId="3" xfId="14"/>
    <xf numFmtId="0" fontId="10" fillId="11" borderId="0" xfId="0" applyFont="1" applyFill="1"/>
    <xf numFmtId="9" fontId="0" fillId="0" borderId="0" xfId="3" applyFont="1"/>
    <xf numFmtId="9" fontId="1" fillId="0" borderId="0" xfId="3" applyFont="1"/>
    <xf numFmtId="0" fontId="0" fillId="12" borderId="0" xfId="0" applyFill="1"/>
    <xf numFmtId="9" fontId="0" fillId="0" borderId="0" xfId="0" applyNumberFormat="1"/>
    <xf numFmtId="9" fontId="0" fillId="12" borderId="0" xfId="0" applyNumberFormat="1" applyFill="1"/>
    <xf numFmtId="9" fontId="0" fillId="13" borderId="0" xfId="0" applyNumberFormat="1" applyFill="1"/>
    <xf numFmtId="9" fontId="11" fillId="0" borderId="0" xfId="0" applyNumberFormat="1" applyFont="1"/>
    <xf numFmtId="9" fontId="7" fillId="0" borderId="0" xfId="0" applyNumberFormat="1" applyFont="1"/>
    <xf numFmtId="9" fontId="0" fillId="14" borderId="0" xfId="0" applyNumberFormat="1" applyFill="1"/>
    <xf numFmtId="200" fontId="0" fillId="0" borderId="0" xfId="0" applyNumberFormat="1"/>
    <xf numFmtId="0" fontId="0" fillId="0" borderId="0" xfId="0" applyAlignment="1">
      <alignment wrapText="1"/>
    </xf>
    <xf numFmtId="0" fontId="12" fillId="0" borderId="0" xfId="6" applyAlignment="1"/>
    <xf numFmtId="0" fontId="13" fillId="0" borderId="0" xfId="1755"/>
    <xf numFmtId="0" fontId="14" fillId="0" borderId="0" xfId="1755" applyFont="1"/>
    <xf numFmtId="0" fontId="15" fillId="0" borderId="0" xfId="1755" applyFont="1"/>
    <xf numFmtId="0" fontId="13" fillId="12" borderId="0" xfId="1755" applyFill="1"/>
    <xf numFmtId="0" fontId="0" fillId="15" borderId="0" xfId="0" applyFill="1"/>
    <xf numFmtId="11" fontId="0" fillId="0" borderId="0" xfId="0" applyNumberFormat="1"/>
    <xf numFmtId="0" fontId="16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6" borderId="4" xfId="0" applyFont="1" applyFill="1" applyBorder="1"/>
    <xf numFmtId="0" fontId="15" fillId="17" borderId="4" xfId="0" applyFont="1" applyFill="1" applyBorder="1"/>
    <xf numFmtId="0" fontId="13" fillId="16" borderId="4" xfId="0" applyFont="1" applyFill="1" applyBorder="1"/>
    <xf numFmtId="0" fontId="0" fillId="18" borderId="0" xfId="0" applyFill="1"/>
    <xf numFmtId="201" fontId="1" fillId="0" borderId="0" xfId="0" applyNumberFormat="1" applyFont="1"/>
    <xf numFmtId="0" fontId="0" fillId="13" borderId="0" xfId="0" applyFill="1"/>
    <xf numFmtId="0" fontId="9" fillId="13" borderId="0" xfId="15" applyFill="1"/>
    <xf numFmtId="0" fontId="11" fillId="13" borderId="0" xfId="0" applyFont="1" applyFill="1"/>
    <xf numFmtId="0" fontId="11" fillId="0" borderId="0" xfId="0" applyFont="1"/>
    <xf numFmtId="0" fontId="0" fillId="0" borderId="0" xfId="0" quotePrefix="1"/>
    <xf numFmtId="0" fontId="0" fillId="15" borderId="0" xfId="0" applyFill="1" quotePrefix="1"/>
    <xf numFmtId="0" fontId="13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N22" sqref="N22"/>
    </sheetView>
  </sheetViews>
  <sheetFormatPr defaultColWidth="9" defaultRowHeight="14.5"/>
  <cols>
    <col min="2" max="2" width="18.7272727272727" customWidth="1"/>
    <col min="40" max="40" width="12.6363636363636" customWidth="1"/>
  </cols>
  <sheetData>
    <row r="1" spans="1:41">
      <c r="A1" s="19" t="s">
        <v>0</v>
      </c>
      <c r="M1" t="s">
        <v>1</v>
      </c>
    </row>
    <row r="3" spans="1:41">
      <c r="D3" s="18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8">
        <v>4.412</v>
      </c>
      <c r="F5" s="8">
        <v>3.12026375782552</v>
      </c>
      <c r="G5" s="8">
        <v>19.819</v>
      </c>
      <c r="H5" s="8" t="s">
        <v>45</v>
      </c>
      <c r="I5" s="8" t="s">
        <v>45</v>
      </c>
      <c r="J5" s="8">
        <v>5.392</v>
      </c>
      <c r="K5" s="8">
        <v>3.04</v>
      </c>
      <c r="L5" s="8">
        <v>1049.77744541795</v>
      </c>
      <c r="M5" s="8">
        <v>0.341</v>
      </c>
      <c r="N5" s="8">
        <v>1.829</v>
      </c>
      <c r="O5" s="8">
        <v>1.784</v>
      </c>
      <c r="P5" s="8">
        <v>20.964</v>
      </c>
      <c r="Q5" s="8" t="s">
        <v>45</v>
      </c>
      <c r="R5" s="8">
        <v>0.631</v>
      </c>
      <c r="S5" s="8" t="s">
        <v>45</v>
      </c>
      <c r="T5" s="8">
        <v>226.585</v>
      </c>
      <c r="U5" s="8">
        <v>1.043</v>
      </c>
      <c r="V5" s="8">
        <v>7.734</v>
      </c>
      <c r="W5" s="8">
        <v>55.883</v>
      </c>
      <c r="X5" s="8">
        <v>8.113</v>
      </c>
      <c r="Y5" s="8">
        <v>5.815</v>
      </c>
      <c r="Z5" s="8">
        <v>208.923</v>
      </c>
      <c r="AA5" s="8">
        <v>0.008</v>
      </c>
      <c r="AB5" s="8">
        <v>21.844</v>
      </c>
      <c r="AC5" s="8">
        <v>1173.40732616814</v>
      </c>
      <c r="AD5" s="8">
        <v>33.27</v>
      </c>
      <c r="AE5" s="8" t="s">
        <v>45</v>
      </c>
      <c r="AF5" s="8">
        <v>45.335</v>
      </c>
      <c r="AG5" s="8">
        <v>1.425</v>
      </c>
      <c r="AH5" s="8">
        <v>6.068</v>
      </c>
      <c r="AI5" s="8" t="s">
        <v>45</v>
      </c>
      <c r="AJ5" s="8">
        <v>8.664</v>
      </c>
      <c r="AK5" s="8">
        <v>5.108</v>
      </c>
      <c r="AL5" s="8">
        <v>25.702</v>
      </c>
      <c r="AM5" s="8">
        <v>0.224</v>
      </c>
      <c r="AN5" s="8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8">
        <v>96.795</v>
      </c>
      <c r="F6" s="8">
        <v>25.6351710820699</v>
      </c>
      <c r="G6" s="8">
        <v>16.3663125505745</v>
      </c>
      <c r="H6" s="8">
        <v>4.529</v>
      </c>
      <c r="I6" s="8">
        <v>2.229</v>
      </c>
      <c r="J6" s="8">
        <v>19.908</v>
      </c>
      <c r="K6" s="8">
        <v>12.976</v>
      </c>
      <c r="L6" s="8">
        <v>124.106769526882</v>
      </c>
      <c r="M6" s="8">
        <v>1.35494652675863</v>
      </c>
      <c r="N6" s="8">
        <v>2.955</v>
      </c>
      <c r="O6" s="8">
        <v>8.263</v>
      </c>
      <c r="P6" s="8">
        <v>23.885</v>
      </c>
      <c r="Q6" s="8">
        <v>7.819</v>
      </c>
      <c r="R6" s="8">
        <v>6.279</v>
      </c>
      <c r="S6" s="8" t="s">
        <v>45</v>
      </c>
      <c r="T6" s="8">
        <v>24.629</v>
      </c>
      <c r="U6" s="8">
        <v>4.302</v>
      </c>
      <c r="V6" s="8">
        <v>50.522</v>
      </c>
      <c r="W6" s="8">
        <v>83.7</v>
      </c>
      <c r="X6" s="8">
        <v>56.636</v>
      </c>
      <c r="Y6" s="8">
        <v>215.315</v>
      </c>
      <c r="Z6" s="8">
        <v>555.117</v>
      </c>
      <c r="AA6" s="8">
        <v>0.318</v>
      </c>
      <c r="AB6" s="8">
        <v>3.817</v>
      </c>
      <c r="AC6" s="8">
        <v>377.33885156572</v>
      </c>
      <c r="AD6" s="8">
        <v>126.817</v>
      </c>
      <c r="AE6" s="8">
        <v>54.058</v>
      </c>
      <c r="AF6" s="8">
        <v>0.033</v>
      </c>
      <c r="AG6" s="8">
        <v>31.272</v>
      </c>
      <c r="AH6" s="8">
        <v>5.718</v>
      </c>
      <c r="AI6" s="8">
        <v>0.491</v>
      </c>
      <c r="AJ6" s="8">
        <v>25.944</v>
      </c>
      <c r="AK6" s="8">
        <v>33.529</v>
      </c>
      <c r="AL6" s="8">
        <v>3.113</v>
      </c>
      <c r="AM6" s="8">
        <v>0.951</v>
      </c>
      <c r="AN6" s="8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8">
        <v>4.432</v>
      </c>
      <c r="F7" s="8">
        <v>36.8858527599317</v>
      </c>
      <c r="G7" s="8">
        <v>8.44</v>
      </c>
      <c r="H7" s="8">
        <v>14.933</v>
      </c>
      <c r="I7" s="8">
        <v>1.717</v>
      </c>
      <c r="J7" s="8">
        <v>0.198</v>
      </c>
      <c r="K7" s="8">
        <v>109.95</v>
      </c>
      <c r="L7" s="8">
        <v>381.480858686818</v>
      </c>
      <c r="M7" s="8">
        <v>3.63800080835852</v>
      </c>
      <c r="N7" s="8">
        <v>2.731</v>
      </c>
      <c r="O7" s="8">
        <v>24.478</v>
      </c>
      <c r="P7" s="8">
        <v>5.741</v>
      </c>
      <c r="Q7" s="8">
        <v>3.456</v>
      </c>
      <c r="R7" s="8">
        <v>9.206</v>
      </c>
      <c r="S7" s="8">
        <v>2.114</v>
      </c>
      <c r="T7" s="8">
        <v>54.1028396193525</v>
      </c>
      <c r="U7" s="8">
        <v>0.237</v>
      </c>
      <c r="V7" s="8">
        <v>18.942</v>
      </c>
      <c r="W7" s="8">
        <v>28.247</v>
      </c>
      <c r="X7" s="8">
        <v>81.8173772429141</v>
      </c>
      <c r="Y7" s="8">
        <v>15.1858324984039</v>
      </c>
      <c r="Z7" s="8">
        <v>184.391</v>
      </c>
      <c r="AA7" s="8">
        <v>34.41</v>
      </c>
      <c r="AB7" s="8">
        <v>0.986</v>
      </c>
      <c r="AC7" s="8">
        <v>506.242366978746</v>
      </c>
      <c r="AD7" s="8">
        <v>51.535</v>
      </c>
      <c r="AE7" s="8" t="s">
        <v>45</v>
      </c>
      <c r="AF7" s="8">
        <v>0.752</v>
      </c>
      <c r="AG7" s="8">
        <v>25.039</v>
      </c>
      <c r="AH7" s="8">
        <v>19.647</v>
      </c>
      <c r="AI7" s="8">
        <v>15.279</v>
      </c>
      <c r="AJ7" s="8">
        <v>31.935</v>
      </c>
      <c r="AK7" s="8">
        <v>2.252</v>
      </c>
      <c r="AL7" s="8">
        <v>4.887</v>
      </c>
      <c r="AM7" s="8">
        <v>8.80061311366949</v>
      </c>
      <c r="AN7" s="8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8" t="s">
        <v>45</v>
      </c>
      <c r="F8" s="8" t="s">
        <v>45</v>
      </c>
      <c r="G8" s="8" t="s">
        <v>45</v>
      </c>
      <c r="H8" s="8" t="s">
        <v>45</v>
      </c>
      <c r="I8" s="8" t="s">
        <v>45</v>
      </c>
      <c r="J8" s="8">
        <v>5.563</v>
      </c>
      <c r="K8" s="8">
        <v>2.062</v>
      </c>
      <c r="L8" s="8">
        <v>70.6297930648943</v>
      </c>
      <c r="M8" s="8">
        <v>0.727</v>
      </c>
      <c r="N8" s="8">
        <v>6.954</v>
      </c>
      <c r="O8" s="8">
        <v>65.792</v>
      </c>
      <c r="P8" s="8">
        <v>4.291</v>
      </c>
      <c r="Q8" s="8" t="s">
        <v>45</v>
      </c>
      <c r="R8" s="8">
        <v>5.45</v>
      </c>
      <c r="S8" s="8" t="s">
        <v>45</v>
      </c>
      <c r="T8" s="8">
        <v>14.4554035848022</v>
      </c>
      <c r="U8" s="8" t="s">
        <v>45</v>
      </c>
      <c r="V8" s="8" t="s">
        <v>45</v>
      </c>
      <c r="W8" s="8">
        <v>34.1194818175494</v>
      </c>
      <c r="X8" s="8">
        <v>1.798</v>
      </c>
      <c r="Y8" s="8">
        <v>7.62</v>
      </c>
      <c r="Z8" s="8">
        <v>115.929</v>
      </c>
      <c r="AA8" s="8" t="s">
        <v>45</v>
      </c>
      <c r="AB8" s="8" t="s">
        <v>45</v>
      </c>
      <c r="AC8" s="8">
        <v>112.973094438467</v>
      </c>
      <c r="AD8" s="8">
        <v>34.297233878302</v>
      </c>
      <c r="AE8" s="8" t="s">
        <v>45</v>
      </c>
      <c r="AF8" s="8">
        <v>1.94</v>
      </c>
      <c r="AG8" s="8">
        <v>7.398</v>
      </c>
      <c r="AH8" s="8">
        <v>11.706</v>
      </c>
      <c r="AI8" s="8">
        <v>3.025</v>
      </c>
      <c r="AJ8" s="8">
        <v>3.54591433260089</v>
      </c>
      <c r="AK8" s="8">
        <v>7.23456144459034</v>
      </c>
      <c r="AL8" s="8">
        <v>13.88</v>
      </c>
      <c r="AM8" s="8" t="s">
        <v>45</v>
      </c>
      <c r="AN8" s="8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8">
        <v>3.759</v>
      </c>
      <c r="F9" s="8">
        <v>3.346</v>
      </c>
      <c r="G9" s="8">
        <v>34.218</v>
      </c>
      <c r="H9" s="8">
        <v>6.832</v>
      </c>
      <c r="I9" s="8">
        <v>2.208</v>
      </c>
      <c r="J9" s="8">
        <v>32.886</v>
      </c>
      <c r="K9" s="8">
        <v>40.781</v>
      </c>
      <c r="L9" s="8">
        <v>618.105570429358</v>
      </c>
      <c r="M9" s="8">
        <v>1.496</v>
      </c>
      <c r="N9" s="8">
        <v>3.185</v>
      </c>
      <c r="O9" s="8">
        <v>20.552</v>
      </c>
      <c r="P9" s="8">
        <v>83.039</v>
      </c>
      <c r="Q9" s="8">
        <v>7.637</v>
      </c>
      <c r="R9" s="8">
        <v>10.704</v>
      </c>
      <c r="S9" s="8">
        <v>0.007</v>
      </c>
      <c r="T9" s="8">
        <v>76.309</v>
      </c>
      <c r="U9" s="8">
        <v>0.738</v>
      </c>
      <c r="V9" s="8">
        <v>30.029</v>
      </c>
      <c r="W9" s="8">
        <v>87.173</v>
      </c>
      <c r="X9" s="8">
        <v>15.894</v>
      </c>
      <c r="Y9" s="8">
        <v>17.263</v>
      </c>
      <c r="Z9" s="8">
        <v>158.453</v>
      </c>
      <c r="AA9" s="8">
        <v>0.617</v>
      </c>
      <c r="AB9" s="8">
        <v>15.81</v>
      </c>
      <c r="AC9" s="8">
        <v>690.025</v>
      </c>
      <c r="AD9" s="8">
        <v>2.442</v>
      </c>
      <c r="AE9" s="8">
        <v>2.286</v>
      </c>
      <c r="AF9" s="8">
        <v>6.473</v>
      </c>
      <c r="AG9" s="8">
        <v>35.164</v>
      </c>
      <c r="AH9" s="8">
        <v>7.917</v>
      </c>
      <c r="AI9" s="8">
        <v>5.84</v>
      </c>
      <c r="AJ9" s="8">
        <v>11.292</v>
      </c>
      <c r="AK9" s="8">
        <v>15.657</v>
      </c>
      <c r="AL9" s="8">
        <v>8.15</v>
      </c>
      <c r="AM9" s="8">
        <v>1.025</v>
      </c>
      <c r="AN9" s="8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8">
        <v>10.1220661744693</v>
      </c>
      <c r="F10" s="8">
        <v>1.273</v>
      </c>
      <c r="G10" s="8">
        <v>13.161</v>
      </c>
      <c r="H10" s="8">
        <v>3.977</v>
      </c>
      <c r="I10" s="8">
        <v>1.914</v>
      </c>
      <c r="J10" s="8">
        <v>16.492</v>
      </c>
      <c r="K10" s="8">
        <v>29.818</v>
      </c>
      <c r="L10" s="8">
        <v>481.98396376118</v>
      </c>
      <c r="M10" s="8">
        <v>1.146</v>
      </c>
      <c r="N10" s="8">
        <v>0.347</v>
      </c>
      <c r="O10" s="8">
        <v>23.176</v>
      </c>
      <c r="P10" s="8">
        <v>70.263059689023</v>
      </c>
      <c r="Q10" s="8">
        <v>5.379</v>
      </c>
      <c r="R10" s="8">
        <v>4.141</v>
      </c>
      <c r="S10" s="8">
        <v>0.17695741101743</v>
      </c>
      <c r="T10" s="8">
        <v>52.9658823207897</v>
      </c>
      <c r="U10" s="8">
        <v>4.862</v>
      </c>
      <c r="V10" s="8">
        <v>12.391</v>
      </c>
      <c r="W10" s="8">
        <v>5.483</v>
      </c>
      <c r="X10" s="8">
        <v>19.4340173249179</v>
      </c>
      <c r="Y10" s="8">
        <v>1.487</v>
      </c>
      <c r="Z10" s="8">
        <v>174.881458488924</v>
      </c>
      <c r="AA10" s="8">
        <v>5.065</v>
      </c>
      <c r="AB10" s="8">
        <v>9.307</v>
      </c>
      <c r="AC10" s="8">
        <v>466.351347074073</v>
      </c>
      <c r="AD10" s="8">
        <v>2.64</v>
      </c>
      <c r="AE10" s="8">
        <v>0.403</v>
      </c>
      <c r="AF10" s="8">
        <v>3.463</v>
      </c>
      <c r="AG10" s="8">
        <v>36.745</v>
      </c>
      <c r="AH10" s="8">
        <v>31.957</v>
      </c>
      <c r="AI10" s="8">
        <v>0.087</v>
      </c>
      <c r="AJ10" s="8">
        <v>11.749</v>
      </c>
      <c r="AK10" s="8">
        <v>34.5394277256465</v>
      </c>
      <c r="AL10" s="8">
        <v>1.902</v>
      </c>
      <c r="AM10" s="8">
        <v>1.095</v>
      </c>
      <c r="AN10" s="8">
        <v>-1</v>
      </c>
      <c r="AO10" t="s">
        <v>50</v>
      </c>
    </row>
    <row r="11" spans="1:41"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 spans="1:41"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 spans="1:41"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1"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1:41"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1"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tabSelected="1" zoomScale="73" zoomScaleNormal="73" topLeftCell="J1" workbookViewId="0">
      <selection activeCell="T34" sqref="T34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1" t="s">
        <v>53</v>
      </c>
      <c r="I2" s="42"/>
      <c r="J2" s="43"/>
      <c r="K2" s="43"/>
      <c r="L2" s="43"/>
      <c r="M2" s="43"/>
      <c r="N2" s="43"/>
      <c r="O2" s="43"/>
      <c r="P2" s="43"/>
    </row>
    <row r="3" ht="15.25" spans="1:30">
      <c r="B3" s="44" t="s">
        <v>54</v>
      </c>
      <c r="C3" s="44" t="s">
        <v>55</v>
      </c>
      <c r="D3" s="44" t="s">
        <v>56</v>
      </c>
      <c r="E3" s="44" t="s">
        <v>57</v>
      </c>
      <c r="F3" s="44" t="s">
        <v>58</v>
      </c>
      <c r="G3" s="44" t="s">
        <v>59</v>
      </c>
      <c r="H3" s="45" t="s">
        <v>60</v>
      </c>
      <c r="I3" s="46" t="s">
        <v>61</v>
      </c>
      <c r="J3" s="46" t="s">
        <v>62</v>
      </c>
      <c r="K3" s="46" t="s">
        <v>63</v>
      </c>
      <c r="L3" s="46" t="s">
        <v>64</v>
      </c>
      <c r="M3" s="46" t="s">
        <v>65</v>
      </c>
      <c r="N3" s="46" t="s">
        <v>66</v>
      </c>
      <c r="O3" s="46" t="s">
        <v>67</v>
      </c>
      <c r="P3" s="46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9" t="s">
        <v>79</v>
      </c>
      <c r="V5" s="39" t="s">
        <v>80</v>
      </c>
      <c r="W5" s="39">
        <v>2150</v>
      </c>
      <c r="X5" s="39"/>
      <c r="Y5" s="39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47">
        <v>3.5</v>
      </c>
      <c r="X14" t="s">
        <v>102</v>
      </c>
      <c r="Y14" s="47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7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6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8">
        <f>V11*1.2</f>
        <v>23.328</v>
      </c>
      <c r="X21" t="s">
        <v>127</v>
      </c>
      <c r="Y21" t="s">
        <v>128</v>
      </c>
      <c r="Z21" s="53" t="s">
        <v>129</v>
      </c>
      <c r="AA21" t="str">
        <f t="shared" ref="AA21:AA26" si="0">X21</f>
        <v>HH2</v>
      </c>
      <c r="AB21" s="53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8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8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3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8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2020</v>
      </c>
      <c r="H26" s="53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3" t="s">
        <v>141</v>
      </c>
      <c r="AC26" t="s">
        <v>99</v>
      </c>
    </row>
    <row r="27" spans="2:135">
      <c r="D27" t="s">
        <v>143</v>
      </c>
      <c r="E27">
        <v>2050</v>
      </c>
      <c r="H27" s="53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9" t="s">
        <v>73</v>
      </c>
      <c r="X29" s="50" t="s">
        <v>152</v>
      </c>
      <c r="Y29" s="50" t="s">
        <v>153</v>
      </c>
      <c r="Z29" s="50" t="s">
        <v>154</v>
      </c>
      <c r="AA29" s="50" t="s">
        <v>155</v>
      </c>
      <c r="AB29" s="50" t="s">
        <v>156</v>
      </c>
      <c r="AC29" s="50" t="s">
        <v>9</v>
      </c>
      <c r="AD29" s="50" t="s">
        <v>10</v>
      </c>
      <c r="AE29" s="50" t="s">
        <v>157</v>
      </c>
      <c r="AF29" s="50" t="s">
        <v>158</v>
      </c>
      <c r="AG29" s="50" t="s">
        <v>159</v>
      </c>
      <c r="AH29" s="50" t="s">
        <v>160</v>
      </c>
      <c r="AI29" s="50" t="s">
        <v>161</v>
      </c>
      <c r="AJ29" s="50" t="s">
        <v>13</v>
      </c>
      <c r="AK29" s="50" t="s">
        <v>162</v>
      </c>
      <c r="AL29" s="50" t="s">
        <v>163</v>
      </c>
      <c r="AM29" s="50" t="s">
        <v>164</v>
      </c>
      <c r="AN29" s="50" t="s">
        <v>165</v>
      </c>
      <c r="AO29" s="50" t="s">
        <v>14</v>
      </c>
      <c r="AP29" s="50" t="s">
        <v>166</v>
      </c>
      <c r="AQ29" s="50" t="s">
        <v>167</v>
      </c>
      <c r="AR29" s="50" t="s">
        <v>168</v>
      </c>
      <c r="AS29" s="50" t="s">
        <v>169</v>
      </c>
      <c r="AT29" s="50" t="s">
        <v>170</v>
      </c>
      <c r="AU29" s="50" t="s">
        <v>171</v>
      </c>
      <c r="AV29" s="50" t="s">
        <v>172</v>
      </c>
      <c r="AW29" s="50" t="s">
        <v>173</v>
      </c>
      <c r="AX29" s="50" t="s">
        <v>174</v>
      </c>
      <c r="AY29" s="50" t="s">
        <v>175</v>
      </c>
      <c r="AZ29" s="50" t="s">
        <v>17</v>
      </c>
      <c r="BA29" s="50" t="s">
        <v>176</v>
      </c>
      <c r="BB29" s="50" t="s">
        <v>18</v>
      </c>
      <c r="BC29" s="50" t="s">
        <v>177</v>
      </c>
      <c r="BD29" s="50" t="s">
        <v>178</v>
      </c>
      <c r="BE29" s="50" t="s">
        <v>179</v>
      </c>
      <c r="BF29" s="50" t="s">
        <v>21</v>
      </c>
      <c r="BG29" s="50" t="s">
        <v>22</v>
      </c>
      <c r="BH29" s="50" t="s">
        <v>180</v>
      </c>
      <c r="BI29" s="50" t="s">
        <v>181</v>
      </c>
      <c r="BJ29" s="50" t="s">
        <v>182</v>
      </c>
      <c r="BK29" s="50" t="s">
        <v>23</v>
      </c>
      <c r="BL29" s="50" t="s">
        <v>183</v>
      </c>
      <c r="BM29" s="50" t="s">
        <v>184</v>
      </c>
      <c r="BN29" s="50" t="s">
        <v>185</v>
      </c>
      <c r="BO29" s="50" t="s">
        <v>25</v>
      </c>
      <c r="BP29" s="50" t="s">
        <v>186</v>
      </c>
      <c r="BQ29" s="50" t="s">
        <v>187</v>
      </c>
      <c r="BR29" s="50" t="s">
        <v>188</v>
      </c>
      <c r="BS29" s="50" t="s">
        <v>189</v>
      </c>
      <c r="BT29" s="50" t="s">
        <v>190</v>
      </c>
      <c r="BU29" s="50" t="s">
        <v>191</v>
      </c>
      <c r="BV29" s="50" t="s">
        <v>192</v>
      </c>
      <c r="BW29" s="50" t="s">
        <v>193</v>
      </c>
      <c r="BX29" s="50" t="s">
        <v>194</v>
      </c>
      <c r="BY29" s="50" t="s">
        <v>195</v>
      </c>
      <c r="BZ29" s="50" t="s">
        <v>196</v>
      </c>
      <c r="CA29" s="50" t="s">
        <v>197</v>
      </c>
      <c r="CB29" s="50" t="s">
        <v>198</v>
      </c>
      <c r="CC29" s="50" t="s">
        <v>199</v>
      </c>
      <c r="CD29" s="50" t="s">
        <v>200</v>
      </c>
      <c r="CE29" s="50" t="s">
        <v>201</v>
      </c>
      <c r="CF29" s="50" t="s">
        <v>202</v>
      </c>
      <c r="CG29" s="50" t="s">
        <v>203</v>
      </c>
      <c r="CH29" s="50" t="s">
        <v>204</v>
      </c>
      <c r="CI29" s="50" t="s">
        <v>205</v>
      </c>
      <c r="CJ29" s="50" t="s">
        <v>206</v>
      </c>
      <c r="CK29" s="50" t="s">
        <v>207</v>
      </c>
      <c r="CL29" s="50" t="s">
        <v>208</v>
      </c>
      <c r="CM29" s="50" t="s">
        <v>29</v>
      </c>
      <c r="CN29" s="50" t="s">
        <v>209</v>
      </c>
      <c r="CO29" s="50" t="s">
        <v>210</v>
      </c>
      <c r="CP29" s="50" t="s">
        <v>211</v>
      </c>
      <c r="CQ29" s="50" t="s">
        <v>212</v>
      </c>
      <c r="CR29" s="50" t="s">
        <v>213</v>
      </c>
      <c r="CS29" s="50" t="s">
        <v>214</v>
      </c>
      <c r="CT29" s="50" t="s">
        <v>215</v>
      </c>
      <c r="CU29" s="50" t="s">
        <v>216</v>
      </c>
      <c r="CV29" s="50" t="s">
        <v>217</v>
      </c>
      <c r="CW29" s="50" t="s">
        <v>30</v>
      </c>
      <c r="CX29" s="50" t="s">
        <v>218</v>
      </c>
      <c r="CY29" s="50" t="s">
        <v>219</v>
      </c>
      <c r="CZ29" s="50" t="s">
        <v>220</v>
      </c>
      <c r="DA29" s="50" t="s">
        <v>32</v>
      </c>
      <c r="DB29" s="50" t="s">
        <v>33</v>
      </c>
      <c r="DC29" s="50" t="s">
        <v>221</v>
      </c>
      <c r="DD29" s="50" t="s">
        <v>222</v>
      </c>
      <c r="DE29" s="50" t="s">
        <v>223</v>
      </c>
      <c r="DF29" s="50" t="s">
        <v>224</v>
      </c>
      <c r="DG29" s="50" t="s">
        <v>34</v>
      </c>
      <c r="DH29" s="50" t="s">
        <v>225</v>
      </c>
      <c r="DI29" s="50" t="s">
        <v>226</v>
      </c>
      <c r="DJ29" s="50" t="s">
        <v>227</v>
      </c>
      <c r="DK29" s="50" t="s">
        <v>228</v>
      </c>
      <c r="DL29" s="50" t="s">
        <v>37</v>
      </c>
      <c r="DM29" s="50" t="s">
        <v>229</v>
      </c>
      <c r="DN29" s="50" t="s">
        <v>230</v>
      </c>
      <c r="DO29" s="50" t="s">
        <v>231</v>
      </c>
      <c r="DP29" s="50" t="s">
        <v>232</v>
      </c>
      <c r="DQ29" s="50" t="s">
        <v>233</v>
      </c>
      <c r="DR29" s="50" t="s">
        <v>38</v>
      </c>
      <c r="DS29" s="50" t="s">
        <v>234</v>
      </c>
      <c r="DT29" s="50" t="s">
        <v>235</v>
      </c>
      <c r="DU29" s="50" t="s">
        <v>39</v>
      </c>
      <c r="DV29" s="50" t="s">
        <v>40</v>
      </c>
      <c r="DW29" s="50" t="s">
        <v>236</v>
      </c>
      <c r="DX29" s="50" t="s">
        <v>237</v>
      </c>
      <c r="DY29" s="50" t="s">
        <v>238</v>
      </c>
      <c r="DZ29" s="50" t="s">
        <v>239</v>
      </c>
      <c r="EA29" s="50" t="s">
        <v>240</v>
      </c>
      <c r="EB29" s="50" t="s">
        <v>241</v>
      </c>
      <c r="EC29" s="50" t="s">
        <v>242</v>
      </c>
      <c r="ED29" s="50" t="s">
        <v>243</v>
      </c>
      <c r="EE29" s="50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1" t="s">
        <v>245</v>
      </c>
      <c r="X30" s="25">
        <v>0.5</v>
      </c>
      <c r="Y30" s="25">
        <v>0.5</v>
      </c>
      <c r="Z30" s="25">
        <v>0.5</v>
      </c>
      <c r="AA30" s="25">
        <v>0.5</v>
      </c>
      <c r="AB30" s="25">
        <v>0.880330129689671</v>
      </c>
      <c r="AC30" s="25">
        <v>0.5</v>
      </c>
      <c r="AD30" s="25">
        <v>1.43635426584992</v>
      </c>
      <c r="AE30" s="25">
        <v>0.28640020473296</v>
      </c>
      <c r="AF30" s="25">
        <v>0.5</v>
      </c>
      <c r="AG30" s="25">
        <v>1.89681589551844</v>
      </c>
      <c r="AH30" s="25">
        <v>0.529561709177279</v>
      </c>
      <c r="AI30" s="25">
        <v>2.23280493333333</v>
      </c>
      <c r="AJ30" s="25">
        <v>0.5</v>
      </c>
      <c r="AK30" s="25">
        <v>1.537054107788</v>
      </c>
      <c r="AL30" s="25">
        <v>0.5</v>
      </c>
      <c r="AM30" s="25">
        <v>0.517841558664547</v>
      </c>
      <c r="AN30" s="25">
        <v>0.5</v>
      </c>
      <c r="AO30" s="25">
        <v>0.68859433785327</v>
      </c>
      <c r="AP30" s="25">
        <v>0.5</v>
      </c>
      <c r="AQ30" s="25">
        <v>0.909913973797886</v>
      </c>
      <c r="AR30" s="25">
        <v>0.246856388121547</v>
      </c>
      <c r="AS30" s="25">
        <v>1.53715037026844</v>
      </c>
      <c r="AT30" s="25">
        <v>2.00954461975029</v>
      </c>
      <c r="AU30" s="25">
        <v>0.5</v>
      </c>
      <c r="AV30" s="25">
        <v>0.5</v>
      </c>
      <c r="AW30" s="25">
        <v>2.53614386666485</v>
      </c>
      <c r="AX30" s="25">
        <v>0.5</v>
      </c>
      <c r="AY30" s="25">
        <v>1.31959168743754</v>
      </c>
      <c r="AZ30" s="25">
        <v>1.26333562748337</v>
      </c>
      <c r="BA30" s="25">
        <v>0.5</v>
      </c>
      <c r="BB30" s="25">
        <v>0.811463508464399</v>
      </c>
      <c r="BC30" s="25">
        <v>0.5</v>
      </c>
      <c r="BD30" s="25">
        <v>0.070924584645638</v>
      </c>
      <c r="BE30" s="25">
        <v>0.538886154380813</v>
      </c>
      <c r="BF30" s="25">
        <v>0.772108172627653</v>
      </c>
      <c r="BG30" s="25">
        <v>0.5</v>
      </c>
      <c r="BH30" s="25">
        <v>0.5</v>
      </c>
      <c r="BI30" s="25">
        <v>0.5</v>
      </c>
      <c r="BJ30" s="25">
        <v>0.5</v>
      </c>
      <c r="BK30" s="25">
        <v>0.5</v>
      </c>
      <c r="BL30" s="25">
        <v>0.5</v>
      </c>
      <c r="BM30" s="25">
        <v>0.561679665057759</v>
      </c>
      <c r="BN30" s="25">
        <v>0.5</v>
      </c>
      <c r="BO30" s="25">
        <v>0.5</v>
      </c>
      <c r="BP30" s="25">
        <v>1.01202692206269</v>
      </c>
      <c r="BQ30" s="25">
        <v>0.5</v>
      </c>
      <c r="BR30" s="25">
        <v>0.5</v>
      </c>
      <c r="BS30" s="25">
        <v>0.5</v>
      </c>
      <c r="BT30" s="25">
        <v>1.95745180124224</v>
      </c>
      <c r="BU30" s="25">
        <v>0.888576032268769</v>
      </c>
      <c r="BV30" s="25">
        <v>0.5</v>
      </c>
      <c r="BW30" s="25">
        <v>3.52832406934561</v>
      </c>
      <c r="BX30" s="25">
        <v>2.40276262425447</v>
      </c>
      <c r="BY30" s="25">
        <v>0.272378558393112</v>
      </c>
      <c r="BZ30" s="25">
        <v>0.5</v>
      </c>
      <c r="CA30" s="25">
        <v>0.0381549757850336</v>
      </c>
      <c r="CB30" s="25">
        <v>0.5</v>
      </c>
      <c r="CC30" s="25">
        <v>2.14285661050061</v>
      </c>
      <c r="CD30" s="25">
        <v>0.5</v>
      </c>
      <c r="CE30" s="25">
        <v>0.5</v>
      </c>
      <c r="CF30" s="25">
        <v>0.5</v>
      </c>
      <c r="CG30" s="25">
        <v>0.5</v>
      </c>
      <c r="CH30" s="25">
        <v>0.5</v>
      </c>
      <c r="CI30" s="25">
        <v>0.501708699005855</v>
      </c>
      <c r="CJ30" s="25">
        <v>0.140262611393448</v>
      </c>
      <c r="CK30" s="25">
        <v>0.5</v>
      </c>
      <c r="CL30" s="25">
        <v>0.5</v>
      </c>
      <c r="CM30" s="25">
        <v>0.802398418234181</v>
      </c>
      <c r="CN30" s="25">
        <v>0.5</v>
      </c>
      <c r="CO30" s="25">
        <v>0.5</v>
      </c>
      <c r="CP30" s="25">
        <v>2.62476848951937</v>
      </c>
      <c r="CQ30" s="25">
        <v>0.5</v>
      </c>
      <c r="CR30" s="25">
        <v>0.5</v>
      </c>
      <c r="CS30" s="25">
        <v>0.5</v>
      </c>
      <c r="CT30" s="25">
        <v>0.5</v>
      </c>
      <c r="CU30" s="25">
        <v>0.5</v>
      </c>
      <c r="CV30" s="25">
        <v>0.5</v>
      </c>
      <c r="CW30" s="25">
        <v>0.373873615902288</v>
      </c>
      <c r="CX30" s="25">
        <v>0.803610304903818</v>
      </c>
      <c r="CY30" s="25">
        <v>0.5</v>
      </c>
      <c r="CZ30" s="25">
        <v>1.55182037907902</v>
      </c>
      <c r="DA30" s="25">
        <v>1.16378960402365</v>
      </c>
      <c r="DB30" s="25">
        <v>0.5</v>
      </c>
      <c r="DC30" s="25">
        <v>0.561445981739307</v>
      </c>
      <c r="DD30" s="25">
        <v>0.5</v>
      </c>
      <c r="DE30" s="25">
        <v>0.897015103002906</v>
      </c>
      <c r="DF30" s="25">
        <v>1.66556152209298</v>
      </c>
      <c r="DG30" s="25">
        <v>0.5</v>
      </c>
      <c r="DH30" s="25">
        <v>0.885985126939045</v>
      </c>
      <c r="DI30" s="25">
        <v>0.5</v>
      </c>
      <c r="DJ30" s="25">
        <v>0.5</v>
      </c>
      <c r="DK30" s="25">
        <v>2.63778652576313</v>
      </c>
      <c r="DL30" s="25">
        <v>1.49857000783021</v>
      </c>
      <c r="DM30" s="25">
        <v>0.675302561450318</v>
      </c>
      <c r="DN30" s="25">
        <v>0.546933177198058</v>
      </c>
      <c r="DO30" s="25">
        <v>0.5</v>
      </c>
      <c r="DP30" s="25">
        <v>0.5</v>
      </c>
      <c r="DQ30" s="25">
        <v>0.5</v>
      </c>
      <c r="DR30" s="25">
        <v>0.908669382059128</v>
      </c>
      <c r="DS30" s="25">
        <v>0.134099188596824</v>
      </c>
      <c r="DT30" s="25">
        <v>0.5</v>
      </c>
      <c r="DU30" s="25">
        <v>0.5</v>
      </c>
      <c r="DV30" s="25">
        <v>2.62534518744376</v>
      </c>
      <c r="DW30" s="25">
        <v>0.418643251337677</v>
      </c>
      <c r="DX30" s="25">
        <v>0.626320758771659</v>
      </c>
      <c r="DY30" s="25">
        <v>0.5</v>
      </c>
      <c r="DZ30" s="25">
        <v>0.5</v>
      </c>
      <c r="EA30" s="25">
        <v>0.5</v>
      </c>
      <c r="EB30" s="25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1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2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3" t="s">
        <v>75</v>
      </c>
    </row>
    <row r="41" spans="2:26">
      <c r="J41" t="s">
        <v>257</v>
      </c>
      <c r="K41" t="s">
        <v>258</v>
      </c>
      <c r="L41" t="s">
        <v>81</v>
      </c>
      <c r="M41" s="53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10">
      <c r="B5" t="s">
        <v>269</v>
      </c>
      <c r="C5" t="s">
        <v>270</v>
      </c>
      <c r="D5" t="s">
        <v>99</v>
      </c>
      <c r="E5" t="s">
        <v>271</v>
      </c>
      <c r="F5" s="53" t="s">
        <v>272</v>
      </c>
      <c r="H5" t="s">
        <v>273</v>
      </c>
    </row>
    <row r="6" spans="2:10">
      <c r="B6" t="s">
        <v>269</v>
      </c>
      <c r="C6" t="s">
        <v>106</v>
      </c>
      <c r="D6" t="s">
        <v>99</v>
      </c>
      <c r="E6" t="s">
        <v>274</v>
      </c>
      <c r="F6" s="53" t="s">
        <v>272</v>
      </c>
      <c r="H6" t="s">
        <v>273</v>
      </c>
    </row>
    <row r="7" spans="2:10">
      <c r="B7" t="s">
        <v>269</v>
      </c>
      <c r="C7" t="s">
        <v>275</v>
      </c>
      <c r="D7" t="s">
        <v>99</v>
      </c>
      <c r="E7" t="s">
        <v>276</v>
      </c>
      <c r="F7" s="53" t="s">
        <v>272</v>
      </c>
      <c r="H7" t="s">
        <v>273</v>
      </c>
    </row>
    <row r="8" spans="2:10">
      <c r="B8" t="s">
        <v>277</v>
      </c>
    </row>
    <row r="9" spans="2:10">
      <c r="B9" t="s">
        <v>269</v>
      </c>
      <c r="C9" t="s">
        <v>270</v>
      </c>
      <c r="D9" t="s">
        <v>99</v>
      </c>
      <c r="E9" t="s">
        <v>278</v>
      </c>
      <c r="F9" s="53" t="s">
        <v>272</v>
      </c>
      <c r="H9" t="s">
        <v>273</v>
      </c>
    </row>
    <row r="10" spans="2:10">
      <c r="B10" t="s">
        <v>269</v>
      </c>
      <c r="C10" t="s">
        <v>106</v>
      </c>
      <c r="D10" t="s">
        <v>99</v>
      </c>
      <c r="E10" t="s">
        <v>279</v>
      </c>
      <c r="F10" s="53" t="s">
        <v>272</v>
      </c>
      <c r="H10" t="s">
        <v>273</v>
      </c>
    </row>
    <row r="11" spans="2:10">
      <c r="B11" t="s">
        <v>269</v>
      </c>
      <c r="C11" t="s">
        <v>275</v>
      </c>
      <c r="D11" t="s">
        <v>99</v>
      </c>
      <c r="E11" t="s">
        <v>280</v>
      </c>
      <c r="F11" s="53" t="s">
        <v>272</v>
      </c>
      <c r="H11" t="s">
        <v>273</v>
      </c>
    </row>
    <row r="12" spans="2:10">
      <c r="B12" t="s">
        <v>277</v>
      </c>
    </row>
    <row r="13" spans="2:10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6" spans="2:10">
      <c r="B16" s="18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111" zoomScaleNormal="111" topLeftCell="A4" workbookViewId="0">
      <selection activeCell="G23" sqref="G23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36">
      <c r="B2" t="s">
        <v>264</v>
      </c>
      <c r="I2" t="s">
        <v>53</v>
      </c>
    </row>
    <row r="3" spans="2:36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36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36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2:36">
      <c r="C7" t="s">
        <v>297</v>
      </c>
      <c r="D7" t="s">
        <v>99</v>
      </c>
      <c r="E7" t="s">
        <v>298</v>
      </c>
    </row>
    <row r="8" spans="2:36">
      <c r="C8" t="s">
        <v>299</v>
      </c>
      <c r="D8" t="s">
        <v>99</v>
      </c>
      <c r="E8" t="s">
        <v>300</v>
      </c>
    </row>
    <row r="9" spans="2:36">
      <c r="C9" t="s">
        <v>301</v>
      </c>
      <c r="D9" t="s">
        <v>99</v>
      </c>
      <c r="E9" t="s">
        <v>302</v>
      </c>
    </row>
    <row r="11" spans="2:36">
      <c r="B11" s="39" t="s">
        <v>53</v>
      </c>
      <c r="C11" s="39"/>
      <c r="D11" s="39"/>
      <c r="E11" s="39"/>
      <c r="F11" s="39"/>
    </row>
    <row r="12" spans="2:36">
      <c r="B12" s="39"/>
      <c r="C12" s="39"/>
      <c r="D12" s="39"/>
      <c r="E12" s="39"/>
      <c r="F12" s="39"/>
    </row>
    <row r="13" spans="2:36">
      <c r="B13" s="39" t="s">
        <v>56</v>
      </c>
      <c r="C13" s="39" t="s">
        <v>5</v>
      </c>
      <c r="D13" s="39" t="s">
        <v>287</v>
      </c>
      <c r="E13" s="39" t="s">
        <v>266</v>
      </c>
      <c r="F13" s="54" t="s">
        <v>75</v>
      </c>
      <c r="K13" t="s">
        <v>303</v>
      </c>
    </row>
    <row r="14" spans="2:36">
      <c r="B14" s="39" t="s">
        <v>304</v>
      </c>
      <c r="C14" s="39" t="s">
        <v>112</v>
      </c>
      <c r="D14" s="39" t="s">
        <v>288</v>
      </c>
      <c r="E14" s="39" t="s">
        <v>114</v>
      </c>
      <c r="F14" s="39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305</v>
      </c>
      <c r="L15">
        <v>2019</v>
      </c>
      <c r="M15" s="8">
        <f t="shared" ref="M15:V20" si="0">SUMIFS($D$19:$D$199,$C$19:$C$199,$L15,$B$19:$B$199,M$14)/5</f>
        <v>0.0013436</v>
      </c>
      <c r="N15" s="8">
        <f t="shared" si="0"/>
        <v>0.0016</v>
      </c>
      <c r="O15" s="8">
        <f t="shared" si="0"/>
        <v>0.015</v>
      </c>
      <c r="P15" s="8">
        <f t="shared" si="0"/>
        <v>0.0002</v>
      </c>
      <c r="Q15" s="8">
        <f t="shared" si="0"/>
        <v>0.222</v>
      </c>
      <c r="R15" s="8">
        <f t="shared" si="0"/>
        <v>0.009</v>
      </c>
      <c r="S15" s="8">
        <f t="shared" si="0"/>
        <v>0.015</v>
      </c>
      <c r="T15" s="8">
        <f t="shared" si="0"/>
        <v>0.0002</v>
      </c>
      <c r="U15" s="8">
        <f t="shared" si="0"/>
        <v>0.0004</v>
      </c>
      <c r="V15" s="8">
        <f t="shared" si="0"/>
        <v>0.000312</v>
      </c>
      <c r="W15" s="8">
        <f t="shared" ref="W15:AJ20" si="1">SUMIFS($D$19:$D$199,$C$19:$C$199,$L15,$B$19:$B$199,W$14)/5</f>
        <v>0.0012</v>
      </c>
      <c r="X15" s="8">
        <f t="shared" si="1"/>
        <v>0.0044</v>
      </c>
      <c r="Y15" s="8">
        <f t="shared" si="1"/>
        <v>1e-5</v>
      </c>
      <c r="Z15" s="8">
        <f t="shared" si="1"/>
        <v>0.0005</v>
      </c>
      <c r="AA15" s="8">
        <f t="shared" si="1"/>
        <v>0.07764</v>
      </c>
      <c r="AB15" s="8">
        <f t="shared" si="1"/>
        <v>0.0120632</v>
      </c>
      <c r="AC15" s="8">
        <f t="shared" si="1"/>
        <v>0.0004</v>
      </c>
      <c r="AD15" s="8">
        <f t="shared" si="1"/>
        <v>0.00192</v>
      </c>
      <c r="AE15" s="8">
        <f t="shared" si="1"/>
        <v>2e-5</v>
      </c>
      <c r="AF15" s="8">
        <f t="shared" si="1"/>
        <v>0.0017</v>
      </c>
      <c r="AG15" s="8">
        <f t="shared" si="1"/>
        <v>0.008</v>
      </c>
      <c r="AH15" s="8">
        <f t="shared" si="1"/>
        <v>0.0017</v>
      </c>
      <c r="AI15" s="8">
        <f t="shared" si="1"/>
        <v>0.0002</v>
      </c>
      <c r="AJ15" s="8">
        <f t="shared" si="1"/>
        <v>0.0076</v>
      </c>
    </row>
    <row r="16" spans="2:36">
      <c r="K16" t="s">
        <v>305</v>
      </c>
      <c r="L16">
        <v>2020</v>
      </c>
      <c r="M16" s="8">
        <f t="shared" si="0"/>
        <v>0.00138</v>
      </c>
      <c r="N16" s="8">
        <f t="shared" si="0"/>
        <v>0.0052</v>
      </c>
      <c r="O16" s="8">
        <f t="shared" si="0"/>
        <v>0.0238</v>
      </c>
      <c r="P16" s="8">
        <f t="shared" si="0"/>
        <v>0.003949</v>
      </c>
      <c r="Q16" s="8">
        <f t="shared" si="0"/>
        <v>0.266</v>
      </c>
      <c r="R16" s="8">
        <f t="shared" si="0"/>
        <v>0.037</v>
      </c>
      <c r="S16" s="8">
        <f t="shared" si="0"/>
        <v>0.0796</v>
      </c>
      <c r="T16" s="8">
        <f t="shared" si="0"/>
        <v>0.0004</v>
      </c>
      <c r="U16" s="8">
        <f t="shared" si="0"/>
        <v>0.0008</v>
      </c>
      <c r="V16" s="8">
        <f t="shared" si="0"/>
        <v>0.001</v>
      </c>
      <c r="W16" s="8">
        <f t="shared" si="1"/>
        <v>0.0064</v>
      </c>
      <c r="X16" s="8">
        <f t="shared" si="1"/>
        <v>0.0058</v>
      </c>
      <c r="Y16" s="8">
        <f t="shared" si="1"/>
        <v>2e-5</v>
      </c>
      <c r="Z16" s="8">
        <f t="shared" si="1"/>
        <v>0.0016</v>
      </c>
      <c r="AA16" s="8">
        <f t="shared" si="1"/>
        <v>0.076</v>
      </c>
      <c r="AB16" s="8">
        <f t="shared" si="1"/>
        <v>0.0212</v>
      </c>
      <c r="AC16" s="8">
        <f t="shared" si="1"/>
        <v>0.0016</v>
      </c>
      <c r="AD16" s="8">
        <f t="shared" si="1"/>
        <v>0.0066</v>
      </c>
      <c r="AE16" s="8">
        <f t="shared" si="1"/>
        <v>4e-5</v>
      </c>
      <c r="AF16" s="8">
        <f t="shared" si="1"/>
        <v>0.0066</v>
      </c>
      <c r="AG16" s="8">
        <f t="shared" si="1"/>
        <v>0.0244</v>
      </c>
      <c r="AH16" s="8">
        <f t="shared" si="1"/>
        <v>0.0056</v>
      </c>
      <c r="AI16" s="8">
        <f t="shared" si="1"/>
        <v>0.0004</v>
      </c>
      <c r="AJ16" s="8">
        <f t="shared" si="1"/>
        <v>0.0352</v>
      </c>
    </row>
    <row r="17" spans="1:36">
      <c r="K17" t="s">
        <v>305</v>
      </c>
      <c r="L17">
        <v>2021</v>
      </c>
      <c r="M17" s="8">
        <f t="shared" si="0"/>
        <v>0.0042</v>
      </c>
      <c r="N17" s="8">
        <f t="shared" si="0"/>
        <v>0.0082</v>
      </c>
      <c r="O17" s="8">
        <f t="shared" si="0"/>
        <v>0.0402</v>
      </c>
      <c r="P17" s="8">
        <f t="shared" si="0"/>
        <v>0.0065</v>
      </c>
      <c r="Q17" s="8">
        <f t="shared" si="0"/>
        <v>0.68</v>
      </c>
      <c r="R17" s="8">
        <f t="shared" si="0"/>
        <v>0.063</v>
      </c>
      <c r="S17" s="8">
        <f t="shared" si="0"/>
        <v>0.1362</v>
      </c>
      <c r="T17" s="8">
        <f t="shared" si="0"/>
        <v>0.001</v>
      </c>
      <c r="U17" s="8">
        <f t="shared" si="0"/>
        <v>0.0016</v>
      </c>
      <c r="V17" s="8">
        <f t="shared" si="0"/>
        <v>0.0032</v>
      </c>
      <c r="W17" s="8">
        <f t="shared" si="1"/>
        <v>0.0134</v>
      </c>
      <c r="X17" s="8">
        <f t="shared" si="1"/>
        <v>0.0088</v>
      </c>
      <c r="Y17" s="8">
        <f t="shared" si="1"/>
        <v>6e-5</v>
      </c>
      <c r="Z17" s="8">
        <f t="shared" si="1"/>
        <v>0.004</v>
      </c>
      <c r="AA17" s="8">
        <f t="shared" si="1"/>
        <v>0.1512</v>
      </c>
      <c r="AB17" s="8">
        <f t="shared" si="1"/>
        <v>0.0278</v>
      </c>
      <c r="AC17" s="8">
        <f t="shared" si="1"/>
        <v>0.0024</v>
      </c>
      <c r="AD17" s="8">
        <f t="shared" si="1"/>
        <v>0.0242</v>
      </c>
      <c r="AE17" s="8">
        <f t="shared" si="1"/>
        <v>8e-5</v>
      </c>
      <c r="AF17" s="8">
        <f t="shared" si="1"/>
        <v>0.0146</v>
      </c>
      <c r="AG17" s="8">
        <f t="shared" si="1"/>
        <v>0.0388</v>
      </c>
      <c r="AH17" s="8">
        <f t="shared" si="1"/>
        <v>0.0096</v>
      </c>
      <c r="AI17" s="8">
        <f t="shared" si="1"/>
        <v>0.001</v>
      </c>
      <c r="AJ17" s="8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8">
        <f t="shared" si="0"/>
        <v>0.013</v>
      </c>
      <c r="N18" s="8">
        <f t="shared" si="0"/>
        <v>0.011</v>
      </c>
      <c r="O18" s="8">
        <f t="shared" si="0"/>
        <v>0.064</v>
      </c>
      <c r="P18" s="8">
        <f t="shared" si="0"/>
        <v>0.01</v>
      </c>
      <c r="Q18" s="8">
        <f t="shared" si="0"/>
        <v>1.24</v>
      </c>
      <c r="R18" s="8">
        <f t="shared" si="0"/>
        <v>0.08</v>
      </c>
      <c r="S18" s="8">
        <f t="shared" si="0"/>
        <v>0.166</v>
      </c>
      <c r="T18" s="8">
        <f t="shared" si="0"/>
        <v>0.0026</v>
      </c>
      <c r="U18" s="8">
        <f t="shared" si="0"/>
        <v>0.0022</v>
      </c>
      <c r="V18" s="8">
        <f t="shared" si="0"/>
        <v>0.0102</v>
      </c>
      <c r="W18" s="8">
        <f t="shared" si="1"/>
        <v>0.022</v>
      </c>
      <c r="X18" s="8">
        <f t="shared" si="1"/>
        <v>0.0184</v>
      </c>
      <c r="Y18" s="8">
        <f t="shared" si="1"/>
        <v>0.00012</v>
      </c>
      <c r="Z18" s="8">
        <f t="shared" si="1"/>
        <v>0.008</v>
      </c>
      <c r="AA18" s="8">
        <f t="shared" si="1"/>
        <v>0.2132</v>
      </c>
      <c r="AB18" s="8">
        <f t="shared" si="1"/>
        <v>0.027</v>
      </c>
      <c r="AC18" s="8">
        <f t="shared" si="1"/>
        <v>0.0048</v>
      </c>
      <c r="AD18" s="8">
        <f t="shared" si="1"/>
        <v>0.0314</v>
      </c>
      <c r="AE18" s="8">
        <f t="shared" si="1"/>
        <v>0.00016</v>
      </c>
      <c r="AF18" s="8">
        <f t="shared" si="1"/>
        <v>0.026</v>
      </c>
      <c r="AG18" s="8">
        <f t="shared" si="1"/>
        <v>0.0524</v>
      </c>
      <c r="AH18" s="8">
        <f t="shared" si="1"/>
        <v>0.0124</v>
      </c>
      <c r="AI18" s="8">
        <f t="shared" si="1"/>
        <v>0.007</v>
      </c>
      <c r="AJ18" s="8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8">
        <f t="shared" si="0"/>
        <v>0.0196</v>
      </c>
      <c r="N19" s="8">
        <f t="shared" si="0"/>
        <v>0.013</v>
      </c>
      <c r="O19" s="8">
        <f t="shared" si="0"/>
        <v>0.0806</v>
      </c>
      <c r="P19" s="8">
        <f t="shared" si="0"/>
        <v>0.0104</v>
      </c>
      <c r="Q19" s="8">
        <f t="shared" si="0"/>
        <v>1.62</v>
      </c>
      <c r="R19" s="8">
        <f t="shared" si="0"/>
        <v>0.094</v>
      </c>
      <c r="S19" s="8">
        <f t="shared" si="0"/>
        <v>0.14</v>
      </c>
      <c r="T19" s="8">
        <f t="shared" si="0"/>
        <v>0.0034</v>
      </c>
      <c r="U19" s="8">
        <f t="shared" si="0"/>
        <v>0.00248</v>
      </c>
      <c r="V19" s="8">
        <f t="shared" si="0"/>
        <v>0.016454</v>
      </c>
      <c r="W19" s="8">
        <f t="shared" si="1"/>
        <v>0.0272</v>
      </c>
      <c r="X19" s="8">
        <f t="shared" si="1"/>
        <v>0.02806</v>
      </c>
      <c r="Y19" s="8">
        <f t="shared" si="1"/>
        <v>0.000184</v>
      </c>
      <c r="Z19" s="8">
        <f t="shared" si="1"/>
        <v>0.013</v>
      </c>
      <c r="AA19" s="8">
        <f t="shared" si="1"/>
        <v>0.31524</v>
      </c>
      <c r="AB19" s="8">
        <f t="shared" si="1"/>
        <v>0.022</v>
      </c>
      <c r="AC19" s="8">
        <f t="shared" si="1"/>
        <v>0.00602</v>
      </c>
      <c r="AD19" s="8">
        <f t="shared" si="1"/>
        <v>0.03486</v>
      </c>
      <c r="AE19" s="8">
        <f t="shared" si="1"/>
        <v>0.000216</v>
      </c>
      <c r="AF19" s="8">
        <f t="shared" si="1"/>
        <v>0.037</v>
      </c>
      <c r="AG19" s="8">
        <f t="shared" si="1"/>
        <v>0.0598</v>
      </c>
      <c r="AH19" s="8">
        <f t="shared" si="1"/>
        <v>0.0152</v>
      </c>
      <c r="AI19" s="8">
        <f t="shared" si="1"/>
        <v>0.01374</v>
      </c>
      <c r="AJ19" s="8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8">
        <f t="shared" si="0"/>
        <v>0.0182</v>
      </c>
      <c r="N20" s="8">
        <f t="shared" si="0"/>
        <v>0</v>
      </c>
      <c r="O20" s="8">
        <f t="shared" si="0"/>
        <v>0.0264332</v>
      </c>
      <c r="P20" s="8">
        <f t="shared" si="0"/>
        <v>0.025</v>
      </c>
      <c r="Q20" s="8">
        <f t="shared" si="0"/>
        <v>2.24</v>
      </c>
      <c r="R20" s="8">
        <f t="shared" si="0"/>
        <v>0.0582286</v>
      </c>
      <c r="S20" s="8">
        <f t="shared" si="0"/>
        <v>0.0761218</v>
      </c>
      <c r="T20" s="8">
        <f t="shared" si="0"/>
        <v>0</v>
      </c>
      <c r="U20" s="8">
        <f t="shared" si="0"/>
        <v>0</v>
      </c>
      <c r="V20" s="8">
        <f t="shared" si="0"/>
        <v>0</v>
      </c>
      <c r="W20" s="8">
        <f t="shared" si="1"/>
        <v>0.0129966</v>
      </c>
      <c r="X20" s="8">
        <f t="shared" si="1"/>
        <v>0</v>
      </c>
      <c r="Y20" s="8">
        <f t="shared" si="1"/>
        <v>0</v>
      </c>
      <c r="Z20" s="8">
        <f t="shared" si="1"/>
        <v>0</v>
      </c>
      <c r="AA20" s="8">
        <f t="shared" si="1"/>
        <v>0.26</v>
      </c>
      <c r="AB20" s="8">
        <f t="shared" si="1"/>
        <v>0.0228818</v>
      </c>
      <c r="AC20" s="8">
        <f t="shared" si="1"/>
        <v>0</v>
      </c>
      <c r="AD20" s="8">
        <f t="shared" si="1"/>
        <v>0</v>
      </c>
      <c r="AE20" s="8">
        <f t="shared" si="1"/>
        <v>0</v>
      </c>
      <c r="AF20" s="8">
        <f t="shared" si="1"/>
        <v>0</v>
      </c>
      <c r="AG20" s="8">
        <f t="shared" si="1"/>
        <v>0.0188664</v>
      </c>
      <c r="AH20" s="8">
        <f t="shared" si="1"/>
        <v>0</v>
      </c>
      <c r="AI20" s="8">
        <f t="shared" si="1"/>
        <v>0</v>
      </c>
      <c r="AJ20" s="8">
        <f t="shared" si="1"/>
        <v>0.076394</v>
      </c>
    </row>
    <row r="21" spans="1:36">
      <c r="A21" t="s">
        <v>309</v>
      </c>
      <c r="B21" t="s">
        <v>9</v>
      </c>
      <c r="C21">
        <v>2021</v>
      </c>
      <c r="D21">
        <v>0.021</v>
      </c>
    </row>
    <row r="22" spans="1:36">
      <c r="A22" t="s">
        <v>309</v>
      </c>
      <c r="B22" t="s">
        <v>9</v>
      </c>
      <c r="C22">
        <v>2022</v>
      </c>
      <c r="D22">
        <v>0.065</v>
      </c>
    </row>
    <row r="23" spans="1:36">
      <c r="A23" t="s">
        <v>309</v>
      </c>
      <c r="B23" t="s">
        <v>9</v>
      </c>
      <c r="C23">
        <v>2023</v>
      </c>
      <c r="D23">
        <v>0.098</v>
      </c>
    </row>
    <row r="24" spans="1:36">
      <c r="A24" t="s">
        <v>309</v>
      </c>
      <c r="B24" t="s">
        <v>9</v>
      </c>
      <c r="C24">
        <v>2024</v>
      </c>
      <c r="D24">
        <v>0.091</v>
      </c>
    </row>
    <row r="25" spans="1:36">
      <c r="A25" t="s">
        <v>309</v>
      </c>
      <c r="B25" t="s">
        <v>10</v>
      </c>
      <c r="C25">
        <v>2019</v>
      </c>
      <c r="D25">
        <v>0.008</v>
      </c>
    </row>
    <row r="26" spans="1:36">
      <c r="A26" t="s">
        <v>309</v>
      </c>
      <c r="B26" t="s">
        <v>10</v>
      </c>
      <c r="C26">
        <v>2020</v>
      </c>
      <c r="D26">
        <v>0.026</v>
      </c>
    </row>
    <row r="27" spans="1:36">
      <c r="A27" t="s">
        <v>309</v>
      </c>
      <c r="B27" t="s">
        <v>10</v>
      </c>
      <c r="C27">
        <v>2021</v>
      </c>
      <c r="D27">
        <v>0.041</v>
      </c>
    </row>
    <row r="28" spans="1:36">
      <c r="A28" t="s">
        <v>309</v>
      </c>
      <c r="B28" t="s">
        <v>10</v>
      </c>
      <c r="C28">
        <v>2022</v>
      </c>
      <c r="D28">
        <v>0.055</v>
      </c>
    </row>
    <row r="29" spans="1:36">
      <c r="A29" t="s">
        <v>309</v>
      </c>
      <c r="B29" t="s">
        <v>10</v>
      </c>
      <c r="C29">
        <v>2023</v>
      </c>
      <c r="D29">
        <v>0.065</v>
      </c>
    </row>
    <row r="30" spans="1:36">
      <c r="A30" t="s">
        <v>309</v>
      </c>
      <c r="B30" t="s">
        <v>12</v>
      </c>
      <c r="C30">
        <v>2019</v>
      </c>
      <c r="D30">
        <v>0.075</v>
      </c>
    </row>
    <row r="31" spans="1:36">
      <c r="A31" t="s">
        <v>309</v>
      </c>
      <c r="B31" t="s">
        <v>12</v>
      </c>
      <c r="C31">
        <v>2020</v>
      </c>
      <c r="D31">
        <v>0.119</v>
      </c>
    </row>
    <row r="32" spans="1:36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40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40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Z32" sqref="Z32"/>
    </sheetView>
  </sheetViews>
  <sheetFormatPr defaultColWidth="9.13636363636364" defaultRowHeight="12.5"/>
  <cols>
    <col min="1" max="1" width="9.13636363636364" style="35"/>
    <col min="2" max="2" width="30.2636363636364" style="35" customWidth="1"/>
    <col min="3" max="3" width="9" style="35" customWidth="1"/>
    <col min="4" max="4" width="5" style="35" customWidth="1"/>
    <col min="5" max="5" width="10.6" style="35" customWidth="1"/>
    <col min="6" max="6" width="11.6" style="35" customWidth="1"/>
    <col min="7" max="7" width="11.4" style="35" customWidth="1"/>
    <col min="8" max="8" width="11.7272727272727" style="35" customWidth="1"/>
    <col min="9" max="9" width="20.1363636363636" style="35" customWidth="1"/>
    <col min="10" max="10" width="11" style="35" customWidth="1"/>
    <col min="11" max="11" width="11.8636363636364" style="35" customWidth="1"/>
    <col min="12" max="12" width="16.6" style="35" customWidth="1"/>
    <col min="13" max="13" width="12.6" style="35" customWidth="1"/>
    <col min="14" max="14" width="18" style="35" customWidth="1"/>
    <col min="15" max="16" width="9.13636363636364" style="35"/>
    <col min="17" max="17" width="43.7272727272727" style="35" customWidth="1"/>
    <col min="18" max="22" width="9.13636363636364" style="35"/>
    <col min="23" max="23" width="9.86363636363636" style="35" customWidth="1"/>
    <col min="24" max="94" width="9.13636363636364" style="35"/>
    <col min="95" max="121" width="7" style="35" customWidth="1"/>
    <col min="122" max="122" width="7.86363636363636" style="35" customWidth="1"/>
    <col min="123" max="134" width="7" style="35" customWidth="1"/>
    <col min="135" max="16384" width="9.13636363636364" style="35"/>
  </cols>
  <sheetData>
    <row r="1" ht="14.5" spans="1:29">
      <c r="B1" s="11" t="e">
        <f>VLOOKUP(P1,$Q$4:$R$33,2,FALSE)</f>
        <v>#N/A</v>
      </c>
    </row>
    <row r="3" spans="1:29">
      <c r="B3" s="35" t="s">
        <v>311</v>
      </c>
      <c r="X3" s="35" t="s">
        <v>312</v>
      </c>
    </row>
    <row r="4" ht="14.5" spans="1:29">
      <c r="A4" s="35" t="s">
        <v>313</v>
      </c>
      <c r="B4" s="35" t="s">
        <v>314</v>
      </c>
      <c r="C4" s="35" t="s">
        <v>73</v>
      </c>
      <c r="D4" s="35" t="s">
        <v>57</v>
      </c>
      <c r="E4" s="35" t="s">
        <v>315</v>
      </c>
      <c r="F4" s="35" t="s">
        <v>316</v>
      </c>
      <c r="G4" s="35" t="s">
        <v>317</v>
      </c>
      <c r="H4" s="35" t="s">
        <v>318</v>
      </c>
      <c r="I4" s="35" t="s">
        <v>319</v>
      </c>
      <c r="J4" s="35" t="s">
        <v>320</v>
      </c>
      <c r="K4" s="35" t="s">
        <v>321</v>
      </c>
      <c r="L4" s="35" t="s">
        <v>322</v>
      </c>
      <c r="M4" s="35" t="s">
        <v>323</v>
      </c>
      <c r="N4" s="35" t="s">
        <v>324</v>
      </c>
      <c r="Q4" s="12" t="s">
        <v>325</v>
      </c>
      <c r="R4" s="35" t="s">
        <v>326</v>
      </c>
      <c r="X4" s="35" t="s">
        <v>73</v>
      </c>
      <c r="Y4" s="35" t="s">
        <v>267</v>
      </c>
      <c r="Z4" s="35" t="s">
        <v>5</v>
      </c>
      <c r="AA4" s="35" t="s">
        <v>75</v>
      </c>
      <c r="AC4" s="36" t="s">
        <v>327</v>
      </c>
    </row>
    <row r="5" ht="14.5" spans="1:29">
      <c r="A5" s="35" t="s">
        <v>328</v>
      </c>
      <c r="B5" s="12" t="str">
        <f>VLOOKUP(P5,$Q$4:$R$33,2,FALSE)</f>
        <v>\I: EN_Bioenergy - Cofiring</v>
      </c>
      <c r="C5" s="35" t="s">
        <v>329</v>
      </c>
      <c r="D5" s="35">
        <v>2022</v>
      </c>
      <c r="F5" s="35">
        <v>0.37</v>
      </c>
      <c r="G5" s="35">
        <v>0.37</v>
      </c>
      <c r="H5" s="35">
        <v>0.37</v>
      </c>
      <c r="I5" s="35">
        <v>0.37</v>
      </c>
      <c r="J5" s="35">
        <v>0.37</v>
      </c>
      <c r="K5" s="35">
        <v>0.37</v>
      </c>
      <c r="L5" s="35">
        <v>0.37</v>
      </c>
      <c r="M5" s="35">
        <v>0.37</v>
      </c>
      <c r="N5" s="35">
        <v>0.37</v>
      </c>
      <c r="P5" s="35" t="s">
        <v>325</v>
      </c>
      <c r="Q5" s="12" t="s">
        <v>330</v>
      </c>
      <c r="R5" s="35" t="s">
        <v>330</v>
      </c>
      <c r="X5" s="35" t="s">
        <v>82</v>
      </c>
      <c r="Y5" s="55" t="s">
        <v>331</v>
      </c>
      <c r="Z5" s="35" t="s">
        <v>332</v>
      </c>
      <c r="AA5" s="35">
        <v>2150</v>
      </c>
    </row>
    <row r="6" ht="14.5" spans="1:29">
      <c r="A6" s="35" t="s">
        <v>328</v>
      </c>
      <c r="B6" s="12" t="str">
        <f>VLOOKUP(P6,$Q$4:$R$33,2,FALSE)</f>
        <v>\I: EN_Bioenergy - Cofiring</v>
      </c>
      <c r="C6" s="35" t="s">
        <v>329</v>
      </c>
      <c r="D6" s="35">
        <v>2030</v>
      </c>
      <c r="F6" s="35">
        <v>0.37</v>
      </c>
      <c r="G6" s="35">
        <v>0.37</v>
      </c>
      <c r="H6" s="35">
        <v>0.37</v>
      </c>
      <c r="I6" s="35">
        <v>0.37</v>
      </c>
      <c r="J6" s="35">
        <v>0.37</v>
      </c>
      <c r="K6" s="35">
        <v>0.37</v>
      </c>
      <c r="L6" s="35">
        <v>0.37</v>
      </c>
      <c r="M6" s="35">
        <v>0.37</v>
      </c>
      <c r="N6" s="35">
        <v>0.37</v>
      </c>
      <c r="P6" s="35" t="s">
        <v>325</v>
      </c>
      <c r="Q6" s="12" t="s">
        <v>333</v>
      </c>
      <c r="R6" s="35" t="s">
        <v>334</v>
      </c>
    </row>
    <row r="7" ht="14.5" spans="1:29">
      <c r="A7" s="35" t="s">
        <v>328</v>
      </c>
      <c r="B7" s="12" t="str">
        <f t="shared" ref="B7:B70" si="0">VLOOKUP(P7,$Q$4:$R$33,2,FALSE)</f>
        <v>\I: EN_Bioenergy - Cofiring</v>
      </c>
      <c r="C7" s="35" t="s">
        <v>329</v>
      </c>
      <c r="D7" s="35">
        <v>2050</v>
      </c>
      <c r="F7" s="35">
        <v>0.37</v>
      </c>
      <c r="G7" s="35">
        <v>0.37</v>
      </c>
      <c r="H7" s="35">
        <v>0.37</v>
      </c>
      <c r="I7" s="35">
        <v>0.37</v>
      </c>
      <c r="J7" s="35">
        <v>0.37</v>
      </c>
      <c r="K7" s="35">
        <v>0.37</v>
      </c>
      <c r="L7" s="35">
        <v>0.37</v>
      </c>
      <c r="M7" s="35">
        <v>0.37</v>
      </c>
      <c r="N7" s="35">
        <v>0.37</v>
      </c>
      <c r="P7" s="35" t="s">
        <v>325</v>
      </c>
      <c r="Q7" s="12" t="s">
        <v>335</v>
      </c>
      <c r="R7" s="35" t="s">
        <v>335</v>
      </c>
      <c r="Y7" s="37"/>
    </row>
    <row r="8" ht="14.5" spans="1:29">
      <c r="A8" s="35" t="s">
        <v>328</v>
      </c>
      <c r="B8" s="12" t="str">
        <f t="shared" si="0"/>
        <v>\I: EN_Bioenergy - Cofiring</v>
      </c>
      <c r="C8" s="35" t="s">
        <v>336</v>
      </c>
      <c r="D8" s="35">
        <v>2022</v>
      </c>
      <c r="F8" s="35">
        <v>20</v>
      </c>
      <c r="G8" s="35">
        <v>20</v>
      </c>
      <c r="H8" s="35">
        <v>15</v>
      </c>
      <c r="I8" s="35">
        <v>25</v>
      </c>
      <c r="J8" s="35">
        <v>20</v>
      </c>
      <c r="K8" s="35">
        <v>25</v>
      </c>
      <c r="L8" s="35">
        <v>20</v>
      </c>
      <c r="M8" s="35">
        <v>20</v>
      </c>
      <c r="N8" s="35">
        <v>25</v>
      </c>
      <c r="P8" s="35" t="s">
        <v>325</v>
      </c>
      <c r="Q8" s="12" t="s">
        <v>337</v>
      </c>
      <c r="R8" s="35" t="s">
        <v>337</v>
      </c>
    </row>
    <row r="9" ht="14.5" spans="1:29">
      <c r="A9" s="35" t="s">
        <v>328</v>
      </c>
      <c r="B9" s="12" t="str">
        <f t="shared" si="0"/>
        <v>\I: EN_Bioenergy - Cofiring</v>
      </c>
      <c r="C9" s="35" t="s">
        <v>336</v>
      </c>
      <c r="D9" s="35">
        <v>2030</v>
      </c>
      <c r="F9" s="35">
        <v>20</v>
      </c>
      <c r="G9" s="35">
        <v>20</v>
      </c>
      <c r="H9" s="35">
        <v>15</v>
      </c>
      <c r="I9" s="35">
        <v>20</v>
      </c>
      <c r="J9" s="35">
        <v>20</v>
      </c>
      <c r="K9" s="35">
        <v>20</v>
      </c>
      <c r="L9" s="35">
        <v>20</v>
      </c>
      <c r="M9" s="35">
        <v>20</v>
      </c>
      <c r="N9" s="35">
        <v>25</v>
      </c>
      <c r="P9" s="35" t="s">
        <v>325</v>
      </c>
      <c r="Q9" s="12" t="s">
        <v>338</v>
      </c>
      <c r="R9" s="35" t="s">
        <v>339</v>
      </c>
    </row>
    <row r="10" ht="14.5" spans="1:29">
      <c r="A10" s="35" t="s">
        <v>328</v>
      </c>
      <c r="B10" s="12" t="str">
        <f t="shared" si="0"/>
        <v>\I: EN_Bioenergy - Cofiring</v>
      </c>
      <c r="C10" s="35" t="s">
        <v>336</v>
      </c>
      <c r="D10" s="35">
        <v>2050</v>
      </c>
      <c r="F10" s="35">
        <v>20</v>
      </c>
      <c r="G10" s="35">
        <v>20</v>
      </c>
      <c r="H10" s="35">
        <v>15</v>
      </c>
      <c r="I10" s="35">
        <v>20</v>
      </c>
      <c r="J10" s="35">
        <v>20</v>
      </c>
      <c r="K10" s="35">
        <v>20</v>
      </c>
      <c r="L10" s="35">
        <v>20</v>
      </c>
      <c r="M10" s="35">
        <v>20</v>
      </c>
      <c r="N10" s="35">
        <v>25</v>
      </c>
      <c r="P10" s="35" t="s">
        <v>325</v>
      </c>
      <c r="Q10" s="12" t="s">
        <v>340</v>
      </c>
      <c r="R10" s="35" t="s">
        <v>340</v>
      </c>
    </row>
    <row r="11" ht="14.5" spans="1:29">
      <c r="A11" s="35" t="s">
        <v>328</v>
      </c>
      <c r="B11" s="12" t="str">
        <f t="shared" si="0"/>
        <v>\I: EN_Bioenergy - Cofiring</v>
      </c>
      <c r="C11" s="35" t="s">
        <v>107</v>
      </c>
      <c r="D11" s="35">
        <v>2022</v>
      </c>
      <c r="F11" s="35">
        <v>525</v>
      </c>
      <c r="G11" s="35">
        <v>550</v>
      </c>
      <c r="H11" s="35">
        <v>400</v>
      </c>
      <c r="I11" s="35">
        <v>600</v>
      </c>
      <c r="J11" s="35">
        <v>550</v>
      </c>
      <c r="K11" s="35">
        <v>600</v>
      </c>
      <c r="L11" s="35">
        <v>575</v>
      </c>
      <c r="M11" s="35">
        <v>575</v>
      </c>
      <c r="N11" s="35">
        <v>625</v>
      </c>
      <c r="P11" s="35" t="s">
        <v>325</v>
      </c>
      <c r="Q11" s="12" t="s">
        <v>341</v>
      </c>
      <c r="R11" s="35" t="s">
        <v>341</v>
      </c>
    </row>
    <row r="12" ht="14.5" spans="1:29">
      <c r="A12" s="35" t="s">
        <v>328</v>
      </c>
      <c r="B12" s="12" t="str">
        <f t="shared" si="0"/>
        <v>\I: EN_Bioenergy - Cofiring</v>
      </c>
      <c r="C12" s="35" t="s">
        <v>107</v>
      </c>
      <c r="D12" s="35">
        <v>2030</v>
      </c>
      <c r="F12" s="35">
        <v>500</v>
      </c>
      <c r="G12" s="35">
        <v>550</v>
      </c>
      <c r="H12" s="35">
        <v>400</v>
      </c>
      <c r="I12" s="35">
        <v>575</v>
      </c>
      <c r="J12" s="35">
        <v>550</v>
      </c>
      <c r="K12" s="35">
        <v>575</v>
      </c>
      <c r="L12" s="35">
        <v>550</v>
      </c>
      <c r="M12" s="35">
        <v>550</v>
      </c>
      <c r="N12" s="35">
        <v>625</v>
      </c>
      <c r="P12" s="35" t="s">
        <v>325</v>
      </c>
      <c r="Q12" s="12" t="s">
        <v>342</v>
      </c>
      <c r="R12" s="35" t="s">
        <v>343</v>
      </c>
    </row>
    <row r="13" ht="14.5" spans="1:29">
      <c r="A13" s="35" t="s">
        <v>328</v>
      </c>
      <c r="B13" s="12" t="str">
        <f t="shared" si="0"/>
        <v>\I: EN_Bioenergy - Cofiring</v>
      </c>
      <c r="C13" s="35" t="s">
        <v>107</v>
      </c>
      <c r="D13" s="35">
        <v>2050</v>
      </c>
      <c r="F13" s="35">
        <v>500</v>
      </c>
      <c r="G13" s="35">
        <v>525</v>
      </c>
      <c r="H13" s="35">
        <v>375</v>
      </c>
      <c r="I13" s="35">
        <v>575</v>
      </c>
      <c r="J13" s="35">
        <v>525</v>
      </c>
      <c r="K13" s="35">
        <v>575</v>
      </c>
      <c r="L13" s="35">
        <v>525</v>
      </c>
      <c r="M13" s="35">
        <v>525</v>
      </c>
      <c r="N13" s="35">
        <v>600</v>
      </c>
      <c r="P13" s="35" t="s">
        <v>325</v>
      </c>
      <c r="Q13" s="12" t="s">
        <v>344</v>
      </c>
      <c r="R13" s="35" t="s">
        <v>345</v>
      </c>
    </row>
    <row r="14" ht="14.5" spans="1:29">
      <c r="A14" s="35" t="s">
        <v>328</v>
      </c>
      <c r="B14" s="12" t="str">
        <f t="shared" si="0"/>
        <v>EN_Bioenergy - Large scale unit</v>
      </c>
      <c r="C14" s="35" t="s">
        <v>329</v>
      </c>
      <c r="D14" s="35">
        <v>2022</v>
      </c>
      <c r="F14" s="35">
        <v>0.35</v>
      </c>
      <c r="G14" s="35">
        <v>0.35</v>
      </c>
      <c r="H14" s="35">
        <v>0.35</v>
      </c>
      <c r="I14" s="35">
        <v>0.35</v>
      </c>
      <c r="J14" s="35">
        <v>0.35</v>
      </c>
      <c r="K14" s="35">
        <v>0.35</v>
      </c>
      <c r="L14" s="35">
        <v>0.35</v>
      </c>
      <c r="M14" s="35">
        <v>0.35</v>
      </c>
      <c r="N14" s="35">
        <v>0.35</v>
      </c>
      <c r="P14" s="35" t="s">
        <v>330</v>
      </c>
      <c r="Q14" s="12" t="s">
        <v>346</v>
      </c>
      <c r="R14" s="35" t="s">
        <v>346</v>
      </c>
    </row>
    <row r="15" ht="14.5" spans="1:29">
      <c r="A15" s="35" t="s">
        <v>328</v>
      </c>
      <c r="B15" s="12" t="str">
        <f t="shared" si="0"/>
        <v>EN_Bioenergy - Large scale unit</v>
      </c>
      <c r="C15" s="35" t="s">
        <v>329</v>
      </c>
      <c r="D15" s="35">
        <v>2030</v>
      </c>
      <c r="F15" s="35">
        <v>0.35</v>
      </c>
      <c r="G15" s="35">
        <v>0.35</v>
      </c>
      <c r="H15" s="35">
        <v>0.35</v>
      </c>
      <c r="I15" s="35">
        <v>0.35</v>
      </c>
      <c r="J15" s="35">
        <v>0.35</v>
      </c>
      <c r="K15" s="35">
        <v>0.35</v>
      </c>
      <c r="L15" s="35">
        <v>0.35</v>
      </c>
      <c r="M15" s="35">
        <v>0.35</v>
      </c>
      <c r="N15" s="35">
        <v>0.35</v>
      </c>
      <c r="P15" s="35" t="s">
        <v>330</v>
      </c>
      <c r="Q15" s="12" t="s">
        <v>347</v>
      </c>
      <c r="R15" s="35" t="s">
        <v>347</v>
      </c>
    </row>
    <row r="16" ht="14.5" spans="1:29">
      <c r="A16" s="35" t="s">
        <v>328</v>
      </c>
      <c r="B16" s="12" t="str">
        <f t="shared" si="0"/>
        <v>EN_Bioenergy - Large scale unit</v>
      </c>
      <c r="C16" s="35" t="s">
        <v>329</v>
      </c>
      <c r="D16" s="35">
        <v>2050</v>
      </c>
      <c r="F16" s="35">
        <v>0.35</v>
      </c>
      <c r="G16" s="35">
        <v>0.35</v>
      </c>
      <c r="H16" s="35">
        <v>0.35</v>
      </c>
      <c r="I16" s="35">
        <v>0.35</v>
      </c>
      <c r="J16" s="35">
        <v>0.35</v>
      </c>
      <c r="K16" s="35">
        <v>0.35</v>
      </c>
      <c r="L16" s="35">
        <v>0.35</v>
      </c>
      <c r="M16" s="35">
        <v>0.35</v>
      </c>
      <c r="N16" s="35">
        <v>0.35</v>
      </c>
      <c r="P16" s="35" t="s">
        <v>330</v>
      </c>
      <c r="Q16" s="12" t="s">
        <v>348</v>
      </c>
      <c r="R16" s="38" t="s">
        <v>349</v>
      </c>
    </row>
    <row r="17" ht="14.5" spans="1:18">
      <c r="A17" s="35" t="s">
        <v>328</v>
      </c>
      <c r="B17" s="12" t="str">
        <f t="shared" si="0"/>
        <v>EN_Bioenergy - Large scale unit</v>
      </c>
      <c r="C17" s="35" t="s">
        <v>336</v>
      </c>
      <c r="D17" s="35">
        <v>2022</v>
      </c>
      <c r="F17" s="35">
        <v>75</v>
      </c>
      <c r="G17" s="35">
        <v>75</v>
      </c>
      <c r="H17" s="35">
        <v>55</v>
      </c>
      <c r="I17" s="35">
        <v>85</v>
      </c>
      <c r="J17" s="35">
        <v>75</v>
      </c>
      <c r="K17" s="35">
        <v>75</v>
      </c>
      <c r="L17" s="35">
        <v>80</v>
      </c>
      <c r="M17" s="35">
        <v>80</v>
      </c>
      <c r="N17" s="35">
        <v>85</v>
      </c>
      <c r="P17" s="35" t="s">
        <v>330</v>
      </c>
      <c r="Q17" s="12" t="s">
        <v>350</v>
      </c>
      <c r="R17" s="35" t="s">
        <v>351</v>
      </c>
    </row>
    <row r="18" ht="14.5" spans="1:18">
      <c r="A18" s="35" t="s">
        <v>328</v>
      </c>
      <c r="B18" s="12" t="str">
        <f t="shared" si="0"/>
        <v>EN_Bioenergy - Large scale unit</v>
      </c>
      <c r="C18" s="35" t="s">
        <v>336</v>
      </c>
      <c r="D18" s="35">
        <v>2030</v>
      </c>
      <c r="F18" s="35">
        <v>75</v>
      </c>
      <c r="G18" s="35">
        <v>75</v>
      </c>
      <c r="H18" s="35">
        <v>55</v>
      </c>
      <c r="I18" s="35">
        <v>80</v>
      </c>
      <c r="J18" s="35">
        <v>75</v>
      </c>
      <c r="K18" s="35">
        <v>80</v>
      </c>
      <c r="L18" s="35">
        <v>75</v>
      </c>
      <c r="M18" s="35">
        <v>75</v>
      </c>
      <c r="N18" s="35">
        <v>85</v>
      </c>
      <c r="P18" s="35" t="s">
        <v>330</v>
      </c>
      <c r="Q18" s="12" t="s">
        <v>352</v>
      </c>
      <c r="R18" s="35" t="s">
        <v>352</v>
      </c>
    </row>
    <row r="19" ht="14.5" spans="1:18">
      <c r="A19" s="35" t="s">
        <v>328</v>
      </c>
      <c r="B19" s="12" t="str">
        <f t="shared" si="0"/>
        <v>EN_Bioenergy - Large scale unit</v>
      </c>
      <c r="C19" s="35" t="s">
        <v>336</v>
      </c>
      <c r="D19" s="35">
        <v>2050</v>
      </c>
      <c r="F19" s="35">
        <v>70</v>
      </c>
      <c r="G19" s="35">
        <v>75</v>
      </c>
      <c r="H19" s="35">
        <v>55</v>
      </c>
      <c r="I19" s="35">
        <v>80</v>
      </c>
      <c r="J19" s="35">
        <v>70</v>
      </c>
      <c r="K19" s="35">
        <v>80</v>
      </c>
      <c r="L19" s="35">
        <v>75</v>
      </c>
      <c r="M19" s="35">
        <v>75</v>
      </c>
      <c r="N19" s="35">
        <v>85</v>
      </c>
      <c r="P19" s="35" t="s">
        <v>330</v>
      </c>
      <c r="Q19" s="12" t="s">
        <v>353</v>
      </c>
      <c r="R19" s="35" t="s">
        <v>353</v>
      </c>
    </row>
    <row r="20" ht="14.5" spans="1:18">
      <c r="A20" s="35" t="s">
        <v>328</v>
      </c>
      <c r="B20" s="12" t="str">
        <f t="shared" si="0"/>
        <v>EN_Bioenergy - Large scale unit</v>
      </c>
      <c r="C20" s="35" t="s">
        <v>107</v>
      </c>
      <c r="D20" s="35">
        <v>2022</v>
      </c>
      <c r="F20" s="35">
        <v>2150</v>
      </c>
      <c r="G20" s="35">
        <v>2200</v>
      </c>
      <c r="H20" s="35">
        <v>1600</v>
      </c>
      <c r="I20" s="35">
        <v>2400</v>
      </c>
      <c r="J20" s="35">
        <v>2150</v>
      </c>
      <c r="K20" s="35">
        <v>2350</v>
      </c>
      <c r="L20" s="35">
        <v>2300</v>
      </c>
      <c r="M20" s="35">
        <v>2250</v>
      </c>
      <c r="N20" s="35">
        <v>2500</v>
      </c>
      <c r="P20" s="35" t="s">
        <v>330</v>
      </c>
      <c r="Q20" s="12" t="s">
        <v>354</v>
      </c>
      <c r="R20" s="35" t="s">
        <v>354</v>
      </c>
    </row>
    <row r="21" ht="14.5" spans="1:18">
      <c r="A21" s="35" t="s">
        <v>328</v>
      </c>
      <c r="B21" s="12" t="str">
        <f t="shared" si="0"/>
        <v>EN_Bioenergy - Large scale unit</v>
      </c>
      <c r="C21" s="35" t="s">
        <v>107</v>
      </c>
      <c r="D21" s="35">
        <v>2030</v>
      </c>
      <c r="F21" s="35">
        <v>2100</v>
      </c>
      <c r="G21" s="35">
        <v>2150</v>
      </c>
      <c r="H21" s="35">
        <v>1550</v>
      </c>
      <c r="I21" s="35">
        <v>2350</v>
      </c>
      <c r="J21" s="35">
        <v>2100</v>
      </c>
      <c r="K21" s="35">
        <v>2300</v>
      </c>
      <c r="L21" s="35">
        <v>2200</v>
      </c>
      <c r="M21" s="35">
        <v>2200</v>
      </c>
      <c r="N21" s="35">
        <v>2450</v>
      </c>
      <c r="P21" s="35" t="s">
        <v>330</v>
      </c>
      <c r="Q21" s="12" t="s">
        <v>355</v>
      </c>
      <c r="R21" s="35" t="s">
        <v>355</v>
      </c>
    </row>
    <row r="22" ht="14.5" spans="1:18">
      <c r="A22" s="35" t="s">
        <v>328</v>
      </c>
      <c r="B22" s="12" t="str">
        <f t="shared" si="0"/>
        <v>EN_Bioenergy - Large scale unit</v>
      </c>
      <c r="C22" s="35" t="s">
        <v>107</v>
      </c>
      <c r="D22" s="35">
        <v>2050</v>
      </c>
      <c r="F22" s="35">
        <v>2000</v>
      </c>
      <c r="G22" s="35">
        <v>2100</v>
      </c>
      <c r="H22" s="35">
        <v>1500</v>
      </c>
      <c r="I22" s="35">
        <v>2300</v>
      </c>
      <c r="J22" s="35">
        <v>2050</v>
      </c>
      <c r="K22" s="35">
        <v>2250</v>
      </c>
      <c r="L22" s="35">
        <v>2100</v>
      </c>
      <c r="M22" s="35">
        <v>2100</v>
      </c>
      <c r="N22" s="35">
        <v>2350</v>
      </c>
      <c r="P22" s="35" t="s">
        <v>330</v>
      </c>
      <c r="Q22" s="12" t="s">
        <v>356</v>
      </c>
      <c r="R22" s="35" t="s">
        <v>357</v>
      </c>
    </row>
    <row r="23" ht="14.5" spans="1:18">
      <c r="A23" s="35" t="s">
        <v>328</v>
      </c>
      <c r="B23" s="12" t="str">
        <f t="shared" si="0"/>
        <v>\I: EN_Bioenergy - Medium-scale CHP</v>
      </c>
      <c r="C23" s="35" t="s">
        <v>329</v>
      </c>
      <c r="D23" s="35">
        <v>2022</v>
      </c>
      <c r="F23" s="35">
        <v>0.7</v>
      </c>
      <c r="G23" s="35">
        <v>0.7</v>
      </c>
      <c r="H23" s="35">
        <v>0.7</v>
      </c>
      <c r="I23" s="35">
        <v>0.7</v>
      </c>
      <c r="J23" s="35">
        <v>0.7</v>
      </c>
      <c r="K23" s="35">
        <v>0.7</v>
      </c>
      <c r="L23" s="35">
        <v>0.7</v>
      </c>
      <c r="M23" s="35">
        <v>0.7</v>
      </c>
      <c r="N23" s="35">
        <v>0.7</v>
      </c>
      <c r="P23" s="35" t="s">
        <v>333</v>
      </c>
      <c r="Q23" s="12" t="s">
        <v>358</v>
      </c>
      <c r="R23" s="38" t="s">
        <v>359</v>
      </c>
    </row>
    <row r="24" ht="14.5" spans="1:18">
      <c r="A24" s="35" t="s">
        <v>328</v>
      </c>
      <c r="B24" s="12" t="str">
        <f t="shared" si="0"/>
        <v>\I: EN_Bioenergy - Medium-scale CHP</v>
      </c>
      <c r="C24" s="35" t="s">
        <v>329</v>
      </c>
      <c r="D24" s="35">
        <v>2030</v>
      </c>
      <c r="F24" s="35">
        <v>0.7</v>
      </c>
      <c r="G24" s="35">
        <v>0.7</v>
      </c>
      <c r="H24" s="35">
        <v>0.7</v>
      </c>
      <c r="I24" s="35">
        <v>0.7</v>
      </c>
      <c r="J24" s="35">
        <v>0.7</v>
      </c>
      <c r="K24" s="35">
        <v>0.7</v>
      </c>
      <c r="L24" s="35">
        <v>0.7</v>
      </c>
      <c r="M24" s="35">
        <v>0.7</v>
      </c>
      <c r="N24" s="35">
        <v>0.7</v>
      </c>
      <c r="P24" s="35" t="s">
        <v>333</v>
      </c>
      <c r="Q24" s="12" t="s">
        <v>360</v>
      </c>
      <c r="R24" s="35" t="s">
        <v>360</v>
      </c>
    </row>
    <row r="25" ht="14.5" spans="1:18">
      <c r="A25" s="35" t="s">
        <v>328</v>
      </c>
      <c r="B25" s="12" t="str">
        <f t="shared" si="0"/>
        <v>\I: EN_Bioenergy - Medium-scale CHP</v>
      </c>
      <c r="C25" s="35" t="s">
        <v>329</v>
      </c>
      <c r="D25" s="35">
        <v>2050</v>
      </c>
      <c r="F25" s="35">
        <v>0.7</v>
      </c>
      <c r="G25" s="35">
        <v>0.7</v>
      </c>
      <c r="H25" s="35">
        <v>0.7</v>
      </c>
      <c r="I25" s="35">
        <v>0.7</v>
      </c>
      <c r="J25" s="35">
        <v>0.7</v>
      </c>
      <c r="K25" s="35">
        <v>0.7</v>
      </c>
      <c r="L25" s="35">
        <v>0.7</v>
      </c>
      <c r="M25" s="35">
        <v>0.7</v>
      </c>
      <c r="N25" s="35">
        <v>0.7</v>
      </c>
      <c r="P25" s="35" t="s">
        <v>333</v>
      </c>
      <c r="Q25" s="12" t="s">
        <v>361</v>
      </c>
      <c r="R25" s="35" t="s">
        <v>361</v>
      </c>
    </row>
    <row r="26" ht="14.5" spans="1:18">
      <c r="A26" s="35" t="s">
        <v>328</v>
      </c>
      <c r="B26" s="12" t="str">
        <f t="shared" si="0"/>
        <v>\I: EN_Bioenergy - Medium-scale CHP</v>
      </c>
      <c r="C26" s="35" t="s">
        <v>336</v>
      </c>
      <c r="D26" s="35">
        <v>2022</v>
      </c>
      <c r="F26" s="35">
        <v>105</v>
      </c>
      <c r="G26" s="35">
        <v>110</v>
      </c>
      <c r="H26" s="35">
        <v>95</v>
      </c>
      <c r="I26" s="35">
        <v>140</v>
      </c>
      <c r="J26" s="35">
        <v>105</v>
      </c>
      <c r="K26" s="35">
        <v>145</v>
      </c>
      <c r="L26" s="35">
        <v>110</v>
      </c>
      <c r="M26" s="35">
        <v>130</v>
      </c>
      <c r="N26" s="35">
        <v>150</v>
      </c>
      <c r="P26" s="35" t="s">
        <v>333</v>
      </c>
      <c r="Q26" s="12" t="s">
        <v>362</v>
      </c>
      <c r="R26" s="35" t="s">
        <v>362</v>
      </c>
    </row>
    <row r="27" ht="14.5" spans="1:18">
      <c r="A27" s="35" t="s">
        <v>328</v>
      </c>
      <c r="B27" s="12" t="str">
        <f t="shared" si="0"/>
        <v>\I: EN_Bioenergy - Medium-scale CHP</v>
      </c>
      <c r="C27" s="35" t="s">
        <v>336</v>
      </c>
      <c r="D27" s="35">
        <v>2030</v>
      </c>
      <c r="F27" s="35">
        <v>105</v>
      </c>
      <c r="G27" s="35">
        <v>105</v>
      </c>
      <c r="H27" s="35">
        <v>90</v>
      </c>
      <c r="I27" s="35">
        <v>140</v>
      </c>
      <c r="J27" s="35">
        <v>105</v>
      </c>
      <c r="K27" s="35">
        <v>145</v>
      </c>
      <c r="L27" s="35">
        <v>105</v>
      </c>
      <c r="M27" s="35">
        <v>130</v>
      </c>
      <c r="N27" s="35">
        <v>150</v>
      </c>
      <c r="P27" s="35" t="s">
        <v>333</v>
      </c>
      <c r="Q27" s="12" t="s">
        <v>363</v>
      </c>
      <c r="R27" s="38" t="s">
        <v>364</v>
      </c>
    </row>
    <row r="28" ht="14.5" spans="1:18">
      <c r="A28" s="35" t="s">
        <v>328</v>
      </c>
      <c r="B28" s="12" t="str">
        <f t="shared" si="0"/>
        <v>\I: EN_Bioenergy - Medium-scale CHP</v>
      </c>
      <c r="C28" s="35" t="s">
        <v>336</v>
      </c>
      <c r="D28" s="35">
        <v>2050</v>
      </c>
      <c r="F28" s="35">
        <v>100</v>
      </c>
      <c r="G28" s="35">
        <v>105</v>
      </c>
      <c r="H28" s="35">
        <v>90</v>
      </c>
      <c r="I28" s="35">
        <v>130</v>
      </c>
      <c r="J28" s="35">
        <v>100</v>
      </c>
      <c r="K28" s="35">
        <v>140</v>
      </c>
      <c r="L28" s="35">
        <v>100</v>
      </c>
      <c r="M28" s="35">
        <v>120</v>
      </c>
      <c r="N28" s="35">
        <v>145</v>
      </c>
      <c r="P28" s="35" t="s">
        <v>333</v>
      </c>
      <c r="Q28" s="12" t="s">
        <v>365</v>
      </c>
      <c r="R28" s="38" t="s">
        <v>366</v>
      </c>
    </row>
    <row r="29" ht="14.5" spans="1:18">
      <c r="A29" s="35" t="s">
        <v>328</v>
      </c>
      <c r="B29" s="12" t="str">
        <f t="shared" si="0"/>
        <v>\I: EN_Bioenergy - Medium-scale CHP</v>
      </c>
      <c r="C29" s="35" t="s">
        <v>107</v>
      </c>
      <c r="D29" s="35">
        <v>2022</v>
      </c>
      <c r="F29" s="35">
        <v>2850</v>
      </c>
      <c r="G29" s="35">
        <v>2900</v>
      </c>
      <c r="H29" s="35">
        <v>2500</v>
      </c>
      <c r="I29" s="35">
        <v>3750</v>
      </c>
      <c r="J29" s="35">
        <v>2800</v>
      </c>
      <c r="K29" s="35">
        <v>3900</v>
      </c>
      <c r="L29" s="35">
        <v>2950</v>
      </c>
      <c r="M29" s="35">
        <v>3500</v>
      </c>
      <c r="N29" s="35">
        <v>4050</v>
      </c>
      <c r="P29" s="35" t="s">
        <v>333</v>
      </c>
      <c r="Q29" s="35" t="s">
        <v>367</v>
      </c>
      <c r="R29" s="35" t="s">
        <v>368</v>
      </c>
    </row>
    <row r="30" ht="14.5" spans="1:18">
      <c r="A30" s="35" t="s">
        <v>328</v>
      </c>
      <c r="B30" s="12" t="str">
        <f t="shared" si="0"/>
        <v>\I: EN_Bioenergy - Medium-scale CHP</v>
      </c>
      <c r="C30" s="35" t="s">
        <v>107</v>
      </c>
      <c r="D30" s="35">
        <v>2030</v>
      </c>
      <c r="F30" s="35">
        <v>2750</v>
      </c>
      <c r="G30" s="35">
        <v>2850</v>
      </c>
      <c r="H30" s="35">
        <v>2450</v>
      </c>
      <c r="I30" s="35">
        <v>3650</v>
      </c>
      <c r="J30" s="35">
        <v>2750</v>
      </c>
      <c r="K30" s="35">
        <v>3800</v>
      </c>
      <c r="L30" s="35">
        <v>2850</v>
      </c>
      <c r="M30" s="35">
        <v>3400</v>
      </c>
      <c r="N30" s="35">
        <v>3950</v>
      </c>
      <c r="P30" s="35" t="s">
        <v>333</v>
      </c>
    </row>
    <row r="31" ht="14.5" spans="1:18">
      <c r="A31" s="35" t="s">
        <v>328</v>
      </c>
      <c r="B31" s="12" t="str">
        <f t="shared" si="0"/>
        <v>\I: EN_Bioenergy - Medium-scale CHP</v>
      </c>
      <c r="C31" s="35" t="s">
        <v>107</v>
      </c>
      <c r="D31" s="35">
        <v>2050</v>
      </c>
      <c r="F31" s="35">
        <v>2650</v>
      </c>
      <c r="G31" s="35">
        <v>2750</v>
      </c>
      <c r="H31" s="35">
        <v>2350</v>
      </c>
      <c r="I31" s="35">
        <v>3550</v>
      </c>
      <c r="J31" s="35">
        <v>2650</v>
      </c>
      <c r="K31" s="35">
        <v>3700</v>
      </c>
      <c r="L31" s="35">
        <v>2700</v>
      </c>
      <c r="M31" s="35">
        <v>3250</v>
      </c>
      <c r="N31" s="35">
        <v>3850</v>
      </c>
      <c r="P31" s="35" t="s">
        <v>333</v>
      </c>
      <c r="Q31" s="12" t="s">
        <v>369</v>
      </c>
      <c r="R31" s="12" t="s">
        <v>359</v>
      </c>
    </row>
    <row r="32" ht="14.5" spans="1:18">
      <c r="A32" s="35" t="s">
        <v>328</v>
      </c>
      <c r="B32" s="12" t="str">
        <f t="shared" si="0"/>
        <v>EN_Bioenergy + CCUS</v>
      </c>
      <c r="C32" s="35" t="s">
        <v>329</v>
      </c>
      <c r="D32" s="35">
        <v>2022</v>
      </c>
      <c r="F32" s="35">
        <v>0.3</v>
      </c>
      <c r="G32" s="35">
        <v>0.3</v>
      </c>
      <c r="H32" s="35">
        <v>0.3</v>
      </c>
      <c r="I32" s="35">
        <v>0.3</v>
      </c>
      <c r="J32" s="35">
        <v>0.3</v>
      </c>
      <c r="K32" s="35">
        <v>0.3</v>
      </c>
      <c r="L32" s="35">
        <v>0.3</v>
      </c>
      <c r="M32" s="35">
        <v>0.3</v>
      </c>
      <c r="N32" s="35">
        <v>0.3</v>
      </c>
      <c r="P32" s="35" t="s">
        <v>335</v>
      </c>
      <c r="Q32" s="12" t="s">
        <v>370</v>
      </c>
      <c r="R32" s="12" t="s">
        <v>364</v>
      </c>
    </row>
    <row r="33" ht="14.5" spans="1:18">
      <c r="A33" s="35" t="s">
        <v>328</v>
      </c>
      <c r="B33" s="12" t="str">
        <f t="shared" si="0"/>
        <v>EN_Bioenergy + CCUS</v>
      </c>
      <c r="C33" s="35" t="s">
        <v>329</v>
      </c>
      <c r="D33" s="35">
        <v>2030</v>
      </c>
      <c r="F33" s="35">
        <v>0.3</v>
      </c>
      <c r="G33" s="35">
        <v>0.3</v>
      </c>
      <c r="H33" s="35">
        <v>0.3</v>
      </c>
      <c r="I33" s="35">
        <v>0.3</v>
      </c>
      <c r="J33" s="35">
        <v>0.3</v>
      </c>
      <c r="K33" s="35">
        <v>0.3</v>
      </c>
      <c r="L33" s="35">
        <v>0.3</v>
      </c>
      <c r="M33" s="35">
        <v>0.3</v>
      </c>
      <c r="N33" s="35">
        <v>0.3</v>
      </c>
      <c r="P33" s="35" t="s">
        <v>335</v>
      </c>
      <c r="Q33" s="12" t="s">
        <v>371</v>
      </c>
      <c r="R33" s="12" t="s">
        <v>366</v>
      </c>
    </row>
    <row r="34" ht="14.5" spans="1:18">
      <c r="A34" s="35" t="s">
        <v>328</v>
      </c>
      <c r="B34" s="12" t="str">
        <f t="shared" si="0"/>
        <v>EN_Bioenergy + CCUS</v>
      </c>
      <c r="C34" s="35" t="s">
        <v>329</v>
      </c>
      <c r="D34" s="35">
        <v>2050</v>
      </c>
      <c r="F34" s="35">
        <v>0.3</v>
      </c>
      <c r="G34" s="35">
        <v>0.3</v>
      </c>
      <c r="H34" s="35">
        <v>0.3</v>
      </c>
      <c r="I34" s="35">
        <v>0.3</v>
      </c>
      <c r="J34" s="35">
        <v>0.3</v>
      </c>
      <c r="K34" s="35">
        <v>0.3</v>
      </c>
      <c r="L34" s="35">
        <v>0.3</v>
      </c>
      <c r="M34" s="35">
        <v>0.3</v>
      </c>
      <c r="N34" s="35">
        <v>0.3</v>
      </c>
      <c r="P34" s="35" t="s">
        <v>335</v>
      </c>
      <c r="Q34"/>
    </row>
    <row r="35" ht="14.5" spans="1:18">
      <c r="A35" s="35" t="s">
        <v>328</v>
      </c>
      <c r="B35" s="12" t="str">
        <f t="shared" si="0"/>
        <v>EN_Bioenergy + CCUS</v>
      </c>
      <c r="C35" s="35" t="s">
        <v>336</v>
      </c>
      <c r="D35" s="35">
        <v>2022</v>
      </c>
      <c r="F35" s="35">
        <v>170</v>
      </c>
      <c r="G35" s="35">
        <v>160</v>
      </c>
      <c r="H35" s="35">
        <v>145</v>
      </c>
      <c r="I35" s="35">
        <v>205</v>
      </c>
      <c r="J35" s="35">
        <v>165</v>
      </c>
      <c r="K35" s="35">
        <v>195</v>
      </c>
      <c r="L35" s="35">
        <v>180</v>
      </c>
      <c r="M35" s="35">
        <v>180</v>
      </c>
      <c r="N35" s="35">
        <v>200</v>
      </c>
      <c r="P35" s="35" t="s">
        <v>335</v>
      </c>
      <c r="Q35"/>
    </row>
    <row r="36" ht="14.5" spans="1:18">
      <c r="A36" s="35" t="s">
        <v>328</v>
      </c>
      <c r="B36" s="12" t="str">
        <f t="shared" si="0"/>
        <v>EN_Bioenergy + CCUS</v>
      </c>
      <c r="C36" s="35" t="s">
        <v>336</v>
      </c>
      <c r="D36" s="35">
        <v>2030</v>
      </c>
      <c r="F36" s="35">
        <v>170</v>
      </c>
      <c r="G36" s="35">
        <v>160</v>
      </c>
      <c r="H36" s="35">
        <v>145</v>
      </c>
      <c r="I36" s="35">
        <v>200</v>
      </c>
      <c r="J36" s="35">
        <v>165</v>
      </c>
      <c r="K36" s="35">
        <v>200</v>
      </c>
      <c r="L36" s="35">
        <v>175</v>
      </c>
      <c r="M36" s="35">
        <v>180</v>
      </c>
      <c r="N36" s="35">
        <v>205</v>
      </c>
      <c r="P36" s="35" t="s">
        <v>335</v>
      </c>
      <c r="Q36"/>
    </row>
    <row r="37" ht="14.5" spans="1:18">
      <c r="A37" s="35" t="s">
        <v>328</v>
      </c>
      <c r="B37" s="12" t="str">
        <f t="shared" si="0"/>
        <v>EN_Bioenergy + CCUS</v>
      </c>
      <c r="C37" s="35" t="s">
        <v>336</v>
      </c>
      <c r="D37" s="35">
        <v>2050</v>
      </c>
      <c r="F37" s="35">
        <v>150</v>
      </c>
      <c r="G37" s="35">
        <v>145</v>
      </c>
      <c r="H37" s="35">
        <v>125</v>
      </c>
      <c r="I37" s="35">
        <v>180</v>
      </c>
      <c r="J37" s="35">
        <v>145</v>
      </c>
      <c r="K37" s="35">
        <v>175</v>
      </c>
      <c r="L37" s="35">
        <v>160</v>
      </c>
      <c r="M37" s="35">
        <v>160</v>
      </c>
      <c r="N37" s="35">
        <v>180</v>
      </c>
      <c r="P37" s="35" t="s">
        <v>335</v>
      </c>
      <c r="Q37"/>
    </row>
    <row r="38" ht="14.5" spans="1:18">
      <c r="A38" s="35" t="s">
        <v>328</v>
      </c>
      <c r="B38" s="12" t="str">
        <f t="shared" si="0"/>
        <v>EN_Bioenergy + CCUS</v>
      </c>
      <c r="C38" s="35" t="s">
        <v>107</v>
      </c>
      <c r="D38" s="35">
        <v>2022</v>
      </c>
      <c r="F38" s="35">
        <v>4900</v>
      </c>
      <c r="G38" s="35">
        <v>4550</v>
      </c>
      <c r="H38" s="35">
        <v>4150</v>
      </c>
      <c r="I38" s="35">
        <v>5750</v>
      </c>
      <c r="J38" s="35">
        <v>4700</v>
      </c>
      <c r="K38" s="35">
        <v>5700</v>
      </c>
      <c r="L38" s="35">
        <v>5150</v>
      </c>
      <c r="M38" s="35">
        <v>5200</v>
      </c>
      <c r="N38" s="35">
        <v>5850</v>
      </c>
      <c r="P38" s="35" t="s">
        <v>335</v>
      </c>
      <c r="Q38"/>
    </row>
    <row r="39" ht="14.5" spans="1:18">
      <c r="A39" s="35" t="s">
        <v>328</v>
      </c>
      <c r="B39" s="12" t="str">
        <f t="shared" si="0"/>
        <v>EN_Bioenergy + CCUS</v>
      </c>
      <c r="C39" s="35" t="s">
        <v>107</v>
      </c>
      <c r="D39" s="35">
        <v>2030</v>
      </c>
      <c r="F39" s="35">
        <v>4850</v>
      </c>
      <c r="G39" s="35">
        <v>4500</v>
      </c>
      <c r="H39" s="35">
        <v>4100</v>
      </c>
      <c r="I39" s="35">
        <v>5700</v>
      </c>
      <c r="J39" s="35">
        <v>4650</v>
      </c>
      <c r="K39" s="35">
        <v>5650</v>
      </c>
      <c r="L39" s="35">
        <v>5050</v>
      </c>
      <c r="M39" s="35">
        <v>5150</v>
      </c>
      <c r="N39" s="35">
        <v>5800</v>
      </c>
      <c r="P39" s="35" t="s">
        <v>335</v>
      </c>
      <c r="Q39"/>
    </row>
    <row r="40" ht="14.5" spans="1:18">
      <c r="A40" s="35" t="s">
        <v>328</v>
      </c>
      <c r="B40" s="12" t="str">
        <f t="shared" si="0"/>
        <v>EN_Bioenergy + CCUS</v>
      </c>
      <c r="C40" s="35" t="s">
        <v>107</v>
      </c>
      <c r="D40" s="35">
        <v>2050</v>
      </c>
      <c r="F40" s="35">
        <v>4350</v>
      </c>
      <c r="G40" s="35">
        <v>4050</v>
      </c>
      <c r="H40" s="35">
        <v>3650</v>
      </c>
      <c r="I40" s="35">
        <v>5100</v>
      </c>
      <c r="J40" s="35">
        <v>4200</v>
      </c>
      <c r="K40" s="35">
        <v>5100</v>
      </c>
      <c r="L40" s="35">
        <v>4500</v>
      </c>
      <c r="M40" s="35">
        <v>4600</v>
      </c>
      <c r="N40" s="35">
        <v>5150</v>
      </c>
      <c r="P40" s="35" t="s">
        <v>335</v>
      </c>
    </row>
    <row r="41" ht="14.5" spans="1:18">
      <c r="A41" s="35" t="s">
        <v>328</v>
      </c>
      <c r="B41" s="12" t="str">
        <f t="shared" si="0"/>
        <v>EN_CCGT</v>
      </c>
      <c r="C41" s="35" t="s">
        <v>329</v>
      </c>
      <c r="D41" s="35">
        <v>2022</v>
      </c>
      <c r="F41" s="35">
        <v>0.58</v>
      </c>
      <c r="G41" s="35">
        <v>0.58</v>
      </c>
      <c r="H41" s="35">
        <v>0.57</v>
      </c>
      <c r="I41" s="35">
        <v>0.59</v>
      </c>
      <c r="J41" s="35">
        <v>0.56</v>
      </c>
      <c r="K41" s="35">
        <v>0.59</v>
      </c>
      <c r="L41" s="35">
        <v>0.57</v>
      </c>
      <c r="M41" s="35">
        <v>0.57</v>
      </c>
      <c r="N41" s="35">
        <v>0.59</v>
      </c>
      <c r="P41" s="35" t="s">
        <v>337</v>
      </c>
    </row>
    <row r="42" ht="14.5" spans="1:18">
      <c r="A42" s="35" t="s">
        <v>328</v>
      </c>
      <c r="B42" s="12" t="str">
        <f t="shared" si="0"/>
        <v>EN_CCGT</v>
      </c>
      <c r="C42" s="35" t="s">
        <v>329</v>
      </c>
      <c r="D42" s="35">
        <v>2030</v>
      </c>
      <c r="F42" s="35">
        <v>0.59</v>
      </c>
      <c r="G42" s="35">
        <v>0.59</v>
      </c>
      <c r="H42" s="35">
        <v>0.58</v>
      </c>
      <c r="I42" s="35">
        <v>0.6</v>
      </c>
      <c r="J42" s="35">
        <v>0.57</v>
      </c>
      <c r="K42" s="35">
        <v>0.6</v>
      </c>
      <c r="L42" s="35">
        <v>0.58</v>
      </c>
      <c r="M42" s="35">
        <v>0.58</v>
      </c>
      <c r="N42" s="35">
        <v>0.6</v>
      </c>
      <c r="P42" s="35" t="s">
        <v>337</v>
      </c>
    </row>
    <row r="43" ht="14.5" spans="1:18">
      <c r="A43" s="35" t="s">
        <v>328</v>
      </c>
      <c r="B43" s="12" t="str">
        <f t="shared" si="0"/>
        <v>EN_CCGT</v>
      </c>
      <c r="C43" s="35" t="s">
        <v>329</v>
      </c>
      <c r="D43" s="35">
        <v>2050</v>
      </c>
      <c r="F43" s="35">
        <v>0.59</v>
      </c>
      <c r="G43" s="35">
        <v>0.59</v>
      </c>
      <c r="H43" s="35">
        <v>0.59</v>
      </c>
      <c r="I43" s="35">
        <v>0.61</v>
      </c>
      <c r="J43" s="35">
        <v>0.58</v>
      </c>
      <c r="K43" s="35">
        <v>0.61</v>
      </c>
      <c r="L43" s="35">
        <v>0.58</v>
      </c>
      <c r="M43" s="35">
        <v>0.58</v>
      </c>
      <c r="N43" s="35">
        <v>0.61</v>
      </c>
      <c r="P43" s="35" t="s">
        <v>337</v>
      </c>
    </row>
    <row r="44" ht="14.5" spans="1:18">
      <c r="A44" s="35" t="s">
        <v>328</v>
      </c>
      <c r="B44" s="12" t="str">
        <f t="shared" si="0"/>
        <v>EN_CCGT</v>
      </c>
      <c r="C44" s="35" t="s">
        <v>336</v>
      </c>
      <c r="D44" s="35">
        <v>2022</v>
      </c>
      <c r="F44" s="35">
        <v>25</v>
      </c>
      <c r="G44" s="35">
        <v>25</v>
      </c>
      <c r="H44" s="35">
        <v>20</v>
      </c>
      <c r="I44" s="35">
        <v>25</v>
      </c>
      <c r="J44" s="35">
        <v>25</v>
      </c>
      <c r="K44" s="35">
        <v>30</v>
      </c>
      <c r="L44" s="35">
        <v>30</v>
      </c>
      <c r="M44" s="35">
        <v>30</v>
      </c>
      <c r="N44" s="35">
        <v>25</v>
      </c>
      <c r="P44" s="35" t="s">
        <v>337</v>
      </c>
    </row>
    <row r="45" ht="14.5" spans="1:18">
      <c r="A45" s="35" t="s">
        <v>328</v>
      </c>
      <c r="B45" s="12" t="str">
        <f t="shared" si="0"/>
        <v>EN_CCGT</v>
      </c>
      <c r="C45" s="35" t="s">
        <v>336</v>
      </c>
      <c r="D45" s="35">
        <v>2030</v>
      </c>
      <c r="F45" s="35">
        <v>25</v>
      </c>
      <c r="G45" s="35">
        <v>25</v>
      </c>
      <c r="H45" s="35">
        <v>20</v>
      </c>
      <c r="I45" s="35">
        <v>25</v>
      </c>
      <c r="J45" s="35">
        <v>25</v>
      </c>
      <c r="K45" s="35">
        <v>30</v>
      </c>
      <c r="L45" s="35">
        <v>30</v>
      </c>
      <c r="M45" s="35">
        <v>30</v>
      </c>
      <c r="N45" s="35">
        <v>25</v>
      </c>
      <c r="P45" s="35" t="s">
        <v>337</v>
      </c>
    </row>
    <row r="46" ht="14.5" spans="1:18">
      <c r="A46" s="35" t="s">
        <v>328</v>
      </c>
      <c r="B46" s="12" t="str">
        <f t="shared" si="0"/>
        <v>EN_CCGT</v>
      </c>
      <c r="C46" s="35" t="s">
        <v>336</v>
      </c>
      <c r="D46" s="35">
        <v>2050</v>
      </c>
      <c r="F46" s="35">
        <v>25</v>
      </c>
      <c r="G46" s="35">
        <v>25</v>
      </c>
      <c r="H46" s="35">
        <v>20</v>
      </c>
      <c r="I46" s="35">
        <v>25</v>
      </c>
      <c r="J46" s="35">
        <v>25</v>
      </c>
      <c r="K46" s="35">
        <v>30</v>
      </c>
      <c r="L46" s="35">
        <v>30</v>
      </c>
      <c r="M46" s="35">
        <v>30</v>
      </c>
      <c r="N46" s="35">
        <v>25</v>
      </c>
      <c r="P46" s="35" t="s">
        <v>337</v>
      </c>
    </row>
    <row r="47" ht="14.5" spans="1:18">
      <c r="A47" s="35" t="s">
        <v>328</v>
      </c>
      <c r="B47" s="12" t="str">
        <f t="shared" si="0"/>
        <v>EN_CCGT</v>
      </c>
      <c r="C47" s="35" t="s">
        <v>107</v>
      </c>
      <c r="D47" s="35">
        <v>2022</v>
      </c>
      <c r="F47" s="35">
        <v>700</v>
      </c>
      <c r="G47" s="35">
        <v>700</v>
      </c>
      <c r="H47" s="35">
        <v>560</v>
      </c>
      <c r="I47" s="35">
        <v>1000</v>
      </c>
      <c r="J47" s="35">
        <v>700</v>
      </c>
      <c r="K47" s="35">
        <v>1100</v>
      </c>
      <c r="L47" s="35">
        <v>800</v>
      </c>
      <c r="M47" s="35">
        <v>800</v>
      </c>
      <c r="N47" s="35">
        <v>1000</v>
      </c>
      <c r="P47" s="35" t="s">
        <v>337</v>
      </c>
    </row>
    <row r="48" ht="14.5" spans="1:18">
      <c r="A48" s="35" t="s">
        <v>328</v>
      </c>
      <c r="B48" s="12" t="str">
        <f t="shared" si="0"/>
        <v>EN_CCGT</v>
      </c>
      <c r="C48" s="35" t="s">
        <v>107</v>
      </c>
      <c r="D48" s="35">
        <v>2030</v>
      </c>
      <c r="F48" s="35">
        <v>700</v>
      </c>
      <c r="G48" s="35">
        <v>700</v>
      </c>
      <c r="H48" s="35">
        <v>560</v>
      </c>
      <c r="I48" s="35">
        <v>1000</v>
      </c>
      <c r="J48" s="35">
        <v>700</v>
      </c>
      <c r="K48" s="35">
        <v>1100</v>
      </c>
      <c r="L48" s="35">
        <v>800</v>
      </c>
      <c r="M48" s="35">
        <v>800</v>
      </c>
      <c r="N48" s="35">
        <v>1000</v>
      </c>
      <c r="P48" s="35" t="s">
        <v>337</v>
      </c>
    </row>
    <row r="49" ht="14.5" spans="1:18">
      <c r="A49" s="35" t="s">
        <v>328</v>
      </c>
      <c r="B49" s="12" t="str">
        <f t="shared" si="0"/>
        <v>EN_CCGT</v>
      </c>
      <c r="C49" s="35" t="s">
        <v>107</v>
      </c>
      <c r="D49" s="35">
        <v>2050</v>
      </c>
      <c r="F49" s="35">
        <v>700</v>
      </c>
      <c r="G49" s="35">
        <v>700</v>
      </c>
      <c r="H49" s="35">
        <v>560</v>
      </c>
      <c r="I49" s="35">
        <v>1000</v>
      </c>
      <c r="J49" s="35">
        <v>700</v>
      </c>
      <c r="K49" s="35">
        <v>1100</v>
      </c>
      <c r="L49" s="35">
        <v>800</v>
      </c>
      <c r="M49" s="35">
        <v>800</v>
      </c>
      <c r="N49" s="35">
        <v>1000</v>
      </c>
      <c r="P49" s="35" t="s">
        <v>337</v>
      </c>
    </row>
    <row r="50" ht="14.5" spans="1:18">
      <c r="A50" s="35" t="s">
        <v>328</v>
      </c>
      <c r="B50" s="12" t="str">
        <f t="shared" si="0"/>
        <v>\I: EN_CCGT - CHP</v>
      </c>
      <c r="C50" s="35" t="s">
        <v>329</v>
      </c>
      <c r="D50" s="35">
        <v>2022</v>
      </c>
      <c r="F50" s="35">
        <v>0.81</v>
      </c>
      <c r="G50" s="35">
        <v>0.81</v>
      </c>
      <c r="H50" s="35">
        <v>0.8</v>
      </c>
      <c r="I50" s="35">
        <v>0.82</v>
      </c>
      <c r="J50" s="35">
        <v>0.79</v>
      </c>
      <c r="K50" s="35">
        <v>0.82</v>
      </c>
      <c r="L50" s="35">
        <v>0.8</v>
      </c>
      <c r="M50" s="35">
        <v>0.8</v>
      </c>
      <c r="N50" s="35">
        <v>0.82</v>
      </c>
      <c r="P50" s="35" t="s">
        <v>338</v>
      </c>
    </row>
    <row r="51" ht="14.5" spans="1:18">
      <c r="A51" s="35" t="s">
        <v>328</v>
      </c>
      <c r="B51" s="12" t="str">
        <f t="shared" si="0"/>
        <v>\I: EN_CCGT - CHP</v>
      </c>
      <c r="C51" s="35" t="s">
        <v>329</v>
      </c>
      <c r="D51" s="35">
        <v>2030</v>
      </c>
      <c r="F51" s="35">
        <v>0.82</v>
      </c>
      <c r="G51" s="35">
        <v>0.82</v>
      </c>
      <c r="H51" s="35">
        <v>0.81</v>
      </c>
      <c r="I51" s="35">
        <v>0.83</v>
      </c>
      <c r="J51" s="35">
        <v>0.8</v>
      </c>
      <c r="K51" s="35">
        <v>0.83</v>
      </c>
      <c r="L51" s="35">
        <v>0.81</v>
      </c>
      <c r="M51" s="35">
        <v>0.81</v>
      </c>
      <c r="N51" s="35">
        <v>0.83</v>
      </c>
      <c r="P51" s="35" t="s">
        <v>338</v>
      </c>
    </row>
    <row r="52" ht="14.5" spans="1:18">
      <c r="A52" s="35" t="s">
        <v>328</v>
      </c>
      <c r="B52" s="12" t="str">
        <f t="shared" si="0"/>
        <v>\I: EN_CCGT - CHP</v>
      </c>
      <c r="C52" s="35" t="s">
        <v>329</v>
      </c>
      <c r="D52" s="35">
        <v>2050</v>
      </c>
      <c r="F52" s="35">
        <v>0.83</v>
      </c>
      <c r="G52" s="35">
        <v>0.83</v>
      </c>
      <c r="H52" s="35">
        <v>0.82</v>
      </c>
      <c r="I52" s="35">
        <v>0.84</v>
      </c>
      <c r="J52" s="35">
        <v>0.81</v>
      </c>
      <c r="K52" s="35">
        <v>0.84</v>
      </c>
      <c r="L52" s="35">
        <v>0.82</v>
      </c>
      <c r="M52" s="35">
        <v>0.82</v>
      </c>
      <c r="N52" s="35">
        <v>0.84</v>
      </c>
      <c r="P52" s="35" t="s">
        <v>338</v>
      </c>
    </row>
    <row r="53" ht="14.5" spans="1:18">
      <c r="A53" s="35" t="s">
        <v>328</v>
      </c>
      <c r="B53" s="12" t="str">
        <f t="shared" si="0"/>
        <v>\I: EN_CCGT - CHP</v>
      </c>
      <c r="C53" s="35" t="s">
        <v>336</v>
      </c>
      <c r="D53" s="35">
        <v>2022</v>
      </c>
      <c r="F53" s="35">
        <v>35</v>
      </c>
      <c r="G53" s="35">
        <v>35</v>
      </c>
      <c r="H53" s="35">
        <v>30</v>
      </c>
      <c r="I53" s="35">
        <v>40</v>
      </c>
      <c r="J53" s="35">
        <v>35</v>
      </c>
      <c r="K53" s="35">
        <v>45</v>
      </c>
      <c r="L53" s="35">
        <v>40</v>
      </c>
      <c r="M53" s="35">
        <v>40</v>
      </c>
      <c r="N53" s="35">
        <v>40</v>
      </c>
      <c r="P53" s="35" t="s">
        <v>338</v>
      </c>
    </row>
    <row r="54" ht="14.5" spans="1:18">
      <c r="A54" s="35" t="s">
        <v>328</v>
      </c>
      <c r="B54" s="12" t="str">
        <f t="shared" si="0"/>
        <v>\I: EN_CCGT - CHP</v>
      </c>
      <c r="C54" s="35" t="s">
        <v>336</v>
      </c>
      <c r="D54" s="35">
        <v>2030</v>
      </c>
      <c r="F54" s="35">
        <v>35</v>
      </c>
      <c r="G54" s="35">
        <v>35</v>
      </c>
      <c r="H54" s="35">
        <v>30</v>
      </c>
      <c r="I54" s="35">
        <v>40</v>
      </c>
      <c r="J54" s="35">
        <v>35</v>
      </c>
      <c r="K54" s="35">
        <v>45</v>
      </c>
      <c r="L54" s="35">
        <v>40</v>
      </c>
      <c r="M54" s="35">
        <v>40</v>
      </c>
      <c r="N54" s="35">
        <v>40</v>
      </c>
      <c r="P54" s="35" t="s">
        <v>338</v>
      </c>
    </row>
    <row r="55" ht="14.5" spans="1:18">
      <c r="A55" s="35" t="s">
        <v>328</v>
      </c>
      <c r="B55" s="12" t="str">
        <f t="shared" si="0"/>
        <v>\I: EN_CCGT - CHP</v>
      </c>
      <c r="C55" s="35" t="s">
        <v>336</v>
      </c>
      <c r="D55" s="35">
        <v>2050</v>
      </c>
      <c r="F55" s="35">
        <v>35</v>
      </c>
      <c r="G55" s="35">
        <v>35</v>
      </c>
      <c r="H55" s="35">
        <v>30</v>
      </c>
      <c r="I55" s="35">
        <v>40</v>
      </c>
      <c r="J55" s="35">
        <v>35</v>
      </c>
      <c r="K55" s="35">
        <v>45</v>
      </c>
      <c r="L55" s="35">
        <v>40</v>
      </c>
      <c r="M55" s="35">
        <v>40</v>
      </c>
      <c r="N55" s="35">
        <v>40</v>
      </c>
      <c r="P55" s="35" t="s">
        <v>338</v>
      </c>
    </row>
    <row r="56" ht="14.5" spans="1:18">
      <c r="A56" s="35" t="s">
        <v>328</v>
      </c>
      <c r="B56" s="12" t="str">
        <f t="shared" si="0"/>
        <v>\I: EN_CCGT - CHP</v>
      </c>
      <c r="C56" s="35" t="s">
        <v>107</v>
      </c>
      <c r="D56" s="35">
        <v>2022</v>
      </c>
      <c r="F56" s="35">
        <v>920</v>
      </c>
      <c r="G56" s="35">
        <v>920</v>
      </c>
      <c r="H56" s="35">
        <v>720</v>
      </c>
      <c r="I56" s="35">
        <v>1300</v>
      </c>
      <c r="J56" s="35">
        <v>920</v>
      </c>
      <c r="K56" s="35">
        <v>1440</v>
      </c>
      <c r="L56" s="35">
        <v>1040</v>
      </c>
      <c r="M56" s="35">
        <v>1040</v>
      </c>
      <c r="N56" s="35">
        <v>1300</v>
      </c>
      <c r="P56" s="35" t="s">
        <v>338</v>
      </c>
    </row>
    <row r="57" ht="14.5" spans="1:18">
      <c r="A57" s="35" t="s">
        <v>328</v>
      </c>
      <c r="B57" s="12" t="str">
        <f t="shared" si="0"/>
        <v>\I: EN_CCGT - CHP</v>
      </c>
      <c r="C57" s="35" t="s">
        <v>107</v>
      </c>
      <c r="D57" s="35">
        <v>2030</v>
      </c>
      <c r="F57" s="35">
        <v>920</v>
      </c>
      <c r="G57" s="35">
        <v>920</v>
      </c>
      <c r="H57" s="35">
        <v>720</v>
      </c>
      <c r="I57" s="35">
        <v>1300</v>
      </c>
      <c r="J57" s="35">
        <v>920</v>
      </c>
      <c r="K57" s="35">
        <v>1440</v>
      </c>
      <c r="L57" s="35">
        <v>1040</v>
      </c>
      <c r="M57" s="35">
        <v>1040</v>
      </c>
      <c r="N57" s="35">
        <v>1300</v>
      </c>
      <c r="P57" s="35" t="s">
        <v>338</v>
      </c>
    </row>
    <row r="58" ht="14.5" spans="1:18">
      <c r="A58" s="35" t="s">
        <v>328</v>
      </c>
      <c r="B58" s="12" t="str">
        <f t="shared" si="0"/>
        <v>\I: EN_CCGT - CHP</v>
      </c>
      <c r="C58" s="35" t="s">
        <v>107</v>
      </c>
      <c r="D58" s="35">
        <v>2050</v>
      </c>
      <c r="F58" s="35">
        <v>920</v>
      </c>
      <c r="G58" s="35">
        <v>920</v>
      </c>
      <c r="H58" s="35">
        <v>720</v>
      </c>
      <c r="I58" s="35">
        <v>1300</v>
      </c>
      <c r="J58" s="35">
        <v>920</v>
      </c>
      <c r="K58" s="35">
        <v>1440</v>
      </c>
      <c r="L58" s="35">
        <v>1040</v>
      </c>
      <c r="M58" s="35">
        <v>1040</v>
      </c>
      <c r="N58" s="35">
        <v>1300</v>
      </c>
      <c r="P58" s="35" t="s">
        <v>338</v>
      </c>
    </row>
    <row r="59" ht="14.5" spans="1:18">
      <c r="A59" s="35" t="s">
        <v>328</v>
      </c>
      <c r="B59" s="12" t="str">
        <f t="shared" si="0"/>
        <v>EN_CCGT + CCS</v>
      </c>
      <c r="C59" s="35" t="s">
        <v>329</v>
      </c>
      <c r="D59" s="35">
        <v>2022</v>
      </c>
      <c r="F59" s="35">
        <v>0.5</v>
      </c>
      <c r="G59" s="35" t="s">
        <v>372</v>
      </c>
      <c r="H59" s="35">
        <v>0.49</v>
      </c>
      <c r="I59" s="35">
        <v>0.51</v>
      </c>
      <c r="J59" s="35">
        <v>0.48</v>
      </c>
      <c r="K59" s="35">
        <v>0.51</v>
      </c>
      <c r="L59" s="35">
        <v>0.49</v>
      </c>
      <c r="M59" s="35">
        <v>0.49</v>
      </c>
      <c r="N59" s="35">
        <v>0.51</v>
      </c>
      <c r="P59" s="35" t="s">
        <v>340</v>
      </c>
    </row>
    <row r="60" ht="14.5" spans="1:18">
      <c r="A60" s="35" t="s">
        <v>328</v>
      </c>
      <c r="B60" s="12" t="str">
        <f t="shared" si="0"/>
        <v>EN_CCGT + CCS</v>
      </c>
      <c r="C60" s="35" t="s">
        <v>329</v>
      </c>
      <c r="D60" s="35">
        <v>2030</v>
      </c>
      <c r="F60" s="35">
        <v>0.51</v>
      </c>
      <c r="G60" s="35" t="s">
        <v>372</v>
      </c>
      <c r="H60" s="35">
        <v>0.5</v>
      </c>
      <c r="I60" s="35">
        <v>0.52</v>
      </c>
      <c r="J60" s="35">
        <v>0.49</v>
      </c>
      <c r="K60" s="35">
        <v>0.52</v>
      </c>
      <c r="L60" s="35">
        <v>0.5</v>
      </c>
      <c r="M60" s="35">
        <v>0.5</v>
      </c>
      <c r="N60" s="35">
        <v>0.52</v>
      </c>
      <c r="P60" s="35" t="s">
        <v>340</v>
      </c>
    </row>
    <row r="61" ht="14.5" spans="1:18">
      <c r="A61" s="35" t="s">
        <v>328</v>
      </c>
      <c r="B61" s="12" t="str">
        <f t="shared" si="0"/>
        <v>EN_CCGT + CCS</v>
      </c>
      <c r="C61" s="35" t="s">
        <v>329</v>
      </c>
      <c r="D61" s="35">
        <v>2050</v>
      </c>
      <c r="F61" s="35">
        <v>0.51</v>
      </c>
      <c r="G61" s="35" t="s">
        <v>372</v>
      </c>
      <c r="H61" s="35">
        <v>0.5</v>
      </c>
      <c r="I61" s="35">
        <v>0.52</v>
      </c>
      <c r="J61" s="35">
        <v>0.49</v>
      </c>
      <c r="K61" s="35">
        <v>0.52</v>
      </c>
      <c r="L61" s="35">
        <v>0.5</v>
      </c>
      <c r="M61" s="35">
        <v>0.5</v>
      </c>
      <c r="N61" s="35">
        <v>0.52</v>
      </c>
      <c r="P61" s="35" t="s">
        <v>340</v>
      </c>
    </row>
    <row r="62" ht="14.5" spans="1:18">
      <c r="A62" s="35" t="s">
        <v>328</v>
      </c>
      <c r="B62" s="12" t="str">
        <f t="shared" si="0"/>
        <v>EN_CCGT + CCS</v>
      </c>
      <c r="C62" s="35" t="s">
        <v>336</v>
      </c>
      <c r="D62" s="35">
        <v>2022</v>
      </c>
      <c r="F62" s="35">
        <v>85</v>
      </c>
      <c r="G62" s="35">
        <v>55</v>
      </c>
      <c r="H62" s="35">
        <v>70</v>
      </c>
      <c r="I62" s="35">
        <v>80</v>
      </c>
      <c r="J62" s="35">
        <v>80</v>
      </c>
      <c r="K62" s="35">
        <v>80</v>
      </c>
      <c r="L62" s="35">
        <v>100</v>
      </c>
      <c r="M62" s="35">
        <v>95</v>
      </c>
      <c r="N62" s="35">
        <v>80</v>
      </c>
      <c r="P62" s="35" t="s">
        <v>340</v>
      </c>
    </row>
    <row r="63" ht="14.5" spans="1:18">
      <c r="A63" s="35" t="s">
        <v>328</v>
      </c>
      <c r="B63" s="12" t="str">
        <f t="shared" si="0"/>
        <v>EN_CCGT + CCS</v>
      </c>
      <c r="C63" s="35" t="s">
        <v>336</v>
      </c>
      <c r="D63" s="35">
        <v>2030</v>
      </c>
      <c r="F63" s="35">
        <v>85</v>
      </c>
      <c r="G63" s="35">
        <v>55</v>
      </c>
      <c r="H63" s="35">
        <v>70</v>
      </c>
      <c r="I63" s="35">
        <v>75</v>
      </c>
      <c r="J63" s="35">
        <v>80</v>
      </c>
      <c r="K63" s="35">
        <v>80</v>
      </c>
      <c r="L63" s="35">
        <v>100</v>
      </c>
      <c r="M63" s="35">
        <v>95</v>
      </c>
      <c r="N63" s="35">
        <v>75</v>
      </c>
      <c r="P63" s="35" t="s">
        <v>340</v>
      </c>
      <c r="R63"/>
    </row>
    <row r="64" ht="14.5" spans="1:18">
      <c r="A64" s="35" t="s">
        <v>328</v>
      </c>
      <c r="B64" s="12" t="str">
        <f t="shared" si="0"/>
        <v>EN_CCGT + CCS</v>
      </c>
      <c r="C64" s="35" t="s">
        <v>336</v>
      </c>
      <c r="D64" s="35">
        <v>2050</v>
      </c>
      <c r="F64" s="35">
        <v>70</v>
      </c>
      <c r="G64" s="35">
        <v>50</v>
      </c>
      <c r="H64" s="35">
        <v>55</v>
      </c>
      <c r="I64" s="35">
        <v>60</v>
      </c>
      <c r="J64" s="35">
        <v>65</v>
      </c>
      <c r="K64" s="35">
        <v>65</v>
      </c>
      <c r="L64" s="35">
        <v>80</v>
      </c>
      <c r="M64" s="35">
        <v>75</v>
      </c>
      <c r="N64" s="35">
        <v>60</v>
      </c>
      <c r="P64" s="35" t="s">
        <v>340</v>
      </c>
      <c r="R64"/>
    </row>
    <row r="65" ht="14.5" spans="1:18">
      <c r="A65" s="35" t="s">
        <v>328</v>
      </c>
      <c r="B65" s="12" t="str">
        <f t="shared" si="0"/>
        <v>EN_CCGT + CCS</v>
      </c>
      <c r="C65" s="35" t="s">
        <v>107</v>
      </c>
      <c r="D65" s="35">
        <v>2022</v>
      </c>
      <c r="F65" s="35">
        <v>2450</v>
      </c>
      <c r="G65" s="35">
        <v>1650</v>
      </c>
      <c r="H65" s="35">
        <v>2200</v>
      </c>
      <c r="I65" s="35">
        <v>3100</v>
      </c>
      <c r="J65" s="35">
        <v>2300</v>
      </c>
      <c r="K65" s="35">
        <v>3200</v>
      </c>
      <c r="L65" s="35">
        <v>2800</v>
      </c>
      <c r="M65" s="35">
        <v>2650</v>
      </c>
      <c r="N65" s="35">
        <v>3100</v>
      </c>
      <c r="P65" s="35" t="s">
        <v>340</v>
      </c>
      <c r="R65"/>
    </row>
    <row r="66" ht="14.5" spans="1:18">
      <c r="A66" s="35" t="s">
        <v>328</v>
      </c>
      <c r="B66" s="12" t="str">
        <f t="shared" si="0"/>
        <v>EN_CCGT + CCS</v>
      </c>
      <c r="C66" s="35" t="s">
        <v>107</v>
      </c>
      <c r="D66" s="35">
        <v>2030</v>
      </c>
      <c r="F66" s="35">
        <v>2450</v>
      </c>
      <c r="G66" s="35">
        <v>1650</v>
      </c>
      <c r="H66" s="35">
        <v>2200</v>
      </c>
      <c r="I66" s="35">
        <v>3100</v>
      </c>
      <c r="J66" s="35">
        <v>2300</v>
      </c>
      <c r="K66" s="35">
        <v>3200</v>
      </c>
      <c r="L66" s="35">
        <v>2800</v>
      </c>
      <c r="M66" s="35">
        <v>2650</v>
      </c>
      <c r="N66" s="35">
        <v>3100</v>
      </c>
      <c r="P66" s="35" t="s">
        <v>340</v>
      </c>
      <c r="R66"/>
    </row>
    <row r="67" ht="14.5" spans="1:18">
      <c r="A67" s="35" t="s">
        <v>328</v>
      </c>
      <c r="B67" s="12" t="str">
        <f t="shared" si="0"/>
        <v>EN_CCGT + CCS</v>
      </c>
      <c r="C67" s="35" t="s">
        <v>107</v>
      </c>
      <c r="D67" s="35">
        <v>2050</v>
      </c>
      <c r="F67" s="35">
        <v>1950</v>
      </c>
      <c r="G67" s="35">
        <v>1350</v>
      </c>
      <c r="H67" s="35">
        <v>1650</v>
      </c>
      <c r="I67" s="35">
        <v>2500</v>
      </c>
      <c r="J67" s="35">
        <v>1850</v>
      </c>
      <c r="K67" s="35">
        <v>2600</v>
      </c>
      <c r="L67" s="35">
        <v>2250</v>
      </c>
      <c r="M67" s="35">
        <v>2100</v>
      </c>
      <c r="N67" s="35">
        <v>2400</v>
      </c>
      <c r="P67" s="35" t="s">
        <v>340</v>
      </c>
      <c r="R67"/>
    </row>
    <row r="68" ht="14.5" spans="1:18">
      <c r="A68" s="35" t="s">
        <v>328</v>
      </c>
      <c r="B68" s="12" t="str">
        <f t="shared" si="0"/>
        <v>EN_Coal + CCS</v>
      </c>
      <c r="C68" s="35" t="s">
        <v>329</v>
      </c>
      <c r="D68" s="35">
        <v>2022</v>
      </c>
      <c r="F68" s="35">
        <v>0.32</v>
      </c>
      <c r="G68" s="35" t="s">
        <v>372</v>
      </c>
      <c r="H68" s="35">
        <v>0.35</v>
      </c>
      <c r="I68" s="35">
        <v>0.36</v>
      </c>
      <c r="J68" s="35">
        <v>0.31</v>
      </c>
      <c r="K68" s="35">
        <v>0.36</v>
      </c>
      <c r="L68" s="35" t="s">
        <v>372</v>
      </c>
      <c r="M68" s="35">
        <v>0.36</v>
      </c>
      <c r="N68" s="35">
        <v>0.36</v>
      </c>
      <c r="P68" s="35" t="s">
        <v>341</v>
      </c>
      <c r="R68"/>
    </row>
    <row r="69" ht="14.5" spans="1:18">
      <c r="A69" s="35" t="s">
        <v>328</v>
      </c>
      <c r="B69" s="12" t="str">
        <f t="shared" si="0"/>
        <v>EN_Coal + CCS</v>
      </c>
      <c r="C69" s="35" t="s">
        <v>329</v>
      </c>
      <c r="D69" s="35">
        <v>2030</v>
      </c>
      <c r="F69" s="35">
        <v>0.33</v>
      </c>
      <c r="G69" s="35" t="s">
        <v>372</v>
      </c>
      <c r="H69" s="35">
        <v>0.36</v>
      </c>
      <c r="I69" s="35">
        <v>0.37</v>
      </c>
      <c r="J69" s="35">
        <v>0.32</v>
      </c>
      <c r="K69" s="35">
        <v>0.37</v>
      </c>
      <c r="L69" s="35" t="s">
        <v>372</v>
      </c>
      <c r="M69" s="35">
        <v>0.37</v>
      </c>
      <c r="N69" s="35">
        <v>0.37</v>
      </c>
      <c r="P69" s="35" t="s">
        <v>341</v>
      </c>
      <c r="R69"/>
    </row>
    <row r="70" ht="14.5" spans="1:18">
      <c r="A70" s="35" t="s">
        <v>328</v>
      </c>
      <c r="B70" s="12" t="str">
        <f t="shared" si="0"/>
        <v>EN_Coal + CCS</v>
      </c>
      <c r="C70" s="35" t="s">
        <v>329</v>
      </c>
      <c r="D70" s="35">
        <v>2050</v>
      </c>
      <c r="F70" s="35">
        <v>0.33</v>
      </c>
      <c r="G70" s="35" t="s">
        <v>372</v>
      </c>
      <c r="H70" s="35">
        <v>0.36</v>
      </c>
      <c r="I70" s="35">
        <v>0.37</v>
      </c>
      <c r="J70" s="35">
        <v>0.31</v>
      </c>
      <c r="K70" s="35">
        <v>0.37</v>
      </c>
      <c r="L70" s="35" t="s">
        <v>372</v>
      </c>
      <c r="M70" s="35">
        <v>0.37</v>
      </c>
      <c r="N70" s="35">
        <v>0.37</v>
      </c>
      <c r="P70" s="35" t="s">
        <v>341</v>
      </c>
      <c r="R70"/>
    </row>
    <row r="71" ht="14.5" spans="1:18">
      <c r="A71" s="35" t="s">
        <v>328</v>
      </c>
      <c r="B71" s="12" t="str">
        <f t="shared" ref="B71:B134" si="1">VLOOKUP(P71,$Q$4:$R$33,2,FALSE)</f>
        <v>EN_Coal + CCS</v>
      </c>
      <c r="C71" s="35" t="s">
        <v>336</v>
      </c>
      <c r="D71" s="35">
        <v>2022</v>
      </c>
      <c r="F71" s="35">
        <v>175</v>
      </c>
      <c r="G71" s="35">
        <v>170</v>
      </c>
      <c r="H71" s="35">
        <v>135</v>
      </c>
      <c r="I71" s="35">
        <v>165</v>
      </c>
      <c r="J71" s="35">
        <v>155</v>
      </c>
      <c r="K71" s="35">
        <v>175</v>
      </c>
      <c r="L71" s="35">
        <v>180</v>
      </c>
      <c r="M71" s="35">
        <v>180</v>
      </c>
      <c r="N71" s="35">
        <v>170</v>
      </c>
      <c r="P71" s="35" t="s">
        <v>341</v>
      </c>
      <c r="R71"/>
    </row>
    <row r="72" ht="14.5" spans="1:18">
      <c r="A72" s="35" t="s">
        <v>328</v>
      </c>
      <c r="B72" s="12" t="str">
        <f t="shared" si="1"/>
        <v>EN_Coal + CCS</v>
      </c>
      <c r="C72" s="35" t="s">
        <v>336</v>
      </c>
      <c r="D72" s="35">
        <v>2030</v>
      </c>
      <c r="F72" s="35">
        <v>175</v>
      </c>
      <c r="G72" s="35">
        <v>170</v>
      </c>
      <c r="H72" s="35">
        <v>135</v>
      </c>
      <c r="I72" s="35">
        <v>165</v>
      </c>
      <c r="J72" s="35">
        <v>155</v>
      </c>
      <c r="K72" s="35">
        <v>175</v>
      </c>
      <c r="L72" s="35">
        <v>180</v>
      </c>
      <c r="M72" s="35">
        <v>180</v>
      </c>
      <c r="N72" s="35">
        <v>170</v>
      </c>
      <c r="P72" s="35" t="s">
        <v>341</v>
      </c>
      <c r="R72"/>
    </row>
    <row r="73" ht="14.5" spans="1:18">
      <c r="A73" s="35" t="s">
        <v>328</v>
      </c>
      <c r="B73" s="12" t="str">
        <f t="shared" si="1"/>
        <v>EN_Coal + CCS</v>
      </c>
      <c r="C73" s="35" t="s">
        <v>336</v>
      </c>
      <c r="D73" s="35">
        <v>2050</v>
      </c>
      <c r="F73" s="35">
        <v>140</v>
      </c>
      <c r="G73" s="35">
        <v>140</v>
      </c>
      <c r="H73" s="35">
        <v>100</v>
      </c>
      <c r="I73" s="35">
        <v>135</v>
      </c>
      <c r="J73" s="35">
        <v>125</v>
      </c>
      <c r="K73" s="35">
        <v>145</v>
      </c>
      <c r="L73" s="35">
        <v>145</v>
      </c>
      <c r="M73" s="35">
        <v>145</v>
      </c>
      <c r="N73" s="35">
        <v>135</v>
      </c>
      <c r="P73" s="35" t="s">
        <v>341</v>
      </c>
      <c r="R73"/>
    </row>
    <row r="74" ht="14.5" spans="1:18">
      <c r="A74" s="35" t="s">
        <v>328</v>
      </c>
      <c r="B74" s="12" t="str">
        <f t="shared" si="1"/>
        <v>EN_Coal + CCS</v>
      </c>
      <c r="C74" s="35" t="s">
        <v>107</v>
      </c>
      <c r="D74" s="35">
        <v>2022</v>
      </c>
      <c r="F74" s="35">
        <v>4500</v>
      </c>
      <c r="G74" s="35">
        <v>4300</v>
      </c>
      <c r="H74" s="35">
        <v>3400</v>
      </c>
      <c r="I74" s="35">
        <v>5500</v>
      </c>
      <c r="J74" s="35">
        <v>3900</v>
      </c>
      <c r="K74" s="35">
        <v>5900</v>
      </c>
      <c r="L74" s="35">
        <v>4500</v>
      </c>
      <c r="M74" s="35">
        <v>5100</v>
      </c>
      <c r="N74" s="35">
        <v>5600</v>
      </c>
      <c r="P74" s="35" t="s">
        <v>341</v>
      </c>
      <c r="R74"/>
    </row>
    <row r="75" ht="14.5" spans="1:18">
      <c r="A75" s="35" t="s">
        <v>328</v>
      </c>
      <c r="B75" s="12" t="str">
        <f t="shared" si="1"/>
        <v>EN_Coal + CCS</v>
      </c>
      <c r="C75" s="35" t="s">
        <v>107</v>
      </c>
      <c r="D75" s="35">
        <v>2030</v>
      </c>
      <c r="F75" s="35">
        <v>4500</v>
      </c>
      <c r="G75" s="35">
        <v>4300</v>
      </c>
      <c r="H75" s="35">
        <v>3400</v>
      </c>
      <c r="I75" s="35">
        <v>5500</v>
      </c>
      <c r="J75" s="35">
        <v>3900</v>
      </c>
      <c r="K75" s="35">
        <v>5900</v>
      </c>
      <c r="L75" s="35">
        <v>4500</v>
      </c>
      <c r="M75" s="35">
        <v>5100</v>
      </c>
      <c r="N75" s="35">
        <v>5600</v>
      </c>
      <c r="P75" s="35" t="s">
        <v>341</v>
      </c>
      <c r="R75"/>
    </row>
    <row r="76" ht="14.5" spans="1:18">
      <c r="A76" s="35" t="s">
        <v>328</v>
      </c>
      <c r="B76" s="12" t="str">
        <f t="shared" si="1"/>
        <v>EN_Coal + CCS</v>
      </c>
      <c r="C76" s="35" t="s">
        <v>107</v>
      </c>
      <c r="D76" s="35">
        <v>2050</v>
      </c>
      <c r="F76" s="35">
        <v>3650</v>
      </c>
      <c r="G76" s="35">
        <v>3550</v>
      </c>
      <c r="H76" s="35">
        <v>2550</v>
      </c>
      <c r="I76" s="35">
        <v>4500</v>
      </c>
      <c r="J76" s="35">
        <v>3150</v>
      </c>
      <c r="K76" s="35">
        <v>4900</v>
      </c>
      <c r="L76" s="35">
        <v>3650</v>
      </c>
      <c r="M76" s="35">
        <v>4200</v>
      </c>
      <c r="N76" s="35">
        <v>4450</v>
      </c>
      <c r="P76" s="35" t="s">
        <v>341</v>
      </c>
      <c r="R76"/>
    </row>
    <row r="77" ht="14.5" spans="1:18">
      <c r="A77" s="35" t="s">
        <v>328</v>
      </c>
      <c r="B77" s="12" t="str">
        <f t="shared" si="1"/>
        <v>\I: EN_Concentrating solar power</v>
      </c>
      <c r="C77" s="35" t="s">
        <v>329</v>
      </c>
      <c r="D77" s="35">
        <v>2022</v>
      </c>
      <c r="F77" s="35">
        <v>0.4</v>
      </c>
      <c r="G77" s="35">
        <v>0.4</v>
      </c>
      <c r="H77" s="35">
        <v>0.4</v>
      </c>
      <c r="I77" s="35">
        <v>0.4</v>
      </c>
      <c r="J77" s="35">
        <v>0.4</v>
      </c>
      <c r="K77" s="35" t="s">
        <v>372</v>
      </c>
      <c r="L77" s="35">
        <v>0.4</v>
      </c>
      <c r="M77" s="35" t="s">
        <v>372</v>
      </c>
      <c r="N77" s="35">
        <v>0.4</v>
      </c>
      <c r="P77" s="35" t="s">
        <v>342</v>
      </c>
      <c r="R77"/>
    </row>
    <row r="78" ht="14.5" spans="1:18">
      <c r="A78" s="35" t="s">
        <v>328</v>
      </c>
      <c r="B78" s="12" t="str">
        <f t="shared" si="1"/>
        <v>\I: EN_Concentrating solar power</v>
      </c>
      <c r="C78" s="35" t="s">
        <v>329</v>
      </c>
      <c r="D78" s="35">
        <v>2030</v>
      </c>
      <c r="F78" s="35">
        <v>0.4</v>
      </c>
      <c r="G78" s="35">
        <v>0.4</v>
      </c>
      <c r="H78" s="35">
        <v>0.4</v>
      </c>
      <c r="I78" s="35">
        <v>0.4</v>
      </c>
      <c r="J78" s="35">
        <v>0.4</v>
      </c>
      <c r="K78" s="35" t="s">
        <v>372</v>
      </c>
      <c r="L78" s="35">
        <v>0.4</v>
      </c>
      <c r="M78" s="35" t="s">
        <v>372</v>
      </c>
      <c r="N78" s="35">
        <v>0.4</v>
      </c>
      <c r="P78" s="35" t="s">
        <v>342</v>
      </c>
      <c r="R78"/>
    </row>
    <row r="79" ht="14.5" spans="1:18">
      <c r="A79" s="35" t="s">
        <v>328</v>
      </c>
      <c r="B79" s="12" t="str">
        <f t="shared" si="1"/>
        <v>\I: EN_Concentrating solar power</v>
      </c>
      <c r="C79" s="35" t="s">
        <v>329</v>
      </c>
      <c r="D79" s="35">
        <v>2050</v>
      </c>
      <c r="F79" s="35">
        <v>0.4</v>
      </c>
      <c r="G79" s="35">
        <v>0.4</v>
      </c>
      <c r="H79" s="35">
        <v>0.4</v>
      </c>
      <c r="I79" s="35">
        <v>0.4</v>
      </c>
      <c r="J79" s="35">
        <v>0.4</v>
      </c>
      <c r="K79" s="35" t="s">
        <v>372</v>
      </c>
      <c r="L79" s="35">
        <v>0.4</v>
      </c>
      <c r="M79" s="35" t="s">
        <v>372</v>
      </c>
      <c r="N79" s="35">
        <v>0.4</v>
      </c>
      <c r="P79" s="35" t="s">
        <v>342</v>
      </c>
      <c r="R79"/>
    </row>
    <row r="80" ht="14.5" spans="1:18">
      <c r="A80" s="35" t="s">
        <v>328</v>
      </c>
      <c r="B80" s="12" t="str">
        <f t="shared" si="1"/>
        <v>\I: EN_Concentrating solar power</v>
      </c>
      <c r="C80" s="35" t="s">
        <v>336</v>
      </c>
      <c r="D80" s="35">
        <v>2022</v>
      </c>
      <c r="F80" s="35">
        <v>200</v>
      </c>
      <c r="G80" s="35">
        <v>210</v>
      </c>
      <c r="H80" s="35">
        <v>200</v>
      </c>
      <c r="I80" s="35">
        <v>230</v>
      </c>
      <c r="J80" s="35">
        <v>230</v>
      </c>
      <c r="K80" s="35" t="s">
        <v>372</v>
      </c>
      <c r="L80" s="35">
        <v>210</v>
      </c>
      <c r="M80" s="35" t="s">
        <v>372</v>
      </c>
      <c r="N80" s="35">
        <v>260</v>
      </c>
      <c r="P80" s="35" t="s">
        <v>342</v>
      </c>
      <c r="R80"/>
    </row>
    <row r="81" ht="14.5" spans="1:18">
      <c r="A81" s="35" t="s">
        <v>328</v>
      </c>
      <c r="B81" s="12" t="str">
        <f t="shared" si="1"/>
        <v>\I: EN_Concentrating solar power</v>
      </c>
      <c r="C81" s="35" t="s">
        <v>336</v>
      </c>
      <c r="D81" s="35">
        <v>2030</v>
      </c>
      <c r="F81" s="35">
        <v>180</v>
      </c>
      <c r="G81" s="35">
        <v>190</v>
      </c>
      <c r="H81" s="35">
        <v>170</v>
      </c>
      <c r="I81" s="35">
        <v>200</v>
      </c>
      <c r="J81" s="35">
        <v>200</v>
      </c>
      <c r="K81" s="35" t="s">
        <v>372</v>
      </c>
      <c r="L81" s="35">
        <v>180</v>
      </c>
      <c r="M81" s="35" t="s">
        <v>372</v>
      </c>
      <c r="N81" s="35">
        <v>230</v>
      </c>
      <c r="P81" s="35" t="s">
        <v>342</v>
      </c>
      <c r="R81"/>
    </row>
    <row r="82" ht="14.5" spans="1:18">
      <c r="A82" s="35" t="s">
        <v>328</v>
      </c>
      <c r="B82" s="12" t="str">
        <f t="shared" si="1"/>
        <v>\I: EN_Concentrating solar power</v>
      </c>
      <c r="C82" s="35" t="s">
        <v>336</v>
      </c>
      <c r="D82" s="35">
        <v>2050</v>
      </c>
      <c r="F82" s="35">
        <v>140</v>
      </c>
      <c r="G82" s="35">
        <v>140</v>
      </c>
      <c r="H82" s="35">
        <v>130</v>
      </c>
      <c r="I82" s="35">
        <v>150</v>
      </c>
      <c r="J82" s="35">
        <v>150</v>
      </c>
      <c r="K82" s="35" t="s">
        <v>372</v>
      </c>
      <c r="L82" s="35">
        <v>140</v>
      </c>
      <c r="M82" s="35" t="s">
        <v>372</v>
      </c>
      <c r="N82" s="35">
        <v>180</v>
      </c>
      <c r="P82" s="35" t="s">
        <v>342</v>
      </c>
      <c r="R82"/>
    </row>
    <row r="83" ht="14.5" spans="1:18">
      <c r="A83" s="35" t="s">
        <v>328</v>
      </c>
      <c r="B83" s="12" t="str">
        <f t="shared" si="1"/>
        <v>\I: EN_Concentrating solar power</v>
      </c>
      <c r="C83" s="35" t="s">
        <v>107</v>
      </c>
      <c r="D83" s="35">
        <v>2022</v>
      </c>
      <c r="F83" s="35">
        <v>5050</v>
      </c>
      <c r="G83" s="35">
        <v>5350</v>
      </c>
      <c r="H83" s="35">
        <v>4900</v>
      </c>
      <c r="I83" s="35">
        <v>5650</v>
      </c>
      <c r="J83" s="35">
        <v>5700</v>
      </c>
      <c r="K83" s="35" t="s">
        <v>372</v>
      </c>
      <c r="L83" s="35">
        <v>5250</v>
      </c>
      <c r="M83" s="35" t="s">
        <v>372</v>
      </c>
      <c r="N83" s="35">
        <v>6500</v>
      </c>
      <c r="P83" s="35" t="s">
        <v>342</v>
      </c>
      <c r="R83"/>
    </row>
    <row r="84" ht="14.5" spans="1:18">
      <c r="A84" s="35" t="s">
        <v>328</v>
      </c>
      <c r="B84" s="12" t="str">
        <f t="shared" si="1"/>
        <v>\I: EN_Concentrating solar power</v>
      </c>
      <c r="C84" s="35" t="s">
        <v>107</v>
      </c>
      <c r="D84" s="35">
        <v>2030</v>
      </c>
      <c r="F84" s="35">
        <v>4450</v>
      </c>
      <c r="G84" s="35">
        <v>4650</v>
      </c>
      <c r="H84" s="35">
        <v>4200</v>
      </c>
      <c r="I84" s="35">
        <v>4950</v>
      </c>
      <c r="J84" s="35">
        <v>5000</v>
      </c>
      <c r="K84" s="35" t="s">
        <v>372</v>
      </c>
      <c r="L84" s="35">
        <v>4500</v>
      </c>
      <c r="M84" s="35" t="s">
        <v>372</v>
      </c>
      <c r="N84" s="35">
        <v>5850</v>
      </c>
      <c r="P84" s="35" t="s">
        <v>342</v>
      </c>
      <c r="R84"/>
    </row>
    <row r="85" ht="14.5" spans="1:18">
      <c r="A85" s="35" t="s">
        <v>328</v>
      </c>
      <c r="B85" s="12" t="str">
        <f t="shared" si="1"/>
        <v>\I: EN_Concentrating solar power</v>
      </c>
      <c r="C85" s="35" t="s">
        <v>107</v>
      </c>
      <c r="D85" s="35">
        <v>2050</v>
      </c>
      <c r="F85" s="35">
        <v>3450</v>
      </c>
      <c r="G85" s="35">
        <v>3450</v>
      </c>
      <c r="H85" s="35">
        <v>3250</v>
      </c>
      <c r="I85" s="35">
        <v>3850</v>
      </c>
      <c r="J85" s="35">
        <v>3800</v>
      </c>
      <c r="K85" s="35" t="s">
        <v>372</v>
      </c>
      <c r="L85" s="35">
        <v>3400</v>
      </c>
      <c r="M85" s="35" t="s">
        <v>372</v>
      </c>
      <c r="N85" s="35">
        <v>4550</v>
      </c>
      <c r="P85" s="35" t="s">
        <v>342</v>
      </c>
      <c r="R85"/>
    </row>
    <row r="86" ht="14.5" spans="1:18">
      <c r="A86" s="35" t="s">
        <v>328</v>
      </c>
      <c r="B86" s="12" t="str">
        <f t="shared" si="1"/>
        <v>\I: EN_Fuel cell (distributed electricity generation)</v>
      </c>
      <c r="C86" s="35" t="s">
        <v>329</v>
      </c>
      <c r="D86" s="35">
        <v>2022</v>
      </c>
      <c r="F86" s="35">
        <v>0.46</v>
      </c>
      <c r="G86" s="35">
        <v>0.46</v>
      </c>
      <c r="H86" s="35">
        <v>0.46</v>
      </c>
      <c r="I86" s="35">
        <v>0.46</v>
      </c>
      <c r="J86" s="35">
        <v>0.46</v>
      </c>
      <c r="K86" s="35">
        <v>0.46</v>
      </c>
      <c r="L86" s="35">
        <v>0.46</v>
      </c>
      <c r="M86" s="35">
        <v>0.46</v>
      </c>
      <c r="N86" s="35">
        <v>0.46</v>
      </c>
      <c r="P86" s="35" t="s">
        <v>344</v>
      </c>
      <c r="R86"/>
    </row>
    <row r="87" ht="14.5" spans="1:18">
      <c r="A87" s="35" t="s">
        <v>328</v>
      </c>
      <c r="B87" s="12" t="str">
        <f t="shared" si="1"/>
        <v>\I: EN_Fuel cell (distributed electricity generation)</v>
      </c>
      <c r="C87" s="35" t="s">
        <v>329</v>
      </c>
      <c r="D87" s="35">
        <v>2030</v>
      </c>
      <c r="F87" s="35">
        <v>0.54</v>
      </c>
      <c r="G87" s="35">
        <v>0.54</v>
      </c>
      <c r="H87" s="35">
        <v>0.54</v>
      </c>
      <c r="I87" s="35">
        <v>0.54</v>
      </c>
      <c r="J87" s="35">
        <v>0.54</v>
      </c>
      <c r="K87" s="35">
        <v>0.54</v>
      </c>
      <c r="L87" s="35">
        <v>0.54</v>
      </c>
      <c r="M87" s="35">
        <v>0.54</v>
      </c>
      <c r="N87" s="35">
        <v>0.54</v>
      </c>
      <c r="P87" s="35" t="s">
        <v>344</v>
      </c>
      <c r="R87"/>
    </row>
    <row r="88" ht="14.5" spans="1:18">
      <c r="A88" s="35" t="s">
        <v>328</v>
      </c>
      <c r="B88" s="12" t="str">
        <f t="shared" si="1"/>
        <v>\I: EN_Fuel cell (distributed electricity generation)</v>
      </c>
      <c r="C88" s="35" t="s">
        <v>329</v>
      </c>
      <c r="D88" s="35">
        <v>2050</v>
      </c>
      <c r="F88" s="35">
        <v>0.6</v>
      </c>
      <c r="G88" s="35">
        <v>0.6</v>
      </c>
      <c r="H88" s="35">
        <v>0.6</v>
      </c>
      <c r="I88" s="35">
        <v>0.6</v>
      </c>
      <c r="J88" s="35">
        <v>0.6</v>
      </c>
      <c r="K88" s="35">
        <v>0.6</v>
      </c>
      <c r="L88" s="35">
        <v>0.6</v>
      </c>
      <c r="M88" s="35">
        <v>0.6</v>
      </c>
      <c r="N88" s="35">
        <v>0.6</v>
      </c>
      <c r="P88" s="35" t="s">
        <v>344</v>
      </c>
      <c r="R88"/>
    </row>
    <row r="89" ht="14.5" spans="1:18">
      <c r="A89" s="35" t="s">
        <v>328</v>
      </c>
      <c r="B89" s="12" t="str">
        <f t="shared" si="1"/>
        <v>\I: EN_Fuel cell (distributed electricity generation)</v>
      </c>
      <c r="C89" s="35" t="s">
        <v>336</v>
      </c>
      <c r="D89" s="35">
        <v>2022</v>
      </c>
      <c r="F89" s="35">
        <v>150</v>
      </c>
      <c r="G89" s="35">
        <v>150</v>
      </c>
      <c r="H89" s="35">
        <v>150</v>
      </c>
      <c r="I89" s="35">
        <v>100</v>
      </c>
      <c r="J89" s="35">
        <v>150</v>
      </c>
      <c r="K89" s="35">
        <v>100</v>
      </c>
      <c r="L89" s="35">
        <v>150</v>
      </c>
      <c r="M89" s="35">
        <v>150</v>
      </c>
      <c r="N89" s="35">
        <v>100</v>
      </c>
      <c r="P89" s="35" t="s">
        <v>344</v>
      </c>
      <c r="R89"/>
    </row>
    <row r="90" ht="14.5" spans="1:18">
      <c r="A90" s="35" t="s">
        <v>328</v>
      </c>
      <c r="B90" s="12" t="str">
        <f t="shared" si="1"/>
        <v>\I: EN_Fuel cell (distributed electricity generation)</v>
      </c>
      <c r="C90" s="35" t="s">
        <v>336</v>
      </c>
      <c r="D90" s="35">
        <v>2030</v>
      </c>
      <c r="F90" s="35">
        <v>75</v>
      </c>
      <c r="G90" s="35">
        <v>75</v>
      </c>
      <c r="H90" s="35">
        <v>75</v>
      </c>
      <c r="I90" s="35">
        <v>50</v>
      </c>
      <c r="J90" s="35">
        <v>75</v>
      </c>
      <c r="K90" s="35">
        <v>50</v>
      </c>
      <c r="L90" s="35">
        <v>75</v>
      </c>
      <c r="M90" s="35">
        <v>75</v>
      </c>
      <c r="N90" s="35">
        <v>50</v>
      </c>
      <c r="P90" s="35" t="s">
        <v>344</v>
      </c>
      <c r="R90"/>
    </row>
    <row r="91" ht="14.5" spans="1:18">
      <c r="A91" s="35" t="s">
        <v>328</v>
      </c>
      <c r="B91" s="12" t="str">
        <f t="shared" si="1"/>
        <v>\I: EN_Fuel cell (distributed electricity generation)</v>
      </c>
      <c r="C91" s="35" t="s">
        <v>336</v>
      </c>
      <c r="D91" s="35">
        <v>2050</v>
      </c>
      <c r="F91" s="35">
        <v>75</v>
      </c>
      <c r="G91" s="35">
        <v>75</v>
      </c>
      <c r="H91" s="35">
        <v>75</v>
      </c>
      <c r="I91" s="35">
        <v>50</v>
      </c>
      <c r="J91" s="35">
        <v>75</v>
      </c>
      <c r="K91" s="35">
        <v>50</v>
      </c>
      <c r="L91" s="35">
        <v>75</v>
      </c>
      <c r="M91" s="35">
        <v>75</v>
      </c>
      <c r="N91" s="35">
        <v>50</v>
      </c>
      <c r="P91" s="35" t="s">
        <v>344</v>
      </c>
      <c r="R91"/>
    </row>
    <row r="92" ht="14.5" spans="1:18">
      <c r="A92" s="35" t="s">
        <v>328</v>
      </c>
      <c r="B92" s="12" t="str">
        <f t="shared" si="1"/>
        <v>\I: EN_Fuel cell (distributed electricity generation)</v>
      </c>
      <c r="C92" s="35" t="s">
        <v>107</v>
      </c>
      <c r="D92" s="35">
        <v>2022</v>
      </c>
      <c r="F92" s="35">
        <v>5000</v>
      </c>
      <c r="G92" s="35">
        <v>5000</v>
      </c>
      <c r="H92" s="35">
        <v>5000</v>
      </c>
      <c r="I92" s="35">
        <v>5000</v>
      </c>
      <c r="J92" s="35">
        <v>5000</v>
      </c>
      <c r="K92" s="35">
        <v>5000</v>
      </c>
      <c r="L92" s="35">
        <v>5000</v>
      </c>
      <c r="M92" s="35">
        <v>5000</v>
      </c>
      <c r="N92" s="35">
        <v>5000</v>
      </c>
      <c r="P92" s="35" t="s">
        <v>344</v>
      </c>
      <c r="R92"/>
    </row>
    <row r="93" ht="14.5" spans="1:18">
      <c r="A93" s="35" t="s">
        <v>328</v>
      </c>
      <c r="B93" s="12" t="str">
        <f t="shared" si="1"/>
        <v>\I: EN_Fuel cell (distributed electricity generation)</v>
      </c>
      <c r="C93" s="35" t="s">
        <v>107</v>
      </c>
      <c r="D93" s="35">
        <v>2030</v>
      </c>
      <c r="F93" s="35">
        <v>2500</v>
      </c>
      <c r="G93" s="35">
        <v>2500</v>
      </c>
      <c r="H93" s="35">
        <v>2500</v>
      </c>
      <c r="I93" s="35">
        <v>2500</v>
      </c>
      <c r="J93" s="35">
        <v>2500</v>
      </c>
      <c r="K93" s="35">
        <v>2500</v>
      </c>
      <c r="L93" s="35">
        <v>2500</v>
      </c>
      <c r="M93" s="35">
        <v>2500</v>
      </c>
      <c r="N93" s="35">
        <v>2500</v>
      </c>
      <c r="P93" s="35" t="s">
        <v>344</v>
      </c>
      <c r="R93"/>
    </row>
    <row r="94" ht="14.5" spans="1:18">
      <c r="A94" s="35" t="s">
        <v>328</v>
      </c>
      <c r="B94" s="12" t="str">
        <f t="shared" si="1"/>
        <v>\I: EN_Fuel cell (distributed electricity generation)</v>
      </c>
      <c r="C94" s="35" t="s">
        <v>107</v>
      </c>
      <c r="D94" s="35">
        <v>2050</v>
      </c>
      <c r="F94" s="35">
        <v>2500</v>
      </c>
      <c r="G94" s="35">
        <v>2500</v>
      </c>
      <c r="H94" s="35">
        <v>2500</v>
      </c>
      <c r="I94" s="35">
        <v>2500</v>
      </c>
      <c r="J94" s="35">
        <v>2500</v>
      </c>
      <c r="K94" s="35">
        <v>2500</v>
      </c>
      <c r="L94" s="35">
        <v>2500</v>
      </c>
      <c r="M94" s="35">
        <v>2500</v>
      </c>
      <c r="N94" s="35">
        <v>2500</v>
      </c>
      <c r="P94" s="35" t="s">
        <v>344</v>
      </c>
      <c r="R94"/>
    </row>
    <row r="95" ht="14.5" spans="1:18">
      <c r="A95" s="35" t="s">
        <v>328</v>
      </c>
      <c r="B95" s="12" t="str">
        <f t="shared" si="1"/>
        <v>EN_Gas turbine</v>
      </c>
      <c r="C95" s="35" t="s">
        <v>329</v>
      </c>
      <c r="D95" s="35">
        <v>2022</v>
      </c>
      <c r="F95" s="35">
        <v>0.38</v>
      </c>
      <c r="G95" s="35">
        <v>0.38</v>
      </c>
      <c r="H95" s="35">
        <v>0.38</v>
      </c>
      <c r="I95" s="35">
        <v>0.4</v>
      </c>
      <c r="J95" s="35">
        <v>0.38</v>
      </c>
      <c r="K95" s="35">
        <v>0.4</v>
      </c>
      <c r="L95" s="35">
        <v>0.38</v>
      </c>
      <c r="M95" s="35">
        <v>0.38</v>
      </c>
      <c r="N95" s="35">
        <v>0.4</v>
      </c>
      <c r="P95" s="35" t="s">
        <v>346</v>
      </c>
      <c r="R95"/>
    </row>
    <row r="96" ht="14.5" spans="1:18">
      <c r="A96" s="35" t="s">
        <v>328</v>
      </c>
      <c r="B96" s="12" t="str">
        <f t="shared" si="1"/>
        <v>EN_Gas turbine</v>
      </c>
      <c r="C96" s="35" t="s">
        <v>329</v>
      </c>
      <c r="D96" s="35">
        <v>2030</v>
      </c>
      <c r="F96" s="35">
        <v>0.39</v>
      </c>
      <c r="G96" s="35">
        <v>0.39</v>
      </c>
      <c r="H96" s="35">
        <v>0.39</v>
      </c>
      <c r="I96" s="35">
        <v>0.41</v>
      </c>
      <c r="J96" s="35">
        <v>0.39</v>
      </c>
      <c r="K96" s="35">
        <v>0.41</v>
      </c>
      <c r="L96" s="35">
        <v>0.39</v>
      </c>
      <c r="M96" s="35">
        <v>0.39</v>
      </c>
      <c r="N96" s="35">
        <v>0.41</v>
      </c>
      <c r="P96" s="35" t="s">
        <v>346</v>
      </c>
      <c r="R96"/>
    </row>
    <row r="97" ht="14.5" spans="1:18">
      <c r="A97" s="35" t="s">
        <v>328</v>
      </c>
      <c r="B97" s="12" t="str">
        <f t="shared" si="1"/>
        <v>EN_Gas turbine</v>
      </c>
      <c r="C97" s="35" t="s">
        <v>329</v>
      </c>
      <c r="D97" s="35">
        <v>2050</v>
      </c>
      <c r="F97" s="35">
        <v>0.41</v>
      </c>
      <c r="G97" s="35">
        <v>0.41</v>
      </c>
      <c r="H97" s="35">
        <v>0.41</v>
      </c>
      <c r="I97" s="35">
        <v>0.42</v>
      </c>
      <c r="J97" s="35">
        <v>0.41</v>
      </c>
      <c r="K97" s="35">
        <v>0.42</v>
      </c>
      <c r="L97" s="35">
        <v>0.41</v>
      </c>
      <c r="M97" s="35">
        <v>0.41</v>
      </c>
      <c r="N97" s="35">
        <v>0.42</v>
      </c>
      <c r="P97" s="35" t="s">
        <v>346</v>
      </c>
      <c r="R97"/>
    </row>
    <row r="98" ht="14.5" spans="1:18">
      <c r="A98" s="35" t="s">
        <v>328</v>
      </c>
      <c r="B98" s="12" t="str">
        <f t="shared" si="1"/>
        <v>EN_Gas turbine</v>
      </c>
      <c r="C98" s="35" t="s">
        <v>336</v>
      </c>
      <c r="D98" s="35">
        <v>2022</v>
      </c>
      <c r="F98" s="35">
        <v>20</v>
      </c>
      <c r="G98" s="35">
        <v>20</v>
      </c>
      <c r="H98" s="35">
        <v>20</v>
      </c>
      <c r="I98" s="35">
        <v>20</v>
      </c>
      <c r="J98" s="35">
        <v>20</v>
      </c>
      <c r="K98" s="35">
        <v>20</v>
      </c>
      <c r="L98" s="35">
        <v>25</v>
      </c>
      <c r="M98" s="35">
        <v>25</v>
      </c>
      <c r="N98" s="35">
        <v>20</v>
      </c>
      <c r="P98" s="35" t="s">
        <v>346</v>
      </c>
      <c r="R98"/>
    </row>
    <row r="99" ht="14.5" spans="1:18">
      <c r="A99" s="35" t="s">
        <v>328</v>
      </c>
      <c r="B99" s="12" t="str">
        <f t="shared" si="1"/>
        <v>EN_Gas turbine</v>
      </c>
      <c r="C99" s="35" t="s">
        <v>336</v>
      </c>
      <c r="D99" s="35">
        <v>2030</v>
      </c>
      <c r="F99" s="35">
        <v>20</v>
      </c>
      <c r="G99" s="35">
        <v>20</v>
      </c>
      <c r="H99" s="35">
        <v>20</v>
      </c>
      <c r="I99" s="35">
        <v>20</v>
      </c>
      <c r="J99" s="35">
        <v>20</v>
      </c>
      <c r="K99" s="35">
        <v>20</v>
      </c>
      <c r="L99" s="35">
        <v>25</v>
      </c>
      <c r="M99" s="35">
        <v>25</v>
      </c>
      <c r="N99" s="35">
        <v>20</v>
      </c>
      <c r="P99" s="35" t="s">
        <v>346</v>
      </c>
      <c r="R99"/>
    </row>
    <row r="100" ht="14.5" spans="1:18">
      <c r="A100" s="35" t="s">
        <v>328</v>
      </c>
      <c r="B100" s="12" t="str">
        <f t="shared" si="1"/>
        <v>EN_Gas turbine</v>
      </c>
      <c r="C100" s="35" t="s">
        <v>336</v>
      </c>
      <c r="D100" s="35">
        <v>2050</v>
      </c>
      <c r="F100" s="35">
        <v>20</v>
      </c>
      <c r="G100" s="35">
        <v>20</v>
      </c>
      <c r="H100" s="35">
        <v>20</v>
      </c>
      <c r="I100" s="35">
        <v>20</v>
      </c>
      <c r="J100" s="35">
        <v>20</v>
      </c>
      <c r="K100" s="35">
        <v>20</v>
      </c>
      <c r="L100" s="35">
        <v>25</v>
      </c>
      <c r="M100" s="35">
        <v>25</v>
      </c>
      <c r="N100" s="35">
        <v>20</v>
      </c>
      <c r="P100" s="35" t="s">
        <v>346</v>
      </c>
      <c r="R100"/>
    </row>
    <row r="101" ht="14.5" spans="1:18">
      <c r="A101" s="35" t="s">
        <v>328</v>
      </c>
      <c r="B101" s="12" t="str">
        <f t="shared" si="1"/>
        <v>EN_Gas turbine</v>
      </c>
      <c r="C101" s="35" t="s">
        <v>107</v>
      </c>
      <c r="D101" s="35">
        <v>2022</v>
      </c>
      <c r="F101" s="35">
        <v>400</v>
      </c>
      <c r="G101" s="35">
        <v>400</v>
      </c>
      <c r="H101" s="35">
        <v>350</v>
      </c>
      <c r="I101" s="35">
        <v>500</v>
      </c>
      <c r="J101" s="35">
        <v>400</v>
      </c>
      <c r="K101" s="35">
        <v>500</v>
      </c>
      <c r="L101" s="35">
        <v>450</v>
      </c>
      <c r="M101" s="35">
        <v>450</v>
      </c>
      <c r="N101" s="35">
        <v>500</v>
      </c>
      <c r="P101" s="35" t="s">
        <v>346</v>
      </c>
      <c r="R101"/>
    </row>
    <row r="102" ht="14.5" spans="1:18">
      <c r="A102" s="35" t="s">
        <v>328</v>
      </c>
      <c r="B102" s="12" t="str">
        <f t="shared" si="1"/>
        <v>EN_Gas turbine</v>
      </c>
      <c r="C102" s="35" t="s">
        <v>107</v>
      </c>
      <c r="D102" s="35">
        <v>2030</v>
      </c>
      <c r="F102" s="35">
        <v>400</v>
      </c>
      <c r="G102" s="35">
        <v>400</v>
      </c>
      <c r="H102" s="35">
        <v>350</v>
      </c>
      <c r="I102" s="35">
        <v>500</v>
      </c>
      <c r="J102" s="35">
        <v>400</v>
      </c>
      <c r="K102" s="35">
        <v>500</v>
      </c>
      <c r="L102" s="35">
        <v>450</v>
      </c>
      <c r="M102" s="35">
        <v>450</v>
      </c>
      <c r="N102" s="35">
        <v>500</v>
      </c>
      <c r="P102" s="35" t="s">
        <v>346</v>
      </c>
      <c r="R102"/>
    </row>
    <row r="103" ht="14.5" spans="1:18">
      <c r="A103" s="35" t="s">
        <v>328</v>
      </c>
      <c r="B103" s="12" t="str">
        <f t="shared" si="1"/>
        <v>EN_Gas turbine</v>
      </c>
      <c r="C103" s="35" t="s">
        <v>107</v>
      </c>
      <c r="D103" s="35">
        <v>2050</v>
      </c>
      <c r="F103" s="35">
        <v>400</v>
      </c>
      <c r="G103" s="35">
        <v>400</v>
      </c>
      <c r="H103" s="35">
        <v>350</v>
      </c>
      <c r="I103" s="35">
        <v>500</v>
      </c>
      <c r="J103" s="35">
        <v>400</v>
      </c>
      <c r="K103" s="35">
        <v>500</v>
      </c>
      <c r="L103" s="35">
        <v>450</v>
      </c>
      <c r="M103" s="35">
        <v>450</v>
      </c>
      <c r="N103" s="35">
        <v>500</v>
      </c>
      <c r="P103" s="35" t="s">
        <v>346</v>
      </c>
      <c r="R103"/>
    </row>
    <row r="104" ht="14.5" spans="1:18">
      <c r="A104" s="35" t="s">
        <v>328</v>
      </c>
      <c r="B104" s="12" t="str">
        <f t="shared" si="1"/>
        <v>EN_Geothermal</v>
      </c>
      <c r="C104" s="35" t="s">
        <v>329</v>
      </c>
      <c r="D104" s="35">
        <v>2022</v>
      </c>
      <c r="F104" s="35">
        <v>0.1</v>
      </c>
      <c r="G104" s="35" t="s">
        <v>372</v>
      </c>
      <c r="H104" s="35">
        <v>0.1</v>
      </c>
      <c r="I104" s="35">
        <v>0.1</v>
      </c>
      <c r="J104" s="35">
        <v>0.1</v>
      </c>
      <c r="K104" s="35">
        <v>0.1</v>
      </c>
      <c r="L104" s="35">
        <v>0.1</v>
      </c>
      <c r="M104" s="35">
        <v>0.1</v>
      </c>
      <c r="N104" s="35">
        <v>0.1</v>
      </c>
      <c r="P104" s="35" t="s">
        <v>347</v>
      </c>
      <c r="R104"/>
    </row>
    <row r="105" ht="14.5" spans="1:18">
      <c r="A105" s="35" t="s">
        <v>328</v>
      </c>
      <c r="B105" s="12" t="str">
        <f t="shared" si="1"/>
        <v>EN_Geothermal</v>
      </c>
      <c r="C105" s="35" t="s">
        <v>329</v>
      </c>
      <c r="D105" s="35">
        <v>2030</v>
      </c>
      <c r="F105" s="35">
        <v>0.1</v>
      </c>
      <c r="G105" s="35" t="s">
        <v>372</v>
      </c>
      <c r="H105" s="35">
        <v>0.1</v>
      </c>
      <c r="I105" s="35">
        <v>0.1</v>
      </c>
      <c r="J105" s="35">
        <v>0.1</v>
      </c>
      <c r="K105" s="35">
        <v>0.1</v>
      </c>
      <c r="L105" s="35">
        <v>0.1</v>
      </c>
      <c r="M105" s="35">
        <v>0.1</v>
      </c>
      <c r="N105" s="35">
        <v>0.1</v>
      </c>
      <c r="P105" s="35" t="s">
        <v>347</v>
      </c>
      <c r="R105"/>
    </row>
    <row r="106" ht="14.5" spans="1:18">
      <c r="A106" s="35" t="s">
        <v>328</v>
      </c>
      <c r="B106" s="12" t="str">
        <f t="shared" si="1"/>
        <v>EN_Geothermal</v>
      </c>
      <c r="C106" s="35" t="s">
        <v>329</v>
      </c>
      <c r="D106" s="35">
        <v>2050</v>
      </c>
      <c r="F106" s="35">
        <v>0.1</v>
      </c>
      <c r="G106" s="35" t="s">
        <v>372</v>
      </c>
      <c r="H106" s="35">
        <v>0.1</v>
      </c>
      <c r="I106" s="35">
        <v>0.1</v>
      </c>
      <c r="J106" s="35">
        <v>0.1</v>
      </c>
      <c r="K106" s="35">
        <v>0.1</v>
      </c>
      <c r="L106" s="35">
        <v>0.1</v>
      </c>
      <c r="M106" s="35">
        <v>0.1</v>
      </c>
      <c r="N106" s="35">
        <v>0.1</v>
      </c>
      <c r="P106" s="35" t="s">
        <v>347</v>
      </c>
      <c r="R106"/>
    </row>
    <row r="107" ht="14.5" spans="1:18">
      <c r="A107" s="35" t="s">
        <v>328</v>
      </c>
      <c r="B107" s="12" t="str">
        <f t="shared" si="1"/>
        <v>EN_Geothermal</v>
      </c>
      <c r="C107" s="35" t="s">
        <v>336</v>
      </c>
      <c r="D107" s="35">
        <v>2022</v>
      </c>
      <c r="F107" s="35">
        <v>60</v>
      </c>
      <c r="G107" s="35" t="s">
        <v>372</v>
      </c>
      <c r="H107" s="35">
        <v>45</v>
      </c>
      <c r="I107" s="35">
        <v>55</v>
      </c>
      <c r="J107" s="35">
        <v>70</v>
      </c>
      <c r="K107" s="35">
        <v>55</v>
      </c>
      <c r="L107" s="35">
        <v>45</v>
      </c>
      <c r="M107" s="35">
        <v>45</v>
      </c>
      <c r="N107" s="35">
        <v>45</v>
      </c>
      <c r="P107" s="35" t="s">
        <v>347</v>
      </c>
      <c r="R107"/>
    </row>
    <row r="108" ht="14.5" spans="1:18">
      <c r="A108" s="35" t="s">
        <v>328</v>
      </c>
      <c r="B108" s="12" t="str">
        <f t="shared" si="1"/>
        <v>EN_Geothermal</v>
      </c>
      <c r="C108" s="35" t="s">
        <v>336</v>
      </c>
      <c r="D108" s="35">
        <v>2030</v>
      </c>
      <c r="F108" s="35">
        <v>60</v>
      </c>
      <c r="G108" s="35" t="s">
        <v>372</v>
      </c>
      <c r="H108" s="35">
        <v>45</v>
      </c>
      <c r="I108" s="35">
        <v>55</v>
      </c>
      <c r="J108" s="35">
        <v>70</v>
      </c>
      <c r="K108" s="35">
        <v>55</v>
      </c>
      <c r="L108" s="35">
        <v>40</v>
      </c>
      <c r="M108" s="35">
        <v>40</v>
      </c>
      <c r="N108" s="35">
        <v>40</v>
      </c>
      <c r="P108" s="35" t="s">
        <v>347</v>
      </c>
      <c r="R108"/>
    </row>
    <row r="109" ht="14.5" spans="1:18">
      <c r="A109" s="35" t="s">
        <v>328</v>
      </c>
      <c r="B109" s="12" t="str">
        <f t="shared" si="1"/>
        <v>EN_Geothermal</v>
      </c>
      <c r="C109" s="35" t="s">
        <v>336</v>
      </c>
      <c r="D109" s="35">
        <v>2050</v>
      </c>
      <c r="F109" s="35">
        <v>55</v>
      </c>
      <c r="G109" s="35" t="s">
        <v>372</v>
      </c>
      <c r="H109" s="35">
        <v>40</v>
      </c>
      <c r="I109" s="35">
        <v>50</v>
      </c>
      <c r="J109" s="35">
        <v>65</v>
      </c>
      <c r="K109" s="35">
        <v>50</v>
      </c>
      <c r="L109" s="35">
        <v>40</v>
      </c>
      <c r="M109" s="35">
        <v>40</v>
      </c>
      <c r="N109" s="35">
        <v>40</v>
      </c>
      <c r="P109" s="35" t="s">
        <v>347</v>
      </c>
      <c r="R109"/>
    </row>
    <row r="110" ht="14.5" spans="1:18">
      <c r="A110" s="35" t="s">
        <v>328</v>
      </c>
      <c r="B110" s="12" t="str">
        <f t="shared" si="1"/>
        <v>EN_Geothermal</v>
      </c>
      <c r="C110" s="35" t="s">
        <v>107</v>
      </c>
      <c r="D110" s="35">
        <v>2022</v>
      </c>
      <c r="F110" s="35">
        <v>3050</v>
      </c>
      <c r="G110" s="35" t="s">
        <v>372</v>
      </c>
      <c r="H110" s="35">
        <v>2300</v>
      </c>
      <c r="I110" s="35">
        <v>2850</v>
      </c>
      <c r="J110" s="35">
        <v>3600</v>
      </c>
      <c r="K110" s="35">
        <v>2800</v>
      </c>
      <c r="L110" s="35">
        <v>2200</v>
      </c>
      <c r="M110" s="35">
        <v>2200</v>
      </c>
      <c r="N110" s="35">
        <v>2150</v>
      </c>
      <c r="P110" s="35" t="s">
        <v>347</v>
      </c>
      <c r="R110"/>
    </row>
    <row r="111" ht="14.5" spans="1:18">
      <c r="A111" s="35" t="s">
        <v>328</v>
      </c>
      <c r="B111" s="12" t="str">
        <f t="shared" si="1"/>
        <v>EN_Geothermal</v>
      </c>
      <c r="C111" s="35" t="s">
        <v>107</v>
      </c>
      <c r="D111" s="35">
        <v>2030</v>
      </c>
      <c r="F111" s="35">
        <v>2900</v>
      </c>
      <c r="G111" s="35" t="s">
        <v>372</v>
      </c>
      <c r="H111" s="35">
        <v>2200</v>
      </c>
      <c r="I111" s="35">
        <v>2750</v>
      </c>
      <c r="J111" s="35">
        <v>3450</v>
      </c>
      <c r="K111" s="35">
        <v>2700</v>
      </c>
      <c r="L111" s="35">
        <v>2100</v>
      </c>
      <c r="M111" s="35">
        <v>2100</v>
      </c>
      <c r="N111" s="35">
        <v>2100</v>
      </c>
      <c r="P111" s="35" t="s">
        <v>347</v>
      </c>
      <c r="R111"/>
    </row>
    <row r="112" ht="14.5" spans="1:18">
      <c r="A112" s="35" t="s">
        <v>328</v>
      </c>
      <c r="B112" s="12" t="str">
        <f t="shared" si="1"/>
        <v>EN_Geothermal</v>
      </c>
      <c r="C112" s="35" t="s">
        <v>107</v>
      </c>
      <c r="D112" s="35">
        <v>2050</v>
      </c>
      <c r="F112" s="35">
        <v>2700</v>
      </c>
      <c r="G112" s="35" t="s">
        <v>372</v>
      </c>
      <c r="H112" s="35">
        <v>2000</v>
      </c>
      <c r="I112" s="35">
        <v>2550</v>
      </c>
      <c r="J112" s="35">
        <v>3200</v>
      </c>
      <c r="K112" s="35">
        <v>2500</v>
      </c>
      <c r="L112" s="35">
        <v>2000</v>
      </c>
      <c r="M112" s="35">
        <v>1950</v>
      </c>
      <c r="N112" s="35">
        <v>1950</v>
      </c>
      <c r="P112" s="35" t="s">
        <v>347</v>
      </c>
      <c r="R112"/>
    </row>
    <row r="113" ht="14.5" spans="1:18">
      <c r="A113" s="35" t="s">
        <v>328</v>
      </c>
      <c r="B113" s="12" t="str">
        <f t="shared" si="1"/>
        <v>EN_Hydro*</v>
      </c>
      <c r="C113" s="35" t="s">
        <v>329</v>
      </c>
      <c r="D113" s="35">
        <v>2022</v>
      </c>
      <c r="F113" s="35">
        <v>1</v>
      </c>
      <c r="G113" s="35">
        <v>1</v>
      </c>
      <c r="H113" s="35">
        <v>1</v>
      </c>
      <c r="I113" s="35">
        <v>1</v>
      </c>
      <c r="J113" s="35">
        <v>1</v>
      </c>
      <c r="K113" s="35">
        <v>1</v>
      </c>
      <c r="L113" s="35">
        <v>1</v>
      </c>
      <c r="M113" s="35">
        <v>1</v>
      </c>
      <c r="N113" s="35">
        <v>1</v>
      </c>
      <c r="P113" s="35" t="s">
        <v>348</v>
      </c>
      <c r="R113"/>
    </row>
    <row r="114" ht="14.5" spans="1:18">
      <c r="A114" s="35" t="s">
        <v>328</v>
      </c>
      <c r="B114" s="12" t="str">
        <f t="shared" si="1"/>
        <v>EN_Hydro*</v>
      </c>
      <c r="C114" s="35" t="s">
        <v>329</v>
      </c>
      <c r="D114" s="35">
        <v>2030</v>
      </c>
      <c r="F114" s="35">
        <v>1</v>
      </c>
      <c r="G114" s="35">
        <v>1</v>
      </c>
      <c r="H114" s="35">
        <v>1</v>
      </c>
      <c r="I114" s="35">
        <v>1</v>
      </c>
      <c r="J114" s="35">
        <v>1</v>
      </c>
      <c r="K114" s="35">
        <v>1</v>
      </c>
      <c r="L114" s="35">
        <v>1</v>
      </c>
      <c r="M114" s="35">
        <v>1</v>
      </c>
      <c r="N114" s="35">
        <v>1</v>
      </c>
      <c r="P114" s="35" t="s">
        <v>348</v>
      </c>
      <c r="R114"/>
    </row>
    <row r="115" ht="14.5" spans="1:18">
      <c r="A115" s="35" t="s">
        <v>328</v>
      </c>
      <c r="B115" s="12" t="str">
        <f t="shared" si="1"/>
        <v>EN_Hydro*</v>
      </c>
      <c r="C115" s="35" t="s">
        <v>329</v>
      </c>
      <c r="D115" s="35">
        <v>2050</v>
      </c>
      <c r="F115" s="35">
        <v>1</v>
      </c>
      <c r="G115" s="35">
        <v>1</v>
      </c>
      <c r="H115" s="35">
        <v>1</v>
      </c>
      <c r="I115" s="35">
        <v>1</v>
      </c>
      <c r="J115" s="35">
        <v>1</v>
      </c>
      <c r="K115" s="35">
        <v>1</v>
      </c>
      <c r="L115" s="35">
        <v>1</v>
      </c>
      <c r="M115" s="35">
        <v>1</v>
      </c>
      <c r="N115" s="35">
        <v>1</v>
      </c>
      <c r="P115" s="35" t="s">
        <v>348</v>
      </c>
      <c r="R115"/>
    </row>
    <row r="116" ht="14.5" spans="1:18">
      <c r="A116" s="35" t="s">
        <v>328</v>
      </c>
      <c r="B116" s="12" t="str">
        <f t="shared" si="1"/>
        <v>EN_Hydro*</v>
      </c>
      <c r="C116" s="35" t="s">
        <v>336</v>
      </c>
      <c r="D116" s="35">
        <v>2022</v>
      </c>
      <c r="F116" s="35">
        <v>50</v>
      </c>
      <c r="G116" s="35">
        <v>55</v>
      </c>
      <c r="H116" s="35">
        <v>40</v>
      </c>
      <c r="I116" s="35">
        <v>60</v>
      </c>
      <c r="J116" s="35">
        <v>50</v>
      </c>
      <c r="K116" s="35">
        <v>60</v>
      </c>
      <c r="L116" s="35">
        <v>55</v>
      </c>
      <c r="M116" s="35">
        <v>50</v>
      </c>
      <c r="N116" s="35">
        <v>65</v>
      </c>
      <c r="P116" s="35" t="s">
        <v>348</v>
      </c>
      <c r="R116"/>
    </row>
    <row r="117" ht="14.5" spans="1:18">
      <c r="A117" s="35" t="s">
        <v>328</v>
      </c>
      <c r="B117" s="12" t="str">
        <f t="shared" si="1"/>
        <v>EN_Hydro*</v>
      </c>
      <c r="C117" s="35" t="s">
        <v>336</v>
      </c>
      <c r="D117" s="35">
        <v>2030</v>
      </c>
      <c r="F117" s="35">
        <v>50</v>
      </c>
      <c r="G117" s="35">
        <v>50</v>
      </c>
      <c r="H117" s="35">
        <v>40</v>
      </c>
      <c r="I117" s="35">
        <v>60</v>
      </c>
      <c r="J117" s="35">
        <v>50</v>
      </c>
      <c r="K117" s="35">
        <v>60</v>
      </c>
      <c r="L117" s="35">
        <v>55</v>
      </c>
      <c r="M117" s="35">
        <v>50</v>
      </c>
      <c r="N117" s="35">
        <v>65</v>
      </c>
      <c r="P117" s="35" t="s">
        <v>348</v>
      </c>
      <c r="R117"/>
    </row>
    <row r="118" ht="14.5" spans="1:18">
      <c r="A118" s="35" t="s">
        <v>328</v>
      </c>
      <c r="B118" s="12" t="str">
        <f t="shared" si="1"/>
        <v>EN_Hydro*</v>
      </c>
      <c r="C118" s="35" t="s">
        <v>336</v>
      </c>
      <c r="D118" s="35">
        <v>2050</v>
      </c>
      <c r="F118" s="35">
        <v>50</v>
      </c>
      <c r="G118" s="35">
        <v>50</v>
      </c>
      <c r="H118" s="35">
        <v>40</v>
      </c>
      <c r="I118" s="35">
        <v>60</v>
      </c>
      <c r="J118" s="35">
        <v>50</v>
      </c>
      <c r="K118" s="35">
        <v>60</v>
      </c>
      <c r="L118" s="35">
        <v>50</v>
      </c>
      <c r="M118" s="35">
        <v>50</v>
      </c>
      <c r="N118" s="35">
        <v>65</v>
      </c>
      <c r="P118" s="35" t="s">
        <v>348</v>
      </c>
      <c r="R118"/>
    </row>
    <row r="119" ht="14.5" spans="1:18">
      <c r="A119" s="35" t="s">
        <v>328</v>
      </c>
      <c r="B119" s="12" t="str">
        <f t="shared" si="1"/>
        <v>EN_Hydro*</v>
      </c>
      <c r="C119" s="35" t="s">
        <v>107</v>
      </c>
      <c r="D119" s="35">
        <v>2022</v>
      </c>
      <c r="F119" s="35">
        <v>2100</v>
      </c>
      <c r="G119" s="35">
        <v>2100</v>
      </c>
      <c r="H119" s="35">
        <v>1600</v>
      </c>
      <c r="I119" s="35">
        <v>2650</v>
      </c>
      <c r="J119" s="35">
        <v>2000</v>
      </c>
      <c r="K119" s="35">
        <v>2400</v>
      </c>
      <c r="L119" s="35">
        <v>2150</v>
      </c>
      <c r="M119" s="35">
        <v>2050</v>
      </c>
      <c r="N119" s="35">
        <v>2700</v>
      </c>
      <c r="P119" s="35" t="s">
        <v>348</v>
      </c>
      <c r="R119"/>
    </row>
    <row r="120" ht="14.5" spans="1:18">
      <c r="A120" s="35" t="s">
        <v>328</v>
      </c>
      <c r="B120" s="12" t="str">
        <f t="shared" si="1"/>
        <v>EN_Hydro*</v>
      </c>
      <c r="C120" s="35" t="s">
        <v>107</v>
      </c>
      <c r="D120" s="35">
        <v>2030</v>
      </c>
      <c r="F120" s="35">
        <v>2100</v>
      </c>
      <c r="G120" s="35">
        <v>2100</v>
      </c>
      <c r="H120" s="35">
        <v>1600</v>
      </c>
      <c r="I120" s="35">
        <v>2650</v>
      </c>
      <c r="J120" s="35">
        <v>2000</v>
      </c>
      <c r="K120" s="35">
        <v>2400</v>
      </c>
      <c r="L120" s="35">
        <v>2150</v>
      </c>
      <c r="M120" s="35">
        <v>2050</v>
      </c>
      <c r="N120" s="35">
        <v>2700</v>
      </c>
      <c r="P120" s="35" t="s">
        <v>348</v>
      </c>
      <c r="R120"/>
    </row>
    <row r="121" ht="14.5" spans="1:18">
      <c r="A121" s="35" t="s">
        <v>328</v>
      </c>
      <c r="B121" s="12" t="str">
        <f t="shared" si="1"/>
        <v>EN_Hydro*</v>
      </c>
      <c r="C121" s="35" t="s">
        <v>107</v>
      </c>
      <c r="D121" s="35">
        <v>2050</v>
      </c>
      <c r="F121" s="35">
        <v>2100</v>
      </c>
      <c r="G121" s="35">
        <v>2100</v>
      </c>
      <c r="H121" s="35">
        <v>1600</v>
      </c>
      <c r="I121" s="35">
        <v>2650</v>
      </c>
      <c r="J121" s="35">
        <v>2000</v>
      </c>
      <c r="K121" s="35">
        <v>2400</v>
      </c>
      <c r="L121" s="35">
        <v>2150</v>
      </c>
      <c r="M121" s="35">
        <v>2050</v>
      </c>
      <c r="N121" s="35">
        <v>2700</v>
      </c>
      <c r="P121" s="35" t="s">
        <v>348</v>
      </c>
      <c r="R121"/>
    </row>
    <row r="122" ht="14.5" spans="1:18">
      <c r="A122" s="35" t="s">
        <v>328</v>
      </c>
      <c r="B122" s="12" t="str">
        <f t="shared" si="1"/>
        <v>\I: EN_Hydropower - small-scale unit</v>
      </c>
      <c r="C122" s="35" t="s">
        <v>329</v>
      </c>
      <c r="D122" s="35">
        <v>2022</v>
      </c>
      <c r="F122" s="35">
        <v>1</v>
      </c>
      <c r="G122" s="35">
        <v>1</v>
      </c>
      <c r="H122" s="35">
        <v>1</v>
      </c>
      <c r="I122" s="35">
        <v>1</v>
      </c>
      <c r="J122" s="35">
        <v>1</v>
      </c>
      <c r="K122" s="35">
        <v>1</v>
      </c>
      <c r="L122" s="35">
        <v>1</v>
      </c>
      <c r="M122" s="35">
        <v>1</v>
      </c>
      <c r="N122" s="35">
        <v>1</v>
      </c>
      <c r="P122" s="35" t="s">
        <v>350</v>
      </c>
      <c r="R122"/>
    </row>
    <row r="123" ht="14.5" spans="1:18">
      <c r="A123" s="35" t="s">
        <v>328</v>
      </c>
      <c r="B123" s="12" t="str">
        <f t="shared" si="1"/>
        <v>\I: EN_Hydropower - small-scale unit</v>
      </c>
      <c r="C123" s="35" t="s">
        <v>329</v>
      </c>
      <c r="D123" s="35">
        <v>2030</v>
      </c>
      <c r="F123" s="35">
        <v>1</v>
      </c>
      <c r="G123" s="35">
        <v>1</v>
      </c>
      <c r="H123" s="35">
        <v>1</v>
      </c>
      <c r="I123" s="35">
        <v>1</v>
      </c>
      <c r="J123" s="35">
        <v>1</v>
      </c>
      <c r="K123" s="35">
        <v>1</v>
      </c>
      <c r="L123" s="35">
        <v>1</v>
      </c>
      <c r="M123" s="35">
        <v>1</v>
      </c>
      <c r="N123" s="35">
        <v>1</v>
      </c>
      <c r="P123" s="35" t="s">
        <v>350</v>
      </c>
      <c r="R123"/>
    </row>
    <row r="124" ht="14.5" spans="1:18">
      <c r="A124" s="35" t="s">
        <v>328</v>
      </c>
      <c r="B124" s="12" t="str">
        <f t="shared" si="1"/>
        <v>\I: EN_Hydropower - small-scale unit</v>
      </c>
      <c r="C124" s="35" t="s">
        <v>329</v>
      </c>
      <c r="D124" s="35">
        <v>2050</v>
      </c>
      <c r="F124" s="35">
        <v>1</v>
      </c>
      <c r="G124" s="35">
        <v>1</v>
      </c>
      <c r="H124" s="35">
        <v>1</v>
      </c>
      <c r="I124" s="35">
        <v>1</v>
      </c>
      <c r="J124" s="35">
        <v>1</v>
      </c>
      <c r="K124" s="35">
        <v>1</v>
      </c>
      <c r="L124" s="35">
        <v>1</v>
      </c>
      <c r="M124" s="35">
        <v>1</v>
      </c>
      <c r="N124" s="35">
        <v>1</v>
      </c>
      <c r="P124" s="35" t="s">
        <v>350</v>
      </c>
      <c r="R124"/>
    </row>
    <row r="125" ht="14.5" spans="1:18">
      <c r="A125" s="35" t="s">
        <v>328</v>
      </c>
      <c r="B125" s="12" t="str">
        <f t="shared" si="1"/>
        <v>\I: EN_Hydropower - small-scale unit</v>
      </c>
      <c r="C125" s="35" t="s">
        <v>336</v>
      </c>
      <c r="D125" s="35">
        <v>2022</v>
      </c>
      <c r="F125" s="35">
        <v>65</v>
      </c>
      <c r="G125" s="35">
        <v>65</v>
      </c>
      <c r="H125" s="35">
        <v>40</v>
      </c>
      <c r="I125" s="35">
        <v>80</v>
      </c>
      <c r="J125" s="35">
        <v>60</v>
      </c>
      <c r="K125" s="35">
        <v>70</v>
      </c>
      <c r="L125" s="35">
        <v>70</v>
      </c>
      <c r="M125" s="35">
        <v>70</v>
      </c>
      <c r="N125" s="35">
        <v>80</v>
      </c>
      <c r="P125" s="35" t="s">
        <v>350</v>
      </c>
      <c r="R125"/>
    </row>
    <row r="126" ht="14.5" spans="1:18">
      <c r="A126" s="35" t="s">
        <v>328</v>
      </c>
      <c r="B126" s="12" t="str">
        <f t="shared" si="1"/>
        <v>\I: EN_Hydropower - small-scale unit</v>
      </c>
      <c r="C126" s="35" t="s">
        <v>336</v>
      </c>
      <c r="D126" s="35">
        <v>2030</v>
      </c>
      <c r="F126" s="35">
        <v>65</v>
      </c>
      <c r="G126" s="35">
        <v>65</v>
      </c>
      <c r="H126" s="35">
        <v>40</v>
      </c>
      <c r="I126" s="35">
        <v>80</v>
      </c>
      <c r="J126" s="35">
        <v>60</v>
      </c>
      <c r="K126" s="35">
        <v>70</v>
      </c>
      <c r="L126" s="35">
        <v>70</v>
      </c>
      <c r="M126" s="35">
        <v>70</v>
      </c>
      <c r="N126" s="35">
        <v>80</v>
      </c>
      <c r="P126" s="35" t="s">
        <v>350</v>
      </c>
      <c r="R126"/>
    </row>
    <row r="127" ht="14.5" spans="1:18">
      <c r="A127" s="35" t="s">
        <v>328</v>
      </c>
      <c r="B127" s="12" t="str">
        <f t="shared" si="1"/>
        <v>\I: EN_Hydropower - small-scale unit</v>
      </c>
      <c r="C127" s="35" t="s">
        <v>336</v>
      </c>
      <c r="D127" s="35">
        <v>2050</v>
      </c>
      <c r="F127" s="35">
        <v>65</v>
      </c>
      <c r="G127" s="35">
        <v>65</v>
      </c>
      <c r="H127" s="35">
        <v>40</v>
      </c>
      <c r="I127" s="35">
        <v>80</v>
      </c>
      <c r="J127" s="35">
        <v>60</v>
      </c>
      <c r="K127" s="35">
        <v>70</v>
      </c>
      <c r="L127" s="35">
        <v>70</v>
      </c>
      <c r="M127" s="35">
        <v>70</v>
      </c>
      <c r="N127" s="35">
        <v>80</v>
      </c>
      <c r="P127" s="35" t="s">
        <v>350</v>
      </c>
      <c r="R127"/>
    </row>
    <row r="128" ht="14.5" spans="1:18">
      <c r="A128" s="35" t="s">
        <v>328</v>
      </c>
      <c r="B128" s="12" t="str">
        <f t="shared" si="1"/>
        <v>\I: EN_Hydropower - small-scale unit</v>
      </c>
      <c r="C128" s="35" t="s">
        <v>107</v>
      </c>
      <c r="D128" s="35">
        <v>2022</v>
      </c>
      <c r="F128" s="35">
        <v>3300</v>
      </c>
      <c r="G128" s="35">
        <v>3350</v>
      </c>
      <c r="H128" s="35">
        <v>2000</v>
      </c>
      <c r="I128" s="35">
        <v>3900</v>
      </c>
      <c r="J128" s="35">
        <v>3050</v>
      </c>
      <c r="K128" s="35">
        <v>3550</v>
      </c>
      <c r="L128" s="35">
        <v>3400</v>
      </c>
      <c r="M128" s="35">
        <v>3500</v>
      </c>
      <c r="N128" s="35">
        <v>4050</v>
      </c>
      <c r="P128" s="35" t="s">
        <v>350</v>
      </c>
      <c r="R128"/>
    </row>
    <row r="129" ht="14.5" spans="1:18">
      <c r="A129" s="35" t="s">
        <v>328</v>
      </c>
      <c r="B129" s="12" t="str">
        <f t="shared" si="1"/>
        <v>\I: EN_Hydropower - small-scale unit</v>
      </c>
      <c r="C129" s="35" t="s">
        <v>107</v>
      </c>
      <c r="D129" s="35">
        <v>2030</v>
      </c>
      <c r="F129" s="35">
        <v>3300</v>
      </c>
      <c r="G129" s="35">
        <v>3350</v>
      </c>
      <c r="H129" s="35">
        <v>2000</v>
      </c>
      <c r="I129" s="35">
        <v>3900</v>
      </c>
      <c r="J129" s="35">
        <v>3050</v>
      </c>
      <c r="K129" s="35">
        <v>3550</v>
      </c>
      <c r="L129" s="35">
        <v>3400</v>
      </c>
      <c r="M129" s="35">
        <v>3500</v>
      </c>
      <c r="N129" s="35">
        <v>4050</v>
      </c>
      <c r="P129" s="35" t="s">
        <v>350</v>
      </c>
      <c r="R129"/>
    </row>
    <row r="130" ht="14.5" spans="1:18">
      <c r="A130" s="35" t="s">
        <v>328</v>
      </c>
      <c r="B130" s="12" t="str">
        <f t="shared" si="1"/>
        <v>\I: EN_Hydropower - small-scale unit</v>
      </c>
      <c r="C130" s="35" t="s">
        <v>107</v>
      </c>
      <c r="D130" s="35">
        <v>2050</v>
      </c>
      <c r="F130" s="35">
        <v>3250</v>
      </c>
      <c r="G130" s="35">
        <v>3350</v>
      </c>
      <c r="H130" s="35">
        <v>2000</v>
      </c>
      <c r="I130" s="35">
        <v>3900</v>
      </c>
      <c r="J130" s="35">
        <v>3050</v>
      </c>
      <c r="K130" s="35">
        <v>3550</v>
      </c>
      <c r="L130" s="35">
        <v>3400</v>
      </c>
      <c r="M130" s="35">
        <v>3500</v>
      </c>
      <c r="N130" s="35">
        <v>4050</v>
      </c>
      <c r="P130" s="35" t="s">
        <v>350</v>
      </c>
      <c r="R130"/>
    </row>
    <row r="131" ht="14.5" spans="1:18">
      <c r="A131" s="35" t="s">
        <v>328</v>
      </c>
      <c r="B131" s="12" t="str">
        <f t="shared" si="1"/>
        <v>EN_IGCC</v>
      </c>
      <c r="C131" s="35" t="s">
        <v>329</v>
      </c>
      <c r="D131" s="35">
        <v>2022</v>
      </c>
      <c r="F131" s="35">
        <v>0.4</v>
      </c>
      <c r="G131" s="35">
        <v>0.44</v>
      </c>
      <c r="H131" s="35">
        <v>0.43</v>
      </c>
      <c r="I131" s="35">
        <v>0.44</v>
      </c>
      <c r="J131" s="35">
        <v>0.41</v>
      </c>
      <c r="K131" s="35">
        <v>0.44</v>
      </c>
      <c r="L131" s="35">
        <v>0.42</v>
      </c>
      <c r="M131" s="35">
        <v>0.44</v>
      </c>
      <c r="N131" s="35">
        <v>0.44</v>
      </c>
      <c r="P131" s="35" t="s">
        <v>352</v>
      </c>
      <c r="R131"/>
    </row>
    <row r="132" ht="14.5" spans="1:18">
      <c r="A132" s="35" t="s">
        <v>328</v>
      </c>
      <c r="B132" s="12" t="str">
        <f t="shared" si="1"/>
        <v>EN_IGCC</v>
      </c>
      <c r="C132" s="35" t="s">
        <v>329</v>
      </c>
      <c r="D132" s="35">
        <v>2030</v>
      </c>
      <c r="F132" s="35">
        <v>0.43</v>
      </c>
      <c r="G132" s="35">
        <v>0.47</v>
      </c>
      <c r="H132" s="35">
        <v>0.46</v>
      </c>
      <c r="I132" s="35">
        <v>0.47</v>
      </c>
      <c r="J132" s="35">
        <v>0.44</v>
      </c>
      <c r="K132" s="35">
        <v>0.47</v>
      </c>
      <c r="L132" s="35">
        <v>0.45</v>
      </c>
      <c r="M132" s="35">
        <v>0.47</v>
      </c>
      <c r="N132" s="35">
        <v>0.47</v>
      </c>
      <c r="P132" s="35" t="s">
        <v>352</v>
      </c>
      <c r="R132"/>
    </row>
    <row r="133" ht="14.5" spans="1:18">
      <c r="A133" s="35" t="s">
        <v>328</v>
      </c>
      <c r="B133" s="12" t="str">
        <f t="shared" si="1"/>
        <v>EN_IGCC</v>
      </c>
      <c r="C133" s="35" t="s">
        <v>329</v>
      </c>
      <c r="D133" s="35">
        <v>2050</v>
      </c>
      <c r="F133" s="35">
        <v>0.45</v>
      </c>
      <c r="G133" s="35">
        <v>0.49</v>
      </c>
      <c r="H133" s="35">
        <v>0.49</v>
      </c>
      <c r="I133" s="35">
        <v>0.49</v>
      </c>
      <c r="J133" s="35">
        <v>0.47</v>
      </c>
      <c r="K133" s="35">
        <v>0.49</v>
      </c>
      <c r="L133" s="35">
        <v>0.47</v>
      </c>
      <c r="M133" s="35">
        <v>0.49</v>
      </c>
      <c r="N133" s="35">
        <v>0.49</v>
      </c>
      <c r="P133" s="35" t="s">
        <v>352</v>
      </c>
      <c r="R133"/>
    </row>
    <row r="134" ht="14.5" spans="1:18">
      <c r="A134" s="35" t="s">
        <v>328</v>
      </c>
      <c r="B134" s="12" t="str">
        <f t="shared" si="1"/>
        <v>EN_IGCC</v>
      </c>
      <c r="C134" s="35" t="s">
        <v>336</v>
      </c>
      <c r="D134" s="35">
        <v>2022</v>
      </c>
      <c r="F134" s="35">
        <v>90</v>
      </c>
      <c r="G134" s="35">
        <v>90</v>
      </c>
      <c r="H134" s="35">
        <v>50</v>
      </c>
      <c r="I134" s="35">
        <v>95</v>
      </c>
      <c r="J134" s="35">
        <v>70</v>
      </c>
      <c r="K134" s="35">
        <v>100</v>
      </c>
      <c r="L134" s="35">
        <v>90</v>
      </c>
      <c r="M134" s="35">
        <v>90</v>
      </c>
      <c r="N134" s="35">
        <v>90</v>
      </c>
      <c r="P134" s="35" t="s">
        <v>352</v>
      </c>
      <c r="R134"/>
    </row>
    <row r="135" ht="14.5" spans="1:18">
      <c r="A135" s="35" t="s">
        <v>328</v>
      </c>
      <c r="B135" s="12" t="str">
        <f t="shared" ref="B135:B198" si="2">VLOOKUP(P135,$Q$4:$R$33,2,FALSE)</f>
        <v>EN_IGCC</v>
      </c>
      <c r="C135" s="35" t="s">
        <v>336</v>
      </c>
      <c r="D135" s="35">
        <v>2030</v>
      </c>
      <c r="F135" s="35">
        <v>85</v>
      </c>
      <c r="G135" s="35">
        <v>85</v>
      </c>
      <c r="H135" s="35">
        <v>45</v>
      </c>
      <c r="I135" s="35">
        <v>85</v>
      </c>
      <c r="J135" s="35">
        <v>70</v>
      </c>
      <c r="K135" s="35">
        <v>95</v>
      </c>
      <c r="L135" s="35">
        <v>85</v>
      </c>
      <c r="M135" s="35">
        <v>85</v>
      </c>
      <c r="N135" s="35">
        <v>85</v>
      </c>
      <c r="P135" s="35" t="s">
        <v>352</v>
      </c>
      <c r="R135"/>
    </row>
    <row r="136" ht="14.5" spans="1:18">
      <c r="A136" s="35" t="s">
        <v>328</v>
      </c>
      <c r="B136" s="12" t="str">
        <f t="shared" si="2"/>
        <v>EN_IGCC</v>
      </c>
      <c r="C136" s="35" t="s">
        <v>336</v>
      </c>
      <c r="D136" s="35">
        <v>2050</v>
      </c>
      <c r="F136" s="35">
        <v>85</v>
      </c>
      <c r="G136" s="35">
        <v>85</v>
      </c>
      <c r="H136" s="35">
        <v>40</v>
      </c>
      <c r="I136" s="35">
        <v>80</v>
      </c>
      <c r="J136" s="35">
        <v>70</v>
      </c>
      <c r="K136" s="35">
        <v>95</v>
      </c>
      <c r="L136" s="35">
        <v>85</v>
      </c>
      <c r="M136" s="35">
        <v>80</v>
      </c>
      <c r="N136" s="35">
        <v>85</v>
      </c>
      <c r="P136" s="35" t="s">
        <v>352</v>
      </c>
      <c r="R136"/>
    </row>
    <row r="137" ht="14.5" spans="1:18">
      <c r="A137" s="35" t="s">
        <v>328</v>
      </c>
      <c r="B137" s="12" t="str">
        <f t="shared" si="2"/>
        <v>EN_IGCC</v>
      </c>
      <c r="C137" s="35" t="s">
        <v>107</v>
      </c>
      <c r="D137" s="35">
        <v>2022</v>
      </c>
      <c r="F137" s="35">
        <v>2200</v>
      </c>
      <c r="G137" s="35">
        <v>2000</v>
      </c>
      <c r="H137" s="35">
        <v>1100</v>
      </c>
      <c r="I137" s="35">
        <v>2500</v>
      </c>
      <c r="J137" s="35">
        <v>1600</v>
      </c>
      <c r="K137" s="35">
        <v>2900</v>
      </c>
      <c r="L137" s="35">
        <v>2000</v>
      </c>
      <c r="M137" s="35">
        <v>2500</v>
      </c>
      <c r="N137" s="35">
        <v>2600</v>
      </c>
      <c r="P137" s="35" t="s">
        <v>352</v>
      </c>
      <c r="R137"/>
    </row>
    <row r="138" ht="14.5" spans="1:18">
      <c r="A138" s="35" t="s">
        <v>328</v>
      </c>
      <c r="B138" s="12" t="str">
        <f t="shared" si="2"/>
        <v>EN_IGCC</v>
      </c>
      <c r="C138" s="35" t="s">
        <v>107</v>
      </c>
      <c r="D138" s="35">
        <v>2030</v>
      </c>
      <c r="F138" s="35">
        <v>2100</v>
      </c>
      <c r="G138" s="35">
        <v>1900</v>
      </c>
      <c r="H138" s="35">
        <v>1000</v>
      </c>
      <c r="I138" s="35">
        <v>2350</v>
      </c>
      <c r="J138" s="35">
        <v>1500</v>
      </c>
      <c r="K138" s="35">
        <v>2750</v>
      </c>
      <c r="L138" s="35">
        <v>1900</v>
      </c>
      <c r="M138" s="35">
        <v>2350</v>
      </c>
      <c r="N138" s="35">
        <v>2450</v>
      </c>
      <c r="P138" s="35" t="s">
        <v>352</v>
      </c>
      <c r="R138"/>
    </row>
    <row r="139" ht="14.5" spans="1:18">
      <c r="A139" s="35" t="s">
        <v>328</v>
      </c>
      <c r="B139" s="12" t="str">
        <f t="shared" si="2"/>
        <v>EN_IGCC</v>
      </c>
      <c r="C139" s="35" t="s">
        <v>107</v>
      </c>
      <c r="D139" s="35">
        <v>2050</v>
      </c>
      <c r="F139" s="35">
        <v>2100</v>
      </c>
      <c r="G139" s="35">
        <v>1900</v>
      </c>
      <c r="H139" s="35">
        <v>900</v>
      </c>
      <c r="I139" s="35">
        <v>2300</v>
      </c>
      <c r="J139" s="35">
        <v>1500</v>
      </c>
      <c r="K139" s="35">
        <v>2700</v>
      </c>
      <c r="L139" s="35">
        <v>1900</v>
      </c>
      <c r="M139" s="35">
        <v>2300</v>
      </c>
      <c r="N139" s="35">
        <v>2400</v>
      </c>
      <c r="P139" s="35" t="s">
        <v>352</v>
      </c>
      <c r="R139"/>
    </row>
    <row r="140" ht="14.5" spans="1:18">
      <c r="A140" s="35" t="s">
        <v>328</v>
      </c>
      <c r="B140" s="12" t="str">
        <f t="shared" si="2"/>
        <v>EN_IGCC + CCS</v>
      </c>
      <c r="C140" s="35" t="s">
        <v>329</v>
      </c>
      <c r="D140" s="35">
        <v>2022</v>
      </c>
      <c r="F140" s="35">
        <v>0.32</v>
      </c>
      <c r="G140" s="35" t="s">
        <v>372</v>
      </c>
      <c r="H140" s="35">
        <v>0.34</v>
      </c>
      <c r="I140" s="35">
        <v>0.35</v>
      </c>
      <c r="J140" s="35">
        <v>0.32</v>
      </c>
      <c r="K140" s="35">
        <v>0.35</v>
      </c>
      <c r="L140" s="35" t="s">
        <v>372</v>
      </c>
      <c r="M140" s="35">
        <v>0.35</v>
      </c>
      <c r="N140" s="35">
        <v>0.35</v>
      </c>
      <c r="P140" s="35" t="s">
        <v>353</v>
      </c>
      <c r="R140"/>
    </row>
    <row r="141" ht="14.5" spans="1:18">
      <c r="A141" s="35" t="s">
        <v>328</v>
      </c>
      <c r="B141" s="12" t="str">
        <f t="shared" si="2"/>
        <v>EN_IGCC + CCS</v>
      </c>
      <c r="C141" s="35" t="s">
        <v>329</v>
      </c>
      <c r="D141" s="35">
        <v>2030</v>
      </c>
      <c r="F141" s="35">
        <v>0.32</v>
      </c>
      <c r="G141" s="35" t="s">
        <v>372</v>
      </c>
      <c r="H141" s="35">
        <v>0.35</v>
      </c>
      <c r="I141" s="35">
        <v>0.36</v>
      </c>
      <c r="J141" s="35">
        <v>0.33</v>
      </c>
      <c r="K141" s="35">
        <v>0.36</v>
      </c>
      <c r="L141" s="35" t="s">
        <v>372</v>
      </c>
      <c r="M141" s="35">
        <v>0.36</v>
      </c>
      <c r="N141" s="35">
        <v>0.36</v>
      </c>
      <c r="P141" s="35" t="s">
        <v>353</v>
      </c>
      <c r="R141"/>
    </row>
    <row r="142" ht="14.5" spans="1:18">
      <c r="A142" s="35" t="s">
        <v>328</v>
      </c>
      <c r="B142" s="12" t="str">
        <f t="shared" si="2"/>
        <v>EN_IGCC + CCS</v>
      </c>
      <c r="C142" s="35" t="s">
        <v>329</v>
      </c>
      <c r="D142" s="35">
        <v>2050</v>
      </c>
      <c r="F142" s="35">
        <v>0.35</v>
      </c>
      <c r="G142" s="35" t="s">
        <v>372</v>
      </c>
      <c r="H142" s="35">
        <v>0.38</v>
      </c>
      <c r="I142" s="35">
        <v>0.39</v>
      </c>
      <c r="J142" s="35">
        <v>0.36</v>
      </c>
      <c r="K142" s="35">
        <v>0.39</v>
      </c>
      <c r="L142" s="35" t="s">
        <v>372</v>
      </c>
      <c r="M142" s="35">
        <v>0.39</v>
      </c>
      <c r="N142" s="35">
        <v>0.39</v>
      </c>
      <c r="P142" s="35" t="s">
        <v>353</v>
      </c>
      <c r="R142"/>
    </row>
    <row r="143" ht="14.5" spans="1:18">
      <c r="A143" s="35" t="s">
        <v>328</v>
      </c>
      <c r="B143" s="12" t="str">
        <f t="shared" si="2"/>
        <v>EN_IGCC + CCS</v>
      </c>
      <c r="C143" s="35" t="s">
        <v>336</v>
      </c>
      <c r="D143" s="35">
        <v>2022</v>
      </c>
      <c r="F143" s="35">
        <v>220</v>
      </c>
      <c r="G143" s="35">
        <v>205</v>
      </c>
      <c r="H143" s="35">
        <v>165</v>
      </c>
      <c r="I143" s="35">
        <v>205</v>
      </c>
      <c r="J143" s="35">
        <v>200</v>
      </c>
      <c r="K143" s="35">
        <v>220</v>
      </c>
      <c r="L143" s="35">
        <v>230</v>
      </c>
      <c r="M143" s="35">
        <v>190</v>
      </c>
      <c r="N143" s="35">
        <v>210</v>
      </c>
      <c r="P143" s="35" t="s">
        <v>353</v>
      </c>
      <c r="R143"/>
    </row>
    <row r="144" ht="14.5" spans="1:18">
      <c r="A144" s="35" t="s">
        <v>328</v>
      </c>
      <c r="B144" s="12" t="str">
        <f t="shared" si="2"/>
        <v>EN_IGCC + CCS</v>
      </c>
      <c r="C144" s="35" t="s">
        <v>336</v>
      </c>
      <c r="D144" s="35">
        <v>2030</v>
      </c>
      <c r="F144" s="35">
        <v>210</v>
      </c>
      <c r="G144" s="35">
        <v>195</v>
      </c>
      <c r="H144" s="35">
        <v>160</v>
      </c>
      <c r="I144" s="35">
        <v>200</v>
      </c>
      <c r="J144" s="35">
        <v>190</v>
      </c>
      <c r="K144" s="35">
        <v>215</v>
      </c>
      <c r="L144" s="35">
        <v>220</v>
      </c>
      <c r="M144" s="35">
        <v>185</v>
      </c>
      <c r="N144" s="35">
        <v>205</v>
      </c>
      <c r="P144" s="35" t="s">
        <v>353</v>
      </c>
      <c r="R144"/>
    </row>
    <row r="145" ht="14.5" spans="1:18">
      <c r="A145" s="35" t="s">
        <v>328</v>
      </c>
      <c r="B145" s="12" t="str">
        <f t="shared" si="2"/>
        <v>EN_IGCC + CCS</v>
      </c>
      <c r="C145" s="35" t="s">
        <v>336</v>
      </c>
      <c r="D145" s="35">
        <v>2050</v>
      </c>
      <c r="F145" s="35">
        <v>190</v>
      </c>
      <c r="G145" s="35">
        <v>180</v>
      </c>
      <c r="H145" s="35">
        <v>135</v>
      </c>
      <c r="I145" s="35">
        <v>180</v>
      </c>
      <c r="J145" s="35">
        <v>170</v>
      </c>
      <c r="K145" s="35">
        <v>195</v>
      </c>
      <c r="L145" s="35">
        <v>200</v>
      </c>
      <c r="M145" s="35">
        <v>170</v>
      </c>
      <c r="N145" s="35">
        <v>180</v>
      </c>
      <c r="P145" s="35" t="s">
        <v>353</v>
      </c>
      <c r="R145"/>
    </row>
    <row r="146" ht="14.5" spans="1:18">
      <c r="A146" s="35" t="s">
        <v>328</v>
      </c>
      <c r="B146" s="12" t="str">
        <f t="shared" si="2"/>
        <v>EN_IGCC + CCS</v>
      </c>
      <c r="C146" s="35" t="s">
        <v>107</v>
      </c>
      <c r="D146" s="35">
        <v>2022</v>
      </c>
      <c r="F146" s="35">
        <v>4850</v>
      </c>
      <c r="G146" s="35">
        <v>4550</v>
      </c>
      <c r="H146" s="35">
        <v>3650</v>
      </c>
      <c r="I146" s="35">
        <v>5850</v>
      </c>
      <c r="J146" s="35">
        <v>4150</v>
      </c>
      <c r="K146" s="35">
        <v>6250</v>
      </c>
      <c r="L146" s="35">
        <v>5100</v>
      </c>
      <c r="M146" s="35">
        <v>5450</v>
      </c>
      <c r="N146" s="35">
        <v>5950</v>
      </c>
      <c r="P146" s="35" t="s">
        <v>353</v>
      </c>
      <c r="R146"/>
    </row>
    <row r="147" ht="14.5" spans="1:18">
      <c r="A147" s="35" t="s">
        <v>328</v>
      </c>
      <c r="B147" s="12" t="str">
        <f t="shared" si="2"/>
        <v>EN_IGCC + CCS</v>
      </c>
      <c r="C147" s="35" t="s">
        <v>107</v>
      </c>
      <c r="D147" s="35">
        <v>2030</v>
      </c>
      <c r="F147" s="35">
        <v>4650</v>
      </c>
      <c r="G147" s="35">
        <v>4350</v>
      </c>
      <c r="H147" s="35">
        <v>3550</v>
      </c>
      <c r="I147" s="35">
        <v>5700</v>
      </c>
      <c r="J147" s="35">
        <v>3950</v>
      </c>
      <c r="K147" s="35">
        <v>6100</v>
      </c>
      <c r="L147" s="35">
        <v>4900</v>
      </c>
      <c r="M147" s="35">
        <v>5300</v>
      </c>
      <c r="N147" s="35">
        <v>5850</v>
      </c>
      <c r="P147" s="35" t="s">
        <v>353</v>
      </c>
      <c r="R147"/>
    </row>
    <row r="148" ht="14.5" spans="1:18">
      <c r="A148" s="35" t="s">
        <v>328</v>
      </c>
      <c r="B148" s="12" t="str">
        <f t="shared" si="2"/>
        <v>EN_IGCC + CCS</v>
      </c>
      <c r="C148" s="35" t="s">
        <v>107</v>
      </c>
      <c r="D148" s="35">
        <v>2050</v>
      </c>
      <c r="F148" s="35">
        <v>4250</v>
      </c>
      <c r="G148" s="35">
        <v>4000</v>
      </c>
      <c r="H148" s="35">
        <v>3000</v>
      </c>
      <c r="I148" s="35">
        <v>5150</v>
      </c>
      <c r="J148" s="35">
        <v>3550</v>
      </c>
      <c r="K148" s="35">
        <v>5550</v>
      </c>
      <c r="L148" s="35">
        <v>4450</v>
      </c>
      <c r="M148" s="35">
        <v>4800</v>
      </c>
      <c r="N148" s="35">
        <v>5150</v>
      </c>
      <c r="P148" s="35" t="s">
        <v>353</v>
      </c>
      <c r="R148"/>
    </row>
    <row r="149" ht="14.5" spans="1:18">
      <c r="A149" s="35" t="s">
        <v>328</v>
      </c>
      <c r="B149" s="12" t="str">
        <f t="shared" si="2"/>
        <v>EN_Marine</v>
      </c>
      <c r="C149" s="35" t="s">
        <v>329</v>
      </c>
      <c r="D149" s="35">
        <v>2022</v>
      </c>
      <c r="F149" s="35">
        <v>1</v>
      </c>
      <c r="G149" s="35" t="s">
        <v>372</v>
      </c>
      <c r="H149" s="35">
        <v>1</v>
      </c>
      <c r="I149" s="35">
        <v>1</v>
      </c>
      <c r="J149" s="35">
        <v>1</v>
      </c>
      <c r="K149" s="35">
        <v>1</v>
      </c>
      <c r="L149" s="35">
        <v>1</v>
      </c>
      <c r="M149" s="35">
        <v>1</v>
      </c>
      <c r="N149" s="35">
        <v>1</v>
      </c>
      <c r="P149" s="35" t="s">
        <v>354</v>
      </c>
      <c r="R149"/>
    </row>
    <row r="150" ht="14.5" spans="1:18">
      <c r="A150" s="35" t="s">
        <v>328</v>
      </c>
      <c r="B150" s="12" t="str">
        <f t="shared" si="2"/>
        <v>EN_Marine</v>
      </c>
      <c r="C150" s="35" t="s">
        <v>329</v>
      </c>
      <c r="D150" s="35">
        <v>2030</v>
      </c>
      <c r="F150" s="35">
        <v>1</v>
      </c>
      <c r="G150" s="35" t="s">
        <v>372</v>
      </c>
      <c r="H150" s="35">
        <v>1</v>
      </c>
      <c r="I150" s="35">
        <v>1</v>
      </c>
      <c r="J150" s="35">
        <v>1</v>
      </c>
      <c r="K150" s="35">
        <v>1</v>
      </c>
      <c r="L150" s="35">
        <v>1</v>
      </c>
      <c r="M150" s="35">
        <v>1</v>
      </c>
      <c r="N150" s="35">
        <v>1</v>
      </c>
      <c r="P150" s="35" t="s">
        <v>354</v>
      </c>
      <c r="R150"/>
    </row>
    <row r="151" ht="14.5" spans="1:18">
      <c r="A151" s="35" t="s">
        <v>328</v>
      </c>
      <c r="B151" s="12" t="str">
        <f t="shared" si="2"/>
        <v>EN_Marine</v>
      </c>
      <c r="C151" s="35" t="s">
        <v>329</v>
      </c>
      <c r="D151" s="35">
        <v>2050</v>
      </c>
      <c r="F151" s="35">
        <v>1</v>
      </c>
      <c r="G151" s="35" t="s">
        <v>372</v>
      </c>
      <c r="H151" s="35">
        <v>1</v>
      </c>
      <c r="I151" s="35">
        <v>1</v>
      </c>
      <c r="J151" s="35">
        <v>1</v>
      </c>
      <c r="K151" s="35">
        <v>1</v>
      </c>
      <c r="L151" s="35">
        <v>1</v>
      </c>
      <c r="M151" s="35">
        <v>1</v>
      </c>
      <c r="N151" s="35">
        <v>1</v>
      </c>
      <c r="P151" s="35" t="s">
        <v>354</v>
      </c>
      <c r="R151"/>
    </row>
    <row r="152" ht="14.5" spans="1:18">
      <c r="A152" s="35" t="s">
        <v>328</v>
      </c>
      <c r="B152" s="12" t="str">
        <f t="shared" si="2"/>
        <v>EN_Marine</v>
      </c>
      <c r="C152" s="35" t="s">
        <v>336</v>
      </c>
      <c r="D152" s="35">
        <v>2022</v>
      </c>
      <c r="F152" s="35">
        <v>200</v>
      </c>
      <c r="G152" s="35" t="s">
        <v>372</v>
      </c>
      <c r="H152" s="35">
        <v>200</v>
      </c>
      <c r="I152" s="35">
        <v>210</v>
      </c>
      <c r="J152" s="35">
        <v>200</v>
      </c>
      <c r="K152" s="35">
        <v>210</v>
      </c>
      <c r="L152" s="35">
        <v>200</v>
      </c>
      <c r="M152" s="35">
        <v>200</v>
      </c>
      <c r="N152" s="35">
        <v>210</v>
      </c>
      <c r="P152" s="35" t="s">
        <v>354</v>
      </c>
      <c r="R152"/>
    </row>
    <row r="153" ht="14.5" spans="1:18">
      <c r="A153" s="35" t="s">
        <v>328</v>
      </c>
      <c r="B153" s="12" t="str">
        <f t="shared" si="2"/>
        <v>EN_Marine</v>
      </c>
      <c r="C153" s="35" t="s">
        <v>336</v>
      </c>
      <c r="D153" s="35">
        <v>2030</v>
      </c>
      <c r="F153" s="35">
        <v>160</v>
      </c>
      <c r="G153" s="35" t="s">
        <v>372</v>
      </c>
      <c r="H153" s="35">
        <v>160</v>
      </c>
      <c r="I153" s="35">
        <v>150</v>
      </c>
      <c r="J153" s="35">
        <v>160</v>
      </c>
      <c r="K153" s="35">
        <v>170</v>
      </c>
      <c r="L153" s="35">
        <v>160</v>
      </c>
      <c r="M153" s="35">
        <v>160</v>
      </c>
      <c r="N153" s="35">
        <v>150</v>
      </c>
      <c r="P153" s="35" t="s">
        <v>354</v>
      </c>
      <c r="R153"/>
    </row>
    <row r="154" ht="14.5" spans="1:18">
      <c r="A154" s="35" t="s">
        <v>328</v>
      </c>
      <c r="B154" s="12" t="str">
        <f t="shared" si="2"/>
        <v>EN_Marine</v>
      </c>
      <c r="C154" s="35" t="s">
        <v>336</v>
      </c>
      <c r="D154" s="35">
        <v>2050</v>
      </c>
      <c r="F154" s="35">
        <v>90</v>
      </c>
      <c r="G154" s="35" t="s">
        <v>372</v>
      </c>
      <c r="H154" s="35">
        <v>90</v>
      </c>
      <c r="I154" s="35">
        <v>90</v>
      </c>
      <c r="J154" s="35">
        <v>90</v>
      </c>
      <c r="K154" s="35">
        <v>90</v>
      </c>
      <c r="L154" s="35">
        <v>90</v>
      </c>
      <c r="M154" s="35">
        <v>90</v>
      </c>
      <c r="N154" s="35">
        <v>90</v>
      </c>
      <c r="P154" s="35" t="s">
        <v>354</v>
      </c>
      <c r="R154"/>
    </row>
    <row r="155" ht="14.5" spans="1:18">
      <c r="A155" s="35" t="s">
        <v>328</v>
      </c>
      <c r="B155" s="12" t="str">
        <f t="shared" si="2"/>
        <v>EN_Marine</v>
      </c>
      <c r="C155" s="35" t="s">
        <v>107</v>
      </c>
      <c r="D155" s="35">
        <v>2022</v>
      </c>
      <c r="F155" s="35">
        <v>6550</v>
      </c>
      <c r="G155" s="35" t="s">
        <v>372</v>
      </c>
      <c r="H155" s="35">
        <v>6600</v>
      </c>
      <c r="I155" s="35">
        <v>6950</v>
      </c>
      <c r="J155" s="35">
        <v>6500</v>
      </c>
      <c r="K155" s="35">
        <v>7000</v>
      </c>
      <c r="L155" s="35">
        <v>6650</v>
      </c>
      <c r="M155" s="35">
        <v>6650</v>
      </c>
      <c r="N155" s="35">
        <v>6850</v>
      </c>
      <c r="P155" s="35" t="s">
        <v>354</v>
      </c>
      <c r="R155"/>
    </row>
    <row r="156" ht="14.5" spans="1:18">
      <c r="A156" s="35" t="s">
        <v>328</v>
      </c>
      <c r="B156" s="12" t="str">
        <f t="shared" si="2"/>
        <v>EN_Marine</v>
      </c>
      <c r="C156" s="35" t="s">
        <v>107</v>
      </c>
      <c r="D156" s="35">
        <v>2030</v>
      </c>
      <c r="F156" s="35">
        <v>5250</v>
      </c>
      <c r="G156" s="35" t="s">
        <v>372</v>
      </c>
      <c r="H156" s="35">
        <v>5250</v>
      </c>
      <c r="I156" s="35">
        <v>5000</v>
      </c>
      <c r="J156" s="35">
        <v>5200</v>
      </c>
      <c r="K156" s="35">
        <v>5150</v>
      </c>
      <c r="L156" s="35">
        <v>5400</v>
      </c>
      <c r="M156" s="35">
        <v>5400</v>
      </c>
      <c r="N156" s="35">
        <v>4900</v>
      </c>
      <c r="P156" s="35" t="s">
        <v>354</v>
      </c>
      <c r="R156"/>
    </row>
    <row r="157" ht="14.5" spans="1:18">
      <c r="A157" s="35" t="s">
        <v>328</v>
      </c>
      <c r="B157" s="12" t="str">
        <f t="shared" si="2"/>
        <v>EN_Marine</v>
      </c>
      <c r="C157" s="35" t="s">
        <v>107</v>
      </c>
      <c r="D157" s="35">
        <v>2050</v>
      </c>
      <c r="F157" s="35">
        <v>2950</v>
      </c>
      <c r="G157" s="35" t="s">
        <v>372</v>
      </c>
      <c r="H157" s="35">
        <v>2850</v>
      </c>
      <c r="I157" s="35">
        <v>2800</v>
      </c>
      <c r="J157" s="35">
        <v>2850</v>
      </c>
      <c r="K157" s="35">
        <v>3000</v>
      </c>
      <c r="L157" s="35">
        <v>3100</v>
      </c>
      <c r="M157" s="35">
        <v>3100</v>
      </c>
      <c r="N157" s="35">
        <v>2900</v>
      </c>
      <c r="P157" s="35" t="s">
        <v>354</v>
      </c>
      <c r="R157"/>
    </row>
    <row r="158" ht="14.5" spans="1:18">
      <c r="A158" s="35" t="s">
        <v>328</v>
      </c>
      <c r="B158" s="12" t="str">
        <f t="shared" si="2"/>
        <v>EN_Nuclear</v>
      </c>
      <c r="C158" s="35" t="s">
        <v>329</v>
      </c>
      <c r="D158" s="35">
        <v>2022</v>
      </c>
      <c r="F158" s="35">
        <v>0.33</v>
      </c>
      <c r="G158" s="35">
        <v>0.33</v>
      </c>
      <c r="H158" s="35">
        <v>0.33</v>
      </c>
      <c r="I158" s="35">
        <v>0.33</v>
      </c>
      <c r="J158" s="35">
        <v>0.33</v>
      </c>
      <c r="K158" s="35">
        <v>0.33</v>
      </c>
      <c r="L158" s="35">
        <v>0.33</v>
      </c>
      <c r="M158" s="35">
        <v>0.33</v>
      </c>
      <c r="N158" s="35">
        <v>0.33</v>
      </c>
      <c r="P158" s="35" t="s">
        <v>355</v>
      </c>
      <c r="R158"/>
    </row>
    <row r="159" ht="14.5" spans="1:18">
      <c r="A159" s="35" t="s">
        <v>328</v>
      </c>
      <c r="B159" s="12" t="str">
        <f t="shared" si="2"/>
        <v>EN_Nuclear</v>
      </c>
      <c r="C159" s="35" t="s">
        <v>329</v>
      </c>
      <c r="D159" s="35">
        <v>2030</v>
      </c>
      <c r="F159" s="35">
        <v>0.33</v>
      </c>
      <c r="G159" s="35">
        <v>0.33</v>
      </c>
      <c r="H159" s="35">
        <v>0.33</v>
      </c>
      <c r="I159" s="35">
        <v>0.33</v>
      </c>
      <c r="J159" s="35">
        <v>0.33</v>
      </c>
      <c r="K159" s="35">
        <v>0.33</v>
      </c>
      <c r="L159" s="35">
        <v>0.33</v>
      </c>
      <c r="M159" s="35">
        <v>0.33</v>
      </c>
      <c r="N159" s="35">
        <v>0.33</v>
      </c>
      <c r="P159" s="35" t="s">
        <v>355</v>
      </c>
      <c r="R159"/>
    </row>
    <row r="160" ht="14.5" spans="1:18">
      <c r="A160" s="35" t="s">
        <v>328</v>
      </c>
      <c r="B160" s="12" t="str">
        <f t="shared" si="2"/>
        <v>EN_Nuclear</v>
      </c>
      <c r="C160" s="35" t="s">
        <v>329</v>
      </c>
      <c r="D160" s="35">
        <v>2050</v>
      </c>
      <c r="F160" s="35">
        <v>0.33</v>
      </c>
      <c r="G160" s="35">
        <v>0.33</v>
      </c>
      <c r="H160" s="35">
        <v>0.33</v>
      </c>
      <c r="I160" s="35">
        <v>0.33</v>
      </c>
      <c r="J160" s="35">
        <v>0.33</v>
      </c>
      <c r="K160" s="35">
        <v>0.33</v>
      </c>
      <c r="L160" s="35">
        <v>0.33</v>
      </c>
      <c r="M160" s="35">
        <v>0.33</v>
      </c>
      <c r="N160" s="35">
        <v>0.33</v>
      </c>
      <c r="P160" s="35" t="s">
        <v>355</v>
      </c>
      <c r="R160"/>
    </row>
    <row r="161" ht="14.5" spans="1:18">
      <c r="A161" s="35" t="s">
        <v>328</v>
      </c>
      <c r="B161" s="12" t="str">
        <f t="shared" si="2"/>
        <v>EN_Nuclear</v>
      </c>
      <c r="C161" s="35" t="s">
        <v>336</v>
      </c>
      <c r="D161" s="35">
        <v>2022</v>
      </c>
      <c r="F161" s="35">
        <v>170</v>
      </c>
      <c r="G161" s="35">
        <v>170</v>
      </c>
      <c r="H161" s="35">
        <v>120</v>
      </c>
      <c r="I161" s="35">
        <v>160</v>
      </c>
      <c r="J161" s="35">
        <v>140</v>
      </c>
      <c r="K161" s="35">
        <v>225</v>
      </c>
      <c r="L161" s="35">
        <v>160</v>
      </c>
      <c r="M161" s="35">
        <v>160</v>
      </c>
      <c r="N161" s="35">
        <v>175</v>
      </c>
      <c r="P161" s="35" t="s">
        <v>355</v>
      </c>
      <c r="R161"/>
    </row>
    <row r="162" ht="14.5" spans="1:18">
      <c r="A162" s="35" t="s">
        <v>328</v>
      </c>
      <c r="B162" s="12" t="str">
        <f t="shared" si="2"/>
        <v>EN_Nuclear</v>
      </c>
      <c r="C162" s="35" t="s">
        <v>336</v>
      </c>
      <c r="D162" s="35">
        <v>2030</v>
      </c>
      <c r="F162" s="35">
        <v>170</v>
      </c>
      <c r="G162" s="35">
        <v>170</v>
      </c>
      <c r="H162" s="35">
        <v>120</v>
      </c>
      <c r="I162" s="35">
        <v>160</v>
      </c>
      <c r="J162" s="35">
        <v>140</v>
      </c>
      <c r="K162" s="35">
        <v>225</v>
      </c>
      <c r="L162" s="35">
        <v>160</v>
      </c>
      <c r="M162" s="35">
        <v>160</v>
      </c>
      <c r="N162" s="35">
        <v>175</v>
      </c>
      <c r="P162" s="35" t="s">
        <v>355</v>
      </c>
      <c r="R162"/>
    </row>
    <row r="163" ht="14.5" spans="1:18">
      <c r="A163" s="35" t="s">
        <v>328</v>
      </c>
      <c r="B163" s="12" t="str">
        <f t="shared" si="2"/>
        <v>EN_Nuclear</v>
      </c>
      <c r="C163" s="35" t="s">
        <v>336</v>
      </c>
      <c r="D163" s="35">
        <v>2050</v>
      </c>
      <c r="F163" s="35">
        <v>170</v>
      </c>
      <c r="G163" s="35">
        <v>170</v>
      </c>
      <c r="H163" s="35">
        <v>120</v>
      </c>
      <c r="I163" s="35">
        <v>160</v>
      </c>
      <c r="J163" s="35">
        <v>140</v>
      </c>
      <c r="K163" s="35">
        <v>225</v>
      </c>
      <c r="L163" s="35">
        <v>160</v>
      </c>
      <c r="M163" s="35">
        <v>160</v>
      </c>
      <c r="N163" s="35">
        <v>175</v>
      </c>
      <c r="P163" s="35" t="s">
        <v>355</v>
      </c>
      <c r="R163"/>
    </row>
    <row r="164" ht="14.5" spans="1:18">
      <c r="A164" s="35" t="s">
        <v>328</v>
      </c>
      <c r="B164" s="12" t="str">
        <f t="shared" si="2"/>
        <v>EN_Nuclear</v>
      </c>
      <c r="C164" s="35" t="s">
        <v>107</v>
      </c>
      <c r="D164" s="35">
        <v>2022</v>
      </c>
      <c r="F164" s="35">
        <v>4000</v>
      </c>
      <c r="G164" s="35">
        <v>4000</v>
      </c>
      <c r="H164" s="35">
        <v>2800</v>
      </c>
      <c r="I164" s="35">
        <v>6600</v>
      </c>
      <c r="J164" s="35">
        <v>2800</v>
      </c>
      <c r="K164" s="35">
        <v>4200</v>
      </c>
      <c r="L164" s="35">
        <v>3500</v>
      </c>
      <c r="M164" s="35">
        <v>3800</v>
      </c>
      <c r="N164" s="35">
        <v>5000</v>
      </c>
      <c r="P164" s="35" t="s">
        <v>355</v>
      </c>
      <c r="R164"/>
    </row>
    <row r="165" ht="14.5" spans="1:18">
      <c r="A165" s="35" t="s">
        <v>328</v>
      </c>
      <c r="B165" s="12" t="str">
        <f t="shared" si="2"/>
        <v>EN_Nuclear</v>
      </c>
      <c r="C165" s="35" t="s">
        <v>107</v>
      </c>
      <c r="D165" s="35">
        <v>2030</v>
      </c>
      <c r="F165" s="35">
        <v>4000</v>
      </c>
      <c r="G165" s="35">
        <v>4000</v>
      </c>
      <c r="H165" s="35">
        <v>2800</v>
      </c>
      <c r="I165" s="35">
        <v>5100</v>
      </c>
      <c r="J165" s="35">
        <v>2800</v>
      </c>
      <c r="K165" s="35">
        <v>4000</v>
      </c>
      <c r="L165" s="35">
        <v>3500</v>
      </c>
      <c r="M165" s="35">
        <v>3800</v>
      </c>
      <c r="N165" s="35">
        <v>4800</v>
      </c>
      <c r="P165" s="35" t="s">
        <v>355</v>
      </c>
      <c r="R165"/>
    </row>
    <row r="166" ht="14.5" spans="1:18">
      <c r="A166" s="35" t="s">
        <v>328</v>
      </c>
      <c r="B166" s="12" t="str">
        <f t="shared" si="2"/>
        <v>EN_Nuclear</v>
      </c>
      <c r="C166" s="35" t="s">
        <v>107</v>
      </c>
      <c r="D166" s="35">
        <v>2050</v>
      </c>
      <c r="F166" s="35">
        <v>4000</v>
      </c>
      <c r="G166" s="35">
        <v>4000</v>
      </c>
      <c r="H166" s="35">
        <v>2500</v>
      </c>
      <c r="I166" s="35">
        <v>4500</v>
      </c>
      <c r="J166" s="35">
        <v>2800</v>
      </c>
      <c r="K166" s="35">
        <v>4000</v>
      </c>
      <c r="L166" s="35">
        <v>3500</v>
      </c>
      <c r="M166" s="35">
        <v>3800</v>
      </c>
      <c r="N166" s="35">
        <v>4500</v>
      </c>
      <c r="P166" s="35" t="s">
        <v>355</v>
      </c>
      <c r="R166"/>
    </row>
    <row r="167" ht="14.5" spans="1:18">
      <c r="A167" s="35" t="s">
        <v>328</v>
      </c>
      <c r="B167" s="12" t="str">
        <f t="shared" si="2"/>
        <v>\I: EN_Oxyfuel + CCS</v>
      </c>
      <c r="C167" s="35" t="s">
        <v>329</v>
      </c>
      <c r="D167" s="35">
        <v>2022</v>
      </c>
      <c r="F167" s="35">
        <v>0.33</v>
      </c>
      <c r="G167" s="35" t="s">
        <v>372</v>
      </c>
      <c r="H167" s="35">
        <v>0.35</v>
      </c>
      <c r="I167" s="35">
        <v>0.36</v>
      </c>
      <c r="J167" s="35">
        <v>0.31</v>
      </c>
      <c r="K167" s="35">
        <v>0.36</v>
      </c>
      <c r="L167" s="35" t="s">
        <v>372</v>
      </c>
      <c r="M167" s="35">
        <v>0.36</v>
      </c>
      <c r="N167" s="35">
        <v>0.36</v>
      </c>
      <c r="P167" s="35" t="s">
        <v>367</v>
      </c>
      <c r="R167"/>
    </row>
    <row r="168" ht="14.5" spans="1:18">
      <c r="A168" s="35" t="s">
        <v>328</v>
      </c>
      <c r="B168" s="12" t="str">
        <f t="shared" si="2"/>
        <v>\I: EN_Oxyfuel + CCS</v>
      </c>
      <c r="C168" s="35" t="s">
        <v>329</v>
      </c>
      <c r="D168" s="35">
        <v>2030</v>
      </c>
      <c r="F168" s="35">
        <v>0.33</v>
      </c>
      <c r="G168" s="35" t="s">
        <v>372</v>
      </c>
      <c r="H168" s="35">
        <v>0.36</v>
      </c>
      <c r="I168" s="35">
        <v>0.37</v>
      </c>
      <c r="J168" s="35">
        <v>0.32</v>
      </c>
      <c r="K168" s="35">
        <v>0.37</v>
      </c>
      <c r="L168" s="35" t="s">
        <v>372</v>
      </c>
      <c r="M168" s="35">
        <v>0.37</v>
      </c>
      <c r="N168" s="35">
        <v>0.37</v>
      </c>
      <c r="P168" s="35" t="s">
        <v>367</v>
      </c>
      <c r="R168"/>
    </row>
    <row r="169" ht="14.5" spans="1:18">
      <c r="A169" s="35" t="s">
        <v>328</v>
      </c>
      <c r="B169" s="12" t="str">
        <f t="shared" si="2"/>
        <v>\I: EN_Oxyfuel + CCS</v>
      </c>
      <c r="C169" s="35" t="s">
        <v>329</v>
      </c>
      <c r="D169" s="35">
        <v>2050</v>
      </c>
      <c r="F169" s="35">
        <v>0.33</v>
      </c>
      <c r="G169" s="35" t="s">
        <v>372</v>
      </c>
      <c r="H169" s="35">
        <v>0.36</v>
      </c>
      <c r="I169" s="35">
        <v>0.37</v>
      </c>
      <c r="J169" s="35">
        <v>0.32</v>
      </c>
      <c r="K169" s="35">
        <v>0.37</v>
      </c>
      <c r="L169" s="35" t="s">
        <v>372</v>
      </c>
      <c r="M169" s="35">
        <v>0.37</v>
      </c>
      <c r="N169" s="35">
        <v>0.37</v>
      </c>
      <c r="P169" s="35" t="s">
        <v>367</v>
      </c>
      <c r="R169"/>
    </row>
    <row r="170" ht="14.5" spans="1:18">
      <c r="A170" s="35" t="s">
        <v>328</v>
      </c>
      <c r="B170" s="12" t="str">
        <f t="shared" si="2"/>
        <v>\I: EN_Oxyfuel + CCS</v>
      </c>
      <c r="C170" s="35" t="s">
        <v>336</v>
      </c>
      <c r="D170" s="35">
        <v>2022</v>
      </c>
      <c r="F170" s="35">
        <v>185</v>
      </c>
      <c r="G170" s="35">
        <v>190</v>
      </c>
      <c r="H170" s="35">
        <v>140</v>
      </c>
      <c r="I170" s="35">
        <v>170</v>
      </c>
      <c r="J170" s="35">
        <v>165</v>
      </c>
      <c r="K170" s="35">
        <v>185</v>
      </c>
      <c r="L170" s="35">
        <v>170</v>
      </c>
      <c r="M170" s="35">
        <v>160</v>
      </c>
      <c r="N170" s="35">
        <v>175</v>
      </c>
      <c r="P170" s="35" t="s">
        <v>367</v>
      </c>
      <c r="R170"/>
    </row>
    <row r="171" ht="14.5" spans="1:18">
      <c r="A171" s="35" t="s">
        <v>328</v>
      </c>
      <c r="B171" s="12" t="str">
        <f t="shared" si="2"/>
        <v>\I: EN_Oxyfuel + CCS</v>
      </c>
      <c r="C171" s="35" t="s">
        <v>336</v>
      </c>
      <c r="D171" s="35">
        <v>2030</v>
      </c>
      <c r="F171" s="35">
        <v>185</v>
      </c>
      <c r="G171" s="35">
        <v>190</v>
      </c>
      <c r="H171" s="35">
        <v>140</v>
      </c>
      <c r="I171" s="35">
        <v>170</v>
      </c>
      <c r="J171" s="35">
        <v>165</v>
      </c>
      <c r="K171" s="35">
        <v>185</v>
      </c>
      <c r="L171" s="35">
        <v>170</v>
      </c>
      <c r="M171" s="35">
        <v>160</v>
      </c>
      <c r="N171" s="35">
        <v>175</v>
      </c>
      <c r="P171" s="35" t="s">
        <v>367</v>
      </c>
      <c r="R171"/>
    </row>
    <row r="172" ht="14.5" spans="1:18">
      <c r="A172" s="35" t="s">
        <v>328</v>
      </c>
      <c r="B172" s="12" t="str">
        <f t="shared" si="2"/>
        <v>\I: EN_Oxyfuel + CCS</v>
      </c>
      <c r="C172" s="35" t="s">
        <v>336</v>
      </c>
      <c r="D172" s="35">
        <v>2050</v>
      </c>
      <c r="F172" s="35">
        <v>165</v>
      </c>
      <c r="G172" s="35">
        <v>170</v>
      </c>
      <c r="H172" s="35">
        <v>120</v>
      </c>
      <c r="I172" s="35">
        <v>155</v>
      </c>
      <c r="J172" s="35">
        <v>150</v>
      </c>
      <c r="K172" s="35">
        <v>165</v>
      </c>
      <c r="L172" s="35">
        <v>155</v>
      </c>
      <c r="M172" s="35">
        <v>145</v>
      </c>
      <c r="N172" s="35">
        <v>155</v>
      </c>
      <c r="P172" s="35" t="s">
        <v>367</v>
      </c>
      <c r="R172"/>
    </row>
    <row r="173" ht="14.5" spans="1:18">
      <c r="A173" s="35" t="s">
        <v>328</v>
      </c>
      <c r="B173" s="12" t="str">
        <f t="shared" si="2"/>
        <v>\I: EN_Oxyfuel + CCS</v>
      </c>
      <c r="C173" s="35" t="s">
        <v>107</v>
      </c>
      <c r="D173" s="35">
        <v>2022</v>
      </c>
      <c r="F173" s="35">
        <v>4800</v>
      </c>
      <c r="G173" s="35">
        <v>4700</v>
      </c>
      <c r="H173" s="35">
        <v>3500</v>
      </c>
      <c r="I173" s="35">
        <v>5700</v>
      </c>
      <c r="J173" s="35">
        <v>4100</v>
      </c>
      <c r="K173" s="35">
        <v>6100</v>
      </c>
      <c r="L173" s="35">
        <v>4300</v>
      </c>
      <c r="M173" s="35">
        <v>5300</v>
      </c>
      <c r="N173" s="35">
        <v>5800</v>
      </c>
      <c r="P173" s="35" t="s">
        <v>367</v>
      </c>
      <c r="R173"/>
    </row>
    <row r="174" ht="14.5" spans="1:18">
      <c r="A174" s="35" t="s">
        <v>328</v>
      </c>
      <c r="B174" s="12" t="str">
        <f t="shared" si="2"/>
        <v>\I: EN_Oxyfuel + CCS</v>
      </c>
      <c r="C174" s="35" t="s">
        <v>107</v>
      </c>
      <c r="D174" s="35">
        <v>2030</v>
      </c>
      <c r="F174" s="35">
        <v>4800</v>
      </c>
      <c r="G174" s="35">
        <v>4700</v>
      </c>
      <c r="H174" s="35">
        <v>3500</v>
      </c>
      <c r="I174" s="35">
        <v>5700</v>
      </c>
      <c r="J174" s="35">
        <v>4100</v>
      </c>
      <c r="K174" s="35">
        <v>6100</v>
      </c>
      <c r="L174" s="35">
        <v>4300</v>
      </c>
      <c r="M174" s="35">
        <v>5300</v>
      </c>
      <c r="N174" s="35">
        <v>5800</v>
      </c>
      <c r="P174" s="35" t="s">
        <v>367</v>
      </c>
      <c r="R174"/>
    </row>
    <row r="175" ht="14.5" spans="1:18">
      <c r="A175" s="35" t="s">
        <v>328</v>
      </c>
      <c r="B175" s="12" t="str">
        <f t="shared" si="2"/>
        <v>\I: EN_Oxyfuel + CCS</v>
      </c>
      <c r="C175" s="35" t="s">
        <v>107</v>
      </c>
      <c r="D175" s="35">
        <v>2050</v>
      </c>
      <c r="F175" s="35">
        <v>4350</v>
      </c>
      <c r="G175" s="35">
        <v>4250</v>
      </c>
      <c r="H175" s="35">
        <v>3050</v>
      </c>
      <c r="I175" s="35">
        <v>5150</v>
      </c>
      <c r="J175" s="35">
        <v>3700</v>
      </c>
      <c r="K175" s="35">
        <v>5550</v>
      </c>
      <c r="L175" s="35">
        <v>3900</v>
      </c>
      <c r="M175" s="35">
        <v>4850</v>
      </c>
      <c r="N175" s="35">
        <v>5200</v>
      </c>
      <c r="P175" s="35" t="s">
        <v>367</v>
      </c>
      <c r="R175"/>
    </row>
    <row r="176" ht="14.5" spans="1:18">
      <c r="A176" s="35" t="s">
        <v>328</v>
      </c>
      <c r="B176" s="12" t="str">
        <f t="shared" si="2"/>
        <v>\I: EN_Solar photovoltaics - Buildings</v>
      </c>
      <c r="C176" s="35" t="s">
        <v>329</v>
      </c>
      <c r="D176" s="35">
        <v>2022</v>
      </c>
      <c r="F176" s="35">
        <v>1</v>
      </c>
      <c r="G176" s="35">
        <v>1</v>
      </c>
      <c r="H176" s="35">
        <v>1</v>
      </c>
      <c r="I176" s="35">
        <v>1</v>
      </c>
      <c r="J176" s="35">
        <v>1</v>
      </c>
      <c r="K176" s="35">
        <v>1</v>
      </c>
      <c r="L176" s="35">
        <v>1</v>
      </c>
      <c r="M176" s="35">
        <v>1</v>
      </c>
      <c r="N176" s="35">
        <v>1</v>
      </c>
      <c r="P176" s="35" t="s">
        <v>356</v>
      </c>
      <c r="R176"/>
    </row>
    <row r="177" ht="14.5" spans="1:18">
      <c r="A177" s="35" t="s">
        <v>328</v>
      </c>
      <c r="B177" s="12" t="str">
        <f t="shared" si="2"/>
        <v>\I: EN_Solar photovoltaics - Buildings</v>
      </c>
      <c r="C177" s="35" t="s">
        <v>329</v>
      </c>
      <c r="D177" s="35">
        <v>2030</v>
      </c>
      <c r="F177" s="35">
        <v>1</v>
      </c>
      <c r="G177" s="35">
        <v>1</v>
      </c>
      <c r="H177" s="35">
        <v>1</v>
      </c>
      <c r="I177" s="35">
        <v>1</v>
      </c>
      <c r="J177" s="35">
        <v>1</v>
      </c>
      <c r="K177" s="35">
        <v>1</v>
      </c>
      <c r="L177" s="35">
        <v>1</v>
      </c>
      <c r="M177" s="35">
        <v>1</v>
      </c>
      <c r="N177" s="35">
        <v>1</v>
      </c>
      <c r="P177" s="35" t="s">
        <v>356</v>
      </c>
      <c r="R177"/>
    </row>
    <row r="178" ht="14.5" spans="1:18">
      <c r="A178" s="35" t="s">
        <v>328</v>
      </c>
      <c r="B178" s="12" t="str">
        <f t="shared" si="2"/>
        <v>\I: EN_Solar photovoltaics - Buildings</v>
      </c>
      <c r="C178" s="35" t="s">
        <v>329</v>
      </c>
      <c r="D178" s="35">
        <v>2050</v>
      </c>
      <c r="F178" s="35">
        <v>1</v>
      </c>
      <c r="G178" s="35">
        <v>1</v>
      </c>
      <c r="H178" s="35">
        <v>1</v>
      </c>
      <c r="I178" s="35">
        <v>1</v>
      </c>
      <c r="J178" s="35">
        <v>1</v>
      </c>
      <c r="K178" s="35">
        <v>1</v>
      </c>
      <c r="L178" s="35">
        <v>1</v>
      </c>
      <c r="M178" s="35">
        <v>1</v>
      </c>
      <c r="N178" s="35">
        <v>1</v>
      </c>
      <c r="P178" s="35" t="s">
        <v>356</v>
      </c>
      <c r="R178"/>
    </row>
    <row r="179" ht="14.5" spans="1:18">
      <c r="A179" s="35" t="s">
        <v>328</v>
      </c>
      <c r="B179" s="12" t="str">
        <f t="shared" si="2"/>
        <v>\I: EN_Solar photovoltaics - Buildings</v>
      </c>
      <c r="C179" s="35" t="s">
        <v>336</v>
      </c>
      <c r="D179" s="35">
        <v>2022</v>
      </c>
      <c r="F179" s="35">
        <v>30</v>
      </c>
      <c r="G179" s="35">
        <v>8</v>
      </c>
      <c r="H179" s="35">
        <v>14</v>
      </c>
      <c r="I179" s="35">
        <v>20</v>
      </c>
      <c r="J179" s="35">
        <v>10</v>
      </c>
      <c r="K179" s="35">
        <v>28</v>
      </c>
      <c r="L179" s="35">
        <v>16</v>
      </c>
      <c r="M179" s="35">
        <v>34</v>
      </c>
      <c r="N179" s="35">
        <v>52</v>
      </c>
      <c r="P179" s="35" t="s">
        <v>356</v>
      </c>
      <c r="R179"/>
    </row>
    <row r="180" ht="14.5" spans="1:18">
      <c r="A180" s="35" t="s">
        <v>328</v>
      </c>
      <c r="B180" s="12" t="str">
        <f t="shared" si="2"/>
        <v>\I: EN_Solar photovoltaics - Buildings</v>
      </c>
      <c r="C180" s="35" t="s">
        <v>336</v>
      </c>
      <c r="D180" s="35">
        <v>2030</v>
      </c>
      <c r="F180" s="35">
        <v>26</v>
      </c>
      <c r="G180" s="35">
        <v>8</v>
      </c>
      <c r="H180" s="35">
        <v>12</v>
      </c>
      <c r="I180" s="35">
        <v>18</v>
      </c>
      <c r="J180" s="35">
        <v>10</v>
      </c>
      <c r="K180" s="35">
        <v>26</v>
      </c>
      <c r="L180" s="35">
        <v>14</v>
      </c>
      <c r="M180" s="35">
        <v>30</v>
      </c>
      <c r="N180" s="35">
        <v>48</v>
      </c>
      <c r="P180" s="35" t="s">
        <v>356</v>
      </c>
      <c r="R180"/>
    </row>
    <row r="181" ht="14.5" spans="1:18">
      <c r="A181" s="35" t="s">
        <v>328</v>
      </c>
      <c r="B181" s="12" t="str">
        <f t="shared" si="2"/>
        <v>\I: EN_Solar photovoltaics - Buildings</v>
      </c>
      <c r="C181" s="35" t="s">
        <v>336</v>
      </c>
      <c r="D181" s="35">
        <v>2050</v>
      </c>
      <c r="F181" s="35">
        <v>26</v>
      </c>
      <c r="G181" s="35">
        <v>8</v>
      </c>
      <c r="H181" s="35">
        <v>12</v>
      </c>
      <c r="I181" s="35">
        <v>18</v>
      </c>
      <c r="J181" s="35">
        <v>8</v>
      </c>
      <c r="K181" s="35">
        <v>24</v>
      </c>
      <c r="L181" s="35">
        <v>12</v>
      </c>
      <c r="M181" s="35">
        <v>28</v>
      </c>
      <c r="N181" s="35">
        <v>44</v>
      </c>
      <c r="P181" s="35" t="s">
        <v>356</v>
      </c>
      <c r="R181"/>
    </row>
    <row r="182" ht="14.5" spans="1:18">
      <c r="A182" s="35" t="s">
        <v>328</v>
      </c>
      <c r="B182" s="12" t="str">
        <f t="shared" si="2"/>
        <v>\I: EN_Solar photovoltaics - Buildings</v>
      </c>
      <c r="C182" s="35" t="s">
        <v>107</v>
      </c>
      <c r="D182" s="35">
        <v>2022</v>
      </c>
      <c r="F182" s="35">
        <v>1970</v>
      </c>
      <c r="G182" s="35">
        <v>580</v>
      </c>
      <c r="H182" s="35">
        <v>800</v>
      </c>
      <c r="I182" s="35">
        <v>1320</v>
      </c>
      <c r="J182" s="35">
        <v>700</v>
      </c>
      <c r="K182" s="35">
        <v>1880</v>
      </c>
      <c r="L182" s="35">
        <v>1020</v>
      </c>
      <c r="M182" s="35">
        <v>2210</v>
      </c>
      <c r="N182" s="35">
        <v>3490</v>
      </c>
      <c r="P182" s="35" t="s">
        <v>356</v>
      </c>
      <c r="R182"/>
    </row>
    <row r="183" ht="14.5" spans="1:18">
      <c r="A183" s="35" t="s">
        <v>328</v>
      </c>
      <c r="B183" s="12" t="str">
        <f t="shared" si="2"/>
        <v>\I: EN_Solar photovoltaics - Buildings</v>
      </c>
      <c r="C183" s="35" t="s">
        <v>107</v>
      </c>
      <c r="D183" s="35">
        <v>2030</v>
      </c>
      <c r="F183" s="35">
        <v>1150</v>
      </c>
      <c r="G183" s="35">
        <v>350</v>
      </c>
      <c r="H183" s="35">
        <v>480</v>
      </c>
      <c r="I183" s="35">
        <v>840</v>
      </c>
      <c r="J183" s="35">
        <v>430</v>
      </c>
      <c r="K183" s="35">
        <v>1280</v>
      </c>
      <c r="L183" s="35">
        <v>580</v>
      </c>
      <c r="M183" s="35">
        <v>1440</v>
      </c>
      <c r="N183" s="35">
        <v>2160</v>
      </c>
      <c r="P183" s="35" t="s">
        <v>356</v>
      </c>
      <c r="R183"/>
    </row>
    <row r="184" ht="14.5" spans="1:18">
      <c r="A184" s="35" t="s">
        <v>328</v>
      </c>
      <c r="B184" s="12" t="str">
        <f t="shared" si="2"/>
        <v>\I: EN_Solar photovoltaics - Buildings</v>
      </c>
      <c r="C184" s="35" t="s">
        <v>107</v>
      </c>
      <c r="D184" s="35">
        <v>2050</v>
      </c>
      <c r="F184" s="35">
        <v>770</v>
      </c>
      <c r="G184" s="35">
        <v>260</v>
      </c>
      <c r="H184" s="35">
        <v>340</v>
      </c>
      <c r="I184" s="35">
        <v>620</v>
      </c>
      <c r="J184" s="35">
        <v>290</v>
      </c>
      <c r="K184" s="35">
        <v>990</v>
      </c>
      <c r="L184" s="35">
        <v>390</v>
      </c>
      <c r="M184" s="35">
        <v>1010</v>
      </c>
      <c r="N184" s="35">
        <v>1510</v>
      </c>
      <c r="P184" s="35" t="s">
        <v>356</v>
      </c>
      <c r="R184"/>
    </row>
    <row r="185" ht="14.5" spans="1:18">
      <c r="A185" s="35" t="s">
        <v>328</v>
      </c>
      <c r="B185" s="12" t="str">
        <f t="shared" si="2"/>
        <v>EN_SPV*</v>
      </c>
      <c r="C185" s="35" t="s">
        <v>329</v>
      </c>
      <c r="D185" s="35">
        <v>2022</v>
      </c>
      <c r="F185" s="35">
        <v>1</v>
      </c>
      <c r="G185" s="35">
        <v>1</v>
      </c>
      <c r="H185" s="35">
        <v>1</v>
      </c>
      <c r="I185" s="35">
        <v>1</v>
      </c>
      <c r="J185" s="35">
        <v>1</v>
      </c>
      <c r="K185" s="35">
        <v>1</v>
      </c>
      <c r="L185" s="35">
        <v>1</v>
      </c>
      <c r="M185" s="35">
        <v>1</v>
      </c>
      <c r="N185" s="35">
        <v>1</v>
      </c>
      <c r="P185" s="35" t="s">
        <v>358</v>
      </c>
      <c r="R185"/>
    </row>
    <row r="186" ht="14.5" spans="1:18">
      <c r="A186" s="35" t="s">
        <v>328</v>
      </c>
      <c r="B186" s="12" t="str">
        <f t="shared" si="2"/>
        <v>EN_SPV*</v>
      </c>
      <c r="C186" s="35" t="s">
        <v>329</v>
      </c>
      <c r="D186" s="35">
        <v>2030</v>
      </c>
      <c r="F186" s="35">
        <v>1</v>
      </c>
      <c r="G186" s="35">
        <v>1</v>
      </c>
      <c r="H186" s="35">
        <v>1</v>
      </c>
      <c r="I186" s="35">
        <v>1</v>
      </c>
      <c r="J186" s="35">
        <v>1</v>
      </c>
      <c r="K186" s="35">
        <v>1</v>
      </c>
      <c r="L186" s="35">
        <v>1</v>
      </c>
      <c r="M186" s="35">
        <v>1</v>
      </c>
      <c r="N186" s="35">
        <v>1</v>
      </c>
      <c r="P186" s="35" t="s">
        <v>358</v>
      </c>
      <c r="R186"/>
    </row>
    <row r="187" ht="14.5" spans="1:18">
      <c r="A187" s="35" t="s">
        <v>328</v>
      </c>
      <c r="B187" s="12" t="str">
        <f t="shared" si="2"/>
        <v>EN_SPV*</v>
      </c>
      <c r="C187" s="35" t="s">
        <v>329</v>
      </c>
      <c r="D187" s="35">
        <v>2050</v>
      </c>
      <c r="F187" s="35">
        <v>1</v>
      </c>
      <c r="G187" s="35">
        <v>1</v>
      </c>
      <c r="H187" s="35">
        <v>1</v>
      </c>
      <c r="I187" s="35">
        <v>1</v>
      </c>
      <c r="J187" s="35">
        <v>1</v>
      </c>
      <c r="K187" s="35">
        <v>1</v>
      </c>
      <c r="L187" s="35">
        <v>1</v>
      </c>
      <c r="M187" s="35">
        <v>1</v>
      </c>
      <c r="N187" s="35">
        <v>1</v>
      </c>
      <c r="P187" s="35" t="s">
        <v>358</v>
      </c>
      <c r="R187"/>
    </row>
    <row r="188" ht="14.5" spans="1:18">
      <c r="A188" s="35" t="s">
        <v>328</v>
      </c>
      <c r="B188" s="12" t="str">
        <f t="shared" si="2"/>
        <v>EN_SPV*</v>
      </c>
      <c r="C188" s="35" t="s">
        <v>336</v>
      </c>
      <c r="D188" s="35">
        <v>2022</v>
      </c>
      <c r="F188" s="35">
        <v>22</v>
      </c>
      <c r="G188" s="35">
        <v>12</v>
      </c>
      <c r="H188" s="35">
        <v>12</v>
      </c>
      <c r="I188" s="35">
        <v>14</v>
      </c>
      <c r="J188" s="35">
        <v>10</v>
      </c>
      <c r="K188" s="35">
        <v>28</v>
      </c>
      <c r="L188" s="35">
        <v>10</v>
      </c>
      <c r="M188" s="35">
        <v>26</v>
      </c>
      <c r="N188" s="35">
        <v>16</v>
      </c>
      <c r="P188" s="35" t="s">
        <v>358</v>
      </c>
      <c r="R188"/>
    </row>
    <row r="189" ht="14.5" spans="1:18">
      <c r="A189" s="35" t="s">
        <v>328</v>
      </c>
      <c r="B189" s="12" t="str">
        <f t="shared" si="2"/>
        <v>EN_SPV*</v>
      </c>
      <c r="C189" s="35" t="s">
        <v>336</v>
      </c>
      <c r="D189" s="35">
        <v>2030</v>
      </c>
      <c r="F189" s="35">
        <v>20</v>
      </c>
      <c r="G189" s="35">
        <v>10</v>
      </c>
      <c r="H189" s="35">
        <v>10</v>
      </c>
      <c r="I189" s="35">
        <v>14</v>
      </c>
      <c r="J189" s="35">
        <v>8</v>
      </c>
      <c r="K189" s="35">
        <v>26</v>
      </c>
      <c r="L189" s="35">
        <v>8</v>
      </c>
      <c r="M189" s="35">
        <v>24</v>
      </c>
      <c r="N189" s="35">
        <v>16</v>
      </c>
      <c r="P189" s="35" t="s">
        <v>358</v>
      </c>
      <c r="R189"/>
    </row>
    <row r="190" ht="14.5" spans="1:18">
      <c r="A190" s="35" t="s">
        <v>328</v>
      </c>
      <c r="B190" s="12" t="str">
        <f t="shared" si="2"/>
        <v>EN_SPV*</v>
      </c>
      <c r="C190" s="35" t="s">
        <v>336</v>
      </c>
      <c r="D190" s="35">
        <v>2050</v>
      </c>
      <c r="F190" s="35">
        <v>18</v>
      </c>
      <c r="G190" s="35">
        <v>10</v>
      </c>
      <c r="H190" s="35">
        <v>10</v>
      </c>
      <c r="I190" s="35">
        <v>12</v>
      </c>
      <c r="J190" s="35">
        <v>8</v>
      </c>
      <c r="K190" s="35">
        <v>24</v>
      </c>
      <c r="L190" s="35">
        <v>8</v>
      </c>
      <c r="M190" s="35">
        <v>22</v>
      </c>
      <c r="N190" s="35">
        <v>16</v>
      </c>
      <c r="P190" s="35" t="s">
        <v>358</v>
      </c>
      <c r="R190"/>
    </row>
    <row r="191" ht="14.5" spans="1:18">
      <c r="A191" s="35" t="s">
        <v>328</v>
      </c>
      <c r="B191" s="12" t="str">
        <f t="shared" si="2"/>
        <v>EN_SPV*</v>
      </c>
      <c r="C191" s="35" t="s">
        <v>107</v>
      </c>
      <c r="D191" s="35">
        <v>2022</v>
      </c>
      <c r="F191" s="35">
        <v>1420</v>
      </c>
      <c r="G191" s="35">
        <v>750</v>
      </c>
      <c r="H191" s="35">
        <v>720</v>
      </c>
      <c r="I191" s="35">
        <v>990</v>
      </c>
      <c r="J191" s="35">
        <v>640</v>
      </c>
      <c r="K191" s="35">
        <v>1910</v>
      </c>
      <c r="L191" s="35">
        <v>620</v>
      </c>
      <c r="M191" s="35">
        <v>1710</v>
      </c>
      <c r="N191" s="35">
        <v>1120</v>
      </c>
      <c r="P191" s="35" t="s">
        <v>358</v>
      </c>
      <c r="R191"/>
    </row>
    <row r="192" ht="14.5" spans="1:18">
      <c r="A192" s="35" t="s">
        <v>328</v>
      </c>
      <c r="B192" s="12" t="str">
        <f t="shared" si="2"/>
        <v>EN_SPV*</v>
      </c>
      <c r="C192" s="35" t="s">
        <v>107</v>
      </c>
      <c r="D192" s="35">
        <v>2030</v>
      </c>
      <c r="F192" s="35">
        <v>850</v>
      </c>
      <c r="G192" s="35">
        <v>460</v>
      </c>
      <c r="H192" s="35">
        <v>430</v>
      </c>
      <c r="I192" s="35">
        <v>620</v>
      </c>
      <c r="J192" s="35">
        <v>390</v>
      </c>
      <c r="K192" s="35">
        <v>1250</v>
      </c>
      <c r="L192" s="35">
        <v>360</v>
      </c>
      <c r="M192" s="35">
        <v>1090</v>
      </c>
      <c r="N192" s="35">
        <v>690</v>
      </c>
      <c r="P192" s="35" t="s">
        <v>358</v>
      </c>
      <c r="R192"/>
    </row>
    <row r="193" ht="14.5" spans="1:18">
      <c r="A193" s="35" t="s">
        <v>328</v>
      </c>
      <c r="B193" s="12" t="str">
        <f t="shared" si="2"/>
        <v>EN_SPV*</v>
      </c>
      <c r="C193" s="35" t="s">
        <v>107</v>
      </c>
      <c r="D193" s="35">
        <v>2050</v>
      </c>
      <c r="F193" s="35">
        <v>580</v>
      </c>
      <c r="G193" s="35">
        <v>330</v>
      </c>
      <c r="H193" s="35">
        <v>300</v>
      </c>
      <c r="I193" s="35">
        <v>450</v>
      </c>
      <c r="J193" s="35">
        <v>270</v>
      </c>
      <c r="K193" s="35">
        <v>940</v>
      </c>
      <c r="L193" s="35">
        <v>250</v>
      </c>
      <c r="M193" s="35">
        <v>770</v>
      </c>
      <c r="N193" s="35">
        <v>480</v>
      </c>
      <c r="P193" s="35" t="s">
        <v>358</v>
      </c>
      <c r="R193"/>
    </row>
    <row r="194" ht="14.5" spans="1:18">
      <c r="A194" s="35" t="s">
        <v>328</v>
      </c>
      <c r="B194" s="12" t="str">
        <f t="shared" si="2"/>
        <v>EN_Steam Coal - SUBCRITICAL</v>
      </c>
      <c r="C194" s="35" t="s">
        <v>329</v>
      </c>
      <c r="D194" s="35">
        <v>2022</v>
      </c>
      <c r="F194" s="35">
        <v>0.35</v>
      </c>
      <c r="G194" s="35">
        <v>0.39</v>
      </c>
      <c r="H194" s="35">
        <v>0.37</v>
      </c>
      <c r="I194" s="35">
        <v>0.39</v>
      </c>
      <c r="J194" s="35">
        <v>0.36</v>
      </c>
      <c r="K194" s="35">
        <v>0.39</v>
      </c>
      <c r="L194" s="35">
        <v>0.37</v>
      </c>
      <c r="M194" s="35">
        <v>0.39</v>
      </c>
      <c r="N194" s="35">
        <v>0.39</v>
      </c>
      <c r="P194" s="35" t="s">
        <v>360</v>
      </c>
      <c r="R194"/>
    </row>
    <row r="195" ht="14.5" spans="1:18">
      <c r="A195" s="35" t="s">
        <v>328</v>
      </c>
      <c r="B195" s="12" t="str">
        <f t="shared" si="2"/>
        <v>EN_Steam Coal - SUBCRITICAL</v>
      </c>
      <c r="C195" s="35" t="s">
        <v>329</v>
      </c>
      <c r="D195" s="35">
        <v>2030</v>
      </c>
      <c r="F195" s="35">
        <v>0.35</v>
      </c>
      <c r="G195" s="35">
        <v>0.39</v>
      </c>
      <c r="H195" s="35">
        <v>0.37</v>
      </c>
      <c r="I195" s="35">
        <v>0.39</v>
      </c>
      <c r="J195" s="35">
        <v>0.36</v>
      </c>
      <c r="K195" s="35">
        <v>0.39</v>
      </c>
      <c r="L195" s="35">
        <v>0.37</v>
      </c>
      <c r="M195" s="35">
        <v>0.39</v>
      </c>
      <c r="N195" s="35">
        <v>0.39</v>
      </c>
      <c r="P195" s="35" t="s">
        <v>360</v>
      </c>
      <c r="R195"/>
    </row>
    <row r="196" ht="14.5" spans="1:18">
      <c r="A196" s="35" t="s">
        <v>328</v>
      </c>
      <c r="B196" s="12" t="str">
        <f t="shared" si="2"/>
        <v>EN_Steam Coal - SUBCRITICAL</v>
      </c>
      <c r="C196" s="35" t="s">
        <v>329</v>
      </c>
      <c r="D196" s="35">
        <v>2050</v>
      </c>
      <c r="F196" s="35">
        <v>0.35</v>
      </c>
      <c r="G196" s="35">
        <v>0.39</v>
      </c>
      <c r="H196" s="35">
        <v>0.37</v>
      </c>
      <c r="I196" s="35">
        <v>0.39</v>
      </c>
      <c r="J196" s="35">
        <v>0.37</v>
      </c>
      <c r="K196" s="35">
        <v>0.39</v>
      </c>
      <c r="L196" s="35">
        <v>0.37</v>
      </c>
      <c r="M196" s="35">
        <v>0.39</v>
      </c>
      <c r="N196" s="35">
        <v>0.39</v>
      </c>
      <c r="P196" s="35" t="s">
        <v>360</v>
      </c>
      <c r="R196"/>
    </row>
    <row r="197" ht="14.5" spans="1:18">
      <c r="A197" s="35" t="s">
        <v>328</v>
      </c>
      <c r="B197" s="12" t="str">
        <f t="shared" si="2"/>
        <v>EN_Steam Coal - SUBCRITICAL</v>
      </c>
      <c r="C197" s="35" t="s">
        <v>336</v>
      </c>
      <c r="D197" s="35">
        <v>2022</v>
      </c>
      <c r="F197" s="35">
        <v>45</v>
      </c>
      <c r="G197" s="35">
        <v>45</v>
      </c>
      <c r="H197" s="35">
        <v>20</v>
      </c>
      <c r="I197" s="35">
        <v>45</v>
      </c>
      <c r="J197" s="35">
        <v>35</v>
      </c>
      <c r="K197" s="35">
        <v>55</v>
      </c>
      <c r="L197" s="35">
        <v>45</v>
      </c>
      <c r="M197" s="35">
        <v>50</v>
      </c>
      <c r="N197" s="35">
        <v>45</v>
      </c>
      <c r="P197" s="35" t="s">
        <v>360</v>
      </c>
      <c r="R197"/>
    </row>
    <row r="198" ht="14.5" spans="1:18">
      <c r="A198" s="35" t="s">
        <v>328</v>
      </c>
      <c r="B198" s="12" t="str">
        <f t="shared" si="2"/>
        <v>EN_Steam Coal - SUBCRITICAL</v>
      </c>
      <c r="C198" s="35" t="s">
        <v>336</v>
      </c>
      <c r="D198" s="35">
        <v>2030</v>
      </c>
      <c r="F198" s="35">
        <v>45</v>
      </c>
      <c r="G198" s="35">
        <v>45</v>
      </c>
      <c r="H198" s="35">
        <v>20</v>
      </c>
      <c r="I198" s="35">
        <v>45</v>
      </c>
      <c r="J198" s="35">
        <v>35</v>
      </c>
      <c r="K198" s="35">
        <v>55</v>
      </c>
      <c r="L198" s="35">
        <v>45</v>
      </c>
      <c r="M198" s="35">
        <v>50</v>
      </c>
      <c r="N198" s="35">
        <v>45</v>
      </c>
      <c r="P198" s="35" t="s">
        <v>360</v>
      </c>
      <c r="R198"/>
    </row>
    <row r="199" ht="14.5" spans="1:18">
      <c r="A199" s="35" t="s">
        <v>328</v>
      </c>
      <c r="B199" s="12" t="str">
        <f t="shared" ref="B199:B238" si="3">VLOOKUP(P199,$Q$4:$R$33,2,FALSE)</f>
        <v>EN_Steam Coal - SUBCRITICAL</v>
      </c>
      <c r="C199" s="35" t="s">
        <v>336</v>
      </c>
      <c r="D199" s="35">
        <v>2050</v>
      </c>
      <c r="F199" s="35">
        <v>45</v>
      </c>
      <c r="G199" s="35">
        <v>45</v>
      </c>
      <c r="H199" s="35">
        <v>20</v>
      </c>
      <c r="I199" s="35">
        <v>45</v>
      </c>
      <c r="J199" s="35">
        <v>35</v>
      </c>
      <c r="K199" s="35">
        <v>55</v>
      </c>
      <c r="L199" s="35">
        <v>45</v>
      </c>
      <c r="M199" s="35">
        <v>50</v>
      </c>
      <c r="N199" s="35">
        <v>45</v>
      </c>
      <c r="P199" s="35" t="s">
        <v>360</v>
      </c>
      <c r="R199"/>
    </row>
    <row r="200" ht="14.5" spans="1:18">
      <c r="A200" s="35" t="s">
        <v>328</v>
      </c>
      <c r="B200" s="12" t="str">
        <f t="shared" si="3"/>
        <v>EN_Steam Coal - SUBCRITICAL</v>
      </c>
      <c r="C200" s="35" t="s">
        <v>107</v>
      </c>
      <c r="D200" s="35">
        <v>2022</v>
      </c>
      <c r="F200" s="35">
        <v>1300</v>
      </c>
      <c r="G200" s="35">
        <v>1300</v>
      </c>
      <c r="H200" s="35">
        <v>600</v>
      </c>
      <c r="I200" s="35">
        <v>1700</v>
      </c>
      <c r="J200" s="35">
        <v>1000</v>
      </c>
      <c r="K200" s="35">
        <v>2100</v>
      </c>
      <c r="L200" s="35">
        <v>1300</v>
      </c>
      <c r="M200" s="35">
        <v>1700</v>
      </c>
      <c r="N200" s="35">
        <v>1800</v>
      </c>
      <c r="P200" s="35" t="s">
        <v>360</v>
      </c>
      <c r="R200"/>
    </row>
    <row r="201" ht="14.5" spans="1:18">
      <c r="A201" s="35" t="s">
        <v>328</v>
      </c>
      <c r="B201" s="12" t="str">
        <f t="shared" si="3"/>
        <v>EN_Steam Coal - SUBCRITICAL</v>
      </c>
      <c r="C201" s="35" t="s">
        <v>107</v>
      </c>
      <c r="D201" s="35">
        <v>2030</v>
      </c>
      <c r="F201" s="35">
        <v>1300</v>
      </c>
      <c r="G201" s="35">
        <v>1300</v>
      </c>
      <c r="H201" s="35">
        <v>600</v>
      </c>
      <c r="I201" s="35">
        <v>1700</v>
      </c>
      <c r="J201" s="35">
        <v>1000</v>
      </c>
      <c r="K201" s="35">
        <v>2100</v>
      </c>
      <c r="L201" s="35">
        <v>1300</v>
      </c>
      <c r="M201" s="35">
        <v>1700</v>
      </c>
      <c r="N201" s="35">
        <v>1800</v>
      </c>
      <c r="P201" s="35" t="s">
        <v>360</v>
      </c>
      <c r="R201"/>
    </row>
    <row r="202" ht="14.5" spans="1:18">
      <c r="A202" s="35" t="s">
        <v>328</v>
      </c>
      <c r="B202" s="12" t="str">
        <f t="shared" si="3"/>
        <v>EN_Steam Coal - SUBCRITICAL</v>
      </c>
      <c r="C202" s="35" t="s">
        <v>107</v>
      </c>
      <c r="D202" s="35">
        <v>2050</v>
      </c>
      <c r="F202" s="35">
        <v>1300</v>
      </c>
      <c r="G202" s="35">
        <v>1300</v>
      </c>
      <c r="H202" s="35">
        <v>600</v>
      </c>
      <c r="I202" s="35">
        <v>1700</v>
      </c>
      <c r="J202" s="35">
        <v>1000</v>
      </c>
      <c r="K202" s="35">
        <v>2100</v>
      </c>
      <c r="L202" s="35">
        <v>1300</v>
      </c>
      <c r="M202" s="35">
        <v>1700</v>
      </c>
      <c r="N202" s="35">
        <v>1800</v>
      </c>
      <c r="P202" s="35" t="s">
        <v>360</v>
      </c>
      <c r="R202"/>
    </row>
    <row r="203" ht="14.5" spans="1:18">
      <c r="A203" s="35" t="s">
        <v>328</v>
      </c>
      <c r="B203" s="12" t="str">
        <f t="shared" si="3"/>
        <v>EN_Steam Coal - SUPERCRITICAL</v>
      </c>
      <c r="C203" s="35" t="s">
        <v>329</v>
      </c>
      <c r="D203" s="35">
        <v>2022</v>
      </c>
      <c r="F203" s="35">
        <v>0.39</v>
      </c>
      <c r="G203" s="35">
        <v>0.43</v>
      </c>
      <c r="H203" s="35">
        <v>0.41</v>
      </c>
      <c r="I203" s="35">
        <v>0.43</v>
      </c>
      <c r="J203" s="35">
        <v>0.4</v>
      </c>
      <c r="K203" s="35">
        <v>0.43</v>
      </c>
      <c r="L203" s="35">
        <v>0.41</v>
      </c>
      <c r="M203" s="35">
        <v>0.43</v>
      </c>
      <c r="N203" s="35">
        <v>0.43</v>
      </c>
      <c r="P203" s="35" t="s">
        <v>361</v>
      </c>
      <c r="R203"/>
    </row>
    <row r="204" ht="14.5" spans="1:18">
      <c r="A204" s="35" t="s">
        <v>328</v>
      </c>
      <c r="B204" s="12" t="str">
        <f t="shared" si="3"/>
        <v>EN_Steam Coal - SUPERCRITICAL</v>
      </c>
      <c r="C204" s="35" t="s">
        <v>329</v>
      </c>
      <c r="D204" s="35">
        <v>2030</v>
      </c>
      <c r="F204" s="35">
        <v>0.39</v>
      </c>
      <c r="G204" s="35">
        <v>0.43</v>
      </c>
      <c r="H204" s="35">
        <v>0.41</v>
      </c>
      <c r="I204" s="35">
        <v>0.43</v>
      </c>
      <c r="J204" s="35">
        <v>0.4</v>
      </c>
      <c r="K204" s="35">
        <v>0.43</v>
      </c>
      <c r="L204" s="35">
        <v>0.41</v>
      </c>
      <c r="M204" s="35">
        <v>0.43</v>
      </c>
      <c r="N204" s="35">
        <v>0.43</v>
      </c>
      <c r="P204" s="35" t="s">
        <v>361</v>
      </c>
      <c r="R204"/>
    </row>
    <row r="205" ht="14.5" spans="1:18">
      <c r="A205" s="35" t="s">
        <v>328</v>
      </c>
      <c r="B205" s="12" t="str">
        <f t="shared" si="3"/>
        <v>EN_Steam Coal - SUPERCRITICAL</v>
      </c>
      <c r="C205" s="35" t="s">
        <v>329</v>
      </c>
      <c r="D205" s="35">
        <v>2050</v>
      </c>
      <c r="F205" s="35">
        <v>0.39</v>
      </c>
      <c r="G205" s="35">
        <v>0.43</v>
      </c>
      <c r="H205" s="35">
        <v>0.41</v>
      </c>
      <c r="I205" s="35">
        <v>0.43</v>
      </c>
      <c r="J205" s="35">
        <v>0.4</v>
      </c>
      <c r="K205" s="35">
        <v>0.43</v>
      </c>
      <c r="L205" s="35">
        <v>0.41</v>
      </c>
      <c r="M205" s="35">
        <v>0.43</v>
      </c>
      <c r="N205" s="35">
        <v>0.43</v>
      </c>
      <c r="P205" s="35" t="s">
        <v>361</v>
      </c>
      <c r="R205"/>
    </row>
    <row r="206" ht="14.5" spans="1:18">
      <c r="A206" s="35" t="s">
        <v>328</v>
      </c>
      <c r="B206" s="12" t="str">
        <f t="shared" si="3"/>
        <v>EN_Steam Coal - SUPERCRITICAL</v>
      </c>
      <c r="C206" s="35" t="s">
        <v>336</v>
      </c>
      <c r="D206" s="35">
        <v>2022</v>
      </c>
      <c r="F206" s="35">
        <v>55</v>
      </c>
      <c r="G206" s="35">
        <v>65</v>
      </c>
      <c r="H206" s="35">
        <v>30</v>
      </c>
      <c r="I206" s="35">
        <v>60</v>
      </c>
      <c r="J206" s="35">
        <v>50</v>
      </c>
      <c r="K206" s="35">
        <v>70</v>
      </c>
      <c r="L206" s="35">
        <v>65</v>
      </c>
      <c r="M206" s="35">
        <v>70</v>
      </c>
      <c r="N206" s="35">
        <v>65</v>
      </c>
      <c r="P206" s="35" t="s">
        <v>361</v>
      </c>
      <c r="R206"/>
    </row>
    <row r="207" ht="14.5" spans="1:18">
      <c r="A207" s="35" t="s">
        <v>328</v>
      </c>
      <c r="B207" s="12" t="str">
        <f t="shared" si="3"/>
        <v>EN_Steam Coal - SUPERCRITICAL</v>
      </c>
      <c r="C207" s="35" t="s">
        <v>336</v>
      </c>
      <c r="D207" s="35">
        <v>2030</v>
      </c>
      <c r="F207" s="35">
        <v>55</v>
      </c>
      <c r="G207" s="35">
        <v>65</v>
      </c>
      <c r="H207" s="35">
        <v>30</v>
      </c>
      <c r="I207" s="35">
        <v>60</v>
      </c>
      <c r="J207" s="35">
        <v>50</v>
      </c>
      <c r="K207" s="35">
        <v>70</v>
      </c>
      <c r="L207" s="35">
        <v>65</v>
      </c>
      <c r="M207" s="35">
        <v>70</v>
      </c>
      <c r="N207" s="35">
        <v>65</v>
      </c>
      <c r="P207" s="35" t="s">
        <v>361</v>
      </c>
      <c r="R207"/>
    </row>
    <row r="208" ht="14.5" spans="1:18">
      <c r="A208" s="35" t="s">
        <v>328</v>
      </c>
      <c r="B208" s="12" t="str">
        <f t="shared" si="3"/>
        <v>EN_Steam Coal - SUPERCRITICAL</v>
      </c>
      <c r="C208" s="35" t="s">
        <v>336</v>
      </c>
      <c r="D208" s="35">
        <v>2050</v>
      </c>
      <c r="F208" s="35">
        <v>55</v>
      </c>
      <c r="G208" s="35">
        <v>65</v>
      </c>
      <c r="H208" s="35">
        <v>30</v>
      </c>
      <c r="I208" s="35">
        <v>60</v>
      </c>
      <c r="J208" s="35">
        <v>50</v>
      </c>
      <c r="K208" s="35">
        <v>70</v>
      </c>
      <c r="L208" s="35">
        <v>65</v>
      </c>
      <c r="M208" s="35">
        <v>70</v>
      </c>
      <c r="N208" s="35">
        <v>65</v>
      </c>
      <c r="P208" s="35" t="s">
        <v>361</v>
      </c>
      <c r="R208"/>
    </row>
    <row r="209" ht="14.5" spans="1:18">
      <c r="A209" s="35" t="s">
        <v>328</v>
      </c>
      <c r="B209" s="12" t="str">
        <f t="shared" si="3"/>
        <v>EN_Steam Coal - SUPERCRITICAL</v>
      </c>
      <c r="C209" s="35" t="s">
        <v>107</v>
      </c>
      <c r="D209" s="35">
        <v>2022</v>
      </c>
      <c r="F209" s="35">
        <v>1600</v>
      </c>
      <c r="G209" s="35">
        <v>1600</v>
      </c>
      <c r="H209" s="35">
        <v>700</v>
      </c>
      <c r="I209" s="35">
        <v>2000</v>
      </c>
      <c r="J209" s="35">
        <v>1200</v>
      </c>
      <c r="K209" s="35">
        <v>2400</v>
      </c>
      <c r="L209" s="35">
        <v>1600</v>
      </c>
      <c r="M209" s="35">
        <v>2000</v>
      </c>
      <c r="N209" s="35">
        <v>2100</v>
      </c>
      <c r="P209" s="35" t="s">
        <v>361</v>
      </c>
      <c r="R209"/>
    </row>
    <row r="210" ht="14.5" spans="1:18">
      <c r="A210" s="35" t="s">
        <v>328</v>
      </c>
      <c r="B210" s="12" t="str">
        <f t="shared" si="3"/>
        <v>EN_Steam Coal - SUPERCRITICAL</v>
      </c>
      <c r="C210" s="35" t="s">
        <v>107</v>
      </c>
      <c r="D210" s="35">
        <v>2030</v>
      </c>
      <c r="F210" s="35">
        <v>1600</v>
      </c>
      <c r="G210" s="35">
        <v>1600</v>
      </c>
      <c r="H210" s="35">
        <v>700</v>
      </c>
      <c r="I210" s="35">
        <v>2000</v>
      </c>
      <c r="J210" s="35">
        <v>1200</v>
      </c>
      <c r="K210" s="35">
        <v>2400</v>
      </c>
      <c r="L210" s="35">
        <v>1600</v>
      </c>
      <c r="M210" s="35">
        <v>2000</v>
      </c>
      <c r="N210" s="35">
        <v>2100</v>
      </c>
      <c r="P210" s="35" t="s">
        <v>361</v>
      </c>
      <c r="R210"/>
    </row>
    <row r="211" ht="14.5" spans="1:18">
      <c r="A211" s="35" t="s">
        <v>328</v>
      </c>
      <c r="B211" s="12" t="str">
        <f t="shared" si="3"/>
        <v>EN_Steam Coal - SUPERCRITICAL</v>
      </c>
      <c r="C211" s="35" t="s">
        <v>107</v>
      </c>
      <c r="D211" s="35">
        <v>2050</v>
      </c>
      <c r="F211" s="35">
        <v>1600</v>
      </c>
      <c r="G211" s="35">
        <v>1600</v>
      </c>
      <c r="H211" s="35">
        <v>700</v>
      </c>
      <c r="I211" s="35">
        <v>2000</v>
      </c>
      <c r="J211" s="35">
        <v>1200</v>
      </c>
      <c r="K211" s="35">
        <v>2400</v>
      </c>
      <c r="L211" s="35">
        <v>1600</v>
      </c>
      <c r="M211" s="35">
        <v>2000</v>
      </c>
      <c r="N211" s="35">
        <v>2100</v>
      </c>
      <c r="P211" s="35" t="s">
        <v>361</v>
      </c>
      <c r="R211"/>
    </row>
    <row r="212" ht="14.5" spans="1:18">
      <c r="A212" s="35" t="s">
        <v>328</v>
      </c>
      <c r="B212" s="12" t="str">
        <f t="shared" si="3"/>
        <v>EN_Steam Coal - ULTRASUPERCRITICAL</v>
      </c>
      <c r="C212" s="35" t="s">
        <v>329</v>
      </c>
      <c r="D212" s="35">
        <v>2022</v>
      </c>
      <c r="F212" s="35">
        <v>0.42</v>
      </c>
      <c r="G212" s="35">
        <v>0.45</v>
      </c>
      <c r="H212" s="35">
        <v>0.44</v>
      </c>
      <c r="I212" s="35">
        <v>0.45</v>
      </c>
      <c r="J212" s="35">
        <v>0.4</v>
      </c>
      <c r="K212" s="35">
        <v>0.45</v>
      </c>
      <c r="L212" s="35">
        <v>0.43</v>
      </c>
      <c r="M212" s="35">
        <v>0.45</v>
      </c>
      <c r="N212" s="35">
        <v>0.45</v>
      </c>
      <c r="P212" s="35" t="s">
        <v>362</v>
      </c>
      <c r="R212"/>
    </row>
    <row r="213" ht="14.5" spans="1:18">
      <c r="A213" s="35" t="s">
        <v>328</v>
      </c>
      <c r="B213" s="12" t="str">
        <f t="shared" si="3"/>
        <v>EN_Steam Coal - ULTRASUPERCRITICAL</v>
      </c>
      <c r="C213" s="35" t="s">
        <v>329</v>
      </c>
      <c r="D213" s="35">
        <v>2030</v>
      </c>
      <c r="F213" s="35">
        <v>0.43</v>
      </c>
      <c r="G213" s="35">
        <v>0.47</v>
      </c>
      <c r="H213" s="35">
        <v>0.46</v>
      </c>
      <c r="I213" s="35">
        <v>0.47</v>
      </c>
      <c r="J213" s="35">
        <v>0.42</v>
      </c>
      <c r="K213" s="35">
        <v>0.47</v>
      </c>
      <c r="L213" s="35">
        <v>0.45</v>
      </c>
      <c r="M213" s="35">
        <v>0.47</v>
      </c>
      <c r="N213" s="35">
        <v>0.47</v>
      </c>
      <c r="P213" s="35" t="s">
        <v>362</v>
      </c>
      <c r="R213"/>
    </row>
    <row r="214" ht="14.5" spans="1:18">
      <c r="A214" s="35" t="s">
        <v>328</v>
      </c>
      <c r="B214" s="12" t="str">
        <f t="shared" si="3"/>
        <v>EN_Steam Coal - ULTRASUPERCRITICAL</v>
      </c>
      <c r="C214" s="35" t="s">
        <v>329</v>
      </c>
      <c r="D214" s="35">
        <v>2050</v>
      </c>
      <c r="F214" s="35">
        <v>0.44</v>
      </c>
      <c r="G214" s="35">
        <v>0.47</v>
      </c>
      <c r="H214" s="35">
        <v>0.47</v>
      </c>
      <c r="I214" s="35">
        <v>0.47</v>
      </c>
      <c r="J214" s="35">
        <v>0.43</v>
      </c>
      <c r="K214" s="35">
        <v>0.47</v>
      </c>
      <c r="L214" s="35">
        <v>0.45</v>
      </c>
      <c r="M214" s="35">
        <v>0.47</v>
      </c>
      <c r="N214" s="35">
        <v>0.47</v>
      </c>
      <c r="P214" s="35" t="s">
        <v>362</v>
      </c>
      <c r="R214"/>
    </row>
    <row r="215" ht="14.5" spans="1:18">
      <c r="A215" s="35" t="s">
        <v>328</v>
      </c>
      <c r="B215" s="12" t="str">
        <f t="shared" si="3"/>
        <v>EN_Steam Coal - ULTRASUPERCRITICAL</v>
      </c>
      <c r="C215" s="35" t="s">
        <v>336</v>
      </c>
      <c r="D215" s="35">
        <v>2022</v>
      </c>
      <c r="F215" s="35">
        <v>70</v>
      </c>
      <c r="G215" s="35">
        <v>70</v>
      </c>
      <c r="H215" s="35">
        <v>30</v>
      </c>
      <c r="I215" s="35">
        <v>65</v>
      </c>
      <c r="J215" s="35">
        <v>55</v>
      </c>
      <c r="K215" s="35">
        <v>80</v>
      </c>
      <c r="L215" s="35">
        <v>65</v>
      </c>
      <c r="M215" s="35">
        <v>65</v>
      </c>
      <c r="N215" s="35">
        <v>70</v>
      </c>
      <c r="P215" s="35" t="s">
        <v>362</v>
      </c>
      <c r="R215"/>
    </row>
    <row r="216" ht="14.5" spans="1:18">
      <c r="A216" s="35" t="s">
        <v>328</v>
      </c>
      <c r="B216" s="12" t="str">
        <f t="shared" si="3"/>
        <v>EN_Steam Coal - ULTRASUPERCRITICAL</v>
      </c>
      <c r="C216" s="35" t="s">
        <v>336</v>
      </c>
      <c r="D216" s="35">
        <v>2030</v>
      </c>
      <c r="F216" s="35">
        <v>70</v>
      </c>
      <c r="G216" s="35">
        <v>70</v>
      </c>
      <c r="H216" s="35">
        <v>30</v>
      </c>
      <c r="I216" s="35">
        <v>65</v>
      </c>
      <c r="J216" s="35">
        <v>55</v>
      </c>
      <c r="K216" s="35">
        <v>80</v>
      </c>
      <c r="L216" s="35">
        <v>65</v>
      </c>
      <c r="M216" s="35">
        <v>65</v>
      </c>
      <c r="N216" s="35">
        <v>70</v>
      </c>
      <c r="P216" s="35" t="s">
        <v>362</v>
      </c>
      <c r="R216"/>
    </row>
    <row r="217" ht="14.5" spans="1:18">
      <c r="A217" s="35" t="s">
        <v>328</v>
      </c>
      <c r="B217" s="12" t="str">
        <f t="shared" si="3"/>
        <v>EN_Steam Coal - ULTRASUPERCRITICAL</v>
      </c>
      <c r="C217" s="35" t="s">
        <v>336</v>
      </c>
      <c r="D217" s="35">
        <v>2050</v>
      </c>
      <c r="F217" s="35">
        <v>70</v>
      </c>
      <c r="G217" s="35">
        <v>70</v>
      </c>
      <c r="H217" s="35">
        <v>30</v>
      </c>
      <c r="I217" s="35">
        <v>65</v>
      </c>
      <c r="J217" s="35">
        <v>55</v>
      </c>
      <c r="K217" s="35">
        <v>80</v>
      </c>
      <c r="L217" s="35">
        <v>65</v>
      </c>
      <c r="M217" s="35">
        <v>65</v>
      </c>
      <c r="N217" s="35">
        <v>70</v>
      </c>
      <c r="P217" s="35" t="s">
        <v>362</v>
      </c>
      <c r="R217"/>
    </row>
    <row r="218" ht="14.5" spans="1:18">
      <c r="A218" s="35" t="s">
        <v>328</v>
      </c>
      <c r="B218" s="12" t="str">
        <f t="shared" si="3"/>
        <v>EN_Steam Coal - ULTRASUPERCRITICAL</v>
      </c>
      <c r="C218" s="35" t="s">
        <v>107</v>
      </c>
      <c r="D218" s="35">
        <v>2022</v>
      </c>
      <c r="F218" s="35">
        <v>1900</v>
      </c>
      <c r="G218" s="35">
        <v>1800</v>
      </c>
      <c r="H218" s="35">
        <v>800</v>
      </c>
      <c r="I218" s="35">
        <v>2200</v>
      </c>
      <c r="J218" s="35">
        <v>1400</v>
      </c>
      <c r="K218" s="35">
        <v>2600</v>
      </c>
      <c r="L218" s="35">
        <v>1600</v>
      </c>
      <c r="M218" s="35">
        <v>2200</v>
      </c>
      <c r="N218" s="35">
        <v>2300</v>
      </c>
      <c r="P218" s="35" t="s">
        <v>362</v>
      </c>
      <c r="R218"/>
    </row>
    <row r="219" ht="14.5" spans="1:18">
      <c r="A219" s="35" t="s">
        <v>328</v>
      </c>
      <c r="B219" s="12" t="str">
        <f t="shared" si="3"/>
        <v>EN_Steam Coal - ULTRASUPERCRITICAL</v>
      </c>
      <c r="C219" s="35" t="s">
        <v>107</v>
      </c>
      <c r="D219" s="35">
        <v>2030</v>
      </c>
      <c r="F219" s="35">
        <v>1900</v>
      </c>
      <c r="G219" s="35">
        <v>1800</v>
      </c>
      <c r="H219" s="35">
        <v>800</v>
      </c>
      <c r="I219" s="35">
        <v>2200</v>
      </c>
      <c r="J219" s="35">
        <v>1400</v>
      </c>
      <c r="K219" s="35">
        <v>2600</v>
      </c>
      <c r="L219" s="35">
        <v>1600</v>
      </c>
      <c r="M219" s="35">
        <v>2200</v>
      </c>
      <c r="N219" s="35">
        <v>2300</v>
      </c>
      <c r="P219" s="35" t="s">
        <v>362</v>
      </c>
      <c r="R219"/>
    </row>
    <row r="220" ht="14.5" spans="1:18">
      <c r="A220" s="35" t="s">
        <v>328</v>
      </c>
      <c r="B220" s="12" t="str">
        <f t="shared" si="3"/>
        <v>EN_Steam Coal - ULTRASUPERCRITICAL</v>
      </c>
      <c r="C220" s="35" t="s">
        <v>107</v>
      </c>
      <c r="D220" s="35">
        <v>2050</v>
      </c>
      <c r="F220" s="35">
        <v>1900</v>
      </c>
      <c r="G220" s="35">
        <v>1800</v>
      </c>
      <c r="H220" s="35">
        <v>800</v>
      </c>
      <c r="I220" s="35">
        <v>2200</v>
      </c>
      <c r="J220" s="35">
        <v>1400</v>
      </c>
      <c r="K220" s="35">
        <v>2600</v>
      </c>
      <c r="L220" s="35">
        <v>1600</v>
      </c>
      <c r="M220" s="35">
        <v>2200</v>
      </c>
      <c r="N220" s="35">
        <v>2300</v>
      </c>
      <c r="P220" s="35" t="s">
        <v>362</v>
      </c>
      <c r="R220"/>
    </row>
    <row r="221" ht="14.5" spans="1:18">
      <c r="A221" s="35" t="s">
        <v>328</v>
      </c>
      <c r="B221" s="12" t="str">
        <f t="shared" si="3"/>
        <v>EN_WOF*</v>
      </c>
      <c r="C221" s="35" t="s">
        <v>329</v>
      </c>
      <c r="D221" s="35">
        <v>2022</v>
      </c>
      <c r="F221" s="35">
        <v>1</v>
      </c>
      <c r="G221" s="35">
        <v>1</v>
      </c>
      <c r="H221" s="35">
        <v>1</v>
      </c>
      <c r="I221" s="35">
        <v>1</v>
      </c>
      <c r="J221" s="35">
        <v>1</v>
      </c>
      <c r="K221" s="35">
        <v>1</v>
      </c>
      <c r="L221" s="35">
        <v>1</v>
      </c>
      <c r="M221" s="35">
        <v>1</v>
      </c>
      <c r="N221" s="35">
        <v>1</v>
      </c>
      <c r="P221" s="35" t="s">
        <v>363</v>
      </c>
      <c r="R221"/>
    </row>
    <row r="222" ht="14.5" spans="1:18">
      <c r="A222" s="35" t="s">
        <v>328</v>
      </c>
      <c r="B222" s="12" t="str">
        <f t="shared" si="3"/>
        <v>EN_WOF*</v>
      </c>
      <c r="C222" s="35" t="s">
        <v>329</v>
      </c>
      <c r="D222" s="35">
        <v>2030</v>
      </c>
      <c r="F222" s="35">
        <v>1</v>
      </c>
      <c r="G222" s="35">
        <v>1</v>
      </c>
      <c r="H222" s="35">
        <v>1</v>
      </c>
      <c r="I222" s="35">
        <v>1</v>
      </c>
      <c r="J222" s="35">
        <v>1</v>
      </c>
      <c r="K222" s="35">
        <v>1</v>
      </c>
      <c r="L222" s="35">
        <v>1</v>
      </c>
      <c r="M222" s="35">
        <v>1</v>
      </c>
      <c r="N222" s="35">
        <v>1</v>
      </c>
      <c r="P222" s="35" t="s">
        <v>363</v>
      </c>
      <c r="R222"/>
    </row>
    <row r="223" ht="14.5" spans="1:18">
      <c r="A223" s="35" t="s">
        <v>328</v>
      </c>
      <c r="B223" s="12" t="str">
        <f t="shared" si="3"/>
        <v>EN_WOF*</v>
      </c>
      <c r="C223" s="35" t="s">
        <v>329</v>
      </c>
      <c r="D223" s="35">
        <v>2050</v>
      </c>
      <c r="F223" s="35">
        <v>1</v>
      </c>
      <c r="G223" s="35">
        <v>1</v>
      </c>
      <c r="H223" s="35">
        <v>1</v>
      </c>
      <c r="I223" s="35">
        <v>1</v>
      </c>
      <c r="J223" s="35">
        <v>1</v>
      </c>
      <c r="K223" s="35">
        <v>1</v>
      </c>
      <c r="L223" s="35">
        <v>1</v>
      </c>
      <c r="M223" s="35">
        <v>1</v>
      </c>
      <c r="N223" s="35">
        <v>1</v>
      </c>
      <c r="P223" s="35" t="s">
        <v>363</v>
      </c>
      <c r="R223"/>
    </row>
    <row r="224" ht="14.5" spans="1:18">
      <c r="A224" s="35" t="s">
        <v>328</v>
      </c>
      <c r="B224" s="12" t="str">
        <f t="shared" si="3"/>
        <v>EN_WOF*</v>
      </c>
      <c r="C224" s="35" t="s">
        <v>336</v>
      </c>
      <c r="D224" s="35">
        <v>2022</v>
      </c>
      <c r="F224" s="35">
        <v>105</v>
      </c>
      <c r="G224" s="35">
        <v>110</v>
      </c>
      <c r="H224" s="35">
        <v>70</v>
      </c>
      <c r="I224" s="35">
        <v>70</v>
      </c>
      <c r="J224" s="35">
        <v>75</v>
      </c>
      <c r="K224" s="35">
        <v>165</v>
      </c>
      <c r="L224" s="35">
        <v>110</v>
      </c>
      <c r="M224" s="35">
        <v>115</v>
      </c>
      <c r="N224" s="35">
        <v>120</v>
      </c>
      <c r="P224" s="35" t="s">
        <v>363</v>
      </c>
      <c r="R224"/>
    </row>
    <row r="225" ht="14.5" spans="1:18">
      <c r="A225" s="35" t="s">
        <v>328</v>
      </c>
      <c r="B225" s="12" t="str">
        <f t="shared" si="3"/>
        <v>EN_WOF*</v>
      </c>
      <c r="C225" s="35" t="s">
        <v>336</v>
      </c>
      <c r="D225" s="35">
        <v>2030</v>
      </c>
      <c r="F225" s="35">
        <v>80</v>
      </c>
      <c r="G225" s="35">
        <v>80</v>
      </c>
      <c r="H225" s="35">
        <v>50</v>
      </c>
      <c r="I225" s="35">
        <v>50</v>
      </c>
      <c r="J225" s="35">
        <v>55</v>
      </c>
      <c r="K225" s="35">
        <v>115</v>
      </c>
      <c r="L225" s="35">
        <v>80</v>
      </c>
      <c r="M225" s="35">
        <v>85</v>
      </c>
      <c r="N225" s="35">
        <v>90</v>
      </c>
      <c r="P225" s="35" t="s">
        <v>363</v>
      </c>
      <c r="R225"/>
    </row>
    <row r="226" ht="14.5" spans="1:18">
      <c r="A226" s="35" t="s">
        <v>328</v>
      </c>
      <c r="B226" s="12" t="str">
        <f t="shared" si="3"/>
        <v>EN_WOF*</v>
      </c>
      <c r="C226" s="35" t="s">
        <v>336</v>
      </c>
      <c r="D226" s="35">
        <v>2050</v>
      </c>
      <c r="F226" s="35">
        <v>65</v>
      </c>
      <c r="G226" s="35">
        <v>65</v>
      </c>
      <c r="H226" s="35">
        <v>45</v>
      </c>
      <c r="I226" s="35">
        <v>45</v>
      </c>
      <c r="J226" s="35">
        <v>45</v>
      </c>
      <c r="K226" s="35">
        <v>95</v>
      </c>
      <c r="L226" s="35">
        <v>65</v>
      </c>
      <c r="M226" s="35">
        <v>70</v>
      </c>
      <c r="N226" s="35">
        <v>70</v>
      </c>
      <c r="P226" s="35" t="s">
        <v>363</v>
      </c>
      <c r="R226"/>
    </row>
    <row r="227" ht="14.5" spans="1:18">
      <c r="A227" s="35" t="s">
        <v>328</v>
      </c>
      <c r="B227" s="12" t="str">
        <f t="shared" si="3"/>
        <v>EN_WOF*</v>
      </c>
      <c r="C227" s="35" t="s">
        <v>107</v>
      </c>
      <c r="D227" s="35">
        <v>2022</v>
      </c>
      <c r="F227" s="35">
        <v>4260</v>
      </c>
      <c r="G227" s="35">
        <v>4440</v>
      </c>
      <c r="H227" s="35">
        <v>2820</v>
      </c>
      <c r="I227" s="35">
        <v>3420</v>
      </c>
      <c r="J227" s="35">
        <v>3060</v>
      </c>
      <c r="K227" s="35">
        <v>6640</v>
      </c>
      <c r="L227" s="35">
        <v>4400</v>
      </c>
      <c r="M227" s="35">
        <v>4600</v>
      </c>
      <c r="N227" s="35">
        <v>4060</v>
      </c>
      <c r="P227" s="35" t="s">
        <v>363</v>
      </c>
      <c r="R227"/>
    </row>
    <row r="228" ht="14.5" spans="1:18">
      <c r="A228" s="35" t="s">
        <v>328</v>
      </c>
      <c r="B228" s="12" t="str">
        <f t="shared" si="3"/>
        <v>EN_WOF*</v>
      </c>
      <c r="C228" s="35" t="s">
        <v>107</v>
      </c>
      <c r="D228" s="35">
        <v>2030</v>
      </c>
      <c r="F228" s="35">
        <v>2880</v>
      </c>
      <c r="G228" s="35">
        <v>3000</v>
      </c>
      <c r="H228" s="35">
        <v>1880</v>
      </c>
      <c r="I228" s="35">
        <v>2280</v>
      </c>
      <c r="J228" s="35">
        <v>2060</v>
      </c>
      <c r="K228" s="35">
        <v>4180</v>
      </c>
      <c r="L228" s="35">
        <v>3000</v>
      </c>
      <c r="M228" s="35">
        <v>3120</v>
      </c>
      <c r="N228" s="35">
        <v>2520</v>
      </c>
      <c r="P228" s="35" t="s">
        <v>363</v>
      </c>
      <c r="R228"/>
    </row>
    <row r="229" ht="14.5" spans="1:18">
      <c r="A229" s="35" t="s">
        <v>328</v>
      </c>
      <c r="B229" s="12" t="str">
        <f t="shared" si="3"/>
        <v>EN_WOF*</v>
      </c>
      <c r="C229" s="35" t="s">
        <v>107</v>
      </c>
      <c r="D229" s="35">
        <v>2050</v>
      </c>
      <c r="F229" s="35">
        <v>2080</v>
      </c>
      <c r="G229" s="35">
        <v>2160</v>
      </c>
      <c r="H229" s="35">
        <v>1420</v>
      </c>
      <c r="I229" s="35">
        <v>1740</v>
      </c>
      <c r="J229" s="35">
        <v>1500</v>
      </c>
      <c r="K229" s="35">
        <v>3160</v>
      </c>
      <c r="L229" s="35">
        <v>2180</v>
      </c>
      <c r="M229" s="35">
        <v>2280</v>
      </c>
      <c r="N229" s="35">
        <v>1900</v>
      </c>
      <c r="P229" s="35" t="s">
        <v>363</v>
      </c>
      <c r="R229"/>
    </row>
    <row r="230" ht="14.5" spans="1:18">
      <c r="A230" s="35" t="s">
        <v>328</v>
      </c>
      <c r="B230" s="12" t="str">
        <f t="shared" si="3"/>
        <v>EN_WON*</v>
      </c>
      <c r="C230" s="35" t="s">
        <v>329</v>
      </c>
      <c r="D230" s="35">
        <v>2022</v>
      </c>
      <c r="F230" s="35">
        <v>1</v>
      </c>
      <c r="G230" s="35">
        <v>1</v>
      </c>
      <c r="H230" s="35">
        <v>1</v>
      </c>
      <c r="I230" s="35">
        <v>1</v>
      </c>
      <c r="J230" s="35">
        <v>1</v>
      </c>
      <c r="K230" s="35">
        <v>1</v>
      </c>
      <c r="L230" s="35">
        <v>1</v>
      </c>
      <c r="M230" s="35">
        <v>1</v>
      </c>
      <c r="N230" s="35">
        <v>1</v>
      </c>
      <c r="P230" s="35" t="s">
        <v>365</v>
      </c>
      <c r="R230"/>
    </row>
    <row r="231" ht="14.5" spans="1:18">
      <c r="A231" s="35" t="s">
        <v>328</v>
      </c>
      <c r="B231" s="12" t="str">
        <f t="shared" si="3"/>
        <v>EN_WON*</v>
      </c>
      <c r="C231" s="35" t="s">
        <v>329</v>
      </c>
      <c r="D231" s="35">
        <v>2030</v>
      </c>
      <c r="F231" s="35">
        <v>1</v>
      </c>
      <c r="G231" s="35">
        <v>1</v>
      </c>
      <c r="H231" s="35">
        <v>1</v>
      </c>
      <c r="I231" s="35">
        <v>1</v>
      </c>
      <c r="J231" s="35">
        <v>1</v>
      </c>
      <c r="K231" s="35">
        <v>1</v>
      </c>
      <c r="L231" s="35">
        <v>1</v>
      </c>
      <c r="M231" s="35">
        <v>1</v>
      </c>
      <c r="N231" s="35">
        <v>1</v>
      </c>
      <c r="P231" s="35" t="s">
        <v>365</v>
      </c>
      <c r="R231"/>
    </row>
    <row r="232" ht="14.5" spans="1:18">
      <c r="A232" s="35" t="s">
        <v>328</v>
      </c>
      <c r="B232" s="12" t="str">
        <f t="shared" si="3"/>
        <v>EN_WON*</v>
      </c>
      <c r="C232" s="35" t="s">
        <v>329</v>
      </c>
      <c r="D232" s="35">
        <v>2050</v>
      </c>
      <c r="F232" s="35">
        <v>1</v>
      </c>
      <c r="G232" s="35">
        <v>1</v>
      </c>
      <c r="H232" s="35">
        <v>1</v>
      </c>
      <c r="I232" s="35">
        <v>1</v>
      </c>
      <c r="J232" s="35">
        <v>1</v>
      </c>
      <c r="K232" s="35">
        <v>1</v>
      </c>
      <c r="L232" s="35">
        <v>1</v>
      </c>
      <c r="M232" s="35">
        <v>1</v>
      </c>
      <c r="N232" s="35">
        <v>1</v>
      </c>
      <c r="P232" s="35" t="s">
        <v>365</v>
      </c>
      <c r="R232"/>
    </row>
    <row r="233" ht="14.5" spans="1:18">
      <c r="A233" s="35" t="s">
        <v>328</v>
      </c>
      <c r="B233" s="12" t="str">
        <f t="shared" si="3"/>
        <v>EN_WON*</v>
      </c>
      <c r="C233" s="35" t="s">
        <v>336</v>
      </c>
      <c r="D233" s="35">
        <v>2022</v>
      </c>
      <c r="F233" s="35">
        <v>48</v>
      </c>
      <c r="G233" s="35">
        <v>26</v>
      </c>
      <c r="H233" s="35">
        <v>28</v>
      </c>
      <c r="I233" s="35">
        <v>46</v>
      </c>
      <c r="J233" s="35">
        <v>28</v>
      </c>
      <c r="K233" s="35">
        <v>88</v>
      </c>
      <c r="L233" s="35">
        <v>48</v>
      </c>
      <c r="M233" s="35">
        <v>40</v>
      </c>
      <c r="N233" s="35">
        <v>30</v>
      </c>
      <c r="P233" s="35" t="s">
        <v>365</v>
      </c>
      <c r="R233"/>
    </row>
    <row r="234" ht="14.5" spans="1:18">
      <c r="A234" s="35" t="s">
        <v>328</v>
      </c>
      <c r="B234" s="12" t="str">
        <f t="shared" si="3"/>
        <v>EN_WON*</v>
      </c>
      <c r="C234" s="35" t="s">
        <v>336</v>
      </c>
      <c r="D234" s="35">
        <v>2030</v>
      </c>
      <c r="F234" s="35">
        <v>46</v>
      </c>
      <c r="G234" s="35">
        <v>26</v>
      </c>
      <c r="H234" s="35">
        <v>26</v>
      </c>
      <c r="I234" s="35">
        <v>42</v>
      </c>
      <c r="J234" s="35">
        <v>26</v>
      </c>
      <c r="K234" s="35">
        <v>84</v>
      </c>
      <c r="L234" s="35">
        <v>46</v>
      </c>
      <c r="M234" s="35">
        <v>40</v>
      </c>
      <c r="N234" s="35">
        <v>30</v>
      </c>
      <c r="P234" s="35" t="s">
        <v>365</v>
      </c>
      <c r="R234"/>
    </row>
    <row r="235" ht="14.5" spans="1:18">
      <c r="A235" s="35" t="s">
        <v>328</v>
      </c>
      <c r="B235" s="12" t="str">
        <f t="shared" si="3"/>
        <v>EN_WON*</v>
      </c>
      <c r="C235" s="35" t="s">
        <v>336</v>
      </c>
      <c r="D235" s="35">
        <v>2050</v>
      </c>
      <c r="F235" s="35">
        <v>44</v>
      </c>
      <c r="G235" s="35">
        <v>24</v>
      </c>
      <c r="H235" s="35">
        <v>26</v>
      </c>
      <c r="I235" s="35">
        <v>42</v>
      </c>
      <c r="J235" s="35">
        <v>26</v>
      </c>
      <c r="K235" s="35">
        <v>82</v>
      </c>
      <c r="L235" s="35">
        <v>44</v>
      </c>
      <c r="M235" s="35">
        <v>38</v>
      </c>
      <c r="N235" s="35">
        <v>30</v>
      </c>
      <c r="P235" s="35" t="s">
        <v>365</v>
      </c>
      <c r="R235"/>
    </row>
    <row r="236" ht="14.5" spans="1:18">
      <c r="A236" s="35" t="s">
        <v>328</v>
      </c>
      <c r="B236" s="12" t="str">
        <f t="shared" si="3"/>
        <v>EN_WON*</v>
      </c>
      <c r="C236" s="35" t="s">
        <v>107</v>
      </c>
      <c r="D236" s="35">
        <v>2022</v>
      </c>
      <c r="F236" s="35">
        <v>1950</v>
      </c>
      <c r="G236" s="35">
        <v>1050</v>
      </c>
      <c r="H236" s="35">
        <v>1100</v>
      </c>
      <c r="I236" s="35">
        <v>1750</v>
      </c>
      <c r="J236" s="35">
        <v>1120</v>
      </c>
      <c r="K236" s="35">
        <v>3520</v>
      </c>
      <c r="L236" s="35">
        <v>1950</v>
      </c>
      <c r="M236" s="35">
        <v>1640</v>
      </c>
      <c r="N236" s="35">
        <v>1220</v>
      </c>
      <c r="P236" s="35" t="s">
        <v>365</v>
      </c>
      <c r="R236"/>
    </row>
    <row r="237" ht="14.5" spans="1:18">
      <c r="A237" s="35" t="s">
        <v>328</v>
      </c>
      <c r="B237" s="12" t="str">
        <f t="shared" si="3"/>
        <v>EN_WON*</v>
      </c>
      <c r="C237" s="35" t="s">
        <v>107</v>
      </c>
      <c r="D237" s="35">
        <v>2030</v>
      </c>
      <c r="F237" s="35">
        <v>1830</v>
      </c>
      <c r="G237" s="35">
        <v>1000</v>
      </c>
      <c r="H237" s="35">
        <v>1040</v>
      </c>
      <c r="I237" s="35">
        <v>1670</v>
      </c>
      <c r="J237" s="35">
        <v>1060</v>
      </c>
      <c r="K237" s="35">
        <v>3320</v>
      </c>
      <c r="L237" s="35">
        <v>1830</v>
      </c>
      <c r="M237" s="35">
        <v>1550</v>
      </c>
      <c r="N237" s="35">
        <v>1160</v>
      </c>
      <c r="P237" s="35" t="s">
        <v>365</v>
      </c>
      <c r="R237"/>
    </row>
    <row r="238" ht="14.5" spans="1:18">
      <c r="A238" s="35" t="s">
        <v>328</v>
      </c>
      <c r="B238" s="12" t="str">
        <f t="shared" si="3"/>
        <v>EN_WON*</v>
      </c>
      <c r="C238" s="35" t="s">
        <v>107</v>
      </c>
      <c r="D238" s="35">
        <v>2050</v>
      </c>
      <c r="F238" s="35">
        <v>1740</v>
      </c>
      <c r="G238" s="35">
        <v>950</v>
      </c>
      <c r="H238" s="35">
        <v>1000</v>
      </c>
      <c r="I238" s="35">
        <v>1610</v>
      </c>
      <c r="J238" s="35">
        <v>1010</v>
      </c>
      <c r="K238" s="35">
        <v>3170</v>
      </c>
      <c r="L238" s="35">
        <v>1710</v>
      </c>
      <c r="M238" s="35">
        <v>1470</v>
      </c>
      <c r="N238" s="35">
        <v>1110</v>
      </c>
      <c r="P238" s="35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545454545455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727272727273" customWidth="1"/>
    <col min="13" max="13" width="43.9090909090909" customWidth="1"/>
    <col min="14" max="14" width="60.8181818181818" customWidth="1"/>
  </cols>
  <sheetData>
    <row r="1" spans="2:15">
      <c r="M1" t="s">
        <v>373</v>
      </c>
      <c r="N1" t="s">
        <v>374</v>
      </c>
      <c r="O1" t="s">
        <v>375</v>
      </c>
    </row>
    <row r="2" ht="34" customHeight="1" spans="2:15">
      <c r="M2" t="s">
        <v>376</v>
      </c>
      <c r="N2" s="33" t="s">
        <v>377</v>
      </c>
      <c r="O2" s="33" t="s">
        <v>378</v>
      </c>
    </row>
    <row r="3" ht="58" spans="2:15">
      <c r="M3" t="s">
        <v>379</v>
      </c>
      <c r="N3" s="33" t="s">
        <v>380</v>
      </c>
      <c r="O3" s="34" t="s">
        <v>381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382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383</v>
      </c>
      <c r="D13" t="s">
        <v>384</v>
      </c>
      <c r="E13">
        <v>0.02</v>
      </c>
      <c r="G13" t="s">
        <v>385</v>
      </c>
      <c r="H13" t="s">
        <v>386</v>
      </c>
      <c r="I13" t="s">
        <v>387</v>
      </c>
      <c r="K13">
        <v>2020</v>
      </c>
    </row>
    <row r="14" spans="2:15">
      <c r="C14" t="s">
        <v>383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388</v>
      </c>
    </row>
    <row r="6" spans="1:19">
      <c r="A6" t="s">
        <v>389</v>
      </c>
      <c r="B6" t="s">
        <v>4</v>
      </c>
      <c r="C6" t="s">
        <v>64</v>
      </c>
      <c r="D6" t="s">
        <v>390</v>
      </c>
      <c r="E6" t="s">
        <v>55</v>
      </c>
      <c r="F6">
        <v>2030</v>
      </c>
      <c r="G6">
        <v>2035</v>
      </c>
      <c r="H6" t="s">
        <v>391</v>
      </c>
      <c r="I6" t="s">
        <v>42</v>
      </c>
      <c r="J6" t="s">
        <v>77</v>
      </c>
      <c r="K6" t="s">
        <v>392</v>
      </c>
    </row>
    <row r="7" spans="1:19">
      <c r="A7" t="s">
        <v>393</v>
      </c>
      <c r="B7" t="s">
        <v>394</v>
      </c>
      <c r="C7" t="s">
        <v>395</v>
      </c>
      <c r="D7" t="s">
        <v>395</v>
      </c>
      <c r="E7" t="s">
        <v>151</v>
      </c>
      <c r="F7">
        <v>1.05</v>
      </c>
      <c r="H7">
        <v>1</v>
      </c>
      <c r="I7">
        <v>2</v>
      </c>
      <c r="J7" t="s">
        <v>396</v>
      </c>
      <c r="K7" t="s">
        <v>397</v>
      </c>
    </row>
    <row r="8" spans="1:19">
      <c r="A8" t="s">
        <v>393</v>
      </c>
      <c r="B8" t="s">
        <v>398</v>
      </c>
      <c r="C8" t="s">
        <v>395</v>
      </c>
      <c r="D8" t="s">
        <v>395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396</v>
      </c>
      <c r="K8" t="s">
        <v>399</v>
      </c>
      <c r="P8" s="8">
        <f>F8^15</f>
        <v>0.463291230159753</v>
      </c>
      <c r="Q8" s="8">
        <f>G8^15</f>
        <v>0.205891132094649</v>
      </c>
      <c r="S8" s="23">
        <f>PRODUCT(P8:R8)</f>
        <v>0.0953875558671143</v>
      </c>
    </row>
    <row r="11" spans="1:19">
      <c r="A11" t="s">
        <v>400</v>
      </c>
    </row>
    <row r="13" spans="1:19">
      <c r="D13" t="s">
        <v>401</v>
      </c>
    </row>
    <row r="14" spans="1:19">
      <c r="A14" t="s">
        <v>389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391</v>
      </c>
      <c r="I14" t="s">
        <v>402</v>
      </c>
      <c r="J14" t="s">
        <v>42</v>
      </c>
      <c r="K14" t="s">
        <v>392</v>
      </c>
    </row>
    <row r="15" spans="1:19">
      <c r="A15" t="s">
        <v>403</v>
      </c>
      <c r="B15" t="str">
        <f>"UC_ELCcap_decay - "&amp;MID(D15,4,3)</f>
        <v>UC_ELCcap_decay - OIL</v>
      </c>
      <c r="C15" t="s">
        <v>404</v>
      </c>
      <c r="D15" t="s">
        <v>405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0.817072806887547</v>
      </c>
      <c r="P15" s="8">
        <f>F15^10</f>
        <v>0.598736939238379</v>
      </c>
      <c r="Q15" s="8">
        <f>G15^10</f>
        <v>0.1073741824</v>
      </c>
      <c r="R15" s="23">
        <f>PRODUCT(O15:Q15)</f>
        <v>0.0525287032511528</v>
      </c>
    </row>
    <row r="16" spans="1:19">
      <c r="A16" t="s">
        <v>403</v>
      </c>
      <c r="B16" t="str">
        <f t="shared" ref="B16:B17" si="0">"UC_ELCcap_decay - "&amp;MID(D16,4,3)</f>
        <v>UC_ELCcap_decay - CO?</v>
      </c>
      <c r="C16" t="s">
        <v>404</v>
      </c>
      <c r="D16" t="s">
        <v>406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0.817072806887547</v>
      </c>
      <c r="P16" s="8">
        <f t="shared" ref="P16:P17" si="2">F16^10</f>
        <v>0.3486784401</v>
      </c>
      <c r="Q16" s="8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403</v>
      </c>
      <c r="B17" t="str">
        <f t="shared" si="0"/>
        <v>UC_ELCcap_decay - NGA</v>
      </c>
      <c r="C17" t="s">
        <v>404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0.817072806887547</v>
      </c>
      <c r="P17" s="8">
        <f t="shared" si="2"/>
        <v>0.598736939238379</v>
      </c>
      <c r="Q17" s="8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84" zoomScaleNormal="84" workbookViewId="0">
      <selection activeCell="H6" sqref="H6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407</v>
      </c>
      <c r="L2" t="s">
        <v>408</v>
      </c>
    </row>
    <row r="3" spans="2:15">
      <c r="B3" t="s">
        <v>73</v>
      </c>
      <c r="C3" t="s">
        <v>409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410</v>
      </c>
      <c r="N3" t="s">
        <v>411</v>
      </c>
      <c r="O3" t="s">
        <v>412</v>
      </c>
    </row>
    <row r="4" spans="2:15">
      <c r="B4" t="s">
        <v>413</v>
      </c>
      <c r="C4" t="s">
        <v>414</v>
      </c>
      <c r="D4">
        <v>-0.3</v>
      </c>
      <c r="K4" t="s">
        <v>415</v>
      </c>
      <c r="L4" t="s">
        <v>416</v>
      </c>
      <c r="M4">
        <v>1</v>
      </c>
      <c r="O4">
        <v>2</v>
      </c>
    </row>
    <row r="5" spans="2:15">
      <c r="B5" t="s">
        <v>417</v>
      </c>
      <c r="C5" t="s">
        <v>414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418</v>
      </c>
      <c r="L5" t="s">
        <v>419</v>
      </c>
      <c r="M5">
        <v>1</v>
      </c>
      <c r="O5">
        <v>2</v>
      </c>
    </row>
    <row r="6" spans="2:15">
      <c r="B6" t="s">
        <v>420</v>
      </c>
      <c r="C6" t="s">
        <v>414</v>
      </c>
      <c r="D6">
        <v>10</v>
      </c>
      <c r="K6" t="s">
        <v>421</v>
      </c>
      <c r="L6" t="s">
        <v>422</v>
      </c>
      <c r="N6" s="5">
        <v>1</v>
      </c>
      <c r="O6">
        <v>2</v>
      </c>
    </row>
    <row r="7" spans="2:15">
      <c r="K7" t="s">
        <v>277</v>
      </c>
    </row>
    <row r="8" spans="2:15">
      <c r="K8" t="s">
        <v>423</v>
      </c>
      <c r="L8" t="s">
        <v>424</v>
      </c>
      <c r="M8">
        <v>1</v>
      </c>
      <c r="O8">
        <v>2</v>
      </c>
    </row>
    <row r="9" spans="2:15">
      <c r="K9" t="s">
        <v>423</v>
      </c>
      <c r="L9" t="s">
        <v>425</v>
      </c>
      <c r="M9">
        <v>1</v>
      </c>
      <c r="O9">
        <v>2</v>
      </c>
    </row>
    <row r="10" spans="2:15">
      <c r="B10" t="s">
        <v>407</v>
      </c>
      <c r="K10" t="s">
        <v>426</v>
      </c>
      <c r="L10" t="s">
        <v>427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426</v>
      </c>
      <c r="L11" t="s">
        <v>428</v>
      </c>
      <c r="M11">
        <v>1</v>
      </c>
      <c r="O11">
        <v>2</v>
      </c>
    </row>
    <row r="12" spans="2:15">
      <c r="B12" t="s">
        <v>413</v>
      </c>
      <c r="D12">
        <v>-0.3</v>
      </c>
      <c r="G12" t="s">
        <v>429</v>
      </c>
      <c r="K12" t="s">
        <v>430</v>
      </c>
      <c r="L12" t="s">
        <v>431</v>
      </c>
      <c r="M12">
        <v>1</v>
      </c>
      <c r="O12">
        <v>2</v>
      </c>
    </row>
    <row r="13" spans="2:15">
      <c r="B13" t="s">
        <v>417</v>
      </c>
      <c r="D13">
        <v>0</v>
      </c>
      <c r="E13">
        <v>0.3</v>
      </c>
      <c r="F13">
        <v>0.5</v>
      </c>
      <c r="G13" t="s">
        <v>429</v>
      </c>
      <c r="K13" t="s">
        <v>432</v>
      </c>
      <c r="L13" t="s">
        <v>433</v>
      </c>
      <c r="M13">
        <v>1</v>
      </c>
      <c r="O13">
        <v>2</v>
      </c>
    </row>
    <row r="14" spans="2:15">
      <c r="B14" t="s">
        <v>420</v>
      </c>
      <c r="D14">
        <v>10</v>
      </c>
      <c r="G14" t="s">
        <v>429</v>
      </c>
      <c r="K14" t="s">
        <v>277</v>
      </c>
    </row>
    <row r="15" spans="2:15">
      <c r="K15" t="s">
        <v>434</v>
      </c>
      <c r="L15" t="s">
        <v>435</v>
      </c>
      <c r="M15">
        <v>1</v>
      </c>
      <c r="O15">
        <v>2</v>
      </c>
    </row>
    <row r="16" spans="2:15">
      <c r="K16" t="s">
        <v>434</v>
      </c>
      <c r="L16" t="s">
        <v>436</v>
      </c>
      <c r="M16">
        <v>1</v>
      </c>
      <c r="O16">
        <v>2</v>
      </c>
    </row>
    <row r="17" spans="2:15">
      <c r="K17" t="s">
        <v>437</v>
      </c>
      <c r="L17" t="s">
        <v>438</v>
      </c>
      <c r="M17">
        <v>1</v>
      </c>
      <c r="O17">
        <v>2</v>
      </c>
    </row>
    <row r="18" spans="2:15">
      <c r="K18" t="s">
        <v>437</v>
      </c>
      <c r="L18" t="s">
        <v>439</v>
      </c>
      <c r="M18">
        <v>1</v>
      </c>
      <c r="O18">
        <v>2</v>
      </c>
    </row>
    <row r="19" spans="2:15">
      <c r="K19" t="s">
        <v>440</v>
      </c>
      <c r="L19" t="s">
        <v>441</v>
      </c>
      <c r="M19">
        <v>1</v>
      </c>
      <c r="O19">
        <v>2</v>
      </c>
    </row>
    <row r="20" spans="2:15">
      <c r="K20" t="s">
        <v>442</v>
      </c>
      <c r="L20" t="s">
        <v>443</v>
      </c>
      <c r="M20">
        <v>1</v>
      </c>
      <c r="O20">
        <v>2</v>
      </c>
    </row>
    <row r="23" spans="2:15">
      <c r="B23" t="s">
        <v>444</v>
      </c>
      <c r="L23" t="s">
        <v>408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445</v>
      </c>
      <c r="N24" t="s">
        <v>446</v>
      </c>
      <c r="O24" t="s">
        <v>243</v>
      </c>
    </row>
    <row r="25" spans="2:15">
      <c r="B25" t="s">
        <v>447</v>
      </c>
      <c r="C25" t="s">
        <v>448</v>
      </c>
      <c r="D25" t="s">
        <v>449</v>
      </c>
      <c r="K25" t="s">
        <v>450</v>
      </c>
      <c r="N25">
        <v>1</v>
      </c>
    </row>
    <row r="26" spans="2:15">
      <c r="L26" t="s">
        <v>451</v>
      </c>
      <c r="M26">
        <v>1</v>
      </c>
      <c r="O26" t="s">
        <v>452</v>
      </c>
    </row>
    <row r="27" spans="2:15">
      <c r="L27" t="s">
        <v>451</v>
      </c>
      <c r="M27">
        <v>1</v>
      </c>
      <c r="O27" t="s">
        <v>453</v>
      </c>
    </row>
    <row r="28" spans="2:15">
      <c r="B28" t="s">
        <v>454</v>
      </c>
      <c r="L28" t="s">
        <v>451</v>
      </c>
      <c r="M28">
        <v>1</v>
      </c>
      <c r="O28" t="s">
        <v>455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451</v>
      </c>
      <c r="M29">
        <v>1</v>
      </c>
      <c r="O29" t="s">
        <v>456</v>
      </c>
    </row>
    <row r="30" spans="2:15">
      <c r="B30" t="s">
        <v>457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58" zoomScaleNormal="58" workbookViewId="0">
      <pane xSplit="5" ySplit="2" topLeftCell="F63" activePane="bottomRight" state="frozen"/>
      <selection/>
      <selection pane="topRight"/>
      <selection pane="bottomLeft"/>
      <selection pane="bottomRight" activeCell="O25" sqref="O25"/>
    </sheetView>
  </sheetViews>
  <sheetFormatPr defaultColWidth="9" defaultRowHeight="14.5"/>
  <cols>
    <col min="1" max="1" width="10.1363636363636" customWidth="1"/>
    <col min="2" max="2" width="37.5454545454545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1:117">
      <c r="F1" s="20" t="s">
        <v>458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400</v>
      </c>
    </row>
    <row r="2" ht="15.25"/>
    <row r="3" spans="1:117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459</v>
      </c>
    </row>
    <row r="4" spans="1:117">
      <c r="A4" s="22" t="str">
        <f>"???"&amp;MID(B4,4,10)</f>
        <v>???COB</v>
      </c>
      <c r="B4" t="s">
        <v>460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24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7">
      <c r="A5" s="22" t="str">
        <f t="shared" ref="A5:A10" si="0">"???"&amp;MID(B5,4,10)</f>
        <v>???COA</v>
      </c>
      <c r="B5" t="s">
        <v>461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24">
        <v>0.482522176501505</v>
      </c>
      <c r="CJ5" s="24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24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7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7">
      <c r="A7" s="22" t="str">
        <f t="shared" si="0"/>
        <v>???OIL</v>
      </c>
      <c r="B7" t="s">
        <v>462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7">
      <c r="A8" s="22" t="str">
        <f t="shared" si="0"/>
        <v>???OIL_CRD</v>
      </c>
      <c r="B8" t="s">
        <v>463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24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7">
      <c r="A9" s="22" t="str">
        <f t="shared" si="0"/>
        <v>???OIL_DST</v>
      </c>
      <c r="B9" t="s">
        <v>464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24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7">
      <c r="A10" s="22" t="str">
        <f t="shared" si="0"/>
        <v>???BSL</v>
      </c>
      <c r="B10" t="s">
        <v>465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24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1:117">
      <c r="B12" s="25" t="s">
        <v>466</v>
      </c>
      <c r="C12" s="25"/>
      <c r="D12" s="25"/>
      <c r="E12" s="25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1:117">
      <c r="B14" s="22" t="s">
        <v>401</v>
      </c>
      <c r="C14" s="22"/>
      <c r="D14" s="22"/>
      <c r="E14" s="22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</row>
    <row r="15" spans="1:117">
      <c r="A15" s="26" t="s">
        <v>57</v>
      </c>
      <c r="B15" t="s">
        <v>4</v>
      </c>
      <c r="C15" t="s">
        <v>92</v>
      </c>
      <c r="D15" t="s">
        <v>265</v>
      </c>
      <c r="E15" t="s">
        <v>77</v>
      </c>
      <c r="F15" s="26" t="str">
        <f>F3</f>
        <v>Albania</v>
      </c>
      <c r="G15" s="26" t="str">
        <f t="shared" ref="G15:BR15" si="1">G3</f>
        <v>Algeria</v>
      </c>
      <c r="H15" s="26" t="str">
        <f t="shared" si="1"/>
        <v>Angola</v>
      </c>
      <c r="I15" s="26" t="str">
        <f t="shared" si="1"/>
        <v>Argentina</v>
      </c>
      <c r="J15" s="26" t="str">
        <f t="shared" si="1"/>
        <v>Armenia</v>
      </c>
      <c r="K15" s="26" t="str">
        <f t="shared" si="1"/>
        <v>Australia</v>
      </c>
      <c r="L15" s="26" t="str">
        <f t="shared" si="1"/>
        <v>Austria</v>
      </c>
      <c r="M15" s="26" t="str">
        <f t="shared" si="1"/>
        <v>Azerbaijan</v>
      </c>
      <c r="N15" s="26" t="str">
        <f t="shared" si="1"/>
        <v>Bangladesh</v>
      </c>
      <c r="O15" s="26" t="str">
        <f t="shared" si="1"/>
        <v>Belarus</v>
      </c>
      <c r="P15" s="26" t="str">
        <f t="shared" si="1"/>
        <v>Belgium</v>
      </c>
      <c r="Q15" s="26" t="str">
        <f t="shared" si="1"/>
        <v>Bosnia_Herz</v>
      </c>
      <c r="R15" s="26" t="str">
        <f t="shared" si="1"/>
        <v>Brazil</v>
      </c>
      <c r="S15" s="26" t="str">
        <f t="shared" si="1"/>
        <v>Bulgaria</v>
      </c>
      <c r="T15" s="26" t="str">
        <f t="shared" si="1"/>
        <v>Cameroon</v>
      </c>
      <c r="U15" s="26" t="str">
        <f t="shared" si="1"/>
        <v>Canada</v>
      </c>
      <c r="V15" s="26" t="str">
        <f t="shared" si="1"/>
        <v>Chile</v>
      </c>
      <c r="W15" s="26" t="str">
        <f t="shared" si="1"/>
        <v>China</v>
      </c>
      <c r="X15" s="26" t="str">
        <f t="shared" si="1"/>
        <v>Colombia</v>
      </c>
      <c r="Y15" s="26" t="str">
        <f t="shared" si="1"/>
        <v>Croatia</v>
      </c>
      <c r="Z15" s="26" t="str">
        <f t="shared" si="1"/>
        <v>Cyprus</v>
      </c>
      <c r="AA15" s="26" t="str">
        <f t="shared" si="1"/>
        <v>Czech</v>
      </c>
      <c r="AB15" s="26" t="str">
        <f t="shared" si="1"/>
        <v>Denmark</v>
      </c>
      <c r="AC15" s="26" t="str">
        <f t="shared" si="1"/>
        <v>DR_Congo</v>
      </c>
      <c r="AD15" s="26" t="str">
        <f t="shared" si="1"/>
        <v>Egypt</v>
      </c>
      <c r="AE15" s="26" t="str">
        <f t="shared" si="1"/>
        <v>Estonia</v>
      </c>
      <c r="AF15" s="26" t="str">
        <f t="shared" si="1"/>
        <v>Ethiopia</v>
      </c>
      <c r="AG15" s="26" t="str">
        <f t="shared" si="1"/>
        <v>Finland</v>
      </c>
      <c r="AH15" s="26" t="str">
        <f t="shared" si="1"/>
        <v>France</v>
      </c>
      <c r="AI15" s="26" t="str">
        <f t="shared" si="1"/>
        <v>Georgia</v>
      </c>
      <c r="AJ15" s="26" t="str">
        <f t="shared" si="1"/>
        <v>Germany</v>
      </c>
      <c r="AK15" s="26" t="str">
        <f t="shared" si="1"/>
        <v>Ghana</v>
      </c>
      <c r="AL15" s="26" t="str">
        <f t="shared" si="1"/>
        <v>Greece</v>
      </c>
      <c r="AM15" s="26" t="str">
        <f t="shared" si="1"/>
        <v>Hungary</v>
      </c>
      <c r="AN15" s="26" t="str">
        <f t="shared" si="1"/>
        <v>Iceland</v>
      </c>
      <c r="AO15" s="26" t="str">
        <f t="shared" si="1"/>
        <v>India</v>
      </c>
      <c r="AP15" s="26" t="str">
        <f t="shared" si="1"/>
        <v>Indonesia</v>
      </c>
      <c r="AQ15" s="26" t="str">
        <f t="shared" si="1"/>
        <v>Iran</v>
      </c>
      <c r="AR15" s="26" t="str">
        <f t="shared" si="1"/>
        <v>Iraq</v>
      </c>
      <c r="AS15" s="26" t="str">
        <f t="shared" si="1"/>
        <v>Ireland</v>
      </c>
      <c r="AT15" s="26" t="str">
        <f t="shared" si="1"/>
        <v>Israel</v>
      </c>
      <c r="AU15" s="26" t="str">
        <f t="shared" si="1"/>
        <v>Italy</v>
      </c>
      <c r="AV15" s="26" t="str">
        <f t="shared" si="1"/>
        <v>IvoryCoast</v>
      </c>
      <c r="AW15" s="26" t="str">
        <f t="shared" si="1"/>
        <v>Japan</v>
      </c>
      <c r="AX15" s="26" t="str">
        <f t="shared" si="1"/>
        <v>Kazakhstan</v>
      </c>
      <c r="AY15" s="26" t="str">
        <f t="shared" si="1"/>
        <v>Kenya</v>
      </c>
      <c r="AZ15" s="26" t="str">
        <f t="shared" si="1"/>
        <v>Kosovo</v>
      </c>
      <c r="BA15" s="26" t="str">
        <f t="shared" si="1"/>
        <v>Kuwait</v>
      </c>
      <c r="BB15" s="26" t="str">
        <f t="shared" si="1"/>
        <v>Kyrgyzstan</v>
      </c>
      <c r="BC15" s="26" t="str">
        <f t="shared" si="1"/>
        <v>Latvia</v>
      </c>
      <c r="BD15" s="26" t="str">
        <f t="shared" si="1"/>
        <v>Libya</v>
      </c>
      <c r="BE15" s="26" t="str">
        <f t="shared" si="1"/>
        <v>Lithuania</v>
      </c>
      <c r="BF15" s="26" t="str">
        <f t="shared" si="1"/>
        <v>Luxembourg</v>
      </c>
      <c r="BG15" s="26" t="str">
        <f t="shared" si="1"/>
        <v>Macedonia</v>
      </c>
      <c r="BH15" s="26" t="str">
        <f t="shared" si="1"/>
        <v>Malaysia</v>
      </c>
      <c r="BI15" s="26" t="str">
        <f t="shared" si="1"/>
        <v>Malta</v>
      </c>
      <c r="BJ15" s="26" t="str">
        <f t="shared" si="1"/>
        <v>Mexico</v>
      </c>
      <c r="BK15" s="26" t="str">
        <f t="shared" si="1"/>
        <v>Moldova</v>
      </c>
      <c r="BL15" s="26" t="str">
        <f t="shared" si="1"/>
        <v>Montenegro</v>
      </c>
      <c r="BM15" s="26" t="str">
        <f t="shared" si="1"/>
        <v>Morocco</v>
      </c>
      <c r="BN15" s="26" t="str">
        <f t="shared" si="1"/>
        <v>Mozambique</v>
      </c>
      <c r="BO15" s="26" t="str">
        <f t="shared" si="1"/>
        <v>Myanmar</v>
      </c>
      <c r="BP15" s="26" t="str">
        <f t="shared" si="1"/>
        <v>Nepal</v>
      </c>
      <c r="BQ15" s="26" t="str">
        <f t="shared" si="1"/>
        <v>Netherlands</v>
      </c>
      <c r="BR15" s="26" t="str">
        <f t="shared" si="1"/>
        <v>NewZealand</v>
      </c>
      <c r="BS15" s="26" t="str">
        <f t="shared" ref="BS15:DJ15" si="2">BS3</f>
        <v>Niger</v>
      </c>
      <c r="BT15" s="26" t="str">
        <f t="shared" si="2"/>
        <v>Nigeria</v>
      </c>
      <c r="BU15" s="26" t="str">
        <f t="shared" si="2"/>
        <v>Norway</v>
      </c>
      <c r="BV15" s="26" t="str">
        <f t="shared" si="2"/>
        <v>Oman</v>
      </c>
      <c r="BW15" s="26" t="str">
        <f t="shared" si="2"/>
        <v>Other_Africa</v>
      </c>
      <c r="BX15" s="26" t="str">
        <f t="shared" si="2"/>
        <v>Other_AsiaEm</v>
      </c>
      <c r="BY15" s="26" t="str">
        <f t="shared" si="2"/>
        <v>Other_EurDev</v>
      </c>
      <c r="BZ15" s="26" t="str">
        <f t="shared" si="2"/>
        <v>Other_LatAm</v>
      </c>
      <c r="CA15" s="26" t="str">
        <f t="shared" si="2"/>
        <v>Other_MidEast</v>
      </c>
      <c r="CB15" s="26" t="str">
        <f t="shared" si="2"/>
        <v>Pakistan</v>
      </c>
      <c r="CC15" s="26" t="str">
        <f t="shared" si="2"/>
        <v>Peru</v>
      </c>
      <c r="CD15" s="26" t="str">
        <f t="shared" si="2"/>
        <v>Philippines</v>
      </c>
      <c r="CE15" s="26" t="str">
        <f t="shared" si="2"/>
        <v>Poland</v>
      </c>
      <c r="CF15" s="26" t="str">
        <f t="shared" si="2"/>
        <v>Portugal</v>
      </c>
      <c r="CG15" s="26" t="str">
        <f t="shared" si="2"/>
        <v>Qatar</v>
      </c>
      <c r="CH15" s="26" t="str">
        <f t="shared" si="2"/>
        <v>Romania</v>
      </c>
      <c r="CI15" s="26" t="str">
        <f t="shared" si="2"/>
        <v>Russia</v>
      </c>
      <c r="CJ15" s="26" t="str">
        <f t="shared" si="2"/>
        <v>SaudiArabia</v>
      </c>
      <c r="CK15" s="26" t="str">
        <f t="shared" si="2"/>
        <v>Serbia</v>
      </c>
      <c r="CL15" s="26" t="str">
        <f t="shared" si="2"/>
        <v>Singapore</v>
      </c>
      <c r="CM15" s="26" t="str">
        <f t="shared" si="2"/>
        <v>Slovak</v>
      </c>
      <c r="CN15" s="26" t="str">
        <f t="shared" si="2"/>
        <v>Slovenia</v>
      </c>
      <c r="CO15" s="26" t="str">
        <f t="shared" si="2"/>
        <v>SouthAfrica</v>
      </c>
      <c r="CP15" s="26" t="str">
        <f t="shared" si="2"/>
        <v>SouthKorea</v>
      </c>
      <c r="CQ15" s="26" t="str">
        <f t="shared" si="2"/>
        <v>Spain</v>
      </c>
      <c r="CR15" s="26" t="str">
        <f t="shared" si="2"/>
        <v>Sudan</v>
      </c>
      <c r="CS15" s="26" t="str">
        <f t="shared" si="2"/>
        <v>Sweden</v>
      </c>
      <c r="CT15" s="26" t="str">
        <f t="shared" si="2"/>
        <v>Switzerland</v>
      </c>
      <c r="CU15" s="26" t="str">
        <f t="shared" si="2"/>
        <v>Taiwan</v>
      </c>
      <c r="CV15" s="26" t="str">
        <f t="shared" si="2"/>
        <v>Tajikistan</v>
      </c>
      <c r="CW15" s="26" t="str">
        <f t="shared" si="2"/>
        <v>Tanzania</v>
      </c>
      <c r="CX15" s="26" t="str">
        <f t="shared" si="2"/>
        <v>Thailand</v>
      </c>
      <c r="CY15" s="26" t="str">
        <f t="shared" si="2"/>
        <v>Tunisia</v>
      </c>
      <c r="CZ15" s="26" t="str">
        <f t="shared" si="2"/>
        <v>Turkey</v>
      </c>
      <c r="DA15" s="26" t="str">
        <f t="shared" si="2"/>
        <v>Turkmenistan</v>
      </c>
      <c r="DB15" s="26" t="str">
        <f t="shared" si="2"/>
        <v>UAE</v>
      </c>
      <c r="DC15" s="26" t="str">
        <f t="shared" si="2"/>
        <v>UK</v>
      </c>
      <c r="DD15" s="26" t="str">
        <f t="shared" si="2"/>
        <v>Ukraine</v>
      </c>
      <c r="DE15" s="26" t="str">
        <f t="shared" si="2"/>
        <v>USA</v>
      </c>
      <c r="DF15" s="26" t="str">
        <f t="shared" si="2"/>
        <v>Uzbekistan</v>
      </c>
      <c r="DG15" s="26" t="str">
        <f t="shared" si="2"/>
        <v>Venezuela</v>
      </c>
      <c r="DH15" s="26" t="str">
        <f t="shared" si="2"/>
        <v>Vietnam</v>
      </c>
      <c r="DI15" s="26" t="str">
        <f t="shared" si="2"/>
        <v>Yemen</v>
      </c>
      <c r="DJ15" s="26" t="str">
        <f t="shared" si="2"/>
        <v>Zambia</v>
      </c>
      <c r="DK15" s="26" t="s">
        <v>467</v>
      </c>
      <c r="DL15" s="26" t="s">
        <v>402</v>
      </c>
      <c r="DM15" s="26" t="s">
        <v>42</v>
      </c>
    </row>
    <row r="16" spans="1:117">
      <c r="A16">
        <v>2019</v>
      </c>
      <c r="B16" t="str">
        <f>"UCE_utilization_"&amp;RIGHT(A4,3)&amp;"_"&amp;RIGHT(B$14,2)</f>
        <v>UCE_utilization_COB_UP</v>
      </c>
      <c r="C16" t="s">
        <v>404</v>
      </c>
      <c r="D16" t="str">
        <f t="shared" ref="D16:D22" si="3">A4</f>
        <v>???COB</v>
      </c>
      <c r="E16" s="53" t="s">
        <v>468</v>
      </c>
      <c r="F16" s="26">
        <f>-MAX(F4,$DK4)</f>
        <v>-0.426573382682398</v>
      </c>
      <c r="G16" s="26">
        <f t="shared" ref="G16:BR16" si="4">-MAX(G4,$DK4)</f>
        <v>-0.426573382682398</v>
      </c>
      <c r="H16" s="26">
        <f t="shared" si="4"/>
        <v>-0.426573382682398</v>
      </c>
      <c r="I16" s="26">
        <f t="shared" si="4"/>
        <v>-0.426573382682398</v>
      </c>
      <c r="J16" s="26">
        <f t="shared" si="4"/>
        <v>-0.426573382682398</v>
      </c>
      <c r="K16" s="26">
        <f t="shared" si="4"/>
        <v>-0.85</v>
      </c>
      <c r="L16" s="26">
        <f t="shared" si="4"/>
        <v>-0.426573382682398</v>
      </c>
      <c r="M16" s="26">
        <f t="shared" si="4"/>
        <v>-0.426573382682398</v>
      </c>
      <c r="N16" s="26">
        <f t="shared" si="4"/>
        <v>-0.426573382682398</v>
      </c>
      <c r="O16" s="26">
        <f t="shared" si="4"/>
        <v>-0.426573382682398</v>
      </c>
      <c r="P16" s="26">
        <f t="shared" si="4"/>
        <v>-0.426573382682398</v>
      </c>
      <c r="Q16" s="26">
        <f t="shared" si="4"/>
        <v>-0.658989959314695</v>
      </c>
      <c r="R16" s="26">
        <f t="shared" si="4"/>
        <v>-0.426573382682398</v>
      </c>
      <c r="S16" s="26">
        <f t="shared" si="4"/>
        <v>-0.484500100166484</v>
      </c>
      <c r="T16" s="26">
        <f t="shared" si="4"/>
        <v>-0.426573382682398</v>
      </c>
      <c r="U16" s="26">
        <f t="shared" si="4"/>
        <v>-0.85</v>
      </c>
      <c r="V16" s="26">
        <f>-MAX(V4,$DK4)-0.2</f>
        <v>-0.626573382682398</v>
      </c>
      <c r="W16" s="26">
        <f t="shared" si="4"/>
        <v>-0.426573382682398</v>
      </c>
      <c r="X16" s="26">
        <f t="shared" si="4"/>
        <v>-0.426573382682398</v>
      </c>
      <c r="Y16" s="26">
        <f t="shared" si="4"/>
        <v>-0.426573382682398</v>
      </c>
      <c r="Z16" s="26">
        <f t="shared" si="4"/>
        <v>-0.426573382682398</v>
      </c>
      <c r="AA16" s="26">
        <f t="shared" si="4"/>
        <v>-0.569956424552155</v>
      </c>
      <c r="AB16" s="26">
        <f t="shared" si="4"/>
        <v>-0.426573382682398</v>
      </c>
      <c r="AC16" s="26">
        <f t="shared" si="4"/>
        <v>-0.426573382682398</v>
      </c>
      <c r="AD16" s="26">
        <f t="shared" si="4"/>
        <v>-0.426573382682398</v>
      </c>
      <c r="AE16" s="26">
        <f t="shared" si="4"/>
        <v>-0.426573382682398</v>
      </c>
      <c r="AF16" s="26">
        <f t="shared" si="4"/>
        <v>-0.426573382682398</v>
      </c>
      <c r="AG16" s="26">
        <f t="shared" si="4"/>
        <v>-0.426573382682398</v>
      </c>
      <c r="AH16" s="26">
        <f t="shared" si="4"/>
        <v>-0.426573382682398</v>
      </c>
      <c r="AI16" s="26">
        <f t="shared" si="4"/>
        <v>-0.426573382682398</v>
      </c>
      <c r="AJ16" s="26">
        <f t="shared" si="4"/>
        <v>-0.652366805976757</v>
      </c>
      <c r="AK16" s="26">
        <f t="shared" si="4"/>
        <v>-0.426573382682398</v>
      </c>
      <c r="AL16" s="26">
        <f t="shared" si="4"/>
        <v>-0.49836791287862</v>
      </c>
      <c r="AM16" s="26">
        <f t="shared" si="4"/>
        <v>-0.426573382682398</v>
      </c>
      <c r="AN16" s="26">
        <f t="shared" si="4"/>
        <v>-0.426573382682398</v>
      </c>
      <c r="AO16" s="26">
        <f t="shared" si="4"/>
        <v>-0.480141480061005</v>
      </c>
      <c r="AP16" s="26">
        <f t="shared" si="4"/>
        <v>-0.671862808813278</v>
      </c>
      <c r="AQ16" s="26">
        <f t="shared" si="4"/>
        <v>-0.426573382682398</v>
      </c>
      <c r="AR16" s="26">
        <f t="shared" si="4"/>
        <v>-0.426573382682398</v>
      </c>
      <c r="AS16" s="26">
        <f t="shared" si="4"/>
        <v>-0.426573382682398</v>
      </c>
      <c r="AT16" s="26">
        <f t="shared" si="4"/>
        <v>-0.426573382682398</v>
      </c>
      <c r="AU16" s="26">
        <f t="shared" si="4"/>
        <v>-0.426573382682398</v>
      </c>
      <c r="AV16" s="26">
        <f t="shared" si="4"/>
        <v>-0.426573382682398</v>
      </c>
      <c r="AW16" s="26">
        <f>-MAX(AW4,$DK4)-0.1</f>
        <v>-0.526573382682398</v>
      </c>
      <c r="AX16" s="26">
        <f t="shared" si="4"/>
        <v>-0.426573382682398</v>
      </c>
      <c r="AY16" s="26">
        <f t="shared" si="4"/>
        <v>-0.426573382682398</v>
      </c>
      <c r="AZ16" s="26">
        <f t="shared" si="4"/>
        <v>-0.533478331773448</v>
      </c>
      <c r="BA16" s="26">
        <f t="shared" si="4"/>
        <v>-0.426573382682398</v>
      </c>
      <c r="BB16" s="26">
        <f t="shared" si="4"/>
        <v>-0.426573382682398</v>
      </c>
      <c r="BC16" s="26">
        <f t="shared" si="4"/>
        <v>-0.426573382682398</v>
      </c>
      <c r="BD16" s="26">
        <f t="shared" si="4"/>
        <v>-0.426573382682398</v>
      </c>
      <c r="BE16" s="26">
        <f t="shared" si="4"/>
        <v>-0.426573382682398</v>
      </c>
      <c r="BF16" s="26">
        <f t="shared" si="4"/>
        <v>-0.426573382682398</v>
      </c>
      <c r="BG16" s="26">
        <f t="shared" si="4"/>
        <v>-0.572837746029879</v>
      </c>
      <c r="BH16" s="26">
        <f>-MAX(BH4,$DK4)-0.3</f>
        <v>-0.726573382682398</v>
      </c>
      <c r="BI16" s="26">
        <f t="shared" si="4"/>
        <v>-0.426573382682398</v>
      </c>
      <c r="BJ16" s="26">
        <f t="shared" si="4"/>
        <v>-0.426573382682398</v>
      </c>
      <c r="BK16" s="26">
        <f t="shared" si="4"/>
        <v>-0.426573382682398</v>
      </c>
      <c r="BL16" s="26">
        <f t="shared" si="4"/>
        <v>-0.763267376966007</v>
      </c>
      <c r="BM16" s="26">
        <f>-MAX(BM4,$DK4)-0.2</f>
        <v>-0.626573382682398</v>
      </c>
      <c r="BN16" s="26">
        <f t="shared" si="4"/>
        <v>-0.426573382682398</v>
      </c>
      <c r="BO16" s="26">
        <f t="shared" si="4"/>
        <v>-0.426573382682398</v>
      </c>
      <c r="BP16" s="26">
        <f t="shared" si="4"/>
        <v>-0.426573382682398</v>
      </c>
      <c r="BQ16" s="26">
        <f t="shared" si="4"/>
        <v>-0.426573382682398</v>
      </c>
      <c r="BR16" s="26">
        <f t="shared" si="4"/>
        <v>-0.426573382682398</v>
      </c>
      <c r="BS16" s="26">
        <f>-MAX(BS4,$DK4)-0.2</f>
        <v>-0.626573382682398</v>
      </c>
      <c r="BT16" s="26">
        <f t="shared" ref="BT16:DJ16" si="5">-MAX(BT4,$DK4)</f>
        <v>-0.426573382682398</v>
      </c>
      <c r="BU16" s="26">
        <f t="shared" si="5"/>
        <v>-0.426573382682398</v>
      </c>
      <c r="BV16" s="26">
        <f t="shared" si="5"/>
        <v>-0.426573382682398</v>
      </c>
      <c r="BW16" s="26">
        <f t="shared" si="5"/>
        <v>-0.426573382682398</v>
      </c>
      <c r="BX16" s="26">
        <f t="shared" si="5"/>
        <v>-0.447743243788652</v>
      </c>
      <c r="BY16" s="26">
        <f t="shared" si="5"/>
        <v>-0.426573382682398</v>
      </c>
      <c r="BZ16" s="26">
        <f t="shared" si="5"/>
        <v>-0.426573382682398</v>
      </c>
      <c r="CA16" s="26">
        <f t="shared" si="5"/>
        <v>-0.426573382682398</v>
      </c>
      <c r="CB16" s="26">
        <f t="shared" si="5"/>
        <v>-0.426573382682398</v>
      </c>
      <c r="CC16" s="26">
        <f t="shared" si="5"/>
        <v>-0.426573382682398</v>
      </c>
      <c r="CD16" s="26">
        <f t="shared" si="5"/>
        <v>-0.85</v>
      </c>
      <c r="CE16" s="26">
        <f t="shared" si="5"/>
        <v>-0.630401475604938</v>
      </c>
      <c r="CF16" s="26">
        <f t="shared" si="5"/>
        <v>-0.426573382682398</v>
      </c>
      <c r="CG16" s="26">
        <f t="shared" si="5"/>
        <v>-0.426573382682398</v>
      </c>
      <c r="CH16" s="26">
        <f t="shared" si="5"/>
        <v>-0.426573382682398</v>
      </c>
      <c r="CI16" s="26">
        <f t="shared" si="5"/>
        <v>-0.426573382682398</v>
      </c>
      <c r="CJ16" s="26">
        <f t="shared" si="5"/>
        <v>-0.426573382682398</v>
      </c>
      <c r="CK16" s="26">
        <f t="shared" si="5"/>
        <v>-0.683598946325089</v>
      </c>
      <c r="CL16" s="26">
        <f t="shared" si="5"/>
        <v>-0.426573382682398</v>
      </c>
      <c r="CM16" s="26">
        <f t="shared" si="5"/>
        <v>-0.426573382682398</v>
      </c>
      <c r="CN16" s="26">
        <f t="shared" si="5"/>
        <v>-0.84622203196347</v>
      </c>
      <c r="CO16" s="26">
        <f t="shared" si="5"/>
        <v>-0.426573382682398</v>
      </c>
      <c r="CP16" s="26">
        <f t="shared" si="5"/>
        <v>-0.426573382682398</v>
      </c>
      <c r="CQ16" s="26">
        <f t="shared" si="5"/>
        <v>-0.426573382682398</v>
      </c>
      <c r="CR16" s="26">
        <f t="shared" si="5"/>
        <v>-0.426573382682398</v>
      </c>
      <c r="CS16" s="26">
        <f t="shared" si="5"/>
        <v>-0.426573382682398</v>
      </c>
      <c r="CT16" s="26">
        <f t="shared" si="5"/>
        <v>-0.426573382682398</v>
      </c>
      <c r="CU16" s="26">
        <f>-MAX(CU4,$DK4)-0.4</f>
        <v>-0.826573382682398</v>
      </c>
      <c r="CV16" s="26">
        <f t="shared" si="5"/>
        <v>-0.426573382682398</v>
      </c>
      <c r="CW16" s="26">
        <f t="shared" si="5"/>
        <v>-0.426573382682398</v>
      </c>
      <c r="CX16" s="26">
        <f t="shared" si="5"/>
        <v>-0.729314124761345</v>
      </c>
      <c r="CY16" s="26">
        <f t="shared" si="5"/>
        <v>-0.426573382682398</v>
      </c>
      <c r="CZ16" s="26">
        <f t="shared" si="5"/>
        <v>-0.594379419662691</v>
      </c>
      <c r="DA16" s="26">
        <f t="shared" si="5"/>
        <v>-0.426573382682398</v>
      </c>
      <c r="DB16" s="26">
        <f t="shared" si="5"/>
        <v>-0.426573382682398</v>
      </c>
      <c r="DC16" s="26">
        <f t="shared" si="5"/>
        <v>-0.426573382682398</v>
      </c>
      <c r="DD16" s="26">
        <f t="shared" si="5"/>
        <v>-0.426573382682398</v>
      </c>
      <c r="DE16" s="26">
        <f t="shared" si="5"/>
        <v>-0.621798376796139</v>
      </c>
      <c r="DF16" s="26">
        <f t="shared" si="5"/>
        <v>-0.426573382682398</v>
      </c>
      <c r="DG16" s="26">
        <f t="shared" si="5"/>
        <v>-0.426573382682398</v>
      </c>
      <c r="DH16" s="26">
        <f t="shared" si="5"/>
        <v>-0.426573382682398</v>
      </c>
      <c r="DI16" s="26">
        <f t="shared" si="5"/>
        <v>-0.426573382682398</v>
      </c>
      <c r="DJ16" s="26">
        <f t="shared" si="5"/>
        <v>-0.426573382682398</v>
      </c>
      <c r="DK16" s="8">
        <f>1/31.536</f>
        <v>0.0317097919837646</v>
      </c>
      <c r="DL16">
        <v>0</v>
      </c>
      <c r="DM16">
        <v>5</v>
      </c>
    </row>
    <row r="17" spans="1:120">
      <c r="A17">
        <v>2019</v>
      </c>
      <c r="B17" t="str">
        <f t="shared" ref="B16:B22" si="6">"UCE_utilization_"&amp;RIGHT(A5,3)&amp;"_"&amp;RIGHT(B$14,2)</f>
        <v>UCE_utilization_COA_UP</v>
      </c>
      <c r="C17" t="s">
        <v>404</v>
      </c>
      <c r="D17" t="str">
        <f t="shared" si="3"/>
        <v>???COA</v>
      </c>
      <c r="E17" s="53" t="s">
        <v>468</v>
      </c>
      <c r="F17" s="26">
        <f>-MAX(F5,$DK5)</f>
        <v>-0.616912126812187</v>
      </c>
      <c r="G17" s="26">
        <f t="shared" ref="G17:BR17" si="7">-MAX(G5,$DK5)</f>
        <v>-0.616912126812187</v>
      </c>
      <c r="H17" s="26">
        <f t="shared" si="7"/>
        <v>-0.616912126812187</v>
      </c>
      <c r="I17" s="26">
        <f t="shared" si="7"/>
        <v>-0.616912126812187</v>
      </c>
      <c r="J17" s="26">
        <f t="shared" si="7"/>
        <v>-0.616912126812187</v>
      </c>
      <c r="K17" s="26">
        <f t="shared" si="7"/>
        <v>-0.616912126812187</v>
      </c>
      <c r="L17" s="26">
        <f t="shared" si="7"/>
        <v>-0.616912126812187</v>
      </c>
      <c r="M17" s="26">
        <f t="shared" si="7"/>
        <v>-0.616912126812187</v>
      </c>
      <c r="N17" s="26">
        <f t="shared" si="7"/>
        <v>-0.616912126812187</v>
      </c>
      <c r="O17" s="26">
        <f t="shared" si="7"/>
        <v>-0.616912126812187</v>
      </c>
      <c r="P17" s="26">
        <f t="shared" si="7"/>
        <v>-0.616912126812187</v>
      </c>
      <c r="Q17" s="26">
        <f t="shared" si="7"/>
        <v>-0.616912126812187</v>
      </c>
      <c r="R17" s="26">
        <f t="shared" si="7"/>
        <v>-0.616912126812187</v>
      </c>
      <c r="S17" s="26">
        <f t="shared" si="7"/>
        <v>-0.616912126812187</v>
      </c>
      <c r="T17" s="26">
        <f t="shared" si="7"/>
        <v>-0.616912126812187</v>
      </c>
      <c r="U17" s="26">
        <f t="shared" si="7"/>
        <v>-0.616912126812187</v>
      </c>
      <c r="V17" s="26">
        <f t="shared" si="7"/>
        <v>-0.85</v>
      </c>
      <c r="W17" s="26">
        <f t="shared" si="7"/>
        <v>-0.649383336192316</v>
      </c>
      <c r="X17" s="26">
        <f t="shared" si="7"/>
        <v>-0.648096604778726</v>
      </c>
      <c r="Y17" s="26">
        <f t="shared" si="7"/>
        <v>-0.640332231144702</v>
      </c>
      <c r="Z17" s="26">
        <f t="shared" si="7"/>
        <v>-0.616912126812187</v>
      </c>
      <c r="AA17" s="26">
        <f t="shared" si="7"/>
        <v>-0.616912126812187</v>
      </c>
      <c r="AB17" s="26">
        <f t="shared" si="7"/>
        <v>-0.616912126812187</v>
      </c>
      <c r="AC17" s="26">
        <f t="shared" si="7"/>
        <v>-0.616912126812187</v>
      </c>
      <c r="AD17" s="26">
        <f t="shared" si="7"/>
        <v>-0.616912126812187</v>
      </c>
      <c r="AE17" s="26">
        <f t="shared" si="7"/>
        <v>-0.616912126812187</v>
      </c>
      <c r="AF17" s="26">
        <f t="shared" si="7"/>
        <v>-0.616912126812187</v>
      </c>
      <c r="AG17" s="26">
        <f t="shared" si="7"/>
        <v>-0.616912126812187</v>
      </c>
      <c r="AH17" s="26">
        <f t="shared" si="7"/>
        <v>-0.616912126812187</v>
      </c>
      <c r="AI17" s="26">
        <f t="shared" si="7"/>
        <v>-0.616912126812187</v>
      </c>
      <c r="AJ17" s="26">
        <f t="shared" si="7"/>
        <v>-0.616912126812187</v>
      </c>
      <c r="AK17" s="26">
        <f t="shared" si="7"/>
        <v>-0.616912126812187</v>
      </c>
      <c r="AL17" s="26">
        <f t="shared" si="7"/>
        <v>-0.616912126812187</v>
      </c>
      <c r="AM17" s="26">
        <f t="shared" si="7"/>
        <v>-0.616912126812187</v>
      </c>
      <c r="AN17" s="26">
        <f t="shared" si="7"/>
        <v>-0.616912126812187</v>
      </c>
      <c r="AO17" s="26">
        <f t="shared" si="7"/>
        <v>-0.616912126812187</v>
      </c>
      <c r="AP17" s="26">
        <f t="shared" si="7"/>
        <v>-0.616912126812187</v>
      </c>
      <c r="AQ17" s="26">
        <f t="shared" si="7"/>
        <v>-0.616912126812187</v>
      </c>
      <c r="AR17" s="26">
        <f t="shared" si="7"/>
        <v>-0.616912126812187</v>
      </c>
      <c r="AS17" s="26">
        <f t="shared" si="7"/>
        <v>-0.616912126812187</v>
      </c>
      <c r="AT17" s="26">
        <f t="shared" si="7"/>
        <v>-0.616912126812187</v>
      </c>
      <c r="AU17" s="26">
        <f t="shared" si="7"/>
        <v>-0.616912126812187</v>
      </c>
      <c r="AV17" s="26">
        <f t="shared" si="7"/>
        <v>-0.616912126812187</v>
      </c>
      <c r="AW17" s="26">
        <f>-MAX(AW5,$DK5)-0.1</f>
        <v>-0.82668427904306</v>
      </c>
      <c r="AX17" s="26">
        <f t="shared" si="7"/>
        <v>-0.832182949132185</v>
      </c>
      <c r="AY17" s="26">
        <f t="shared" si="7"/>
        <v>-0.616912126812187</v>
      </c>
      <c r="AZ17" s="26">
        <f t="shared" si="7"/>
        <v>-0.616912126812187</v>
      </c>
      <c r="BA17" s="26">
        <f t="shared" si="7"/>
        <v>-0.616912126812187</v>
      </c>
      <c r="BB17" s="26">
        <f t="shared" si="7"/>
        <v>-0.616912126812187</v>
      </c>
      <c r="BC17" s="26">
        <f t="shared" si="7"/>
        <v>-0.616912126812187</v>
      </c>
      <c r="BD17" s="26">
        <f t="shared" si="7"/>
        <v>-0.616912126812187</v>
      </c>
      <c r="BE17" s="26">
        <f t="shared" si="7"/>
        <v>-0.616912126812187</v>
      </c>
      <c r="BF17" s="26">
        <f t="shared" si="7"/>
        <v>-0.616912126812187</v>
      </c>
      <c r="BG17" s="26">
        <f t="shared" si="7"/>
        <v>-0.616912126812187</v>
      </c>
      <c r="BH17" s="26">
        <f t="shared" si="7"/>
        <v>-0.85</v>
      </c>
      <c r="BI17" s="26">
        <f t="shared" si="7"/>
        <v>-0.616912126812187</v>
      </c>
      <c r="BJ17" s="26">
        <f t="shared" si="7"/>
        <v>-0.616912126812187</v>
      </c>
      <c r="BK17" s="26">
        <f t="shared" si="7"/>
        <v>-0.616912126812187</v>
      </c>
      <c r="BL17" s="26">
        <f t="shared" si="7"/>
        <v>-0.616912126812187</v>
      </c>
      <c r="BM17" s="26">
        <f t="shared" si="7"/>
        <v>-0.710163487004676</v>
      </c>
      <c r="BN17" s="26">
        <f t="shared" si="7"/>
        <v>-0.616912126812187</v>
      </c>
      <c r="BO17" s="26">
        <f t="shared" si="7"/>
        <v>-0.85</v>
      </c>
      <c r="BP17" s="26">
        <f t="shared" si="7"/>
        <v>-0.616912126812187</v>
      </c>
      <c r="BQ17" s="26">
        <f t="shared" si="7"/>
        <v>-0.616912126812187</v>
      </c>
      <c r="BR17" s="26">
        <f t="shared" si="7"/>
        <v>-0.616912126812187</v>
      </c>
      <c r="BS17" s="26">
        <f t="shared" ref="BS17:DJ17" si="8">-MAX(BS5,$DK5)</f>
        <v>-0.616912126812187</v>
      </c>
      <c r="BT17" s="26">
        <f t="shared" si="8"/>
        <v>-0.616912126812187</v>
      </c>
      <c r="BU17" s="26">
        <f t="shared" si="8"/>
        <v>-0.616912126812187</v>
      </c>
      <c r="BV17" s="26">
        <f t="shared" si="8"/>
        <v>-0.616912126812187</v>
      </c>
      <c r="BW17" s="26">
        <f t="shared" si="8"/>
        <v>-0.616912126812187</v>
      </c>
      <c r="BX17" s="26">
        <f t="shared" si="8"/>
        <v>-0.66405318558623</v>
      </c>
      <c r="BY17" s="26">
        <f t="shared" si="8"/>
        <v>-0.616912126812187</v>
      </c>
      <c r="BZ17" s="26">
        <f t="shared" si="8"/>
        <v>-0.713629892430293</v>
      </c>
      <c r="CA17" s="26">
        <f t="shared" si="8"/>
        <v>-0.616912126812187</v>
      </c>
      <c r="CB17" s="26">
        <f t="shared" si="8"/>
        <v>-0.85</v>
      </c>
      <c r="CC17" s="26">
        <f t="shared" si="8"/>
        <v>-0.616912126812187</v>
      </c>
      <c r="CD17" s="26">
        <f t="shared" si="8"/>
        <v>-0.616912126812187</v>
      </c>
      <c r="CE17" s="26">
        <f t="shared" si="8"/>
        <v>-0.616912126812187</v>
      </c>
      <c r="CF17" s="26">
        <f t="shared" si="8"/>
        <v>-0.616912126812187</v>
      </c>
      <c r="CG17" s="26">
        <f t="shared" si="8"/>
        <v>-0.616912126812187</v>
      </c>
      <c r="CH17" s="26">
        <f t="shared" si="8"/>
        <v>-0.616912126812187</v>
      </c>
      <c r="CI17" s="26">
        <f t="shared" si="8"/>
        <v>-0.616912126812187</v>
      </c>
      <c r="CJ17" s="26">
        <f t="shared" si="8"/>
        <v>-0.616912126812187</v>
      </c>
      <c r="CK17" s="26">
        <f t="shared" si="8"/>
        <v>-0.616912126812187</v>
      </c>
      <c r="CL17" s="26">
        <f t="shared" si="8"/>
        <v>-0.616912126812187</v>
      </c>
      <c r="CM17" s="26">
        <f t="shared" si="8"/>
        <v>-0.616912126812187</v>
      </c>
      <c r="CN17" s="26">
        <f t="shared" si="8"/>
        <v>-0.616912126812187</v>
      </c>
      <c r="CO17" s="26">
        <f t="shared" si="8"/>
        <v>-0.616912126812187</v>
      </c>
      <c r="CP17" s="26">
        <f t="shared" si="8"/>
        <v>-0.806088926855747</v>
      </c>
      <c r="CQ17" s="26">
        <f t="shared" si="8"/>
        <v>-0.85</v>
      </c>
      <c r="CR17" s="26">
        <f t="shared" si="8"/>
        <v>-0.616912126812187</v>
      </c>
      <c r="CS17" s="26">
        <f t="shared" si="8"/>
        <v>-0.616912126812187</v>
      </c>
      <c r="CT17" s="26">
        <f t="shared" si="8"/>
        <v>-0.616912126812187</v>
      </c>
      <c r="CU17" s="26">
        <f t="shared" si="8"/>
        <v>-0.85</v>
      </c>
      <c r="CV17" s="26">
        <f t="shared" si="8"/>
        <v>-0.616912126812187</v>
      </c>
      <c r="CW17" s="26">
        <f t="shared" si="8"/>
        <v>-0.616912126812187</v>
      </c>
      <c r="CX17" s="26">
        <f t="shared" si="8"/>
        <v>-0.616912126812187</v>
      </c>
      <c r="CY17" s="26">
        <f t="shared" si="8"/>
        <v>-0.616912126812187</v>
      </c>
      <c r="CZ17" s="26">
        <f t="shared" si="8"/>
        <v>-0.85</v>
      </c>
      <c r="DA17" s="26">
        <f t="shared" si="8"/>
        <v>-0.616912126812187</v>
      </c>
      <c r="DB17" s="26">
        <f t="shared" si="8"/>
        <v>-0.616912126812187</v>
      </c>
      <c r="DC17" s="26">
        <f t="shared" si="8"/>
        <v>-0.616912126812187</v>
      </c>
      <c r="DD17" s="26">
        <f t="shared" si="8"/>
        <v>-0.616912126812187</v>
      </c>
      <c r="DE17" s="26">
        <f t="shared" si="8"/>
        <v>-0.616912126812187</v>
      </c>
      <c r="DF17" s="26">
        <f t="shared" si="8"/>
        <v>-0.616912126812187</v>
      </c>
      <c r="DG17" s="26">
        <f t="shared" si="8"/>
        <v>-0.616912126812187</v>
      </c>
      <c r="DH17" s="26">
        <f t="shared" si="8"/>
        <v>-0.85</v>
      </c>
      <c r="DI17" s="26">
        <f t="shared" si="8"/>
        <v>-0.616912126812187</v>
      </c>
      <c r="DJ17" s="26">
        <f t="shared" si="8"/>
        <v>-0.616912126812187</v>
      </c>
      <c r="DK17" s="8">
        <f t="shared" ref="DK17:DK22" si="9">1/31.536</f>
        <v>0.0317097919837646</v>
      </c>
      <c r="DL17">
        <v>0</v>
      </c>
      <c r="DM17">
        <v>5</v>
      </c>
    </row>
    <row r="18" spans="1:120">
      <c r="A18">
        <v>2019</v>
      </c>
      <c r="B18" t="str">
        <f t="shared" si="6"/>
        <v>UCE_utilization_NGA_UP</v>
      </c>
      <c r="C18" t="s">
        <v>404</v>
      </c>
      <c r="D18" t="str">
        <f t="shared" si="3"/>
        <v>???NGA</v>
      </c>
      <c r="E18" s="53" t="s">
        <v>468</v>
      </c>
      <c r="F18" s="27">
        <f>-MAX(F6,$DK6)-F12</f>
        <v>-0.494610254174867</v>
      </c>
      <c r="G18" s="27">
        <f t="shared" ref="G18:BR18" si="10">-MAX(G6,$DK6)-G12</f>
        <v>-0.494610254174867</v>
      </c>
      <c r="H18" s="27">
        <f t="shared" si="10"/>
        <v>-0.494610254174867</v>
      </c>
      <c r="I18" s="27">
        <f t="shared" si="10"/>
        <v>-0.531356083695337</v>
      </c>
      <c r="J18" s="27">
        <f t="shared" si="10"/>
        <v>-0.579755156668241</v>
      </c>
      <c r="K18" s="27">
        <f t="shared" si="10"/>
        <v>-0.494610254174867</v>
      </c>
      <c r="L18" s="27">
        <f t="shared" si="10"/>
        <v>-0.494610254174867</v>
      </c>
      <c r="M18" s="27">
        <f t="shared" si="10"/>
        <v>-0.804288266825491</v>
      </c>
      <c r="N18" s="27">
        <f t="shared" si="10"/>
        <v>-0.632596498892252</v>
      </c>
      <c r="O18" s="27">
        <f t="shared" si="10"/>
        <v>-0.56361224308838</v>
      </c>
      <c r="P18" s="27">
        <f t="shared" si="10"/>
        <v>-0.530763588524965</v>
      </c>
      <c r="Q18" s="27">
        <f t="shared" si="10"/>
        <v>-0.494610254174867</v>
      </c>
      <c r="R18" s="27">
        <f t="shared" si="10"/>
        <v>-0.89359488363634</v>
      </c>
      <c r="S18" s="27">
        <f t="shared" si="10"/>
        <v>-0.494610254174867</v>
      </c>
      <c r="T18" s="27">
        <f t="shared" si="10"/>
        <v>-0.494610254174867</v>
      </c>
      <c r="U18" s="27">
        <f t="shared" si="10"/>
        <v>-0.494610254174867</v>
      </c>
      <c r="V18" s="27">
        <f t="shared" si="10"/>
        <v>-0.494610254174867</v>
      </c>
      <c r="W18" s="27">
        <f t="shared" si="10"/>
        <v>-0.494610254174867</v>
      </c>
      <c r="X18" s="27">
        <f t="shared" si="10"/>
        <v>-0.494610254174867</v>
      </c>
      <c r="Y18" s="27">
        <f t="shared" si="10"/>
        <v>-0.53779994049698</v>
      </c>
      <c r="Z18" s="27">
        <f t="shared" si="10"/>
        <v>-0.494610254174867</v>
      </c>
      <c r="AA18" s="27">
        <f t="shared" si="10"/>
        <v>-0.494610254174867</v>
      </c>
      <c r="AB18" s="27">
        <f t="shared" si="10"/>
        <v>-0.494610254174867</v>
      </c>
      <c r="AC18" s="27">
        <f t="shared" si="10"/>
        <v>-0.494610254174867</v>
      </c>
      <c r="AD18" s="27">
        <f t="shared" si="10"/>
        <v>-0.494610254174867</v>
      </c>
      <c r="AE18" s="27">
        <f t="shared" si="10"/>
        <v>-0.494610254174867</v>
      </c>
      <c r="AF18" s="27">
        <f t="shared" si="10"/>
        <v>-0.494610254174867</v>
      </c>
      <c r="AG18" s="27">
        <f t="shared" si="10"/>
        <v>-0.494610254174867</v>
      </c>
      <c r="AH18" s="27">
        <f t="shared" si="10"/>
        <v>-0.582501783082533</v>
      </c>
      <c r="AI18" s="27">
        <f t="shared" si="10"/>
        <v>-0.606636344178082</v>
      </c>
      <c r="AJ18" s="27">
        <f t="shared" si="10"/>
        <v>-0.688441333124509</v>
      </c>
      <c r="AK18" s="27">
        <f t="shared" si="10"/>
        <v>-0.494610254174867</v>
      </c>
      <c r="AL18" s="27">
        <f t="shared" si="10"/>
        <v>-0.494610254174867</v>
      </c>
      <c r="AM18" s="27">
        <f t="shared" si="10"/>
        <v>-0.494610254174867</v>
      </c>
      <c r="AN18" s="27">
        <f t="shared" si="10"/>
        <v>-0.494610254174867</v>
      </c>
      <c r="AO18" s="27">
        <f t="shared" si="10"/>
        <v>-0.494610254174867</v>
      </c>
      <c r="AP18" s="27">
        <f t="shared" si="10"/>
        <v>-0.494610254174867</v>
      </c>
      <c r="AQ18" s="27">
        <f t="shared" si="10"/>
        <v>-0.62973529409053</v>
      </c>
      <c r="AR18" s="27">
        <f t="shared" si="10"/>
        <v>-0.494610254174867</v>
      </c>
      <c r="AS18" s="27">
        <f t="shared" si="10"/>
        <v>-0.494610254174867</v>
      </c>
      <c r="AT18" s="27">
        <f t="shared" si="10"/>
        <v>-0.59852893385236</v>
      </c>
      <c r="AU18" s="27">
        <f t="shared" si="10"/>
        <v>-0.494610254174867</v>
      </c>
      <c r="AV18" s="27">
        <f t="shared" si="10"/>
        <v>-0.825839178816703</v>
      </c>
      <c r="AW18" s="27">
        <f t="shared" si="10"/>
        <v>-0.670374796384549</v>
      </c>
      <c r="AX18" s="27">
        <f t="shared" si="10"/>
        <v>-0.811165327445686</v>
      </c>
      <c r="AY18" s="27">
        <f t="shared" si="10"/>
        <v>-0.494610254174867</v>
      </c>
      <c r="AZ18" s="27">
        <f t="shared" si="10"/>
        <v>-0.494610254174867</v>
      </c>
      <c r="BA18" s="27">
        <f t="shared" si="10"/>
        <v>-0.603138093993359</v>
      </c>
      <c r="BB18" s="27">
        <f t="shared" si="10"/>
        <v>-0.494610254174867</v>
      </c>
      <c r="BC18" s="27">
        <f t="shared" si="10"/>
        <v>-0.494610254174867</v>
      </c>
      <c r="BD18" s="27">
        <f t="shared" si="10"/>
        <v>-0.494610254174867</v>
      </c>
      <c r="BE18" s="27">
        <f t="shared" si="10"/>
        <v>-0.494610254174867</v>
      </c>
      <c r="BF18" s="27">
        <f t="shared" si="10"/>
        <v>-0.543945835301527</v>
      </c>
      <c r="BG18" s="27">
        <f t="shared" si="10"/>
        <v>-0.494610254174867</v>
      </c>
      <c r="BH18" s="27">
        <f t="shared" si="10"/>
        <v>-0.603199261246592</v>
      </c>
      <c r="BI18" s="27">
        <f t="shared" si="10"/>
        <v>-0.601579513523007</v>
      </c>
      <c r="BJ18" s="27">
        <f t="shared" si="10"/>
        <v>-0.599020881455646</v>
      </c>
      <c r="BK18" s="27">
        <f t="shared" si="10"/>
        <v>-0.770630460974597</v>
      </c>
      <c r="BL18" s="27">
        <f t="shared" si="10"/>
        <v>-0.494610254174867</v>
      </c>
      <c r="BM18" s="27">
        <f t="shared" si="10"/>
        <v>-0.496934116112198</v>
      </c>
      <c r="BN18" s="27">
        <f t="shared" si="10"/>
        <v>-0.652724022130415</v>
      </c>
      <c r="BO18" s="27">
        <f t="shared" si="10"/>
        <v>-0.494610254174867</v>
      </c>
      <c r="BP18" s="27">
        <f t="shared" si="10"/>
        <v>-0.494610254174867</v>
      </c>
      <c r="BQ18" s="27">
        <f t="shared" si="10"/>
        <v>-0.554316884417608</v>
      </c>
      <c r="BR18" s="27">
        <f t="shared" si="10"/>
        <v>-0.601931523887412</v>
      </c>
      <c r="BS18" s="27">
        <f t="shared" ref="BS18:DJ18" si="11">-MAX(BS6,$DK6)-BS12</f>
        <v>-0.494610254174867</v>
      </c>
      <c r="BT18" s="27">
        <f t="shared" si="11"/>
        <v>-0.494610254174867</v>
      </c>
      <c r="BU18" s="27">
        <f t="shared" si="11"/>
        <v>-0.494610254174867</v>
      </c>
      <c r="BV18" s="27">
        <f t="shared" si="11"/>
        <v>-0.494610254174867</v>
      </c>
      <c r="BW18" s="27">
        <f t="shared" si="11"/>
        <v>-0.494610254174867</v>
      </c>
      <c r="BX18" s="27">
        <f t="shared" si="11"/>
        <v>-0.494610254174867</v>
      </c>
      <c r="BY18" s="27">
        <f t="shared" si="11"/>
        <v>-0.494610254174867</v>
      </c>
      <c r="BZ18" s="27">
        <f t="shared" si="11"/>
        <v>-0.533183321922447</v>
      </c>
      <c r="CA18" s="27">
        <f t="shared" si="11"/>
        <v>-0.494610254174867</v>
      </c>
      <c r="CB18" s="27">
        <f t="shared" si="11"/>
        <v>-0.494610254174867</v>
      </c>
      <c r="CC18" s="27">
        <f t="shared" si="11"/>
        <v>-0.628995639336209</v>
      </c>
      <c r="CD18" s="27">
        <f t="shared" si="11"/>
        <v>-0.812812747123798</v>
      </c>
      <c r="CE18" s="27">
        <f t="shared" si="11"/>
        <v>-0.84884794629181</v>
      </c>
      <c r="CF18" s="27">
        <f t="shared" si="11"/>
        <v>-0.494610254174867</v>
      </c>
      <c r="CG18" s="27">
        <f t="shared" si="11"/>
        <v>-0.494610254174867</v>
      </c>
      <c r="CH18" s="27">
        <f t="shared" si="11"/>
        <v>-0.494610254174867</v>
      </c>
      <c r="CI18" s="27">
        <f t="shared" si="11"/>
        <v>-0.558149004604495</v>
      </c>
      <c r="CJ18" s="27">
        <f t="shared" si="11"/>
        <v>-0.494610254174867</v>
      </c>
      <c r="CK18" s="27">
        <f t="shared" si="11"/>
        <v>-0.494610254174867</v>
      </c>
      <c r="CL18" s="27">
        <f t="shared" si="11"/>
        <v>-0.597157974868923</v>
      </c>
      <c r="CM18" s="27">
        <f t="shared" si="11"/>
        <v>-0.494610254174867</v>
      </c>
      <c r="CN18" s="27">
        <f t="shared" si="11"/>
        <v>-0.494610254174867</v>
      </c>
      <c r="CO18" s="27">
        <f t="shared" si="11"/>
        <v>-0.494610254174867</v>
      </c>
      <c r="CP18" s="27">
        <f t="shared" si="11"/>
        <v>-0.497601490340264</v>
      </c>
      <c r="CQ18" s="27">
        <f t="shared" si="11"/>
        <v>-0.494610254174867</v>
      </c>
      <c r="CR18" s="27">
        <f t="shared" si="11"/>
        <v>-0.494610254174867</v>
      </c>
      <c r="CS18" s="27">
        <f t="shared" si="11"/>
        <v>-0.494610254174867</v>
      </c>
      <c r="CT18" s="27">
        <f t="shared" si="11"/>
        <v>-0.494610254174867</v>
      </c>
      <c r="CU18" s="27">
        <f t="shared" si="11"/>
        <v>-0.717830223203933</v>
      </c>
      <c r="CV18" s="27">
        <f t="shared" si="11"/>
        <v>-0.494610254174867</v>
      </c>
      <c r="CW18" s="27">
        <f t="shared" si="11"/>
        <v>-0.650249828928511</v>
      </c>
      <c r="CX18" s="27">
        <f t="shared" si="11"/>
        <v>-0.494610254174867</v>
      </c>
      <c r="CY18" s="27">
        <f t="shared" si="11"/>
        <v>-0.71091206805047</v>
      </c>
      <c r="CZ18" s="27">
        <f t="shared" si="11"/>
        <v>-0.494610254174867</v>
      </c>
      <c r="DA18" s="27">
        <f t="shared" si="11"/>
        <v>-0.494610254174867</v>
      </c>
      <c r="DB18" s="27">
        <f t="shared" si="11"/>
        <v>-0.494610254174867</v>
      </c>
      <c r="DC18" s="27">
        <f t="shared" si="11"/>
        <v>-0.496508536864362</v>
      </c>
      <c r="DD18" s="27">
        <f t="shared" si="11"/>
        <v>-0.674235505742355</v>
      </c>
      <c r="DE18" s="27">
        <f t="shared" si="11"/>
        <v>-0.494610254174867</v>
      </c>
      <c r="DF18" s="27">
        <f t="shared" si="11"/>
        <v>-0.662713218968623</v>
      </c>
      <c r="DG18" s="27">
        <f t="shared" si="11"/>
        <v>-0.494610254174867</v>
      </c>
      <c r="DH18" s="27">
        <f t="shared" si="11"/>
        <v>-0.687110147579863</v>
      </c>
      <c r="DI18" s="27">
        <f t="shared" si="11"/>
        <v>-0.494610254174867</v>
      </c>
      <c r="DJ18" s="27">
        <f t="shared" si="11"/>
        <v>-0.644610254174868</v>
      </c>
      <c r="DK18" s="8">
        <f t="shared" si="9"/>
        <v>0.0317097919837646</v>
      </c>
      <c r="DL18">
        <v>0</v>
      </c>
      <c r="DM18">
        <v>5</v>
      </c>
    </row>
    <row r="19" spans="1:120">
      <c r="A19">
        <v>2019</v>
      </c>
      <c r="B19" t="str">
        <f t="shared" si="6"/>
        <v>UCE_utilization_OIL_UP</v>
      </c>
      <c r="C19" t="s">
        <v>404</v>
      </c>
      <c r="D19" t="str">
        <f t="shared" si="3"/>
        <v>???OIL</v>
      </c>
      <c r="E19" s="53" t="s">
        <v>468</v>
      </c>
      <c r="F19" s="26">
        <f>-MAX(F7,$DK7)-F12</f>
        <v>-0.314797249286697</v>
      </c>
      <c r="G19" s="26">
        <f t="shared" ref="G19:BR19" si="12">-MAX(G7,$DK7)-G12</f>
        <v>-0.314797249286697</v>
      </c>
      <c r="H19" s="26">
        <f t="shared" si="12"/>
        <v>-0.391215511371799</v>
      </c>
      <c r="I19" s="26">
        <f t="shared" si="12"/>
        <v>-0.314797249286697</v>
      </c>
      <c r="J19" s="26">
        <f t="shared" si="12"/>
        <v>-0.314797249286697</v>
      </c>
      <c r="K19" s="26">
        <f t="shared" si="12"/>
        <v>-0.314797249286697</v>
      </c>
      <c r="L19" s="26">
        <f t="shared" si="12"/>
        <v>-0.314797249286697</v>
      </c>
      <c r="M19" s="26">
        <f t="shared" si="12"/>
        <v>-0.314797249286697</v>
      </c>
      <c r="N19" s="26">
        <f t="shared" si="12"/>
        <v>-0.352723158805791</v>
      </c>
      <c r="O19" s="26">
        <f t="shared" si="12"/>
        <v>-0.314797249286697</v>
      </c>
      <c r="P19" s="26">
        <f t="shared" si="12"/>
        <v>-0.314797249286697</v>
      </c>
      <c r="Q19" s="26">
        <f t="shared" si="12"/>
        <v>-0.314797249286697</v>
      </c>
      <c r="R19" s="26">
        <f t="shared" si="12"/>
        <v>-0.314797249286697</v>
      </c>
      <c r="S19" s="26">
        <f t="shared" si="12"/>
        <v>-0.474514840182648</v>
      </c>
      <c r="T19" s="26">
        <f t="shared" si="12"/>
        <v>-0.314797249286697</v>
      </c>
      <c r="U19" s="26">
        <f t="shared" si="12"/>
        <v>-0.314797249286697</v>
      </c>
      <c r="V19" s="26">
        <f t="shared" si="12"/>
        <v>-0.328959760273973</v>
      </c>
      <c r="W19" s="26">
        <f t="shared" si="12"/>
        <v>-0.314797249286697</v>
      </c>
      <c r="X19" s="26">
        <f t="shared" si="12"/>
        <v>-0.314797249286697</v>
      </c>
      <c r="Y19" s="26">
        <f t="shared" si="12"/>
        <v>-0.314797249286697</v>
      </c>
      <c r="Z19" s="26">
        <f t="shared" si="12"/>
        <v>-0.397433233645837</v>
      </c>
      <c r="AA19" s="26">
        <f t="shared" si="12"/>
        <v>-0.314797249286697</v>
      </c>
      <c r="AB19" s="26">
        <f t="shared" si="12"/>
        <v>-0.314797249286697</v>
      </c>
      <c r="AC19" s="26">
        <f t="shared" si="12"/>
        <v>-0.314797249286697</v>
      </c>
      <c r="AD19" s="26">
        <f t="shared" si="12"/>
        <v>-0.512254639574603</v>
      </c>
      <c r="AE19" s="26">
        <f t="shared" si="12"/>
        <v>-0.314797249286697</v>
      </c>
      <c r="AF19" s="26">
        <f t="shared" si="12"/>
        <v>-0.314797249286697</v>
      </c>
      <c r="AG19" s="26">
        <f t="shared" si="12"/>
        <v>-0.314797249286697</v>
      </c>
      <c r="AH19" s="26">
        <f t="shared" si="12"/>
        <v>-0.95</v>
      </c>
      <c r="AI19" s="26">
        <f t="shared" si="12"/>
        <v>-0.314797249286697</v>
      </c>
      <c r="AJ19" s="26">
        <f t="shared" si="12"/>
        <v>-0.314797249286697</v>
      </c>
      <c r="AK19" s="26">
        <f t="shared" si="12"/>
        <v>-0.95</v>
      </c>
      <c r="AL19" s="26">
        <f t="shared" si="12"/>
        <v>-0.52229538997963</v>
      </c>
      <c r="AM19" s="26">
        <f t="shared" si="12"/>
        <v>-0.314797249286697</v>
      </c>
      <c r="AN19" s="26">
        <f t="shared" si="12"/>
        <v>-0.314797249286697</v>
      </c>
      <c r="AO19" s="26">
        <f t="shared" si="12"/>
        <v>-0.314797249286697</v>
      </c>
      <c r="AP19" s="26">
        <f t="shared" si="12"/>
        <v>-0.314797249286697</v>
      </c>
      <c r="AQ19" s="26">
        <f t="shared" si="12"/>
        <v>-0.558694535943466</v>
      </c>
      <c r="AR19" s="26">
        <f t="shared" si="12"/>
        <v>-0.314797249286697</v>
      </c>
      <c r="AS19" s="26">
        <f t="shared" si="12"/>
        <v>-0.314797249286697</v>
      </c>
      <c r="AT19" s="26">
        <f t="shared" si="12"/>
        <v>-0.314797249286697</v>
      </c>
      <c r="AU19" s="26">
        <f t="shared" si="12"/>
        <v>-0.470793688884655</v>
      </c>
      <c r="AV19" s="26">
        <f t="shared" si="12"/>
        <v>-0.314797249286697</v>
      </c>
      <c r="AW19" s="26">
        <f t="shared" si="12"/>
        <v>-0.314797249286697</v>
      </c>
      <c r="AX19" s="26">
        <f t="shared" si="12"/>
        <v>-0.314797249286697</v>
      </c>
      <c r="AY19" s="26">
        <f t="shared" si="12"/>
        <v>-0.314797249286697</v>
      </c>
      <c r="AZ19" s="26">
        <f t="shared" si="12"/>
        <v>-0.328053652968037</v>
      </c>
      <c r="BA19" s="26">
        <f t="shared" si="12"/>
        <v>-0.95</v>
      </c>
      <c r="BB19" s="26">
        <f t="shared" si="12"/>
        <v>-0.95</v>
      </c>
      <c r="BC19" s="26">
        <f t="shared" si="12"/>
        <v>-0.314797249286697</v>
      </c>
      <c r="BD19" s="26">
        <f t="shared" si="12"/>
        <v>-0.95</v>
      </c>
      <c r="BE19" s="26">
        <f t="shared" si="12"/>
        <v>-0.314797249286697</v>
      </c>
      <c r="BF19" s="26">
        <f t="shared" si="12"/>
        <v>-0.314797249286697</v>
      </c>
      <c r="BG19" s="26">
        <f t="shared" si="12"/>
        <v>-0.314797249286697</v>
      </c>
      <c r="BH19" s="26">
        <f t="shared" si="12"/>
        <v>-0.314797249286697</v>
      </c>
      <c r="BI19" s="26">
        <f t="shared" si="12"/>
        <v>-0.314797249286697</v>
      </c>
      <c r="BJ19" s="26">
        <f t="shared" si="12"/>
        <v>-0.453355500444801</v>
      </c>
      <c r="BK19" s="26">
        <f t="shared" si="12"/>
        <v>-0.314797249286697</v>
      </c>
      <c r="BL19" s="26">
        <f t="shared" si="12"/>
        <v>-0.314797249286697</v>
      </c>
      <c r="BM19" s="26">
        <f t="shared" si="12"/>
        <v>-0.314797249286697</v>
      </c>
      <c r="BN19" s="26">
        <f t="shared" si="12"/>
        <v>-0.314797249286697</v>
      </c>
      <c r="BO19" s="26">
        <f t="shared" si="12"/>
        <v>-0.314797249286697</v>
      </c>
      <c r="BP19" s="26">
        <f t="shared" si="12"/>
        <v>-0.314797249286697</v>
      </c>
      <c r="BQ19" s="26">
        <f t="shared" si="12"/>
        <v>-0.314797249286697</v>
      </c>
      <c r="BR19" s="26">
        <f t="shared" si="12"/>
        <v>-0.314797249286697</v>
      </c>
      <c r="BS19" s="26">
        <f t="shared" ref="BS19:DJ19" si="13">-MAX(BS7,$DK7)-BS12</f>
        <v>-0.356673876472002</v>
      </c>
      <c r="BT19" s="26">
        <f t="shared" si="13"/>
        <v>-0.314797249286697</v>
      </c>
      <c r="BU19" s="26">
        <f t="shared" si="13"/>
        <v>-0.314797249286697</v>
      </c>
      <c r="BV19" s="26">
        <f t="shared" si="13"/>
        <v>-0.314797249286697</v>
      </c>
      <c r="BW19" s="26">
        <f t="shared" si="13"/>
        <v>-0.360688934803305</v>
      </c>
      <c r="BX19" s="26">
        <f t="shared" si="13"/>
        <v>-0.457449076244326</v>
      </c>
      <c r="BY19" s="26">
        <f t="shared" si="13"/>
        <v>-0.314797249286697</v>
      </c>
      <c r="BZ19" s="26">
        <f t="shared" si="13"/>
        <v>-0.454758235084039</v>
      </c>
      <c r="CA19" s="26">
        <f t="shared" si="13"/>
        <v>-0.68327219881812</v>
      </c>
      <c r="CB19" s="26">
        <f t="shared" si="13"/>
        <v>-0.314797249286697</v>
      </c>
      <c r="CC19" s="26">
        <f t="shared" si="13"/>
        <v>-0.314797249286697</v>
      </c>
      <c r="CD19" s="26">
        <f t="shared" si="13"/>
        <v>-0.314797249286697</v>
      </c>
      <c r="CE19" s="26">
        <f t="shared" si="13"/>
        <v>-0.314797249286697</v>
      </c>
      <c r="CF19" s="26">
        <f t="shared" si="13"/>
        <v>-0.354480656329971</v>
      </c>
      <c r="CG19" s="26">
        <f t="shared" si="13"/>
        <v>-0.314797249286697</v>
      </c>
      <c r="CH19" s="26">
        <f t="shared" si="13"/>
        <v>-0.314797249286697</v>
      </c>
      <c r="CI19" s="26">
        <f t="shared" si="13"/>
        <v>-0.314797249286697</v>
      </c>
      <c r="CJ19" s="26">
        <f t="shared" si="13"/>
        <v>-0.800448344966878</v>
      </c>
      <c r="CK19" s="26">
        <f t="shared" si="13"/>
        <v>-0.314797249286697</v>
      </c>
      <c r="CL19" s="26">
        <f t="shared" si="13"/>
        <v>-0.314797249286697</v>
      </c>
      <c r="CM19" s="26">
        <f t="shared" si="13"/>
        <v>-0.314797249286697</v>
      </c>
      <c r="CN19" s="26">
        <f t="shared" si="13"/>
        <v>-0.314797249286697</v>
      </c>
      <c r="CO19" s="26">
        <f t="shared" si="13"/>
        <v>-0.314797249286697</v>
      </c>
      <c r="CP19" s="26">
        <f t="shared" si="13"/>
        <v>-0.314797249286697</v>
      </c>
      <c r="CQ19" s="26">
        <f t="shared" si="13"/>
        <v>-0.631818511270566</v>
      </c>
      <c r="CR19" s="26">
        <f t="shared" si="13"/>
        <v>-0.492011228491087</v>
      </c>
      <c r="CS19" s="26">
        <f t="shared" si="13"/>
        <v>-0.314797249286697</v>
      </c>
      <c r="CT19" s="26">
        <f t="shared" si="13"/>
        <v>-0.314797249286697</v>
      </c>
      <c r="CU19" s="26">
        <f t="shared" si="13"/>
        <v>-0.447638955054104</v>
      </c>
      <c r="CV19" s="26">
        <f t="shared" si="13"/>
        <v>-0.314797249286697</v>
      </c>
      <c r="CW19" s="26">
        <f t="shared" si="13"/>
        <v>-0.314797249286697</v>
      </c>
      <c r="CX19" s="26">
        <f t="shared" si="13"/>
        <v>-0.95</v>
      </c>
      <c r="CY19" s="26">
        <f t="shared" si="13"/>
        <v>-0.314797249286697</v>
      </c>
      <c r="CZ19" s="26">
        <f t="shared" si="13"/>
        <v>-0.314797249286697</v>
      </c>
      <c r="DA19" s="26">
        <f t="shared" si="13"/>
        <v>-0.314797249286697</v>
      </c>
      <c r="DB19" s="26">
        <f t="shared" si="13"/>
        <v>-0.314797249286697</v>
      </c>
      <c r="DC19" s="26">
        <f t="shared" si="13"/>
        <v>-0.314797249286697</v>
      </c>
      <c r="DD19" s="26">
        <f t="shared" si="13"/>
        <v>-0.314797249286697</v>
      </c>
      <c r="DE19" s="26">
        <f t="shared" si="13"/>
        <v>-0.314797249286697</v>
      </c>
      <c r="DF19" s="26">
        <f t="shared" si="13"/>
        <v>-0.314797249286697</v>
      </c>
      <c r="DG19" s="26">
        <f t="shared" si="13"/>
        <v>-0.314797249286697</v>
      </c>
      <c r="DH19" s="26">
        <f t="shared" si="13"/>
        <v>-0.314797249286697</v>
      </c>
      <c r="DI19" s="26">
        <f t="shared" si="13"/>
        <v>-0.424503774112385</v>
      </c>
      <c r="DJ19" s="26">
        <f t="shared" si="13"/>
        <v>-0.886101864891392</v>
      </c>
      <c r="DK19" s="8">
        <f t="shared" si="9"/>
        <v>0.0317097919837646</v>
      </c>
      <c r="DL19">
        <v>0</v>
      </c>
      <c r="DM19">
        <v>5</v>
      </c>
    </row>
    <row r="20" spans="1:120">
      <c r="A20">
        <v>2019</v>
      </c>
      <c r="B20" t="str">
        <f t="shared" si="6"/>
        <v>UCE_utilization_CRD_UP</v>
      </c>
      <c r="C20" t="s">
        <v>404</v>
      </c>
      <c r="D20" t="str">
        <f t="shared" si="3"/>
        <v>???OIL_CRD</v>
      </c>
      <c r="E20" s="53" t="s">
        <v>468</v>
      </c>
      <c r="F20" s="28" t="str">
        <f>IF(F8=0,"",-MAX(F8,$DK8,-F$19))</f>
        <v/>
      </c>
      <c r="G20" s="28" t="str">
        <f t="shared" ref="G20:BR20" si="14">IF(G8=0,"",-MAX(G8,$DK8,-G$19))</f>
        <v/>
      </c>
      <c r="H20" s="28" t="str">
        <f t="shared" si="14"/>
        <v/>
      </c>
      <c r="I20" s="28" t="str">
        <f t="shared" si="14"/>
        <v/>
      </c>
      <c r="J20" s="28" t="str">
        <f t="shared" si="14"/>
        <v/>
      </c>
      <c r="K20" s="28" t="str">
        <f t="shared" si="14"/>
        <v/>
      </c>
      <c r="L20" s="28" t="str">
        <f t="shared" si="14"/>
        <v/>
      </c>
      <c r="M20" s="28" t="str">
        <f t="shared" si="14"/>
        <v/>
      </c>
      <c r="N20" s="28" t="str">
        <f t="shared" si="14"/>
        <v/>
      </c>
      <c r="O20" s="28" t="str">
        <f t="shared" si="14"/>
        <v/>
      </c>
      <c r="P20" s="28" t="str">
        <f t="shared" si="14"/>
        <v/>
      </c>
      <c r="Q20" s="28" t="str">
        <f t="shared" si="14"/>
        <v/>
      </c>
      <c r="R20" s="28" t="str">
        <f t="shared" si="14"/>
        <v/>
      </c>
      <c r="S20" s="28" t="str">
        <f t="shared" si="14"/>
        <v/>
      </c>
      <c r="T20" s="28" t="str">
        <f t="shared" si="14"/>
        <v/>
      </c>
      <c r="U20" s="28" t="str">
        <f t="shared" si="14"/>
        <v/>
      </c>
      <c r="V20" s="28" t="str">
        <f t="shared" si="14"/>
        <v/>
      </c>
      <c r="W20" s="28" t="str">
        <f t="shared" si="14"/>
        <v/>
      </c>
      <c r="X20" s="28" t="str">
        <f t="shared" si="14"/>
        <v/>
      </c>
      <c r="Y20" s="28" t="str">
        <f t="shared" si="14"/>
        <v/>
      </c>
      <c r="Z20" s="28" t="str">
        <f t="shared" si="14"/>
        <v/>
      </c>
      <c r="AA20" s="28" t="str">
        <f t="shared" si="14"/>
        <v/>
      </c>
      <c r="AB20" s="28" t="str">
        <f t="shared" si="14"/>
        <v/>
      </c>
      <c r="AC20" s="28" t="str">
        <f t="shared" si="14"/>
        <v/>
      </c>
      <c r="AD20" s="28" t="str">
        <f t="shared" si="14"/>
        <v/>
      </c>
      <c r="AE20" s="28" t="str">
        <f t="shared" si="14"/>
        <v/>
      </c>
      <c r="AF20" s="28" t="str">
        <f t="shared" si="14"/>
        <v/>
      </c>
      <c r="AG20" s="28" t="str">
        <f t="shared" si="14"/>
        <v/>
      </c>
      <c r="AH20" s="28" t="str">
        <f t="shared" si="14"/>
        <v/>
      </c>
      <c r="AI20" s="28" t="str">
        <f t="shared" si="14"/>
        <v/>
      </c>
      <c r="AJ20" s="28" t="str">
        <f t="shared" si="14"/>
        <v/>
      </c>
      <c r="AK20" s="28">
        <f t="shared" si="14"/>
        <v>-0.95</v>
      </c>
      <c r="AL20" s="28" t="str">
        <f t="shared" si="14"/>
        <v/>
      </c>
      <c r="AM20" s="28" t="str">
        <f t="shared" si="14"/>
        <v/>
      </c>
      <c r="AN20" s="28" t="str">
        <f t="shared" si="14"/>
        <v/>
      </c>
      <c r="AO20" s="28" t="str">
        <f t="shared" si="14"/>
        <v/>
      </c>
      <c r="AP20" s="28" t="str">
        <f t="shared" si="14"/>
        <v/>
      </c>
      <c r="AQ20" s="28" t="str">
        <f t="shared" si="14"/>
        <v/>
      </c>
      <c r="AR20" s="28">
        <f t="shared" si="14"/>
        <v>-0.784728775438394</v>
      </c>
      <c r="AS20" s="28" t="str">
        <f t="shared" si="14"/>
        <v/>
      </c>
      <c r="AT20" s="28" t="str">
        <f t="shared" si="14"/>
        <v/>
      </c>
      <c r="AU20" s="28" t="str">
        <f t="shared" si="14"/>
        <v/>
      </c>
      <c r="AV20" s="28" t="str">
        <f t="shared" si="14"/>
        <v/>
      </c>
      <c r="AW20" s="28">
        <f t="shared" si="14"/>
        <v>-0.314797249286697</v>
      </c>
      <c r="AX20" s="28" t="str">
        <f t="shared" si="14"/>
        <v/>
      </c>
      <c r="AY20" s="28" t="str">
        <f t="shared" si="14"/>
        <v/>
      </c>
      <c r="AZ20" s="28" t="str">
        <f t="shared" si="14"/>
        <v/>
      </c>
      <c r="BA20" s="28" t="str">
        <f t="shared" si="14"/>
        <v/>
      </c>
      <c r="BB20" s="28" t="str">
        <f t="shared" si="14"/>
        <v/>
      </c>
      <c r="BC20" s="28" t="str">
        <f t="shared" si="14"/>
        <v/>
      </c>
      <c r="BD20" s="28" t="str">
        <f t="shared" si="14"/>
        <v/>
      </c>
      <c r="BE20" s="28" t="str">
        <f t="shared" si="14"/>
        <v/>
      </c>
      <c r="BF20" s="28" t="str">
        <f t="shared" si="14"/>
        <v/>
      </c>
      <c r="BG20" s="28" t="str">
        <f t="shared" si="14"/>
        <v/>
      </c>
      <c r="BH20" s="28" t="str">
        <f t="shared" si="14"/>
        <v/>
      </c>
      <c r="BI20" s="28" t="str">
        <f t="shared" si="14"/>
        <v/>
      </c>
      <c r="BJ20" s="28" t="str">
        <f t="shared" si="14"/>
        <v/>
      </c>
      <c r="BK20" s="28" t="str">
        <f t="shared" si="14"/>
        <v/>
      </c>
      <c r="BL20" s="28" t="str">
        <f t="shared" si="14"/>
        <v/>
      </c>
      <c r="BM20" s="28" t="str">
        <f t="shared" si="14"/>
        <v/>
      </c>
      <c r="BN20" s="28" t="str">
        <f t="shared" si="14"/>
        <v/>
      </c>
      <c r="BO20" s="28" t="str">
        <f t="shared" si="14"/>
        <v/>
      </c>
      <c r="BP20" s="28" t="str">
        <f t="shared" si="14"/>
        <v/>
      </c>
      <c r="BQ20" s="28" t="str">
        <f t="shared" si="14"/>
        <v/>
      </c>
      <c r="BR20" s="28" t="str">
        <f t="shared" si="14"/>
        <v/>
      </c>
      <c r="BS20" s="28" t="str">
        <f t="shared" ref="BS20:DJ20" si="15">IF(BS8=0,"",-MAX(BS8,$DK8,-BS$19))</f>
        <v/>
      </c>
      <c r="BT20" s="28" t="str">
        <f t="shared" si="15"/>
        <v/>
      </c>
      <c r="BU20" s="28" t="str">
        <f t="shared" si="15"/>
        <v/>
      </c>
      <c r="BV20" s="28" t="str">
        <f t="shared" si="15"/>
        <v/>
      </c>
      <c r="BW20" s="28" t="str">
        <f t="shared" si="15"/>
        <v/>
      </c>
      <c r="BX20" s="28" t="str">
        <f t="shared" si="15"/>
        <v/>
      </c>
      <c r="BY20" s="28" t="str">
        <f t="shared" si="15"/>
        <v/>
      </c>
      <c r="BZ20" s="28">
        <f t="shared" si="15"/>
        <v>-0.85</v>
      </c>
      <c r="CA20" s="28" t="str">
        <f t="shared" si="15"/>
        <v/>
      </c>
      <c r="CB20" s="28" t="str">
        <f t="shared" si="15"/>
        <v/>
      </c>
      <c r="CC20" s="28" t="str">
        <f t="shared" si="15"/>
        <v/>
      </c>
      <c r="CD20" s="28" t="str">
        <f t="shared" si="15"/>
        <v/>
      </c>
      <c r="CE20" s="28" t="str">
        <f t="shared" si="15"/>
        <v/>
      </c>
      <c r="CF20" s="28" t="str">
        <f t="shared" si="15"/>
        <v/>
      </c>
      <c r="CG20" s="28" t="str">
        <f t="shared" si="15"/>
        <v/>
      </c>
      <c r="CH20" s="28" t="str">
        <f t="shared" si="15"/>
        <v/>
      </c>
      <c r="CI20" s="28" t="str">
        <f t="shared" si="15"/>
        <v/>
      </c>
      <c r="CJ20" s="28">
        <f t="shared" si="15"/>
        <v>-0.800448344966878</v>
      </c>
      <c r="CK20" s="28" t="str">
        <f t="shared" si="15"/>
        <v/>
      </c>
      <c r="CL20" s="28" t="str">
        <f t="shared" si="15"/>
        <v/>
      </c>
      <c r="CM20" s="28" t="str">
        <f t="shared" si="15"/>
        <v/>
      </c>
      <c r="CN20" s="28" t="str">
        <f t="shared" si="15"/>
        <v/>
      </c>
      <c r="CO20" s="28" t="str">
        <f t="shared" si="15"/>
        <v/>
      </c>
      <c r="CP20" s="28" t="str">
        <f t="shared" si="15"/>
        <v/>
      </c>
      <c r="CQ20" s="28" t="str">
        <f t="shared" si="15"/>
        <v/>
      </c>
      <c r="CR20" s="28">
        <f t="shared" si="15"/>
        <v>-0.492011228491087</v>
      </c>
      <c r="CS20" s="28" t="str">
        <f t="shared" si="15"/>
        <v/>
      </c>
      <c r="CT20" s="28" t="str">
        <f t="shared" si="15"/>
        <v/>
      </c>
      <c r="CU20" s="28" t="str">
        <f t="shared" si="15"/>
        <v/>
      </c>
      <c r="CV20" s="28" t="str">
        <f t="shared" si="15"/>
        <v/>
      </c>
      <c r="CW20" s="28" t="str">
        <f t="shared" si="15"/>
        <v/>
      </c>
      <c r="CX20" s="28" t="str">
        <f t="shared" si="15"/>
        <v/>
      </c>
      <c r="CY20" s="28" t="str">
        <f t="shared" si="15"/>
        <v/>
      </c>
      <c r="CZ20" s="28" t="str">
        <f t="shared" si="15"/>
        <v/>
      </c>
      <c r="DA20" s="28" t="str">
        <f t="shared" si="15"/>
        <v/>
      </c>
      <c r="DB20" s="28" t="str">
        <f t="shared" si="15"/>
        <v/>
      </c>
      <c r="DC20" s="28" t="str">
        <f t="shared" si="15"/>
        <v/>
      </c>
      <c r="DD20" s="28" t="str">
        <f t="shared" si="15"/>
        <v/>
      </c>
      <c r="DE20" s="28" t="str">
        <f t="shared" si="15"/>
        <v/>
      </c>
      <c r="DF20" s="28" t="str">
        <f t="shared" si="15"/>
        <v/>
      </c>
      <c r="DG20" s="28" t="str">
        <f t="shared" si="15"/>
        <v/>
      </c>
      <c r="DH20" s="28" t="str">
        <f t="shared" si="15"/>
        <v/>
      </c>
      <c r="DI20" s="28" t="str">
        <f t="shared" si="15"/>
        <v/>
      </c>
      <c r="DJ20" s="28" t="str">
        <f t="shared" si="15"/>
        <v/>
      </c>
      <c r="DK20" s="8">
        <f t="shared" si="9"/>
        <v>0.0317097919837646</v>
      </c>
      <c r="DL20">
        <v>0</v>
      </c>
      <c r="DM20">
        <v>5</v>
      </c>
    </row>
    <row r="21" spans="1:120">
      <c r="A21">
        <v>2019</v>
      </c>
      <c r="B21" t="str">
        <f t="shared" si="6"/>
        <v>UCE_utilization_DST_UP</v>
      </c>
      <c r="C21" t="s">
        <v>404</v>
      </c>
      <c r="D21" t="str">
        <f t="shared" si="3"/>
        <v>???OIL_DST</v>
      </c>
      <c r="E21" s="53" t="s">
        <v>468</v>
      </c>
      <c r="F21" s="28" t="str">
        <f>IF(F9=0,"",-MAX(F9,$DK9,-F$19))</f>
        <v/>
      </c>
      <c r="G21" s="28">
        <f t="shared" ref="G21:BR21" si="16">IF(G9=0,"",-MAX(G9,$DK9,-G$19))</f>
        <v>-0.314797249286697</v>
      </c>
      <c r="H21" s="28" t="str">
        <f t="shared" si="16"/>
        <v/>
      </c>
      <c r="I21" s="28">
        <f t="shared" si="16"/>
        <v>-0.36963858016714</v>
      </c>
      <c r="J21" s="28" t="str">
        <f t="shared" si="16"/>
        <v/>
      </c>
      <c r="K21" s="28">
        <f t="shared" si="16"/>
        <v>-0.314797249286697</v>
      </c>
      <c r="L21" s="28">
        <f t="shared" si="16"/>
        <v>-0.314797249286697</v>
      </c>
      <c r="M21" s="28">
        <f t="shared" si="16"/>
        <v>-0.314797249286697</v>
      </c>
      <c r="N21" s="28">
        <f t="shared" si="16"/>
        <v>-0.352723158805791</v>
      </c>
      <c r="O21" s="28" t="str">
        <f t="shared" si="16"/>
        <v/>
      </c>
      <c r="P21" s="28">
        <f t="shared" si="16"/>
        <v>-0.85</v>
      </c>
      <c r="Q21" s="28" t="str">
        <f t="shared" si="16"/>
        <v/>
      </c>
      <c r="R21" s="28">
        <f t="shared" si="16"/>
        <v>-0.314797249286697</v>
      </c>
      <c r="S21" s="28" t="str">
        <f t="shared" si="16"/>
        <v/>
      </c>
      <c r="T21" s="28" t="str">
        <f t="shared" si="16"/>
        <v/>
      </c>
      <c r="U21" s="28">
        <f t="shared" si="16"/>
        <v>-0.314797249286697</v>
      </c>
      <c r="V21" s="28">
        <f t="shared" si="16"/>
        <v>-0.328959760273973</v>
      </c>
      <c r="W21" s="28" t="str">
        <f t="shared" si="16"/>
        <v/>
      </c>
      <c r="X21" s="28">
        <f t="shared" si="16"/>
        <v>-0.314797249286697</v>
      </c>
      <c r="Y21" s="28">
        <f t="shared" si="16"/>
        <v>-0.314797249286697</v>
      </c>
      <c r="Z21" s="28">
        <f t="shared" si="16"/>
        <v>-0.397433233645837</v>
      </c>
      <c r="AA21" s="28" t="str">
        <f t="shared" si="16"/>
        <v/>
      </c>
      <c r="AB21" s="28">
        <f t="shared" si="16"/>
        <v>-0.314797249286697</v>
      </c>
      <c r="AC21" s="28" t="str">
        <f t="shared" si="16"/>
        <v/>
      </c>
      <c r="AD21" s="28" t="str">
        <f t="shared" si="16"/>
        <v/>
      </c>
      <c r="AE21" s="28" t="str">
        <f t="shared" si="16"/>
        <v/>
      </c>
      <c r="AF21" s="28" t="str">
        <f t="shared" si="16"/>
        <v/>
      </c>
      <c r="AG21" s="28">
        <f t="shared" si="16"/>
        <v>-0.314797249286697</v>
      </c>
      <c r="AH21" s="28">
        <f t="shared" si="16"/>
        <v>-0.95</v>
      </c>
      <c r="AI21" s="28" t="str">
        <f t="shared" si="16"/>
        <v/>
      </c>
      <c r="AJ21" s="28">
        <f t="shared" si="16"/>
        <v>-0.314797249286697</v>
      </c>
      <c r="AK21" s="28">
        <f t="shared" si="16"/>
        <v>-0.95</v>
      </c>
      <c r="AL21" s="28">
        <f t="shared" si="16"/>
        <v>-0.52229538997963</v>
      </c>
      <c r="AM21" s="28">
        <f t="shared" si="16"/>
        <v>-0.314797249286697</v>
      </c>
      <c r="AN21" s="28">
        <f t="shared" si="16"/>
        <v>-0.314797249286697</v>
      </c>
      <c r="AO21" s="28">
        <f t="shared" si="16"/>
        <v>-0.85</v>
      </c>
      <c r="AP21" s="28">
        <f t="shared" si="16"/>
        <v>-0.314797249286697</v>
      </c>
      <c r="AQ21" s="28">
        <f t="shared" si="16"/>
        <v>-0.558694535943466</v>
      </c>
      <c r="AR21" s="28" t="str">
        <f t="shared" si="16"/>
        <v/>
      </c>
      <c r="AS21" s="28">
        <f t="shared" si="16"/>
        <v>-0.314797249286697</v>
      </c>
      <c r="AT21" s="28">
        <f t="shared" si="16"/>
        <v>-0.314797249286697</v>
      </c>
      <c r="AU21" s="28">
        <f t="shared" si="16"/>
        <v>-0.470793688884655</v>
      </c>
      <c r="AV21" s="28">
        <f t="shared" si="16"/>
        <v>-0.314797249286697</v>
      </c>
      <c r="AW21" s="28">
        <f t="shared" si="16"/>
        <v>-0.314797249286697</v>
      </c>
      <c r="AX21" s="28" t="str">
        <f t="shared" si="16"/>
        <v/>
      </c>
      <c r="AY21" s="28">
        <f t="shared" si="16"/>
        <v>-0.314797249286697</v>
      </c>
      <c r="AZ21" s="28">
        <f t="shared" si="16"/>
        <v>-0.537214611872146</v>
      </c>
      <c r="BA21" s="28" t="str">
        <f t="shared" si="16"/>
        <v/>
      </c>
      <c r="BB21" s="28" t="str">
        <f t="shared" si="16"/>
        <v/>
      </c>
      <c r="BC21" s="28" t="str">
        <f t="shared" si="16"/>
        <v/>
      </c>
      <c r="BD21" s="28" t="str">
        <f t="shared" si="16"/>
        <v/>
      </c>
      <c r="BE21" s="28" t="str">
        <f t="shared" si="16"/>
        <v/>
      </c>
      <c r="BF21" s="28" t="str">
        <f t="shared" si="16"/>
        <v/>
      </c>
      <c r="BG21" s="28" t="str">
        <f t="shared" si="16"/>
        <v/>
      </c>
      <c r="BH21" s="28">
        <f t="shared" si="16"/>
        <v>-0.314797249286697</v>
      </c>
      <c r="BI21" s="28">
        <f t="shared" si="16"/>
        <v>-0.314797249286697</v>
      </c>
      <c r="BJ21" s="28">
        <f t="shared" si="16"/>
        <v>-0.453355500444801</v>
      </c>
      <c r="BK21" s="28" t="str">
        <f t="shared" si="16"/>
        <v/>
      </c>
      <c r="BL21" s="28" t="str">
        <f t="shared" si="16"/>
        <v/>
      </c>
      <c r="BM21" s="28">
        <f t="shared" si="16"/>
        <v>-0.314797249286697</v>
      </c>
      <c r="BN21" s="28" t="str">
        <f t="shared" si="16"/>
        <v/>
      </c>
      <c r="BO21" s="28">
        <f t="shared" si="16"/>
        <v>-0.314797249286697</v>
      </c>
      <c r="BP21" s="28" t="str">
        <f t="shared" si="16"/>
        <v/>
      </c>
      <c r="BQ21" s="28" t="str">
        <f t="shared" si="16"/>
        <v/>
      </c>
      <c r="BR21" s="28">
        <f t="shared" si="16"/>
        <v>-0.314797249286697</v>
      </c>
      <c r="BS21" s="28" t="str">
        <f t="shared" ref="BS21:DJ21" si="17">IF(BS9=0,"",-MAX(BS9,$DK9,-BS$19))</f>
        <v/>
      </c>
      <c r="BT21" s="28" t="str">
        <f t="shared" si="17"/>
        <v/>
      </c>
      <c r="BU21" s="28">
        <f t="shared" si="17"/>
        <v>-0.314797249286697</v>
      </c>
      <c r="BV21" s="28">
        <f t="shared" si="17"/>
        <v>-0.319920091324201</v>
      </c>
      <c r="BW21" s="28">
        <f t="shared" si="17"/>
        <v>-0.360688934803305</v>
      </c>
      <c r="BX21" s="28">
        <f t="shared" si="17"/>
        <v>-0.457449076244326</v>
      </c>
      <c r="BY21" s="28" t="str">
        <f t="shared" si="17"/>
        <v/>
      </c>
      <c r="BZ21" s="28">
        <f t="shared" si="17"/>
        <v>-0.454758235084039</v>
      </c>
      <c r="CA21" s="28">
        <f t="shared" si="17"/>
        <v>-0.68327219881812</v>
      </c>
      <c r="CB21" s="28" t="str">
        <f t="shared" si="17"/>
        <v/>
      </c>
      <c r="CC21" s="28" t="str">
        <f t="shared" si="17"/>
        <v/>
      </c>
      <c r="CD21" s="28" t="str">
        <f t="shared" si="17"/>
        <v/>
      </c>
      <c r="CE21" s="28">
        <f t="shared" si="17"/>
        <v>-0.85</v>
      </c>
      <c r="CF21" s="28">
        <f t="shared" si="17"/>
        <v>-0.354480656329971</v>
      </c>
      <c r="CG21" s="28" t="str">
        <f t="shared" si="17"/>
        <v/>
      </c>
      <c r="CH21" s="28" t="str">
        <f t="shared" si="17"/>
        <v/>
      </c>
      <c r="CI21" s="28" t="str">
        <f t="shared" si="17"/>
        <v/>
      </c>
      <c r="CJ21" s="28" t="str">
        <f t="shared" si="17"/>
        <v/>
      </c>
      <c r="CK21" s="28" t="str">
        <f t="shared" si="17"/>
        <v/>
      </c>
      <c r="CL21" s="28" t="str">
        <f t="shared" si="17"/>
        <v/>
      </c>
      <c r="CM21" s="28" t="str">
        <f t="shared" si="17"/>
        <v/>
      </c>
      <c r="CN21" s="28" t="str">
        <f t="shared" si="17"/>
        <v/>
      </c>
      <c r="CO21" s="28">
        <f t="shared" si="17"/>
        <v>-0.314797249286697</v>
      </c>
      <c r="CP21" s="28">
        <f t="shared" si="17"/>
        <v>-0.547622620696732</v>
      </c>
      <c r="CQ21" s="28">
        <f t="shared" si="17"/>
        <v>-0.631818511270566</v>
      </c>
      <c r="CR21" s="28" t="str">
        <f t="shared" si="17"/>
        <v/>
      </c>
      <c r="CS21" s="28">
        <f t="shared" si="17"/>
        <v>-0.314797249286697</v>
      </c>
      <c r="CT21" s="28">
        <f t="shared" si="17"/>
        <v>-0.314797249286697</v>
      </c>
      <c r="CU21" s="28">
        <f t="shared" si="17"/>
        <v>-0.447638955054104</v>
      </c>
      <c r="CV21" s="28" t="str">
        <f t="shared" si="17"/>
        <v/>
      </c>
      <c r="CW21" s="28">
        <f t="shared" si="17"/>
        <v>-0.314797249286697</v>
      </c>
      <c r="CX21" s="28">
        <f t="shared" si="17"/>
        <v>-0.95</v>
      </c>
      <c r="CY21" s="28">
        <f t="shared" si="17"/>
        <v>-0.314797249286697</v>
      </c>
      <c r="CZ21" s="28">
        <f t="shared" si="17"/>
        <v>-0.314797249286697</v>
      </c>
      <c r="DA21" s="28" t="str">
        <f t="shared" si="17"/>
        <v/>
      </c>
      <c r="DB21" s="28">
        <f t="shared" si="17"/>
        <v>-0.314797249286697</v>
      </c>
      <c r="DC21" s="28">
        <f t="shared" si="17"/>
        <v>-0.314797249286697</v>
      </c>
      <c r="DD21" s="28" t="str">
        <f t="shared" si="17"/>
        <v/>
      </c>
      <c r="DE21" s="28">
        <f t="shared" si="17"/>
        <v>-0.314797249286697</v>
      </c>
      <c r="DF21" s="28" t="str">
        <f t="shared" si="17"/>
        <v/>
      </c>
      <c r="DG21" s="28">
        <f t="shared" si="17"/>
        <v>-0.328297389673307</v>
      </c>
      <c r="DH21" s="28">
        <f t="shared" si="17"/>
        <v>-0.414877666462209</v>
      </c>
      <c r="DI21" s="28" t="str">
        <f t="shared" si="17"/>
        <v/>
      </c>
      <c r="DJ21" s="28">
        <f t="shared" si="17"/>
        <v>-0.886101864891392</v>
      </c>
      <c r="DK21" s="8">
        <f t="shared" si="9"/>
        <v>0.0317097919837646</v>
      </c>
      <c r="DL21">
        <v>0</v>
      </c>
      <c r="DM21">
        <v>5</v>
      </c>
    </row>
    <row r="22" spans="1:120">
      <c r="A22">
        <v>2019</v>
      </c>
      <c r="B22" t="str">
        <f t="shared" si="6"/>
        <v>UCE_utilization_BSL_UP</v>
      </c>
      <c r="C22" t="s">
        <v>404</v>
      </c>
      <c r="D22" t="str">
        <f t="shared" si="3"/>
        <v>???BSL</v>
      </c>
      <c r="E22" s="53" t="s">
        <v>468</v>
      </c>
      <c r="F22" s="26" t="str">
        <f>IF(F10=0,"",-MAX(F10,$DK10))</f>
        <v/>
      </c>
      <c r="G22" s="26" t="str">
        <f t="shared" ref="G22:BR22" si="18">IF(G10=0,"",-MAX(G10,$DK10))</f>
        <v/>
      </c>
      <c r="H22" s="26" t="str">
        <f t="shared" si="18"/>
        <v/>
      </c>
      <c r="I22" s="26" t="str">
        <f t="shared" si="18"/>
        <v/>
      </c>
      <c r="J22" s="26" t="str">
        <f t="shared" si="18"/>
        <v/>
      </c>
      <c r="K22" s="26">
        <f t="shared" si="18"/>
        <v>-0.369018990837122</v>
      </c>
      <c r="L22" s="26">
        <f t="shared" si="18"/>
        <v>-0.634455134642938</v>
      </c>
      <c r="M22" s="26" t="str">
        <f t="shared" si="18"/>
        <v/>
      </c>
      <c r="N22" s="26" t="str">
        <f t="shared" si="18"/>
        <v/>
      </c>
      <c r="O22" s="26">
        <f t="shared" si="18"/>
        <v>-0.829528158295281</v>
      </c>
      <c r="P22" s="26">
        <f t="shared" si="18"/>
        <v>-0.602381706987827</v>
      </c>
      <c r="Q22" s="26">
        <f t="shared" si="18"/>
        <v>-0.369018990837122</v>
      </c>
      <c r="R22" s="26">
        <f>IF(R10=0,"",-MAX(R10,$DK10))-0.4</f>
        <v>-0.769018990837122</v>
      </c>
      <c r="S22" s="26">
        <f t="shared" si="18"/>
        <v>-0.85</v>
      </c>
      <c r="T22" s="26" t="str">
        <f t="shared" si="18"/>
        <v/>
      </c>
      <c r="U22" s="26">
        <f>IF(U10=0,"",-MAX(U10,$DK10))-0.3</f>
        <v>-0.669018990837122</v>
      </c>
      <c r="V22" s="26">
        <f>IF(V10=0,"",-MAX(V10,$DK10))-0.3</f>
        <v>-0.669018990837122</v>
      </c>
      <c r="W22" s="26" t="str">
        <f t="shared" si="18"/>
        <v/>
      </c>
      <c r="X22" s="26" t="str">
        <f t="shared" si="18"/>
        <v/>
      </c>
      <c r="Y22" s="26">
        <f t="shared" si="18"/>
        <v>-0.85</v>
      </c>
      <c r="Z22" s="26" t="str">
        <f t="shared" si="18"/>
        <v/>
      </c>
      <c r="AA22" s="26">
        <f t="shared" si="18"/>
        <v>-0.85</v>
      </c>
      <c r="AB22" s="26">
        <f t="shared" si="18"/>
        <v>-0.369018990837122</v>
      </c>
      <c r="AC22" s="26" t="str">
        <f t="shared" si="18"/>
        <v/>
      </c>
      <c r="AD22" s="26" t="str">
        <f t="shared" si="18"/>
        <v/>
      </c>
      <c r="AE22" s="26">
        <f t="shared" si="18"/>
        <v>-0.85</v>
      </c>
      <c r="AF22" s="26" t="str">
        <f t="shared" si="18"/>
        <v/>
      </c>
      <c r="AG22" s="26">
        <f t="shared" ref="AG22:AH22" si="19">IF(AG10=0,"",-MAX(AG10,$DK10))-0.3</f>
        <v>-0.669018990837122</v>
      </c>
      <c r="AH22" s="26">
        <f t="shared" si="19"/>
        <v>-0.669018990837122</v>
      </c>
      <c r="AI22" s="26" t="str">
        <f t="shared" si="18"/>
        <v/>
      </c>
      <c r="AJ22" s="26">
        <f t="shared" si="18"/>
        <v>-0.750649881706925</v>
      </c>
      <c r="AK22" s="26" t="str">
        <f t="shared" si="18"/>
        <v/>
      </c>
      <c r="AL22" s="26">
        <f t="shared" si="18"/>
        <v>-0.369018990837122</v>
      </c>
      <c r="AM22" s="26">
        <f t="shared" si="18"/>
        <v>-0.85</v>
      </c>
      <c r="AN22" s="26" t="str">
        <f t="shared" si="18"/>
        <v/>
      </c>
      <c r="AO22" s="26" t="str">
        <f t="shared" si="18"/>
        <v/>
      </c>
      <c r="AP22" s="26" t="str">
        <f t="shared" si="18"/>
        <v/>
      </c>
      <c r="AQ22" s="26" t="str">
        <f t="shared" si="18"/>
        <v/>
      </c>
      <c r="AR22" s="26" t="str">
        <f t="shared" si="18"/>
        <v/>
      </c>
      <c r="AS22" s="26">
        <f t="shared" si="18"/>
        <v>-0.85</v>
      </c>
      <c r="AT22" s="26" t="str">
        <f t="shared" si="18"/>
        <v/>
      </c>
      <c r="AU22" s="26">
        <f t="shared" si="18"/>
        <v>-0.560473441196965</v>
      </c>
      <c r="AV22" s="26" t="str">
        <f t="shared" si="18"/>
        <v/>
      </c>
      <c r="AW22" s="26">
        <f>IF(AW10=0,"",-MAX(AW10,$DK10))-0.05</f>
        <v>-0.9</v>
      </c>
      <c r="AX22" s="26" t="str">
        <f t="shared" si="18"/>
        <v/>
      </c>
      <c r="AY22" s="26" t="str">
        <f t="shared" si="18"/>
        <v/>
      </c>
      <c r="AZ22" s="26" t="str">
        <f t="shared" si="18"/>
        <v/>
      </c>
      <c r="BA22" s="26" t="str">
        <f t="shared" si="18"/>
        <v/>
      </c>
      <c r="BB22" s="26" t="str">
        <f t="shared" si="18"/>
        <v/>
      </c>
      <c r="BC22" s="26">
        <f t="shared" si="18"/>
        <v>-0.85</v>
      </c>
      <c r="BD22" s="26" t="str">
        <f t="shared" si="18"/>
        <v/>
      </c>
      <c r="BE22" s="26">
        <f t="shared" si="18"/>
        <v>-0.85</v>
      </c>
      <c r="BF22" s="26">
        <f t="shared" si="18"/>
        <v>-0.85</v>
      </c>
      <c r="BG22" s="26" t="str">
        <f t="shared" si="18"/>
        <v/>
      </c>
      <c r="BH22" s="26">
        <f t="shared" ref="BH22" si="20">IF(BH10=0,"",-MAX(BH10,$DK10))-0.3</f>
        <v>-0.669018990837122</v>
      </c>
      <c r="BI22" s="26" t="str">
        <f t="shared" si="18"/>
        <v/>
      </c>
      <c r="BJ22" s="26" t="str">
        <f t="shared" si="18"/>
        <v/>
      </c>
      <c r="BK22" s="26" t="str">
        <f t="shared" si="18"/>
        <v/>
      </c>
      <c r="BL22" s="26" t="str">
        <f t="shared" si="18"/>
        <v/>
      </c>
      <c r="BM22" s="26" t="str">
        <f t="shared" si="18"/>
        <v/>
      </c>
      <c r="BN22" s="26" t="str">
        <f t="shared" si="18"/>
        <v/>
      </c>
      <c r="BO22" s="26">
        <f t="shared" ref="BO22" si="21">IF(BO10=0,"",-MAX(BO10,$DK10))-0.3</f>
        <v>-0.669018990837122</v>
      </c>
      <c r="BP22" s="26" t="str">
        <f t="shared" si="18"/>
        <v/>
      </c>
      <c r="BQ22" s="26">
        <f t="shared" si="18"/>
        <v>-0.688905852846571</v>
      </c>
      <c r="BR22" s="26" t="str">
        <f t="shared" si="18"/>
        <v/>
      </c>
      <c r="BS22" s="26" t="str">
        <f t="shared" ref="BS22:DJ22" si="22">IF(BS10=0,"",-MAX(BS10,$DK10))</f>
        <v/>
      </c>
      <c r="BT22" s="26" t="str">
        <f t="shared" si="22"/>
        <v/>
      </c>
      <c r="BU22" s="26">
        <f t="shared" si="22"/>
        <v>-0.700895555984308</v>
      </c>
      <c r="BV22" s="26" t="str">
        <f t="shared" si="22"/>
        <v/>
      </c>
      <c r="BW22" s="26" t="str">
        <f t="shared" si="22"/>
        <v/>
      </c>
      <c r="BX22" s="26">
        <f t="shared" si="22"/>
        <v>-0.369018990837122</v>
      </c>
      <c r="BY22" s="26" t="str">
        <f t="shared" si="22"/>
        <v/>
      </c>
      <c r="BZ22" s="26">
        <f t="shared" si="22"/>
        <v>-0.405921588103022</v>
      </c>
      <c r="CA22" s="26" t="str">
        <f t="shared" si="22"/>
        <v/>
      </c>
      <c r="CB22" s="26">
        <f t="shared" ref="CB22:CF22" si="23">IF(CB10=0,"",-MAX(CB10,$DK10))-0.3</f>
        <v>-0.669018990837122</v>
      </c>
      <c r="CC22" s="26">
        <f t="shared" si="23"/>
        <v>-0.669018990837122</v>
      </c>
      <c r="CD22" s="26">
        <f t="shared" si="23"/>
        <v>-0.669018990837122</v>
      </c>
      <c r="CE22" s="26">
        <f>IF(CE10=0,"",-MAX(CE10,$DK10))-0.05</f>
        <v>-0.875042894700429</v>
      </c>
      <c r="CF22" s="26">
        <f t="shared" si="23"/>
        <v>-0.686871336507011</v>
      </c>
      <c r="CG22" s="26" t="str">
        <f t="shared" si="22"/>
        <v/>
      </c>
      <c r="CH22" s="26">
        <f t="shared" si="22"/>
        <v>-0.369018990837122</v>
      </c>
      <c r="CI22" s="26" t="str">
        <f t="shared" si="22"/>
        <v/>
      </c>
      <c r="CJ22" s="26" t="str">
        <f t="shared" si="22"/>
        <v/>
      </c>
      <c r="CK22" s="26">
        <f>IF(CK10=0,"",-MAX(CK10,$DK10))-0.2</f>
        <v>-0.569018990837122</v>
      </c>
      <c r="CL22" s="26">
        <f t="shared" si="22"/>
        <v>-0.85</v>
      </c>
      <c r="CM22" s="26">
        <f t="shared" si="22"/>
        <v>-0.673371481417259</v>
      </c>
      <c r="CN22" s="26">
        <f t="shared" si="22"/>
        <v>-0.849752663622527</v>
      </c>
      <c r="CO22" s="26" t="str">
        <f t="shared" si="22"/>
        <v/>
      </c>
      <c r="CP22" s="26">
        <f t="shared" si="22"/>
        <v>-0.85</v>
      </c>
      <c r="CQ22" s="26">
        <f>IF(CQ10=0,"",-MAX(CQ10,$DK10))-0.3</f>
        <v>-0.695530108447489</v>
      </c>
      <c r="CR22" s="26" t="str">
        <f t="shared" si="22"/>
        <v/>
      </c>
      <c r="CS22" s="29">
        <f>IF(CS10=0,"",-MAX(CS10,$DK10))-0.1</f>
        <v>-0.469018990837122</v>
      </c>
      <c r="CT22" s="26">
        <f t="shared" si="22"/>
        <v>-0.369018990837122</v>
      </c>
      <c r="CU22" s="26">
        <f t="shared" si="22"/>
        <v>-0.369018990837122</v>
      </c>
      <c r="CV22" s="26" t="str">
        <f t="shared" si="22"/>
        <v/>
      </c>
      <c r="CW22" s="26">
        <f t="shared" si="22"/>
        <v>-0.369018990837122</v>
      </c>
      <c r="CX22" s="26" t="str">
        <f t="shared" si="22"/>
        <v/>
      </c>
      <c r="CY22" s="26" t="str">
        <f t="shared" si="22"/>
        <v/>
      </c>
      <c r="CZ22" s="26">
        <f t="shared" si="22"/>
        <v>-0.59238227739726</v>
      </c>
      <c r="DA22" s="26" t="str">
        <f t="shared" si="22"/>
        <v/>
      </c>
      <c r="DB22" s="26" t="str">
        <f t="shared" si="22"/>
        <v/>
      </c>
      <c r="DC22" s="26">
        <f t="shared" si="22"/>
        <v>-0.484777977075474</v>
      </c>
      <c r="DD22" s="26" t="str">
        <f t="shared" si="22"/>
        <v/>
      </c>
      <c r="DE22" s="26">
        <f t="shared" si="22"/>
        <v>-0.626861244094738</v>
      </c>
      <c r="DF22" s="26" t="str">
        <f t="shared" si="22"/>
        <v/>
      </c>
      <c r="DG22" s="26" t="str">
        <f t="shared" si="22"/>
        <v/>
      </c>
      <c r="DH22" s="26">
        <f t="shared" si="22"/>
        <v>-0.369018990837122</v>
      </c>
      <c r="DI22" s="26" t="str">
        <f t="shared" si="22"/>
        <v/>
      </c>
      <c r="DJ22" s="26" t="str">
        <f t="shared" si="22"/>
        <v/>
      </c>
      <c r="DK22" s="8">
        <f t="shared" si="9"/>
        <v>0.0317097919837646</v>
      </c>
      <c r="DL22">
        <v>0</v>
      </c>
      <c r="DM22">
        <v>5</v>
      </c>
    </row>
    <row r="25" spans="1:120">
      <c r="B25" s="22" t="s">
        <v>401</v>
      </c>
      <c r="E25" s="22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</row>
    <row r="26" spans="1:120">
      <c r="A26" s="26" t="s">
        <v>57</v>
      </c>
      <c r="B26" t="s">
        <v>4</v>
      </c>
      <c r="C26" t="s">
        <v>92</v>
      </c>
      <c r="D26" t="s">
        <v>265</v>
      </c>
      <c r="E26" t="s">
        <v>77</v>
      </c>
      <c r="F26" s="26" t="str">
        <f>F15</f>
        <v>Albania</v>
      </c>
      <c r="G26" s="26" t="str">
        <f t="shared" ref="G26:BR26" si="24">G15</f>
        <v>Algeria</v>
      </c>
      <c r="H26" s="26" t="str">
        <f t="shared" si="24"/>
        <v>Angola</v>
      </c>
      <c r="I26" s="26" t="str">
        <f t="shared" si="24"/>
        <v>Argentina</v>
      </c>
      <c r="J26" s="26" t="str">
        <f t="shared" si="24"/>
        <v>Armenia</v>
      </c>
      <c r="K26" s="26" t="str">
        <f t="shared" si="24"/>
        <v>Australia</v>
      </c>
      <c r="L26" s="26" t="str">
        <f t="shared" si="24"/>
        <v>Austria</v>
      </c>
      <c r="M26" s="26" t="str">
        <f t="shared" si="24"/>
        <v>Azerbaijan</v>
      </c>
      <c r="N26" s="26" t="str">
        <f t="shared" si="24"/>
        <v>Bangladesh</v>
      </c>
      <c r="O26" s="26" t="str">
        <f t="shared" si="24"/>
        <v>Belarus</v>
      </c>
      <c r="P26" s="26" t="str">
        <f t="shared" si="24"/>
        <v>Belgium</v>
      </c>
      <c r="Q26" s="26" t="str">
        <f t="shared" si="24"/>
        <v>Bosnia_Herz</v>
      </c>
      <c r="R26" s="26" t="str">
        <f t="shared" si="24"/>
        <v>Brazil</v>
      </c>
      <c r="S26" s="26" t="str">
        <f t="shared" si="24"/>
        <v>Bulgaria</v>
      </c>
      <c r="T26" s="26" t="str">
        <f t="shared" si="24"/>
        <v>Cameroon</v>
      </c>
      <c r="U26" s="26" t="str">
        <f t="shared" si="24"/>
        <v>Canada</v>
      </c>
      <c r="V26" s="26" t="str">
        <f t="shared" si="24"/>
        <v>Chile</v>
      </c>
      <c r="W26" s="26" t="str">
        <f t="shared" si="24"/>
        <v>China</v>
      </c>
      <c r="X26" s="26" t="str">
        <f t="shared" si="24"/>
        <v>Colombia</v>
      </c>
      <c r="Y26" s="26" t="str">
        <f t="shared" si="24"/>
        <v>Croatia</v>
      </c>
      <c r="Z26" s="26" t="str">
        <f t="shared" si="24"/>
        <v>Cyprus</v>
      </c>
      <c r="AA26" s="26" t="str">
        <f t="shared" si="24"/>
        <v>Czech</v>
      </c>
      <c r="AB26" s="26" t="str">
        <f t="shared" si="24"/>
        <v>Denmark</v>
      </c>
      <c r="AC26" s="26" t="str">
        <f t="shared" si="24"/>
        <v>DR_Congo</v>
      </c>
      <c r="AD26" s="26" t="str">
        <f t="shared" si="24"/>
        <v>Egypt</v>
      </c>
      <c r="AE26" s="26" t="str">
        <f t="shared" si="24"/>
        <v>Estonia</v>
      </c>
      <c r="AF26" s="26" t="str">
        <f t="shared" si="24"/>
        <v>Ethiopia</v>
      </c>
      <c r="AG26" s="26" t="str">
        <f t="shared" si="24"/>
        <v>Finland</v>
      </c>
      <c r="AH26" s="26" t="str">
        <f t="shared" si="24"/>
        <v>France</v>
      </c>
      <c r="AI26" s="26" t="str">
        <f t="shared" si="24"/>
        <v>Georgia</v>
      </c>
      <c r="AJ26" s="26" t="str">
        <f t="shared" si="24"/>
        <v>Germany</v>
      </c>
      <c r="AK26" s="26" t="str">
        <f t="shared" si="24"/>
        <v>Ghana</v>
      </c>
      <c r="AL26" s="26" t="str">
        <f t="shared" si="24"/>
        <v>Greece</v>
      </c>
      <c r="AM26" s="26" t="str">
        <f t="shared" si="24"/>
        <v>Hungary</v>
      </c>
      <c r="AN26" s="26" t="str">
        <f t="shared" si="24"/>
        <v>Iceland</v>
      </c>
      <c r="AO26" s="26" t="str">
        <f t="shared" si="24"/>
        <v>India</v>
      </c>
      <c r="AP26" s="26" t="str">
        <f t="shared" si="24"/>
        <v>Indonesia</v>
      </c>
      <c r="AQ26" s="26" t="str">
        <f t="shared" si="24"/>
        <v>Iran</v>
      </c>
      <c r="AR26" s="26" t="str">
        <f t="shared" si="24"/>
        <v>Iraq</v>
      </c>
      <c r="AS26" s="26" t="str">
        <f t="shared" si="24"/>
        <v>Ireland</v>
      </c>
      <c r="AT26" s="26" t="str">
        <f t="shared" si="24"/>
        <v>Israel</v>
      </c>
      <c r="AU26" s="26" t="str">
        <f t="shared" si="24"/>
        <v>Italy</v>
      </c>
      <c r="AV26" s="26" t="str">
        <f t="shared" si="24"/>
        <v>IvoryCoast</v>
      </c>
      <c r="AW26" s="26" t="str">
        <f t="shared" si="24"/>
        <v>Japan</v>
      </c>
      <c r="AX26" s="26" t="str">
        <f t="shared" si="24"/>
        <v>Kazakhstan</v>
      </c>
      <c r="AY26" s="26" t="str">
        <f t="shared" si="24"/>
        <v>Kenya</v>
      </c>
      <c r="AZ26" s="26" t="str">
        <f t="shared" si="24"/>
        <v>Kosovo</v>
      </c>
      <c r="BA26" s="26" t="str">
        <f t="shared" si="24"/>
        <v>Kuwait</v>
      </c>
      <c r="BB26" s="26" t="str">
        <f t="shared" si="24"/>
        <v>Kyrgyzstan</v>
      </c>
      <c r="BC26" s="26" t="str">
        <f t="shared" si="24"/>
        <v>Latvia</v>
      </c>
      <c r="BD26" s="26" t="str">
        <f t="shared" si="24"/>
        <v>Libya</v>
      </c>
      <c r="BE26" s="26" t="str">
        <f t="shared" si="24"/>
        <v>Lithuania</v>
      </c>
      <c r="BF26" s="26" t="str">
        <f t="shared" si="24"/>
        <v>Luxembourg</v>
      </c>
      <c r="BG26" s="26" t="str">
        <f t="shared" si="24"/>
        <v>Macedonia</v>
      </c>
      <c r="BH26" s="26" t="str">
        <f t="shared" si="24"/>
        <v>Malaysia</v>
      </c>
      <c r="BI26" s="26" t="str">
        <f t="shared" si="24"/>
        <v>Malta</v>
      </c>
      <c r="BJ26" s="26" t="str">
        <f t="shared" si="24"/>
        <v>Mexico</v>
      </c>
      <c r="BK26" s="26" t="str">
        <f t="shared" si="24"/>
        <v>Moldova</v>
      </c>
      <c r="BL26" s="26" t="str">
        <f t="shared" si="24"/>
        <v>Montenegro</v>
      </c>
      <c r="BM26" s="26" t="str">
        <f t="shared" si="24"/>
        <v>Morocco</v>
      </c>
      <c r="BN26" s="26" t="str">
        <f t="shared" si="24"/>
        <v>Mozambique</v>
      </c>
      <c r="BO26" s="26" t="str">
        <f t="shared" si="24"/>
        <v>Myanmar</v>
      </c>
      <c r="BP26" s="26" t="str">
        <f t="shared" si="24"/>
        <v>Nepal</v>
      </c>
      <c r="BQ26" s="26" t="str">
        <f t="shared" si="24"/>
        <v>Netherlands</v>
      </c>
      <c r="BR26" s="26" t="str">
        <f t="shared" si="24"/>
        <v>NewZealand</v>
      </c>
      <c r="BS26" s="26" t="str">
        <f t="shared" ref="BS26:DJ26" si="25">BS15</f>
        <v>Niger</v>
      </c>
      <c r="BT26" s="26" t="str">
        <f t="shared" si="25"/>
        <v>Nigeria</v>
      </c>
      <c r="BU26" s="26" t="str">
        <f t="shared" si="25"/>
        <v>Norway</v>
      </c>
      <c r="BV26" s="26" t="str">
        <f t="shared" si="25"/>
        <v>Oman</v>
      </c>
      <c r="BW26" s="26" t="str">
        <f t="shared" si="25"/>
        <v>Other_Africa</v>
      </c>
      <c r="BX26" s="26" t="str">
        <f t="shared" si="25"/>
        <v>Other_AsiaEm</v>
      </c>
      <c r="BY26" s="26" t="str">
        <f t="shared" si="25"/>
        <v>Other_EurDev</v>
      </c>
      <c r="BZ26" s="26" t="str">
        <f t="shared" si="25"/>
        <v>Other_LatAm</v>
      </c>
      <c r="CA26" s="26" t="str">
        <f t="shared" si="25"/>
        <v>Other_MidEast</v>
      </c>
      <c r="CB26" s="26" t="str">
        <f t="shared" si="25"/>
        <v>Pakistan</v>
      </c>
      <c r="CC26" s="26" t="str">
        <f t="shared" si="25"/>
        <v>Peru</v>
      </c>
      <c r="CD26" s="26" t="str">
        <f t="shared" si="25"/>
        <v>Philippines</v>
      </c>
      <c r="CE26" s="26" t="str">
        <f t="shared" si="25"/>
        <v>Poland</v>
      </c>
      <c r="CF26" s="26" t="str">
        <f t="shared" si="25"/>
        <v>Portugal</v>
      </c>
      <c r="CG26" s="26" t="str">
        <f t="shared" si="25"/>
        <v>Qatar</v>
      </c>
      <c r="CH26" s="26" t="str">
        <f t="shared" si="25"/>
        <v>Romania</v>
      </c>
      <c r="CI26" s="26" t="str">
        <f t="shared" si="25"/>
        <v>Russia</v>
      </c>
      <c r="CJ26" s="26" t="str">
        <f t="shared" si="25"/>
        <v>SaudiArabia</v>
      </c>
      <c r="CK26" s="26" t="str">
        <f t="shared" si="25"/>
        <v>Serbia</v>
      </c>
      <c r="CL26" s="26" t="str">
        <f t="shared" si="25"/>
        <v>Singapore</v>
      </c>
      <c r="CM26" s="26" t="str">
        <f t="shared" si="25"/>
        <v>Slovak</v>
      </c>
      <c r="CN26" s="26" t="str">
        <f t="shared" si="25"/>
        <v>Slovenia</v>
      </c>
      <c r="CO26" s="26" t="str">
        <f t="shared" si="25"/>
        <v>SouthAfrica</v>
      </c>
      <c r="CP26" s="26" t="str">
        <f t="shared" si="25"/>
        <v>SouthKorea</v>
      </c>
      <c r="CQ26" s="26" t="str">
        <f t="shared" si="25"/>
        <v>Spain</v>
      </c>
      <c r="CR26" s="26" t="str">
        <f t="shared" si="25"/>
        <v>Sudan</v>
      </c>
      <c r="CS26" s="26" t="str">
        <f t="shared" si="25"/>
        <v>Sweden</v>
      </c>
      <c r="CT26" s="26" t="str">
        <f t="shared" si="25"/>
        <v>Switzerland</v>
      </c>
      <c r="CU26" s="26" t="str">
        <f t="shared" si="25"/>
        <v>Taiwan</v>
      </c>
      <c r="CV26" s="26" t="str">
        <f t="shared" si="25"/>
        <v>Tajikistan</v>
      </c>
      <c r="CW26" s="26" t="str">
        <f t="shared" si="25"/>
        <v>Tanzania</v>
      </c>
      <c r="CX26" s="26" t="str">
        <f t="shared" si="25"/>
        <v>Thailand</v>
      </c>
      <c r="CY26" s="26" t="str">
        <f t="shared" si="25"/>
        <v>Tunisia</v>
      </c>
      <c r="CZ26" s="26" t="str">
        <f t="shared" si="25"/>
        <v>Turkey</v>
      </c>
      <c r="DA26" s="26" t="str">
        <f t="shared" si="25"/>
        <v>Turkmenistan</v>
      </c>
      <c r="DB26" s="26" t="str">
        <f t="shared" si="25"/>
        <v>UAE</v>
      </c>
      <c r="DC26" s="26" t="str">
        <f t="shared" si="25"/>
        <v>UK</v>
      </c>
      <c r="DD26" s="26" t="str">
        <f t="shared" si="25"/>
        <v>Ukraine</v>
      </c>
      <c r="DE26" s="26" t="str">
        <f t="shared" si="25"/>
        <v>USA</v>
      </c>
      <c r="DF26" s="26" t="str">
        <f t="shared" si="25"/>
        <v>Uzbekistan</v>
      </c>
      <c r="DG26" s="26" t="str">
        <f t="shared" si="25"/>
        <v>Venezuela</v>
      </c>
      <c r="DH26" s="26" t="str">
        <f t="shared" si="25"/>
        <v>Vietnam</v>
      </c>
      <c r="DI26" s="26" t="str">
        <f t="shared" si="25"/>
        <v>Yemen</v>
      </c>
      <c r="DJ26" s="26" t="str">
        <f t="shared" si="25"/>
        <v>Zambia</v>
      </c>
      <c r="DK26" s="26" t="s">
        <v>467</v>
      </c>
      <c r="DL26" s="26" t="s">
        <v>402</v>
      </c>
      <c r="DM26" s="26" t="s">
        <v>42</v>
      </c>
      <c r="DP26" s="30" t="s">
        <v>469</v>
      </c>
    </row>
    <row r="27" spans="1:120">
      <c r="A27">
        <v>2030</v>
      </c>
      <c r="B27" t="s">
        <v>470</v>
      </c>
      <c r="C27" t="s">
        <v>404</v>
      </c>
      <c r="D27" t="str">
        <f>D16</f>
        <v>???COB</v>
      </c>
      <c r="E27" s="53" t="s">
        <v>468</v>
      </c>
      <c r="F27" s="26">
        <f>-MAX(F15,$DK15)</f>
        <v>0</v>
      </c>
      <c r="G27" s="26">
        <f t="shared" ref="G27:BR27" si="26">-MAX(G15,$DK15)</f>
        <v>0</v>
      </c>
      <c r="H27" s="26">
        <f t="shared" si="26"/>
        <v>0</v>
      </c>
      <c r="I27" s="26">
        <f t="shared" si="26"/>
        <v>0</v>
      </c>
      <c r="J27" s="26">
        <f t="shared" si="26"/>
        <v>0</v>
      </c>
      <c r="K27" s="26">
        <f t="shared" si="26"/>
        <v>0</v>
      </c>
      <c r="L27" s="26">
        <f t="shared" si="26"/>
        <v>0</v>
      </c>
      <c r="M27" s="26">
        <f t="shared" si="26"/>
        <v>0</v>
      </c>
      <c r="N27" s="26">
        <f t="shared" si="26"/>
        <v>0</v>
      </c>
      <c r="O27" s="26">
        <f t="shared" si="26"/>
        <v>0</v>
      </c>
      <c r="P27" s="26">
        <f t="shared" si="26"/>
        <v>0</v>
      </c>
      <c r="Q27" s="26">
        <f t="shared" si="26"/>
        <v>0</v>
      </c>
      <c r="R27" s="26">
        <f t="shared" si="26"/>
        <v>0</v>
      </c>
      <c r="S27" s="26">
        <f t="shared" si="26"/>
        <v>0</v>
      </c>
      <c r="T27" s="26">
        <f t="shared" si="26"/>
        <v>0</v>
      </c>
      <c r="U27" s="26">
        <f t="shared" si="26"/>
        <v>0</v>
      </c>
      <c r="V27" s="26">
        <f t="shared" si="26"/>
        <v>0</v>
      </c>
      <c r="W27" s="26">
        <f t="shared" si="26"/>
        <v>0</v>
      </c>
      <c r="X27" s="26">
        <f t="shared" si="26"/>
        <v>0</v>
      </c>
      <c r="Y27" s="26">
        <f t="shared" si="26"/>
        <v>0</v>
      </c>
      <c r="Z27" s="26">
        <f t="shared" si="26"/>
        <v>0</v>
      </c>
      <c r="AA27" s="26">
        <f t="shared" si="26"/>
        <v>0</v>
      </c>
      <c r="AB27" s="26">
        <f t="shared" si="26"/>
        <v>0</v>
      </c>
      <c r="AC27" s="26">
        <f t="shared" si="26"/>
        <v>0</v>
      </c>
      <c r="AD27" s="26">
        <f t="shared" si="26"/>
        <v>0</v>
      </c>
      <c r="AE27" s="26">
        <f t="shared" si="26"/>
        <v>0</v>
      </c>
      <c r="AF27" s="26">
        <f t="shared" si="26"/>
        <v>0</v>
      </c>
      <c r="AG27" s="26">
        <f t="shared" si="26"/>
        <v>0</v>
      </c>
      <c r="AH27" s="26">
        <f t="shared" si="26"/>
        <v>0</v>
      </c>
      <c r="AI27" s="26">
        <f t="shared" si="26"/>
        <v>0</v>
      </c>
      <c r="AJ27" s="26">
        <f t="shared" si="26"/>
        <v>0</v>
      </c>
      <c r="AK27" s="26">
        <f t="shared" si="26"/>
        <v>0</v>
      </c>
      <c r="AL27" s="26">
        <f t="shared" si="26"/>
        <v>0</v>
      </c>
      <c r="AM27" s="26">
        <f t="shared" si="26"/>
        <v>0</v>
      </c>
      <c r="AN27" s="26">
        <f t="shared" si="26"/>
        <v>0</v>
      </c>
      <c r="AO27" s="26">
        <f t="shared" si="26"/>
        <v>0</v>
      </c>
      <c r="AP27" s="26">
        <f t="shared" si="26"/>
        <v>0</v>
      </c>
      <c r="AQ27" s="26">
        <f t="shared" si="26"/>
        <v>0</v>
      </c>
      <c r="AR27" s="26">
        <f t="shared" si="26"/>
        <v>0</v>
      </c>
      <c r="AS27" s="26">
        <f t="shared" si="26"/>
        <v>0</v>
      </c>
      <c r="AT27" s="26">
        <f t="shared" si="26"/>
        <v>0</v>
      </c>
      <c r="AU27" s="26">
        <f t="shared" si="26"/>
        <v>0</v>
      </c>
      <c r="AV27" s="26">
        <f t="shared" si="26"/>
        <v>0</v>
      </c>
      <c r="AW27" s="26">
        <f t="shared" si="26"/>
        <v>0</v>
      </c>
      <c r="AX27" s="26">
        <f t="shared" si="26"/>
        <v>0</v>
      </c>
      <c r="AY27" s="26">
        <f t="shared" si="26"/>
        <v>0</v>
      </c>
      <c r="AZ27" s="26">
        <f t="shared" si="26"/>
        <v>0</v>
      </c>
      <c r="BA27" s="26">
        <f t="shared" si="26"/>
        <v>0</v>
      </c>
      <c r="BB27" s="26">
        <f t="shared" si="26"/>
        <v>0</v>
      </c>
      <c r="BC27" s="26">
        <f t="shared" si="26"/>
        <v>0</v>
      </c>
      <c r="BD27" s="26">
        <f t="shared" si="26"/>
        <v>0</v>
      </c>
      <c r="BE27" s="26">
        <f t="shared" si="26"/>
        <v>0</v>
      </c>
      <c r="BF27" s="26">
        <f t="shared" si="26"/>
        <v>0</v>
      </c>
      <c r="BG27" s="26">
        <f t="shared" si="26"/>
        <v>0</v>
      </c>
      <c r="BH27" s="26">
        <f t="shared" si="26"/>
        <v>0</v>
      </c>
      <c r="BI27" s="26">
        <f t="shared" si="26"/>
        <v>0</v>
      </c>
      <c r="BJ27" s="26">
        <f t="shared" si="26"/>
        <v>0</v>
      </c>
      <c r="BK27" s="26">
        <f t="shared" si="26"/>
        <v>0</v>
      </c>
      <c r="BL27" s="26">
        <f t="shared" si="26"/>
        <v>0</v>
      </c>
      <c r="BM27" s="26">
        <f t="shared" si="26"/>
        <v>0</v>
      </c>
      <c r="BN27" s="26">
        <f t="shared" si="26"/>
        <v>0</v>
      </c>
      <c r="BO27" s="26">
        <f t="shared" si="26"/>
        <v>0</v>
      </c>
      <c r="BP27" s="26">
        <f t="shared" si="26"/>
        <v>0</v>
      </c>
      <c r="BQ27" s="26">
        <f t="shared" si="26"/>
        <v>0</v>
      </c>
      <c r="BR27" s="26">
        <f t="shared" si="26"/>
        <v>0</v>
      </c>
      <c r="BS27" s="26">
        <f t="shared" ref="BS27:DJ27" si="27">-MAX(BS15,$DK15)</f>
        <v>0</v>
      </c>
      <c r="BT27" s="26">
        <f t="shared" si="27"/>
        <v>0</v>
      </c>
      <c r="BU27" s="26">
        <f t="shared" si="27"/>
        <v>0</v>
      </c>
      <c r="BV27" s="26">
        <f t="shared" si="27"/>
        <v>0</v>
      </c>
      <c r="BW27" s="26">
        <f t="shared" si="27"/>
        <v>0</v>
      </c>
      <c r="BX27" s="26">
        <f t="shared" si="27"/>
        <v>0</v>
      </c>
      <c r="BY27" s="26">
        <f t="shared" si="27"/>
        <v>0</v>
      </c>
      <c r="BZ27" s="26">
        <f t="shared" si="27"/>
        <v>0</v>
      </c>
      <c r="CA27" s="26">
        <f t="shared" si="27"/>
        <v>0</v>
      </c>
      <c r="CB27" s="26">
        <f t="shared" si="27"/>
        <v>0</v>
      </c>
      <c r="CC27" s="26">
        <f t="shared" si="27"/>
        <v>0</v>
      </c>
      <c r="CD27" s="26">
        <f t="shared" si="27"/>
        <v>0</v>
      </c>
      <c r="CE27" s="26">
        <f t="shared" si="27"/>
        <v>0</v>
      </c>
      <c r="CF27" s="26">
        <f t="shared" si="27"/>
        <v>0</v>
      </c>
      <c r="CG27" s="26">
        <f t="shared" si="27"/>
        <v>0</v>
      </c>
      <c r="CH27" s="26">
        <f t="shared" si="27"/>
        <v>0</v>
      </c>
      <c r="CI27" s="26">
        <f t="shared" si="27"/>
        <v>0</v>
      </c>
      <c r="CJ27" s="26">
        <f t="shared" si="27"/>
        <v>0</v>
      </c>
      <c r="CK27" s="26">
        <f t="shared" si="27"/>
        <v>0</v>
      </c>
      <c r="CL27" s="26">
        <f t="shared" si="27"/>
        <v>0</v>
      </c>
      <c r="CM27" s="26">
        <f t="shared" si="27"/>
        <v>0</v>
      </c>
      <c r="CN27" s="26">
        <f t="shared" si="27"/>
        <v>0</v>
      </c>
      <c r="CO27" s="26">
        <f t="shared" si="27"/>
        <v>0</v>
      </c>
      <c r="CP27" s="26">
        <f t="shared" si="27"/>
        <v>0</v>
      </c>
      <c r="CQ27" s="26">
        <f t="shared" si="27"/>
        <v>0</v>
      </c>
      <c r="CR27" s="26">
        <f t="shared" si="27"/>
        <v>0</v>
      </c>
      <c r="CS27" s="26">
        <f t="shared" si="27"/>
        <v>0</v>
      </c>
      <c r="CT27" s="26">
        <f t="shared" si="27"/>
        <v>0</v>
      </c>
      <c r="CU27" s="26">
        <f t="shared" si="27"/>
        <v>0</v>
      </c>
      <c r="CV27" s="26">
        <f t="shared" si="27"/>
        <v>0</v>
      </c>
      <c r="CW27" s="26">
        <f t="shared" si="27"/>
        <v>0</v>
      </c>
      <c r="CX27" s="26">
        <f t="shared" si="27"/>
        <v>0</v>
      </c>
      <c r="CY27" s="26">
        <f t="shared" si="27"/>
        <v>0</v>
      </c>
      <c r="CZ27" s="26">
        <f t="shared" si="27"/>
        <v>0</v>
      </c>
      <c r="DA27" s="26">
        <f t="shared" si="27"/>
        <v>0</v>
      </c>
      <c r="DB27" s="26">
        <f t="shared" si="27"/>
        <v>0</v>
      </c>
      <c r="DC27" s="26">
        <f t="shared" si="27"/>
        <v>0</v>
      </c>
      <c r="DD27" s="26">
        <f t="shared" si="27"/>
        <v>0</v>
      </c>
      <c r="DE27" s="26">
        <f t="shared" si="27"/>
        <v>0</v>
      </c>
      <c r="DF27" s="26">
        <f t="shared" si="27"/>
        <v>0</v>
      </c>
      <c r="DG27" s="26">
        <f t="shared" si="27"/>
        <v>0</v>
      </c>
      <c r="DH27" s="26">
        <f t="shared" si="27"/>
        <v>0</v>
      </c>
      <c r="DI27" s="26">
        <f t="shared" si="27"/>
        <v>0</v>
      </c>
      <c r="DJ27" s="26">
        <f t="shared" si="27"/>
        <v>0</v>
      </c>
      <c r="DK27" s="8">
        <f>1/31.536</f>
        <v>0.0317097919837646</v>
      </c>
      <c r="DL27">
        <v>0</v>
      </c>
      <c r="DM27">
        <v>5</v>
      </c>
    </row>
    <row r="28" spans="1:120">
      <c r="A28">
        <v>2030</v>
      </c>
      <c r="B28" t="s">
        <v>470</v>
      </c>
      <c r="C28" t="s">
        <v>404</v>
      </c>
      <c r="D28" t="str">
        <f t="shared" ref="D28:D33" si="28">D17</f>
        <v>???COA</v>
      </c>
      <c r="E28" s="53" t="s">
        <v>468</v>
      </c>
      <c r="F28" s="26">
        <f>-MAX(F16,$DK16)</f>
        <v>-0.0317097919837646</v>
      </c>
      <c r="G28" s="26">
        <f t="shared" ref="G28:BR28" si="29">-MAX(G16,$DK16)</f>
        <v>-0.0317097919837646</v>
      </c>
      <c r="H28" s="26">
        <f t="shared" si="29"/>
        <v>-0.0317097919837646</v>
      </c>
      <c r="I28" s="26">
        <f t="shared" si="29"/>
        <v>-0.0317097919837646</v>
      </c>
      <c r="J28" s="26">
        <f t="shared" si="29"/>
        <v>-0.0317097919837646</v>
      </c>
      <c r="K28" s="26">
        <f t="shared" si="29"/>
        <v>-0.0317097919837646</v>
      </c>
      <c r="L28" s="26">
        <f t="shared" si="29"/>
        <v>-0.0317097919837646</v>
      </c>
      <c r="M28" s="26">
        <f t="shared" si="29"/>
        <v>-0.0317097919837646</v>
      </c>
      <c r="N28" s="26">
        <f t="shared" si="29"/>
        <v>-0.0317097919837646</v>
      </c>
      <c r="O28" s="26">
        <f t="shared" si="29"/>
        <v>-0.0317097919837646</v>
      </c>
      <c r="P28" s="26">
        <f t="shared" si="29"/>
        <v>-0.0317097919837646</v>
      </c>
      <c r="Q28" s="26">
        <f t="shared" si="29"/>
        <v>-0.0317097919837646</v>
      </c>
      <c r="R28" s="26">
        <f t="shared" si="29"/>
        <v>-0.0317097919837646</v>
      </c>
      <c r="S28" s="26">
        <f t="shared" si="29"/>
        <v>-0.0317097919837646</v>
      </c>
      <c r="T28" s="26">
        <f t="shared" si="29"/>
        <v>-0.0317097919837646</v>
      </c>
      <c r="U28" s="26">
        <f t="shared" si="29"/>
        <v>-0.0317097919837646</v>
      </c>
      <c r="V28" s="26">
        <f t="shared" si="29"/>
        <v>-0.0317097919837646</v>
      </c>
      <c r="W28" s="26">
        <f t="shared" si="29"/>
        <v>-0.0317097919837646</v>
      </c>
      <c r="X28" s="26">
        <f t="shared" si="29"/>
        <v>-0.0317097919837646</v>
      </c>
      <c r="Y28" s="26">
        <f t="shared" si="29"/>
        <v>-0.0317097919837646</v>
      </c>
      <c r="Z28" s="26">
        <f t="shared" si="29"/>
        <v>-0.0317097919837646</v>
      </c>
      <c r="AA28" s="26">
        <f t="shared" si="29"/>
        <v>-0.0317097919837646</v>
      </c>
      <c r="AB28" s="26">
        <f t="shared" si="29"/>
        <v>-0.0317097919837646</v>
      </c>
      <c r="AC28" s="26">
        <f t="shared" si="29"/>
        <v>-0.0317097919837646</v>
      </c>
      <c r="AD28" s="26">
        <f t="shared" si="29"/>
        <v>-0.0317097919837646</v>
      </c>
      <c r="AE28" s="26">
        <f t="shared" si="29"/>
        <v>-0.0317097919837646</v>
      </c>
      <c r="AF28" s="26">
        <f t="shared" si="29"/>
        <v>-0.0317097919837646</v>
      </c>
      <c r="AG28" s="26">
        <f t="shared" si="29"/>
        <v>-0.0317097919837646</v>
      </c>
      <c r="AH28" s="26">
        <f t="shared" si="29"/>
        <v>-0.0317097919837646</v>
      </c>
      <c r="AI28" s="26">
        <f t="shared" si="29"/>
        <v>-0.0317097919837646</v>
      </c>
      <c r="AJ28" s="26">
        <f t="shared" si="29"/>
        <v>-0.0317097919837646</v>
      </c>
      <c r="AK28" s="26">
        <f t="shared" si="29"/>
        <v>-0.0317097919837646</v>
      </c>
      <c r="AL28" s="26">
        <f t="shared" si="29"/>
        <v>-0.0317097919837646</v>
      </c>
      <c r="AM28" s="26">
        <f t="shared" si="29"/>
        <v>-0.0317097919837646</v>
      </c>
      <c r="AN28" s="26">
        <f t="shared" si="29"/>
        <v>-0.0317097919837646</v>
      </c>
      <c r="AO28" s="26">
        <f t="shared" si="29"/>
        <v>-0.0317097919837646</v>
      </c>
      <c r="AP28" s="26">
        <f t="shared" si="29"/>
        <v>-0.0317097919837646</v>
      </c>
      <c r="AQ28" s="26">
        <f t="shared" si="29"/>
        <v>-0.0317097919837646</v>
      </c>
      <c r="AR28" s="26">
        <f t="shared" si="29"/>
        <v>-0.0317097919837646</v>
      </c>
      <c r="AS28" s="26">
        <f t="shared" si="29"/>
        <v>-0.0317097919837646</v>
      </c>
      <c r="AT28" s="26">
        <f t="shared" si="29"/>
        <v>-0.0317097919837646</v>
      </c>
      <c r="AU28" s="26">
        <f t="shared" si="29"/>
        <v>-0.0317097919837646</v>
      </c>
      <c r="AV28" s="26">
        <f t="shared" si="29"/>
        <v>-0.0317097919837646</v>
      </c>
      <c r="AW28" s="26">
        <f t="shared" si="29"/>
        <v>-0.0317097919837646</v>
      </c>
      <c r="AX28" s="26">
        <f t="shared" si="29"/>
        <v>-0.0317097919837646</v>
      </c>
      <c r="AY28" s="26">
        <f t="shared" si="29"/>
        <v>-0.0317097919837646</v>
      </c>
      <c r="AZ28" s="26">
        <f t="shared" si="29"/>
        <v>-0.0317097919837646</v>
      </c>
      <c r="BA28" s="26">
        <f t="shared" si="29"/>
        <v>-0.0317097919837646</v>
      </c>
      <c r="BB28" s="26">
        <f t="shared" si="29"/>
        <v>-0.0317097919837646</v>
      </c>
      <c r="BC28" s="26">
        <f t="shared" si="29"/>
        <v>-0.0317097919837646</v>
      </c>
      <c r="BD28" s="26">
        <f t="shared" si="29"/>
        <v>-0.0317097919837646</v>
      </c>
      <c r="BE28" s="26">
        <f t="shared" si="29"/>
        <v>-0.0317097919837646</v>
      </c>
      <c r="BF28" s="26">
        <f t="shared" si="29"/>
        <v>-0.0317097919837646</v>
      </c>
      <c r="BG28" s="26">
        <f t="shared" si="29"/>
        <v>-0.0317097919837646</v>
      </c>
      <c r="BH28" s="26">
        <f t="shared" si="29"/>
        <v>-0.0317097919837646</v>
      </c>
      <c r="BI28" s="26">
        <f t="shared" si="29"/>
        <v>-0.0317097919837646</v>
      </c>
      <c r="BJ28" s="26">
        <f t="shared" si="29"/>
        <v>-0.0317097919837646</v>
      </c>
      <c r="BK28" s="26">
        <f t="shared" si="29"/>
        <v>-0.0317097919837646</v>
      </c>
      <c r="BL28" s="26">
        <f t="shared" si="29"/>
        <v>-0.0317097919837646</v>
      </c>
      <c r="BM28" s="26">
        <f t="shared" si="29"/>
        <v>-0.0317097919837646</v>
      </c>
      <c r="BN28" s="26">
        <f t="shared" si="29"/>
        <v>-0.0317097919837646</v>
      </c>
      <c r="BO28" s="26">
        <f t="shared" si="29"/>
        <v>-0.0317097919837646</v>
      </c>
      <c r="BP28" s="26">
        <f t="shared" si="29"/>
        <v>-0.0317097919837646</v>
      </c>
      <c r="BQ28" s="26">
        <f t="shared" si="29"/>
        <v>-0.0317097919837646</v>
      </c>
      <c r="BR28" s="26">
        <f t="shared" si="29"/>
        <v>-0.0317097919837646</v>
      </c>
      <c r="BS28" s="26">
        <f t="shared" ref="BS28:DJ28" si="30">-MAX(BS16,$DK16)</f>
        <v>-0.0317097919837646</v>
      </c>
      <c r="BT28" s="26">
        <f t="shared" si="30"/>
        <v>-0.0317097919837646</v>
      </c>
      <c r="BU28" s="26">
        <f t="shared" si="30"/>
        <v>-0.0317097919837646</v>
      </c>
      <c r="BV28" s="26">
        <f t="shared" si="30"/>
        <v>-0.0317097919837646</v>
      </c>
      <c r="BW28" s="26">
        <f t="shared" si="30"/>
        <v>-0.0317097919837646</v>
      </c>
      <c r="BX28" s="26">
        <f t="shared" si="30"/>
        <v>-0.0317097919837646</v>
      </c>
      <c r="BY28" s="26">
        <f t="shared" si="30"/>
        <v>-0.0317097919837646</v>
      </c>
      <c r="BZ28" s="26">
        <f t="shared" si="30"/>
        <v>-0.0317097919837646</v>
      </c>
      <c r="CA28" s="26">
        <f t="shared" si="30"/>
        <v>-0.0317097919837646</v>
      </c>
      <c r="CB28" s="26">
        <f t="shared" si="30"/>
        <v>-0.0317097919837646</v>
      </c>
      <c r="CC28" s="26">
        <f t="shared" si="30"/>
        <v>-0.0317097919837646</v>
      </c>
      <c r="CD28" s="26">
        <f t="shared" si="30"/>
        <v>-0.0317097919837646</v>
      </c>
      <c r="CE28" s="26">
        <f t="shared" si="30"/>
        <v>-0.0317097919837646</v>
      </c>
      <c r="CF28" s="26">
        <f t="shared" si="30"/>
        <v>-0.0317097919837646</v>
      </c>
      <c r="CG28" s="26">
        <f t="shared" si="30"/>
        <v>-0.0317097919837646</v>
      </c>
      <c r="CH28" s="26">
        <f t="shared" si="30"/>
        <v>-0.0317097919837646</v>
      </c>
      <c r="CI28" s="26">
        <f t="shared" si="30"/>
        <v>-0.0317097919837646</v>
      </c>
      <c r="CJ28" s="26">
        <f t="shared" si="30"/>
        <v>-0.0317097919837646</v>
      </c>
      <c r="CK28" s="26">
        <f t="shared" si="30"/>
        <v>-0.0317097919837646</v>
      </c>
      <c r="CL28" s="26">
        <f t="shared" si="30"/>
        <v>-0.0317097919837646</v>
      </c>
      <c r="CM28" s="26">
        <f t="shared" si="30"/>
        <v>-0.0317097919837646</v>
      </c>
      <c r="CN28" s="26">
        <f t="shared" si="30"/>
        <v>-0.0317097919837646</v>
      </c>
      <c r="CO28" s="26">
        <f t="shared" si="30"/>
        <v>-0.0317097919837646</v>
      </c>
      <c r="CP28" s="26">
        <f t="shared" si="30"/>
        <v>-0.0317097919837646</v>
      </c>
      <c r="CQ28" s="26">
        <f t="shared" si="30"/>
        <v>-0.0317097919837646</v>
      </c>
      <c r="CR28" s="26">
        <f t="shared" si="30"/>
        <v>-0.0317097919837646</v>
      </c>
      <c r="CS28" s="26">
        <f t="shared" si="30"/>
        <v>-0.0317097919837646</v>
      </c>
      <c r="CT28" s="26">
        <f t="shared" si="30"/>
        <v>-0.0317097919837646</v>
      </c>
      <c r="CU28" s="26">
        <f t="shared" si="30"/>
        <v>-0.0317097919837646</v>
      </c>
      <c r="CV28" s="26">
        <f t="shared" si="30"/>
        <v>-0.0317097919837646</v>
      </c>
      <c r="CW28" s="26">
        <f t="shared" si="30"/>
        <v>-0.0317097919837646</v>
      </c>
      <c r="CX28" s="26">
        <f t="shared" si="30"/>
        <v>-0.0317097919837646</v>
      </c>
      <c r="CY28" s="26">
        <f t="shared" si="30"/>
        <v>-0.0317097919837646</v>
      </c>
      <c r="CZ28" s="26">
        <f t="shared" si="30"/>
        <v>-0.0317097919837646</v>
      </c>
      <c r="DA28" s="26">
        <f t="shared" si="30"/>
        <v>-0.0317097919837646</v>
      </c>
      <c r="DB28" s="26">
        <f t="shared" si="30"/>
        <v>-0.0317097919837646</v>
      </c>
      <c r="DC28" s="26">
        <f t="shared" si="30"/>
        <v>-0.0317097919837646</v>
      </c>
      <c r="DD28" s="26">
        <f t="shared" si="30"/>
        <v>-0.0317097919837646</v>
      </c>
      <c r="DE28" s="26">
        <f t="shared" si="30"/>
        <v>-0.0317097919837646</v>
      </c>
      <c r="DF28" s="26">
        <f t="shared" si="30"/>
        <v>-0.0317097919837646</v>
      </c>
      <c r="DG28" s="26">
        <f t="shared" si="30"/>
        <v>-0.0317097919837646</v>
      </c>
      <c r="DH28" s="26">
        <f t="shared" si="30"/>
        <v>-0.0317097919837646</v>
      </c>
      <c r="DI28" s="26">
        <f t="shared" si="30"/>
        <v>-0.0317097919837646</v>
      </c>
      <c r="DJ28" s="26">
        <f t="shared" si="30"/>
        <v>-0.0317097919837646</v>
      </c>
      <c r="DK28" s="8">
        <f t="shared" ref="DK28:DK33" si="31">1/31.536</f>
        <v>0.0317097919837646</v>
      </c>
      <c r="DL28">
        <v>0</v>
      </c>
      <c r="DM28">
        <v>5</v>
      </c>
    </row>
    <row r="29" spans="1:120">
      <c r="A29">
        <v>2030</v>
      </c>
      <c r="B29" t="str">
        <f t="shared" ref="B29:B33" si="32">B18</f>
        <v>UCE_utilization_NGA_UP</v>
      </c>
      <c r="C29" t="s">
        <v>404</v>
      </c>
      <c r="D29" t="str">
        <f t="shared" si="28"/>
        <v>???NGA</v>
      </c>
      <c r="E29" s="53" t="s">
        <v>468</v>
      </c>
      <c r="F29" s="31">
        <f>MIN($F18:$DJ18)</f>
        <v>-0.89359488363634</v>
      </c>
      <c r="G29" s="31">
        <f t="shared" ref="G29:BR29" si="33">MIN($F18:$DJ18)</f>
        <v>-0.89359488363634</v>
      </c>
      <c r="H29" s="31">
        <f t="shared" si="33"/>
        <v>-0.89359488363634</v>
      </c>
      <c r="I29" s="31">
        <f t="shared" si="33"/>
        <v>-0.89359488363634</v>
      </c>
      <c r="J29" s="31">
        <f t="shared" si="33"/>
        <v>-0.89359488363634</v>
      </c>
      <c r="K29" s="31">
        <f t="shared" si="33"/>
        <v>-0.89359488363634</v>
      </c>
      <c r="L29" s="31">
        <f t="shared" si="33"/>
        <v>-0.89359488363634</v>
      </c>
      <c r="M29" s="31">
        <f t="shared" si="33"/>
        <v>-0.89359488363634</v>
      </c>
      <c r="N29" s="31">
        <f t="shared" si="33"/>
        <v>-0.89359488363634</v>
      </c>
      <c r="O29" s="31">
        <f t="shared" si="33"/>
        <v>-0.89359488363634</v>
      </c>
      <c r="P29" s="31">
        <f t="shared" si="33"/>
        <v>-0.89359488363634</v>
      </c>
      <c r="Q29" s="31">
        <f t="shared" si="33"/>
        <v>-0.89359488363634</v>
      </c>
      <c r="R29" s="31">
        <f t="shared" si="33"/>
        <v>-0.89359488363634</v>
      </c>
      <c r="S29" s="31">
        <f t="shared" si="33"/>
        <v>-0.89359488363634</v>
      </c>
      <c r="T29" s="31">
        <f t="shared" si="33"/>
        <v>-0.89359488363634</v>
      </c>
      <c r="U29" s="31">
        <f t="shared" si="33"/>
        <v>-0.89359488363634</v>
      </c>
      <c r="V29" s="31">
        <f t="shared" si="33"/>
        <v>-0.89359488363634</v>
      </c>
      <c r="W29" s="31">
        <f t="shared" si="33"/>
        <v>-0.89359488363634</v>
      </c>
      <c r="X29" s="31">
        <f t="shared" si="33"/>
        <v>-0.89359488363634</v>
      </c>
      <c r="Y29" s="31">
        <f t="shared" si="33"/>
        <v>-0.89359488363634</v>
      </c>
      <c r="Z29" s="31">
        <f t="shared" si="33"/>
        <v>-0.89359488363634</v>
      </c>
      <c r="AA29" s="31">
        <f t="shared" si="33"/>
        <v>-0.89359488363634</v>
      </c>
      <c r="AB29" s="31">
        <f t="shared" si="33"/>
        <v>-0.89359488363634</v>
      </c>
      <c r="AC29" s="31">
        <f t="shared" si="33"/>
        <v>-0.89359488363634</v>
      </c>
      <c r="AD29" s="31">
        <f t="shared" si="33"/>
        <v>-0.89359488363634</v>
      </c>
      <c r="AE29" s="31">
        <f t="shared" si="33"/>
        <v>-0.89359488363634</v>
      </c>
      <c r="AF29" s="31">
        <f t="shared" si="33"/>
        <v>-0.89359488363634</v>
      </c>
      <c r="AG29" s="31">
        <f t="shared" si="33"/>
        <v>-0.89359488363634</v>
      </c>
      <c r="AH29" s="31">
        <f t="shared" si="33"/>
        <v>-0.89359488363634</v>
      </c>
      <c r="AI29" s="31">
        <f t="shared" si="33"/>
        <v>-0.89359488363634</v>
      </c>
      <c r="AJ29" s="31">
        <f t="shared" si="33"/>
        <v>-0.89359488363634</v>
      </c>
      <c r="AK29" s="31">
        <f t="shared" si="33"/>
        <v>-0.89359488363634</v>
      </c>
      <c r="AL29" s="31">
        <f t="shared" si="33"/>
        <v>-0.89359488363634</v>
      </c>
      <c r="AM29" s="31">
        <f t="shared" si="33"/>
        <v>-0.89359488363634</v>
      </c>
      <c r="AN29" s="31">
        <f t="shared" si="33"/>
        <v>-0.89359488363634</v>
      </c>
      <c r="AO29" s="31">
        <f t="shared" si="33"/>
        <v>-0.89359488363634</v>
      </c>
      <c r="AP29" s="31">
        <f t="shared" si="33"/>
        <v>-0.89359488363634</v>
      </c>
      <c r="AQ29" s="31">
        <f t="shared" si="33"/>
        <v>-0.89359488363634</v>
      </c>
      <c r="AR29" s="31">
        <f t="shared" si="33"/>
        <v>-0.89359488363634</v>
      </c>
      <c r="AS29" s="31">
        <f t="shared" si="33"/>
        <v>-0.89359488363634</v>
      </c>
      <c r="AT29" s="31">
        <f t="shared" si="33"/>
        <v>-0.89359488363634</v>
      </c>
      <c r="AU29" s="31">
        <f t="shared" si="33"/>
        <v>-0.89359488363634</v>
      </c>
      <c r="AV29" s="31">
        <f t="shared" si="33"/>
        <v>-0.89359488363634</v>
      </c>
      <c r="AW29" s="31">
        <f t="shared" si="33"/>
        <v>-0.89359488363634</v>
      </c>
      <c r="AX29" s="31">
        <f t="shared" si="33"/>
        <v>-0.89359488363634</v>
      </c>
      <c r="AY29" s="31">
        <f t="shared" si="33"/>
        <v>-0.89359488363634</v>
      </c>
      <c r="AZ29" s="31">
        <f t="shared" si="33"/>
        <v>-0.89359488363634</v>
      </c>
      <c r="BA29" s="31">
        <f t="shared" si="33"/>
        <v>-0.89359488363634</v>
      </c>
      <c r="BB29" s="31">
        <f t="shared" si="33"/>
        <v>-0.89359488363634</v>
      </c>
      <c r="BC29" s="31">
        <f t="shared" si="33"/>
        <v>-0.89359488363634</v>
      </c>
      <c r="BD29" s="31">
        <f t="shared" si="33"/>
        <v>-0.89359488363634</v>
      </c>
      <c r="BE29" s="31">
        <f t="shared" si="33"/>
        <v>-0.89359488363634</v>
      </c>
      <c r="BF29" s="31">
        <f t="shared" si="33"/>
        <v>-0.89359488363634</v>
      </c>
      <c r="BG29" s="31">
        <f t="shared" si="33"/>
        <v>-0.89359488363634</v>
      </c>
      <c r="BH29" s="31">
        <f t="shared" si="33"/>
        <v>-0.89359488363634</v>
      </c>
      <c r="BI29" s="31">
        <f t="shared" si="33"/>
        <v>-0.89359488363634</v>
      </c>
      <c r="BJ29" s="31">
        <f t="shared" si="33"/>
        <v>-0.89359488363634</v>
      </c>
      <c r="BK29" s="31">
        <f t="shared" si="33"/>
        <v>-0.89359488363634</v>
      </c>
      <c r="BL29" s="31">
        <f t="shared" si="33"/>
        <v>-0.89359488363634</v>
      </c>
      <c r="BM29" s="31">
        <f t="shared" si="33"/>
        <v>-0.89359488363634</v>
      </c>
      <c r="BN29" s="31">
        <f t="shared" si="33"/>
        <v>-0.89359488363634</v>
      </c>
      <c r="BO29" s="31">
        <f t="shared" si="33"/>
        <v>-0.89359488363634</v>
      </c>
      <c r="BP29" s="31">
        <f t="shared" si="33"/>
        <v>-0.89359488363634</v>
      </c>
      <c r="BQ29" s="31">
        <f t="shared" si="33"/>
        <v>-0.89359488363634</v>
      </c>
      <c r="BR29" s="31">
        <f t="shared" si="33"/>
        <v>-0.89359488363634</v>
      </c>
      <c r="BS29" s="31">
        <f t="shared" ref="BS29:DJ29" si="34">MIN($F18:$DJ18)</f>
        <v>-0.89359488363634</v>
      </c>
      <c r="BT29" s="31">
        <f t="shared" si="34"/>
        <v>-0.89359488363634</v>
      </c>
      <c r="BU29" s="31">
        <f t="shared" si="34"/>
        <v>-0.89359488363634</v>
      </c>
      <c r="BV29" s="31">
        <f t="shared" si="34"/>
        <v>-0.89359488363634</v>
      </c>
      <c r="BW29" s="31">
        <f t="shared" si="34"/>
        <v>-0.89359488363634</v>
      </c>
      <c r="BX29" s="31">
        <f t="shared" si="34"/>
        <v>-0.89359488363634</v>
      </c>
      <c r="BY29" s="31">
        <f t="shared" si="34"/>
        <v>-0.89359488363634</v>
      </c>
      <c r="BZ29" s="31">
        <f t="shared" si="34"/>
        <v>-0.89359488363634</v>
      </c>
      <c r="CA29" s="31">
        <f t="shared" si="34"/>
        <v>-0.89359488363634</v>
      </c>
      <c r="CB29" s="31">
        <f t="shared" si="34"/>
        <v>-0.89359488363634</v>
      </c>
      <c r="CC29" s="31">
        <f t="shared" si="34"/>
        <v>-0.89359488363634</v>
      </c>
      <c r="CD29" s="31">
        <f t="shared" si="34"/>
        <v>-0.89359488363634</v>
      </c>
      <c r="CE29" s="31">
        <f t="shared" si="34"/>
        <v>-0.89359488363634</v>
      </c>
      <c r="CF29" s="31">
        <f t="shared" si="34"/>
        <v>-0.89359488363634</v>
      </c>
      <c r="CG29" s="31">
        <f t="shared" si="34"/>
        <v>-0.89359488363634</v>
      </c>
      <c r="CH29" s="31">
        <f t="shared" si="34"/>
        <v>-0.89359488363634</v>
      </c>
      <c r="CI29" s="31">
        <f t="shared" si="34"/>
        <v>-0.89359488363634</v>
      </c>
      <c r="CJ29" s="31">
        <f t="shared" si="34"/>
        <v>-0.89359488363634</v>
      </c>
      <c r="CK29" s="31">
        <f t="shared" si="34"/>
        <v>-0.89359488363634</v>
      </c>
      <c r="CL29" s="31">
        <f t="shared" si="34"/>
        <v>-0.89359488363634</v>
      </c>
      <c r="CM29" s="31">
        <f t="shared" si="34"/>
        <v>-0.89359488363634</v>
      </c>
      <c r="CN29" s="31">
        <f t="shared" si="34"/>
        <v>-0.89359488363634</v>
      </c>
      <c r="CO29" s="31">
        <f t="shared" si="34"/>
        <v>-0.89359488363634</v>
      </c>
      <c r="CP29" s="31">
        <f t="shared" si="34"/>
        <v>-0.89359488363634</v>
      </c>
      <c r="CQ29" s="31">
        <f t="shared" si="34"/>
        <v>-0.89359488363634</v>
      </c>
      <c r="CR29" s="31">
        <f t="shared" si="34"/>
        <v>-0.89359488363634</v>
      </c>
      <c r="CS29" s="31">
        <f t="shared" si="34"/>
        <v>-0.89359488363634</v>
      </c>
      <c r="CT29" s="31">
        <f t="shared" si="34"/>
        <v>-0.89359488363634</v>
      </c>
      <c r="CU29" s="31">
        <f t="shared" si="34"/>
        <v>-0.89359488363634</v>
      </c>
      <c r="CV29" s="31">
        <f t="shared" si="34"/>
        <v>-0.89359488363634</v>
      </c>
      <c r="CW29" s="31">
        <f t="shared" si="34"/>
        <v>-0.89359488363634</v>
      </c>
      <c r="CX29" s="31">
        <f t="shared" si="34"/>
        <v>-0.89359488363634</v>
      </c>
      <c r="CY29" s="31">
        <f t="shared" si="34"/>
        <v>-0.89359488363634</v>
      </c>
      <c r="CZ29" s="31">
        <f t="shared" si="34"/>
        <v>-0.89359488363634</v>
      </c>
      <c r="DA29" s="31">
        <f t="shared" si="34"/>
        <v>-0.89359488363634</v>
      </c>
      <c r="DB29" s="31">
        <f t="shared" si="34"/>
        <v>-0.89359488363634</v>
      </c>
      <c r="DC29" s="31">
        <f t="shared" si="34"/>
        <v>-0.89359488363634</v>
      </c>
      <c r="DD29" s="31">
        <f t="shared" si="34"/>
        <v>-0.89359488363634</v>
      </c>
      <c r="DE29" s="31">
        <f t="shared" si="34"/>
        <v>-0.89359488363634</v>
      </c>
      <c r="DF29" s="31">
        <f t="shared" si="34"/>
        <v>-0.89359488363634</v>
      </c>
      <c r="DG29" s="31">
        <f t="shared" si="34"/>
        <v>-0.89359488363634</v>
      </c>
      <c r="DH29" s="31">
        <f t="shared" si="34"/>
        <v>-0.89359488363634</v>
      </c>
      <c r="DI29" s="31">
        <f t="shared" si="34"/>
        <v>-0.89359488363634</v>
      </c>
      <c r="DJ29" s="31">
        <f t="shared" si="34"/>
        <v>-0.89359488363634</v>
      </c>
      <c r="DK29" s="8">
        <f t="shared" si="31"/>
        <v>0.0317097919837646</v>
      </c>
      <c r="DL29">
        <v>0</v>
      </c>
      <c r="DM29">
        <v>5</v>
      </c>
    </row>
    <row r="30" spans="1:120">
      <c r="A30">
        <v>2030</v>
      </c>
      <c r="B30" t="str">
        <f t="shared" si="32"/>
        <v>UCE_utilization_OIL_UP</v>
      </c>
      <c r="C30" t="s">
        <v>404</v>
      </c>
      <c r="D30" t="str">
        <f t="shared" si="28"/>
        <v>???OIL</v>
      </c>
      <c r="E30" s="53" t="s">
        <v>468</v>
      </c>
      <c r="F30" s="31">
        <f>MIN($F19:$DJ19)</f>
        <v>-0.95</v>
      </c>
      <c r="G30" s="31">
        <f t="shared" ref="G30:BR30" si="35">MIN($F19:$DJ19)</f>
        <v>-0.95</v>
      </c>
      <c r="H30" s="31">
        <f t="shared" si="35"/>
        <v>-0.95</v>
      </c>
      <c r="I30" s="31">
        <f t="shared" si="35"/>
        <v>-0.95</v>
      </c>
      <c r="J30" s="31">
        <f t="shared" si="35"/>
        <v>-0.95</v>
      </c>
      <c r="K30" s="31">
        <f t="shared" si="35"/>
        <v>-0.95</v>
      </c>
      <c r="L30" s="31">
        <f t="shared" si="35"/>
        <v>-0.95</v>
      </c>
      <c r="M30" s="31">
        <f t="shared" si="35"/>
        <v>-0.95</v>
      </c>
      <c r="N30" s="31">
        <f t="shared" si="35"/>
        <v>-0.95</v>
      </c>
      <c r="O30" s="31">
        <f t="shared" si="35"/>
        <v>-0.95</v>
      </c>
      <c r="P30" s="31">
        <f t="shared" si="35"/>
        <v>-0.95</v>
      </c>
      <c r="Q30" s="31">
        <f t="shared" si="35"/>
        <v>-0.95</v>
      </c>
      <c r="R30" s="31">
        <f t="shared" si="35"/>
        <v>-0.95</v>
      </c>
      <c r="S30" s="31">
        <f t="shared" si="35"/>
        <v>-0.95</v>
      </c>
      <c r="T30" s="31">
        <f t="shared" si="35"/>
        <v>-0.95</v>
      </c>
      <c r="U30" s="31">
        <f t="shared" si="35"/>
        <v>-0.95</v>
      </c>
      <c r="V30" s="31">
        <f t="shared" si="35"/>
        <v>-0.95</v>
      </c>
      <c r="W30" s="31">
        <f t="shared" si="35"/>
        <v>-0.95</v>
      </c>
      <c r="X30" s="31">
        <f t="shared" si="35"/>
        <v>-0.95</v>
      </c>
      <c r="Y30" s="31">
        <f t="shared" si="35"/>
        <v>-0.95</v>
      </c>
      <c r="Z30" s="31">
        <f t="shared" si="35"/>
        <v>-0.95</v>
      </c>
      <c r="AA30" s="31">
        <f t="shared" si="35"/>
        <v>-0.95</v>
      </c>
      <c r="AB30" s="31">
        <f t="shared" si="35"/>
        <v>-0.95</v>
      </c>
      <c r="AC30" s="31">
        <f t="shared" si="35"/>
        <v>-0.95</v>
      </c>
      <c r="AD30" s="31">
        <f t="shared" si="35"/>
        <v>-0.95</v>
      </c>
      <c r="AE30" s="31">
        <f t="shared" si="35"/>
        <v>-0.95</v>
      </c>
      <c r="AF30" s="31">
        <f t="shared" si="35"/>
        <v>-0.95</v>
      </c>
      <c r="AG30" s="31">
        <f t="shared" si="35"/>
        <v>-0.95</v>
      </c>
      <c r="AH30" s="31">
        <f t="shared" si="35"/>
        <v>-0.95</v>
      </c>
      <c r="AI30" s="31">
        <f t="shared" si="35"/>
        <v>-0.95</v>
      </c>
      <c r="AJ30" s="31">
        <f t="shared" si="35"/>
        <v>-0.95</v>
      </c>
      <c r="AK30" s="31">
        <f t="shared" si="35"/>
        <v>-0.95</v>
      </c>
      <c r="AL30" s="31">
        <f t="shared" si="35"/>
        <v>-0.95</v>
      </c>
      <c r="AM30" s="31">
        <f t="shared" si="35"/>
        <v>-0.95</v>
      </c>
      <c r="AN30" s="31">
        <f t="shared" si="35"/>
        <v>-0.95</v>
      </c>
      <c r="AO30" s="31">
        <f t="shared" si="35"/>
        <v>-0.95</v>
      </c>
      <c r="AP30" s="31">
        <f t="shared" si="35"/>
        <v>-0.95</v>
      </c>
      <c r="AQ30" s="31">
        <f t="shared" si="35"/>
        <v>-0.95</v>
      </c>
      <c r="AR30" s="31">
        <f t="shared" si="35"/>
        <v>-0.95</v>
      </c>
      <c r="AS30" s="31">
        <f t="shared" si="35"/>
        <v>-0.95</v>
      </c>
      <c r="AT30" s="31">
        <f t="shared" si="35"/>
        <v>-0.95</v>
      </c>
      <c r="AU30" s="31">
        <f t="shared" si="35"/>
        <v>-0.95</v>
      </c>
      <c r="AV30" s="31">
        <f t="shared" si="35"/>
        <v>-0.95</v>
      </c>
      <c r="AW30" s="31">
        <f t="shared" si="35"/>
        <v>-0.95</v>
      </c>
      <c r="AX30" s="31">
        <f t="shared" si="35"/>
        <v>-0.95</v>
      </c>
      <c r="AY30" s="31">
        <f t="shared" si="35"/>
        <v>-0.95</v>
      </c>
      <c r="AZ30" s="31">
        <f t="shared" si="35"/>
        <v>-0.95</v>
      </c>
      <c r="BA30" s="31">
        <f t="shared" si="35"/>
        <v>-0.95</v>
      </c>
      <c r="BB30" s="31">
        <f t="shared" si="35"/>
        <v>-0.95</v>
      </c>
      <c r="BC30" s="31">
        <f t="shared" si="35"/>
        <v>-0.95</v>
      </c>
      <c r="BD30" s="31">
        <f t="shared" si="35"/>
        <v>-0.95</v>
      </c>
      <c r="BE30" s="31">
        <f t="shared" si="35"/>
        <v>-0.95</v>
      </c>
      <c r="BF30" s="31">
        <f t="shared" si="35"/>
        <v>-0.95</v>
      </c>
      <c r="BG30" s="31">
        <f t="shared" si="35"/>
        <v>-0.95</v>
      </c>
      <c r="BH30" s="31">
        <f t="shared" si="35"/>
        <v>-0.95</v>
      </c>
      <c r="BI30" s="31">
        <f t="shared" si="35"/>
        <v>-0.95</v>
      </c>
      <c r="BJ30" s="31">
        <f t="shared" si="35"/>
        <v>-0.95</v>
      </c>
      <c r="BK30" s="31">
        <f t="shared" si="35"/>
        <v>-0.95</v>
      </c>
      <c r="BL30" s="31">
        <f t="shared" si="35"/>
        <v>-0.95</v>
      </c>
      <c r="BM30" s="31">
        <f t="shared" si="35"/>
        <v>-0.95</v>
      </c>
      <c r="BN30" s="31">
        <f t="shared" si="35"/>
        <v>-0.95</v>
      </c>
      <c r="BO30" s="31">
        <f t="shared" si="35"/>
        <v>-0.95</v>
      </c>
      <c r="BP30" s="31">
        <f t="shared" si="35"/>
        <v>-0.95</v>
      </c>
      <c r="BQ30" s="31">
        <f t="shared" si="35"/>
        <v>-0.95</v>
      </c>
      <c r="BR30" s="31">
        <f t="shared" si="35"/>
        <v>-0.95</v>
      </c>
      <c r="BS30" s="31">
        <f t="shared" ref="BS30:DJ30" si="36">MIN($F19:$DJ19)</f>
        <v>-0.95</v>
      </c>
      <c r="BT30" s="31">
        <f t="shared" si="36"/>
        <v>-0.95</v>
      </c>
      <c r="BU30" s="31">
        <f t="shared" si="36"/>
        <v>-0.95</v>
      </c>
      <c r="BV30" s="31">
        <f t="shared" si="36"/>
        <v>-0.95</v>
      </c>
      <c r="BW30" s="31">
        <f t="shared" si="36"/>
        <v>-0.95</v>
      </c>
      <c r="BX30" s="31">
        <f t="shared" si="36"/>
        <v>-0.95</v>
      </c>
      <c r="BY30" s="31">
        <f t="shared" si="36"/>
        <v>-0.95</v>
      </c>
      <c r="BZ30" s="31">
        <f t="shared" si="36"/>
        <v>-0.95</v>
      </c>
      <c r="CA30" s="31">
        <f t="shared" si="36"/>
        <v>-0.95</v>
      </c>
      <c r="CB30" s="31">
        <f t="shared" si="36"/>
        <v>-0.95</v>
      </c>
      <c r="CC30" s="31">
        <f t="shared" si="36"/>
        <v>-0.95</v>
      </c>
      <c r="CD30" s="31">
        <f t="shared" si="36"/>
        <v>-0.95</v>
      </c>
      <c r="CE30" s="31">
        <f t="shared" si="36"/>
        <v>-0.95</v>
      </c>
      <c r="CF30" s="31">
        <f t="shared" si="36"/>
        <v>-0.95</v>
      </c>
      <c r="CG30" s="31">
        <f t="shared" si="36"/>
        <v>-0.95</v>
      </c>
      <c r="CH30" s="31">
        <f t="shared" si="36"/>
        <v>-0.95</v>
      </c>
      <c r="CI30" s="31">
        <f t="shared" si="36"/>
        <v>-0.95</v>
      </c>
      <c r="CJ30" s="31">
        <f t="shared" si="36"/>
        <v>-0.95</v>
      </c>
      <c r="CK30" s="31">
        <f t="shared" si="36"/>
        <v>-0.95</v>
      </c>
      <c r="CL30" s="31">
        <f t="shared" si="36"/>
        <v>-0.95</v>
      </c>
      <c r="CM30" s="31">
        <f t="shared" si="36"/>
        <v>-0.95</v>
      </c>
      <c r="CN30" s="31">
        <f t="shared" si="36"/>
        <v>-0.95</v>
      </c>
      <c r="CO30" s="31">
        <f t="shared" si="36"/>
        <v>-0.95</v>
      </c>
      <c r="CP30" s="31">
        <f t="shared" si="36"/>
        <v>-0.95</v>
      </c>
      <c r="CQ30" s="31">
        <f t="shared" si="36"/>
        <v>-0.95</v>
      </c>
      <c r="CR30" s="31">
        <f t="shared" si="36"/>
        <v>-0.95</v>
      </c>
      <c r="CS30" s="31">
        <f t="shared" si="36"/>
        <v>-0.95</v>
      </c>
      <c r="CT30" s="31">
        <f t="shared" si="36"/>
        <v>-0.95</v>
      </c>
      <c r="CU30" s="31">
        <f t="shared" si="36"/>
        <v>-0.95</v>
      </c>
      <c r="CV30" s="31">
        <f t="shared" si="36"/>
        <v>-0.95</v>
      </c>
      <c r="CW30" s="31">
        <f t="shared" si="36"/>
        <v>-0.95</v>
      </c>
      <c r="CX30" s="31">
        <f t="shared" si="36"/>
        <v>-0.95</v>
      </c>
      <c r="CY30" s="31">
        <f t="shared" si="36"/>
        <v>-0.95</v>
      </c>
      <c r="CZ30" s="31">
        <f t="shared" si="36"/>
        <v>-0.95</v>
      </c>
      <c r="DA30" s="31">
        <f t="shared" si="36"/>
        <v>-0.95</v>
      </c>
      <c r="DB30" s="31">
        <f t="shared" si="36"/>
        <v>-0.95</v>
      </c>
      <c r="DC30" s="31">
        <f t="shared" si="36"/>
        <v>-0.95</v>
      </c>
      <c r="DD30" s="31">
        <f t="shared" si="36"/>
        <v>-0.95</v>
      </c>
      <c r="DE30" s="31">
        <f t="shared" si="36"/>
        <v>-0.95</v>
      </c>
      <c r="DF30" s="31">
        <f t="shared" si="36"/>
        <v>-0.95</v>
      </c>
      <c r="DG30" s="31">
        <f t="shared" si="36"/>
        <v>-0.95</v>
      </c>
      <c r="DH30" s="31">
        <f t="shared" si="36"/>
        <v>-0.95</v>
      </c>
      <c r="DI30" s="31">
        <f t="shared" si="36"/>
        <v>-0.95</v>
      </c>
      <c r="DJ30" s="31">
        <f t="shared" si="36"/>
        <v>-0.95</v>
      </c>
      <c r="DK30" s="8">
        <f t="shared" si="31"/>
        <v>0.0317097919837646</v>
      </c>
      <c r="DL30">
        <v>0</v>
      </c>
      <c r="DM30">
        <v>5</v>
      </c>
    </row>
    <row r="31" spans="1:120">
      <c r="A31">
        <v>2030</v>
      </c>
      <c r="B31" t="str">
        <f t="shared" si="32"/>
        <v>UCE_utilization_CRD_UP</v>
      </c>
      <c r="C31" t="s">
        <v>404</v>
      </c>
      <c r="D31" t="str">
        <f t="shared" si="28"/>
        <v>???OIL_CRD</v>
      </c>
      <c r="E31" s="53" t="s">
        <v>468</v>
      </c>
      <c r="F31" s="31">
        <f>MIN($F20:$DJ20)</f>
        <v>-0.95</v>
      </c>
      <c r="G31" s="31">
        <f t="shared" ref="G31:BR31" si="37">MIN($F20:$DJ20)</f>
        <v>-0.95</v>
      </c>
      <c r="H31" s="31">
        <f t="shared" si="37"/>
        <v>-0.95</v>
      </c>
      <c r="I31" s="31">
        <f t="shared" si="37"/>
        <v>-0.95</v>
      </c>
      <c r="J31" s="31">
        <f t="shared" si="37"/>
        <v>-0.95</v>
      </c>
      <c r="K31" s="31">
        <f t="shared" si="37"/>
        <v>-0.95</v>
      </c>
      <c r="L31" s="31">
        <f t="shared" si="37"/>
        <v>-0.95</v>
      </c>
      <c r="M31" s="31">
        <f t="shared" si="37"/>
        <v>-0.95</v>
      </c>
      <c r="N31" s="31">
        <f t="shared" si="37"/>
        <v>-0.95</v>
      </c>
      <c r="O31" s="31">
        <f t="shared" si="37"/>
        <v>-0.95</v>
      </c>
      <c r="P31" s="31">
        <f t="shared" si="37"/>
        <v>-0.95</v>
      </c>
      <c r="Q31" s="31">
        <f t="shared" si="37"/>
        <v>-0.95</v>
      </c>
      <c r="R31" s="31">
        <f t="shared" si="37"/>
        <v>-0.95</v>
      </c>
      <c r="S31" s="31">
        <f t="shared" si="37"/>
        <v>-0.95</v>
      </c>
      <c r="T31" s="31">
        <f t="shared" si="37"/>
        <v>-0.95</v>
      </c>
      <c r="U31" s="31">
        <f t="shared" si="37"/>
        <v>-0.95</v>
      </c>
      <c r="V31" s="31">
        <f t="shared" si="37"/>
        <v>-0.95</v>
      </c>
      <c r="W31" s="31">
        <f t="shared" si="37"/>
        <v>-0.95</v>
      </c>
      <c r="X31" s="31">
        <f t="shared" si="37"/>
        <v>-0.95</v>
      </c>
      <c r="Y31" s="31">
        <f t="shared" si="37"/>
        <v>-0.95</v>
      </c>
      <c r="Z31" s="31">
        <f t="shared" si="37"/>
        <v>-0.95</v>
      </c>
      <c r="AA31" s="31">
        <f t="shared" si="37"/>
        <v>-0.95</v>
      </c>
      <c r="AB31" s="31">
        <f t="shared" si="37"/>
        <v>-0.95</v>
      </c>
      <c r="AC31" s="31">
        <f t="shared" si="37"/>
        <v>-0.95</v>
      </c>
      <c r="AD31" s="31">
        <f t="shared" si="37"/>
        <v>-0.95</v>
      </c>
      <c r="AE31" s="31">
        <f t="shared" si="37"/>
        <v>-0.95</v>
      </c>
      <c r="AF31" s="31">
        <f t="shared" si="37"/>
        <v>-0.95</v>
      </c>
      <c r="AG31" s="31">
        <f t="shared" si="37"/>
        <v>-0.95</v>
      </c>
      <c r="AH31" s="31">
        <f t="shared" si="37"/>
        <v>-0.95</v>
      </c>
      <c r="AI31" s="31">
        <f t="shared" si="37"/>
        <v>-0.95</v>
      </c>
      <c r="AJ31" s="31">
        <f t="shared" si="37"/>
        <v>-0.95</v>
      </c>
      <c r="AK31" s="31">
        <f t="shared" si="37"/>
        <v>-0.95</v>
      </c>
      <c r="AL31" s="31">
        <f t="shared" si="37"/>
        <v>-0.95</v>
      </c>
      <c r="AM31" s="31">
        <f t="shared" si="37"/>
        <v>-0.95</v>
      </c>
      <c r="AN31" s="31">
        <f t="shared" si="37"/>
        <v>-0.95</v>
      </c>
      <c r="AO31" s="31">
        <f t="shared" si="37"/>
        <v>-0.95</v>
      </c>
      <c r="AP31" s="31">
        <f t="shared" si="37"/>
        <v>-0.95</v>
      </c>
      <c r="AQ31" s="31">
        <f t="shared" si="37"/>
        <v>-0.95</v>
      </c>
      <c r="AR31" s="31">
        <f t="shared" si="37"/>
        <v>-0.95</v>
      </c>
      <c r="AS31" s="31">
        <f t="shared" si="37"/>
        <v>-0.95</v>
      </c>
      <c r="AT31" s="31">
        <f t="shared" si="37"/>
        <v>-0.95</v>
      </c>
      <c r="AU31" s="31">
        <f t="shared" si="37"/>
        <v>-0.95</v>
      </c>
      <c r="AV31" s="31">
        <f t="shared" si="37"/>
        <v>-0.95</v>
      </c>
      <c r="AW31" s="31">
        <f t="shared" si="37"/>
        <v>-0.95</v>
      </c>
      <c r="AX31" s="31">
        <f t="shared" si="37"/>
        <v>-0.95</v>
      </c>
      <c r="AY31" s="31">
        <f t="shared" si="37"/>
        <v>-0.95</v>
      </c>
      <c r="AZ31" s="31">
        <f t="shared" si="37"/>
        <v>-0.95</v>
      </c>
      <c r="BA31" s="31">
        <f t="shared" si="37"/>
        <v>-0.95</v>
      </c>
      <c r="BB31" s="31">
        <f t="shared" si="37"/>
        <v>-0.95</v>
      </c>
      <c r="BC31" s="31">
        <f t="shared" si="37"/>
        <v>-0.95</v>
      </c>
      <c r="BD31" s="31">
        <f t="shared" si="37"/>
        <v>-0.95</v>
      </c>
      <c r="BE31" s="31">
        <f t="shared" si="37"/>
        <v>-0.95</v>
      </c>
      <c r="BF31" s="31">
        <f t="shared" si="37"/>
        <v>-0.95</v>
      </c>
      <c r="BG31" s="31">
        <f t="shared" si="37"/>
        <v>-0.95</v>
      </c>
      <c r="BH31" s="31">
        <f t="shared" si="37"/>
        <v>-0.95</v>
      </c>
      <c r="BI31" s="31">
        <f t="shared" si="37"/>
        <v>-0.95</v>
      </c>
      <c r="BJ31" s="31">
        <f t="shared" si="37"/>
        <v>-0.95</v>
      </c>
      <c r="BK31" s="31">
        <f t="shared" si="37"/>
        <v>-0.95</v>
      </c>
      <c r="BL31" s="31">
        <f t="shared" si="37"/>
        <v>-0.95</v>
      </c>
      <c r="BM31" s="31">
        <f t="shared" si="37"/>
        <v>-0.95</v>
      </c>
      <c r="BN31" s="31">
        <f t="shared" si="37"/>
        <v>-0.95</v>
      </c>
      <c r="BO31" s="31">
        <f t="shared" si="37"/>
        <v>-0.95</v>
      </c>
      <c r="BP31" s="31">
        <f t="shared" si="37"/>
        <v>-0.95</v>
      </c>
      <c r="BQ31" s="31">
        <f t="shared" si="37"/>
        <v>-0.95</v>
      </c>
      <c r="BR31" s="31">
        <f t="shared" si="37"/>
        <v>-0.95</v>
      </c>
      <c r="BS31" s="31">
        <f t="shared" ref="BS31:DJ31" si="38">MIN($F20:$DJ20)</f>
        <v>-0.95</v>
      </c>
      <c r="BT31" s="31">
        <f t="shared" si="38"/>
        <v>-0.95</v>
      </c>
      <c r="BU31" s="31">
        <f t="shared" si="38"/>
        <v>-0.95</v>
      </c>
      <c r="BV31" s="31">
        <f t="shared" si="38"/>
        <v>-0.95</v>
      </c>
      <c r="BW31" s="31">
        <f t="shared" si="38"/>
        <v>-0.95</v>
      </c>
      <c r="BX31" s="31">
        <f t="shared" si="38"/>
        <v>-0.95</v>
      </c>
      <c r="BY31" s="31">
        <f t="shared" si="38"/>
        <v>-0.95</v>
      </c>
      <c r="BZ31" s="31">
        <f t="shared" si="38"/>
        <v>-0.95</v>
      </c>
      <c r="CA31" s="31">
        <f t="shared" si="38"/>
        <v>-0.95</v>
      </c>
      <c r="CB31" s="31">
        <f t="shared" si="38"/>
        <v>-0.95</v>
      </c>
      <c r="CC31" s="31">
        <f t="shared" si="38"/>
        <v>-0.95</v>
      </c>
      <c r="CD31" s="31">
        <f t="shared" si="38"/>
        <v>-0.95</v>
      </c>
      <c r="CE31" s="31">
        <f t="shared" si="38"/>
        <v>-0.95</v>
      </c>
      <c r="CF31" s="31">
        <f t="shared" si="38"/>
        <v>-0.95</v>
      </c>
      <c r="CG31" s="31">
        <f t="shared" si="38"/>
        <v>-0.95</v>
      </c>
      <c r="CH31" s="31">
        <f t="shared" si="38"/>
        <v>-0.95</v>
      </c>
      <c r="CI31" s="31">
        <f t="shared" si="38"/>
        <v>-0.95</v>
      </c>
      <c r="CJ31" s="31">
        <f t="shared" si="38"/>
        <v>-0.95</v>
      </c>
      <c r="CK31" s="31">
        <f t="shared" si="38"/>
        <v>-0.95</v>
      </c>
      <c r="CL31" s="31">
        <f t="shared" si="38"/>
        <v>-0.95</v>
      </c>
      <c r="CM31" s="31">
        <f t="shared" si="38"/>
        <v>-0.95</v>
      </c>
      <c r="CN31" s="31">
        <f t="shared" si="38"/>
        <v>-0.95</v>
      </c>
      <c r="CO31" s="31">
        <f t="shared" si="38"/>
        <v>-0.95</v>
      </c>
      <c r="CP31" s="31">
        <f t="shared" si="38"/>
        <v>-0.95</v>
      </c>
      <c r="CQ31" s="31">
        <f t="shared" si="38"/>
        <v>-0.95</v>
      </c>
      <c r="CR31" s="31">
        <f t="shared" si="38"/>
        <v>-0.95</v>
      </c>
      <c r="CS31" s="31">
        <f t="shared" si="38"/>
        <v>-0.95</v>
      </c>
      <c r="CT31" s="31">
        <f t="shared" si="38"/>
        <v>-0.95</v>
      </c>
      <c r="CU31" s="31">
        <f t="shared" si="38"/>
        <v>-0.95</v>
      </c>
      <c r="CV31" s="31">
        <f t="shared" si="38"/>
        <v>-0.95</v>
      </c>
      <c r="CW31" s="31">
        <f t="shared" si="38"/>
        <v>-0.95</v>
      </c>
      <c r="CX31" s="31">
        <f t="shared" si="38"/>
        <v>-0.95</v>
      </c>
      <c r="CY31" s="31">
        <f t="shared" si="38"/>
        <v>-0.95</v>
      </c>
      <c r="CZ31" s="31">
        <f t="shared" si="38"/>
        <v>-0.95</v>
      </c>
      <c r="DA31" s="31">
        <f t="shared" si="38"/>
        <v>-0.95</v>
      </c>
      <c r="DB31" s="31">
        <f t="shared" si="38"/>
        <v>-0.95</v>
      </c>
      <c r="DC31" s="31">
        <f t="shared" si="38"/>
        <v>-0.95</v>
      </c>
      <c r="DD31" s="31">
        <f t="shared" si="38"/>
        <v>-0.95</v>
      </c>
      <c r="DE31" s="31">
        <f t="shared" si="38"/>
        <v>-0.95</v>
      </c>
      <c r="DF31" s="31">
        <f t="shared" si="38"/>
        <v>-0.95</v>
      </c>
      <c r="DG31" s="31">
        <f t="shared" si="38"/>
        <v>-0.95</v>
      </c>
      <c r="DH31" s="31">
        <f t="shared" si="38"/>
        <v>-0.95</v>
      </c>
      <c r="DI31" s="31">
        <f t="shared" si="38"/>
        <v>-0.95</v>
      </c>
      <c r="DJ31" s="31">
        <f t="shared" si="38"/>
        <v>-0.95</v>
      </c>
      <c r="DK31" s="8">
        <f t="shared" si="31"/>
        <v>0.0317097919837646</v>
      </c>
      <c r="DL31">
        <v>0</v>
      </c>
      <c r="DM31">
        <v>5</v>
      </c>
    </row>
    <row r="32" spans="1:120">
      <c r="A32">
        <v>2030</v>
      </c>
      <c r="B32" t="str">
        <f t="shared" si="32"/>
        <v>UCE_utilization_DST_UP</v>
      </c>
      <c r="C32" t="s">
        <v>404</v>
      </c>
      <c r="D32" t="str">
        <f t="shared" si="28"/>
        <v>???OIL_DST</v>
      </c>
      <c r="E32" s="53" t="s">
        <v>468</v>
      </c>
      <c r="F32" s="31">
        <f>MIN($F21:$DJ21)</f>
        <v>-0.95</v>
      </c>
      <c r="G32" s="31">
        <f t="shared" ref="G32:BR32" si="39">MIN($F21:$DJ21)</f>
        <v>-0.95</v>
      </c>
      <c r="H32" s="31">
        <f t="shared" si="39"/>
        <v>-0.95</v>
      </c>
      <c r="I32" s="31">
        <f t="shared" si="39"/>
        <v>-0.95</v>
      </c>
      <c r="J32" s="31">
        <f t="shared" si="39"/>
        <v>-0.95</v>
      </c>
      <c r="K32" s="31">
        <f t="shared" si="39"/>
        <v>-0.95</v>
      </c>
      <c r="L32" s="31">
        <f t="shared" si="39"/>
        <v>-0.95</v>
      </c>
      <c r="M32" s="31">
        <f t="shared" si="39"/>
        <v>-0.95</v>
      </c>
      <c r="N32" s="31">
        <f t="shared" si="39"/>
        <v>-0.95</v>
      </c>
      <c r="O32" s="31">
        <f t="shared" si="39"/>
        <v>-0.95</v>
      </c>
      <c r="P32" s="31">
        <f t="shared" si="39"/>
        <v>-0.95</v>
      </c>
      <c r="Q32" s="31">
        <f t="shared" si="39"/>
        <v>-0.95</v>
      </c>
      <c r="R32" s="31">
        <f t="shared" si="39"/>
        <v>-0.95</v>
      </c>
      <c r="S32" s="31">
        <f t="shared" si="39"/>
        <v>-0.95</v>
      </c>
      <c r="T32" s="31">
        <f t="shared" si="39"/>
        <v>-0.95</v>
      </c>
      <c r="U32" s="31">
        <f t="shared" si="39"/>
        <v>-0.95</v>
      </c>
      <c r="V32" s="31">
        <f t="shared" si="39"/>
        <v>-0.95</v>
      </c>
      <c r="W32" s="31">
        <f t="shared" si="39"/>
        <v>-0.95</v>
      </c>
      <c r="X32" s="31">
        <f t="shared" si="39"/>
        <v>-0.95</v>
      </c>
      <c r="Y32" s="31">
        <f t="shared" si="39"/>
        <v>-0.95</v>
      </c>
      <c r="Z32" s="31">
        <f t="shared" si="39"/>
        <v>-0.95</v>
      </c>
      <c r="AA32" s="31">
        <f t="shared" si="39"/>
        <v>-0.95</v>
      </c>
      <c r="AB32" s="31">
        <f t="shared" si="39"/>
        <v>-0.95</v>
      </c>
      <c r="AC32" s="31">
        <f t="shared" si="39"/>
        <v>-0.95</v>
      </c>
      <c r="AD32" s="31">
        <f t="shared" si="39"/>
        <v>-0.95</v>
      </c>
      <c r="AE32" s="31">
        <f t="shared" si="39"/>
        <v>-0.95</v>
      </c>
      <c r="AF32" s="31">
        <f t="shared" si="39"/>
        <v>-0.95</v>
      </c>
      <c r="AG32" s="31">
        <f t="shared" si="39"/>
        <v>-0.95</v>
      </c>
      <c r="AH32" s="31">
        <f t="shared" si="39"/>
        <v>-0.95</v>
      </c>
      <c r="AI32" s="31">
        <f t="shared" si="39"/>
        <v>-0.95</v>
      </c>
      <c r="AJ32" s="31">
        <f t="shared" si="39"/>
        <v>-0.95</v>
      </c>
      <c r="AK32" s="31">
        <f t="shared" si="39"/>
        <v>-0.95</v>
      </c>
      <c r="AL32" s="31">
        <f t="shared" si="39"/>
        <v>-0.95</v>
      </c>
      <c r="AM32" s="31">
        <f t="shared" si="39"/>
        <v>-0.95</v>
      </c>
      <c r="AN32" s="31">
        <f t="shared" si="39"/>
        <v>-0.95</v>
      </c>
      <c r="AO32" s="31">
        <f t="shared" si="39"/>
        <v>-0.95</v>
      </c>
      <c r="AP32" s="31">
        <f t="shared" si="39"/>
        <v>-0.95</v>
      </c>
      <c r="AQ32" s="31">
        <f t="shared" si="39"/>
        <v>-0.95</v>
      </c>
      <c r="AR32" s="31">
        <f t="shared" si="39"/>
        <v>-0.95</v>
      </c>
      <c r="AS32" s="31">
        <f t="shared" si="39"/>
        <v>-0.95</v>
      </c>
      <c r="AT32" s="31">
        <f t="shared" si="39"/>
        <v>-0.95</v>
      </c>
      <c r="AU32" s="31">
        <f t="shared" si="39"/>
        <v>-0.95</v>
      </c>
      <c r="AV32" s="31">
        <f t="shared" si="39"/>
        <v>-0.95</v>
      </c>
      <c r="AW32" s="31">
        <f t="shared" si="39"/>
        <v>-0.95</v>
      </c>
      <c r="AX32" s="31">
        <f t="shared" si="39"/>
        <v>-0.95</v>
      </c>
      <c r="AY32" s="31">
        <f t="shared" si="39"/>
        <v>-0.95</v>
      </c>
      <c r="AZ32" s="31">
        <f t="shared" si="39"/>
        <v>-0.95</v>
      </c>
      <c r="BA32" s="31">
        <f t="shared" si="39"/>
        <v>-0.95</v>
      </c>
      <c r="BB32" s="31">
        <f t="shared" si="39"/>
        <v>-0.95</v>
      </c>
      <c r="BC32" s="31">
        <f t="shared" si="39"/>
        <v>-0.95</v>
      </c>
      <c r="BD32" s="31">
        <f t="shared" si="39"/>
        <v>-0.95</v>
      </c>
      <c r="BE32" s="31">
        <f t="shared" si="39"/>
        <v>-0.95</v>
      </c>
      <c r="BF32" s="31">
        <f t="shared" si="39"/>
        <v>-0.95</v>
      </c>
      <c r="BG32" s="31">
        <f t="shared" si="39"/>
        <v>-0.95</v>
      </c>
      <c r="BH32" s="31">
        <f t="shared" si="39"/>
        <v>-0.95</v>
      </c>
      <c r="BI32" s="31">
        <f t="shared" si="39"/>
        <v>-0.95</v>
      </c>
      <c r="BJ32" s="31">
        <f t="shared" si="39"/>
        <v>-0.95</v>
      </c>
      <c r="BK32" s="31">
        <f t="shared" si="39"/>
        <v>-0.95</v>
      </c>
      <c r="BL32" s="31">
        <f t="shared" si="39"/>
        <v>-0.95</v>
      </c>
      <c r="BM32" s="31">
        <f t="shared" si="39"/>
        <v>-0.95</v>
      </c>
      <c r="BN32" s="31">
        <f t="shared" si="39"/>
        <v>-0.95</v>
      </c>
      <c r="BO32" s="31">
        <f t="shared" si="39"/>
        <v>-0.95</v>
      </c>
      <c r="BP32" s="31">
        <f t="shared" si="39"/>
        <v>-0.95</v>
      </c>
      <c r="BQ32" s="31">
        <f t="shared" si="39"/>
        <v>-0.95</v>
      </c>
      <c r="BR32" s="31">
        <f t="shared" si="39"/>
        <v>-0.95</v>
      </c>
      <c r="BS32" s="31">
        <f t="shared" ref="BS32:DJ32" si="40">MIN($F21:$DJ21)</f>
        <v>-0.95</v>
      </c>
      <c r="BT32" s="31">
        <f t="shared" si="40"/>
        <v>-0.95</v>
      </c>
      <c r="BU32" s="31">
        <f t="shared" si="40"/>
        <v>-0.95</v>
      </c>
      <c r="BV32" s="31">
        <f t="shared" si="40"/>
        <v>-0.95</v>
      </c>
      <c r="BW32" s="31">
        <f t="shared" si="40"/>
        <v>-0.95</v>
      </c>
      <c r="BX32" s="31">
        <f t="shared" si="40"/>
        <v>-0.95</v>
      </c>
      <c r="BY32" s="31">
        <f t="shared" si="40"/>
        <v>-0.95</v>
      </c>
      <c r="BZ32" s="31">
        <f t="shared" si="40"/>
        <v>-0.95</v>
      </c>
      <c r="CA32" s="31">
        <f t="shared" si="40"/>
        <v>-0.95</v>
      </c>
      <c r="CB32" s="31">
        <f t="shared" si="40"/>
        <v>-0.95</v>
      </c>
      <c r="CC32" s="31">
        <f t="shared" si="40"/>
        <v>-0.95</v>
      </c>
      <c r="CD32" s="31">
        <f t="shared" si="40"/>
        <v>-0.95</v>
      </c>
      <c r="CE32" s="31">
        <f t="shared" si="40"/>
        <v>-0.95</v>
      </c>
      <c r="CF32" s="31">
        <f t="shared" si="40"/>
        <v>-0.95</v>
      </c>
      <c r="CG32" s="31">
        <f t="shared" si="40"/>
        <v>-0.95</v>
      </c>
      <c r="CH32" s="31">
        <f t="shared" si="40"/>
        <v>-0.95</v>
      </c>
      <c r="CI32" s="31">
        <f t="shared" si="40"/>
        <v>-0.95</v>
      </c>
      <c r="CJ32" s="31">
        <f t="shared" si="40"/>
        <v>-0.95</v>
      </c>
      <c r="CK32" s="31">
        <f t="shared" si="40"/>
        <v>-0.95</v>
      </c>
      <c r="CL32" s="31">
        <f t="shared" si="40"/>
        <v>-0.95</v>
      </c>
      <c r="CM32" s="31">
        <f t="shared" si="40"/>
        <v>-0.95</v>
      </c>
      <c r="CN32" s="31">
        <f t="shared" si="40"/>
        <v>-0.95</v>
      </c>
      <c r="CO32" s="31">
        <f t="shared" si="40"/>
        <v>-0.95</v>
      </c>
      <c r="CP32" s="31">
        <f t="shared" si="40"/>
        <v>-0.95</v>
      </c>
      <c r="CQ32" s="31">
        <f t="shared" si="40"/>
        <v>-0.95</v>
      </c>
      <c r="CR32" s="31">
        <f t="shared" si="40"/>
        <v>-0.95</v>
      </c>
      <c r="CS32" s="31">
        <f t="shared" si="40"/>
        <v>-0.95</v>
      </c>
      <c r="CT32" s="31">
        <f t="shared" si="40"/>
        <v>-0.95</v>
      </c>
      <c r="CU32" s="31">
        <f t="shared" si="40"/>
        <v>-0.95</v>
      </c>
      <c r="CV32" s="31">
        <f t="shared" si="40"/>
        <v>-0.95</v>
      </c>
      <c r="CW32" s="31">
        <f t="shared" si="40"/>
        <v>-0.95</v>
      </c>
      <c r="CX32" s="31">
        <f t="shared" si="40"/>
        <v>-0.95</v>
      </c>
      <c r="CY32" s="31">
        <f t="shared" si="40"/>
        <v>-0.95</v>
      </c>
      <c r="CZ32" s="31">
        <f t="shared" si="40"/>
        <v>-0.95</v>
      </c>
      <c r="DA32" s="31">
        <f t="shared" si="40"/>
        <v>-0.95</v>
      </c>
      <c r="DB32" s="31">
        <f t="shared" si="40"/>
        <v>-0.95</v>
      </c>
      <c r="DC32" s="31">
        <f t="shared" si="40"/>
        <v>-0.95</v>
      </c>
      <c r="DD32" s="31">
        <f t="shared" si="40"/>
        <v>-0.95</v>
      </c>
      <c r="DE32" s="31">
        <f t="shared" si="40"/>
        <v>-0.95</v>
      </c>
      <c r="DF32" s="31">
        <f t="shared" si="40"/>
        <v>-0.95</v>
      </c>
      <c r="DG32" s="31">
        <f t="shared" si="40"/>
        <v>-0.95</v>
      </c>
      <c r="DH32" s="31">
        <f t="shared" si="40"/>
        <v>-0.95</v>
      </c>
      <c r="DI32" s="31">
        <f t="shared" si="40"/>
        <v>-0.95</v>
      </c>
      <c r="DJ32" s="31">
        <f t="shared" si="40"/>
        <v>-0.95</v>
      </c>
      <c r="DK32" s="8">
        <f t="shared" si="31"/>
        <v>0.0317097919837646</v>
      </c>
      <c r="DL32">
        <v>0</v>
      </c>
      <c r="DM32">
        <v>5</v>
      </c>
    </row>
    <row r="33" spans="1:233">
      <c r="A33">
        <v>2030</v>
      </c>
      <c r="B33" t="str">
        <f t="shared" si="32"/>
        <v>UCE_utilization_BSL_UP</v>
      </c>
      <c r="C33" t="s">
        <v>404</v>
      </c>
      <c r="D33" t="str">
        <f t="shared" si="28"/>
        <v>???BSL</v>
      </c>
      <c r="E33" s="53" t="s">
        <v>468</v>
      </c>
      <c r="F33" s="31">
        <f>MIN($F22:$DJ22)</f>
        <v>-0.9</v>
      </c>
      <c r="G33" s="31">
        <f t="shared" ref="G33:BR33" si="41">MIN($F22:$DJ22)</f>
        <v>-0.9</v>
      </c>
      <c r="H33" s="31">
        <f t="shared" si="41"/>
        <v>-0.9</v>
      </c>
      <c r="I33" s="31">
        <f t="shared" si="41"/>
        <v>-0.9</v>
      </c>
      <c r="J33" s="31">
        <f t="shared" si="41"/>
        <v>-0.9</v>
      </c>
      <c r="K33" s="31">
        <f t="shared" si="41"/>
        <v>-0.9</v>
      </c>
      <c r="L33" s="31">
        <f t="shared" si="41"/>
        <v>-0.9</v>
      </c>
      <c r="M33" s="31">
        <f t="shared" si="41"/>
        <v>-0.9</v>
      </c>
      <c r="N33" s="31">
        <f t="shared" si="41"/>
        <v>-0.9</v>
      </c>
      <c r="O33" s="31">
        <f t="shared" si="41"/>
        <v>-0.9</v>
      </c>
      <c r="P33" s="31">
        <f t="shared" si="41"/>
        <v>-0.9</v>
      </c>
      <c r="Q33" s="31">
        <f t="shared" si="41"/>
        <v>-0.9</v>
      </c>
      <c r="R33" s="31">
        <f t="shared" si="41"/>
        <v>-0.9</v>
      </c>
      <c r="S33" s="31">
        <f t="shared" si="41"/>
        <v>-0.9</v>
      </c>
      <c r="T33" s="31">
        <f t="shared" si="41"/>
        <v>-0.9</v>
      </c>
      <c r="U33" s="31">
        <f t="shared" si="41"/>
        <v>-0.9</v>
      </c>
      <c r="V33" s="31">
        <f t="shared" si="41"/>
        <v>-0.9</v>
      </c>
      <c r="W33" s="31">
        <f t="shared" si="41"/>
        <v>-0.9</v>
      </c>
      <c r="X33" s="31">
        <f t="shared" si="41"/>
        <v>-0.9</v>
      </c>
      <c r="Y33" s="31">
        <f t="shared" si="41"/>
        <v>-0.9</v>
      </c>
      <c r="Z33" s="31">
        <f t="shared" si="41"/>
        <v>-0.9</v>
      </c>
      <c r="AA33" s="31">
        <f t="shared" si="41"/>
        <v>-0.9</v>
      </c>
      <c r="AB33" s="31">
        <f t="shared" si="41"/>
        <v>-0.9</v>
      </c>
      <c r="AC33" s="31">
        <f t="shared" si="41"/>
        <v>-0.9</v>
      </c>
      <c r="AD33" s="31">
        <f t="shared" si="41"/>
        <v>-0.9</v>
      </c>
      <c r="AE33" s="31">
        <f t="shared" si="41"/>
        <v>-0.9</v>
      </c>
      <c r="AF33" s="31">
        <f t="shared" si="41"/>
        <v>-0.9</v>
      </c>
      <c r="AG33" s="31">
        <f t="shared" si="41"/>
        <v>-0.9</v>
      </c>
      <c r="AH33" s="31">
        <f t="shared" si="41"/>
        <v>-0.9</v>
      </c>
      <c r="AI33" s="31">
        <f t="shared" si="41"/>
        <v>-0.9</v>
      </c>
      <c r="AJ33" s="31">
        <f t="shared" si="41"/>
        <v>-0.9</v>
      </c>
      <c r="AK33" s="31">
        <f t="shared" si="41"/>
        <v>-0.9</v>
      </c>
      <c r="AL33" s="31">
        <f t="shared" si="41"/>
        <v>-0.9</v>
      </c>
      <c r="AM33" s="31">
        <f t="shared" si="41"/>
        <v>-0.9</v>
      </c>
      <c r="AN33" s="31">
        <f t="shared" si="41"/>
        <v>-0.9</v>
      </c>
      <c r="AO33" s="31">
        <f t="shared" si="41"/>
        <v>-0.9</v>
      </c>
      <c r="AP33" s="31">
        <f t="shared" si="41"/>
        <v>-0.9</v>
      </c>
      <c r="AQ33" s="31">
        <f t="shared" si="41"/>
        <v>-0.9</v>
      </c>
      <c r="AR33" s="31">
        <f t="shared" si="41"/>
        <v>-0.9</v>
      </c>
      <c r="AS33" s="31">
        <f t="shared" si="41"/>
        <v>-0.9</v>
      </c>
      <c r="AT33" s="31">
        <f t="shared" si="41"/>
        <v>-0.9</v>
      </c>
      <c r="AU33" s="31">
        <f t="shared" si="41"/>
        <v>-0.9</v>
      </c>
      <c r="AV33" s="31">
        <f t="shared" si="41"/>
        <v>-0.9</v>
      </c>
      <c r="AW33" s="31">
        <f t="shared" si="41"/>
        <v>-0.9</v>
      </c>
      <c r="AX33" s="31">
        <f t="shared" si="41"/>
        <v>-0.9</v>
      </c>
      <c r="AY33" s="31">
        <f t="shared" si="41"/>
        <v>-0.9</v>
      </c>
      <c r="AZ33" s="31">
        <f t="shared" si="41"/>
        <v>-0.9</v>
      </c>
      <c r="BA33" s="31">
        <f t="shared" si="41"/>
        <v>-0.9</v>
      </c>
      <c r="BB33" s="31">
        <f t="shared" si="41"/>
        <v>-0.9</v>
      </c>
      <c r="BC33" s="31">
        <f t="shared" si="41"/>
        <v>-0.9</v>
      </c>
      <c r="BD33" s="31">
        <f t="shared" si="41"/>
        <v>-0.9</v>
      </c>
      <c r="BE33" s="31">
        <f t="shared" si="41"/>
        <v>-0.9</v>
      </c>
      <c r="BF33" s="31">
        <f t="shared" si="41"/>
        <v>-0.9</v>
      </c>
      <c r="BG33" s="31">
        <f t="shared" si="41"/>
        <v>-0.9</v>
      </c>
      <c r="BH33" s="31">
        <f t="shared" si="41"/>
        <v>-0.9</v>
      </c>
      <c r="BI33" s="31">
        <f t="shared" si="41"/>
        <v>-0.9</v>
      </c>
      <c r="BJ33" s="31">
        <f t="shared" si="41"/>
        <v>-0.9</v>
      </c>
      <c r="BK33" s="31">
        <f t="shared" si="41"/>
        <v>-0.9</v>
      </c>
      <c r="BL33" s="31">
        <f t="shared" si="41"/>
        <v>-0.9</v>
      </c>
      <c r="BM33" s="31">
        <f t="shared" si="41"/>
        <v>-0.9</v>
      </c>
      <c r="BN33" s="31">
        <f t="shared" si="41"/>
        <v>-0.9</v>
      </c>
      <c r="BO33" s="31">
        <f t="shared" si="41"/>
        <v>-0.9</v>
      </c>
      <c r="BP33" s="31">
        <f t="shared" si="41"/>
        <v>-0.9</v>
      </c>
      <c r="BQ33" s="31">
        <f t="shared" si="41"/>
        <v>-0.9</v>
      </c>
      <c r="BR33" s="31">
        <f t="shared" si="41"/>
        <v>-0.9</v>
      </c>
      <c r="BS33" s="31">
        <f t="shared" ref="BS33:DJ33" si="42">MIN($F22:$DJ22)</f>
        <v>-0.9</v>
      </c>
      <c r="BT33" s="31">
        <f t="shared" si="42"/>
        <v>-0.9</v>
      </c>
      <c r="BU33" s="31">
        <f t="shared" si="42"/>
        <v>-0.9</v>
      </c>
      <c r="BV33" s="31">
        <f t="shared" si="42"/>
        <v>-0.9</v>
      </c>
      <c r="BW33" s="31">
        <f t="shared" si="42"/>
        <v>-0.9</v>
      </c>
      <c r="BX33" s="31">
        <f t="shared" si="42"/>
        <v>-0.9</v>
      </c>
      <c r="BY33" s="31">
        <f t="shared" si="42"/>
        <v>-0.9</v>
      </c>
      <c r="BZ33" s="31">
        <f t="shared" si="42"/>
        <v>-0.9</v>
      </c>
      <c r="CA33" s="31">
        <f t="shared" si="42"/>
        <v>-0.9</v>
      </c>
      <c r="CB33" s="31">
        <f t="shared" si="42"/>
        <v>-0.9</v>
      </c>
      <c r="CC33" s="31">
        <f t="shared" si="42"/>
        <v>-0.9</v>
      </c>
      <c r="CD33" s="31">
        <f t="shared" si="42"/>
        <v>-0.9</v>
      </c>
      <c r="CE33" s="31">
        <f t="shared" si="42"/>
        <v>-0.9</v>
      </c>
      <c r="CF33" s="31">
        <f t="shared" si="42"/>
        <v>-0.9</v>
      </c>
      <c r="CG33" s="31">
        <f t="shared" si="42"/>
        <v>-0.9</v>
      </c>
      <c r="CH33" s="31">
        <f t="shared" si="42"/>
        <v>-0.9</v>
      </c>
      <c r="CI33" s="31">
        <f t="shared" si="42"/>
        <v>-0.9</v>
      </c>
      <c r="CJ33" s="31">
        <f t="shared" si="42"/>
        <v>-0.9</v>
      </c>
      <c r="CK33" s="31">
        <f t="shared" si="42"/>
        <v>-0.9</v>
      </c>
      <c r="CL33" s="31">
        <f t="shared" si="42"/>
        <v>-0.9</v>
      </c>
      <c r="CM33" s="31">
        <f t="shared" si="42"/>
        <v>-0.9</v>
      </c>
      <c r="CN33" s="31">
        <f t="shared" si="42"/>
        <v>-0.9</v>
      </c>
      <c r="CO33" s="31">
        <f t="shared" si="42"/>
        <v>-0.9</v>
      </c>
      <c r="CP33" s="31">
        <f t="shared" si="42"/>
        <v>-0.9</v>
      </c>
      <c r="CQ33" s="31">
        <f t="shared" si="42"/>
        <v>-0.9</v>
      </c>
      <c r="CR33" s="31">
        <f t="shared" si="42"/>
        <v>-0.9</v>
      </c>
      <c r="CS33" s="31">
        <f t="shared" si="42"/>
        <v>-0.9</v>
      </c>
      <c r="CT33" s="31">
        <f t="shared" si="42"/>
        <v>-0.9</v>
      </c>
      <c r="CU33" s="31">
        <f t="shared" si="42"/>
        <v>-0.9</v>
      </c>
      <c r="CV33" s="31">
        <f t="shared" si="42"/>
        <v>-0.9</v>
      </c>
      <c r="CW33" s="31">
        <f t="shared" si="42"/>
        <v>-0.9</v>
      </c>
      <c r="CX33" s="31">
        <f t="shared" si="42"/>
        <v>-0.9</v>
      </c>
      <c r="CY33" s="31">
        <f t="shared" si="42"/>
        <v>-0.9</v>
      </c>
      <c r="CZ33" s="31">
        <f t="shared" si="42"/>
        <v>-0.9</v>
      </c>
      <c r="DA33" s="31">
        <f t="shared" si="42"/>
        <v>-0.9</v>
      </c>
      <c r="DB33" s="31">
        <f t="shared" si="42"/>
        <v>-0.9</v>
      </c>
      <c r="DC33" s="31">
        <f t="shared" si="42"/>
        <v>-0.9</v>
      </c>
      <c r="DD33" s="31">
        <f t="shared" si="42"/>
        <v>-0.9</v>
      </c>
      <c r="DE33" s="31">
        <f t="shared" si="42"/>
        <v>-0.9</v>
      </c>
      <c r="DF33" s="31">
        <f t="shared" si="42"/>
        <v>-0.9</v>
      </c>
      <c r="DG33" s="31">
        <f t="shared" si="42"/>
        <v>-0.9</v>
      </c>
      <c r="DH33" s="31">
        <f t="shared" si="42"/>
        <v>-0.9</v>
      </c>
      <c r="DI33" s="31">
        <f t="shared" si="42"/>
        <v>-0.9</v>
      </c>
      <c r="DJ33" s="31">
        <f t="shared" si="42"/>
        <v>-0.9</v>
      </c>
      <c r="DK33" s="8">
        <f t="shared" si="31"/>
        <v>0.0317097919837646</v>
      </c>
      <c r="DL33">
        <v>0</v>
      </c>
      <c r="DM33">
        <v>5</v>
      </c>
    </row>
    <row r="35" spans="1:233">
      <c r="B35" s="19" t="s">
        <v>471</v>
      </c>
    </row>
    <row r="37" spans="1:233">
      <c r="B37" s="22" t="s">
        <v>472</v>
      </c>
      <c r="C37" s="22"/>
      <c r="DS37" t="s">
        <v>473</v>
      </c>
    </row>
    <row r="38" spans="1:233">
      <c r="A38" s="26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6" t="s">
        <v>467</v>
      </c>
      <c r="DL38" s="26" t="s">
        <v>402</v>
      </c>
      <c r="DM38" s="26" t="s">
        <v>42</v>
      </c>
      <c r="DS38" s="26" t="str">
        <f>F38</f>
        <v>Albania</v>
      </c>
      <c r="DT38" s="26" t="str">
        <f t="shared" ref="DT38" si="43">G38</f>
        <v>Algeria</v>
      </c>
      <c r="DU38" s="26" t="str">
        <f t="shared" ref="DU38" si="44">H38</f>
        <v>Angola</v>
      </c>
      <c r="DV38" s="26" t="str">
        <f t="shared" ref="DV38" si="45">I38</f>
        <v>Argentina</v>
      </c>
      <c r="DW38" s="26" t="str">
        <f t="shared" ref="DW38" si="46">J38</f>
        <v>Armenia</v>
      </c>
      <c r="DX38" s="26" t="str">
        <f t="shared" ref="DX38" si="47">K38</f>
        <v>Australia</v>
      </c>
      <c r="DY38" s="26" t="str">
        <f t="shared" ref="DY38" si="48">L38</f>
        <v>Austria</v>
      </c>
      <c r="DZ38" s="26" t="str">
        <f t="shared" ref="DZ38" si="49">M38</f>
        <v>Azerbaijan</v>
      </c>
      <c r="EA38" s="26" t="str">
        <f t="shared" ref="EA38" si="50">N38</f>
        <v>Bangladesh</v>
      </c>
      <c r="EB38" s="26" t="str">
        <f t="shared" ref="EB38" si="51">O38</f>
        <v>Belarus</v>
      </c>
      <c r="EC38" s="26" t="str">
        <f t="shared" ref="EC38" si="52">P38</f>
        <v>Belgium</v>
      </c>
      <c r="ED38" s="26" t="str">
        <f t="shared" ref="ED38" si="53">Q38</f>
        <v>Bosnia_Herz</v>
      </c>
      <c r="EE38" s="26" t="str">
        <f t="shared" ref="EE38" si="54">R38</f>
        <v>Brazil</v>
      </c>
      <c r="EF38" s="26" t="str">
        <f t="shared" ref="EF38" si="55">S38</f>
        <v>Bulgaria</v>
      </c>
      <c r="EG38" s="26" t="str">
        <f t="shared" ref="EG38" si="56">T38</f>
        <v>Cameroon</v>
      </c>
      <c r="EH38" s="26" t="str">
        <f t="shared" ref="EH38" si="57">U38</f>
        <v>Canada</v>
      </c>
      <c r="EI38" s="26" t="str">
        <f t="shared" ref="EI38" si="58">V38</f>
        <v>Chile</v>
      </c>
      <c r="EJ38" s="26" t="str">
        <f t="shared" ref="EJ38" si="59">W38</f>
        <v>China</v>
      </c>
      <c r="EK38" s="26" t="str">
        <f t="shared" ref="EK38" si="60">X38</f>
        <v>Colombia</v>
      </c>
      <c r="EL38" s="26" t="str">
        <f t="shared" ref="EL38" si="61">Y38</f>
        <v>Croatia</v>
      </c>
      <c r="EM38" s="26" t="str">
        <f t="shared" ref="EM38" si="62">Z38</f>
        <v>Cyprus</v>
      </c>
      <c r="EN38" s="26" t="str">
        <f t="shared" ref="EN38" si="63">AA38</f>
        <v>Czech</v>
      </c>
      <c r="EO38" s="26" t="str">
        <f t="shared" ref="EO38" si="64">AB38</f>
        <v>Denmark</v>
      </c>
      <c r="EP38" s="26" t="str">
        <f t="shared" ref="EP38" si="65">AC38</f>
        <v>DR_Congo</v>
      </c>
      <c r="EQ38" s="26" t="str">
        <f t="shared" ref="EQ38" si="66">AD38</f>
        <v>Egypt</v>
      </c>
      <c r="ER38" s="26" t="str">
        <f t="shared" ref="ER38" si="67">AE38</f>
        <v>Estonia</v>
      </c>
      <c r="ES38" s="26" t="str">
        <f t="shared" ref="ES38" si="68">AF38</f>
        <v>Ethiopia</v>
      </c>
      <c r="ET38" s="26" t="str">
        <f t="shared" ref="ET38" si="69">AG38</f>
        <v>Finland</v>
      </c>
      <c r="EU38" s="26" t="str">
        <f t="shared" ref="EU38" si="70">AH38</f>
        <v>France</v>
      </c>
      <c r="EV38" s="26" t="str">
        <f t="shared" ref="EV38" si="71">AI38</f>
        <v>Georgia</v>
      </c>
      <c r="EW38" s="26" t="str">
        <f t="shared" ref="EW38" si="72">AJ38</f>
        <v>Germany</v>
      </c>
      <c r="EX38" s="26" t="str">
        <f t="shared" ref="EX38" si="73">AK38</f>
        <v>Ghana</v>
      </c>
      <c r="EY38" s="26" t="str">
        <f t="shared" ref="EY38" si="74">AL38</f>
        <v>Greece</v>
      </c>
      <c r="EZ38" s="26" t="str">
        <f t="shared" ref="EZ38" si="75">AM38</f>
        <v>Hungary</v>
      </c>
      <c r="FA38" s="26" t="str">
        <f t="shared" ref="FA38" si="76">AN38</f>
        <v>Iceland</v>
      </c>
      <c r="FB38" s="26" t="str">
        <f t="shared" ref="FB38" si="77">AO38</f>
        <v>India</v>
      </c>
      <c r="FC38" s="26" t="str">
        <f t="shared" ref="FC38" si="78">AP38</f>
        <v>Indonesia</v>
      </c>
      <c r="FD38" s="26" t="str">
        <f t="shared" ref="FD38" si="79">AQ38</f>
        <v>Iran</v>
      </c>
      <c r="FE38" s="26" t="str">
        <f t="shared" ref="FE38" si="80">AR38</f>
        <v>Iraq</v>
      </c>
      <c r="FF38" s="26" t="str">
        <f t="shared" ref="FF38" si="81">AS38</f>
        <v>Ireland</v>
      </c>
      <c r="FG38" s="26" t="str">
        <f t="shared" ref="FG38" si="82">AT38</f>
        <v>Israel</v>
      </c>
      <c r="FH38" s="26" t="str">
        <f t="shared" ref="FH38" si="83">AU38</f>
        <v>Italy</v>
      </c>
      <c r="FI38" s="26" t="str">
        <f t="shared" ref="FI38" si="84">AV38</f>
        <v>IvoryCoast</v>
      </c>
      <c r="FJ38" s="26" t="str">
        <f t="shared" ref="FJ38" si="85">AW38</f>
        <v>Japan</v>
      </c>
      <c r="FK38" s="26" t="str">
        <f t="shared" ref="FK38" si="86">AX38</f>
        <v>Kazakhstan</v>
      </c>
      <c r="FL38" s="26" t="str">
        <f t="shared" ref="FL38" si="87">AY38</f>
        <v>Kenya</v>
      </c>
      <c r="FM38" s="26" t="str">
        <f t="shared" ref="FM38" si="88">AZ38</f>
        <v>Kosovo</v>
      </c>
      <c r="FN38" s="26" t="str">
        <f t="shared" ref="FN38" si="89">BA38</f>
        <v>Kuwait</v>
      </c>
      <c r="FO38" s="26" t="str">
        <f t="shared" ref="FO38" si="90">BB38</f>
        <v>Kyrgyzstan</v>
      </c>
      <c r="FP38" s="26" t="str">
        <f t="shared" ref="FP38" si="91">BC38</f>
        <v>Latvia</v>
      </c>
      <c r="FQ38" s="26" t="str">
        <f t="shared" ref="FQ38" si="92">BD38</f>
        <v>Libya</v>
      </c>
      <c r="FR38" s="26" t="str">
        <f t="shared" ref="FR38" si="93">BE38</f>
        <v>Lithuania</v>
      </c>
      <c r="FS38" s="26" t="str">
        <f t="shared" ref="FS38" si="94">BF38</f>
        <v>Luxembourg</v>
      </c>
      <c r="FT38" s="26" t="str">
        <f t="shared" ref="FT38" si="95">BG38</f>
        <v>Macedonia</v>
      </c>
      <c r="FU38" s="26" t="str">
        <f t="shared" ref="FU38" si="96">BH38</f>
        <v>Malaysia</v>
      </c>
      <c r="FV38" s="26" t="str">
        <f t="shared" ref="FV38" si="97">BI38</f>
        <v>Malta</v>
      </c>
      <c r="FW38" s="26" t="str">
        <f t="shared" ref="FW38" si="98">BJ38</f>
        <v>Mexico</v>
      </c>
      <c r="FX38" s="26" t="str">
        <f t="shared" ref="FX38" si="99">BK38</f>
        <v>Moldova</v>
      </c>
      <c r="FY38" s="26" t="str">
        <f t="shared" ref="FY38" si="100">BL38</f>
        <v>Montenegro</v>
      </c>
      <c r="FZ38" s="26" t="str">
        <f t="shared" ref="FZ38" si="101">BM38</f>
        <v>Morocco</v>
      </c>
      <c r="GA38" s="26" t="str">
        <f t="shared" ref="GA38" si="102">BN38</f>
        <v>Mozambique</v>
      </c>
      <c r="GB38" s="26" t="str">
        <f t="shared" ref="GB38" si="103">BO38</f>
        <v>Myanmar</v>
      </c>
      <c r="GC38" s="26" t="str">
        <f t="shared" ref="GC38" si="104">BP38</f>
        <v>Nepal</v>
      </c>
      <c r="GD38" s="26" t="str">
        <f t="shared" ref="GD38" si="105">BQ38</f>
        <v>Netherlands</v>
      </c>
      <c r="GE38" s="26" t="str">
        <f t="shared" ref="GE38" si="106">BR38</f>
        <v>NewZealand</v>
      </c>
      <c r="GF38" s="26" t="str">
        <f t="shared" ref="GF38" si="107">BS38</f>
        <v>Niger</v>
      </c>
      <c r="GG38" s="26" t="str">
        <f t="shared" ref="GG38" si="108">BT38</f>
        <v>Nigeria</v>
      </c>
      <c r="GH38" s="26" t="str">
        <f t="shared" ref="GH38" si="109">BU38</f>
        <v>Norway</v>
      </c>
      <c r="GI38" s="26" t="str">
        <f t="shared" ref="GI38" si="110">BV38</f>
        <v>Oman</v>
      </c>
      <c r="GJ38" s="26" t="str">
        <f t="shared" ref="GJ38" si="111">BW38</f>
        <v>Other_Africa</v>
      </c>
      <c r="GK38" s="26" t="str">
        <f t="shared" ref="GK38" si="112">BX38</f>
        <v>Other_AsiaEm</v>
      </c>
      <c r="GL38" s="26" t="str">
        <f t="shared" ref="GL38" si="113">BY38</f>
        <v>Other_EurDev</v>
      </c>
      <c r="GM38" s="26" t="str">
        <f t="shared" ref="GM38" si="114">BZ38</f>
        <v>Other_LatAm</v>
      </c>
      <c r="GN38" s="26" t="str">
        <f t="shared" ref="GN38" si="115">CA38</f>
        <v>Other_MidEast</v>
      </c>
      <c r="GO38" s="26" t="str">
        <f t="shared" ref="GO38" si="116">CB38</f>
        <v>Pakistan</v>
      </c>
      <c r="GP38" s="26" t="str">
        <f t="shared" ref="GP38" si="117">CC38</f>
        <v>Peru</v>
      </c>
      <c r="GQ38" s="26" t="str">
        <f t="shared" ref="GQ38" si="118">CD38</f>
        <v>Philippines</v>
      </c>
      <c r="GR38" s="26" t="str">
        <f t="shared" ref="GR38" si="119">CE38</f>
        <v>Poland</v>
      </c>
      <c r="GS38" s="26" t="str">
        <f t="shared" ref="GS38" si="120">CF38</f>
        <v>Portugal</v>
      </c>
      <c r="GT38" s="26" t="str">
        <f t="shared" ref="GT38" si="121">CG38</f>
        <v>Qatar</v>
      </c>
      <c r="GU38" s="26" t="str">
        <f t="shared" ref="GU38" si="122">CH38</f>
        <v>Romania</v>
      </c>
      <c r="GV38" s="26" t="str">
        <f t="shared" ref="GV38" si="123">CI38</f>
        <v>Russia</v>
      </c>
      <c r="GW38" s="26" t="str">
        <f t="shared" ref="GW38" si="124">CJ38</f>
        <v>SaudiArabia</v>
      </c>
      <c r="GX38" s="26" t="str">
        <f t="shared" ref="GX38" si="125">CK38</f>
        <v>Serbia</v>
      </c>
      <c r="GY38" s="26" t="str">
        <f t="shared" ref="GY38" si="126">CL38</f>
        <v>Singapore</v>
      </c>
      <c r="GZ38" s="26" t="str">
        <f t="shared" ref="GZ38" si="127">CM38</f>
        <v>Slovak</v>
      </c>
      <c r="HA38" s="26" t="str">
        <f t="shared" ref="HA38" si="128">CN38</f>
        <v>Slovenia</v>
      </c>
      <c r="HB38" s="26" t="str">
        <f t="shared" ref="HB38" si="129">CO38</f>
        <v>SouthAfrica</v>
      </c>
      <c r="HC38" s="26" t="str">
        <f t="shared" ref="HC38" si="130">CP38</f>
        <v>SouthKorea</v>
      </c>
      <c r="HD38" s="26" t="str">
        <f t="shared" ref="HD38" si="131">CQ38</f>
        <v>Spain</v>
      </c>
      <c r="HE38" s="26" t="str">
        <f t="shared" ref="HE38" si="132">CR38</f>
        <v>Sudan</v>
      </c>
      <c r="HF38" s="26" t="str">
        <f t="shared" ref="HF38" si="133">CS38</f>
        <v>Sweden</v>
      </c>
      <c r="HG38" s="26" t="str">
        <f t="shared" ref="HG38" si="134">CT38</f>
        <v>Switzerland</v>
      </c>
      <c r="HH38" s="26" t="str">
        <f t="shared" ref="HH38" si="135">CU38</f>
        <v>Taiwan</v>
      </c>
      <c r="HI38" s="26" t="str">
        <f t="shared" ref="HI38" si="136">CV38</f>
        <v>Tajikistan</v>
      </c>
      <c r="HJ38" s="26" t="str">
        <f t="shared" ref="HJ38" si="137">CW38</f>
        <v>Tanzania</v>
      </c>
      <c r="HK38" s="26" t="str">
        <f t="shared" ref="HK38" si="138">CX38</f>
        <v>Thailand</v>
      </c>
      <c r="HL38" s="26" t="str">
        <f t="shared" ref="HL38" si="139">CY38</f>
        <v>Tunisia</v>
      </c>
      <c r="HM38" s="26" t="str">
        <f t="shared" ref="HM38" si="140">CZ38</f>
        <v>Turkey</v>
      </c>
      <c r="HN38" s="26" t="str">
        <f t="shared" ref="HN38" si="141">DA38</f>
        <v>Turkmenistan</v>
      </c>
      <c r="HO38" s="26" t="str">
        <f t="shared" ref="HO38" si="142">DB38</f>
        <v>UAE</v>
      </c>
      <c r="HP38" s="26" t="str">
        <f t="shared" ref="HP38" si="143">DC38</f>
        <v>UK</v>
      </c>
      <c r="HQ38" s="26" t="str">
        <f t="shared" ref="HQ38" si="144">DD38</f>
        <v>Ukraine</v>
      </c>
      <c r="HR38" s="26" t="str">
        <f t="shared" ref="HR38" si="145">DE38</f>
        <v>USA</v>
      </c>
      <c r="HS38" s="26" t="str">
        <f t="shared" ref="HS38" si="146">DF38</f>
        <v>Uzbekistan</v>
      </c>
      <c r="HT38" s="26" t="str">
        <f t="shared" ref="HT38" si="147">DG38</f>
        <v>Venezuela</v>
      </c>
      <c r="HU38" s="26" t="str">
        <f t="shared" ref="HU38" si="148">DH38</f>
        <v>Vietnam</v>
      </c>
      <c r="HV38" s="26" t="str">
        <f t="shared" ref="HV38" si="149">DI38</f>
        <v>Yemen</v>
      </c>
      <c r="HW38" s="26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404</v>
      </c>
      <c r="D39" t="s">
        <v>474</v>
      </c>
      <c r="E39">
        <v>-0.03</v>
      </c>
      <c r="F39" s="8"/>
      <c r="G39" s="8"/>
      <c r="H39" s="8"/>
      <c r="I39" s="8">
        <v>-0.293409360730594</v>
      </c>
      <c r="J39" s="8"/>
      <c r="K39" s="8">
        <v>-0.598376220463033</v>
      </c>
      <c r="L39" s="8"/>
      <c r="M39" s="8"/>
      <c r="N39" s="8">
        <v>-0.26986553182917</v>
      </c>
      <c r="O39" s="8"/>
      <c r="P39" s="8"/>
      <c r="Q39" s="8">
        <v>-0.586153220612268</v>
      </c>
      <c r="R39" s="8">
        <v>-0.426310279939035</v>
      </c>
      <c r="S39" s="8"/>
      <c r="T39" s="8"/>
      <c r="U39" s="8">
        <v>-0.50299568006589</v>
      </c>
      <c r="V39" s="8">
        <v>-0.63295049796623</v>
      </c>
      <c r="W39" s="8">
        <v>-0.472536802427996</v>
      </c>
      <c r="X39" s="8">
        <v>-0.273809225195794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>
        <v>-0.52512070009242</v>
      </c>
      <c r="AP39" s="8">
        <v>-0.533198312406349</v>
      </c>
      <c r="AQ39" s="8">
        <v>-0.183381929544663</v>
      </c>
      <c r="AR39" s="8"/>
      <c r="AS39" s="8"/>
      <c r="AT39" s="8">
        <v>-0.399684893769576</v>
      </c>
      <c r="AU39" s="8"/>
      <c r="AV39" s="8"/>
      <c r="AW39" s="8">
        <v>-0.649862254947675</v>
      </c>
      <c r="AX39" s="8"/>
      <c r="AY39" s="8"/>
      <c r="AZ39" s="8"/>
      <c r="BA39" s="8"/>
      <c r="BB39" s="8">
        <v>-0.129943289138288</v>
      </c>
      <c r="BC39" s="8"/>
      <c r="BD39" s="8"/>
      <c r="BE39" s="8"/>
      <c r="BF39" s="8"/>
      <c r="BG39" s="8">
        <v>-0.302819662410782</v>
      </c>
      <c r="BH39" s="8">
        <v>-0.649696799492412</v>
      </c>
      <c r="BI39" s="8"/>
      <c r="BJ39" s="8">
        <v>-0.326562772262462</v>
      </c>
      <c r="BK39" s="8"/>
      <c r="BL39" s="8">
        <v>-0.658548959918823</v>
      </c>
      <c r="BM39" s="8">
        <v>-0.566928255784559</v>
      </c>
      <c r="BN39" s="8"/>
      <c r="BO39" s="8">
        <v>-0.0160992479183454</v>
      </c>
      <c r="BP39" s="8"/>
      <c r="BQ39" s="8"/>
      <c r="BR39" s="8"/>
      <c r="BS39" s="8">
        <v>-0.569935271543768</v>
      </c>
      <c r="BT39" s="8"/>
      <c r="BU39" s="8"/>
      <c r="BV39" s="8"/>
      <c r="BW39" s="8">
        <v>-0.320603006420796</v>
      </c>
      <c r="BX39" s="8">
        <v>-0.288605198454514</v>
      </c>
      <c r="BY39" s="8"/>
      <c r="BZ39" s="8">
        <v>-0.546331235914865</v>
      </c>
      <c r="CA39" s="8"/>
      <c r="CB39" s="8"/>
      <c r="CC39" s="8">
        <v>-0.0110121765601218</v>
      </c>
      <c r="CD39" s="8">
        <v>-0.59675367501824</v>
      </c>
      <c r="CE39" s="8"/>
      <c r="CF39" s="8"/>
      <c r="CG39" s="8"/>
      <c r="CH39" s="8"/>
      <c r="CI39" s="8"/>
      <c r="CJ39" s="8"/>
      <c r="CK39" s="8"/>
      <c r="CL39" s="8">
        <v>-0.427763124308687</v>
      </c>
      <c r="CM39" s="8"/>
      <c r="CN39" s="8"/>
      <c r="CO39" s="8">
        <v>-0.478050564554038</v>
      </c>
      <c r="CP39" s="8">
        <v>-0.554420842193625</v>
      </c>
      <c r="CQ39" s="8"/>
      <c r="CR39" s="8"/>
      <c r="CS39" s="8"/>
      <c r="CT39" s="8"/>
      <c r="CU39" s="8">
        <v>-0.684198284334781</v>
      </c>
      <c r="CV39" s="8">
        <v>-0.106809931506849</v>
      </c>
      <c r="CW39" s="8"/>
      <c r="CX39" s="8">
        <v>-0.38627396738322</v>
      </c>
      <c r="CY39" s="8"/>
      <c r="CZ39" s="8"/>
      <c r="DA39" s="8"/>
      <c r="DB39" s="8"/>
      <c r="DC39" s="8">
        <v>-0.133018102132119</v>
      </c>
      <c r="DD39" s="8"/>
      <c r="DE39" s="8">
        <v>-0.451284796080409</v>
      </c>
      <c r="DH39">
        <v>-0.375095801978364</v>
      </c>
      <c r="DJ39">
        <v>-0.112909921129099</v>
      </c>
      <c r="DK39" s="8">
        <f>1/31.536</f>
        <v>0.0317097919837646</v>
      </c>
      <c r="DL39">
        <v>0</v>
      </c>
      <c r="DM39">
        <v>5</v>
      </c>
      <c r="DQ39" s="17">
        <v>0.5</v>
      </c>
      <c r="DS39" s="26">
        <f>-F39*$DQ$39</f>
        <v>0</v>
      </c>
      <c r="DT39" s="26">
        <f t="shared" ref="DT39:EF42" si="151">-G39*$DQ$39</f>
        <v>0</v>
      </c>
      <c r="DU39" s="26">
        <f t="shared" si="151"/>
        <v>0</v>
      </c>
      <c r="DV39" s="26">
        <f t="shared" si="151"/>
        <v>0.146704680365297</v>
      </c>
      <c r="DW39" s="26">
        <f t="shared" si="151"/>
        <v>0</v>
      </c>
      <c r="DX39" s="26">
        <f t="shared" si="151"/>
        <v>0.299188110231516</v>
      </c>
      <c r="DY39" s="26">
        <f t="shared" si="151"/>
        <v>0</v>
      </c>
      <c r="DZ39" s="26">
        <f t="shared" si="151"/>
        <v>0</v>
      </c>
      <c r="EA39" s="26">
        <f t="shared" si="151"/>
        <v>0.134932765914585</v>
      </c>
      <c r="EB39" s="26">
        <f t="shared" si="151"/>
        <v>0</v>
      </c>
      <c r="EC39" s="26">
        <f t="shared" si="151"/>
        <v>0</v>
      </c>
      <c r="ED39" s="26">
        <f t="shared" si="151"/>
        <v>0.293076610306134</v>
      </c>
      <c r="EE39" s="26">
        <f t="shared" si="151"/>
        <v>0.213155139969517</v>
      </c>
      <c r="EF39" s="26">
        <f t="shared" si="151"/>
        <v>0</v>
      </c>
      <c r="EG39" s="26">
        <f t="shared" ref="EG39:EG42" si="152">-T39*$DQ$39</f>
        <v>0</v>
      </c>
      <c r="EH39" s="26">
        <f t="shared" ref="EH39:EH42" si="153">-U39*$DQ$39</f>
        <v>0.251497840032945</v>
      </c>
      <c r="EI39" s="26">
        <f t="shared" ref="EI39:EI42" si="154">-V39*$DQ$39</f>
        <v>0.316475248983115</v>
      </c>
      <c r="EJ39" s="26">
        <f t="shared" ref="EJ39:EJ42" si="155">-W39*$DQ$39</f>
        <v>0.236268401213998</v>
      </c>
      <c r="EK39" s="26">
        <f t="shared" ref="EK39:EK42" si="156">-X39*$DQ$39</f>
        <v>0.136904612597897</v>
      </c>
      <c r="EL39" s="26">
        <f t="shared" ref="EL39:EL42" si="157">-Y39*$DQ$39</f>
        <v>0</v>
      </c>
      <c r="EM39" s="26">
        <f t="shared" ref="EM39:EM42" si="158">-Z39*$DQ$39</f>
        <v>0</v>
      </c>
      <c r="EN39" s="26">
        <f t="shared" ref="EN39:EN42" si="159">-AA39*$DQ$39</f>
        <v>0</v>
      </c>
      <c r="EO39" s="26">
        <f t="shared" ref="EO39:EO42" si="160">-AB39*$DQ$39</f>
        <v>0</v>
      </c>
      <c r="EP39" s="26">
        <f t="shared" ref="EP39:EP42" si="161">-AC39*$DQ$39</f>
        <v>0</v>
      </c>
      <c r="EQ39" s="26">
        <f t="shared" ref="EQ39:EQ42" si="162">-AD39*$DQ$39</f>
        <v>0</v>
      </c>
      <c r="ER39" s="26">
        <f t="shared" ref="ER39:ER42" si="163">-AE39*$DQ$39</f>
        <v>0</v>
      </c>
      <c r="ES39" s="26">
        <f t="shared" ref="ES39:ES42" si="164">-AF39*$DQ$39</f>
        <v>0</v>
      </c>
      <c r="ET39" s="26">
        <f t="shared" ref="ET39:ET42" si="165">-AG39*$DQ$39</f>
        <v>0</v>
      </c>
      <c r="EU39" s="26">
        <f t="shared" ref="EU39:EU42" si="166">-AH39*$DQ$39</f>
        <v>0</v>
      </c>
      <c r="EV39" s="26">
        <f t="shared" ref="EV39:EV42" si="167">-AI39*$DQ$39</f>
        <v>0</v>
      </c>
      <c r="EW39" s="26">
        <f t="shared" ref="EW39:EW42" si="168">-AJ39*$DQ$39</f>
        <v>0</v>
      </c>
      <c r="EX39" s="26">
        <f t="shared" ref="EX39:EX42" si="169">-AK39*$DQ$39</f>
        <v>0</v>
      </c>
      <c r="EY39" s="26">
        <f t="shared" ref="EY39:EY42" si="170">-AL39*$DQ$39</f>
        <v>0</v>
      </c>
      <c r="EZ39" s="26">
        <f t="shared" ref="EZ39:EZ42" si="171">-AM39*$DQ$39</f>
        <v>0</v>
      </c>
      <c r="FA39" s="26">
        <f t="shared" ref="FA39:FA42" si="172">-AN39*$DQ$39</f>
        <v>0</v>
      </c>
      <c r="FB39" s="26">
        <f t="shared" ref="FB39:FB42" si="173">-AO39*$DQ$39</f>
        <v>0.26256035004621</v>
      </c>
      <c r="FC39" s="26">
        <f t="shared" ref="FC39:FC42" si="174">-AP39*$DQ$39</f>
        <v>0.266599156203174</v>
      </c>
      <c r="FD39" s="26">
        <f t="shared" ref="FD39:FD42" si="175">-AQ39*$DQ$39</f>
        <v>0.0916909647723315</v>
      </c>
      <c r="FE39" s="26">
        <f t="shared" ref="FE39:FE42" si="176">-AR39*$DQ$39</f>
        <v>0</v>
      </c>
      <c r="FF39" s="26">
        <f t="shared" ref="FF39:FF42" si="177">-AS39*$DQ$39</f>
        <v>0</v>
      </c>
      <c r="FG39" s="26">
        <f t="shared" ref="FG39:FG42" si="178">-AT39*$DQ$39</f>
        <v>0.199842446884788</v>
      </c>
      <c r="FH39" s="26">
        <f t="shared" ref="FH39:FH42" si="179">-AU39*$DQ$39</f>
        <v>0</v>
      </c>
      <c r="FI39" s="26">
        <f t="shared" ref="FI39:FI42" si="180">-AV39*$DQ$39</f>
        <v>0</v>
      </c>
      <c r="FJ39" s="26">
        <f t="shared" ref="FJ39:FJ42" si="181">-AW39*$DQ$39</f>
        <v>0.324931127473838</v>
      </c>
      <c r="FK39" s="26">
        <f t="shared" ref="FK39:FK42" si="182">-AX39*$DQ$39</f>
        <v>0</v>
      </c>
      <c r="FL39" s="26">
        <f t="shared" ref="FL39:FL42" si="183">-AY39*$DQ$39</f>
        <v>0</v>
      </c>
      <c r="FM39" s="26">
        <f t="shared" ref="FM39:FM42" si="184">-AZ39*$DQ$39</f>
        <v>0</v>
      </c>
      <c r="FN39" s="26">
        <f t="shared" ref="FN39:FN42" si="185">-BA39*$DQ$39</f>
        <v>0</v>
      </c>
      <c r="FO39" s="26">
        <f t="shared" ref="FO39:FO42" si="186">-BB39*$DQ$39</f>
        <v>0.064971644569144</v>
      </c>
      <c r="FP39" s="26">
        <f t="shared" ref="FP39:FP42" si="187">-BC39*$DQ$39</f>
        <v>0</v>
      </c>
      <c r="FQ39" s="26">
        <f t="shared" ref="FQ39:FQ42" si="188">-BD39*$DQ$39</f>
        <v>0</v>
      </c>
      <c r="FR39" s="26">
        <f t="shared" ref="FR39:FR42" si="189">-BE39*$DQ$39</f>
        <v>0</v>
      </c>
      <c r="FS39" s="26">
        <f t="shared" ref="FS39:FS42" si="190">-BF39*$DQ$39</f>
        <v>0</v>
      </c>
      <c r="FT39" s="26">
        <f t="shared" ref="FT39:FT42" si="191">-BG39*$DQ$39</f>
        <v>0.151409831205391</v>
      </c>
      <c r="FU39" s="26">
        <f t="shared" ref="FU39:FU42" si="192">-BH39*$DQ$39</f>
        <v>0.324848399746206</v>
      </c>
      <c r="FV39" s="26">
        <f t="shared" ref="FV39:FV42" si="193">-BI39*$DQ$39</f>
        <v>0</v>
      </c>
      <c r="FW39" s="26">
        <f t="shared" ref="FW39:FW42" si="194">-BJ39*$DQ$39</f>
        <v>0.163281386131231</v>
      </c>
      <c r="FX39" s="26">
        <f t="shared" ref="FX39:FX42" si="195">-BK39*$DQ$39</f>
        <v>0</v>
      </c>
      <c r="FY39" s="26">
        <f t="shared" ref="FY39:FY42" si="196">-BL39*$DQ$39</f>
        <v>0.329274479959412</v>
      </c>
      <c r="FZ39" s="26">
        <f t="shared" ref="FZ39:FZ42" si="197">-BM39*$DQ$39</f>
        <v>0.283464127892279</v>
      </c>
      <c r="GA39" s="26">
        <f t="shared" ref="GA39:GA42" si="198">-BN39*$DQ$39</f>
        <v>0</v>
      </c>
      <c r="GB39" s="26">
        <f t="shared" ref="GB39:GB42" si="199">-BO39*$DQ$39</f>
        <v>0.0080496239591727</v>
      </c>
      <c r="GC39" s="26">
        <f t="shared" ref="GC39:GC42" si="200">-BP39*$DQ$39</f>
        <v>0</v>
      </c>
      <c r="GD39" s="26">
        <f t="shared" ref="GD39:GD42" si="201">-BQ39*$DQ$39</f>
        <v>0</v>
      </c>
      <c r="GE39" s="26">
        <f t="shared" ref="GE39:GE42" si="202">-BR39*$DQ$39</f>
        <v>0</v>
      </c>
      <c r="GF39" s="26">
        <f t="shared" ref="GF39:GF42" si="203">-BS39*$DQ$39</f>
        <v>0.284967635771884</v>
      </c>
      <c r="GG39" s="26">
        <f t="shared" ref="GG39:GG42" si="204">-BT39*$DQ$39</f>
        <v>0</v>
      </c>
      <c r="GH39" s="26">
        <f t="shared" ref="GH39:GH42" si="205">-BU39*$DQ$39</f>
        <v>0</v>
      </c>
      <c r="GI39" s="26">
        <f t="shared" ref="GI39:GI42" si="206">-BV39*$DQ$39</f>
        <v>0</v>
      </c>
      <c r="GJ39" s="26">
        <f t="shared" ref="GJ39:GJ42" si="207">-BW39*$DQ$39</f>
        <v>0.160301503210398</v>
      </c>
      <c r="GK39" s="26">
        <f t="shared" ref="GK39:GK42" si="208">-BX39*$DQ$39</f>
        <v>0.144302599227257</v>
      </c>
      <c r="GL39" s="26">
        <f t="shared" ref="GL39:GL42" si="209">-BY39*$DQ$39</f>
        <v>0</v>
      </c>
      <c r="GM39" s="26">
        <f t="shared" ref="GM39:GM42" si="210">-BZ39*$DQ$39</f>
        <v>0.273165617957432</v>
      </c>
      <c r="GN39" s="26">
        <f t="shared" ref="GN39:GN42" si="211">-CA39*$DQ$39</f>
        <v>0</v>
      </c>
      <c r="GO39" s="26">
        <f t="shared" ref="GO39:GO42" si="212">-CB39*$DQ$39</f>
        <v>0</v>
      </c>
      <c r="GP39" s="26">
        <f t="shared" ref="GP39:GP42" si="213">-CC39*$DQ$39</f>
        <v>0.0055060882800609</v>
      </c>
      <c r="GQ39" s="26">
        <f t="shared" ref="GQ39:GQ42" si="214">-CD39*$DQ$39</f>
        <v>0.29837683750912</v>
      </c>
      <c r="GR39" s="26">
        <f t="shared" ref="GR39:GR42" si="215">-CE39*$DQ$39</f>
        <v>0</v>
      </c>
      <c r="GS39" s="26">
        <f t="shared" ref="GS39:GS42" si="216">-CF39*$DQ$39</f>
        <v>0</v>
      </c>
      <c r="GT39" s="26">
        <f t="shared" ref="GT39:GT42" si="217">-CG39*$DQ$39</f>
        <v>0</v>
      </c>
      <c r="GU39" s="26">
        <f t="shared" ref="GU39:GU42" si="218">-CH39*$DQ$39</f>
        <v>0</v>
      </c>
      <c r="GV39" s="26">
        <f t="shared" ref="GV39:GV42" si="219">-CI39*$DQ$39</f>
        <v>0</v>
      </c>
      <c r="GW39" s="26">
        <f t="shared" ref="GW39:GW42" si="220">-CJ39*$DQ$39</f>
        <v>0</v>
      </c>
      <c r="GX39" s="26">
        <f t="shared" ref="GX39:GX42" si="221">-CK39*$DQ$39</f>
        <v>0</v>
      </c>
      <c r="GY39" s="26">
        <f t="shared" ref="GY39:GY42" si="222">-CL39*$DQ$39</f>
        <v>0.213881562154344</v>
      </c>
      <c r="GZ39" s="26">
        <f t="shared" ref="GZ39:GZ42" si="223">-CM39*$DQ$39</f>
        <v>0</v>
      </c>
      <c r="HA39" s="26">
        <f t="shared" ref="HA39:HA42" si="224">-CN39*$DQ$39</f>
        <v>0</v>
      </c>
      <c r="HB39" s="26">
        <f t="shared" ref="HB39:HB42" si="225">-CO39*$DQ$39</f>
        <v>0.239025282277019</v>
      </c>
      <c r="HC39" s="26">
        <f t="shared" ref="HC39:HC42" si="226">-CP39*$DQ$39</f>
        <v>0.277210421096812</v>
      </c>
      <c r="HD39" s="26">
        <f t="shared" ref="HD39:HD42" si="227">-CQ39*$DQ$39</f>
        <v>0</v>
      </c>
      <c r="HE39" s="26">
        <f t="shared" ref="HE39:HE42" si="228">-CR39*$DQ$39</f>
        <v>0</v>
      </c>
      <c r="HF39" s="26">
        <f t="shared" ref="HF39:HF42" si="229">-CS39*$DQ$39</f>
        <v>0</v>
      </c>
      <c r="HG39" s="26">
        <f t="shared" ref="HG39:HG42" si="230">-CT39*$DQ$39</f>
        <v>0</v>
      </c>
      <c r="HH39" s="26">
        <f t="shared" ref="HH39:HH42" si="231">-CU39*$DQ$39</f>
        <v>0.342099142167391</v>
      </c>
      <c r="HI39" s="26">
        <f t="shared" ref="HI39:HI42" si="232">-CV39*$DQ$39</f>
        <v>0.0534049657534245</v>
      </c>
      <c r="HJ39" s="26">
        <f t="shared" ref="HJ39:HJ42" si="233">-CW39*$DQ$39</f>
        <v>0</v>
      </c>
      <c r="HK39" s="26">
        <f t="shared" ref="HK39:HK42" si="234">-CX39*$DQ$39</f>
        <v>0.19313698369161</v>
      </c>
      <c r="HL39" s="26">
        <f t="shared" ref="HL39:HL42" si="235">-CY39*$DQ$39</f>
        <v>0</v>
      </c>
      <c r="HM39" s="26">
        <f t="shared" ref="HM39:HM42" si="236">-CZ39*$DQ$39</f>
        <v>0</v>
      </c>
      <c r="HN39" s="26">
        <f t="shared" ref="HN39:HN42" si="237">-DA39*$DQ$39</f>
        <v>0</v>
      </c>
      <c r="HO39" s="26">
        <f t="shared" ref="HO39:HO42" si="238">-DB39*$DQ$39</f>
        <v>0</v>
      </c>
      <c r="HP39" s="26">
        <f t="shared" ref="HP39:HP42" si="239">-DC39*$DQ$39</f>
        <v>0.0665090510660595</v>
      </c>
      <c r="HQ39" s="26">
        <f t="shared" ref="HQ39:HQ42" si="240">-DD39*$DQ$39</f>
        <v>0</v>
      </c>
      <c r="HR39" s="26">
        <f t="shared" ref="HR39:HR42" si="241">-DE39*$DQ$39</f>
        <v>0.225642398040205</v>
      </c>
      <c r="HS39" s="26">
        <f t="shared" ref="HS39:HS42" si="242">-DF39*$DQ$39</f>
        <v>0</v>
      </c>
      <c r="HT39" s="26">
        <f t="shared" ref="HT39:HT42" si="243">-DG39*$DQ$39</f>
        <v>0</v>
      </c>
      <c r="HU39" s="26">
        <f t="shared" ref="HU39:HU42" si="244">-DH39*$DQ$39</f>
        <v>0.187547900989182</v>
      </c>
      <c r="HV39" s="26">
        <f t="shared" ref="HV39:HV42" si="245">-DI39*$DQ$39</f>
        <v>0</v>
      </c>
      <c r="HW39" s="26">
        <f t="shared" ref="HW39:HW42" si="246">-DJ39*$DQ$39</f>
        <v>0.0564549605645495</v>
      </c>
      <c r="HX39" t="s">
        <v>404</v>
      </c>
      <c r="HY39" t="s">
        <v>474</v>
      </c>
    </row>
    <row r="40" spans="1:233">
      <c r="A40">
        <v>2019</v>
      </c>
      <c r="B40" t="str">
        <f>"UCE_utilization_"&amp;D45&amp;"_LO"</f>
        <v>UCE_utilization_Nat Gas_LO</v>
      </c>
      <c r="C40" t="s">
        <v>404</v>
      </c>
      <c r="D40" t="s">
        <v>475</v>
      </c>
      <c r="E40">
        <v>-0.03</v>
      </c>
      <c r="G40" s="8">
        <v>-0.384533982698091</v>
      </c>
      <c r="H40" s="8">
        <v>-0.0214716038498274</v>
      </c>
      <c r="I40" s="8">
        <v>-0.459733967260922</v>
      </c>
      <c r="J40" s="8">
        <v>-0.143161226025002</v>
      </c>
      <c r="K40" s="8">
        <v>-0.233579567101517</v>
      </c>
      <c r="L40" s="8"/>
      <c r="M40" s="8"/>
      <c r="N40" s="8">
        <v>-0.484395902537849</v>
      </c>
      <c r="O40" s="8"/>
      <c r="P40" s="8"/>
      <c r="Q40" s="8">
        <v>-0.0111588710793306</v>
      </c>
      <c r="R40" s="8">
        <v>-0.224790419850812</v>
      </c>
      <c r="S40" s="8"/>
      <c r="T40" s="8">
        <v>-0.432717066639201</v>
      </c>
      <c r="U40" s="8">
        <v>-0.332051499958549</v>
      </c>
      <c r="V40" s="8">
        <v>-0.271805865965733</v>
      </c>
      <c r="W40" s="8">
        <v>-0.269711414579967</v>
      </c>
      <c r="X40" s="8">
        <v>-0.351942679306793</v>
      </c>
      <c r="Y40" s="8"/>
      <c r="Z40" s="8"/>
      <c r="AA40" s="8"/>
      <c r="AB40" s="8"/>
      <c r="AC40" s="8"/>
      <c r="AD40" s="8">
        <v>-0.332180515720349</v>
      </c>
      <c r="AE40" s="8"/>
      <c r="AF40" s="8"/>
      <c r="AG40" s="8"/>
      <c r="AH40" s="8"/>
      <c r="AI40" s="8">
        <v>-0.228464117423413</v>
      </c>
      <c r="AJ40" s="8"/>
      <c r="AK40" s="8">
        <v>-0.200217012033378</v>
      </c>
      <c r="AL40" s="8"/>
      <c r="AM40" s="8"/>
      <c r="AN40" s="8"/>
      <c r="AO40" s="8">
        <v>-0.24104621623857</v>
      </c>
      <c r="AP40" s="8">
        <v>-0.328900519675922</v>
      </c>
      <c r="AQ40" s="8">
        <v>-0.725549806608118</v>
      </c>
      <c r="AR40" s="8"/>
      <c r="AS40" s="8"/>
      <c r="AT40" s="8">
        <v>-0.353657235522554</v>
      </c>
      <c r="AU40" s="8"/>
      <c r="AV40" s="8">
        <v>-0.849320712757731</v>
      </c>
      <c r="AW40" s="8">
        <v>-0.508052285448655</v>
      </c>
      <c r="AX40" s="8"/>
      <c r="AY40" s="8"/>
      <c r="AZ40" s="8"/>
      <c r="BA40" s="8">
        <v>-0.41403249168567</v>
      </c>
      <c r="BB40" s="8"/>
      <c r="BC40" s="8"/>
      <c r="BD40" s="8">
        <v>-0.36256416569672</v>
      </c>
      <c r="BE40" s="8"/>
      <c r="BF40" s="8"/>
      <c r="BG40" s="8">
        <v>-0.0832287289199367</v>
      </c>
      <c r="BH40" s="8">
        <v>-0.394838008163054</v>
      </c>
      <c r="BI40" s="8">
        <v>-0.410457042147472</v>
      </c>
      <c r="BJ40" s="8">
        <v>-0.595796176216582</v>
      </c>
      <c r="BK40" s="8"/>
      <c r="BL40" s="8"/>
      <c r="BM40" s="8">
        <v>-0.0939329358431063</v>
      </c>
      <c r="BN40" s="8">
        <v>-0.0129622481023366</v>
      </c>
      <c r="BO40" s="8">
        <v>-0.41461972074467</v>
      </c>
      <c r="BP40" s="8"/>
      <c r="BQ40" s="8"/>
      <c r="BR40" s="8">
        <v>-0.420683240317944</v>
      </c>
      <c r="BS40" s="8">
        <v>-0.204180256577517</v>
      </c>
      <c r="BT40" s="8">
        <v>-0.225221320509495</v>
      </c>
      <c r="BU40" s="8"/>
      <c r="BV40" s="8">
        <v>-0.413085256474327</v>
      </c>
      <c r="BW40" s="8">
        <v>-0.258145333334274</v>
      </c>
      <c r="BX40" s="8">
        <v>-0.457937971664299</v>
      </c>
      <c r="BY40" s="8">
        <v>-0.0514840182648402</v>
      </c>
      <c r="BZ40" s="8">
        <v>-0.398888033067475</v>
      </c>
      <c r="CA40" s="8">
        <v>-0.39225911049219</v>
      </c>
      <c r="CB40" s="8"/>
      <c r="CC40" s="8">
        <v>-0.281100250541319</v>
      </c>
      <c r="CD40" s="8">
        <v>-0.617494569152788</v>
      </c>
      <c r="CE40" s="8"/>
      <c r="CF40" s="8"/>
      <c r="CG40" s="8">
        <v>-0.400867428588722</v>
      </c>
      <c r="CH40" s="8"/>
      <c r="CI40" s="8"/>
      <c r="CJ40" s="8">
        <v>-0.448578812652938</v>
      </c>
      <c r="CK40" s="8"/>
      <c r="CL40" s="8">
        <v>-0.42702196217914</v>
      </c>
      <c r="CM40" s="8"/>
      <c r="CN40" s="8"/>
      <c r="CO40" s="8"/>
      <c r="CP40" s="8">
        <v>-0.345082359243594</v>
      </c>
      <c r="CQ40" s="8"/>
      <c r="CR40" s="8"/>
      <c r="CS40" s="8"/>
      <c r="CT40" s="8">
        <v>-0.242278866346839</v>
      </c>
      <c r="CU40" s="8">
        <v>-0.465795298788684</v>
      </c>
      <c r="CV40" s="8">
        <v>-0.0136411935326384</v>
      </c>
      <c r="CW40" s="8">
        <v>-0.472545466629136</v>
      </c>
      <c r="CX40" s="8">
        <v>-0.381850347665378</v>
      </c>
      <c r="CY40" s="8">
        <v>-0.467180710385229</v>
      </c>
      <c r="CZ40" s="8"/>
      <c r="DA40" s="8">
        <v>-0.38663476367595</v>
      </c>
      <c r="DB40" s="8">
        <v>-0.432657458440094</v>
      </c>
      <c r="DC40" s="8">
        <v>-0.313746895364757</v>
      </c>
      <c r="DD40" s="8"/>
      <c r="DE40" s="8">
        <v>-0.286702524639805</v>
      </c>
      <c r="DG40">
        <v>-0.0755816220476104</v>
      </c>
      <c r="DH40">
        <v>-0.408721129192077</v>
      </c>
      <c r="DI40">
        <v>-0.105451331699675</v>
      </c>
      <c r="DK40" s="8">
        <f t="shared" ref="DK40:DK42" si="247">1/31.536</f>
        <v>0.0317097919837646</v>
      </c>
      <c r="DL40">
        <v>0</v>
      </c>
      <c r="DM40">
        <v>5</v>
      </c>
      <c r="DS40" s="26">
        <f>-F40*$DQ$39</f>
        <v>0</v>
      </c>
      <c r="DT40" s="26">
        <f t="shared" si="151"/>
        <v>0.192266991349046</v>
      </c>
      <c r="DU40" s="26">
        <f t="shared" si="151"/>
        <v>0.0107358019249137</v>
      </c>
      <c r="DV40" s="26">
        <f t="shared" si="151"/>
        <v>0.229866983630461</v>
      </c>
      <c r="DW40" s="26">
        <f t="shared" si="151"/>
        <v>0.071580613012501</v>
      </c>
      <c r="DX40" s="26">
        <f t="shared" si="151"/>
        <v>0.116789783550759</v>
      </c>
      <c r="DY40" s="26">
        <f t="shared" si="151"/>
        <v>0</v>
      </c>
      <c r="DZ40" s="26">
        <f t="shared" si="151"/>
        <v>0</v>
      </c>
      <c r="EA40" s="26">
        <f t="shared" si="151"/>
        <v>0.242197951268924</v>
      </c>
      <c r="EB40" s="26">
        <f t="shared" si="151"/>
        <v>0</v>
      </c>
      <c r="EC40" s="26">
        <f t="shared" si="151"/>
        <v>0</v>
      </c>
      <c r="ED40" s="26">
        <f t="shared" si="151"/>
        <v>0.0055794355396653</v>
      </c>
      <c r="EE40" s="26">
        <f t="shared" si="151"/>
        <v>0.112395209925406</v>
      </c>
      <c r="EF40" s="26">
        <f t="shared" si="151"/>
        <v>0</v>
      </c>
      <c r="EG40" s="26">
        <f t="shared" si="152"/>
        <v>0.216358533319601</v>
      </c>
      <c r="EH40" s="26">
        <f t="shared" si="153"/>
        <v>0.166025749979274</v>
      </c>
      <c r="EI40" s="26">
        <f t="shared" si="154"/>
        <v>0.135902932982866</v>
      </c>
      <c r="EJ40" s="26">
        <f t="shared" si="155"/>
        <v>0.134855707289984</v>
      </c>
      <c r="EK40" s="26">
        <f t="shared" si="156"/>
        <v>0.175971339653397</v>
      </c>
      <c r="EL40" s="26">
        <f t="shared" si="157"/>
        <v>0</v>
      </c>
      <c r="EM40" s="26">
        <f t="shared" si="158"/>
        <v>0</v>
      </c>
      <c r="EN40" s="26">
        <f t="shared" si="159"/>
        <v>0</v>
      </c>
      <c r="EO40" s="26">
        <f t="shared" si="160"/>
        <v>0</v>
      </c>
      <c r="EP40" s="26">
        <f t="shared" si="161"/>
        <v>0</v>
      </c>
      <c r="EQ40" s="26">
        <f t="shared" si="162"/>
        <v>0.166090257860175</v>
      </c>
      <c r="ER40" s="26">
        <f t="shared" si="163"/>
        <v>0</v>
      </c>
      <c r="ES40" s="26">
        <f t="shared" si="164"/>
        <v>0</v>
      </c>
      <c r="ET40" s="26">
        <f t="shared" si="165"/>
        <v>0</v>
      </c>
      <c r="EU40" s="26">
        <f t="shared" si="166"/>
        <v>0</v>
      </c>
      <c r="EV40" s="26">
        <f t="shared" si="167"/>
        <v>0.114232058711706</v>
      </c>
      <c r="EW40" s="26">
        <f t="shared" si="168"/>
        <v>0</v>
      </c>
      <c r="EX40" s="26">
        <f t="shared" si="169"/>
        <v>0.100108506016689</v>
      </c>
      <c r="EY40" s="26">
        <f t="shared" si="170"/>
        <v>0</v>
      </c>
      <c r="EZ40" s="26">
        <f t="shared" si="171"/>
        <v>0</v>
      </c>
      <c r="FA40" s="26">
        <f t="shared" si="172"/>
        <v>0</v>
      </c>
      <c r="FB40" s="26">
        <f t="shared" si="173"/>
        <v>0.120523108119285</v>
      </c>
      <c r="FC40" s="26">
        <f t="shared" si="174"/>
        <v>0.164450259837961</v>
      </c>
      <c r="FD40" s="26">
        <f t="shared" si="175"/>
        <v>0.362774903304059</v>
      </c>
      <c r="FE40" s="26">
        <f t="shared" si="176"/>
        <v>0</v>
      </c>
      <c r="FF40" s="26">
        <f t="shared" si="177"/>
        <v>0</v>
      </c>
      <c r="FG40" s="26">
        <f t="shared" si="178"/>
        <v>0.176828617761277</v>
      </c>
      <c r="FH40" s="26">
        <f t="shared" si="179"/>
        <v>0</v>
      </c>
      <c r="FI40" s="26">
        <f t="shared" si="180"/>
        <v>0.424660356378866</v>
      </c>
      <c r="FJ40" s="26">
        <f t="shared" si="181"/>
        <v>0.254026142724327</v>
      </c>
      <c r="FK40" s="26">
        <f t="shared" si="182"/>
        <v>0</v>
      </c>
      <c r="FL40" s="26">
        <f t="shared" si="183"/>
        <v>0</v>
      </c>
      <c r="FM40" s="26">
        <f t="shared" si="184"/>
        <v>0</v>
      </c>
      <c r="FN40" s="26">
        <f t="shared" si="185"/>
        <v>0.207016245842835</v>
      </c>
      <c r="FO40" s="26">
        <f t="shared" si="186"/>
        <v>0</v>
      </c>
      <c r="FP40" s="26">
        <f t="shared" si="187"/>
        <v>0</v>
      </c>
      <c r="FQ40" s="26">
        <f t="shared" si="188"/>
        <v>0.18128208284836</v>
      </c>
      <c r="FR40" s="26">
        <f t="shared" si="189"/>
        <v>0</v>
      </c>
      <c r="FS40" s="26">
        <f t="shared" si="190"/>
        <v>0</v>
      </c>
      <c r="FT40" s="26">
        <f t="shared" si="191"/>
        <v>0.0416143644599683</v>
      </c>
      <c r="FU40" s="26">
        <f t="shared" si="192"/>
        <v>0.197419004081527</v>
      </c>
      <c r="FV40" s="26">
        <f t="shared" si="193"/>
        <v>0.205228521073736</v>
      </c>
      <c r="FW40" s="26">
        <f t="shared" si="194"/>
        <v>0.297898088108291</v>
      </c>
      <c r="FX40" s="26">
        <f t="shared" si="195"/>
        <v>0</v>
      </c>
      <c r="FY40" s="26">
        <f t="shared" si="196"/>
        <v>0</v>
      </c>
      <c r="FZ40" s="26">
        <f t="shared" si="197"/>
        <v>0.0469664679215532</v>
      </c>
      <c r="GA40" s="26">
        <f t="shared" si="198"/>
        <v>0.0064811240511683</v>
      </c>
      <c r="GB40" s="26">
        <f t="shared" si="199"/>
        <v>0.207309860372335</v>
      </c>
      <c r="GC40" s="26">
        <f t="shared" si="200"/>
        <v>0</v>
      </c>
      <c r="GD40" s="26">
        <f t="shared" si="201"/>
        <v>0</v>
      </c>
      <c r="GE40" s="26">
        <f t="shared" si="202"/>
        <v>0.210341620158972</v>
      </c>
      <c r="GF40" s="26">
        <f t="shared" si="203"/>
        <v>0.102090128288759</v>
      </c>
      <c r="GG40" s="26">
        <f t="shared" si="204"/>
        <v>0.112610660254748</v>
      </c>
      <c r="GH40" s="26">
        <f t="shared" si="205"/>
        <v>0</v>
      </c>
      <c r="GI40" s="26">
        <f t="shared" si="206"/>
        <v>0.206542628237163</v>
      </c>
      <c r="GJ40" s="26">
        <f t="shared" si="207"/>
        <v>0.129072666667137</v>
      </c>
      <c r="GK40" s="26">
        <f t="shared" si="208"/>
        <v>0.22896898583215</v>
      </c>
      <c r="GL40" s="26">
        <f t="shared" si="209"/>
        <v>0.0257420091324201</v>
      </c>
      <c r="GM40" s="26">
        <f t="shared" si="210"/>
        <v>0.199444016533738</v>
      </c>
      <c r="GN40" s="26">
        <f t="shared" si="211"/>
        <v>0.196129555246095</v>
      </c>
      <c r="GO40" s="26">
        <f t="shared" si="212"/>
        <v>0</v>
      </c>
      <c r="GP40" s="26">
        <f t="shared" si="213"/>
        <v>0.140550125270659</v>
      </c>
      <c r="GQ40" s="26">
        <f t="shared" si="214"/>
        <v>0.308747284576394</v>
      </c>
      <c r="GR40" s="26">
        <f t="shared" si="215"/>
        <v>0</v>
      </c>
      <c r="GS40" s="26">
        <f t="shared" si="216"/>
        <v>0</v>
      </c>
      <c r="GT40" s="26">
        <f t="shared" si="217"/>
        <v>0.200433714294361</v>
      </c>
      <c r="GU40" s="26">
        <f t="shared" si="218"/>
        <v>0</v>
      </c>
      <c r="GV40" s="26">
        <f t="shared" si="219"/>
        <v>0</v>
      </c>
      <c r="GW40" s="26">
        <f t="shared" si="220"/>
        <v>0.224289406326469</v>
      </c>
      <c r="GX40" s="26">
        <f t="shared" si="221"/>
        <v>0</v>
      </c>
      <c r="GY40" s="26">
        <f t="shared" si="222"/>
        <v>0.21351098108957</v>
      </c>
      <c r="GZ40" s="26">
        <f t="shared" si="223"/>
        <v>0</v>
      </c>
      <c r="HA40" s="26">
        <f t="shared" si="224"/>
        <v>0</v>
      </c>
      <c r="HB40" s="26">
        <f t="shared" si="225"/>
        <v>0</v>
      </c>
      <c r="HC40" s="26">
        <f t="shared" si="226"/>
        <v>0.172541179621797</v>
      </c>
      <c r="HD40" s="26">
        <f t="shared" si="227"/>
        <v>0</v>
      </c>
      <c r="HE40" s="26">
        <f t="shared" si="228"/>
        <v>0</v>
      </c>
      <c r="HF40" s="26">
        <f t="shared" si="229"/>
        <v>0</v>
      </c>
      <c r="HG40" s="26">
        <f t="shared" si="230"/>
        <v>0.12113943317342</v>
      </c>
      <c r="HH40" s="26">
        <f t="shared" si="231"/>
        <v>0.232897649394342</v>
      </c>
      <c r="HI40" s="26">
        <f t="shared" si="232"/>
        <v>0.0068205967663192</v>
      </c>
      <c r="HJ40" s="26">
        <f t="shared" si="233"/>
        <v>0.236272733314568</v>
      </c>
      <c r="HK40" s="26">
        <f t="shared" si="234"/>
        <v>0.190925173832689</v>
      </c>
      <c r="HL40" s="26">
        <f t="shared" si="235"/>
        <v>0.233590355192615</v>
      </c>
      <c r="HM40" s="26">
        <f t="shared" si="236"/>
        <v>0</v>
      </c>
      <c r="HN40" s="26">
        <f t="shared" si="237"/>
        <v>0.193317381837975</v>
      </c>
      <c r="HO40" s="26">
        <f t="shared" si="238"/>
        <v>0.216328729220047</v>
      </c>
      <c r="HP40" s="26">
        <f t="shared" si="239"/>
        <v>0.156873447682378</v>
      </c>
      <c r="HQ40" s="26">
        <f t="shared" si="240"/>
        <v>0</v>
      </c>
      <c r="HR40" s="26">
        <f t="shared" si="241"/>
        <v>0.143351262319903</v>
      </c>
      <c r="HS40" s="26">
        <f t="shared" si="242"/>
        <v>0</v>
      </c>
      <c r="HT40" s="26">
        <f t="shared" si="243"/>
        <v>0.0377908110238052</v>
      </c>
      <c r="HU40" s="26">
        <f t="shared" si="244"/>
        <v>0.204360564596038</v>
      </c>
      <c r="HV40" s="26">
        <f t="shared" si="245"/>
        <v>0.0527256658498375</v>
      </c>
      <c r="HW40" s="26">
        <f t="shared" si="246"/>
        <v>0</v>
      </c>
      <c r="HX40" t="s">
        <v>404</v>
      </c>
      <c r="HY40" t="s">
        <v>475</v>
      </c>
    </row>
    <row r="41" spans="1:233">
      <c r="A41">
        <v>2019</v>
      </c>
      <c r="B41" t="str">
        <f>"UCE_utilization_"&amp;D46&amp;"_LO"</f>
        <v>UCE_utilization_Oil_LO</v>
      </c>
      <c r="C41" t="s">
        <v>404</v>
      </c>
      <c r="D41" t="s">
        <v>476</v>
      </c>
      <c r="E41">
        <v>-0.03</v>
      </c>
      <c r="G41" s="8">
        <v>-0.0847748111694639</v>
      </c>
      <c r="H41" s="8">
        <v>-0.568933143298615</v>
      </c>
      <c r="I41" s="8">
        <v>-0.0812727862835925</v>
      </c>
      <c r="J41" s="8"/>
      <c r="K41" s="8">
        <v>-0.206427351642606</v>
      </c>
      <c r="L41" s="8"/>
      <c r="M41" s="8"/>
      <c r="N41" s="8">
        <v>-0.196776185939881</v>
      </c>
      <c r="O41" s="8"/>
      <c r="P41" s="8"/>
      <c r="Q41" s="8">
        <v>-0.184822787562514</v>
      </c>
      <c r="R41" s="8">
        <v>-0.141875440330788</v>
      </c>
      <c r="S41" s="8"/>
      <c r="T41" s="8">
        <v>-0.0761435862610486</v>
      </c>
      <c r="U41" s="8">
        <v>-0.0806397454464877</v>
      </c>
      <c r="V41" s="8">
        <v>-0.0416735047050077</v>
      </c>
      <c r="W41" s="8">
        <v>-0.0554063700329719</v>
      </c>
      <c r="X41" s="8">
        <v>-0.164155918198384</v>
      </c>
      <c r="Y41" s="8"/>
      <c r="Z41" s="8"/>
      <c r="AA41" s="8"/>
      <c r="AB41" s="8"/>
      <c r="AC41" s="8">
        <v>-0.021071888537642</v>
      </c>
      <c r="AD41" s="8">
        <v>-0.784985662915179</v>
      </c>
      <c r="AE41" s="8"/>
      <c r="AF41" s="8"/>
      <c r="AG41" s="8"/>
      <c r="AH41" s="8"/>
      <c r="AI41" s="8"/>
      <c r="AJ41" s="8"/>
      <c r="AK41" s="8">
        <v>-0.242624640357281</v>
      </c>
      <c r="AL41" s="8"/>
      <c r="AM41" s="8"/>
      <c r="AN41" s="8"/>
      <c r="AO41" s="8">
        <v>-0.0153589034505598</v>
      </c>
      <c r="AP41" s="8">
        <v>-0.0924878110998228</v>
      </c>
      <c r="AQ41" s="8">
        <v>-0.0703514891862897</v>
      </c>
      <c r="AR41" s="8"/>
      <c r="AS41" s="8"/>
      <c r="AT41" s="8">
        <v>-0.0192597127624295</v>
      </c>
      <c r="AU41" s="8"/>
      <c r="AV41" s="8">
        <v>-0.116040433031402</v>
      </c>
      <c r="AW41" s="8">
        <v>-0.11523009072812</v>
      </c>
      <c r="AX41" s="8"/>
      <c r="AY41" s="8">
        <v>-0.13941788195422</v>
      </c>
      <c r="AZ41" s="8"/>
      <c r="BA41" s="8">
        <v>-0.381587429492345</v>
      </c>
      <c r="BB41" s="8"/>
      <c r="BC41" s="8"/>
      <c r="BD41" s="8">
        <v>-0.211671835961058</v>
      </c>
      <c r="BE41" s="8"/>
      <c r="BF41" s="8"/>
      <c r="BG41" s="8">
        <v>-0.0343475976886087</v>
      </c>
      <c r="BH41" s="8">
        <v>-0.113633260897149</v>
      </c>
      <c r="BI41" s="8">
        <v>-0.0114814814814815</v>
      </c>
      <c r="BJ41" s="8">
        <v>-0.21035716417465</v>
      </c>
      <c r="BK41" s="8">
        <v>-0.0109764664559185</v>
      </c>
      <c r="BL41" s="8"/>
      <c r="BM41" s="8"/>
      <c r="BN41" s="8">
        <v>-0.0850885169009396</v>
      </c>
      <c r="BO41" s="8">
        <v>-0.012955558311975</v>
      </c>
      <c r="BP41" s="8">
        <v>-0.0116378083217703</v>
      </c>
      <c r="BQ41" s="8"/>
      <c r="BR41" s="8">
        <v>-0.0169351196748457</v>
      </c>
      <c r="BS41" s="8">
        <v>-0.0644331648184388</v>
      </c>
      <c r="BT41" s="8">
        <v>-0.0600002750728943</v>
      </c>
      <c r="BU41" s="8"/>
      <c r="BV41" s="8">
        <v>-0.152433214875417</v>
      </c>
      <c r="BW41" s="8">
        <v>-0.254948301027566</v>
      </c>
      <c r="BX41" s="8">
        <v>-0.251759711390175</v>
      </c>
      <c r="BY41" s="8">
        <v>-0.175963970771616</v>
      </c>
      <c r="BZ41" s="8">
        <v>-0.283000706675139</v>
      </c>
      <c r="CA41" s="8">
        <v>-0.327833840101424</v>
      </c>
      <c r="CB41" s="8"/>
      <c r="CC41" s="8">
        <v>-0.0962203890397979</v>
      </c>
      <c r="CD41" s="8">
        <v>-0.0479641373874916</v>
      </c>
      <c r="CE41" s="8"/>
      <c r="CF41" s="8"/>
      <c r="CG41" s="8"/>
      <c r="CH41" s="8"/>
      <c r="CI41" s="8"/>
      <c r="CJ41" s="8">
        <v>-0.381324921988536</v>
      </c>
      <c r="CK41" s="8"/>
      <c r="CL41" s="8">
        <v>-0.425581037401878</v>
      </c>
      <c r="CM41" s="8"/>
      <c r="CN41" s="8"/>
      <c r="CO41" s="8">
        <v>-0.0273355318440597</v>
      </c>
      <c r="CP41" s="8">
        <v>-0.246491533992446</v>
      </c>
      <c r="CQ41" s="8"/>
      <c r="CR41" s="8">
        <v>-0.182428166615278</v>
      </c>
      <c r="CS41" s="8"/>
      <c r="CT41" s="8">
        <v>-0.0315428983417448</v>
      </c>
      <c r="CU41" s="8">
        <v>-0.200292681724437</v>
      </c>
      <c r="CV41" s="8"/>
      <c r="CW41" s="8">
        <v>-0.0155799103764558</v>
      </c>
      <c r="CX41" s="8"/>
      <c r="CY41" s="8"/>
      <c r="CZ41" s="8"/>
      <c r="DA41" s="8"/>
      <c r="DB41" s="8"/>
      <c r="DC41" s="8">
        <v>-0.0537053020202597</v>
      </c>
      <c r="DD41" s="8"/>
      <c r="DE41" s="8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8">
        <f t="shared" si="247"/>
        <v>0.0317097919837646</v>
      </c>
      <c r="DL41">
        <v>0</v>
      </c>
      <c r="DM41">
        <v>5</v>
      </c>
      <c r="DS41" s="26">
        <f>-F41*$DQ$39</f>
        <v>0</v>
      </c>
      <c r="DT41" s="26">
        <f t="shared" si="151"/>
        <v>0.042387405584732</v>
      </c>
      <c r="DU41" s="26">
        <f t="shared" si="151"/>
        <v>0.284466571649307</v>
      </c>
      <c r="DV41" s="26">
        <f t="shared" si="151"/>
        <v>0.0406363931417962</v>
      </c>
      <c r="DW41" s="26">
        <f t="shared" si="151"/>
        <v>0</v>
      </c>
      <c r="DX41" s="26">
        <f t="shared" si="151"/>
        <v>0.103213675821303</v>
      </c>
      <c r="DY41" s="26">
        <f t="shared" si="151"/>
        <v>0</v>
      </c>
      <c r="DZ41" s="26">
        <f t="shared" si="151"/>
        <v>0</v>
      </c>
      <c r="EA41" s="26">
        <f t="shared" si="151"/>
        <v>0.0983880929699405</v>
      </c>
      <c r="EB41" s="26">
        <f t="shared" si="151"/>
        <v>0</v>
      </c>
      <c r="EC41" s="26">
        <f t="shared" si="151"/>
        <v>0</v>
      </c>
      <c r="ED41" s="26">
        <f t="shared" si="151"/>
        <v>0.092411393781257</v>
      </c>
      <c r="EE41" s="26">
        <f t="shared" si="151"/>
        <v>0.070937720165394</v>
      </c>
      <c r="EF41" s="26">
        <f t="shared" si="151"/>
        <v>0</v>
      </c>
      <c r="EG41" s="26">
        <f t="shared" si="152"/>
        <v>0.0380717931305243</v>
      </c>
      <c r="EH41" s="26">
        <f t="shared" si="153"/>
        <v>0.0403198727232439</v>
      </c>
      <c r="EI41" s="26">
        <f t="shared" si="154"/>
        <v>0.0208367523525038</v>
      </c>
      <c r="EJ41" s="26">
        <f t="shared" si="155"/>
        <v>0.0277031850164859</v>
      </c>
      <c r="EK41" s="26">
        <f t="shared" si="156"/>
        <v>0.082077959099192</v>
      </c>
      <c r="EL41" s="26">
        <f t="shared" si="157"/>
        <v>0</v>
      </c>
      <c r="EM41" s="26">
        <f t="shared" si="158"/>
        <v>0</v>
      </c>
      <c r="EN41" s="26">
        <f t="shared" si="159"/>
        <v>0</v>
      </c>
      <c r="EO41" s="26">
        <f t="shared" si="160"/>
        <v>0</v>
      </c>
      <c r="EP41" s="26">
        <f t="shared" si="161"/>
        <v>0.010535944268821</v>
      </c>
      <c r="EQ41" s="26">
        <f t="shared" si="162"/>
        <v>0.39249283145759</v>
      </c>
      <c r="ER41" s="26">
        <f t="shared" si="163"/>
        <v>0</v>
      </c>
      <c r="ES41" s="26">
        <f t="shared" si="164"/>
        <v>0</v>
      </c>
      <c r="ET41" s="26">
        <f t="shared" si="165"/>
        <v>0</v>
      </c>
      <c r="EU41" s="26">
        <f t="shared" si="166"/>
        <v>0</v>
      </c>
      <c r="EV41" s="26">
        <f t="shared" si="167"/>
        <v>0</v>
      </c>
      <c r="EW41" s="26">
        <f t="shared" si="168"/>
        <v>0</v>
      </c>
      <c r="EX41" s="26">
        <f t="shared" si="169"/>
        <v>0.121312320178641</v>
      </c>
      <c r="EY41" s="26">
        <f t="shared" si="170"/>
        <v>0</v>
      </c>
      <c r="EZ41" s="26">
        <f t="shared" si="171"/>
        <v>0</v>
      </c>
      <c r="FA41" s="26">
        <f t="shared" si="172"/>
        <v>0</v>
      </c>
      <c r="FB41" s="26">
        <f t="shared" si="173"/>
        <v>0.0076794517252799</v>
      </c>
      <c r="FC41" s="26">
        <f t="shared" si="174"/>
        <v>0.0462439055499114</v>
      </c>
      <c r="FD41" s="26">
        <f t="shared" si="175"/>
        <v>0.0351757445931448</v>
      </c>
      <c r="FE41" s="26">
        <f t="shared" si="176"/>
        <v>0</v>
      </c>
      <c r="FF41" s="26">
        <f t="shared" si="177"/>
        <v>0</v>
      </c>
      <c r="FG41" s="26">
        <f t="shared" si="178"/>
        <v>0.00962985638121475</v>
      </c>
      <c r="FH41" s="26">
        <f t="shared" si="179"/>
        <v>0</v>
      </c>
      <c r="FI41" s="26">
        <f t="shared" si="180"/>
        <v>0.058020216515701</v>
      </c>
      <c r="FJ41" s="26">
        <f t="shared" si="181"/>
        <v>0.05761504536406</v>
      </c>
      <c r="FK41" s="26">
        <f t="shared" si="182"/>
        <v>0</v>
      </c>
      <c r="FL41" s="26">
        <f t="shared" si="183"/>
        <v>0.06970894097711</v>
      </c>
      <c r="FM41" s="26">
        <f t="shared" si="184"/>
        <v>0</v>
      </c>
      <c r="FN41" s="26">
        <f t="shared" si="185"/>
        <v>0.190793714746172</v>
      </c>
      <c r="FO41" s="26">
        <f t="shared" si="186"/>
        <v>0</v>
      </c>
      <c r="FP41" s="26">
        <f t="shared" si="187"/>
        <v>0</v>
      </c>
      <c r="FQ41" s="26">
        <f t="shared" si="188"/>
        <v>0.105835917980529</v>
      </c>
      <c r="FR41" s="26">
        <f t="shared" si="189"/>
        <v>0</v>
      </c>
      <c r="FS41" s="26">
        <f t="shared" si="190"/>
        <v>0</v>
      </c>
      <c r="FT41" s="26">
        <f t="shared" si="191"/>
        <v>0.0171737988443043</v>
      </c>
      <c r="FU41" s="26">
        <f t="shared" si="192"/>
        <v>0.0568166304485745</v>
      </c>
      <c r="FV41" s="26">
        <f t="shared" si="193"/>
        <v>0.00574074074074075</v>
      </c>
      <c r="FW41" s="26">
        <f t="shared" si="194"/>
        <v>0.105178582087325</v>
      </c>
      <c r="FX41" s="26">
        <f t="shared" si="195"/>
        <v>0.00548823322795925</v>
      </c>
      <c r="FY41" s="26">
        <f t="shared" si="196"/>
        <v>0</v>
      </c>
      <c r="FZ41" s="26">
        <f t="shared" si="197"/>
        <v>0</v>
      </c>
      <c r="GA41" s="26">
        <f t="shared" si="198"/>
        <v>0.0425442584504698</v>
      </c>
      <c r="GB41" s="26">
        <f t="shared" si="199"/>
        <v>0.0064777791559875</v>
      </c>
      <c r="GC41" s="26">
        <f t="shared" si="200"/>
        <v>0.00581890416088515</v>
      </c>
      <c r="GD41" s="26">
        <f t="shared" si="201"/>
        <v>0</v>
      </c>
      <c r="GE41" s="26">
        <f t="shared" si="202"/>
        <v>0.00846755983742285</v>
      </c>
      <c r="GF41" s="26">
        <f t="shared" si="203"/>
        <v>0.0322165824092194</v>
      </c>
      <c r="GG41" s="26">
        <f t="shared" si="204"/>
        <v>0.0300001375364472</v>
      </c>
      <c r="GH41" s="26">
        <f t="shared" si="205"/>
        <v>0</v>
      </c>
      <c r="GI41" s="26">
        <f t="shared" si="206"/>
        <v>0.0762166074377085</v>
      </c>
      <c r="GJ41" s="26">
        <f t="shared" si="207"/>
        <v>0.127474150513783</v>
      </c>
      <c r="GK41" s="26">
        <f t="shared" si="208"/>
        <v>0.125879855695088</v>
      </c>
      <c r="GL41" s="26">
        <f t="shared" si="209"/>
        <v>0.087981985385808</v>
      </c>
      <c r="GM41" s="26">
        <f t="shared" si="210"/>
        <v>0.141500353337569</v>
      </c>
      <c r="GN41" s="26">
        <f t="shared" si="211"/>
        <v>0.163916920050712</v>
      </c>
      <c r="GO41" s="26">
        <f t="shared" si="212"/>
        <v>0</v>
      </c>
      <c r="GP41" s="26">
        <f t="shared" si="213"/>
        <v>0.048110194519899</v>
      </c>
      <c r="GQ41" s="26">
        <f t="shared" si="214"/>
        <v>0.0239820686937458</v>
      </c>
      <c r="GR41" s="26">
        <f t="shared" si="215"/>
        <v>0</v>
      </c>
      <c r="GS41" s="26">
        <f t="shared" si="216"/>
        <v>0</v>
      </c>
      <c r="GT41" s="26">
        <f t="shared" si="217"/>
        <v>0</v>
      </c>
      <c r="GU41" s="26">
        <f t="shared" si="218"/>
        <v>0</v>
      </c>
      <c r="GV41" s="26">
        <f t="shared" si="219"/>
        <v>0</v>
      </c>
      <c r="GW41" s="26">
        <f t="shared" si="220"/>
        <v>0.190662460994268</v>
      </c>
      <c r="GX41" s="26">
        <f t="shared" si="221"/>
        <v>0</v>
      </c>
      <c r="GY41" s="26">
        <f t="shared" si="222"/>
        <v>0.212790518700939</v>
      </c>
      <c r="GZ41" s="26">
        <f t="shared" si="223"/>
        <v>0</v>
      </c>
      <c r="HA41" s="26">
        <f t="shared" si="224"/>
        <v>0</v>
      </c>
      <c r="HB41" s="26">
        <f t="shared" si="225"/>
        <v>0.0136677659220299</v>
      </c>
      <c r="HC41" s="26">
        <f t="shared" si="226"/>
        <v>0.123245766996223</v>
      </c>
      <c r="HD41" s="26">
        <f t="shared" si="227"/>
        <v>0</v>
      </c>
      <c r="HE41" s="26">
        <f t="shared" si="228"/>
        <v>0.091214083307639</v>
      </c>
      <c r="HF41" s="26">
        <f t="shared" si="229"/>
        <v>0</v>
      </c>
      <c r="HG41" s="26">
        <f t="shared" si="230"/>
        <v>0.0157714491708724</v>
      </c>
      <c r="HH41" s="26">
        <f t="shared" si="231"/>
        <v>0.100146340862219</v>
      </c>
      <c r="HI41" s="26">
        <f t="shared" si="232"/>
        <v>0</v>
      </c>
      <c r="HJ41" s="26">
        <f t="shared" si="233"/>
        <v>0.0077899551882279</v>
      </c>
      <c r="HK41" s="26">
        <f t="shared" si="234"/>
        <v>0</v>
      </c>
      <c r="HL41" s="26">
        <f t="shared" si="235"/>
        <v>0</v>
      </c>
      <c r="HM41" s="26">
        <f t="shared" si="236"/>
        <v>0</v>
      </c>
      <c r="HN41" s="26">
        <f t="shared" si="237"/>
        <v>0</v>
      </c>
      <c r="HO41" s="26">
        <f t="shared" si="238"/>
        <v>0</v>
      </c>
      <c r="HP41" s="26">
        <f t="shared" si="239"/>
        <v>0.0268526510101299</v>
      </c>
      <c r="HQ41" s="26">
        <f t="shared" si="240"/>
        <v>0</v>
      </c>
      <c r="HR41" s="26">
        <f t="shared" si="241"/>
        <v>0.0400184254656959</v>
      </c>
      <c r="HS41" s="26">
        <f t="shared" si="242"/>
        <v>0</v>
      </c>
      <c r="HT41" s="26">
        <f t="shared" si="243"/>
        <v>0.0613567494235635</v>
      </c>
      <c r="HU41" s="26">
        <f t="shared" si="244"/>
        <v>0.0448735279980774</v>
      </c>
      <c r="HV41" s="26">
        <f t="shared" si="245"/>
        <v>0.082907411247596</v>
      </c>
      <c r="HW41" s="26">
        <f t="shared" si="246"/>
        <v>0.0122427867636449</v>
      </c>
      <c r="HX41" t="s">
        <v>404</v>
      </c>
      <c r="HY41" t="s">
        <v>476</v>
      </c>
    </row>
    <row r="42" spans="1:233">
      <c r="A42">
        <v>2019</v>
      </c>
      <c r="B42" t="str">
        <f>"UCE_utilization_"&amp;D47&amp;"_LO"</f>
        <v>UCE_utilization_Solid bio_LO</v>
      </c>
      <c r="C42" t="s">
        <v>404</v>
      </c>
      <c r="D42" t="s">
        <v>477</v>
      </c>
      <c r="E42">
        <v>-0.03</v>
      </c>
      <c r="G42" s="8"/>
      <c r="H42" s="8">
        <v>-0.08058017727639</v>
      </c>
      <c r="I42" s="8">
        <v>-0.215768365278623</v>
      </c>
      <c r="J42" s="8"/>
      <c r="K42" s="8">
        <v>-0.205938367637273</v>
      </c>
      <c r="L42" s="8">
        <v>-0.260224144460046</v>
      </c>
      <c r="M42" s="8"/>
      <c r="N42" s="8">
        <v>-0.5</v>
      </c>
      <c r="O42" s="8">
        <v>-0.154582145074702</v>
      </c>
      <c r="P42" s="8">
        <v>-0.510181150215934</v>
      </c>
      <c r="Q42" s="8">
        <v>-0.0935698779848791</v>
      </c>
      <c r="R42" s="8">
        <v>-0.38617946434722</v>
      </c>
      <c r="S42" s="8">
        <v>-0.357880517503805</v>
      </c>
      <c r="T42" s="8"/>
      <c r="U42" s="8">
        <v>-0.371857562322333</v>
      </c>
      <c r="V42" s="8">
        <v>-0.482939399285131</v>
      </c>
      <c r="W42" s="8">
        <v>-0.49190205248481</v>
      </c>
      <c r="X42" s="8">
        <v>-0.579991443285019</v>
      </c>
      <c r="Y42" s="8">
        <v>-0.361491628614916</v>
      </c>
      <c r="Z42" s="8"/>
      <c r="AA42" s="8">
        <v>-0.628170573961418</v>
      </c>
      <c r="AB42" s="8">
        <v>-0.299977272828199</v>
      </c>
      <c r="AC42" s="8">
        <v>-0.299657534246575</v>
      </c>
      <c r="AD42" s="8">
        <v>-0.350451509575411</v>
      </c>
      <c r="AE42" s="8">
        <v>-0.490867579908676</v>
      </c>
      <c r="AF42" s="8">
        <v>-0.0111493064530025</v>
      </c>
      <c r="AG42" s="8">
        <v>-0.585248467762661</v>
      </c>
      <c r="AH42" s="8">
        <v>-0.506606848409851</v>
      </c>
      <c r="AI42" s="8"/>
      <c r="AJ42" s="8">
        <v>-0.431571493215329</v>
      </c>
      <c r="AK42" s="8">
        <v>-0.266261140837988</v>
      </c>
      <c r="AL42" s="8">
        <v>-0.0570776255707763</v>
      </c>
      <c r="AM42" s="8">
        <v>-0.399805202965942</v>
      </c>
      <c r="AN42" s="8"/>
      <c r="AO42" s="8">
        <v>-0.201404268452423</v>
      </c>
      <c r="AP42" s="8">
        <v>-0.510974831372326</v>
      </c>
      <c r="AQ42" s="8"/>
      <c r="AR42" s="8"/>
      <c r="AS42" s="8"/>
      <c r="AT42" s="8"/>
      <c r="AU42" s="8">
        <v>-0.547860331686782</v>
      </c>
      <c r="AV42" s="8"/>
      <c r="AW42" s="8">
        <v>-0.870220478607791</v>
      </c>
      <c r="AX42" s="8"/>
      <c r="AY42" s="8">
        <v>-0.191525071530187</v>
      </c>
      <c r="AZ42" s="8"/>
      <c r="BA42" s="8"/>
      <c r="BB42" s="8"/>
      <c r="BC42" s="8">
        <v>-0.296803652968037</v>
      </c>
      <c r="BD42" s="8"/>
      <c r="BE42" s="8">
        <v>-0.52871905791877</v>
      </c>
      <c r="BF42" s="8">
        <v>-0.0535464231354642</v>
      </c>
      <c r="BG42" s="8"/>
      <c r="BH42" s="8">
        <v>-0.0454328855904024</v>
      </c>
      <c r="BI42" s="8"/>
      <c r="BJ42" s="8">
        <v>-0.137101030265483</v>
      </c>
      <c r="BK42" s="8"/>
      <c r="BL42" s="8"/>
      <c r="BM42" s="8"/>
      <c r="BN42" s="8">
        <v>-0.0835018591215917</v>
      </c>
      <c r="BO42" s="8">
        <v>-0.500182514035665</v>
      </c>
      <c r="BP42" s="8">
        <v>-0.160007610350076</v>
      </c>
      <c r="BQ42" s="8"/>
      <c r="BR42" s="8">
        <v>-0.543335089567966</v>
      </c>
      <c r="BS42" s="8"/>
      <c r="BT42" s="8">
        <v>-0.292998477929985</v>
      </c>
      <c r="BU42" s="8">
        <v>-0.0158950349690769</v>
      </c>
      <c r="BV42" s="8"/>
      <c r="BW42" s="8">
        <v>-0.297673239745171</v>
      </c>
      <c r="BX42" s="8">
        <v>-0.0873658402650517</v>
      </c>
      <c r="BY42" s="8"/>
      <c r="BZ42" s="8">
        <v>-0.274062279074526</v>
      </c>
      <c r="CA42" s="8"/>
      <c r="CB42" s="8">
        <v>-0.591140814625762</v>
      </c>
      <c r="CC42" s="8">
        <v>-0.123920848259554</v>
      </c>
      <c r="CD42" s="8">
        <v>-0.143136591690625</v>
      </c>
      <c r="CE42" s="8">
        <v>-0.828140827560299</v>
      </c>
      <c r="CF42" s="8">
        <v>-0.532351714077001</v>
      </c>
      <c r="CG42" s="8"/>
      <c r="CH42" s="8">
        <v>-0.351200767234153</v>
      </c>
      <c r="CI42" s="8"/>
      <c r="CJ42" s="8"/>
      <c r="CK42" s="8">
        <v>-0.41138698630137</v>
      </c>
      <c r="CL42" s="8">
        <v>-0.430365296803653</v>
      </c>
      <c r="CM42" s="8">
        <v>-0.439108551266086</v>
      </c>
      <c r="CN42" s="8">
        <v>-0.432406254324063</v>
      </c>
      <c r="CO42" s="8">
        <v>-0.14038120391519</v>
      </c>
      <c r="CP42" s="8">
        <v>-0.258167208752493</v>
      </c>
      <c r="CQ42" s="8">
        <v>-0.59731129364362</v>
      </c>
      <c r="CR42" s="8">
        <v>-0.0589230398568183</v>
      </c>
      <c r="CS42" s="8">
        <v>-0.27572977930597</v>
      </c>
      <c r="CT42" s="8"/>
      <c r="CU42" s="8">
        <v>-0.172431893628966</v>
      </c>
      <c r="CV42" s="8"/>
      <c r="CW42" s="8">
        <v>-0.198813755447925</v>
      </c>
      <c r="CX42" s="8">
        <v>-0.30401658275936</v>
      </c>
      <c r="CY42" s="8"/>
      <c r="CZ42" s="8">
        <v>-0.153590701535907</v>
      </c>
      <c r="DA42" s="8"/>
      <c r="DB42" s="8"/>
      <c r="DC42" s="8">
        <v>-0.384353082823248</v>
      </c>
      <c r="DD42" s="8">
        <v>-0.0143943535389455</v>
      </c>
      <c r="DE42" s="8">
        <v>-0.540295284491796</v>
      </c>
      <c r="DH42">
        <v>-0.105374671934757</v>
      </c>
      <c r="DJ42">
        <v>-0.168133614987411</v>
      </c>
      <c r="DK42" s="8">
        <f t="shared" si="247"/>
        <v>0.0317097919837646</v>
      </c>
      <c r="DL42">
        <v>0</v>
      </c>
      <c r="DM42">
        <v>5</v>
      </c>
      <c r="DS42" s="26">
        <f>-F42*$DQ$39</f>
        <v>0</v>
      </c>
      <c r="DT42" s="26">
        <f t="shared" si="151"/>
        <v>0</v>
      </c>
      <c r="DU42" s="26">
        <f t="shared" si="151"/>
        <v>0.040290088638195</v>
      </c>
      <c r="DV42" s="26">
        <f t="shared" si="151"/>
        <v>0.107884182639312</v>
      </c>
      <c r="DW42" s="26">
        <f t="shared" si="151"/>
        <v>0</v>
      </c>
      <c r="DX42" s="26">
        <f t="shared" si="151"/>
        <v>0.102969183818636</v>
      </c>
      <c r="DY42" s="26">
        <f t="shared" si="151"/>
        <v>0.130112072230023</v>
      </c>
      <c r="DZ42" s="26">
        <f t="shared" si="151"/>
        <v>0</v>
      </c>
      <c r="EA42" s="26">
        <f t="shared" si="151"/>
        <v>0.25</v>
      </c>
      <c r="EB42" s="26">
        <f t="shared" si="151"/>
        <v>0.077291072537351</v>
      </c>
      <c r="EC42" s="26">
        <f t="shared" si="151"/>
        <v>0.255090575107967</v>
      </c>
      <c r="ED42" s="26">
        <f t="shared" si="151"/>
        <v>0.0467849389924396</v>
      </c>
      <c r="EE42" s="26">
        <f t="shared" si="151"/>
        <v>0.19308973217361</v>
      </c>
      <c r="EF42" s="26">
        <f t="shared" si="151"/>
        <v>0.178940258751903</v>
      </c>
      <c r="EG42" s="26">
        <f t="shared" si="152"/>
        <v>0</v>
      </c>
      <c r="EH42" s="26">
        <f t="shared" si="153"/>
        <v>0.185928781161167</v>
      </c>
      <c r="EI42" s="26">
        <f t="shared" si="154"/>
        <v>0.241469699642566</v>
      </c>
      <c r="EJ42" s="26">
        <f t="shared" si="155"/>
        <v>0.245951026242405</v>
      </c>
      <c r="EK42" s="26">
        <f t="shared" si="156"/>
        <v>0.289995721642509</v>
      </c>
      <c r="EL42" s="26">
        <f t="shared" si="157"/>
        <v>0.180745814307458</v>
      </c>
      <c r="EM42" s="26">
        <f t="shared" si="158"/>
        <v>0</v>
      </c>
      <c r="EN42" s="26">
        <f t="shared" si="159"/>
        <v>0.314085286980709</v>
      </c>
      <c r="EO42" s="26">
        <f t="shared" si="160"/>
        <v>0.1499886364141</v>
      </c>
      <c r="EP42" s="26">
        <f t="shared" si="161"/>
        <v>0.149828767123287</v>
      </c>
      <c r="EQ42" s="26">
        <f t="shared" si="162"/>
        <v>0.175225754787705</v>
      </c>
      <c r="ER42" s="26">
        <f t="shared" si="163"/>
        <v>0.245433789954338</v>
      </c>
      <c r="ES42" s="26">
        <f t="shared" si="164"/>
        <v>0.00557465322650125</v>
      </c>
      <c r="ET42" s="26">
        <f t="shared" si="165"/>
        <v>0.292624233881331</v>
      </c>
      <c r="EU42" s="26">
        <f t="shared" si="166"/>
        <v>0.253303424204926</v>
      </c>
      <c r="EV42" s="26">
        <f t="shared" si="167"/>
        <v>0</v>
      </c>
      <c r="EW42" s="26">
        <f t="shared" si="168"/>
        <v>0.215785746607665</v>
      </c>
      <c r="EX42" s="26">
        <f t="shared" si="169"/>
        <v>0.133130570418994</v>
      </c>
      <c r="EY42" s="26">
        <f t="shared" si="170"/>
        <v>0.0285388127853882</v>
      </c>
      <c r="EZ42" s="26">
        <f t="shared" si="171"/>
        <v>0.199902601482971</v>
      </c>
      <c r="FA42" s="26">
        <f t="shared" si="172"/>
        <v>0</v>
      </c>
      <c r="FB42" s="26">
        <f t="shared" si="173"/>
        <v>0.100702134226212</v>
      </c>
      <c r="FC42" s="26">
        <f t="shared" si="174"/>
        <v>0.255487415686163</v>
      </c>
      <c r="FD42" s="26">
        <f t="shared" si="175"/>
        <v>0</v>
      </c>
      <c r="FE42" s="26">
        <f t="shared" si="176"/>
        <v>0</v>
      </c>
      <c r="FF42" s="26">
        <f t="shared" si="177"/>
        <v>0</v>
      </c>
      <c r="FG42" s="26">
        <f t="shared" si="178"/>
        <v>0</v>
      </c>
      <c r="FH42" s="26">
        <f t="shared" si="179"/>
        <v>0.273930165843391</v>
      </c>
      <c r="FI42" s="26">
        <f t="shared" si="180"/>
        <v>0</v>
      </c>
      <c r="FJ42" s="26">
        <f t="shared" si="181"/>
        <v>0.435110239303895</v>
      </c>
      <c r="FK42" s="26">
        <f t="shared" si="182"/>
        <v>0</v>
      </c>
      <c r="FL42" s="26">
        <f t="shared" si="183"/>
        <v>0.0957625357650935</v>
      </c>
      <c r="FM42" s="26">
        <f t="shared" si="184"/>
        <v>0</v>
      </c>
      <c r="FN42" s="26">
        <f t="shared" si="185"/>
        <v>0</v>
      </c>
      <c r="FO42" s="26">
        <f t="shared" si="186"/>
        <v>0</v>
      </c>
      <c r="FP42" s="26">
        <f t="shared" si="187"/>
        <v>0.148401826484019</v>
      </c>
      <c r="FQ42" s="26">
        <f t="shared" si="188"/>
        <v>0</v>
      </c>
      <c r="FR42" s="26">
        <f t="shared" si="189"/>
        <v>0.264359528959385</v>
      </c>
      <c r="FS42" s="26">
        <f t="shared" si="190"/>
        <v>0.0267732115677321</v>
      </c>
      <c r="FT42" s="26">
        <f t="shared" si="191"/>
        <v>0</v>
      </c>
      <c r="FU42" s="26">
        <f t="shared" si="192"/>
        <v>0.0227164427952012</v>
      </c>
      <c r="FV42" s="26">
        <f t="shared" si="193"/>
        <v>0</v>
      </c>
      <c r="FW42" s="26">
        <f t="shared" si="194"/>
        <v>0.0685505151327415</v>
      </c>
      <c r="FX42" s="26">
        <f t="shared" si="195"/>
        <v>0</v>
      </c>
      <c r="FY42" s="26">
        <f t="shared" si="196"/>
        <v>0</v>
      </c>
      <c r="FZ42" s="26">
        <f t="shared" si="197"/>
        <v>0</v>
      </c>
      <c r="GA42" s="26">
        <f t="shared" si="198"/>
        <v>0.0417509295607959</v>
      </c>
      <c r="GB42" s="26">
        <f t="shared" si="199"/>
        <v>0.250091257017833</v>
      </c>
      <c r="GC42" s="26">
        <f t="shared" si="200"/>
        <v>0.080003805175038</v>
      </c>
      <c r="GD42" s="26">
        <f t="shared" si="201"/>
        <v>0</v>
      </c>
      <c r="GE42" s="26">
        <f t="shared" si="202"/>
        <v>0.271667544783983</v>
      </c>
      <c r="GF42" s="26">
        <f t="shared" si="203"/>
        <v>0</v>
      </c>
      <c r="GG42" s="26">
        <f t="shared" si="204"/>
        <v>0.146499238964993</v>
      </c>
      <c r="GH42" s="26">
        <f t="shared" si="205"/>
        <v>0.00794751748453845</v>
      </c>
      <c r="GI42" s="26">
        <f t="shared" si="206"/>
        <v>0</v>
      </c>
      <c r="GJ42" s="26">
        <f t="shared" si="207"/>
        <v>0.148836619872586</v>
      </c>
      <c r="GK42" s="26">
        <f t="shared" si="208"/>
        <v>0.0436829201325259</v>
      </c>
      <c r="GL42" s="26">
        <f t="shared" si="209"/>
        <v>0</v>
      </c>
      <c r="GM42" s="26">
        <f t="shared" si="210"/>
        <v>0.137031139537263</v>
      </c>
      <c r="GN42" s="26">
        <f t="shared" si="211"/>
        <v>0</v>
      </c>
      <c r="GO42" s="26">
        <f t="shared" si="212"/>
        <v>0.295570407312881</v>
      </c>
      <c r="GP42" s="26">
        <f t="shared" si="213"/>
        <v>0.061960424129777</v>
      </c>
      <c r="GQ42" s="26">
        <f t="shared" si="214"/>
        <v>0.0715682958453125</v>
      </c>
      <c r="GR42" s="26">
        <f t="shared" si="215"/>
        <v>0.41407041378015</v>
      </c>
      <c r="GS42" s="26">
        <f t="shared" si="216"/>
        <v>0.2661758570385</v>
      </c>
      <c r="GT42" s="26">
        <f t="shared" si="217"/>
        <v>0</v>
      </c>
      <c r="GU42" s="26">
        <f t="shared" si="218"/>
        <v>0.175600383617076</v>
      </c>
      <c r="GV42" s="26">
        <f t="shared" si="219"/>
        <v>0</v>
      </c>
      <c r="GW42" s="26">
        <f t="shared" si="220"/>
        <v>0</v>
      </c>
      <c r="GX42" s="26">
        <f t="shared" si="221"/>
        <v>0.205693493150685</v>
      </c>
      <c r="GY42" s="26">
        <f t="shared" si="222"/>
        <v>0.215182648401826</v>
      </c>
      <c r="GZ42" s="26">
        <f t="shared" si="223"/>
        <v>0.219554275633043</v>
      </c>
      <c r="HA42" s="26">
        <f t="shared" si="224"/>
        <v>0.216203127162031</v>
      </c>
      <c r="HB42" s="26">
        <f t="shared" si="225"/>
        <v>0.070190601957595</v>
      </c>
      <c r="HC42" s="26">
        <f t="shared" si="226"/>
        <v>0.129083604376246</v>
      </c>
      <c r="HD42" s="26">
        <f t="shared" si="227"/>
        <v>0.29865564682181</v>
      </c>
      <c r="HE42" s="26">
        <f t="shared" si="228"/>
        <v>0.0294615199284092</v>
      </c>
      <c r="HF42" s="26">
        <f t="shared" si="229"/>
        <v>0.137864889652985</v>
      </c>
      <c r="HG42" s="26">
        <f t="shared" si="230"/>
        <v>0</v>
      </c>
      <c r="HH42" s="26">
        <f t="shared" si="231"/>
        <v>0.086215946814483</v>
      </c>
      <c r="HI42" s="26">
        <f t="shared" si="232"/>
        <v>0</v>
      </c>
      <c r="HJ42" s="26">
        <f t="shared" si="233"/>
        <v>0.0994068777239625</v>
      </c>
      <c r="HK42" s="26">
        <f t="shared" si="234"/>
        <v>0.15200829137968</v>
      </c>
      <c r="HL42" s="26">
        <f t="shared" si="235"/>
        <v>0</v>
      </c>
      <c r="HM42" s="26">
        <f t="shared" si="236"/>
        <v>0.0767953507679535</v>
      </c>
      <c r="HN42" s="26">
        <f t="shared" si="237"/>
        <v>0</v>
      </c>
      <c r="HO42" s="26">
        <f t="shared" si="238"/>
        <v>0</v>
      </c>
      <c r="HP42" s="26">
        <f t="shared" si="239"/>
        <v>0.192176541411624</v>
      </c>
      <c r="HQ42" s="26">
        <f t="shared" si="240"/>
        <v>0.00719717676947275</v>
      </c>
      <c r="HR42" s="26">
        <f t="shared" si="241"/>
        <v>0.270147642245898</v>
      </c>
      <c r="HS42" s="26">
        <f t="shared" si="242"/>
        <v>0</v>
      </c>
      <c r="HT42" s="26">
        <f t="shared" si="243"/>
        <v>0</v>
      </c>
      <c r="HU42" s="26">
        <f t="shared" si="244"/>
        <v>0.0526873359673785</v>
      </c>
      <c r="HV42" s="26">
        <f t="shared" si="245"/>
        <v>0</v>
      </c>
      <c r="HW42" s="26">
        <f t="shared" si="246"/>
        <v>0.0840668074937055</v>
      </c>
      <c r="HX42" t="s">
        <v>404</v>
      </c>
      <c r="HY42" t="s">
        <v>477</v>
      </c>
    </row>
    <row r="44" spans="1:233">
      <c r="B44" t="s">
        <v>478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1:233">
      <c r="D45" s="12" t="s">
        <v>479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1:233">
      <c r="B46" s="32">
        <f>MIN(F44:DJ47)</f>
        <v>0.652565599315862</v>
      </c>
      <c r="D46" s="12" t="s">
        <v>480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1:233">
      <c r="D47" s="12" t="s">
        <v>481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1:235">
      <c r="B50" s="22" t="s">
        <v>482</v>
      </c>
      <c r="E50" s="22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  <c r="CZ50" s="26"/>
      <c r="DA50" s="26"/>
      <c r="DB50" s="26"/>
      <c r="DC50" s="26"/>
      <c r="DD50" s="26"/>
      <c r="DE50" s="26"/>
      <c r="DF50" s="26"/>
      <c r="DG50" s="26"/>
      <c r="DH50" s="26"/>
      <c r="DI50" s="26"/>
      <c r="DJ50" s="26"/>
      <c r="DK50" s="26"/>
      <c r="DS50" t="s">
        <v>483</v>
      </c>
    </row>
    <row r="51" spans="1:235">
      <c r="A51" s="26" t="s">
        <v>57</v>
      </c>
      <c r="B51" t="s">
        <v>4</v>
      </c>
      <c r="C51" t="s">
        <v>92</v>
      </c>
      <c r="D51" t="s">
        <v>265</v>
      </c>
      <c r="E51" t="s">
        <v>277</v>
      </c>
      <c r="F51" s="26" t="str">
        <f>F15</f>
        <v>Albania</v>
      </c>
      <c r="G51" s="26" t="str">
        <f t="shared" ref="G51:BR51" si="260">G15</f>
        <v>Algeria</v>
      </c>
      <c r="H51" s="26" t="str">
        <f t="shared" si="260"/>
        <v>Angola</v>
      </c>
      <c r="I51" s="26" t="str">
        <f t="shared" si="260"/>
        <v>Argentina</v>
      </c>
      <c r="J51" s="26" t="str">
        <f t="shared" si="260"/>
        <v>Armenia</v>
      </c>
      <c r="K51" s="26" t="str">
        <f t="shared" si="260"/>
        <v>Australia</v>
      </c>
      <c r="L51" s="26" t="str">
        <f t="shared" si="260"/>
        <v>Austria</v>
      </c>
      <c r="M51" s="26" t="str">
        <f t="shared" si="260"/>
        <v>Azerbaijan</v>
      </c>
      <c r="N51" s="26" t="str">
        <f t="shared" si="260"/>
        <v>Bangladesh</v>
      </c>
      <c r="O51" s="26" t="str">
        <f t="shared" si="260"/>
        <v>Belarus</v>
      </c>
      <c r="P51" s="26" t="str">
        <f t="shared" si="260"/>
        <v>Belgium</v>
      </c>
      <c r="Q51" s="26" t="str">
        <f t="shared" si="260"/>
        <v>Bosnia_Herz</v>
      </c>
      <c r="R51" s="26" t="str">
        <f t="shared" si="260"/>
        <v>Brazil</v>
      </c>
      <c r="S51" s="26" t="str">
        <f t="shared" si="260"/>
        <v>Bulgaria</v>
      </c>
      <c r="T51" s="26" t="str">
        <f t="shared" si="260"/>
        <v>Cameroon</v>
      </c>
      <c r="U51" s="26" t="str">
        <f t="shared" si="260"/>
        <v>Canada</v>
      </c>
      <c r="V51" s="26" t="str">
        <f t="shared" si="260"/>
        <v>Chile</v>
      </c>
      <c r="W51" s="26" t="str">
        <f t="shared" si="260"/>
        <v>China</v>
      </c>
      <c r="X51" s="26" t="str">
        <f t="shared" si="260"/>
        <v>Colombia</v>
      </c>
      <c r="Y51" s="26" t="str">
        <f t="shared" si="260"/>
        <v>Croatia</v>
      </c>
      <c r="Z51" s="26" t="str">
        <f t="shared" si="260"/>
        <v>Cyprus</v>
      </c>
      <c r="AA51" s="26" t="str">
        <f t="shared" si="260"/>
        <v>Czech</v>
      </c>
      <c r="AB51" s="26" t="str">
        <f t="shared" si="260"/>
        <v>Denmark</v>
      </c>
      <c r="AC51" s="26" t="str">
        <f t="shared" si="260"/>
        <v>DR_Congo</v>
      </c>
      <c r="AD51" s="26" t="str">
        <f t="shared" si="260"/>
        <v>Egypt</v>
      </c>
      <c r="AE51" s="26" t="str">
        <f t="shared" si="260"/>
        <v>Estonia</v>
      </c>
      <c r="AF51" s="26" t="str">
        <f t="shared" si="260"/>
        <v>Ethiopia</v>
      </c>
      <c r="AG51" s="26" t="str">
        <f t="shared" si="260"/>
        <v>Finland</v>
      </c>
      <c r="AH51" s="26" t="str">
        <f t="shared" si="260"/>
        <v>France</v>
      </c>
      <c r="AI51" s="26" t="str">
        <f t="shared" si="260"/>
        <v>Georgia</v>
      </c>
      <c r="AJ51" s="26" t="str">
        <f t="shared" si="260"/>
        <v>Germany</v>
      </c>
      <c r="AK51" s="26" t="str">
        <f t="shared" si="260"/>
        <v>Ghana</v>
      </c>
      <c r="AL51" s="26" t="str">
        <f t="shared" si="260"/>
        <v>Greece</v>
      </c>
      <c r="AM51" s="26" t="str">
        <f t="shared" si="260"/>
        <v>Hungary</v>
      </c>
      <c r="AN51" s="26" t="str">
        <f t="shared" si="260"/>
        <v>Iceland</v>
      </c>
      <c r="AO51" s="26" t="str">
        <f t="shared" si="260"/>
        <v>India</v>
      </c>
      <c r="AP51" s="26" t="str">
        <f t="shared" si="260"/>
        <v>Indonesia</v>
      </c>
      <c r="AQ51" s="26" t="str">
        <f t="shared" si="260"/>
        <v>Iran</v>
      </c>
      <c r="AR51" s="26" t="str">
        <f t="shared" si="260"/>
        <v>Iraq</v>
      </c>
      <c r="AS51" s="26" t="str">
        <f t="shared" si="260"/>
        <v>Ireland</v>
      </c>
      <c r="AT51" s="26" t="str">
        <f t="shared" si="260"/>
        <v>Israel</v>
      </c>
      <c r="AU51" s="26" t="str">
        <f t="shared" si="260"/>
        <v>Italy</v>
      </c>
      <c r="AV51" s="26" t="str">
        <f t="shared" si="260"/>
        <v>IvoryCoast</v>
      </c>
      <c r="AW51" s="26" t="str">
        <f t="shared" si="260"/>
        <v>Japan</v>
      </c>
      <c r="AX51" s="26" t="str">
        <f t="shared" si="260"/>
        <v>Kazakhstan</v>
      </c>
      <c r="AY51" s="26" t="str">
        <f t="shared" si="260"/>
        <v>Kenya</v>
      </c>
      <c r="AZ51" s="26" t="str">
        <f t="shared" si="260"/>
        <v>Kosovo</v>
      </c>
      <c r="BA51" s="26" t="str">
        <f t="shared" si="260"/>
        <v>Kuwait</v>
      </c>
      <c r="BB51" s="26" t="str">
        <f t="shared" si="260"/>
        <v>Kyrgyzstan</v>
      </c>
      <c r="BC51" s="26" t="str">
        <f t="shared" si="260"/>
        <v>Latvia</v>
      </c>
      <c r="BD51" s="26" t="str">
        <f t="shared" si="260"/>
        <v>Libya</v>
      </c>
      <c r="BE51" s="26" t="str">
        <f t="shared" si="260"/>
        <v>Lithuania</v>
      </c>
      <c r="BF51" s="26" t="str">
        <f t="shared" si="260"/>
        <v>Luxembourg</v>
      </c>
      <c r="BG51" s="26" t="str">
        <f t="shared" si="260"/>
        <v>Macedonia</v>
      </c>
      <c r="BH51" s="26" t="str">
        <f t="shared" si="260"/>
        <v>Malaysia</v>
      </c>
      <c r="BI51" s="26" t="str">
        <f t="shared" si="260"/>
        <v>Malta</v>
      </c>
      <c r="BJ51" s="26" t="str">
        <f t="shared" si="260"/>
        <v>Mexico</v>
      </c>
      <c r="BK51" s="26" t="str">
        <f t="shared" si="260"/>
        <v>Moldova</v>
      </c>
      <c r="BL51" s="26" t="str">
        <f t="shared" si="260"/>
        <v>Montenegro</v>
      </c>
      <c r="BM51" s="26" t="str">
        <f t="shared" si="260"/>
        <v>Morocco</v>
      </c>
      <c r="BN51" s="26" t="str">
        <f t="shared" si="260"/>
        <v>Mozambique</v>
      </c>
      <c r="BO51" s="26" t="str">
        <f t="shared" si="260"/>
        <v>Myanmar</v>
      </c>
      <c r="BP51" s="26" t="str">
        <f t="shared" si="260"/>
        <v>Nepal</v>
      </c>
      <c r="BQ51" s="26" t="str">
        <f t="shared" si="260"/>
        <v>Netherlands</v>
      </c>
      <c r="BR51" s="26" t="str">
        <f t="shared" si="260"/>
        <v>NewZealand</v>
      </c>
      <c r="BS51" s="26" t="str">
        <f t="shared" ref="BS51:DJ51" si="261">BS15</f>
        <v>Niger</v>
      </c>
      <c r="BT51" s="26" t="str">
        <f t="shared" si="261"/>
        <v>Nigeria</v>
      </c>
      <c r="BU51" s="26" t="str">
        <f t="shared" si="261"/>
        <v>Norway</v>
      </c>
      <c r="BV51" s="26" t="str">
        <f t="shared" si="261"/>
        <v>Oman</v>
      </c>
      <c r="BW51" s="26" t="str">
        <f t="shared" si="261"/>
        <v>Other_Africa</v>
      </c>
      <c r="BX51" s="26" t="str">
        <f t="shared" si="261"/>
        <v>Other_AsiaEm</v>
      </c>
      <c r="BY51" s="26" t="str">
        <f t="shared" si="261"/>
        <v>Other_EurDev</v>
      </c>
      <c r="BZ51" s="26" t="str">
        <f t="shared" si="261"/>
        <v>Other_LatAm</v>
      </c>
      <c r="CA51" s="26" t="str">
        <f t="shared" si="261"/>
        <v>Other_MidEast</v>
      </c>
      <c r="CB51" s="26" t="str">
        <f t="shared" si="261"/>
        <v>Pakistan</v>
      </c>
      <c r="CC51" s="26" t="str">
        <f t="shared" si="261"/>
        <v>Peru</v>
      </c>
      <c r="CD51" s="26" t="str">
        <f t="shared" si="261"/>
        <v>Philippines</v>
      </c>
      <c r="CE51" s="26" t="str">
        <f t="shared" si="261"/>
        <v>Poland</v>
      </c>
      <c r="CF51" s="26" t="str">
        <f t="shared" si="261"/>
        <v>Portugal</v>
      </c>
      <c r="CG51" s="26" t="str">
        <f t="shared" si="261"/>
        <v>Qatar</v>
      </c>
      <c r="CH51" s="26" t="str">
        <f t="shared" si="261"/>
        <v>Romania</v>
      </c>
      <c r="CI51" s="26" t="str">
        <f t="shared" si="261"/>
        <v>Russia</v>
      </c>
      <c r="CJ51" s="26" t="str">
        <f t="shared" si="261"/>
        <v>SaudiArabia</v>
      </c>
      <c r="CK51" s="26" t="str">
        <f t="shared" si="261"/>
        <v>Serbia</v>
      </c>
      <c r="CL51" s="26" t="str">
        <f t="shared" si="261"/>
        <v>Singapore</v>
      </c>
      <c r="CM51" s="26" t="str">
        <f t="shared" si="261"/>
        <v>Slovak</v>
      </c>
      <c r="CN51" s="26" t="str">
        <f t="shared" si="261"/>
        <v>Slovenia</v>
      </c>
      <c r="CO51" s="26" t="str">
        <f t="shared" si="261"/>
        <v>SouthAfrica</v>
      </c>
      <c r="CP51" s="26" t="str">
        <f t="shared" si="261"/>
        <v>SouthKorea</v>
      </c>
      <c r="CQ51" s="26" t="str">
        <f t="shared" si="261"/>
        <v>Spain</v>
      </c>
      <c r="CR51" s="26" t="str">
        <f t="shared" si="261"/>
        <v>Sudan</v>
      </c>
      <c r="CS51" s="26" t="str">
        <f t="shared" si="261"/>
        <v>Sweden</v>
      </c>
      <c r="CT51" s="26" t="str">
        <f t="shared" si="261"/>
        <v>Switzerland</v>
      </c>
      <c r="CU51" s="26" t="str">
        <f t="shared" si="261"/>
        <v>Taiwan</v>
      </c>
      <c r="CV51" s="26" t="str">
        <f t="shared" si="261"/>
        <v>Tajikistan</v>
      </c>
      <c r="CW51" s="26" t="str">
        <f t="shared" si="261"/>
        <v>Tanzania</v>
      </c>
      <c r="CX51" s="26" t="str">
        <f t="shared" si="261"/>
        <v>Thailand</v>
      </c>
      <c r="CY51" s="26" t="str">
        <f t="shared" si="261"/>
        <v>Tunisia</v>
      </c>
      <c r="CZ51" s="26" t="str">
        <f t="shared" si="261"/>
        <v>Turkey</v>
      </c>
      <c r="DA51" s="26" t="str">
        <f t="shared" si="261"/>
        <v>Turkmenistan</v>
      </c>
      <c r="DB51" s="26" t="str">
        <f t="shared" si="261"/>
        <v>UAE</v>
      </c>
      <c r="DC51" s="26" t="str">
        <f t="shared" si="261"/>
        <v>UK</v>
      </c>
      <c r="DD51" s="26" t="str">
        <f t="shared" si="261"/>
        <v>Ukraine</v>
      </c>
      <c r="DE51" s="26" t="str">
        <f t="shared" si="261"/>
        <v>USA</v>
      </c>
      <c r="DF51" s="26" t="str">
        <f t="shared" si="261"/>
        <v>Uzbekistan</v>
      </c>
      <c r="DG51" s="26" t="str">
        <f t="shared" si="261"/>
        <v>Venezuela</v>
      </c>
      <c r="DH51" s="26" t="str">
        <f t="shared" si="261"/>
        <v>Vietnam</v>
      </c>
      <c r="DI51" s="26" t="str">
        <f t="shared" si="261"/>
        <v>Yemen</v>
      </c>
      <c r="DJ51" s="26" t="str">
        <f t="shared" si="261"/>
        <v>Zambia</v>
      </c>
      <c r="DK51" s="26" t="s">
        <v>467</v>
      </c>
      <c r="DL51" s="26" t="s">
        <v>402</v>
      </c>
      <c r="DM51" s="26" t="s">
        <v>42</v>
      </c>
      <c r="DP51" s="17">
        <v>0.94</v>
      </c>
      <c r="DQ51" s="17">
        <f>DP51/2</f>
        <v>0.47</v>
      </c>
      <c r="DS51" s="26" t="str">
        <f>F51</f>
        <v>Albania</v>
      </c>
      <c r="DT51" s="26" t="str">
        <f t="shared" ref="DT51" si="262">G51</f>
        <v>Algeria</v>
      </c>
      <c r="DU51" s="26" t="str">
        <f t="shared" ref="DU51" si="263">H51</f>
        <v>Angola</v>
      </c>
      <c r="DV51" s="26" t="str">
        <f t="shared" ref="DV51" si="264">I51</f>
        <v>Argentina</v>
      </c>
      <c r="DW51" s="26" t="str">
        <f t="shared" ref="DW51" si="265">J51</f>
        <v>Armenia</v>
      </c>
      <c r="DX51" s="26" t="str">
        <f t="shared" ref="DX51" si="266">K51</f>
        <v>Australia</v>
      </c>
      <c r="DY51" s="26" t="str">
        <f t="shared" ref="DY51" si="267">L51</f>
        <v>Austria</v>
      </c>
      <c r="DZ51" s="26" t="str">
        <f t="shared" ref="DZ51" si="268">M51</f>
        <v>Azerbaijan</v>
      </c>
      <c r="EA51" s="26" t="str">
        <f t="shared" ref="EA51" si="269">N51</f>
        <v>Bangladesh</v>
      </c>
      <c r="EB51" s="26" t="str">
        <f t="shared" ref="EB51" si="270">O51</f>
        <v>Belarus</v>
      </c>
      <c r="EC51" s="26" t="str">
        <f t="shared" ref="EC51" si="271">P51</f>
        <v>Belgium</v>
      </c>
      <c r="ED51" s="26" t="str">
        <f t="shared" ref="ED51" si="272">Q51</f>
        <v>Bosnia_Herz</v>
      </c>
      <c r="EE51" s="26" t="str">
        <f t="shared" ref="EE51" si="273">R51</f>
        <v>Brazil</v>
      </c>
      <c r="EF51" s="26" t="str">
        <f t="shared" ref="EF51" si="274">S51</f>
        <v>Bulgaria</v>
      </c>
      <c r="EG51" s="26" t="str">
        <f t="shared" ref="EG51" si="275">T51</f>
        <v>Cameroon</v>
      </c>
      <c r="EH51" s="26" t="str">
        <f t="shared" ref="EH51" si="276">U51</f>
        <v>Canada</v>
      </c>
      <c r="EI51" s="26" t="str">
        <f t="shared" ref="EI51" si="277">V51</f>
        <v>Chile</v>
      </c>
      <c r="EJ51" s="26" t="str">
        <f t="shared" ref="EJ51" si="278">W51</f>
        <v>China</v>
      </c>
      <c r="EK51" s="26" t="str">
        <f t="shared" ref="EK51" si="279">X51</f>
        <v>Colombia</v>
      </c>
      <c r="EL51" s="26" t="str">
        <f t="shared" ref="EL51" si="280">Y51</f>
        <v>Croatia</v>
      </c>
      <c r="EM51" s="26" t="str">
        <f t="shared" ref="EM51" si="281">Z51</f>
        <v>Cyprus</v>
      </c>
      <c r="EN51" s="26" t="str">
        <f t="shared" ref="EN51" si="282">AA51</f>
        <v>Czech</v>
      </c>
      <c r="EO51" s="26" t="str">
        <f t="shared" ref="EO51" si="283">AB51</f>
        <v>Denmark</v>
      </c>
      <c r="EP51" s="26" t="str">
        <f t="shared" ref="EP51" si="284">AC51</f>
        <v>DR_Congo</v>
      </c>
      <c r="EQ51" s="26" t="str">
        <f t="shared" ref="EQ51" si="285">AD51</f>
        <v>Egypt</v>
      </c>
      <c r="ER51" s="26" t="str">
        <f t="shared" ref="ER51" si="286">AE51</f>
        <v>Estonia</v>
      </c>
      <c r="ES51" s="26" t="str">
        <f t="shared" ref="ES51" si="287">AF51</f>
        <v>Ethiopia</v>
      </c>
      <c r="ET51" s="26" t="str">
        <f t="shared" ref="ET51" si="288">AG51</f>
        <v>Finland</v>
      </c>
      <c r="EU51" s="26" t="str">
        <f t="shared" ref="EU51" si="289">AH51</f>
        <v>France</v>
      </c>
      <c r="EV51" s="26" t="str">
        <f t="shared" ref="EV51" si="290">AI51</f>
        <v>Georgia</v>
      </c>
      <c r="EW51" s="26" t="str">
        <f t="shared" ref="EW51" si="291">AJ51</f>
        <v>Germany</v>
      </c>
      <c r="EX51" s="26" t="str">
        <f t="shared" ref="EX51" si="292">AK51</f>
        <v>Ghana</v>
      </c>
      <c r="EY51" s="26" t="str">
        <f t="shared" ref="EY51" si="293">AL51</f>
        <v>Greece</v>
      </c>
      <c r="EZ51" s="26" t="str">
        <f t="shared" ref="EZ51" si="294">AM51</f>
        <v>Hungary</v>
      </c>
      <c r="FA51" s="26" t="str">
        <f t="shared" ref="FA51" si="295">AN51</f>
        <v>Iceland</v>
      </c>
      <c r="FB51" s="26" t="str">
        <f t="shared" ref="FB51" si="296">AO51</f>
        <v>India</v>
      </c>
      <c r="FC51" s="26" t="str">
        <f t="shared" ref="FC51" si="297">AP51</f>
        <v>Indonesia</v>
      </c>
      <c r="FD51" s="26" t="str">
        <f t="shared" ref="FD51" si="298">AQ51</f>
        <v>Iran</v>
      </c>
      <c r="FE51" s="26" t="str">
        <f t="shared" ref="FE51" si="299">AR51</f>
        <v>Iraq</v>
      </c>
      <c r="FF51" s="26" t="str">
        <f t="shared" ref="FF51" si="300">AS51</f>
        <v>Ireland</v>
      </c>
      <c r="FG51" s="26" t="str">
        <f t="shared" ref="FG51" si="301">AT51</f>
        <v>Israel</v>
      </c>
      <c r="FH51" s="26" t="str">
        <f t="shared" ref="FH51" si="302">AU51</f>
        <v>Italy</v>
      </c>
      <c r="FI51" s="26" t="str">
        <f t="shared" ref="FI51" si="303">AV51</f>
        <v>IvoryCoast</v>
      </c>
      <c r="FJ51" s="26" t="str">
        <f t="shared" ref="FJ51" si="304">AW51</f>
        <v>Japan</v>
      </c>
      <c r="FK51" s="26" t="str">
        <f t="shared" ref="FK51" si="305">AX51</f>
        <v>Kazakhstan</v>
      </c>
      <c r="FL51" s="26" t="str">
        <f t="shared" ref="FL51" si="306">AY51</f>
        <v>Kenya</v>
      </c>
      <c r="FM51" s="26" t="str">
        <f t="shared" ref="FM51" si="307">AZ51</f>
        <v>Kosovo</v>
      </c>
      <c r="FN51" s="26" t="str">
        <f t="shared" ref="FN51" si="308">BA51</f>
        <v>Kuwait</v>
      </c>
      <c r="FO51" s="26" t="str">
        <f t="shared" ref="FO51" si="309">BB51</f>
        <v>Kyrgyzstan</v>
      </c>
      <c r="FP51" s="26" t="str">
        <f t="shared" ref="FP51" si="310">BC51</f>
        <v>Latvia</v>
      </c>
      <c r="FQ51" s="26" t="str">
        <f t="shared" ref="FQ51" si="311">BD51</f>
        <v>Libya</v>
      </c>
      <c r="FR51" s="26" t="str">
        <f t="shared" ref="FR51" si="312">BE51</f>
        <v>Lithuania</v>
      </c>
      <c r="FS51" s="26" t="str">
        <f t="shared" ref="FS51" si="313">BF51</f>
        <v>Luxembourg</v>
      </c>
      <c r="FT51" s="26" t="str">
        <f t="shared" ref="FT51" si="314">BG51</f>
        <v>Macedonia</v>
      </c>
      <c r="FU51" s="26" t="str">
        <f t="shared" ref="FU51" si="315">BH51</f>
        <v>Malaysia</v>
      </c>
      <c r="FV51" s="26" t="str">
        <f t="shared" ref="FV51" si="316">BI51</f>
        <v>Malta</v>
      </c>
      <c r="FW51" s="26" t="str">
        <f t="shared" ref="FW51" si="317">BJ51</f>
        <v>Mexico</v>
      </c>
      <c r="FX51" s="26" t="str">
        <f t="shared" ref="FX51" si="318">BK51</f>
        <v>Moldova</v>
      </c>
      <c r="FY51" s="26" t="str">
        <f t="shared" ref="FY51" si="319">BL51</f>
        <v>Montenegro</v>
      </c>
      <c r="FZ51" s="26" t="str">
        <f t="shared" ref="FZ51" si="320">BM51</f>
        <v>Morocco</v>
      </c>
      <c r="GA51" s="26" t="str">
        <f t="shared" ref="GA51" si="321">BN51</f>
        <v>Mozambique</v>
      </c>
      <c r="GB51" s="26" t="str">
        <f t="shared" ref="GB51" si="322">BO51</f>
        <v>Myanmar</v>
      </c>
      <c r="GC51" s="26" t="str">
        <f t="shared" ref="GC51" si="323">BP51</f>
        <v>Nepal</v>
      </c>
      <c r="GD51" s="26" t="str">
        <f t="shared" ref="GD51" si="324">BQ51</f>
        <v>Netherlands</v>
      </c>
      <c r="GE51" s="26" t="str">
        <f t="shared" ref="GE51:GU51" si="325">BR51</f>
        <v>NewZealand</v>
      </c>
      <c r="GF51" s="26" t="str">
        <f t="shared" si="325"/>
        <v>Niger</v>
      </c>
      <c r="GG51" s="26" t="str">
        <f t="shared" si="325"/>
        <v>Nigeria</v>
      </c>
      <c r="GH51" s="26" t="str">
        <f t="shared" si="325"/>
        <v>Norway</v>
      </c>
      <c r="GI51" s="26" t="str">
        <f t="shared" si="325"/>
        <v>Oman</v>
      </c>
      <c r="GJ51" s="26" t="str">
        <f t="shared" si="325"/>
        <v>Other_Africa</v>
      </c>
      <c r="GK51" s="26" t="str">
        <f t="shared" si="325"/>
        <v>Other_AsiaEm</v>
      </c>
      <c r="GL51" s="26" t="str">
        <f t="shared" si="325"/>
        <v>Other_EurDev</v>
      </c>
      <c r="GM51" s="26" t="str">
        <f t="shared" si="325"/>
        <v>Other_LatAm</v>
      </c>
      <c r="GN51" s="26" t="str">
        <f t="shared" si="325"/>
        <v>Other_MidEast</v>
      </c>
      <c r="GO51" s="26" t="str">
        <f t="shared" si="325"/>
        <v>Pakistan</v>
      </c>
      <c r="GP51" s="26" t="str">
        <f t="shared" si="325"/>
        <v>Peru</v>
      </c>
      <c r="GQ51" s="26" t="str">
        <f t="shared" si="325"/>
        <v>Philippines</v>
      </c>
      <c r="GR51" s="26" t="str">
        <f t="shared" si="325"/>
        <v>Poland</v>
      </c>
      <c r="GS51" s="26" t="str">
        <f t="shared" si="325"/>
        <v>Portugal</v>
      </c>
      <c r="GT51" s="26" t="str">
        <f t="shared" si="325"/>
        <v>Qatar</v>
      </c>
      <c r="GU51" s="26" t="str">
        <f t="shared" si="325"/>
        <v>Romania</v>
      </c>
      <c r="GV51" s="26" t="str">
        <f t="shared" ref="GV51:HJ51" si="326">CI51</f>
        <v>Russia</v>
      </c>
      <c r="GW51" s="26" t="str">
        <f t="shared" si="326"/>
        <v>SaudiArabia</v>
      </c>
      <c r="GX51" s="26" t="str">
        <f t="shared" si="326"/>
        <v>Serbia</v>
      </c>
      <c r="GY51" s="26" t="str">
        <f t="shared" si="326"/>
        <v>Singapore</v>
      </c>
      <c r="GZ51" s="26" t="str">
        <f t="shared" si="326"/>
        <v>Slovak</v>
      </c>
      <c r="HA51" s="26" t="str">
        <f t="shared" si="326"/>
        <v>Slovenia</v>
      </c>
      <c r="HB51" s="26" t="str">
        <f t="shared" si="326"/>
        <v>SouthAfrica</v>
      </c>
      <c r="HC51" s="26" t="str">
        <f t="shared" si="326"/>
        <v>SouthKorea</v>
      </c>
      <c r="HD51" s="26" t="str">
        <f t="shared" si="326"/>
        <v>Spain</v>
      </c>
      <c r="HE51" s="26" t="str">
        <f t="shared" si="326"/>
        <v>Sudan</v>
      </c>
      <c r="HF51" s="26" t="str">
        <f t="shared" si="326"/>
        <v>Sweden</v>
      </c>
      <c r="HG51" s="26" t="str">
        <f t="shared" si="326"/>
        <v>Switzerland</v>
      </c>
      <c r="HH51" s="26" t="str">
        <f t="shared" si="326"/>
        <v>Taiwan</v>
      </c>
      <c r="HI51" s="26" t="str">
        <f t="shared" si="326"/>
        <v>Tajikistan</v>
      </c>
      <c r="HJ51" s="26" t="str">
        <f t="shared" si="326"/>
        <v>Tanzania</v>
      </c>
      <c r="HK51" s="26" t="str">
        <f t="shared" ref="HK51" si="327">CX51</f>
        <v>Thailand</v>
      </c>
      <c r="HL51" s="26" t="str">
        <f t="shared" ref="HL51" si="328">CY51</f>
        <v>Tunisia</v>
      </c>
      <c r="HM51" s="26" t="str">
        <f t="shared" ref="HM51" si="329">CZ51</f>
        <v>Turkey</v>
      </c>
      <c r="HN51" s="26" t="str">
        <f t="shared" ref="HN51" si="330">DA51</f>
        <v>Turkmenistan</v>
      </c>
      <c r="HO51" s="26" t="str">
        <f t="shared" ref="HO51" si="331">DB51</f>
        <v>UAE</v>
      </c>
      <c r="HP51" s="26" t="str">
        <f t="shared" ref="HP51" si="332">DC51</f>
        <v>UK</v>
      </c>
      <c r="HQ51" s="26" t="str">
        <f t="shared" ref="HQ51" si="333">DD51</f>
        <v>Ukraine</v>
      </c>
      <c r="HR51" s="26" t="str">
        <f t="shared" ref="HR51" si="334">DE51</f>
        <v>USA</v>
      </c>
      <c r="HS51" s="26" t="str">
        <f t="shared" ref="HS51" si="335">DF51</f>
        <v>Uzbekistan</v>
      </c>
      <c r="HT51" s="26" t="str">
        <f t="shared" ref="HT51" si="336">DG51</f>
        <v>Venezuela</v>
      </c>
      <c r="HU51" s="26" t="str">
        <f t="shared" ref="HU51" si="337">DH51</f>
        <v>Vietnam</v>
      </c>
      <c r="HV51" s="26" t="str">
        <f t="shared" ref="HV51" si="338">DI51</f>
        <v>Yemen</v>
      </c>
      <c r="HW51" s="26" t="str">
        <f t="shared" ref="HW51" si="339">DJ51</f>
        <v>Zambia</v>
      </c>
      <c r="HX51" s="26" t="str">
        <f t="shared" ref="HX51:HY58" si="340">C51</f>
        <v>PSET_SET</v>
      </c>
      <c r="HY51" s="26" t="str">
        <f t="shared" si="340"/>
        <v>PSET_CI</v>
      </c>
      <c r="HZ51" s="26" t="s">
        <v>484</v>
      </c>
      <c r="IA51" s="26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404</v>
      </c>
      <c r="D52" t="str">
        <f t="shared" ref="D52:D58" si="343">D16</f>
        <v>???COB</v>
      </c>
      <c r="F52" s="26">
        <f>ROUNDDOWN(-F4*$DP$51,2)</f>
        <v>0</v>
      </c>
      <c r="G52" s="26">
        <f t="shared" ref="G52:BR52" si="344">ROUNDDOWN(-G4*$DP$51,2)</f>
        <v>0</v>
      </c>
      <c r="H52" s="26">
        <f t="shared" si="344"/>
        <v>0</v>
      </c>
      <c r="I52" s="26">
        <f t="shared" si="344"/>
        <v>0</v>
      </c>
      <c r="J52" s="26">
        <f t="shared" si="344"/>
        <v>0</v>
      </c>
      <c r="K52" s="26">
        <f t="shared" si="344"/>
        <v>-0.79</v>
      </c>
      <c r="L52" s="26">
        <f t="shared" si="344"/>
        <v>0</v>
      </c>
      <c r="M52" s="26">
        <f t="shared" si="344"/>
        <v>0</v>
      </c>
      <c r="N52" s="26">
        <f t="shared" si="344"/>
        <v>0</v>
      </c>
      <c r="O52" s="26">
        <f t="shared" si="344"/>
        <v>0</v>
      </c>
      <c r="P52" s="26">
        <f t="shared" si="344"/>
        <v>0</v>
      </c>
      <c r="Q52" s="26">
        <f t="shared" si="344"/>
        <v>-0.61</v>
      </c>
      <c r="R52" s="26">
        <f t="shared" si="344"/>
        <v>0</v>
      </c>
      <c r="S52" s="26">
        <f t="shared" si="344"/>
        <v>-0.45</v>
      </c>
      <c r="T52" s="26">
        <f t="shared" si="344"/>
        <v>0</v>
      </c>
      <c r="U52" s="26">
        <f t="shared" si="344"/>
        <v>-0.79</v>
      </c>
      <c r="V52" s="26">
        <f t="shared" si="344"/>
        <v>0</v>
      </c>
      <c r="W52" s="26">
        <f t="shared" si="344"/>
        <v>0</v>
      </c>
      <c r="X52" s="26">
        <f t="shared" si="344"/>
        <v>0</v>
      </c>
      <c r="Y52" s="26">
        <f t="shared" si="344"/>
        <v>0</v>
      </c>
      <c r="Z52" s="26">
        <f t="shared" si="344"/>
        <v>0</v>
      </c>
      <c r="AA52" s="26">
        <f t="shared" si="344"/>
        <v>-0.53</v>
      </c>
      <c r="AB52" s="26">
        <f t="shared" si="344"/>
        <v>0</v>
      </c>
      <c r="AC52" s="26">
        <f t="shared" si="344"/>
        <v>0</v>
      </c>
      <c r="AD52" s="26">
        <f t="shared" si="344"/>
        <v>0</v>
      </c>
      <c r="AE52" s="26">
        <f t="shared" si="344"/>
        <v>0</v>
      </c>
      <c r="AF52" s="26">
        <f t="shared" si="344"/>
        <v>0</v>
      </c>
      <c r="AG52" s="26">
        <f t="shared" si="344"/>
        <v>0</v>
      </c>
      <c r="AH52" s="26">
        <f t="shared" si="344"/>
        <v>0</v>
      </c>
      <c r="AI52" s="26">
        <f t="shared" si="344"/>
        <v>0</v>
      </c>
      <c r="AJ52" s="26">
        <f t="shared" si="344"/>
        <v>-0.61</v>
      </c>
      <c r="AK52" s="26">
        <f t="shared" si="344"/>
        <v>0</v>
      </c>
      <c r="AL52" s="26">
        <f t="shared" si="344"/>
        <v>-0.46</v>
      </c>
      <c r="AM52" s="26">
        <f t="shared" si="344"/>
        <v>-0.37</v>
      </c>
      <c r="AN52" s="26">
        <f t="shared" si="344"/>
        <v>0</v>
      </c>
      <c r="AO52" s="26">
        <f t="shared" si="344"/>
        <v>-0.45</v>
      </c>
      <c r="AP52" s="26">
        <f t="shared" si="344"/>
        <v>-0.63</v>
      </c>
      <c r="AQ52" s="26">
        <f t="shared" si="344"/>
        <v>0</v>
      </c>
      <c r="AR52" s="26">
        <f t="shared" si="344"/>
        <v>0</v>
      </c>
      <c r="AS52" s="26">
        <f t="shared" si="344"/>
        <v>0</v>
      </c>
      <c r="AT52" s="26">
        <f t="shared" si="344"/>
        <v>0</v>
      </c>
      <c r="AU52" s="26">
        <f t="shared" si="344"/>
        <v>0</v>
      </c>
      <c r="AV52" s="26">
        <f t="shared" si="344"/>
        <v>0</v>
      </c>
      <c r="AW52" s="26">
        <f t="shared" si="344"/>
        <v>0</v>
      </c>
      <c r="AX52" s="26">
        <f t="shared" si="344"/>
        <v>0</v>
      </c>
      <c r="AY52" s="26">
        <f t="shared" si="344"/>
        <v>0</v>
      </c>
      <c r="AZ52" s="26">
        <f t="shared" si="344"/>
        <v>-0.5</v>
      </c>
      <c r="BA52" s="26">
        <f t="shared" si="344"/>
        <v>0</v>
      </c>
      <c r="BB52" s="26">
        <f t="shared" si="344"/>
        <v>0</v>
      </c>
      <c r="BC52" s="26">
        <f t="shared" si="344"/>
        <v>0</v>
      </c>
      <c r="BD52" s="26">
        <f t="shared" si="344"/>
        <v>0</v>
      </c>
      <c r="BE52" s="26">
        <f t="shared" si="344"/>
        <v>0</v>
      </c>
      <c r="BF52" s="26">
        <f t="shared" si="344"/>
        <v>0</v>
      </c>
      <c r="BG52" s="26">
        <f t="shared" si="344"/>
        <v>-0.53</v>
      </c>
      <c r="BH52" s="26">
        <f t="shared" si="344"/>
        <v>0</v>
      </c>
      <c r="BI52" s="26">
        <f t="shared" si="344"/>
        <v>0</v>
      </c>
      <c r="BJ52" s="26">
        <f t="shared" si="344"/>
        <v>0</v>
      </c>
      <c r="BK52" s="26">
        <f t="shared" si="344"/>
        <v>0</v>
      </c>
      <c r="BL52" s="26">
        <f t="shared" si="344"/>
        <v>-0.71</v>
      </c>
      <c r="BM52" s="26">
        <f t="shared" si="344"/>
        <v>0</v>
      </c>
      <c r="BN52" s="26">
        <f t="shared" si="344"/>
        <v>0</v>
      </c>
      <c r="BO52" s="26">
        <f t="shared" si="344"/>
        <v>0</v>
      </c>
      <c r="BP52" s="26">
        <f t="shared" si="344"/>
        <v>0</v>
      </c>
      <c r="BQ52" s="26">
        <f t="shared" si="344"/>
        <v>0</v>
      </c>
      <c r="BR52" s="26">
        <f t="shared" si="344"/>
        <v>-0.33</v>
      </c>
      <c r="BS52" s="26">
        <f t="shared" ref="BS52:DJ52" si="345">ROUNDDOWN(-BS4*$DP$51,2)</f>
        <v>0</v>
      </c>
      <c r="BT52" s="26">
        <f t="shared" si="345"/>
        <v>0</v>
      </c>
      <c r="BU52" s="26">
        <f t="shared" si="345"/>
        <v>0</v>
      </c>
      <c r="BV52" s="26">
        <f t="shared" si="345"/>
        <v>0</v>
      </c>
      <c r="BW52" s="26">
        <f t="shared" si="345"/>
        <v>0</v>
      </c>
      <c r="BX52" s="26">
        <f t="shared" si="345"/>
        <v>-0.42</v>
      </c>
      <c r="BY52" s="26">
        <f t="shared" si="345"/>
        <v>0</v>
      </c>
      <c r="BZ52" s="26">
        <f t="shared" si="345"/>
        <v>0</v>
      </c>
      <c r="CA52" s="26">
        <f t="shared" si="345"/>
        <v>0</v>
      </c>
      <c r="CB52" s="26">
        <f t="shared" si="345"/>
        <v>0</v>
      </c>
      <c r="CC52" s="26">
        <f t="shared" si="345"/>
        <v>0</v>
      </c>
      <c r="CD52" s="26">
        <f t="shared" si="345"/>
        <v>-0.79</v>
      </c>
      <c r="CE52" s="26">
        <f t="shared" si="345"/>
        <v>-0.59</v>
      </c>
      <c r="CF52" s="26">
        <f t="shared" si="345"/>
        <v>0</v>
      </c>
      <c r="CG52" s="26">
        <f t="shared" si="345"/>
        <v>0</v>
      </c>
      <c r="CH52" s="26">
        <f t="shared" si="345"/>
        <v>-0.36</v>
      </c>
      <c r="CI52" s="26">
        <f t="shared" si="345"/>
        <v>-0.33</v>
      </c>
      <c r="CJ52" s="26">
        <f t="shared" si="345"/>
        <v>0</v>
      </c>
      <c r="CK52" s="26">
        <f t="shared" si="345"/>
        <v>-0.64</v>
      </c>
      <c r="CL52" s="26">
        <f t="shared" si="345"/>
        <v>0</v>
      </c>
      <c r="CM52" s="26">
        <f t="shared" si="345"/>
        <v>-0.28</v>
      </c>
      <c r="CN52" s="26">
        <f t="shared" si="345"/>
        <v>-0.79</v>
      </c>
      <c r="CO52" s="26">
        <f t="shared" si="345"/>
        <v>0</v>
      </c>
      <c r="CP52" s="26">
        <f t="shared" si="345"/>
        <v>-0.36</v>
      </c>
      <c r="CQ52" s="26">
        <f t="shared" si="345"/>
        <v>0</v>
      </c>
      <c r="CR52" s="26">
        <f t="shared" si="345"/>
        <v>0</v>
      </c>
      <c r="CS52" s="26">
        <f t="shared" si="345"/>
        <v>0</v>
      </c>
      <c r="CT52" s="26">
        <f t="shared" si="345"/>
        <v>0</v>
      </c>
      <c r="CU52" s="26">
        <f t="shared" si="345"/>
        <v>-0.3</v>
      </c>
      <c r="CV52" s="26">
        <f t="shared" si="345"/>
        <v>0</v>
      </c>
      <c r="CW52" s="26">
        <f t="shared" si="345"/>
        <v>0</v>
      </c>
      <c r="CX52" s="26">
        <f t="shared" si="345"/>
        <v>-0.68</v>
      </c>
      <c r="CY52" s="26">
        <f t="shared" si="345"/>
        <v>0</v>
      </c>
      <c r="CZ52" s="26">
        <f t="shared" si="345"/>
        <v>-0.55</v>
      </c>
      <c r="DA52" s="26">
        <f t="shared" si="345"/>
        <v>0</v>
      </c>
      <c r="DB52" s="26">
        <f t="shared" si="345"/>
        <v>0</v>
      </c>
      <c r="DC52" s="26">
        <f t="shared" si="345"/>
        <v>0</v>
      </c>
      <c r="DD52" s="26">
        <f t="shared" si="345"/>
        <v>0</v>
      </c>
      <c r="DE52" s="26">
        <f t="shared" si="345"/>
        <v>-0.58</v>
      </c>
      <c r="DF52" s="26">
        <f t="shared" si="345"/>
        <v>-0.09</v>
      </c>
      <c r="DG52" s="26">
        <f t="shared" si="345"/>
        <v>0</v>
      </c>
      <c r="DH52" s="26">
        <f t="shared" si="345"/>
        <v>0</v>
      </c>
      <c r="DI52" s="26">
        <f t="shared" si="345"/>
        <v>0</v>
      </c>
      <c r="DJ52" s="26">
        <f t="shared" si="345"/>
        <v>0</v>
      </c>
      <c r="DK52" s="8">
        <f>1/31.536</f>
        <v>0.0317097919837646</v>
      </c>
      <c r="DL52">
        <v>0</v>
      </c>
      <c r="DM52">
        <v>5</v>
      </c>
      <c r="DS52" s="26">
        <f t="shared" ref="DS52:EB58" si="346">F4*$DQ$51</f>
        <v>0</v>
      </c>
      <c r="DT52" s="26">
        <f t="shared" si="346"/>
        <v>0</v>
      </c>
      <c r="DU52" s="26">
        <f t="shared" si="346"/>
        <v>0</v>
      </c>
      <c r="DV52" s="26">
        <f t="shared" si="346"/>
        <v>0</v>
      </c>
      <c r="DW52" s="26">
        <f t="shared" si="346"/>
        <v>0</v>
      </c>
      <c r="DX52" s="26">
        <f t="shared" si="346"/>
        <v>0.3995</v>
      </c>
      <c r="DY52" s="26">
        <f t="shared" si="346"/>
        <v>0</v>
      </c>
      <c r="DZ52" s="26">
        <f t="shared" si="346"/>
        <v>0</v>
      </c>
      <c r="EA52" s="26">
        <f t="shared" si="346"/>
        <v>0</v>
      </c>
      <c r="EB52" s="26">
        <f t="shared" si="346"/>
        <v>0</v>
      </c>
      <c r="EC52" s="26">
        <f t="shared" ref="EC52:EL58" si="347">P4*$DQ$51</f>
        <v>0</v>
      </c>
      <c r="ED52" s="26">
        <f t="shared" si="347"/>
        <v>0.309725280877907</v>
      </c>
      <c r="EE52" s="26">
        <f t="shared" si="347"/>
        <v>0</v>
      </c>
      <c r="EF52" s="26">
        <f t="shared" si="347"/>
        <v>0.227715047078247</v>
      </c>
      <c r="EG52" s="26">
        <f t="shared" si="347"/>
        <v>0</v>
      </c>
      <c r="EH52" s="26">
        <f t="shared" si="347"/>
        <v>0.3995</v>
      </c>
      <c r="EI52" s="26">
        <f t="shared" si="347"/>
        <v>0</v>
      </c>
      <c r="EJ52" s="26">
        <f t="shared" si="347"/>
        <v>0</v>
      </c>
      <c r="EK52" s="26">
        <f t="shared" si="347"/>
        <v>0</v>
      </c>
      <c r="EL52" s="26">
        <f t="shared" si="347"/>
        <v>0</v>
      </c>
      <c r="EM52" s="26">
        <f t="shared" ref="EM52:EV58" si="348">Z4*$DQ$51</f>
        <v>0</v>
      </c>
      <c r="EN52" s="26">
        <f t="shared" si="348"/>
        <v>0.267879519539513</v>
      </c>
      <c r="EO52" s="26">
        <f t="shared" si="348"/>
        <v>0</v>
      </c>
      <c r="EP52" s="26">
        <f t="shared" si="348"/>
        <v>0</v>
      </c>
      <c r="EQ52" s="26">
        <f t="shared" si="348"/>
        <v>0</v>
      </c>
      <c r="ER52" s="26">
        <f t="shared" si="348"/>
        <v>0</v>
      </c>
      <c r="ES52" s="26">
        <f t="shared" si="348"/>
        <v>0</v>
      </c>
      <c r="ET52" s="26">
        <f t="shared" si="348"/>
        <v>0</v>
      </c>
      <c r="EU52" s="26">
        <f t="shared" si="348"/>
        <v>0</v>
      </c>
      <c r="EV52" s="26">
        <f t="shared" si="348"/>
        <v>0</v>
      </c>
      <c r="EW52" s="26">
        <f t="shared" ref="EW52:FF58" si="349">AJ4*$DQ$51</f>
        <v>0.306612398809076</v>
      </c>
      <c r="EX52" s="26">
        <f t="shared" si="349"/>
        <v>0</v>
      </c>
      <c r="EY52" s="26">
        <f t="shared" si="349"/>
        <v>0.234232919052951</v>
      </c>
      <c r="EZ52" s="26">
        <f t="shared" si="349"/>
        <v>0.18876267352014</v>
      </c>
      <c r="FA52" s="26">
        <f t="shared" si="349"/>
        <v>0</v>
      </c>
      <c r="FB52" s="26">
        <f t="shared" si="349"/>
        <v>0.225666495628673</v>
      </c>
      <c r="FC52" s="26">
        <f t="shared" si="349"/>
        <v>0.315775520142241</v>
      </c>
      <c r="FD52" s="26">
        <f t="shared" si="349"/>
        <v>0</v>
      </c>
      <c r="FE52" s="26">
        <f t="shared" si="349"/>
        <v>0</v>
      </c>
      <c r="FF52" s="26">
        <f t="shared" si="349"/>
        <v>0</v>
      </c>
      <c r="FG52" s="26">
        <f t="shared" ref="FG52:FP58" si="350">AT4*$DQ$51</f>
        <v>0</v>
      </c>
      <c r="FH52" s="26">
        <f t="shared" si="350"/>
        <v>0</v>
      </c>
      <c r="FI52" s="26">
        <f t="shared" si="350"/>
        <v>0</v>
      </c>
      <c r="FJ52" s="26">
        <f t="shared" si="350"/>
        <v>0</v>
      </c>
      <c r="FK52" s="26">
        <f t="shared" si="350"/>
        <v>0</v>
      </c>
      <c r="FL52" s="26">
        <f t="shared" si="350"/>
        <v>0</v>
      </c>
      <c r="FM52" s="26">
        <f t="shared" si="350"/>
        <v>0.250734815933521</v>
      </c>
      <c r="FN52" s="26">
        <f t="shared" si="350"/>
        <v>0</v>
      </c>
      <c r="FO52" s="26">
        <f t="shared" si="350"/>
        <v>0</v>
      </c>
      <c r="FP52" s="26">
        <f t="shared" si="350"/>
        <v>0</v>
      </c>
      <c r="FQ52" s="26">
        <f t="shared" ref="FQ52:FZ58" si="351">BD4*$DQ$51</f>
        <v>0</v>
      </c>
      <c r="FR52" s="26">
        <f t="shared" si="351"/>
        <v>0</v>
      </c>
      <c r="FS52" s="26">
        <f t="shared" si="351"/>
        <v>0</v>
      </c>
      <c r="FT52" s="26">
        <f t="shared" si="351"/>
        <v>0.269233740634043</v>
      </c>
      <c r="FU52" s="26">
        <f t="shared" si="351"/>
        <v>0</v>
      </c>
      <c r="FV52" s="26">
        <f t="shared" si="351"/>
        <v>0</v>
      </c>
      <c r="FW52" s="26">
        <f t="shared" si="351"/>
        <v>0</v>
      </c>
      <c r="FX52" s="26">
        <f t="shared" si="351"/>
        <v>0</v>
      </c>
      <c r="FY52" s="26">
        <f t="shared" si="351"/>
        <v>0.358735667174023</v>
      </c>
      <c r="FZ52" s="26">
        <f t="shared" si="351"/>
        <v>0</v>
      </c>
      <c r="GA52" s="26">
        <f t="shared" ref="GA52:GJ58" si="352">BN4*$DQ$51</f>
        <v>0</v>
      </c>
      <c r="GB52" s="26">
        <f t="shared" si="352"/>
        <v>0</v>
      </c>
      <c r="GC52" s="26">
        <f t="shared" si="352"/>
        <v>0</v>
      </c>
      <c r="GD52" s="26">
        <f t="shared" si="352"/>
        <v>0</v>
      </c>
      <c r="GE52" s="26">
        <f t="shared" si="352"/>
        <v>0.167993452054795</v>
      </c>
      <c r="GF52" s="26">
        <f t="shared" si="352"/>
        <v>0</v>
      </c>
      <c r="GG52" s="26">
        <f t="shared" si="352"/>
        <v>0</v>
      </c>
      <c r="GH52" s="26">
        <f t="shared" si="352"/>
        <v>0</v>
      </c>
      <c r="GI52" s="26">
        <f t="shared" si="352"/>
        <v>0</v>
      </c>
      <c r="GJ52" s="26">
        <f t="shared" si="352"/>
        <v>0</v>
      </c>
      <c r="GK52" s="26">
        <f t="shared" ref="GK52:GT58" si="353">BX4*$DQ$51</f>
        <v>0.210439324580666</v>
      </c>
      <c r="GL52" s="26">
        <f t="shared" si="353"/>
        <v>0</v>
      </c>
      <c r="GM52" s="26">
        <f t="shared" si="353"/>
        <v>0</v>
      </c>
      <c r="GN52" s="26">
        <f t="shared" si="353"/>
        <v>0</v>
      </c>
      <c r="GO52" s="26">
        <f t="shared" si="353"/>
        <v>0</v>
      </c>
      <c r="GP52" s="26">
        <f t="shared" si="353"/>
        <v>0</v>
      </c>
      <c r="GQ52" s="26">
        <f t="shared" si="353"/>
        <v>0.3995</v>
      </c>
      <c r="GR52" s="26">
        <f t="shared" si="353"/>
        <v>0.296288693534321</v>
      </c>
      <c r="GS52" s="26">
        <f t="shared" si="353"/>
        <v>0</v>
      </c>
      <c r="GT52" s="26">
        <f t="shared" si="353"/>
        <v>0</v>
      </c>
      <c r="GU52" s="26">
        <f t="shared" ref="GU52:GU58" si="354">CH4*$DQ$51</f>
        <v>0.18022700969615</v>
      </c>
      <c r="GV52" s="26">
        <f t="shared" ref="GV52:HW52" si="355">CI4*$DQ$51</f>
        <v>0.166420725862678</v>
      </c>
      <c r="GW52" s="26">
        <f t="shared" si="355"/>
        <v>0</v>
      </c>
      <c r="GX52" s="26">
        <f t="shared" si="355"/>
        <v>0.321291504772792</v>
      </c>
      <c r="GY52" s="26">
        <f t="shared" si="355"/>
        <v>0</v>
      </c>
      <c r="GZ52" s="26">
        <f t="shared" si="355"/>
        <v>0.142129749289222</v>
      </c>
      <c r="HA52" s="26">
        <f t="shared" si="355"/>
        <v>0.397724355022831</v>
      </c>
      <c r="HB52" s="26">
        <f t="shared" si="355"/>
        <v>0</v>
      </c>
      <c r="HC52" s="26">
        <f t="shared" si="355"/>
        <v>0.181656145876279</v>
      </c>
      <c r="HD52" s="26">
        <f t="shared" si="355"/>
        <v>0</v>
      </c>
      <c r="HE52" s="26">
        <f t="shared" si="355"/>
        <v>0</v>
      </c>
      <c r="HF52" s="26">
        <f t="shared" si="355"/>
        <v>0</v>
      </c>
      <c r="HG52" s="26">
        <f t="shared" si="355"/>
        <v>0</v>
      </c>
      <c r="HH52" s="26">
        <f t="shared" si="355"/>
        <v>0.151771755393323</v>
      </c>
      <c r="HI52" s="26">
        <f t="shared" si="355"/>
        <v>0</v>
      </c>
      <c r="HJ52" s="26">
        <f t="shared" si="355"/>
        <v>0</v>
      </c>
      <c r="HK52" s="26">
        <f t="shared" si="355"/>
        <v>0.342777638637832</v>
      </c>
      <c r="HL52" s="26">
        <f t="shared" si="355"/>
        <v>0</v>
      </c>
      <c r="HM52" s="26">
        <f t="shared" si="355"/>
        <v>0.279358327241465</v>
      </c>
      <c r="HN52" s="26">
        <f t="shared" si="355"/>
        <v>0</v>
      </c>
      <c r="HO52" s="26">
        <f t="shared" si="355"/>
        <v>0</v>
      </c>
      <c r="HP52" s="26">
        <f t="shared" si="355"/>
        <v>0</v>
      </c>
      <c r="HQ52" s="26">
        <f t="shared" si="355"/>
        <v>0</v>
      </c>
      <c r="HR52" s="26">
        <f t="shared" si="355"/>
        <v>0.292245237094185</v>
      </c>
      <c r="HS52" s="26">
        <f t="shared" si="355"/>
        <v>0.047801757560093</v>
      </c>
      <c r="HT52" s="26">
        <f t="shared" si="355"/>
        <v>0</v>
      </c>
      <c r="HU52" s="26">
        <f t="shared" si="355"/>
        <v>0</v>
      </c>
      <c r="HV52" s="26">
        <f t="shared" si="355"/>
        <v>0</v>
      </c>
      <c r="HW52" s="26">
        <f t="shared" si="355"/>
        <v>0</v>
      </c>
      <c r="HX52" s="26" t="str">
        <f t="shared" si="340"/>
        <v>ELE,CHP</v>
      </c>
      <c r="HY52" s="26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404</v>
      </c>
      <c r="D53" t="str">
        <f t="shared" si="343"/>
        <v>???COA</v>
      </c>
      <c r="F53" s="26">
        <f t="shared" ref="F53:BQ53" si="356">ROUNDDOWN(-F5*$DP$51,2)</f>
        <v>0</v>
      </c>
      <c r="G53" s="26">
        <f t="shared" si="356"/>
        <v>0</v>
      </c>
      <c r="H53" s="26">
        <f t="shared" si="356"/>
        <v>0</v>
      </c>
      <c r="I53" s="26">
        <f t="shared" si="356"/>
        <v>-0.11</v>
      </c>
      <c r="J53" s="26">
        <f t="shared" si="356"/>
        <v>0</v>
      </c>
      <c r="K53" s="26">
        <f t="shared" si="356"/>
        <v>-0.57</v>
      </c>
      <c r="L53" s="26">
        <f t="shared" si="356"/>
        <v>0</v>
      </c>
      <c r="M53" s="26">
        <f t="shared" si="356"/>
        <v>0</v>
      </c>
      <c r="N53" s="26">
        <f t="shared" si="356"/>
        <v>-0.44</v>
      </c>
      <c r="O53" s="26">
        <f t="shared" si="356"/>
        <v>-0.32</v>
      </c>
      <c r="P53" s="26">
        <f t="shared" si="356"/>
        <v>0</v>
      </c>
      <c r="Q53" s="26">
        <f t="shared" si="356"/>
        <v>0</v>
      </c>
      <c r="R53" s="26">
        <f t="shared" si="356"/>
        <v>-0.25</v>
      </c>
      <c r="S53" s="26">
        <f t="shared" si="356"/>
        <v>-0.11</v>
      </c>
      <c r="T53" s="26">
        <f t="shared" si="356"/>
        <v>0</v>
      </c>
      <c r="U53" s="26">
        <f t="shared" si="356"/>
        <v>-0.35</v>
      </c>
      <c r="V53" s="26">
        <f t="shared" si="356"/>
        <v>-0.79</v>
      </c>
      <c r="W53" s="26">
        <f t="shared" si="356"/>
        <v>-0.61</v>
      </c>
      <c r="X53" s="26">
        <f t="shared" si="356"/>
        <v>-0.6</v>
      </c>
      <c r="Y53" s="26">
        <f t="shared" si="356"/>
        <v>-0.6</v>
      </c>
      <c r="Z53" s="26">
        <f t="shared" si="356"/>
        <v>0</v>
      </c>
      <c r="AA53" s="26">
        <f t="shared" si="356"/>
        <v>-0.17</v>
      </c>
      <c r="AB53" s="26">
        <f t="shared" si="356"/>
        <v>-0.13</v>
      </c>
      <c r="AC53" s="26">
        <f t="shared" si="356"/>
        <v>0</v>
      </c>
      <c r="AD53" s="26">
        <f t="shared" si="356"/>
        <v>0</v>
      </c>
      <c r="AE53" s="26">
        <f t="shared" si="356"/>
        <v>0</v>
      </c>
      <c r="AF53" s="26">
        <f t="shared" si="356"/>
        <v>0</v>
      </c>
      <c r="AG53" s="26">
        <f t="shared" si="356"/>
        <v>-0.13</v>
      </c>
      <c r="AH53" s="26">
        <f t="shared" si="356"/>
        <v>-0.19</v>
      </c>
      <c r="AI53" s="26">
        <f t="shared" si="356"/>
        <v>0</v>
      </c>
      <c r="AJ53" s="26">
        <f t="shared" si="356"/>
        <v>-0.29</v>
      </c>
      <c r="AK53" s="26">
        <f t="shared" si="356"/>
        <v>0</v>
      </c>
      <c r="AL53" s="26">
        <f t="shared" si="356"/>
        <v>0</v>
      </c>
      <c r="AM53" s="26">
        <f t="shared" si="356"/>
        <v>0</v>
      </c>
      <c r="AN53" s="26">
        <f t="shared" si="356"/>
        <v>0</v>
      </c>
      <c r="AO53" s="26">
        <f t="shared" si="356"/>
        <v>-0.56</v>
      </c>
      <c r="AP53" s="26">
        <f t="shared" si="356"/>
        <v>0</v>
      </c>
      <c r="AQ53" s="26">
        <f t="shared" si="356"/>
        <v>0</v>
      </c>
      <c r="AR53" s="26">
        <f t="shared" si="356"/>
        <v>0</v>
      </c>
      <c r="AS53" s="26">
        <f t="shared" si="356"/>
        <v>-0.05</v>
      </c>
      <c r="AT53" s="26">
        <f t="shared" si="356"/>
        <v>-0.47</v>
      </c>
      <c r="AU53" s="26">
        <f t="shared" si="356"/>
        <v>-0.26</v>
      </c>
      <c r="AV53" s="26">
        <f t="shared" si="356"/>
        <v>0</v>
      </c>
      <c r="AW53" s="26">
        <f t="shared" si="356"/>
        <v>-0.68</v>
      </c>
      <c r="AX53" s="26">
        <f t="shared" si="356"/>
        <v>-0.78</v>
      </c>
      <c r="AY53" s="26">
        <f t="shared" si="356"/>
        <v>0</v>
      </c>
      <c r="AZ53" s="26">
        <f t="shared" si="356"/>
        <v>0</v>
      </c>
      <c r="BA53" s="26">
        <f t="shared" si="356"/>
        <v>0</v>
      </c>
      <c r="BB53" s="26">
        <f t="shared" si="356"/>
        <v>0</v>
      </c>
      <c r="BC53" s="26">
        <f t="shared" si="356"/>
        <v>0</v>
      </c>
      <c r="BD53" s="26">
        <f t="shared" si="356"/>
        <v>0</v>
      </c>
      <c r="BE53" s="26">
        <f t="shared" si="356"/>
        <v>0</v>
      </c>
      <c r="BF53" s="26">
        <f t="shared" si="356"/>
        <v>0</v>
      </c>
      <c r="BG53" s="26">
        <f t="shared" si="356"/>
        <v>0</v>
      </c>
      <c r="BH53" s="26">
        <f t="shared" si="356"/>
        <v>-0.79</v>
      </c>
      <c r="BI53" s="26">
        <f t="shared" si="356"/>
        <v>0</v>
      </c>
      <c r="BJ53" s="26">
        <f t="shared" si="356"/>
        <v>-0.31</v>
      </c>
      <c r="BK53" s="26">
        <f t="shared" si="356"/>
        <v>0</v>
      </c>
      <c r="BL53" s="26">
        <f t="shared" si="356"/>
        <v>0</v>
      </c>
      <c r="BM53" s="26">
        <f t="shared" si="356"/>
        <v>-0.66</v>
      </c>
      <c r="BN53" s="26">
        <f t="shared" si="356"/>
        <v>0</v>
      </c>
      <c r="BO53" s="26">
        <f t="shared" si="356"/>
        <v>-0.79</v>
      </c>
      <c r="BP53" s="26">
        <f t="shared" si="356"/>
        <v>0</v>
      </c>
      <c r="BQ53" s="26">
        <f t="shared" si="356"/>
        <v>-0.41</v>
      </c>
      <c r="BR53" s="26">
        <f t="shared" ref="BR53:DJ53" si="357">ROUNDDOWN(-BR5*$DP$51,2)</f>
        <v>0</v>
      </c>
      <c r="BS53" s="26">
        <f t="shared" si="357"/>
        <v>0</v>
      </c>
      <c r="BT53" s="26">
        <f t="shared" si="357"/>
        <v>0</v>
      </c>
      <c r="BU53" s="26">
        <f t="shared" si="357"/>
        <v>-0.25</v>
      </c>
      <c r="BV53" s="26">
        <f t="shared" si="357"/>
        <v>0</v>
      </c>
      <c r="BW53" s="26">
        <f t="shared" si="357"/>
        <v>-0.38</v>
      </c>
      <c r="BX53" s="26">
        <f t="shared" si="357"/>
        <v>-0.62</v>
      </c>
      <c r="BY53" s="26">
        <f t="shared" si="357"/>
        <v>0</v>
      </c>
      <c r="BZ53" s="26">
        <f t="shared" si="357"/>
        <v>-0.67</v>
      </c>
      <c r="CA53" s="26">
        <f t="shared" si="357"/>
        <v>0</v>
      </c>
      <c r="CB53" s="26">
        <f t="shared" si="357"/>
        <v>-0.79</v>
      </c>
      <c r="CC53" s="26">
        <f t="shared" si="357"/>
        <v>-0.02</v>
      </c>
      <c r="CD53" s="26">
        <f t="shared" si="357"/>
        <v>0</v>
      </c>
      <c r="CE53" s="26">
        <f t="shared" si="357"/>
        <v>-0.37</v>
      </c>
      <c r="CF53" s="26">
        <f t="shared" si="357"/>
        <v>0</v>
      </c>
      <c r="CG53" s="26">
        <f t="shared" si="357"/>
        <v>0</v>
      </c>
      <c r="CH53" s="26">
        <f t="shared" si="357"/>
        <v>0</v>
      </c>
      <c r="CI53" s="26">
        <f t="shared" si="357"/>
        <v>-0.45</v>
      </c>
      <c r="CJ53" s="26">
        <f t="shared" si="357"/>
        <v>0</v>
      </c>
      <c r="CK53" s="26">
        <f t="shared" si="357"/>
        <v>0</v>
      </c>
      <c r="CL53" s="26">
        <f t="shared" si="357"/>
        <v>-0.48</v>
      </c>
      <c r="CM53" s="26">
        <f t="shared" si="357"/>
        <v>-0.52</v>
      </c>
      <c r="CN53" s="26">
        <f t="shared" si="357"/>
        <v>0</v>
      </c>
      <c r="CO53" s="26">
        <f t="shared" si="357"/>
        <v>-0.55</v>
      </c>
      <c r="CP53" s="26">
        <f t="shared" si="357"/>
        <v>-0.75</v>
      </c>
      <c r="CQ53" s="26">
        <f t="shared" si="357"/>
        <v>-0.79</v>
      </c>
      <c r="CR53" s="26">
        <f t="shared" si="357"/>
        <v>0</v>
      </c>
      <c r="CS53" s="26">
        <f t="shared" si="357"/>
        <v>-0.14</v>
      </c>
      <c r="CT53" s="26">
        <f t="shared" si="357"/>
        <v>0</v>
      </c>
      <c r="CU53" s="26">
        <f t="shared" si="357"/>
        <v>-0.79</v>
      </c>
      <c r="CV53" s="26">
        <f t="shared" si="357"/>
        <v>-0.39</v>
      </c>
      <c r="CW53" s="26">
        <f t="shared" si="357"/>
        <v>0</v>
      </c>
      <c r="CX53" s="26">
        <f t="shared" si="357"/>
        <v>-0.51</v>
      </c>
      <c r="CY53" s="26">
        <f t="shared" si="357"/>
        <v>0</v>
      </c>
      <c r="CZ53" s="26">
        <f t="shared" si="357"/>
        <v>-0.79</v>
      </c>
      <c r="DA53" s="26">
        <f t="shared" si="357"/>
        <v>0</v>
      </c>
      <c r="DB53" s="26">
        <f t="shared" si="357"/>
        <v>0</v>
      </c>
      <c r="DC53" s="26">
        <f t="shared" si="357"/>
        <v>-0.14</v>
      </c>
      <c r="DD53" s="26">
        <f t="shared" si="357"/>
        <v>-0.28</v>
      </c>
      <c r="DE53" s="26">
        <f t="shared" si="357"/>
        <v>-0.46</v>
      </c>
      <c r="DF53" s="26">
        <f t="shared" si="357"/>
        <v>0</v>
      </c>
      <c r="DG53" s="26">
        <f t="shared" si="357"/>
        <v>0</v>
      </c>
      <c r="DH53" s="26">
        <f t="shared" si="357"/>
        <v>-0.79</v>
      </c>
      <c r="DI53" s="26">
        <f t="shared" si="357"/>
        <v>0</v>
      </c>
      <c r="DJ53" s="26">
        <f t="shared" si="357"/>
        <v>-0.54</v>
      </c>
      <c r="DK53" s="8">
        <f t="shared" ref="DK53:DK58" si="358">1/31.536</f>
        <v>0.0317097919837646</v>
      </c>
      <c r="DL53">
        <v>0</v>
      </c>
      <c r="DM53">
        <v>5</v>
      </c>
      <c r="DS53" s="26">
        <f t="shared" si="346"/>
        <v>0</v>
      </c>
      <c r="DT53" s="26">
        <f t="shared" si="346"/>
        <v>0</v>
      </c>
      <c r="DU53" s="26">
        <f t="shared" si="346"/>
        <v>0</v>
      </c>
      <c r="DV53" s="26">
        <f t="shared" si="346"/>
        <v>0.0590607842871839</v>
      </c>
      <c r="DW53" s="26">
        <f t="shared" si="346"/>
        <v>0</v>
      </c>
      <c r="DX53" s="26">
        <f t="shared" si="346"/>
        <v>0.287808601273561</v>
      </c>
      <c r="DY53" s="26">
        <f t="shared" si="346"/>
        <v>0</v>
      </c>
      <c r="DZ53" s="26">
        <f t="shared" si="346"/>
        <v>0</v>
      </c>
      <c r="EA53" s="26">
        <f t="shared" si="346"/>
        <v>0.22496292707278</v>
      </c>
      <c r="EB53" s="26">
        <f t="shared" si="346"/>
        <v>0.160958904109589</v>
      </c>
      <c r="EC53" s="26">
        <f t="shared" si="347"/>
        <v>0</v>
      </c>
      <c r="ED53" s="26">
        <f t="shared" si="347"/>
        <v>0</v>
      </c>
      <c r="EE53" s="26">
        <f t="shared" si="347"/>
        <v>0.127807723503965</v>
      </c>
      <c r="EF53" s="26">
        <f t="shared" si="347"/>
        <v>0.0559478948428687</v>
      </c>
      <c r="EG53" s="26">
        <f t="shared" si="347"/>
        <v>0</v>
      </c>
      <c r="EH53" s="26">
        <f t="shared" si="347"/>
        <v>0.175780165998133</v>
      </c>
      <c r="EI53" s="26">
        <f t="shared" si="347"/>
        <v>0.3995</v>
      </c>
      <c r="EJ53" s="26">
        <f t="shared" si="347"/>
        <v>0.305210168010389</v>
      </c>
      <c r="EK53" s="26">
        <f t="shared" si="347"/>
        <v>0.304605404246001</v>
      </c>
      <c r="EL53" s="26">
        <f t="shared" si="347"/>
        <v>0.30095614863801</v>
      </c>
      <c r="EM53" s="26">
        <f t="shared" si="348"/>
        <v>0</v>
      </c>
      <c r="EN53" s="26">
        <f t="shared" si="348"/>
        <v>0.0892707532085908</v>
      </c>
      <c r="EO53" s="26">
        <f t="shared" si="348"/>
        <v>0.0698291059095086</v>
      </c>
      <c r="EP53" s="26">
        <f t="shared" si="348"/>
        <v>0</v>
      </c>
      <c r="EQ53" s="26">
        <f t="shared" si="348"/>
        <v>0</v>
      </c>
      <c r="ER53" s="26">
        <f t="shared" si="348"/>
        <v>0</v>
      </c>
      <c r="ES53" s="26">
        <f t="shared" si="348"/>
        <v>0</v>
      </c>
      <c r="ET53" s="26">
        <f t="shared" si="348"/>
        <v>0.0678444255148025</v>
      </c>
      <c r="EU53" s="26">
        <f t="shared" si="348"/>
        <v>0.0961584192057251</v>
      </c>
      <c r="EV53" s="26">
        <f t="shared" si="348"/>
        <v>0</v>
      </c>
      <c r="EW53" s="26">
        <f t="shared" si="349"/>
        <v>0.149065793074178</v>
      </c>
      <c r="EX53" s="26">
        <f t="shared" si="349"/>
        <v>0</v>
      </c>
      <c r="EY53" s="26">
        <f t="shared" si="349"/>
        <v>0</v>
      </c>
      <c r="EZ53" s="26">
        <f t="shared" si="349"/>
        <v>0</v>
      </c>
      <c r="FA53" s="26">
        <f t="shared" si="349"/>
        <v>0</v>
      </c>
      <c r="FB53" s="26">
        <f t="shared" si="349"/>
        <v>0.283031358135369</v>
      </c>
      <c r="FC53" s="26">
        <f t="shared" si="349"/>
        <v>0</v>
      </c>
      <c r="FD53" s="26">
        <f t="shared" si="349"/>
        <v>0</v>
      </c>
      <c r="FE53" s="26">
        <f t="shared" si="349"/>
        <v>0</v>
      </c>
      <c r="FF53" s="26">
        <f t="shared" si="349"/>
        <v>0.0260099609486159</v>
      </c>
      <c r="FG53" s="26">
        <f t="shared" si="350"/>
        <v>0.239708321684838</v>
      </c>
      <c r="FH53" s="26">
        <f t="shared" si="350"/>
        <v>0.130622424052957</v>
      </c>
      <c r="FI53" s="26">
        <f t="shared" si="350"/>
        <v>0</v>
      </c>
      <c r="FJ53" s="26">
        <f t="shared" si="350"/>
        <v>0.341541611150238</v>
      </c>
      <c r="FK53" s="26">
        <f t="shared" si="350"/>
        <v>0.391125986092127</v>
      </c>
      <c r="FL53" s="26">
        <f t="shared" si="350"/>
        <v>0</v>
      </c>
      <c r="FM53" s="26">
        <f t="shared" si="350"/>
        <v>0</v>
      </c>
      <c r="FN53" s="26">
        <f t="shared" si="350"/>
        <v>0</v>
      </c>
      <c r="FO53" s="26">
        <f t="shared" si="350"/>
        <v>0.00265815465554894</v>
      </c>
      <c r="FP53" s="26">
        <f t="shared" si="350"/>
        <v>0</v>
      </c>
      <c r="FQ53" s="26">
        <f t="shared" si="351"/>
        <v>0</v>
      </c>
      <c r="FR53" s="26">
        <f t="shared" si="351"/>
        <v>0</v>
      </c>
      <c r="FS53" s="26">
        <f t="shared" si="351"/>
        <v>0</v>
      </c>
      <c r="FT53" s="26">
        <f t="shared" si="351"/>
        <v>0</v>
      </c>
      <c r="FU53" s="26">
        <f t="shared" si="351"/>
        <v>0.3995</v>
      </c>
      <c r="FV53" s="26">
        <f t="shared" si="351"/>
        <v>0</v>
      </c>
      <c r="FW53" s="26">
        <f t="shared" si="351"/>
        <v>0.157327502033483</v>
      </c>
      <c r="FX53" s="26">
        <f t="shared" si="351"/>
        <v>0</v>
      </c>
      <c r="FY53" s="26">
        <f t="shared" si="351"/>
        <v>0</v>
      </c>
      <c r="FZ53" s="26">
        <f t="shared" si="351"/>
        <v>0.333776838892198</v>
      </c>
      <c r="GA53" s="26">
        <f t="shared" si="352"/>
        <v>0</v>
      </c>
      <c r="GB53" s="26">
        <f t="shared" si="352"/>
        <v>0.3995</v>
      </c>
      <c r="GC53" s="26">
        <f t="shared" si="352"/>
        <v>0</v>
      </c>
      <c r="GD53" s="26">
        <f t="shared" si="352"/>
        <v>0.205682885062139</v>
      </c>
      <c r="GE53" s="26">
        <f t="shared" si="352"/>
        <v>0</v>
      </c>
      <c r="GF53" s="26">
        <f t="shared" si="352"/>
        <v>0</v>
      </c>
      <c r="GG53" s="26">
        <f t="shared" si="352"/>
        <v>0</v>
      </c>
      <c r="GH53" s="26">
        <f t="shared" si="352"/>
        <v>0.125996935832732</v>
      </c>
      <c r="GI53" s="26">
        <f t="shared" si="352"/>
        <v>0</v>
      </c>
      <c r="GJ53" s="26">
        <f t="shared" si="352"/>
        <v>0.191264778071911</v>
      </c>
      <c r="GK53" s="26">
        <f t="shared" si="353"/>
        <v>0.312104997225528</v>
      </c>
      <c r="GL53" s="26">
        <f t="shared" si="353"/>
        <v>0</v>
      </c>
      <c r="GM53" s="26">
        <f t="shared" si="353"/>
        <v>0.335406049442238</v>
      </c>
      <c r="GN53" s="26">
        <f t="shared" si="353"/>
        <v>0</v>
      </c>
      <c r="GO53" s="26">
        <f t="shared" si="353"/>
        <v>0.3995</v>
      </c>
      <c r="GP53" s="26">
        <f t="shared" si="353"/>
        <v>0.0118465753424658</v>
      </c>
      <c r="GQ53" s="26">
        <f t="shared" si="353"/>
        <v>0</v>
      </c>
      <c r="GR53" s="26">
        <f t="shared" si="353"/>
        <v>0.187014457257493</v>
      </c>
      <c r="GS53" s="26">
        <f t="shared" si="353"/>
        <v>0</v>
      </c>
      <c r="GT53" s="26">
        <f t="shared" si="353"/>
        <v>0</v>
      </c>
      <c r="GU53" s="26">
        <f t="shared" si="354"/>
        <v>0</v>
      </c>
      <c r="GV53" s="26">
        <f t="shared" ref="GV53:HE58" si="359">CI5*$DQ$51</f>
        <v>0.226785422955708</v>
      </c>
      <c r="GW53" s="26">
        <f t="shared" si="359"/>
        <v>0</v>
      </c>
      <c r="GX53" s="26">
        <f t="shared" si="359"/>
        <v>0</v>
      </c>
      <c r="GY53" s="26">
        <f t="shared" si="359"/>
        <v>0.242074739979706</v>
      </c>
      <c r="GZ53" s="26">
        <f t="shared" si="359"/>
        <v>0.260283406921016</v>
      </c>
      <c r="HA53" s="26">
        <f t="shared" si="359"/>
        <v>5.53837089409339e-5</v>
      </c>
      <c r="HB53" s="26">
        <f t="shared" si="359"/>
        <v>0.275894400774346</v>
      </c>
      <c r="HC53" s="26">
        <f t="shared" si="359"/>
        <v>0.378861795622201</v>
      </c>
      <c r="HD53" s="26">
        <f t="shared" si="359"/>
        <v>0.3995</v>
      </c>
      <c r="HE53" s="26">
        <f t="shared" si="359"/>
        <v>0</v>
      </c>
      <c r="HF53" s="26">
        <f t="shared" ref="HF53:HO58" si="360">CS5*$DQ$51</f>
        <v>0.0702125260724956</v>
      </c>
      <c r="HG53" s="26">
        <f t="shared" si="360"/>
        <v>0</v>
      </c>
      <c r="HH53" s="26">
        <f t="shared" si="360"/>
        <v>0.3995</v>
      </c>
      <c r="HI53" s="26">
        <f t="shared" si="360"/>
        <v>0.197944443493151</v>
      </c>
      <c r="HJ53" s="26">
        <f t="shared" si="360"/>
        <v>0</v>
      </c>
      <c r="HK53" s="26">
        <f t="shared" si="360"/>
        <v>0.25552965149134</v>
      </c>
      <c r="HL53" s="26">
        <f t="shared" si="360"/>
        <v>0</v>
      </c>
      <c r="HM53" s="26">
        <f t="shared" si="360"/>
        <v>0.3995</v>
      </c>
      <c r="HN53" s="26">
        <f t="shared" si="360"/>
        <v>0</v>
      </c>
      <c r="HO53" s="26">
        <f t="shared" si="360"/>
        <v>0</v>
      </c>
      <c r="HP53" s="26">
        <f t="shared" ref="HP53:HW58" si="361">DC5*$DQ$51</f>
        <v>0.0721115217243611</v>
      </c>
      <c r="HQ53" s="26">
        <f t="shared" si="361"/>
        <v>0.1444787126401</v>
      </c>
      <c r="HR53" s="26">
        <f t="shared" si="361"/>
        <v>0.233209202804658</v>
      </c>
      <c r="HS53" s="26">
        <f t="shared" si="361"/>
        <v>0</v>
      </c>
      <c r="HT53" s="26">
        <f t="shared" si="361"/>
        <v>0</v>
      </c>
      <c r="HU53" s="26">
        <f t="shared" si="361"/>
        <v>0.3995</v>
      </c>
      <c r="HV53" s="26">
        <f t="shared" si="361"/>
        <v>0</v>
      </c>
      <c r="HW53" s="26">
        <f t="shared" si="361"/>
        <v>0.271207949356579</v>
      </c>
      <c r="HX53" s="26" t="str">
        <f t="shared" si="340"/>
        <v>ELE,CHP</v>
      </c>
      <c r="HY53" s="26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404</v>
      </c>
      <c r="D54" t="str">
        <f t="shared" si="343"/>
        <v>???NGA</v>
      </c>
      <c r="F54" s="26">
        <f t="shared" ref="F54:BQ54" si="362">ROUNDDOWN(-F6*$DP$51,2)</f>
        <v>0</v>
      </c>
      <c r="G54" s="26">
        <f t="shared" si="362"/>
        <v>-0.34</v>
      </c>
      <c r="H54" s="26">
        <f t="shared" si="362"/>
        <v>-0.22</v>
      </c>
      <c r="I54" s="26">
        <f t="shared" si="362"/>
        <v>-0.4</v>
      </c>
      <c r="J54" s="26">
        <f t="shared" si="362"/>
        <v>-0.45</v>
      </c>
      <c r="K54" s="26">
        <f t="shared" si="362"/>
        <v>-0.25</v>
      </c>
      <c r="L54" s="26">
        <f t="shared" si="362"/>
        <v>-0.29</v>
      </c>
      <c r="M54" s="26">
        <f t="shared" si="362"/>
        <v>-0.66</v>
      </c>
      <c r="N54" s="26">
        <f t="shared" si="362"/>
        <v>-0.5</v>
      </c>
      <c r="O54" s="26">
        <f t="shared" si="362"/>
        <v>-0.43</v>
      </c>
      <c r="P54" s="26">
        <f t="shared" si="362"/>
        <v>-0.4</v>
      </c>
      <c r="Q54" s="26">
        <f t="shared" si="362"/>
        <v>0</v>
      </c>
      <c r="R54" s="26">
        <f t="shared" si="362"/>
        <v>-0.74</v>
      </c>
      <c r="S54" s="26">
        <f t="shared" si="362"/>
        <v>-0.21</v>
      </c>
      <c r="T54" s="26">
        <f t="shared" si="362"/>
        <v>0</v>
      </c>
      <c r="U54" s="26">
        <f t="shared" si="362"/>
        <v>-0.31</v>
      </c>
      <c r="V54" s="26">
        <f t="shared" si="362"/>
        <v>-0.36</v>
      </c>
      <c r="W54" s="26">
        <f t="shared" si="362"/>
        <v>-0.3</v>
      </c>
      <c r="X54" s="26">
        <f t="shared" si="362"/>
        <v>-0.19</v>
      </c>
      <c r="Y54" s="26">
        <f t="shared" si="362"/>
        <v>-0.41</v>
      </c>
      <c r="Z54" s="26">
        <f t="shared" si="362"/>
        <v>0</v>
      </c>
      <c r="AA54" s="26">
        <f t="shared" si="362"/>
        <v>-0.36</v>
      </c>
      <c r="AB54" s="26">
        <f t="shared" si="362"/>
        <v>-0.1</v>
      </c>
      <c r="AC54" s="26">
        <f t="shared" si="362"/>
        <v>0</v>
      </c>
      <c r="AD54" s="26">
        <f t="shared" si="362"/>
        <v>-0.34</v>
      </c>
      <c r="AE54" s="26">
        <f t="shared" si="362"/>
        <v>-0.25</v>
      </c>
      <c r="AF54" s="26">
        <f t="shared" si="362"/>
        <v>0</v>
      </c>
      <c r="AG54" s="26">
        <f t="shared" si="362"/>
        <v>-0.2</v>
      </c>
      <c r="AH54" s="26">
        <f t="shared" si="362"/>
        <v>-0.45</v>
      </c>
      <c r="AI54" s="26">
        <f t="shared" si="362"/>
        <v>-0.47</v>
      </c>
      <c r="AJ54" s="26">
        <f t="shared" si="362"/>
        <v>-0.55</v>
      </c>
      <c r="AK54" s="26">
        <f t="shared" si="362"/>
        <v>-0.35</v>
      </c>
      <c r="AL54" s="26">
        <f t="shared" si="362"/>
        <v>-0.25</v>
      </c>
      <c r="AM54" s="26">
        <f t="shared" si="362"/>
        <v>-0.29</v>
      </c>
      <c r="AN54" s="26">
        <f t="shared" si="362"/>
        <v>0</v>
      </c>
      <c r="AO54" s="26">
        <f t="shared" si="362"/>
        <v>-0.22</v>
      </c>
      <c r="AP54" s="26">
        <f t="shared" si="362"/>
        <v>-0.29</v>
      </c>
      <c r="AQ54" s="26">
        <f t="shared" si="362"/>
        <v>-0.49</v>
      </c>
      <c r="AR54" s="26">
        <f t="shared" si="362"/>
        <v>-0.27</v>
      </c>
      <c r="AS54" s="26">
        <f t="shared" si="362"/>
        <v>-0.35</v>
      </c>
      <c r="AT54" s="26">
        <f t="shared" si="362"/>
        <v>-0.46</v>
      </c>
      <c r="AU54" s="26">
        <f>ROUNDDOWN(-AU6*$DP$51,3)</f>
        <v>-0.313</v>
      </c>
      <c r="AV54" s="26">
        <f t="shared" si="362"/>
        <v>-0.68</v>
      </c>
      <c r="AW54" s="26">
        <f t="shared" si="362"/>
        <v>-0.53</v>
      </c>
      <c r="AX54" s="26">
        <f t="shared" si="362"/>
        <v>-0.66</v>
      </c>
      <c r="AY54" s="26">
        <f t="shared" si="362"/>
        <v>0</v>
      </c>
      <c r="AZ54" s="26">
        <f t="shared" si="362"/>
        <v>0</v>
      </c>
      <c r="BA54" s="26">
        <f t="shared" si="362"/>
        <v>-0.47</v>
      </c>
      <c r="BB54" s="26">
        <f t="shared" si="362"/>
        <v>-0.19</v>
      </c>
      <c r="BC54" s="26">
        <f t="shared" si="362"/>
        <v>-0.33</v>
      </c>
      <c r="BD54" s="26">
        <f t="shared" si="362"/>
        <v>-0.35</v>
      </c>
      <c r="BE54" s="26">
        <f t="shared" si="362"/>
        <v>-0.02</v>
      </c>
      <c r="BF54" s="26">
        <f t="shared" si="362"/>
        <v>-0.41</v>
      </c>
      <c r="BG54" s="26">
        <f t="shared" si="362"/>
        <v>-0.34</v>
      </c>
      <c r="BH54" s="26">
        <f t="shared" si="362"/>
        <v>-0.47</v>
      </c>
      <c r="BI54" s="29">
        <f>ROUNDDOWN(-BI6*$DP$51,2)*0.9</f>
        <v>-0.423</v>
      </c>
      <c r="BJ54" s="26">
        <f t="shared" si="362"/>
        <v>-0.46</v>
      </c>
      <c r="BK54" s="26">
        <f t="shared" si="362"/>
        <v>-0.63</v>
      </c>
      <c r="BL54" s="26">
        <f t="shared" si="362"/>
        <v>0</v>
      </c>
      <c r="BM54" s="26">
        <f t="shared" si="362"/>
        <v>-0.37</v>
      </c>
      <c r="BN54" s="26">
        <f t="shared" si="362"/>
        <v>-0.51</v>
      </c>
      <c r="BO54" s="26">
        <f t="shared" si="362"/>
        <v>-0.23</v>
      </c>
      <c r="BP54" s="26">
        <f t="shared" si="362"/>
        <v>0</v>
      </c>
      <c r="BQ54" s="26">
        <f t="shared" si="362"/>
        <v>-0.42</v>
      </c>
      <c r="BR54" s="26">
        <f t="shared" ref="BR54:DJ54" si="363">ROUNDDOWN(-BR6*$DP$51,2)</f>
        <v>-0.47</v>
      </c>
      <c r="BS54" s="26">
        <f t="shared" si="363"/>
        <v>0</v>
      </c>
      <c r="BT54" s="26">
        <f t="shared" si="363"/>
        <v>-0.21</v>
      </c>
      <c r="BU54" s="26">
        <f t="shared" si="363"/>
        <v>-0.04</v>
      </c>
      <c r="BV54" s="26">
        <f t="shared" si="363"/>
        <v>-0.24</v>
      </c>
      <c r="BW54" s="26">
        <f t="shared" si="363"/>
        <v>-0.31</v>
      </c>
      <c r="BX54" s="26">
        <f t="shared" si="363"/>
        <v>-0.36</v>
      </c>
      <c r="BY54" s="26">
        <f t="shared" si="363"/>
        <v>0</v>
      </c>
      <c r="BZ54" s="26">
        <f t="shared" si="363"/>
        <v>-0.4</v>
      </c>
      <c r="CA54" s="26">
        <f t="shared" si="363"/>
        <v>-0.31</v>
      </c>
      <c r="CB54" s="26">
        <f t="shared" si="363"/>
        <v>-0.32</v>
      </c>
      <c r="CC54" s="26">
        <f t="shared" si="363"/>
        <v>-0.49</v>
      </c>
      <c r="CD54" s="26">
        <f t="shared" si="363"/>
        <v>-0.67</v>
      </c>
      <c r="CE54" s="26">
        <f t="shared" si="363"/>
        <v>-0.7</v>
      </c>
      <c r="CF54" s="26">
        <f t="shared" si="363"/>
        <v>-0.31</v>
      </c>
      <c r="CG54" s="26">
        <f t="shared" si="363"/>
        <v>-0.01</v>
      </c>
      <c r="CH54" s="26">
        <f t="shared" si="363"/>
        <v>-0.2</v>
      </c>
      <c r="CI54" s="26">
        <f t="shared" si="363"/>
        <v>-0.43</v>
      </c>
      <c r="CJ54" s="26">
        <f t="shared" si="363"/>
        <v>-0.27</v>
      </c>
      <c r="CK54" s="26">
        <f t="shared" si="363"/>
        <v>-0.11</v>
      </c>
      <c r="CL54" s="26">
        <f t="shared" si="363"/>
        <v>-0.46</v>
      </c>
      <c r="CM54" s="26">
        <f t="shared" si="363"/>
        <v>-0.28</v>
      </c>
      <c r="CN54" s="26">
        <f t="shared" si="363"/>
        <v>-0.13</v>
      </c>
      <c r="CO54" s="26">
        <f t="shared" si="363"/>
        <v>0</v>
      </c>
      <c r="CP54" s="26">
        <f t="shared" si="363"/>
        <v>-0.37</v>
      </c>
      <c r="CQ54" s="26">
        <f t="shared" si="363"/>
        <v>-0.21</v>
      </c>
      <c r="CR54" s="26">
        <f t="shared" si="363"/>
        <v>0</v>
      </c>
      <c r="CS54" s="26">
        <f t="shared" si="363"/>
        <v>-0.05</v>
      </c>
      <c r="CT54" s="26">
        <f t="shared" si="363"/>
        <v>-0.16</v>
      </c>
      <c r="CU54" s="26">
        <f t="shared" si="363"/>
        <v>-0.58</v>
      </c>
      <c r="CV54" s="26">
        <f t="shared" si="363"/>
        <v>-0.09</v>
      </c>
      <c r="CW54" s="26">
        <f t="shared" si="363"/>
        <v>-0.51</v>
      </c>
      <c r="CX54" s="26">
        <f t="shared" si="363"/>
        <v>-0.24</v>
      </c>
      <c r="CY54" s="26">
        <f t="shared" si="363"/>
        <v>-0.57</v>
      </c>
      <c r="CZ54" s="26">
        <f t="shared" si="363"/>
        <v>-0.22</v>
      </c>
      <c r="DA54" s="26">
        <f t="shared" si="363"/>
        <v>-0.31</v>
      </c>
      <c r="DB54" s="26">
        <f t="shared" si="363"/>
        <v>-0.36</v>
      </c>
      <c r="DC54" s="26">
        <f t="shared" si="363"/>
        <v>-0.37</v>
      </c>
      <c r="DD54" s="26">
        <f t="shared" si="363"/>
        <v>-0.53</v>
      </c>
      <c r="DE54" s="26">
        <f t="shared" si="363"/>
        <v>-0.35</v>
      </c>
      <c r="DF54" s="26">
        <f t="shared" si="363"/>
        <v>-0.52</v>
      </c>
      <c r="DG54" s="26">
        <f t="shared" si="363"/>
        <v>-0.21</v>
      </c>
      <c r="DH54" s="26">
        <f t="shared" si="363"/>
        <v>-0.55</v>
      </c>
      <c r="DI54" s="26">
        <f t="shared" si="363"/>
        <v>-0.07</v>
      </c>
      <c r="DJ54" s="26">
        <f t="shared" si="363"/>
        <v>0</v>
      </c>
      <c r="DK54" s="8">
        <f t="shared" si="358"/>
        <v>0.0317097919837646</v>
      </c>
      <c r="DL54">
        <v>0</v>
      </c>
      <c r="DM54">
        <v>5</v>
      </c>
      <c r="DS54" s="26">
        <f t="shared" si="346"/>
        <v>0</v>
      </c>
      <c r="DT54" s="26">
        <f t="shared" si="346"/>
        <v>0.174435048071736</v>
      </c>
      <c r="DU54" s="26">
        <f t="shared" si="346"/>
        <v>0.111128625472888</v>
      </c>
      <c r="DV54" s="26">
        <f t="shared" si="346"/>
        <v>0.202737359336808</v>
      </c>
      <c r="DW54" s="26">
        <f t="shared" si="346"/>
        <v>0.225484923634073</v>
      </c>
      <c r="DX54" s="26">
        <f t="shared" si="346"/>
        <v>0.126449701185449</v>
      </c>
      <c r="DY54" s="26">
        <f t="shared" si="346"/>
        <v>0.149209078543514</v>
      </c>
      <c r="DZ54" s="26">
        <f t="shared" si="346"/>
        <v>0.331015485407981</v>
      </c>
      <c r="EA54" s="26">
        <f t="shared" si="346"/>
        <v>0.250320354479358</v>
      </c>
      <c r="EB54" s="26">
        <f t="shared" si="346"/>
        <v>0.217897754251539</v>
      </c>
      <c r="EC54" s="26">
        <f t="shared" si="347"/>
        <v>0.202458886606734</v>
      </c>
      <c r="ED54" s="26">
        <f t="shared" si="347"/>
        <v>0</v>
      </c>
      <c r="EE54" s="26">
        <f t="shared" si="347"/>
        <v>0.37298959530908</v>
      </c>
      <c r="EF54" s="26">
        <f t="shared" si="347"/>
        <v>0.106249649395207</v>
      </c>
      <c r="EG54" s="26">
        <f t="shared" si="347"/>
        <v>0</v>
      </c>
      <c r="EH54" s="26">
        <f t="shared" si="347"/>
        <v>0.155465013338881</v>
      </c>
      <c r="EI54" s="26">
        <f t="shared" si="347"/>
        <v>0.181671098304493</v>
      </c>
      <c r="EJ54" s="26">
        <f t="shared" si="347"/>
        <v>0.15068694009783</v>
      </c>
      <c r="EK54" s="26">
        <f t="shared" si="347"/>
        <v>0.097001297218763</v>
      </c>
      <c r="EL54" s="26">
        <f t="shared" si="347"/>
        <v>0.20576597203358</v>
      </c>
      <c r="EM54" s="26">
        <f t="shared" si="348"/>
        <v>0.0046687956971174</v>
      </c>
      <c r="EN54" s="26">
        <f t="shared" si="348"/>
        <v>0.184273463642274</v>
      </c>
      <c r="EO54" s="26">
        <f t="shared" si="348"/>
        <v>0.05315339822373</v>
      </c>
      <c r="EP54" s="26">
        <f t="shared" si="348"/>
        <v>0</v>
      </c>
      <c r="EQ54" s="26">
        <f t="shared" si="348"/>
        <v>0.170825011486044</v>
      </c>
      <c r="ER54" s="26">
        <f t="shared" si="348"/>
        <v>0.125789562008322</v>
      </c>
      <c r="ES54" s="26">
        <f t="shared" si="348"/>
        <v>0</v>
      </c>
      <c r="ET54" s="26">
        <f t="shared" si="348"/>
        <v>0.10141864904284</v>
      </c>
      <c r="EU54" s="26">
        <f t="shared" si="348"/>
        <v>0.226775838048791</v>
      </c>
      <c r="EV54" s="26">
        <f t="shared" si="348"/>
        <v>0.238119081763699</v>
      </c>
      <c r="EW54" s="26">
        <f t="shared" si="349"/>
        <v>0.276567426568519</v>
      </c>
      <c r="EX54" s="26">
        <f t="shared" si="349"/>
        <v>0.177035908872781</v>
      </c>
      <c r="EY54" s="26">
        <f t="shared" si="349"/>
        <v>0.126729868260461</v>
      </c>
      <c r="EZ54" s="26">
        <f t="shared" si="349"/>
        <v>0.149704266435587</v>
      </c>
      <c r="FA54" s="26">
        <f t="shared" si="349"/>
        <v>0</v>
      </c>
      <c r="FB54" s="26">
        <f t="shared" si="349"/>
        <v>0.112934890095727</v>
      </c>
      <c r="FC54" s="26">
        <f t="shared" si="349"/>
        <v>0.149007619826566</v>
      </c>
      <c r="FD54" s="26">
        <f t="shared" si="349"/>
        <v>0.248975588222549</v>
      </c>
      <c r="FE54" s="26">
        <f t="shared" si="349"/>
        <v>0.135686743547702</v>
      </c>
      <c r="FF54" s="26">
        <f t="shared" si="349"/>
        <v>0.175183737679618</v>
      </c>
      <c r="FG54" s="26">
        <f t="shared" si="350"/>
        <v>0.234308598910609</v>
      </c>
      <c r="FH54" s="26">
        <f t="shared" si="350"/>
        <v>0.156734009077547</v>
      </c>
      <c r="FI54" s="26">
        <f t="shared" si="350"/>
        <v>0.34114441404385</v>
      </c>
      <c r="FJ54" s="26">
        <f t="shared" si="350"/>
        <v>0.268076154300738</v>
      </c>
      <c r="FK54" s="26">
        <f t="shared" si="350"/>
        <v>0.334247703899472</v>
      </c>
      <c r="FL54" s="26">
        <f t="shared" si="350"/>
        <v>0</v>
      </c>
      <c r="FM54" s="26">
        <f t="shared" si="350"/>
        <v>0</v>
      </c>
      <c r="FN54" s="26">
        <f t="shared" si="350"/>
        <v>0.236474904176879</v>
      </c>
      <c r="FO54" s="26">
        <f t="shared" si="350"/>
        <v>0.0955430593607306</v>
      </c>
      <c r="FP54" s="26">
        <f t="shared" si="350"/>
        <v>0.168930680822337</v>
      </c>
      <c r="FQ54" s="26">
        <f t="shared" si="351"/>
        <v>0.177526636712693</v>
      </c>
      <c r="FR54" s="26">
        <f t="shared" si="351"/>
        <v>0.0118129974617439</v>
      </c>
      <c r="FS54" s="26">
        <f t="shared" si="351"/>
        <v>0.208654542591718</v>
      </c>
      <c r="FT54" s="26">
        <f t="shared" si="351"/>
        <v>0.172435699789809</v>
      </c>
      <c r="FU54" s="26">
        <f t="shared" si="351"/>
        <v>0.236503652785898</v>
      </c>
      <c r="FV54" s="26">
        <f t="shared" si="351"/>
        <v>0.235742371355813</v>
      </c>
      <c r="FW54" s="26">
        <f t="shared" si="351"/>
        <v>0.234539814284154</v>
      </c>
      <c r="FX54" s="26">
        <f t="shared" si="351"/>
        <v>0.315196316658061</v>
      </c>
      <c r="FY54" s="26">
        <f t="shared" si="351"/>
        <v>0</v>
      </c>
      <c r="FZ54" s="26">
        <f t="shared" si="351"/>
        <v>0.186559034572733</v>
      </c>
      <c r="GA54" s="26">
        <f t="shared" si="352"/>
        <v>0.259780290401295</v>
      </c>
      <c r="GB54" s="26">
        <f t="shared" si="352"/>
        <v>0.119783914670207</v>
      </c>
      <c r="GC54" s="26">
        <f t="shared" si="352"/>
        <v>0</v>
      </c>
      <c r="GD54" s="26">
        <f t="shared" si="352"/>
        <v>0.213528935676276</v>
      </c>
      <c r="GE54" s="26">
        <f t="shared" si="352"/>
        <v>0.235907816227084</v>
      </c>
      <c r="GF54" s="26">
        <f t="shared" si="352"/>
        <v>0</v>
      </c>
      <c r="GG54" s="26">
        <f t="shared" si="352"/>
        <v>0.105487702689405</v>
      </c>
      <c r="GH54" s="26">
        <f t="shared" si="352"/>
        <v>0.0223142694063927</v>
      </c>
      <c r="GI54" s="26">
        <f t="shared" si="352"/>
        <v>0.123446670951232</v>
      </c>
      <c r="GJ54" s="26">
        <f t="shared" si="352"/>
        <v>0.158552600464042</v>
      </c>
      <c r="GK54" s="26">
        <f t="shared" si="353"/>
        <v>0.183695080197787</v>
      </c>
      <c r="GL54" s="26">
        <f t="shared" si="353"/>
        <v>0</v>
      </c>
      <c r="GM54" s="26">
        <f t="shared" si="353"/>
        <v>0.20359616130355</v>
      </c>
      <c r="GN54" s="26">
        <f t="shared" si="353"/>
        <v>0.156326539918264</v>
      </c>
      <c r="GO54" s="26">
        <f t="shared" si="353"/>
        <v>0.160446396064793</v>
      </c>
      <c r="GP54" s="26">
        <f t="shared" si="353"/>
        <v>0.248627950488018</v>
      </c>
      <c r="GQ54" s="26">
        <f t="shared" si="353"/>
        <v>0.335021991148185</v>
      </c>
      <c r="GR54" s="26">
        <f t="shared" si="353"/>
        <v>0.351958534757151</v>
      </c>
      <c r="GS54" s="26">
        <f t="shared" si="353"/>
        <v>0.15639739559145</v>
      </c>
      <c r="GT54" s="26">
        <f t="shared" si="353"/>
        <v>0.0084387654563531</v>
      </c>
      <c r="GU54" s="26">
        <f t="shared" si="354"/>
        <v>0.104708864527324</v>
      </c>
      <c r="GV54" s="26">
        <f t="shared" si="359"/>
        <v>0.215330032164113</v>
      </c>
      <c r="GW54" s="26">
        <f t="shared" si="359"/>
        <v>0.137834919852111</v>
      </c>
      <c r="GX54" s="26">
        <f t="shared" si="359"/>
        <v>0.0582949342298186</v>
      </c>
      <c r="GY54" s="26">
        <f t="shared" si="359"/>
        <v>0.233664248188394</v>
      </c>
      <c r="GZ54" s="26">
        <f t="shared" si="359"/>
        <v>0.141976987620131</v>
      </c>
      <c r="HA54" s="26">
        <f t="shared" si="359"/>
        <v>0.0656037160926457</v>
      </c>
      <c r="HB54" s="26">
        <f t="shared" si="359"/>
        <v>0</v>
      </c>
      <c r="HC54" s="26">
        <f t="shared" si="359"/>
        <v>0.186872700459924</v>
      </c>
      <c r="HD54" s="26">
        <f t="shared" si="359"/>
        <v>0.109996106659011</v>
      </c>
      <c r="HE54" s="26">
        <f t="shared" si="359"/>
        <v>0</v>
      </c>
      <c r="HF54" s="26">
        <f t="shared" si="360"/>
        <v>0.0261337253036347</v>
      </c>
      <c r="HG54" s="26">
        <f t="shared" si="360"/>
        <v>0.0821097755098328</v>
      </c>
      <c r="HH54" s="26">
        <f t="shared" si="360"/>
        <v>0.290380204905849</v>
      </c>
      <c r="HI54" s="26">
        <f t="shared" si="360"/>
        <v>0.0477664709719504</v>
      </c>
      <c r="HJ54" s="26">
        <f t="shared" si="360"/>
        <v>0.2586174195964</v>
      </c>
      <c r="HK54" s="26">
        <f t="shared" si="360"/>
        <v>0.123255833086849</v>
      </c>
      <c r="HL54" s="26">
        <f t="shared" si="360"/>
        <v>0.287128671983721</v>
      </c>
      <c r="HM54" s="26">
        <f t="shared" si="360"/>
        <v>0.112721670051712</v>
      </c>
      <c r="HN54" s="26">
        <f t="shared" si="360"/>
        <v>0.157689376503258</v>
      </c>
      <c r="HO54" s="26">
        <f t="shared" si="360"/>
        <v>0.183717504056053</v>
      </c>
      <c r="HP54" s="26">
        <f t="shared" si="361"/>
        <v>0.18635901232625</v>
      </c>
      <c r="HQ54" s="26">
        <f t="shared" si="361"/>
        <v>0.269890687698907</v>
      </c>
      <c r="HR54" s="26">
        <f t="shared" si="361"/>
        <v>0.179858425066236</v>
      </c>
      <c r="HS54" s="26">
        <f t="shared" si="361"/>
        <v>0.264475212915253</v>
      </c>
      <c r="HT54" s="26">
        <f t="shared" si="361"/>
        <v>0.108869227305852</v>
      </c>
      <c r="HU54" s="26">
        <f t="shared" si="361"/>
        <v>0.275941769362536</v>
      </c>
      <c r="HV54" s="26">
        <f t="shared" si="361"/>
        <v>0.036151209362682</v>
      </c>
      <c r="HW54" s="26">
        <f t="shared" si="361"/>
        <v>0</v>
      </c>
      <c r="HX54" s="26" t="str">
        <f t="shared" si="340"/>
        <v>ELE,CHP</v>
      </c>
      <c r="HY54" s="26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404</v>
      </c>
      <c r="D55" t="str">
        <f t="shared" si="343"/>
        <v>???OIL</v>
      </c>
      <c r="F55" s="26">
        <f t="shared" ref="F55:BQ55" si="364">ROUNDDOWN(-F7*$DP$51,2)</f>
        <v>0</v>
      </c>
      <c r="G55" s="26">
        <f t="shared" si="364"/>
        <v>0</v>
      </c>
      <c r="H55" s="26">
        <f t="shared" si="364"/>
        <v>-0.27</v>
      </c>
      <c r="I55" s="26">
        <f t="shared" si="364"/>
        <v>-0.05</v>
      </c>
      <c r="J55" s="26">
        <f t="shared" si="364"/>
        <v>0</v>
      </c>
      <c r="K55" s="26">
        <f t="shared" si="364"/>
        <v>-0.05</v>
      </c>
      <c r="L55" s="26">
        <f t="shared" si="364"/>
        <v>0</v>
      </c>
      <c r="M55" s="26">
        <f t="shared" si="364"/>
        <v>0</v>
      </c>
      <c r="N55" s="26">
        <f t="shared" si="364"/>
        <v>-0.23</v>
      </c>
      <c r="O55" s="26">
        <f t="shared" si="364"/>
        <v>-0.01</v>
      </c>
      <c r="P55" s="26">
        <f t="shared" si="364"/>
        <v>-0.02</v>
      </c>
      <c r="Q55" s="26">
        <f t="shared" si="364"/>
        <v>-0.19</v>
      </c>
      <c r="R55" s="26">
        <f t="shared" si="364"/>
        <v>-0.04</v>
      </c>
      <c r="S55" s="26">
        <f t="shared" si="364"/>
        <v>-0.35</v>
      </c>
      <c r="T55" s="26">
        <f t="shared" si="364"/>
        <v>-0.13</v>
      </c>
      <c r="U55" s="26">
        <f t="shared" si="364"/>
        <v>-0.09</v>
      </c>
      <c r="V55" s="26">
        <f t="shared" si="364"/>
        <v>-0.21</v>
      </c>
      <c r="W55" s="26">
        <f t="shared" si="364"/>
        <v>-0.02</v>
      </c>
      <c r="X55" s="26">
        <f t="shared" si="364"/>
        <v>-0.01</v>
      </c>
      <c r="Y55" s="26">
        <f t="shared" si="364"/>
        <v>0</v>
      </c>
      <c r="Z55" s="26">
        <f t="shared" si="364"/>
        <v>-0.27</v>
      </c>
      <c r="AA55" s="26">
        <f t="shared" si="364"/>
        <v>-0.06</v>
      </c>
      <c r="AB55" s="26">
        <f t="shared" si="364"/>
        <v>-0.01</v>
      </c>
      <c r="AC55" s="26">
        <f t="shared" si="364"/>
        <v>0</v>
      </c>
      <c r="AD55" s="26">
        <f t="shared" si="364"/>
        <v>-0.38</v>
      </c>
      <c r="AE55" s="26">
        <f t="shared" si="364"/>
        <v>0</v>
      </c>
      <c r="AF55" s="26">
        <f t="shared" si="364"/>
        <v>0</v>
      </c>
      <c r="AG55" s="26">
        <f t="shared" si="364"/>
        <v>-0.04</v>
      </c>
      <c r="AH55" s="26">
        <f t="shared" si="364"/>
        <v>-0.79</v>
      </c>
      <c r="AI55" s="26">
        <f t="shared" si="364"/>
        <v>0</v>
      </c>
      <c r="AJ55" s="26">
        <f t="shared" si="364"/>
        <v>-0.14</v>
      </c>
      <c r="AK55" s="26">
        <f t="shared" si="364"/>
        <v>-0.79</v>
      </c>
      <c r="AL55" s="26">
        <f t="shared" si="364"/>
        <v>-0.39</v>
      </c>
      <c r="AM55" s="26">
        <f t="shared" si="364"/>
        <v>-0.01</v>
      </c>
      <c r="AN55" s="26">
        <f t="shared" si="364"/>
        <v>0</v>
      </c>
      <c r="AO55" s="26">
        <f t="shared" si="364"/>
        <v>-0.06</v>
      </c>
      <c r="AP55" s="26">
        <f t="shared" si="364"/>
        <v>-0.05</v>
      </c>
      <c r="AQ55" s="26">
        <f t="shared" si="364"/>
        <v>-0.43</v>
      </c>
      <c r="AR55" s="26">
        <f t="shared" si="364"/>
        <v>-0.13</v>
      </c>
      <c r="AS55" s="26">
        <f t="shared" si="364"/>
        <v>-0.04</v>
      </c>
      <c r="AT55" s="26">
        <f t="shared" si="364"/>
        <v>-0.12</v>
      </c>
      <c r="AU55" s="26">
        <f t="shared" si="364"/>
        <v>-0.34</v>
      </c>
      <c r="AV55" s="26">
        <f t="shared" si="364"/>
        <v>0</v>
      </c>
      <c r="AW55" s="26">
        <f t="shared" si="364"/>
        <v>-0.12</v>
      </c>
      <c r="AX55" s="26">
        <f t="shared" si="364"/>
        <v>0</v>
      </c>
      <c r="AY55" s="26">
        <f t="shared" si="364"/>
        <v>-0.08</v>
      </c>
      <c r="AZ55" s="26">
        <f t="shared" si="364"/>
        <v>-0.21</v>
      </c>
      <c r="BA55" s="26">
        <f t="shared" si="364"/>
        <v>-0.79</v>
      </c>
      <c r="BB55" s="26">
        <f t="shared" si="364"/>
        <v>-0.79</v>
      </c>
      <c r="BC55" s="26">
        <f t="shared" si="364"/>
        <v>0</v>
      </c>
      <c r="BD55" s="26">
        <f t="shared" si="364"/>
        <v>-0.79</v>
      </c>
      <c r="BE55" s="26">
        <f t="shared" si="364"/>
        <v>0</v>
      </c>
      <c r="BF55" s="26">
        <f t="shared" si="364"/>
        <v>0</v>
      </c>
      <c r="BG55" s="26">
        <f t="shared" si="364"/>
        <v>-0.03</v>
      </c>
      <c r="BH55" s="26">
        <f t="shared" si="364"/>
        <v>0</v>
      </c>
      <c r="BI55" s="26">
        <f t="shared" si="364"/>
        <v>0</v>
      </c>
      <c r="BJ55" s="26">
        <f t="shared" si="364"/>
        <v>-0.33</v>
      </c>
      <c r="BK55" s="26">
        <f t="shared" si="364"/>
        <v>0</v>
      </c>
      <c r="BL55" s="26">
        <f t="shared" si="364"/>
        <v>0</v>
      </c>
      <c r="BM55" s="26">
        <f t="shared" si="364"/>
        <v>-0.04</v>
      </c>
      <c r="BN55" s="26">
        <f t="shared" si="364"/>
        <v>-0.11</v>
      </c>
      <c r="BO55" s="26">
        <f t="shared" si="364"/>
        <v>0</v>
      </c>
      <c r="BP55" s="26">
        <f t="shared" si="364"/>
        <v>0</v>
      </c>
      <c r="BQ55" s="26">
        <f t="shared" si="364"/>
        <v>0</v>
      </c>
      <c r="BR55" s="26">
        <f t="shared" ref="BR55:DJ55" si="365">ROUNDDOWN(-BR7*$DP$51,2)</f>
        <v>0</v>
      </c>
      <c r="BS55" s="26">
        <f t="shared" si="365"/>
        <v>-0.24</v>
      </c>
      <c r="BT55" s="26">
        <f t="shared" si="365"/>
        <v>0</v>
      </c>
      <c r="BU55" s="26">
        <f t="shared" si="365"/>
        <v>0</v>
      </c>
      <c r="BV55" s="26">
        <f t="shared" si="365"/>
        <v>0</v>
      </c>
      <c r="BW55" s="26">
        <f t="shared" si="365"/>
        <v>-0.24</v>
      </c>
      <c r="BX55" s="26">
        <f t="shared" si="365"/>
        <v>-0.33</v>
      </c>
      <c r="BY55" s="26">
        <f t="shared" si="365"/>
        <v>0</v>
      </c>
      <c r="BZ55" s="26">
        <f t="shared" si="365"/>
        <v>-0.33</v>
      </c>
      <c r="CA55" s="26">
        <f t="shared" si="365"/>
        <v>-0.54</v>
      </c>
      <c r="CB55" s="26">
        <f t="shared" si="365"/>
        <v>-0.15</v>
      </c>
      <c r="CC55" s="26">
        <f t="shared" si="365"/>
        <v>-0.09</v>
      </c>
      <c r="CD55" s="26">
        <f t="shared" si="365"/>
        <v>-0.14</v>
      </c>
      <c r="CE55" s="26">
        <f t="shared" si="365"/>
        <v>0</v>
      </c>
      <c r="CF55" s="26">
        <f t="shared" si="365"/>
        <v>-0.23</v>
      </c>
      <c r="CG55" s="26">
        <f t="shared" si="365"/>
        <v>0</v>
      </c>
      <c r="CH55" s="26">
        <f t="shared" si="365"/>
        <v>0</v>
      </c>
      <c r="CI55" s="26">
        <f t="shared" si="365"/>
        <v>-0.1</v>
      </c>
      <c r="CJ55" s="26">
        <f t="shared" si="365"/>
        <v>-0.65</v>
      </c>
      <c r="CK55" s="26">
        <f t="shared" si="365"/>
        <v>0</v>
      </c>
      <c r="CL55" s="26">
        <f t="shared" si="365"/>
        <v>0</v>
      </c>
      <c r="CM55" s="26">
        <f t="shared" si="365"/>
        <v>0</v>
      </c>
      <c r="CN55" s="26">
        <f t="shared" si="365"/>
        <v>0</v>
      </c>
      <c r="CO55" s="26">
        <f t="shared" si="365"/>
        <v>-0.02</v>
      </c>
      <c r="CP55" s="26">
        <f t="shared" si="365"/>
        <v>-0.16</v>
      </c>
      <c r="CQ55" s="26">
        <f t="shared" si="365"/>
        <v>-0.49</v>
      </c>
      <c r="CR55" s="26">
        <f t="shared" si="365"/>
        <v>-0.36</v>
      </c>
      <c r="CS55" s="26">
        <f t="shared" si="365"/>
        <v>0</v>
      </c>
      <c r="CT55" s="26">
        <f t="shared" si="365"/>
        <v>0</v>
      </c>
      <c r="CU55" s="26">
        <f t="shared" si="365"/>
        <v>-0.32</v>
      </c>
      <c r="CV55" s="26">
        <f t="shared" si="365"/>
        <v>0</v>
      </c>
      <c r="CW55" s="26">
        <f t="shared" si="365"/>
        <v>0</v>
      </c>
      <c r="CX55" s="26">
        <f t="shared" si="365"/>
        <v>-0.79</v>
      </c>
      <c r="CY55" s="26">
        <f t="shared" si="365"/>
        <v>0</v>
      </c>
      <c r="CZ55" s="26">
        <f t="shared" si="365"/>
        <v>0</v>
      </c>
      <c r="DA55" s="26">
        <f t="shared" si="365"/>
        <v>0</v>
      </c>
      <c r="DB55" s="26">
        <f t="shared" si="365"/>
        <v>-0.02</v>
      </c>
      <c r="DC55" s="26">
        <f t="shared" si="365"/>
        <v>-0.15</v>
      </c>
      <c r="DD55" s="26">
        <f t="shared" si="365"/>
        <v>-0.01</v>
      </c>
      <c r="DE55" s="26">
        <f t="shared" si="365"/>
        <v>-0.04</v>
      </c>
      <c r="DF55" s="26">
        <f t="shared" si="365"/>
        <v>-0.19</v>
      </c>
      <c r="DG55" s="26">
        <f t="shared" si="365"/>
        <v>-0.07</v>
      </c>
      <c r="DH55" s="26">
        <f t="shared" si="365"/>
        <v>-0.06</v>
      </c>
      <c r="DI55" s="26">
        <f t="shared" si="365"/>
        <v>-0.3</v>
      </c>
      <c r="DJ55" s="26">
        <f t="shared" si="365"/>
        <v>-0.59</v>
      </c>
      <c r="DK55" s="8">
        <f t="shared" si="358"/>
        <v>0.0317097919837646</v>
      </c>
      <c r="DL55">
        <v>0</v>
      </c>
      <c r="DM55">
        <v>5</v>
      </c>
      <c r="DS55" s="26">
        <f t="shared" si="346"/>
        <v>0</v>
      </c>
      <c r="DT55" s="26">
        <f t="shared" si="346"/>
        <v>0</v>
      </c>
      <c r="DU55" s="26">
        <f t="shared" si="346"/>
        <v>0.136871290344746</v>
      </c>
      <c r="DV55" s="26">
        <f t="shared" si="346"/>
        <v>0.025673380025164</v>
      </c>
      <c r="DW55" s="26">
        <f t="shared" si="346"/>
        <v>0</v>
      </c>
      <c r="DX55" s="26">
        <f t="shared" si="346"/>
        <v>0.0250380517503805</v>
      </c>
      <c r="DY55" s="26">
        <f t="shared" si="346"/>
        <v>9.98109729061165e-5</v>
      </c>
      <c r="DZ55" s="26">
        <f t="shared" si="346"/>
        <v>0</v>
      </c>
      <c r="EA55" s="26">
        <f t="shared" si="346"/>
        <v>0.118779884638722</v>
      </c>
      <c r="EB55" s="26">
        <f t="shared" si="346"/>
        <v>0.0067351598173516</v>
      </c>
      <c r="EC55" s="26">
        <f t="shared" si="347"/>
        <v>0.0109495853135775</v>
      </c>
      <c r="ED55" s="26">
        <f t="shared" si="347"/>
        <v>0.0978377652430835</v>
      </c>
      <c r="EE55" s="26">
        <f t="shared" si="347"/>
        <v>0.0213924816439667</v>
      </c>
      <c r="EF55" s="26">
        <f t="shared" si="347"/>
        <v>0.176021974885845</v>
      </c>
      <c r="EG55" s="26">
        <f t="shared" si="347"/>
        <v>0.0687767589728482</v>
      </c>
      <c r="EH55" s="26">
        <f t="shared" si="347"/>
        <v>0.0499696979196054</v>
      </c>
      <c r="EI55" s="26">
        <f t="shared" si="347"/>
        <v>0.107611087328767</v>
      </c>
      <c r="EJ55" s="26">
        <f t="shared" si="347"/>
        <v>0.0115062512656698</v>
      </c>
      <c r="EK55" s="26">
        <f t="shared" si="347"/>
        <v>0.00752180681141372</v>
      </c>
      <c r="EL55" s="26">
        <f t="shared" si="347"/>
        <v>0</v>
      </c>
      <c r="EM55" s="26">
        <f t="shared" si="348"/>
        <v>0.139793619813543</v>
      </c>
      <c r="EN55" s="26">
        <f t="shared" si="348"/>
        <v>0.0300843421471806</v>
      </c>
      <c r="EO55" s="26">
        <f t="shared" si="348"/>
        <v>0.0083162100456621</v>
      </c>
      <c r="EP55" s="26">
        <f t="shared" si="348"/>
        <v>0</v>
      </c>
      <c r="EQ55" s="26">
        <f t="shared" si="348"/>
        <v>0.193759680600063</v>
      </c>
      <c r="ER55" s="26">
        <f t="shared" si="348"/>
        <v>0.000943052796624501</v>
      </c>
      <c r="ES55" s="26">
        <f t="shared" si="348"/>
        <v>0</v>
      </c>
      <c r="ET55" s="26">
        <f t="shared" si="348"/>
        <v>0.0200304414003044</v>
      </c>
      <c r="EU55" s="26">
        <f t="shared" si="348"/>
        <v>0.3995</v>
      </c>
      <c r="EV55" s="26">
        <f t="shared" si="348"/>
        <v>0</v>
      </c>
      <c r="EW55" s="26">
        <f t="shared" si="349"/>
        <v>0.0724044093907107</v>
      </c>
      <c r="EX55" s="26">
        <f t="shared" si="349"/>
        <v>0.3995</v>
      </c>
      <c r="EY55" s="26">
        <f t="shared" si="349"/>
        <v>0.198478833290426</v>
      </c>
      <c r="EZ55" s="26">
        <f t="shared" si="349"/>
        <v>0.00978048896499239</v>
      </c>
      <c r="FA55" s="26">
        <f t="shared" si="349"/>
        <v>0</v>
      </c>
      <c r="FB55" s="26">
        <f t="shared" si="349"/>
        <v>0.0326566517560657</v>
      </c>
      <c r="FC55" s="26">
        <f t="shared" si="349"/>
        <v>0.028061512285556</v>
      </c>
      <c r="FD55" s="26">
        <f t="shared" si="349"/>
        <v>0.215586431893429</v>
      </c>
      <c r="FE55" s="26">
        <f t="shared" si="349"/>
        <v>0.0673203601485712</v>
      </c>
      <c r="FF55" s="26">
        <f t="shared" si="349"/>
        <v>0.0234227015539553</v>
      </c>
      <c r="FG55" s="26">
        <f t="shared" si="350"/>
        <v>0.0638725809958687</v>
      </c>
      <c r="FH55" s="26">
        <f t="shared" si="350"/>
        <v>0.174273033775788</v>
      </c>
      <c r="FI55" s="26">
        <f t="shared" si="350"/>
        <v>0.00402933789954338</v>
      </c>
      <c r="FJ55" s="26">
        <f t="shared" si="350"/>
        <v>0.0603914841047461</v>
      </c>
      <c r="FK55" s="26">
        <f t="shared" si="350"/>
        <v>0.0046358757880506</v>
      </c>
      <c r="FL55" s="26">
        <f t="shared" si="350"/>
        <v>0.0449871429781288</v>
      </c>
      <c r="FM55" s="26">
        <f t="shared" si="350"/>
        <v>0.107185216894977</v>
      </c>
      <c r="FN55" s="26">
        <f t="shared" si="350"/>
        <v>0.3995</v>
      </c>
      <c r="FO55" s="26">
        <f t="shared" si="350"/>
        <v>0.3995</v>
      </c>
      <c r="FP55" s="26">
        <f t="shared" si="350"/>
        <v>0</v>
      </c>
      <c r="FQ55" s="26">
        <f t="shared" si="351"/>
        <v>0.3995</v>
      </c>
      <c r="FR55" s="26">
        <f t="shared" si="351"/>
        <v>6.62382321438638e-6</v>
      </c>
      <c r="FS55" s="26">
        <f t="shared" si="351"/>
        <v>0</v>
      </c>
      <c r="FT55" s="26">
        <f t="shared" si="351"/>
        <v>0.015600239182431</v>
      </c>
      <c r="FU55" s="26">
        <f t="shared" si="351"/>
        <v>0.00316829724265419</v>
      </c>
      <c r="FV55" s="26">
        <f t="shared" si="351"/>
        <v>0</v>
      </c>
      <c r="FW55" s="26">
        <f t="shared" si="351"/>
        <v>0.166077085209056</v>
      </c>
      <c r="FX55" s="26">
        <f t="shared" si="351"/>
        <v>0</v>
      </c>
      <c r="FY55" s="26">
        <f t="shared" si="351"/>
        <v>0</v>
      </c>
      <c r="FZ55" s="26">
        <f t="shared" si="351"/>
        <v>0.0219759249702884</v>
      </c>
      <c r="GA55" s="26">
        <f t="shared" si="352"/>
        <v>0.058930546495615</v>
      </c>
      <c r="GB55" s="26">
        <f t="shared" si="352"/>
        <v>0</v>
      </c>
      <c r="GC55" s="26">
        <f t="shared" si="352"/>
        <v>0.000804794520547945</v>
      </c>
      <c r="GD55" s="26">
        <f t="shared" si="352"/>
        <v>0</v>
      </c>
      <c r="GE55" s="26">
        <f t="shared" si="352"/>
        <v>0</v>
      </c>
      <c r="GF55" s="26">
        <f t="shared" si="352"/>
        <v>0.120636721941841</v>
      </c>
      <c r="GG55" s="26">
        <f t="shared" si="352"/>
        <v>0</v>
      </c>
      <c r="GH55" s="26">
        <f t="shared" si="352"/>
        <v>0</v>
      </c>
      <c r="GI55" s="26">
        <f t="shared" si="352"/>
        <v>0</v>
      </c>
      <c r="GJ55" s="26">
        <f t="shared" si="352"/>
        <v>0.122523799357554</v>
      </c>
      <c r="GK55" s="26">
        <f t="shared" si="353"/>
        <v>0.168001065834833</v>
      </c>
      <c r="GL55" s="26">
        <f t="shared" si="353"/>
        <v>0</v>
      </c>
      <c r="GM55" s="26">
        <f t="shared" si="353"/>
        <v>0.166736370489498</v>
      </c>
      <c r="GN55" s="26">
        <f t="shared" si="353"/>
        <v>0.274137933444516</v>
      </c>
      <c r="GO55" s="26">
        <f t="shared" si="353"/>
        <v>0.0785309470000138</v>
      </c>
      <c r="GP55" s="26">
        <f t="shared" si="353"/>
        <v>0.0463593116247034</v>
      </c>
      <c r="GQ55" s="26">
        <f t="shared" si="353"/>
        <v>0.0737713958480786</v>
      </c>
      <c r="GR55" s="26">
        <f t="shared" si="353"/>
        <v>0</v>
      </c>
      <c r="GS55" s="26">
        <f t="shared" si="353"/>
        <v>0.119605908475087</v>
      </c>
      <c r="GT55" s="26">
        <f t="shared" si="353"/>
        <v>0</v>
      </c>
      <c r="GU55" s="26">
        <f t="shared" si="354"/>
        <v>0.000542174584573663</v>
      </c>
      <c r="GV55" s="26">
        <f t="shared" si="359"/>
        <v>0.0501011687875206</v>
      </c>
      <c r="GW55" s="26">
        <f t="shared" si="359"/>
        <v>0.329210722134433</v>
      </c>
      <c r="GX55" s="26">
        <f t="shared" si="359"/>
        <v>0</v>
      </c>
      <c r="GY55" s="26">
        <f t="shared" si="359"/>
        <v>0.000557096246273273</v>
      </c>
      <c r="GZ55" s="26">
        <f t="shared" si="359"/>
        <v>0.00258568520657974</v>
      </c>
      <c r="HA55" s="26">
        <f t="shared" si="359"/>
        <v>0.00493559825433386</v>
      </c>
      <c r="HB55" s="26">
        <f t="shared" si="359"/>
        <v>0.0114545509893455</v>
      </c>
      <c r="HC55" s="26">
        <f t="shared" si="359"/>
        <v>0.0834004220762753</v>
      </c>
      <c r="HD55" s="26">
        <f t="shared" si="359"/>
        <v>0.249954700297166</v>
      </c>
      <c r="HE55" s="26">
        <f t="shared" si="359"/>
        <v>0.184245277390811</v>
      </c>
      <c r="HF55" s="26">
        <f t="shared" si="360"/>
        <v>0.00360587734196839</v>
      </c>
      <c r="HG55" s="26">
        <f t="shared" si="360"/>
        <v>0</v>
      </c>
      <c r="HH55" s="26">
        <f t="shared" si="360"/>
        <v>0.163390308875429</v>
      </c>
      <c r="HI55" s="26">
        <f t="shared" si="360"/>
        <v>0</v>
      </c>
      <c r="HJ55" s="26">
        <f t="shared" si="360"/>
        <v>0</v>
      </c>
      <c r="HK55" s="26">
        <f t="shared" si="360"/>
        <v>0.3995</v>
      </c>
      <c r="HL55" s="26">
        <f t="shared" si="360"/>
        <v>0</v>
      </c>
      <c r="HM55" s="26">
        <f t="shared" si="360"/>
        <v>0.00083882475971517</v>
      </c>
      <c r="HN55" s="26">
        <f t="shared" si="360"/>
        <v>0</v>
      </c>
      <c r="HO55" s="26">
        <f t="shared" si="360"/>
        <v>0.0134825945672478</v>
      </c>
      <c r="HP55" s="26">
        <f t="shared" si="361"/>
        <v>0.0751716405740378</v>
      </c>
      <c r="HQ55" s="26">
        <f t="shared" si="361"/>
        <v>0.0071549068339791</v>
      </c>
      <c r="HR55" s="26">
        <f t="shared" si="361"/>
        <v>0.0211019567000514</v>
      </c>
      <c r="HS55" s="26">
        <f t="shared" si="361"/>
        <v>0.099508696554587</v>
      </c>
      <c r="HT55" s="26">
        <f t="shared" si="361"/>
        <v>0.0371834162748865</v>
      </c>
      <c r="HU55" s="26">
        <f t="shared" si="361"/>
        <v>0.0338791402366331</v>
      </c>
      <c r="HV55" s="26">
        <f t="shared" si="361"/>
        <v>0.152516773832821</v>
      </c>
      <c r="HW55" s="26">
        <f t="shared" si="361"/>
        <v>0.298967876498954</v>
      </c>
      <c r="HX55" s="26" t="str">
        <f t="shared" si="340"/>
        <v>ELE,CHP</v>
      </c>
      <c r="HY55" s="26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404</v>
      </c>
      <c r="D56" t="str">
        <f t="shared" si="343"/>
        <v>???OIL_CRD</v>
      </c>
      <c r="F56" s="26">
        <f t="shared" ref="F56:BQ56" si="366">ROUNDDOWN(-F8*$DP$51,2)</f>
        <v>0</v>
      </c>
      <c r="G56" s="26">
        <f t="shared" si="366"/>
        <v>0</v>
      </c>
      <c r="H56" s="26">
        <f t="shared" si="366"/>
        <v>0</v>
      </c>
      <c r="I56" s="26">
        <f t="shared" si="366"/>
        <v>0</v>
      </c>
      <c r="J56" s="26">
        <f t="shared" si="366"/>
        <v>0</v>
      </c>
      <c r="K56" s="26">
        <f t="shared" si="366"/>
        <v>0</v>
      </c>
      <c r="L56" s="26">
        <f t="shared" si="366"/>
        <v>0</v>
      </c>
      <c r="M56" s="26">
        <f t="shared" si="366"/>
        <v>0</v>
      </c>
      <c r="N56" s="26">
        <f t="shared" si="366"/>
        <v>0</v>
      </c>
      <c r="O56" s="26">
        <f t="shared" si="366"/>
        <v>0</v>
      </c>
      <c r="P56" s="26">
        <f t="shared" si="366"/>
        <v>0</v>
      </c>
      <c r="Q56" s="26">
        <f t="shared" si="366"/>
        <v>0</v>
      </c>
      <c r="R56" s="26">
        <f t="shared" si="366"/>
        <v>0</v>
      </c>
      <c r="S56" s="26">
        <f t="shared" si="366"/>
        <v>0</v>
      </c>
      <c r="T56" s="26">
        <f t="shared" si="366"/>
        <v>0</v>
      </c>
      <c r="U56" s="26">
        <f t="shared" si="366"/>
        <v>0</v>
      </c>
      <c r="V56" s="26">
        <f t="shared" si="366"/>
        <v>0</v>
      </c>
      <c r="W56" s="26">
        <f t="shared" si="366"/>
        <v>0</v>
      </c>
      <c r="X56" s="26">
        <f t="shared" si="366"/>
        <v>0</v>
      </c>
      <c r="Y56" s="26">
        <f t="shared" si="366"/>
        <v>0</v>
      </c>
      <c r="Z56" s="26">
        <f t="shared" si="366"/>
        <v>0</v>
      </c>
      <c r="AA56" s="26">
        <f t="shared" si="366"/>
        <v>0</v>
      </c>
      <c r="AB56" s="26">
        <f t="shared" si="366"/>
        <v>0</v>
      </c>
      <c r="AC56" s="26">
        <f t="shared" si="366"/>
        <v>0</v>
      </c>
      <c r="AD56" s="26">
        <f t="shared" si="366"/>
        <v>0</v>
      </c>
      <c r="AE56" s="26">
        <f t="shared" si="366"/>
        <v>0</v>
      </c>
      <c r="AF56" s="26">
        <f t="shared" si="366"/>
        <v>0</v>
      </c>
      <c r="AG56" s="26">
        <f t="shared" si="366"/>
        <v>0</v>
      </c>
      <c r="AH56" s="26">
        <f t="shared" si="366"/>
        <v>0</v>
      </c>
      <c r="AI56" s="26">
        <f t="shared" si="366"/>
        <v>0</v>
      </c>
      <c r="AJ56" s="26">
        <f t="shared" si="366"/>
        <v>0</v>
      </c>
      <c r="AK56" s="26">
        <f t="shared" si="366"/>
        <v>-0.26</v>
      </c>
      <c r="AL56" s="26">
        <f t="shared" si="366"/>
        <v>0</v>
      </c>
      <c r="AM56" s="26">
        <f t="shared" si="366"/>
        <v>0</v>
      </c>
      <c r="AN56" s="26">
        <f t="shared" si="366"/>
        <v>0</v>
      </c>
      <c r="AO56" s="26">
        <f t="shared" si="366"/>
        <v>0</v>
      </c>
      <c r="AP56" s="26">
        <f t="shared" si="366"/>
        <v>0</v>
      </c>
      <c r="AQ56" s="26">
        <f t="shared" si="366"/>
        <v>0</v>
      </c>
      <c r="AR56" s="26">
        <f t="shared" si="366"/>
        <v>-0.73</v>
      </c>
      <c r="AS56" s="26">
        <f t="shared" si="366"/>
        <v>0</v>
      </c>
      <c r="AT56" s="26">
        <f t="shared" si="366"/>
        <v>0</v>
      </c>
      <c r="AU56" s="26">
        <f t="shared" si="366"/>
        <v>0</v>
      </c>
      <c r="AV56" s="26">
        <f t="shared" si="366"/>
        <v>0</v>
      </c>
      <c r="AW56" s="26">
        <f t="shared" si="366"/>
        <v>0</v>
      </c>
      <c r="AX56" s="26">
        <f t="shared" si="366"/>
        <v>0</v>
      </c>
      <c r="AY56" s="26">
        <f t="shared" si="366"/>
        <v>0</v>
      </c>
      <c r="AZ56" s="26">
        <f t="shared" si="366"/>
        <v>0</v>
      </c>
      <c r="BA56" s="26">
        <f t="shared" si="366"/>
        <v>0</v>
      </c>
      <c r="BB56" s="26">
        <f t="shared" si="366"/>
        <v>0</v>
      </c>
      <c r="BC56" s="26">
        <f t="shared" si="366"/>
        <v>0</v>
      </c>
      <c r="BD56" s="26">
        <f t="shared" si="366"/>
        <v>0</v>
      </c>
      <c r="BE56" s="26">
        <f t="shared" si="366"/>
        <v>0</v>
      </c>
      <c r="BF56" s="26">
        <f t="shared" si="366"/>
        <v>0</v>
      </c>
      <c r="BG56" s="26">
        <f t="shared" si="366"/>
        <v>0</v>
      </c>
      <c r="BH56" s="26">
        <f t="shared" si="366"/>
        <v>0</v>
      </c>
      <c r="BI56" s="26">
        <f t="shared" si="366"/>
        <v>0</v>
      </c>
      <c r="BJ56" s="26">
        <f t="shared" si="366"/>
        <v>0</v>
      </c>
      <c r="BK56" s="26">
        <f t="shared" si="366"/>
        <v>0</v>
      </c>
      <c r="BL56" s="26">
        <f t="shared" si="366"/>
        <v>0</v>
      </c>
      <c r="BM56" s="26">
        <f t="shared" si="366"/>
        <v>0</v>
      </c>
      <c r="BN56" s="26">
        <f t="shared" si="366"/>
        <v>0</v>
      </c>
      <c r="BO56" s="26">
        <f t="shared" si="366"/>
        <v>0</v>
      </c>
      <c r="BP56" s="26">
        <f t="shared" si="366"/>
        <v>0</v>
      </c>
      <c r="BQ56" s="26">
        <f t="shared" si="366"/>
        <v>0</v>
      </c>
      <c r="BR56" s="26">
        <f t="shared" ref="BR56:DJ56" si="367">ROUNDDOWN(-BR8*$DP$51,2)</f>
        <v>0</v>
      </c>
      <c r="BS56" s="26">
        <f t="shared" si="367"/>
        <v>0</v>
      </c>
      <c r="BT56" s="26">
        <f t="shared" si="367"/>
        <v>0</v>
      </c>
      <c r="BU56" s="26">
        <f t="shared" si="367"/>
        <v>0</v>
      </c>
      <c r="BV56" s="26">
        <f t="shared" si="367"/>
        <v>0</v>
      </c>
      <c r="BW56" s="26">
        <f t="shared" si="367"/>
        <v>0</v>
      </c>
      <c r="BX56" s="26">
        <f t="shared" si="367"/>
        <v>0</v>
      </c>
      <c r="BY56" s="26">
        <f t="shared" si="367"/>
        <v>0</v>
      </c>
      <c r="BZ56" s="26">
        <f t="shared" si="367"/>
        <v>-0.79</v>
      </c>
      <c r="CA56" s="26">
        <f t="shared" si="367"/>
        <v>0</v>
      </c>
      <c r="CB56" s="26">
        <f t="shared" si="367"/>
        <v>0</v>
      </c>
      <c r="CC56" s="26">
        <f t="shared" si="367"/>
        <v>0</v>
      </c>
      <c r="CD56" s="26">
        <f t="shared" si="367"/>
        <v>0</v>
      </c>
      <c r="CE56" s="26">
        <f t="shared" si="367"/>
        <v>0</v>
      </c>
      <c r="CF56" s="26">
        <f t="shared" si="367"/>
        <v>0</v>
      </c>
      <c r="CG56" s="26">
        <f t="shared" si="367"/>
        <v>0</v>
      </c>
      <c r="CH56" s="26">
        <f t="shared" si="367"/>
        <v>0</v>
      </c>
      <c r="CI56" s="26">
        <f t="shared" si="367"/>
        <v>0</v>
      </c>
      <c r="CJ56" s="26">
        <f t="shared" si="367"/>
        <v>-0.18</v>
      </c>
      <c r="CK56" s="26">
        <f t="shared" si="367"/>
        <v>0</v>
      </c>
      <c r="CL56" s="26">
        <f t="shared" si="367"/>
        <v>0</v>
      </c>
      <c r="CM56" s="26">
        <f t="shared" si="367"/>
        <v>0</v>
      </c>
      <c r="CN56" s="26">
        <f t="shared" si="367"/>
        <v>0</v>
      </c>
      <c r="CO56" s="26">
        <f t="shared" si="367"/>
        <v>0</v>
      </c>
      <c r="CP56" s="26">
        <f t="shared" si="367"/>
        <v>0</v>
      </c>
      <c r="CQ56" s="26">
        <f t="shared" si="367"/>
        <v>0</v>
      </c>
      <c r="CR56" s="26">
        <f t="shared" si="367"/>
        <v>-0.21</v>
      </c>
      <c r="CS56" s="26">
        <f t="shared" si="367"/>
        <v>0</v>
      </c>
      <c r="CT56" s="26">
        <f t="shared" si="367"/>
        <v>0</v>
      </c>
      <c r="CU56" s="26">
        <f t="shared" si="367"/>
        <v>0</v>
      </c>
      <c r="CV56" s="26">
        <f t="shared" si="367"/>
        <v>0</v>
      </c>
      <c r="CW56" s="26">
        <f t="shared" si="367"/>
        <v>0</v>
      </c>
      <c r="CX56" s="26">
        <f t="shared" si="367"/>
        <v>0</v>
      </c>
      <c r="CY56" s="26">
        <f t="shared" si="367"/>
        <v>0</v>
      </c>
      <c r="CZ56" s="26">
        <f t="shared" si="367"/>
        <v>0</v>
      </c>
      <c r="DA56" s="26">
        <f t="shared" si="367"/>
        <v>0</v>
      </c>
      <c r="DB56" s="26">
        <f t="shared" si="367"/>
        <v>0</v>
      </c>
      <c r="DC56" s="26">
        <f t="shared" si="367"/>
        <v>0</v>
      </c>
      <c r="DD56" s="26">
        <f t="shared" si="367"/>
        <v>0</v>
      </c>
      <c r="DE56" s="26">
        <f t="shared" si="367"/>
        <v>0</v>
      </c>
      <c r="DF56" s="26">
        <f t="shared" si="367"/>
        <v>0</v>
      </c>
      <c r="DG56" s="26">
        <f t="shared" si="367"/>
        <v>0</v>
      </c>
      <c r="DH56" s="26">
        <f t="shared" si="367"/>
        <v>0</v>
      </c>
      <c r="DI56" s="26">
        <f t="shared" si="367"/>
        <v>0</v>
      </c>
      <c r="DJ56" s="26">
        <f t="shared" si="367"/>
        <v>0</v>
      </c>
      <c r="DK56" s="8">
        <f t="shared" si="358"/>
        <v>0.0317097919837646</v>
      </c>
      <c r="DL56">
        <v>0</v>
      </c>
      <c r="DM56">
        <v>5</v>
      </c>
      <c r="DS56" s="26">
        <f t="shared" si="346"/>
        <v>0</v>
      </c>
      <c r="DT56" s="26">
        <f t="shared" si="346"/>
        <v>0</v>
      </c>
      <c r="DU56" s="26">
        <f t="shared" si="346"/>
        <v>0</v>
      </c>
      <c r="DV56" s="26">
        <f t="shared" si="346"/>
        <v>0</v>
      </c>
      <c r="DW56" s="26">
        <f t="shared" si="346"/>
        <v>0</v>
      </c>
      <c r="DX56" s="26">
        <f t="shared" si="346"/>
        <v>0</v>
      </c>
      <c r="DY56" s="26">
        <f t="shared" si="346"/>
        <v>0</v>
      </c>
      <c r="DZ56" s="26">
        <f t="shared" si="346"/>
        <v>0</v>
      </c>
      <c r="EA56" s="26">
        <f t="shared" si="346"/>
        <v>0</v>
      </c>
      <c r="EB56" s="26">
        <f t="shared" si="346"/>
        <v>0</v>
      </c>
      <c r="EC56" s="26">
        <f t="shared" si="347"/>
        <v>0</v>
      </c>
      <c r="ED56" s="26">
        <f t="shared" si="347"/>
        <v>0</v>
      </c>
      <c r="EE56" s="26">
        <f t="shared" si="347"/>
        <v>0</v>
      </c>
      <c r="EF56" s="26">
        <f t="shared" si="347"/>
        <v>0</v>
      </c>
      <c r="EG56" s="26">
        <f t="shared" si="347"/>
        <v>0</v>
      </c>
      <c r="EH56" s="26">
        <f t="shared" si="347"/>
        <v>0</v>
      </c>
      <c r="EI56" s="26">
        <f t="shared" si="347"/>
        <v>0</v>
      </c>
      <c r="EJ56" s="26">
        <f t="shared" si="347"/>
        <v>0</v>
      </c>
      <c r="EK56" s="26">
        <f t="shared" si="347"/>
        <v>0</v>
      </c>
      <c r="EL56" s="26">
        <f t="shared" si="347"/>
        <v>0</v>
      </c>
      <c r="EM56" s="26">
        <f t="shared" si="348"/>
        <v>0</v>
      </c>
      <c r="EN56" s="26">
        <f t="shared" si="348"/>
        <v>0</v>
      </c>
      <c r="EO56" s="26">
        <f t="shared" si="348"/>
        <v>0</v>
      </c>
      <c r="EP56" s="26">
        <f t="shared" si="348"/>
        <v>0</v>
      </c>
      <c r="EQ56" s="26">
        <f t="shared" si="348"/>
        <v>0</v>
      </c>
      <c r="ER56" s="26">
        <f t="shared" si="348"/>
        <v>0</v>
      </c>
      <c r="ES56" s="26">
        <f t="shared" si="348"/>
        <v>0</v>
      </c>
      <c r="ET56" s="26">
        <f t="shared" si="348"/>
        <v>0</v>
      </c>
      <c r="EU56" s="26">
        <f t="shared" si="348"/>
        <v>0</v>
      </c>
      <c r="EV56" s="26">
        <f t="shared" si="348"/>
        <v>0</v>
      </c>
      <c r="EW56" s="26">
        <f t="shared" si="349"/>
        <v>0</v>
      </c>
      <c r="EX56" s="26">
        <f t="shared" si="349"/>
        <v>0.134497129942876</v>
      </c>
      <c r="EY56" s="26">
        <f t="shared" si="349"/>
        <v>0</v>
      </c>
      <c r="EZ56" s="26">
        <f t="shared" si="349"/>
        <v>0</v>
      </c>
      <c r="FA56" s="26">
        <f t="shared" si="349"/>
        <v>0</v>
      </c>
      <c r="FB56" s="26">
        <f t="shared" si="349"/>
        <v>0</v>
      </c>
      <c r="FC56" s="26">
        <f t="shared" si="349"/>
        <v>0</v>
      </c>
      <c r="FD56" s="26">
        <f t="shared" si="349"/>
        <v>0</v>
      </c>
      <c r="FE56" s="26">
        <f t="shared" si="349"/>
        <v>0.368822524456045</v>
      </c>
      <c r="FF56" s="26">
        <f t="shared" si="349"/>
        <v>0</v>
      </c>
      <c r="FG56" s="26">
        <f t="shared" si="350"/>
        <v>0</v>
      </c>
      <c r="FH56" s="26">
        <f t="shared" si="350"/>
        <v>0</v>
      </c>
      <c r="FI56" s="26">
        <f t="shared" si="350"/>
        <v>0</v>
      </c>
      <c r="FJ56" s="26">
        <f t="shared" si="350"/>
        <v>0.00326089034269007</v>
      </c>
      <c r="FK56" s="26">
        <f t="shared" si="350"/>
        <v>0</v>
      </c>
      <c r="FL56" s="26">
        <f t="shared" si="350"/>
        <v>0</v>
      </c>
      <c r="FM56" s="26">
        <f t="shared" si="350"/>
        <v>0</v>
      </c>
      <c r="FN56" s="26">
        <f t="shared" si="350"/>
        <v>0</v>
      </c>
      <c r="FO56" s="26">
        <f t="shared" si="350"/>
        <v>0</v>
      </c>
      <c r="FP56" s="26">
        <f t="shared" si="350"/>
        <v>0</v>
      </c>
      <c r="FQ56" s="26">
        <f t="shared" si="351"/>
        <v>0</v>
      </c>
      <c r="FR56" s="26">
        <f t="shared" si="351"/>
        <v>0</v>
      </c>
      <c r="FS56" s="26">
        <f t="shared" si="351"/>
        <v>0</v>
      </c>
      <c r="FT56" s="26">
        <f t="shared" si="351"/>
        <v>0</v>
      </c>
      <c r="FU56" s="26">
        <f t="shared" si="351"/>
        <v>0</v>
      </c>
      <c r="FV56" s="26">
        <f t="shared" si="351"/>
        <v>0</v>
      </c>
      <c r="FW56" s="26">
        <f t="shared" si="351"/>
        <v>0</v>
      </c>
      <c r="FX56" s="26">
        <f t="shared" si="351"/>
        <v>0</v>
      </c>
      <c r="FY56" s="26">
        <f t="shared" si="351"/>
        <v>0</v>
      </c>
      <c r="FZ56" s="26">
        <f t="shared" si="351"/>
        <v>0</v>
      </c>
      <c r="GA56" s="26">
        <f t="shared" si="352"/>
        <v>0</v>
      </c>
      <c r="GB56" s="26">
        <f t="shared" si="352"/>
        <v>0</v>
      </c>
      <c r="GC56" s="26">
        <f t="shared" si="352"/>
        <v>0</v>
      </c>
      <c r="GD56" s="26">
        <f t="shared" si="352"/>
        <v>0</v>
      </c>
      <c r="GE56" s="26">
        <f t="shared" si="352"/>
        <v>0</v>
      </c>
      <c r="GF56" s="26">
        <f t="shared" si="352"/>
        <v>0</v>
      </c>
      <c r="GG56" s="26">
        <f t="shared" si="352"/>
        <v>0</v>
      </c>
      <c r="GH56" s="26">
        <f t="shared" si="352"/>
        <v>0</v>
      </c>
      <c r="GI56" s="26">
        <f t="shared" si="352"/>
        <v>0</v>
      </c>
      <c r="GJ56" s="26">
        <f t="shared" si="352"/>
        <v>0</v>
      </c>
      <c r="GK56" s="26">
        <f t="shared" si="353"/>
        <v>0</v>
      </c>
      <c r="GL56" s="26">
        <f t="shared" si="353"/>
        <v>0</v>
      </c>
      <c r="GM56" s="26">
        <f t="shared" si="353"/>
        <v>0.3995</v>
      </c>
      <c r="GN56" s="26">
        <f t="shared" si="353"/>
        <v>0</v>
      </c>
      <c r="GO56" s="26">
        <f t="shared" si="353"/>
        <v>0</v>
      </c>
      <c r="GP56" s="26">
        <f t="shared" si="353"/>
        <v>0</v>
      </c>
      <c r="GQ56" s="26">
        <f t="shared" si="353"/>
        <v>0</v>
      </c>
      <c r="GR56" s="26">
        <f t="shared" si="353"/>
        <v>0</v>
      </c>
      <c r="GS56" s="26">
        <f t="shared" si="353"/>
        <v>0</v>
      </c>
      <c r="GT56" s="26">
        <f t="shared" si="353"/>
        <v>0</v>
      </c>
      <c r="GU56" s="26">
        <f t="shared" si="354"/>
        <v>0</v>
      </c>
      <c r="GV56" s="26">
        <f t="shared" si="359"/>
        <v>0</v>
      </c>
      <c r="GW56" s="26">
        <f t="shared" si="359"/>
        <v>0.0928856886421388</v>
      </c>
      <c r="GX56" s="26">
        <f t="shared" si="359"/>
        <v>0</v>
      </c>
      <c r="GY56" s="26">
        <f t="shared" si="359"/>
        <v>0</v>
      </c>
      <c r="GZ56" s="26">
        <f t="shared" si="359"/>
        <v>0</v>
      </c>
      <c r="HA56" s="26">
        <f t="shared" si="359"/>
        <v>0</v>
      </c>
      <c r="HB56" s="26">
        <f t="shared" si="359"/>
        <v>0</v>
      </c>
      <c r="HC56" s="26">
        <f t="shared" si="359"/>
        <v>0</v>
      </c>
      <c r="HD56" s="26">
        <f t="shared" si="359"/>
        <v>0</v>
      </c>
      <c r="HE56" s="26">
        <f t="shared" si="359"/>
        <v>0.108747054794521</v>
      </c>
      <c r="HF56" s="26">
        <f t="shared" si="360"/>
        <v>0</v>
      </c>
      <c r="HG56" s="26">
        <f t="shared" si="360"/>
        <v>0</v>
      </c>
      <c r="HH56" s="26">
        <f t="shared" si="360"/>
        <v>0</v>
      </c>
      <c r="HI56" s="26">
        <f t="shared" si="360"/>
        <v>0</v>
      </c>
      <c r="HJ56" s="26">
        <f t="shared" si="360"/>
        <v>0</v>
      </c>
      <c r="HK56" s="26">
        <f t="shared" si="360"/>
        <v>0</v>
      </c>
      <c r="HL56" s="26">
        <f t="shared" si="360"/>
        <v>0</v>
      </c>
      <c r="HM56" s="26">
        <f t="shared" si="360"/>
        <v>0</v>
      </c>
      <c r="HN56" s="26">
        <f t="shared" si="360"/>
        <v>0</v>
      </c>
      <c r="HO56" s="26">
        <f t="shared" si="360"/>
        <v>0</v>
      </c>
      <c r="HP56" s="26">
        <f t="shared" si="361"/>
        <v>0</v>
      </c>
      <c r="HQ56" s="26">
        <f t="shared" si="361"/>
        <v>0</v>
      </c>
      <c r="HR56" s="26">
        <f t="shared" si="361"/>
        <v>0</v>
      </c>
      <c r="HS56" s="26">
        <f t="shared" si="361"/>
        <v>0</v>
      </c>
      <c r="HT56" s="26">
        <f t="shared" si="361"/>
        <v>0</v>
      </c>
      <c r="HU56" s="26">
        <f t="shared" si="361"/>
        <v>0</v>
      </c>
      <c r="HV56" s="26">
        <f t="shared" si="361"/>
        <v>0</v>
      </c>
      <c r="HW56" s="26">
        <f t="shared" si="361"/>
        <v>0</v>
      </c>
      <c r="HX56" s="26" t="str">
        <f t="shared" si="340"/>
        <v>ELE,CHP</v>
      </c>
      <c r="HY56" s="26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404</v>
      </c>
      <c r="D57" t="str">
        <f t="shared" si="343"/>
        <v>???OIL_DST</v>
      </c>
      <c r="F57" s="26">
        <f t="shared" ref="F57:BQ57" si="368">ROUNDDOWN(-F9*$DP$51,2)</f>
        <v>0</v>
      </c>
      <c r="G57" s="26">
        <f t="shared" si="368"/>
        <v>-0.15</v>
      </c>
      <c r="H57" s="26">
        <f t="shared" si="368"/>
        <v>0</v>
      </c>
      <c r="I57" s="26">
        <f t="shared" si="368"/>
        <v>-0.34</v>
      </c>
      <c r="J57" s="26">
        <f t="shared" si="368"/>
        <v>0</v>
      </c>
      <c r="K57" s="26">
        <f t="shared" si="368"/>
        <v>-0.04</v>
      </c>
      <c r="L57" s="26">
        <f t="shared" si="368"/>
        <v>-0.01</v>
      </c>
      <c r="M57" s="26">
        <f t="shared" si="368"/>
        <v>-0.02</v>
      </c>
      <c r="N57" s="26">
        <f t="shared" si="368"/>
        <v>-0.17</v>
      </c>
      <c r="O57" s="26">
        <f t="shared" si="368"/>
        <v>0</v>
      </c>
      <c r="P57" s="26">
        <f t="shared" si="368"/>
        <v>-0.79</v>
      </c>
      <c r="Q57" s="26">
        <f t="shared" si="368"/>
        <v>0</v>
      </c>
      <c r="R57" s="26">
        <f t="shared" si="368"/>
        <v>-0.12</v>
      </c>
      <c r="S57" s="26">
        <f t="shared" si="368"/>
        <v>0</v>
      </c>
      <c r="T57" s="26">
        <f t="shared" si="368"/>
        <v>0</v>
      </c>
      <c r="U57" s="26">
        <f t="shared" si="368"/>
        <v>-0.06</v>
      </c>
      <c r="V57" s="26">
        <f t="shared" si="368"/>
        <v>-0.01</v>
      </c>
      <c r="W57" s="26">
        <f t="shared" si="368"/>
        <v>0</v>
      </c>
      <c r="X57" s="26">
        <f t="shared" si="368"/>
        <v>-0.02</v>
      </c>
      <c r="Y57" s="26">
        <f t="shared" si="368"/>
        <v>0</v>
      </c>
      <c r="Z57" s="26">
        <f t="shared" si="368"/>
        <v>-0.28</v>
      </c>
      <c r="AA57" s="26">
        <f t="shared" si="368"/>
        <v>0</v>
      </c>
      <c r="AB57" s="26">
        <f t="shared" si="368"/>
        <v>0</v>
      </c>
      <c r="AC57" s="26">
        <f t="shared" si="368"/>
        <v>0</v>
      </c>
      <c r="AD57" s="26">
        <f t="shared" si="368"/>
        <v>0</v>
      </c>
      <c r="AE57" s="26">
        <f t="shared" si="368"/>
        <v>0</v>
      </c>
      <c r="AF57" s="26">
        <f t="shared" si="368"/>
        <v>0</v>
      </c>
      <c r="AG57" s="26">
        <f t="shared" si="368"/>
        <v>0</v>
      </c>
      <c r="AH57" s="26">
        <f t="shared" si="368"/>
        <v>-0.2</v>
      </c>
      <c r="AI57" s="26">
        <f t="shared" si="368"/>
        <v>0</v>
      </c>
      <c r="AJ57" s="26">
        <f t="shared" si="368"/>
        <v>-0.04</v>
      </c>
      <c r="AK57" s="26">
        <f t="shared" si="368"/>
        <v>-0.03</v>
      </c>
      <c r="AL57" s="26">
        <f t="shared" si="368"/>
        <v>-0.1</v>
      </c>
      <c r="AM57" s="26">
        <f t="shared" si="368"/>
        <v>-0.04</v>
      </c>
      <c r="AN57" s="26">
        <f t="shared" si="368"/>
        <v>0</v>
      </c>
      <c r="AO57" s="26">
        <f t="shared" si="368"/>
        <v>-0.79</v>
      </c>
      <c r="AP57" s="26">
        <f t="shared" si="368"/>
        <v>-0.11</v>
      </c>
      <c r="AQ57" s="26">
        <f t="shared" si="368"/>
        <v>-0.45</v>
      </c>
      <c r="AR57" s="26">
        <f t="shared" si="368"/>
        <v>0</v>
      </c>
      <c r="AS57" s="26">
        <f t="shared" si="368"/>
        <v>-0.01</v>
      </c>
      <c r="AT57" s="26">
        <f t="shared" si="368"/>
        <v>-0.06</v>
      </c>
      <c r="AU57" s="26">
        <f t="shared" si="368"/>
        <v>-0.14</v>
      </c>
      <c r="AV57" s="26">
        <f t="shared" si="368"/>
        <v>0</v>
      </c>
      <c r="AW57" s="26">
        <f t="shared" si="368"/>
        <v>-0.17</v>
      </c>
      <c r="AX57" s="26">
        <f t="shared" si="368"/>
        <v>0</v>
      </c>
      <c r="AY57" s="26">
        <f t="shared" si="368"/>
        <v>-0.26</v>
      </c>
      <c r="AZ57" s="26">
        <f t="shared" si="368"/>
        <v>-0.5</v>
      </c>
      <c r="BA57" s="26">
        <f t="shared" si="368"/>
        <v>0</v>
      </c>
      <c r="BB57" s="26">
        <f t="shared" si="368"/>
        <v>0</v>
      </c>
      <c r="BC57" s="26">
        <f t="shared" si="368"/>
        <v>0</v>
      </c>
      <c r="BD57" s="26">
        <f t="shared" si="368"/>
        <v>0</v>
      </c>
      <c r="BE57" s="26">
        <f t="shared" si="368"/>
        <v>0</v>
      </c>
      <c r="BF57" s="26">
        <f t="shared" si="368"/>
        <v>0</v>
      </c>
      <c r="BG57" s="26">
        <f t="shared" si="368"/>
        <v>0</v>
      </c>
      <c r="BH57" s="26">
        <f t="shared" si="368"/>
        <v>-0.11</v>
      </c>
      <c r="BI57" s="26">
        <f t="shared" si="368"/>
        <v>-0.01</v>
      </c>
      <c r="BJ57" s="26">
        <f t="shared" si="368"/>
        <v>-0.23</v>
      </c>
      <c r="BK57" s="26">
        <f t="shared" si="368"/>
        <v>0</v>
      </c>
      <c r="BL57" s="26">
        <f t="shared" si="368"/>
        <v>0</v>
      </c>
      <c r="BM57" s="26">
        <f t="shared" si="368"/>
        <v>0</v>
      </c>
      <c r="BN57" s="26">
        <f t="shared" si="368"/>
        <v>0</v>
      </c>
      <c r="BO57" s="26">
        <f t="shared" si="368"/>
        <v>-0.21</v>
      </c>
      <c r="BP57" s="26">
        <f t="shared" si="368"/>
        <v>0</v>
      </c>
      <c r="BQ57" s="26">
        <f t="shared" si="368"/>
        <v>0</v>
      </c>
      <c r="BR57" s="26">
        <f t="shared" ref="BR57:DJ57" si="369">ROUNDDOWN(-BR9*$DP$51,2)</f>
        <v>0</v>
      </c>
      <c r="BS57" s="26">
        <f t="shared" si="369"/>
        <v>0</v>
      </c>
      <c r="BT57" s="26">
        <f t="shared" si="369"/>
        <v>0</v>
      </c>
      <c r="BU57" s="26">
        <f t="shared" si="369"/>
        <v>-0.02</v>
      </c>
      <c r="BV57" s="26">
        <f t="shared" si="369"/>
        <v>-0.3</v>
      </c>
      <c r="BW57" s="26">
        <f t="shared" si="369"/>
        <v>-0.03</v>
      </c>
      <c r="BX57" s="26">
        <f t="shared" si="369"/>
        <v>-0.18</v>
      </c>
      <c r="BY57" s="26">
        <f t="shared" si="369"/>
        <v>0</v>
      </c>
      <c r="BZ57" s="26">
        <f t="shared" si="369"/>
        <v>-0.02</v>
      </c>
      <c r="CA57" s="26">
        <f t="shared" si="369"/>
        <v>-0.57</v>
      </c>
      <c r="CB57" s="26">
        <f t="shared" si="369"/>
        <v>0</v>
      </c>
      <c r="CC57" s="26">
        <f t="shared" si="369"/>
        <v>0</v>
      </c>
      <c r="CD57" s="26">
        <f t="shared" si="369"/>
        <v>0</v>
      </c>
      <c r="CE57" s="26">
        <f t="shared" si="369"/>
        <v>-0.79</v>
      </c>
      <c r="CF57" s="26">
        <f t="shared" si="369"/>
        <v>-0.07</v>
      </c>
      <c r="CG57" s="26">
        <f t="shared" si="369"/>
        <v>0</v>
      </c>
      <c r="CH57" s="26">
        <f t="shared" si="369"/>
        <v>0</v>
      </c>
      <c r="CI57" s="26">
        <f t="shared" si="369"/>
        <v>0</v>
      </c>
      <c r="CJ57" s="26">
        <f t="shared" si="369"/>
        <v>0</v>
      </c>
      <c r="CK57" s="26">
        <f t="shared" si="369"/>
        <v>0</v>
      </c>
      <c r="CL57" s="26">
        <f t="shared" si="369"/>
        <v>0</v>
      </c>
      <c r="CM57" s="26">
        <f t="shared" si="369"/>
        <v>0</v>
      </c>
      <c r="CN57" s="26">
        <f t="shared" si="369"/>
        <v>0</v>
      </c>
      <c r="CO57" s="26">
        <f t="shared" si="369"/>
        <v>0</v>
      </c>
      <c r="CP57" s="26">
        <f t="shared" si="369"/>
        <v>-0.51</v>
      </c>
      <c r="CQ57" s="26">
        <f t="shared" si="369"/>
        <v>-0.24</v>
      </c>
      <c r="CR57" s="26">
        <f t="shared" si="369"/>
        <v>0</v>
      </c>
      <c r="CS57" s="26">
        <f t="shared" si="369"/>
        <v>0</v>
      </c>
      <c r="CT57" s="26">
        <f t="shared" si="369"/>
        <v>0</v>
      </c>
      <c r="CU57" s="26">
        <f t="shared" si="369"/>
        <v>-0.01</v>
      </c>
      <c r="CV57" s="26">
        <f t="shared" si="369"/>
        <v>0</v>
      </c>
      <c r="CW57" s="26">
        <f t="shared" si="369"/>
        <v>-0.01</v>
      </c>
      <c r="CX57" s="26">
        <f t="shared" si="369"/>
        <v>-0.12</v>
      </c>
      <c r="CY57" s="26">
        <f t="shared" si="369"/>
        <v>0</v>
      </c>
      <c r="CZ57" s="26">
        <f t="shared" si="369"/>
        <v>0</v>
      </c>
      <c r="DA57" s="26">
        <f t="shared" si="369"/>
        <v>0</v>
      </c>
      <c r="DB57" s="26">
        <f t="shared" si="369"/>
        <v>-0.06</v>
      </c>
      <c r="DC57" s="26">
        <f t="shared" si="369"/>
        <v>-0.01</v>
      </c>
      <c r="DD57" s="26">
        <f t="shared" si="369"/>
        <v>0</v>
      </c>
      <c r="DE57" s="26">
        <f t="shared" si="369"/>
        <v>-0.24</v>
      </c>
      <c r="DF57" s="26">
        <f t="shared" si="369"/>
        <v>0</v>
      </c>
      <c r="DG57" s="26">
        <f t="shared" si="369"/>
        <v>-0.3</v>
      </c>
      <c r="DH57" s="26">
        <f t="shared" si="369"/>
        <v>-0.38</v>
      </c>
      <c r="DI57" s="26">
        <f t="shared" si="369"/>
        <v>0</v>
      </c>
      <c r="DJ57" s="26">
        <f t="shared" si="369"/>
        <v>0</v>
      </c>
      <c r="DK57" s="8">
        <f t="shared" si="358"/>
        <v>0.0317097919837646</v>
      </c>
      <c r="DL57">
        <v>0</v>
      </c>
      <c r="DM57">
        <v>5</v>
      </c>
      <c r="DS57" s="26">
        <f t="shared" si="346"/>
        <v>0</v>
      </c>
      <c r="DT57" s="26">
        <f t="shared" si="346"/>
        <v>0.0763793344100815</v>
      </c>
      <c r="DU57" s="26">
        <f t="shared" si="346"/>
        <v>0</v>
      </c>
      <c r="DV57" s="26">
        <f t="shared" si="346"/>
        <v>0.173730132678556</v>
      </c>
      <c r="DW57" s="26">
        <f t="shared" si="346"/>
        <v>0</v>
      </c>
      <c r="DX57" s="26">
        <f t="shared" si="346"/>
        <v>0.0227964052355513</v>
      </c>
      <c r="DY57" s="26">
        <f t="shared" si="346"/>
        <v>0.0051604400166044</v>
      </c>
      <c r="DZ57" s="26">
        <f t="shared" si="346"/>
        <v>0.0101940639269406</v>
      </c>
      <c r="EA57" s="26">
        <f t="shared" si="346"/>
        <v>0.0853715511893502</v>
      </c>
      <c r="EB57" s="26">
        <f t="shared" si="346"/>
        <v>0</v>
      </c>
      <c r="EC57" s="26">
        <f t="shared" si="347"/>
        <v>0.3995</v>
      </c>
      <c r="ED57" s="26">
        <f t="shared" si="347"/>
        <v>0</v>
      </c>
      <c r="EE57" s="26">
        <f t="shared" si="347"/>
        <v>0.0609898896351178</v>
      </c>
      <c r="EF57" s="26">
        <f t="shared" si="347"/>
        <v>0</v>
      </c>
      <c r="EG57" s="26">
        <f t="shared" si="347"/>
        <v>0</v>
      </c>
      <c r="EH57" s="26">
        <f t="shared" si="347"/>
        <v>0.034124419760988</v>
      </c>
      <c r="EI57" s="26">
        <f t="shared" si="347"/>
        <v>0.00699973349306388</v>
      </c>
      <c r="EJ57" s="26">
        <f t="shared" si="347"/>
        <v>0</v>
      </c>
      <c r="EK57" s="26">
        <f t="shared" si="347"/>
        <v>0.0121916051984545</v>
      </c>
      <c r="EL57" s="26">
        <f t="shared" si="347"/>
        <v>0.00212678431856514</v>
      </c>
      <c r="EM57" s="26">
        <f t="shared" si="348"/>
        <v>0.143400069430246</v>
      </c>
      <c r="EN57" s="26">
        <f t="shared" si="348"/>
        <v>0</v>
      </c>
      <c r="EO57" s="26">
        <f t="shared" si="348"/>
        <v>0.00255589163305892</v>
      </c>
      <c r="EP57" s="26">
        <f t="shared" si="348"/>
        <v>0</v>
      </c>
      <c r="EQ57" s="26">
        <f t="shared" si="348"/>
        <v>0</v>
      </c>
      <c r="ER57" s="26">
        <f t="shared" si="348"/>
        <v>0</v>
      </c>
      <c r="ES57" s="26">
        <f t="shared" si="348"/>
        <v>0</v>
      </c>
      <c r="ET57" s="26">
        <f t="shared" si="348"/>
        <v>0.00213278879151422</v>
      </c>
      <c r="EU57" s="26">
        <f t="shared" si="348"/>
        <v>0.101064345591027</v>
      </c>
      <c r="EV57" s="26">
        <f t="shared" si="348"/>
        <v>0</v>
      </c>
      <c r="EW57" s="26">
        <f t="shared" si="349"/>
        <v>0.0249054636799729</v>
      </c>
      <c r="EX57" s="26">
        <f t="shared" si="349"/>
        <v>0.019816472849118</v>
      </c>
      <c r="EY57" s="26">
        <f t="shared" si="349"/>
        <v>0.0502953306819856</v>
      </c>
      <c r="EZ57" s="26">
        <f t="shared" si="349"/>
        <v>0.0211360177113602</v>
      </c>
      <c r="FA57" s="26">
        <f t="shared" si="349"/>
        <v>0.00285648401826484</v>
      </c>
      <c r="FB57" s="26">
        <f t="shared" si="349"/>
        <v>0.3995</v>
      </c>
      <c r="FC57" s="26">
        <f t="shared" si="349"/>
        <v>0.0593897116910682</v>
      </c>
      <c r="FD57" s="26">
        <f t="shared" si="349"/>
        <v>0.22963859294088</v>
      </c>
      <c r="FE57" s="26">
        <f t="shared" si="349"/>
        <v>0</v>
      </c>
      <c r="FF57" s="26">
        <f t="shared" si="349"/>
        <v>0.00956816749306664</v>
      </c>
      <c r="FG57" s="26">
        <f t="shared" si="350"/>
        <v>0.0335546128648005</v>
      </c>
      <c r="FH57" s="26">
        <f t="shared" si="350"/>
        <v>0.0740553915825523</v>
      </c>
      <c r="FI57" s="26">
        <f t="shared" si="350"/>
        <v>0.00193150684931507</v>
      </c>
      <c r="FJ57" s="26">
        <f t="shared" si="350"/>
        <v>0.0867725381198737</v>
      </c>
      <c r="FK57" s="26">
        <f t="shared" si="350"/>
        <v>0</v>
      </c>
      <c r="FL57" s="26">
        <f t="shared" si="350"/>
        <v>0.130906450494191</v>
      </c>
      <c r="FM57" s="26">
        <f t="shared" si="350"/>
        <v>0.252490867579909</v>
      </c>
      <c r="FN57" s="26">
        <f t="shared" si="350"/>
        <v>0</v>
      </c>
      <c r="FO57" s="26">
        <f t="shared" si="350"/>
        <v>0</v>
      </c>
      <c r="FP57" s="26">
        <f t="shared" si="350"/>
        <v>0</v>
      </c>
      <c r="FQ57" s="26">
        <f t="shared" si="351"/>
        <v>0</v>
      </c>
      <c r="FR57" s="26">
        <f t="shared" si="351"/>
        <v>0</v>
      </c>
      <c r="FS57" s="26">
        <f t="shared" si="351"/>
        <v>0</v>
      </c>
      <c r="FT57" s="26">
        <f t="shared" si="351"/>
        <v>0</v>
      </c>
      <c r="FU57" s="26">
        <f t="shared" si="351"/>
        <v>0.0571303301993817</v>
      </c>
      <c r="FV57" s="26">
        <f t="shared" si="351"/>
        <v>0.00851331410718577</v>
      </c>
      <c r="FW57" s="26">
        <f t="shared" si="351"/>
        <v>0.115972347943865</v>
      </c>
      <c r="FX57" s="26">
        <f t="shared" si="351"/>
        <v>0</v>
      </c>
      <c r="FY57" s="26">
        <f t="shared" si="351"/>
        <v>0</v>
      </c>
      <c r="FZ57" s="26">
        <f t="shared" si="351"/>
        <v>0.00418951723061312</v>
      </c>
      <c r="GA57" s="26">
        <f t="shared" si="352"/>
        <v>0</v>
      </c>
      <c r="GB57" s="26">
        <f t="shared" si="352"/>
        <v>0.107931887366819</v>
      </c>
      <c r="GC57" s="26">
        <f t="shared" si="352"/>
        <v>0</v>
      </c>
      <c r="GD57" s="26">
        <f t="shared" si="352"/>
        <v>0</v>
      </c>
      <c r="GE57" s="26">
        <f t="shared" si="352"/>
        <v>0.00124498599863771</v>
      </c>
      <c r="GF57" s="26">
        <f t="shared" si="352"/>
        <v>0</v>
      </c>
      <c r="GG57" s="26">
        <f t="shared" si="352"/>
        <v>0</v>
      </c>
      <c r="GH57" s="26">
        <f t="shared" si="352"/>
        <v>0.0105030310187372</v>
      </c>
      <c r="GI57" s="26">
        <f t="shared" si="352"/>
        <v>0.150362442922374</v>
      </c>
      <c r="GJ57" s="26">
        <f t="shared" si="352"/>
        <v>0.0170466502410878</v>
      </c>
      <c r="GK57" s="26">
        <f t="shared" si="353"/>
        <v>0.0944366673253479</v>
      </c>
      <c r="GL57" s="26">
        <f t="shared" si="353"/>
        <v>0</v>
      </c>
      <c r="GM57" s="26">
        <f t="shared" si="353"/>
        <v>0.0139798398558391</v>
      </c>
      <c r="GN57" s="26">
        <f t="shared" si="353"/>
        <v>0.285126151513703</v>
      </c>
      <c r="GO57" s="26">
        <f t="shared" si="353"/>
        <v>0</v>
      </c>
      <c r="GP57" s="26">
        <f t="shared" si="353"/>
        <v>0</v>
      </c>
      <c r="GQ57" s="26">
        <f t="shared" si="353"/>
        <v>0</v>
      </c>
      <c r="GR57" s="26">
        <f t="shared" si="353"/>
        <v>0.3995</v>
      </c>
      <c r="GS57" s="26">
        <f t="shared" si="353"/>
        <v>0.0363611356606275</v>
      </c>
      <c r="GT57" s="26">
        <f t="shared" si="353"/>
        <v>0</v>
      </c>
      <c r="GU57" s="26">
        <f t="shared" si="354"/>
        <v>0</v>
      </c>
      <c r="GV57" s="26">
        <f t="shared" si="359"/>
        <v>0</v>
      </c>
      <c r="GW57" s="26">
        <f t="shared" si="359"/>
        <v>0</v>
      </c>
      <c r="GX57" s="26">
        <f t="shared" si="359"/>
        <v>0</v>
      </c>
      <c r="GY57" s="26">
        <f t="shared" si="359"/>
        <v>0</v>
      </c>
      <c r="GZ57" s="26">
        <f t="shared" si="359"/>
        <v>0</v>
      </c>
      <c r="HA57" s="26">
        <f t="shared" si="359"/>
        <v>0</v>
      </c>
      <c r="HB57" s="26">
        <f t="shared" si="359"/>
        <v>0.00330022006966256</v>
      </c>
      <c r="HC57" s="26">
        <f t="shared" si="359"/>
        <v>0.257382631727464</v>
      </c>
      <c r="HD57" s="26">
        <f t="shared" si="359"/>
        <v>0.124367760457082</v>
      </c>
      <c r="HE57" s="26">
        <f t="shared" si="359"/>
        <v>0</v>
      </c>
      <c r="HF57" s="26">
        <f t="shared" si="360"/>
        <v>0.00310826937933812</v>
      </c>
      <c r="HG57" s="26">
        <f t="shared" si="360"/>
        <v>0.00183168737389827</v>
      </c>
      <c r="HH57" s="26">
        <f t="shared" si="360"/>
        <v>0.00859185688086149</v>
      </c>
      <c r="HI57" s="26">
        <f t="shared" si="360"/>
        <v>0</v>
      </c>
      <c r="HJ57" s="26">
        <f t="shared" si="360"/>
        <v>0.00977113134925446</v>
      </c>
      <c r="HK57" s="26">
        <f t="shared" si="360"/>
        <v>0.0617571623214023</v>
      </c>
      <c r="HL57" s="26">
        <f t="shared" si="360"/>
        <v>0.000114365537130497</v>
      </c>
      <c r="HM57" s="26">
        <f t="shared" si="360"/>
        <v>0.000273176731622612</v>
      </c>
      <c r="HN57" s="26">
        <f t="shared" si="360"/>
        <v>0</v>
      </c>
      <c r="HO57" s="26">
        <f t="shared" si="360"/>
        <v>0.0306470937758853</v>
      </c>
      <c r="HP57" s="26">
        <f t="shared" si="361"/>
        <v>0.00568227180112663</v>
      </c>
      <c r="HQ57" s="26">
        <f t="shared" si="361"/>
        <v>0</v>
      </c>
      <c r="HR57" s="26">
        <f t="shared" si="361"/>
        <v>0.121825823644317</v>
      </c>
      <c r="HS57" s="26">
        <f t="shared" si="361"/>
        <v>0</v>
      </c>
      <c r="HT57" s="26">
        <f t="shared" si="361"/>
        <v>0.154299773146454</v>
      </c>
      <c r="HU57" s="26">
        <f t="shared" si="361"/>
        <v>0.194992503237238</v>
      </c>
      <c r="HV57" s="26">
        <f t="shared" si="361"/>
        <v>0</v>
      </c>
      <c r="HW57" s="26">
        <f t="shared" si="361"/>
        <v>0.00197749510763209</v>
      </c>
      <c r="HX57" s="26" t="str">
        <f t="shared" si="340"/>
        <v>ELE,CHP</v>
      </c>
      <c r="HY57" s="26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404</v>
      </c>
      <c r="D58" t="str">
        <f t="shared" si="343"/>
        <v>???BSL</v>
      </c>
      <c r="F58" s="26">
        <f t="shared" ref="F58:BQ58" si="370">ROUNDDOWN(-F10*$DP$51,2)</f>
        <v>0</v>
      </c>
      <c r="G58" s="26">
        <f t="shared" si="370"/>
        <v>0</v>
      </c>
      <c r="H58" s="26">
        <f t="shared" si="370"/>
        <v>0</v>
      </c>
      <c r="I58" s="26">
        <f t="shared" si="370"/>
        <v>0</v>
      </c>
      <c r="J58" s="26">
        <f t="shared" si="370"/>
        <v>0</v>
      </c>
      <c r="K58" s="26">
        <f t="shared" si="370"/>
        <v>-0.18</v>
      </c>
      <c r="L58" s="26">
        <f t="shared" si="370"/>
        <v>-0.59</v>
      </c>
      <c r="M58" s="26">
        <f t="shared" si="370"/>
        <v>0</v>
      </c>
      <c r="N58" s="26">
        <f t="shared" si="370"/>
        <v>0</v>
      </c>
      <c r="O58" s="26">
        <f t="shared" si="370"/>
        <v>-0.77</v>
      </c>
      <c r="P58" s="26">
        <f t="shared" si="370"/>
        <v>-0.56</v>
      </c>
      <c r="Q58" s="26">
        <f t="shared" si="370"/>
        <v>-0.1</v>
      </c>
      <c r="R58" s="26">
        <f t="shared" si="370"/>
        <v>-0.02</v>
      </c>
      <c r="S58" s="26">
        <f t="shared" si="370"/>
        <v>-0.79</v>
      </c>
      <c r="T58" s="26">
        <f t="shared" si="370"/>
        <v>0</v>
      </c>
      <c r="U58" s="26">
        <f t="shared" si="370"/>
        <v>-0.26</v>
      </c>
      <c r="V58" s="26">
        <f t="shared" si="370"/>
        <v>-0.08</v>
      </c>
      <c r="W58" s="26">
        <f t="shared" si="370"/>
        <v>0</v>
      </c>
      <c r="X58" s="26">
        <f t="shared" si="370"/>
        <v>0</v>
      </c>
      <c r="Y58" s="26">
        <f t="shared" si="370"/>
        <v>-0.79</v>
      </c>
      <c r="Z58" s="26">
        <f t="shared" si="370"/>
        <v>0</v>
      </c>
      <c r="AA58" s="26">
        <f t="shared" si="370"/>
        <v>-0.79</v>
      </c>
      <c r="AB58" s="26">
        <f t="shared" si="370"/>
        <v>-0.24</v>
      </c>
      <c r="AC58" s="26">
        <f t="shared" si="370"/>
        <v>0</v>
      </c>
      <c r="AD58" s="26">
        <f t="shared" si="370"/>
        <v>0</v>
      </c>
      <c r="AE58" s="26">
        <f t="shared" si="370"/>
        <v>-0.79</v>
      </c>
      <c r="AF58" s="26">
        <f t="shared" si="370"/>
        <v>0</v>
      </c>
      <c r="AG58" s="26">
        <f t="shared" si="370"/>
        <v>-0.31</v>
      </c>
      <c r="AH58" s="26">
        <f t="shared" si="370"/>
        <v>-0.3</v>
      </c>
      <c r="AI58" s="26">
        <f t="shared" si="370"/>
        <v>0</v>
      </c>
      <c r="AJ58" s="26">
        <f t="shared" si="370"/>
        <v>-0.7</v>
      </c>
      <c r="AK58" s="26">
        <f t="shared" si="370"/>
        <v>0</v>
      </c>
      <c r="AL58" s="26">
        <f t="shared" si="370"/>
        <v>-0.02</v>
      </c>
      <c r="AM58" s="26">
        <f t="shared" si="370"/>
        <v>-0.79</v>
      </c>
      <c r="AN58" s="26">
        <f t="shared" si="370"/>
        <v>0</v>
      </c>
      <c r="AO58" s="26">
        <f t="shared" si="370"/>
        <v>0</v>
      </c>
      <c r="AP58" s="26">
        <f t="shared" si="370"/>
        <v>0</v>
      </c>
      <c r="AQ58" s="26">
        <f t="shared" si="370"/>
        <v>0</v>
      </c>
      <c r="AR58" s="26">
        <f t="shared" si="370"/>
        <v>0</v>
      </c>
      <c r="AS58" s="26">
        <f t="shared" si="370"/>
        <v>-0.79</v>
      </c>
      <c r="AT58" s="26">
        <f t="shared" si="370"/>
        <v>0</v>
      </c>
      <c r="AU58" s="26">
        <f t="shared" si="370"/>
        <v>-0.52</v>
      </c>
      <c r="AV58" s="26">
        <f t="shared" si="370"/>
        <v>0</v>
      </c>
      <c r="AW58" s="26">
        <f t="shared" si="370"/>
        <v>-0.79</v>
      </c>
      <c r="AX58" s="26">
        <f t="shared" si="370"/>
        <v>0</v>
      </c>
      <c r="AY58" s="26">
        <f t="shared" si="370"/>
        <v>0</v>
      </c>
      <c r="AZ58" s="26">
        <f t="shared" si="370"/>
        <v>0</v>
      </c>
      <c r="BA58" s="26">
        <f t="shared" si="370"/>
        <v>0</v>
      </c>
      <c r="BB58" s="26">
        <f t="shared" si="370"/>
        <v>0</v>
      </c>
      <c r="BC58" s="26">
        <f t="shared" si="370"/>
        <v>-0.79</v>
      </c>
      <c r="BD58" s="26">
        <f t="shared" si="370"/>
        <v>0</v>
      </c>
      <c r="BE58" s="26">
        <f t="shared" si="370"/>
        <v>-0.79</v>
      </c>
      <c r="BF58" s="26">
        <f t="shared" si="370"/>
        <v>-0.79</v>
      </c>
      <c r="BG58" s="26">
        <f t="shared" si="370"/>
        <v>0</v>
      </c>
      <c r="BH58" s="26">
        <f t="shared" si="370"/>
        <v>-0.1</v>
      </c>
      <c r="BI58" s="26">
        <f t="shared" si="370"/>
        <v>0</v>
      </c>
      <c r="BJ58" s="26">
        <f t="shared" si="370"/>
        <v>0</v>
      </c>
      <c r="BK58" s="26">
        <f t="shared" si="370"/>
        <v>0</v>
      </c>
      <c r="BL58" s="26">
        <f t="shared" si="370"/>
        <v>0</v>
      </c>
      <c r="BM58" s="26">
        <f t="shared" si="370"/>
        <v>0</v>
      </c>
      <c r="BN58" s="26">
        <f t="shared" si="370"/>
        <v>0</v>
      </c>
      <c r="BO58" s="26">
        <f t="shared" si="370"/>
        <v>-0.07</v>
      </c>
      <c r="BP58" s="26">
        <f t="shared" si="370"/>
        <v>0</v>
      </c>
      <c r="BQ58" s="26">
        <f t="shared" si="370"/>
        <v>-0.64</v>
      </c>
      <c r="BR58" s="26">
        <f t="shared" ref="BR58:DJ58" si="371">ROUNDDOWN(-BR10*$DP$51,2)</f>
        <v>0</v>
      </c>
      <c r="BS58" s="26">
        <f t="shared" si="371"/>
        <v>0</v>
      </c>
      <c r="BT58" s="26">
        <f t="shared" si="371"/>
        <v>0</v>
      </c>
      <c r="BU58" s="26">
        <f t="shared" si="371"/>
        <v>-0.65</v>
      </c>
      <c r="BV58" s="26">
        <f t="shared" si="371"/>
        <v>0</v>
      </c>
      <c r="BW58" s="26">
        <f t="shared" si="371"/>
        <v>0</v>
      </c>
      <c r="BX58" s="26">
        <f t="shared" si="371"/>
        <v>-0.2</v>
      </c>
      <c r="BY58" s="26">
        <f t="shared" si="371"/>
        <v>0</v>
      </c>
      <c r="BZ58" s="26">
        <f t="shared" si="371"/>
        <v>-0.38</v>
      </c>
      <c r="CA58" s="26">
        <f t="shared" si="371"/>
        <v>0</v>
      </c>
      <c r="CB58" s="26">
        <f t="shared" si="371"/>
        <v>-0.09</v>
      </c>
      <c r="CC58" s="26">
        <f t="shared" si="371"/>
        <v>-0.26</v>
      </c>
      <c r="CD58" s="26">
        <f t="shared" si="371"/>
        <v>-0.29</v>
      </c>
      <c r="CE58" s="26">
        <f t="shared" si="371"/>
        <v>-0.77</v>
      </c>
      <c r="CF58" s="26">
        <f t="shared" si="371"/>
        <v>-0.36</v>
      </c>
      <c r="CG58" s="26">
        <f t="shared" si="371"/>
        <v>0</v>
      </c>
      <c r="CH58" s="26">
        <f t="shared" si="371"/>
        <v>-0.3</v>
      </c>
      <c r="CI58" s="26">
        <f t="shared" si="371"/>
        <v>0</v>
      </c>
      <c r="CJ58" s="26">
        <f t="shared" si="371"/>
        <v>0</v>
      </c>
      <c r="CK58" s="26">
        <f t="shared" si="371"/>
        <v>0</v>
      </c>
      <c r="CL58" s="26">
        <f t="shared" si="371"/>
        <v>-0.79</v>
      </c>
      <c r="CM58" s="26">
        <f t="shared" si="371"/>
        <v>-0.63</v>
      </c>
      <c r="CN58" s="26">
        <f t="shared" si="371"/>
        <v>-0.79</v>
      </c>
      <c r="CO58" s="26">
        <f t="shared" si="371"/>
        <v>0</v>
      </c>
      <c r="CP58" s="26">
        <f t="shared" si="371"/>
        <v>-0.79</v>
      </c>
      <c r="CQ58" s="26">
        <f t="shared" si="371"/>
        <v>-0.37</v>
      </c>
      <c r="CR58" s="26">
        <f t="shared" si="371"/>
        <v>0</v>
      </c>
      <c r="CS58" s="26">
        <f t="shared" si="371"/>
        <v>-0.32</v>
      </c>
      <c r="CT58" s="26">
        <f t="shared" si="371"/>
        <v>-0.06</v>
      </c>
      <c r="CU58" s="26">
        <f t="shared" si="371"/>
        <v>-0.01</v>
      </c>
      <c r="CV58" s="26">
        <f t="shared" si="371"/>
        <v>0</v>
      </c>
      <c r="CW58" s="26">
        <f t="shared" si="371"/>
        <v>-0.1</v>
      </c>
      <c r="CX58" s="26">
        <f t="shared" si="371"/>
        <v>0</v>
      </c>
      <c r="CY58" s="26">
        <f t="shared" si="371"/>
        <v>0</v>
      </c>
      <c r="CZ58" s="26">
        <f t="shared" si="371"/>
        <v>-0.55</v>
      </c>
      <c r="DA58" s="26">
        <f t="shared" si="371"/>
        <v>0</v>
      </c>
      <c r="DB58" s="26">
        <f t="shared" si="371"/>
        <v>0</v>
      </c>
      <c r="DC58" s="26">
        <f t="shared" si="371"/>
        <v>-0.45</v>
      </c>
      <c r="DD58" s="26">
        <f t="shared" si="371"/>
        <v>0</v>
      </c>
      <c r="DE58" s="26">
        <f t="shared" si="371"/>
        <v>-0.58</v>
      </c>
      <c r="DF58" s="26">
        <f t="shared" si="371"/>
        <v>0</v>
      </c>
      <c r="DG58" s="26">
        <f t="shared" si="371"/>
        <v>0</v>
      </c>
      <c r="DH58" s="26">
        <f t="shared" si="371"/>
        <v>-0.01</v>
      </c>
      <c r="DI58" s="26">
        <f t="shared" si="371"/>
        <v>0</v>
      </c>
      <c r="DJ58" s="26">
        <f t="shared" si="371"/>
        <v>0</v>
      </c>
      <c r="DK58" s="8">
        <f t="shared" si="358"/>
        <v>0.0317097919837646</v>
      </c>
      <c r="DL58">
        <v>0</v>
      </c>
      <c r="DM58">
        <v>5</v>
      </c>
      <c r="DS58" s="26">
        <f t="shared" si="346"/>
        <v>0</v>
      </c>
      <c r="DT58" s="26">
        <f t="shared" si="346"/>
        <v>0</v>
      </c>
      <c r="DU58" s="26">
        <f t="shared" si="346"/>
        <v>0</v>
      </c>
      <c r="DV58" s="26">
        <f t="shared" si="346"/>
        <v>0</v>
      </c>
      <c r="DW58" s="26">
        <f t="shared" si="346"/>
        <v>0</v>
      </c>
      <c r="DX58" s="26">
        <f t="shared" si="346"/>
        <v>0.0933843204600822</v>
      </c>
      <c r="DY58" s="26">
        <f t="shared" si="346"/>
        <v>0.298193913282181</v>
      </c>
      <c r="DZ58" s="26">
        <f t="shared" si="346"/>
        <v>0</v>
      </c>
      <c r="EA58" s="26">
        <f t="shared" si="346"/>
        <v>0</v>
      </c>
      <c r="EB58" s="26">
        <f t="shared" si="346"/>
        <v>0.389878234398782</v>
      </c>
      <c r="EC58" s="26">
        <f t="shared" si="347"/>
        <v>0.283119402284279</v>
      </c>
      <c r="ED58" s="26">
        <f t="shared" si="347"/>
        <v>0.0536529680365297</v>
      </c>
      <c r="EE58" s="26">
        <f t="shared" si="347"/>
        <v>0.0121565153137325</v>
      </c>
      <c r="EF58" s="26">
        <f t="shared" si="347"/>
        <v>0.3995</v>
      </c>
      <c r="EG58" s="26">
        <f t="shared" si="347"/>
        <v>0</v>
      </c>
      <c r="EH58" s="26">
        <f t="shared" si="347"/>
        <v>0.134718960018076</v>
      </c>
      <c r="EI58" s="26">
        <f t="shared" si="347"/>
        <v>0.040712932728045</v>
      </c>
      <c r="EJ58" s="26">
        <f t="shared" si="347"/>
        <v>0</v>
      </c>
      <c r="EK58" s="26">
        <f t="shared" si="347"/>
        <v>0</v>
      </c>
      <c r="EL58" s="26">
        <f t="shared" si="347"/>
        <v>0.3995</v>
      </c>
      <c r="EM58" s="26">
        <f t="shared" si="348"/>
        <v>0</v>
      </c>
      <c r="EN58" s="26">
        <f t="shared" si="348"/>
        <v>0.3995</v>
      </c>
      <c r="EO58" s="26">
        <f t="shared" si="348"/>
        <v>0.121768088252718</v>
      </c>
      <c r="EP58" s="26">
        <f t="shared" si="348"/>
        <v>0</v>
      </c>
      <c r="EQ58" s="26">
        <f t="shared" si="348"/>
        <v>0</v>
      </c>
      <c r="ER58" s="26">
        <f t="shared" si="348"/>
        <v>0.3995</v>
      </c>
      <c r="ES58" s="26">
        <f t="shared" si="348"/>
        <v>0</v>
      </c>
      <c r="ET58" s="26">
        <f t="shared" si="348"/>
        <v>0.159657175472929</v>
      </c>
      <c r="EU58" s="26">
        <f t="shared" si="348"/>
        <v>0.153919781029473</v>
      </c>
      <c r="EV58" s="26">
        <f t="shared" si="348"/>
        <v>0</v>
      </c>
      <c r="EW58" s="26">
        <f t="shared" si="349"/>
        <v>0.352805444402255</v>
      </c>
      <c r="EX58" s="26">
        <f t="shared" si="349"/>
        <v>0</v>
      </c>
      <c r="EY58" s="26">
        <f t="shared" si="349"/>
        <v>0.0149557648401826</v>
      </c>
      <c r="EZ58" s="26">
        <f t="shared" si="349"/>
        <v>0.3995</v>
      </c>
      <c r="FA58" s="26">
        <f t="shared" si="349"/>
        <v>0</v>
      </c>
      <c r="FB58" s="26">
        <f t="shared" si="349"/>
        <v>0</v>
      </c>
      <c r="FC58" s="26">
        <f t="shared" si="349"/>
        <v>0</v>
      </c>
      <c r="FD58" s="26">
        <f t="shared" si="349"/>
        <v>0</v>
      </c>
      <c r="FE58" s="26">
        <f t="shared" si="349"/>
        <v>0</v>
      </c>
      <c r="FF58" s="26">
        <f t="shared" si="349"/>
        <v>0.3995</v>
      </c>
      <c r="FG58" s="26">
        <f t="shared" si="350"/>
        <v>0</v>
      </c>
      <c r="FH58" s="26">
        <f t="shared" si="350"/>
        <v>0.263422517362573</v>
      </c>
      <c r="FI58" s="26">
        <f t="shared" si="350"/>
        <v>0</v>
      </c>
      <c r="FJ58" s="26">
        <f t="shared" si="350"/>
        <v>0.3995</v>
      </c>
      <c r="FK58" s="26">
        <f t="shared" si="350"/>
        <v>0</v>
      </c>
      <c r="FL58" s="26">
        <f t="shared" si="350"/>
        <v>0</v>
      </c>
      <c r="FM58" s="26">
        <f t="shared" si="350"/>
        <v>0</v>
      </c>
      <c r="FN58" s="26">
        <f t="shared" si="350"/>
        <v>0</v>
      </c>
      <c r="FO58" s="26">
        <f t="shared" si="350"/>
        <v>0</v>
      </c>
      <c r="FP58" s="26">
        <f t="shared" si="350"/>
        <v>0.3995</v>
      </c>
      <c r="FQ58" s="26">
        <f t="shared" si="351"/>
        <v>0</v>
      </c>
      <c r="FR58" s="26">
        <f t="shared" si="351"/>
        <v>0.3995</v>
      </c>
      <c r="FS58" s="26">
        <f t="shared" si="351"/>
        <v>0.3995</v>
      </c>
      <c r="FT58" s="26">
        <f t="shared" si="351"/>
        <v>0</v>
      </c>
      <c r="FU58" s="26">
        <f t="shared" si="351"/>
        <v>0.0501953862683113</v>
      </c>
      <c r="FV58" s="26">
        <f t="shared" si="351"/>
        <v>0</v>
      </c>
      <c r="FW58" s="26">
        <f t="shared" si="351"/>
        <v>0</v>
      </c>
      <c r="FX58" s="26">
        <f t="shared" si="351"/>
        <v>0</v>
      </c>
      <c r="FY58" s="26">
        <f t="shared" si="351"/>
        <v>0</v>
      </c>
      <c r="FZ58" s="26">
        <f t="shared" si="351"/>
        <v>0</v>
      </c>
      <c r="GA58" s="26">
        <f t="shared" si="352"/>
        <v>0</v>
      </c>
      <c r="GB58" s="26">
        <f t="shared" si="352"/>
        <v>0.0357328767123288</v>
      </c>
      <c r="GC58" s="26">
        <f t="shared" si="352"/>
        <v>0</v>
      </c>
      <c r="GD58" s="26">
        <f t="shared" si="352"/>
        <v>0.323785750837888</v>
      </c>
      <c r="GE58" s="26">
        <f t="shared" si="352"/>
        <v>0</v>
      </c>
      <c r="GF58" s="26">
        <f t="shared" si="352"/>
        <v>0</v>
      </c>
      <c r="GG58" s="26">
        <f t="shared" si="352"/>
        <v>0</v>
      </c>
      <c r="GH58" s="26">
        <f t="shared" si="352"/>
        <v>0.329420911312625</v>
      </c>
      <c r="GI58" s="26">
        <f t="shared" si="352"/>
        <v>0</v>
      </c>
      <c r="GJ58" s="26">
        <f t="shared" si="352"/>
        <v>0</v>
      </c>
      <c r="GK58" s="26">
        <f t="shared" si="353"/>
        <v>0.103143615459883</v>
      </c>
      <c r="GL58" s="26">
        <f t="shared" si="353"/>
        <v>0</v>
      </c>
      <c r="GM58" s="26">
        <f t="shared" si="353"/>
        <v>0.190783146408421</v>
      </c>
      <c r="GN58" s="26">
        <f t="shared" si="353"/>
        <v>0</v>
      </c>
      <c r="GO58" s="26">
        <f t="shared" si="353"/>
        <v>0.045244667075581</v>
      </c>
      <c r="GP58" s="26">
        <f t="shared" si="353"/>
        <v>0.131794215552999</v>
      </c>
      <c r="GQ58" s="26">
        <f t="shared" si="353"/>
        <v>0.148450770547945</v>
      </c>
      <c r="GR58" s="26">
        <f t="shared" si="353"/>
        <v>0.387770160509202</v>
      </c>
      <c r="GS58" s="26">
        <f t="shared" si="353"/>
        <v>0.181829528158295</v>
      </c>
      <c r="GT58" s="26">
        <f t="shared" si="353"/>
        <v>0</v>
      </c>
      <c r="GU58" s="26">
        <f t="shared" si="354"/>
        <v>0.152303322880563</v>
      </c>
      <c r="GV58" s="26">
        <f t="shared" si="359"/>
        <v>0</v>
      </c>
      <c r="GW58" s="26">
        <f t="shared" si="359"/>
        <v>0</v>
      </c>
      <c r="GX58" s="26">
        <f t="shared" si="359"/>
        <v>5.36529680365297e-5</v>
      </c>
      <c r="GY58" s="26">
        <f t="shared" si="359"/>
        <v>0.3995</v>
      </c>
      <c r="GZ58" s="26">
        <f t="shared" si="359"/>
        <v>0.316484596266112</v>
      </c>
      <c r="HA58" s="26">
        <f t="shared" si="359"/>
        <v>0.399383751902588</v>
      </c>
      <c r="HB58" s="26">
        <f t="shared" si="359"/>
        <v>0</v>
      </c>
      <c r="HC58" s="26">
        <f t="shared" si="359"/>
        <v>0.3995</v>
      </c>
      <c r="HD58" s="26">
        <f t="shared" si="359"/>
        <v>0.18589915097032</v>
      </c>
      <c r="HE58" s="26">
        <f t="shared" si="359"/>
        <v>0</v>
      </c>
      <c r="HF58" s="26">
        <f t="shared" si="360"/>
        <v>0.163153620114005</v>
      </c>
      <c r="HG58" s="26">
        <f t="shared" si="360"/>
        <v>0.0320194828884809</v>
      </c>
      <c r="HH58" s="26">
        <f t="shared" si="360"/>
        <v>0.00831906294790761</v>
      </c>
      <c r="HI58" s="26">
        <f t="shared" si="360"/>
        <v>0</v>
      </c>
      <c r="HJ58" s="26">
        <f t="shared" si="360"/>
        <v>0.0548878246289954</v>
      </c>
      <c r="HK58" s="26">
        <f t="shared" si="360"/>
        <v>0</v>
      </c>
      <c r="HL58" s="26">
        <f t="shared" si="360"/>
        <v>0</v>
      </c>
      <c r="HM58" s="26">
        <f t="shared" si="360"/>
        <v>0.278419670376712</v>
      </c>
      <c r="HN58" s="26">
        <f t="shared" si="360"/>
        <v>0</v>
      </c>
      <c r="HO58" s="26">
        <f t="shared" si="360"/>
        <v>0</v>
      </c>
      <c r="HP58" s="26">
        <f t="shared" si="361"/>
        <v>0.227845649225473</v>
      </c>
      <c r="HQ58" s="26">
        <f t="shared" si="361"/>
        <v>0</v>
      </c>
      <c r="HR58" s="26">
        <f t="shared" si="361"/>
        <v>0.294624784724527</v>
      </c>
      <c r="HS58" s="26">
        <f t="shared" si="361"/>
        <v>0</v>
      </c>
      <c r="HT58" s="26">
        <f t="shared" si="361"/>
        <v>0</v>
      </c>
      <c r="HU58" s="26">
        <f t="shared" si="361"/>
        <v>0.00784923050904786</v>
      </c>
      <c r="HV58" s="26">
        <f t="shared" si="361"/>
        <v>0</v>
      </c>
      <c r="HW58" s="26">
        <f t="shared" si="361"/>
        <v>0</v>
      </c>
      <c r="HX58" s="26" t="str">
        <f t="shared" si="340"/>
        <v>ELE,CHP</v>
      </c>
      <c r="HY58" s="26" t="str">
        <f t="shared" si="340"/>
        <v>???BSL</v>
      </c>
      <c r="HZ58" t="s">
        <v>247</v>
      </c>
      <c r="IA58">
        <f t="shared" si="341"/>
        <v>2019</v>
      </c>
    </row>
    <row r="61" spans="1:235">
      <c r="B61" s="22" t="s">
        <v>482</v>
      </c>
      <c r="E61" s="22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R61" s="26"/>
      <c r="CS61" s="26"/>
      <c r="CT61" s="26"/>
      <c r="CU61" s="26"/>
      <c r="CV61" s="26"/>
      <c r="CW61" s="26"/>
      <c r="CX61" s="26"/>
      <c r="CY61" s="26"/>
      <c r="CZ61" s="26"/>
      <c r="DA61" s="26"/>
      <c r="DB61" s="26"/>
      <c r="DC61" s="26"/>
      <c r="DD61" s="26"/>
      <c r="DE61" s="26"/>
      <c r="DF61" s="26"/>
      <c r="DG61" s="26"/>
      <c r="DH61" s="26"/>
      <c r="DI61" s="26"/>
      <c r="DJ61" s="26"/>
      <c r="DK61" s="26"/>
      <c r="DS61" t="s">
        <v>483</v>
      </c>
    </row>
    <row r="62" spans="1:235">
      <c r="A62" s="26" t="s">
        <v>57</v>
      </c>
      <c r="B62" t="s">
        <v>4</v>
      </c>
      <c r="C62" t="s">
        <v>92</v>
      </c>
      <c r="D62" t="s">
        <v>265</v>
      </c>
      <c r="E62" t="s">
        <v>277</v>
      </c>
      <c r="F62" s="26" t="str">
        <f>F51</f>
        <v>Albania</v>
      </c>
      <c r="G62" s="26" t="str">
        <f t="shared" ref="G62:BR62" si="372">G51</f>
        <v>Algeria</v>
      </c>
      <c r="H62" s="26" t="str">
        <f t="shared" si="372"/>
        <v>Angola</v>
      </c>
      <c r="I62" s="26" t="str">
        <f t="shared" si="372"/>
        <v>Argentina</v>
      </c>
      <c r="J62" s="26" t="str">
        <f t="shared" si="372"/>
        <v>Armenia</v>
      </c>
      <c r="K62" s="26" t="str">
        <f t="shared" si="372"/>
        <v>Australia</v>
      </c>
      <c r="L62" s="26" t="str">
        <f t="shared" si="372"/>
        <v>Austria</v>
      </c>
      <c r="M62" s="26" t="str">
        <f t="shared" si="372"/>
        <v>Azerbaijan</v>
      </c>
      <c r="N62" s="26" t="str">
        <f t="shared" si="372"/>
        <v>Bangladesh</v>
      </c>
      <c r="O62" s="26" t="str">
        <f t="shared" si="372"/>
        <v>Belarus</v>
      </c>
      <c r="P62" s="26" t="str">
        <f t="shared" si="372"/>
        <v>Belgium</v>
      </c>
      <c r="Q62" s="26" t="str">
        <f t="shared" si="372"/>
        <v>Bosnia_Herz</v>
      </c>
      <c r="R62" s="26" t="str">
        <f t="shared" si="372"/>
        <v>Brazil</v>
      </c>
      <c r="S62" s="26" t="str">
        <f t="shared" si="372"/>
        <v>Bulgaria</v>
      </c>
      <c r="T62" s="26" t="str">
        <f t="shared" si="372"/>
        <v>Cameroon</v>
      </c>
      <c r="U62" s="26" t="str">
        <f t="shared" si="372"/>
        <v>Canada</v>
      </c>
      <c r="V62" s="26" t="str">
        <f t="shared" si="372"/>
        <v>Chile</v>
      </c>
      <c r="W62" s="26" t="str">
        <f t="shared" si="372"/>
        <v>China</v>
      </c>
      <c r="X62" s="26" t="str">
        <f t="shared" si="372"/>
        <v>Colombia</v>
      </c>
      <c r="Y62" s="26" t="str">
        <f t="shared" si="372"/>
        <v>Croatia</v>
      </c>
      <c r="Z62" s="26" t="str">
        <f t="shared" si="372"/>
        <v>Cyprus</v>
      </c>
      <c r="AA62" s="26" t="str">
        <f t="shared" si="372"/>
        <v>Czech</v>
      </c>
      <c r="AB62" s="26" t="str">
        <f t="shared" si="372"/>
        <v>Denmark</v>
      </c>
      <c r="AC62" s="26" t="str">
        <f t="shared" si="372"/>
        <v>DR_Congo</v>
      </c>
      <c r="AD62" s="26" t="str">
        <f t="shared" si="372"/>
        <v>Egypt</v>
      </c>
      <c r="AE62" s="26" t="str">
        <f t="shared" si="372"/>
        <v>Estonia</v>
      </c>
      <c r="AF62" s="26" t="str">
        <f t="shared" si="372"/>
        <v>Ethiopia</v>
      </c>
      <c r="AG62" s="26" t="str">
        <f t="shared" si="372"/>
        <v>Finland</v>
      </c>
      <c r="AH62" s="26" t="str">
        <f t="shared" si="372"/>
        <v>France</v>
      </c>
      <c r="AI62" s="26" t="str">
        <f t="shared" si="372"/>
        <v>Georgia</v>
      </c>
      <c r="AJ62" s="26" t="str">
        <f t="shared" si="372"/>
        <v>Germany</v>
      </c>
      <c r="AK62" s="26" t="str">
        <f t="shared" si="372"/>
        <v>Ghana</v>
      </c>
      <c r="AL62" s="26" t="str">
        <f t="shared" si="372"/>
        <v>Greece</v>
      </c>
      <c r="AM62" s="26" t="str">
        <f t="shared" si="372"/>
        <v>Hungary</v>
      </c>
      <c r="AN62" s="26" t="str">
        <f t="shared" si="372"/>
        <v>Iceland</v>
      </c>
      <c r="AO62" s="26" t="str">
        <f t="shared" si="372"/>
        <v>India</v>
      </c>
      <c r="AP62" s="26" t="str">
        <f t="shared" si="372"/>
        <v>Indonesia</v>
      </c>
      <c r="AQ62" s="26" t="str">
        <f t="shared" si="372"/>
        <v>Iran</v>
      </c>
      <c r="AR62" s="26" t="str">
        <f t="shared" si="372"/>
        <v>Iraq</v>
      </c>
      <c r="AS62" s="26" t="str">
        <f t="shared" si="372"/>
        <v>Ireland</v>
      </c>
      <c r="AT62" s="26" t="str">
        <f t="shared" si="372"/>
        <v>Israel</v>
      </c>
      <c r="AU62" s="26" t="str">
        <f t="shared" si="372"/>
        <v>Italy</v>
      </c>
      <c r="AV62" s="26" t="str">
        <f t="shared" si="372"/>
        <v>IvoryCoast</v>
      </c>
      <c r="AW62" s="26" t="str">
        <f t="shared" si="372"/>
        <v>Japan</v>
      </c>
      <c r="AX62" s="26" t="str">
        <f t="shared" si="372"/>
        <v>Kazakhstan</v>
      </c>
      <c r="AY62" s="26" t="str">
        <f t="shared" si="372"/>
        <v>Kenya</v>
      </c>
      <c r="AZ62" s="26" t="str">
        <f t="shared" si="372"/>
        <v>Kosovo</v>
      </c>
      <c r="BA62" s="26" t="str">
        <f t="shared" si="372"/>
        <v>Kuwait</v>
      </c>
      <c r="BB62" s="26" t="str">
        <f t="shared" si="372"/>
        <v>Kyrgyzstan</v>
      </c>
      <c r="BC62" s="26" t="str">
        <f t="shared" si="372"/>
        <v>Latvia</v>
      </c>
      <c r="BD62" s="26" t="str">
        <f t="shared" si="372"/>
        <v>Libya</v>
      </c>
      <c r="BE62" s="26" t="str">
        <f t="shared" si="372"/>
        <v>Lithuania</v>
      </c>
      <c r="BF62" s="26" t="str">
        <f t="shared" si="372"/>
        <v>Luxembourg</v>
      </c>
      <c r="BG62" s="26" t="str">
        <f t="shared" si="372"/>
        <v>Macedonia</v>
      </c>
      <c r="BH62" s="26" t="str">
        <f t="shared" si="372"/>
        <v>Malaysia</v>
      </c>
      <c r="BI62" s="26" t="str">
        <f t="shared" si="372"/>
        <v>Malta</v>
      </c>
      <c r="BJ62" s="26" t="str">
        <f t="shared" si="372"/>
        <v>Mexico</v>
      </c>
      <c r="BK62" s="26" t="str">
        <f t="shared" si="372"/>
        <v>Moldova</v>
      </c>
      <c r="BL62" s="26" t="str">
        <f t="shared" si="372"/>
        <v>Montenegro</v>
      </c>
      <c r="BM62" s="26" t="str">
        <f t="shared" si="372"/>
        <v>Morocco</v>
      </c>
      <c r="BN62" s="26" t="str">
        <f t="shared" si="372"/>
        <v>Mozambique</v>
      </c>
      <c r="BO62" s="26" t="str">
        <f t="shared" si="372"/>
        <v>Myanmar</v>
      </c>
      <c r="BP62" s="26" t="str">
        <f t="shared" si="372"/>
        <v>Nepal</v>
      </c>
      <c r="BQ62" s="26" t="str">
        <f t="shared" si="372"/>
        <v>Netherlands</v>
      </c>
      <c r="BR62" s="26" t="str">
        <f t="shared" si="372"/>
        <v>NewZealand</v>
      </c>
      <c r="BS62" s="26" t="str">
        <f t="shared" ref="BS62:DJ62" si="373">BS51</f>
        <v>Niger</v>
      </c>
      <c r="BT62" s="26" t="str">
        <f t="shared" si="373"/>
        <v>Nigeria</v>
      </c>
      <c r="BU62" s="26" t="str">
        <f t="shared" si="373"/>
        <v>Norway</v>
      </c>
      <c r="BV62" s="26" t="str">
        <f t="shared" si="373"/>
        <v>Oman</v>
      </c>
      <c r="BW62" s="26" t="str">
        <f t="shared" si="373"/>
        <v>Other_Africa</v>
      </c>
      <c r="BX62" s="26" t="str">
        <f t="shared" si="373"/>
        <v>Other_AsiaEm</v>
      </c>
      <c r="BY62" s="26" t="str">
        <f t="shared" si="373"/>
        <v>Other_EurDev</v>
      </c>
      <c r="BZ62" s="26" t="str">
        <f t="shared" si="373"/>
        <v>Other_LatAm</v>
      </c>
      <c r="CA62" s="26" t="str">
        <f t="shared" si="373"/>
        <v>Other_MidEast</v>
      </c>
      <c r="CB62" s="26" t="str">
        <f t="shared" si="373"/>
        <v>Pakistan</v>
      </c>
      <c r="CC62" s="26" t="str">
        <f t="shared" si="373"/>
        <v>Peru</v>
      </c>
      <c r="CD62" s="26" t="str">
        <f t="shared" si="373"/>
        <v>Philippines</v>
      </c>
      <c r="CE62" s="26" t="str">
        <f t="shared" si="373"/>
        <v>Poland</v>
      </c>
      <c r="CF62" s="26" t="str">
        <f t="shared" si="373"/>
        <v>Portugal</v>
      </c>
      <c r="CG62" s="26" t="str">
        <f t="shared" si="373"/>
        <v>Qatar</v>
      </c>
      <c r="CH62" s="26" t="str">
        <f t="shared" si="373"/>
        <v>Romania</v>
      </c>
      <c r="CI62" s="26" t="str">
        <f t="shared" si="373"/>
        <v>Russia</v>
      </c>
      <c r="CJ62" s="26" t="str">
        <f t="shared" si="373"/>
        <v>SaudiArabia</v>
      </c>
      <c r="CK62" s="26" t="str">
        <f t="shared" si="373"/>
        <v>Serbia</v>
      </c>
      <c r="CL62" s="26" t="str">
        <f t="shared" si="373"/>
        <v>Singapore</v>
      </c>
      <c r="CM62" s="26" t="str">
        <f t="shared" si="373"/>
        <v>Slovak</v>
      </c>
      <c r="CN62" s="26" t="str">
        <f t="shared" si="373"/>
        <v>Slovenia</v>
      </c>
      <c r="CO62" s="26" t="str">
        <f t="shared" si="373"/>
        <v>SouthAfrica</v>
      </c>
      <c r="CP62" s="26" t="str">
        <f t="shared" si="373"/>
        <v>SouthKorea</v>
      </c>
      <c r="CQ62" s="26" t="str">
        <f t="shared" si="373"/>
        <v>Spain</v>
      </c>
      <c r="CR62" s="26" t="str">
        <f t="shared" si="373"/>
        <v>Sudan</v>
      </c>
      <c r="CS62" s="26" t="str">
        <f t="shared" si="373"/>
        <v>Sweden</v>
      </c>
      <c r="CT62" s="26" t="str">
        <f t="shared" si="373"/>
        <v>Switzerland</v>
      </c>
      <c r="CU62" s="26" t="str">
        <f t="shared" si="373"/>
        <v>Taiwan</v>
      </c>
      <c r="CV62" s="26" t="str">
        <f t="shared" si="373"/>
        <v>Tajikistan</v>
      </c>
      <c r="CW62" s="26" t="str">
        <f t="shared" si="373"/>
        <v>Tanzania</v>
      </c>
      <c r="CX62" s="26" t="str">
        <f t="shared" si="373"/>
        <v>Thailand</v>
      </c>
      <c r="CY62" s="26" t="str">
        <f t="shared" si="373"/>
        <v>Tunisia</v>
      </c>
      <c r="CZ62" s="26" t="str">
        <f t="shared" si="373"/>
        <v>Turkey</v>
      </c>
      <c r="DA62" s="26" t="str">
        <f t="shared" si="373"/>
        <v>Turkmenistan</v>
      </c>
      <c r="DB62" s="26" t="str">
        <f t="shared" si="373"/>
        <v>UAE</v>
      </c>
      <c r="DC62" s="26" t="str">
        <f t="shared" si="373"/>
        <v>UK</v>
      </c>
      <c r="DD62" s="26" t="str">
        <f t="shared" si="373"/>
        <v>Ukraine</v>
      </c>
      <c r="DE62" s="26" t="str">
        <f t="shared" si="373"/>
        <v>USA</v>
      </c>
      <c r="DF62" s="26" t="str">
        <f t="shared" si="373"/>
        <v>Uzbekistan</v>
      </c>
      <c r="DG62" s="26" t="str">
        <f t="shared" si="373"/>
        <v>Venezuela</v>
      </c>
      <c r="DH62" s="26" t="str">
        <f t="shared" si="373"/>
        <v>Vietnam</v>
      </c>
      <c r="DI62" s="26" t="str">
        <f t="shared" si="373"/>
        <v>Yemen</v>
      </c>
      <c r="DJ62" s="26" t="str">
        <f t="shared" si="373"/>
        <v>Zambia</v>
      </c>
      <c r="DK62" s="26" t="s">
        <v>467</v>
      </c>
      <c r="DL62" s="26" t="s">
        <v>402</v>
      </c>
      <c r="DM62" s="26" t="s">
        <v>42</v>
      </c>
      <c r="DP62" s="17">
        <v>0.25</v>
      </c>
      <c r="DQ62" s="17"/>
      <c r="DS62" s="26" t="str">
        <f>F62</f>
        <v>Albania</v>
      </c>
      <c r="DT62" s="26" t="str">
        <f t="shared" ref="DT62" si="374">G62</f>
        <v>Algeria</v>
      </c>
      <c r="DU62" s="26" t="str">
        <f t="shared" ref="DU62" si="375">H62</f>
        <v>Angola</v>
      </c>
      <c r="DV62" s="26" t="str">
        <f t="shared" ref="DV62" si="376">I62</f>
        <v>Argentina</v>
      </c>
      <c r="DW62" s="26" t="str">
        <f t="shared" ref="DW62" si="377">J62</f>
        <v>Armenia</v>
      </c>
      <c r="DX62" s="26" t="str">
        <f t="shared" ref="DX62" si="378">K62</f>
        <v>Australia</v>
      </c>
      <c r="DY62" s="26" t="str">
        <f t="shared" ref="DY62" si="379">L62</f>
        <v>Austria</v>
      </c>
      <c r="DZ62" s="26" t="str">
        <f t="shared" ref="DZ62" si="380">M62</f>
        <v>Azerbaijan</v>
      </c>
      <c r="EA62" s="26" t="str">
        <f t="shared" ref="EA62" si="381">N62</f>
        <v>Bangladesh</v>
      </c>
      <c r="EB62" s="26" t="str">
        <f t="shared" ref="EB62" si="382">O62</f>
        <v>Belarus</v>
      </c>
      <c r="EC62" s="26" t="str">
        <f t="shared" ref="EC62" si="383">P62</f>
        <v>Belgium</v>
      </c>
      <c r="ED62" s="26" t="str">
        <f t="shared" ref="ED62" si="384">Q62</f>
        <v>Bosnia_Herz</v>
      </c>
      <c r="EE62" s="26" t="str">
        <f t="shared" ref="EE62" si="385">R62</f>
        <v>Brazil</v>
      </c>
      <c r="EF62" s="26" t="str">
        <f t="shared" ref="EF62" si="386">S62</f>
        <v>Bulgaria</v>
      </c>
      <c r="EG62" s="26" t="str">
        <f t="shared" ref="EG62" si="387">T62</f>
        <v>Cameroon</v>
      </c>
      <c r="EH62" s="26" t="str">
        <f t="shared" ref="EH62" si="388">U62</f>
        <v>Canada</v>
      </c>
      <c r="EI62" s="26" t="str">
        <f t="shared" ref="EI62" si="389">V62</f>
        <v>Chile</v>
      </c>
      <c r="EJ62" s="26" t="str">
        <f t="shared" ref="EJ62" si="390">W62</f>
        <v>China</v>
      </c>
      <c r="EK62" s="26" t="str">
        <f t="shared" ref="EK62" si="391">X62</f>
        <v>Colombia</v>
      </c>
      <c r="EL62" s="26" t="str">
        <f t="shared" ref="EL62" si="392">Y62</f>
        <v>Croatia</v>
      </c>
      <c r="EM62" s="26" t="str">
        <f t="shared" ref="EM62" si="393">Z62</f>
        <v>Cyprus</v>
      </c>
      <c r="EN62" s="26" t="str">
        <f t="shared" ref="EN62" si="394">AA62</f>
        <v>Czech</v>
      </c>
      <c r="EO62" s="26" t="str">
        <f t="shared" ref="EO62" si="395">AB62</f>
        <v>Denmark</v>
      </c>
      <c r="EP62" s="26" t="str">
        <f t="shared" ref="EP62" si="396">AC62</f>
        <v>DR_Congo</v>
      </c>
      <c r="EQ62" s="26" t="str">
        <f t="shared" ref="EQ62" si="397">AD62</f>
        <v>Egypt</v>
      </c>
      <c r="ER62" s="26" t="str">
        <f t="shared" ref="ER62" si="398">AE62</f>
        <v>Estonia</v>
      </c>
      <c r="ES62" s="26" t="str">
        <f t="shared" ref="ES62" si="399">AF62</f>
        <v>Ethiopia</v>
      </c>
      <c r="ET62" s="26" t="str">
        <f t="shared" ref="ET62" si="400">AG62</f>
        <v>Finland</v>
      </c>
      <c r="EU62" s="26" t="str">
        <f t="shared" ref="EU62" si="401">AH62</f>
        <v>France</v>
      </c>
      <c r="EV62" s="26" t="str">
        <f t="shared" ref="EV62" si="402">AI62</f>
        <v>Georgia</v>
      </c>
      <c r="EW62" s="26" t="str">
        <f t="shared" ref="EW62" si="403">AJ62</f>
        <v>Germany</v>
      </c>
      <c r="EX62" s="26" t="str">
        <f t="shared" ref="EX62" si="404">AK62</f>
        <v>Ghana</v>
      </c>
      <c r="EY62" s="26" t="str">
        <f t="shared" ref="EY62" si="405">AL62</f>
        <v>Greece</v>
      </c>
      <c r="EZ62" s="26" t="str">
        <f t="shared" ref="EZ62" si="406">AM62</f>
        <v>Hungary</v>
      </c>
      <c r="FA62" s="26" t="str">
        <f t="shared" ref="FA62" si="407">AN62</f>
        <v>Iceland</v>
      </c>
      <c r="FB62" s="26" t="str">
        <f t="shared" ref="FB62" si="408">AO62</f>
        <v>India</v>
      </c>
      <c r="FC62" s="26" t="str">
        <f t="shared" ref="FC62" si="409">AP62</f>
        <v>Indonesia</v>
      </c>
      <c r="FD62" s="26" t="str">
        <f t="shared" ref="FD62" si="410">AQ62</f>
        <v>Iran</v>
      </c>
      <c r="FE62" s="26" t="str">
        <f t="shared" ref="FE62" si="411">AR62</f>
        <v>Iraq</v>
      </c>
      <c r="FF62" s="26" t="str">
        <f t="shared" ref="FF62" si="412">AS62</f>
        <v>Ireland</v>
      </c>
      <c r="FG62" s="26" t="str">
        <f t="shared" ref="FG62" si="413">AT62</f>
        <v>Israel</v>
      </c>
      <c r="FH62" s="26" t="str">
        <f t="shared" ref="FH62" si="414">AU62</f>
        <v>Italy</v>
      </c>
      <c r="FI62" s="26" t="str">
        <f t="shared" ref="FI62" si="415">AV62</f>
        <v>IvoryCoast</v>
      </c>
      <c r="FJ62" s="26" t="str">
        <f t="shared" ref="FJ62" si="416">AW62</f>
        <v>Japan</v>
      </c>
      <c r="FK62" s="26" t="str">
        <f t="shared" ref="FK62" si="417">AX62</f>
        <v>Kazakhstan</v>
      </c>
      <c r="FL62" s="26" t="str">
        <f t="shared" ref="FL62" si="418">AY62</f>
        <v>Kenya</v>
      </c>
      <c r="FM62" s="26" t="str">
        <f t="shared" ref="FM62" si="419">AZ62</f>
        <v>Kosovo</v>
      </c>
      <c r="FN62" s="26" t="str">
        <f t="shared" ref="FN62" si="420">BA62</f>
        <v>Kuwait</v>
      </c>
      <c r="FO62" s="26" t="str">
        <f t="shared" ref="FO62" si="421">BB62</f>
        <v>Kyrgyzstan</v>
      </c>
      <c r="FP62" s="26" t="str">
        <f t="shared" ref="FP62" si="422">BC62</f>
        <v>Latvia</v>
      </c>
      <c r="FQ62" s="26" t="str">
        <f t="shared" ref="FQ62" si="423">BD62</f>
        <v>Libya</v>
      </c>
      <c r="FR62" s="26" t="str">
        <f t="shared" ref="FR62" si="424">BE62</f>
        <v>Lithuania</v>
      </c>
      <c r="FS62" s="26" t="str">
        <f t="shared" ref="FS62" si="425">BF62</f>
        <v>Luxembourg</v>
      </c>
      <c r="FT62" s="26" t="str">
        <f t="shared" ref="FT62" si="426">BG62</f>
        <v>Macedonia</v>
      </c>
      <c r="FU62" s="26" t="str">
        <f t="shared" ref="FU62" si="427">BH62</f>
        <v>Malaysia</v>
      </c>
      <c r="FV62" s="26" t="str">
        <f t="shared" ref="FV62" si="428">BI62</f>
        <v>Malta</v>
      </c>
      <c r="FW62" s="26" t="str">
        <f t="shared" ref="FW62" si="429">BJ62</f>
        <v>Mexico</v>
      </c>
      <c r="FX62" s="26" t="str">
        <f t="shared" ref="FX62" si="430">BK62</f>
        <v>Moldova</v>
      </c>
      <c r="FY62" s="26" t="str">
        <f t="shared" ref="FY62" si="431">BL62</f>
        <v>Montenegro</v>
      </c>
      <c r="FZ62" s="26" t="str">
        <f t="shared" ref="FZ62" si="432">BM62</f>
        <v>Morocco</v>
      </c>
      <c r="GA62" s="26" t="str">
        <f t="shared" ref="GA62" si="433">BN62</f>
        <v>Mozambique</v>
      </c>
      <c r="GB62" s="26" t="str">
        <f t="shared" ref="GB62" si="434">BO62</f>
        <v>Myanmar</v>
      </c>
      <c r="GC62" s="26" t="str">
        <f t="shared" ref="GC62" si="435">BP62</f>
        <v>Nepal</v>
      </c>
      <c r="GD62" s="26" t="str">
        <f t="shared" ref="GD62" si="436">BQ62</f>
        <v>Netherlands</v>
      </c>
      <c r="GE62" s="26" t="str">
        <f t="shared" ref="GE62:GU62" si="437">BR62</f>
        <v>NewZealand</v>
      </c>
      <c r="GF62" s="26" t="str">
        <f t="shared" si="437"/>
        <v>Niger</v>
      </c>
      <c r="GG62" s="26" t="str">
        <f t="shared" si="437"/>
        <v>Nigeria</v>
      </c>
      <c r="GH62" s="26" t="str">
        <f t="shared" si="437"/>
        <v>Norway</v>
      </c>
      <c r="GI62" s="26" t="str">
        <f t="shared" si="437"/>
        <v>Oman</v>
      </c>
      <c r="GJ62" s="26" t="str">
        <f t="shared" si="437"/>
        <v>Other_Africa</v>
      </c>
      <c r="GK62" s="26" t="str">
        <f t="shared" si="437"/>
        <v>Other_AsiaEm</v>
      </c>
      <c r="GL62" s="26" t="str">
        <f t="shared" si="437"/>
        <v>Other_EurDev</v>
      </c>
      <c r="GM62" s="26" t="str">
        <f t="shared" si="437"/>
        <v>Other_LatAm</v>
      </c>
      <c r="GN62" s="26" t="str">
        <f t="shared" si="437"/>
        <v>Other_MidEast</v>
      </c>
      <c r="GO62" s="26" t="str">
        <f t="shared" si="437"/>
        <v>Pakistan</v>
      </c>
      <c r="GP62" s="26" t="str">
        <f t="shared" si="437"/>
        <v>Peru</v>
      </c>
      <c r="GQ62" s="26" t="str">
        <f t="shared" si="437"/>
        <v>Philippines</v>
      </c>
      <c r="GR62" s="26" t="str">
        <f t="shared" si="437"/>
        <v>Poland</v>
      </c>
      <c r="GS62" s="26" t="str">
        <f t="shared" si="437"/>
        <v>Portugal</v>
      </c>
      <c r="GT62" s="26" t="str">
        <f t="shared" si="437"/>
        <v>Qatar</v>
      </c>
      <c r="GU62" s="26" t="str">
        <f t="shared" si="437"/>
        <v>Romania</v>
      </c>
      <c r="GV62" s="26" t="str">
        <f t="shared" ref="GV62" si="438">CI62</f>
        <v>Russia</v>
      </c>
      <c r="GW62" s="26" t="str">
        <f t="shared" ref="GW62" si="439">CJ62</f>
        <v>SaudiArabia</v>
      </c>
      <c r="GX62" s="26" t="str">
        <f t="shared" ref="GX62" si="440">CK62</f>
        <v>Serbia</v>
      </c>
      <c r="GY62" s="26" t="str">
        <f t="shared" ref="GY62" si="441">CL62</f>
        <v>Singapore</v>
      </c>
      <c r="GZ62" s="26" t="str">
        <f t="shared" ref="GZ62" si="442">CM62</f>
        <v>Slovak</v>
      </c>
      <c r="HA62" s="26" t="str">
        <f t="shared" ref="HA62" si="443">CN62</f>
        <v>Slovenia</v>
      </c>
      <c r="HB62" s="26" t="str">
        <f t="shared" ref="HB62" si="444">CO62</f>
        <v>SouthAfrica</v>
      </c>
      <c r="HC62" s="26" t="str">
        <f t="shared" ref="HC62" si="445">CP62</f>
        <v>SouthKorea</v>
      </c>
      <c r="HD62" s="26" t="str">
        <f t="shared" ref="HD62" si="446">CQ62</f>
        <v>Spain</v>
      </c>
      <c r="HE62" s="26" t="str">
        <f t="shared" ref="HE62" si="447">CR62</f>
        <v>Sudan</v>
      </c>
      <c r="HF62" s="26" t="str">
        <f t="shared" ref="HF62" si="448">CS62</f>
        <v>Sweden</v>
      </c>
      <c r="HG62" s="26" t="str">
        <f t="shared" ref="HG62" si="449">CT62</f>
        <v>Switzerland</v>
      </c>
      <c r="HH62" s="26" t="str">
        <f t="shared" ref="HH62" si="450">CU62</f>
        <v>Taiwan</v>
      </c>
      <c r="HI62" s="26" t="str">
        <f t="shared" ref="HI62" si="451">CV62</f>
        <v>Tajikistan</v>
      </c>
      <c r="HJ62" s="26" t="str">
        <f t="shared" ref="HJ62" si="452">CW62</f>
        <v>Tanzania</v>
      </c>
      <c r="HK62" s="26" t="str">
        <f t="shared" ref="HK62" si="453">CX62</f>
        <v>Thailand</v>
      </c>
      <c r="HL62" s="26" t="str">
        <f t="shared" ref="HL62" si="454">CY62</f>
        <v>Tunisia</v>
      </c>
      <c r="HM62" s="26" t="str">
        <f t="shared" ref="HM62" si="455">CZ62</f>
        <v>Turkey</v>
      </c>
      <c r="HN62" s="26" t="str">
        <f t="shared" ref="HN62" si="456">DA62</f>
        <v>Turkmenistan</v>
      </c>
      <c r="HO62" s="26" t="str">
        <f t="shared" ref="HO62" si="457">DB62</f>
        <v>UAE</v>
      </c>
      <c r="HP62" s="26" t="str">
        <f t="shared" ref="HP62" si="458">DC62</f>
        <v>UK</v>
      </c>
      <c r="HQ62" s="26" t="str">
        <f t="shared" ref="HQ62" si="459">DD62</f>
        <v>Ukraine</v>
      </c>
      <c r="HR62" s="26" t="str">
        <f t="shared" ref="HR62" si="460">DE62</f>
        <v>USA</v>
      </c>
      <c r="HS62" s="26" t="str">
        <f t="shared" ref="HS62" si="461">DF62</f>
        <v>Uzbekistan</v>
      </c>
      <c r="HT62" s="26" t="str">
        <f t="shared" ref="HT62" si="462">DG62</f>
        <v>Venezuela</v>
      </c>
      <c r="HU62" s="26" t="str">
        <f t="shared" ref="HU62" si="463">DH62</f>
        <v>Vietnam</v>
      </c>
      <c r="HV62" s="26" t="str">
        <f t="shared" ref="HV62" si="464">DI62</f>
        <v>Yemen</v>
      </c>
      <c r="HW62" s="26" t="str">
        <f t="shared" ref="HW62" si="465">DJ62</f>
        <v>Zambia</v>
      </c>
      <c r="HX62" s="26" t="str">
        <f t="shared" ref="HX62:HY69" si="466">C62</f>
        <v>PSET_SET</v>
      </c>
      <c r="HY62" s="26" t="str">
        <f t="shared" si="466"/>
        <v>PSET_CI</v>
      </c>
      <c r="HZ62" s="26" t="s">
        <v>484</v>
      </c>
      <c r="IA62" s="26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404</v>
      </c>
      <c r="D63" t="str">
        <f>D52</f>
        <v>???COB</v>
      </c>
      <c r="F63" s="26">
        <f>ROUND(-F4*$DP$62,2)</f>
        <v>0</v>
      </c>
      <c r="G63" s="26">
        <f t="shared" ref="G63:BR63" si="468">ROUND(-G4*$DP$62,2)</f>
        <v>0</v>
      </c>
      <c r="H63" s="26">
        <f t="shared" si="468"/>
        <v>0</v>
      </c>
      <c r="I63" s="26">
        <f t="shared" si="468"/>
        <v>0</v>
      </c>
      <c r="J63" s="26">
        <f t="shared" si="468"/>
        <v>0</v>
      </c>
      <c r="K63" s="26">
        <f t="shared" si="468"/>
        <v>-0.21</v>
      </c>
      <c r="L63" s="26">
        <f t="shared" si="468"/>
        <v>0</v>
      </c>
      <c r="M63" s="26">
        <f t="shared" si="468"/>
        <v>0</v>
      </c>
      <c r="N63" s="26">
        <f t="shared" si="468"/>
        <v>0</v>
      </c>
      <c r="O63" s="26">
        <f t="shared" si="468"/>
        <v>0</v>
      </c>
      <c r="P63" s="26">
        <f t="shared" si="468"/>
        <v>0</v>
      </c>
      <c r="Q63" s="26">
        <f t="shared" si="468"/>
        <v>-0.16</v>
      </c>
      <c r="R63" s="26">
        <f t="shared" si="468"/>
        <v>0</v>
      </c>
      <c r="S63" s="26">
        <f t="shared" si="468"/>
        <v>-0.12</v>
      </c>
      <c r="T63" s="26">
        <f t="shared" si="468"/>
        <v>0</v>
      </c>
      <c r="U63" s="26">
        <f t="shared" si="468"/>
        <v>-0.21</v>
      </c>
      <c r="V63" s="26">
        <f t="shared" si="468"/>
        <v>0</v>
      </c>
      <c r="W63" s="26">
        <f t="shared" si="468"/>
        <v>0</v>
      </c>
      <c r="X63" s="26">
        <f t="shared" si="468"/>
        <v>0</v>
      </c>
      <c r="Y63" s="26">
        <f t="shared" si="468"/>
        <v>0</v>
      </c>
      <c r="Z63" s="26">
        <f t="shared" si="468"/>
        <v>0</v>
      </c>
      <c r="AA63" s="26">
        <f t="shared" si="468"/>
        <v>-0.14</v>
      </c>
      <c r="AB63" s="26">
        <f t="shared" si="468"/>
        <v>0</v>
      </c>
      <c r="AC63" s="26">
        <f t="shared" si="468"/>
        <v>0</v>
      </c>
      <c r="AD63" s="26">
        <f t="shared" si="468"/>
        <v>0</v>
      </c>
      <c r="AE63" s="26">
        <f t="shared" si="468"/>
        <v>0</v>
      </c>
      <c r="AF63" s="26">
        <f t="shared" si="468"/>
        <v>0</v>
      </c>
      <c r="AG63" s="26">
        <f t="shared" si="468"/>
        <v>0</v>
      </c>
      <c r="AH63" s="26">
        <f t="shared" si="468"/>
        <v>0</v>
      </c>
      <c r="AI63" s="26">
        <f t="shared" si="468"/>
        <v>0</v>
      </c>
      <c r="AJ63" s="26">
        <f t="shared" si="468"/>
        <v>-0.16</v>
      </c>
      <c r="AK63" s="26">
        <f t="shared" si="468"/>
        <v>0</v>
      </c>
      <c r="AL63" s="26">
        <f t="shared" si="468"/>
        <v>-0.12</v>
      </c>
      <c r="AM63" s="26">
        <f t="shared" si="468"/>
        <v>-0.1</v>
      </c>
      <c r="AN63" s="26">
        <f t="shared" si="468"/>
        <v>0</v>
      </c>
      <c r="AO63" s="26">
        <f t="shared" si="468"/>
        <v>-0.12</v>
      </c>
      <c r="AP63" s="26">
        <f t="shared" si="468"/>
        <v>-0.17</v>
      </c>
      <c r="AQ63" s="26">
        <f t="shared" si="468"/>
        <v>0</v>
      </c>
      <c r="AR63" s="26">
        <f t="shared" si="468"/>
        <v>0</v>
      </c>
      <c r="AS63" s="26">
        <f t="shared" si="468"/>
        <v>0</v>
      </c>
      <c r="AT63" s="26">
        <f t="shared" si="468"/>
        <v>0</v>
      </c>
      <c r="AU63" s="26">
        <f t="shared" si="468"/>
        <v>0</v>
      </c>
      <c r="AV63" s="26">
        <f t="shared" si="468"/>
        <v>0</v>
      </c>
      <c r="AW63" s="26">
        <f t="shared" si="468"/>
        <v>0</v>
      </c>
      <c r="AX63" s="26">
        <f t="shared" si="468"/>
        <v>0</v>
      </c>
      <c r="AY63" s="26">
        <f t="shared" si="468"/>
        <v>0</v>
      </c>
      <c r="AZ63" s="26">
        <f t="shared" si="468"/>
        <v>-0.13</v>
      </c>
      <c r="BA63" s="26">
        <f t="shared" si="468"/>
        <v>0</v>
      </c>
      <c r="BB63" s="26">
        <f t="shared" si="468"/>
        <v>0</v>
      </c>
      <c r="BC63" s="26">
        <f t="shared" si="468"/>
        <v>0</v>
      </c>
      <c r="BD63" s="26">
        <f t="shared" si="468"/>
        <v>0</v>
      </c>
      <c r="BE63" s="26">
        <f t="shared" si="468"/>
        <v>0</v>
      </c>
      <c r="BF63" s="26">
        <f t="shared" si="468"/>
        <v>0</v>
      </c>
      <c r="BG63" s="26">
        <f t="shared" si="468"/>
        <v>-0.14</v>
      </c>
      <c r="BH63" s="26">
        <f t="shared" si="468"/>
        <v>0</v>
      </c>
      <c r="BI63" s="26">
        <f t="shared" si="468"/>
        <v>0</v>
      </c>
      <c r="BJ63" s="26">
        <f t="shared" si="468"/>
        <v>0</v>
      </c>
      <c r="BK63" s="26">
        <f t="shared" si="468"/>
        <v>0</v>
      </c>
      <c r="BL63" s="26">
        <f t="shared" si="468"/>
        <v>-0.19</v>
      </c>
      <c r="BM63" s="26">
        <f t="shared" si="468"/>
        <v>0</v>
      </c>
      <c r="BN63" s="26">
        <f t="shared" si="468"/>
        <v>0</v>
      </c>
      <c r="BO63" s="26">
        <f t="shared" si="468"/>
        <v>0</v>
      </c>
      <c r="BP63" s="26">
        <f t="shared" si="468"/>
        <v>0</v>
      </c>
      <c r="BQ63" s="26">
        <f t="shared" si="468"/>
        <v>0</v>
      </c>
      <c r="BR63" s="26">
        <f t="shared" si="468"/>
        <v>-0.09</v>
      </c>
      <c r="BS63" s="26">
        <f t="shared" ref="BS63:DJ63" si="469">ROUND(-BS4*$DP$62,2)</f>
        <v>0</v>
      </c>
      <c r="BT63" s="26">
        <f t="shared" si="469"/>
        <v>0</v>
      </c>
      <c r="BU63" s="26">
        <f t="shared" si="469"/>
        <v>0</v>
      </c>
      <c r="BV63" s="26">
        <f t="shared" si="469"/>
        <v>0</v>
      </c>
      <c r="BW63" s="26">
        <f t="shared" si="469"/>
        <v>0</v>
      </c>
      <c r="BX63" s="26">
        <f t="shared" si="469"/>
        <v>-0.11</v>
      </c>
      <c r="BY63" s="26">
        <f t="shared" si="469"/>
        <v>0</v>
      </c>
      <c r="BZ63" s="26">
        <f t="shared" si="469"/>
        <v>0</v>
      </c>
      <c r="CA63" s="26">
        <f t="shared" si="469"/>
        <v>0</v>
      </c>
      <c r="CB63" s="26">
        <f t="shared" si="469"/>
        <v>0</v>
      </c>
      <c r="CC63" s="26">
        <f t="shared" si="469"/>
        <v>0</v>
      </c>
      <c r="CD63" s="26">
        <f t="shared" si="469"/>
        <v>-0.21</v>
      </c>
      <c r="CE63" s="26">
        <f t="shared" si="469"/>
        <v>-0.16</v>
      </c>
      <c r="CF63" s="26">
        <f t="shared" si="469"/>
        <v>0</v>
      </c>
      <c r="CG63" s="26">
        <f t="shared" si="469"/>
        <v>0</v>
      </c>
      <c r="CH63" s="26">
        <f t="shared" si="469"/>
        <v>-0.1</v>
      </c>
      <c r="CI63" s="26">
        <f t="shared" si="469"/>
        <v>-0.09</v>
      </c>
      <c r="CJ63" s="26">
        <f t="shared" si="469"/>
        <v>0</v>
      </c>
      <c r="CK63" s="26">
        <f t="shared" si="469"/>
        <v>-0.17</v>
      </c>
      <c r="CL63" s="26">
        <f t="shared" si="469"/>
        <v>0</v>
      </c>
      <c r="CM63" s="26">
        <f t="shared" si="469"/>
        <v>-0.08</v>
      </c>
      <c r="CN63" s="26">
        <f t="shared" si="469"/>
        <v>-0.21</v>
      </c>
      <c r="CO63" s="26">
        <f t="shared" si="469"/>
        <v>0</v>
      </c>
      <c r="CP63" s="26">
        <f t="shared" si="469"/>
        <v>-0.1</v>
      </c>
      <c r="CQ63" s="26">
        <f t="shared" si="469"/>
        <v>0</v>
      </c>
      <c r="CR63" s="26">
        <f t="shared" si="469"/>
        <v>0</v>
      </c>
      <c r="CS63" s="26">
        <f t="shared" si="469"/>
        <v>0</v>
      </c>
      <c r="CT63" s="26">
        <f t="shared" si="469"/>
        <v>0</v>
      </c>
      <c r="CU63" s="26">
        <f t="shared" si="469"/>
        <v>-0.08</v>
      </c>
      <c r="CV63" s="26">
        <f t="shared" si="469"/>
        <v>0</v>
      </c>
      <c r="CW63" s="26">
        <f t="shared" si="469"/>
        <v>0</v>
      </c>
      <c r="CX63" s="26">
        <f t="shared" si="469"/>
        <v>-0.18</v>
      </c>
      <c r="CY63" s="26">
        <f t="shared" si="469"/>
        <v>0</v>
      </c>
      <c r="CZ63" s="26">
        <f t="shared" si="469"/>
        <v>-0.15</v>
      </c>
      <c r="DA63" s="26">
        <f t="shared" si="469"/>
        <v>0</v>
      </c>
      <c r="DB63" s="26">
        <f t="shared" si="469"/>
        <v>0</v>
      </c>
      <c r="DC63" s="26">
        <f t="shared" si="469"/>
        <v>0</v>
      </c>
      <c r="DD63" s="26">
        <f t="shared" si="469"/>
        <v>0</v>
      </c>
      <c r="DE63" s="26">
        <f t="shared" si="469"/>
        <v>-0.16</v>
      </c>
      <c r="DF63" s="26">
        <f t="shared" si="469"/>
        <v>-0.03</v>
      </c>
      <c r="DG63" s="26">
        <f t="shared" si="469"/>
        <v>0</v>
      </c>
      <c r="DH63" s="26">
        <f t="shared" si="469"/>
        <v>0</v>
      </c>
      <c r="DI63" s="26">
        <f t="shared" si="469"/>
        <v>0</v>
      </c>
      <c r="DJ63" s="26">
        <f t="shared" si="469"/>
        <v>0</v>
      </c>
      <c r="DK63" s="8">
        <f>1/31.536</f>
        <v>0.0317097919837646</v>
      </c>
      <c r="DL63">
        <v>0</v>
      </c>
      <c r="DM63">
        <v>5</v>
      </c>
      <c r="DS63" s="26">
        <f>-F63</f>
        <v>0</v>
      </c>
      <c r="DT63" s="26">
        <f t="shared" ref="DT63:DT69" si="470">-G63</f>
        <v>0</v>
      </c>
      <c r="DU63" s="26">
        <f t="shared" ref="DU63:DU69" si="471">-H63</f>
        <v>0</v>
      </c>
      <c r="DV63" s="26">
        <f t="shared" ref="DV63:DV69" si="472">-I63</f>
        <v>0</v>
      </c>
      <c r="DW63" s="26">
        <f t="shared" ref="DW63:DW69" si="473">-J63</f>
        <v>0</v>
      </c>
      <c r="DX63" s="26">
        <f t="shared" ref="DX63:DX69" si="474">-K63</f>
        <v>0.21</v>
      </c>
      <c r="DY63" s="26">
        <f t="shared" ref="DY63:DY69" si="475">-L63</f>
        <v>0</v>
      </c>
      <c r="DZ63" s="26">
        <f t="shared" ref="DZ63:DZ69" si="476">-M63</f>
        <v>0</v>
      </c>
      <c r="EA63" s="26">
        <f t="shared" ref="EA63:EA69" si="477">-N63</f>
        <v>0</v>
      </c>
      <c r="EB63" s="26">
        <f t="shared" ref="EB63:EB69" si="478">-O63</f>
        <v>0</v>
      </c>
      <c r="EC63" s="26">
        <f t="shared" ref="EC63:EC69" si="479">-P63</f>
        <v>0</v>
      </c>
      <c r="ED63" s="26">
        <f t="shared" ref="ED63:ED69" si="480">-Q63</f>
        <v>0.16</v>
      </c>
      <c r="EE63" s="26">
        <f t="shared" ref="EE63:EE69" si="481">-R63</f>
        <v>0</v>
      </c>
      <c r="EF63" s="26">
        <f t="shared" ref="EF63:EF69" si="482">-S63</f>
        <v>0.12</v>
      </c>
      <c r="EG63" s="26">
        <f t="shared" ref="EG63:EG69" si="483">-T63</f>
        <v>0</v>
      </c>
      <c r="EH63" s="26">
        <f t="shared" ref="EH63:EH69" si="484">-U63</f>
        <v>0.21</v>
      </c>
      <c r="EI63" s="26">
        <f t="shared" ref="EI63:EI69" si="485">-V63</f>
        <v>0</v>
      </c>
      <c r="EJ63" s="26">
        <f t="shared" ref="EJ63:EJ69" si="486">-W63</f>
        <v>0</v>
      </c>
      <c r="EK63" s="26">
        <f t="shared" ref="EK63:EK69" si="487">-X63</f>
        <v>0</v>
      </c>
      <c r="EL63" s="26">
        <f t="shared" ref="EL63:EL69" si="488">-Y63</f>
        <v>0</v>
      </c>
      <c r="EM63" s="26">
        <f t="shared" ref="EM63:EM69" si="489">-Z63</f>
        <v>0</v>
      </c>
      <c r="EN63" s="26">
        <f t="shared" ref="EN63:EN69" si="490">-AA63</f>
        <v>0.14</v>
      </c>
      <c r="EO63" s="26">
        <f t="shared" ref="EO63:EO69" si="491">-AB63</f>
        <v>0</v>
      </c>
      <c r="EP63" s="26">
        <f t="shared" ref="EP63:EP69" si="492">-AC63</f>
        <v>0</v>
      </c>
      <c r="EQ63" s="26">
        <f t="shared" ref="EQ63:EQ69" si="493">-AD63</f>
        <v>0</v>
      </c>
      <c r="ER63" s="26">
        <f t="shared" ref="ER63:ER69" si="494">-AE63</f>
        <v>0</v>
      </c>
      <c r="ES63" s="26">
        <f t="shared" ref="ES63:ES69" si="495">-AF63</f>
        <v>0</v>
      </c>
      <c r="ET63" s="26">
        <f t="shared" ref="ET63:ET69" si="496">-AG63</f>
        <v>0</v>
      </c>
      <c r="EU63" s="26">
        <f t="shared" ref="EU63:EU69" si="497">-AH63</f>
        <v>0</v>
      </c>
      <c r="EV63" s="26">
        <f t="shared" ref="EV63:EV69" si="498">-AI63</f>
        <v>0</v>
      </c>
      <c r="EW63" s="26">
        <f t="shared" ref="EW63:EW69" si="499">-AJ63</f>
        <v>0.16</v>
      </c>
      <c r="EX63" s="26">
        <f t="shared" ref="EX63:EX69" si="500">-AK63</f>
        <v>0</v>
      </c>
      <c r="EY63" s="26">
        <f t="shared" ref="EY63:EY69" si="501">-AL63</f>
        <v>0.12</v>
      </c>
      <c r="EZ63" s="26">
        <f t="shared" ref="EZ63:EZ69" si="502">-AM63</f>
        <v>0.1</v>
      </c>
      <c r="FA63" s="26">
        <f t="shared" ref="FA63:FA69" si="503">-AN63</f>
        <v>0</v>
      </c>
      <c r="FB63" s="26">
        <f t="shared" ref="FB63:FB69" si="504">-AO63</f>
        <v>0.12</v>
      </c>
      <c r="FC63" s="26">
        <f t="shared" ref="FC63:FC69" si="505">-AP63</f>
        <v>0.17</v>
      </c>
      <c r="FD63" s="26">
        <f t="shared" ref="FD63:FD69" si="506">-AQ63</f>
        <v>0</v>
      </c>
      <c r="FE63" s="26">
        <f t="shared" ref="FE63:FE69" si="507">-AR63</f>
        <v>0</v>
      </c>
      <c r="FF63" s="26">
        <f t="shared" ref="FF63:FF69" si="508">-AS63</f>
        <v>0</v>
      </c>
      <c r="FG63" s="26">
        <f t="shared" ref="FG63:FG69" si="509">-AT63</f>
        <v>0</v>
      </c>
      <c r="FH63" s="26">
        <f t="shared" ref="FH63:FH69" si="510">-AU63</f>
        <v>0</v>
      </c>
      <c r="FI63" s="26">
        <f t="shared" ref="FI63:FI69" si="511">-AV63</f>
        <v>0</v>
      </c>
      <c r="FJ63" s="26">
        <f t="shared" ref="FJ63:FJ69" si="512">-AW63</f>
        <v>0</v>
      </c>
      <c r="FK63" s="26">
        <f t="shared" ref="FK63:FK69" si="513">-AX63</f>
        <v>0</v>
      </c>
      <c r="FL63" s="26">
        <f t="shared" ref="FL63:FL69" si="514">-AY63</f>
        <v>0</v>
      </c>
      <c r="FM63" s="26">
        <f t="shared" ref="FM63:FM69" si="515">-AZ63</f>
        <v>0.13</v>
      </c>
      <c r="FN63" s="26">
        <f t="shared" ref="FN63:FN69" si="516">-BA63</f>
        <v>0</v>
      </c>
      <c r="FO63" s="26">
        <f t="shared" ref="FO63:FO69" si="517">-BB63</f>
        <v>0</v>
      </c>
      <c r="FP63" s="26">
        <f t="shared" ref="FP63:FP69" si="518">-BC63</f>
        <v>0</v>
      </c>
      <c r="FQ63" s="26">
        <f t="shared" ref="FQ63:FQ69" si="519">-BD63</f>
        <v>0</v>
      </c>
      <c r="FR63" s="26">
        <f t="shared" ref="FR63:FR69" si="520">-BE63</f>
        <v>0</v>
      </c>
      <c r="FS63" s="26">
        <f t="shared" ref="FS63:FS69" si="521">-BF63</f>
        <v>0</v>
      </c>
      <c r="FT63" s="26">
        <f t="shared" ref="FT63:FT69" si="522">-BG63</f>
        <v>0.14</v>
      </c>
      <c r="FU63" s="26">
        <f t="shared" ref="FU63:FU69" si="523">-BH63</f>
        <v>0</v>
      </c>
      <c r="FV63" s="26">
        <f t="shared" ref="FV63:FV69" si="524">-BI63</f>
        <v>0</v>
      </c>
      <c r="FW63" s="26">
        <f t="shared" ref="FW63:FW69" si="525">-BJ63</f>
        <v>0</v>
      </c>
      <c r="FX63" s="26">
        <f t="shared" ref="FX63:FX69" si="526">-BK63</f>
        <v>0</v>
      </c>
      <c r="FY63" s="26">
        <f t="shared" ref="FY63:FY69" si="527">-BL63</f>
        <v>0.19</v>
      </c>
      <c r="FZ63" s="26">
        <f t="shared" ref="FZ63:FZ69" si="528">-BM63</f>
        <v>0</v>
      </c>
      <c r="GA63" s="26">
        <f t="shared" ref="GA63:GA69" si="529">-BN63</f>
        <v>0</v>
      </c>
      <c r="GB63" s="26">
        <f t="shared" ref="GB63:GB69" si="530">-BO63</f>
        <v>0</v>
      </c>
      <c r="GC63" s="26">
        <f t="shared" ref="GC63:GC69" si="531">-BP63</f>
        <v>0</v>
      </c>
      <c r="GD63" s="26">
        <f t="shared" ref="GD63:GD69" si="532">-BQ63</f>
        <v>0</v>
      </c>
      <c r="GE63" s="26">
        <f t="shared" ref="GE63:GU69" si="533">-BR63</f>
        <v>0.09</v>
      </c>
      <c r="GF63" s="26">
        <f t="shared" si="533"/>
        <v>0</v>
      </c>
      <c r="GG63" s="26">
        <f t="shared" si="533"/>
        <v>0</v>
      </c>
      <c r="GH63" s="26">
        <f t="shared" si="533"/>
        <v>0</v>
      </c>
      <c r="GI63" s="26">
        <f t="shared" si="533"/>
        <v>0</v>
      </c>
      <c r="GJ63" s="26">
        <f t="shared" si="533"/>
        <v>0</v>
      </c>
      <c r="GK63" s="26">
        <f t="shared" si="533"/>
        <v>0.11</v>
      </c>
      <c r="GL63" s="26">
        <f t="shared" si="533"/>
        <v>0</v>
      </c>
      <c r="GM63" s="26">
        <f t="shared" si="533"/>
        <v>0</v>
      </c>
      <c r="GN63" s="26">
        <f t="shared" si="533"/>
        <v>0</v>
      </c>
      <c r="GO63" s="26">
        <f t="shared" si="533"/>
        <v>0</v>
      </c>
      <c r="GP63" s="26">
        <f t="shared" si="533"/>
        <v>0</v>
      </c>
      <c r="GQ63" s="26">
        <f t="shared" si="533"/>
        <v>0.21</v>
      </c>
      <c r="GR63" s="26">
        <f t="shared" si="533"/>
        <v>0.16</v>
      </c>
      <c r="GS63" s="26">
        <f t="shared" si="533"/>
        <v>0</v>
      </c>
      <c r="GT63" s="26">
        <f t="shared" si="533"/>
        <v>0</v>
      </c>
      <c r="GU63" s="26">
        <f t="shared" si="533"/>
        <v>0.1</v>
      </c>
      <c r="GV63" s="26">
        <f t="shared" ref="GV63:GV67" si="534">-CI63</f>
        <v>0.09</v>
      </c>
      <c r="GW63" s="26">
        <f t="shared" ref="GW63:GW67" si="535">-CJ63</f>
        <v>0</v>
      </c>
      <c r="GX63" s="26">
        <f t="shared" ref="GX63:GX67" si="536">-CK63</f>
        <v>0.17</v>
      </c>
      <c r="GY63" s="26">
        <f t="shared" ref="GY63:GY67" si="537">-CL63</f>
        <v>0</v>
      </c>
      <c r="GZ63" s="26">
        <f t="shared" ref="GZ63:GZ67" si="538">-CM63</f>
        <v>0.08</v>
      </c>
      <c r="HA63" s="26">
        <f t="shared" ref="HA63:HA67" si="539">-CN63</f>
        <v>0.21</v>
      </c>
      <c r="HB63" s="26">
        <f t="shared" ref="HB63:HB67" si="540">-CO63</f>
        <v>0</v>
      </c>
      <c r="HC63" s="26">
        <f t="shared" ref="HC63:HC67" si="541">-CP63</f>
        <v>0.1</v>
      </c>
      <c r="HD63" s="26">
        <f t="shared" ref="HD63:HD67" si="542">-CQ63</f>
        <v>0</v>
      </c>
      <c r="HE63" s="26">
        <f t="shared" ref="HE63:HE67" si="543">-CR63</f>
        <v>0</v>
      </c>
      <c r="HF63" s="26">
        <f t="shared" ref="HF63:HF67" si="544">-CS63</f>
        <v>0</v>
      </c>
      <c r="HG63" s="26">
        <f t="shared" ref="HG63:HG67" si="545">-CT63</f>
        <v>0</v>
      </c>
      <c r="HH63" s="26">
        <f t="shared" ref="HH63:HH67" si="546">-CU63</f>
        <v>0.08</v>
      </c>
      <c r="HI63" s="26">
        <f t="shared" ref="HI63:HI67" si="547">-CV63</f>
        <v>0</v>
      </c>
      <c r="HJ63" s="26">
        <f t="shared" ref="HJ63:HJ67" si="548">-CW63</f>
        <v>0</v>
      </c>
      <c r="HK63" s="26">
        <f t="shared" ref="HK63:HK67" si="549">-CX63</f>
        <v>0.18</v>
      </c>
      <c r="HL63" s="26">
        <f t="shared" ref="HL63:HL67" si="550">-CY63</f>
        <v>0</v>
      </c>
      <c r="HM63" s="26">
        <f t="shared" ref="HM63:HM67" si="551">-CZ63</f>
        <v>0.15</v>
      </c>
      <c r="HN63" s="26">
        <f t="shared" ref="HN63:HN67" si="552">-DA63</f>
        <v>0</v>
      </c>
      <c r="HO63" s="26">
        <f t="shared" ref="HO63:HO67" si="553">-DB63</f>
        <v>0</v>
      </c>
      <c r="HP63" s="26">
        <f t="shared" ref="HP63:HP67" si="554">-DC63</f>
        <v>0</v>
      </c>
      <c r="HQ63" s="26">
        <f t="shared" ref="HQ63:HQ67" si="555">-DD63</f>
        <v>0</v>
      </c>
      <c r="HR63" s="26">
        <f t="shared" ref="HR63:HR67" si="556">-DE63</f>
        <v>0.16</v>
      </c>
      <c r="HS63" s="26">
        <f t="shared" ref="HS63:HS67" si="557">-DF63</f>
        <v>0.03</v>
      </c>
      <c r="HT63" s="26">
        <f t="shared" ref="HT63:HT67" si="558">-DG63</f>
        <v>0</v>
      </c>
      <c r="HU63" s="26">
        <f t="shared" ref="HU63:HU67" si="559">-DH63</f>
        <v>0</v>
      </c>
      <c r="HV63" s="26">
        <f t="shared" ref="HV63:HV67" si="560">-DI63</f>
        <v>0</v>
      </c>
      <c r="HW63" s="26">
        <f t="shared" ref="HW63:HW67" si="561">-DJ63</f>
        <v>0</v>
      </c>
      <c r="HX63" s="26" t="str">
        <f t="shared" si="466"/>
        <v>ELE,CHP</v>
      </c>
      <c r="HY63" s="26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404</v>
      </c>
      <c r="D64" t="str">
        <f>D53</f>
        <v>???COA</v>
      </c>
      <c r="F64" s="26">
        <f t="shared" ref="F64:BQ64" si="562">ROUND(-F5*$DP$62,2)</f>
        <v>0</v>
      </c>
      <c r="G64" s="26">
        <f t="shared" si="562"/>
        <v>0</v>
      </c>
      <c r="H64" s="26">
        <f t="shared" si="562"/>
        <v>0</v>
      </c>
      <c r="I64" s="26">
        <f t="shared" si="562"/>
        <v>-0.03</v>
      </c>
      <c r="J64" s="26">
        <f t="shared" si="562"/>
        <v>0</v>
      </c>
      <c r="K64" s="26">
        <f t="shared" si="562"/>
        <v>-0.15</v>
      </c>
      <c r="L64" s="26">
        <f t="shared" si="562"/>
        <v>0</v>
      </c>
      <c r="M64" s="26">
        <f t="shared" si="562"/>
        <v>0</v>
      </c>
      <c r="N64" s="26">
        <f t="shared" si="562"/>
        <v>-0.12</v>
      </c>
      <c r="O64" s="26">
        <f t="shared" si="562"/>
        <v>-0.09</v>
      </c>
      <c r="P64" s="26">
        <f t="shared" si="562"/>
        <v>0</v>
      </c>
      <c r="Q64" s="26">
        <f t="shared" si="562"/>
        <v>0</v>
      </c>
      <c r="R64" s="26">
        <f t="shared" si="562"/>
        <v>-0.07</v>
      </c>
      <c r="S64" s="26">
        <f t="shared" si="562"/>
        <v>-0.03</v>
      </c>
      <c r="T64" s="26">
        <f t="shared" si="562"/>
        <v>0</v>
      </c>
      <c r="U64" s="26">
        <f t="shared" si="562"/>
        <v>-0.09</v>
      </c>
      <c r="V64" s="26">
        <f t="shared" si="562"/>
        <v>-0.21</v>
      </c>
      <c r="W64" s="26">
        <f t="shared" si="562"/>
        <v>-0.16</v>
      </c>
      <c r="X64" s="26">
        <f t="shared" si="562"/>
        <v>-0.16</v>
      </c>
      <c r="Y64" s="26">
        <f t="shared" si="562"/>
        <v>-0.16</v>
      </c>
      <c r="Z64" s="26">
        <f t="shared" si="562"/>
        <v>0</v>
      </c>
      <c r="AA64" s="26">
        <f t="shared" si="562"/>
        <v>-0.05</v>
      </c>
      <c r="AB64" s="26">
        <f t="shared" si="562"/>
        <v>-0.04</v>
      </c>
      <c r="AC64" s="26">
        <f t="shared" si="562"/>
        <v>0</v>
      </c>
      <c r="AD64" s="26">
        <f t="shared" si="562"/>
        <v>0</v>
      </c>
      <c r="AE64" s="26">
        <f t="shared" si="562"/>
        <v>0</v>
      </c>
      <c r="AF64" s="26">
        <f t="shared" si="562"/>
        <v>0</v>
      </c>
      <c r="AG64" s="26">
        <f t="shared" si="562"/>
        <v>-0.04</v>
      </c>
      <c r="AH64" s="26">
        <f t="shared" si="562"/>
        <v>-0.05</v>
      </c>
      <c r="AI64" s="26">
        <f t="shared" si="562"/>
        <v>0</v>
      </c>
      <c r="AJ64" s="26">
        <f t="shared" si="562"/>
        <v>-0.08</v>
      </c>
      <c r="AK64" s="26">
        <f t="shared" si="562"/>
        <v>0</v>
      </c>
      <c r="AL64" s="26">
        <f t="shared" si="562"/>
        <v>0</v>
      </c>
      <c r="AM64" s="26">
        <f t="shared" si="562"/>
        <v>0</v>
      </c>
      <c r="AN64" s="26">
        <f t="shared" si="562"/>
        <v>0</v>
      </c>
      <c r="AO64" s="26">
        <f t="shared" si="562"/>
        <v>-0.15</v>
      </c>
      <c r="AP64" s="26">
        <f t="shared" si="562"/>
        <v>0</v>
      </c>
      <c r="AQ64" s="26">
        <f t="shared" si="562"/>
        <v>0</v>
      </c>
      <c r="AR64" s="26">
        <f t="shared" si="562"/>
        <v>0</v>
      </c>
      <c r="AS64" s="26">
        <f t="shared" si="562"/>
        <v>-0.01</v>
      </c>
      <c r="AT64" s="26">
        <f t="shared" si="562"/>
        <v>-0.13</v>
      </c>
      <c r="AU64" s="26">
        <f t="shared" si="562"/>
        <v>-0.07</v>
      </c>
      <c r="AV64" s="26">
        <f t="shared" si="562"/>
        <v>0</v>
      </c>
      <c r="AW64" s="26">
        <f t="shared" si="562"/>
        <v>-0.18</v>
      </c>
      <c r="AX64" s="26">
        <f t="shared" si="562"/>
        <v>-0.21</v>
      </c>
      <c r="AY64" s="26">
        <f t="shared" si="562"/>
        <v>0</v>
      </c>
      <c r="AZ64" s="26">
        <f t="shared" si="562"/>
        <v>0</v>
      </c>
      <c r="BA64" s="26">
        <f t="shared" si="562"/>
        <v>0</v>
      </c>
      <c r="BB64" s="26">
        <f t="shared" si="562"/>
        <v>0</v>
      </c>
      <c r="BC64" s="26">
        <f t="shared" si="562"/>
        <v>0</v>
      </c>
      <c r="BD64" s="26">
        <f t="shared" si="562"/>
        <v>0</v>
      </c>
      <c r="BE64" s="26">
        <f t="shared" si="562"/>
        <v>0</v>
      </c>
      <c r="BF64" s="26">
        <f t="shared" si="562"/>
        <v>0</v>
      </c>
      <c r="BG64" s="26">
        <f t="shared" si="562"/>
        <v>0</v>
      </c>
      <c r="BH64" s="26">
        <f t="shared" si="562"/>
        <v>-0.21</v>
      </c>
      <c r="BI64" s="26">
        <f t="shared" si="562"/>
        <v>0</v>
      </c>
      <c r="BJ64" s="26">
        <f t="shared" si="562"/>
        <v>-0.08</v>
      </c>
      <c r="BK64" s="26">
        <f t="shared" si="562"/>
        <v>0</v>
      </c>
      <c r="BL64" s="26">
        <f t="shared" si="562"/>
        <v>0</v>
      </c>
      <c r="BM64" s="26">
        <f t="shared" si="562"/>
        <v>-0.18</v>
      </c>
      <c r="BN64" s="26">
        <f t="shared" si="562"/>
        <v>0</v>
      </c>
      <c r="BO64" s="26">
        <f t="shared" si="562"/>
        <v>-0.21</v>
      </c>
      <c r="BP64" s="26">
        <f t="shared" si="562"/>
        <v>0</v>
      </c>
      <c r="BQ64" s="26">
        <f t="shared" si="562"/>
        <v>-0.11</v>
      </c>
      <c r="BR64" s="26">
        <f t="shared" ref="BR64:DJ64" si="563">ROUND(-BR5*$DP$62,2)</f>
        <v>0</v>
      </c>
      <c r="BS64" s="26">
        <f t="shared" si="563"/>
        <v>0</v>
      </c>
      <c r="BT64" s="26">
        <f t="shared" si="563"/>
        <v>0</v>
      </c>
      <c r="BU64" s="26">
        <f t="shared" si="563"/>
        <v>-0.07</v>
      </c>
      <c r="BV64" s="26">
        <f t="shared" si="563"/>
        <v>0</v>
      </c>
      <c r="BW64" s="26">
        <f t="shared" si="563"/>
        <v>-0.1</v>
      </c>
      <c r="BX64" s="26">
        <f t="shared" si="563"/>
        <v>-0.17</v>
      </c>
      <c r="BY64" s="26">
        <f t="shared" si="563"/>
        <v>0</v>
      </c>
      <c r="BZ64" s="26">
        <f t="shared" si="563"/>
        <v>-0.18</v>
      </c>
      <c r="CA64" s="26">
        <f t="shared" si="563"/>
        <v>0</v>
      </c>
      <c r="CB64" s="26">
        <f t="shared" si="563"/>
        <v>-0.21</v>
      </c>
      <c r="CC64" s="26">
        <f t="shared" si="563"/>
        <v>-0.01</v>
      </c>
      <c r="CD64" s="26">
        <f t="shared" si="563"/>
        <v>0</v>
      </c>
      <c r="CE64" s="26">
        <f t="shared" si="563"/>
        <v>-0.1</v>
      </c>
      <c r="CF64" s="26">
        <f t="shared" si="563"/>
        <v>0</v>
      </c>
      <c r="CG64" s="26">
        <f t="shared" si="563"/>
        <v>0</v>
      </c>
      <c r="CH64" s="26">
        <f t="shared" si="563"/>
        <v>0</v>
      </c>
      <c r="CI64" s="26">
        <f t="shared" si="563"/>
        <v>-0.12</v>
      </c>
      <c r="CJ64" s="26">
        <f t="shared" si="563"/>
        <v>0</v>
      </c>
      <c r="CK64" s="26">
        <f t="shared" si="563"/>
        <v>0</v>
      </c>
      <c r="CL64" s="26">
        <f t="shared" si="563"/>
        <v>-0.13</v>
      </c>
      <c r="CM64" s="26">
        <f t="shared" si="563"/>
        <v>-0.14</v>
      </c>
      <c r="CN64" s="26">
        <f t="shared" si="563"/>
        <v>0</v>
      </c>
      <c r="CO64" s="26">
        <f t="shared" si="563"/>
        <v>-0.15</v>
      </c>
      <c r="CP64" s="26">
        <f t="shared" si="563"/>
        <v>-0.2</v>
      </c>
      <c r="CQ64" s="26">
        <f t="shared" si="563"/>
        <v>-0.21</v>
      </c>
      <c r="CR64" s="26">
        <f t="shared" si="563"/>
        <v>0</v>
      </c>
      <c r="CS64" s="26">
        <f t="shared" si="563"/>
        <v>-0.04</v>
      </c>
      <c r="CT64" s="26">
        <f t="shared" si="563"/>
        <v>0</v>
      </c>
      <c r="CU64" s="26">
        <f t="shared" si="563"/>
        <v>-0.21</v>
      </c>
      <c r="CV64" s="26">
        <f t="shared" si="563"/>
        <v>-0.11</v>
      </c>
      <c r="CW64" s="26">
        <f t="shared" si="563"/>
        <v>0</v>
      </c>
      <c r="CX64" s="26">
        <f t="shared" si="563"/>
        <v>-0.14</v>
      </c>
      <c r="CY64" s="26">
        <f t="shared" si="563"/>
        <v>0</v>
      </c>
      <c r="CZ64" s="26">
        <f t="shared" si="563"/>
        <v>-0.21</v>
      </c>
      <c r="DA64" s="26">
        <f t="shared" si="563"/>
        <v>0</v>
      </c>
      <c r="DB64" s="26">
        <f t="shared" si="563"/>
        <v>0</v>
      </c>
      <c r="DC64" s="26">
        <f t="shared" si="563"/>
        <v>-0.04</v>
      </c>
      <c r="DD64" s="26">
        <f t="shared" si="563"/>
        <v>-0.08</v>
      </c>
      <c r="DE64" s="26">
        <f t="shared" si="563"/>
        <v>-0.12</v>
      </c>
      <c r="DF64" s="26">
        <f t="shared" si="563"/>
        <v>0</v>
      </c>
      <c r="DG64" s="26">
        <f t="shared" si="563"/>
        <v>0</v>
      </c>
      <c r="DH64" s="26">
        <f t="shared" si="563"/>
        <v>-0.21</v>
      </c>
      <c r="DI64" s="26">
        <f t="shared" si="563"/>
        <v>0</v>
      </c>
      <c r="DJ64" s="26">
        <f t="shared" si="563"/>
        <v>-0.14</v>
      </c>
      <c r="DK64" s="8">
        <f t="shared" ref="DK64:DK69" si="564">1/31.536</f>
        <v>0.0317097919837646</v>
      </c>
      <c r="DL64">
        <v>0</v>
      </c>
      <c r="DM64">
        <v>5</v>
      </c>
      <c r="DS64" s="26">
        <f t="shared" ref="DS64:DS67" si="565">-F64</f>
        <v>0</v>
      </c>
      <c r="DT64" s="26">
        <f t="shared" si="470"/>
        <v>0</v>
      </c>
      <c r="DU64" s="26">
        <f t="shared" si="471"/>
        <v>0</v>
      </c>
      <c r="DV64" s="26">
        <f t="shared" si="472"/>
        <v>0.03</v>
      </c>
      <c r="DW64" s="26">
        <f t="shared" si="473"/>
        <v>0</v>
      </c>
      <c r="DX64" s="26">
        <f t="shared" si="474"/>
        <v>0.15</v>
      </c>
      <c r="DY64" s="26">
        <f t="shared" si="475"/>
        <v>0</v>
      </c>
      <c r="DZ64" s="26">
        <f t="shared" si="476"/>
        <v>0</v>
      </c>
      <c r="EA64" s="26">
        <f t="shared" si="477"/>
        <v>0.12</v>
      </c>
      <c r="EB64" s="26">
        <f t="shared" si="478"/>
        <v>0.09</v>
      </c>
      <c r="EC64" s="26">
        <f t="shared" si="479"/>
        <v>0</v>
      </c>
      <c r="ED64" s="26">
        <f t="shared" si="480"/>
        <v>0</v>
      </c>
      <c r="EE64" s="26">
        <f t="shared" si="481"/>
        <v>0.07</v>
      </c>
      <c r="EF64" s="26">
        <f t="shared" si="482"/>
        <v>0.03</v>
      </c>
      <c r="EG64" s="26">
        <f t="shared" si="483"/>
        <v>0</v>
      </c>
      <c r="EH64" s="26">
        <f t="shared" si="484"/>
        <v>0.09</v>
      </c>
      <c r="EI64" s="26">
        <f t="shared" si="485"/>
        <v>0.21</v>
      </c>
      <c r="EJ64" s="26">
        <f t="shared" si="486"/>
        <v>0.16</v>
      </c>
      <c r="EK64" s="26">
        <f t="shared" si="487"/>
        <v>0.16</v>
      </c>
      <c r="EL64" s="26">
        <f t="shared" si="488"/>
        <v>0.16</v>
      </c>
      <c r="EM64" s="26">
        <f t="shared" si="489"/>
        <v>0</v>
      </c>
      <c r="EN64" s="26">
        <f t="shared" si="490"/>
        <v>0.05</v>
      </c>
      <c r="EO64" s="26">
        <f t="shared" si="491"/>
        <v>0.04</v>
      </c>
      <c r="EP64" s="26">
        <f t="shared" si="492"/>
        <v>0</v>
      </c>
      <c r="EQ64" s="26">
        <f t="shared" si="493"/>
        <v>0</v>
      </c>
      <c r="ER64" s="26">
        <f t="shared" si="494"/>
        <v>0</v>
      </c>
      <c r="ES64" s="26">
        <f t="shared" si="495"/>
        <v>0</v>
      </c>
      <c r="ET64" s="26">
        <f t="shared" si="496"/>
        <v>0.04</v>
      </c>
      <c r="EU64" s="26">
        <f t="shared" si="497"/>
        <v>0.05</v>
      </c>
      <c r="EV64" s="26">
        <f t="shared" si="498"/>
        <v>0</v>
      </c>
      <c r="EW64" s="26">
        <f t="shared" si="499"/>
        <v>0.08</v>
      </c>
      <c r="EX64" s="26">
        <f t="shared" si="500"/>
        <v>0</v>
      </c>
      <c r="EY64" s="26">
        <f t="shared" si="501"/>
        <v>0</v>
      </c>
      <c r="EZ64" s="26">
        <f t="shared" si="502"/>
        <v>0</v>
      </c>
      <c r="FA64" s="26">
        <f t="shared" si="503"/>
        <v>0</v>
      </c>
      <c r="FB64" s="26">
        <f t="shared" si="504"/>
        <v>0.15</v>
      </c>
      <c r="FC64" s="26">
        <f t="shared" si="505"/>
        <v>0</v>
      </c>
      <c r="FD64" s="26">
        <f t="shared" si="506"/>
        <v>0</v>
      </c>
      <c r="FE64" s="26">
        <f t="shared" si="507"/>
        <v>0</v>
      </c>
      <c r="FF64" s="26">
        <f t="shared" si="508"/>
        <v>0.01</v>
      </c>
      <c r="FG64" s="26">
        <f t="shared" si="509"/>
        <v>0.13</v>
      </c>
      <c r="FH64" s="26">
        <f t="shared" si="510"/>
        <v>0.07</v>
      </c>
      <c r="FI64" s="26">
        <f t="shared" si="511"/>
        <v>0</v>
      </c>
      <c r="FJ64" s="26">
        <f t="shared" si="512"/>
        <v>0.18</v>
      </c>
      <c r="FK64" s="26">
        <f t="shared" si="513"/>
        <v>0.21</v>
      </c>
      <c r="FL64" s="26">
        <f t="shared" si="514"/>
        <v>0</v>
      </c>
      <c r="FM64" s="26">
        <f t="shared" si="515"/>
        <v>0</v>
      </c>
      <c r="FN64" s="26">
        <f t="shared" si="516"/>
        <v>0</v>
      </c>
      <c r="FO64" s="26">
        <f t="shared" si="517"/>
        <v>0</v>
      </c>
      <c r="FP64" s="26">
        <f t="shared" si="518"/>
        <v>0</v>
      </c>
      <c r="FQ64" s="26">
        <f t="shared" si="519"/>
        <v>0</v>
      </c>
      <c r="FR64" s="26">
        <f t="shared" si="520"/>
        <v>0</v>
      </c>
      <c r="FS64" s="26">
        <f t="shared" si="521"/>
        <v>0</v>
      </c>
      <c r="FT64" s="26">
        <f t="shared" si="522"/>
        <v>0</v>
      </c>
      <c r="FU64" s="26">
        <f t="shared" si="523"/>
        <v>0.21</v>
      </c>
      <c r="FV64" s="26">
        <f t="shared" si="524"/>
        <v>0</v>
      </c>
      <c r="FW64" s="26">
        <f t="shared" si="525"/>
        <v>0.08</v>
      </c>
      <c r="FX64" s="26">
        <f t="shared" si="526"/>
        <v>0</v>
      </c>
      <c r="FY64" s="26">
        <f t="shared" si="527"/>
        <v>0</v>
      </c>
      <c r="FZ64" s="26">
        <f t="shared" si="528"/>
        <v>0.18</v>
      </c>
      <c r="GA64" s="26">
        <f t="shared" si="529"/>
        <v>0</v>
      </c>
      <c r="GB64" s="26">
        <f t="shared" si="530"/>
        <v>0.21</v>
      </c>
      <c r="GC64" s="26">
        <f t="shared" si="531"/>
        <v>0</v>
      </c>
      <c r="GD64" s="26">
        <f t="shared" si="532"/>
        <v>0.11</v>
      </c>
      <c r="GE64" s="26">
        <f t="shared" si="533"/>
        <v>0</v>
      </c>
      <c r="GF64" s="26">
        <f t="shared" si="533"/>
        <v>0</v>
      </c>
      <c r="GG64" s="26">
        <f t="shared" si="533"/>
        <v>0</v>
      </c>
      <c r="GH64" s="26">
        <f t="shared" si="533"/>
        <v>0.07</v>
      </c>
      <c r="GI64" s="26">
        <f t="shared" si="533"/>
        <v>0</v>
      </c>
      <c r="GJ64" s="26">
        <f t="shared" si="533"/>
        <v>0.1</v>
      </c>
      <c r="GK64" s="26">
        <f t="shared" si="533"/>
        <v>0.17</v>
      </c>
      <c r="GL64" s="26">
        <f t="shared" si="533"/>
        <v>0</v>
      </c>
      <c r="GM64" s="26">
        <f t="shared" si="533"/>
        <v>0.18</v>
      </c>
      <c r="GN64" s="26">
        <f t="shared" si="533"/>
        <v>0</v>
      </c>
      <c r="GO64" s="26">
        <f t="shared" si="533"/>
        <v>0.21</v>
      </c>
      <c r="GP64" s="26">
        <f t="shared" si="533"/>
        <v>0.01</v>
      </c>
      <c r="GQ64" s="26">
        <f t="shared" si="533"/>
        <v>0</v>
      </c>
      <c r="GR64" s="26">
        <f t="shared" si="533"/>
        <v>0.1</v>
      </c>
      <c r="GS64" s="26">
        <f t="shared" si="533"/>
        <v>0</v>
      </c>
      <c r="GT64" s="26">
        <f t="shared" si="533"/>
        <v>0</v>
      </c>
      <c r="GU64" s="26">
        <f t="shared" si="533"/>
        <v>0</v>
      </c>
      <c r="GV64" s="26">
        <f t="shared" si="534"/>
        <v>0.12</v>
      </c>
      <c r="GW64" s="26">
        <f t="shared" si="535"/>
        <v>0</v>
      </c>
      <c r="GX64" s="26">
        <f t="shared" si="536"/>
        <v>0</v>
      </c>
      <c r="GY64" s="26">
        <f t="shared" si="537"/>
        <v>0.13</v>
      </c>
      <c r="GZ64" s="26">
        <f t="shared" si="538"/>
        <v>0.14</v>
      </c>
      <c r="HA64" s="26">
        <f t="shared" si="539"/>
        <v>0</v>
      </c>
      <c r="HB64" s="26">
        <f t="shared" si="540"/>
        <v>0.15</v>
      </c>
      <c r="HC64" s="26">
        <f t="shared" si="541"/>
        <v>0.2</v>
      </c>
      <c r="HD64" s="26">
        <f t="shared" si="542"/>
        <v>0.21</v>
      </c>
      <c r="HE64" s="26">
        <f t="shared" si="543"/>
        <v>0</v>
      </c>
      <c r="HF64" s="26">
        <f t="shared" si="544"/>
        <v>0.04</v>
      </c>
      <c r="HG64" s="26">
        <f t="shared" si="545"/>
        <v>0</v>
      </c>
      <c r="HH64" s="26">
        <f t="shared" si="546"/>
        <v>0.21</v>
      </c>
      <c r="HI64" s="26">
        <f t="shared" si="547"/>
        <v>0.11</v>
      </c>
      <c r="HJ64" s="26">
        <f t="shared" si="548"/>
        <v>0</v>
      </c>
      <c r="HK64" s="26">
        <f t="shared" si="549"/>
        <v>0.14</v>
      </c>
      <c r="HL64" s="26">
        <f t="shared" si="550"/>
        <v>0</v>
      </c>
      <c r="HM64" s="26">
        <f t="shared" si="551"/>
        <v>0.21</v>
      </c>
      <c r="HN64" s="26">
        <f t="shared" si="552"/>
        <v>0</v>
      </c>
      <c r="HO64" s="26">
        <f t="shared" si="553"/>
        <v>0</v>
      </c>
      <c r="HP64" s="26">
        <f t="shared" si="554"/>
        <v>0.04</v>
      </c>
      <c r="HQ64" s="26">
        <f t="shared" si="555"/>
        <v>0.08</v>
      </c>
      <c r="HR64" s="26">
        <f t="shared" si="556"/>
        <v>0.12</v>
      </c>
      <c r="HS64" s="26">
        <f t="shared" si="557"/>
        <v>0</v>
      </c>
      <c r="HT64" s="26">
        <f t="shared" si="558"/>
        <v>0</v>
      </c>
      <c r="HU64" s="26">
        <f t="shared" si="559"/>
        <v>0.21</v>
      </c>
      <c r="HV64" s="26">
        <f t="shared" si="560"/>
        <v>0</v>
      </c>
      <c r="HW64" s="26">
        <f t="shared" si="561"/>
        <v>0.14</v>
      </c>
      <c r="HX64" s="26" t="str">
        <f t="shared" si="466"/>
        <v>ELE,CHP</v>
      </c>
      <c r="HY64" s="26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404</v>
      </c>
      <c r="D65" t="str">
        <f>D54</f>
        <v>???NGA</v>
      </c>
      <c r="F65" s="26">
        <f t="shared" ref="F65:BQ65" si="566">ROUND(-F6*$DP$62,2)</f>
        <v>0</v>
      </c>
      <c r="G65" s="26">
        <f t="shared" si="566"/>
        <v>-0.09</v>
      </c>
      <c r="H65" s="26">
        <f t="shared" si="566"/>
        <v>-0.06</v>
      </c>
      <c r="I65" s="26">
        <f t="shared" si="566"/>
        <v>-0.11</v>
      </c>
      <c r="J65" s="26">
        <f t="shared" si="566"/>
        <v>-0.12</v>
      </c>
      <c r="K65" s="26">
        <f t="shared" si="566"/>
        <v>-0.07</v>
      </c>
      <c r="L65" s="26">
        <f t="shared" si="566"/>
        <v>-0.08</v>
      </c>
      <c r="M65" s="26">
        <f t="shared" si="566"/>
        <v>-0.18</v>
      </c>
      <c r="N65" s="26">
        <f t="shared" si="566"/>
        <v>-0.13</v>
      </c>
      <c r="O65" s="26">
        <f t="shared" si="566"/>
        <v>-0.12</v>
      </c>
      <c r="P65" s="26">
        <f t="shared" si="566"/>
        <v>-0.11</v>
      </c>
      <c r="Q65" s="26">
        <f t="shared" si="566"/>
        <v>0</v>
      </c>
      <c r="R65" s="26">
        <f t="shared" si="566"/>
        <v>-0.2</v>
      </c>
      <c r="S65" s="26">
        <f t="shared" si="566"/>
        <v>-0.06</v>
      </c>
      <c r="T65" s="26">
        <f t="shared" si="566"/>
        <v>0</v>
      </c>
      <c r="U65" s="26">
        <f t="shared" si="566"/>
        <v>-0.08</v>
      </c>
      <c r="V65" s="26">
        <f t="shared" si="566"/>
        <v>-0.1</v>
      </c>
      <c r="W65" s="26">
        <f t="shared" si="566"/>
        <v>-0.08</v>
      </c>
      <c r="X65" s="26">
        <f t="shared" si="566"/>
        <v>-0.05</v>
      </c>
      <c r="Y65" s="26">
        <f t="shared" si="566"/>
        <v>-0.11</v>
      </c>
      <c r="Z65" s="26">
        <f t="shared" si="566"/>
        <v>0</v>
      </c>
      <c r="AA65" s="26">
        <f t="shared" si="566"/>
        <v>-0.1</v>
      </c>
      <c r="AB65" s="26">
        <f t="shared" si="566"/>
        <v>-0.03</v>
      </c>
      <c r="AC65" s="26">
        <f t="shared" si="566"/>
        <v>0</v>
      </c>
      <c r="AD65" s="26">
        <f t="shared" si="566"/>
        <v>-0.09</v>
      </c>
      <c r="AE65" s="26">
        <f t="shared" si="566"/>
        <v>-0.07</v>
      </c>
      <c r="AF65" s="26">
        <f t="shared" si="566"/>
        <v>0</v>
      </c>
      <c r="AG65" s="26">
        <f t="shared" si="566"/>
        <v>-0.05</v>
      </c>
      <c r="AH65" s="26">
        <f t="shared" si="566"/>
        <v>-0.12</v>
      </c>
      <c r="AI65" s="26">
        <f t="shared" si="566"/>
        <v>-0.13</v>
      </c>
      <c r="AJ65" s="26">
        <f t="shared" si="566"/>
        <v>-0.15</v>
      </c>
      <c r="AK65" s="26">
        <f t="shared" si="566"/>
        <v>-0.09</v>
      </c>
      <c r="AL65" s="26">
        <f t="shared" si="566"/>
        <v>-0.07</v>
      </c>
      <c r="AM65" s="26">
        <f t="shared" si="566"/>
        <v>-0.08</v>
      </c>
      <c r="AN65" s="26">
        <f t="shared" si="566"/>
        <v>0</v>
      </c>
      <c r="AO65" s="26">
        <f t="shared" si="566"/>
        <v>-0.06</v>
      </c>
      <c r="AP65" s="26">
        <f t="shared" si="566"/>
        <v>-0.08</v>
      </c>
      <c r="AQ65" s="26">
        <f t="shared" si="566"/>
        <v>-0.13</v>
      </c>
      <c r="AR65" s="26">
        <f t="shared" si="566"/>
        <v>-0.07</v>
      </c>
      <c r="AS65" s="26">
        <f t="shared" si="566"/>
        <v>-0.09</v>
      </c>
      <c r="AT65" s="26">
        <f t="shared" si="566"/>
        <v>-0.12</v>
      </c>
      <c r="AU65" s="26">
        <f t="shared" si="566"/>
        <v>-0.08</v>
      </c>
      <c r="AV65" s="26">
        <f t="shared" si="566"/>
        <v>-0.18</v>
      </c>
      <c r="AW65" s="26">
        <f t="shared" si="566"/>
        <v>-0.14</v>
      </c>
      <c r="AX65" s="26">
        <f t="shared" si="566"/>
        <v>-0.18</v>
      </c>
      <c r="AY65" s="26">
        <f t="shared" si="566"/>
        <v>0</v>
      </c>
      <c r="AZ65" s="26">
        <f t="shared" si="566"/>
        <v>0</v>
      </c>
      <c r="BA65" s="26">
        <f t="shared" si="566"/>
        <v>-0.13</v>
      </c>
      <c r="BB65" s="26">
        <f t="shared" si="566"/>
        <v>-0.05</v>
      </c>
      <c r="BC65" s="26">
        <f t="shared" si="566"/>
        <v>-0.09</v>
      </c>
      <c r="BD65" s="26">
        <f t="shared" si="566"/>
        <v>-0.09</v>
      </c>
      <c r="BE65" s="26">
        <f t="shared" si="566"/>
        <v>-0.01</v>
      </c>
      <c r="BF65" s="26">
        <f t="shared" si="566"/>
        <v>-0.11</v>
      </c>
      <c r="BG65" s="26">
        <f t="shared" si="566"/>
        <v>-0.09</v>
      </c>
      <c r="BH65" s="26">
        <f t="shared" si="566"/>
        <v>-0.13</v>
      </c>
      <c r="BI65" s="26">
        <f t="shared" si="566"/>
        <v>-0.13</v>
      </c>
      <c r="BJ65" s="26">
        <f t="shared" si="566"/>
        <v>-0.12</v>
      </c>
      <c r="BK65" s="26">
        <f t="shared" si="566"/>
        <v>-0.17</v>
      </c>
      <c r="BL65" s="26">
        <f t="shared" si="566"/>
        <v>0</v>
      </c>
      <c r="BM65" s="26">
        <f t="shared" si="566"/>
        <v>-0.1</v>
      </c>
      <c r="BN65" s="26">
        <f t="shared" si="566"/>
        <v>-0.14</v>
      </c>
      <c r="BO65" s="26">
        <f t="shared" si="566"/>
        <v>-0.06</v>
      </c>
      <c r="BP65" s="26">
        <f t="shared" si="566"/>
        <v>0</v>
      </c>
      <c r="BQ65" s="26">
        <f t="shared" si="566"/>
        <v>-0.11</v>
      </c>
      <c r="BR65" s="26">
        <f t="shared" ref="BR65:DJ65" si="567">ROUND(-BR6*$DP$62,2)</f>
        <v>-0.13</v>
      </c>
      <c r="BS65" s="26">
        <f t="shared" si="567"/>
        <v>0</v>
      </c>
      <c r="BT65" s="26">
        <f t="shared" si="567"/>
        <v>-0.06</v>
      </c>
      <c r="BU65" s="26">
        <f t="shared" si="567"/>
        <v>-0.01</v>
      </c>
      <c r="BV65" s="26">
        <f t="shared" si="567"/>
        <v>-0.07</v>
      </c>
      <c r="BW65" s="26">
        <f t="shared" si="567"/>
        <v>-0.08</v>
      </c>
      <c r="BX65" s="26">
        <f t="shared" si="567"/>
        <v>-0.1</v>
      </c>
      <c r="BY65" s="26">
        <f t="shared" si="567"/>
        <v>0</v>
      </c>
      <c r="BZ65" s="26">
        <f t="shared" si="567"/>
        <v>-0.11</v>
      </c>
      <c r="CA65" s="26">
        <f t="shared" si="567"/>
        <v>-0.08</v>
      </c>
      <c r="CB65" s="26">
        <f t="shared" si="567"/>
        <v>-0.09</v>
      </c>
      <c r="CC65" s="26">
        <f t="shared" si="567"/>
        <v>-0.13</v>
      </c>
      <c r="CD65" s="26">
        <f t="shared" si="567"/>
        <v>-0.18</v>
      </c>
      <c r="CE65" s="26">
        <f t="shared" si="567"/>
        <v>-0.19</v>
      </c>
      <c r="CF65" s="26">
        <f t="shared" si="567"/>
        <v>-0.08</v>
      </c>
      <c r="CG65" s="26">
        <f t="shared" si="567"/>
        <v>0</v>
      </c>
      <c r="CH65" s="26">
        <f t="shared" si="567"/>
        <v>-0.06</v>
      </c>
      <c r="CI65" s="26">
        <f t="shared" si="567"/>
        <v>-0.11</v>
      </c>
      <c r="CJ65" s="26">
        <f t="shared" si="567"/>
        <v>-0.07</v>
      </c>
      <c r="CK65" s="26">
        <f t="shared" si="567"/>
        <v>-0.03</v>
      </c>
      <c r="CL65" s="26">
        <f t="shared" si="567"/>
        <v>-0.12</v>
      </c>
      <c r="CM65" s="26">
        <f t="shared" si="567"/>
        <v>-0.08</v>
      </c>
      <c r="CN65" s="26">
        <f t="shared" si="567"/>
        <v>-0.03</v>
      </c>
      <c r="CO65" s="26">
        <f t="shared" si="567"/>
        <v>0</v>
      </c>
      <c r="CP65" s="26">
        <f t="shared" si="567"/>
        <v>-0.1</v>
      </c>
      <c r="CQ65" s="26">
        <f t="shared" si="567"/>
        <v>-0.06</v>
      </c>
      <c r="CR65" s="26">
        <f t="shared" si="567"/>
        <v>0</v>
      </c>
      <c r="CS65" s="26">
        <f t="shared" si="567"/>
        <v>-0.01</v>
      </c>
      <c r="CT65" s="26">
        <f t="shared" si="567"/>
        <v>-0.04</v>
      </c>
      <c r="CU65" s="26">
        <f t="shared" si="567"/>
        <v>-0.15</v>
      </c>
      <c r="CV65" s="26">
        <f t="shared" si="567"/>
        <v>-0.03</v>
      </c>
      <c r="CW65" s="26">
        <f t="shared" si="567"/>
        <v>-0.14</v>
      </c>
      <c r="CX65" s="26">
        <f t="shared" si="567"/>
        <v>-0.07</v>
      </c>
      <c r="CY65" s="26">
        <f t="shared" si="567"/>
        <v>-0.15</v>
      </c>
      <c r="CZ65" s="26">
        <f t="shared" si="567"/>
        <v>-0.06</v>
      </c>
      <c r="DA65" s="26">
        <f t="shared" si="567"/>
        <v>-0.08</v>
      </c>
      <c r="DB65" s="26">
        <f t="shared" si="567"/>
        <v>-0.1</v>
      </c>
      <c r="DC65" s="26">
        <f t="shared" si="567"/>
        <v>-0.1</v>
      </c>
      <c r="DD65" s="26">
        <f t="shared" si="567"/>
        <v>-0.14</v>
      </c>
      <c r="DE65" s="26">
        <f t="shared" si="567"/>
        <v>-0.1</v>
      </c>
      <c r="DF65" s="26">
        <f t="shared" si="567"/>
        <v>-0.14</v>
      </c>
      <c r="DG65" s="26">
        <f t="shared" si="567"/>
        <v>-0.06</v>
      </c>
      <c r="DH65" s="26">
        <f t="shared" si="567"/>
        <v>-0.15</v>
      </c>
      <c r="DI65" s="26">
        <f t="shared" si="567"/>
        <v>-0.02</v>
      </c>
      <c r="DJ65" s="26">
        <f t="shared" si="567"/>
        <v>0</v>
      </c>
      <c r="DK65" s="8">
        <f t="shared" si="564"/>
        <v>0.0317097919837646</v>
      </c>
      <c r="DL65">
        <v>0</v>
      </c>
      <c r="DM65">
        <v>5</v>
      </c>
      <c r="DS65" s="26">
        <f t="shared" si="565"/>
        <v>0</v>
      </c>
      <c r="DT65" s="26">
        <f t="shared" si="470"/>
        <v>0.09</v>
      </c>
      <c r="DU65" s="26">
        <f t="shared" si="471"/>
        <v>0.06</v>
      </c>
      <c r="DV65" s="26">
        <f t="shared" si="472"/>
        <v>0.11</v>
      </c>
      <c r="DW65" s="26">
        <f t="shared" si="473"/>
        <v>0.12</v>
      </c>
      <c r="DX65" s="26">
        <f t="shared" si="474"/>
        <v>0.07</v>
      </c>
      <c r="DY65" s="26">
        <f t="shared" si="475"/>
        <v>0.08</v>
      </c>
      <c r="DZ65" s="26">
        <f t="shared" si="476"/>
        <v>0.18</v>
      </c>
      <c r="EA65" s="26">
        <f t="shared" si="477"/>
        <v>0.13</v>
      </c>
      <c r="EB65" s="26">
        <f t="shared" si="478"/>
        <v>0.12</v>
      </c>
      <c r="EC65" s="26">
        <f t="shared" si="479"/>
        <v>0.11</v>
      </c>
      <c r="ED65" s="26">
        <f t="shared" si="480"/>
        <v>0</v>
      </c>
      <c r="EE65" s="26">
        <f t="shared" si="481"/>
        <v>0.2</v>
      </c>
      <c r="EF65" s="26">
        <f t="shared" si="482"/>
        <v>0.06</v>
      </c>
      <c r="EG65" s="26">
        <f t="shared" si="483"/>
        <v>0</v>
      </c>
      <c r="EH65" s="26">
        <f t="shared" si="484"/>
        <v>0.08</v>
      </c>
      <c r="EI65" s="26">
        <f t="shared" si="485"/>
        <v>0.1</v>
      </c>
      <c r="EJ65" s="26">
        <f t="shared" si="486"/>
        <v>0.08</v>
      </c>
      <c r="EK65" s="26">
        <f t="shared" si="487"/>
        <v>0.05</v>
      </c>
      <c r="EL65" s="26">
        <f t="shared" si="488"/>
        <v>0.11</v>
      </c>
      <c r="EM65" s="26">
        <f t="shared" si="489"/>
        <v>0</v>
      </c>
      <c r="EN65" s="26">
        <f t="shared" si="490"/>
        <v>0.1</v>
      </c>
      <c r="EO65" s="26">
        <f t="shared" si="491"/>
        <v>0.03</v>
      </c>
      <c r="EP65" s="26">
        <f t="shared" si="492"/>
        <v>0</v>
      </c>
      <c r="EQ65" s="26">
        <f t="shared" si="493"/>
        <v>0.09</v>
      </c>
      <c r="ER65" s="26">
        <f t="shared" si="494"/>
        <v>0.07</v>
      </c>
      <c r="ES65" s="26">
        <f t="shared" si="495"/>
        <v>0</v>
      </c>
      <c r="ET65" s="26">
        <f t="shared" si="496"/>
        <v>0.05</v>
      </c>
      <c r="EU65" s="26">
        <f t="shared" si="497"/>
        <v>0.12</v>
      </c>
      <c r="EV65" s="26">
        <f t="shared" si="498"/>
        <v>0.13</v>
      </c>
      <c r="EW65" s="26">
        <f t="shared" si="499"/>
        <v>0.15</v>
      </c>
      <c r="EX65" s="26">
        <f t="shared" si="500"/>
        <v>0.09</v>
      </c>
      <c r="EY65" s="26">
        <f t="shared" si="501"/>
        <v>0.07</v>
      </c>
      <c r="EZ65" s="26">
        <f t="shared" si="502"/>
        <v>0.08</v>
      </c>
      <c r="FA65" s="26">
        <f t="shared" si="503"/>
        <v>0</v>
      </c>
      <c r="FB65" s="26">
        <f t="shared" si="504"/>
        <v>0.06</v>
      </c>
      <c r="FC65" s="26">
        <f t="shared" si="505"/>
        <v>0.08</v>
      </c>
      <c r="FD65" s="26">
        <f t="shared" si="506"/>
        <v>0.13</v>
      </c>
      <c r="FE65" s="26">
        <f t="shared" si="507"/>
        <v>0.07</v>
      </c>
      <c r="FF65" s="26">
        <f t="shared" si="508"/>
        <v>0.09</v>
      </c>
      <c r="FG65" s="26">
        <f t="shared" si="509"/>
        <v>0.12</v>
      </c>
      <c r="FH65" s="26">
        <f t="shared" si="510"/>
        <v>0.08</v>
      </c>
      <c r="FI65" s="26">
        <f t="shared" si="511"/>
        <v>0.18</v>
      </c>
      <c r="FJ65" s="26">
        <f t="shared" si="512"/>
        <v>0.14</v>
      </c>
      <c r="FK65" s="26">
        <f t="shared" si="513"/>
        <v>0.18</v>
      </c>
      <c r="FL65" s="26">
        <f t="shared" si="514"/>
        <v>0</v>
      </c>
      <c r="FM65" s="26">
        <f t="shared" si="515"/>
        <v>0</v>
      </c>
      <c r="FN65" s="26">
        <f t="shared" si="516"/>
        <v>0.13</v>
      </c>
      <c r="FO65" s="26">
        <f t="shared" si="517"/>
        <v>0.05</v>
      </c>
      <c r="FP65" s="26">
        <f t="shared" si="518"/>
        <v>0.09</v>
      </c>
      <c r="FQ65" s="26">
        <f t="shared" si="519"/>
        <v>0.09</v>
      </c>
      <c r="FR65" s="26">
        <f t="shared" si="520"/>
        <v>0.01</v>
      </c>
      <c r="FS65" s="26">
        <f t="shared" si="521"/>
        <v>0.11</v>
      </c>
      <c r="FT65" s="26">
        <f t="shared" si="522"/>
        <v>0.09</v>
      </c>
      <c r="FU65" s="26">
        <f t="shared" si="523"/>
        <v>0.13</v>
      </c>
      <c r="FV65" s="26">
        <f t="shared" si="524"/>
        <v>0.13</v>
      </c>
      <c r="FW65" s="26">
        <f t="shared" si="525"/>
        <v>0.12</v>
      </c>
      <c r="FX65" s="26">
        <f t="shared" si="526"/>
        <v>0.17</v>
      </c>
      <c r="FY65" s="26">
        <f t="shared" si="527"/>
        <v>0</v>
      </c>
      <c r="FZ65" s="26">
        <f t="shared" si="528"/>
        <v>0.1</v>
      </c>
      <c r="GA65" s="26">
        <f t="shared" si="529"/>
        <v>0.14</v>
      </c>
      <c r="GB65" s="26">
        <f t="shared" si="530"/>
        <v>0.06</v>
      </c>
      <c r="GC65" s="26">
        <f t="shared" si="531"/>
        <v>0</v>
      </c>
      <c r="GD65" s="26">
        <f t="shared" si="532"/>
        <v>0.11</v>
      </c>
      <c r="GE65" s="26">
        <f t="shared" si="533"/>
        <v>0.13</v>
      </c>
      <c r="GF65" s="26">
        <f t="shared" si="533"/>
        <v>0</v>
      </c>
      <c r="GG65" s="26">
        <f t="shared" si="533"/>
        <v>0.06</v>
      </c>
      <c r="GH65" s="26">
        <f t="shared" si="533"/>
        <v>0.01</v>
      </c>
      <c r="GI65" s="26">
        <f t="shared" si="533"/>
        <v>0.07</v>
      </c>
      <c r="GJ65" s="26">
        <f t="shared" si="533"/>
        <v>0.08</v>
      </c>
      <c r="GK65" s="26">
        <f t="shared" si="533"/>
        <v>0.1</v>
      </c>
      <c r="GL65" s="26">
        <f t="shared" si="533"/>
        <v>0</v>
      </c>
      <c r="GM65" s="26">
        <f t="shared" si="533"/>
        <v>0.11</v>
      </c>
      <c r="GN65" s="26">
        <f t="shared" si="533"/>
        <v>0.08</v>
      </c>
      <c r="GO65" s="26">
        <f t="shared" si="533"/>
        <v>0.09</v>
      </c>
      <c r="GP65" s="26">
        <f t="shared" si="533"/>
        <v>0.13</v>
      </c>
      <c r="GQ65" s="26">
        <f t="shared" si="533"/>
        <v>0.18</v>
      </c>
      <c r="GR65" s="26">
        <f t="shared" si="533"/>
        <v>0.19</v>
      </c>
      <c r="GS65" s="26">
        <f t="shared" si="533"/>
        <v>0.08</v>
      </c>
      <c r="GT65" s="26">
        <f t="shared" si="533"/>
        <v>0</v>
      </c>
      <c r="GU65" s="26">
        <f t="shared" si="533"/>
        <v>0.06</v>
      </c>
      <c r="GV65" s="26">
        <f t="shared" si="534"/>
        <v>0.11</v>
      </c>
      <c r="GW65" s="26">
        <f t="shared" si="535"/>
        <v>0.07</v>
      </c>
      <c r="GX65" s="26">
        <f t="shared" si="536"/>
        <v>0.03</v>
      </c>
      <c r="GY65" s="26">
        <f t="shared" si="537"/>
        <v>0.12</v>
      </c>
      <c r="GZ65" s="26">
        <f t="shared" si="538"/>
        <v>0.08</v>
      </c>
      <c r="HA65" s="26">
        <f t="shared" si="539"/>
        <v>0.03</v>
      </c>
      <c r="HB65" s="26">
        <f t="shared" si="540"/>
        <v>0</v>
      </c>
      <c r="HC65" s="26">
        <f t="shared" si="541"/>
        <v>0.1</v>
      </c>
      <c r="HD65" s="26">
        <f t="shared" si="542"/>
        <v>0.06</v>
      </c>
      <c r="HE65" s="26">
        <f t="shared" si="543"/>
        <v>0</v>
      </c>
      <c r="HF65" s="26">
        <f t="shared" si="544"/>
        <v>0.01</v>
      </c>
      <c r="HG65" s="26">
        <f t="shared" si="545"/>
        <v>0.04</v>
      </c>
      <c r="HH65" s="26">
        <f t="shared" si="546"/>
        <v>0.15</v>
      </c>
      <c r="HI65" s="26">
        <f t="shared" si="547"/>
        <v>0.03</v>
      </c>
      <c r="HJ65" s="26">
        <f t="shared" si="548"/>
        <v>0.14</v>
      </c>
      <c r="HK65" s="26">
        <f t="shared" si="549"/>
        <v>0.07</v>
      </c>
      <c r="HL65" s="26">
        <f t="shared" si="550"/>
        <v>0.15</v>
      </c>
      <c r="HM65" s="26">
        <f t="shared" si="551"/>
        <v>0.06</v>
      </c>
      <c r="HN65" s="26">
        <f t="shared" si="552"/>
        <v>0.08</v>
      </c>
      <c r="HO65" s="26">
        <f t="shared" si="553"/>
        <v>0.1</v>
      </c>
      <c r="HP65" s="26">
        <f t="shared" si="554"/>
        <v>0.1</v>
      </c>
      <c r="HQ65" s="26">
        <f t="shared" si="555"/>
        <v>0.14</v>
      </c>
      <c r="HR65" s="26">
        <f t="shared" si="556"/>
        <v>0.1</v>
      </c>
      <c r="HS65" s="26">
        <f t="shared" si="557"/>
        <v>0.14</v>
      </c>
      <c r="HT65" s="26">
        <f t="shared" si="558"/>
        <v>0.06</v>
      </c>
      <c r="HU65" s="26">
        <f t="shared" si="559"/>
        <v>0.15</v>
      </c>
      <c r="HV65" s="26">
        <f t="shared" si="560"/>
        <v>0.02</v>
      </c>
      <c r="HW65" s="26">
        <f t="shared" si="561"/>
        <v>0</v>
      </c>
      <c r="HX65" s="26" t="str">
        <f t="shared" si="466"/>
        <v>ELE,CHP</v>
      </c>
      <c r="HY65" s="26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404</v>
      </c>
      <c r="D66" t="str">
        <f>D55</f>
        <v>???OIL</v>
      </c>
      <c r="F66" s="26">
        <f t="shared" ref="F66:BQ66" si="568">ROUND(-F7*$DP$62,2)</f>
        <v>0</v>
      </c>
      <c r="G66" s="26">
        <f t="shared" si="568"/>
        <v>0</v>
      </c>
      <c r="H66" s="26">
        <f t="shared" si="568"/>
        <v>-0.07</v>
      </c>
      <c r="I66" s="26">
        <f t="shared" si="568"/>
        <v>-0.01</v>
      </c>
      <c r="J66" s="26">
        <f t="shared" si="568"/>
        <v>0</v>
      </c>
      <c r="K66" s="26">
        <f t="shared" si="568"/>
        <v>-0.01</v>
      </c>
      <c r="L66" s="26">
        <f t="shared" si="568"/>
        <v>0</v>
      </c>
      <c r="M66" s="26">
        <f t="shared" si="568"/>
        <v>0</v>
      </c>
      <c r="N66" s="26">
        <f t="shared" si="568"/>
        <v>-0.06</v>
      </c>
      <c r="O66" s="26">
        <f t="shared" si="568"/>
        <v>0</v>
      </c>
      <c r="P66" s="26">
        <f t="shared" si="568"/>
        <v>-0.01</v>
      </c>
      <c r="Q66" s="26">
        <f t="shared" si="568"/>
        <v>-0.05</v>
      </c>
      <c r="R66" s="26">
        <f t="shared" si="568"/>
        <v>-0.01</v>
      </c>
      <c r="S66" s="26">
        <f t="shared" si="568"/>
        <v>-0.09</v>
      </c>
      <c r="T66" s="26">
        <f t="shared" si="568"/>
        <v>-0.04</v>
      </c>
      <c r="U66" s="26">
        <f t="shared" si="568"/>
        <v>-0.03</v>
      </c>
      <c r="V66" s="26">
        <f t="shared" si="568"/>
        <v>-0.06</v>
      </c>
      <c r="W66" s="26">
        <f t="shared" si="568"/>
        <v>-0.01</v>
      </c>
      <c r="X66" s="26">
        <f t="shared" si="568"/>
        <v>0</v>
      </c>
      <c r="Y66" s="26">
        <f t="shared" si="568"/>
        <v>0</v>
      </c>
      <c r="Z66" s="26">
        <f t="shared" si="568"/>
        <v>-0.07</v>
      </c>
      <c r="AA66" s="26">
        <f t="shared" si="568"/>
        <v>-0.02</v>
      </c>
      <c r="AB66" s="26">
        <f t="shared" si="568"/>
        <v>0</v>
      </c>
      <c r="AC66" s="26">
        <f t="shared" si="568"/>
        <v>0</v>
      </c>
      <c r="AD66" s="26">
        <f t="shared" si="568"/>
        <v>-0.1</v>
      </c>
      <c r="AE66" s="26">
        <f t="shared" si="568"/>
        <v>0</v>
      </c>
      <c r="AF66" s="26">
        <f t="shared" si="568"/>
        <v>0</v>
      </c>
      <c r="AG66" s="26">
        <f t="shared" si="568"/>
        <v>-0.01</v>
      </c>
      <c r="AH66" s="26">
        <f t="shared" si="568"/>
        <v>-0.21</v>
      </c>
      <c r="AI66" s="26">
        <f t="shared" si="568"/>
        <v>0</v>
      </c>
      <c r="AJ66" s="26">
        <f t="shared" si="568"/>
        <v>-0.04</v>
      </c>
      <c r="AK66" s="26">
        <f t="shared" si="568"/>
        <v>-0.21</v>
      </c>
      <c r="AL66" s="26">
        <f t="shared" si="568"/>
        <v>-0.11</v>
      </c>
      <c r="AM66" s="26">
        <f t="shared" si="568"/>
        <v>-0.01</v>
      </c>
      <c r="AN66" s="26">
        <f t="shared" si="568"/>
        <v>0</v>
      </c>
      <c r="AO66" s="26">
        <f t="shared" si="568"/>
        <v>-0.02</v>
      </c>
      <c r="AP66" s="26">
        <f t="shared" si="568"/>
        <v>-0.01</v>
      </c>
      <c r="AQ66" s="26">
        <f t="shared" si="568"/>
        <v>-0.11</v>
      </c>
      <c r="AR66" s="26">
        <f t="shared" si="568"/>
        <v>-0.04</v>
      </c>
      <c r="AS66" s="26">
        <f t="shared" si="568"/>
        <v>-0.01</v>
      </c>
      <c r="AT66" s="26">
        <f t="shared" si="568"/>
        <v>-0.03</v>
      </c>
      <c r="AU66" s="26">
        <f t="shared" si="568"/>
        <v>-0.09</v>
      </c>
      <c r="AV66" s="26">
        <f t="shared" si="568"/>
        <v>0</v>
      </c>
      <c r="AW66" s="26">
        <f t="shared" si="568"/>
        <v>-0.03</v>
      </c>
      <c r="AX66" s="26">
        <f t="shared" si="568"/>
        <v>0</v>
      </c>
      <c r="AY66" s="26">
        <f t="shared" si="568"/>
        <v>-0.02</v>
      </c>
      <c r="AZ66" s="26">
        <f t="shared" si="568"/>
        <v>-0.06</v>
      </c>
      <c r="BA66" s="26">
        <f t="shared" si="568"/>
        <v>-0.21</v>
      </c>
      <c r="BB66" s="26">
        <f t="shared" si="568"/>
        <v>-0.21</v>
      </c>
      <c r="BC66" s="26">
        <f t="shared" si="568"/>
        <v>0</v>
      </c>
      <c r="BD66" s="26">
        <f t="shared" si="568"/>
        <v>-0.21</v>
      </c>
      <c r="BE66" s="26">
        <f t="shared" si="568"/>
        <v>0</v>
      </c>
      <c r="BF66" s="26">
        <f t="shared" si="568"/>
        <v>0</v>
      </c>
      <c r="BG66" s="26">
        <f t="shared" si="568"/>
        <v>-0.01</v>
      </c>
      <c r="BH66" s="26">
        <f t="shared" si="568"/>
        <v>0</v>
      </c>
      <c r="BI66" s="26">
        <f t="shared" si="568"/>
        <v>0</v>
      </c>
      <c r="BJ66" s="26">
        <f t="shared" si="568"/>
        <v>-0.09</v>
      </c>
      <c r="BK66" s="26">
        <f t="shared" si="568"/>
        <v>0</v>
      </c>
      <c r="BL66" s="26">
        <f t="shared" si="568"/>
        <v>0</v>
      </c>
      <c r="BM66" s="26">
        <f t="shared" si="568"/>
        <v>-0.01</v>
      </c>
      <c r="BN66" s="26">
        <f t="shared" si="568"/>
        <v>-0.03</v>
      </c>
      <c r="BO66" s="26">
        <f t="shared" si="568"/>
        <v>0</v>
      </c>
      <c r="BP66" s="26">
        <f t="shared" si="568"/>
        <v>0</v>
      </c>
      <c r="BQ66" s="26">
        <f t="shared" si="568"/>
        <v>0</v>
      </c>
      <c r="BR66" s="26">
        <f t="shared" ref="BR66:DJ66" si="569">ROUND(-BR7*$DP$62,2)</f>
        <v>0</v>
      </c>
      <c r="BS66" s="26">
        <f t="shared" si="569"/>
        <v>-0.06</v>
      </c>
      <c r="BT66" s="26">
        <f t="shared" si="569"/>
        <v>0</v>
      </c>
      <c r="BU66" s="26">
        <f t="shared" si="569"/>
        <v>0</v>
      </c>
      <c r="BV66" s="26">
        <f t="shared" si="569"/>
        <v>0</v>
      </c>
      <c r="BW66" s="26">
        <f t="shared" si="569"/>
        <v>-0.07</v>
      </c>
      <c r="BX66" s="26">
        <f t="shared" si="569"/>
        <v>-0.09</v>
      </c>
      <c r="BY66" s="26">
        <f t="shared" si="569"/>
        <v>0</v>
      </c>
      <c r="BZ66" s="26">
        <f t="shared" si="569"/>
        <v>-0.09</v>
      </c>
      <c r="CA66" s="26">
        <f t="shared" si="569"/>
        <v>-0.15</v>
      </c>
      <c r="CB66" s="26">
        <f t="shared" si="569"/>
        <v>-0.04</v>
      </c>
      <c r="CC66" s="26">
        <f t="shared" si="569"/>
        <v>-0.02</v>
      </c>
      <c r="CD66" s="26">
        <f t="shared" si="569"/>
        <v>-0.04</v>
      </c>
      <c r="CE66" s="26">
        <f t="shared" si="569"/>
        <v>0</v>
      </c>
      <c r="CF66" s="26">
        <f t="shared" si="569"/>
        <v>-0.06</v>
      </c>
      <c r="CG66" s="26">
        <f t="shared" si="569"/>
        <v>0</v>
      </c>
      <c r="CH66" s="26">
        <f t="shared" si="569"/>
        <v>0</v>
      </c>
      <c r="CI66" s="26">
        <f t="shared" si="569"/>
        <v>-0.03</v>
      </c>
      <c r="CJ66" s="26">
        <f t="shared" si="569"/>
        <v>-0.18</v>
      </c>
      <c r="CK66" s="26">
        <f t="shared" si="569"/>
        <v>0</v>
      </c>
      <c r="CL66" s="26">
        <f t="shared" si="569"/>
        <v>0</v>
      </c>
      <c r="CM66" s="26">
        <f t="shared" si="569"/>
        <v>0</v>
      </c>
      <c r="CN66" s="26">
        <f t="shared" si="569"/>
        <v>0</v>
      </c>
      <c r="CO66" s="26">
        <f t="shared" si="569"/>
        <v>-0.01</v>
      </c>
      <c r="CP66" s="26">
        <f t="shared" si="569"/>
        <v>-0.04</v>
      </c>
      <c r="CQ66" s="26">
        <f t="shared" si="569"/>
        <v>-0.13</v>
      </c>
      <c r="CR66" s="26">
        <f t="shared" si="569"/>
        <v>-0.1</v>
      </c>
      <c r="CS66" s="26">
        <f t="shared" si="569"/>
        <v>0</v>
      </c>
      <c r="CT66" s="26">
        <f t="shared" si="569"/>
        <v>0</v>
      </c>
      <c r="CU66" s="26">
        <f t="shared" si="569"/>
        <v>-0.09</v>
      </c>
      <c r="CV66" s="26">
        <f t="shared" si="569"/>
        <v>0</v>
      </c>
      <c r="CW66" s="26">
        <f t="shared" si="569"/>
        <v>0</v>
      </c>
      <c r="CX66" s="26">
        <f t="shared" si="569"/>
        <v>-0.21</v>
      </c>
      <c r="CY66" s="26">
        <f t="shared" si="569"/>
        <v>0</v>
      </c>
      <c r="CZ66" s="26">
        <f t="shared" si="569"/>
        <v>0</v>
      </c>
      <c r="DA66" s="26">
        <f t="shared" si="569"/>
        <v>0</v>
      </c>
      <c r="DB66" s="26">
        <f t="shared" si="569"/>
        <v>-0.01</v>
      </c>
      <c r="DC66" s="26">
        <f t="shared" si="569"/>
        <v>-0.04</v>
      </c>
      <c r="DD66" s="26">
        <f t="shared" si="569"/>
        <v>0</v>
      </c>
      <c r="DE66" s="26">
        <f t="shared" si="569"/>
        <v>-0.01</v>
      </c>
      <c r="DF66" s="26">
        <f t="shared" si="569"/>
        <v>-0.05</v>
      </c>
      <c r="DG66" s="26">
        <f t="shared" si="569"/>
        <v>-0.02</v>
      </c>
      <c r="DH66" s="26">
        <f t="shared" si="569"/>
        <v>-0.02</v>
      </c>
      <c r="DI66" s="26">
        <f t="shared" si="569"/>
        <v>-0.08</v>
      </c>
      <c r="DJ66" s="26">
        <f t="shared" si="569"/>
        <v>-0.16</v>
      </c>
      <c r="DK66" s="8">
        <f t="shared" si="564"/>
        <v>0.0317097919837646</v>
      </c>
      <c r="DL66">
        <v>0</v>
      </c>
      <c r="DM66">
        <v>5</v>
      </c>
      <c r="DS66" s="26">
        <f t="shared" si="565"/>
        <v>0</v>
      </c>
      <c r="DT66" s="26">
        <f t="shared" si="470"/>
        <v>0</v>
      </c>
      <c r="DU66" s="26">
        <f t="shared" si="471"/>
        <v>0.07</v>
      </c>
      <c r="DV66" s="26">
        <f t="shared" si="472"/>
        <v>0.01</v>
      </c>
      <c r="DW66" s="26">
        <f t="shared" si="473"/>
        <v>0</v>
      </c>
      <c r="DX66" s="26">
        <f t="shared" si="474"/>
        <v>0.01</v>
      </c>
      <c r="DY66" s="26">
        <f t="shared" si="475"/>
        <v>0</v>
      </c>
      <c r="DZ66" s="26">
        <f t="shared" si="476"/>
        <v>0</v>
      </c>
      <c r="EA66" s="26">
        <f t="shared" si="477"/>
        <v>0.06</v>
      </c>
      <c r="EB66" s="26">
        <f t="shared" si="478"/>
        <v>0</v>
      </c>
      <c r="EC66" s="26">
        <f t="shared" si="479"/>
        <v>0.01</v>
      </c>
      <c r="ED66" s="26">
        <f t="shared" si="480"/>
        <v>0.05</v>
      </c>
      <c r="EE66" s="26">
        <f t="shared" si="481"/>
        <v>0.01</v>
      </c>
      <c r="EF66" s="26">
        <f t="shared" si="482"/>
        <v>0.09</v>
      </c>
      <c r="EG66" s="26">
        <f t="shared" si="483"/>
        <v>0.04</v>
      </c>
      <c r="EH66" s="26">
        <f t="shared" si="484"/>
        <v>0.03</v>
      </c>
      <c r="EI66" s="26">
        <f t="shared" si="485"/>
        <v>0.06</v>
      </c>
      <c r="EJ66" s="26">
        <f t="shared" si="486"/>
        <v>0.01</v>
      </c>
      <c r="EK66" s="26">
        <f t="shared" si="487"/>
        <v>0</v>
      </c>
      <c r="EL66" s="26">
        <f t="shared" si="488"/>
        <v>0</v>
      </c>
      <c r="EM66" s="26">
        <f t="shared" si="489"/>
        <v>0.07</v>
      </c>
      <c r="EN66" s="26">
        <f t="shared" si="490"/>
        <v>0.02</v>
      </c>
      <c r="EO66" s="26">
        <f t="shared" si="491"/>
        <v>0</v>
      </c>
      <c r="EP66" s="26">
        <f t="shared" si="492"/>
        <v>0</v>
      </c>
      <c r="EQ66" s="26">
        <f t="shared" si="493"/>
        <v>0.1</v>
      </c>
      <c r="ER66" s="26">
        <f t="shared" si="494"/>
        <v>0</v>
      </c>
      <c r="ES66" s="26">
        <f t="shared" si="495"/>
        <v>0</v>
      </c>
      <c r="ET66" s="26">
        <f t="shared" si="496"/>
        <v>0.01</v>
      </c>
      <c r="EU66" s="26">
        <f t="shared" si="497"/>
        <v>0.21</v>
      </c>
      <c r="EV66" s="26">
        <f t="shared" si="498"/>
        <v>0</v>
      </c>
      <c r="EW66" s="26">
        <f t="shared" si="499"/>
        <v>0.04</v>
      </c>
      <c r="EX66" s="26">
        <f t="shared" si="500"/>
        <v>0.21</v>
      </c>
      <c r="EY66" s="26">
        <f t="shared" si="501"/>
        <v>0.11</v>
      </c>
      <c r="EZ66" s="26">
        <f t="shared" si="502"/>
        <v>0.01</v>
      </c>
      <c r="FA66" s="26">
        <f t="shared" si="503"/>
        <v>0</v>
      </c>
      <c r="FB66" s="26">
        <f t="shared" si="504"/>
        <v>0.02</v>
      </c>
      <c r="FC66" s="26">
        <f t="shared" si="505"/>
        <v>0.01</v>
      </c>
      <c r="FD66" s="26">
        <f t="shared" si="506"/>
        <v>0.11</v>
      </c>
      <c r="FE66" s="26">
        <f t="shared" si="507"/>
        <v>0.04</v>
      </c>
      <c r="FF66" s="26">
        <f t="shared" si="508"/>
        <v>0.01</v>
      </c>
      <c r="FG66" s="26">
        <f t="shared" si="509"/>
        <v>0.03</v>
      </c>
      <c r="FH66" s="26">
        <f t="shared" si="510"/>
        <v>0.09</v>
      </c>
      <c r="FI66" s="26">
        <f t="shared" si="511"/>
        <v>0</v>
      </c>
      <c r="FJ66" s="26">
        <f t="shared" si="512"/>
        <v>0.03</v>
      </c>
      <c r="FK66" s="26">
        <f t="shared" si="513"/>
        <v>0</v>
      </c>
      <c r="FL66" s="26">
        <f t="shared" si="514"/>
        <v>0.02</v>
      </c>
      <c r="FM66" s="26">
        <f t="shared" si="515"/>
        <v>0.06</v>
      </c>
      <c r="FN66" s="26">
        <f t="shared" si="516"/>
        <v>0.21</v>
      </c>
      <c r="FO66" s="26">
        <f t="shared" si="517"/>
        <v>0.21</v>
      </c>
      <c r="FP66" s="26">
        <f t="shared" si="518"/>
        <v>0</v>
      </c>
      <c r="FQ66" s="26">
        <f t="shared" si="519"/>
        <v>0.21</v>
      </c>
      <c r="FR66" s="26">
        <f t="shared" si="520"/>
        <v>0</v>
      </c>
      <c r="FS66" s="26">
        <f t="shared" si="521"/>
        <v>0</v>
      </c>
      <c r="FT66" s="26">
        <f t="shared" si="522"/>
        <v>0.01</v>
      </c>
      <c r="FU66" s="26">
        <f t="shared" si="523"/>
        <v>0</v>
      </c>
      <c r="FV66" s="26">
        <f t="shared" si="524"/>
        <v>0</v>
      </c>
      <c r="FW66" s="26">
        <f t="shared" si="525"/>
        <v>0.09</v>
      </c>
      <c r="FX66" s="26">
        <f t="shared" si="526"/>
        <v>0</v>
      </c>
      <c r="FY66" s="26">
        <f t="shared" si="527"/>
        <v>0</v>
      </c>
      <c r="FZ66" s="26">
        <f t="shared" si="528"/>
        <v>0.01</v>
      </c>
      <c r="GA66" s="26">
        <f t="shared" si="529"/>
        <v>0.03</v>
      </c>
      <c r="GB66" s="26">
        <f t="shared" si="530"/>
        <v>0</v>
      </c>
      <c r="GC66" s="26">
        <f t="shared" si="531"/>
        <v>0</v>
      </c>
      <c r="GD66" s="26">
        <f t="shared" si="532"/>
        <v>0</v>
      </c>
      <c r="GE66" s="26">
        <f t="shared" si="533"/>
        <v>0</v>
      </c>
      <c r="GF66" s="26">
        <f t="shared" si="533"/>
        <v>0.06</v>
      </c>
      <c r="GG66" s="26">
        <f t="shared" si="533"/>
        <v>0</v>
      </c>
      <c r="GH66" s="26">
        <f t="shared" si="533"/>
        <v>0</v>
      </c>
      <c r="GI66" s="26">
        <f t="shared" si="533"/>
        <v>0</v>
      </c>
      <c r="GJ66" s="26">
        <f t="shared" si="533"/>
        <v>0.07</v>
      </c>
      <c r="GK66" s="26">
        <f t="shared" si="533"/>
        <v>0.09</v>
      </c>
      <c r="GL66" s="26">
        <f t="shared" si="533"/>
        <v>0</v>
      </c>
      <c r="GM66" s="26">
        <f t="shared" si="533"/>
        <v>0.09</v>
      </c>
      <c r="GN66" s="26">
        <f t="shared" si="533"/>
        <v>0.15</v>
      </c>
      <c r="GO66" s="26">
        <f t="shared" si="533"/>
        <v>0.04</v>
      </c>
      <c r="GP66" s="26">
        <f t="shared" si="533"/>
        <v>0.02</v>
      </c>
      <c r="GQ66" s="26">
        <f t="shared" si="533"/>
        <v>0.04</v>
      </c>
      <c r="GR66" s="26">
        <f t="shared" si="533"/>
        <v>0</v>
      </c>
      <c r="GS66" s="26">
        <f t="shared" si="533"/>
        <v>0.06</v>
      </c>
      <c r="GT66" s="26">
        <f t="shared" si="533"/>
        <v>0</v>
      </c>
      <c r="GU66" s="26">
        <f t="shared" si="533"/>
        <v>0</v>
      </c>
      <c r="GV66" s="26">
        <f t="shared" si="534"/>
        <v>0.03</v>
      </c>
      <c r="GW66" s="26">
        <f t="shared" si="535"/>
        <v>0.18</v>
      </c>
      <c r="GX66" s="26">
        <f t="shared" si="536"/>
        <v>0</v>
      </c>
      <c r="GY66" s="26">
        <f t="shared" si="537"/>
        <v>0</v>
      </c>
      <c r="GZ66" s="26">
        <f t="shared" si="538"/>
        <v>0</v>
      </c>
      <c r="HA66" s="26">
        <f t="shared" si="539"/>
        <v>0</v>
      </c>
      <c r="HB66" s="26">
        <f t="shared" si="540"/>
        <v>0.01</v>
      </c>
      <c r="HC66" s="26">
        <f t="shared" si="541"/>
        <v>0.04</v>
      </c>
      <c r="HD66" s="26">
        <f t="shared" si="542"/>
        <v>0.13</v>
      </c>
      <c r="HE66" s="26">
        <f t="shared" si="543"/>
        <v>0.1</v>
      </c>
      <c r="HF66" s="26">
        <f t="shared" si="544"/>
        <v>0</v>
      </c>
      <c r="HG66" s="26">
        <f t="shared" si="545"/>
        <v>0</v>
      </c>
      <c r="HH66" s="26">
        <f t="shared" si="546"/>
        <v>0.09</v>
      </c>
      <c r="HI66" s="26">
        <f t="shared" si="547"/>
        <v>0</v>
      </c>
      <c r="HJ66" s="26">
        <f t="shared" si="548"/>
        <v>0</v>
      </c>
      <c r="HK66" s="26">
        <f t="shared" si="549"/>
        <v>0.21</v>
      </c>
      <c r="HL66" s="26">
        <f t="shared" si="550"/>
        <v>0</v>
      </c>
      <c r="HM66" s="26">
        <f t="shared" si="551"/>
        <v>0</v>
      </c>
      <c r="HN66" s="26">
        <f t="shared" si="552"/>
        <v>0</v>
      </c>
      <c r="HO66" s="26">
        <f t="shared" si="553"/>
        <v>0.01</v>
      </c>
      <c r="HP66" s="26">
        <f t="shared" si="554"/>
        <v>0.04</v>
      </c>
      <c r="HQ66" s="26">
        <f t="shared" si="555"/>
        <v>0</v>
      </c>
      <c r="HR66" s="26">
        <f t="shared" si="556"/>
        <v>0.01</v>
      </c>
      <c r="HS66" s="26">
        <f t="shared" si="557"/>
        <v>0.05</v>
      </c>
      <c r="HT66" s="26">
        <f t="shared" si="558"/>
        <v>0.02</v>
      </c>
      <c r="HU66" s="26">
        <f t="shared" si="559"/>
        <v>0.02</v>
      </c>
      <c r="HV66" s="26">
        <f t="shared" si="560"/>
        <v>0.08</v>
      </c>
      <c r="HW66" s="26">
        <f t="shared" si="561"/>
        <v>0.16</v>
      </c>
      <c r="HX66" s="26" t="str">
        <f t="shared" si="466"/>
        <v>ELE,CHP</v>
      </c>
      <c r="HY66" s="26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404</v>
      </c>
      <c r="D67" t="str">
        <f>D56</f>
        <v>???OIL_CRD</v>
      </c>
      <c r="F67" s="26">
        <f t="shared" ref="F67:BQ67" si="570">ROUND(-F8*$DP$62,2)</f>
        <v>0</v>
      </c>
      <c r="G67" s="26">
        <f t="shared" si="570"/>
        <v>0</v>
      </c>
      <c r="H67" s="26">
        <f t="shared" si="570"/>
        <v>0</v>
      </c>
      <c r="I67" s="26">
        <f t="shared" si="570"/>
        <v>0</v>
      </c>
      <c r="J67" s="26">
        <f t="shared" si="570"/>
        <v>0</v>
      </c>
      <c r="K67" s="26">
        <f t="shared" si="570"/>
        <v>0</v>
      </c>
      <c r="L67" s="26">
        <f t="shared" si="570"/>
        <v>0</v>
      </c>
      <c r="M67" s="26">
        <f t="shared" si="570"/>
        <v>0</v>
      </c>
      <c r="N67" s="26">
        <f t="shared" si="570"/>
        <v>0</v>
      </c>
      <c r="O67" s="26">
        <f t="shared" si="570"/>
        <v>0</v>
      </c>
      <c r="P67" s="26">
        <f t="shared" si="570"/>
        <v>0</v>
      </c>
      <c r="Q67" s="26">
        <f t="shared" si="570"/>
        <v>0</v>
      </c>
      <c r="R67" s="26">
        <f t="shared" si="570"/>
        <v>0</v>
      </c>
      <c r="S67" s="26">
        <f t="shared" si="570"/>
        <v>0</v>
      </c>
      <c r="T67" s="26">
        <f t="shared" si="570"/>
        <v>0</v>
      </c>
      <c r="U67" s="26">
        <f t="shared" si="570"/>
        <v>0</v>
      </c>
      <c r="V67" s="26">
        <f t="shared" si="570"/>
        <v>0</v>
      </c>
      <c r="W67" s="26">
        <f t="shared" si="570"/>
        <v>0</v>
      </c>
      <c r="X67" s="26">
        <f t="shared" si="570"/>
        <v>0</v>
      </c>
      <c r="Y67" s="26">
        <f t="shared" si="570"/>
        <v>0</v>
      </c>
      <c r="Z67" s="26">
        <f t="shared" si="570"/>
        <v>0</v>
      </c>
      <c r="AA67" s="26">
        <f t="shared" si="570"/>
        <v>0</v>
      </c>
      <c r="AB67" s="26">
        <f t="shared" si="570"/>
        <v>0</v>
      </c>
      <c r="AC67" s="26">
        <f t="shared" si="570"/>
        <v>0</v>
      </c>
      <c r="AD67" s="26">
        <f t="shared" si="570"/>
        <v>0</v>
      </c>
      <c r="AE67" s="26">
        <f t="shared" si="570"/>
        <v>0</v>
      </c>
      <c r="AF67" s="26">
        <f t="shared" si="570"/>
        <v>0</v>
      </c>
      <c r="AG67" s="26">
        <f t="shared" si="570"/>
        <v>0</v>
      </c>
      <c r="AH67" s="26">
        <f t="shared" si="570"/>
        <v>0</v>
      </c>
      <c r="AI67" s="26">
        <f t="shared" si="570"/>
        <v>0</v>
      </c>
      <c r="AJ67" s="26">
        <f t="shared" si="570"/>
        <v>0</v>
      </c>
      <c r="AK67" s="26">
        <f t="shared" si="570"/>
        <v>-0.07</v>
      </c>
      <c r="AL67" s="26">
        <f t="shared" si="570"/>
        <v>0</v>
      </c>
      <c r="AM67" s="26">
        <f t="shared" si="570"/>
        <v>0</v>
      </c>
      <c r="AN67" s="26">
        <f t="shared" si="570"/>
        <v>0</v>
      </c>
      <c r="AO67" s="26">
        <f t="shared" si="570"/>
        <v>0</v>
      </c>
      <c r="AP67" s="26">
        <f t="shared" si="570"/>
        <v>0</v>
      </c>
      <c r="AQ67" s="26">
        <f t="shared" si="570"/>
        <v>0</v>
      </c>
      <c r="AR67" s="26">
        <f t="shared" si="570"/>
        <v>-0.2</v>
      </c>
      <c r="AS67" s="26">
        <f t="shared" si="570"/>
        <v>0</v>
      </c>
      <c r="AT67" s="26">
        <f t="shared" si="570"/>
        <v>0</v>
      </c>
      <c r="AU67" s="26">
        <f t="shared" si="570"/>
        <v>0</v>
      </c>
      <c r="AV67" s="26">
        <f t="shared" si="570"/>
        <v>0</v>
      </c>
      <c r="AW67" s="26">
        <f t="shared" si="570"/>
        <v>0</v>
      </c>
      <c r="AX67" s="26">
        <f t="shared" si="570"/>
        <v>0</v>
      </c>
      <c r="AY67" s="26">
        <f t="shared" si="570"/>
        <v>0</v>
      </c>
      <c r="AZ67" s="26">
        <f t="shared" si="570"/>
        <v>0</v>
      </c>
      <c r="BA67" s="26">
        <f t="shared" si="570"/>
        <v>0</v>
      </c>
      <c r="BB67" s="26">
        <f t="shared" si="570"/>
        <v>0</v>
      </c>
      <c r="BC67" s="26">
        <f t="shared" si="570"/>
        <v>0</v>
      </c>
      <c r="BD67" s="26">
        <f t="shared" si="570"/>
        <v>0</v>
      </c>
      <c r="BE67" s="26">
        <f t="shared" si="570"/>
        <v>0</v>
      </c>
      <c r="BF67" s="26">
        <f t="shared" si="570"/>
        <v>0</v>
      </c>
      <c r="BG67" s="26">
        <f t="shared" si="570"/>
        <v>0</v>
      </c>
      <c r="BH67" s="26">
        <f t="shared" si="570"/>
        <v>0</v>
      </c>
      <c r="BI67" s="26">
        <f t="shared" si="570"/>
        <v>0</v>
      </c>
      <c r="BJ67" s="26">
        <f t="shared" si="570"/>
        <v>0</v>
      </c>
      <c r="BK67" s="26">
        <f t="shared" si="570"/>
        <v>0</v>
      </c>
      <c r="BL67" s="26">
        <f t="shared" si="570"/>
        <v>0</v>
      </c>
      <c r="BM67" s="26">
        <f t="shared" si="570"/>
        <v>0</v>
      </c>
      <c r="BN67" s="26">
        <f t="shared" si="570"/>
        <v>0</v>
      </c>
      <c r="BO67" s="26">
        <f t="shared" si="570"/>
        <v>0</v>
      </c>
      <c r="BP67" s="26">
        <f t="shared" si="570"/>
        <v>0</v>
      </c>
      <c r="BQ67" s="26">
        <f t="shared" si="570"/>
        <v>0</v>
      </c>
      <c r="BR67" s="26">
        <f t="shared" ref="BR67:DJ67" si="571">ROUND(-BR8*$DP$62,2)</f>
        <v>0</v>
      </c>
      <c r="BS67" s="26">
        <f t="shared" si="571"/>
        <v>0</v>
      </c>
      <c r="BT67" s="26">
        <f t="shared" si="571"/>
        <v>0</v>
      </c>
      <c r="BU67" s="26">
        <f t="shared" si="571"/>
        <v>0</v>
      </c>
      <c r="BV67" s="26">
        <f t="shared" si="571"/>
        <v>0</v>
      </c>
      <c r="BW67" s="26">
        <f t="shared" si="571"/>
        <v>0</v>
      </c>
      <c r="BX67" s="26">
        <f t="shared" si="571"/>
        <v>0</v>
      </c>
      <c r="BY67" s="26">
        <f t="shared" si="571"/>
        <v>0</v>
      </c>
      <c r="BZ67" s="26">
        <f t="shared" si="571"/>
        <v>-0.21</v>
      </c>
      <c r="CA67" s="26">
        <f t="shared" si="571"/>
        <v>0</v>
      </c>
      <c r="CB67" s="26">
        <f t="shared" si="571"/>
        <v>0</v>
      </c>
      <c r="CC67" s="26">
        <f t="shared" si="571"/>
        <v>0</v>
      </c>
      <c r="CD67" s="26">
        <f t="shared" si="571"/>
        <v>0</v>
      </c>
      <c r="CE67" s="26">
        <f t="shared" si="571"/>
        <v>0</v>
      </c>
      <c r="CF67" s="26">
        <f t="shared" si="571"/>
        <v>0</v>
      </c>
      <c r="CG67" s="26">
        <f t="shared" si="571"/>
        <v>0</v>
      </c>
      <c r="CH67" s="26">
        <f t="shared" si="571"/>
        <v>0</v>
      </c>
      <c r="CI67" s="26">
        <f t="shared" si="571"/>
        <v>0</v>
      </c>
      <c r="CJ67" s="26">
        <f t="shared" si="571"/>
        <v>-0.05</v>
      </c>
      <c r="CK67" s="26">
        <f t="shared" si="571"/>
        <v>0</v>
      </c>
      <c r="CL67" s="26">
        <f t="shared" si="571"/>
        <v>0</v>
      </c>
      <c r="CM67" s="26">
        <f t="shared" si="571"/>
        <v>0</v>
      </c>
      <c r="CN67" s="26">
        <f t="shared" si="571"/>
        <v>0</v>
      </c>
      <c r="CO67" s="26">
        <f t="shared" si="571"/>
        <v>0</v>
      </c>
      <c r="CP67" s="26">
        <f t="shared" si="571"/>
        <v>0</v>
      </c>
      <c r="CQ67" s="26">
        <f t="shared" si="571"/>
        <v>0</v>
      </c>
      <c r="CR67" s="26">
        <f t="shared" si="571"/>
        <v>-0.06</v>
      </c>
      <c r="CS67" s="26">
        <f t="shared" si="571"/>
        <v>0</v>
      </c>
      <c r="CT67" s="26">
        <f t="shared" si="571"/>
        <v>0</v>
      </c>
      <c r="CU67" s="26">
        <f t="shared" si="571"/>
        <v>0</v>
      </c>
      <c r="CV67" s="26">
        <f t="shared" si="571"/>
        <v>0</v>
      </c>
      <c r="CW67" s="26">
        <f t="shared" si="571"/>
        <v>0</v>
      </c>
      <c r="CX67" s="26">
        <f t="shared" si="571"/>
        <v>0</v>
      </c>
      <c r="CY67" s="26">
        <f t="shared" si="571"/>
        <v>0</v>
      </c>
      <c r="CZ67" s="26">
        <f t="shared" si="571"/>
        <v>0</v>
      </c>
      <c r="DA67" s="26">
        <f t="shared" si="571"/>
        <v>0</v>
      </c>
      <c r="DB67" s="26">
        <f t="shared" si="571"/>
        <v>0</v>
      </c>
      <c r="DC67" s="26">
        <f t="shared" si="571"/>
        <v>0</v>
      </c>
      <c r="DD67" s="26">
        <f t="shared" si="571"/>
        <v>0</v>
      </c>
      <c r="DE67" s="26">
        <f t="shared" si="571"/>
        <v>0</v>
      </c>
      <c r="DF67" s="26">
        <f t="shared" si="571"/>
        <v>0</v>
      </c>
      <c r="DG67" s="26">
        <f t="shared" si="571"/>
        <v>0</v>
      </c>
      <c r="DH67" s="26">
        <f t="shared" si="571"/>
        <v>0</v>
      </c>
      <c r="DI67" s="26">
        <f t="shared" si="571"/>
        <v>0</v>
      </c>
      <c r="DJ67" s="26">
        <f t="shared" si="571"/>
        <v>0</v>
      </c>
      <c r="DK67" s="8">
        <f t="shared" si="564"/>
        <v>0.0317097919837646</v>
      </c>
      <c r="DL67">
        <v>0</v>
      </c>
      <c r="DM67">
        <v>5</v>
      </c>
      <c r="DS67" s="26">
        <f t="shared" si="565"/>
        <v>0</v>
      </c>
      <c r="DT67" s="26">
        <f t="shared" si="470"/>
        <v>0</v>
      </c>
      <c r="DU67" s="26">
        <f t="shared" si="471"/>
        <v>0</v>
      </c>
      <c r="DV67" s="26">
        <f t="shared" si="472"/>
        <v>0</v>
      </c>
      <c r="DW67" s="26">
        <f t="shared" si="473"/>
        <v>0</v>
      </c>
      <c r="DX67" s="26">
        <f t="shared" si="474"/>
        <v>0</v>
      </c>
      <c r="DY67" s="26">
        <f t="shared" si="475"/>
        <v>0</v>
      </c>
      <c r="DZ67" s="26">
        <f t="shared" si="476"/>
        <v>0</v>
      </c>
      <c r="EA67" s="26">
        <f t="shared" si="477"/>
        <v>0</v>
      </c>
      <c r="EB67" s="26">
        <f t="shared" si="478"/>
        <v>0</v>
      </c>
      <c r="EC67" s="26">
        <f t="shared" si="479"/>
        <v>0</v>
      </c>
      <c r="ED67" s="26">
        <f t="shared" si="480"/>
        <v>0</v>
      </c>
      <c r="EE67" s="26">
        <f t="shared" si="481"/>
        <v>0</v>
      </c>
      <c r="EF67" s="26">
        <f t="shared" si="482"/>
        <v>0</v>
      </c>
      <c r="EG67" s="26">
        <f t="shared" si="483"/>
        <v>0</v>
      </c>
      <c r="EH67" s="26">
        <f t="shared" si="484"/>
        <v>0</v>
      </c>
      <c r="EI67" s="26">
        <f t="shared" si="485"/>
        <v>0</v>
      </c>
      <c r="EJ67" s="26">
        <f t="shared" si="486"/>
        <v>0</v>
      </c>
      <c r="EK67" s="26">
        <f t="shared" si="487"/>
        <v>0</v>
      </c>
      <c r="EL67" s="26">
        <f t="shared" si="488"/>
        <v>0</v>
      </c>
      <c r="EM67" s="26">
        <f t="shared" si="489"/>
        <v>0</v>
      </c>
      <c r="EN67" s="26">
        <f t="shared" si="490"/>
        <v>0</v>
      </c>
      <c r="EO67" s="26">
        <f t="shared" si="491"/>
        <v>0</v>
      </c>
      <c r="EP67" s="26">
        <f t="shared" si="492"/>
        <v>0</v>
      </c>
      <c r="EQ67" s="26">
        <f t="shared" si="493"/>
        <v>0</v>
      </c>
      <c r="ER67" s="26">
        <f t="shared" si="494"/>
        <v>0</v>
      </c>
      <c r="ES67" s="26">
        <f t="shared" si="495"/>
        <v>0</v>
      </c>
      <c r="ET67" s="26">
        <f t="shared" si="496"/>
        <v>0</v>
      </c>
      <c r="EU67" s="26">
        <f t="shared" si="497"/>
        <v>0</v>
      </c>
      <c r="EV67" s="26">
        <f t="shared" si="498"/>
        <v>0</v>
      </c>
      <c r="EW67" s="26">
        <f t="shared" si="499"/>
        <v>0</v>
      </c>
      <c r="EX67" s="26">
        <f t="shared" si="500"/>
        <v>0.07</v>
      </c>
      <c r="EY67" s="26">
        <f t="shared" si="501"/>
        <v>0</v>
      </c>
      <c r="EZ67" s="26">
        <f t="shared" si="502"/>
        <v>0</v>
      </c>
      <c r="FA67" s="26">
        <f t="shared" si="503"/>
        <v>0</v>
      </c>
      <c r="FB67" s="26">
        <f t="shared" si="504"/>
        <v>0</v>
      </c>
      <c r="FC67" s="26">
        <f t="shared" si="505"/>
        <v>0</v>
      </c>
      <c r="FD67" s="26">
        <f t="shared" si="506"/>
        <v>0</v>
      </c>
      <c r="FE67" s="26">
        <f t="shared" si="507"/>
        <v>0.2</v>
      </c>
      <c r="FF67" s="26">
        <f t="shared" si="508"/>
        <v>0</v>
      </c>
      <c r="FG67" s="26">
        <f t="shared" si="509"/>
        <v>0</v>
      </c>
      <c r="FH67" s="26">
        <f t="shared" si="510"/>
        <v>0</v>
      </c>
      <c r="FI67" s="26">
        <f t="shared" si="511"/>
        <v>0</v>
      </c>
      <c r="FJ67" s="26">
        <f t="shared" si="512"/>
        <v>0</v>
      </c>
      <c r="FK67" s="26">
        <f t="shared" si="513"/>
        <v>0</v>
      </c>
      <c r="FL67" s="26">
        <f t="shared" si="514"/>
        <v>0</v>
      </c>
      <c r="FM67" s="26">
        <f t="shared" si="515"/>
        <v>0</v>
      </c>
      <c r="FN67" s="26">
        <f t="shared" si="516"/>
        <v>0</v>
      </c>
      <c r="FO67" s="26">
        <f t="shared" si="517"/>
        <v>0</v>
      </c>
      <c r="FP67" s="26">
        <f t="shared" si="518"/>
        <v>0</v>
      </c>
      <c r="FQ67" s="26">
        <f t="shared" si="519"/>
        <v>0</v>
      </c>
      <c r="FR67" s="26">
        <f t="shared" si="520"/>
        <v>0</v>
      </c>
      <c r="FS67" s="26">
        <f t="shared" si="521"/>
        <v>0</v>
      </c>
      <c r="FT67" s="26">
        <f t="shared" si="522"/>
        <v>0</v>
      </c>
      <c r="FU67" s="26">
        <f t="shared" si="523"/>
        <v>0</v>
      </c>
      <c r="FV67" s="26">
        <f t="shared" si="524"/>
        <v>0</v>
      </c>
      <c r="FW67" s="26">
        <f t="shared" si="525"/>
        <v>0</v>
      </c>
      <c r="FX67" s="26">
        <f t="shared" si="526"/>
        <v>0</v>
      </c>
      <c r="FY67" s="26">
        <f t="shared" si="527"/>
        <v>0</v>
      </c>
      <c r="FZ67" s="26">
        <f t="shared" si="528"/>
        <v>0</v>
      </c>
      <c r="GA67" s="26">
        <f t="shared" si="529"/>
        <v>0</v>
      </c>
      <c r="GB67" s="26">
        <f t="shared" si="530"/>
        <v>0</v>
      </c>
      <c r="GC67" s="26">
        <f t="shared" si="531"/>
        <v>0</v>
      </c>
      <c r="GD67" s="26">
        <f t="shared" si="532"/>
        <v>0</v>
      </c>
      <c r="GE67" s="26">
        <f t="shared" si="533"/>
        <v>0</v>
      </c>
      <c r="GF67" s="26">
        <f t="shared" si="533"/>
        <v>0</v>
      </c>
      <c r="GG67" s="26">
        <f t="shared" si="533"/>
        <v>0</v>
      </c>
      <c r="GH67" s="26">
        <f t="shared" si="533"/>
        <v>0</v>
      </c>
      <c r="GI67" s="26">
        <f t="shared" si="533"/>
        <v>0</v>
      </c>
      <c r="GJ67" s="26">
        <f t="shared" si="533"/>
        <v>0</v>
      </c>
      <c r="GK67" s="26">
        <f t="shared" si="533"/>
        <v>0</v>
      </c>
      <c r="GL67" s="26">
        <f t="shared" si="533"/>
        <v>0</v>
      </c>
      <c r="GM67" s="26">
        <f t="shared" si="533"/>
        <v>0.21</v>
      </c>
      <c r="GN67" s="26">
        <f t="shared" si="533"/>
        <v>0</v>
      </c>
      <c r="GO67" s="26">
        <f t="shared" si="533"/>
        <v>0</v>
      </c>
      <c r="GP67" s="26">
        <f t="shared" si="533"/>
        <v>0</v>
      </c>
      <c r="GQ67" s="26">
        <f t="shared" si="533"/>
        <v>0</v>
      </c>
      <c r="GR67" s="26">
        <f t="shared" si="533"/>
        <v>0</v>
      </c>
      <c r="GS67" s="26">
        <f t="shared" si="533"/>
        <v>0</v>
      </c>
      <c r="GT67" s="26">
        <f t="shared" si="533"/>
        <v>0</v>
      </c>
      <c r="GU67" s="26">
        <f t="shared" si="533"/>
        <v>0</v>
      </c>
      <c r="GV67" s="26">
        <f t="shared" si="534"/>
        <v>0</v>
      </c>
      <c r="GW67" s="26">
        <f t="shared" si="535"/>
        <v>0.05</v>
      </c>
      <c r="GX67" s="26">
        <f t="shared" si="536"/>
        <v>0</v>
      </c>
      <c r="GY67" s="26">
        <f t="shared" si="537"/>
        <v>0</v>
      </c>
      <c r="GZ67" s="26">
        <f t="shared" si="538"/>
        <v>0</v>
      </c>
      <c r="HA67" s="26">
        <f t="shared" si="539"/>
        <v>0</v>
      </c>
      <c r="HB67" s="26">
        <f t="shared" si="540"/>
        <v>0</v>
      </c>
      <c r="HC67" s="26">
        <f t="shared" si="541"/>
        <v>0</v>
      </c>
      <c r="HD67" s="26">
        <f t="shared" si="542"/>
        <v>0</v>
      </c>
      <c r="HE67" s="26">
        <f t="shared" si="543"/>
        <v>0.06</v>
      </c>
      <c r="HF67" s="26">
        <f t="shared" si="544"/>
        <v>0</v>
      </c>
      <c r="HG67" s="26">
        <f t="shared" si="545"/>
        <v>0</v>
      </c>
      <c r="HH67" s="26">
        <f t="shared" si="546"/>
        <v>0</v>
      </c>
      <c r="HI67" s="26">
        <f t="shared" si="547"/>
        <v>0</v>
      </c>
      <c r="HJ67" s="26">
        <f t="shared" si="548"/>
        <v>0</v>
      </c>
      <c r="HK67" s="26">
        <f t="shared" si="549"/>
        <v>0</v>
      </c>
      <c r="HL67" s="26">
        <f t="shared" si="550"/>
        <v>0</v>
      </c>
      <c r="HM67" s="26">
        <f t="shared" si="551"/>
        <v>0</v>
      </c>
      <c r="HN67" s="26">
        <f t="shared" si="552"/>
        <v>0</v>
      </c>
      <c r="HO67" s="26">
        <f t="shared" si="553"/>
        <v>0</v>
      </c>
      <c r="HP67" s="26">
        <f t="shared" si="554"/>
        <v>0</v>
      </c>
      <c r="HQ67" s="26">
        <f t="shared" si="555"/>
        <v>0</v>
      </c>
      <c r="HR67" s="26">
        <f t="shared" si="556"/>
        <v>0</v>
      </c>
      <c r="HS67" s="26">
        <f t="shared" si="557"/>
        <v>0</v>
      </c>
      <c r="HT67" s="26">
        <f t="shared" si="558"/>
        <v>0</v>
      </c>
      <c r="HU67" s="26">
        <f t="shared" si="559"/>
        <v>0</v>
      </c>
      <c r="HV67" s="26">
        <f t="shared" si="560"/>
        <v>0</v>
      </c>
      <c r="HW67" s="26">
        <f t="shared" si="561"/>
        <v>0</v>
      </c>
      <c r="HX67" s="26" t="str">
        <f t="shared" si="466"/>
        <v>ELE,CHP</v>
      </c>
      <c r="HY67" s="26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404</v>
      </c>
      <c r="D68" t="str">
        <f t="shared" ref="D68:D69" si="573">D57</f>
        <v>???OIL_DST</v>
      </c>
      <c r="F68" s="26">
        <f t="shared" ref="F68:BQ68" si="574">ROUND(-F9*$DP$62,2)</f>
        <v>0</v>
      </c>
      <c r="G68" s="26">
        <f t="shared" si="574"/>
        <v>-0.04</v>
      </c>
      <c r="H68" s="26">
        <f t="shared" si="574"/>
        <v>0</v>
      </c>
      <c r="I68" s="26">
        <f t="shared" si="574"/>
        <v>-0.09</v>
      </c>
      <c r="J68" s="26">
        <f t="shared" si="574"/>
        <v>0</v>
      </c>
      <c r="K68" s="26">
        <f t="shared" si="574"/>
        <v>-0.01</v>
      </c>
      <c r="L68" s="26">
        <f t="shared" si="574"/>
        <v>0</v>
      </c>
      <c r="M68" s="26">
        <f t="shared" si="574"/>
        <v>-0.01</v>
      </c>
      <c r="N68" s="26">
        <f t="shared" si="574"/>
        <v>-0.05</v>
      </c>
      <c r="O68" s="26">
        <f t="shared" si="574"/>
        <v>0</v>
      </c>
      <c r="P68" s="26">
        <f t="shared" si="574"/>
        <v>-0.21</v>
      </c>
      <c r="Q68" s="26">
        <f t="shared" si="574"/>
        <v>0</v>
      </c>
      <c r="R68" s="26">
        <f t="shared" si="574"/>
        <v>-0.03</v>
      </c>
      <c r="S68" s="26">
        <f t="shared" si="574"/>
        <v>0</v>
      </c>
      <c r="T68" s="26">
        <f t="shared" si="574"/>
        <v>0</v>
      </c>
      <c r="U68" s="26">
        <f t="shared" si="574"/>
        <v>-0.02</v>
      </c>
      <c r="V68" s="26">
        <f t="shared" si="574"/>
        <v>0</v>
      </c>
      <c r="W68" s="26">
        <f t="shared" si="574"/>
        <v>0</v>
      </c>
      <c r="X68" s="26">
        <f t="shared" si="574"/>
        <v>-0.01</v>
      </c>
      <c r="Y68" s="26">
        <f t="shared" si="574"/>
        <v>0</v>
      </c>
      <c r="Z68" s="26">
        <f t="shared" si="574"/>
        <v>-0.08</v>
      </c>
      <c r="AA68" s="26">
        <f t="shared" si="574"/>
        <v>0</v>
      </c>
      <c r="AB68" s="26">
        <f t="shared" si="574"/>
        <v>0</v>
      </c>
      <c r="AC68" s="26">
        <f t="shared" si="574"/>
        <v>0</v>
      </c>
      <c r="AD68" s="26">
        <f t="shared" si="574"/>
        <v>0</v>
      </c>
      <c r="AE68" s="26">
        <f t="shared" si="574"/>
        <v>0</v>
      </c>
      <c r="AF68" s="26">
        <f t="shared" si="574"/>
        <v>0</v>
      </c>
      <c r="AG68" s="26">
        <f t="shared" si="574"/>
        <v>0</v>
      </c>
      <c r="AH68" s="26">
        <f t="shared" si="574"/>
        <v>-0.05</v>
      </c>
      <c r="AI68" s="26">
        <f t="shared" si="574"/>
        <v>0</v>
      </c>
      <c r="AJ68" s="26">
        <f t="shared" si="574"/>
        <v>-0.01</v>
      </c>
      <c r="AK68" s="26">
        <f t="shared" si="574"/>
        <v>-0.01</v>
      </c>
      <c r="AL68" s="26">
        <f t="shared" si="574"/>
        <v>-0.03</v>
      </c>
      <c r="AM68" s="26">
        <f t="shared" si="574"/>
        <v>-0.01</v>
      </c>
      <c r="AN68" s="26">
        <f t="shared" si="574"/>
        <v>0</v>
      </c>
      <c r="AO68" s="26">
        <f t="shared" si="574"/>
        <v>-0.21</v>
      </c>
      <c r="AP68" s="26">
        <f t="shared" si="574"/>
        <v>-0.03</v>
      </c>
      <c r="AQ68" s="26">
        <f t="shared" si="574"/>
        <v>-0.12</v>
      </c>
      <c r="AR68" s="26">
        <f t="shared" si="574"/>
        <v>0</v>
      </c>
      <c r="AS68" s="26">
        <f t="shared" si="574"/>
        <v>-0.01</v>
      </c>
      <c r="AT68" s="26">
        <f t="shared" si="574"/>
        <v>-0.02</v>
      </c>
      <c r="AU68" s="26">
        <f t="shared" si="574"/>
        <v>-0.04</v>
      </c>
      <c r="AV68" s="26">
        <f t="shared" si="574"/>
        <v>0</v>
      </c>
      <c r="AW68" s="26">
        <f t="shared" si="574"/>
        <v>-0.05</v>
      </c>
      <c r="AX68" s="26">
        <f t="shared" si="574"/>
        <v>0</v>
      </c>
      <c r="AY68" s="26">
        <f t="shared" si="574"/>
        <v>-0.07</v>
      </c>
      <c r="AZ68" s="26">
        <f t="shared" si="574"/>
        <v>-0.13</v>
      </c>
      <c r="BA68" s="26">
        <f t="shared" si="574"/>
        <v>0</v>
      </c>
      <c r="BB68" s="26">
        <f t="shared" si="574"/>
        <v>0</v>
      </c>
      <c r="BC68" s="26">
        <f t="shared" si="574"/>
        <v>0</v>
      </c>
      <c r="BD68" s="26">
        <f t="shared" si="574"/>
        <v>0</v>
      </c>
      <c r="BE68" s="26">
        <f t="shared" si="574"/>
        <v>0</v>
      </c>
      <c r="BF68" s="26">
        <f t="shared" si="574"/>
        <v>0</v>
      </c>
      <c r="BG68" s="26">
        <f t="shared" si="574"/>
        <v>0</v>
      </c>
      <c r="BH68" s="26">
        <f t="shared" si="574"/>
        <v>-0.03</v>
      </c>
      <c r="BI68" s="26">
        <f t="shared" si="574"/>
        <v>0</v>
      </c>
      <c r="BJ68" s="26">
        <f t="shared" si="574"/>
        <v>-0.06</v>
      </c>
      <c r="BK68" s="26">
        <f t="shared" si="574"/>
        <v>0</v>
      </c>
      <c r="BL68" s="26">
        <f t="shared" si="574"/>
        <v>0</v>
      </c>
      <c r="BM68" s="26">
        <f t="shared" si="574"/>
        <v>0</v>
      </c>
      <c r="BN68" s="26">
        <f t="shared" si="574"/>
        <v>0</v>
      </c>
      <c r="BO68" s="26">
        <f t="shared" si="574"/>
        <v>-0.06</v>
      </c>
      <c r="BP68" s="26">
        <f t="shared" si="574"/>
        <v>0</v>
      </c>
      <c r="BQ68" s="26">
        <f t="shared" si="574"/>
        <v>0</v>
      </c>
      <c r="BR68" s="26">
        <f t="shared" ref="BR68:DJ68" si="575">ROUND(-BR9*$DP$62,2)</f>
        <v>0</v>
      </c>
      <c r="BS68" s="26">
        <f t="shared" si="575"/>
        <v>0</v>
      </c>
      <c r="BT68" s="26">
        <f t="shared" si="575"/>
        <v>0</v>
      </c>
      <c r="BU68" s="26">
        <f t="shared" si="575"/>
        <v>-0.01</v>
      </c>
      <c r="BV68" s="26">
        <f t="shared" si="575"/>
        <v>-0.08</v>
      </c>
      <c r="BW68" s="26">
        <f t="shared" si="575"/>
        <v>-0.01</v>
      </c>
      <c r="BX68" s="26">
        <f t="shared" si="575"/>
        <v>-0.05</v>
      </c>
      <c r="BY68" s="26">
        <f t="shared" si="575"/>
        <v>0</v>
      </c>
      <c r="BZ68" s="26">
        <f t="shared" si="575"/>
        <v>-0.01</v>
      </c>
      <c r="CA68" s="26">
        <f t="shared" si="575"/>
        <v>-0.15</v>
      </c>
      <c r="CB68" s="26">
        <f t="shared" si="575"/>
        <v>0</v>
      </c>
      <c r="CC68" s="26">
        <f t="shared" si="575"/>
        <v>0</v>
      </c>
      <c r="CD68" s="26">
        <f t="shared" si="575"/>
        <v>0</v>
      </c>
      <c r="CE68" s="26">
        <f t="shared" si="575"/>
        <v>-0.21</v>
      </c>
      <c r="CF68" s="26">
        <f t="shared" si="575"/>
        <v>-0.02</v>
      </c>
      <c r="CG68" s="26">
        <f t="shared" si="575"/>
        <v>0</v>
      </c>
      <c r="CH68" s="26">
        <f t="shared" si="575"/>
        <v>0</v>
      </c>
      <c r="CI68" s="26">
        <f t="shared" si="575"/>
        <v>0</v>
      </c>
      <c r="CJ68" s="26">
        <f t="shared" si="575"/>
        <v>0</v>
      </c>
      <c r="CK68" s="26">
        <f t="shared" si="575"/>
        <v>0</v>
      </c>
      <c r="CL68" s="26">
        <f t="shared" si="575"/>
        <v>0</v>
      </c>
      <c r="CM68" s="26">
        <f t="shared" si="575"/>
        <v>0</v>
      </c>
      <c r="CN68" s="26">
        <f t="shared" si="575"/>
        <v>0</v>
      </c>
      <c r="CO68" s="26">
        <f t="shared" si="575"/>
        <v>0</v>
      </c>
      <c r="CP68" s="26">
        <f t="shared" si="575"/>
        <v>-0.14</v>
      </c>
      <c r="CQ68" s="26">
        <f t="shared" si="575"/>
        <v>-0.07</v>
      </c>
      <c r="CR68" s="26">
        <f t="shared" si="575"/>
        <v>0</v>
      </c>
      <c r="CS68" s="26">
        <f t="shared" si="575"/>
        <v>0</v>
      </c>
      <c r="CT68" s="26">
        <f t="shared" si="575"/>
        <v>0</v>
      </c>
      <c r="CU68" s="26">
        <f t="shared" si="575"/>
        <v>0</v>
      </c>
      <c r="CV68" s="26">
        <f t="shared" si="575"/>
        <v>0</v>
      </c>
      <c r="CW68" s="26">
        <f t="shared" si="575"/>
        <v>-0.01</v>
      </c>
      <c r="CX68" s="26">
        <f t="shared" si="575"/>
        <v>-0.03</v>
      </c>
      <c r="CY68" s="26">
        <f t="shared" si="575"/>
        <v>0</v>
      </c>
      <c r="CZ68" s="26">
        <f t="shared" si="575"/>
        <v>0</v>
      </c>
      <c r="DA68" s="26">
        <f t="shared" si="575"/>
        <v>0</v>
      </c>
      <c r="DB68" s="26">
        <f t="shared" si="575"/>
        <v>-0.02</v>
      </c>
      <c r="DC68" s="26">
        <f t="shared" si="575"/>
        <v>0</v>
      </c>
      <c r="DD68" s="26">
        <f t="shared" si="575"/>
        <v>0</v>
      </c>
      <c r="DE68" s="26">
        <f t="shared" si="575"/>
        <v>-0.06</v>
      </c>
      <c r="DF68" s="26">
        <f t="shared" si="575"/>
        <v>0</v>
      </c>
      <c r="DG68" s="26">
        <f t="shared" si="575"/>
        <v>-0.08</v>
      </c>
      <c r="DH68" s="26">
        <f t="shared" si="575"/>
        <v>-0.1</v>
      </c>
      <c r="DI68" s="26">
        <f t="shared" si="575"/>
        <v>0</v>
      </c>
      <c r="DJ68" s="26">
        <f t="shared" si="575"/>
        <v>0</v>
      </c>
      <c r="DK68" s="8">
        <f t="shared" si="564"/>
        <v>0.0317097919837646</v>
      </c>
      <c r="DL68">
        <v>0</v>
      </c>
      <c r="DM68">
        <v>5</v>
      </c>
      <c r="DS68" s="26">
        <f t="shared" ref="DS68:DS69" si="576">-F68</f>
        <v>0</v>
      </c>
      <c r="DT68" s="26">
        <f t="shared" si="470"/>
        <v>0.04</v>
      </c>
      <c r="DU68" s="26">
        <f t="shared" si="471"/>
        <v>0</v>
      </c>
      <c r="DV68" s="26">
        <f t="shared" si="472"/>
        <v>0.09</v>
      </c>
      <c r="DW68" s="26">
        <f t="shared" si="473"/>
        <v>0</v>
      </c>
      <c r="DX68" s="26">
        <f t="shared" si="474"/>
        <v>0.01</v>
      </c>
      <c r="DY68" s="26">
        <f t="shared" si="475"/>
        <v>0</v>
      </c>
      <c r="DZ68" s="26">
        <f t="shared" si="476"/>
        <v>0.01</v>
      </c>
      <c r="EA68" s="26">
        <f t="shared" si="477"/>
        <v>0.05</v>
      </c>
      <c r="EB68" s="26">
        <f t="shared" si="478"/>
        <v>0</v>
      </c>
      <c r="EC68" s="26">
        <f t="shared" si="479"/>
        <v>0.21</v>
      </c>
      <c r="ED68" s="26">
        <f t="shared" si="480"/>
        <v>0</v>
      </c>
      <c r="EE68" s="26">
        <f t="shared" si="481"/>
        <v>0.03</v>
      </c>
      <c r="EF68" s="26">
        <f t="shared" si="482"/>
        <v>0</v>
      </c>
      <c r="EG68" s="26">
        <f t="shared" si="483"/>
        <v>0</v>
      </c>
      <c r="EH68" s="26">
        <f t="shared" si="484"/>
        <v>0.02</v>
      </c>
      <c r="EI68" s="26">
        <f t="shared" si="485"/>
        <v>0</v>
      </c>
      <c r="EJ68" s="26">
        <f t="shared" si="486"/>
        <v>0</v>
      </c>
      <c r="EK68" s="26">
        <f t="shared" si="487"/>
        <v>0.01</v>
      </c>
      <c r="EL68" s="26">
        <f t="shared" si="488"/>
        <v>0</v>
      </c>
      <c r="EM68" s="26">
        <f t="shared" si="489"/>
        <v>0.08</v>
      </c>
      <c r="EN68" s="26">
        <f t="shared" si="490"/>
        <v>0</v>
      </c>
      <c r="EO68" s="26">
        <f t="shared" si="491"/>
        <v>0</v>
      </c>
      <c r="EP68" s="26">
        <f t="shared" si="492"/>
        <v>0</v>
      </c>
      <c r="EQ68" s="26">
        <f t="shared" si="493"/>
        <v>0</v>
      </c>
      <c r="ER68" s="26">
        <f t="shared" si="494"/>
        <v>0</v>
      </c>
      <c r="ES68" s="26">
        <f t="shared" si="495"/>
        <v>0</v>
      </c>
      <c r="ET68" s="26">
        <f t="shared" si="496"/>
        <v>0</v>
      </c>
      <c r="EU68" s="26">
        <f t="shared" si="497"/>
        <v>0.05</v>
      </c>
      <c r="EV68" s="26">
        <f t="shared" si="498"/>
        <v>0</v>
      </c>
      <c r="EW68" s="26">
        <f t="shared" si="499"/>
        <v>0.01</v>
      </c>
      <c r="EX68" s="26">
        <f t="shared" si="500"/>
        <v>0.01</v>
      </c>
      <c r="EY68" s="26">
        <f t="shared" si="501"/>
        <v>0.03</v>
      </c>
      <c r="EZ68" s="26">
        <f t="shared" si="502"/>
        <v>0.01</v>
      </c>
      <c r="FA68" s="26">
        <f t="shared" si="503"/>
        <v>0</v>
      </c>
      <c r="FB68" s="26">
        <f t="shared" si="504"/>
        <v>0.21</v>
      </c>
      <c r="FC68" s="26">
        <f t="shared" si="505"/>
        <v>0.03</v>
      </c>
      <c r="FD68" s="26">
        <f t="shared" si="506"/>
        <v>0.12</v>
      </c>
      <c r="FE68" s="26">
        <f t="shared" si="507"/>
        <v>0</v>
      </c>
      <c r="FF68" s="26">
        <f t="shared" si="508"/>
        <v>0.01</v>
      </c>
      <c r="FG68" s="26">
        <f t="shared" si="509"/>
        <v>0.02</v>
      </c>
      <c r="FH68" s="26">
        <f t="shared" si="510"/>
        <v>0.04</v>
      </c>
      <c r="FI68" s="26">
        <f t="shared" si="511"/>
        <v>0</v>
      </c>
      <c r="FJ68" s="26">
        <f t="shared" si="512"/>
        <v>0.05</v>
      </c>
      <c r="FK68" s="26">
        <f t="shared" si="513"/>
        <v>0</v>
      </c>
      <c r="FL68" s="26">
        <f t="shared" si="514"/>
        <v>0.07</v>
      </c>
      <c r="FM68" s="26">
        <f t="shared" si="515"/>
        <v>0.13</v>
      </c>
      <c r="FN68" s="26">
        <f t="shared" si="516"/>
        <v>0</v>
      </c>
      <c r="FO68" s="26">
        <f t="shared" si="517"/>
        <v>0</v>
      </c>
      <c r="FP68" s="26">
        <f t="shared" si="518"/>
        <v>0</v>
      </c>
      <c r="FQ68" s="26">
        <f t="shared" si="519"/>
        <v>0</v>
      </c>
      <c r="FR68" s="26">
        <f t="shared" si="520"/>
        <v>0</v>
      </c>
      <c r="FS68" s="26">
        <f t="shared" si="521"/>
        <v>0</v>
      </c>
      <c r="FT68" s="26">
        <f t="shared" si="522"/>
        <v>0</v>
      </c>
      <c r="FU68" s="26">
        <f t="shared" si="523"/>
        <v>0.03</v>
      </c>
      <c r="FV68" s="26">
        <f t="shared" si="524"/>
        <v>0</v>
      </c>
      <c r="FW68" s="26">
        <f t="shared" si="525"/>
        <v>0.06</v>
      </c>
      <c r="FX68" s="26">
        <f t="shared" si="526"/>
        <v>0</v>
      </c>
      <c r="FY68" s="26">
        <f t="shared" si="527"/>
        <v>0</v>
      </c>
      <c r="FZ68" s="26">
        <f t="shared" si="528"/>
        <v>0</v>
      </c>
      <c r="GA68" s="26">
        <f t="shared" si="529"/>
        <v>0</v>
      </c>
      <c r="GB68" s="26">
        <f t="shared" si="530"/>
        <v>0.06</v>
      </c>
      <c r="GC68" s="26">
        <f t="shared" si="531"/>
        <v>0</v>
      </c>
      <c r="GD68" s="26">
        <f t="shared" si="532"/>
        <v>0</v>
      </c>
      <c r="GE68" s="26">
        <f t="shared" si="533"/>
        <v>0</v>
      </c>
      <c r="GF68" s="26">
        <f t="shared" si="533"/>
        <v>0</v>
      </c>
      <c r="GG68" s="26">
        <f t="shared" si="533"/>
        <v>0</v>
      </c>
      <c r="GH68" s="26">
        <f t="shared" si="533"/>
        <v>0.01</v>
      </c>
      <c r="GI68" s="26">
        <f t="shared" si="533"/>
        <v>0.08</v>
      </c>
      <c r="GJ68" s="26">
        <f t="shared" si="533"/>
        <v>0.01</v>
      </c>
      <c r="GK68" s="26">
        <f t="shared" si="533"/>
        <v>0.05</v>
      </c>
      <c r="GL68" s="26">
        <f t="shared" si="533"/>
        <v>0</v>
      </c>
      <c r="GM68" s="26">
        <f t="shared" si="533"/>
        <v>0.01</v>
      </c>
      <c r="GN68" s="26">
        <f t="shared" si="533"/>
        <v>0.15</v>
      </c>
      <c r="GO68" s="26">
        <f t="shared" si="533"/>
        <v>0</v>
      </c>
      <c r="GP68" s="26">
        <f t="shared" si="533"/>
        <v>0</v>
      </c>
      <c r="GQ68" s="26">
        <f t="shared" si="533"/>
        <v>0</v>
      </c>
      <c r="GR68" s="26">
        <f t="shared" si="533"/>
        <v>0.21</v>
      </c>
      <c r="GS68" s="26">
        <f t="shared" si="533"/>
        <v>0.02</v>
      </c>
      <c r="GT68" s="26">
        <f t="shared" si="533"/>
        <v>0</v>
      </c>
      <c r="GU68" s="26">
        <f t="shared" si="533"/>
        <v>0</v>
      </c>
      <c r="GV68" s="26">
        <f t="shared" ref="GV68:GV69" si="577">-CI68</f>
        <v>0</v>
      </c>
      <c r="GW68" s="26">
        <f t="shared" ref="GW68:GW69" si="578">-CJ68</f>
        <v>0</v>
      </c>
      <c r="GX68" s="26">
        <f t="shared" ref="GX68:GX69" si="579">-CK68</f>
        <v>0</v>
      </c>
      <c r="GY68" s="26">
        <f t="shared" ref="GY68:GY69" si="580">-CL68</f>
        <v>0</v>
      </c>
      <c r="GZ68" s="26">
        <f t="shared" ref="GZ68:GZ69" si="581">-CM68</f>
        <v>0</v>
      </c>
      <c r="HA68" s="26">
        <f t="shared" ref="HA68:HA69" si="582">-CN68</f>
        <v>0</v>
      </c>
      <c r="HB68" s="26">
        <f t="shared" ref="HB68:HB69" si="583">-CO68</f>
        <v>0</v>
      </c>
      <c r="HC68" s="26">
        <f t="shared" ref="HC68:HC69" si="584">-CP68</f>
        <v>0.14</v>
      </c>
      <c r="HD68" s="26">
        <f t="shared" ref="HD68:HD69" si="585">-CQ68</f>
        <v>0.07</v>
      </c>
      <c r="HE68" s="26">
        <f t="shared" ref="HE68:HE69" si="586">-CR68</f>
        <v>0</v>
      </c>
      <c r="HF68" s="26">
        <f t="shared" ref="HF68:HF69" si="587">-CS68</f>
        <v>0</v>
      </c>
      <c r="HG68" s="26">
        <f t="shared" ref="HG68:HG69" si="588">-CT68</f>
        <v>0</v>
      </c>
      <c r="HH68" s="26">
        <f t="shared" ref="HH68:HH69" si="589">-CU68</f>
        <v>0</v>
      </c>
      <c r="HI68" s="26">
        <f t="shared" ref="HI68:HI69" si="590">-CV68</f>
        <v>0</v>
      </c>
      <c r="HJ68" s="26">
        <f t="shared" ref="HJ68:HJ69" si="591">-CW68</f>
        <v>0.01</v>
      </c>
      <c r="HK68" s="26">
        <f t="shared" ref="HK68:HK69" si="592">-CX68</f>
        <v>0.03</v>
      </c>
      <c r="HL68" s="26">
        <f t="shared" ref="HL68:HL69" si="593">-CY68</f>
        <v>0</v>
      </c>
      <c r="HM68" s="26">
        <f t="shared" ref="HM68:HM69" si="594">-CZ68</f>
        <v>0</v>
      </c>
      <c r="HN68" s="26">
        <f t="shared" ref="HN68:HN69" si="595">-DA68</f>
        <v>0</v>
      </c>
      <c r="HO68" s="26">
        <f t="shared" ref="HO68:HO69" si="596">-DB68</f>
        <v>0.02</v>
      </c>
      <c r="HP68" s="26">
        <f t="shared" ref="HP68:HP69" si="597">-DC68</f>
        <v>0</v>
      </c>
      <c r="HQ68" s="26">
        <f t="shared" ref="HQ68:HQ69" si="598">-DD68</f>
        <v>0</v>
      </c>
      <c r="HR68" s="26">
        <f t="shared" ref="HR68:HR69" si="599">-DE68</f>
        <v>0.06</v>
      </c>
      <c r="HS68" s="26">
        <f t="shared" ref="HS68:HS69" si="600">-DF68</f>
        <v>0</v>
      </c>
      <c r="HT68" s="26">
        <f t="shared" ref="HT68:HT69" si="601">-DG68</f>
        <v>0.08</v>
      </c>
      <c r="HU68" s="26">
        <f t="shared" ref="HU68:HU69" si="602">-DH68</f>
        <v>0.1</v>
      </c>
      <c r="HV68" s="26">
        <f t="shared" ref="HV68:HV69" si="603">-DI68</f>
        <v>0</v>
      </c>
      <c r="HW68" s="26">
        <f t="shared" ref="HW68:HW69" si="604">-DJ68</f>
        <v>0</v>
      </c>
      <c r="HX68" s="26" t="str">
        <f t="shared" si="466"/>
        <v>ELE,CHP</v>
      </c>
      <c r="HY68" s="26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404</v>
      </c>
      <c r="D69" t="str">
        <f t="shared" si="573"/>
        <v>???BSL</v>
      </c>
      <c r="F69" s="26">
        <f t="shared" ref="F69:BQ69" si="605">ROUND(-F10*$DP$62,2)</f>
        <v>0</v>
      </c>
      <c r="G69" s="26">
        <f t="shared" si="605"/>
        <v>0</v>
      </c>
      <c r="H69" s="26">
        <f t="shared" si="605"/>
        <v>0</v>
      </c>
      <c r="I69" s="26">
        <f t="shared" si="605"/>
        <v>0</v>
      </c>
      <c r="J69" s="26">
        <f t="shared" si="605"/>
        <v>0</v>
      </c>
      <c r="K69" s="26">
        <f t="shared" si="605"/>
        <v>-0.05</v>
      </c>
      <c r="L69" s="26">
        <f t="shared" si="605"/>
        <v>-0.16</v>
      </c>
      <c r="M69" s="26">
        <f t="shared" si="605"/>
        <v>0</v>
      </c>
      <c r="N69" s="26">
        <f t="shared" si="605"/>
        <v>0</v>
      </c>
      <c r="O69" s="26">
        <f t="shared" si="605"/>
        <v>-0.21</v>
      </c>
      <c r="P69" s="26">
        <f t="shared" si="605"/>
        <v>-0.15</v>
      </c>
      <c r="Q69" s="26">
        <f t="shared" si="605"/>
        <v>-0.03</v>
      </c>
      <c r="R69" s="26">
        <f t="shared" si="605"/>
        <v>-0.01</v>
      </c>
      <c r="S69" s="26">
        <f t="shared" si="605"/>
        <v>-0.21</v>
      </c>
      <c r="T69" s="26">
        <f t="shared" si="605"/>
        <v>0</v>
      </c>
      <c r="U69" s="26">
        <f t="shared" si="605"/>
        <v>-0.07</v>
      </c>
      <c r="V69" s="26">
        <f t="shared" si="605"/>
        <v>-0.02</v>
      </c>
      <c r="W69" s="26">
        <f t="shared" si="605"/>
        <v>0</v>
      </c>
      <c r="X69" s="26">
        <f t="shared" si="605"/>
        <v>0</v>
      </c>
      <c r="Y69" s="26">
        <f t="shared" si="605"/>
        <v>-0.21</v>
      </c>
      <c r="Z69" s="26">
        <f t="shared" si="605"/>
        <v>0</v>
      </c>
      <c r="AA69" s="26">
        <f t="shared" si="605"/>
        <v>-0.21</v>
      </c>
      <c r="AB69" s="26">
        <f t="shared" si="605"/>
        <v>-0.06</v>
      </c>
      <c r="AC69" s="26">
        <f t="shared" si="605"/>
        <v>0</v>
      </c>
      <c r="AD69" s="26">
        <f t="shared" si="605"/>
        <v>0</v>
      </c>
      <c r="AE69" s="26">
        <f t="shared" si="605"/>
        <v>-0.21</v>
      </c>
      <c r="AF69" s="26">
        <f t="shared" si="605"/>
        <v>0</v>
      </c>
      <c r="AG69" s="26">
        <f t="shared" si="605"/>
        <v>-0.08</v>
      </c>
      <c r="AH69" s="26">
        <f t="shared" si="605"/>
        <v>-0.08</v>
      </c>
      <c r="AI69" s="26">
        <f t="shared" si="605"/>
        <v>0</v>
      </c>
      <c r="AJ69" s="26">
        <f t="shared" si="605"/>
        <v>-0.19</v>
      </c>
      <c r="AK69" s="26">
        <f t="shared" si="605"/>
        <v>0</v>
      </c>
      <c r="AL69" s="26">
        <f t="shared" si="605"/>
        <v>-0.01</v>
      </c>
      <c r="AM69" s="26">
        <f t="shared" si="605"/>
        <v>-0.21</v>
      </c>
      <c r="AN69" s="26">
        <f t="shared" si="605"/>
        <v>0</v>
      </c>
      <c r="AO69" s="26">
        <f t="shared" si="605"/>
        <v>0</v>
      </c>
      <c r="AP69" s="26">
        <f t="shared" si="605"/>
        <v>0</v>
      </c>
      <c r="AQ69" s="26">
        <f t="shared" si="605"/>
        <v>0</v>
      </c>
      <c r="AR69" s="26">
        <f t="shared" si="605"/>
        <v>0</v>
      </c>
      <c r="AS69" s="26">
        <f t="shared" si="605"/>
        <v>-0.21</v>
      </c>
      <c r="AT69" s="26">
        <f t="shared" si="605"/>
        <v>0</v>
      </c>
      <c r="AU69" s="26">
        <f t="shared" si="605"/>
        <v>-0.14</v>
      </c>
      <c r="AV69" s="26">
        <f t="shared" si="605"/>
        <v>0</v>
      </c>
      <c r="AW69" s="26">
        <f t="shared" si="605"/>
        <v>-0.21</v>
      </c>
      <c r="AX69" s="26">
        <f t="shared" si="605"/>
        <v>0</v>
      </c>
      <c r="AY69" s="26">
        <f t="shared" si="605"/>
        <v>0</v>
      </c>
      <c r="AZ69" s="26">
        <f t="shared" si="605"/>
        <v>0</v>
      </c>
      <c r="BA69" s="26">
        <f t="shared" si="605"/>
        <v>0</v>
      </c>
      <c r="BB69" s="26">
        <f t="shared" si="605"/>
        <v>0</v>
      </c>
      <c r="BC69" s="26">
        <f t="shared" si="605"/>
        <v>-0.21</v>
      </c>
      <c r="BD69" s="26">
        <f t="shared" si="605"/>
        <v>0</v>
      </c>
      <c r="BE69" s="26">
        <f t="shared" si="605"/>
        <v>-0.21</v>
      </c>
      <c r="BF69" s="26">
        <f t="shared" si="605"/>
        <v>-0.21</v>
      </c>
      <c r="BG69" s="26">
        <f t="shared" si="605"/>
        <v>0</v>
      </c>
      <c r="BH69" s="26">
        <f t="shared" si="605"/>
        <v>-0.03</v>
      </c>
      <c r="BI69" s="26">
        <f t="shared" si="605"/>
        <v>0</v>
      </c>
      <c r="BJ69" s="26">
        <f t="shared" si="605"/>
        <v>0</v>
      </c>
      <c r="BK69" s="26">
        <f t="shared" si="605"/>
        <v>0</v>
      </c>
      <c r="BL69" s="26">
        <f t="shared" si="605"/>
        <v>0</v>
      </c>
      <c r="BM69" s="26">
        <f t="shared" si="605"/>
        <v>0</v>
      </c>
      <c r="BN69" s="26">
        <f t="shared" si="605"/>
        <v>0</v>
      </c>
      <c r="BO69" s="26">
        <f t="shared" si="605"/>
        <v>-0.02</v>
      </c>
      <c r="BP69" s="26">
        <f t="shared" si="605"/>
        <v>0</v>
      </c>
      <c r="BQ69" s="26">
        <f t="shared" si="605"/>
        <v>-0.17</v>
      </c>
      <c r="BR69" s="26">
        <f t="shared" ref="BR69:DJ69" si="606">ROUND(-BR10*$DP$62,2)</f>
        <v>0</v>
      </c>
      <c r="BS69" s="26">
        <f t="shared" si="606"/>
        <v>0</v>
      </c>
      <c r="BT69" s="26">
        <f t="shared" si="606"/>
        <v>0</v>
      </c>
      <c r="BU69" s="26">
        <f t="shared" si="606"/>
        <v>-0.18</v>
      </c>
      <c r="BV69" s="26">
        <f t="shared" si="606"/>
        <v>0</v>
      </c>
      <c r="BW69" s="26">
        <f t="shared" si="606"/>
        <v>0</v>
      </c>
      <c r="BX69" s="26">
        <f t="shared" si="606"/>
        <v>-0.05</v>
      </c>
      <c r="BY69" s="26">
        <f t="shared" si="606"/>
        <v>0</v>
      </c>
      <c r="BZ69" s="26">
        <f t="shared" si="606"/>
        <v>-0.1</v>
      </c>
      <c r="CA69" s="26">
        <f t="shared" si="606"/>
        <v>0</v>
      </c>
      <c r="CB69" s="26">
        <f t="shared" si="606"/>
        <v>-0.02</v>
      </c>
      <c r="CC69" s="26">
        <f t="shared" si="606"/>
        <v>-0.07</v>
      </c>
      <c r="CD69" s="26">
        <f t="shared" si="606"/>
        <v>-0.08</v>
      </c>
      <c r="CE69" s="26">
        <f t="shared" si="606"/>
        <v>-0.21</v>
      </c>
      <c r="CF69" s="26">
        <f t="shared" si="606"/>
        <v>-0.1</v>
      </c>
      <c r="CG69" s="26">
        <f t="shared" si="606"/>
        <v>0</v>
      </c>
      <c r="CH69" s="26">
        <f t="shared" si="606"/>
        <v>-0.08</v>
      </c>
      <c r="CI69" s="26">
        <f t="shared" si="606"/>
        <v>0</v>
      </c>
      <c r="CJ69" s="26">
        <f t="shared" si="606"/>
        <v>0</v>
      </c>
      <c r="CK69" s="26">
        <f t="shared" si="606"/>
        <v>0</v>
      </c>
      <c r="CL69" s="26">
        <f t="shared" si="606"/>
        <v>-0.21</v>
      </c>
      <c r="CM69" s="26">
        <f t="shared" si="606"/>
        <v>-0.17</v>
      </c>
      <c r="CN69" s="26">
        <f t="shared" si="606"/>
        <v>-0.21</v>
      </c>
      <c r="CO69" s="26">
        <f t="shared" si="606"/>
        <v>0</v>
      </c>
      <c r="CP69" s="26">
        <f t="shared" si="606"/>
        <v>-0.21</v>
      </c>
      <c r="CQ69" s="26">
        <f t="shared" si="606"/>
        <v>-0.1</v>
      </c>
      <c r="CR69" s="26">
        <f t="shared" si="606"/>
        <v>0</v>
      </c>
      <c r="CS69" s="26">
        <f t="shared" si="606"/>
        <v>-0.09</v>
      </c>
      <c r="CT69" s="26">
        <f t="shared" si="606"/>
        <v>-0.02</v>
      </c>
      <c r="CU69" s="26">
        <f t="shared" si="606"/>
        <v>0</v>
      </c>
      <c r="CV69" s="26">
        <f t="shared" si="606"/>
        <v>0</v>
      </c>
      <c r="CW69" s="26">
        <f t="shared" si="606"/>
        <v>-0.03</v>
      </c>
      <c r="CX69" s="26">
        <f t="shared" si="606"/>
        <v>0</v>
      </c>
      <c r="CY69" s="26">
        <f t="shared" si="606"/>
        <v>0</v>
      </c>
      <c r="CZ69" s="26">
        <f t="shared" si="606"/>
        <v>-0.15</v>
      </c>
      <c r="DA69" s="26">
        <f t="shared" si="606"/>
        <v>0</v>
      </c>
      <c r="DB69" s="26">
        <f t="shared" si="606"/>
        <v>0</v>
      </c>
      <c r="DC69" s="26">
        <f t="shared" si="606"/>
        <v>-0.12</v>
      </c>
      <c r="DD69" s="26">
        <f t="shared" si="606"/>
        <v>0</v>
      </c>
      <c r="DE69" s="26">
        <f t="shared" si="606"/>
        <v>-0.16</v>
      </c>
      <c r="DF69" s="26">
        <f t="shared" si="606"/>
        <v>0</v>
      </c>
      <c r="DG69" s="26">
        <f t="shared" si="606"/>
        <v>0</v>
      </c>
      <c r="DH69" s="26">
        <f t="shared" si="606"/>
        <v>0</v>
      </c>
      <c r="DI69" s="26">
        <f t="shared" si="606"/>
        <v>0</v>
      </c>
      <c r="DJ69" s="26">
        <f t="shared" si="606"/>
        <v>0</v>
      </c>
      <c r="DK69" s="8">
        <f t="shared" si="564"/>
        <v>0.0317097919837646</v>
      </c>
      <c r="DL69">
        <v>0</v>
      </c>
      <c r="DM69">
        <v>5</v>
      </c>
      <c r="DS69" s="26">
        <f t="shared" si="576"/>
        <v>0</v>
      </c>
      <c r="DT69" s="26">
        <f t="shared" si="470"/>
        <v>0</v>
      </c>
      <c r="DU69" s="26">
        <f t="shared" si="471"/>
        <v>0</v>
      </c>
      <c r="DV69" s="26">
        <f t="shared" si="472"/>
        <v>0</v>
      </c>
      <c r="DW69" s="26">
        <f t="shared" si="473"/>
        <v>0</v>
      </c>
      <c r="DX69" s="26">
        <f t="shared" si="474"/>
        <v>0.05</v>
      </c>
      <c r="DY69" s="26">
        <f t="shared" si="475"/>
        <v>0.16</v>
      </c>
      <c r="DZ69" s="26">
        <f t="shared" si="476"/>
        <v>0</v>
      </c>
      <c r="EA69" s="26">
        <f t="shared" si="477"/>
        <v>0</v>
      </c>
      <c r="EB69" s="26">
        <f t="shared" si="478"/>
        <v>0.21</v>
      </c>
      <c r="EC69" s="26">
        <f t="shared" si="479"/>
        <v>0.15</v>
      </c>
      <c r="ED69" s="26">
        <f t="shared" si="480"/>
        <v>0.03</v>
      </c>
      <c r="EE69" s="26">
        <f t="shared" si="481"/>
        <v>0.01</v>
      </c>
      <c r="EF69" s="26">
        <f t="shared" si="482"/>
        <v>0.21</v>
      </c>
      <c r="EG69" s="26">
        <f t="shared" si="483"/>
        <v>0</v>
      </c>
      <c r="EH69" s="26">
        <f t="shared" si="484"/>
        <v>0.07</v>
      </c>
      <c r="EI69" s="26">
        <f t="shared" si="485"/>
        <v>0.02</v>
      </c>
      <c r="EJ69" s="26">
        <f t="shared" si="486"/>
        <v>0</v>
      </c>
      <c r="EK69" s="26">
        <f t="shared" si="487"/>
        <v>0</v>
      </c>
      <c r="EL69" s="26">
        <f t="shared" si="488"/>
        <v>0.21</v>
      </c>
      <c r="EM69" s="26">
        <f t="shared" si="489"/>
        <v>0</v>
      </c>
      <c r="EN69" s="26">
        <f t="shared" si="490"/>
        <v>0.21</v>
      </c>
      <c r="EO69" s="26">
        <f t="shared" si="491"/>
        <v>0.06</v>
      </c>
      <c r="EP69" s="26">
        <f t="shared" si="492"/>
        <v>0</v>
      </c>
      <c r="EQ69" s="26">
        <f t="shared" si="493"/>
        <v>0</v>
      </c>
      <c r="ER69" s="26">
        <f t="shared" si="494"/>
        <v>0.21</v>
      </c>
      <c r="ES69" s="26">
        <f t="shared" si="495"/>
        <v>0</v>
      </c>
      <c r="ET69" s="26">
        <f t="shared" si="496"/>
        <v>0.08</v>
      </c>
      <c r="EU69" s="26">
        <f t="shared" si="497"/>
        <v>0.08</v>
      </c>
      <c r="EV69" s="26">
        <f t="shared" si="498"/>
        <v>0</v>
      </c>
      <c r="EW69" s="26">
        <f t="shared" si="499"/>
        <v>0.19</v>
      </c>
      <c r="EX69" s="26">
        <f t="shared" si="500"/>
        <v>0</v>
      </c>
      <c r="EY69" s="26">
        <f t="shared" si="501"/>
        <v>0.01</v>
      </c>
      <c r="EZ69" s="26">
        <f t="shared" si="502"/>
        <v>0.21</v>
      </c>
      <c r="FA69" s="26">
        <f t="shared" si="503"/>
        <v>0</v>
      </c>
      <c r="FB69" s="26">
        <f t="shared" si="504"/>
        <v>0</v>
      </c>
      <c r="FC69" s="26">
        <f t="shared" si="505"/>
        <v>0</v>
      </c>
      <c r="FD69" s="26">
        <f t="shared" si="506"/>
        <v>0</v>
      </c>
      <c r="FE69" s="26">
        <f t="shared" si="507"/>
        <v>0</v>
      </c>
      <c r="FF69" s="26">
        <f t="shared" si="508"/>
        <v>0.21</v>
      </c>
      <c r="FG69" s="26">
        <f t="shared" si="509"/>
        <v>0</v>
      </c>
      <c r="FH69" s="26">
        <f t="shared" si="510"/>
        <v>0.14</v>
      </c>
      <c r="FI69" s="26">
        <f t="shared" si="511"/>
        <v>0</v>
      </c>
      <c r="FJ69" s="26">
        <f t="shared" si="512"/>
        <v>0.21</v>
      </c>
      <c r="FK69" s="26">
        <f t="shared" si="513"/>
        <v>0</v>
      </c>
      <c r="FL69" s="26">
        <f t="shared" si="514"/>
        <v>0</v>
      </c>
      <c r="FM69" s="26">
        <f t="shared" si="515"/>
        <v>0</v>
      </c>
      <c r="FN69" s="26">
        <f t="shared" si="516"/>
        <v>0</v>
      </c>
      <c r="FO69" s="26">
        <f t="shared" si="517"/>
        <v>0</v>
      </c>
      <c r="FP69" s="26">
        <f t="shared" si="518"/>
        <v>0.21</v>
      </c>
      <c r="FQ69" s="26">
        <f t="shared" si="519"/>
        <v>0</v>
      </c>
      <c r="FR69" s="26">
        <f t="shared" si="520"/>
        <v>0.21</v>
      </c>
      <c r="FS69" s="26">
        <f t="shared" si="521"/>
        <v>0.21</v>
      </c>
      <c r="FT69" s="26">
        <f t="shared" si="522"/>
        <v>0</v>
      </c>
      <c r="FU69" s="26">
        <f t="shared" si="523"/>
        <v>0.03</v>
      </c>
      <c r="FV69" s="26">
        <f t="shared" si="524"/>
        <v>0</v>
      </c>
      <c r="FW69" s="26">
        <f t="shared" si="525"/>
        <v>0</v>
      </c>
      <c r="FX69" s="26">
        <f t="shared" si="526"/>
        <v>0</v>
      </c>
      <c r="FY69" s="26">
        <f t="shared" si="527"/>
        <v>0</v>
      </c>
      <c r="FZ69" s="26">
        <f t="shared" si="528"/>
        <v>0</v>
      </c>
      <c r="GA69" s="26">
        <f t="shared" si="529"/>
        <v>0</v>
      </c>
      <c r="GB69" s="26">
        <f t="shared" si="530"/>
        <v>0.02</v>
      </c>
      <c r="GC69" s="26">
        <f t="shared" si="531"/>
        <v>0</v>
      </c>
      <c r="GD69" s="26">
        <f t="shared" si="532"/>
        <v>0.17</v>
      </c>
      <c r="GE69" s="26">
        <f t="shared" si="533"/>
        <v>0</v>
      </c>
      <c r="GF69" s="26">
        <f t="shared" si="533"/>
        <v>0</v>
      </c>
      <c r="GG69" s="26">
        <f t="shared" si="533"/>
        <v>0</v>
      </c>
      <c r="GH69" s="26">
        <f t="shared" si="533"/>
        <v>0.18</v>
      </c>
      <c r="GI69" s="26">
        <f t="shared" si="533"/>
        <v>0</v>
      </c>
      <c r="GJ69" s="26">
        <f t="shared" si="533"/>
        <v>0</v>
      </c>
      <c r="GK69" s="26">
        <f t="shared" si="533"/>
        <v>0.05</v>
      </c>
      <c r="GL69" s="26">
        <f t="shared" si="533"/>
        <v>0</v>
      </c>
      <c r="GM69" s="26">
        <f t="shared" si="533"/>
        <v>0.1</v>
      </c>
      <c r="GN69" s="26">
        <f t="shared" si="533"/>
        <v>0</v>
      </c>
      <c r="GO69" s="26">
        <f t="shared" si="533"/>
        <v>0.02</v>
      </c>
      <c r="GP69" s="26">
        <f t="shared" si="533"/>
        <v>0.07</v>
      </c>
      <c r="GQ69" s="26">
        <f t="shared" si="533"/>
        <v>0.08</v>
      </c>
      <c r="GR69" s="26">
        <f t="shared" si="533"/>
        <v>0.21</v>
      </c>
      <c r="GS69" s="26">
        <f t="shared" si="533"/>
        <v>0.1</v>
      </c>
      <c r="GT69" s="26">
        <f t="shared" si="533"/>
        <v>0</v>
      </c>
      <c r="GU69" s="26">
        <f t="shared" si="533"/>
        <v>0.08</v>
      </c>
      <c r="GV69" s="26">
        <f t="shared" si="577"/>
        <v>0</v>
      </c>
      <c r="GW69" s="26">
        <f t="shared" si="578"/>
        <v>0</v>
      </c>
      <c r="GX69" s="26">
        <f t="shared" si="579"/>
        <v>0</v>
      </c>
      <c r="GY69" s="26">
        <f t="shared" si="580"/>
        <v>0.21</v>
      </c>
      <c r="GZ69" s="26">
        <f t="shared" si="581"/>
        <v>0.17</v>
      </c>
      <c r="HA69" s="26">
        <f t="shared" si="582"/>
        <v>0.21</v>
      </c>
      <c r="HB69" s="26">
        <f t="shared" si="583"/>
        <v>0</v>
      </c>
      <c r="HC69" s="26">
        <f t="shared" si="584"/>
        <v>0.21</v>
      </c>
      <c r="HD69" s="26">
        <f t="shared" si="585"/>
        <v>0.1</v>
      </c>
      <c r="HE69" s="26">
        <f t="shared" si="586"/>
        <v>0</v>
      </c>
      <c r="HF69" s="26">
        <f t="shared" si="587"/>
        <v>0.09</v>
      </c>
      <c r="HG69" s="26">
        <f t="shared" si="588"/>
        <v>0.02</v>
      </c>
      <c r="HH69" s="26">
        <f t="shared" si="589"/>
        <v>0</v>
      </c>
      <c r="HI69" s="26">
        <f t="shared" si="590"/>
        <v>0</v>
      </c>
      <c r="HJ69" s="26">
        <f t="shared" si="591"/>
        <v>0.03</v>
      </c>
      <c r="HK69" s="26">
        <f t="shared" si="592"/>
        <v>0</v>
      </c>
      <c r="HL69" s="26">
        <f t="shared" si="593"/>
        <v>0</v>
      </c>
      <c r="HM69" s="26">
        <f t="shared" si="594"/>
        <v>0.15</v>
      </c>
      <c r="HN69" s="26">
        <f t="shared" si="595"/>
        <v>0</v>
      </c>
      <c r="HO69" s="26">
        <f t="shared" si="596"/>
        <v>0</v>
      </c>
      <c r="HP69" s="26">
        <f t="shared" si="597"/>
        <v>0.12</v>
      </c>
      <c r="HQ69" s="26">
        <f t="shared" si="598"/>
        <v>0</v>
      </c>
      <c r="HR69" s="26">
        <f t="shared" si="599"/>
        <v>0.16</v>
      </c>
      <c r="HS69" s="26">
        <f t="shared" si="600"/>
        <v>0</v>
      </c>
      <c r="HT69" s="26">
        <f t="shared" si="601"/>
        <v>0</v>
      </c>
      <c r="HU69" s="26">
        <f t="shared" si="602"/>
        <v>0</v>
      </c>
      <c r="HV69" s="26">
        <f t="shared" si="603"/>
        <v>0</v>
      </c>
      <c r="HW69" s="26">
        <f t="shared" si="604"/>
        <v>0</v>
      </c>
      <c r="HX69" s="26" t="str">
        <f t="shared" si="466"/>
        <v>ELE,CHP</v>
      </c>
      <c r="HY69" s="26" t="str">
        <f t="shared" si="466"/>
        <v>???BSL</v>
      </c>
      <c r="HZ69" t="s">
        <v>247</v>
      </c>
      <c r="IA69">
        <f t="shared" si="467"/>
        <v>2030</v>
      </c>
    </row>
    <row r="72" spans="1:235">
      <c r="B72" t="s">
        <v>485</v>
      </c>
    </row>
    <row r="74" spans="1:235">
      <c r="B74" t="s">
        <v>486</v>
      </c>
    </row>
    <row r="75" spans="1:235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1:235">
      <c r="B76" t="s">
        <v>487</v>
      </c>
      <c r="C76" t="s">
        <v>488</v>
      </c>
      <c r="D76" t="s">
        <v>151</v>
      </c>
      <c r="E76">
        <v>0.4</v>
      </c>
      <c r="F76">
        <v>3</v>
      </c>
    </row>
    <row r="77" spans="1:235">
      <c r="B77" t="s">
        <v>489</v>
      </c>
      <c r="C77" t="s">
        <v>488</v>
      </c>
      <c r="D77" t="s">
        <v>50</v>
      </c>
      <c r="E77">
        <v>0.4</v>
      </c>
      <c r="F77">
        <v>3</v>
      </c>
      <c r="G77" s="53" t="s">
        <v>490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1" zoomScaleNormal="51" workbookViewId="0">
      <selection activeCell="AK32" sqref="AK32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19" t="s">
        <v>491</v>
      </c>
      <c r="AC1" s="20" t="s">
        <v>492</v>
      </c>
    </row>
    <row r="2" ht="16" spans="1:49">
      <c r="A2" t="s">
        <v>493</v>
      </c>
      <c r="B2" t="s">
        <v>494</v>
      </c>
      <c r="C2" t="s">
        <v>495</v>
      </c>
      <c r="D2" t="s">
        <v>496</v>
      </c>
      <c r="E2" t="s">
        <v>497</v>
      </c>
      <c r="F2" t="s">
        <v>498</v>
      </c>
      <c r="G2" t="s">
        <v>499</v>
      </c>
      <c r="H2" t="s">
        <v>500</v>
      </c>
      <c r="I2" t="s">
        <v>501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502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9">
      <c r="A3" t="s">
        <v>503</v>
      </c>
      <c r="B3" t="s">
        <v>504</v>
      </c>
      <c r="C3" t="s">
        <v>505</v>
      </c>
      <c r="D3" t="s">
        <v>505</v>
      </c>
      <c r="E3" t="s">
        <v>506</v>
      </c>
      <c r="F3" s="8">
        <v>39.18</v>
      </c>
      <c r="G3" s="8" t="s">
        <v>507</v>
      </c>
      <c r="H3" s="8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508</v>
      </c>
      <c r="B4" t="s">
        <v>505</v>
      </c>
      <c r="C4" t="s">
        <v>509</v>
      </c>
      <c r="D4" t="s">
        <v>505</v>
      </c>
      <c r="E4" t="s">
        <v>506</v>
      </c>
      <c r="F4" s="8">
        <v>19.34</v>
      </c>
      <c r="G4" s="8" t="s">
        <v>507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20" t="s">
        <v>492</v>
      </c>
    </row>
    <row r="7" ht="16" spans="1:49">
      <c r="A7" t="s">
        <v>493</v>
      </c>
      <c r="B7" t="s">
        <v>494</v>
      </c>
      <c r="C7" t="s">
        <v>495</v>
      </c>
      <c r="D7" t="s">
        <v>496</v>
      </c>
      <c r="E7" t="s">
        <v>497</v>
      </c>
      <c r="F7" t="s">
        <v>498</v>
      </c>
      <c r="G7" t="s">
        <v>501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502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510</v>
      </c>
      <c r="B8" t="s">
        <v>505</v>
      </c>
      <c r="C8" t="s">
        <v>505</v>
      </c>
      <c r="D8" t="s">
        <v>505</v>
      </c>
      <c r="E8" t="s">
        <v>511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512</v>
      </c>
      <c r="B9" t="s">
        <v>505</v>
      </c>
      <c r="C9" t="s">
        <v>505</v>
      </c>
      <c r="D9" t="s">
        <v>505</v>
      </c>
      <c r="E9" t="s">
        <v>511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19" t="s">
        <v>513</v>
      </c>
    </row>
    <row r="13" spans="1:49">
      <c r="A13" s="13" t="s">
        <v>514</v>
      </c>
      <c r="B13" s="13"/>
      <c r="C13" s="13"/>
    </row>
    <row r="14" spans="1:49">
      <c r="A14" s="13" t="s">
        <v>515</v>
      </c>
      <c r="B14" s="13"/>
      <c r="C14" s="13"/>
    </row>
    <row r="15" spans="1:49">
      <c r="A15" s="13" t="s">
        <v>516</v>
      </c>
      <c r="B15" s="13"/>
      <c r="C15" s="13"/>
    </row>
    <row r="17" spans="1:13">
      <c r="A17" s="13" t="s">
        <v>517</v>
      </c>
      <c r="B17" s="13" t="s">
        <v>518</v>
      </c>
      <c r="C17" s="13" t="s">
        <v>519</v>
      </c>
    </row>
    <row r="18" spans="1:13">
      <c r="A18" s="13" t="s">
        <v>520</v>
      </c>
      <c r="B18" s="13" t="s">
        <v>521</v>
      </c>
      <c r="C18" s="13">
        <v>253</v>
      </c>
    </row>
    <row r="19" spans="1:13">
      <c r="A19" s="13" t="s">
        <v>522</v>
      </c>
      <c r="B19" s="13" t="s">
        <v>521</v>
      </c>
      <c r="C19" s="13">
        <v>203</v>
      </c>
      <c r="G19" t="s">
        <v>89</v>
      </c>
    </row>
    <row r="20" spans="1:13">
      <c r="A20" s="13" t="s">
        <v>523</v>
      </c>
      <c r="B20" s="13" t="s">
        <v>524</v>
      </c>
      <c r="C20" s="13">
        <v>82</v>
      </c>
      <c r="G20" t="s">
        <v>73</v>
      </c>
      <c r="H20" t="s">
        <v>92</v>
      </c>
      <c r="I20" t="s">
        <v>502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525</v>
      </c>
      <c r="B21" s="13" t="s">
        <v>524</v>
      </c>
      <c r="C21" s="13">
        <v>242</v>
      </c>
      <c r="G21" t="s">
        <v>526</v>
      </c>
      <c r="H21" t="s">
        <v>527</v>
      </c>
      <c r="K21" t="s">
        <v>528</v>
      </c>
      <c r="L21">
        <f>AC3</f>
        <v>81</v>
      </c>
      <c r="M21">
        <v>2</v>
      </c>
    </row>
    <row r="22" spans="1:13">
      <c r="A22" s="13" t="s">
        <v>529</v>
      </c>
      <c r="B22" s="13" t="s">
        <v>524</v>
      </c>
      <c r="C22" s="13">
        <v>226</v>
      </c>
      <c r="G22" t="s">
        <v>526</v>
      </c>
      <c r="H22" t="s">
        <v>530</v>
      </c>
      <c r="L22">
        <f>AC4</f>
        <v>82</v>
      </c>
      <c r="M22">
        <v>2</v>
      </c>
    </row>
    <row r="23" spans="1:13">
      <c r="A23" s="13" t="s">
        <v>531</v>
      </c>
      <c r="B23" s="13" t="s">
        <v>521</v>
      </c>
      <c r="C23" s="13">
        <v>174</v>
      </c>
      <c r="G23" t="s">
        <v>526</v>
      </c>
      <c r="H23" t="s">
        <v>532</v>
      </c>
      <c r="L23">
        <f>AC8</f>
        <v>83</v>
      </c>
      <c r="M23">
        <v>2</v>
      </c>
    </row>
    <row r="24" spans="1:13">
      <c r="A24" s="13" t="s">
        <v>533</v>
      </c>
      <c r="B24" s="13" t="s">
        <v>521</v>
      </c>
      <c r="C24" s="13">
        <v>258</v>
      </c>
      <c r="G24" t="s">
        <v>526</v>
      </c>
      <c r="H24" t="s">
        <v>534</v>
      </c>
      <c r="L24">
        <f>AC9</f>
        <v>84</v>
      </c>
      <c r="M24">
        <v>2</v>
      </c>
    </row>
    <row r="25" spans="1:13">
      <c r="A25" s="13" t="s">
        <v>535</v>
      </c>
      <c r="B25" s="13" t="s">
        <v>536</v>
      </c>
      <c r="C25" s="13">
        <v>135</v>
      </c>
    </row>
    <row r="30" spans="1:13">
      <c r="A30" t="s">
        <v>53</v>
      </c>
    </row>
    <row r="31" spans="1:13">
      <c r="A31" t="s">
        <v>56</v>
      </c>
      <c r="B31" t="s">
        <v>537</v>
      </c>
      <c r="C31" t="s">
        <v>57</v>
      </c>
      <c r="D31" t="s">
        <v>60</v>
      </c>
    </row>
    <row r="32" spans="1:13">
      <c r="A32" t="s">
        <v>501</v>
      </c>
      <c r="B32">
        <v>85</v>
      </c>
      <c r="C32">
        <v>1</v>
      </c>
      <c r="D32">
        <v>1</v>
      </c>
      <c r="F32" t="s">
        <v>538</v>
      </c>
    </row>
    <row r="33" spans="1:6">
      <c r="A33" t="s">
        <v>501</v>
      </c>
      <c r="B33">
        <f>B32</f>
        <v>85</v>
      </c>
      <c r="C33">
        <v>100</v>
      </c>
      <c r="D33">
        <v>1.5</v>
      </c>
    </row>
    <row r="34" spans="1:6">
      <c r="A34" t="s">
        <v>501</v>
      </c>
      <c r="B34">
        <v>86</v>
      </c>
      <c r="C34">
        <v>1</v>
      </c>
      <c r="D34">
        <v>1</v>
      </c>
      <c r="F34" t="s">
        <v>539</v>
      </c>
    </row>
    <row r="35" spans="1:6">
      <c r="A35" t="s">
        <v>501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71" zoomScaleNormal="71" workbookViewId="0">
      <selection activeCell="O24" sqref="O24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1:35">
      <c r="D1" s="11" t="s">
        <v>540</v>
      </c>
      <c r="E1" s="11" t="s">
        <v>541</v>
      </c>
      <c r="F1" s="11" t="s">
        <v>542</v>
      </c>
      <c r="R1" t="s">
        <v>543</v>
      </c>
      <c r="X1" t="s">
        <v>53</v>
      </c>
      <c r="AF1" t="s">
        <v>264</v>
      </c>
    </row>
    <row r="2" spans="1:35">
      <c r="A2" t="s">
        <v>544</v>
      </c>
      <c r="B2" t="str">
        <f>MID(A2,4,7)</f>
        <v>COA</v>
      </c>
      <c r="D2" s="12" t="s">
        <v>545</v>
      </c>
      <c r="E2" s="12">
        <f>N12</f>
        <v>55.99</v>
      </c>
      <c r="F2" s="12" t="s">
        <v>546</v>
      </c>
      <c r="G2" s="13" t="s">
        <v>547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502</v>
      </c>
      <c r="U2" t="s">
        <v>75</v>
      </c>
      <c r="X2" t="s">
        <v>73</v>
      </c>
      <c r="Y2" t="s">
        <v>5</v>
      </c>
      <c r="Z2" t="s">
        <v>253</v>
      </c>
      <c r="AA2" t="s">
        <v>502</v>
      </c>
      <c r="AB2" t="s">
        <v>75</v>
      </c>
      <c r="AF2" t="s">
        <v>74</v>
      </c>
      <c r="AG2" t="s">
        <v>548</v>
      </c>
      <c r="AH2" t="s">
        <v>253</v>
      </c>
    </row>
    <row r="3" spans="1:35">
      <c r="A3" t="s">
        <v>549</v>
      </c>
      <c r="B3" t="str">
        <f t="shared" ref="B3:B54" si="0">MID(A3,4,7)</f>
        <v>KER</v>
      </c>
      <c r="D3" s="12" t="s">
        <v>550</v>
      </c>
      <c r="E3" s="12">
        <f>E5</f>
        <v>98.43</v>
      </c>
      <c r="F3" s="12" t="s">
        <v>551</v>
      </c>
      <c r="G3" s="13"/>
      <c r="H3" s="13" t="s">
        <v>552</v>
      </c>
      <c r="I3" s="13"/>
      <c r="J3" s="13" t="s">
        <v>553</v>
      </c>
      <c r="K3" s="13"/>
      <c r="L3" s="13" t="s">
        <v>554</v>
      </c>
      <c r="M3" s="13" t="s">
        <v>553</v>
      </c>
      <c r="N3" s="13" t="s">
        <v>553</v>
      </c>
      <c r="R3" t="s">
        <v>555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556</v>
      </c>
      <c r="Z3" s="4" t="s">
        <v>557</v>
      </c>
      <c r="AA3" t="s">
        <v>422</v>
      </c>
      <c r="AB3">
        <v>1</v>
      </c>
      <c r="AF3" t="s">
        <v>558</v>
      </c>
      <c r="AG3" t="s">
        <v>99</v>
      </c>
      <c r="AH3" t="s">
        <v>559</v>
      </c>
    </row>
    <row r="4" spans="1:35">
      <c r="A4" t="s">
        <v>560</v>
      </c>
      <c r="B4" t="str">
        <f t="shared" si="0"/>
        <v>LPG</v>
      </c>
      <c r="D4" s="12" t="s">
        <v>561</v>
      </c>
      <c r="E4" s="12">
        <f>E3</f>
        <v>98.43</v>
      </c>
      <c r="F4" s="12" t="str">
        <f>F3</f>
        <v>b</v>
      </c>
      <c r="G4" s="13" t="s">
        <v>562</v>
      </c>
      <c r="H4" s="13" t="s">
        <v>563</v>
      </c>
      <c r="I4" s="13"/>
      <c r="J4" s="13" t="s">
        <v>563</v>
      </c>
      <c r="K4" s="13"/>
      <c r="L4" s="13" t="s">
        <v>564</v>
      </c>
      <c r="M4" s="13" t="s">
        <v>564</v>
      </c>
      <c r="N4" s="13" t="s">
        <v>565</v>
      </c>
      <c r="R4" t="s">
        <v>555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566</v>
      </c>
      <c r="B5" t="str">
        <f t="shared" si="0"/>
        <v>NGA</v>
      </c>
      <c r="D5" s="12" t="s">
        <v>567</v>
      </c>
      <c r="E5" s="12">
        <f>N30</f>
        <v>98.43</v>
      </c>
      <c r="F5" s="12" t="s">
        <v>546</v>
      </c>
      <c r="G5" s="13" t="s">
        <v>568</v>
      </c>
      <c r="H5" s="13"/>
      <c r="I5" s="13"/>
      <c r="J5" s="13"/>
      <c r="K5" s="13"/>
      <c r="L5" s="13"/>
      <c r="M5" s="13"/>
      <c r="N5" s="13"/>
      <c r="R5" t="s">
        <v>555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569</v>
      </c>
      <c r="B6" t="str">
        <f t="shared" si="0"/>
        <v>OIL</v>
      </c>
      <c r="D6" s="12" t="s">
        <v>570</v>
      </c>
      <c r="E6" s="12">
        <f>E5</f>
        <v>98.43</v>
      </c>
      <c r="F6" s="12" t="s">
        <v>546</v>
      </c>
      <c r="G6" s="13" t="s">
        <v>571</v>
      </c>
      <c r="H6" s="13">
        <v>12.7</v>
      </c>
      <c r="I6" s="13" t="s">
        <v>572</v>
      </c>
      <c r="J6" s="13">
        <v>5.76</v>
      </c>
      <c r="K6" s="13" t="s">
        <v>572</v>
      </c>
      <c r="L6" s="13">
        <v>139.05</v>
      </c>
      <c r="M6" s="13">
        <v>63.07</v>
      </c>
      <c r="N6" s="13">
        <v>66.54</v>
      </c>
      <c r="R6" t="s">
        <v>555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4" t="s">
        <v>556</v>
      </c>
      <c r="Y6" s="14"/>
      <c r="Z6" s="14" t="s">
        <v>573</v>
      </c>
      <c r="AA6" s="14" t="s">
        <v>422</v>
      </c>
      <c r="AB6" s="15">
        <v>-0.001</v>
      </c>
    </row>
    <row r="7" spans="1:35">
      <c r="A7" t="s">
        <v>574</v>
      </c>
      <c r="B7" t="str">
        <f t="shared" si="0"/>
        <v>COA</v>
      </c>
      <c r="D7" s="12" t="s">
        <v>575</v>
      </c>
      <c r="E7" s="12">
        <f>N32</f>
        <v>103.08</v>
      </c>
      <c r="F7" s="12" t="s">
        <v>546</v>
      </c>
      <c r="G7" s="13" t="s">
        <v>576</v>
      </c>
      <c r="H7" s="13">
        <v>14.8</v>
      </c>
      <c r="I7" s="13" t="s">
        <v>572</v>
      </c>
      <c r="J7" s="13">
        <v>6.71</v>
      </c>
      <c r="K7" s="13" t="s">
        <v>572</v>
      </c>
      <c r="L7" s="13">
        <v>143.2</v>
      </c>
      <c r="M7" s="13">
        <v>64.95</v>
      </c>
      <c r="N7" s="13">
        <v>68.53</v>
      </c>
      <c r="R7" t="s">
        <v>555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577</v>
      </c>
      <c r="B8" t="str">
        <f t="shared" si="0"/>
        <v>HFO</v>
      </c>
      <c r="D8" s="12" t="s">
        <v>578</v>
      </c>
      <c r="E8" s="12">
        <f>E2</f>
        <v>55.99</v>
      </c>
      <c r="F8" s="12" t="s">
        <v>546</v>
      </c>
      <c r="G8" s="13" t="s">
        <v>579</v>
      </c>
      <c r="H8" s="13">
        <v>13.7</v>
      </c>
      <c r="I8" s="13" t="s">
        <v>572</v>
      </c>
      <c r="J8" s="13">
        <v>6.21</v>
      </c>
      <c r="K8" s="13" t="s">
        <v>572</v>
      </c>
      <c r="L8" s="13">
        <v>141.12</v>
      </c>
      <c r="M8" s="13">
        <v>64.01</v>
      </c>
      <c r="N8" s="13">
        <v>67.53</v>
      </c>
      <c r="R8" t="s">
        <v>555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580</v>
      </c>
    </row>
    <row r="9" spans="1:35">
      <c r="A9" t="s">
        <v>581</v>
      </c>
      <c r="B9" t="str">
        <f t="shared" si="0"/>
        <v>KER</v>
      </c>
      <c r="D9" s="12" t="s">
        <v>582</v>
      </c>
      <c r="E9" s="12">
        <f>N33</f>
        <v>120.4</v>
      </c>
      <c r="F9" s="12" t="s">
        <v>546</v>
      </c>
      <c r="G9" s="13" t="s">
        <v>583</v>
      </c>
      <c r="H9" s="13">
        <v>22.4</v>
      </c>
      <c r="I9" s="13" t="s">
        <v>572</v>
      </c>
      <c r="J9" s="13">
        <v>10.16</v>
      </c>
      <c r="K9" s="13" t="s">
        <v>572</v>
      </c>
      <c r="L9" s="13">
        <v>161.3</v>
      </c>
      <c r="M9" s="13">
        <v>73.16</v>
      </c>
      <c r="N9" s="13">
        <v>77.19</v>
      </c>
      <c r="R9" t="s">
        <v>555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584</v>
      </c>
      <c r="B10" t="str">
        <f t="shared" si="0"/>
        <v>LPG</v>
      </c>
      <c r="D10" s="12" t="s">
        <v>585</v>
      </c>
      <c r="E10" s="12">
        <f>N9</f>
        <v>77.19</v>
      </c>
      <c r="F10" s="12" t="s">
        <v>586</v>
      </c>
      <c r="G10" s="13" t="s">
        <v>587</v>
      </c>
      <c r="H10" s="13">
        <v>21.5</v>
      </c>
      <c r="I10" s="13" t="s">
        <v>572</v>
      </c>
      <c r="J10" s="13">
        <v>9.75</v>
      </c>
      <c r="K10" s="13" t="s">
        <v>572</v>
      </c>
      <c r="L10" s="13">
        <v>159.4</v>
      </c>
      <c r="M10" s="13">
        <v>72.3</v>
      </c>
      <c r="N10" s="13">
        <v>76.28</v>
      </c>
      <c r="R10" t="s">
        <v>555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502</v>
      </c>
      <c r="AB10" t="s">
        <v>75</v>
      </c>
      <c r="AF10" t="s">
        <v>77</v>
      </c>
      <c r="AG10" t="s">
        <v>548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588</v>
      </c>
      <c r="E11" s="12">
        <f>N6</f>
        <v>66.54</v>
      </c>
      <c r="F11" s="12" t="s">
        <v>589</v>
      </c>
      <c r="G11" s="13" t="s">
        <v>590</v>
      </c>
      <c r="H11" s="16">
        <v>4631.5</v>
      </c>
      <c r="I11" s="13" t="s">
        <v>591</v>
      </c>
      <c r="J11" s="16">
        <v>2100.82</v>
      </c>
      <c r="K11" s="13" t="s">
        <v>591</v>
      </c>
      <c r="L11" s="13">
        <v>210.2</v>
      </c>
      <c r="M11" s="13">
        <v>95.35</v>
      </c>
      <c r="N11" s="13">
        <v>100.59</v>
      </c>
      <c r="R11" t="s">
        <v>555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592</v>
      </c>
      <c r="Y11" t="s">
        <v>593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594</v>
      </c>
      <c r="B12" t="str">
        <f t="shared" si="0"/>
        <v>OIL</v>
      </c>
      <c r="D12" s="12" t="s">
        <v>595</v>
      </c>
      <c r="E12" s="12">
        <f>N12</f>
        <v>55.99</v>
      </c>
      <c r="F12" s="12" t="s">
        <v>589</v>
      </c>
      <c r="G12" s="13" t="s">
        <v>596</v>
      </c>
      <c r="H12" s="13">
        <v>117.1</v>
      </c>
      <c r="I12" s="13" t="s">
        <v>597</v>
      </c>
      <c r="J12" s="13">
        <v>53.12</v>
      </c>
      <c r="K12" s="13" t="s">
        <v>597</v>
      </c>
      <c r="L12" s="13">
        <v>117</v>
      </c>
      <c r="M12" s="13">
        <v>53.07</v>
      </c>
      <c r="N12" s="13">
        <v>55.99</v>
      </c>
      <c r="R12" t="s">
        <v>555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592</v>
      </c>
      <c r="Y12" t="s">
        <v>593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461</v>
      </c>
      <c r="B13" t="str">
        <f t="shared" si="0"/>
        <v>COA</v>
      </c>
      <c r="D13" s="12" t="s">
        <v>598</v>
      </c>
      <c r="E13" s="12">
        <f>N13</f>
        <v>75.22</v>
      </c>
      <c r="F13" s="12" t="s">
        <v>586</v>
      </c>
      <c r="G13" s="13" t="s">
        <v>599</v>
      </c>
      <c r="H13" s="13">
        <v>19.6</v>
      </c>
      <c r="I13" s="13" t="s">
        <v>572</v>
      </c>
      <c r="J13" s="13">
        <v>8.89</v>
      </c>
      <c r="K13" s="13" t="s">
        <v>572</v>
      </c>
      <c r="L13" s="13">
        <v>157.2</v>
      </c>
      <c r="M13" s="13">
        <v>71.3</v>
      </c>
      <c r="N13" s="13">
        <v>75.22</v>
      </c>
      <c r="R13" t="s">
        <v>555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592</v>
      </c>
      <c r="Y13" t="s">
        <v>593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600</v>
      </c>
      <c r="B14" t="str">
        <f t="shared" si="0"/>
        <v>CoaG</v>
      </c>
      <c r="D14" s="12" t="s">
        <v>601</v>
      </c>
      <c r="E14" s="12">
        <f>N26</f>
        <v>76.81</v>
      </c>
      <c r="F14" s="12" t="s">
        <v>586</v>
      </c>
      <c r="G14" s="13" t="s">
        <v>602</v>
      </c>
      <c r="H14" s="13">
        <v>26</v>
      </c>
      <c r="I14" s="13" t="s">
        <v>572</v>
      </c>
      <c r="J14" s="13">
        <v>11.79</v>
      </c>
      <c r="K14" s="13" t="s">
        <v>572</v>
      </c>
      <c r="L14" s="13">
        <v>173.7</v>
      </c>
      <c r="M14" s="13">
        <v>78.79</v>
      </c>
      <c r="N14" s="13">
        <v>83.12</v>
      </c>
      <c r="R14" t="s">
        <v>555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592</v>
      </c>
      <c r="Y14" t="s">
        <v>593</v>
      </c>
      <c r="Z14" t="str">
        <f>"INDCO2N"&amp;VLOOKUP(MID(AA14,1,3),$D$2:$F$27,3,FALSE)</f>
        <v>INDCO2Ng</v>
      </c>
      <c r="AA14" t="s">
        <v>603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460</v>
      </c>
      <c r="B15" t="str">
        <f t="shared" si="0"/>
        <v>COB</v>
      </c>
      <c r="D15" s="12" t="s">
        <v>604</v>
      </c>
      <c r="E15" s="12">
        <f>N14</f>
        <v>83.12</v>
      </c>
      <c r="F15" s="12" t="s">
        <v>586</v>
      </c>
      <c r="G15" s="13" t="s">
        <v>605</v>
      </c>
      <c r="H15" s="13"/>
      <c r="I15" s="13"/>
      <c r="J15" s="13"/>
      <c r="K15" s="13"/>
      <c r="L15" s="13"/>
      <c r="M15" s="13"/>
      <c r="N15" s="13">
        <v>0</v>
      </c>
      <c r="R15" t="s">
        <v>555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606</v>
      </c>
      <c r="B16" t="str">
        <f t="shared" si="0"/>
        <v>GAS</v>
      </c>
      <c r="D16" s="12" t="s">
        <v>607</v>
      </c>
      <c r="E16" s="12">
        <f>N16</f>
        <v>74.8</v>
      </c>
      <c r="F16" s="12" t="s">
        <v>586</v>
      </c>
      <c r="G16" s="13" t="s">
        <v>608</v>
      </c>
      <c r="H16" s="13">
        <v>21.1</v>
      </c>
      <c r="I16" s="13" t="s">
        <v>572</v>
      </c>
      <c r="J16" s="13">
        <v>9.57</v>
      </c>
      <c r="K16" s="13" t="s">
        <v>572</v>
      </c>
      <c r="L16" s="13">
        <v>156.3</v>
      </c>
      <c r="M16" s="13">
        <v>70.9</v>
      </c>
      <c r="N16" s="13">
        <v>74.8</v>
      </c>
      <c r="R16" t="s">
        <v>555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282</v>
      </c>
      <c r="B17" t="str">
        <f t="shared" si="0"/>
        <v>NGA</v>
      </c>
      <c r="D17" s="12" t="s">
        <v>609</v>
      </c>
      <c r="E17" s="12">
        <f>N10</f>
        <v>76.28</v>
      </c>
      <c r="F17" s="12" t="s">
        <v>586</v>
      </c>
      <c r="G17" s="13" t="s">
        <v>610</v>
      </c>
      <c r="H17" s="13">
        <v>18.4</v>
      </c>
      <c r="I17" s="13" t="s">
        <v>572</v>
      </c>
      <c r="J17" s="13">
        <v>8.35</v>
      </c>
      <c r="K17" s="13" t="s">
        <v>572</v>
      </c>
      <c r="L17" s="13">
        <v>152.6</v>
      </c>
      <c r="M17" s="13">
        <v>69.2</v>
      </c>
      <c r="N17" s="13">
        <v>73.01</v>
      </c>
      <c r="R17" t="s">
        <v>555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462</v>
      </c>
      <c r="B18" t="str">
        <f t="shared" si="0"/>
        <v>OIL</v>
      </c>
      <c r="D18" s="12" t="s">
        <v>611</v>
      </c>
      <c r="E18" s="12">
        <f>N8</f>
        <v>67.53</v>
      </c>
      <c r="F18" s="12" t="s">
        <v>586</v>
      </c>
      <c r="G18" s="13" t="s">
        <v>612</v>
      </c>
      <c r="H18" s="13"/>
      <c r="I18" s="13"/>
      <c r="J18" s="13"/>
      <c r="K18" s="13"/>
      <c r="L18" s="13"/>
      <c r="M18" s="13"/>
      <c r="N18" s="13">
        <v>0</v>
      </c>
      <c r="R18" t="s">
        <v>555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463</v>
      </c>
      <c r="B19" t="str">
        <f t="shared" si="0"/>
        <v>OIL_CRD</v>
      </c>
      <c r="D19" s="12" t="s">
        <v>613</v>
      </c>
      <c r="E19" s="12">
        <f>N12</f>
        <v>55.99</v>
      </c>
      <c r="F19" s="12" t="s">
        <v>589</v>
      </c>
      <c r="G19" s="13" t="s">
        <v>614</v>
      </c>
      <c r="H19" s="13">
        <v>120.7</v>
      </c>
      <c r="I19" s="13" t="s">
        <v>597</v>
      </c>
      <c r="J19" s="13">
        <v>54.75</v>
      </c>
      <c r="K19" s="13" t="s">
        <v>597</v>
      </c>
      <c r="L19" s="13">
        <v>120.6</v>
      </c>
      <c r="M19" s="13">
        <v>54.7</v>
      </c>
      <c r="N19" s="13">
        <v>57.71</v>
      </c>
      <c r="R19" t="s">
        <v>555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502</v>
      </c>
      <c r="AB19" t="s">
        <v>75</v>
      </c>
      <c r="AC19" t="s">
        <v>77</v>
      </c>
    </row>
    <row r="20" spans="1:36">
      <c r="A20" t="s">
        <v>464</v>
      </c>
      <c r="B20" t="str">
        <f t="shared" si="0"/>
        <v>OIL_DST</v>
      </c>
      <c r="D20" s="12" t="s">
        <v>615</v>
      </c>
      <c r="E20" s="12">
        <f>N14</f>
        <v>83.12</v>
      </c>
      <c r="F20" s="12" t="s">
        <v>586</v>
      </c>
      <c r="G20" s="13" t="s">
        <v>616</v>
      </c>
      <c r="H20" s="13">
        <v>32.4</v>
      </c>
      <c r="I20" s="13" t="s">
        <v>572</v>
      </c>
      <c r="J20" s="13">
        <v>14.7</v>
      </c>
      <c r="K20" s="13" t="s">
        <v>572</v>
      </c>
      <c r="L20" s="13">
        <v>225.1</v>
      </c>
      <c r="M20" s="13">
        <v>102.1</v>
      </c>
      <c r="N20" s="13">
        <v>107.72</v>
      </c>
      <c r="R20" t="s">
        <v>555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592</v>
      </c>
      <c r="Y20" t="s">
        <v>617</v>
      </c>
      <c r="Z20" t="s">
        <v>618</v>
      </c>
      <c r="AA20" t="s">
        <v>617</v>
      </c>
      <c r="AB20">
        <f>VLOOKUP(MID(AA20,1,3),$D$2:$F$27,2,FALSE)</f>
        <v>98.43</v>
      </c>
      <c r="AC20" t="s">
        <v>127</v>
      </c>
    </row>
    <row r="21" spans="1:36">
      <c r="A21" t="s">
        <v>619</v>
      </c>
      <c r="B21" t="str">
        <f t="shared" si="0"/>
        <v>WAS</v>
      </c>
      <c r="D21" s="12" t="s">
        <v>620</v>
      </c>
      <c r="E21" s="12">
        <f>N14</f>
        <v>83.12</v>
      </c>
      <c r="F21" s="12" t="s">
        <v>586</v>
      </c>
      <c r="G21" s="13" t="s">
        <v>621</v>
      </c>
      <c r="H21" s="13">
        <v>22.09</v>
      </c>
      <c r="I21" s="13" t="s">
        <v>572</v>
      </c>
      <c r="J21" s="13">
        <v>10.02</v>
      </c>
      <c r="K21" s="13" t="s">
        <v>572</v>
      </c>
      <c r="L21" s="13">
        <v>160.1</v>
      </c>
      <c r="M21" s="13">
        <v>72.62</v>
      </c>
      <c r="N21" s="13">
        <v>76.61</v>
      </c>
      <c r="R21" t="s">
        <v>555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592</v>
      </c>
      <c r="Y21" t="s">
        <v>622</v>
      </c>
      <c r="Z21" t="s">
        <v>623</v>
      </c>
      <c r="AA21" t="s">
        <v>622</v>
      </c>
      <c r="AB21">
        <f>VLOOKUP(MID(AA21,1,3),$D$2:$F$27,2,FALSE)</f>
        <v>98.43</v>
      </c>
      <c r="AC21" t="s">
        <v>127</v>
      </c>
    </row>
    <row r="22" spans="1:36">
      <c r="A22" t="s">
        <v>624</v>
      </c>
      <c r="B22" t="str">
        <f t="shared" si="0"/>
        <v>BFG</v>
      </c>
      <c r="D22" s="12" t="s">
        <v>625</v>
      </c>
      <c r="E22" s="12">
        <f>E10</f>
        <v>77.19</v>
      </c>
      <c r="F22" s="12" t="s">
        <v>586</v>
      </c>
      <c r="G22" s="13" t="s">
        <v>626</v>
      </c>
      <c r="H22" s="13"/>
      <c r="I22" s="13"/>
      <c r="J22" s="13"/>
      <c r="K22" s="13"/>
      <c r="L22" s="13"/>
      <c r="M22" s="13"/>
      <c r="N22" s="13">
        <v>0</v>
      </c>
      <c r="R22" t="s">
        <v>555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592</v>
      </c>
      <c r="Y22" t="s">
        <v>102</v>
      </c>
      <c r="Z22" t="s">
        <v>627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465</v>
      </c>
      <c r="B23" t="str">
        <f t="shared" si="0"/>
        <v>BSL</v>
      </c>
      <c r="D23" s="12" t="s">
        <v>628</v>
      </c>
      <c r="E23" s="12">
        <f>N33</f>
        <v>120.4</v>
      </c>
      <c r="F23" s="12" t="s">
        <v>546</v>
      </c>
      <c r="G23" s="13" t="s">
        <v>629</v>
      </c>
      <c r="H23" s="13">
        <v>26.34</v>
      </c>
      <c r="I23" s="13" t="s">
        <v>572</v>
      </c>
      <c r="J23" s="13">
        <v>11.95</v>
      </c>
      <c r="K23" s="13" t="s">
        <v>572</v>
      </c>
      <c r="L23" s="13">
        <v>166.7</v>
      </c>
      <c r="M23" s="13">
        <v>75.61</v>
      </c>
      <c r="N23" s="13">
        <v>79.77</v>
      </c>
      <c r="R23" t="s">
        <v>555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630</v>
      </c>
      <c r="Y23" t="s">
        <v>631</v>
      </c>
      <c r="Z23" t="s">
        <v>632</v>
      </c>
      <c r="AA23" t="s">
        <v>631</v>
      </c>
      <c r="AB23">
        <v>1</v>
      </c>
      <c r="AC23" t="s">
        <v>633</v>
      </c>
    </row>
    <row r="24" spans="1:36">
      <c r="A24" t="s">
        <v>634</v>
      </c>
      <c r="B24" t="str">
        <f t="shared" si="0"/>
        <v>COA</v>
      </c>
      <c r="D24" s="12" t="s">
        <v>635</v>
      </c>
      <c r="E24" s="12">
        <f>N20</f>
        <v>107.72</v>
      </c>
      <c r="F24" s="12" t="s">
        <v>586</v>
      </c>
      <c r="G24" s="13" t="s">
        <v>636</v>
      </c>
      <c r="H24" s="13">
        <v>23.62</v>
      </c>
      <c r="I24" s="13" t="s">
        <v>572</v>
      </c>
      <c r="J24" s="13">
        <v>10.72</v>
      </c>
      <c r="K24" s="13" t="s">
        <v>572</v>
      </c>
      <c r="L24" s="13">
        <v>163.6</v>
      </c>
      <c r="M24" s="13">
        <v>74.21</v>
      </c>
      <c r="N24" s="13">
        <v>78.29</v>
      </c>
      <c r="R24" t="s">
        <v>555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637</v>
      </c>
      <c r="B25" t="str">
        <f t="shared" si="0"/>
        <v>COG</v>
      </c>
      <c r="D25" s="12" t="s">
        <v>638</v>
      </c>
      <c r="E25" s="12">
        <f>E2</f>
        <v>55.99</v>
      </c>
      <c r="F25" s="12" t="s">
        <v>586</v>
      </c>
      <c r="G25" s="13" t="s">
        <v>639</v>
      </c>
      <c r="H25" s="13">
        <v>24.74</v>
      </c>
      <c r="I25" s="13" t="s">
        <v>572</v>
      </c>
      <c r="J25" s="13">
        <v>11.22</v>
      </c>
      <c r="K25" s="13" t="s">
        <v>572</v>
      </c>
      <c r="L25" s="13">
        <v>156.6</v>
      </c>
      <c r="M25" s="13">
        <v>71.03</v>
      </c>
      <c r="N25" s="13">
        <v>74.94</v>
      </c>
      <c r="R25" t="s">
        <v>555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640</v>
      </c>
      <c r="B26" t="str">
        <f t="shared" si="0"/>
        <v>COK</v>
      </c>
      <c r="D26" s="12" t="s">
        <v>641</v>
      </c>
      <c r="E26" s="12">
        <f>N9</f>
        <v>77.19</v>
      </c>
      <c r="F26" s="12" t="s">
        <v>586</v>
      </c>
      <c r="G26" s="13" t="s">
        <v>642</v>
      </c>
      <c r="H26" s="13">
        <v>20.05</v>
      </c>
      <c r="I26" s="13" t="s">
        <v>572</v>
      </c>
      <c r="J26" s="13">
        <v>9.1</v>
      </c>
      <c r="K26" s="13" t="s">
        <v>572</v>
      </c>
      <c r="L26" s="13">
        <v>160.5</v>
      </c>
      <c r="M26" s="13">
        <v>72.8</v>
      </c>
      <c r="N26" s="13">
        <v>76.81</v>
      </c>
      <c r="R26" t="s">
        <v>555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643</v>
      </c>
      <c r="B27" t="str">
        <f t="shared" si="0"/>
        <v>HFO</v>
      </c>
      <c r="D27" s="12" t="s">
        <v>644</v>
      </c>
      <c r="E27" s="12">
        <f>N36</f>
        <v>43.98</v>
      </c>
      <c r="F27" s="12" t="s">
        <v>645</v>
      </c>
      <c r="G27" s="13" t="s">
        <v>646</v>
      </c>
      <c r="H27" s="13">
        <v>21.11</v>
      </c>
      <c r="I27" s="13" t="s">
        <v>572</v>
      </c>
      <c r="J27" s="13">
        <v>9.57</v>
      </c>
      <c r="K27" s="13" t="s">
        <v>572</v>
      </c>
      <c r="L27" s="13">
        <v>160.1</v>
      </c>
      <c r="M27" s="13">
        <v>72.62</v>
      </c>
      <c r="N27" s="13">
        <v>76.61</v>
      </c>
      <c r="R27" t="s">
        <v>555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647</v>
      </c>
      <c r="B28" t="str">
        <f t="shared" si="0"/>
        <v>LPG</v>
      </c>
      <c r="G28" s="13" t="s">
        <v>648</v>
      </c>
      <c r="H28" s="13"/>
      <c r="I28" s="13"/>
      <c r="J28" s="13"/>
      <c r="K28" s="13"/>
      <c r="L28" s="13"/>
      <c r="M28" s="13"/>
      <c r="N28" s="13"/>
      <c r="R28" t="s">
        <v>555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502</v>
      </c>
      <c r="AA28" t="s">
        <v>75</v>
      </c>
    </row>
    <row r="29" spans="1:36">
      <c r="A29" t="s">
        <v>106</v>
      </c>
      <c r="B29" t="str">
        <f t="shared" si="0"/>
        <v>NGA</v>
      </c>
      <c r="G29" s="13" t="s">
        <v>649</v>
      </c>
      <c r="H29" s="16">
        <v>5685</v>
      </c>
      <c r="I29" s="13" t="s">
        <v>591</v>
      </c>
      <c r="J29" s="16">
        <v>2578.68</v>
      </c>
      <c r="K29" s="13" t="s">
        <v>591</v>
      </c>
      <c r="L29" s="13">
        <v>228.6</v>
      </c>
      <c r="M29" s="13">
        <v>103.7</v>
      </c>
      <c r="N29" s="13">
        <v>109.4</v>
      </c>
      <c r="R29" t="s">
        <v>555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556</v>
      </c>
      <c r="Y29" t="s">
        <v>650</v>
      </c>
      <c r="Z29" t="s">
        <v>651</v>
      </c>
      <c r="AA29">
        <v>0.001</v>
      </c>
    </row>
    <row r="30" spans="1:36">
      <c r="A30" t="s">
        <v>395</v>
      </c>
      <c r="B30" t="str">
        <f t="shared" si="0"/>
        <v>OIL</v>
      </c>
      <c r="G30" s="13" t="s">
        <v>652</v>
      </c>
      <c r="H30" s="16">
        <v>4931.3</v>
      </c>
      <c r="I30" s="13" t="s">
        <v>591</v>
      </c>
      <c r="J30" s="16">
        <v>2236.8</v>
      </c>
      <c r="K30" s="13" t="s">
        <v>591</v>
      </c>
      <c r="L30" s="13">
        <v>205.7</v>
      </c>
      <c r="M30" s="13">
        <v>93.3</v>
      </c>
      <c r="N30" s="13">
        <v>98.43</v>
      </c>
      <c r="R30" t="s">
        <v>555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556</v>
      </c>
      <c r="AH30" s="18" t="s">
        <v>653</v>
      </c>
      <c r="AI30" s="18" t="s">
        <v>651</v>
      </c>
      <c r="AJ30" s="18">
        <v>-0.001</v>
      </c>
    </row>
    <row r="31" spans="1:36">
      <c r="A31" t="s">
        <v>654</v>
      </c>
      <c r="B31" t="str">
        <f t="shared" si="0"/>
        <v>OVC</v>
      </c>
      <c r="G31" s="13" t="s">
        <v>655</v>
      </c>
      <c r="H31" s="16">
        <v>3715.9</v>
      </c>
      <c r="I31" s="13" t="s">
        <v>591</v>
      </c>
      <c r="J31" s="16">
        <v>1685.51</v>
      </c>
      <c r="K31" s="13" t="s">
        <v>591</v>
      </c>
      <c r="L31" s="13">
        <v>214.3</v>
      </c>
      <c r="M31" s="13">
        <v>97.2</v>
      </c>
      <c r="N31" s="13">
        <v>102.55</v>
      </c>
      <c r="R31" t="s">
        <v>555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36">
      <c r="A32" t="s">
        <v>656</v>
      </c>
      <c r="B32" t="str">
        <f t="shared" si="0"/>
        <v>PTC</v>
      </c>
      <c r="G32" s="13" t="s">
        <v>657</v>
      </c>
      <c r="H32" s="16">
        <v>2791.6</v>
      </c>
      <c r="I32" s="13" t="s">
        <v>591</v>
      </c>
      <c r="J32" s="16">
        <v>1266.25</v>
      </c>
      <c r="K32" s="13" t="s">
        <v>591</v>
      </c>
      <c r="L32" s="13">
        <v>215.4</v>
      </c>
      <c r="M32" s="13">
        <v>97.7</v>
      </c>
      <c r="N32" s="13">
        <v>103.08</v>
      </c>
      <c r="R32" t="s">
        <v>555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556</v>
      </c>
      <c r="Y32" t="s">
        <v>658</v>
      </c>
      <c r="Z32" t="s">
        <v>659</v>
      </c>
      <c r="AA32">
        <v>0.001</v>
      </c>
    </row>
    <row r="33" spans="1:30">
      <c r="A33" t="s">
        <v>660</v>
      </c>
      <c r="B33" t="str">
        <f t="shared" si="0"/>
        <v>COA</v>
      </c>
      <c r="G33" s="13" t="s">
        <v>661</v>
      </c>
      <c r="H33" s="16">
        <v>6239.68</v>
      </c>
      <c r="I33" s="13" t="s">
        <v>591</v>
      </c>
      <c r="J33" s="16">
        <v>2830.27</v>
      </c>
      <c r="K33" s="13" t="s">
        <v>591</v>
      </c>
      <c r="L33" s="13">
        <v>251.6</v>
      </c>
      <c r="M33" s="13">
        <v>114.12</v>
      </c>
      <c r="N33" s="13">
        <v>120.4</v>
      </c>
      <c r="R33" t="s">
        <v>555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556</v>
      </c>
      <c r="Y33" t="s">
        <v>662</v>
      </c>
      <c r="Z33" t="s">
        <v>659</v>
      </c>
      <c r="AA33">
        <v>-0.001</v>
      </c>
    </row>
    <row r="34" spans="1:30">
      <c r="A34" t="s">
        <v>663</v>
      </c>
      <c r="B34" t="str">
        <f t="shared" si="0"/>
        <v>HFO</v>
      </c>
      <c r="G34" s="13" t="s">
        <v>664</v>
      </c>
      <c r="H34" s="13"/>
      <c r="I34" s="13"/>
      <c r="J34" s="13"/>
      <c r="K34" s="13"/>
      <c r="L34" s="13"/>
      <c r="M34" s="13"/>
      <c r="N34" s="13"/>
      <c r="R34" t="s">
        <v>555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30">
      <c r="A35" t="s">
        <v>665</v>
      </c>
      <c r="B35" t="str">
        <f t="shared" si="0"/>
        <v>KER</v>
      </c>
      <c r="G35" s="13" t="s">
        <v>666</v>
      </c>
      <c r="H35" s="13" t="s">
        <v>667</v>
      </c>
      <c r="I35" s="13"/>
      <c r="J35" s="13" t="s">
        <v>667</v>
      </c>
      <c r="K35" s="13"/>
      <c r="L35" s="13">
        <v>16.99</v>
      </c>
      <c r="M35" s="13">
        <v>7.71</v>
      </c>
      <c r="N35" s="13">
        <v>8.13</v>
      </c>
      <c r="R35" t="s">
        <v>555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556</v>
      </c>
      <c r="Y35" t="s">
        <v>668</v>
      </c>
      <c r="Z35" t="s">
        <v>669</v>
      </c>
      <c r="AA35">
        <v>0.001</v>
      </c>
    </row>
    <row r="36" spans="1:30">
      <c r="A36" t="s">
        <v>670</v>
      </c>
      <c r="B36" t="str">
        <f t="shared" si="0"/>
        <v>LPG</v>
      </c>
      <c r="G36" s="13" t="s">
        <v>671</v>
      </c>
      <c r="H36" s="16">
        <v>5771</v>
      </c>
      <c r="I36" s="13" t="s">
        <v>591</v>
      </c>
      <c r="J36" s="16">
        <v>2617.68</v>
      </c>
      <c r="K36" s="13" t="s">
        <v>591</v>
      </c>
      <c r="L36" s="13">
        <v>91.9</v>
      </c>
      <c r="M36" s="13">
        <v>41.69</v>
      </c>
      <c r="N36" s="13">
        <v>43.98</v>
      </c>
      <c r="R36" t="s">
        <v>555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672</v>
      </c>
      <c r="Y36" t="s">
        <v>632</v>
      </c>
      <c r="Z36" t="s">
        <v>669</v>
      </c>
      <c r="AA36">
        <v>0.001</v>
      </c>
    </row>
    <row r="37" spans="1:30">
      <c r="A37" t="s">
        <v>275</v>
      </c>
      <c r="B37" t="str">
        <f t="shared" si="0"/>
        <v>NGA</v>
      </c>
      <c r="G37" s="13" t="s">
        <v>673</v>
      </c>
      <c r="H37" s="16">
        <v>6160</v>
      </c>
      <c r="I37" s="13" t="s">
        <v>591</v>
      </c>
      <c r="J37" s="16">
        <v>2794.13</v>
      </c>
      <c r="K37" s="13" t="s">
        <v>591</v>
      </c>
      <c r="L37" s="13">
        <v>189.54</v>
      </c>
      <c r="M37" s="13">
        <v>85.97</v>
      </c>
      <c r="N37" s="13">
        <v>90.7</v>
      </c>
      <c r="R37" t="s">
        <v>555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556</v>
      </c>
      <c r="Y37" t="s">
        <v>674</v>
      </c>
      <c r="Z37" t="s">
        <v>669</v>
      </c>
      <c r="AA37">
        <v>-0.001</v>
      </c>
    </row>
    <row r="38" spans="1:30">
      <c r="A38" t="s">
        <v>675</v>
      </c>
      <c r="B38" t="str">
        <f t="shared" si="0"/>
        <v>OIL</v>
      </c>
      <c r="G38" s="13" t="s">
        <v>676</v>
      </c>
      <c r="H38" s="13">
        <v>924</v>
      </c>
      <c r="I38" s="13" t="s">
        <v>677</v>
      </c>
      <c r="J38" s="13">
        <v>419.12</v>
      </c>
      <c r="K38" s="13" t="s">
        <v>677</v>
      </c>
      <c r="L38" s="13">
        <v>210</v>
      </c>
      <c r="M38" s="13">
        <v>95.25</v>
      </c>
      <c r="N38" s="13">
        <v>100.49</v>
      </c>
      <c r="R38" t="s">
        <v>555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556</v>
      </c>
      <c r="Y38" t="s">
        <v>631</v>
      </c>
      <c r="Z38" t="s">
        <v>669</v>
      </c>
      <c r="AA38">
        <v>-0.001</v>
      </c>
    </row>
    <row r="39" spans="1:30">
      <c r="A39" t="s">
        <v>678</v>
      </c>
      <c r="B39" t="str">
        <f t="shared" si="0"/>
        <v>BFG</v>
      </c>
      <c r="G39" s="13" t="s">
        <v>679</v>
      </c>
      <c r="H39" s="13"/>
      <c r="I39" s="13"/>
      <c r="J39" s="13"/>
      <c r="K39" s="13"/>
      <c r="L39" s="13"/>
      <c r="M39" s="13"/>
      <c r="N39" s="13"/>
      <c r="R39" t="s">
        <v>555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30">
      <c r="A40" t="s">
        <v>680</v>
      </c>
      <c r="B40" t="str">
        <f t="shared" si="0"/>
        <v>BIO</v>
      </c>
      <c r="G40" s="13" t="s">
        <v>681</v>
      </c>
      <c r="H40" s="13"/>
      <c r="I40" s="13"/>
      <c r="J40" s="13"/>
      <c r="K40" s="13"/>
      <c r="L40" s="13"/>
      <c r="M40" s="13"/>
      <c r="N40" s="13"/>
      <c r="R40" t="s">
        <v>555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556</v>
      </c>
      <c r="Y40" t="s">
        <v>682</v>
      </c>
      <c r="Z40" t="s">
        <v>683</v>
      </c>
      <c r="AA40">
        <v>0.001</v>
      </c>
    </row>
    <row r="41" spans="1:30">
      <c r="A41" t="s">
        <v>684</v>
      </c>
      <c r="B41" t="str">
        <f t="shared" si="0"/>
        <v>COA</v>
      </c>
      <c r="G41" s="13" t="s">
        <v>685</v>
      </c>
      <c r="H41" s="13"/>
      <c r="I41" s="13"/>
      <c r="J41" s="13"/>
      <c r="K41" s="13"/>
      <c r="L41" s="13"/>
      <c r="M41" s="13"/>
      <c r="N41" s="13"/>
      <c r="R41" t="s">
        <v>555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556</v>
      </c>
      <c r="Y41" t="s">
        <v>686</v>
      </c>
      <c r="Z41" t="s">
        <v>687</v>
      </c>
      <c r="AA41">
        <v>0.001</v>
      </c>
    </row>
    <row r="42" spans="1:30">
      <c r="A42" t="s">
        <v>688</v>
      </c>
      <c r="B42" t="str">
        <f t="shared" si="0"/>
        <v>COG</v>
      </c>
      <c r="R42" t="s">
        <v>555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689</v>
      </c>
      <c r="B43" t="str">
        <f t="shared" si="0"/>
        <v>NGA</v>
      </c>
      <c r="R43" t="s">
        <v>555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690</v>
      </c>
      <c r="B44" t="str">
        <f t="shared" si="0"/>
        <v>OIL</v>
      </c>
      <c r="R44" t="s">
        <v>555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691</v>
      </c>
      <c r="B45" t="str">
        <f t="shared" si="0"/>
        <v>RFG</v>
      </c>
      <c r="R45" t="s">
        <v>555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692</v>
      </c>
      <c r="B46" t="str">
        <f t="shared" si="0"/>
        <v>RPP</v>
      </c>
      <c r="R46" t="s">
        <v>555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537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693</v>
      </c>
      <c r="B47" t="str">
        <f t="shared" si="0"/>
        <v>COA</v>
      </c>
      <c r="R47" t="s">
        <v>555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592</v>
      </c>
      <c r="Y47" t="s">
        <v>694</v>
      </c>
      <c r="Z47" t="s">
        <v>461</v>
      </c>
      <c r="AA47" t="s">
        <v>653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555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592</v>
      </c>
      <c r="Y48" t="s">
        <v>695</v>
      </c>
      <c r="Z48" t="s">
        <v>465</v>
      </c>
      <c r="AA48" t="s">
        <v>653</v>
      </c>
      <c r="AB48">
        <v>0.8</v>
      </c>
      <c r="AD48" t="str">
        <f>AA48</f>
        <v>CO2Captured_elc</v>
      </c>
    </row>
    <row r="49" spans="1:31">
      <c r="A49" t="s">
        <v>299</v>
      </c>
      <c r="B49" t="str">
        <f t="shared" si="0"/>
        <v>GSL</v>
      </c>
      <c r="R49" t="s">
        <v>555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592</v>
      </c>
      <c r="Y49" t="s">
        <v>696</v>
      </c>
      <c r="Z49" t="s">
        <v>282</v>
      </c>
      <c r="AA49" t="s">
        <v>653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697</v>
      </c>
      <c r="B50" t="str">
        <f t="shared" si="0"/>
        <v>HFO</v>
      </c>
      <c r="R50" t="s">
        <v>555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297</v>
      </c>
      <c r="B51" t="str">
        <f t="shared" si="0"/>
        <v>JTK</v>
      </c>
      <c r="R51" t="s">
        <v>555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698</v>
      </c>
      <c r="B52" t="str">
        <f t="shared" si="0"/>
        <v>LPG</v>
      </c>
      <c r="R52" t="s">
        <v>555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555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699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700</v>
      </c>
      <c r="B54" t="str">
        <f t="shared" si="0"/>
        <v>BIO</v>
      </c>
      <c r="R54" t="s">
        <v>555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627</v>
      </c>
      <c r="Z54" t="s">
        <v>701</v>
      </c>
      <c r="AA54" t="s">
        <v>592</v>
      </c>
      <c r="AB54" t="s">
        <v>127</v>
      </c>
      <c r="AC54">
        <v>0.9</v>
      </c>
      <c r="AD54">
        <v>0.95</v>
      </c>
      <c r="AE54" t="s">
        <v>674</v>
      </c>
    </row>
    <row r="55" spans="1:31">
      <c r="R55" t="s">
        <v>555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617</v>
      </c>
      <c r="Y55" t="s">
        <v>618</v>
      </c>
      <c r="Z55" t="s">
        <v>701</v>
      </c>
      <c r="AA55" t="s">
        <v>592</v>
      </c>
      <c r="AB55" t="s">
        <v>127</v>
      </c>
      <c r="AC55">
        <v>0.9</v>
      </c>
      <c r="AD55">
        <v>0.95</v>
      </c>
      <c r="AE55" t="s">
        <v>674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3" zoomScaleNormal="63" workbookViewId="0">
      <selection activeCell="AC20" sqref="AC20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2:23">
      <c r="M1" t="s">
        <v>702</v>
      </c>
      <c r="S1" s="6" t="s">
        <v>703</v>
      </c>
    </row>
    <row r="2" spans="2:23">
      <c r="B2" t="s">
        <v>704</v>
      </c>
      <c r="H2" t="s">
        <v>243</v>
      </c>
      <c r="I2" t="s">
        <v>705</v>
      </c>
      <c r="J2" t="s">
        <v>277</v>
      </c>
      <c r="K2" t="s">
        <v>706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707</v>
      </c>
      <c r="C3" t="s">
        <v>314</v>
      </c>
      <c r="D3" t="s">
        <v>383</v>
      </c>
      <c r="E3" t="s">
        <v>58</v>
      </c>
      <c r="H3">
        <v>2019</v>
      </c>
      <c r="I3" t="s">
        <v>708</v>
      </c>
      <c r="K3" s="7">
        <v>803570.015326143</v>
      </c>
      <c r="M3" t="str">
        <f>$I3</f>
        <v>Africa_SS</v>
      </c>
      <c r="N3" t="s">
        <v>254</v>
      </c>
      <c r="O3" s="8">
        <f>-K3/1000</f>
        <v>-803.570015326143</v>
      </c>
      <c r="P3">
        <v>3</v>
      </c>
      <c r="Q3" t="s">
        <v>422</v>
      </c>
      <c r="S3" t="str">
        <f>$I3</f>
        <v>Africa_SS</v>
      </c>
      <c r="T3" t="s">
        <v>254</v>
      </c>
      <c r="U3" s="8">
        <f>-K3/1000*2/3</f>
        <v>-535.713343550762</v>
      </c>
      <c r="V3">
        <v>3</v>
      </c>
      <c r="W3" t="s">
        <v>709</v>
      </c>
    </row>
    <row r="4" spans="2:23">
      <c r="B4" t="s">
        <v>241</v>
      </c>
      <c r="C4" t="s">
        <v>558</v>
      </c>
      <c r="D4">
        <v>0.08</v>
      </c>
      <c r="E4" t="s">
        <v>710</v>
      </c>
      <c r="H4">
        <v>2019</v>
      </c>
      <c r="I4" t="s">
        <v>152</v>
      </c>
      <c r="K4" s="7">
        <v>4829.99992370605</v>
      </c>
      <c r="M4" t="str">
        <f t="shared" ref="M4:M67" si="0">$I4</f>
        <v>Albania</v>
      </c>
      <c r="N4" t="s">
        <v>254</v>
      </c>
      <c r="O4" s="8">
        <f t="shared" ref="O4:O46" si="1">-K4/1000</f>
        <v>-4.82999992370605</v>
      </c>
      <c r="P4">
        <v>3</v>
      </c>
      <c r="Q4" t="s">
        <v>422</v>
      </c>
      <c r="S4" t="str">
        <f t="shared" ref="S4:S67" si="2">$I4</f>
        <v>Albania</v>
      </c>
      <c r="T4" t="s">
        <v>254</v>
      </c>
      <c r="U4" s="8">
        <f t="shared" ref="U4:U46" si="3">-K4/1000*2/3</f>
        <v>-3.21999994913737</v>
      </c>
      <c r="V4">
        <v>3</v>
      </c>
      <c r="W4" t="s">
        <v>709</v>
      </c>
    </row>
    <row r="5" spans="2:23">
      <c r="B5" t="s">
        <v>240</v>
      </c>
      <c r="C5" t="s">
        <v>558</v>
      </c>
      <c r="D5">
        <v>0.01</v>
      </c>
      <c r="E5" t="s">
        <v>710</v>
      </c>
      <c r="H5">
        <v>2019</v>
      </c>
      <c r="I5" t="s">
        <v>153</v>
      </c>
      <c r="K5" s="7">
        <v>171250</v>
      </c>
      <c r="M5" t="str">
        <f t="shared" si="0"/>
        <v>Algeria</v>
      </c>
      <c r="N5" t="s">
        <v>254</v>
      </c>
      <c r="O5" s="8">
        <f t="shared" si="1"/>
        <v>-171.25</v>
      </c>
      <c r="P5">
        <v>3</v>
      </c>
      <c r="Q5" t="s">
        <v>422</v>
      </c>
      <c r="S5" t="str">
        <f t="shared" si="2"/>
        <v>Algeria</v>
      </c>
      <c r="T5" t="s">
        <v>254</v>
      </c>
      <c r="U5" s="8">
        <f t="shared" si="3"/>
        <v>-114.166666666667</v>
      </c>
      <c r="V5">
        <v>3</v>
      </c>
      <c r="W5" t="s">
        <v>709</v>
      </c>
    </row>
    <row r="6" spans="2:23">
      <c r="B6" t="s">
        <v>239</v>
      </c>
      <c r="C6" t="s">
        <v>558</v>
      </c>
      <c r="D6">
        <v>0.05</v>
      </c>
      <c r="E6" t="s">
        <v>710</v>
      </c>
      <c r="H6">
        <v>2019</v>
      </c>
      <c r="I6" t="s">
        <v>154</v>
      </c>
      <c r="K6" s="7">
        <v>25209.9990844727</v>
      </c>
      <c r="M6" t="str">
        <f t="shared" si="0"/>
        <v>Angola</v>
      </c>
      <c r="N6" t="s">
        <v>254</v>
      </c>
      <c r="O6" s="8">
        <f t="shared" si="1"/>
        <v>-25.2099990844727</v>
      </c>
      <c r="P6">
        <v>3</v>
      </c>
      <c r="Q6" t="s">
        <v>422</v>
      </c>
      <c r="S6" t="str">
        <f t="shared" si="2"/>
        <v>Angola</v>
      </c>
      <c r="T6" t="s">
        <v>254</v>
      </c>
      <c r="U6" s="8">
        <f t="shared" si="3"/>
        <v>-16.8066660563151</v>
      </c>
      <c r="V6">
        <v>3</v>
      </c>
      <c r="W6" t="s">
        <v>709</v>
      </c>
    </row>
    <row r="7" spans="2:23">
      <c r="B7" t="s">
        <v>238</v>
      </c>
      <c r="C7" t="s">
        <v>558</v>
      </c>
      <c r="D7">
        <v>0.0375</v>
      </c>
      <c r="E7" t="s">
        <v>710</v>
      </c>
      <c r="H7">
        <v>2019</v>
      </c>
      <c r="I7" t="s">
        <v>155</v>
      </c>
      <c r="K7" s="7">
        <v>168100.006103516</v>
      </c>
      <c r="M7" t="str">
        <f t="shared" si="0"/>
        <v>Argentina</v>
      </c>
      <c r="N7" t="s">
        <v>254</v>
      </c>
      <c r="O7" s="8">
        <f t="shared" si="1"/>
        <v>-168.100006103516</v>
      </c>
      <c r="P7">
        <v>3</v>
      </c>
      <c r="Q7" t="s">
        <v>422</v>
      </c>
      <c r="S7" t="str">
        <f t="shared" si="2"/>
        <v>Argentina</v>
      </c>
      <c r="T7" t="s">
        <v>254</v>
      </c>
      <c r="U7" s="8">
        <f t="shared" si="3"/>
        <v>-112.066670735677</v>
      </c>
      <c r="V7">
        <v>3</v>
      </c>
      <c r="W7" t="s">
        <v>709</v>
      </c>
    </row>
    <row r="8" spans="2:23">
      <c r="B8" t="s">
        <v>237</v>
      </c>
      <c r="C8" t="s">
        <v>558</v>
      </c>
      <c r="D8">
        <v>0.0375</v>
      </c>
      <c r="E8" t="s">
        <v>710</v>
      </c>
      <c r="H8">
        <v>2019</v>
      </c>
      <c r="I8" t="s">
        <v>156</v>
      </c>
      <c r="K8" s="7">
        <v>6170.00007629395</v>
      </c>
      <c r="M8" t="str">
        <f t="shared" si="0"/>
        <v>Armenia</v>
      </c>
      <c r="N8" t="s">
        <v>254</v>
      </c>
      <c r="O8" s="8">
        <f t="shared" si="1"/>
        <v>-6.17000007629395</v>
      </c>
      <c r="P8">
        <v>3</v>
      </c>
      <c r="Q8" t="s">
        <v>422</v>
      </c>
      <c r="S8" t="str">
        <f t="shared" si="2"/>
        <v>Armenia</v>
      </c>
      <c r="T8" t="s">
        <v>254</v>
      </c>
      <c r="U8" s="8">
        <f t="shared" si="3"/>
        <v>-4.11333338419597</v>
      </c>
      <c r="V8">
        <v>3</v>
      </c>
      <c r="W8" t="s">
        <v>709</v>
      </c>
    </row>
    <row r="9" spans="2:23">
      <c r="B9" t="s">
        <v>236</v>
      </c>
      <c r="C9" t="s">
        <v>558</v>
      </c>
      <c r="D9">
        <v>0.025</v>
      </c>
      <c r="E9" t="s">
        <v>710</v>
      </c>
      <c r="H9">
        <v>2019</v>
      </c>
      <c r="I9" t="s">
        <v>711</v>
      </c>
      <c r="K9" s="7">
        <v>2160279.92248535</v>
      </c>
      <c r="M9" t="str">
        <f t="shared" si="0"/>
        <v>Asia_Dev</v>
      </c>
      <c r="N9" t="s">
        <v>254</v>
      </c>
      <c r="O9" s="8">
        <f t="shared" si="1"/>
        <v>-2160.27992248535</v>
      </c>
      <c r="P9">
        <v>3</v>
      </c>
      <c r="Q9" t="s">
        <v>422</v>
      </c>
      <c r="S9" t="str">
        <f t="shared" si="2"/>
        <v>Asia_Dev</v>
      </c>
      <c r="T9" t="s">
        <v>254</v>
      </c>
      <c r="U9" s="8">
        <f t="shared" si="3"/>
        <v>-1440.18661499023</v>
      </c>
      <c r="V9">
        <v>3</v>
      </c>
      <c r="W9" t="s">
        <v>709</v>
      </c>
    </row>
    <row r="10" spans="2:23">
      <c r="B10" t="s">
        <v>40</v>
      </c>
      <c r="C10" t="s">
        <v>558</v>
      </c>
      <c r="D10">
        <v>0.0375</v>
      </c>
      <c r="E10" t="s">
        <v>710</v>
      </c>
      <c r="H10">
        <v>2019</v>
      </c>
      <c r="I10" t="s">
        <v>712</v>
      </c>
      <c r="K10" s="7">
        <v>2096160.02257727</v>
      </c>
      <c r="M10" t="str">
        <f t="shared" si="0"/>
        <v>Asia_Em</v>
      </c>
      <c r="N10" t="s">
        <v>254</v>
      </c>
      <c r="O10" s="8">
        <f t="shared" si="1"/>
        <v>-2096.16002257727</v>
      </c>
      <c r="P10">
        <v>3</v>
      </c>
      <c r="Q10" t="s">
        <v>422</v>
      </c>
      <c r="S10" t="str">
        <f t="shared" si="2"/>
        <v>Asia_Em</v>
      </c>
      <c r="T10" t="s">
        <v>254</v>
      </c>
      <c r="U10" s="8">
        <f t="shared" si="3"/>
        <v>-1397.44001505151</v>
      </c>
      <c r="V10">
        <v>3</v>
      </c>
      <c r="W10" t="s">
        <v>709</v>
      </c>
    </row>
    <row r="11" spans="2:23">
      <c r="B11" t="s">
        <v>39</v>
      </c>
      <c r="C11" t="s">
        <v>558</v>
      </c>
      <c r="D11">
        <v>0.08</v>
      </c>
      <c r="E11" t="s">
        <v>710</v>
      </c>
      <c r="H11">
        <v>2019</v>
      </c>
      <c r="I11" t="s">
        <v>9</v>
      </c>
      <c r="K11" s="7">
        <v>386529.998779297</v>
      </c>
      <c r="M11" t="str">
        <f t="shared" si="0"/>
        <v>Australia</v>
      </c>
      <c r="N11" t="s">
        <v>254</v>
      </c>
      <c r="O11" s="8">
        <f t="shared" si="1"/>
        <v>-386.529998779297</v>
      </c>
      <c r="P11">
        <v>3</v>
      </c>
      <c r="Q11" t="s">
        <v>422</v>
      </c>
      <c r="S11" t="str">
        <f t="shared" si="2"/>
        <v>Australia</v>
      </c>
      <c r="T11" t="s">
        <v>254</v>
      </c>
      <c r="U11" s="8">
        <f t="shared" si="3"/>
        <v>-257.686665852865</v>
      </c>
      <c r="V11">
        <v>3</v>
      </c>
      <c r="W11" t="s">
        <v>709</v>
      </c>
    </row>
    <row r="12" spans="2:23">
      <c r="B12" t="s">
        <v>235</v>
      </c>
      <c r="C12" t="s">
        <v>558</v>
      </c>
      <c r="D12">
        <v>0.01</v>
      </c>
      <c r="E12" t="s">
        <v>710</v>
      </c>
      <c r="H12">
        <v>2019</v>
      </c>
      <c r="I12" t="s">
        <v>10</v>
      </c>
      <c r="K12" s="7">
        <v>64769.9966430664</v>
      </c>
      <c r="M12" t="str">
        <f t="shared" si="0"/>
        <v>Austria</v>
      </c>
      <c r="N12" t="s">
        <v>254</v>
      </c>
      <c r="O12" s="8">
        <f t="shared" si="1"/>
        <v>-64.7699966430664</v>
      </c>
      <c r="P12">
        <v>3</v>
      </c>
      <c r="Q12" t="s">
        <v>422</v>
      </c>
      <c r="S12" t="str">
        <f t="shared" si="2"/>
        <v>Austria</v>
      </c>
      <c r="T12" t="s">
        <v>254</v>
      </c>
      <c r="U12" s="8">
        <f t="shared" si="3"/>
        <v>-43.1799977620443</v>
      </c>
      <c r="V12">
        <v>3</v>
      </c>
      <c r="W12" t="s">
        <v>709</v>
      </c>
    </row>
    <row r="13" spans="2:23">
      <c r="B13" t="s">
        <v>234</v>
      </c>
      <c r="C13" t="s">
        <v>558</v>
      </c>
      <c r="D13">
        <v>0.0375</v>
      </c>
      <c r="E13" t="s">
        <v>710</v>
      </c>
      <c r="H13">
        <v>2019</v>
      </c>
      <c r="I13" t="s">
        <v>157</v>
      </c>
      <c r="K13" s="7">
        <v>35509.9983215332</v>
      </c>
      <c r="M13" t="str">
        <f t="shared" si="0"/>
        <v>Azerbaijan</v>
      </c>
      <c r="N13" t="s">
        <v>254</v>
      </c>
      <c r="O13" s="8">
        <f t="shared" si="1"/>
        <v>-35.5099983215332</v>
      </c>
      <c r="P13">
        <v>3</v>
      </c>
      <c r="Q13" t="s">
        <v>422</v>
      </c>
      <c r="S13" t="str">
        <f t="shared" si="2"/>
        <v>Azerbaijan</v>
      </c>
      <c r="T13" t="s">
        <v>254</v>
      </c>
      <c r="U13" s="8">
        <f t="shared" si="3"/>
        <v>-23.6733322143555</v>
      </c>
      <c r="V13">
        <v>3</v>
      </c>
      <c r="W13" t="s">
        <v>709</v>
      </c>
    </row>
    <row r="14" spans="2:23">
      <c r="B14" t="s">
        <v>38</v>
      </c>
      <c r="C14" t="s">
        <v>558</v>
      </c>
      <c r="D14">
        <v>0.0375</v>
      </c>
      <c r="E14" t="s">
        <v>710</v>
      </c>
      <c r="H14">
        <v>2019</v>
      </c>
      <c r="I14" t="s">
        <v>11</v>
      </c>
      <c r="K14" s="7">
        <v>29480.0000190735</v>
      </c>
      <c r="M14" t="str">
        <f t="shared" si="0"/>
        <v>Baltics</v>
      </c>
      <c r="N14" t="s">
        <v>254</v>
      </c>
      <c r="O14" s="8">
        <f t="shared" si="1"/>
        <v>-29.4800000190735</v>
      </c>
      <c r="P14">
        <v>3</v>
      </c>
      <c r="Q14" t="s">
        <v>422</v>
      </c>
      <c r="S14" t="str">
        <f t="shared" si="2"/>
        <v>Baltics</v>
      </c>
      <c r="T14" t="s">
        <v>254</v>
      </c>
      <c r="U14" s="8">
        <f t="shared" si="3"/>
        <v>-19.653333346049</v>
      </c>
      <c r="V14">
        <v>3</v>
      </c>
      <c r="W14" t="s">
        <v>709</v>
      </c>
    </row>
    <row r="15" spans="2:23">
      <c r="B15" t="s">
        <v>233</v>
      </c>
      <c r="C15" t="s">
        <v>558</v>
      </c>
      <c r="D15">
        <v>0.08</v>
      </c>
      <c r="E15" t="s">
        <v>710</v>
      </c>
      <c r="H15">
        <v>2019</v>
      </c>
      <c r="I15" t="s">
        <v>158</v>
      </c>
      <c r="K15" s="7">
        <v>90739.9978637695</v>
      </c>
      <c r="M15" t="str">
        <f t="shared" si="0"/>
        <v>Bangladesh</v>
      </c>
      <c r="N15" t="s">
        <v>254</v>
      </c>
      <c r="O15" s="8">
        <f t="shared" si="1"/>
        <v>-90.7399978637695</v>
      </c>
      <c r="P15">
        <v>3</v>
      </c>
      <c r="Q15" t="s">
        <v>422</v>
      </c>
      <c r="S15" t="str">
        <f t="shared" si="2"/>
        <v>Bangladesh</v>
      </c>
      <c r="T15" t="s">
        <v>254</v>
      </c>
      <c r="U15" s="8">
        <f t="shared" si="3"/>
        <v>-60.4933319091797</v>
      </c>
      <c r="V15">
        <v>3</v>
      </c>
      <c r="W15" t="s">
        <v>709</v>
      </c>
    </row>
    <row r="16" spans="2:23">
      <c r="B16" t="s">
        <v>232</v>
      </c>
      <c r="C16" t="s">
        <v>558</v>
      </c>
      <c r="D16">
        <v>0.05</v>
      </c>
      <c r="E16" t="s">
        <v>710</v>
      </c>
      <c r="H16">
        <v>2019</v>
      </c>
      <c r="I16" t="s">
        <v>159</v>
      </c>
      <c r="K16" s="7">
        <v>57669.9981689453</v>
      </c>
      <c r="M16" t="str">
        <f t="shared" si="0"/>
        <v>Belarus</v>
      </c>
      <c r="N16" t="s">
        <v>254</v>
      </c>
      <c r="O16" s="8">
        <f t="shared" si="1"/>
        <v>-57.6699981689453</v>
      </c>
      <c r="P16">
        <v>3</v>
      </c>
      <c r="Q16" t="s">
        <v>422</v>
      </c>
      <c r="S16" t="str">
        <f t="shared" si="2"/>
        <v>Belarus</v>
      </c>
      <c r="T16" t="s">
        <v>254</v>
      </c>
      <c r="U16" s="8">
        <f t="shared" si="3"/>
        <v>-38.4466654459635</v>
      </c>
      <c r="V16">
        <v>3</v>
      </c>
      <c r="W16" t="s">
        <v>709</v>
      </c>
    </row>
    <row r="17" spans="2:23">
      <c r="B17" t="s">
        <v>231</v>
      </c>
      <c r="C17" t="s">
        <v>558</v>
      </c>
      <c r="D17">
        <v>0.08</v>
      </c>
      <c r="E17" t="s">
        <v>710</v>
      </c>
      <c r="H17">
        <v>2019</v>
      </c>
      <c r="I17" t="s">
        <v>160</v>
      </c>
      <c r="K17" s="7">
        <v>93010.0021362305</v>
      </c>
      <c r="M17" t="str">
        <f t="shared" si="0"/>
        <v>Belgium</v>
      </c>
      <c r="N17" t="s">
        <v>254</v>
      </c>
      <c r="O17" s="8">
        <f t="shared" si="1"/>
        <v>-93.0100021362305</v>
      </c>
      <c r="P17">
        <v>3</v>
      </c>
      <c r="Q17" t="s">
        <v>422</v>
      </c>
      <c r="S17" t="str">
        <f t="shared" si="2"/>
        <v>Belgium</v>
      </c>
      <c r="T17" t="s">
        <v>254</v>
      </c>
      <c r="U17" s="8">
        <f t="shared" si="3"/>
        <v>-62.0066680908203</v>
      </c>
      <c r="V17">
        <v>3</v>
      </c>
      <c r="W17" t="s">
        <v>709</v>
      </c>
    </row>
    <row r="18" spans="2:23">
      <c r="B18" t="s">
        <v>230</v>
      </c>
      <c r="C18" t="s">
        <v>558</v>
      </c>
      <c r="D18">
        <v>0.0375</v>
      </c>
      <c r="E18" t="s">
        <v>710</v>
      </c>
      <c r="H18">
        <v>2019</v>
      </c>
      <c r="I18" t="s">
        <v>161</v>
      </c>
      <c r="K18" s="7">
        <v>21069.9996948242</v>
      </c>
      <c r="M18" t="str">
        <f t="shared" si="0"/>
        <v>Bosnia_Herz</v>
      </c>
      <c r="N18" t="s">
        <v>254</v>
      </c>
      <c r="O18" s="8">
        <f t="shared" si="1"/>
        <v>-21.0699996948242</v>
      </c>
      <c r="P18">
        <v>3</v>
      </c>
      <c r="Q18" t="s">
        <v>422</v>
      </c>
      <c r="S18" t="str">
        <f t="shared" si="2"/>
        <v>Bosnia_Herz</v>
      </c>
      <c r="T18" t="s">
        <v>254</v>
      </c>
      <c r="U18" s="8">
        <f t="shared" si="3"/>
        <v>-14.0466664632161</v>
      </c>
      <c r="V18">
        <v>3</v>
      </c>
      <c r="W18" t="s">
        <v>709</v>
      </c>
    </row>
    <row r="19" spans="2:23">
      <c r="B19" t="s">
        <v>229</v>
      </c>
      <c r="C19" t="s">
        <v>558</v>
      </c>
      <c r="D19">
        <v>0.1</v>
      </c>
      <c r="E19" t="s">
        <v>710</v>
      </c>
      <c r="H19">
        <v>2019</v>
      </c>
      <c r="I19" t="s">
        <v>13</v>
      </c>
      <c r="K19" s="7">
        <v>434299.987792969</v>
      </c>
      <c r="M19" t="str">
        <f t="shared" si="0"/>
        <v>Brazil</v>
      </c>
      <c r="N19" t="s">
        <v>254</v>
      </c>
      <c r="O19" s="8">
        <f t="shared" si="1"/>
        <v>-434.299987792969</v>
      </c>
      <c r="P19">
        <v>3</v>
      </c>
      <c r="Q19" t="s">
        <v>422</v>
      </c>
      <c r="S19" t="str">
        <f t="shared" si="2"/>
        <v>Brazil</v>
      </c>
      <c r="T19" t="s">
        <v>254</v>
      </c>
      <c r="U19" s="8">
        <f t="shared" si="3"/>
        <v>-289.533325195313</v>
      </c>
      <c r="V19">
        <v>3</v>
      </c>
      <c r="W19" t="s">
        <v>709</v>
      </c>
    </row>
    <row r="20" spans="2:23">
      <c r="B20" t="s">
        <v>37</v>
      </c>
      <c r="C20" t="s">
        <v>558</v>
      </c>
      <c r="D20">
        <v>0.08</v>
      </c>
      <c r="E20" t="s">
        <v>710</v>
      </c>
      <c r="H20">
        <v>2019</v>
      </c>
      <c r="I20" t="s">
        <v>162</v>
      </c>
      <c r="K20" s="7">
        <v>39139.9993896484</v>
      </c>
      <c r="M20" t="str">
        <f t="shared" si="0"/>
        <v>Bulgaria</v>
      </c>
      <c r="N20" t="s">
        <v>254</v>
      </c>
      <c r="O20" s="8">
        <f t="shared" si="1"/>
        <v>-39.1399993896484</v>
      </c>
      <c r="P20">
        <v>3</v>
      </c>
      <c r="Q20" t="s">
        <v>422</v>
      </c>
      <c r="S20" t="str">
        <f t="shared" si="2"/>
        <v>Bulgaria</v>
      </c>
      <c r="T20" t="s">
        <v>254</v>
      </c>
      <c r="U20" s="8">
        <f t="shared" si="3"/>
        <v>-26.0933329264323</v>
      </c>
      <c r="V20">
        <v>3</v>
      </c>
      <c r="W20" t="s">
        <v>709</v>
      </c>
    </row>
    <row r="21" spans="2:23">
      <c r="B21" t="s">
        <v>228</v>
      </c>
      <c r="C21" t="s">
        <v>558</v>
      </c>
      <c r="D21">
        <v>0.08</v>
      </c>
      <c r="E21" t="s">
        <v>710</v>
      </c>
      <c r="H21">
        <v>2019</v>
      </c>
      <c r="I21" t="s">
        <v>163</v>
      </c>
      <c r="K21" s="7">
        <v>9430.00030517578</v>
      </c>
      <c r="M21" t="str">
        <f t="shared" si="0"/>
        <v>Cameroon</v>
      </c>
      <c r="N21" t="s">
        <v>254</v>
      </c>
      <c r="O21" s="8">
        <f t="shared" si="1"/>
        <v>-9.43000030517578</v>
      </c>
      <c r="P21">
        <v>3</v>
      </c>
      <c r="Q21" t="s">
        <v>422</v>
      </c>
      <c r="S21" t="str">
        <f t="shared" si="2"/>
        <v>Cameroon</v>
      </c>
      <c r="T21" t="s">
        <v>254</v>
      </c>
      <c r="U21" s="8">
        <f t="shared" si="3"/>
        <v>-6.28666687011719</v>
      </c>
      <c r="V21">
        <v>3</v>
      </c>
      <c r="W21" t="s">
        <v>709</v>
      </c>
    </row>
    <row r="22" spans="2:23">
      <c r="B22" t="s">
        <v>227</v>
      </c>
      <c r="C22" t="s">
        <v>558</v>
      </c>
      <c r="D22">
        <v>0.08</v>
      </c>
      <c r="E22" t="s">
        <v>710</v>
      </c>
      <c r="H22">
        <v>2019</v>
      </c>
      <c r="I22" t="s">
        <v>164</v>
      </c>
      <c r="K22" s="7">
        <v>580210.021972656</v>
      </c>
      <c r="M22" t="str">
        <f t="shared" si="0"/>
        <v>Canada</v>
      </c>
      <c r="N22" t="s">
        <v>254</v>
      </c>
      <c r="O22" s="8">
        <f t="shared" si="1"/>
        <v>-580.210021972656</v>
      </c>
      <c r="P22">
        <v>3</v>
      </c>
      <c r="Q22" t="s">
        <v>422</v>
      </c>
      <c r="S22" t="str">
        <f t="shared" si="2"/>
        <v>Canada</v>
      </c>
      <c r="T22" t="s">
        <v>254</v>
      </c>
      <c r="U22" s="8">
        <f t="shared" si="3"/>
        <v>-386.806681315104</v>
      </c>
      <c r="V22">
        <v>3</v>
      </c>
      <c r="W22" t="s">
        <v>709</v>
      </c>
    </row>
    <row r="23" spans="2:23">
      <c r="B23" t="s">
        <v>226</v>
      </c>
      <c r="C23" t="s">
        <v>558</v>
      </c>
      <c r="D23">
        <v>0.08</v>
      </c>
      <c r="E23" t="s">
        <v>710</v>
      </c>
      <c r="H23">
        <v>2019</v>
      </c>
      <c r="I23" t="s">
        <v>713</v>
      </c>
      <c r="K23" s="7">
        <v>268789.999395609</v>
      </c>
      <c r="M23" t="str">
        <f t="shared" si="0"/>
        <v>Central_Europe</v>
      </c>
      <c r="N23" t="s">
        <v>254</v>
      </c>
      <c r="O23" s="8">
        <f t="shared" si="1"/>
        <v>-268.789999395609</v>
      </c>
      <c r="P23">
        <v>3</v>
      </c>
      <c r="Q23" t="s">
        <v>422</v>
      </c>
      <c r="S23" t="str">
        <f t="shared" si="2"/>
        <v>Central_Europe</v>
      </c>
      <c r="T23" t="s">
        <v>254</v>
      </c>
      <c r="U23" s="8">
        <f t="shared" si="3"/>
        <v>-179.193332930406</v>
      </c>
      <c r="V23">
        <v>3</v>
      </c>
      <c r="W23" t="s">
        <v>709</v>
      </c>
    </row>
    <row r="24" spans="2:23">
      <c r="B24" t="s">
        <v>225</v>
      </c>
      <c r="C24" t="s">
        <v>558</v>
      </c>
      <c r="D24">
        <v>0.1</v>
      </c>
      <c r="E24" t="s">
        <v>710</v>
      </c>
      <c r="H24">
        <v>2019</v>
      </c>
      <c r="I24" t="s">
        <v>165</v>
      </c>
      <c r="K24" s="7">
        <v>91370.002746582</v>
      </c>
      <c r="M24" t="str">
        <f t="shared" si="0"/>
        <v>Chile</v>
      </c>
      <c r="N24" t="s">
        <v>254</v>
      </c>
      <c r="O24" s="8">
        <f t="shared" si="1"/>
        <v>-91.370002746582</v>
      </c>
      <c r="P24">
        <v>3</v>
      </c>
      <c r="Q24" t="s">
        <v>422</v>
      </c>
      <c r="S24" t="str">
        <f t="shared" si="2"/>
        <v>Chile</v>
      </c>
      <c r="T24" t="s">
        <v>254</v>
      </c>
      <c r="U24" s="8">
        <f t="shared" si="3"/>
        <v>-60.913335164388</v>
      </c>
      <c r="V24">
        <v>3</v>
      </c>
      <c r="W24" t="s">
        <v>709</v>
      </c>
    </row>
    <row r="25" s="5" customFormat="1" spans="2:23">
      <c r="B25" s="5" t="s">
        <v>34</v>
      </c>
      <c r="C25" s="5" t="s">
        <v>558</v>
      </c>
      <c r="D25" s="5">
        <v>0.08</v>
      </c>
      <c r="E25" s="5" t="s">
        <v>710</v>
      </c>
      <c r="H25" s="5">
        <v>2019</v>
      </c>
      <c r="I25" s="5" t="s">
        <v>14</v>
      </c>
      <c r="K25" s="9">
        <v>10707219.7265625</v>
      </c>
      <c r="M25" s="5" t="str">
        <f t="shared" si="0"/>
        <v>China</v>
      </c>
      <c r="N25" s="5" t="s">
        <v>254</v>
      </c>
      <c r="O25" s="10">
        <f t="shared" si="1"/>
        <v>-10707.2197265625</v>
      </c>
      <c r="P25" s="5">
        <v>3</v>
      </c>
      <c r="Q25" s="5" t="s">
        <v>422</v>
      </c>
      <c r="S25" s="5" t="str">
        <f t="shared" si="2"/>
        <v>China</v>
      </c>
      <c r="T25" s="5" t="s">
        <v>254</v>
      </c>
      <c r="U25" s="10">
        <f t="shared" si="3"/>
        <v>-7138.146484375</v>
      </c>
      <c r="V25" s="5">
        <v>3</v>
      </c>
      <c r="W25" s="5" t="s">
        <v>709</v>
      </c>
    </row>
    <row r="26" spans="2:23">
      <c r="B26" t="s">
        <v>224</v>
      </c>
      <c r="C26" t="s">
        <v>558</v>
      </c>
      <c r="D26">
        <v>0.08</v>
      </c>
      <c r="E26" t="s">
        <v>710</v>
      </c>
      <c r="H26">
        <v>2019</v>
      </c>
      <c r="I26" t="s">
        <v>714</v>
      </c>
      <c r="K26" s="7">
        <v>10707219.7265625</v>
      </c>
      <c r="M26" t="str">
        <f t="shared" si="0"/>
        <v>China_d</v>
      </c>
      <c r="N26" t="s">
        <v>254</v>
      </c>
      <c r="O26" s="8">
        <f t="shared" si="1"/>
        <v>-10707.2197265625</v>
      </c>
      <c r="P26">
        <v>3</v>
      </c>
      <c r="Q26" t="s">
        <v>422</v>
      </c>
      <c r="S26" t="str">
        <f t="shared" si="2"/>
        <v>China_d</v>
      </c>
      <c r="T26" t="s">
        <v>254</v>
      </c>
      <c r="U26" s="8">
        <f t="shared" si="3"/>
        <v>-7138.146484375</v>
      </c>
      <c r="V26">
        <v>3</v>
      </c>
      <c r="W26" t="s">
        <v>709</v>
      </c>
    </row>
    <row r="27" spans="2:23">
      <c r="B27" t="s">
        <v>223</v>
      </c>
      <c r="C27" t="s">
        <v>558</v>
      </c>
      <c r="D27">
        <v>0.08</v>
      </c>
      <c r="E27" t="s">
        <v>710</v>
      </c>
      <c r="H27">
        <v>2019</v>
      </c>
      <c r="I27" t="s">
        <v>166</v>
      </c>
      <c r="K27" s="7">
        <v>81040.0009155273</v>
      </c>
      <c r="M27" t="str">
        <f t="shared" si="0"/>
        <v>Colombia</v>
      </c>
      <c r="N27" t="s">
        <v>254</v>
      </c>
      <c r="O27" s="8">
        <f t="shared" si="1"/>
        <v>-81.0400009155273</v>
      </c>
      <c r="P27">
        <v>3</v>
      </c>
      <c r="Q27" t="s">
        <v>422</v>
      </c>
      <c r="S27" t="str">
        <f t="shared" si="2"/>
        <v>Colombia</v>
      </c>
      <c r="T27" t="s">
        <v>254</v>
      </c>
      <c r="U27" s="8">
        <f t="shared" si="3"/>
        <v>-54.0266672770182</v>
      </c>
      <c r="V27">
        <v>3</v>
      </c>
      <c r="W27" t="s">
        <v>709</v>
      </c>
    </row>
    <row r="28" spans="2:23">
      <c r="B28" t="s">
        <v>222</v>
      </c>
      <c r="C28" t="s">
        <v>558</v>
      </c>
      <c r="D28">
        <v>0.1</v>
      </c>
      <c r="E28" t="s">
        <v>710</v>
      </c>
      <c r="H28">
        <v>2019</v>
      </c>
      <c r="I28" t="s">
        <v>167</v>
      </c>
      <c r="K28" s="7">
        <v>16520.0004577637</v>
      </c>
      <c r="M28" t="str">
        <f t="shared" si="0"/>
        <v>Croatia</v>
      </c>
      <c r="N28" t="s">
        <v>254</v>
      </c>
      <c r="O28" s="8">
        <f t="shared" si="1"/>
        <v>-16.5200004577637</v>
      </c>
      <c r="P28">
        <v>3</v>
      </c>
      <c r="Q28" t="s">
        <v>422</v>
      </c>
      <c r="S28" t="str">
        <f t="shared" si="2"/>
        <v>Croatia</v>
      </c>
      <c r="T28" t="s">
        <v>254</v>
      </c>
      <c r="U28" s="8">
        <f t="shared" si="3"/>
        <v>-11.0133336385091</v>
      </c>
      <c r="V28">
        <v>3</v>
      </c>
      <c r="W28" t="s">
        <v>709</v>
      </c>
    </row>
    <row r="29" spans="2:23">
      <c r="B29" t="s">
        <v>221</v>
      </c>
      <c r="C29" t="s">
        <v>558</v>
      </c>
      <c r="D29">
        <v>0.0375</v>
      </c>
      <c r="E29" t="s">
        <v>710</v>
      </c>
      <c r="H29">
        <v>2019</v>
      </c>
      <c r="I29" t="s">
        <v>168</v>
      </c>
      <c r="K29" s="7">
        <v>7190.00005722046</v>
      </c>
      <c r="M29" t="str">
        <f t="shared" si="0"/>
        <v>Cyprus</v>
      </c>
      <c r="N29" t="s">
        <v>254</v>
      </c>
      <c r="O29" s="8">
        <f t="shared" si="1"/>
        <v>-7.19000005722046</v>
      </c>
      <c r="P29">
        <v>3</v>
      </c>
      <c r="Q29" t="s">
        <v>422</v>
      </c>
      <c r="S29" t="str">
        <f t="shared" si="2"/>
        <v>Cyprus</v>
      </c>
      <c r="T29" t="s">
        <v>254</v>
      </c>
      <c r="U29" s="8">
        <f t="shared" si="3"/>
        <v>-4.79333337148031</v>
      </c>
      <c r="V29">
        <v>3</v>
      </c>
      <c r="W29" t="s">
        <v>709</v>
      </c>
    </row>
    <row r="30" spans="2:23">
      <c r="B30" t="s">
        <v>33</v>
      </c>
      <c r="C30" t="s">
        <v>558</v>
      </c>
      <c r="D30">
        <v>0.01</v>
      </c>
      <c r="E30" t="s">
        <v>710</v>
      </c>
      <c r="H30">
        <v>2019</v>
      </c>
      <c r="I30" t="s">
        <v>169</v>
      </c>
      <c r="K30" s="7">
        <v>96290.0009155273</v>
      </c>
      <c r="M30" t="str">
        <f t="shared" si="0"/>
        <v>Czech</v>
      </c>
      <c r="N30" t="s">
        <v>254</v>
      </c>
      <c r="O30" s="8">
        <f t="shared" si="1"/>
        <v>-96.2900009155273</v>
      </c>
      <c r="P30">
        <v>3</v>
      </c>
      <c r="Q30" t="s">
        <v>422</v>
      </c>
      <c r="S30" t="str">
        <f t="shared" si="2"/>
        <v>Czech</v>
      </c>
      <c r="T30" t="s">
        <v>254</v>
      </c>
      <c r="U30" s="8">
        <f t="shared" si="3"/>
        <v>-64.1933339436849</v>
      </c>
      <c r="V30">
        <v>3</v>
      </c>
      <c r="W30" t="s">
        <v>709</v>
      </c>
    </row>
    <row r="31" spans="2:23">
      <c r="B31" t="s">
        <v>32</v>
      </c>
      <c r="C31" t="s">
        <v>558</v>
      </c>
      <c r="D31">
        <v>0.05</v>
      </c>
      <c r="E31" t="s">
        <v>710</v>
      </c>
      <c r="H31">
        <v>2019</v>
      </c>
      <c r="I31" t="s">
        <v>170</v>
      </c>
      <c r="K31" s="7">
        <v>29700.0007629395</v>
      </c>
      <c r="M31" t="str">
        <f t="shared" si="0"/>
        <v>Denmark</v>
      </c>
      <c r="N31" t="s">
        <v>254</v>
      </c>
      <c r="O31" s="8">
        <f t="shared" si="1"/>
        <v>-29.7000007629395</v>
      </c>
      <c r="P31">
        <v>3</v>
      </c>
      <c r="Q31" t="s">
        <v>422</v>
      </c>
      <c r="S31" t="str">
        <f t="shared" si="2"/>
        <v>Denmark</v>
      </c>
      <c r="T31" t="s">
        <v>254</v>
      </c>
      <c r="U31" s="8">
        <f t="shared" si="3"/>
        <v>-19.8000005086263</v>
      </c>
      <c r="V31">
        <v>3</v>
      </c>
      <c r="W31" t="s">
        <v>709</v>
      </c>
    </row>
    <row r="32" spans="2:23">
      <c r="B32" t="s">
        <v>220</v>
      </c>
      <c r="C32" t="s">
        <v>558</v>
      </c>
      <c r="D32">
        <v>0.08</v>
      </c>
      <c r="E32" t="s">
        <v>710</v>
      </c>
      <c r="H32">
        <v>2019</v>
      </c>
      <c r="I32" t="s">
        <v>171</v>
      </c>
      <c r="K32" s="7">
        <v>3210.00003814697</v>
      </c>
      <c r="M32" t="str">
        <f t="shared" si="0"/>
        <v>DR_Congo</v>
      </c>
      <c r="N32" t="s">
        <v>254</v>
      </c>
      <c r="O32" s="8">
        <f t="shared" si="1"/>
        <v>-3.21000003814697</v>
      </c>
      <c r="P32">
        <v>3</v>
      </c>
      <c r="Q32" t="s">
        <v>422</v>
      </c>
      <c r="S32" t="str">
        <f t="shared" si="2"/>
        <v>DR_Congo</v>
      </c>
      <c r="T32" t="s">
        <v>254</v>
      </c>
      <c r="U32" s="8">
        <f t="shared" si="3"/>
        <v>-2.14000002543131</v>
      </c>
      <c r="V32">
        <v>3</v>
      </c>
      <c r="W32" t="s">
        <v>709</v>
      </c>
    </row>
    <row r="33" spans="2:23">
      <c r="B33" t="s">
        <v>219</v>
      </c>
      <c r="C33" t="s">
        <v>558</v>
      </c>
      <c r="D33">
        <v>0.01</v>
      </c>
      <c r="E33" t="s">
        <v>710</v>
      </c>
      <c r="H33">
        <v>2019</v>
      </c>
      <c r="I33" t="s">
        <v>172</v>
      </c>
      <c r="K33" s="7">
        <v>249369.995117188</v>
      </c>
      <c r="M33" t="str">
        <f t="shared" si="0"/>
        <v>Egypt</v>
      </c>
      <c r="N33" t="s">
        <v>254</v>
      </c>
      <c r="O33" s="8">
        <f t="shared" si="1"/>
        <v>-249.369995117188</v>
      </c>
      <c r="P33">
        <v>3</v>
      </c>
      <c r="Q33" t="s">
        <v>422</v>
      </c>
      <c r="S33" t="str">
        <f t="shared" si="2"/>
        <v>Egypt</v>
      </c>
      <c r="T33" t="s">
        <v>254</v>
      </c>
      <c r="U33" s="8">
        <f t="shared" si="3"/>
        <v>-166.246663411459</v>
      </c>
      <c r="V33">
        <v>3</v>
      </c>
      <c r="W33" t="s">
        <v>709</v>
      </c>
    </row>
    <row r="34" spans="2:23">
      <c r="B34" t="s">
        <v>218</v>
      </c>
      <c r="C34" t="s">
        <v>558</v>
      </c>
      <c r="D34">
        <v>0.08</v>
      </c>
      <c r="E34" t="s">
        <v>710</v>
      </c>
      <c r="H34">
        <v>2019</v>
      </c>
      <c r="I34" t="s">
        <v>715</v>
      </c>
      <c r="K34" s="7">
        <v>384459.993362427</v>
      </c>
      <c r="M34" t="str">
        <f t="shared" si="0"/>
        <v>EIJLLPST</v>
      </c>
      <c r="N34" t="s">
        <v>254</v>
      </c>
      <c r="O34" s="8">
        <f t="shared" si="1"/>
        <v>-384.459993362427</v>
      </c>
      <c r="P34">
        <v>3</v>
      </c>
      <c r="Q34" t="s">
        <v>422</v>
      </c>
      <c r="S34" t="str">
        <f t="shared" si="2"/>
        <v>EIJLLPST</v>
      </c>
      <c r="T34" t="s">
        <v>254</v>
      </c>
      <c r="U34" s="8">
        <f t="shared" si="3"/>
        <v>-256.306662241618</v>
      </c>
      <c r="V34">
        <v>3</v>
      </c>
      <c r="W34" t="s">
        <v>709</v>
      </c>
    </row>
    <row r="35" spans="2:23">
      <c r="B35" t="s">
        <v>30</v>
      </c>
      <c r="C35" t="s">
        <v>558</v>
      </c>
      <c r="D35">
        <v>0.08</v>
      </c>
      <c r="E35" t="s">
        <v>710</v>
      </c>
      <c r="H35">
        <v>2019</v>
      </c>
      <c r="I35" t="s">
        <v>173</v>
      </c>
      <c r="K35" s="7">
        <v>10180.0003051758</v>
      </c>
      <c r="M35" t="str">
        <f t="shared" si="0"/>
        <v>Estonia</v>
      </c>
      <c r="N35" t="s">
        <v>254</v>
      </c>
      <c r="O35" s="8">
        <f t="shared" si="1"/>
        <v>-10.1800003051758</v>
      </c>
      <c r="P35">
        <v>3</v>
      </c>
      <c r="Q35" t="s">
        <v>422</v>
      </c>
      <c r="S35" t="str">
        <f t="shared" si="2"/>
        <v>Estonia</v>
      </c>
      <c r="T35" t="s">
        <v>254</v>
      </c>
      <c r="U35" s="8">
        <f t="shared" si="3"/>
        <v>-6.7866668701172</v>
      </c>
      <c r="V35">
        <v>3</v>
      </c>
      <c r="W35" t="s">
        <v>709</v>
      </c>
    </row>
    <row r="36" spans="2:23">
      <c r="B36" t="s">
        <v>217</v>
      </c>
      <c r="C36" t="s">
        <v>558</v>
      </c>
      <c r="D36">
        <v>0.05</v>
      </c>
      <c r="E36" t="s">
        <v>710</v>
      </c>
      <c r="H36">
        <v>2019</v>
      </c>
      <c r="I36" t="s">
        <v>174</v>
      </c>
      <c r="K36" s="7">
        <v>18360.0006103516</v>
      </c>
      <c r="M36" t="str">
        <f t="shared" si="0"/>
        <v>Ethiopia</v>
      </c>
      <c r="N36" t="s">
        <v>254</v>
      </c>
      <c r="O36" s="8">
        <f t="shared" si="1"/>
        <v>-18.3600006103516</v>
      </c>
      <c r="P36">
        <v>3</v>
      </c>
      <c r="Q36" t="s">
        <v>422</v>
      </c>
      <c r="S36" t="str">
        <f t="shared" si="2"/>
        <v>Ethiopia</v>
      </c>
      <c r="T36" t="s">
        <v>254</v>
      </c>
      <c r="U36" s="8">
        <f t="shared" si="3"/>
        <v>-12.2400004069011</v>
      </c>
      <c r="V36">
        <v>3</v>
      </c>
      <c r="W36" t="s">
        <v>709</v>
      </c>
    </row>
    <row r="37" spans="2:23">
      <c r="B37" t="s">
        <v>216</v>
      </c>
      <c r="C37" t="s">
        <v>558</v>
      </c>
      <c r="D37">
        <v>0.0375</v>
      </c>
      <c r="E37" t="s">
        <v>710</v>
      </c>
      <c r="H37">
        <v>2019</v>
      </c>
      <c r="I37" t="s">
        <v>175</v>
      </c>
      <c r="K37" s="7">
        <v>40709.9990844727</v>
      </c>
      <c r="M37" t="str">
        <f t="shared" si="0"/>
        <v>Finland</v>
      </c>
      <c r="N37" t="s">
        <v>254</v>
      </c>
      <c r="O37" s="8">
        <f t="shared" si="1"/>
        <v>-40.7099990844727</v>
      </c>
      <c r="P37">
        <v>3</v>
      </c>
      <c r="Q37" t="s">
        <v>422</v>
      </c>
      <c r="S37" t="str">
        <f t="shared" si="2"/>
        <v>Finland</v>
      </c>
      <c r="T37" t="s">
        <v>254</v>
      </c>
      <c r="U37" s="8">
        <f t="shared" si="3"/>
        <v>-27.1399993896485</v>
      </c>
      <c r="V37">
        <v>3</v>
      </c>
      <c r="W37" t="s">
        <v>709</v>
      </c>
    </row>
    <row r="38" spans="2:23">
      <c r="B38" t="s">
        <v>215</v>
      </c>
      <c r="C38" t="s">
        <v>558</v>
      </c>
      <c r="D38">
        <v>0.05</v>
      </c>
      <c r="E38" t="s">
        <v>710</v>
      </c>
      <c r="H38">
        <v>2019</v>
      </c>
      <c r="I38" t="s">
        <v>17</v>
      </c>
      <c r="K38" s="7">
        <v>300519.989013672</v>
      </c>
      <c r="M38" t="str">
        <f t="shared" si="0"/>
        <v>France</v>
      </c>
      <c r="N38" t="s">
        <v>254</v>
      </c>
      <c r="O38" s="8">
        <f t="shared" si="1"/>
        <v>-300.519989013672</v>
      </c>
      <c r="P38">
        <v>3</v>
      </c>
      <c r="Q38" t="s">
        <v>422</v>
      </c>
      <c r="S38" t="str">
        <f t="shared" si="2"/>
        <v>France</v>
      </c>
      <c r="T38" t="s">
        <v>254</v>
      </c>
      <c r="U38" s="8">
        <f t="shared" si="3"/>
        <v>-200.346659342448</v>
      </c>
      <c r="V38">
        <v>3</v>
      </c>
      <c r="W38" t="s">
        <v>709</v>
      </c>
    </row>
    <row r="39" spans="2:23">
      <c r="B39" t="s">
        <v>214</v>
      </c>
      <c r="C39" t="s">
        <v>558</v>
      </c>
      <c r="D39">
        <v>0.01</v>
      </c>
      <c r="E39" t="s">
        <v>710</v>
      </c>
      <c r="H39">
        <v>2019</v>
      </c>
      <c r="I39" t="s">
        <v>716</v>
      </c>
      <c r="K39" s="7">
        <v>549359.987258912</v>
      </c>
      <c r="M39" t="str">
        <f t="shared" si="0"/>
        <v>France_Benelux</v>
      </c>
      <c r="N39" t="s">
        <v>254</v>
      </c>
      <c r="O39" s="8">
        <f t="shared" si="1"/>
        <v>-549.359987258912</v>
      </c>
      <c r="P39">
        <v>3</v>
      </c>
      <c r="Q39" t="s">
        <v>422</v>
      </c>
      <c r="S39" t="str">
        <f t="shared" si="2"/>
        <v>France_Benelux</v>
      </c>
      <c r="T39" t="s">
        <v>254</v>
      </c>
      <c r="U39" s="8">
        <f t="shared" si="3"/>
        <v>-366.239991505941</v>
      </c>
      <c r="V39">
        <v>3</v>
      </c>
      <c r="W39" t="s">
        <v>709</v>
      </c>
    </row>
    <row r="40" spans="2:23">
      <c r="B40" t="s">
        <v>213</v>
      </c>
      <c r="C40" t="s">
        <v>558</v>
      </c>
      <c r="D40">
        <v>0.0375</v>
      </c>
      <c r="E40" t="s">
        <v>710</v>
      </c>
      <c r="H40">
        <v>2019</v>
      </c>
      <c r="I40" t="s">
        <v>717</v>
      </c>
      <c r="K40" s="7">
        <v>1017650.03013611</v>
      </c>
      <c r="M40" t="str">
        <f t="shared" si="0"/>
        <v>GCC</v>
      </c>
      <c r="N40" t="s">
        <v>254</v>
      </c>
      <c r="O40" s="8">
        <f t="shared" si="1"/>
        <v>-1017.65003013611</v>
      </c>
      <c r="P40">
        <v>3</v>
      </c>
      <c r="Q40" t="s">
        <v>422</v>
      </c>
      <c r="S40" t="str">
        <f t="shared" si="2"/>
        <v>GCC</v>
      </c>
      <c r="T40" t="s">
        <v>254</v>
      </c>
      <c r="U40" s="8">
        <f t="shared" si="3"/>
        <v>-678.433353424073</v>
      </c>
      <c r="V40">
        <v>3</v>
      </c>
      <c r="W40" t="s">
        <v>709</v>
      </c>
    </row>
    <row r="41" spans="2:23">
      <c r="B41" t="s">
        <v>212</v>
      </c>
      <c r="C41" t="s">
        <v>558</v>
      </c>
      <c r="D41">
        <v>0.08</v>
      </c>
      <c r="E41" t="s">
        <v>710</v>
      </c>
      <c r="H41">
        <v>2019</v>
      </c>
      <c r="I41" t="s">
        <v>176</v>
      </c>
      <c r="K41" s="7">
        <v>10109.9996566772</v>
      </c>
      <c r="M41" t="str">
        <f t="shared" si="0"/>
        <v>Georgia</v>
      </c>
      <c r="N41" t="s">
        <v>254</v>
      </c>
      <c r="O41" s="8">
        <f t="shared" si="1"/>
        <v>-10.1099996566772</v>
      </c>
      <c r="P41">
        <v>3</v>
      </c>
      <c r="Q41" t="s">
        <v>422</v>
      </c>
      <c r="S41" t="str">
        <f t="shared" si="2"/>
        <v>Georgia</v>
      </c>
      <c r="T41" t="s">
        <v>254</v>
      </c>
      <c r="U41" s="8">
        <f t="shared" si="3"/>
        <v>-6.73999977111813</v>
      </c>
      <c r="V41">
        <v>3</v>
      </c>
      <c r="W41" t="s">
        <v>709</v>
      </c>
    </row>
    <row r="42" spans="2:23">
      <c r="B42" t="s">
        <v>211</v>
      </c>
      <c r="C42" t="s">
        <v>558</v>
      </c>
      <c r="D42">
        <v>0.05</v>
      </c>
      <c r="E42" t="s">
        <v>710</v>
      </c>
      <c r="H42">
        <v>2019</v>
      </c>
      <c r="I42" t="s">
        <v>18</v>
      </c>
      <c r="K42" s="7">
        <v>657400.024414063</v>
      </c>
      <c r="M42" t="str">
        <f t="shared" si="0"/>
        <v>Germany</v>
      </c>
      <c r="N42" t="s">
        <v>254</v>
      </c>
      <c r="O42" s="8">
        <f t="shared" si="1"/>
        <v>-657.400024414063</v>
      </c>
      <c r="P42">
        <v>3</v>
      </c>
      <c r="Q42" t="s">
        <v>422</v>
      </c>
      <c r="S42" t="str">
        <f t="shared" si="2"/>
        <v>Germany</v>
      </c>
      <c r="T42" t="s">
        <v>254</v>
      </c>
      <c r="U42" s="8">
        <f t="shared" si="3"/>
        <v>-438.266682942709</v>
      </c>
      <c r="V42">
        <v>3</v>
      </c>
      <c r="W42" t="s">
        <v>709</v>
      </c>
    </row>
    <row r="43" spans="2:23">
      <c r="B43" t="s">
        <v>210</v>
      </c>
      <c r="C43" t="s">
        <v>558</v>
      </c>
      <c r="D43">
        <v>0.08</v>
      </c>
      <c r="E43" t="s">
        <v>710</v>
      </c>
      <c r="H43">
        <v>2019</v>
      </c>
      <c r="I43" t="s">
        <v>718</v>
      </c>
      <c r="K43" s="7">
        <v>687100.025177002</v>
      </c>
      <c r="M43" t="str">
        <f t="shared" si="0"/>
        <v>Germany_Denmark</v>
      </c>
      <c r="N43" t="s">
        <v>254</v>
      </c>
      <c r="O43" s="8">
        <f t="shared" si="1"/>
        <v>-687.100025177002</v>
      </c>
      <c r="P43">
        <v>3</v>
      </c>
      <c r="Q43" t="s">
        <v>422</v>
      </c>
      <c r="S43" t="str">
        <f t="shared" si="2"/>
        <v>Germany_Denmark</v>
      </c>
      <c r="T43" t="s">
        <v>254</v>
      </c>
      <c r="U43" s="8">
        <f t="shared" si="3"/>
        <v>-458.066683451335</v>
      </c>
      <c r="V43">
        <v>3</v>
      </c>
      <c r="W43" t="s">
        <v>709</v>
      </c>
    </row>
    <row r="44" spans="2:23">
      <c r="B44" t="s">
        <v>209</v>
      </c>
      <c r="C44" t="s">
        <v>558</v>
      </c>
      <c r="D44">
        <v>0.01</v>
      </c>
      <c r="E44" t="s">
        <v>710</v>
      </c>
      <c r="H44">
        <v>2019</v>
      </c>
      <c r="I44" t="s">
        <v>177</v>
      </c>
      <c r="K44" s="7">
        <v>20040.0009155273</v>
      </c>
      <c r="M44" t="str">
        <f t="shared" si="0"/>
        <v>Ghana</v>
      </c>
      <c r="N44" t="s">
        <v>254</v>
      </c>
      <c r="O44" s="8">
        <f t="shared" si="1"/>
        <v>-20.0400009155273</v>
      </c>
      <c r="P44">
        <v>3</v>
      </c>
      <c r="Q44" t="s">
        <v>422</v>
      </c>
      <c r="S44" t="str">
        <f t="shared" si="2"/>
        <v>Ghana</v>
      </c>
      <c r="T44" t="s">
        <v>254</v>
      </c>
      <c r="U44" s="8">
        <f t="shared" si="3"/>
        <v>-13.3600006103515</v>
      </c>
      <c r="V44">
        <v>3</v>
      </c>
      <c r="W44" t="s">
        <v>709</v>
      </c>
    </row>
    <row r="45" spans="2:23">
      <c r="B45" t="s">
        <v>29</v>
      </c>
      <c r="C45" t="s">
        <v>558</v>
      </c>
      <c r="D45">
        <v>0.08</v>
      </c>
      <c r="E45" t="s">
        <v>710</v>
      </c>
      <c r="H45">
        <v>2019</v>
      </c>
      <c r="I45" t="s">
        <v>719</v>
      </c>
      <c r="K45" s="7">
        <v>348920.013427734</v>
      </c>
      <c r="M45" t="str">
        <f t="shared" si="0"/>
        <v>Great_Britain</v>
      </c>
      <c r="N45" t="s">
        <v>254</v>
      </c>
      <c r="O45" s="8">
        <f t="shared" si="1"/>
        <v>-348.920013427734</v>
      </c>
      <c r="P45">
        <v>3</v>
      </c>
      <c r="Q45" t="s">
        <v>422</v>
      </c>
      <c r="S45" t="str">
        <f t="shared" si="2"/>
        <v>Great_Britain</v>
      </c>
      <c r="T45" t="s">
        <v>254</v>
      </c>
      <c r="U45" s="8">
        <f t="shared" si="3"/>
        <v>-232.613342285156</v>
      </c>
      <c r="V45">
        <v>3</v>
      </c>
      <c r="W45" t="s">
        <v>709</v>
      </c>
    </row>
    <row r="46" spans="2:23">
      <c r="B46" t="s">
        <v>208</v>
      </c>
      <c r="C46" t="s">
        <v>558</v>
      </c>
      <c r="D46">
        <v>0.08</v>
      </c>
      <c r="E46" t="s">
        <v>710</v>
      </c>
      <c r="H46">
        <v>2019</v>
      </c>
      <c r="I46" t="s">
        <v>178</v>
      </c>
      <c r="K46" s="7">
        <v>60000</v>
      </c>
      <c r="M46" t="str">
        <f t="shared" si="0"/>
        <v>Greece</v>
      </c>
      <c r="N46" t="s">
        <v>254</v>
      </c>
      <c r="O46" s="8">
        <f t="shared" si="1"/>
        <v>-60</v>
      </c>
      <c r="P46">
        <v>3</v>
      </c>
      <c r="Q46" t="s">
        <v>422</v>
      </c>
      <c r="S46" t="str">
        <f t="shared" si="2"/>
        <v>Greece</v>
      </c>
      <c r="T46" t="s">
        <v>254</v>
      </c>
      <c r="U46" s="8">
        <f t="shared" si="3"/>
        <v>-40</v>
      </c>
      <c r="V46">
        <v>3</v>
      </c>
      <c r="W46" t="s">
        <v>709</v>
      </c>
    </row>
    <row r="47" spans="2:23">
      <c r="B47" t="s">
        <v>207</v>
      </c>
      <c r="C47" t="s">
        <v>558</v>
      </c>
      <c r="D47">
        <v>0.08</v>
      </c>
      <c r="E47" t="s">
        <v>710</v>
      </c>
      <c r="H47">
        <v>2019</v>
      </c>
      <c r="I47" t="s">
        <v>179</v>
      </c>
      <c r="K47" s="7">
        <v>46380.0010681152</v>
      </c>
      <c r="M47" t="str">
        <f t="shared" si="0"/>
        <v>Hungary</v>
      </c>
      <c r="N47" t="s">
        <v>254</v>
      </c>
      <c r="O47" s="8">
        <f t="shared" ref="O47:O109" si="4">-K47/1000</f>
        <v>-46.3800010681152</v>
      </c>
      <c r="P47">
        <v>3</v>
      </c>
      <c r="Q47" t="s">
        <v>422</v>
      </c>
      <c r="S47" t="str">
        <f t="shared" si="2"/>
        <v>Hungary</v>
      </c>
      <c r="T47" t="s">
        <v>254</v>
      </c>
      <c r="U47" s="8">
        <f t="shared" ref="U47:U109" si="5">-K47/1000*2/3</f>
        <v>-30.9200007120768</v>
      </c>
      <c r="V47">
        <v>3</v>
      </c>
      <c r="W47" t="s">
        <v>709</v>
      </c>
    </row>
    <row r="48" spans="2:23">
      <c r="B48" t="s">
        <v>206</v>
      </c>
      <c r="C48" t="s">
        <v>558</v>
      </c>
      <c r="D48">
        <v>0.1</v>
      </c>
      <c r="E48" t="s">
        <v>710</v>
      </c>
      <c r="H48">
        <v>2019</v>
      </c>
      <c r="I48" t="s">
        <v>720</v>
      </c>
      <c r="K48" s="7">
        <v>285119.995117187</v>
      </c>
      <c r="M48" t="str">
        <f t="shared" si="0"/>
        <v>Iberia</v>
      </c>
      <c r="N48" t="s">
        <v>254</v>
      </c>
      <c r="O48" s="8">
        <f t="shared" si="4"/>
        <v>-285.119995117187</v>
      </c>
      <c r="P48">
        <v>3</v>
      </c>
      <c r="Q48" t="s">
        <v>422</v>
      </c>
      <c r="S48" t="str">
        <f t="shared" si="2"/>
        <v>Iberia</v>
      </c>
      <c r="T48" t="s">
        <v>254</v>
      </c>
      <c r="U48" s="8">
        <f t="shared" si="5"/>
        <v>-190.079996744791</v>
      </c>
      <c r="V48">
        <v>3</v>
      </c>
      <c r="W48" t="s">
        <v>709</v>
      </c>
    </row>
    <row r="49" spans="2:23">
      <c r="B49" t="s">
        <v>205</v>
      </c>
      <c r="C49" t="s">
        <v>558</v>
      </c>
      <c r="D49">
        <v>0.08</v>
      </c>
      <c r="E49" t="s">
        <v>710</v>
      </c>
      <c r="H49">
        <v>2019</v>
      </c>
      <c r="I49" t="s">
        <v>21</v>
      </c>
      <c r="K49" s="7">
        <v>1639.99998569489</v>
      </c>
      <c r="M49" t="str">
        <f t="shared" si="0"/>
        <v>Iceland</v>
      </c>
      <c r="N49" t="s">
        <v>254</v>
      </c>
      <c r="O49" s="8">
        <f t="shared" si="4"/>
        <v>-1.63999998569489</v>
      </c>
      <c r="P49">
        <v>3</v>
      </c>
      <c r="Q49" t="s">
        <v>422</v>
      </c>
      <c r="S49" t="str">
        <f t="shared" si="2"/>
        <v>Iceland</v>
      </c>
      <c r="T49" t="s">
        <v>254</v>
      </c>
      <c r="U49" s="8">
        <f t="shared" si="5"/>
        <v>-1.09333332379659</v>
      </c>
      <c r="V49">
        <v>3</v>
      </c>
      <c r="W49" t="s">
        <v>709</v>
      </c>
    </row>
    <row r="50" spans="2:23">
      <c r="B50" t="s">
        <v>204</v>
      </c>
      <c r="C50" t="s">
        <v>558</v>
      </c>
      <c r="D50">
        <v>0.05</v>
      </c>
      <c r="E50" t="s">
        <v>710</v>
      </c>
      <c r="H50">
        <v>2019</v>
      </c>
      <c r="I50" t="s">
        <v>22</v>
      </c>
      <c r="K50" s="7">
        <v>2456300.04882813</v>
      </c>
      <c r="M50" t="str">
        <f t="shared" si="0"/>
        <v>India</v>
      </c>
      <c r="N50" t="s">
        <v>254</v>
      </c>
      <c r="O50" s="8">
        <f t="shared" si="4"/>
        <v>-2456.30004882813</v>
      </c>
      <c r="P50">
        <v>3</v>
      </c>
      <c r="Q50" t="s">
        <v>422</v>
      </c>
      <c r="S50" t="str">
        <f t="shared" si="2"/>
        <v>India</v>
      </c>
      <c r="T50" t="s">
        <v>254</v>
      </c>
      <c r="U50" s="8">
        <f t="shared" si="5"/>
        <v>-1637.53336588542</v>
      </c>
      <c r="V50">
        <v>3</v>
      </c>
      <c r="W50" t="s">
        <v>709</v>
      </c>
    </row>
    <row r="51" spans="2:23">
      <c r="B51" t="s">
        <v>203</v>
      </c>
      <c r="C51" t="s">
        <v>558</v>
      </c>
      <c r="D51">
        <v>0.05</v>
      </c>
      <c r="E51" t="s">
        <v>710</v>
      </c>
      <c r="H51">
        <v>2019</v>
      </c>
      <c r="I51" t="s">
        <v>721</v>
      </c>
      <c r="K51" s="7">
        <v>2456300.04882813</v>
      </c>
      <c r="M51" t="str">
        <f t="shared" si="0"/>
        <v>India_d</v>
      </c>
      <c r="N51" t="s">
        <v>254</v>
      </c>
      <c r="O51" s="8">
        <f t="shared" si="4"/>
        <v>-2456.30004882813</v>
      </c>
      <c r="P51">
        <v>3</v>
      </c>
      <c r="Q51" t="s">
        <v>422</v>
      </c>
      <c r="S51" t="str">
        <f t="shared" si="2"/>
        <v>India_d</v>
      </c>
      <c r="T51" t="s">
        <v>254</v>
      </c>
      <c r="U51" s="8">
        <f t="shared" si="5"/>
        <v>-1637.53336588542</v>
      </c>
      <c r="V51">
        <v>3</v>
      </c>
      <c r="W51" t="s">
        <v>709</v>
      </c>
    </row>
    <row r="52" spans="2:23">
      <c r="B52" t="s">
        <v>202</v>
      </c>
      <c r="C52" t="s">
        <v>558</v>
      </c>
      <c r="D52">
        <v>0.08</v>
      </c>
      <c r="E52" t="s">
        <v>710</v>
      </c>
      <c r="H52">
        <v>2019</v>
      </c>
      <c r="I52" t="s">
        <v>180</v>
      </c>
      <c r="K52" s="7">
        <v>619840.026855469</v>
      </c>
      <c r="M52" t="str">
        <f t="shared" si="0"/>
        <v>Indonesia</v>
      </c>
      <c r="N52" t="s">
        <v>254</v>
      </c>
      <c r="O52" s="8">
        <f t="shared" si="4"/>
        <v>-619.840026855469</v>
      </c>
      <c r="P52">
        <v>3</v>
      </c>
      <c r="Q52" t="s">
        <v>422</v>
      </c>
      <c r="S52" t="str">
        <f t="shared" si="2"/>
        <v>Indonesia</v>
      </c>
      <c r="T52" t="s">
        <v>254</v>
      </c>
      <c r="U52" s="8">
        <f t="shared" si="5"/>
        <v>-413.226684570313</v>
      </c>
      <c r="V52">
        <v>3</v>
      </c>
      <c r="W52" t="s">
        <v>709</v>
      </c>
    </row>
    <row r="53" spans="2:23">
      <c r="B53" t="s">
        <v>201</v>
      </c>
      <c r="C53" t="s">
        <v>558</v>
      </c>
      <c r="D53">
        <v>0.08</v>
      </c>
      <c r="E53" t="s">
        <v>710</v>
      </c>
      <c r="H53">
        <v>2019</v>
      </c>
      <c r="I53" t="s">
        <v>722</v>
      </c>
      <c r="K53" s="7">
        <v>2178239.96162414</v>
      </c>
      <c r="M53" t="str">
        <f t="shared" si="0"/>
        <v>IPS_UPS</v>
      </c>
      <c r="N53" t="s">
        <v>254</v>
      </c>
      <c r="O53" s="8">
        <f t="shared" si="4"/>
        <v>-2178.23996162414</v>
      </c>
      <c r="P53">
        <v>3</v>
      </c>
      <c r="Q53" t="s">
        <v>422</v>
      </c>
      <c r="S53" t="str">
        <f t="shared" si="2"/>
        <v>IPS_UPS</v>
      </c>
      <c r="T53" t="s">
        <v>254</v>
      </c>
      <c r="U53" s="8">
        <f t="shared" si="5"/>
        <v>-1452.15997441609</v>
      </c>
      <c r="V53">
        <v>3</v>
      </c>
      <c r="W53" t="s">
        <v>709</v>
      </c>
    </row>
    <row r="54" spans="2:23">
      <c r="B54" t="s">
        <v>200</v>
      </c>
      <c r="C54" t="s">
        <v>558</v>
      </c>
      <c r="D54">
        <v>0.0375</v>
      </c>
      <c r="E54" t="s">
        <v>710</v>
      </c>
      <c r="H54">
        <v>2019</v>
      </c>
      <c r="I54" t="s">
        <v>181</v>
      </c>
      <c r="K54" s="7">
        <v>630010.009765625</v>
      </c>
      <c r="M54" t="str">
        <f t="shared" si="0"/>
        <v>Iran</v>
      </c>
      <c r="N54" t="s">
        <v>254</v>
      </c>
      <c r="O54" s="8">
        <f t="shared" si="4"/>
        <v>-630.010009765625</v>
      </c>
      <c r="P54">
        <v>3</v>
      </c>
      <c r="Q54" t="s">
        <v>422</v>
      </c>
      <c r="S54" t="str">
        <f t="shared" si="2"/>
        <v>Iran</v>
      </c>
      <c r="T54" t="s">
        <v>254</v>
      </c>
      <c r="U54" s="8">
        <f t="shared" si="5"/>
        <v>-420.006673177083</v>
      </c>
      <c r="V54">
        <v>3</v>
      </c>
      <c r="W54" t="s">
        <v>709</v>
      </c>
    </row>
    <row r="55" spans="2:23">
      <c r="B55" t="s">
        <v>199</v>
      </c>
      <c r="C55" t="s">
        <v>558</v>
      </c>
      <c r="D55">
        <v>0.0375</v>
      </c>
      <c r="E55" t="s">
        <v>710</v>
      </c>
      <c r="H55">
        <v>2019</v>
      </c>
      <c r="I55" t="s">
        <v>723</v>
      </c>
      <c r="K55" s="7">
        <v>883610.010147095</v>
      </c>
      <c r="M55" t="str">
        <f t="shared" si="0"/>
        <v>Iran_irq_tkm_arm</v>
      </c>
      <c r="N55" t="s">
        <v>254</v>
      </c>
      <c r="O55" s="8">
        <f t="shared" si="4"/>
        <v>-883.610010147095</v>
      </c>
      <c r="P55">
        <v>3</v>
      </c>
      <c r="Q55" t="s">
        <v>422</v>
      </c>
      <c r="S55" t="str">
        <f t="shared" si="2"/>
        <v>Iran_irq_tkm_arm</v>
      </c>
      <c r="T55" t="s">
        <v>254</v>
      </c>
      <c r="U55" s="8">
        <f t="shared" si="5"/>
        <v>-589.073340098063</v>
      </c>
      <c r="V55">
        <v>3</v>
      </c>
      <c r="W55" t="s">
        <v>709</v>
      </c>
    </row>
    <row r="56" spans="2:23">
      <c r="B56" t="s">
        <v>198</v>
      </c>
      <c r="C56" t="s">
        <v>558</v>
      </c>
      <c r="D56">
        <v>0.035</v>
      </c>
      <c r="E56" t="s">
        <v>710</v>
      </c>
      <c r="H56">
        <v>2019</v>
      </c>
      <c r="I56" t="s">
        <v>182</v>
      </c>
      <c r="K56" s="7">
        <v>174559.997558594</v>
      </c>
      <c r="M56" t="str">
        <f t="shared" si="0"/>
        <v>Iraq</v>
      </c>
      <c r="N56" t="s">
        <v>254</v>
      </c>
      <c r="O56" s="8">
        <f t="shared" si="4"/>
        <v>-174.559997558594</v>
      </c>
      <c r="P56">
        <v>3</v>
      </c>
      <c r="Q56" t="s">
        <v>422</v>
      </c>
      <c r="S56" t="str">
        <f t="shared" si="2"/>
        <v>Iraq</v>
      </c>
      <c r="T56" t="s">
        <v>254</v>
      </c>
      <c r="U56" s="8">
        <f t="shared" si="5"/>
        <v>-116.373331705729</v>
      </c>
      <c r="V56">
        <v>3</v>
      </c>
      <c r="W56" t="s">
        <v>709</v>
      </c>
    </row>
    <row r="57" spans="2:23">
      <c r="B57" t="s">
        <v>197</v>
      </c>
      <c r="C57" t="s">
        <v>558</v>
      </c>
      <c r="D57">
        <v>0.08</v>
      </c>
      <c r="E57" t="s">
        <v>710</v>
      </c>
      <c r="H57">
        <v>2019</v>
      </c>
      <c r="I57" t="s">
        <v>23</v>
      </c>
      <c r="K57" s="7">
        <v>35750</v>
      </c>
      <c r="M57" t="str">
        <f t="shared" si="0"/>
        <v>Ireland</v>
      </c>
      <c r="N57" t="s">
        <v>254</v>
      </c>
      <c r="O57" s="8">
        <f t="shared" si="4"/>
        <v>-35.75</v>
      </c>
      <c r="P57">
        <v>3</v>
      </c>
      <c r="Q57" t="s">
        <v>422</v>
      </c>
      <c r="S57" t="str">
        <f t="shared" si="2"/>
        <v>Ireland</v>
      </c>
      <c r="T57" t="s">
        <v>254</v>
      </c>
      <c r="U57" s="8">
        <f t="shared" si="5"/>
        <v>-23.8333333333333</v>
      </c>
      <c r="V57">
        <v>3</v>
      </c>
      <c r="W57" t="s">
        <v>709</v>
      </c>
    </row>
    <row r="58" spans="2:23">
      <c r="B58" t="s">
        <v>196</v>
      </c>
      <c r="C58" t="s">
        <v>558</v>
      </c>
      <c r="D58">
        <v>0.05</v>
      </c>
      <c r="E58" t="s">
        <v>710</v>
      </c>
      <c r="H58">
        <v>2019</v>
      </c>
      <c r="I58" t="s">
        <v>724</v>
      </c>
      <c r="K58" s="7">
        <v>35750</v>
      </c>
      <c r="M58" t="str">
        <f t="shared" si="0"/>
        <v>Ireland_NI</v>
      </c>
      <c r="N58" t="s">
        <v>254</v>
      </c>
      <c r="O58" s="8">
        <f t="shared" si="4"/>
        <v>-35.75</v>
      </c>
      <c r="P58">
        <v>3</v>
      </c>
      <c r="Q58" t="s">
        <v>422</v>
      </c>
      <c r="S58" t="str">
        <f t="shared" si="2"/>
        <v>Ireland_NI</v>
      </c>
      <c r="T58" t="s">
        <v>254</v>
      </c>
      <c r="U58" s="8">
        <f t="shared" si="5"/>
        <v>-23.8333333333333</v>
      </c>
      <c r="V58">
        <v>3</v>
      </c>
      <c r="W58" t="s">
        <v>709</v>
      </c>
    </row>
    <row r="59" spans="2:23">
      <c r="B59" t="s">
        <v>195</v>
      </c>
      <c r="C59" t="s">
        <v>558</v>
      </c>
      <c r="D59">
        <v>0.0375</v>
      </c>
      <c r="E59" t="s">
        <v>710</v>
      </c>
      <c r="H59">
        <v>2019</v>
      </c>
      <c r="I59" t="s">
        <v>183</v>
      </c>
      <c r="K59" s="7">
        <v>62650.0015258789</v>
      </c>
      <c r="M59" t="str">
        <f t="shared" si="0"/>
        <v>Israel</v>
      </c>
      <c r="N59" t="s">
        <v>254</v>
      </c>
      <c r="O59" s="8">
        <f t="shared" si="4"/>
        <v>-62.6500015258789</v>
      </c>
      <c r="P59">
        <v>3</v>
      </c>
      <c r="Q59" t="s">
        <v>422</v>
      </c>
      <c r="S59" t="str">
        <f t="shared" si="2"/>
        <v>Israel</v>
      </c>
      <c r="T59" t="s">
        <v>254</v>
      </c>
      <c r="U59" s="8">
        <f t="shared" si="5"/>
        <v>-41.7666676839193</v>
      </c>
      <c r="V59">
        <v>3</v>
      </c>
      <c r="W59" t="s">
        <v>709</v>
      </c>
    </row>
    <row r="60" spans="2:23">
      <c r="B60" t="s">
        <v>194</v>
      </c>
      <c r="C60" t="s">
        <v>558</v>
      </c>
      <c r="D60">
        <v>0.08</v>
      </c>
      <c r="E60" t="s">
        <v>710</v>
      </c>
      <c r="H60">
        <v>2019</v>
      </c>
      <c r="I60" t="s">
        <v>184</v>
      </c>
      <c r="K60" s="7">
        <v>317239.990234375</v>
      </c>
      <c r="M60" t="str">
        <f t="shared" si="0"/>
        <v>Italy</v>
      </c>
      <c r="N60" t="s">
        <v>254</v>
      </c>
      <c r="O60" s="8">
        <f t="shared" si="4"/>
        <v>-317.239990234375</v>
      </c>
      <c r="P60">
        <v>3</v>
      </c>
      <c r="Q60" t="s">
        <v>422</v>
      </c>
      <c r="S60" t="str">
        <f t="shared" si="2"/>
        <v>Italy</v>
      </c>
      <c r="T60" t="s">
        <v>254</v>
      </c>
      <c r="U60" s="8">
        <f t="shared" si="5"/>
        <v>-211.493326822917</v>
      </c>
      <c r="V60">
        <v>3</v>
      </c>
      <c r="W60" t="s">
        <v>709</v>
      </c>
    </row>
    <row r="61" spans="2:23">
      <c r="B61" t="s">
        <v>193</v>
      </c>
      <c r="C61" t="s">
        <v>558</v>
      </c>
      <c r="D61">
        <v>0.08</v>
      </c>
      <c r="E61" t="s">
        <v>710</v>
      </c>
      <c r="H61">
        <v>2019</v>
      </c>
      <c r="I61" t="s">
        <v>725</v>
      </c>
      <c r="K61" s="7">
        <v>318899.990200996</v>
      </c>
      <c r="M61" t="str">
        <f t="shared" si="0"/>
        <v>Italy_d</v>
      </c>
      <c r="N61" t="s">
        <v>254</v>
      </c>
      <c r="O61" s="8">
        <f t="shared" si="4"/>
        <v>-318.899990200996</v>
      </c>
      <c r="P61">
        <v>3</v>
      </c>
      <c r="Q61" t="s">
        <v>422</v>
      </c>
      <c r="S61" t="str">
        <f t="shared" si="2"/>
        <v>Italy_d</v>
      </c>
      <c r="T61" t="s">
        <v>254</v>
      </c>
      <c r="U61" s="8">
        <f t="shared" si="5"/>
        <v>-212.599993467331</v>
      </c>
      <c r="V61">
        <v>3</v>
      </c>
      <c r="W61" t="s">
        <v>709</v>
      </c>
    </row>
    <row r="62" spans="2:23">
      <c r="B62" t="s">
        <v>192</v>
      </c>
      <c r="C62" t="s">
        <v>558</v>
      </c>
      <c r="D62">
        <v>0.08</v>
      </c>
      <c r="E62" t="s">
        <v>710</v>
      </c>
      <c r="H62">
        <v>2019</v>
      </c>
      <c r="I62" t="s">
        <v>185</v>
      </c>
      <c r="K62" s="7">
        <v>10829.9999237061</v>
      </c>
      <c r="M62" t="str">
        <f t="shared" si="0"/>
        <v>IvoryCoast</v>
      </c>
      <c r="N62" t="s">
        <v>254</v>
      </c>
      <c r="O62" s="8">
        <f t="shared" si="4"/>
        <v>-10.8299999237061</v>
      </c>
      <c r="P62">
        <v>3</v>
      </c>
      <c r="Q62" t="s">
        <v>422</v>
      </c>
      <c r="S62" t="str">
        <f t="shared" si="2"/>
        <v>IvoryCoast</v>
      </c>
      <c r="T62" t="s">
        <v>254</v>
      </c>
      <c r="U62" s="8">
        <f t="shared" si="5"/>
        <v>-7.2199999491374</v>
      </c>
      <c r="V62">
        <v>3</v>
      </c>
      <c r="W62" t="s">
        <v>709</v>
      </c>
    </row>
    <row r="63" spans="2:23">
      <c r="B63" t="s">
        <v>191</v>
      </c>
      <c r="C63" t="s">
        <v>558</v>
      </c>
      <c r="D63">
        <v>0.08</v>
      </c>
      <c r="E63" t="s">
        <v>710</v>
      </c>
      <c r="H63">
        <v>2019</v>
      </c>
      <c r="I63" t="s">
        <v>25</v>
      </c>
      <c r="K63" s="7">
        <v>1081569.94628906</v>
      </c>
      <c r="M63" t="str">
        <f t="shared" si="0"/>
        <v>Japan</v>
      </c>
      <c r="N63" t="s">
        <v>254</v>
      </c>
      <c r="O63" s="8">
        <f t="shared" si="4"/>
        <v>-1081.56994628906</v>
      </c>
      <c r="P63">
        <v>3</v>
      </c>
      <c r="Q63" t="s">
        <v>422</v>
      </c>
      <c r="S63" t="str">
        <f t="shared" si="2"/>
        <v>Japan</v>
      </c>
      <c r="T63" t="s">
        <v>254</v>
      </c>
      <c r="U63" s="8">
        <f t="shared" si="5"/>
        <v>-721.046630859373</v>
      </c>
      <c r="V63">
        <v>3</v>
      </c>
      <c r="W63" t="s">
        <v>709</v>
      </c>
    </row>
    <row r="64" spans="2:23">
      <c r="B64" t="s">
        <v>190</v>
      </c>
      <c r="C64" t="s">
        <v>558</v>
      </c>
      <c r="D64">
        <v>0.0375</v>
      </c>
      <c r="E64" t="s">
        <v>710</v>
      </c>
      <c r="H64">
        <v>2019</v>
      </c>
      <c r="I64" t="s">
        <v>186</v>
      </c>
      <c r="K64" s="7">
        <v>212110.000610352</v>
      </c>
      <c r="M64" t="str">
        <f t="shared" si="0"/>
        <v>Kazakhstan</v>
      </c>
      <c r="N64" t="s">
        <v>254</v>
      </c>
      <c r="O64" s="8">
        <f t="shared" si="4"/>
        <v>-212.110000610352</v>
      </c>
      <c r="P64">
        <v>3</v>
      </c>
      <c r="Q64" t="s">
        <v>422</v>
      </c>
      <c r="S64" t="str">
        <f t="shared" si="2"/>
        <v>Kazakhstan</v>
      </c>
      <c r="T64" t="s">
        <v>254</v>
      </c>
      <c r="U64" s="8">
        <f t="shared" si="5"/>
        <v>-141.406667073568</v>
      </c>
      <c r="V64">
        <v>3</v>
      </c>
      <c r="W64" t="s">
        <v>709</v>
      </c>
    </row>
    <row r="65" spans="2:23">
      <c r="B65" t="s">
        <v>189</v>
      </c>
      <c r="C65" t="s">
        <v>558</v>
      </c>
      <c r="D65">
        <v>0.01</v>
      </c>
      <c r="E65" t="s">
        <v>710</v>
      </c>
      <c r="H65">
        <v>2019</v>
      </c>
      <c r="I65" t="s">
        <v>187</v>
      </c>
      <c r="K65" s="7">
        <v>22280.0006866455</v>
      </c>
      <c r="M65" t="str">
        <f t="shared" si="0"/>
        <v>Kenya</v>
      </c>
      <c r="N65" t="s">
        <v>254</v>
      </c>
      <c r="O65" s="8">
        <f t="shared" si="4"/>
        <v>-22.2800006866455</v>
      </c>
      <c r="P65">
        <v>3</v>
      </c>
      <c r="Q65" t="s">
        <v>422</v>
      </c>
      <c r="S65" t="str">
        <f t="shared" si="2"/>
        <v>Kenya</v>
      </c>
      <c r="T65" t="s">
        <v>254</v>
      </c>
      <c r="U65" s="8">
        <f t="shared" si="5"/>
        <v>-14.853333791097</v>
      </c>
      <c r="V65">
        <v>3</v>
      </c>
      <c r="W65" t="s">
        <v>709</v>
      </c>
    </row>
    <row r="66" spans="2:23">
      <c r="B66" t="s">
        <v>188</v>
      </c>
      <c r="C66" t="s">
        <v>558</v>
      </c>
      <c r="D66">
        <v>0.0375</v>
      </c>
      <c r="E66" t="s">
        <v>710</v>
      </c>
      <c r="H66">
        <v>2019</v>
      </c>
      <c r="I66" t="s">
        <v>189</v>
      </c>
      <c r="K66" s="7">
        <v>92650.0015258789</v>
      </c>
      <c r="M66" t="str">
        <f t="shared" si="0"/>
        <v>Kuwait</v>
      </c>
      <c r="N66" t="s">
        <v>254</v>
      </c>
      <c r="O66" s="8">
        <f t="shared" si="4"/>
        <v>-92.6500015258789</v>
      </c>
      <c r="P66">
        <v>3</v>
      </c>
      <c r="Q66" t="s">
        <v>422</v>
      </c>
      <c r="S66" t="str">
        <f t="shared" si="2"/>
        <v>Kuwait</v>
      </c>
      <c r="T66" t="s">
        <v>254</v>
      </c>
      <c r="U66" s="8">
        <f t="shared" si="5"/>
        <v>-61.7666676839193</v>
      </c>
      <c r="V66">
        <v>3</v>
      </c>
      <c r="W66" t="s">
        <v>709</v>
      </c>
    </row>
    <row r="67" spans="2:23">
      <c r="B67" t="s">
        <v>187</v>
      </c>
      <c r="C67" t="s">
        <v>558</v>
      </c>
      <c r="D67">
        <v>0.08</v>
      </c>
      <c r="E67" t="s">
        <v>710</v>
      </c>
      <c r="H67">
        <v>2019</v>
      </c>
      <c r="I67" t="s">
        <v>190</v>
      </c>
      <c r="K67" s="7">
        <v>10050.0001907349</v>
      </c>
      <c r="M67" t="str">
        <f t="shared" si="0"/>
        <v>Kyrgyzstan</v>
      </c>
      <c r="N67" t="s">
        <v>254</v>
      </c>
      <c r="O67" s="8">
        <f t="shared" si="4"/>
        <v>-10.0500001907349</v>
      </c>
      <c r="P67">
        <v>3</v>
      </c>
      <c r="Q67" t="s">
        <v>422</v>
      </c>
      <c r="S67" t="str">
        <f t="shared" si="2"/>
        <v>Kyrgyzstan</v>
      </c>
      <c r="T67" t="s">
        <v>254</v>
      </c>
      <c r="U67" s="8">
        <f t="shared" si="5"/>
        <v>-6.7000001271566</v>
      </c>
      <c r="V67">
        <v>3</v>
      </c>
      <c r="W67" t="s">
        <v>709</v>
      </c>
    </row>
    <row r="68" spans="2:23">
      <c r="B68" t="s">
        <v>186</v>
      </c>
      <c r="C68" t="s">
        <v>558</v>
      </c>
      <c r="D68">
        <v>0.0375</v>
      </c>
      <c r="E68" t="s">
        <v>710</v>
      </c>
      <c r="H68">
        <v>2019</v>
      </c>
      <c r="I68" t="s">
        <v>26</v>
      </c>
      <c r="K68" s="7">
        <v>1178719.99450028</v>
      </c>
      <c r="M68" t="str">
        <f t="shared" ref="M68:M131" si="6">$I68</f>
        <v>LatAm</v>
      </c>
      <c r="N68" t="s">
        <v>254</v>
      </c>
      <c r="O68" s="8">
        <f t="shared" si="4"/>
        <v>-1178.71999450028</v>
      </c>
      <c r="P68">
        <v>3</v>
      </c>
      <c r="Q68" t="s">
        <v>422</v>
      </c>
      <c r="S68" t="str">
        <f t="shared" ref="S68:S131" si="7">$I68</f>
        <v>LatAm</v>
      </c>
      <c r="T68" t="s">
        <v>254</v>
      </c>
      <c r="U68" s="8">
        <f t="shared" si="5"/>
        <v>-785.813329666853</v>
      </c>
      <c r="V68">
        <v>3</v>
      </c>
      <c r="W68" t="s">
        <v>709</v>
      </c>
    </row>
    <row r="69" spans="2:23">
      <c r="B69" t="s">
        <v>25</v>
      </c>
      <c r="C69" t="s">
        <v>558</v>
      </c>
      <c r="D69">
        <v>0.1</v>
      </c>
      <c r="E69" t="s">
        <v>710</v>
      </c>
      <c r="H69">
        <v>2019</v>
      </c>
      <c r="I69" t="s">
        <v>191</v>
      </c>
      <c r="K69" s="7">
        <v>7570.00017166138</v>
      </c>
      <c r="M69" t="str">
        <f t="shared" si="6"/>
        <v>Latvia</v>
      </c>
      <c r="N69" t="s">
        <v>254</v>
      </c>
      <c r="O69" s="8">
        <f t="shared" si="4"/>
        <v>-7.57000017166138</v>
      </c>
      <c r="P69">
        <v>3</v>
      </c>
      <c r="Q69" t="s">
        <v>422</v>
      </c>
      <c r="S69" t="str">
        <f t="shared" si="7"/>
        <v>Latvia</v>
      </c>
      <c r="T69" t="s">
        <v>254</v>
      </c>
      <c r="U69" s="8">
        <f t="shared" si="5"/>
        <v>-5.04666678110759</v>
      </c>
      <c r="V69">
        <v>3</v>
      </c>
      <c r="W69" t="s">
        <v>709</v>
      </c>
    </row>
    <row r="70" spans="2:23">
      <c r="B70" t="s">
        <v>185</v>
      </c>
      <c r="C70" t="s">
        <v>558</v>
      </c>
      <c r="D70">
        <v>0.08</v>
      </c>
      <c r="E70" t="s">
        <v>710</v>
      </c>
      <c r="H70">
        <v>2019</v>
      </c>
      <c r="I70" t="s">
        <v>192</v>
      </c>
      <c r="K70" s="7">
        <v>56799.9992370605</v>
      </c>
      <c r="M70" t="str">
        <f t="shared" si="6"/>
        <v>Libya</v>
      </c>
      <c r="N70" t="s">
        <v>254</v>
      </c>
      <c r="O70" s="8">
        <f t="shared" si="4"/>
        <v>-56.7999992370605</v>
      </c>
      <c r="P70">
        <v>3</v>
      </c>
      <c r="Q70" t="s">
        <v>422</v>
      </c>
      <c r="S70" t="str">
        <f t="shared" si="7"/>
        <v>Libya</v>
      </c>
      <c r="T70" t="s">
        <v>254</v>
      </c>
      <c r="U70" s="8">
        <f t="shared" si="5"/>
        <v>-37.8666661580403</v>
      </c>
      <c r="V70">
        <v>3</v>
      </c>
      <c r="W70" t="s">
        <v>709</v>
      </c>
    </row>
    <row r="71" spans="2:23">
      <c r="B71" t="s">
        <v>184</v>
      </c>
      <c r="C71" t="s">
        <v>558</v>
      </c>
      <c r="D71">
        <v>0.08</v>
      </c>
      <c r="E71" t="s">
        <v>710</v>
      </c>
      <c r="H71">
        <v>2019</v>
      </c>
      <c r="I71" t="s">
        <v>193</v>
      </c>
      <c r="K71" s="7">
        <v>11729.9995422363</v>
      </c>
      <c r="M71" t="str">
        <f t="shared" si="6"/>
        <v>Lithuania</v>
      </c>
      <c r="N71" t="s">
        <v>254</v>
      </c>
      <c r="O71" s="8">
        <f t="shared" si="4"/>
        <v>-11.7299995422363</v>
      </c>
      <c r="P71">
        <v>3</v>
      </c>
      <c r="Q71" t="s">
        <v>422</v>
      </c>
      <c r="S71" t="str">
        <f t="shared" si="7"/>
        <v>Lithuania</v>
      </c>
      <c r="T71" t="s">
        <v>254</v>
      </c>
      <c r="U71" s="8">
        <f t="shared" si="5"/>
        <v>-7.8199996948242</v>
      </c>
      <c r="V71">
        <v>3</v>
      </c>
      <c r="W71" t="s">
        <v>709</v>
      </c>
    </row>
    <row r="72" spans="2:23">
      <c r="B72" t="s">
        <v>183</v>
      </c>
      <c r="C72" t="s">
        <v>558</v>
      </c>
      <c r="D72">
        <v>0.01</v>
      </c>
      <c r="E72" t="s">
        <v>710</v>
      </c>
      <c r="H72">
        <v>2019</v>
      </c>
      <c r="I72" t="s">
        <v>194</v>
      </c>
      <c r="K72" s="7">
        <v>9489.99977111816</v>
      </c>
      <c r="M72" t="str">
        <f t="shared" si="6"/>
        <v>Luxembourg</v>
      </c>
      <c r="N72" t="s">
        <v>254</v>
      </c>
      <c r="O72" s="8">
        <f t="shared" si="4"/>
        <v>-9.48999977111816</v>
      </c>
      <c r="P72">
        <v>3</v>
      </c>
      <c r="Q72" t="s">
        <v>422</v>
      </c>
      <c r="S72" t="str">
        <f t="shared" si="7"/>
        <v>Luxembourg</v>
      </c>
      <c r="T72" t="s">
        <v>254</v>
      </c>
      <c r="U72" s="8">
        <f t="shared" si="5"/>
        <v>-6.32666651407877</v>
      </c>
      <c r="V72">
        <v>3</v>
      </c>
      <c r="W72" t="s">
        <v>709</v>
      </c>
    </row>
    <row r="73" spans="2:23">
      <c r="B73" t="s">
        <v>23</v>
      </c>
      <c r="C73" t="s">
        <v>558</v>
      </c>
      <c r="D73">
        <v>0.08</v>
      </c>
      <c r="E73" t="s">
        <v>710</v>
      </c>
      <c r="H73">
        <v>2019</v>
      </c>
      <c r="I73" t="s">
        <v>195</v>
      </c>
      <c r="K73" s="7">
        <v>8300.00019073486</v>
      </c>
      <c r="M73" t="str">
        <f t="shared" si="6"/>
        <v>Macedonia</v>
      </c>
      <c r="N73" t="s">
        <v>254</v>
      </c>
      <c r="O73" s="8">
        <f t="shared" si="4"/>
        <v>-8.30000019073486</v>
      </c>
      <c r="P73">
        <v>3</v>
      </c>
      <c r="Q73" t="s">
        <v>422</v>
      </c>
      <c r="S73" t="str">
        <f t="shared" si="7"/>
        <v>Macedonia</v>
      </c>
      <c r="T73" t="s">
        <v>254</v>
      </c>
      <c r="U73" s="8">
        <f t="shared" si="5"/>
        <v>-5.53333346048991</v>
      </c>
      <c r="V73">
        <v>3</v>
      </c>
      <c r="W73" t="s">
        <v>709</v>
      </c>
    </row>
    <row r="74" spans="2:23">
      <c r="B74" t="s">
        <v>182</v>
      </c>
      <c r="C74" t="s">
        <v>558</v>
      </c>
      <c r="D74">
        <v>0.01</v>
      </c>
      <c r="E74" t="s">
        <v>710</v>
      </c>
      <c r="H74">
        <v>2019</v>
      </c>
      <c r="I74" t="s">
        <v>196</v>
      </c>
      <c r="K74" s="7">
        <v>253270.004272461</v>
      </c>
      <c r="M74" t="str">
        <f t="shared" si="6"/>
        <v>Malaysia</v>
      </c>
      <c r="N74" t="s">
        <v>254</v>
      </c>
      <c r="O74" s="8">
        <f t="shared" si="4"/>
        <v>-253.270004272461</v>
      </c>
      <c r="P74">
        <v>3</v>
      </c>
      <c r="Q74" t="s">
        <v>422</v>
      </c>
      <c r="S74" t="str">
        <f t="shared" si="7"/>
        <v>Malaysia</v>
      </c>
      <c r="T74" t="s">
        <v>254</v>
      </c>
      <c r="U74" s="8">
        <f t="shared" si="5"/>
        <v>-168.846669514974</v>
      </c>
      <c r="V74">
        <v>3</v>
      </c>
      <c r="W74" t="s">
        <v>709</v>
      </c>
    </row>
    <row r="75" spans="2:23">
      <c r="B75" t="s">
        <v>181</v>
      </c>
      <c r="C75" t="s">
        <v>558</v>
      </c>
      <c r="D75">
        <v>0.01</v>
      </c>
      <c r="E75" t="s">
        <v>710</v>
      </c>
      <c r="H75">
        <v>2019</v>
      </c>
      <c r="I75" t="s">
        <v>197</v>
      </c>
      <c r="K75" s="7">
        <v>1659.9999666214</v>
      </c>
      <c r="M75" t="str">
        <f t="shared" si="6"/>
        <v>Malta</v>
      </c>
      <c r="N75" t="s">
        <v>254</v>
      </c>
      <c r="O75" s="8">
        <f t="shared" si="4"/>
        <v>-1.6599999666214</v>
      </c>
      <c r="P75">
        <v>3</v>
      </c>
      <c r="Q75" t="s">
        <v>422</v>
      </c>
      <c r="S75" t="str">
        <f t="shared" si="7"/>
        <v>Malta</v>
      </c>
      <c r="T75" t="s">
        <v>254</v>
      </c>
      <c r="U75" s="8">
        <f t="shared" si="5"/>
        <v>-1.10666664441427</v>
      </c>
      <c r="V75">
        <v>3</v>
      </c>
      <c r="W75" t="s">
        <v>709</v>
      </c>
    </row>
    <row r="76" spans="2:23">
      <c r="B76" t="s">
        <v>180</v>
      </c>
      <c r="C76" t="s">
        <v>558</v>
      </c>
      <c r="D76">
        <v>0.05</v>
      </c>
      <c r="E76" t="s">
        <v>710</v>
      </c>
      <c r="H76">
        <v>2019</v>
      </c>
      <c r="I76" t="s">
        <v>198</v>
      </c>
      <c r="K76" s="7">
        <v>449269.989013672</v>
      </c>
      <c r="M76" t="str">
        <f t="shared" si="6"/>
        <v>Mexico</v>
      </c>
      <c r="N76" t="s">
        <v>254</v>
      </c>
      <c r="O76" s="8">
        <f t="shared" si="4"/>
        <v>-449.269989013672</v>
      </c>
      <c r="P76">
        <v>3</v>
      </c>
      <c r="Q76" t="s">
        <v>422</v>
      </c>
      <c r="S76" t="str">
        <f t="shared" si="7"/>
        <v>Mexico</v>
      </c>
      <c r="T76" t="s">
        <v>254</v>
      </c>
      <c r="U76" s="8">
        <f t="shared" si="5"/>
        <v>-299.513326009115</v>
      </c>
      <c r="V76">
        <v>3</v>
      </c>
      <c r="W76" t="s">
        <v>709</v>
      </c>
    </row>
    <row r="77" spans="2:23">
      <c r="B77" t="s">
        <v>22</v>
      </c>
      <c r="C77" t="s">
        <v>558</v>
      </c>
      <c r="D77">
        <v>0.08</v>
      </c>
      <c r="E77" t="s">
        <v>710</v>
      </c>
      <c r="H77">
        <v>2019</v>
      </c>
      <c r="I77" t="s">
        <v>382</v>
      </c>
      <c r="K77" s="7">
        <v>20620.0008392334</v>
      </c>
      <c r="M77" t="str">
        <f t="shared" si="6"/>
        <v>MidEast_Naf</v>
      </c>
      <c r="N77" t="s">
        <v>254</v>
      </c>
      <c r="O77" s="8">
        <f t="shared" si="4"/>
        <v>-20.6200008392334</v>
      </c>
      <c r="P77">
        <v>3</v>
      </c>
      <c r="Q77" t="s">
        <v>422</v>
      </c>
      <c r="S77" t="str">
        <f t="shared" si="7"/>
        <v>MidEast_Naf</v>
      </c>
      <c r="T77" t="s">
        <v>254</v>
      </c>
      <c r="U77" s="8">
        <f t="shared" si="5"/>
        <v>-13.7466672261556</v>
      </c>
      <c r="V77">
        <v>3</v>
      </c>
      <c r="W77" t="s">
        <v>709</v>
      </c>
    </row>
    <row r="78" spans="2:23">
      <c r="B78" t="s">
        <v>21</v>
      </c>
      <c r="C78" t="s">
        <v>558</v>
      </c>
      <c r="D78">
        <v>0.08</v>
      </c>
      <c r="E78" t="s">
        <v>710</v>
      </c>
      <c r="H78">
        <v>2019</v>
      </c>
      <c r="I78" t="s">
        <v>199</v>
      </c>
      <c r="K78" s="7">
        <v>8859.99965667725</v>
      </c>
      <c r="M78" t="str">
        <f t="shared" si="6"/>
        <v>Moldova</v>
      </c>
      <c r="N78" t="s">
        <v>254</v>
      </c>
      <c r="O78" s="8">
        <f t="shared" si="4"/>
        <v>-8.85999965667725</v>
      </c>
      <c r="P78">
        <v>3</v>
      </c>
      <c r="Q78" t="s">
        <v>422</v>
      </c>
      <c r="S78" t="str">
        <f t="shared" si="7"/>
        <v>Moldova</v>
      </c>
      <c r="T78" t="s">
        <v>254</v>
      </c>
      <c r="U78" s="8">
        <f t="shared" si="5"/>
        <v>-5.90666643778483</v>
      </c>
      <c r="V78">
        <v>3</v>
      </c>
      <c r="W78" t="s">
        <v>709</v>
      </c>
    </row>
    <row r="79" spans="2:23">
      <c r="B79" t="s">
        <v>179</v>
      </c>
      <c r="C79" t="s">
        <v>558</v>
      </c>
      <c r="D79">
        <v>0.08</v>
      </c>
      <c r="E79" t="s">
        <v>710</v>
      </c>
      <c r="H79">
        <v>2019</v>
      </c>
      <c r="I79" t="s">
        <v>726</v>
      </c>
      <c r="K79" s="7">
        <v>8859.99965667725</v>
      </c>
      <c r="M79" t="str">
        <f t="shared" si="6"/>
        <v>Moldova_d</v>
      </c>
      <c r="N79" t="s">
        <v>254</v>
      </c>
      <c r="O79" s="8">
        <f t="shared" si="4"/>
        <v>-8.85999965667725</v>
      </c>
      <c r="P79">
        <v>3</v>
      </c>
      <c r="Q79" t="s">
        <v>422</v>
      </c>
      <c r="S79" t="str">
        <f t="shared" si="7"/>
        <v>Moldova_d</v>
      </c>
      <c r="T79" t="s">
        <v>254</v>
      </c>
      <c r="U79" s="8">
        <f t="shared" si="5"/>
        <v>-5.90666643778483</v>
      </c>
      <c r="V79">
        <v>3</v>
      </c>
      <c r="W79" t="s">
        <v>709</v>
      </c>
    </row>
    <row r="80" spans="2:23">
      <c r="B80" t="s">
        <v>178</v>
      </c>
      <c r="C80" t="s">
        <v>558</v>
      </c>
      <c r="D80">
        <v>0.08</v>
      </c>
      <c r="E80" t="s">
        <v>710</v>
      </c>
      <c r="H80">
        <v>2019</v>
      </c>
      <c r="I80" t="s">
        <v>200</v>
      </c>
      <c r="K80" s="7">
        <v>2599.99990463257</v>
      </c>
      <c r="M80" t="str">
        <f t="shared" si="6"/>
        <v>Montenegro</v>
      </c>
      <c r="N80" t="s">
        <v>254</v>
      </c>
      <c r="O80" s="8">
        <f t="shared" si="4"/>
        <v>-2.59999990463257</v>
      </c>
      <c r="P80">
        <v>3</v>
      </c>
      <c r="Q80" t="s">
        <v>422</v>
      </c>
      <c r="S80" t="str">
        <f t="shared" si="7"/>
        <v>Montenegro</v>
      </c>
      <c r="T80" t="s">
        <v>254</v>
      </c>
      <c r="U80" s="8">
        <f t="shared" si="5"/>
        <v>-1.73333326975505</v>
      </c>
      <c r="V80">
        <v>3</v>
      </c>
      <c r="W80" t="s">
        <v>709</v>
      </c>
    </row>
    <row r="81" spans="2:23">
      <c r="B81" t="s">
        <v>177</v>
      </c>
      <c r="C81" t="s">
        <v>558</v>
      </c>
      <c r="D81">
        <v>0.08</v>
      </c>
      <c r="E81" t="s">
        <v>710</v>
      </c>
      <c r="H81">
        <v>2019</v>
      </c>
      <c r="I81" t="s">
        <v>201</v>
      </c>
      <c r="K81" s="7">
        <v>71480.0033569336</v>
      </c>
      <c r="M81" t="str">
        <f t="shared" si="6"/>
        <v>Morocco</v>
      </c>
      <c r="N81" t="s">
        <v>254</v>
      </c>
      <c r="O81" s="8">
        <f t="shared" si="4"/>
        <v>-71.4800033569336</v>
      </c>
      <c r="P81">
        <v>3</v>
      </c>
      <c r="Q81" t="s">
        <v>422</v>
      </c>
      <c r="S81" t="str">
        <f t="shared" si="7"/>
        <v>Morocco</v>
      </c>
      <c r="T81" t="s">
        <v>254</v>
      </c>
      <c r="U81" s="8">
        <f t="shared" si="5"/>
        <v>-47.6533355712891</v>
      </c>
      <c r="V81">
        <v>3</v>
      </c>
      <c r="W81" t="s">
        <v>709</v>
      </c>
    </row>
    <row r="82" spans="2:23">
      <c r="B82" t="s">
        <v>18</v>
      </c>
      <c r="C82" t="s">
        <v>558</v>
      </c>
      <c r="D82">
        <v>0.08</v>
      </c>
      <c r="E82" t="s">
        <v>710</v>
      </c>
      <c r="H82">
        <v>2019</v>
      </c>
      <c r="I82" t="s">
        <v>202</v>
      </c>
      <c r="K82" s="7">
        <v>7500</v>
      </c>
      <c r="M82" t="str">
        <f t="shared" si="6"/>
        <v>Mozambique</v>
      </c>
      <c r="N82" t="s">
        <v>254</v>
      </c>
      <c r="O82" s="8">
        <f t="shared" si="4"/>
        <v>-7.5</v>
      </c>
      <c r="P82">
        <v>3</v>
      </c>
      <c r="Q82" t="s">
        <v>422</v>
      </c>
      <c r="S82" t="str">
        <f t="shared" si="7"/>
        <v>Mozambique</v>
      </c>
      <c r="T82" t="s">
        <v>254</v>
      </c>
      <c r="U82" s="8">
        <f t="shared" si="5"/>
        <v>-5</v>
      </c>
      <c r="V82">
        <v>3</v>
      </c>
      <c r="W82" t="s">
        <v>709</v>
      </c>
    </row>
    <row r="83" spans="2:23">
      <c r="B83" t="s">
        <v>176</v>
      </c>
      <c r="C83" t="s">
        <v>558</v>
      </c>
      <c r="D83">
        <v>0.0375</v>
      </c>
      <c r="E83" t="s">
        <v>710</v>
      </c>
      <c r="H83">
        <v>2019</v>
      </c>
      <c r="I83" t="s">
        <v>203</v>
      </c>
      <c r="K83" s="7">
        <v>36720.0012207031</v>
      </c>
      <c r="M83" t="str">
        <f t="shared" si="6"/>
        <v>Myanmar</v>
      </c>
      <c r="N83" t="s">
        <v>254</v>
      </c>
      <c r="O83" s="8">
        <f t="shared" si="4"/>
        <v>-36.7200012207031</v>
      </c>
      <c r="P83">
        <v>3</v>
      </c>
      <c r="Q83" t="s">
        <v>422</v>
      </c>
      <c r="S83" t="str">
        <f t="shared" si="7"/>
        <v>Myanmar</v>
      </c>
      <c r="T83" t="s">
        <v>254</v>
      </c>
      <c r="U83" s="8">
        <f t="shared" si="5"/>
        <v>-24.4800008138021</v>
      </c>
      <c r="V83">
        <v>3</v>
      </c>
      <c r="W83" t="s">
        <v>709</v>
      </c>
    </row>
    <row r="84" spans="2:23">
      <c r="B84" t="s">
        <v>17</v>
      </c>
      <c r="C84" t="s">
        <v>558</v>
      </c>
      <c r="D84">
        <v>0.08</v>
      </c>
      <c r="E84" t="s">
        <v>710</v>
      </c>
      <c r="H84">
        <v>2019</v>
      </c>
      <c r="I84" t="s">
        <v>204</v>
      </c>
      <c r="K84" s="7">
        <v>13449.9998092651</v>
      </c>
      <c r="M84" t="str">
        <f t="shared" si="6"/>
        <v>Nepal</v>
      </c>
      <c r="N84" t="s">
        <v>254</v>
      </c>
      <c r="O84" s="8">
        <f t="shared" si="4"/>
        <v>-13.4499998092651</v>
      </c>
      <c r="P84">
        <v>3</v>
      </c>
      <c r="Q84" t="s">
        <v>422</v>
      </c>
      <c r="S84" t="str">
        <f t="shared" si="7"/>
        <v>Nepal</v>
      </c>
      <c r="T84" t="s">
        <v>254</v>
      </c>
      <c r="U84" s="8">
        <f t="shared" si="5"/>
        <v>-8.96666653951007</v>
      </c>
      <c r="V84">
        <v>3</v>
      </c>
      <c r="W84" t="s">
        <v>709</v>
      </c>
    </row>
    <row r="85" spans="2:23">
      <c r="B85" t="s">
        <v>175</v>
      </c>
      <c r="C85" t="s">
        <v>558</v>
      </c>
      <c r="D85">
        <v>0.08</v>
      </c>
      <c r="E85" t="s">
        <v>710</v>
      </c>
      <c r="H85">
        <v>2019</v>
      </c>
      <c r="I85" t="s">
        <v>205</v>
      </c>
      <c r="K85" s="7">
        <v>146339.996337891</v>
      </c>
      <c r="M85" t="str">
        <f t="shared" si="6"/>
        <v>Netherlands</v>
      </c>
      <c r="N85" t="s">
        <v>254</v>
      </c>
      <c r="O85" s="8">
        <f t="shared" si="4"/>
        <v>-146.339996337891</v>
      </c>
      <c r="P85">
        <v>3</v>
      </c>
      <c r="Q85" t="s">
        <v>422</v>
      </c>
      <c r="S85" t="str">
        <f t="shared" si="7"/>
        <v>Netherlands</v>
      </c>
      <c r="T85" t="s">
        <v>254</v>
      </c>
      <c r="U85" s="8">
        <f t="shared" si="5"/>
        <v>-97.559997558594</v>
      </c>
      <c r="V85">
        <v>3</v>
      </c>
      <c r="W85" t="s">
        <v>709</v>
      </c>
    </row>
    <row r="86" spans="2:23">
      <c r="B86" t="s">
        <v>174</v>
      </c>
      <c r="C86" t="s">
        <v>558</v>
      </c>
      <c r="D86">
        <v>0.08</v>
      </c>
      <c r="E86" t="s">
        <v>710</v>
      </c>
      <c r="H86">
        <v>2019</v>
      </c>
      <c r="I86" t="s">
        <v>206</v>
      </c>
      <c r="K86" s="7">
        <v>34009.9983215332</v>
      </c>
      <c r="M86" t="str">
        <f t="shared" si="6"/>
        <v>NewZealand</v>
      </c>
      <c r="N86" t="s">
        <v>254</v>
      </c>
      <c r="O86" s="8">
        <f t="shared" si="4"/>
        <v>-34.0099983215332</v>
      </c>
      <c r="P86">
        <v>3</v>
      </c>
      <c r="Q86" t="s">
        <v>422</v>
      </c>
      <c r="S86" t="str">
        <f t="shared" si="7"/>
        <v>NewZealand</v>
      </c>
      <c r="T86" t="s">
        <v>254</v>
      </c>
      <c r="U86" s="8">
        <f t="shared" si="5"/>
        <v>-22.6733322143555</v>
      </c>
      <c r="V86">
        <v>3</v>
      </c>
      <c r="W86" t="s">
        <v>709</v>
      </c>
    </row>
    <row r="87" spans="2:23">
      <c r="B87" t="s">
        <v>173</v>
      </c>
      <c r="C87" t="s">
        <v>558</v>
      </c>
      <c r="D87">
        <v>0.08</v>
      </c>
      <c r="E87" t="s">
        <v>710</v>
      </c>
      <c r="H87">
        <v>2019</v>
      </c>
      <c r="I87" t="s">
        <v>207</v>
      </c>
      <c r="K87" s="7">
        <v>2150.00009536743</v>
      </c>
      <c r="M87" t="str">
        <f t="shared" si="6"/>
        <v>Niger</v>
      </c>
      <c r="N87" t="s">
        <v>254</v>
      </c>
      <c r="O87" s="8">
        <f t="shared" si="4"/>
        <v>-2.15000009536743</v>
      </c>
      <c r="P87">
        <v>3</v>
      </c>
      <c r="Q87" t="s">
        <v>422</v>
      </c>
      <c r="S87" t="str">
        <f t="shared" si="7"/>
        <v>Niger</v>
      </c>
      <c r="T87" t="s">
        <v>254</v>
      </c>
      <c r="U87" s="8">
        <f t="shared" si="5"/>
        <v>-1.43333339691162</v>
      </c>
      <c r="V87">
        <v>3</v>
      </c>
      <c r="W87" t="s">
        <v>709</v>
      </c>
    </row>
    <row r="88" spans="2:23">
      <c r="B88" t="s">
        <v>172</v>
      </c>
      <c r="C88" t="s">
        <v>558</v>
      </c>
      <c r="D88">
        <v>0.08</v>
      </c>
      <c r="E88" t="s">
        <v>710</v>
      </c>
      <c r="H88">
        <v>2019</v>
      </c>
      <c r="I88" t="s">
        <v>208</v>
      </c>
      <c r="K88" s="7">
        <v>115279.998779297</v>
      </c>
      <c r="M88" t="str">
        <f t="shared" si="6"/>
        <v>Nigeria</v>
      </c>
      <c r="N88" t="s">
        <v>254</v>
      </c>
      <c r="O88" s="8">
        <f t="shared" si="4"/>
        <v>-115.279998779297</v>
      </c>
      <c r="P88">
        <v>3</v>
      </c>
      <c r="Q88" t="s">
        <v>422</v>
      </c>
      <c r="S88" t="str">
        <f t="shared" si="7"/>
        <v>Nigeria</v>
      </c>
      <c r="T88" t="s">
        <v>254</v>
      </c>
      <c r="U88" s="8">
        <f t="shared" si="5"/>
        <v>-76.8533325195313</v>
      </c>
      <c r="V88">
        <v>3</v>
      </c>
      <c r="W88" t="s">
        <v>709</v>
      </c>
    </row>
    <row r="89" spans="2:23">
      <c r="B89" t="s">
        <v>171</v>
      </c>
      <c r="C89" t="s">
        <v>558</v>
      </c>
      <c r="D89">
        <v>0.08</v>
      </c>
      <c r="E89" t="s">
        <v>710</v>
      </c>
      <c r="H89">
        <v>2019</v>
      </c>
      <c r="I89" t="s">
        <v>28</v>
      </c>
      <c r="K89" s="7">
        <v>5847200.22583008</v>
      </c>
      <c r="M89" t="str">
        <f t="shared" si="6"/>
        <v>NorthAm</v>
      </c>
      <c r="N89" t="s">
        <v>254</v>
      </c>
      <c r="O89" s="8">
        <f t="shared" si="4"/>
        <v>-5847.20022583008</v>
      </c>
      <c r="P89">
        <v>3</v>
      </c>
      <c r="Q89" t="s">
        <v>422</v>
      </c>
      <c r="S89" t="str">
        <f t="shared" si="7"/>
        <v>NorthAm</v>
      </c>
      <c r="T89" t="s">
        <v>254</v>
      </c>
      <c r="U89" s="8">
        <f t="shared" si="5"/>
        <v>-3898.13348388672</v>
      </c>
      <c r="V89">
        <v>3</v>
      </c>
      <c r="W89" t="s">
        <v>709</v>
      </c>
    </row>
    <row r="90" spans="2:23">
      <c r="B90" t="s">
        <v>170</v>
      </c>
      <c r="C90" t="s">
        <v>558</v>
      </c>
      <c r="D90">
        <v>0.08</v>
      </c>
      <c r="E90" t="s">
        <v>710</v>
      </c>
      <c r="H90">
        <v>2019</v>
      </c>
      <c r="I90" t="s">
        <v>727</v>
      </c>
      <c r="K90" s="7">
        <v>272640.003204346</v>
      </c>
      <c r="M90" t="str">
        <f t="shared" si="6"/>
        <v>Northwest_Africa</v>
      </c>
      <c r="N90" t="s">
        <v>254</v>
      </c>
      <c r="O90" s="8">
        <f t="shared" si="4"/>
        <v>-272.640003204346</v>
      </c>
      <c r="P90">
        <v>3</v>
      </c>
      <c r="Q90" t="s">
        <v>422</v>
      </c>
      <c r="S90" t="str">
        <f t="shared" si="7"/>
        <v>Northwest_Africa</v>
      </c>
      <c r="T90" t="s">
        <v>254</v>
      </c>
      <c r="U90" s="8">
        <f t="shared" si="5"/>
        <v>-181.760002136231</v>
      </c>
      <c r="V90">
        <v>3</v>
      </c>
      <c r="W90" t="s">
        <v>709</v>
      </c>
    </row>
    <row r="91" spans="2:23">
      <c r="B91" t="s">
        <v>169</v>
      </c>
      <c r="C91" t="s">
        <v>558</v>
      </c>
      <c r="D91">
        <v>0.08</v>
      </c>
      <c r="E91" t="s">
        <v>710</v>
      </c>
      <c r="H91">
        <v>2019</v>
      </c>
      <c r="I91" t="s">
        <v>29</v>
      </c>
      <c r="K91" s="7">
        <v>35950.0007629395</v>
      </c>
      <c r="M91" t="str">
        <f t="shared" si="6"/>
        <v>Norway</v>
      </c>
      <c r="N91" t="s">
        <v>254</v>
      </c>
      <c r="O91" s="8">
        <f t="shared" si="4"/>
        <v>-35.9500007629395</v>
      </c>
      <c r="P91">
        <v>3</v>
      </c>
      <c r="Q91" t="s">
        <v>422</v>
      </c>
      <c r="S91" t="str">
        <f t="shared" si="7"/>
        <v>Norway</v>
      </c>
      <c r="T91" t="s">
        <v>254</v>
      </c>
      <c r="U91" s="8">
        <f t="shared" si="5"/>
        <v>-23.966667175293</v>
      </c>
      <c r="V91">
        <v>3</v>
      </c>
      <c r="W91" t="s">
        <v>709</v>
      </c>
    </row>
    <row r="92" spans="2:23">
      <c r="B92" t="s">
        <v>168</v>
      </c>
      <c r="C92" t="s">
        <v>558</v>
      </c>
      <c r="D92">
        <v>0.08</v>
      </c>
      <c r="E92" t="s">
        <v>710</v>
      </c>
      <c r="H92">
        <v>2019</v>
      </c>
      <c r="I92" t="s">
        <v>728</v>
      </c>
      <c r="K92" s="7">
        <v>37590.0007486344</v>
      </c>
      <c r="M92" t="str">
        <f t="shared" si="6"/>
        <v>Norway_Iceland</v>
      </c>
      <c r="N92" t="s">
        <v>254</v>
      </c>
      <c r="O92" s="8">
        <f t="shared" si="4"/>
        <v>-37.5900007486344</v>
      </c>
      <c r="P92">
        <v>3</v>
      </c>
      <c r="Q92" t="s">
        <v>422</v>
      </c>
      <c r="S92" t="str">
        <f t="shared" si="7"/>
        <v>Norway_Iceland</v>
      </c>
      <c r="T92" t="s">
        <v>254</v>
      </c>
      <c r="U92" s="8">
        <f t="shared" si="5"/>
        <v>-25.0600004990896</v>
      </c>
      <c r="V92">
        <v>3</v>
      </c>
      <c r="W92" t="s">
        <v>709</v>
      </c>
    </row>
    <row r="93" spans="2:23">
      <c r="B93" t="s">
        <v>167</v>
      </c>
      <c r="C93" t="s">
        <v>558</v>
      </c>
      <c r="D93">
        <v>0.08</v>
      </c>
      <c r="E93" t="s">
        <v>710</v>
      </c>
      <c r="H93">
        <v>2019</v>
      </c>
      <c r="I93" t="s">
        <v>209</v>
      </c>
      <c r="K93" s="7">
        <v>76029.9987792969</v>
      </c>
      <c r="M93" t="str">
        <f t="shared" si="6"/>
        <v>Oman</v>
      </c>
      <c r="N93" t="s">
        <v>254</v>
      </c>
      <c r="O93" s="8">
        <f t="shared" si="4"/>
        <v>-76.0299987792969</v>
      </c>
      <c r="P93">
        <v>3</v>
      </c>
      <c r="Q93" t="s">
        <v>422</v>
      </c>
      <c r="S93" t="str">
        <f t="shared" si="7"/>
        <v>Oman</v>
      </c>
      <c r="T93" t="s">
        <v>254</v>
      </c>
      <c r="U93" s="8">
        <f t="shared" si="5"/>
        <v>-50.6866658528646</v>
      </c>
      <c r="V93">
        <v>3</v>
      </c>
      <c r="W93" t="s">
        <v>709</v>
      </c>
    </row>
    <row r="94" spans="2:23">
      <c r="B94" t="s">
        <v>166</v>
      </c>
      <c r="C94" t="s">
        <v>558</v>
      </c>
      <c r="D94">
        <v>0.0375</v>
      </c>
      <c r="E94" t="s">
        <v>710</v>
      </c>
      <c r="H94">
        <v>2019</v>
      </c>
      <c r="I94" t="s">
        <v>210</v>
      </c>
      <c r="K94" s="7">
        <v>111010.000243783</v>
      </c>
      <c r="M94" t="str">
        <f t="shared" si="6"/>
        <v>Other_Africa</v>
      </c>
      <c r="N94" t="s">
        <v>254</v>
      </c>
      <c r="O94" s="8">
        <f t="shared" si="4"/>
        <v>-111.010000243783</v>
      </c>
      <c r="P94">
        <v>3</v>
      </c>
      <c r="Q94" t="s">
        <v>422</v>
      </c>
      <c r="S94" t="str">
        <f t="shared" si="7"/>
        <v>Other_Africa</v>
      </c>
      <c r="T94" t="s">
        <v>254</v>
      </c>
      <c r="U94" s="8">
        <f t="shared" si="5"/>
        <v>-74.0066668291887</v>
      </c>
      <c r="V94">
        <v>3</v>
      </c>
      <c r="W94" t="s">
        <v>709</v>
      </c>
    </row>
    <row r="95" spans="2:23">
      <c r="B95" t="s">
        <v>14</v>
      </c>
      <c r="C95" t="s">
        <v>558</v>
      </c>
      <c r="D95">
        <v>0.04</v>
      </c>
      <c r="E95" t="s">
        <v>710</v>
      </c>
      <c r="H95">
        <v>2019</v>
      </c>
      <c r="I95" t="s">
        <v>211</v>
      </c>
      <c r="K95" s="7">
        <v>165020.00018023</v>
      </c>
      <c r="M95" t="str">
        <f t="shared" si="6"/>
        <v>Other_AsiaEm</v>
      </c>
      <c r="N95" t="s">
        <v>254</v>
      </c>
      <c r="O95" s="8">
        <f t="shared" si="4"/>
        <v>-165.02000018023</v>
      </c>
      <c r="P95">
        <v>3</v>
      </c>
      <c r="Q95" t="s">
        <v>422</v>
      </c>
      <c r="S95" t="str">
        <f t="shared" si="7"/>
        <v>Other_AsiaEm</v>
      </c>
      <c r="T95" t="s">
        <v>254</v>
      </c>
      <c r="U95" s="8">
        <f t="shared" si="5"/>
        <v>-110.013333453487</v>
      </c>
      <c r="V95">
        <v>3</v>
      </c>
      <c r="W95" t="s">
        <v>709</v>
      </c>
    </row>
    <row r="96" spans="2:23">
      <c r="B96" t="s">
        <v>165</v>
      </c>
      <c r="C96" t="s">
        <v>558</v>
      </c>
      <c r="D96">
        <v>0.0375</v>
      </c>
      <c r="E96" t="s">
        <v>710</v>
      </c>
      <c r="H96">
        <v>2019</v>
      </c>
      <c r="I96" t="s">
        <v>212</v>
      </c>
      <c r="K96" s="7">
        <v>650.000005960464</v>
      </c>
      <c r="M96" t="str">
        <f t="shared" si="6"/>
        <v>Other_EurDev</v>
      </c>
      <c r="N96" t="s">
        <v>254</v>
      </c>
      <c r="O96" s="8">
        <f t="shared" si="4"/>
        <v>-0.650000005960464</v>
      </c>
      <c r="P96">
        <v>3</v>
      </c>
      <c r="Q96" t="s">
        <v>422</v>
      </c>
      <c r="S96" t="str">
        <f t="shared" si="7"/>
        <v>Other_EurDev</v>
      </c>
      <c r="T96" t="s">
        <v>254</v>
      </c>
      <c r="U96" s="8">
        <f t="shared" si="5"/>
        <v>-0.433333337306976</v>
      </c>
      <c r="V96">
        <v>3</v>
      </c>
      <c r="W96" t="s">
        <v>709</v>
      </c>
    </row>
    <row r="97" spans="2:23">
      <c r="B97" t="s">
        <v>164</v>
      </c>
      <c r="C97" t="s">
        <v>558</v>
      </c>
      <c r="D97">
        <v>0.035</v>
      </c>
      <c r="E97" t="s">
        <v>710</v>
      </c>
      <c r="H97">
        <v>2019</v>
      </c>
      <c r="I97" t="s">
        <v>213</v>
      </c>
      <c r="K97" s="7">
        <v>234820.000603795</v>
      </c>
      <c r="M97" t="str">
        <f t="shared" si="6"/>
        <v>Other_LatAm</v>
      </c>
      <c r="N97" t="s">
        <v>254</v>
      </c>
      <c r="O97" s="8">
        <f t="shared" si="4"/>
        <v>-234.820000603795</v>
      </c>
      <c r="P97">
        <v>3</v>
      </c>
      <c r="Q97" t="s">
        <v>422</v>
      </c>
      <c r="S97" t="str">
        <f t="shared" si="7"/>
        <v>Other_LatAm</v>
      </c>
      <c r="T97" t="s">
        <v>254</v>
      </c>
      <c r="U97" s="8">
        <f t="shared" si="5"/>
        <v>-156.546667069197</v>
      </c>
      <c r="V97">
        <v>3</v>
      </c>
      <c r="W97" t="s">
        <v>709</v>
      </c>
    </row>
    <row r="98" spans="2:23">
      <c r="B98" t="s">
        <v>163</v>
      </c>
      <c r="C98" t="s">
        <v>558</v>
      </c>
      <c r="D98">
        <v>0.08</v>
      </c>
      <c r="E98" t="s">
        <v>710</v>
      </c>
      <c r="H98">
        <v>2019</v>
      </c>
      <c r="I98" t="s">
        <v>214</v>
      </c>
      <c r="K98" s="7">
        <v>111549.997329712</v>
      </c>
      <c r="M98" t="str">
        <f t="shared" si="6"/>
        <v>Other_MidEast</v>
      </c>
      <c r="N98" t="s">
        <v>254</v>
      </c>
      <c r="O98" s="8">
        <f t="shared" si="4"/>
        <v>-111.549997329712</v>
      </c>
      <c r="P98">
        <v>3</v>
      </c>
      <c r="Q98" t="s">
        <v>422</v>
      </c>
      <c r="S98" t="str">
        <f t="shared" si="7"/>
        <v>Other_MidEast</v>
      </c>
      <c r="T98" t="s">
        <v>254</v>
      </c>
      <c r="U98" s="8">
        <f t="shared" si="5"/>
        <v>-74.3666648864747</v>
      </c>
      <c r="V98">
        <v>3</v>
      </c>
      <c r="W98" t="s">
        <v>709</v>
      </c>
    </row>
    <row r="99" spans="2:23">
      <c r="B99" t="s">
        <v>162</v>
      </c>
      <c r="C99" t="s">
        <v>558</v>
      </c>
      <c r="D99">
        <v>0.08</v>
      </c>
      <c r="E99" t="s">
        <v>710</v>
      </c>
      <c r="H99">
        <v>2019</v>
      </c>
      <c r="I99" t="s">
        <v>215</v>
      </c>
      <c r="K99" s="7">
        <v>190570.007324219</v>
      </c>
      <c r="M99" t="str">
        <f t="shared" si="6"/>
        <v>Pakistan</v>
      </c>
      <c r="N99" t="s">
        <v>254</v>
      </c>
      <c r="O99" s="8">
        <f t="shared" si="4"/>
        <v>-190.570007324219</v>
      </c>
      <c r="P99">
        <v>3</v>
      </c>
      <c r="Q99" t="s">
        <v>422</v>
      </c>
      <c r="S99" t="str">
        <f t="shared" si="7"/>
        <v>Pakistan</v>
      </c>
      <c r="T99" t="s">
        <v>254</v>
      </c>
      <c r="U99" s="8">
        <f t="shared" si="5"/>
        <v>-127.046671549479</v>
      </c>
      <c r="V99">
        <v>3</v>
      </c>
      <c r="W99" t="s">
        <v>709</v>
      </c>
    </row>
    <row r="100" spans="2:23">
      <c r="B100" t="s">
        <v>13</v>
      </c>
      <c r="C100" t="s">
        <v>558</v>
      </c>
      <c r="D100">
        <v>0.0375</v>
      </c>
      <c r="E100" t="s">
        <v>710</v>
      </c>
      <c r="H100">
        <v>2019</v>
      </c>
      <c r="I100" t="s">
        <v>216</v>
      </c>
      <c r="K100" s="7">
        <v>56750</v>
      </c>
      <c r="M100" t="str">
        <f t="shared" si="6"/>
        <v>Peru</v>
      </c>
      <c r="N100" t="s">
        <v>254</v>
      </c>
      <c r="O100" s="8">
        <f t="shared" si="4"/>
        <v>-56.75</v>
      </c>
      <c r="P100">
        <v>3</v>
      </c>
      <c r="Q100" t="s">
        <v>422</v>
      </c>
      <c r="S100" t="str">
        <f t="shared" si="7"/>
        <v>Peru</v>
      </c>
      <c r="T100" t="s">
        <v>254</v>
      </c>
      <c r="U100" s="8">
        <f t="shared" si="5"/>
        <v>-37.8333333333333</v>
      </c>
      <c r="V100">
        <v>3</v>
      </c>
      <c r="W100" t="s">
        <v>709</v>
      </c>
    </row>
    <row r="101" spans="2:23">
      <c r="B101" t="s">
        <v>161</v>
      </c>
      <c r="C101" t="s">
        <v>558</v>
      </c>
      <c r="D101">
        <v>0.0375</v>
      </c>
      <c r="E101" t="s">
        <v>710</v>
      </c>
      <c r="H101">
        <v>2019</v>
      </c>
      <c r="I101" t="s">
        <v>217</v>
      </c>
      <c r="K101" s="7">
        <v>145419.998168945</v>
      </c>
      <c r="M101" t="str">
        <f t="shared" si="6"/>
        <v>Philippines</v>
      </c>
      <c r="N101" t="s">
        <v>254</v>
      </c>
      <c r="O101" s="8">
        <f t="shared" si="4"/>
        <v>-145.419998168945</v>
      </c>
      <c r="P101">
        <v>3</v>
      </c>
      <c r="Q101" t="s">
        <v>422</v>
      </c>
      <c r="S101" t="str">
        <f t="shared" si="7"/>
        <v>Philippines</v>
      </c>
      <c r="T101" t="s">
        <v>254</v>
      </c>
      <c r="U101" s="8">
        <f t="shared" si="5"/>
        <v>-96.9466654459633</v>
      </c>
      <c r="V101">
        <v>3</v>
      </c>
      <c r="W101" t="s">
        <v>709</v>
      </c>
    </row>
    <row r="102" spans="2:23">
      <c r="B102" t="s">
        <v>160</v>
      </c>
      <c r="C102" t="s">
        <v>558</v>
      </c>
      <c r="D102">
        <v>0.08</v>
      </c>
      <c r="E102" t="s">
        <v>710</v>
      </c>
      <c r="H102">
        <v>2019</v>
      </c>
      <c r="I102" t="s">
        <v>30</v>
      </c>
      <c r="K102" s="7">
        <v>295130.004882813</v>
      </c>
      <c r="M102" t="str">
        <f t="shared" si="6"/>
        <v>Poland</v>
      </c>
      <c r="N102" t="s">
        <v>254</v>
      </c>
      <c r="O102" s="8">
        <f t="shared" si="4"/>
        <v>-295.130004882813</v>
      </c>
      <c r="P102">
        <v>3</v>
      </c>
      <c r="Q102" t="s">
        <v>422</v>
      </c>
      <c r="S102" t="str">
        <f t="shared" si="7"/>
        <v>Poland</v>
      </c>
      <c r="T102" t="s">
        <v>254</v>
      </c>
      <c r="U102" s="8">
        <f t="shared" si="5"/>
        <v>-196.753336588542</v>
      </c>
      <c r="V102">
        <v>3</v>
      </c>
      <c r="W102" t="s">
        <v>709</v>
      </c>
    </row>
    <row r="103" spans="2:23">
      <c r="B103" t="s">
        <v>159</v>
      </c>
      <c r="C103" t="s">
        <v>558</v>
      </c>
      <c r="D103">
        <v>0.0375</v>
      </c>
      <c r="E103" t="s">
        <v>710</v>
      </c>
      <c r="H103">
        <v>2019</v>
      </c>
      <c r="I103" t="s">
        <v>729</v>
      </c>
      <c r="K103" s="7">
        <v>295130.004882813</v>
      </c>
      <c r="M103" t="str">
        <f t="shared" si="6"/>
        <v>Poland_d</v>
      </c>
      <c r="N103" t="s">
        <v>254</v>
      </c>
      <c r="O103" s="8">
        <f t="shared" si="4"/>
        <v>-295.130004882813</v>
      </c>
      <c r="P103">
        <v>3</v>
      </c>
      <c r="Q103" t="s">
        <v>422</v>
      </c>
      <c r="S103" t="str">
        <f t="shared" si="7"/>
        <v>Poland_d</v>
      </c>
      <c r="T103" t="s">
        <v>254</v>
      </c>
      <c r="U103" s="8">
        <f t="shared" si="5"/>
        <v>-196.753336588542</v>
      </c>
      <c r="V103">
        <v>3</v>
      </c>
      <c r="W103" t="s">
        <v>709</v>
      </c>
    </row>
    <row r="104" spans="2:23">
      <c r="B104" t="s">
        <v>158</v>
      </c>
      <c r="C104" t="s">
        <v>558</v>
      </c>
      <c r="D104">
        <v>0.05</v>
      </c>
      <c r="E104" t="s">
        <v>710</v>
      </c>
      <c r="H104">
        <v>2019</v>
      </c>
      <c r="I104" t="s">
        <v>218</v>
      </c>
      <c r="K104" s="7">
        <v>44639.9993896484</v>
      </c>
      <c r="M104" t="str">
        <f t="shared" si="6"/>
        <v>Portugal</v>
      </c>
      <c r="N104" t="s">
        <v>254</v>
      </c>
      <c r="O104" s="8">
        <f t="shared" si="4"/>
        <v>-44.6399993896484</v>
      </c>
      <c r="P104">
        <v>3</v>
      </c>
      <c r="Q104" t="s">
        <v>422</v>
      </c>
      <c r="S104" t="str">
        <f t="shared" si="7"/>
        <v>Portugal</v>
      </c>
      <c r="T104" t="s">
        <v>254</v>
      </c>
      <c r="U104" s="8">
        <f t="shared" si="5"/>
        <v>-29.7599995930989</v>
      </c>
      <c r="V104">
        <v>3</v>
      </c>
      <c r="W104" t="s">
        <v>709</v>
      </c>
    </row>
    <row r="105" spans="2:23">
      <c r="B105" t="s">
        <v>157</v>
      </c>
      <c r="C105" t="s">
        <v>558</v>
      </c>
      <c r="D105">
        <v>0.0375</v>
      </c>
      <c r="E105" t="s">
        <v>710</v>
      </c>
      <c r="H105">
        <v>2019</v>
      </c>
      <c r="I105" t="s">
        <v>219</v>
      </c>
      <c r="K105" s="7">
        <v>91970.0012207031</v>
      </c>
      <c r="M105" t="str">
        <f t="shared" si="6"/>
        <v>Qatar</v>
      </c>
      <c r="N105" t="s">
        <v>254</v>
      </c>
      <c r="O105" s="8">
        <f t="shared" si="4"/>
        <v>-91.9700012207031</v>
      </c>
      <c r="P105">
        <v>3</v>
      </c>
      <c r="Q105" t="s">
        <v>422</v>
      </c>
      <c r="S105" t="str">
        <f t="shared" si="7"/>
        <v>Qatar</v>
      </c>
      <c r="T105" t="s">
        <v>254</v>
      </c>
      <c r="U105" s="8">
        <f t="shared" si="5"/>
        <v>-61.3133341471354</v>
      </c>
      <c r="V105">
        <v>3</v>
      </c>
      <c r="W105" t="s">
        <v>709</v>
      </c>
    </row>
    <row r="106" spans="2:23">
      <c r="B106" t="s">
        <v>10</v>
      </c>
      <c r="C106" t="s">
        <v>558</v>
      </c>
      <c r="D106">
        <v>0.08</v>
      </c>
      <c r="E106" t="s">
        <v>710</v>
      </c>
      <c r="H106">
        <v>2019</v>
      </c>
      <c r="I106" t="s">
        <v>220</v>
      </c>
      <c r="K106" s="7">
        <v>73949.9969482422</v>
      </c>
      <c r="M106" t="str">
        <f t="shared" si="6"/>
        <v>Romania</v>
      </c>
      <c r="N106" t="s">
        <v>254</v>
      </c>
      <c r="O106" s="8">
        <f t="shared" si="4"/>
        <v>-73.9499969482422</v>
      </c>
      <c r="P106">
        <v>3</v>
      </c>
      <c r="Q106" t="s">
        <v>422</v>
      </c>
      <c r="S106" t="str">
        <f t="shared" si="7"/>
        <v>Romania</v>
      </c>
      <c r="T106" t="s">
        <v>254</v>
      </c>
      <c r="U106" s="8">
        <f t="shared" si="5"/>
        <v>-49.2999979654948</v>
      </c>
      <c r="V106">
        <v>3</v>
      </c>
      <c r="W106" t="s">
        <v>709</v>
      </c>
    </row>
    <row r="107" spans="2:23">
      <c r="B107" t="s">
        <v>9</v>
      </c>
      <c r="C107" t="s">
        <v>558</v>
      </c>
      <c r="D107">
        <v>0.1</v>
      </c>
      <c r="E107" t="s">
        <v>710</v>
      </c>
      <c r="H107">
        <v>2019</v>
      </c>
      <c r="I107" t="s">
        <v>32</v>
      </c>
      <c r="K107" s="7">
        <v>1703589.96582031</v>
      </c>
      <c r="M107" t="str">
        <f t="shared" si="6"/>
        <v>Russia</v>
      </c>
      <c r="N107" t="s">
        <v>254</v>
      </c>
      <c r="O107" s="8">
        <f t="shared" si="4"/>
        <v>-1703.58996582031</v>
      </c>
      <c r="P107">
        <v>3</v>
      </c>
      <c r="Q107" t="s">
        <v>422</v>
      </c>
      <c r="S107" t="str">
        <f t="shared" si="7"/>
        <v>Russia</v>
      </c>
      <c r="T107" t="s">
        <v>254</v>
      </c>
      <c r="U107" s="8">
        <f t="shared" si="5"/>
        <v>-1135.72664388021</v>
      </c>
      <c r="V107">
        <v>3</v>
      </c>
      <c r="W107" t="s">
        <v>709</v>
      </c>
    </row>
    <row r="108" spans="2:23">
      <c r="B108" t="s">
        <v>156</v>
      </c>
      <c r="C108" t="s">
        <v>558</v>
      </c>
      <c r="D108">
        <v>0.0375</v>
      </c>
      <c r="E108" t="s">
        <v>710</v>
      </c>
      <c r="H108">
        <v>2019</v>
      </c>
      <c r="I108" t="s">
        <v>33</v>
      </c>
      <c r="K108" s="7">
        <v>523780.029296875</v>
      </c>
      <c r="M108" t="str">
        <f t="shared" si="6"/>
        <v>SaudiArabia</v>
      </c>
      <c r="N108" t="s">
        <v>254</v>
      </c>
      <c r="O108" s="8">
        <f t="shared" si="4"/>
        <v>-523.780029296875</v>
      </c>
      <c r="P108">
        <v>3</v>
      </c>
      <c r="Q108" t="s">
        <v>422</v>
      </c>
      <c r="S108" t="str">
        <f t="shared" si="7"/>
        <v>SaudiArabia</v>
      </c>
      <c r="T108" t="s">
        <v>254</v>
      </c>
      <c r="U108" s="8">
        <f t="shared" si="5"/>
        <v>-349.186686197917</v>
      </c>
      <c r="V108">
        <v>3</v>
      </c>
      <c r="W108" t="s">
        <v>709</v>
      </c>
    </row>
    <row r="109" spans="2:23">
      <c r="B109" t="s">
        <v>155</v>
      </c>
      <c r="C109" t="s">
        <v>558</v>
      </c>
      <c r="D109">
        <v>0.0375</v>
      </c>
      <c r="E109" t="s">
        <v>710</v>
      </c>
      <c r="H109">
        <v>2019</v>
      </c>
      <c r="I109" t="s">
        <v>221</v>
      </c>
      <c r="K109" s="7">
        <v>45950.0007629395</v>
      </c>
      <c r="M109" t="str">
        <f t="shared" si="6"/>
        <v>Serbia</v>
      </c>
      <c r="N109" t="s">
        <v>254</v>
      </c>
      <c r="O109" s="8">
        <f t="shared" si="4"/>
        <v>-45.9500007629395</v>
      </c>
      <c r="P109">
        <v>3</v>
      </c>
      <c r="Q109" t="s">
        <v>422</v>
      </c>
      <c r="S109" t="str">
        <f t="shared" si="7"/>
        <v>Serbia</v>
      </c>
      <c r="T109" t="s">
        <v>254</v>
      </c>
      <c r="U109" s="8">
        <f t="shared" si="5"/>
        <v>-30.6333338419597</v>
      </c>
      <c r="V109">
        <v>3</v>
      </c>
      <c r="W109" t="s">
        <v>709</v>
      </c>
    </row>
    <row r="110" spans="2:23">
      <c r="B110" t="s">
        <v>154</v>
      </c>
      <c r="C110" t="s">
        <v>558</v>
      </c>
      <c r="D110">
        <v>0.08</v>
      </c>
      <c r="E110" t="s">
        <v>710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8">
        <f t="shared" ref="O110:O139" si="8">-K110/1000</f>
        <v>-47.3800010681152</v>
      </c>
      <c r="P110">
        <v>3</v>
      </c>
      <c r="Q110" t="s">
        <v>422</v>
      </c>
      <c r="S110" t="str">
        <f t="shared" si="7"/>
        <v>Singapore</v>
      </c>
      <c r="T110" t="s">
        <v>254</v>
      </c>
      <c r="U110" s="8">
        <f t="shared" ref="U110:U139" si="9">-K110/1000*2/3</f>
        <v>-31.5866673787435</v>
      </c>
      <c r="V110">
        <v>3</v>
      </c>
      <c r="W110" t="s">
        <v>709</v>
      </c>
    </row>
    <row r="111" spans="2:23">
      <c r="B111" t="s">
        <v>153</v>
      </c>
      <c r="C111" t="s">
        <v>558</v>
      </c>
      <c r="D111">
        <v>0.08</v>
      </c>
      <c r="E111" t="s">
        <v>710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8">
        <f t="shared" si="8"/>
        <v>-31.0799999237061</v>
      </c>
      <c r="P111">
        <v>3</v>
      </c>
      <c r="Q111" t="s">
        <v>422</v>
      </c>
      <c r="S111" t="str">
        <f t="shared" si="7"/>
        <v>Slovak</v>
      </c>
      <c r="T111" t="s">
        <v>254</v>
      </c>
      <c r="U111" s="8">
        <f t="shared" si="9"/>
        <v>-20.7199999491374</v>
      </c>
      <c r="V111">
        <v>3</v>
      </c>
      <c r="W111" t="s">
        <v>709</v>
      </c>
    </row>
    <row r="112" spans="2:23">
      <c r="B112" t="s">
        <v>152</v>
      </c>
      <c r="C112" t="s">
        <v>558</v>
      </c>
      <c r="D112">
        <v>0.0375</v>
      </c>
      <c r="E112" t="s">
        <v>710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8">
        <f t="shared" si="8"/>
        <v>-13.6000003814697</v>
      </c>
      <c r="P112">
        <v>3</v>
      </c>
      <c r="Q112" t="s">
        <v>422</v>
      </c>
      <c r="S112" t="str">
        <f t="shared" si="7"/>
        <v>Slovenia</v>
      </c>
      <c r="T112" t="s">
        <v>254</v>
      </c>
      <c r="U112" s="8">
        <f t="shared" si="9"/>
        <v>-9.0666669209798</v>
      </c>
      <c r="V112">
        <v>3</v>
      </c>
      <c r="W112" t="s">
        <v>709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8">
        <f t="shared" si="8"/>
        <v>-439.640014648438</v>
      </c>
      <c r="P113">
        <v>3</v>
      </c>
      <c r="Q113" t="s">
        <v>422</v>
      </c>
      <c r="S113" t="str">
        <f t="shared" si="7"/>
        <v>SouthAfrica</v>
      </c>
      <c r="T113" t="s">
        <v>254</v>
      </c>
      <c r="U113" s="8">
        <f t="shared" si="9"/>
        <v>-293.093343098959</v>
      </c>
      <c r="V113">
        <v>3</v>
      </c>
      <c r="W113" t="s">
        <v>709</v>
      </c>
    </row>
    <row r="114" spans="2:23">
      <c r="B114" t="s">
        <v>730</v>
      </c>
      <c r="C114" t="s">
        <v>558</v>
      </c>
      <c r="D114">
        <v>0.0375</v>
      </c>
      <c r="E114" t="s">
        <v>710</v>
      </c>
      <c r="H114">
        <v>2019</v>
      </c>
      <c r="I114" t="s">
        <v>731</v>
      </c>
      <c r="K114">
        <v>242929.99792099</v>
      </c>
      <c r="M114" t="str">
        <f t="shared" si="6"/>
        <v>Southeast_Europe</v>
      </c>
      <c r="N114" t="s">
        <v>254</v>
      </c>
      <c r="O114" s="8">
        <f t="shared" si="8"/>
        <v>-242.92999792099</v>
      </c>
      <c r="P114">
        <v>3</v>
      </c>
      <c r="Q114" t="s">
        <v>422</v>
      </c>
      <c r="S114" t="str">
        <f t="shared" si="7"/>
        <v>Southeast_Europe</v>
      </c>
      <c r="T114" t="s">
        <v>254</v>
      </c>
      <c r="U114" s="8">
        <f t="shared" si="9"/>
        <v>-161.953331947327</v>
      </c>
      <c r="V114">
        <v>3</v>
      </c>
      <c r="W114" t="s">
        <v>709</v>
      </c>
    </row>
    <row r="115" spans="2:23">
      <c r="B115" t="s">
        <v>732</v>
      </c>
      <c r="C115" t="s">
        <v>558</v>
      </c>
      <c r="D115">
        <v>0.0375</v>
      </c>
      <c r="E115" t="s">
        <v>710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8">
        <f t="shared" si="8"/>
        <v>-610.789978027344</v>
      </c>
      <c r="P115">
        <v>3</v>
      </c>
      <c r="Q115" t="s">
        <v>422</v>
      </c>
      <c r="S115" t="str">
        <f t="shared" si="7"/>
        <v>SouthKorea</v>
      </c>
      <c r="T115" t="s">
        <v>254</v>
      </c>
      <c r="U115" s="8">
        <f t="shared" si="9"/>
        <v>-407.193318684896</v>
      </c>
      <c r="V115">
        <v>3</v>
      </c>
      <c r="W115" t="s">
        <v>709</v>
      </c>
    </row>
    <row r="116" spans="2:23">
      <c r="B116" t="s">
        <v>733</v>
      </c>
      <c r="C116" t="s">
        <v>558</v>
      </c>
      <c r="D116">
        <v>0.0375</v>
      </c>
      <c r="E116" t="s">
        <v>710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8">
        <f t="shared" si="8"/>
        <v>-239.979995727539</v>
      </c>
      <c r="P116">
        <v>3</v>
      </c>
      <c r="Q116" t="s">
        <v>422</v>
      </c>
      <c r="S116" t="str">
        <f t="shared" si="7"/>
        <v>Spain</v>
      </c>
      <c r="T116" t="s">
        <v>254</v>
      </c>
      <c r="U116" s="8">
        <f t="shared" si="9"/>
        <v>-159.986663818359</v>
      </c>
      <c r="V116">
        <v>3</v>
      </c>
      <c r="W116" t="s">
        <v>709</v>
      </c>
    </row>
    <row r="117" spans="2:23">
      <c r="B117" t="s">
        <v>734</v>
      </c>
      <c r="C117" t="s">
        <v>558</v>
      </c>
      <c r="D117">
        <v>0.08</v>
      </c>
      <c r="E117" t="s">
        <v>710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8">
        <f t="shared" si="8"/>
        <v>-20.6200008392334</v>
      </c>
      <c r="P117">
        <v>3</v>
      </c>
      <c r="Q117" t="s">
        <v>422</v>
      </c>
      <c r="S117" t="str">
        <f t="shared" si="7"/>
        <v>Sudan</v>
      </c>
      <c r="T117" t="s">
        <v>254</v>
      </c>
      <c r="U117" s="8">
        <f t="shared" si="9"/>
        <v>-13.7466672261556</v>
      </c>
      <c r="V117">
        <v>3</v>
      </c>
      <c r="W117" t="s">
        <v>709</v>
      </c>
    </row>
    <row r="118" spans="2:23">
      <c r="B118" t="s">
        <v>735</v>
      </c>
      <c r="C118" t="s">
        <v>558</v>
      </c>
      <c r="D118">
        <v>0.08</v>
      </c>
      <c r="E118" t="s">
        <v>710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8">
        <f t="shared" si="8"/>
        <v>-35</v>
      </c>
      <c r="P118">
        <v>3</v>
      </c>
      <c r="Q118" t="s">
        <v>422</v>
      </c>
      <c r="S118" t="str">
        <f t="shared" si="7"/>
        <v>Sweden</v>
      </c>
      <c r="T118" t="s">
        <v>254</v>
      </c>
      <c r="U118" s="8">
        <f t="shared" si="9"/>
        <v>-23.3333333333333</v>
      </c>
      <c r="V118">
        <v>3</v>
      </c>
      <c r="W118" t="s">
        <v>709</v>
      </c>
    </row>
    <row r="119" spans="2:23">
      <c r="B119" t="s">
        <v>731</v>
      </c>
      <c r="C119" t="s">
        <v>558</v>
      </c>
      <c r="D119">
        <v>0.08</v>
      </c>
      <c r="E119" t="s">
        <v>710</v>
      </c>
      <c r="H119">
        <v>2019</v>
      </c>
      <c r="I119" t="s">
        <v>735</v>
      </c>
      <c r="K119">
        <v>75709.9990844727</v>
      </c>
      <c r="M119" t="str">
        <f t="shared" si="6"/>
        <v>Sweden_Finland</v>
      </c>
      <c r="N119" t="s">
        <v>254</v>
      </c>
      <c r="O119" s="8">
        <f t="shared" si="8"/>
        <v>-75.7099990844727</v>
      </c>
      <c r="P119">
        <v>3</v>
      </c>
      <c r="Q119" t="s">
        <v>422</v>
      </c>
      <c r="S119" t="str">
        <f t="shared" si="7"/>
        <v>Sweden_Finland</v>
      </c>
      <c r="T119" t="s">
        <v>254</v>
      </c>
      <c r="U119" s="8">
        <f t="shared" si="9"/>
        <v>-50.4733327229818</v>
      </c>
      <c r="V119">
        <v>3</v>
      </c>
      <c r="W119" t="s">
        <v>709</v>
      </c>
    </row>
    <row r="120" spans="2:23">
      <c r="B120" t="s">
        <v>729</v>
      </c>
      <c r="C120" t="s">
        <v>558</v>
      </c>
      <c r="D120">
        <v>0.08</v>
      </c>
      <c r="E120" t="s">
        <v>710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8">
        <f t="shared" si="8"/>
        <v>-37.3800010681152</v>
      </c>
      <c r="P120">
        <v>3</v>
      </c>
      <c r="Q120" t="s">
        <v>422</v>
      </c>
      <c r="S120" t="str">
        <f t="shared" si="7"/>
        <v>Switzerland</v>
      </c>
      <c r="T120" t="s">
        <v>254</v>
      </c>
      <c r="U120" s="8">
        <f t="shared" si="9"/>
        <v>-24.9200007120768</v>
      </c>
      <c r="V120">
        <v>3</v>
      </c>
      <c r="W120" t="s">
        <v>709</v>
      </c>
    </row>
    <row r="121" spans="2:23">
      <c r="B121" t="s">
        <v>728</v>
      </c>
      <c r="C121" t="s">
        <v>558</v>
      </c>
      <c r="D121">
        <v>0.08</v>
      </c>
      <c r="E121" t="s">
        <v>710</v>
      </c>
      <c r="H121">
        <v>2019</v>
      </c>
      <c r="I121" t="s">
        <v>734</v>
      </c>
      <c r="K121">
        <v>37380.0010681152</v>
      </c>
      <c r="M121" t="str">
        <f t="shared" si="6"/>
        <v>Switzerland_d</v>
      </c>
      <c r="N121" t="s">
        <v>254</v>
      </c>
      <c r="O121" s="8">
        <f t="shared" si="8"/>
        <v>-37.3800010681152</v>
      </c>
      <c r="P121">
        <v>3</v>
      </c>
      <c r="Q121" t="s">
        <v>422</v>
      </c>
      <c r="S121" t="str">
        <f t="shared" si="7"/>
        <v>Switzerland_d</v>
      </c>
      <c r="T121" t="s">
        <v>254</v>
      </c>
      <c r="U121" s="8">
        <f t="shared" si="9"/>
        <v>-24.9200007120768</v>
      </c>
      <c r="V121">
        <v>3</v>
      </c>
      <c r="W121" t="s">
        <v>709</v>
      </c>
    </row>
    <row r="122" spans="2:23">
      <c r="B122" t="s">
        <v>727</v>
      </c>
      <c r="C122" t="s">
        <v>558</v>
      </c>
      <c r="D122">
        <v>0.08</v>
      </c>
      <c r="E122" t="s">
        <v>710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8">
        <f t="shared" si="8"/>
        <v>-9.42000007629395</v>
      </c>
      <c r="P122">
        <v>3</v>
      </c>
      <c r="Q122" t="s">
        <v>422</v>
      </c>
      <c r="S122" t="str">
        <f t="shared" si="7"/>
        <v>Tajikistan</v>
      </c>
      <c r="T122" t="s">
        <v>254</v>
      </c>
      <c r="U122" s="8">
        <f t="shared" si="9"/>
        <v>-6.28000005086263</v>
      </c>
      <c r="V122">
        <v>3</v>
      </c>
      <c r="W122" t="s">
        <v>709</v>
      </c>
    </row>
    <row r="123" spans="2:23">
      <c r="B123" t="s">
        <v>28</v>
      </c>
      <c r="C123" t="s">
        <v>558</v>
      </c>
      <c r="D123">
        <v>0.025</v>
      </c>
      <c r="E123" t="s">
        <v>710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8">
        <f t="shared" si="8"/>
        <v>-12.4499998092651</v>
      </c>
      <c r="P123">
        <v>3</v>
      </c>
      <c r="Q123" t="s">
        <v>422</v>
      </c>
      <c r="S123" t="str">
        <f t="shared" si="7"/>
        <v>Tanzania</v>
      </c>
      <c r="T123" t="s">
        <v>254</v>
      </c>
      <c r="U123" s="8">
        <f t="shared" si="9"/>
        <v>-8.2999998728434</v>
      </c>
      <c r="V123">
        <v>3</v>
      </c>
      <c r="W123" t="s">
        <v>709</v>
      </c>
    </row>
    <row r="124" spans="2:23">
      <c r="B124" t="s">
        <v>726</v>
      </c>
      <c r="C124" t="s">
        <v>558</v>
      </c>
      <c r="D124">
        <v>0.0375</v>
      </c>
      <c r="E124" t="s">
        <v>710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8">
        <f t="shared" si="8"/>
        <v>-267.089996337891</v>
      </c>
      <c r="P124">
        <v>3</v>
      </c>
      <c r="Q124" t="s">
        <v>422</v>
      </c>
      <c r="S124" t="str">
        <f t="shared" si="7"/>
        <v>Thailand</v>
      </c>
      <c r="T124" t="s">
        <v>254</v>
      </c>
      <c r="U124" s="8">
        <f t="shared" si="9"/>
        <v>-178.059997558594</v>
      </c>
      <c r="V124">
        <v>3</v>
      </c>
      <c r="W124" t="s">
        <v>709</v>
      </c>
    </row>
    <row r="125" spans="2:23">
      <c r="B125" t="s">
        <v>382</v>
      </c>
      <c r="C125" t="s">
        <v>558</v>
      </c>
      <c r="D125">
        <v>0.08</v>
      </c>
      <c r="E125" t="s">
        <v>710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8">
        <f t="shared" si="8"/>
        <v>-29.9099998474121</v>
      </c>
      <c r="P125">
        <v>3</v>
      </c>
      <c r="Q125" t="s">
        <v>422</v>
      </c>
      <c r="S125" t="str">
        <f t="shared" si="7"/>
        <v>Tunisia</v>
      </c>
      <c r="T125" t="s">
        <v>254</v>
      </c>
      <c r="U125" s="8">
        <f t="shared" si="9"/>
        <v>-19.9399998982747</v>
      </c>
      <c r="V125">
        <v>3</v>
      </c>
      <c r="W125" t="s">
        <v>709</v>
      </c>
    </row>
    <row r="126" spans="2:23">
      <c r="B126" t="s">
        <v>26</v>
      </c>
      <c r="C126" t="s">
        <v>558</v>
      </c>
      <c r="D126">
        <v>0.0375</v>
      </c>
      <c r="E126" t="s">
        <v>710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8">
        <f t="shared" si="8"/>
        <v>-396.839996337891</v>
      </c>
      <c r="P126">
        <v>3</v>
      </c>
      <c r="Q126" t="s">
        <v>422</v>
      </c>
      <c r="S126" t="str">
        <f t="shared" si="7"/>
        <v>Turkey</v>
      </c>
      <c r="T126" t="s">
        <v>254</v>
      </c>
      <c r="U126" s="8">
        <f t="shared" si="9"/>
        <v>-264.559997558594</v>
      </c>
      <c r="V126">
        <v>3</v>
      </c>
      <c r="W126" t="s">
        <v>709</v>
      </c>
    </row>
    <row r="127" spans="2:23">
      <c r="B127" t="s">
        <v>725</v>
      </c>
      <c r="C127" t="s">
        <v>558</v>
      </c>
      <c r="D127">
        <v>0.08</v>
      </c>
      <c r="E127" t="s">
        <v>710</v>
      </c>
      <c r="H127">
        <v>2019</v>
      </c>
      <c r="I127" t="s">
        <v>733</v>
      </c>
      <c r="K127">
        <v>396839.996337891</v>
      </c>
      <c r="M127" t="str">
        <f t="shared" si="6"/>
        <v>Turkey_d</v>
      </c>
      <c r="N127" t="s">
        <v>254</v>
      </c>
      <c r="O127" s="8">
        <f t="shared" si="8"/>
        <v>-396.839996337891</v>
      </c>
      <c r="P127">
        <v>3</v>
      </c>
      <c r="Q127" t="s">
        <v>422</v>
      </c>
      <c r="S127" t="str">
        <f t="shared" si="7"/>
        <v>Turkey_d</v>
      </c>
      <c r="T127" t="s">
        <v>254</v>
      </c>
      <c r="U127" s="8">
        <f t="shared" si="9"/>
        <v>-264.559997558594</v>
      </c>
      <c r="V127">
        <v>3</v>
      </c>
      <c r="W127" t="s">
        <v>709</v>
      </c>
    </row>
    <row r="128" spans="2:23">
      <c r="B128" t="s">
        <v>724</v>
      </c>
      <c r="C128" t="s">
        <v>558</v>
      </c>
      <c r="D128">
        <v>0.08</v>
      </c>
      <c r="E128" t="s">
        <v>710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8">
        <f t="shared" si="8"/>
        <v>-72.870002746582</v>
      </c>
      <c r="P128">
        <v>3</v>
      </c>
      <c r="Q128" t="s">
        <v>422</v>
      </c>
      <c r="S128" t="str">
        <f t="shared" si="7"/>
        <v>Turkmenistan</v>
      </c>
      <c r="T128" t="s">
        <v>254</v>
      </c>
      <c r="U128" s="8">
        <f t="shared" si="9"/>
        <v>-48.5800018310547</v>
      </c>
      <c r="V128">
        <v>3</v>
      </c>
      <c r="W128" t="s">
        <v>709</v>
      </c>
    </row>
    <row r="129" spans="2:23">
      <c r="B129" t="s">
        <v>723</v>
      </c>
      <c r="C129" t="s">
        <v>558</v>
      </c>
      <c r="D129">
        <v>0.01</v>
      </c>
      <c r="E129" t="s">
        <v>710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8">
        <f t="shared" si="8"/>
        <v>-188.860000610352</v>
      </c>
      <c r="P129">
        <v>3</v>
      </c>
      <c r="Q129" t="s">
        <v>422</v>
      </c>
      <c r="S129" t="str">
        <f t="shared" si="7"/>
        <v>UAE</v>
      </c>
      <c r="T129" t="s">
        <v>254</v>
      </c>
      <c r="U129" s="8">
        <f t="shared" si="9"/>
        <v>-125.906667073568</v>
      </c>
      <c r="V129">
        <v>3</v>
      </c>
      <c r="W129" t="s">
        <v>709</v>
      </c>
    </row>
    <row r="130" spans="2:23">
      <c r="B130" t="s">
        <v>722</v>
      </c>
      <c r="C130" t="s">
        <v>558</v>
      </c>
      <c r="D130">
        <v>0.05</v>
      </c>
      <c r="E130" t="s">
        <v>710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8">
        <f t="shared" si="8"/>
        <v>-348.920013427734</v>
      </c>
      <c r="P130">
        <v>3</v>
      </c>
      <c r="Q130" t="s">
        <v>422</v>
      </c>
      <c r="S130" t="str">
        <f t="shared" si="7"/>
        <v>UK</v>
      </c>
      <c r="T130" t="s">
        <v>254</v>
      </c>
      <c r="U130" s="8">
        <f t="shared" si="9"/>
        <v>-232.613342285156</v>
      </c>
      <c r="V130">
        <v>3</v>
      </c>
      <c r="W130" t="s">
        <v>709</v>
      </c>
    </row>
    <row r="131" spans="2:23">
      <c r="B131" t="s">
        <v>721</v>
      </c>
      <c r="C131" t="s">
        <v>558</v>
      </c>
      <c r="D131">
        <v>0.08</v>
      </c>
      <c r="E131" t="s">
        <v>710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8">
        <f t="shared" si="8"/>
        <v>-174.729995727539</v>
      </c>
      <c r="P131">
        <v>3</v>
      </c>
      <c r="Q131" t="s">
        <v>422</v>
      </c>
      <c r="S131" t="str">
        <f t="shared" si="7"/>
        <v>Ukraine</v>
      </c>
      <c r="T131" t="s">
        <v>254</v>
      </c>
      <c r="U131" s="8">
        <f t="shared" si="9"/>
        <v>-116.486663818359</v>
      </c>
      <c r="V131">
        <v>3</v>
      </c>
      <c r="W131" t="s">
        <v>709</v>
      </c>
    </row>
    <row r="132" spans="2:23">
      <c r="B132" t="s">
        <v>720</v>
      </c>
      <c r="C132" t="s">
        <v>558</v>
      </c>
      <c r="D132">
        <v>0.08</v>
      </c>
      <c r="E132" t="s">
        <v>710</v>
      </c>
      <c r="H132">
        <v>2019</v>
      </c>
      <c r="I132" t="s">
        <v>732</v>
      </c>
      <c r="K132">
        <v>174729.995727539</v>
      </c>
      <c r="M132" t="str">
        <f t="shared" ref="M132:M139" si="10">$I132</f>
        <v>Ukraine_d</v>
      </c>
      <c r="N132" t="s">
        <v>254</v>
      </c>
      <c r="O132" s="8">
        <f t="shared" si="8"/>
        <v>-174.729995727539</v>
      </c>
      <c r="P132">
        <v>3</v>
      </c>
      <c r="Q132" t="s">
        <v>422</v>
      </c>
      <c r="S132" t="str">
        <f t="shared" ref="S132:S139" si="11">$I132</f>
        <v>Ukraine_d</v>
      </c>
      <c r="T132" t="s">
        <v>254</v>
      </c>
      <c r="U132" s="8">
        <f t="shared" si="9"/>
        <v>-116.486663818359</v>
      </c>
      <c r="V132">
        <v>3</v>
      </c>
      <c r="W132" t="s">
        <v>709</v>
      </c>
    </row>
    <row r="133" spans="2:23">
      <c r="B133" t="s">
        <v>719</v>
      </c>
      <c r="C133" t="s">
        <v>558</v>
      </c>
      <c r="D133">
        <v>0.08</v>
      </c>
      <c r="E133" t="s">
        <v>710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8">
        <f t="shared" si="8"/>
        <v>-4817.72021484375</v>
      </c>
      <c r="P133">
        <v>3</v>
      </c>
      <c r="Q133" t="s">
        <v>422</v>
      </c>
      <c r="S133" t="str">
        <f t="shared" si="11"/>
        <v>USA</v>
      </c>
      <c r="T133" t="s">
        <v>254</v>
      </c>
      <c r="U133" s="8">
        <f t="shared" si="9"/>
        <v>-3211.8134765625</v>
      </c>
      <c r="V133">
        <v>3</v>
      </c>
      <c r="W133" t="s">
        <v>709</v>
      </c>
    </row>
    <row r="134" spans="2:23">
      <c r="B134" t="s">
        <v>718</v>
      </c>
      <c r="C134" t="s">
        <v>558</v>
      </c>
      <c r="D134">
        <v>0.08</v>
      </c>
      <c r="E134" t="s">
        <v>710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8">
        <f t="shared" si="8"/>
        <v>-116.709999084473</v>
      </c>
      <c r="P134">
        <v>3</v>
      </c>
      <c r="Q134" t="s">
        <v>422</v>
      </c>
      <c r="S134" t="str">
        <f t="shared" si="11"/>
        <v>Uzbekistan</v>
      </c>
      <c r="T134" t="s">
        <v>254</v>
      </c>
      <c r="U134" s="8">
        <f t="shared" si="9"/>
        <v>-77.8066660563153</v>
      </c>
      <c r="V134">
        <v>3</v>
      </c>
      <c r="W134" t="s">
        <v>709</v>
      </c>
    </row>
    <row r="135" spans="2:23">
      <c r="B135" t="s">
        <v>717</v>
      </c>
      <c r="C135" t="s">
        <v>558</v>
      </c>
      <c r="D135">
        <v>0.01</v>
      </c>
      <c r="E135" t="s">
        <v>710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8">
        <f t="shared" si="8"/>
        <v>-112.339996337891</v>
      </c>
      <c r="P135">
        <v>3</v>
      </c>
      <c r="Q135" t="s">
        <v>422</v>
      </c>
      <c r="S135" t="str">
        <f t="shared" si="11"/>
        <v>Venezuela</v>
      </c>
      <c r="T135" t="s">
        <v>254</v>
      </c>
      <c r="U135" s="8">
        <f t="shared" si="9"/>
        <v>-74.8933308919273</v>
      </c>
      <c r="V135">
        <v>3</v>
      </c>
      <c r="W135" t="s">
        <v>709</v>
      </c>
    </row>
    <row r="136" spans="2:23">
      <c r="B136" t="s">
        <v>716</v>
      </c>
      <c r="C136" t="s">
        <v>558</v>
      </c>
      <c r="D136">
        <v>0.08</v>
      </c>
      <c r="E136" t="s">
        <v>710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8">
        <f t="shared" si="8"/>
        <v>-336.489990234375</v>
      </c>
      <c r="P136">
        <v>3</v>
      </c>
      <c r="Q136" t="s">
        <v>422</v>
      </c>
      <c r="S136" t="str">
        <f t="shared" si="11"/>
        <v>Vietnam</v>
      </c>
      <c r="T136" t="s">
        <v>254</v>
      </c>
      <c r="U136" s="8">
        <f t="shared" si="9"/>
        <v>-224.32666015625</v>
      </c>
      <c r="V136">
        <v>3</v>
      </c>
      <c r="W136" t="s">
        <v>709</v>
      </c>
    </row>
    <row r="137" spans="2:23">
      <c r="B137" t="s">
        <v>715</v>
      </c>
      <c r="C137" t="s">
        <v>558</v>
      </c>
      <c r="D137">
        <v>0.08</v>
      </c>
      <c r="E137" t="s">
        <v>710</v>
      </c>
      <c r="H137">
        <v>2019</v>
      </c>
      <c r="I137" t="s">
        <v>730</v>
      </c>
      <c r="K137">
        <v>82750.0004768372</v>
      </c>
      <c r="M137" t="str">
        <f t="shared" si="10"/>
        <v>Western_Balkans</v>
      </c>
      <c r="N137" t="s">
        <v>254</v>
      </c>
      <c r="O137" s="8">
        <f t="shared" si="8"/>
        <v>-82.7500004768372</v>
      </c>
      <c r="P137">
        <v>3</v>
      </c>
      <c r="Q137" t="s">
        <v>422</v>
      </c>
      <c r="S137" t="str">
        <f t="shared" si="11"/>
        <v>Western_Balkans</v>
      </c>
      <c r="T137" t="s">
        <v>254</v>
      </c>
      <c r="U137" s="8">
        <f t="shared" si="9"/>
        <v>-55.1666669845581</v>
      </c>
      <c r="V137">
        <v>3</v>
      </c>
      <c r="W137" t="s">
        <v>709</v>
      </c>
    </row>
    <row r="138" spans="2:23">
      <c r="B138" t="s">
        <v>714</v>
      </c>
      <c r="C138" t="s">
        <v>558</v>
      </c>
      <c r="D138">
        <v>0.04</v>
      </c>
      <c r="E138" t="s">
        <v>710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8">
        <f t="shared" si="8"/>
        <v>-11.1000003814697</v>
      </c>
      <c r="P138">
        <v>3</v>
      </c>
      <c r="Q138" t="s">
        <v>422</v>
      </c>
      <c r="S138" t="str">
        <f t="shared" si="11"/>
        <v>Yemen</v>
      </c>
      <c r="T138" t="s">
        <v>254</v>
      </c>
      <c r="U138" s="8">
        <f t="shared" si="9"/>
        <v>-7.40000025431313</v>
      </c>
      <c r="V138">
        <v>3</v>
      </c>
      <c r="W138" t="s">
        <v>709</v>
      </c>
    </row>
    <row r="139" spans="2:23">
      <c r="B139" t="s">
        <v>713</v>
      </c>
      <c r="C139" t="s">
        <v>558</v>
      </c>
      <c r="D139">
        <v>0.08</v>
      </c>
      <c r="E139" t="s">
        <v>710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8">
        <f t="shared" si="8"/>
        <v>-6.80000019073486</v>
      </c>
      <c r="P139">
        <v>3</v>
      </c>
      <c r="Q139" t="s">
        <v>422</v>
      </c>
      <c r="S139" t="str">
        <f t="shared" si="11"/>
        <v>Zambia</v>
      </c>
      <c r="T139" t="s">
        <v>254</v>
      </c>
      <c r="U139" s="8">
        <f t="shared" si="9"/>
        <v>-4.53333346048991</v>
      </c>
      <c r="V139">
        <v>3</v>
      </c>
      <c r="W139" t="s">
        <v>709</v>
      </c>
    </row>
    <row r="140" spans="2:23">
      <c r="B140" t="s">
        <v>11</v>
      </c>
      <c r="C140" t="s">
        <v>558</v>
      </c>
      <c r="D140">
        <v>0.08</v>
      </c>
      <c r="E140" t="s">
        <v>710</v>
      </c>
    </row>
    <row r="141" spans="2:23">
      <c r="B141" t="s">
        <v>712</v>
      </c>
      <c r="C141" t="s">
        <v>558</v>
      </c>
      <c r="D141">
        <v>0.05</v>
      </c>
      <c r="E141" t="s">
        <v>710</v>
      </c>
    </row>
    <row r="142" spans="2:23">
      <c r="B142" t="s">
        <v>711</v>
      </c>
      <c r="C142" t="s">
        <v>558</v>
      </c>
      <c r="D142">
        <v>0.1</v>
      </c>
      <c r="E142" t="s">
        <v>710</v>
      </c>
    </row>
    <row r="143" spans="2:23">
      <c r="B143" t="s">
        <v>708</v>
      </c>
      <c r="C143" t="s">
        <v>558</v>
      </c>
      <c r="D143">
        <v>0.08</v>
      </c>
      <c r="E143" t="s">
        <v>710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5"/>
  <sheetViews>
    <sheetView zoomScale="60" zoomScaleNormal="60" workbookViewId="0">
      <selection activeCell="I25" sqref="I25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181818181818" customWidth="1"/>
  </cols>
  <sheetData>
    <row r="3" spans="2:9">
      <c r="B3" t="s">
        <v>1</v>
      </c>
    </row>
    <row r="5" spans="2:9">
      <c r="C5" t="s">
        <v>736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737</v>
      </c>
      <c r="C7" s="1" t="s">
        <v>281</v>
      </c>
      <c r="D7" s="1" t="s">
        <v>97</v>
      </c>
      <c r="E7" s="3">
        <f>1/0.05</f>
        <v>20</v>
      </c>
      <c r="F7" s="1">
        <v>0</v>
      </c>
      <c r="G7" s="1">
        <v>3</v>
      </c>
      <c r="H7" s="1" t="s">
        <v>738</v>
      </c>
      <c r="I7" s="1" t="s">
        <v>739</v>
      </c>
    </row>
    <row r="8" spans="2:9">
      <c r="C8" t="s">
        <v>112</v>
      </c>
      <c r="D8" s="4" t="s">
        <v>740</v>
      </c>
      <c r="E8" s="4">
        <v>-60</v>
      </c>
      <c r="F8" s="4"/>
      <c r="G8" s="4"/>
      <c r="H8" s="4" t="s">
        <v>738</v>
      </c>
    </row>
    <row r="9" spans="2:9">
      <c r="C9" t="s">
        <v>112</v>
      </c>
      <c r="D9" s="4" t="s">
        <v>741</v>
      </c>
      <c r="E9" s="4">
        <v>-180</v>
      </c>
      <c r="F9" s="4"/>
      <c r="G9" s="4"/>
      <c r="H9" s="4" t="s">
        <v>738</v>
      </c>
    </row>
    <row r="10" spans="2:9">
      <c r="C10" t="s">
        <v>112</v>
      </c>
      <c r="D10" t="s">
        <v>742</v>
      </c>
      <c r="E10">
        <v>-600</v>
      </c>
      <c r="H10" t="s">
        <v>738</v>
      </c>
    </row>
    <row r="12" s="2" customFormat="1"/>
    <row r="13" s="2" customFormat="1"/>
    <row r="14" s="2" customFormat="1"/>
    <row r="15" s="2" customFormat="1"/>
    <row r="17" spans="2:9">
      <c r="C17" t="s">
        <v>743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744</v>
      </c>
      <c r="C19" t="s">
        <v>745</v>
      </c>
      <c r="D19" t="s">
        <v>738</v>
      </c>
      <c r="E19">
        <v>1</v>
      </c>
      <c r="F19">
        <v>0</v>
      </c>
      <c r="G19">
        <v>3</v>
      </c>
      <c r="I19" t="s">
        <v>746</v>
      </c>
    </row>
    <row r="20" spans="2:9">
      <c r="C20" t="s">
        <v>112</v>
      </c>
      <c r="D20" t="s">
        <v>740</v>
      </c>
      <c r="E20">
        <v>-60</v>
      </c>
      <c r="H20" t="s">
        <v>738</v>
      </c>
    </row>
    <row r="21" spans="2:9">
      <c r="C21" t="s">
        <v>112</v>
      </c>
      <c r="D21" t="s">
        <v>741</v>
      </c>
      <c r="E21">
        <v>-180</v>
      </c>
      <c r="H21" t="s">
        <v>738</v>
      </c>
    </row>
    <row r="22" spans="2:9">
      <c r="C22" s="2" t="s">
        <v>112</v>
      </c>
      <c r="D22" s="2" t="s">
        <v>747</v>
      </c>
      <c r="E22" s="2">
        <v>-600</v>
      </c>
      <c r="F22" s="2"/>
      <c r="G22" s="2"/>
      <c r="H22" s="2" t="s">
        <v>738</v>
      </c>
    </row>
    <row r="23" spans="2:9">
      <c r="C23" s="2" t="s">
        <v>112</v>
      </c>
      <c r="D23" s="2" t="s">
        <v>748</v>
      </c>
      <c r="E23" s="2">
        <v>-14.7692307692308</v>
      </c>
      <c r="F23" s="2"/>
      <c r="G23" s="2"/>
      <c r="H23" s="2" t="s">
        <v>738</v>
      </c>
    </row>
    <row r="24" spans="2:9">
      <c r="C24" s="2" t="s">
        <v>112</v>
      </c>
      <c r="D24" s="2" t="s">
        <v>749</v>
      </c>
      <c r="E24" s="2">
        <v>-16.8421052631579</v>
      </c>
      <c r="F24" s="2"/>
      <c r="G24" s="2"/>
      <c r="H24" s="2" t="s">
        <v>738</v>
      </c>
    </row>
    <row r="25" spans="2:9">
      <c r="C25" t="s">
        <v>112</v>
      </c>
      <c r="D25" t="s">
        <v>742</v>
      </c>
      <c r="E25">
        <v>-600</v>
      </c>
      <c r="H25" t="s">
        <v>738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2026-06-10T20:35:28Z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1033-12.1.0.26880</vt:lpwstr>
  </property>
  <property fmtid="{D5CDD505-2E9C-101B-9397-08002B2CF9AE}" pid="6" name="CalculationRule">
    <vt:i4>0</vt:i4>
  </property>
</Properties>
</file>