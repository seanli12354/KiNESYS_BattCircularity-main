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5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<sst xmlns="http://schemas.openxmlformats.org/spreadsheetml/2006/main" count="3971" uniqueCount="749">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</sst>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"/>
    </font>
    <font>
      <b/>
      <sz val="8"/>
      <name val="Tahoma"/>
      <charset val="134"/>
    </font>
    <font>
      <sz val="9"/>
      <name val="Times New Roman"/>
      <charset val="0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4" fillId="50" borderId="14">
      <alignment vertical="top" wrapText="1"/>
    </xf>
    <xf numFmtId="49" fontId="14" fillId="50" borderId="14">
      <alignment vertical="top" wrapText="1"/>
    </xf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6" fillId="56" borderId="11">
      <alignment horizontal="centerContinuous" vertical="top" wrapText="1"/>
    </xf>
    <xf numFmtId="0" fontId="43" fillId="0" borderId="0">
      <alignment vertical="top" wrapText="1"/>
    </xf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5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4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91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192" fontId="64" fillId="0" borderId="0">
      <alignment horizontal="right"/>
    </xf>
    <xf numFmtId="193" fontId="14" fillId="0" borderId="0" applyFont="0" applyFill="0" applyBorder="0" applyAlignment="0" applyProtection="0"/>
    <xf numFmtId="193" fontId="14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4" fillId="0" borderId="0"/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16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6" fillId="66" borderId="11" applyNumberFormat="0" applyProtection="0">
      <alignment horizontal="left"/>
    </xf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4" fillId="69" borderId="28" applyBorder="0">
      <alignment horizontal="left" vertical="center"/>
    </xf>
    <xf numFmtId="0" fontId="14" fillId="69" borderId="28" applyBorder="0">
      <alignment horizontal="left" vertical="center"/>
    </xf>
    <xf numFmtId="49" fontId="14" fillId="70" borderId="11">
      <alignment vertical="center" wrapText="1"/>
    </xf>
    <xf numFmtId="49" fontId="14" fillId="70" borderId="11">
      <alignment vertical="center" wrapText="1"/>
    </xf>
    <xf numFmtId="0" fontId="14" fillId="71" borderId="29">
      <alignment horizontal="left" vertical="center" wrapText="1"/>
    </xf>
    <xf numFmtId="0" fontId="14" fillId="71" borderId="29">
      <alignment horizontal="left" vertical="center" wrapText="1"/>
    </xf>
    <xf numFmtId="0" fontId="72" fillId="72" borderId="11">
      <alignment horizontal="left" vertical="center" wrapText="1"/>
    </xf>
    <xf numFmtId="0" fontId="14" fillId="57" borderId="11">
      <alignment horizontal="left" vertical="center" wrapText="1"/>
    </xf>
    <xf numFmtId="0" fontId="14" fillId="57" borderId="11">
      <alignment horizontal="left" vertical="center" wrapText="1"/>
    </xf>
    <xf numFmtId="0" fontId="14" fillId="73" borderId="11">
      <alignment horizontal="left" vertical="center" wrapText="1"/>
    </xf>
    <xf numFmtId="0" fontId="14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0" fillId="0" borderId="0" xfId="0" applyAlignment="1">
      <alignment wrapText="1"/>
    </xf>
    <xf numFmtId="0" fontId="13" fillId="0" borderId="0" xfId="6" applyAlignment="1"/>
    <xf numFmtId="0" fontId="14" fillId="0" borderId="0" xfId="1755"/>
    <xf numFmtId="0" fontId="14" fillId="11" borderId="0" xfId="1755" applyFill="1"/>
    <xf numFmtId="0" fontId="15" fillId="0" borderId="0" xfId="1755" applyFont="1"/>
    <xf numFmtId="0" fontId="16" fillId="0" borderId="0" xfId="1755" applyFont="1"/>
    <xf numFmtId="11" fontId="0" fillId="0" borderId="0" xfId="0" applyNumberFormat="1"/>
    <xf numFmtId="0" fontId="17" fillId="0" borderId="0" xfId="0" applyFont="1"/>
    <xf numFmtId="0" fontId="16" fillId="14" borderId="4" xfId="0" applyFont="1" applyFill="1" applyBorder="1"/>
    <xf numFmtId="0" fontId="16" fillId="15" borderId="4" xfId="0" applyFont="1" applyFill="1" applyBorder="1"/>
    <xf numFmtId="0" fontId="12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4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H16" sqref="H16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O35" sqref="O35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0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2:21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1" t="s">
        <v>129</v>
      </c>
      <c r="AA21" t="str">
        <f t="shared" ref="AA21:AA26" si="0">X21</f>
        <v>HH2</v>
      </c>
      <c r="AB21" s="51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1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1" t="s">
        <v>141</v>
      </c>
      <c r="AC26" t="s">
        <v>99</v>
      </c>
    </row>
    <row r="27" spans="4:12">
      <c r="D27" t="s">
        <v>143</v>
      </c>
      <c r="E27">
        <v>2050</v>
      </c>
      <c r="H27" s="51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1" t="s">
        <v>75</v>
      </c>
    </row>
    <row r="41" spans="10:13">
      <c r="J41" t="s">
        <v>257</v>
      </c>
      <c r="K41" t="s">
        <v>258</v>
      </c>
      <c r="L41" t="s">
        <v>81</v>
      </c>
      <c r="M41" s="51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N16" sqref="N16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1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1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1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1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1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1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M27" sqref="M27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1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AA26" sqref="AA26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2:2">
      <c r="B1" s="11" t="e">
        <f>VLOOKUP(P1,$Q$4:$R$33,2,FALSE)</f>
        <v>#N/A</v>
      </c>
    </row>
    <row r="3" spans="2:24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7" t="s">
        <v>327</v>
      </c>
    </row>
    <row r="5" ht="14.5" spans="1:27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2" t="s">
        <v>331</v>
      </c>
      <c r="Z5" s="35" t="s">
        <v>332</v>
      </c>
      <c r="AA5" s="35">
        <v>2150</v>
      </c>
    </row>
    <row r="6" ht="14.5" spans="1:18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5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8"/>
    </row>
    <row r="8" ht="14.5" spans="1:18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18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18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18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18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18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18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18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18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6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6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6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6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6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7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7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7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7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7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7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6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6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6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6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6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6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6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6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6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6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6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6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6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6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6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6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6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6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6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6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6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6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6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tabSelected="1" zoomScale="56" zoomScaleNormal="56" workbookViewId="0">
      <selection activeCell="M18" sqref="M1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3" t="s">
        <v>377</v>
      </c>
      <c r="O2" s="33" t="s">
        <v>378</v>
      </c>
    </row>
    <row r="3" ht="58" spans="13:15">
      <c r="M3" t="s">
        <v>379</v>
      </c>
      <c r="N3" s="33" t="s">
        <v>380</v>
      </c>
      <c r="O3" s="34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3:11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L22" sqref="L22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V32" sqref="V3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E85" sqref="E85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5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466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401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467</v>
      </c>
      <c r="DL15" s="25" t="s">
        <v>402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1" t="s">
        <v>468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1" t="s">
        <v>468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1" t="s">
        <v>468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1" t="s">
        <v>468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1" t="s">
        <v>468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1" t="s">
        <v>468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1" t="s">
        <v>468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401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467</v>
      </c>
      <c r="DL26" s="25" t="s">
        <v>402</v>
      </c>
      <c r="DM26" s="25" t="s">
        <v>42</v>
      </c>
      <c r="DP26" s="32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1" t="s">
        <v>468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1" t="s">
        <v>468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1" t="s">
        <v>468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1" t="s">
        <v>468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1" t="s">
        <v>468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1" t="s">
        <v>468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1" t="s">
        <v>468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471</v>
      </c>
    </row>
    <row r="37" spans="2:123">
      <c r="B37" s="22" t="s">
        <v>472</v>
      </c>
      <c r="C37" s="22"/>
      <c r="DS37" t="s">
        <v>473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467</v>
      </c>
      <c r="DL38" s="25" t="s">
        <v>402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482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483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467</v>
      </c>
      <c r="DL51" s="25" t="s">
        <v>402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484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482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483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467</v>
      </c>
      <c r="DL62" s="25" t="s">
        <v>402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484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1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U37" sqref="U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491</v>
      </c>
      <c r="AC1" s="20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7">
        <v>39.18</v>
      </c>
      <c r="G3" s="7" t="s">
        <v>507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7">
        <v>19.34</v>
      </c>
      <c r="G4" s="7" t="s">
        <v>507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513</v>
      </c>
    </row>
    <row r="13" spans="1:3">
      <c r="A13" s="13" t="s">
        <v>514</v>
      </c>
      <c r="B13" s="13"/>
      <c r="C13" s="13"/>
    </row>
    <row r="14" spans="1:3">
      <c r="A14" s="13" t="s">
        <v>515</v>
      </c>
      <c r="B14" s="13"/>
      <c r="C14" s="13"/>
    </row>
    <row r="15" spans="1:3">
      <c r="A15" s="13" t="s">
        <v>516</v>
      </c>
      <c r="B15" s="13"/>
      <c r="C15" s="13"/>
    </row>
    <row r="17" spans="1:3">
      <c r="A17" s="13" t="s">
        <v>517</v>
      </c>
      <c r="B17" s="13" t="s">
        <v>518</v>
      </c>
      <c r="C17" s="13" t="s">
        <v>519</v>
      </c>
    </row>
    <row r="18" spans="1:3">
      <c r="A18" s="13" t="s">
        <v>520</v>
      </c>
      <c r="B18" s="13" t="s">
        <v>521</v>
      </c>
      <c r="C18" s="13">
        <v>253</v>
      </c>
    </row>
    <row r="19" spans="1:7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3" t="s">
        <v>535</v>
      </c>
      <c r="B25" s="13" t="s">
        <v>536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F37" sqref="AF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556</v>
      </c>
      <c r="Y6" s="15"/>
      <c r="Z6" s="15" t="s">
        <v>573</v>
      </c>
      <c r="AA6" s="15" t="s">
        <v>422</v>
      </c>
      <c r="AB6" s="16">
        <v>-0.001</v>
      </c>
    </row>
    <row r="7" spans="1:21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4">
        <v>4631.5</v>
      </c>
      <c r="I11" s="13" t="s">
        <v>591</v>
      </c>
      <c r="J11" s="14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649</v>
      </c>
      <c r="H29" s="14">
        <v>5685</v>
      </c>
      <c r="I29" s="13" t="s">
        <v>591</v>
      </c>
      <c r="J29" s="14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4">
        <v>4931.3</v>
      </c>
      <c r="I30" s="13" t="s">
        <v>591</v>
      </c>
      <c r="J30" s="14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24">
      <c r="A31" t="s">
        <v>654</v>
      </c>
      <c r="B31" t="str">
        <f t="shared" si="0"/>
        <v>OVC</v>
      </c>
      <c r="G31" s="13" t="s">
        <v>655</v>
      </c>
      <c r="H31" s="14">
        <v>3715.9</v>
      </c>
      <c r="I31" s="13" t="s">
        <v>591</v>
      </c>
      <c r="J31" s="14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3" t="s">
        <v>657</v>
      </c>
      <c r="H32" s="14">
        <v>2791.6</v>
      </c>
      <c r="I32" s="13" t="s">
        <v>591</v>
      </c>
      <c r="J32" s="14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3" t="s">
        <v>661</v>
      </c>
      <c r="H33" s="14">
        <v>6239.68</v>
      </c>
      <c r="I33" s="13" t="s">
        <v>591</v>
      </c>
      <c r="J33" s="14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3" t="s">
        <v>671</v>
      </c>
      <c r="H36" s="14">
        <v>5771</v>
      </c>
      <c r="I36" s="13" t="s">
        <v>591</v>
      </c>
      <c r="J36" s="14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673</v>
      </c>
      <c r="H37" s="14">
        <v>6160</v>
      </c>
      <c r="I37" s="13" t="s">
        <v>591</v>
      </c>
      <c r="J37" s="14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0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topLeftCell="B1" workbookViewId="0">
      <selection activeCell="E24" sqref="E2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738</v>
      </c>
      <c r="D7" s="1" t="s">
        <v>739</v>
      </c>
      <c r="E7" s="2">
        <v>10</v>
      </c>
      <c r="F7" s="1">
        <v>0</v>
      </c>
      <c r="G7" s="1">
        <v>3</v>
      </c>
      <c r="I7" s="1" t="s">
        <v>740</v>
      </c>
    </row>
    <row r="8" spans="3:8">
      <c r="C8" s="3" t="s">
        <v>470</v>
      </c>
      <c r="D8" s="4" t="s">
        <v>741</v>
      </c>
      <c r="E8" s="4">
        <v>-60</v>
      </c>
      <c r="F8" s="4"/>
      <c r="G8" s="4"/>
      <c r="H8" s="4" t="s">
        <v>739</v>
      </c>
    </row>
    <row r="9" spans="3:8">
      <c r="C9" s="3" t="s">
        <v>470</v>
      </c>
      <c r="D9" s="4" t="s">
        <v>742</v>
      </c>
      <c r="E9" s="4">
        <v>-180</v>
      </c>
      <c r="F9" s="4"/>
      <c r="G9" s="4"/>
      <c r="H9" s="4" t="s">
        <v>739</v>
      </c>
    </row>
    <row r="10" spans="3:8">
      <c r="C10" t="s">
        <v>112</v>
      </c>
      <c r="D10" t="s">
        <v>743</v>
      </c>
      <c r="E10">
        <v>-600</v>
      </c>
      <c r="H10" t="s">
        <v>739</v>
      </c>
    </row>
    <row r="11" spans="3:8">
      <c r="C11" t="s">
        <v>112</v>
      </c>
      <c r="D11" t="s">
        <v>744</v>
      </c>
      <c r="E11">
        <v>-600</v>
      </c>
      <c r="H11" t="s">
        <v>739</v>
      </c>
    </row>
    <row r="12" s="1" customFormat="1" spans="3:8">
      <c r="C12" s="1" t="s">
        <v>112</v>
      </c>
      <c r="D12" s="1" t="s">
        <v>745</v>
      </c>
      <c r="E12" s="1">
        <v>-14.7692307692308</v>
      </c>
      <c r="H12" s="1" t="s">
        <v>739</v>
      </c>
    </row>
    <row r="13" spans="3:8">
      <c r="C13" t="s">
        <v>112</v>
      </c>
      <c r="D13" t="s">
        <v>746</v>
      </c>
      <c r="E13">
        <v>-16.8421052631579</v>
      </c>
      <c r="H13" t="s">
        <v>739</v>
      </c>
    </row>
    <row r="17" spans="3:3">
      <c r="C17" t="s">
        <v>736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747</v>
      </c>
      <c r="C19" t="s">
        <v>738</v>
      </c>
      <c r="D19" t="s">
        <v>739</v>
      </c>
      <c r="E19">
        <v>1</v>
      </c>
      <c r="F19">
        <v>0</v>
      </c>
      <c r="G19">
        <v>3</v>
      </c>
      <c r="I19" t="s">
        <v>748</v>
      </c>
    </row>
    <row r="20" spans="3:8">
      <c r="C20" t="s">
        <v>112</v>
      </c>
      <c r="D20" t="s">
        <v>741</v>
      </c>
      <c r="E20">
        <v>-60</v>
      </c>
      <c r="H20" t="s">
        <v>739</v>
      </c>
    </row>
    <row r="21" spans="3:8">
      <c r="C21" t="s">
        <v>112</v>
      </c>
      <c r="D21" t="s">
        <v>742</v>
      </c>
      <c r="E21">
        <v>-180</v>
      </c>
      <c r="H21" t="s">
        <v>739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2026-03-14T21:11:00Z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