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2" activeTab="1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<sst xmlns="http://schemas.openxmlformats.org/spreadsheetml/2006/main" count="2452" uniqueCount="780">
  <si>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</si>
  <si>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</si>
  <si>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</si>
  <si>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</si>
  <si>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</si>
  <si>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</si>
  <si>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</si>
  <si>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</si>
  <si>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</si>
  <si>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</si>
  <si>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</si>
  <si>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</si>
  <si>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</si>
  <si>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</si>
  <si>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</si>
  <si>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</si>
  <si>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</si>
  <si>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</si>
  <si>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</si>
  <si>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</si>
  <si>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</si>
  <si>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</si>
  <si>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</si>
  <si>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</si>
  <si>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</si>
  <si>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</si>
  <si>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</si>
  <si>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</si>
  <si>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</si>
  <si>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</si>
  <si>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</si>
  <si>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</si>
  <si>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</si>
  <si>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</si>
  <si>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</si>
  <si>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</si>
  <si>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</si>
  <si>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</si>
  <si>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</si>
  <si>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</si>
  <si>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</si>
  <si>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</si>
  <si>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</si>
  <si>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</si>
  <si>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</si>
  <si>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</si>
  <si>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</si>
  <si>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</si>
  <si>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</si>
  <si>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</si>
  <si>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</si>
  <si>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</si>
  <si>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</si>
  <si>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</si>
  <si>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</si>
  <si>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</si>
  <si>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</si>
  <si>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</si>
  <si>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</si>
  <si>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</si>
  <si>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</si>
  <si>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</si>
  <si>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</si>
  <si>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</si>
  <si>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</si>
  <si>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</si>
  <si>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</si>
  <si>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</si>
  <si>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</si>
  <si>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</si>
  <si>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</si>
  <si>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</si>
  <si>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</si>
  <si>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</si>
  <si>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</si>
  <si>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</si>
  <si>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</si>
  <si>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</si>
  <si>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</si>
  <si>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</si>
  <si>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</si>
  <si>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</si>
  <si>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</si>
  <si>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</si>
  <si>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</si>
  <si>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</si>
  <si>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</si>
  <si>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</si>
  <si>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</si>
  <si>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</si>
  <si>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</si>
  <si>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</si>
  <si>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</si>
  <si>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</si>
  <si>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</si>
  <si>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</si>
  <si>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</si>
  <si>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</si>
  <si>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</si>
  <si>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</si>
  <si>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</si>
  <si>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</si>
  <si>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</si>
  <si>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</si>
  <si>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</si>
  <si>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</si>
  <si>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</si>
  <si>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</si>
  <si>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</si>
  <si>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</si>
  <si>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</si>
  <si>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</si>
  <si>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</si>
  <si>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</si>
  <si>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</si>
  <si>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</si>
  <si>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</si>
  <si>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</si>
  <si>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</si>
  <si>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</si>
  <si>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</si>
  <si>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</si>
  <si>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</si>
  <si>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</si>
  <si>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</si>
  <si>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</si>
  <si>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</si>
  <si>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</si>
  <si>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</si>
  <si>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</si>
  <si>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</si>
  <si>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</si>
  <si>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</si>
  <si>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</si>
  <si>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</si>
  <si>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</si>
  <si>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</si>
  <si>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</si>
  <si>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</si>
  <si>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</si>
  <si>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</si>
  <si>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</si>
  <si>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</si>
  <si>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</si>
  <si>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</si>
  <si>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</si>
  <si>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</si>
  <si>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</si>
  <si>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</si>
  <si>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</si>
  <si>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</si>
  <si>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</si>
  <si>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</si>
  <si>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</si>
  <si>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</si>
  <si>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</si>
  <si>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</si>
  <si>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</si>
  <si>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</si>
  <si>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</si>
  <si>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</si>
  <si>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</si>
  <si>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</si>
  <si>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</si>
  <si>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</si>
  <si>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</si>
  <si>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</si>
  <si>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</si>
  <si>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</si>
  <si>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</si>
  <si>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</si>
  <si>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</si>
  <si>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</si>
  <si>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</si>
  <si>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</si>
  <si>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</si>
  <si>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</si>
  <si>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</si>
  <si>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</si>
  <si>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</si>
  <si>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</si>
  <si>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</si>
  <si>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</si>
  <si>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</si>
  <si>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</si>
  <si>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</si>
  <si>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</si>
  <si>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</si>
  <si>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</si>
  <si>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</si>
  <si>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</si>
  <si>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</si>
  <si>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</si>
  <si>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</si>
  <si>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</si>
  <si>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</si>
  <si>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</si>
  <si>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</si>
  <si>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</si>
  <si>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</si>
  <si>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</si>
  <si>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</si>
  <si>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</si>
  <si>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</si>
  <si>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</si>
  <si>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</si>
  <si>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</si>
  <si>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</si>
  <si>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</si>
  <si>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</si>
  <si>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</si>
  <si>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</si>
  <si>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</si>
  <si>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</si>
  <si>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</si>
  <si>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</si>
  <si>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</si>
  <si>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</si>
  <si>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</si>
  <si>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</si>
  <si>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</si>
  <si>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</si>
  <si>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</si>
  <si>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</si>
  <si>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</si>
  <si>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</si>
  <si>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</si>
  <si>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</si>
  <si>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</si>
  <si>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</si>
  <si>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</si>
  <si>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</si>
  <si>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</si>
  <si>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</si>
  <si>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</si>
  <si>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</si>
  <si>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</si>
  <si>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</si>
  <si>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</si>
  <si>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</si>
  <si>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</si>
  <si>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</si>
  <si>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</si>
  <si>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</si>
  <si>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</si>
  <si>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</si>
  <si>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</si>
  <si>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</si>
  <si>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</si>
  <si>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</si>
  <si>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</si>
  <si>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</si>
  <si>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</si>
  <si>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</si>
  <si>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</si>
  <si>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</si>
  <si>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</si>
  <si>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</si>
  <si>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</si>
  <si>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</si>
  <si>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</si>
  <si>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</si>
  <si>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</si>
  <si>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</si>
  <si>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</si>
  <si>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</si>
  <si>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</si>
  <si>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</si>
  <si>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</si>
  <si>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</si>
  <si>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</si>
  <si>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</si>
  <si>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</si>
  <si>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</si>
  <si>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</si>
  <si>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</si>
  <si>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</si>
  <si>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</si>
  <si>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</si>
  <si>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</si>
  <si>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</si>
  <si>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</si>
  <si>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</si>
  <si>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</si>
  <si>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</si>
  <si>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</si>
  <si>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</si>
  <si>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</si>
  <si>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</si>
  <si>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</si>
  <si>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</si>
  <si>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</si>
  <si>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</si>
  <si>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</si>
  <si>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</si>
  <si>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</si>
  <si>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</si>
  <si>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</si>
  <si>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</si>
  <si>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</si>
  <si>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</si>
  <si>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</si>
  <si>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</si>
  <si>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</si>
  <si>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</si>
  <si>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</si>
  <si>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</si>
  <si>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</si>
  <si>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</si>
  <si>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</si>
  <si>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</si>
  <si>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</si>
  <si>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</si>
  <si>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</si>
  <si>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</si>
  <si>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</si>
  <si>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</si>
  <si>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</si>
  <si>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</si>
  <si>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</si>
  <si>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</si>
  <si>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</si>
  <si>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</si>
  <si>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</si>
  <si>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</si>
  <si>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</si>
  <si>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</si>
  <si>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</si>
  <si>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</si>
  <si>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</si>
  <si>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</si>
  <si>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</si>
  <si>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</si>
  <si>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</si>
  <si>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</si>
  <si>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</si>
  <si>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</si>
  <si>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</si>
  <si>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</si>
  <si>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</si>
  <si>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</si>
  <si>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</si>
  <si>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</si>
  <si>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</si>
  <si>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</si>
  <si>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</si>
  <si>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</si>
  <si>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</si>
  <si>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</si>
  <si>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</si>
  <si>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</si>
  <si>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</si>
  <si>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</si>
  <si>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</si>
  <si>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</si>
  <si>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</si>
  <si>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</si>
  <si>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</si>
  <si>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</si>
  <si>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</si>
  <si>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</si>
  <si>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</si>
  <si>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</si>
  <si>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</si>
  <si>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</si>
  <si>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</si>
  <si>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</si>
  <si>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</si>
  <si>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</si>
  <si>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</si>
  <si>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</si>
  <si>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</si>
  <si>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</si>
  <si>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</si>
  <si>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</si>
  <si>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</si>
  <si>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</si>
  <si>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</si>
  <si>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</si>
  <si>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</si>
  <si>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</si>
  <si>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</si>
  <si>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</si>
  <si>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</si>
  <si>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</si>
  <si>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</si>
  <si>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</si>
  <si>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</si>
  <si>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</si>
  <si>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</si>
  <si>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</si>
  <si>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</si>
  <si>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</si>
  <si>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</si>
  <si>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</si>
  <si>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</si>
  <si>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</si>
  <si>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</si>
  <si>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</si>
  <si>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</si>
  <si>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</si>
  <si>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</si>
  <si>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</si>
  <si>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</si>
  <si>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</si>
  <si>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</si>
  <si>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</si>
  <si>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</si>
  <si>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</si>
  <si>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</si>
  <si>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</si>
  <si>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</si>
  <si>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</si>
  <si>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</si>
  <si>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</si>
  <si>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</si>
  <si>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</si>
  <si>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</si>
  <si>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</si>
  <si>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</si>
  <si>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</si>
  <si>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</si>
  <si>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</si>
  <si>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</si>
  <si>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</si>
  <si>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</si>
  <si>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</si>
  <si>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</si>
  <si>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</si>
  <si>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</si>
  <si>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</si>
  <si>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</si>
  <si>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</si>
  <si>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</si>
  <si>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</si>
  <si>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</si>
  <si>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</si>
  <si>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</si>
  <si>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</si>
  <si>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</si>
  <si>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</si>
  <si>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</si>
  <si>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</si>
  <si>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</si>
  <si>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</si>
  <si>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</si>
  <si>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</si>
  <si>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</si>
  <si>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</si>
  <si>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</si>
  <si>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</si>
  <si>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</si>
  <si>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</si>
  <si>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</si>
  <si>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</si>
  <si>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</si>
  <si>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</si>
  <si>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</si>
  <si>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</si>
  <si>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</si>
  <si>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</si>
  <si>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</si>
  <si>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</si>
  <si>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</si>
  <si>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</si>
  <si>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</si>
  <si>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</si>
  <si>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</si>
  <si>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</si>
  <si>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</si>
  <si>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</si>
  <si>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</si>
  <si>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</si>
  <si>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</si>
  <si>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</si>
  <si>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</si>
  <si>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</si>
  <si>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</si>
  <si>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</si>
  <si>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</si>
  <si>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</si>
  <si>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</si>
  <si>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</si>
  <si>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</si>
  <si>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</si>
  <si>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</si>
  <si>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</si>
  <si>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</si>
  <si>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</si>
  <si>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</si>
  <si>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</si>
  <si>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</si>
  <si>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</si>
  <si>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</si>
  <si>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</si>
  <si>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</si>
  <si>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</si>
  <si>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</si>
  <si>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</si>
  <si>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</si>
  <si>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</si>
  <si>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</si>
  <si>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</si>
  <si>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</si>
  <si>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</si>
  <si>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</si>
  <si>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</si>
  <si>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</si>
  <si>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</si>
  <si>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</si>
  <si>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</si>
  <si>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</si>
  <si>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</si>
  <si>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</si>
  <si>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</si>
  <si>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</si>
  <si>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</si>
  <si>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</si>
  <si>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</si>
  <si>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</si>
  <si>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</si>
  <si>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</si>
  <si>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</si>
  <si>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</si>
  <si>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</si>
  <si>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</si>
  <si>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</si>
  <si>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</si>
  <si>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</si>
  <si>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</si>
  <si>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</si>
  <si>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</si>
  <si>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</si>
  <si>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</si>
  <si>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</si>
  <si>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</si>
  <si>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</si>
  <si>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</si>
  <si>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</si>
  <si>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</si>
  <si>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</si>
  <si>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</si>
  <si>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</si>
  <si>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</si>
  <si>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</si>
  <si>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</si>
  <si>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</si>
  <si>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</si>
  <si>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</si>
  <si>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</si>
  <si>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</si>
  <si>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</si>
  <si>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</si>
  <si>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</si>
  <si>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</si>
  <si>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</si>
  <si>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</si>
  <si>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</si>
  <si>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</si>
  <si>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</si>
  <si>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</si>
  <si>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</si>
  <si>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</si>
  <si>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</si>
  <si>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</si>
  <si>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</si>
  <si>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</si>
  <si>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</si>
  <si>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</si>
  <si>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</si>
  <si>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</si>
  <si>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</si>
  <si>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</si>
  <si>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</si>
  <si>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</si>
  <si>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</si>
  <si>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</si>
  <si>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</si>
  <si>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</si>
  <si>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</si>
  <si>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</si>
  <si>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</si>
  <si>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</si>
  <si>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</si>
  <si>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</si>
  <si>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</si>
  <si>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</si>
  <si>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</si>
  <si>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</si>
  <si>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</si>
  <si>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</si>
  <si>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</si>
  <si>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</si>
  <si>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</si>
  <si>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</si>
  <si>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</si>
  <si>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</si>
  <si>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</si>
  <si>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</si>
  <si>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</si>
  <si>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</si>
  <si>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</si>
  <si>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</si>
  <si>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</si>
  <si>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</si>
  <si>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</si>
  <si>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</si>
  <si>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</si>
  <si>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</si>
  <si>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</si>
  <si>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</si>
  <si>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</si>
  <si>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</si>
  <si>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</si>
  <si>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</si>
  <si>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</si>
  <si>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</si>
  <si>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</si>
  <si>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</si>
  <si>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</si>
  <si>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</si>
  <si>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</si>
  <si>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</si>
  <si>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</si>
  <si>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</si>
  <si>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</si>
  <si>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</si>
  <si>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</si>
  <si>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</si>
  <si>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</si>
  <si>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</si>
  <si>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</si>
  <si>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</si>
  <si>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</si>
  <si>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</si>
  <si>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</si>
  <si>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</si>
  <si>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</si>
  <si>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</si>
  <si>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</si>
  <si>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</si>
  <si>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</si>
  <si>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</si>
  <si>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</si>
  <si>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</si>
  <si>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</si>
  <si>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</si>
  <si>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</si>
  <si>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</si>
  <si>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</si>
  <si>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</si>
  <si>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</si>
  <si>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</si>
  <si>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</si>
  <si>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</si>
  <si>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</si>
  <si>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</si>
  <si>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</si>
  <si>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</si>
  <si>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</si>
  <si>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</si>
  <si>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</si>
  <si>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</si>
  <si>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</si>
  <si>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</si>
  <si>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</si>
  <si>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</si>
  <si>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</si>
  <si>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</si>
  <si>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</si>
  <si>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</si>
  <si>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</si>
  <si>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</si>
  <si>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</si>
  <si>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</si>
  <si>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</si>
  <si>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</si>
  <si>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</si>
  <si>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</si>
  <si>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</si>
  <si>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</si>
  <si>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</si>
  <si>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</si>
  <si>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</si>
  <si>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</si>
  <si>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</si>
  <si>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</si>
  <si>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</si>
  <si>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</si>
  <si>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</si>
  <si>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</si>
  <si>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</si>
  <si>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</si>
  <si>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</si>
  <si>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</si>
  <si>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</si>
  <si>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</si>
  <si>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</si>
  <si>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</si>
  <si>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</si>
  <si>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</si>
  <si>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</si>
  <si>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</si>
  <si>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</si>
  <si>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</si>
  <si>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</si>
  <si>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</si>
  <si>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</si>
  <si>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</si>
  <si>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</si>
  <si>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</si>
  <si>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</si>
  <si>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</si>
  <si>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</si>
  <si>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</si>
  <si>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</si>
  <si>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</si>
  <si>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</si>
  <si>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</si>
  <si>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</si>
  <si>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</si>
  <si>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</si>
  <si>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</si>
  <si>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</si>
  <si>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</si>
  <si>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</si>
  <si>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</si>
  <si>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</si>
  <si>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</si>
  <si>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</si>
  <si>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</si>
  <si>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</si>
  <si>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</si>
  <si>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</si>
  <si>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</si>
  <si>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</si>
  <si>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</si>
  <si>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</si>
  <si>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</si>
  <si>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</si>
  <si>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</si>
  <si>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</si>
  <si>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</si>
  <si>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</si>
  <si>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</si>
  <si>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</si>
  <si>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</si>
  <si>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</si>
  <si>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</si>
  <si>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</si>
  <si>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</si>
  <si>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</si>
  <si>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</si>
  <si>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</si>
  <si>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</si>
  <si>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</si>
  <si>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</si>
  <si>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</si>
  <si>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</si>
  <si>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</si>
  <si>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</si>
  <si>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</si>
  <si>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</si>
  <si>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</si>
  <si>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</si>
  <si>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</si>
  <si>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</si>
  <si>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</si>
  <si>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</si>
  <si>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</si>
  <si>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</si>
  <si>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</si>
  <si>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</si>
  <si>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</si>
  <si>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</si>
  <si>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</si>
  <si>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</si>
  <si>
    <t>~TFM_UPD</t>
  </si>
  <si>
    <t>ACT_EFF</t>
  </si>
  <si>
    <t>EA*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</si>
</sst>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b/>
      <sz val="8"/>
      <name val="Tahoma"/>
      <charset val="134"/>
    </font>
    <font>
      <sz val="9"/>
      <name val="Times New Roman"/>
      <charset val="134"/>
    </font>
    <font>
      <sz val="8"/>
      <name val="Tahoma"/>
      <charset val="134"/>
    </font>
    <font>
      <b/>
      <sz val="9"/>
      <name val="Tahoma"/>
      <charset val="1"/>
    </font>
    <font>
      <sz val="9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50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48" borderId="12" applyNumberFormat="0" applyAlignment="0" applyProtection="0"/>
    <xf numFmtId="0" fontId="53" fillId="11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9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1" borderId="5" xfId="0" applyFont="1" applyFill="1" applyBorder="1"/>
    <xf numFmtId="0" fontId="16" fillId="12" borderId="5" xfId="0" applyFont="1" applyFill="1" applyBorder="1"/>
    <xf numFmtId="0" fontId="4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6" t="s">
        <v>53</v>
      </c>
      <c r="I2" s="47"/>
      <c r="J2" s="48"/>
      <c r="K2" s="48"/>
      <c r="L2" s="48"/>
      <c r="M2" s="48"/>
      <c r="N2" s="48"/>
      <c r="O2" s="48"/>
      <c r="P2" s="48"/>
    </row>
    <row r="3" ht="15.25" spans="1:30">
      <c r="B3" s="49" t="s">
        <v>54</v>
      </c>
      <c r="C3" s="49" t="s">
        <v>55</v>
      </c>
      <c r="D3" s="49" t="s">
        <v>56</v>
      </c>
      <c r="E3" s="49" t="s">
        <v>57</v>
      </c>
      <c r="F3" s="49" t="s">
        <v>58</v>
      </c>
      <c r="G3" s="49" t="s">
        <v>59</v>
      </c>
      <c r="H3" s="50" t="s">
        <v>60</v>
      </c>
      <c r="I3" s="51" t="s">
        <v>61</v>
      </c>
      <c r="J3" s="51" t="s">
        <v>62</v>
      </c>
      <c r="K3" s="51" t="s">
        <v>63</v>
      </c>
      <c r="L3" s="51" t="s">
        <v>64</v>
      </c>
      <c r="M3" s="51" t="s">
        <v>65</v>
      </c>
      <c r="N3" s="51" t="s">
        <v>66</v>
      </c>
      <c r="O3" s="51" t="s">
        <v>67</v>
      </c>
      <c r="P3" s="51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0" t="s">
        <v>79</v>
      </c>
      <c r="V5" s="40" t="s">
        <v>80</v>
      </c>
      <c r="W5" s="40">
        <v>2150</v>
      </c>
      <c r="X5" s="40"/>
      <c r="Y5" s="4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1">
        <v>3.5</v>
      </c>
      <c r="X14" t="s">
        <v>102</v>
      </c>
      <c r="Y14" s="4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2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4"/>
    <col min="3" max="3" width="8.6" style="44" customWidth="1"/>
    <col min="4" max="4" width="9.06363636363636" style="44" customWidth="1"/>
    <col min="5" max="5" width="7.72727272727273" style="44" customWidth="1"/>
    <col min="6" max="6" width="4.72727272727273" style="44" customWidth="1"/>
    <col min="7" max="7" width="10.3363636363636" style="44" customWidth="1"/>
    <col min="8" max="8" width="10.2" style="44" customWidth="1"/>
    <col min="9" max="9" width="10.0636363636364" style="44" customWidth="1"/>
    <col min="10" max="10" width="9.8" style="44" customWidth="1"/>
    <col min="11" max="11" width="10.2636363636364" style="44" customWidth="1"/>
    <col min="12" max="12" width="10.4636363636364" style="44" customWidth="1"/>
    <col min="13" max="13" width="18.9272727272727" style="44" customWidth="1"/>
    <col min="14" max="14" width="16.6" style="44" customWidth="1"/>
    <col min="15" max="15" width="15.6" style="44" customWidth="1"/>
    <col min="16" max="16384" width="9.06363636363636" style="44"/>
  </cols>
  <sheetData>
    <row r="3" spans="3:21">
      <c r="C3" s="44" t="s">
        <v>264</v>
      </c>
      <c r="R3" s="44" t="s">
        <v>265</v>
      </c>
    </row>
    <row r="4" spans="3:21">
      <c r="C4" s="44" t="s">
        <v>76</v>
      </c>
      <c r="D4" s="44" t="s">
        <v>77</v>
      </c>
      <c r="E4" s="44" t="s">
        <v>73</v>
      </c>
      <c r="F4" s="44" t="s">
        <v>243</v>
      </c>
      <c r="G4" s="44" t="s">
        <v>266</v>
      </c>
      <c r="H4" s="44" t="s">
        <v>267</v>
      </c>
      <c r="I4" s="44" t="s">
        <v>268</v>
      </c>
      <c r="J4" s="44" t="s">
        <v>269</v>
      </c>
      <c r="K4" s="44" t="s">
        <v>270</v>
      </c>
      <c r="L4" s="44" t="s">
        <v>271</v>
      </c>
      <c r="M4" s="44" t="s">
        <v>272</v>
      </c>
      <c r="N4" s="44" t="s">
        <v>273</v>
      </c>
      <c r="O4" s="44" t="s">
        <v>274</v>
      </c>
      <c r="R4" s="44" t="s">
        <v>275</v>
      </c>
      <c r="S4" s="44" t="s">
        <v>276</v>
      </c>
      <c r="T4" s="44" t="s">
        <v>76</v>
      </c>
      <c r="U4" s="44" t="s">
        <v>75</v>
      </c>
    </row>
    <row r="5" spans="3:21">
      <c r="C5" s="44" t="s">
        <v>277</v>
      </c>
      <c r="E5" s="44" t="s">
        <v>278</v>
      </c>
      <c r="F5" s="44">
        <v>2022</v>
      </c>
      <c r="G5" s="44">
        <v>1420</v>
      </c>
      <c r="H5" s="44">
        <v>750</v>
      </c>
      <c r="I5" s="44">
        <v>720</v>
      </c>
      <c r="J5" s="44">
        <v>640</v>
      </c>
      <c r="K5" s="44">
        <v>1910</v>
      </c>
      <c r="L5" s="44">
        <v>1710</v>
      </c>
      <c r="M5" s="44">
        <v>990</v>
      </c>
      <c r="N5" s="44">
        <v>1120</v>
      </c>
      <c r="O5" s="44">
        <v>620</v>
      </c>
      <c r="R5" s="44" t="s">
        <v>279</v>
      </c>
      <c r="S5" s="61" t="s">
        <v>280</v>
      </c>
      <c r="T5" s="44" t="s">
        <v>281</v>
      </c>
      <c r="U5" s="44" t="s">
        <v>133</v>
      </c>
    </row>
    <row r="6" spans="3:21">
      <c r="C6" s="44" t="s">
        <v>277</v>
      </c>
      <c r="E6" s="44" t="s">
        <v>282</v>
      </c>
      <c r="F6" s="44">
        <v>2022</v>
      </c>
      <c r="G6" s="44">
        <v>22</v>
      </c>
      <c r="H6" s="44">
        <v>12</v>
      </c>
      <c r="I6" s="44">
        <v>12</v>
      </c>
      <c r="J6" s="44">
        <v>10</v>
      </c>
      <c r="K6" s="44">
        <v>28</v>
      </c>
      <c r="L6" s="44">
        <v>26</v>
      </c>
      <c r="M6" s="44">
        <v>14</v>
      </c>
      <c r="N6" s="44">
        <v>16</v>
      </c>
      <c r="O6" s="44">
        <v>10</v>
      </c>
    </row>
    <row r="7" spans="3:21">
      <c r="D7" s="44" t="s">
        <v>283</v>
      </c>
      <c r="E7" s="44" t="s">
        <v>278</v>
      </c>
      <c r="F7" s="44">
        <v>2022</v>
      </c>
      <c r="G7" s="44">
        <v>1950</v>
      </c>
      <c r="H7" s="44">
        <v>1050</v>
      </c>
      <c r="I7" s="44">
        <v>1100</v>
      </c>
      <c r="J7" s="44">
        <v>1120</v>
      </c>
      <c r="K7" s="44">
        <v>3520</v>
      </c>
      <c r="L7" s="44">
        <v>1640</v>
      </c>
      <c r="M7" s="44">
        <v>1750</v>
      </c>
      <c r="N7" s="44">
        <v>1220</v>
      </c>
      <c r="O7" s="44">
        <v>1950</v>
      </c>
    </row>
    <row r="8" spans="3:21">
      <c r="D8" s="44" t="s">
        <v>283</v>
      </c>
      <c r="E8" s="44" t="s">
        <v>282</v>
      </c>
      <c r="F8" s="44">
        <v>2022</v>
      </c>
      <c r="G8" s="44">
        <v>48</v>
      </c>
      <c r="H8" s="44">
        <v>26</v>
      </c>
      <c r="I8" s="44">
        <v>28</v>
      </c>
      <c r="J8" s="44">
        <v>28</v>
      </c>
      <c r="K8" s="44">
        <v>88</v>
      </c>
      <c r="L8" s="44">
        <v>40</v>
      </c>
      <c r="M8" s="44">
        <v>46</v>
      </c>
      <c r="N8" s="44">
        <v>30</v>
      </c>
      <c r="O8" s="44">
        <v>48</v>
      </c>
    </row>
    <row r="9" spans="3:21">
      <c r="D9" s="44" t="s">
        <v>284</v>
      </c>
      <c r="E9" s="44" t="s">
        <v>278</v>
      </c>
      <c r="F9" s="44">
        <v>2022</v>
      </c>
      <c r="G9" s="44">
        <v>4260</v>
      </c>
      <c r="H9" s="44">
        <v>4440</v>
      </c>
      <c r="I9" s="44">
        <v>2820</v>
      </c>
      <c r="J9" s="44">
        <v>3060</v>
      </c>
      <c r="K9" s="44">
        <v>6640</v>
      </c>
      <c r="L9" s="44">
        <v>4600</v>
      </c>
      <c r="M9" s="44">
        <v>3420</v>
      </c>
      <c r="N9" s="44">
        <v>4060</v>
      </c>
      <c r="O9" s="44">
        <v>4400</v>
      </c>
    </row>
    <row r="10" spans="3:21">
      <c r="D10" s="44" t="s">
        <v>284</v>
      </c>
      <c r="E10" s="44" t="s">
        <v>282</v>
      </c>
      <c r="F10" s="44">
        <v>2022</v>
      </c>
      <c r="G10" s="44">
        <v>105</v>
      </c>
      <c r="H10" s="44">
        <v>110</v>
      </c>
      <c r="I10" s="44">
        <v>70</v>
      </c>
      <c r="J10" s="44">
        <v>75</v>
      </c>
      <c r="K10" s="44">
        <v>165</v>
      </c>
      <c r="L10" s="44">
        <v>115</v>
      </c>
      <c r="M10" s="44">
        <v>70</v>
      </c>
      <c r="N10" s="44">
        <v>120</v>
      </c>
      <c r="O10" s="44">
        <v>110</v>
      </c>
    </row>
    <row r="11" spans="3:21">
      <c r="C11" s="44" t="s">
        <v>285</v>
      </c>
      <c r="E11" s="44" t="s">
        <v>278</v>
      </c>
      <c r="F11" s="44">
        <v>2022</v>
      </c>
      <c r="G11" s="44">
        <v>3300</v>
      </c>
      <c r="H11" s="44">
        <v>3350</v>
      </c>
      <c r="I11" s="44">
        <v>2000</v>
      </c>
      <c r="J11" s="44">
        <v>3050</v>
      </c>
      <c r="K11" s="44">
        <v>3550</v>
      </c>
      <c r="L11" s="44">
        <v>3500</v>
      </c>
      <c r="M11" s="44">
        <v>3900</v>
      </c>
      <c r="N11" s="44">
        <v>4050</v>
      </c>
      <c r="O11" s="44">
        <v>3400</v>
      </c>
    </row>
    <row r="12" spans="3:21">
      <c r="C12" s="44" t="s">
        <v>285</v>
      </c>
      <c r="E12" s="44" t="s">
        <v>282</v>
      </c>
      <c r="F12" s="44">
        <v>2022</v>
      </c>
      <c r="G12" s="44">
        <v>65</v>
      </c>
      <c r="H12" s="44">
        <v>65</v>
      </c>
      <c r="I12" s="44">
        <v>40</v>
      </c>
      <c r="J12" s="44">
        <v>60</v>
      </c>
      <c r="K12" s="44">
        <v>70</v>
      </c>
      <c r="L12" s="44">
        <v>70</v>
      </c>
      <c r="M12" s="44">
        <v>80</v>
      </c>
      <c r="N12" s="44">
        <v>80</v>
      </c>
      <c r="O12" s="44">
        <v>70</v>
      </c>
    </row>
    <row r="13" spans="3:21">
      <c r="C13" s="44" t="s">
        <v>277</v>
      </c>
      <c r="E13" s="44" t="s">
        <v>278</v>
      </c>
      <c r="F13" s="44">
        <v>2030</v>
      </c>
      <c r="G13" s="44">
        <v>850</v>
      </c>
      <c r="H13" s="44">
        <v>460</v>
      </c>
      <c r="I13" s="44">
        <v>430</v>
      </c>
      <c r="J13" s="44">
        <v>390</v>
      </c>
      <c r="K13" s="44">
        <v>1250</v>
      </c>
      <c r="L13" s="44">
        <v>1090</v>
      </c>
      <c r="M13" s="44">
        <v>620</v>
      </c>
      <c r="N13" s="44">
        <v>690</v>
      </c>
      <c r="O13" s="44">
        <v>360</v>
      </c>
    </row>
    <row r="14" spans="3:21">
      <c r="C14" s="44" t="s">
        <v>277</v>
      </c>
      <c r="E14" s="44" t="s">
        <v>282</v>
      </c>
      <c r="F14" s="44">
        <v>2030</v>
      </c>
      <c r="G14" s="44">
        <v>20</v>
      </c>
      <c r="H14" s="44">
        <v>10</v>
      </c>
      <c r="I14" s="44">
        <v>10</v>
      </c>
      <c r="J14" s="44">
        <v>8</v>
      </c>
      <c r="K14" s="44">
        <v>26</v>
      </c>
      <c r="L14" s="44">
        <v>24</v>
      </c>
      <c r="M14" s="44">
        <v>14</v>
      </c>
      <c r="N14" s="44">
        <v>16</v>
      </c>
      <c r="O14" s="44">
        <v>8</v>
      </c>
    </row>
    <row r="15" spans="3:21">
      <c r="D15" s="44" t="s">
        <v>283</v>
      </c>
      <c r="E15" s="44" t="s">
        <v>278</v>
      </c>
      <c r="F15" s="44">
        <v>2030</v>
      </c>
      <c r="G15" s="44">
        <v>1830</v>
      </c>
      <c r="H15" s="44">
        <v>1000</v>
      </c>
      <c r="I15" s="44">
        <v>1040</v>
      </c>
      <c r="J15" s="44">
        <v>1060</v>
      </c>
      <c r="K15" s="44">
        <v>3320</v>
      </c>
      <c r="L15" s="44">
        <v>1550</v>
      </c>
      <c r="M15" s="44">
        <v>1670</v>
      </c>
      <c r="N15" s="44">
        <v>1160</v>
      </c>
      <c r="O15" s="44">
        <v>1830</v>
      </c>
    </row>
    <row r="16" spans="3:21">
      <c r="D16" s="44" t="s">
        <v>283</v>
      </c>
      <c r="E16" s="44" t="s">
        <v>282</v>
      </c>
      <c r="F16" s="44">
        <v>2030</v>
      </c>
      <c r="G16" s="44">
        <v>46</v>
      </c>
      <c r="H16" s="44">
        <v>26</v>
      </c>
      <c r="I16" s="44">
        <v>26</v>
      </c>
      <c r="J16" s="44">
        <v>26</v>
      </c>
      <c r="K16" s="44">
        <v>84</v>
      </c>
      <c r="L16" s="44">
        <v>40</v>
      </c>
      <c r="M16" s="44">
        <v>42</v>
      </c>
      <c r="N16" s="44">
        <v>30</v>
      </c>
      <c r="O16" s="44">
        <v>46</v>
      </c>
    </row>
    <row r="17" spans="3:15">
      <c r="D17" s="44" t="s">
        <v>284</v>
      </c>
      <c r="E17" s="44" t="s">
        <v>278</v>
      </c>
      <c r="F17" s="44">
        <v>2030</v>
      </c>
      <c r="G17" s="44">
        <v>2880</v>
      </c>
      <c r="H17" s="44">
        <v>3000</v>
      </c>
      <c r="I17" s="44">
        <v>1880</v>
      </c>
      <c r="J17" s="44">
        <v>2060</v>
      </c>
      <c r="K17" s="44">
        <v>4180</v>
      </c>
      <c r="L17" s="44">
        <v>3120</v>
      </c>
      <c r="M17" s="44">
        <v>2280</v>
      </c>
      <c r="N17" s="44">
        <v>2520</v>
      </c>
      <c r="O17" s="44">
        <v>3000</v>
      </c>
    </row>
    <row r="18" spans="3:15">
      <c r="D18" s="44" t="s">
        <v>284</v>
      </c>
      <c r="E18" s="44" t="s">
        <v>282</v>
      </c>
      <c r="F18" s="44">
        <v>2030</v>
      </c>
      <c r="G18" s="44">
        <v>80</v>
      </c>
      <c r="H18" s="44">
        <v>80</v>
      </c>
      <c r="I18" s="44">
        <v>50</v>
      </c>
      <c r="J18" s="44">
        <v>55</v>
      </c>
      <c r="K18" s="44">
        <v>115</v>
      </c>
      <c r="L18" s="44">
        <v>85</v>
      </c>
      <c r="M18" s="44">
        <v>50</v>
      </c>
      <c r="N18" s="44">
        <v>90</v>
      </c>
      <c r="O18" s="44">
        <v>80</v>
      </c>
    </row>
    <row r="19" spans="3:15">
      <c r="C19" s="44" t="s">
        <v>285</v>
      </c>
      <c r="E19" s="44" t="s">
        <v>278</v>
      </c>
      <c r="F19" s="44">
        <v>2030</v>
      </c>
      <c r="G19" s="44">
        <v>3300</v>
      </c>
      <c r="H19" s="44">
        <v>3350</v>
      </c>
      <c r="I19" s="44">
        <v>2000</v>
      </c>
      <c r="J19" s="44">
        <v>3050</v>
      </c>
      <c r="K19" s="44">
        <v>3550</v>
      </c>
      <c r="L19" s="44">
        <v>3500</v>
      </c>
      <c r="M19" s="44">
        <v>3900</v>
      </c>
      <c r="N19" s="44">
        <v>4050</v>
      </c>
      <c r="O19" s="44">
        <v>3400</v>
      </c>
    </row>
    <row r="20" spans="3:15">
      <c r="C20" s="44" t="s">
        <v>285</v>
      </c>
      <c r="E20" s="44" t="s">
        <v>282</v>
      </c>
      <c r="F20" s="44">
        <v>2030</v>
      </c>
      <c r="G20" s="44">
        <v>65</v>
      </c>
      <c r="H20" s="44">
        <v>65</v>
      </c>
      <c r="I20" s="44">
        <v>40</v>
      </c>
      <c r="J20" s="44">
        <v>60</v>
      </c>
      <c r="K20" s="44">
        <v>70</v>
      </c>
      <c r="L20" s="44">
        <v>70</v>
      </c>
      <c r="M20" s="44">
        <v>80</v>
      </c>
      <c r="N20" s="44">
        <v>80</v>
      </c>
      <c r="O20" s="44">
        <v>70</v>
      </c>
    </row>
    <row r="21" spans="3:15">
      <c r="C21" s="44" t="s">
        <v>277</v>
      </c>
      <c r="E21" s="44" t="s">
        <v>278</v>
      </c>
      <c r="F21" s="44">
        <v>2050</v>
      </c>
      <c r="G21" s="44">
        <v>580</v>
      </c>
      <c r="H21" s="44">
        <v>330</v>
      </c>
      <c r="I21" s="44">
        <v>300</v>
      </c>
      <c r="J21" s="44">
        <v>270</v>
      </c>
      <c r="K21" s="44">
        <v>940</v>
      </c>
      <c r="L21" s="44">
        <v>770</v>
      </c>
      <c r="M21" s="44">
        <v>450</v>
      </c>
      <c r="N21" s="44">
        <v>480</v>
      </c>
      <c r="O21" s="44">
        <v>250</v>
      </c>
    </row>
    <row r="22" spans="3:15">
      <c r="C22" s="44" t="s">
        <v>277</v>
      </c>
      <c r="E22" s="44" t="s">
        <v>282</v>
      </c>
      <c r="F22" s="44">
        <v>2050</v>
      </c>
      <c r="G22" s="44">
        <v>18</v>
      </c>
      <c r="H22" s="44">
        <v>10</v>
      </c>
      <c r="I22" s="44">
        <v>10</v>
      </c>
      <c r="J22" s="44">
        <v>8</v>
      </c>
      <c r="K22" s="44">
        <v>24</v>
      </c>
      <c r="L22" s="44">
        <v>22</v>
      </c>
      <c r="M22" s="44">
        <v>12</v>
      </c>
      <c r="N22" s="44">
        <v>16</v>
      </c>
      <c r="O22" s="44">
        <v>8</v>
      </c>
    </row>
    <row r="23" spans="3:15">
      <c r="D23" s="44" t="s">
        <v>283</v>
      </c>
      <c r="E23" s="44" t="s">
        <v>278</v>
      </c>
      <c r="F23" s="44">
        <v>2050</v>
      </c>
      <c r="G23" s="44">
        <v>1740</v>
      </c>
      <c r="H23" s="44">
        <v>950</v>
      </c>
      <c r="I23" s="44">
        <v>1000</v>
      </c>
      <c r="J23" s="44">
        <v>1010</v>
      </c>
      <c r="K23" s="44">
        <v>3170</v>
      </c>
      <c r="L23" s="44">
        <v>1470</v>
      </c>
      <c r="M23" s="44">
        <v>1610</v>
      </c>
      <c r="N23" s="44">
        <v>1110</v>
      </c>
      <c r="O23" s="44">
        <v>1710</v>
      </c>
    </row>
    <row r="24" spans="3:15">
      <c r="D24" s="44" t="s">
        <v>283</v>
      </c>
      <c r="E24" s="44" t="s">
        <v>282</v>
      </c>
      <c r="F24" s="44">
        <v>2050</v>
      </c>
      <c r="G24" s="44">
        <v>44</v>
      </c>
      <c r="H24" s="44">
        <v>24</v>
      </c>
      <c r="I24" s="44">
        <v>26</v>
      </c>
      <c r="J24" s="44">
        <v>26</v>
      </c>
      <c r="K24" s="44">
        <v>82</v>
      </c>
      <c r="L24" s="44">
        <v>38</v>
      </c>
      <c r="M24" s="44">
        <v>42</v>
      </c>
      <c r="N24" s="44">
        <v>30</v>
      </c>
      <c r="O24" s="44">
        <v>44</v>
      </c>
    </row>
    <row r="25" spans="3:15">
      <c r="D25" s="44" t="s">
        <v>284</v>
      </c>
      <c r="E25" s="44" t="s">
        <v>278</v>
      </c>
      <c r="F25" s="44">
        <v>2050</v>
      </c>
      <c r="G25" s="44">
        <v>2080</v>
      </c>
      <c r="H25" s="44">
        <v>2160</v>
      </c>
      <c r="I25" s="44">
        <v>1420</v>
      </c>
      <c r="J25" s="44">
        <v>1500</v>
      </c>
      <c r="K25" s="44">
        <v>3160</v>
      </c>
      <c r="L25" s="44">
        <v>2280</v>
      </c>
      <c r="M25" s="44">
        <v>1740</v>
      </c>
      <c r="N25" s="44">
        <v>1900</v>
      </c>
      <c r="O25" s="44">
        <v>2180</v>
      </c>
    </row>
    <row r="26" spans="3:15">
      <c r="D26" s="44" t="s">
        <v>284</v>
      </c>
      <c r="E26" s="44" t="s">
        <v>282</v>
      </c>
      <c r="F26" s="44">
        <v>2050</v>
      </c>
      <c r="G26" s="44">
        <v>65</v>
      </c>
      <c r="H26" s="44">
        <v>65</v>
      </c>
      <c r="I26" s="44">
        <v>45</v>
      </c>
      <c r="J26" s="44">
        <v>45</v>
      </c>
      <c r="K26" s="44">
        <v>95</v>
      </c>
      <c r="L26" s="44">
        <v>70</v>
      </c>
      <c r="M26" s="44">
        <v>45</v>
      </c>
      <c r="N26" s="44">
        <v>70</v>
      </c>
      <c r="O26" s="44">
        <v>65</v>
      </c>
    </row>
    <row r="27" spans="3:15">
      <c r="C27" s="44" t="s">
        <v>285</v>
      </c>
      <c r="E27" s="44" t="s">
        <v>278</v>
      </c>
      <c r="F27" s="44">
        <v>2050</v>
      </c>
      <c r="G27" s="44">
        <v>3250</v>
      </c>
      <c r="H27" s="44">
        <v>3350</v>
      </c>
      <c r="I27" s="44">
        <v>2000</v>
      </c>
      <c r="J27" s="44">
        <v>3050</v>
      </c>
      <c r="K27" s="44">
        <v>3550</v>
      </c>
      <c r="L27" s="44">
        <v>3500</v>
      </c>
      <c r="M27" s="44">
        <v>3900</v>
      </c>
      <c r="N27" s="44">
        <v>4050</v>
      </c>
      <c r="O27" s="44">
        <v>3400</v>
      </c>
    </row>
    <row r="28" spans="3:15">
      <c r="C28" s="44" t="s">
        <v>285</v>
      </c>
      <c r="E28" s="44" t="s">
        <v>282</v>
      </c>
      <c r="F28" s="44">
        <v>2050</v>
      </c>
      <c r="G28" s="44">
        <v>65</v>
      </c>
      <c r="H28" s="44">
        <v>65</v>
      </c>
      <c r="I28" s="44">
        <v>40</v>
      </c>
      <c r="J28" s="44">
        <v>60</v>
      </c>
      <c r="K28" s="44">
        <v>70</v>
      </c>
      <c r="L28" s="44">
        <v>70</v>
      </c>
      <c r="M28" s="44">
        <v>80</v>
      </c>
      <c r="N28" s="44">
        <v>80</v>
      </c>
      <c r="O28" s="44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60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60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60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60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60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60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40" t="s">
        <v>53</v>
      </c>
      <c r="C11" s="40"/>
      <c r="D11" s="40"/>
      <c r="E11" s="40"/>
      <c r="F11" s="40"/>
    </row>
    <row r="12" spans="2:36">
      <c r="B12" s="40"/>
      <c r="C12" s="40"/>
      <c r="D12" s="40"/>
      <c r="E12" s="40"/>
      <c r="F12" s="40"/>
    </row>
    <row r="13" spans="2:36">
      <c r="B13" s="40" t="s">
        <v>56</v>
      </c>
      <c r="C13" s="40" t="s">
        <v>5</v>
      </c>
      <c r="D13" s="40" t="s">
        <v>309</v>
      </c>
      <c r="E13" s="40" t="s">
        <v>288</v>
      </c>
      <c r="F13" s="62" t="s">
        <v>75</v>
      </c>
      <c r="K13" t="s">
        <v>326</v>
      </c>
    </row>
    <row r="14" spans="2:36">
      <c r="B14" s="40" t="s">
        <v>327</v>
      </c>
      <c r="C14" s="40" t="s">
        <v>112</v>
      </c>
      <c r="D14" s="40" t="s">
        <v>310</v>
      </c>
      <c r="E14" s="40" t="s">
        <v>114</v>
      </c>
      <c r="F14" s="4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1" t="s">
        <v>328</v>
      </c>
      <c r="L16" s="41">
        <v>2020</v>
      </c>
      <c r="M16" s="42">
        <f t="shared" ref="M16:AJ16" si="1">SUMIFS($D$19:$D$199,$C$19:$C$199,$L16,$B$19:$B$199,M$14)/5</f>
        <v>0.00138</v>
      </c>
      <c r="N16" s="42">
        <f t="shared" si="1"/>
        <v>0.0052</v>
      </c>
      <c r="O16" s="42">
        <f t="shared" si="1"/>
        <v>0.0238</v>
      </c>
      <c r="P16" s="42">
        <f t="shared" si="1"/>
        <v>0.003949</v>
      </c>
      <c r="Q16" s="42">
        <f t="shared" si="1"/>
        <v>0.266</v>
      </c>
      <c r="R16" s="42">
        <f t="shared" si="1"/>
        <v>0.037</v>
      </c>
      <c r="S16" s="42">
        <f t="shared" si="1"/>
        <v>0.0796</v>
      </c>
      <c r="T16" s="42">
        <f t="shared" si="1"/>
        <v>0.0004</v>
      </c>
      <c r="U16" s="42">
        <f t="shared" si="1"/>
        <v>0.0008</v>
      </c>
      <c r="V16" s="42">
        <f t="shared" si="1"/>
        <v>0.001</v>
      </c>
      <c r="W16" s="42">
        <f t="shared" si="1"/>
        <v>0.0064</v>
      </c>
      <c r="X16" s="42">
        <f t="shared" si="1"/>
        <v>0.0058</v>
      </c>
      <c r="Y16" s="42">
        <f t="shared" si="1"/>
        <v>2e-5</v>
      </c>
      <c r="Z16" s="42">
        <f t="shared" si="1"/>
        <v>0.0016</v>
      </c>
      <c r="AA16" s="42">
        <f t="shared" si="1"/>
        <v>0.076</v>
      </c>
      <c r="AB16" s="42">
        <f t="shared" si="1"/>
        <v>0.0212</v>
      </c>
      <c r="AC16" s="42">
        <f t="shared" si="1"/>
        <v>0.0016</v>
      </c>
      <c r="AD16" s="42">
        <f t="shared" si="1"/>
        <v>0.0066</v>
      </c>
      <c r="AE16" s="42">
        <f t="shared" si="1"/>
        <v>4e-5</v>
      </c>
      <c r="AF16" s="42">
        <f t="shared" si="1"/>
        <v>0.0066</v>
      </c>
      <c r="AG16" s="42">
        <f t="shared" si="1"/>
        <v>0.0244</v>
      </c>
      <c r="AH16" s="42">
        <f t="shared" si="1"/>
        <v>0.0056</v>
      </c>
      <c r="AI16" s="42">
        <f t="shared" si="1"/>
        <v>0.0004</v>
      </c>
      <c r="AJ16" s="42">
        <f t="shared" si="1"/>
        <v>0.0352</v>
      </c>
    </row>
    <row r="17" spans="1:36">
      <c r="K17" s="41" t="s">
        <v>328</v>
      </c>
      <c r="L17" s="41">
        <v>2021</v>
      </c>
      <c r="M17" s="42">
        <f t="shared" ref="M17:V20" si="2">SUMIFS($D$19:$D$199,$C$19:$C$199,$L17,$B$19:$B$199,M$14)/5</f>
        <v>0.0042</v>
      </c>
      <c r="N17" s="42">
        <f t="shared" si="2"/>
        <v>0.0082</v>
      </c>
      <c r="O17" s="42">
        <f t="shared" si="2"/>
        <v>0.0402</v>
      </c>
      <c r="P17" s="42">
        <f t="shared" si="2"/>
        <v>0.0065</v>
      </c>
      <c r="Q17" s="42">
        <f t="shared" si="2"/>
        <v>0.68</v>
      </c>
      <c r="R17" s="42">
        <f t="shared" si="2"/>
        <v>0.063</v>
      </c>
      <c r="S17" s="42">
        <f t="shared" si="2"/>
        <v>0.1362</v>
      </c>
      <c r="T17" s="42">
        <f t="shared" si="2"/>
        <v>0.001</v>
      </c>
      <c r="U17" s="42">
        <f t="shared" si="2"/>
        <v>0.0016</v>
      </c>
      <c r="V17" s="42">
        <f t="shared" si="2"/>
        <v>0.0032</v>
      </c>
      <c r="W17" s="42">
        <f t="shared" ref="W17:AJ20" si="3">SUMIFS($D$19:$D$199,$C$19:$C$199,$L17,$B$19:$B$199,W$14)/5</f>
        <v>0.0134</v>
      </c>
      <c r="X17" s="42">
        <f t="shared" si="3"/>
        <v>0.0088</v>
      </c>
      <c r="Y17" s="42">
        <f t="shared" si="3"/>
        <v>6e-5</v>
      </c>
      <c r="Z17" s="42">
        <f t="shared" si="3"/>
        <v>0.004</v>
      </c>
      <c r="AA17" s="42">
        <f t="shared" si="3"/>
        <v>0.1512</v>
      </c>
      <c r="AB17" s="42">
        <f t="shared" si="3"/>
        <v>0.0278</v>
      </c>
      <c r="AC17" s="42">
        <f t="shared" si="3"/>
        <v>0.0024</v>
      </c>
      <c r="AD17" s="42">
        <f t="shared" si="3"/>
        <v>0.0242</v>
      </c>
      <c r="AE17" s="42">
        <f t="shared" si="3"/>
        <v>8e-5</v>
      </c>
      <c r="AF17" s="42">
        <f t="shared" si="3"/>
        <v>0.0146</v>
      </c>
      <c r="AG17" s="42">
        <f t="shared" si="3"/>
        <v>0.0388</v>
      </c>
      <c r="AH17" s="42">
        <f t="shared" si="3"/>
        <v>0.0096</v>
      </c>
      <c r="AI17" s="42">
        <f t="shared" si="3"/>
        <v>0.001</v>
      </c>
      <c r="AJ17" s="42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41" t="s">
        <v>328</v>
      </c>
      <c r="L18" s="41">
        <v>2022</v>
      </c>
      <c r="M18" s="42">
        <f t="shared" si="2"/>
        <v>0.013</v>
      </c>
      <c r="N18" s="42">
        <f t="shared" si="2"/>
        <v>0.011</v>
      </c>
      <c r="O18" s="42">
        <f t="shared" si="2"/>
        <v>0.064</v>
      </c>
      <c r="P18" s="42">
        <f t="shared" si="2"/>
        <v>0.01</v>
      </c>
      <c r="Q18" s="42">
        <f t="shared" si="2"/>
        <v>1.24</v>
      </c>
      <c r="R18" s="42">
        <f t="shared" si="2"/>
        <v>0.08</v>
      </c>
      <c r="S18" s="42">
        <f t="shared" si="2"/>
        <v>0.166</v>
      </c>
      <c r="T18" s="42">
        <f t="shared" si="2"/>
        <v>0.0026</v>
      </c>
      <c r="U18" s="42">
        <f t="shared" si="2"/>
        <v>0.0022</v>
      </c>
      <c r="V18" s="42">
        <f t="shared" si="2"/>
        <v>0.0102</v>
      </c>
      <c r="W18" s="42">
        <f t="shared" si="3"/>
        <v>0.022</v>
      </c>
      <c r="X18" s="42">
        <f t="shared" si="3"/>
        <v>0.0184</v>
      </c>
      <c r="Y18" s="42">
        <f t="shared" si="3"/>
        <v>0.00012</v>
      </c>
      <c r="Z18" s="42">
        <f t="shared" si="3"/>
        <v>0.008</v>
      </c>
      <c r="AA18" s="42">
        <f t="shared" si="3"/>
        <v>0.2132</v>
      </c>
      <c r="AB18" s="42">
        <f t="shared" si="3"/>
        <v>0.027</v>
      </c>
      <c r="AC18" s="42">
        <f t="shared" si="3"/>
        <v>0.0048</v>
      </c>
      <c r="AD18" s="42">
        <f t="shared" si="3"/>
        <v>0.0314</v>
      </c>
      <c r="AE18" s="42">
        <f t="shared" si="3"/>
        <v>0.00016</v>
      </c>
      <c r="AF18" s="42">
        <f t="shared" si="3"/>
        <v>0.026</v>
      </c>
      <c r="AG18" s="42">
        <f t="shared" si="3"/>
        <v>0.0524</v>
      </c>
      <c r="AH18" s="42">
        <f t="shared" si="3"/>
        <v>0.0124</v>
      </c>
      <c r="AI18" s="42">
        <f t="shared" si="3"/>
        <v>0.007</v>
      </c>
      <c r="AJ18" s="42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41" t="s">
        <v>328</v>
      </c>
      <c r="L19" s="41">
        <v>2023</v>
      </c>
      <c r="M19" s="42">
        <f t="shared" si="2"/>
        <v>0.0196</v>
      </c>
      <c r="N19" s="42">
        <f t="shared" si="2"/>
        <v>0.013</v>
      </c>
      <c r="O19" s="42">
        <f t="shared" si="2"/>
        <v>0.0806</v>
      </c>
      <c r="P19" s="42">
        <f t="shared" si="2"/>
        <v>0.0104</v>
      </c>
      <c r="Q19" s="42">
        <f t="shared" si="2"/>
        <v>1.62</v>
      </c>
      <c r="R19" s="42">
        <f t="shared" si="2"/>
        <v>0.094</v>
      </c>
      <c r="S19" s="42">
        <f t="shared" si="2"/>
        <v>0.14</v>
      </c>
      <c r="T19" s="42">
        <f t="shared" si="2"/>
        <v>0.0034</v>
      </c>
      <c r="U19" s="42">
        <f t="shared" si="2"/>
        <v>0.00248</v>
      </c>
      <c r="V19" s="42">
        <f t="shared" si="2"/>
        <v>0.016454</v>
      </c>
      <c r="W19" s="42">
        <f t="shared" si="3"/>
        <v>0.0272</v>
      </c>
      <c r="X19" s="42">
        <f t="shared" si="3"/>
        <v>0.02806</v>
      </c>
      <c r="Y19" s="42">
        <f t="shared" si="3"/>
        <v>0.000184</v>
      </c>
      <c r="Z19" s="42">
        <f t="shared" si="3"/>
        <v>0.013</v>
      </c>
      <c r="AA19" s="42">
        <f t="shared" si="3"/>
        <v>0.31524</v>
      </c>
      <c r="AB19" s="42">
        <f t="shared" si="3"/>
        <v>0.022</v>
      </c>
      <c r="AC19" s="42">
        <f t="shared" si="3"/>
        <v>0.00602</v>
      </c>
      <c r="AD19" s="42">
        <f t="shared" si="3"/>
        <v>0.03486</v>
      </c>
      <c r="AE19" s="42">
        <f t="shared" si="3"/>
        <v>0.000216</v>
      </c>
      <c r="AF19" s="42">
        <f t="shared" si="3"/>
        <v>0.037</v>
      </c>
      <c r="AG19" s="42">
        <f t="shared" si="3"/>
        <v>0.0598</v>
      </c>
      <c r="AH19" s="42">
        <f t="shared" si="3"/>
        <v>0.0152</v>
      </c>
      <c r="AI19" s="42">
        <f t="shared" si="3"/>
        <v>0.01374</v>
      </c>
      <c r="AJ19" s="42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41" t="s">
        <v>328</v>
      </c>
      <c r="L20" s="41">
        <v>2024</v>
      </c>
      <c r="M20" s="42">
        <f t="shared" si="2"/>
        <v>0.0182</v>
      </c>
      <c r="N20" s="42">
        <f t="shared" si="2"/>
        <v>0</v>
      </c>
      <c r="O20" s="42">
        <f t="shared" si="2"/>
        <v>0.0264332</v>
      </c>
      <c r="P20" s="42">
        <f t="shared" si="2"/>
        <v>0.025</v>
      </c>
      <c r="Q20" s="42">
        <f t="shared" si="2"/>
        <v>2.24</v>
      </c>
      <c r="R20" s="42">
        <f t="shared" si="2"/>
        <v>0.0582286</v>
      </c>
      <c r="S20" s="42">
        <f t="shared" si="2"/>
        <v>0.0761218</v>
      </c>
      <c r="T20" s="42">
        <f t="shared" si="2"/>
        <v>0</v>
      </c>
      <c r="U20" s="42">
        <f t="shared" si="2"/>
        <v>0</v>
      </c>
      <c r="V20" s="42">
        <f t="shared" si="2"/>
        <v>0</v>
      </c>
      <c r="W20" s="42">
        <f t="shared" si="3"/>
        <v>0.0129966</v>
      </c>
      <c r="X20" s="42">
        <f t="shared" si="3"/>
        <v>0</v>
      </c>
      <c r="Y20" s="42">
        <f t="shared" si="3"/>
        <v>0</v>
      </c>
      <c r="Z20" s="42">
        <f t="shared" si="3"/>
        <v>0</v>
      </c>
      <c r="AA20" s="42">
        <f t="shared" si="3"/>
        <v>0.26</v>
      </c>
      <c r="AB20" s="42">
        <f t="shared" si="3"/>
        <v>0.0228818</v>
      </c>
      <c r="AC20" s="42">
        <f t="shared" si="3"/>
        <v>0</v>
      </c>
      <c r="AD20" s="42">
        <f t="shared" si="3"/>
        <v>0</v>
      </c>
      <c r="AE20" s="42">
        <f t="shared" si="3"/>
        <v>0</v>
      </c>
      <c r="AF20" s="42">
        <f t="shared" si="3"/>
        <v>0</v>
      </c>
      <c r="AG20" s="42">
        <f t="shared" si="3"/>
        <v>0.0188664</v>
      </c>
      <c r="AH20" s="42">
        <f t="shared" si="3"/>
        <v>0</v>
      </c>
      <c r="AI20" s="42">
        <f t="shared" si="3"/>
        <v>0</v>
      </c>
      <c r="AJ20" s="42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3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3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5" t="s">
        <v>338</v>
      </c>
      <c r="O2" s="5" t="s">
        <v>339</v>
      </c>
    </row>
    <row r="3" ht="58" spans="2:15">
      <c r="M3" t="s">
        <v>340</v>
      </c>
      <c r="N3" s="5" t="s">
        <v>341</v>
      </c>
      <c r="O3" s="39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5">
        <f>F8^15</f>
        <v>0.463291230159753</v>
      </c>
      <c r="Q8" s="25">
        <f>G8^15</f>
        <v>0.205891132094649</v>
      </c>
      <c r="S8" s="38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8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419</v>
      </c>
      <c r="AC1" s="36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430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5">
        <v>39.18</v>
      </c>
      <c r="G3" s="25" t="s">
        <v>435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5">
        <v>19.34</v>
      </c>
      <c r="G4" s="25" t="s">
        <v>435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430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441</v>
      </c>
    </row>
    <row r="13" spans="1:49">
      <c r="A13" s="28" t="s">
        <v>442</v>
      </c>
      <c r="B13" s="28"/>
      <c r="C13" s="28"/>
    </row>
    <row r="14" spans="1:49">
      <c r="A14" s="28" t="s">
        <v>443</v>
      </c>
      <c r="B14" s="28"/>
      <c r="C14" s="28"/>
    </row>
    <row r="15" spans="1:49">
      <c r="A15" s="28" t="s">
        <v>444</v>
      </c>
      <c r="B15" s="28"/>
      <c r="C15" s="28"/>
    </row>
    <row r="17" spans="1:13">
      <c r="A17" s="28" t="s">
        <v>445</v>
      </c>
      <c r="B17" s="28" t="s">
        <v>446</v>
      </c>
      <c r="C17" s="28" t="s">
        <v>447</v>
      </c>
    </row>
    <row r="18" spans="1:13">
      <c r="A18" s="28" t="s">
        <v>448</v>
      </c>
      <c r="B18" s="28" t="s">
        <v>449</v>
      </c>
      <c r="C18" s="28">
        <v>253</v>
      </c>
    </row>
    <row r="19" spans="1:13">
      <c r="A19" s="28" t="s">
        <v>450</v>
      </c>
      <c r="B19" s="28" t="s">
        <v>449</v>
      </c>
      <c r="C19" s="28">
        <v>203</v>
      </c>
      <c r="G19" t="s">
        <v>89</v>
      </c>
    </row>
    <row r="20" spans="1:13">
      <c r="A20" s="28" t="s">
        <v>451</v>
      </c>
      <c r="B20" s="28" t="s">
        <v>452</v>
      </c>
      <c r="C20" s="28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8" t="s">
        <v>453</v>
      </c>
      <c r="B21" s="28" t="s">
        <v>452</v>
      </c>
      <c r="C21" s="28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8" t="s">
        <v>457</v>
      </c>
      <c r="B22" s="28" t="s">
        <v>452</v>
      </c>
      <c r="C22" s="28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8" t="s">
        <v>459</v>
      </c>
      <c r="B23" s="28" t="s">
        <v>449</v>
      </c>
      <c r="C23" s="28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8" t="s">
        <v>461</v>
      </c>
      <c r="B24" s="28" t="s">
        <v>449</v>
      </c>
      <c r="C24" s="28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8" t="s">
        <v>463</v>
      </c>
      <c r="B25" s="28" t="s">
        <v>464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468</v>
      </c>
      <c r="E1" s="26" t="s">
        <v>469</v>
      </c>
      <c r="F1" s="26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7" t="s">
        <v>473</v>
      </c>
      <c r="E2" s="27">
        <f>N12</f>
        <v>55.99</v>
      </c>
      <c r="F2" s="27" t="s">
        <v>474</v>
      </c>
      <c r="G2" s="28" t="s">
        <v>475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7" t="s">
        <v>478</v>
      </c>
      <c r="E3" s="27">
        <f>E5</f>
        <v>98.43</v>
      </c>
      <c r="F3" s="27" t="s">
        <v>479</v>
      </c>
      <c r="G3" s="28"/>
      <c r="H3" s="28" t="s">
        <v>480</v>
      </c>
      <c r="I3" s="28"/>
      <c r="J3" s="28" t="s">
        <v>481</v>
      </c>
      <c r="K3" s="28"/>
      <c r="L3" s="28" t="s">
        <v>482</v>
      </c>
      <c r="M3" s="28" t="s">
        <v>481</v>
      </c>
      <c r="N3" s="28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9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7" t="s">
        <v>489</v>
      </c>
      <c r="E4" s="27">
        <f>E3</f>
        <v>98.43</v>
      </c>
      <c r="F4" s="27" t="str">
        <f>F3</f>
        <v>b</v>
      </c>
      <c r="G4" s="28" t="s">
        <v>490</v>
      </c>
      <c r="H4" s="28" t="s">
        <v>491</v>
      </c>
      <c r="I4" s="28"/>
      <c r="J4" s="28" t="s">
        <v>491</v>
      </c>
      <c r="K4" s="28"/>
      <c r="L4" s="28" t="s">
        <v>492</v>
      </c>
      <c r="M4" s="28" t="s">
        <v>492</v>
      </c>
      <c r="N4" s="28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7" t="s">
        <v>495</v>
      </c>
      <c r="E5" s="27">
        <f>N30</f>
        <v>98.43</v>
      </c>
      <c r="F5" s="27" t="s">
        <v>474</v>
      </c>
      <c r="G5" s="28" t="s">
        <v>496</v>
      </c>
      <c r="H5" s="28"/>
      <c r="I5" s="28"/>
      <c r="J5" s="28"/>
      <c r="K5" s="28"/>
      <c r="L5" s="28"/>
      <c r="M5" s="28"/>
      <c r="N5" s="28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7" t="s">
        <v>498</v>
      </c>
      <c r="E6" s="27">
        <f>E5</f>
        <v>98.43</v>
      </c>
      <c r="F6" s="27" t="s">
        <v>474</v>
      </c>
      <c r="G6" s="28" t="s">
        <v>499</v>
      </c>
      <c r="H6" s="28">
        <v>12.7</v>
      </c>
      <c r="I6" s="28" t="s">
        <v>500</v>
      </c>
      <c r="J6" s="28">
        <v>5.76</v>
      </c>
      <c r="K6" s="28" t="s">
        <v>500</v>
      </c>
      <c r="L6" s="28">
        <v>139.05</v>
      </c>
      <c r="M6" s="28">
        <v>63.07</v>
      </c>
      <c r="N6" s="28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484</v>
      </c>
      <c r="Y6" s="30"/>
      <c r="Z6" s="30" t="s">
        <v>501</v>
      </c>
      <c r="AA6" s="30" t="s">
        <v>383</v>
      </c>
      <c r="AB6" s="31">
        <v>-0.001</v>
      </c>
    </row>
    <row r="7" spans="1:35">
      <c r="A7" t="s">
        <v>502</v>
      </c>
      <c r="B7" t="str">
        <f t="shared" si="0"/>
        <v>COA</v>
      </c>
      <c r="D7" s="27" t="s">
        <v>503</v>
      </c>
      <c r="E7" s="27">
        <f>N32</f>
        <v>103.08</v>
      </c>
      <c r="F7" s="27" t="s">
        <v>474</v>
      </c>
      <c r="G7" s="28" t="s">
        <v>504</v>
      </c>
      <c r="H7" s="28">
        <v>14.8</v>
      </c>
      <c r="I7" s="28" t="s">
        <v>500</v>
      </c>
      <c r="J7" s="28">
        <v>6.71</v>
      </c>
      <c r="K7" s="28" t="s">
        <v>500</v>
      </c>
      <c r="L7" s="28">
        <v>143.2</v>
      </c>
      <c r="M7" s="28">
        <v>64.95</v>
      </c>
      <c r="N7" s="28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7" t="s">
        <v>506</v>
      </c>
      <c r="E8" s="27">
        <f>E2</f>
        <v>55.99</v>
      </c>
      <c r="F8" s="27" t="s">
        <v>474</v>
      </c>
      <c r="G8" s="28" t="s">
        <v>507</v>
      </c>
      <c r="H8" s="28">
        <v>13.7</v>
      </c>
      <c r="I8" s="28" t="s">
        <v>500</v>
      </c>
      <c r="J8" s="28">
        <v>6.21</v>
      </c>
      <c r="K8" s="28" t="s">
        <v>500</v>
      </c>
      <c r="L8" s="28">
        <v>141.12</v>
      </c>
      <c r="M8" s="28">
        <v>64.01</v>
      </c>
      <c r="N8" s="28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7" t="s">
        <v>510</v>
      </c>
      <c r="E9" s="27">
        <f>N33</f>
        <v>120.4</v>
      </c>
      <c r="F9" s="27" t="s">
        <v>474</v>
      </c>
      <c r="G9" s="28" t="s">
        <v>511</v>
      </c>
      <c r="H9" s="28">
        <v>22.4</v>
      </c>
      <c r="I9" s="28" t="s">
        <v>500</v>
      </c>
      <c r="J9" s="28">
        <v>10.16</v>
      </c>
      <c r="K9" s="28" t="s">
        <v>500</v>
      </c>
      <c r="L9" s="28">
        <v>161.3</v>
      </c>
      <c r="M9" s="28">
        <v>73.16</v>
      </c>
      <c r="N9" s="28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7" t="s">
        <v>513</v>
      </c>
      <c r="E10" s="27">
        <f>N9</f>
        <v>77.19</v>
      </c>
      <c r="F10" s="27" t="s">
        <v>514</v>
      </c>
      <c r="G10" s="28" t="s">
        <v>515</v>
      </c>
      <c r="H10" s="28">
        <v>21.5</v>
      </c>
      <c r="I10" s="28" t="s">
        <v>500</v>
      </c>
      <c r="J10" s="28">
        <v>9.75</v>
      </c>
      <c r="K10" s="28" t="s">
        <v>500</v>
      </c>
      <c r="L10" s="28">
        <v>159.4</v>
      </c>
      <c r="M10" s="28">
        <v>72.3</v>
      </c>
      <c r="N10" s="28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7" t="s">
        <v>516</v>
      </c>
      <c r="E11" s="27">
        <f>N6</f>
        <v>66.54</v>
      </c>
      <c r="F11" s="27" t="s">
        <v>517</v>
      </c>
      <c r="G11" s="28" t="s">
        <v>518</v>
      </c>
      <c r="H11" s="32">
        <v>4631.5</v>
      </c>
      <c r="I11" s="28" t="s">
        <v>519</v>
      </c>
      <c r="J11" s="32">
        <v>2100.82</v>
      </c>
      <c r="K11" s="28" t="s">
        <v>519</v>
      </c>
      <c r="L11" s="28">
        <v>210.2</v>
      </c>
      <c r="M11" s="28">
        <v>95.35</v>
      </c>
      <c r="N11" s="28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7" t="s">
        <v>523</v>
      </c>
      <c r="E12" s="27">
        <f>N12</f>
        <v>55.99</v>
      </c>
      <c r="F12" s="27" t="s">
        <v>517</v>
      </c>
      <c r="G12" s="28" t="s">
        <v>524</v>
      </c>
      <c r="H12" s="28">
        <v>117.1</v>
      </c>
      <c r="I12" s="28" t="s">
        <v>525</v>
      </c>
      <c r="J12" s="28">
        <v>53.12</v>
      </c>
      <c r="K12" s="28" t="s">
        <v>525</v>
      </c>
      <c r="L12" s="28">
        <v>117</v>
      </c>
      <c r="M12" s="28">
        <v>53.07</v>
      </c>
      <c r="N12" s="28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7" t="s">
        <v>527</v>
      </c>
      <c r="E13" s="27">
        <f>N13</f>
        <v>75.22</v>
      </c>
      <c r="F13" s="27" t="s">
        <v>514</v>
      </c>
      <c r="G13" s="28" t="s">
        <v>528</v>
      </c>
      <c r="H13" s="28">
        <v>19.6</v>
      </c>
      <c r="I13" s="28" t="s">
        <v>500</v>
      </c>
      <c r="J13" s="28">
        <v>8.89</v>
      </c>
      <c r="K13" s="28" t="s">
        <v>500</v>
      </c>
      <c r="L13" s="28">
        <v>157.2</v>
      </c>
      <c r="M13" s="28">
        <v>71.3</v>
      </c>
      <c r="N13" s="28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7" t="s">
        <v>530</v>
      </c>
      <c r="E14" s="27">
        <f>N26</f>
        <v>76.81</v>
      </c>
      <c r="F14" s="27" t="s">
        <v>514</v>
      </c>
      <c r="G14" s="28" t="s">
        <v>531</v>
      </c>
      <c r="H14" s="28">
        <v>26</v>
      </c>
      <c r="I14" s="28" t="s">
        <v>500</v>
      </c>
      <c r="J14" s="28">
        <v>11.79</v>
      </c>
      <c r="K14" s="28" t="s">
        <v>500</v>
      </c>
      <c r="L14" s="28">
        <v>173.7</v>
      </c>
      <c r="M14" s="28">
        <v>78.79</v>
      </c>
      <c r="N14" s="28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7" t="s">
        <v>534</v>
      </c>
      <c r="E15" s="27">
        <f>N14</f>
        <v>83.12</v>
      </c>
      <c r="F15" s="27" t="s">
        <v>514</v>
      </c>
      <c r="G15" s="28" t="s">
        <v>535</v>
      </c>
      <c r="H15" s="28"/>
      <c r="I15" s="28"/>
      <c r="J15" s="28"/>
      <c r="K15" s="28"/>
      <c r="L15" s="28"/>
      <c r="M15" s="28"/>
      <c r="N15" s="28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7" t="s">
        <v>537</v>
      </c>
      <c r="E16" s="27">
        <f>N16</f>
        <v>74.8</v>
      </c>
      <c r="F16" s="27" t="s">
        <v>514</v>
      </c>
      <c r="G16" s="28" t="s">
        <v>538</v>
      </c>
      <c r="H16" s="28">
        <v>21.1</v>
      </c>
      <c r="I16" s="28" t="s">
        <v>500</v>
      </c>
      <c r="J16" s="28">
        <v>9.57</v>
      </c>
      <c r="K16" s="28" t="s">
        <v>500</v>
      </c>
      <c r="L16" s="28">
        <v>156.3</v>
      </c>
      <c r="M16" s="28">
        <v>70.9</v>
      </c>
      <c r="N16" s="28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7" t="s">
        <v>539</v>
      </c>
      <c r="E17" s="27">
        <f>N10</f>
        <v>76.28</v>
      </c>
      <c r="F17" s="27" t="s">
        <v>514</v>
      </c>
      <c r="G17" s="28" t="s">
        <v>540</v>
      </c>
      <c r="H17" s="28">
        <v>18.4</v>
      </c>
      <c r="I17" s="28" t="s">
        <v>500</v>
      </c>
      <c r="J17" s="28">
        <v>8.35</v>
      </c>
      <c r="K17" s="28" t="s">
        <v>500</v>
      </c>
      <c r="L17" s="28">
        <v>152.6</v>
      </c>
      <c r="M17" s="28">
        <v>69.2</v>
      </c>
      <c r="N17" s="28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7" t="s">
        <v>542</v>
      </c>
      <c r="E18" s="27">
        <f>N8</f>
        <v>67.53</v>
      </c>
      <c r="F18" s="27" t="s">
        <v>514</v>
      </c>
      <c r="G18" s="28" t="s">
        <v>543</v>
      </c>
      <c r="H18" s="28"/>
      <c r="I18" s="28"/>
      <c r="J18" s="28"/>
      <c r="K18" s="28"/>
      <c r="L18" s="28"/>
      <c r="M18" s="28"/>
      <c r="N18" s="28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7" t="s">
        <v>545</v>
      </c>
      <c r="E19" s="27">
        <f>N12</f>
        <v>55.99</v>
      </c>
      <c r="F19" s="27" t="s">
        <v>517</v>
      </c>
      <c r="G19" s="28" t="s">
        <v>546</v>
      </c>
      <c r="H19" s="28">
        <v>120.7</v>
      </c>
      <c r="I19" s="28" t="s">
        <v>525</v>
      </c>
      <c r="J19" s="28">
        <v>54.75</v>
      </c>
      <c r="K19" s="28" t="s">
        <v>525</v>
      </c>
      <c r="L19" s="28">
        <v>120.6</v>
      </c>
      <c r="M19" s="28">
        <v>54.7</v>
      </c>
      <c r="N19" s="28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7" t="s">
        <v>548</v>
      </c>
      <c r="E20" s="27">
        <f>N14</f>
        <v>83.12</v>
      </c>
      <c r="F20" s="27" t="s">
        <v>514</v>
      </c>
      <c r="G20" s="28" t="s">
        <v>549</v>
      </c>
      <c r="H20" s="28">
        <v>32.4</v>
      </c>
      <c r="I20" s="28" t="s">
        <v>500</v>
      </c>
      <c r="J20" s="28">
        <v>14.7</v>
      </c>
      <c r="K20" s="28" t="s">
        <v>500</v>
      </c>
      <c r="L20" s="28">
        <v>225.1</v>
      </c>
      <c r="M20" s="28">
        <v>102.1</v>
      </c>
      <c r="N20" s="28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7" t="s">
        <v>553</v>
      </c>
      <c r="E21" s="27">
        <f>N14</f>
        <v>83.12</v>
      </c>
      <c r="F21" s="27" t="s">
        <v>514</v>
      </c>
      <c r="G21" s="28" t="s">
        <v>554</v>
      </c>
      <c r="H21" s="28">
        <v>22.09</v>
      </c>
      <c r="I21" s="28" t="s">
        <v>500</v>
      </c>
      <c r="J21" s="28">
        <v>10.02</v>
      </c>
      <c r="K21" s="28" t="s">
        <v>500</v>
      </c>
      <c r="L21" s="28">
        <v>160.1</v>
      </c>
      <c r="M21" s="28">
        <v>72.62</v>
      </c>
      <c r="N21" s="28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7" t="s">
        <v>558</v>
      </c>
      <c r="E22" s="27">
        <f>E10</f>
        <v>77.19</v>
      </c>
      <c r="F22" s="27" t="s">
        <v>514</v>
      </c>
      <c r="G22" s="28" t="s">
        <v>559</v>
      </c>
      <c r="H22" s="28"/>
      <c r="I22" s="28"/>
      <c r="J22" s="28"/>
      <c r="K22" s="28"/>
      <c r="L22" s="28"/>
      <c r="M22" s="28"/>
      <c r="N22" s="28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7" t="s">
        <v>562</v>
      </c>
      <c r="E23" s="27">
        <f>N33</f>
        <v>120.4</v>
      </c>
      <c r="F23" s="27" t="s">
        <v>474</v>
      </c>
      <c r="G23" s="28" t="s">
        <v>563</v>
      </c>
      <c r="H23" s="28">
        <v>26.34</v>
      </c>
      <c r="I23" s="28" t="s">
        <v>500</v>
      </c>
      <c r="J23" s="28">
        <v>11.95</v>
      </c>
      <c r="K23" s="28" t="s">
        <v>500</v>
      </c>
      <c r="L23" s="28">
        <v>166.7</v>
      </c>
      <c r="M23" s="28">
        <v>75.61</v>
      </c>
      <c r="N23" s="28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7" t="s">
        <v>569</v>
      </c>
      <c r="E24" s="27">
        <f>N20</f>
        <v>107.72</v>
      </c>
      <c r="F24" s="27" t="s">
        <v>514</v>
      </c>
      <c r="G24" s="28" t="s">
        <v>570</v>
      </c>
      <c r="H24" s="28">
        <v>23.62</v>
      </c>
      <c r="I24" s="28" t="s">
        <v>500</v>
      </c>
      <c r="J24" s="28">
        <v>10.72</v>
      </c>
      <c r="K24" s="28" t="s">
        <v>500</v>
      </c>
      <c r="L24" s="28">
        <v>163.6</v>
      </c>
      <c r="M24" s="28">
        <v>74.21</v>
      </c>
      <c r="N24" s="28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7" t="s">
        <v>572</v>
      </c>
      <c r="E25" s="27">
        <f>E2</f>
        <v>55.99</v>
      </c>
      <c r="F25" s="27" t="s">
        <v>514</v>
      </c>
      <c r="G25" s="28" t="s">
        <v>573</v>
      </c>
      <c r="H25" s="28">
        <v>24.74</v>
      </c>
      <c r="I25" s="28" t="s">
        <v>500</v>
      </c>
      <c r="J25" s="28">
        <v>11.22</v>
      </c>
      <c r="K25" s="28" t="s">
        <v>500</v>
      </c>
      <c r="L25" s="28">
        <v>156.6</v>
      </c>
      <c r="M25" s="28">
        <v>71.03</v>
      </c>
      <c r="N25" s="28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7" t="s">
        <v>575</v>
      </c>
      <c r="E26" s="27">
        <f>N9</f>
        <v>77.19</v>
      </c>
      <c r="F26" s="27" t="s">
        <v>514</v>
      </c>
      <c r="G26" s="28" t="s">
        <v>576</v>
      </c>
      <c r="H26" s="28">
        <v>20.05</v>
      </c>
      <c r="I26" s="28" t="s">
        <v>500</v>
      </c>
      <c r="J26" s="28">
        <v>9.1</v>
      </c>
      <c r="K26" s="28" t="s">
        <v>500</v>
      </c>
      <c r="L26" s="28">
        <v>160.5</v>
      </c>
      <c r="M26" s="28">
        <v>72.8</v>
      </c>
      <c r="N26" s="28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7" t="s">
        <v>578</v>
      </c>
      <c r="E27" s="27">
        <f>N36</f>
        <v>43.98</v>
      </c>
      <c r="F27" s="27" t="s">
        <v>579</v>
      </c>
      <c r="G27" s="28" t="s">
        <v>580</v>
      </c>
      <c r="H27" s="28">
        <v>21.11</v>
      </c>
      <c r="I27" s="28" t="s">
        <v>500</v>
      </c>
      <c r="J27" s="28">
        <v>9.57</v>
      </c>
      <c r="K27" s="28" t="s">
        <v>500</v>
      </c>
      <c r="L27" s="28">
        <v>160.1</v>
      </c>
      <c r="M27" s="28">
        <v>72.62</v>
      </c>
      <c r="N27" s="28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8" t="s">
        <v>582</v>
      </c>
      <c r="H28" s="28"/>
      <c r="I28" s="28"/>
      <c r="J28" s="28"/>
      <c r="K28" s="28"/>
      <c r="L28" s="28"/>
      <c r="M28" s="28"/>
      <c r="N28" s="28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583</v>
      </c>
      <c r="H29" s="32">
        <v>5685</v>
      </c>
      <c r="I29" s="28" t="s">
        <v>519</v>
      </c>
      <c r="J29" s="32">
        <v>2578.68</v>
      </c>
      <c r="K29" s="28" t="s">
        <v>519</v>
      </c>
      <c r="L29" s="28">
        <v>228.6</v>
      </c>
      <c r="M29" s="28">
        <v>103.7</v>
      </c>
      <c r="N29" s="28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8" t="s">
        <v>586</v>
      </c>
      <c r="H30" s="32">
        <v>4931.3</v>
      </c>
      <c r="I30" s="28" t="s">
        <v>519</v>
      </c>
      <c r="J30" s="32">
        <v>2236.8</v>
      </c>
      <c r="K30" s="28" t="s">
        <v>519</v>
      </c>
      <c r="L30" s="28">
        <v>205.7</v>
      </c>
      <c r="M30" s="28">
        <v>93.3</v>
      </c>
      <c r="N30" s="28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4" t="s">
        <v>484</v>
      </c>
      <c r="AH30" s="34" t="s">
        <v>587</v>
      </c>
      <c r="AI30" s="34" t="s">
        <v>585</v>
      </c>
      <c r="AJ30" s="34">
        <v>-0.001</v>
      </c>
    </row>
    <row r="31" spans="1:36">
      <c r="A31" t="s">
        <v>588</v>
      </c>
      <c r="B31" t="str">
        <f t="shared" si="0"/>
        <v>OVC</v>
      </c>
      <c r="G31" s="28" t="s">
        <v>589</v>
      </c>
      <c r="H31" s="32">
        <v>3715.9</v>
      </c>
      <c r="I31" s="28" t="s">
        <v>519</v>
      </c>
      <c r="J31" s="32">
        <v>1685.51</v>
      </c>
      <c r="K31" s="28" t="s">
        <v>519</v>
      </c>
      <c r="L31" s="28">
        <v>214.3</v>
      </c>
      <c r="M31" s="28">
        <v>97.2</v>
      </c>
      <c r="N31" s="28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8" t="s">
        <v>591</v>
      </c>
      <c r="H32" s="32">
        <v>2791.6</v>
      </c>
      <c r="I32" s="28" t="s">
        <v>519</v>
      </c>
      <c r="J32" s="32">
        <v>1266.25</v>
      </c>
      <c r="K32" s="28" t="s">
        <v>519</v>
      </c>
      <c r="L32" s="28">
        <v>215.4</v>
      </c>
      <c r="M32" s="28">
        <v>97.7</v>
      </c>
      <c r="N32" s="28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8" t="s">
        <v>595</v>
      </c>
      <c r="H33" s="32">
        <v>6239.68</v>
      </c>
      <c r="I33" s="28" t="s">
        <v>519</v>
      </c>
      <c r="J33" s="32">
        <v>2830.27</v>
      </c>
      <c r="K33" s="28" t="s">
        <v>519</v>
      </c>
      <c r="L33" s="28">
        <v>251.6</v>
      </c>
      <c r="M33" s="28">
        <v>114.12</v>
      </c>
      <c r="N33" s="28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8" t="s">
        <v>598</v>
      </c>
      <c r="H34" s="28"/>
      <c r="I34" s="28"/>
      <c r="J34" s="28"/>
      <c r="K34" s="28"/>
      <c r="L34" s="28"/>
      <c r="M34" s="28"/>
      <c r="N34" s="28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8" t="s">
        <v>600</v>
      </c>
      <c r="H35" s="28" t="s">
        <v>601</v>
      </c>
      <c r="I35" s="28"/>
      <c r="J35" s="28" t="s">
        <v>601</v>
      </c>
      <c r="K35" s="28"/>
      <c r="L35" s="28">
        <v>16.99</v>
      </c>
      <c r="M35" s="28">
        <v>7.71</v>
      </c>
      <c r="N35" s="28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8" t="s">
        <v>605</v>
      </c>
      <c r="H36" s="32">
        <v>5771</v>
      </c>
      <c r="I36" s="28" t="s">
        <v>519</v>
      </c>
      <c r="J36" s="32">
        <v>2617.68</v>
      </c>
      <c r="K36" s="28" t="s">
        <v>519</v>
      </c>
      <c r="L36" s="28">
        <v>91.9</v>
      </c>
      <c r="M36" s="28">
        <v>41.69</v>
      </c>
      <c r="N36" s="28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8" t="s">
        <v>607</v>
      </c>
      <c r="H37" s="32">
        <v>6160</v>
      </c>
      <c r="I37" s="28" t="s">
        <v>519</v>
      </c>
      <c r="J37" s="32">
        <v>2794.13</v>
      </c>
      <c r="K37" s="28" t="s">
        <v>519</v>
      </c>
      <c r="L37" s="28">
        <v>189.54</v>
      </c>
      <c r="M37" s="28">
        <v>85.97</v>
      </c>
      <c r="N37" s="28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8" t="s">
        <v>610</v>
      </c>
      <c r="H38" s="28">
        <v>924</v>
      </c>
      <c r="I38" s="28" t="s">
        <v>611</v>
      </c>
      <c r="J38" s="28">
        <v>419.12</v>
      </c>
      <c r="K38" s="28" t="s">
        <v>611</v>
      </c>
      <c r="L38" s="28">
        <v>210</v>
      </c>
      <c r="M38" s="28">
        <v>95.25</v>
      </c>
      <c r="N38" s="28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8" t="s">
        <v>613</v>
      </c>
      <c r="H39" s="28"/>
      <c r="I39" s="28"/>
      <c r="J39" s="28"/>
      <c r="K39" s="28"/>
      <c r="L39" s="28"/>
      <c r="M39" s="28"/>
      <c r="N39" s="28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8" t="s">
        <v>615</v>
      </c>
      <c r="H40" s="28"/>
      <c r="I40" s="28"/>
      <c r="J40" s="28"/>
      <c r="K40" s="28"/>
      <c r="L40" s="28"/>
      <c r="M40" s="28"/>
      <c r="N40" s="28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8" t="s">
        <v>619</v>
      </c>
      <c r="H41" s="28"/>
      <c r="I41" s="28"/>
      <c r="J41" s="28"/>
      <c r="K41" s="28"/>
      <c r="L41" s="28"/>
      <c r="M41" s="28"/>
      <c r="N41" s="28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P27" sqref="P2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639</v>
      </c>
      <c r="AA1" s="4" t="s">
        <v>642</v>
      </c>
      <c r="AF1" s="4" t="s">
        <v>639</v>
      </c>
      <c r="AG1" s="4" t="s">
        <v>643</v>
      </c>
      <c r="AH1" s="4"/>
    </row>
    <row r="2" ht="29" spans="1:34">
      <c r="Z2" s="5" t="s">
        <v>644</v>
      </c>
      <c r="AA2" s="5">
        <v>21.6</v>
      </c>
      <c r="AB2">
        <f>-AA2</f>
        <v>-21.6</v>
      </c>
      <c r="AF2" s="5" t="s">
        <v>645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646</v>
      </c>
      <c r="AA3" s="5">
        <v>28.8</v>
      </c>
      <c r="AB3">
        <f t="shared" ref="AB3:AB34" si="0">-AA3</f>
        <v>-28.8</v>
      </c>
      <c r="AF3" s="5" t="s">
        <v>647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648</v>
      </c>
      <c r="AA4" s="5">
        <v>36</v>
      </c>
      <c r="AB4">
        <f t="shared" si="0"/>
        <v>-36</v>
      </c>
      <c r="AF4" s="5" t="s">
        <v>649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650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651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652</v>
      </c>
      <c r="AA5" s="5">
        <v>45</v>
      </c>
      <c r="AB5">
        <f t="shared" si="0"/>
        <v>-45</v>
      </c>
      <c r="AF5" s="5" t="s">
        <v>653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654</v>
      </c>
      <c r="AA6" s="5">
        <v>54</v>
      </c>
      <c r="AB6">
        <f t="shared" si="0"/>
        <v>-54</v>
      </c>
      <c r="AF6" s="5" t="s">
        <v>655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656</v>
      </c>
      <c r="C7" s="10" t="s">
        <v>303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657</v>
      </c>
      <c r="I7" s="10" t="s">
        <v>658</v>
      </c>
      <c r="J7" s="9"/>
      <c r="K7" s="9"/>
      <c r="L7" s="9"/>
      <c r="M7" s="10" t="s">
        <v>659</v>
      </c>
      <c r="N7" s="10" t="s">
        <v>660</v>
      </c>
      <c r="O7" s="10" t="s">
        <v>657</v>
      </c>
      <c r="P7" s="18">
        <v>1</v>
      </c>
      <c r="Q7" s="10">
        <v>0</v>
      </c>
      <c r="R7" s="10">
        <v>5</v>
      </c>
      <c r="S7" s="10"/>
      <c r="T7" s="10" t="s">
        <v>661</v>
      </c>
      <c r="U7" s="16"/>
      <c r="V7" s="16"/>
      <c r="W7" s="16"/>
      <c r="X7" s="16"/>
      <c r="Y7" s="16"/>
      <c r="Z7" s="17" t="s">
        <v>662</v>
      </c>
      <c r="AA7" s="5">
        <v>63</v>
      </c>
      <c r="AB7">
        <f t="shared" si="0"/>
        <v>-63</v>
      </c>
      <c r="AC7"/>
      <c r="AD7"/>
      <c r="AE7"/>
      <c r="AF7" s="5" t="s">
        <v>663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645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644</v>
      </c>
      <c r="U8" s="16"/>
      <c r="V8" s="16"/>
      <c r="W8" s="16"/>
      <c r="X8" s="16"/>
      <c r="Y8" s="16"/>
      <c r="Z8" s="17" t="s">
        <v>664</v>
      </c>
      <c r="AA8" s="5">
        <v>72</v>
      </c>
      <c r="AB8">
        <f t="shared" si="0"/>
        <v>-72</v>
      </c>
      <c r="AF8" s="5" t="s">
        <v>665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647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646</v>
      </c>
      <c r="U9" s="16"/>
      <c r="V9" s="16"/>
      <c r="W9" s="16"/>
      <c r="X9" s="16"/>
      <c r="Y9" s="16"/>
      <c r="Z9" s="17" t="s">
        <v>666</v>
      </c>
      <c r="AA9" s="5">
        <v>90</v>
      </c>
      <c r="AB9">
        <f t="shared" si="0"/>
        <v>-90</v>
      </c>
      <c r="AF9" s="5" t="s">
        <v>667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649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648</v>
      </c>
      <c r="U10" s="16"/>
      <c r="V10" s="16"/>
      <c r="W10" s="16"/>
      <c r="X10" s="16"/>
      <c r="Y10" s="16"/>
      <c r="Z10" s="17" t="s">
        <v>668</v>
      </c>
      <c r="AA10" s="5">
        <v>36</v>
      </c>
      <c r="AB10">
        <f t="shared" si="0"/>
        <v>-36</v>
      </c>
      <c r="AF10" s="5" t="s">
        <v>652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653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652</v>
      </c>
      <c r="U11" s="16"/>
      <c r="V11" s="16"/>
      <c r="W11" s="16"/>
      <c r="X11" s="16"/>
      <c r="Y11" s="16"/>
      <c r="Z11" s="17" t="s">
        <v>669</v>
      </c>
      <c r="AA11" s="5">
        <v>48</v>
      </c>
      <c r="AB11">
        <f t="shared" si="0"/>
        <v>-48</v>
      </c>
      <c r="AF11" s="5" t="s">
        <v>654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655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654</v>
      </c>
      <c r="U12" s="16"/>
      <c r="V12" s="16"/>
      <c r="W12" s="16"/>
      <c r="X12" s="16"/>
      <c r="Y12" s="16"/>
      <c r="Z12" s="17" t="s">
        <v>670</v>
      </c>
      <c r="AA12" s="5">
        <v>60</v>
      </c>
      <c r="AB12">
        <f t="shared" si="0"/>
        <v>-60</v>
      </c>
      <c r="AC12"/>
      <c r="AD12"/>
      <c r="AE12"/>
      <c r="AF12" s="5" t="s">
        <v>662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663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662</v>
      </c>
      <c r="U13" s="16"/>
      <c r="V13" s="16"/>
      <c r="W13" s="16"/>
      <c r="X13" s="16"/>
      <c r="Y13" s="16"/>
      <c r="Z13" s="17" t="s">
        <v>671</v>
      </c>
      <c r="AA13" s="5">
        <v>75</v>
      </c>
      <c r="AB13">
        <f t="shared" si="0"/>
        <v>-75</v>
      </c>
      <c r="AC13"/>
      <c r="AD13"/>
      <c r="AE13"/>
      <c r="AF13" s="5" t="s">
        <v>664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665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664</v>
      </c>
      <c r="U14" s="16"/>
      <c r="V14" s="16"/>
      <c r="W14" s="16"/>
      <c r="X14" s="16"/>
      <c r="Y14" s="16"/>
      <c r="Z14" s="17" t="s">
        <v>672</v>
      </c>
      <c r="AA14" s="5">
        <v>90</v>
      </c>
      <c r="AB14">
        <f t="shared" si="0"/>
        <v>-90</v>
      </c>
      <c r="AC14"/>
      <c r="AD14"/>
      <c r="AE14"/>
      <c r="AF14" s="5" t="s">
        <v>666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667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666</v>
      </c>
      <c r="U15" s="16"/>
      <c r="V15" s="16"/>
      <c r="W15" s="16"/>
      <c r="X15" s="16"/>
      <c r="Y15" s="16"/>
      <c r="Z15" s="17" t="s">
        <v>673</v>
      </c>
      <c r="AA15" s="5">
        <v>105</v>
      </c>
      <c r="AB15">
        <f t="shared" si="0"/>
        <v>-105</v>
      </c>
      <c r="AC15"/>
      <c r="AD15"/>
      <c r="AE15"/>
      <c r="AF15" s="5" t="s">
        <v>671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652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668</v>
      </c>
      <c r="U16" s="16"/>
      <c r="V16" s="16"/>
      <c r="W16" s="16"/>
      <c r="X16" s="16"/>
      <c r="Y16" s="16"/>
      <c r="Z16" s="17" t="s">
        <v>674</v>
      </c>
      <c r="AA16" s="5">
        <v>120</v>
      </c>
      <c r="AB16">
        <f t="shared" si="0"/>
        <v>-120</v>
      </c>
      <c r="AF16" s="5" t="s">
        <v>672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654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669</v>
      </c>
      <c r="U17" s="16"/>
      <c r="V17" s="16"/>
      <c r="W17" s="16"/>
      <c r="X17" s="16"/>
      <c r="Y17" s="16"/>
      <c r="Z17" s="17" t="s">
        <v>675</v>
      </c>
      <c r="AA17" s="5">
        <v>150</v>
      </c>
      <c r="AB17">
        <f t="shared" si="0"/>
        <v>-150</v>
      </c>
      <c r="AF17" s="5" t="s">
        <v>673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662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670</v>
      </c>
      <c r="U18" s="16"/>
      <c r="V18" s="16"/>
      <c r="W18" s="16"/>
      <c r="X18" s="16"/>
      <c r="Y18" s="16"/>
      <c r="Z18" s="17" t="s">
        <v>676</v>
      </c>
      <c r="AA18" s="5">
        <v>180</v>
      </c>
      <c r="AB18">
        <f t="shared" si="0"/>
        <v>-180</v>
      </c>
      <c r="AF18" s="5" t="s">
        <v>674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664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671</v>
      </c>
      <c r="U19" s="16"/>
      <c r="V19" s="16"/>
      <c r="W19" s="16"/>
      <c r="X19" s="16"/>
      <c r="Y19" s="16"/>
      <c r="Z19" s="17" t="s">
        <v>677</v>
      </c>
      <c r="AA19" s="5">
        <v>214.8</v>
      </c>
      <c r="AB19">
        <f t="shared" si="0"/>
        <v>-214.8</v>
      </c>
      <c r="AC19"/>
      <c r="AD19"/>
      <c r="AE19"/>
      <c r="AF19" s="5" t="s">
        <v>675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666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672</v>
      </c>
      <c r="U20" s="16"/>
      <c r="V20" s="16"/>
      <c r="W20" s="16"/>
      <c r="X20" s="16"/>
      <c r="Y20" s="16"/>
      <c r="Z20" s="17" t="s">
        <v>678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671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673</v>
      </c>
      <c r="U21" s="16"/>
      <c r="V21" s="16"/>
      <c r="W21" s="16"/>
      <c r="X21" s="16"/>
      <c r="Y21" s="16"/>
      <c r="Z21" s="17" t="s">
        <v>679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672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674</v>
      </c>
      <c r="U22" s="16"/>
      <c r="V22" s="16"/>
      <c r="W22" s="16"/>
      <c r="X22" s="16"/>
      <c r="Y22" s="16"/>
      <c r="Z22" s="17" t="s">
        <v>680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673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675</v>
      </c>
      <c r="U23" s="16"/>
      <c r="V23" s="16"/>
      <c r="W23" s="16"/>
      <c r="X23" s="16"/>
      <c r="Y23" s="16"/>
      <c r="Z23" s="17" t="s">
        <v>681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674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676</v>
      </c>
      <c r="U24" s="16"/>
      <c r="V24" s="16"/>
      <c r="W24" s="16"/>
      <c r="X24" s="16"/>
      <c r="Y24" s="16"/>
      <c r="Z24" s="17" t="s">
        <v>682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675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677</v>
      </c>
      <c r="U25" s="16"/>
      <c r="V25" s="16"/>
      <c r="W25" s="16"/>
      <c r="X25" s="16"/>
      <c r="Y25" s="16"/>
      <c r="Z25" s="17" t="s">
        <v>683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678</v>
      </c>
      <c r="U26" s="16"/>
      <c r="V26" s="16"/>
      <c r="W26" s="16"/>
      <c r="X26" s="16"/>
      <c r="Y26" s="16"/>
      <c r="Z26" s="17" t="s">
        <v>645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679</v>
      </c>
      <c r="U27" s="16"/>
      <c r="V27" s="16"/>
      <c r="W27" s="16"/>
      <c r="X27" s="16"/>
      <c r="Y27" s="16"/>
      <c r="Z27" s="17" t="s">
        <v>647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680</v>
      </c>
      <c r="U28" s="16"/>
      <c r="V28" s="16"/>
      <c r="W28" s="16"/>
      <c r="X28" s="16"/>
      <c r="Y28" s="16"/>
      <c r="Z28" s="17" t="s">
        <v>649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681</v>
      </c>
      <c r="U29" s="16"/>
      <c r="V29" s="16"/>
      <c r="W29" s="16"/>
      <c r="X29" s="16"/>
      <c r="Y29" s="16"/>
      <c r="Z29" s="17" t="s">
        <v>653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682</v>
      </c>
      <c r="U30" s="16"/>
      <c r="V30" s="16"/>
      <c r="W30" s="16"/>
      <c r="X30" s="16"/>
      <c r="Y30" s="16"/>
      <c r="Z30" s="17" t="s">
        <v>655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683</v>
      </c>
      <c r="U31" s="16"/>
      <c r="V31" s="16"/>
      <c r="W31" s="16"/>
      <c r="X31" s="16"/>
      <c r="Y31" s="16"/>
      <c r="Z31" s="17" t="s">
        <v>663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645</v>
      </c>
      <c r="U32" s="16"/>
      <c r="V32" s="16"/>
      <c r="W32" s="16"/>
      <c r="X32" s="16"/>
      <c r="Y32" s="16"/>
      <c r="Z32" s="17" t="s">
        <v>665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647</v>
      </c>
      <c r="U33" s="16"/>
      <c r="V33" s="16"/>
      <c r="W33" s="16"/>
      <c r="X33" s="16"/>
      <c r="Y33" s="16"/>
      <c r="Z33" s="17" t="s">
        <v>667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649</v>
      </c>
      <c r="U34" s="16"/>
      <c r="V34" s="16"/>
      <c r="W34" s="16"/>
      <c r="X34" s="16"/>
      <c r="Y34" s="16"/>
      <c r="Z34" s="17" t="s">
        <v>684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653</v>
      </c>
      <c r="U35" s="16"/>
      <c r="V35" s="16"/>
      <c r="W35" s="16"/>
      <c r="X35" s="16"/>
      <c r="Y35" s="16"/>
      <c r="Z35" s="17" t="s">
        <v>685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655</v>
      </c>
      <c r="U36" s="16"/>
      <c r="V36" s="16"/>
      <c r="W36" s="16"/>
      <c r="X36" s="16"/>
      <c r="Y36" s="16"/>
      <c r="Z36" s="17" t="s">
        <v>686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663</v>
      </c>
      <c r="U37" s="16"/>
      <c r="V37" s="16"/>
      <c r="W37" s="16"/>
      <c r="X37" s="16"/>
      <c r="Y37" s="16"/>
      <c r="Z37" s="17" t="s">
        <v>687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665</v>
      </c>
      <c r="U38" s="16"/>
      <c r="V38" s="16"/>
      <c r="W38" s="16"/>
      <c r="X38" s="16"/>
      <c r="Y38" s="16"/>
      <c r="Z38" s="17" t="s">
        <v>688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667</v>
      </c>
      <c r="Z39" s="5" t="s">
        <v>689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684</v>
      </c>
      <c r="Z40" s="5" t="s">
        <v>690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685</v>
      </c>
      <c r="Z41" s="5" t="s">
        <v>691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686</v>
      </c>
      <c r="Z42" s="5" t="s">
        <v>692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687</v>
      </c>
      <c r="Z43" s="5" t="s">
        <v>693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688</v>
      </c>
      <c r="Z44" s="5" t="s">
        <v>694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689</v>
      </c>
      <c r="Z45" s="5" t="s">
        <v>695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690</v>
      </c>
      <c r="Z46" s="5" t="s">
        <v>696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691</v>
      </c>
      <c r="Z47" s="5" t="s">
        <v>697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692</v>
      </c>
      <c r="Z48" s="5" t="s">
        <v>698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693</v>
      </c>
      <c r="Z49" s="5" t="s">
        <v>699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694</v>
      </c>
      <c r="Z50" s="5" t="s">
        <v>700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695</v>
      </c>
      <c r="Z51" s="5" t="s">
        <v>701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696</v>
      </c>
      <c r="Z52" s="5" t="s">
        <v>702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697</v>
      </c>
      <c r="Z53" s="5" t="s">
        <v>703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698</v>
      </c>
      <c r="Z54" s="5" t="s">
        <v>704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699</v>
      </c>
      <c r="Z55" s="5" t="s">
        <v>705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700</v>
      </c>
      <c r="Z56" s="5" t="s">
        <v>706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701</v>
      </c>
      <c r="Z57" s="5" t="s">
        <v>707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702</v>
      </c>
      <c r="Z58" s="5" t="s">
        <v>708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703</v>
      </c>
      <c r="Z59" s="5" t="s">
        <v>709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704</v>
      </c>
      <c r="Z60" s="5" t="s">
        <v>710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705</v>
      </c>
      <c r="Z61" s="5" t="s">
        <v>711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706</v>
      </c>
      <c r="Z62" s="5" t="s">
        <v>712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707</v>
      </c>
      <c r="Z63" s="5" t="s">
        <v>713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708</v>
      </c>
      <c r="Z64" s="5" t="s">
        <v>714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709</v>
      </c>
      <c r="Z65" s="5" t="s">
        <v>715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710</v>
      </c>
      <c r="Z66" s="5" t="s">
        <v>716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711</v>
      </c>
      <c r="Z67" s="5" t="s">
        <v>717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712</v>
      </c>
      <c r="Z68" s="5" t="s">
        <v>718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713</v>
      </c>
      <c r="Z69" s="5" t="s">
        <v>719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714</v>
      </c>
      <c r="Z70" s="5" t="s">
        <v>720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715</v>
      </c>
      <c r="Z71" s="5" t="s">
        <v>721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716</v>
      </c>
      <c r="Z72" s="5" t="s">
        <v>722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717</v>
      </c>
      <c r="Z73" s="5" t="s">
        <v>723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718</v>
      </c>
      <c r="Z74" s="5" t="s">
        <v>724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719</v>
      </c>
      <c r="Z75" s="5" t="s">
        <v>725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720</v>
      </c>
      <c r="Z76" s="5" t="s">
        <v>726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721</v>
      </c>
      <c r="Z77" s="5" t="s">
        <v>727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722</v>
      </c>
      <c r="Z78" s="5" t="s">
        <v>728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723</v>
      </c>
      <c r="Z79" s="5" t="s">
        <v>729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724</v>
      </c>
      <c r="Z80" s="5" t="s">
        <v>730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725</v>
      </c>
      <c r="Z81" s="5" t="s">
        <v>731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726</v>
      </c>
      <c r="Z82" s="5" t="s">
        <v>732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727</v>
      </c>
      <c r="Z83" s="5" t="s">
        <v>733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728</v>
      </c>
      <c r="Z84" s="5" t="s">
        <v>734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729</v>
      </c>
      <c r="Z85" s="5" t="s">
        <v>735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730</v>
      </c>
      <c r="Z86" s="5" t="s">
        <v>736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731</v>
      </c>
      <c r="Z87" s="5" t="s">
        <v>737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732</v>
      </c>
      <c r="Z88" s="5" t="s">
        <v>738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733</v>
      </c>
      <c r="Z89" s="5" t="s">
        <v>739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734</v>
      </c>
      <c r="Z90" s="5" t="s">
        <v>740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735</v>
      </c>
      <c r="Z91" s="5" t="s">
        <v>741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736</v>
      </c>
      <c r="Z92" s="5" t="s">
        <v>742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737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738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739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740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741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650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656</v>
      </c>
      <c r="C7" s="10" t="s">
        <v>303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657</v>
      </c>
      <c r="I7" s="10" t="s">
        <v>658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645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647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649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653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655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663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665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667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652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654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662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664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666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671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672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673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674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675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4" spans="2:14">
      <c r="H4" t="s">
        <v>745</v>
      </c>
    </row>
    <row r="8" ht="29" spans="2:14">
      <c r="D8" s="4" t="s">
        <v>4</v>
      </c>
      <c r="E8" s="4" t="s">
        <v>61</v>
      </c>
      <c r="F8" s="4" t="s">
        <v>62</v>
      </c>
      <c r="G8" s="4" t="s">
        <v>746</v>
      </c>
      <c r="H8" s="4" t="s">
        <v>57</v>
      </c>
      <c r="I8" s="4" t="s">
        <v>55</v>
      </c>
      <c r="J8" s="4" t="s">
        <v>6</v>
      </c>
      <c r="K8" s="4" t="s">
        <v>747</v>
      </c>
      <c r="L8" s="4" t="s">
        <v>748</v>
      </c>
      <c r="M8" s="4" t="s">
        <v>749</v>
      </c>
      <c r="N8" s="4" t="s">
        <v>353</v>
      </c>
    </row>
    <row r="9" spans="2:14">
      <c r="D9" s="5" t="s">
        <v>750</v>
      </c>
      <c r="F9" s="5" t="s">
        <v>751</v>
      </c>
      <c r="G9" s="5" t="s">
        <v>364</v>
      </c>
      <c r="H9" s="5" t="s">
        <v>752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753</v>
      </c>
      <c r="F10" s="5" t="s">
        <v>754</v>
      </c>
      <c r="G10" s="5" t="s">
        <v>364</v>
      </c>
      <c r="H10" s="5" t="s">
        <v>752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755</v>
      </c>
      <c r="F11" s="5" t="s">
        <v>756</v>
      </c>
      <c r="G11" s="5" t="s">
        <v>364</v>
      </c>
      <c r="H11" s="5" t="s">
        <v>752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757</v>
      </c>
      <c r="F12" s="6" t="s">
        <v>758</v>
      </c>
      <c r="G12" s="5" t="s">
        <v>364</v>
      </c>
      <c r="H12" s="5" t="s">
        <v>752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759</v>
      </c>
      <c r="F13" s="5" t="s">
        <v>760</v>
      </c>
      <c r="G13" s="5" t="s">
        <v>364</v>
      </c>
      <c r="H13" s="5" t="s">
        <v>752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761</v>
      </c>
      <c r="F14" s="5" t="s">
        <v>762</v>
      </c>
      <c r="G14" s="5" t="s">
        <v>364</v>
      </c>
      <c r="H14" s="5" t="s">
        <v>752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763</v>
      </c>
      <c r="F15" s="5" t="s">
        <v>764</v>
      </c>
      <c r="G15" s="5" t="s">
        <v>364</v>
      </c>
      <c r="H15" s="5" t="s">
        <v>752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765</v>
      </c>
      <c r="F16" s="6" t="s">
        <v>766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767</v>
      </c>
      <c r="F17" s="6" t="s">
        <v>768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769</v>
      </c>
      <c r="F18" s="6" t="s">
        <v>770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abSelected="1" topLeftCell="C6" workbookViewId="0">
      <selection activeCell="I26" sqref="I26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18" spans="8:11">
      <c r="H18" t="s">
        <v>777</v>
      </c>
    </row>
    <row r="19" spans="8:11">
      <c r="H19" t="s">
        <v>73</v>
      </c>
      <c r="I19" t="s">
        <v>91</v>
      </c>
      <c r="J19" t="s">
        <v>244</v>
      </c>
      <c r="K19" t="s">
        <v>243</v>
      </c>
    </row>
    <row r="20" spans="8:11">
      <c r="H20" s="3" t="s">
        <v>778</v>
      </c>
      <c r="I20" t="s">
        <v>779</v>
      </c>
      <c r="J20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2026-08-15T18:53:49Z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