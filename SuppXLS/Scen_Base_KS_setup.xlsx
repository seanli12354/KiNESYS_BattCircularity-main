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SuppXLS\"/>
    </mc:Choice>
  </mc:AlternateContent>
  <xr:revisionPtr revIDLastSave="0" documentId="13_ncr:1_{D10825D4-187B-44A7-B7BA-7A9CACF7CC18}" xr6:coauthVersionLast="47" xr6:coauthVersionMax="47" xr10:uidLastSave="{00000000-0000-0000-0000-000000000000}"/>
  <bookViews>
    <workbookView xWindow="-98" yWindow="-98" windowWidth="28996" windowHeight="17475" firstSheet="4" activeTab="8" xr2:uid="{00000000-000D-0000-FFFF-FFFF00000000}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15" l="1"/>
  <c r="T6" i="15"/>
  <c r="T7" i="15"/>
  <c r="T8" i="15"/>
  <c r="T9" i="15"/>
  <c r="T10" i="15"/>
  <c r="T11" i="15"/>
  <c r="T12" i="15"/>
  <c r="T13" i="15"/>
  <c r="T14" i="15"/>
  <c r="T15" i="15"/>
  <c r="T16" i="15"/>
  <c r="T17" i="15"/>
  <c r="T18" i="15"/>
  <c r="T19" i="15"/>
  <c r="T20" i="15"/>
  <c r="T21" i="15"/>
  <c r="T22" i="15"/>
  <c r="T23" i="15"/>
  <c r="T24" i="15"/>
  <c r="T25" i="15"/>
  <c r="T26" i="15"/>
  <c r="T27" i="15"/>
  <c r="T28" i="15"/>
  <c r="T29" i="15"/>
  <c r="T30" i="15"/>
  <c r="T31" i="15"/>
  <c r="T32" i="15"/>
  <c r="T33" i="15"/>
  <c r="T34" i="15"/>
  <c r="T35" i="15"/>
  <c r="T36" i="15"/>
  <c r="T37" i="15"/>
  <c r="T38" i="15"/>
  <c r="T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24" i="15"/>
  <c r="N25" i="15"/>
  <c r="N26" i="15"/>
  <c r="N27" i="15"/>
  <c r="N28" i="15"/>
  <c r="N29" i="15"/>
  <c r="N30" i="15"/>
  <c r="N31" i="15"/>
  <c r="N32" i="15"/>
  <c r="N33" i="15"/>
  <c r="N34" i="15"/>
  <c r="N35" i="15"/>
  <c r="N36" i="15"/>
  <c r="N37" i="15"/>
  <c r="N38" i="15"/>
  <c r="N4" i="15"/>
  <c r="E7" i="21"/>
  <c r="R38" i="15"/>
  <c r="L38" i="15"/>
  <c r="R37" i="15"/>
  <c r="L37" i="15"/>
  <c r="R36" i="15"/>
  <c r="L36" i="15"/>
  <c r="R35" i="15"/>
  <c r="L35" i="15"/>
  <c r="R34" i="15"/>
  <c r="L34" i="15"/>
  <c r="R33" i="15"/>
  <c r="L33" i="15"/>
  <c r="R32" i="15"/>
  <c r="L32" i="15"/>
  <c r="R31" i="15"/>
  <c r="L31" i="15"/>
  <c r="R30" i="15"/>
  <c r="L30" i="15"/>
  <c r="R29" i="15"/>
  <c r="L29" i="15"/>
  <c r="R28" i="15"/>
  <c r="L28" i="15"/>
  <c r="R27" i="15"/>
  <c r="L27" i="15"/>
  <c r="R26" i="15"/>
  <c r="L26" i="15"/>
  <c r="R25" i="15"/>
  <c r="L25" i="15"/>
  <c r="R24" i="15"/>
  <c r="L24" i="15"/>
  <c r="R23" i="15"/>
  <c r="L23" i="15"/>
  <c r="R22" i="15"/>
  <c r="L22" i="15"/>
  <c r="R21" i="15"/>
  <c r="L21" i="15"/>
  <c r="R20" i="15"/>
  <c r="L20" i="15"/>
  <c r="R19" i="15"/>
  <c r="L19" i="15"/>
  <c r="R18" i="15"/>
  <c r="L18" i="15"/>
  <c r="R17" i="15"/>
  <c r="L17" i="15"/>
  <c r="R16" i="15"/>
  <c r="L16" i="15"/>
  <c r="R15" i="15"/>
  <c r="L15" i="15"/>
  <c r="R14" i="15"/>
  <c r="L14" i="15"/>
  <c r="R13" i="15"/>
  <c r="L13" i="15"/>
  <c r="R12" i="15"/>
  <c r="L12" i="15"/>
  <c r="R11" i="15"/>
  <c r="L11" i="15"/>
  <c r="R10" i="15"/>
  <c r="L10" i="15"/>
  <c r="R9" i="15"/>
  <c r="L9" i="15"/>
  <c r="R8" i="15"/>
  <c r="L8" i="15"/>
  <c r="R7" i="15"/>
  <c r="L7" i="15"/>
  <c r="R6" i="15"/>
  <c r="L6" i="15"/>
  <c r="R5" i="15"/>
  <c r="L5" i="15"/>
  <c r="R4" i="15"/>
  <c r="L4" i="15"/>
  <c r="U55" i="11"/>
  <c r="T55" i="11"/>
  <c r="S55" i="11"/>
  <c r="U54" i="11"/>
  <c r="T54" i="11"/>
  <c r="S54" i="11"/>
  <c r="B54" i="11"/>
  <c r="U53" i="11"/>
  <c r="T53" i="11"/>
  <c r="S53" i="11"/>
  <c r="B53" i="11"/>
  <c r="U52" i="11"/>
  <c r="T52" i="11"/>
  <c r="S52" i="11"/>
  <c r="B52" i="11"/>
  <c r="U51" i="11"/>
  <c r="T51" i="11"/>
  <c r="S51" i="11"/>
  <c r="B51" i="11"/>
  <c r="U50" i="11"/>
  <c r="T50" i="11"/>
  <c r="S50" i="11"/>
  <c r="B50" i="11"/>
  <c r="AD49" i="11"/>
  <c r="U49" i="11"/>
  <c r="T49" i="11"/>
  <c r="S49" i="11"/>
  <c r="B49" i="11"/>
  <c r="AD48" i="11"/>
  <c r="U48" i="11"/>
  <c r="T48" i="11"/>
  <c r="S48" i="11"/>
  <c r="B48" i="11"/>
  <c r="AD47" i="11"/>
  <c r="U47" i="11"/>
  <c r="T47" i="11"/>
  <c r="S47" i="11"/>
  <c r="B47" i="11"/>
  <c r="U46" i="11"/>
  <c r="T46" i="11"/>
  <c r="S46" i="11"/>
  <c r="B46" i="11"/>
  <c r="U45" i="11"/>
  <c r="T45" i="11"/>
  <c r="S45" i="11"/>
  <c r="B45" i="11"/>
  <c r="U44" i="11"/>
  <c r="T44" i="11"/>
  <c r="S44" i="11"/>
  <c r="B44" i="11"/>
  <c r="U43" i="11"/>
  <c r="T43" i="11"/>
  <c r="S43" i="11"/>
  <c r="B43" i="11"/>
  <c r="U42" i="11"/>
  <c r="T42" i="11"/>
  <c r="S42" i="11"/>
  <c r="B42" i="11"/>
  <c r="U41" i="11"/>
  <c r="T41" i="11"/>
  <c r="S41" i="11"/>
  <c r="B41" i="11"/>
  <c r="U40" i="11"/>
  <c r="T40" i="11"/>
  <c r="S40" i="11"/>
  <c r="B40" i="11"/>
  <c r="U39" i="11"/>
  <c r="T39" i="11"/>
  <c r="S39" i="11"/>
  <c r="B39" i="11"/>
  <c r="U38" i="11"/>
  <c r="T38" i="11"/>
  <c r="S38" i="11"/>
  <c r="B38" i="11"/>
  <c r="U37" i="11"/>
  <c r="T37" i="11"/>
  <c r="S37" i="11"/>
  <c r="B37" i="11"/>
  <c r="U36" i="11"/>
  <c r="T36" i="11"/>
  <c r="S36" i="11"/>
  <c r="B36" i="11"/>
  <c r="U35" i="11"/>
  <c r="T35" i="11"/>
  <c r="S35" i="11"/>
  <c r="B35" i="11"/>
  <c r="U34" i="11"/>
  <c r="T34" i="11"/>
  <c r="S34" i="11"/>
  <c r="B34" i="11"/>
  <c r="U33" i="11"/>
  <c r="T33" i="11"/>
  <c r="S33" i="11"/>
  <c r="B33" i="11"/>
  <c r="U32" i="11"/>
  <c r="T32" i="11"/>
  <c r="S32" i="11"/>
  <c r="B32" i="11"/>
  <c r="U31" i="11"/>
  <c r="T31" i="11"/>
  <c r="S31" i="11"/>
  <c r="B31" i="11"/>
  <c r="U30" i="11"/>
  <c r="T30" i="11"/>
  <c r="S30" i="11"/>
  <c r="B30" i="11"/>
  <c r="U29" i="11"/>
  <c r="T29" i="11"/>
  <c r="S29" i="11"/>
  <c r="B29" i="11"/>
  <c r="U28" i="11"/>
  <c r="T28" i="11"/>
  <c r="S28" i="11"/>
  <c r="B28" i="11"/>
  <c r="U27" i="11"/>
  <c r="T27" i="11"/>
  <c r="S27" i="11"/>
  <c r="E27" i="11"/>
  <c r="B27" i="11"/>
  <c r="U26" i="11"/>
  <c r="T26" i="11"/>
  <c r="S26" i="11"/>
  <c r="E26" i="11"/>
  <c r="B26" i="11"/>
  <c r="U25" i="11"/>
  <c r="T25" i="11"/>
  <c r="S25" i="11"/>
  <c r="E25" i="11"/>
  <c r="B25" i="11"/>
  <c r="U24" i="11"/>
  <c r="T24" i="11"/>
  <c r="S24" i="11"/>
  <c r="E24" i="11"/>
  <c r="B24" i="11"/>
  <c r="U23" i="11"/>
  <c r="T23" i="11"/>
  <c r="S23" i="11"/>
  <c r="E23" i="11"/>
  <c r="B23" i="11"/>
  <c r="AB22" i="11"/>
  <c r="U22" i="11"/>
  <c r="T22" i="11"/>
  <c r="S22" i="11"/>
  <c r="E22" i="11"/>
  <c r="B22" i="11"/>
  <c r="AB21" i="11"/>
  <c r="U21" i="11"/>
  <c r="T21" i="11"/>
  <c r="S21" i="11"/>
  <c r="E21" i="11"/>
  <c r="B21" i="11"/>
  <c r="AB20" i="11"/>
  <c r="U20" i="11"/>
  <c r="T20" i="11"/>
  <c r="S20" i="11"/>
  <c r="E20" i="11"/>
  <c r="B20" i="11"/>
  <c r="U19" i="11"/>
  <c r="T19" i="11"/>
  <c r="S19" i="11"/>
  <c r="E19" i="11"/>
  <c r="B19" i="11"/>
  <c r="U18" i="11"/>
  <c r="T18" i="11"/>
  <c r="S18" i="11"/>
  <c r="E18" i="11"/>
  <c r="B18" i="11"/>
  <c r="U17" i="11"/>
  <c r="T17" i="11"/>
  <c r="S17" i="11"/>
  <c r="E17" i="11"/>
  <c r="B17" i="11"/>
  <c r="U16" i="11"/>
  <c r="T16" i="11"/>
  <c r="S16" i="11"/>
  <c r="E16" i="11"/>
  <c r="B16" i="11"/>
  <c r="U15" i="11"/>
  <c r="T15" i="11"/>
  <c r="S15" i="11"/>
  <c r="E15" i="11"/>
  <c r="B15" i="11"/>
  <c r="AI14" i="11"/>
  <c r="AH14" i="11"/>
  <c r="AF14" i="11"/>
  <c r="AB14" i="11"/>
  <c r="Z14" i="11"/>
  <c r="U14" i="11"/>
  <c r="T14" i="11"/>
  <c r="S14" i="11"/>
  <c r="E14" i="11"/>
  <c r="B14" i="11"/>
  <c r="AI13" i="11"/>
  <c r="AH13" i="11"/>
  <c r="AF13" i="11"/>
  <c r="AB13" i="11"/>
  <c r="Z13" i="11"/>
  <c r="U13" i="11"/>
  <c r="T13" i="11"/>
  <c r="S13" i="11"/>
  <c r="E13" i="11"/>
  <c r="B13" i="11"/>
  <c r="AI12" i="11"/>
  <c r="AH12" i="11"/>
  <c r="AF12" i="11"/>
  <c r="AB12" i="11"/>
  <c r="Z12" i="11"/>
  <c r="U12" i="11"/>
  <c r="T12" i="11"/>
  <c r="S12" i="11"/>
  <c r="E12" i="11"/>
  <c r="B12" i="11"/>
  <c r="AI11" i="11"/>
  <c r="AH11" i="11"/>
  <c r="AF11" i="11"/>
  <c r="AB11" i="11"/>
  <c r="Z11" i="11"/>
  <c r="U11" i="11"/>
  <c r="T11" i="11"/>
  <c r="S11" i="11"/>
  <c r="E11" i="11"/>
  <c r="B11" i="11"/>
  <c r="U10" i="11"/>
  <c r="T10" i="11"/>
  <c r="S10" i="11"/>
  <c r="E10" i="11"/>
  <c r="B10" i="11"/>
  <c r="U9" i="11"/>
  <c r="T9" i="11"/>
  <c r="S9" i="11"/>
  <c r="E9" i="11"/>
  <c r="B9" i="11"/>
  <c r="U8" i="11"/>
  <c r="T8" i="11"/>
  <c r="S8" i="11"/>
  <c r="E8" i="11"/>
  <c r="B8" i="11"/>
  <c r="U7" i="11"/>
  <c r="T7" i="11"/>
  <c r="S7" i="11"/>
  <c r="E7" i="11"/>
  <c r="B7" i="11"/>
  <c r="U6" i="11"/>
  <c r="T6" i="11"/>
  <c r="S6" i="11"/>
  <c r="E6" i="11"/>
  <c r="B6" i="11"/>
  <c r="U5" i="11"/>
  <c r="T5" i="11"/>
  <c r="S5" i="11"/>
  <c r="E5" i="11"/>
  <c r="B5" i="11"/>
  <c r="U4" i="11"/>
  <c r="T4" i="11"/>
  <c r="S4" i="11"/>
  <c r="F4" i="11"/>
  <c r="E4" i="11"/>
  <c r="B4" i="11"/>
  <c r="U3" i="11"/>
  <c r="T3" i="11"/>
  <c r="S3" i="11"/>
  <c r="E3" i="11"/>
  <c r="B3" i="11"/>
  <c r="E2" i="11"/>
  <c r="B2" i="11"/>
  <c r="B35" i="18"/>
  <c r="B33" i="18"/>
  <c r="L24" i="18"/>
  <c r="L23" i="18"/>
  <c r="L22" i="18"/>
  <c r="L21" i="18"/>
  <c r="AW9" i="18"/>
  <c r="AV9" i="18"/>
  <c r="AU9" i="18"/>
  <c r="AT9" i="18"/>
  <c r="AS9" i="18"/>
  <c r="AR9" i="18"/>
  <c r="AQ9" i="18"/>
  <c r="AP9" i="18"/>
  <c r="AO9" i="18"/>
  <c r="AN9" i="18"/>
  <c r="AM9" i="18"/>
  <c r="AL9" i="18"/>
  <c r="AK9" i="18"/>
  <c r="AJ9" i="18"/>
  <c r="AI9" i="18"/>
  <c r="AH9" i="18"/>
  <c r="AG9" i="18"/>
  <c r="AF9" i="18"/>
  <c r="AE9" i="18"/>
  <c r="AD9" i="18"/>
  <c r="AC9" i="18"/>
  <c r="AW8" i="18"/>
  <c r="AV8" i="18"/>
  <c r="AU8" i="18"/>
  <c r="AT8" i="18"/>
  <c r="AS8" i="18"/>
  <c r="AR8" i="18"/>
  <c r="AQ8" i="18"/>
  <c r="AP8" i="18"/>
  <c r="AO8" i="18"/>
  <c r="AN8" i="18"/>
  <c r="AM8" i="18"/>
  <c r="AL8" i="18"/>
  <c r="AK8" i="18"/>
  <c r="AJ8" i="18"/>
  <c r="AI8" i="18"/>
  <c r="AH8" i="18"/>
  <c r="AG8" i="18"/>
  <c r="AF8" i="18"/>
  <c r="AE8" i="18"/>
  <c r="AD8" i="18"/>
  <c r="AC8" i="18"/>
  <c r="AW7" i="18"/>
  <c r="AV7" i="18"/>
  <c r="AU7" i="18"/>
  <c r="AT7" i="18"/>
  <c r="AS7" i="18"/>
  <c r="AR7" i="18"/>
  <c r="AQ7" i="18"/>
  <c r="AP7" i="18"/>
  <c r="AO7" i="18"/>
  <c r="AN7" i="18"/>
  <c r="AM7" i="18"/>
  <c r="AL7" i="18"/>
  <c r="AK7" i="18"/>
  <c r="AJ7" i="18"/>
  <c r="AI7" i="18"/>
  <c r="AH7" i="18"/>
  <c r="AG7" i="18"/>
  <c r="AF7" i="18"/>
  <c r="AE7" i="18"/>
  <c r="AD7" i="18"/>
  <c r="AR4" i="18"/>
  <c r="AQ4" i="18"/>
  <c r="AP4" i="18"/>
  <c r="AO4" i="18"/>
  <c r="AN4" i="18"/>
  <c r="AM4" i="18"/>
  <c r="AL4" i="18"/>
  <c r="AK4" i="18"/>
  <c r="AJ4" i="18"/>
  <c r="AI4" i="18"/>
  <c r="AH4" i="18"/>
  <c r="AG4" i="18"/>
  <c r="AF4" i="18"/>
  <c r="AE4" i="18"/>
  <c r="AD4" i="18"/>
  <c r="AC4" i="18"/>
  <c r="AR3" i="18"/>
  <c r="AQ3" i="18"/>
  <c r="AP3" i="18"/>
  <c r="AO3" i="18"/>
  <c r="AN3" i="18"/>
  <c r="AM3" i="18"/>
  <c r="AL3" i="18"/>
  <c r="AK3" i="18"/>
  <c r="AJ3" i="18"/>
  <c r="AI3" i="18"/>
  <c r="AH3" i="18"/>
  <c r="AG3" i="18"/>
  <c r="AF3" i="18"/>
  <c r="AE3" i="18"/>
  <c r="AD3" i="18"/>
  <c r="AC3" i="18"/>
  <c r="AR2" i="18"/>
  <c r="AQ2" i="18"/>
  <c r="AP2" i="18"/>
  <c r="AO2" i="18"/>
  <c r="AN2" i="18"/>
  <c r="AM2" i="18"/>
  <c r="AL2" i="18"/>
  <c r="AK2" i="18"/>
  <c r="AJ2" i="18"/>
  <c r="AI2" i="18"/>
  <c r="AH2" i="18"/>
  <c r="AG2" i="18"/>
  <c r="AF2" i="18"/>
  <c r="AE2" i="18"/>
  <c r="AD2" i="18"/>
  <c r="C30" i="14"/>
  <c r="R17" i="24"/>
  <c r="Q17" i="24"/>
  <c r="P17" i="24"/>
  <c r="O17" i="24"/>
  <c r="K17" i="24"/>
  <c r="B17" i="24"/>
  <c r="R16" i="24"/>
  <c r="Q16" i="24"/>
  <c r="P16" i="24"/>
  <c r="O16" i="24"/>
  <c r="K16" i="24"/>
  <c r="B16" i="24"/>
  <c r="R15" i="24"/>
  <c r="Q15" i="24"/>
  <c r="P15" i="24"/>
  <c r="O15" i="24"/>
  <c r="K15" i="24"/>
  <c r="B15" i="24"/>
  <c r="S8" i="24"/>
  <c r="Q8" i="24"/>
  <c r="P8" i="24"/>
  <c r="I14" i="13"/>
  <c r="H14" i="13"/>
  <c r="G14" i="13"/>
  <c r="D14" i="13"/>
  <c r="AJ20" i="33"/>
  <c r="AI20" i="33"/>
  <c r="AH20" i="33"/>
  <c r="AG20" i="33"/>
  <c r="AF20" i="33"/>
  <c r="AE20" i="33"/>
  <c r="AD20" i="33"/>
  <c r="AC20" i="33"/>
  <c r="AB20" i="33"/>
  <c r="AA20" i="33"/>
  <c r="Z20" i="33"/>
  <c r="Y20" i="33"/>
  <c r="X20" i="33"/>
  <c r="W20" i="33"/>
  <c r="V20" i="33"/>
  <c r="U20" i="33"/>
  <c r="T20" i="33"/>
  <c r="S20" i="33"/>
  <c r="R20" i="33"/>
  <c r="Q20" i="33"/>
  <c r="P20" i="33"/>
  <c r="O20" i="33"/>
  <c r="N20" i="33"/>
  <c r="M20" i="33"/>
  <c r="AJ19" i="33"/>
  <c r="AI19" i="33"/>
  <c r="AH19" i="33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AJ18" i="33"/>
  <c r="AI18" i="33"/>
  <c r="AH18" i="33"/>
  <c r="AG18" i="33"/>
  <c r="AF18" i="33"/>
  <c r="AE18" i="33"/>
  <c r="AD18" i="33"/>
  <c r="AC18" i="33"/>
  <c r="AB18" i="33"/>
  <c r="AA18" i="33"/>
  <c r="Z18" i="33"/>
  <c r="Y18" i="33"/>
  <c r="X18" i="33"/>
  <c r="W18" i="33"/>
  <c r="V18" i="33"/>
  <c r="U18" i="33"/>
  <c r="T18" i="33"/>
  <c r="S18" i="33"/>
  <c r="R18" i="33"/>
  <c r="Q18" i="33"/>
  <c r="P18" i="33"/>
  <c r="O18" i="33"/>
  <c r="N18" i="33"/>
  <c r="M18" i="33"/>
  <c r="AJ17" i="33"/>
  <c r="AI17" i="33"/>
  <c r="AH17" i="33"/>
  <c r="AG17" i="33"/>
  <c r="AF17" i="33"/>
  <c r="AE17" i="33"/>
  <c r="AD17" i="33"/>
  <c r="AC17" i="33"/>
  <c r="AB17" i="33"/>
  <c r="AA17" i="33"/>
  <c r="Z17" i="33"/>
  <c r="Y17" i="33"/>
  <c r="X17" i="33"/>
  <c r="W17" i="33"/>
  <c r="V17" i="33"/>
  <c r="U17" i="33"/>
  <c r="T17" i="33"/>
  <c r="S17" i="33"/>
  <c r="R17" i="33"/>
  <c r="Q17" i="33"/>
  <c r="P17" i="33"/>
  <c r="O17" i="33"/>
  <c r="N17" i="33"/>
  <c r="M17" i="33"/>
  <c r="AJ16" i="33"/>
  <c r="AI16" i="33"/>
  <c r="AH16" i="33"/>
  <c r="AG16" i="33"/>
  <c r="AF16" i="33"/>
  <c r="AE16" i="33"/>
  <c r="AD16" i="33"/>
  <c r="AC16" i="33"/>
  <c r="AB16" i="33"/>
  <c r="AA16" i="33"/>
  <c r="Z16" i="33"/>
  <c r="Y16" i="33"/>
  <c r="X16" i="33"/>
  <c r="W16" i="33"/>
  <c r="V16" i="33"/>
  <c r="U16" i="33"/>
  <c r="T16" i="33"/>
  <c r="S16" i="33"/>
  <c r="R16" i="33"/>
  <c r="Q16" i="33"/>
  <c r="P16" i="33"/>
  <c r="O16" i="33"/>
  <c r="N16" i="33"/>
  <c r="M16" i="33"/>
  <c r="AJ15" i="33"/>
  <c r="AI15" i="33"/>
  <c r="AH15" i="33"/>
  <c r="AG15" i="33"/>
  <c r="AF15" i="33"/>
  <c r="AE15" i="33"/>
  <c r="AD15" i="33"/>
  <c r="AC15" i="33"/>
  <c r="AB15" i="33"/>
  <c r="AA15" i="33"/>
  <c r="Z15" i="33"/>
  <c r="Y15" i="33"/>
  <c r="X15" i="33"/>
  <c r="W15" i="33"/>
  <c r="V15" i="33"/>
  <c r="U15" i="33"/>
  <c r="T15" i="33"/>
  <c r="S15" i="33"/>
  <c r="R15" i="33"/>
  <c r="Q15" i="33"/>
  <c r="P15" i="33"/>
  <c r="O15" i="33"/>
  <c r="N15" i="33"/>
  <c r="M15" i="33"/>
  <c r="C10" i="17"/>
  <c r="B10" i="17"/>
  <c r="C9" i="17"/>
  <c r="B9" i="17"/>
  <c r="C8" i="17"/>
  <c r="B8" i="17"/>
  <c r="C7" i="17"/>
  <c r="B7" i="17"/>
  <c r="C6" i="17"/>
  <c r="B6" i="17"/>
  <c r="C5" i="17"/>
  <c r="B5" i="17"/>
  <c r="I35" i="2"/>
  <c r="I34" i="2"/>
  <c r="I33" i="2"/>
  <c r="I32" i="2"/>
  <c r="I31" i="2"/>
  <c r="I30" i="2"/>
  <c r="AA26" i="2"/>
  <c r="AA25" i="2"/>
  <c r="V25" i="2"/>
  <c r="AA24" i="2"/>
  <c r="AA23" i="2"/>
  <c r="V23" i="2"/>
  <c r="AA22" i="2"/>
  <c r="V22" i="2"/>
  <c r="AA21" i="2"/>
  <c r="V21" i="2"/>
  <c r="V17" i="2"/>
  <c r="AA13" i="2"/>
  <c r="AA12" i="2"/>
  <c r="AA11" i="2"/>
  <c r="H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</authors>
  <commentList>
    <comment ref="D3" authorId="0" shapeId="0" xr:uid="{00000000-0006-0000-0000-000001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  <author>AMIT</author>
    <author>xli9</author>
    <author>Amit Kanudia</author>
  </authors>
  <commentList>
    <comment ref="B2" authorId="0" shapeId="0" xr:uid="{00000000-0006-0000-0100-000001000000}">
      <text>
        <r>
          <rPr>
            <b/>
            <sz val="8"/>
            <rFont val="Tahoma"/>
            <charset val="134"/>
          </rPr>
          <t>Insert Table</t>
        </r>
      </text>
    </comment>
    <comment ref="I2" authorId="1" shapeId="0" xr:uid="{00000000-0006-0000-0100-000002000000}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 shapeId="0" xr:uid="{00000000-0006-0000-0100-000003000000}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 shapeId="0" xr:uid="{00000000-0006-0000-0100-000004000000}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 shapeId="0" xr:uid="{00000000-0006-0000-0100-000005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i revised it from 2025 to 2150, since removing geotherml totally from transition is not normal</t>
        </r>
      </text>
    </comment>
    <comment ref="D10" authorId="4" shapeId="0" xr:uid="{00000000-0006-0000-0100-000006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 shapeId="0" xr:uid="{00000000-0006-0000-0100-000007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 shapeId="0" xr:uid="{00000000-0006-0000-0100-000008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 shapeId="0" xr:uid="{00000000-0006-0000-0100-000009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original is 4.7 (which does not include Depot compressor cost--4 million $/PJ)</t>
        </r>
      </text>
    </comment>
    <comment ref="D23" authorId="4" shapeId="0" xr:uid="{00000000-0006-0000-0100-00000A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 shapeId="0" xr:uid="{00000000-0006-0000-0100-00000B000000}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 shapeId="0" xr:uid="{00000000-0006-0000-0100-00000C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</authors>
  <commentList>
    <comment ref="B11" authorId="0" shapeId="0" xr:uid="{00000000-0006-0000-0300-000001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I removed this since all Aviation demand are satisifed by Jet-fuels instead of ELC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  <author>Amit Kanudia</author>
  </authors>
  <commentList>
    <comment ref="X6" authorId="0" shapeId="0" xr:uid="{00000000-0006-0000-0A00-000001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It has already been deducted in NetCO2</t>
        </r>
      </text>
    </comment>
    <comment ref="AD11" authorId="1" shapeId="0" xr:uid="{00000000-0006-0000-0A00-000002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 shapeId="0" xr:uid="{00000000-0006-0000-0A00-000003000000}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B00-000002000000}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  <author>Amit Kanudia</author>
  </authors>
  <commentList>
    <comment ref="C5" authorId="0" shapeId="0" xr:uid="{00000000-0006-0000-0C00-000001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Maximum share constraint
👉 This is good and necessary
Represents:
fraction of EVs with V2G hardware
infrastructure limitations</t>
        </r>
      </text>
    </comment>
    <comment ref="E7" authorId="0" shapeId="0" xr:uid="{00000000-0006-0000-0C00-000002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  <comment ref="E8" authorId="1" shapeId="0" xr:uid="{00000000-0006-0000-0C00-000003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<sst xmlns="http://schemas.openxmlformats.org/spreadsheetml/2006/main" count="2008" uniqueCount="655">
  <si>
    <t>*this is to align the power sector with reality while we work with a reduced structure to explore batteries</t>
  </si>
  <si>
    <t>~UC_SETS: R_E: AllRegions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</si>
  <si>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</si>
  <si>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</si>
  <si>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</si>
  <si>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</si>
  <si>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</si>
  <si>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</si>
  <si>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</si>
  <si>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</si>
  <si>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</si>
  <si>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</si>
  <si>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</si>
  <si>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</si>
  <si>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</si>
  <si>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</si>
  <si>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</si>
  <si>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</si>
  <si>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</si>
  <si>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</si>
  <si>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</si>
  <si>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</si>
  <si>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</si>
  <si>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</si>
  <si>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</si>
  <si>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</si>
  <si>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</si>
  <si>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</si>
  <si>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</si>
  <si>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</si>
  <si>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</si>
  <si>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</si>
  <si>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</si>
  <si>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</si>
  <si>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</si>
  <si>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</si>
  <si>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</si>
  <si>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</si>
  <si>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</si>
  <si>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</si>
  <si>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</si>
  <si>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</si>
  <si>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</si>
  <si>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</si>
  <si>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</si>
  <si>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</si>
  <si>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</si>
  <si>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</si>
  <si>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</si>
  <si>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</si>
  <si>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</si>
  <si>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</si>
  <si>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</si>
  <si>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</si>
  <si>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</si>
  <si>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</si>
  <si>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</si>
  <si>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</si>
  <si>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</si>
  <si>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</si>
  <si>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</si>
  <si>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</si>
  <si>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</si>
  <si>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</si>
  <si>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</si>
  <si>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</si>
  <si>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</si>
  <si>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</si>
  <si>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</si>
  <si>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</si>
  <si>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</si>
  <si>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</si>
  <si>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</si>
  <si>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</si>
  <si>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</si>
  <si>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</si>
  <si>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</si>
  <si>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</si>
  <si>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</si>
  <si>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</si>
  <si>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</si>
  <si>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</si>
  <si>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</si>
  <si>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</si>
  <si>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</si>
  <si>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</si>
  <si>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</si>
  <si>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</si>
  <si>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</si>
  <si>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</si>
  <si>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</si>
  <si>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</si>
  <si>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</si>
  <si>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</si>
  <si>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</si>
  <si>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</si>
  <si>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</si>
  <si>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</si>
  <si>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</si>
  <si>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</si>
  <si>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</si>
  <si>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</si>
  <si>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</si>
  <si>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</si>
  <si>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</si>
  <si>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</si>
  <si>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</si>
  <si>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</si>
  <si>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</si>
  <si>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</si>
  <si>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</si>
  <si>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</si>
  <si>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</si>
  <si>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</si>
  <si>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</si>
  <si>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</si>
  <si>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</si>
  <si>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</si>
  <si>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</si>
  <si>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</si>
  <si>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</si>
  <si>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</si>
  <si>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</si>
  <si>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</si>
  <si>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</si>
  <si>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</si>
  <si>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</si>
  <si>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</si>
  <si>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</si>
  <si>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</si>
  <si>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</si>
  <si>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</si>
  <si>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</si>
  <si>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</si>
  <si>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</si>
  <si>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</si>
  <si>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</si>
  <si>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</si>
  <si>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</si>
  <si>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</si>
  <si>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</si>
  <si>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</si>
  <si>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</si>
  <si>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</si>
  <si>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</si>
  <si>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</si>
  <si>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</si>
  <si>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</si>
  <si>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</si>
  <si>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</si>
  <si>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</si>
  <si>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</si>
  <si>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</si>
  <si>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</si>
  <si>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</si>
  <si>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</si>
  <si>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</si>
  <si>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</si>
  <si>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</si>
  <si>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</si>
  <si>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</si>
  <si>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</si>
  <si>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</si>
  <si>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</si>
  <si>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</si>
  <si>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</si>
  <si>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</si>
  <si>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</si>
  <si>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</si>
  <si>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</si>
  <si>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</si>
  <si>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</si>
  <si>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</si>
  <si>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</si>
  <si>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</si>
  <si>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</si>
  <si>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</si>
  <si>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</si>
  <si>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</si>
  <si>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</si>
  <si>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</si>
  <si>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</si>
  <si>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</si>
  <si>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</si>
  <si>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</si>
  <si>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</si>
  <si>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</si>
  <si>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</si>
  <si>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</si>
  <si>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</si>
  <si>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</si>
  <si>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</si>
  <si>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</si>
  <si>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</si>
  <si>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</si>
  <si>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</si>
  <si>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</si>
  <si>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</si>
  <si>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</si>
  <si>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</si>
  <si>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</si>
  <si>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</si>
  <si>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</si>
  <si>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</si>
  <si>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</si>
  <si>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</si>
  <si>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</si>
  <si>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</si>
  <si>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</si>
  <si>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</si>
  <si>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</si>
  <si>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</si>
  <si>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</si>
  <si>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</si>
  <si>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</si>
  <si>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</si>
  <si>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</si>
  <si>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</si>
  <si>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</si>
  <si>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</si>
  <si>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</si>
  <si>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</si>
  <si>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</si>
  <si>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</si>
  <si>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</si>
  <si>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</si>
  <si>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</si>
  <si>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</si>
  <si>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</si>
  <si>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</si>
  <si>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</si>
  <si>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</si>
  <si>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</si>
  <si>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</si>
  <si>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</si>
  <si>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</si>
  <si>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</si>
  <si>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</si>
  <si>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</si>
  <si>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</si>
  <si>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</si>
  <si>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</si>
  <si>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</si>
  <si>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</si>
  <si>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</si>
  <si>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</si>
  <si>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</si>
  <si>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</si>
  <si>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</si>
  <si>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</si>
  <si>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</si>
  <si>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</si>
  <si>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</si>
  <si>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</si>
  <si>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</si>
  <si>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</si>
  <si>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</si>
  <si>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</si>
  <si>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</si>
  <si>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</si>
  <si>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</si>
  <si>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</si>
  <si>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</si>
  <si>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</si>
  <si>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</si>
  <si>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</si>
  <si>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</si>
  <si>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</si>
  <si>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</si>
  <si>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</si>
  <si>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</si>
  <si>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</si>
  <si>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</si>
  <si>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</si>
  <si>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</si>
  <si>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</si>
  <si>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</si>
  <si>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</si>
  <si>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</si>
  <si>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</si>
  <si>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</si>
  <si>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</si>
  <si>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</si>
  <si>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</si>
  <si>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</si>
  <si>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</si>
  <si>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</si>
  <si>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</si>
  <si>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</si>
  <si>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</si>
  <si>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</si>
  <si>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</si>
  <si>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</si>
  <si>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</si>
  <si>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</si>
  <si>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</si>
  <si>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</si>
  <si>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</si>
  <si>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</si>
  <si>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</si>
  <si>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</si>
  <si>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</si>
  <si>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</si>
  <si>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</si>
  <si>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</si>
  <si>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</si>
  <si>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</si>
  <si>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</si>
  <si>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</si>
  <si>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</si>
  <si>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Process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</si>
  <si>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</si>
  <si>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</si>
  <si>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</si>
  <si>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</si>
  <si>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</si>
  <si>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</si>
  <si>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</si>
  <si>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</si>
  <si>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</si>
  <si>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</si>
  <si>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</si>
  <si>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</si>
  <si>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</si>
  <si>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</si>
  <si>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</si>
  <si>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</si>
  <si>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</si>
  <si>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</si>
  <si>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</si>
  <si>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</si>
  <si>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</si>
  <si>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</si>
  <si>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</si>
  <si>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</si>
  <si>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</si>
  <si>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</si>
  <si>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</si>
  <si>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</si>
  <si>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</si>
  <si>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</si>
  <si>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</si>
  <si>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</si>
  <si>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</si>
  <si>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</si>
  <si>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</si>
  <si>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</si>
  <si>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</si>
  <si>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</si>
  <si>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</si>
  <si>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</si>
  <si>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</si>
  <si>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</si>
  <si>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</si>
  <si>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</si>
  <si>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</si>
  <si>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</si>
  <si>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</si>
  <si>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</si>
  <si>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</si>
  <si>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</si>
  <si>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</si>
  <si>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</si>
  <si>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</si>
  <si>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</si>
  <si>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</si>
  <si>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</si>
  <si>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</si>
  <si>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</si>
  <si>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</si>
  <si>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</si>
  <si>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</si>
  <si>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</si>
  <si>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</si>
  <si>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</si>
  <si>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</si>
  <si>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</si>
  <si>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</si>
  <si>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</si>
  <si>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</si>
  <si>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</si>
  <si>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</si>
  <si>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</si>
  <si>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</si>
  <si>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</si>
  <si>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</si>
  <si>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</si>
  <si>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</si>
  <si>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</si>
  <si>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</si>
  <si>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</si>
  <si>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</si>
  <si>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</si>
  <si>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</si>
  <si>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</si>
  <si>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</si>
  <si>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ELCCOB</t>
  </si>
  <si>
    <t>ELCCOA</t>
  </si>
  <si>
    <t>ELCOIL</t>
  </si>
  <si>
    <t>ELCOIL_CRD</t>
  </si>
  <si>
    <t>ELCOIL_DST</t>
  </si>
  <si>
    <t>ELCBSL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</si>
  <si>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</si>
  <si>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</si>
  <si>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</si>
  <si>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</si>
  <si>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</si>
  <si>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</si>
  <si>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</si>
  <si>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</si>
  <si>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</si>
  <si>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</si>
  <si>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</si>
  <si>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</si>
  <si>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</si>
  <si>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</si>
  <si>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</si>
  <si>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</si>
  <si>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</si>
  <si>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</si>
  <si>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</si>
  <si>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</si>
  <si>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</si>
  <si>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</si>
  <si>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</si>
  <si>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</si>
  <si>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</si>
  <si>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</si>
  <si>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</si>
  <si>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</si>
  <si>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</si>
  <si>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</si>
  <si>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</si>
  <si>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</si>
  <si>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</si>
  <si>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</si>
  <si>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</si>
  <si>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</si>
  <si>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</si>
  <si>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</si>
  <si>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</si>
  <si>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</si>
  <si>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</si>
  <si>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</si>
  <si>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</si>
  <si>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</si>
  <si>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</si>
  <si>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</si>
  <si>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</si>
  <si>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</si>
  <si>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</si>
  <si>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</si>
  <si>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</si>
  <si>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</si>
  <si>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</si>
  <si>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</si>
  <si>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</si>
  <si>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</si>
  <si>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</si>
  <si>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</si>
  <si>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</si>
  <si>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</si>
  <si>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</si>
  <si>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</si>
  <si>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</si>
  <si>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</si>
  <si>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</si>
  <si>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</si>
  <si>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</si>
  <si>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</si>
  <si>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</si>
  <si>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</si>
  <si>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</si>
  <si>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</si>
  <si>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</si>
  <si>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</si>
  <si>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</si>
  <si>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</si>
  <si>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</si>
  <si>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</si>
  <si>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</si>
  <si>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</si>
  <si>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</si>
  <si>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</si>
  <si>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</si>
  <si>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</si>
  <si>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</si>
  <si>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</si>
  <si>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</si>
  <si>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</si>
  <si>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</si>
  <si>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</si>
  <si>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</si>
  <si>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</si>
  <si>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</si>
  <si>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</si>
  <si>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</si>
  <si>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</si>
  <si>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</si>
  <si>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</si>
  <si>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</si>
  <si>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</si>
  <si>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</si>
  <si>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</si>
  <si>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</si>
  <si>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</si>
  <si>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</si>
  <si>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</si>
  <si>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</si>
  <si>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</si>
  <si>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</si>
  <si>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</si>
  <si>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</si>
  <si>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</si>
  <si>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</si>
  <si>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</si>
  <si>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</si>
  <si>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</si>
  <si>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</si>
  <si>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</si>
  <si>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</si>
  <si>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</si>
  <si>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</si>
  <si>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</si>
  <si>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</si>
  <si>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</si>
  <si>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</si>
  <si>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</si>
  <si>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</si>
  <si>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</si>
  <si>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</si>
  <si>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</si>
  <si>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</si>
  <si>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</si>
  <si>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</si>
  <si>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</si>
  <si>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</si>
  <si>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</si>
  <si>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</si>
  <si>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</si>
  <si>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</si>
  <si>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</si>
  <si>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</si>
  <si>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</si>
  <si>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</si>
  <si>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</si>
  <si>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</si>
  <si>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</si>
  <si>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</si>
  <si>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</si>
  <si>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</si>
  <si>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</si>
  <si>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</si>
  <si>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</si>
  <si>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</si>
  <si>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</si>
  <si>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</si>
  <si>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</si>
  <si>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</si>
  <si>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</si>
  <si>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</si>
  <si>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</si>
  <si>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</si>
  <si>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</si>
  <si>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</si>
  <si>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</si>
  <si>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</si>
  <si>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</si>
  <si>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</si>
  <si>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</si>
  <si>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</si>
  <si>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</si>
  <si>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</si>
  <si>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</si>
  <si>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</si>
  <si>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</si>
  <si>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</si>
  <si>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</si>
  <si>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</si>
  <si>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</si>
  <si>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</si>
  <si>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</si>
  <si>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</si>
  <si>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</si>
  <si>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</si>
  <si>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</si>
  <si>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</si>
  <si>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</si>
  <si>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</si>
  <si>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</si>
  <si>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</si>
  <si>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</si>
  <si>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</si>
  <si>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</si>
  <si>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</si>
  <si>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</si>
  <si>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</si>
  <si>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</si>
  <si>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</si>
  <si>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</si>
  <si>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</si>
  <si>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</si>
  <si>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</si>
  <si>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</si>
  <si>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</si>
  <si>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</si>
  <si>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</si>
  <si>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</si>
  <si>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</si>
  <si>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</si>
  <si>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</si>
  <si>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</si>
  <si>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</si>
  <si>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~TFM_INS-AT</t>
  </si>
  <si>
    <t>kt CO2</t>
  </si>
  <si>
    <t>Region</t>
  </si>
  <si>
    <t>USD20</t>
  </si>
  <si>
    <t>~UC_T: UC_RHSRT~UP</t>
  </si>
  <si>
    <t>UCT_car batteries cap</t>
  </si>
  <si>
    <t>TRDELC</t>
  </si>
  <si>
    <t>Tra_BEV_Batt_VtoG</t>
  </si>
  <si>
    <t>Trd_car</t>
  </si>
  <si>
    <t>Trd_lcv</t>
  </si>
  <si>
    <t>Trd_bus</t>
  </si>
  <si>
    <t>~UC_T: UC_RHSRT~FX</t>
  </si>
  <si>
    <t>UCT_car batteries cap - car</t>
  </si>
  <si>
    <t>STG</t>
  </si>
  <si>
    <t>Tra_EV*virgin_pack, Tra_EV*fromrecy, Tra_EV_Batt-Sodium_virgin_pack</t>
  </si>
  <si>
    <t>Trd_hdt</t>
  </si>
  <si>
    <t>Trd_2w</t>
  </si>
  <si>
    <t>Trd_3w</t>
  </si>
  <si>
    <t>DeACT UC_T: UC_RHSRT~LO~2025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</si>
  <si>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</si>
  <si>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</si>
  <si>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</si>
  <si>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</si>
  <si>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</si>
  <si>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</si>
  <si>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</si>
  <si>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</si>
  <si>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</si>
  <si>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</si>
  <si>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</si>
  <si>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</si>
  <si>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</si>
  <si>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</si>
  <si>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</si>
  <si>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</si>
  <si>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</si>
  <si>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</si>
  <si>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</si>
  <si>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</si>
  <si>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</si>
  <si>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</si>
  <si>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ELCCO2N*,-*b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</si>
</sst>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1" formatCode="_ * #,##0_ ;_ * \-#,##0_ ;_ * &quot;-&quot;_ ;_ @_ "/>
    <numFmt numFmtId="43" formatCode="_ * #,##0.00_ ;_ * \-#,##0.00_ ;_ * &quot;-&quot;??_ ;_ @_ "/>
    <numFmt numFmtId="164" formatCode="_-* #,##0_-;\-* #,##0_-;_-* &quot;-&quot;_-;_-@_-"/>
    <numFmt numFmtId="165" formatCode="_-* #,##0.00_-;\-* #,##0.00_-;_-* &quot;-&quot;??_-;_-@_-"/>
    <numFmt numFmtId="166" formatCode="0.0%"/>
    <numFmt numFmtId="167" formatCode="_-&quot;$&quot;* #,##0.00_-;\-&quot;$&quot;* #,##0.00_-;_-&quot;$&quot;* &quot;-&quot;??_-;_-@_-"/>
    <numFmt numFmtId="168" formatCode="m\o\n\th\ d\,\ yyyy"/>
    <numFmt numFmtId="169" formatCode="_([$€]* #,##0.00_);_([$€]* \(#,##0.00\);_([$€]* &quot;-&quot;??_);_(@_)"/>
    <numFmt numFmtId="170" formatCode="_([$€-2]* #,##0.00_);_([$€-2]* \(#,##0.00\);_([$€-2]* &quot;-&quot;??_)"/>
    <numFmt numFmtId="171" formatCode="_-[$€-2]\ * #,##0.00_-;\-[$€-2]\ * #,##0.00_-;_-[$€-2]\ * &quot;-&quot;??_-"/>
    <numFmt numFmtId="172" formatCode="_-[$€]* #,##0.00_-;\-[$€]* #,##0.00_-;_-[$€]* &quot;-&quot;??_-;_-@_-"/>
    <numFmt numFmtId="173" formatCode="_-&quot;€&quot;\ * #,##0.00_-;\-&quot;€&quot;\ * #,##0.00_-;_-&quot;€&quot;\ * &quot;-&quot;??_-;_-@_-"/>
    <numFmt numFmtId="174" formatCode="#.00"/>
    <numFmt numFmtId="175" formatCode="#."/>
    <numFmt numFmtId="176" formatCode="_-* #,##0.00\ _€_-;\-* #,##0.00\ _€_-;_-* &quot;-&quot;??\ _€_-;_-@_-"/>
    <numFmt numFmtId="177" formatCode="&quot;$&quot;#,##0_);\(&quot;$&quot;#,##0\)"/>
    <numFmt numFmtId="178" formatCode="General_)"/>
    <numFmt numFmtId="179" formatCode="\(##\);\(##\)"/>
    <numFmt numFmtId="180" formatCode="#,##0;\-\ #,##0;_-\ &quot;- &quot;"/>
    <numFmt numFmtId="181" formatCode="_ &quot;kr&quot;\ * #,##0_ ;_ &quot;kr&quot;\ * \-#,##0_ ;_ &quot;kr&quot;\ * &quot;-&quot;_ ;_ @_ "/>
    <numFmt numFmtId="182" formatCode="yyyy"/>
    <numFmt numFmtId="183" formatCode="#,##0.0"/>
    <numFmt numFmtId="184" formatCode="_ &quot;kr&quot;\ * #,##0.00_ ;_ &quot;kr&quot;\ * \-#,##0.00_ ;_ &quot;kr&quot;\ * &quot;-&quot;??_ ;_ @_ "/>
    <numFmt numFmtId="185" formatCode="0.00_);[Red]\(0.00\)"/>
    <numFmt numFmtId="187" formatCode="0.0"/>
  </numFmts>
  <fonts count="71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scheme val="minor"/>
    </font>
    <font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</font>
    <font>
      <b/>
      <sz val="9"/>
      <name val="Tahoma"/>
      <charset val="1"/>
    </font>
    <font>
      <b/>
      <sz val="9"/>
      <name val="Tahoma"/>
      <charset val="134"/>
    </font>
    <font>
      <sz val="9"/>
      <name val="Times New Roman"/>
    </font>
    <font>
      <sz val="9"/>
      <name val="Tahoma"/>
      <charset val="1"/>
    </font>
    <font>
      <b/>
      <sz val="8"/>
      <name val="Tahoma"/>
      <charset val="134"/>
    </font>
    <font>
      <sz val="8"/>
      <name val="Tahoma"/>
      <charset val="134"/>
    </font>
    <font>
      <sz val="9"/>
      <name val="Tahoma"/>
      <charset val="134"/>
    </font>
    <font>
      <sz val="11"/>
      <color theme="1"/>
      <name val="Calibri"/>
      <charset val="134"/>
      <scheme val="minor"/>
    </font>
  </fonts>
  <fills count="49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2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4506668294322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03">
    <xf numFmtId="0" fontId="0" fillId="0" borderId="0"/>
    <xf numFmtId="9" fontId="70" fillId="0" borderId="0" applyFont="0" applyFill="0" applyBorder="0" applyAlignment="0" applyProtection="0"/>
    <xf numFmtId="0" fontId="12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7" fillId="10" borderId="1" applyNumberFormat="0" applyAlignment="0" applyProtection="0"/>
    <xf numFmtId="0" fontId="5" fillId="8" borderId="0" applyNumberFormat="0" applyBorder="0" applyAlignment="0" applyProtection="0"/>
    <xf numFmtId="0" fontId="4" fillId="7" borderId="0" applyNumberFormat="0" applyBorder="0" applyAlignment="0" applyProtection="0"/>
    <xf numFmtId="0" fontId="16" fillId="18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8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9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19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1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1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3" borderId="0" applyNumberFormat="0" applyBorder="0" applyAlignment="0" applyProtection="0"/>
    <xf numFmtId="0" fontId="16" fillId="24" borderId="0" applyNumberFormat="0" applyBorder="0" applyAlignment="0" applyProtection="0"/>
    <xf numFmtId="0" fontId="16" fillId="24" borderId="0" applyNumberFormat="0" applyBorder="0" applyAlignment="0" applyProtection="0"/>
    <xf numFmtId="0" fontId="16" fillId="24" borderId="0" applyNumberFormat="0" applyBorder="0" applyAlignment="0" applyProtection="0"/>
    <xf numFmtId="0" fontId="16" fillId="24" borderId="0" applyNumberFormat="0" applyBorder="0" applyAlignment="0" applyProtection="0"/>
    <xf numFmtId="0" fontId="16" fillId="24" borderId="0" applyNumberFormat="0" applyBorder="0" applyAlignment="0" applyProtection="0"/>
    <xf numFmtId="0" fontId="16" fillId="24" borderId="0" applyNumberFormat="0" applyBorder="0" applyAlignment="0" applyProtection="0"/>
    <xf numFmtId="0" fontId="16" fillId="24" borderId="0" applyNumberFormat="0" applyBorder="0" applyAlignment="0" applyProtection="0"/>
    <xf numFmtId="0" fontId="16" fillId="24" borderId="0" applyNumberFormat="0" applyBorder="0" applyAlignment="0" applyProtection="0"/>
    <xf numFmtId="0" fontId="16" fillId="24" borderId="0" applyNumberFormat="0" applyBorder="0" applyAlignment="0" applyProtection="0"/>
    <xf numFmtId="0" fontId="16" fillId="24" borderId="0" applyNumberFormat="0" applyBorder="0" applyAlignment="0" applyProtection="0"/>
    <xf numFmtId="0" fontId="16" fillId="24" borderId="0" applyNumberFormat="0" applyBorder="0" applyAlignment="0" applyProtection="0"/>
    <xf numFmtId="0" fontId="16" fillId="24" borderId="0" applyNumberFormat="0" applyBorder="0" applyAlignment="0" applyProtection="0"/>
    <xf numFmtId="0" fontId="16" fillId="24" borderId="0" applyNumberFormat="0" applyBorder="0" applyAlignment="0" applyProtection="0"/>
    <xf numFmtId="0" fontId="16" fillId="24" borderId="0" applyNumberFormat="0" applyBorder="0" applyAlignment="0" applyProtection="0"/>
    <xf numFmtId="0" fontId="16" fillId="23" borderId="0" applyNumberFormat="0" applyBorder="0" applyAlignment="0" applyProtection="0"/>
    <xf numFmtId="0" fontId="16" fillId="24" borderId="0" applyNumberFormat="0" applyBorder="0" applyAlignment="0" applyProtection="0"/>
    <xf numFmtId="0" fontId="16" fillId="24" borderId="0" applyNumberFormat="0" applyBorder="0" applyAlignment="0" applyProtection="0"/>
    <xf numFmtId="0" fontId="16" fillId="24" borderId="0" applyNumberFormat="0" applyBorder="0" applyAlignment="0" applyProtection="0"/>
    <xf numFmtId="0" fontId="16" fillId="24" borderId="0" applyNumberFormat="0" applyBorder="0" applyAlignment="0" applyProtection="0"/>
    <xf numFmtId="0" fontId="16" fillId="24" borderId="0" applyNumberFormat="0" applyBorder="0" applyAlignment="0" applyProtection="0"/>
    <xf numFmtId="0" fontId="16" fillId="24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4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4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1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1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6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26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23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23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1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5" borderId="0" applyNumberFormat="0" applyBorder="0" applyAlignment="0" applyProtection="0"/>
    <xf numFmtId="0" fontId="16" fillId="27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7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6" fillId="22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7" fillId="28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8" borderId="0" applyNumberFormat="0" applyBorder="0" applyAlignment="0" applyProtection="0"/>
    <xf numFmtId="0" fontId="17" fillId="25" borderId="0" applyNumberFormat="0" applyBorder="0" applyAlignment="0" applyProtection="0"/>
    <xf numFmtId="0" fontId="17" fillId="20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20" borderId="0" applyNumberFormat="0" applyBorder="0" applyAlignment="0" applyProtection="0"/>
    <xf numFmtId="0" fontId="17" fillId="29" borderId="0" applyNumberFormat="0" applyBorder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30" borderId="0" applyNumberFormat="0" applyBorder="0" applyAlignment="0" applyProtection="0"/>
    <xf numFmtId="0" fontId="17" fillId="19" borderId="0" applyNumberFormat="0" applyBorder="0" applyAlignment="0" applyProtection="0"/>
    <xf numFmtId="0" fontId="17" fillId="19" borderId="0" applyNumberFormat="0" applyBorder="0" applyAlignment="0" applyProtection="0"/>
    <xf numFmtId="0" fontId="17" fillId="19" borderId="0" applyNumberFormat="0" applyBorder="0" applyAlignment="0" applyProtection="0"/>
    <xf numFmtId="0" fontId="17" fillId="19" borderId="0" applyNumberFormat="0" applyBorder="0" applyAlignment="0" applyProtection="0"/>
    <xf numFmtId="0" fontId="17" fillId="19" borderId="0" applyNumberFormat="0" applyBorder="0" applyAlignment="0" applyProtection="0"/>
    <xf numFmtId="0" fontId="17" fillId="19" borderId="0" applyNumberFormat="0" applyBorder="0" applyAlignment="0" applyProtection="0"/>
    <xf numFmtId="0" fontId="17" fillId="19" borderId="0" applyNumberFormat="0" applyBorder="0" applyAlignment="0" applyProtection="0"/>
    <xf numFmtId="0" fontId="17" fillId="19" borderId="0" applyNumberFormat="0" applyBorder="0" applyAlignment="0" applyProtection="0"/>
    <xf numFmtId="0" fontId="17" fillId="19" borderId="0" applyNumberFormat="0" applyBorder="0" applyAlignment="0" applyProtection="0"/>
    <xf numFmtId="0" fontId="17" fillId="30" borderId="0" applyNumberFormat="0" applyBorder="0" applyAlignment="0" applyProtection="0"/>
    <xf numFmtId="0" fontId="17" fillId="19" borderId="0" applyNumberFormat="0" applyBorder="0" applyAlignment="0" applyProtection="0"/>
    <xf numFmtId="0" fontId="17" fillId="31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31" borderId="0" applyNumberFormat="0" applyBorder="0" applyAlignment="0" applyProtection="0"/>
    <xf numFmtId="0" fontId="17" fillId="25" borderId="0" applyNumberFormat="0" applyBorder="0" applyAlignment="0" applyProtection="0"/>
    <xf numFmtId="0" fontId="17" fillId="32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32" borderId="0" applyNumberFormat="0" applyBorder="0" applyAlignment="0" applyProtection="0"/>
    <xf numFmtId="0" fontId="17" fillId="20" borderId="0" applyNumberFormat="0" applyBorder="0" applyAlignment="0" applyProtection="0"/>
    <xf numFmtId="0" fontId="17" fillId="33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3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35" borderId="0" applyNumberFormat="0" applyBorder="0" applyAlignment="0" applyProtection="0"/>
    <xf numFmtId="0" fontId="17" fillId="29" borderId="0" applyNumberFormat="0" applyBorder="0" applyAlignment="0" applyProtection="0"/>
    <xf numFmtId="0" fontId="17" fillId="36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36" borderId="0" applyNumberFormat="0" applyBorder="0" applyAlignment="0" applyProtection="0"/>
    <xf numFmtId="0" fontId="17" fillId="27" borderId="0" applyNumberFormat="0" applyBorder="0" applyAlignment="0" applyProtection="0"/>
    <xf numFmtId="0" fontId="17" fillId="30" borderId="0" applyNumberFormat="0" applyBorder="0" applyAlignment="0" applyProtection="0"/>
    <xf numFmtId="0" fontId="17" fillId="37" borderId="0" applyNumberFormat="0" applyBorder="0" applyAlignment="0" applyProtection="0"/>
    <xf numFmtId="0" fontId="17" fillId="37" borderId="0" applyNumberFormat="0" applyBorder="0" applyAlignment="0" applyProtection="0"/>
    <xf numFmtId="0" fontId="17" fillId="37" borderId="0" applyNumberFormat="0" applyBorder="0" applyAlignment="0" applyProtection="0"/>
    <xf numFmtId="0" fontId="17" fillId="37" borderId="0" applyNumberFormat="0" applyBorder="0" applyAlignment="0" applyProtection="0"/>
    <xf numFmtId="0" fontId="17" fillId="37" borderId="0" applyNumberFormat="0" applyBorder="0" applyAlignment="0" applyProtection="0"/>
    <xf numFmtId="0" fontId="17" fillId="37" borderId="0" applyNumberFormat="0" applyBorder="0" applyAlignment="0" applyProtection="0"/>
    <xf numFmtId="0" fontId="17" fillId="37" borderId="0" applyNumberFormat="0" applyBorder="0" applyAlignment="0" applyProtection="0"/>
    <xf numFmtId="0" fontId="17" fillId="37" borderId="0" applyNumberFormat="0" applyBorder="0" applyAlignment="0" applyProtection="0"/>
    <xf numFmtId="0" fontId="17" fillId="37" borderId="0" applyNumberFormat="0" applyBorder="0" applyAlignment="0" applyProtection="0"/>
    <xf numFmtId="0" fontId="17" fillId="30" borderId="0" applyNumberFormat="0" applyBorder="0" applyAlignment="0" applyProtection="0"/>
    <xf numFmtId="0" fontId="17" fillId="37" borderId="0" applyNumberFormat="0" applyBorder="0" applyAlignment="0" applyProtection="0"/>
    <xf numFmtId="0" fontId="17" fillId="31" borderId="0" applyNumberFormat="0" applyBorder="0" applyAlignment="0" applyProtection="0"/>
    <xf numFmtId="0" fontId="17" fillId="31" borderId="0" applyNumberFormat="0" applyBorder="0" applyAlignment="0" applyProtection="0"/>
    <xf numFmtId="0" fontId="17" fillId="31" borderId="0" applyNumberFormat="0" applyBorder="0" applyAlignment="0" applyProtection="0"/>
    <xf numFmtId="0" fontId="17" fillId="31" borderId="0" applyNumberFormat="0" applyBorder="0" applyAlignment="0" applyProtection="0"/>
    <xf numFmtId="0" fontId="17" fillId="31" borderId="0" applyNumberFormat="0" applyBorder="0" applyAlignment="0" applyProtection="0"/>
    <xf numFmtId="0" fontId="17" fillId="31" borderId="0" applyNumberFormat="0" applyBorder="0" applyAlignment="0" applyProtection="0"/>
    <xf numFmtId="0" fontId="17" fillId="31" borderId="0" applyNumberFormat="0" applyBorder="0" applyAlignment="0" applyProtection="0"/>
    <xf numFmtId="0" fontId="17" fillId="31" borderId="0" applyNumberFormat="0" applyBorder="0" applyAlignment="0" applyProtection="0"/>
    <xf numFmtId="0" fontId="17" fillId="31" borderId="0" applyNumberFormat="0" applyBorder="0" applyAlignment="0" applyProtection="0"/>
    <xf numFmtId="0" fontId="17" fillId="31" borderId="0" applyNumberFormat="0" applyBorder="0" applyAlignment="0" applyProtection="0"/>
    <xf numFmtId="0" fontId="17" fillId="31" borderId="0" applyNumberFormat="0" applyBorder="0" applyAlignment="0" applyProtection="0"/>
    <xf numFmtId="0" fontId="17" fillId="29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29" borderId="0" applyNumberFormat="0" applyBorder="0" applyAlignment="0" applyProtection="0"/>
    <xf numFmtId="0" fontId="17" fillId="35" borderId="0" applyNumberFormat="0" applyBorder="0" applyAlignment="0" applyProtection="0"/>
    <xf numFmtId="4" fontId="18" fillId="24" borderId="5">
      <alignment horizontal="right" vertical="center"/>
    </xf>
    <xf numFmtId="4" fontId="18" fillId="24" borderId="5">
      <alignment horizontal="right" vertical="center"/>
    </xf>
    <xf numFmtId="0" fontId="19" fillId="19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19" borderId="0" applyNumberFormat="0" applyBorder="0" applyAlignment="0" applyProtection="0"/>
    <xf numFmtId="0" fontId="19" fillId="23" borderId="0" applyNumberFormat="0" applyBorder="0" applyAlignment="0" applyProtection="0"/>
    <xf numFmtId="0" fontId="20" fillId="17" borderId="0" applyNumberFormat="0" applyBorder="0" applyAlignment="0" applyProtection="0"/>
    <xf numFmtId="0" fontId="21" fillId="38" borderId="6" applyNumberFormat="0" applyAlignment="0" applyProtection="0"/>
    <xf numFmtId="0" fontId="22" fillId="39" borderId="6" applyNumberFormat="0" applyAlignment="0" applyProtection="0"/>
    <xf numFmtId="0" fontId="22" fillId="39" borderId="6" applyNumberFormat="0" applyAlignment="0" applyProtection="0"/>
    <xf numFmtId="0" fontId="22" fillId="39" borderId="6" applyNumberFormat="0" applyAlignment="0" applyProtection="0"/>
    <xf numFmtId="0" fontId="22" fillId="39" borderId="6" applyNumberFormat="0" applyAlignment="0" applyProtection="0"/>
    <xf numFmtId="0" fontId="22" fillId="39" borderId="6" applyNumberFormat="0" applyAlignment="0" applyProtection="0"/>
    <xf numFmtId="0" fontId="22" fillId="39" borderId="6" applyNumberFormat="0" applyAlignment="0" applyProtection="0"/>
    <xf numFmtId="0" fontId="22" fillId="39" borderId="6" applyNumberFormat="0" applyAlignment="0" applyProtection="0"/>
    <xf numFmtId="0" fontId="22" fillId="39" borderId="6" applyNumberFormat="0" applyAlignment="0" applyProtection="0"/>
    <xf numFmtId="0" fontId="22" fillId="39" borderId="6" applyNumberFormat="0" applyAlignment="0" applyProtection="0"/>
    <xf numFmtId="0" fontId="21" fillId="38" borderId="6" applyNumberFormat="0" applyAlignment="0" applyProtection="0"/>
    <xf numFmtId="0" fontId="22" fillId="39" borderId="6" applyNumberFormat="0" applyAlignment="0" applyProtection="0"/>
    <xf numFmtId="0" fontId="23" fillId="40" borderId="7" applyNumberFormat="0" applyAlignment="0" applyProtection="0"/>
    <xf numFmtId="0" fontId="23" fillId="40" borderId="7" applyNumberFormat="0" applyAlignment="0" applyProtection="0"/>
    <xf numFmtId="0" fontId="23" fillId="40" borderId="7" applyNumberFormat="0" applyAlignment="0" applyProtection="0"/>
    <xf numFmtId="0" fontId="23" fillId="40" borderId="7" applyNumberFormat="0" applyAlignment="0" applyProtection="0"/>
    <xf numFmtId="0" fontId="23" fillId="40" borderId="7" applyNumberFormat="0" applyAlignment="0" applyProtection="0"/>
    <xf numFmtId="0" fontId="23" fillId="40" borderId="7" applyNumberFormat="0" applyAlignment="0" applyProtection="0"/>
    <xf numFmtId="0" fontId="23" fillId="40" borderId="7" applyNumberFormat="0" applyAlignment="0" applyProtection="0"/>
    <xf numFmtId="0" fontId="23" fillId="40" borderId="7" applyNumberFormat="0" applyAlignment="0" applyProtection="0"/>
    <xf numFmtId="0" fontId="23" fillId="40" borderId="7" applyNumberFormat="0" applyAlignment="0" applyProtection="0"/>
    <xf numFmtId="0" fontId="23" fillId="40" borderId="7" applyNumberFormat="0" applyAlignment="0" applyProtection="0"/>
    <xf numFmtId="0" fontId="23" fillId="40" borderId="7" applyNumberFormat="0" applyAlignment="0" applyProtection="0"/>
    <xf numFmtId="49" fontId="13" fillId="25" borderId="8">
      <alignment vertical="top" wrapText="1"/>
    </xf>
    <xf numFmtId="49" fontId="13" fillId="25" borderId="8">
      <alignment vertical="top" wrapText="1"/>
    </xf>
    <xf numFmtId="164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0" fontId="24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0" fontId="24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7" fontId="13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25" fillId="0" borderId="9">
      <alignment horizontal="left" vertical="center" wrapText="1" indent="2"/>
    </xf>
    <xf numFmtId="168" fontId="26" fillId="0" borderId="0">
      <protection locked="0"/>
    </xf>
    <xf numFmtId="168" fontId="26" fillId="0" borderId="0">
      <protection locked="0"/>
    </xf>
    <xf numFmtId="3" fontId="27" fillId="0" borderId="8">
      <alignment horizontal="right" vertical="top"/>
    </xf>
    <xf numFmtId="0" fontId="14" fillId="31" borderId="5">
      <alignment horizontal="centerContinuous" vertical="top" wrapText="1"/>
    </xf>
    <xf numFmtId="0" fontId="28" fillId="0" borderId="0">
      <alignment vertical="top" wrapText="1"/>
    </xf>
    <xf numFmtId="169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1" fontId="13" fillId="0" borderId="0" applyFont="0" applyFill="0" applyBorder="0" applyAlignment="0" applyProtection="0"/>
    <xf numFmtId="171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172" fontId="13" fillId="0" borderId="0" applyFont="0" applyFill="0" applyBorder="0" applyAlignment="0" applyProtection="0"/>
    <xf numFmtId="173" fontId="13" fillId="0" borderId="0" applyFont="0" applyFill="0" applyBorder="0" applyAlignment="0" applyProtection="0"/>
    <xf numFmtId="173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174" fontId="26" fillId="0" borderId="0">
      <protection locked="0"/>
    </xf>
    <xf numFmtId="174" fontId="26" fillId="0" borderId="0">
      <protection locked="0"/>
    </xf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0" fontId="30" fillId="21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1" borderId="0" applyNumberFormat="0" applyBorder="0" applyAlignment="0" applyProtection="0"/>
    <xf numFmtId="0" fontId="30" fillId="25" borderId="0" applyNumberFormat="0" applyBorder="0" applyAlignment="0" applyProtection="0"/>
    <xf numFmtId="0" fontId="5" fillId="8" borderId="0" applyNumberFormat="0" applyBorder="0" applyAlignment="0" applyProtection="0"/>
    <xf numFmtId="0" fontId="31" fillId="0" borderId="10" applyNumberFormat="0" applyFill="0" applyAlignment="0" applyProtection="0"/>
    <xf numFmtId="0" fontId="32" fillId="0" borderId="11" applyNumberFormat="0" applyFill="0" applyAlignment="0" applyProtection="0"/>
    <xf numFmtId="0" fontId="32" fillId="0" borderId="11" applyNumberFormat="0" applyFill="0" applyAlignment="0" applyProtection="0"/>
    <xf numFmtId="0" fontId="32" fillId="0" borderId="11" applyNumberFormat="0" applyFill="0" applyAlignment="0" applyProtection="0"/>
    <xf numFmtId="0" fontId="32" fillId="0" borderId="11" applyNumberFormat="0" applyFill="0" applyAlignment="0" applyProtection="0"/>
    <xf numFmtId="0" fontId="32" fillId="0" borderId="11" applyNumberFormat="0" applyFill="0" applyAlignment="0" applyProtection="0"/>
    <xf numFmtId="0" fontId="32" fillId="0" borderId="11" applyNumberFormat="0" applyFill="0" applyAlignment="0" applyProtection="0"/>
    <xf numFmtId="0" fontId="32" fillId="0" borderId="11" applyNumberFormat="0" applyFill="0" applyAlignment="0" applyProtection="0"/>
    <xf numFmtId="0" fontId="32" fillId="0" borderId="11" applyNumberFormat="0" applyFill="0" applyAlignment="0" applyProtection="0"/>
    <xf numFmtId="0" fontId="32" fillId="0" borderId="11" applyNumberFormat="0" applyFill="0" applyAlignment="0" applyProtection="0"/>
    <xf numFmtId="0" fontId="31" fillId="0" borderId="10" applyNumberFormat="0" applyFill="0" applyAlignment="0" applyProtection="0"/>
    <xf numFmtId="0" fontId="32" fillId="0" borderId="11" applyNumberFormat="0" applyFill="0" applyAlignment="0" applyProtection="0"/>
    <xf numFmtId="0" fontId="33" fillId="0" borderId="12" applyNumberFormat="0" applyFill="0" applyAlignment="0" applyProtection="0"/>
    <xf numFmtId="0" fontId="34" fillId="0" borderId="13" applyNumberFormat="0" applyFill="0" applyAlignment="0" applyProtection="0"/>
    <xf numFmtId="0" fontId="34" fillId="0" borderId="13" applyNumberFormat="0" applyFill="0" applyAlignment="0" applyProtection="0"/>
    <xf numFmtId="0" fontId="34" fillId="0" borderId="13" applyNumberFormat="0" applyFill="0" applyAlignment="0" applyProtection="0"/>
    <xf numFmtId="0" fontId="34" fillId="0" borderId="13" applyNumberFormat="0" applyFill="0" applyAlignment="0" applyProtection="0"/>
    <xf numFmtId="0" fontId="34" fillId="0" borderId="13" applyNumberFormat="0" applyFill="0" applyAlignment="0" applyProtection="0"/>
    <xf numFmtId="0" fontId="34" fillId="0" borderId="13" applyNumberFormat="0" applyFill="0" applyAlignment="0" applyProtection="0"/>
    <xf numFmtId="0" fontId="34" fillId="0" borderId="13" applyNumberFormat="0" applyFill="0" applyAlignment="0" applyProtection="0"/>
    <xf numFmtId="0" fontId="34" fillId="0" borderId="13" applyNumberFormat="0" applyFill="0" applyAlignment="0" applyProtection="0"/>
    <xf numFmtId="0" fontId="34" fillId="0" borderId="13" applyNumberFormat="0" applyFill="0" applyAlignment="0" applyProtection="0"/>
    <xf numFmtId="0" fontId="33" fillId="0" borderId="12" applyNumberFormat="0" applyFill="0" applyAlignment="0" applyProtection="0"/>
    <xf numFmtId="0" fontId="34" fillId="0" borderId="13" applyNumberFormat="0" applyFill="0" applyAlignment="0" applyProtection="0"/>
    <xf numFmtId="0" fontId="9" fillId="0" borderId="14" applyNumberFormat="0" applyFill="0" applyAlignment="0" applyProtection="0"/>
    <xf numFmtId="0" fontId="35" fillId="0" borderId="15" applyNumberFormat="0" applyFill="0" applyAlignment="0" applyProtection="0"/>
    <xf numFmtId="0" fontId="36" fillId="0" borderId="16" applyNumberFormat="0" applyFill="0" applyAlignment="0" applyProtection="0"/>
    <xf numFmtId="0" fontId="36" fillId="0" borderId="16" applyNumberFormat="0" applyFill="0" applyAlignment="0" applyProtection="0"/>
    <xf numFmtId="0" fontId="36" fillId="0" borderId="16" applyNumberFormat="0" applyFill="0" applyAlignment="0" applyProtection="0"/>
    <xf numFmtId="0" fontId="36" fillId="0" borderId="16" applyNumberFormat="0" applyFill="0" applyAlignment="0" applyProtection="0"/>
    <xf numFmtId="0" fontId="36" fillId="0" borderId="16" applyNumberFormat="0" applyFill="0" applyAlignment="0" applyProtection="0"/>
    <xf numFmtId="0" fontId="36" fillId="0" borderId="16" applyNumberFormat="0" applyFill="0" applyAlignment="0" applyProtection="0"/>
    <xf numFmtId="0" fontId="36" fillId="0" borderId="16" applyNumberFormat="0" applyFill="0" applyAlignment="0" applyProtection="0"/>
    <xf numFmtId="0" fontId="36" fillId="0" borderId="16" applyNumberFormat="0" applyFill="0" applyAlignment="0" applyProtection="0"/>
    <xf numFmtId="0" fontId="36" fillId="0" borderId="16" applyNumberFormat="0" applyFill="0" applyAlignment="0" applyProtection="0"/>
    <xf numFmtId="0" fontId="35" fillId="0" borderId="15" applyNumberFormat="0" applyFill="0" applyAlignment="0" applyProtection="0"/>
    <xf numFmtId="0" fontId="36" fillId="0" borderId="16" applyNumberFormat="0" applyFill="0" applyAlignment="0" applyProtection="0"/>
    <xf numFmtId="0" fontId="35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175" fontId="37" fillId="0" borderId="0">
      <protection locked="0"/>
    </xf>
    <xf numFmtId="175" fontId="37" fillId="0" borderId="0">
      <protection locked="0"/>
    </xf>
    <xf numFmtId="175" fontId="37" fillId="0" borderId="0">
      <protection locked="0"/>
    </xf>
    <xf numFmtId="175" fontId="37" fillId="0" borderId="0">
      <protection locked="0"/>
    </xf>
    <xf numFmtId="0" fontId="38" fillId="0" borderId="0" applyNumberFormat="0" applyFill="0" applyBorder="0" applyAlignment="0" applyProtection="0">
      <alignment vertical="top"/>
      <protection locked="0"/>
    </xf>
    <xf numFmtId="0" fontId="39" fillId="24" borderId="6" applyNumberFormat="0" applyAlignment="0" applyProtection="0"/>
    <xf numFmtId="0" fontId="39" fillId="14" borderId="6" applyNumberFormat="0" applyAlignment="0" applyProtection="0"/>
    <xf numFmtId="0" fontId="39" fillId="14" borderId="6" applyNumberFormat="0" applyAlignment="0" applyProtection="0"/>
    <xf numFmtId="0" fontId="39" fillId="14" borderId="6" applyNumberFormat="0" applyAlignment="0" applyProtection="0"/>
    <xf numFmtId="0" fontId="39" fillId="14" borderId="6" applyNumberFormat="0" applyAlignment="0" applyProtection="0"/>
    <xf numFmtId="0" fontId="39" fillId="14" borderId="6" applyNumberFormat="0" applyAlignment="0" applyProtection="0"/>
    <xf numFmtId="0" fontId="39" fillId="14" borderId="6" applyNumberFormat="0" applyAlignment="0" applyProtection="0"/>
    <xf numFmtId="0" fontId="39" fillId="14" borderId="6" applyNumberFormat="0" applyAlignment="0" applyProtection="0"/>
    <xf numFmtId="0" fontId="39" fillId="14" borderId="6" applyNumberFormat="0" applyAlignment="0" applyProtection="0"/>
    <xf numFmtId="0" fontId="39" fillId="14" borderId="6" applyNumberFormat="0" applyAlignment="0" applyProtection="0"/>
    <xf numFmtId="0" fontId="39" fillId="24" borderId="6" applyNumberFormat="0" applyAlignment="0" applyProtection="0"/>
    <xf numFmtId="0" fontId="39" fillId="14" borderId="6" applyNumberFormat="0" applyAlignment="0" applyProtection="0"/>
    <xf numFmtId="0" fontId="7" fillId="10" borderId="1" applyNumberFormat="0" applyAlignment="0" applyProtection="0"/>
    <xf numFmtId="4" fontId="25" fillId="0" borderId="0" applyBorder="0">
      <alignment horizontal="right" vertical="center"/>
    </xf>
    <xf numFmtId="0" fontId="40" fillId="0" borderId="0"/>
    <xf numFmtId="0" fontId="41" fillId="0" borderId="17" applyNumberFormat="0" applyFill="0" applyAlignment="0" applyProtection="0"/>
    <xf numFmtId="0" fontId="42" fillId="0" borderId="18" applyNumberFormat="0" applyFill="0" applyAlignment="0" applyProtection="0"/>
    <xf numFmtId="0" fontId="42" fillId="0" borderId="18" applyNumberFormat="0" applyFill="0" applyAlignment="0" applyProtection="0"/>
    <xf numFmtId="0" fontId="42" fillId="0" borderId="18" applyNumberFormat="0" applyFill="0" applyAlignment="0" applyProtection="0"/>
    <xf numFmtId="0" fontId="42" fillId="0" borderId="18" applyNumberFormat="0" applyFill="0" applyAlignment="0" applyProtection="0"/>
    <xf numFmtId="0" fontId="42" fillId="0" borderId="18" applyNumberFormat="0" applyFill="0" applyAlignment="0" applyProtection="0"/>
    <xf numFmtId="0" fontId="42" fillId="0" borderId="18" applyNumberFormat="0" applyFill="0" applyAlignment="0" applyProtection="0"/>
    <xf numFmtId="0" fontId="42" fillId="0" borderId="18" applyNumberFormat="0" applyFill="0" applyAlignment="0" applyProtection="0"/>
    <xf numFmtId="0" fontId="42" fillId="0" borderId="18" applyNumberFormat="0" applyFill="0" applyAlignment="0" applyProtection="0"/>
    <xf numFmtId="0" fontId="42" fillId="0" borderId="18" applyNumberFormat="0" applyFill="0" applyAlignment="0" applyProtection="0"/>
    <xf numFmtId="0" fontId="41" fillId="0" borderId="17" applyNumberFormat="0" applyFill="0" applyAlignment="0" applyProtection="0"/>
    <xf numFmtId="0" fontId="42" fillId="0" borderId="18" applyNumberFormat="0" applyFill="0" applyAlignment="0" applyProtection="0"/>
    <xf numFmtId="176" fontId="13" fillId="0" borderId="0" applyFont="0" applyFill="0" applyBorder="0" applyAlignment="0" applyProtection="0"/>
    <xf numFmtId="0" fontId="43" fillId="14" borderId="0" applyNumberFormat="0" applyBorder="0" applyAlignment="0" applyProtection="0"/>
    <xf numFmtId="0" fontId="44" fillId="14" borderId="0" applyNumberFormat="0" applyBorder="0" applyAlignment="0" applyProtection="0"/>
    <xf numFmtId="0" fontId="44" fillId="14" borderId="0" applyNumberFormat="0" applyBorder="0" applyAlignment="0" applyProtection="0"/>
    <xf numFmtId="0" fontId="44" fillId="14" borderId="0" applyNumberFormat="0" applyBorder="0" applyAlignment="0" applyProtection="0"/>
    <xf numFmtId="0" fontId="44" fillId="14" borderId="0" applyNumberFormat="0" applyBorder="0" applyAlignment="0" applyProtection="0"/>
    <xf numFmtId="0" fontId="44" fillId="14" borderId="0" applyNumberFormat="0" applyBorder="0" applyAlignment="0" applyProtection="0"/>
    <xf numFmtId="0" fontId="44" fillId="14" borderId="0" applyNumberFormat="0" applyBorder="0" applyAlignment="0" applyProtection="0"/>
    <xf numFmtId="0" fontId="44" fillId="14" borderId="0" applyNumberFormat="0" applyBorder="0" applyAlignment="0" applyProtection="0"/>
    <xf numFmtId="0" fontId="44" fillId="14" borderId="0" applyNumberFormat="0" applyBorder="0" applyAlignment="0" applyProtection="0"/>
    <xf numFmtId="0" fontId="44" fillId="14" borderId="0" applyNumberFormat="0" applyBorder="0" applyAlignment="0" applyProtection="0"/>
    <xf numFmtId="0" fontId="45" fillId="14" borderId="0" applyNumberFormat="0" applyBorder="0" applyAlignment="0" applyProtection="0"/>
    <xf numFmtId="0" fontId="44" fillId="14" borderId="0" applyNumberFormat="0" applyBorder="0" applyAlignment="0" applyProtection="0"/>
    <xf numFmtId="0" fontId="43" fillId="14" borderId="0" applyNumberFormat="0" applyBorder="0" applyAlignment="0" applyProtection="0"/>
    <xf numFmtId="0" fontId="4" fillId="7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7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7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177" fontId="46" fillId="0" borderId="0">
      <alignment vertical="center"/>
    </xf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177" fontId="46" fillId="0" borderId="0">
      <alignment vertical="center"/>
    </xf>
    <xf numFmtId="177" fontId="46" fillId="0" borderId="0">
      <alignment vertical="center"/>
    </xf>
    <xf numFmtId="177" fontId="46" fillId="0" borderId="0">
      <alignment vertical="center"/>
    </xf>
    <xf numFmtId="177" fontId="46" fillId="0" borderId="0">
      <alignment vertical="center"/>
    </xf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177" fontId="46" fillId="0" borderId="0">
      <alignment vertical="center"/>
    </xf>
    <xf numFmtId="177" fontId="46" fillId="0" borderId="0">
      <alignment vertical="center"/>
    </xf>
    <xf numFmtId="177" fontId="46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177" fontId="46" fillId="0" borderId="0">
      <alignment vertical="center"/>
    </xf>
    <xf numFmtId="177" fontId="46" fillId="0" borderId="0">
      <alignment vertical="center"/>
    </xf>
    <xf numFmtId="177" fontId="46" fillId="0" borderId="0">
      <alignment vertical="center"/>
    </xf>
    <xf numFmtId="177" fontId="46" fillId="0" borderId="0">
      <alignment vertical="center"/>
    </xf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166" fontId="46" fillId="0" borderId="0">
      <alignment vertical="center"/>
    </xf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3" fillId="0" borderId="0"/>
    <xf numFmtId="0" fontId="13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66" fontId="46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7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3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6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3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3" fillId="0" borderId="0"/>
    <xf numFmtId="0" fontId="13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3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3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3" fillId="0" borderId="0"/>
    <xf numFmtId="0" fontId="13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6" fillId="0" borderId="0"/>
    <xf numFmtId="0" fontId="13" fillId="0" borderId="0"/>
    <xf numFmtId="0" fontId="13" fillId="0" borderId="0"/>
    <xf numFmtId="0" fontId="7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8" fontId="46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7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3" fillId="0" borderId="0"/>
    <xf numFmtId="0" fontId="13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7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7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70" fillId="0" borderId="0"/>
    <xf numFmtId="0" fontId="16" fillId="0" borderId="0"/>
    <xf numFmtId="0" fontId="13" fillId="0" borderId="0"/>
    <xf numFmtId="0" fontId="13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3" fillId="0" borderId="0"/>
    <xf numFmtId="0" fontId="7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7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7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3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3" fillId="0" borderId="0"/>
    <xf numFmtId="0" fontId="13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3" fillId="0" borderId="0"/>
    <xf numFmtId="0" fontId="7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3" fillId="0" borderId="0"/>
    <xf numFmtId="0" fontId="13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 applyNumberFormat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" fontId="25" fillId="0" borderId="5" applyFill="0" applyBorder="0" applyProtection="0">
      <alignment horizontal="right" vertical="center"/>
    </xf>
    <xf numFmtId="0" fontId="47" fillId="0" borderId="0" applyNumberFormat="0" applyFill="0" applyBorder="0" applyProtection="0">
      <alignment horizontal="left" vertical="center"/>
    </xf>
    <xf numFmtId="0" fontId="13" fillId="40" borderId="0" applyNumberFormat="0" applyFont="0" applyBorder="0" applyAlignment="0" applyProtection="0"/>
    <xf numFmtId="0" fontId="13" fillId="40" borderId="0" applyNumberFormat="0" applyFont="0" applyBorder="0" applyAlignment="0" applyProtection="0"/>
    <xf numFmtId="0" fontId="13" fillId="40" borderId="0" applyNumberFormat="0" applyFont="0" applyBorder="0" applyAlignment="0" applyProtection="0"/>
    <xf numFmtId="0" fontId="13" fillId="40" borderId="0" applyNumberFormat="0" applyFont="0" applyBorder="0" applyAlignment="0" applyProtection="0"/>
    <xf numFmtId="0" fontId="48" fillId="0" borderId="0"/>
    <xf numFmtId="0" fontId="16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6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6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0" fontId="13" fillId="22" borderId="19" applyNumberFormat="0" applyFont="0" applyAlignment="0" applyProtection="0"/>
    <xf numFmtId="179" fontId="49" fillId="0" borderId="0">
      <alignment horizontal="right"/>
    </xf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0" fontId="50" fillId="38" borderId="20" applyNumberFormat="0" applyAlignment="0" applyProtection="0"/>
    <xf numFmtId="0" fontId="50" fillId="39" borderId="20" applyNumberFormat="0" applyAlignment="0" applyProtection="0"/>
    <xf numFmtId="0" fontId="50" fillId="39" borderId="20" applyNumberFormat="0" applyAlignment="0" applyProtection="0"/>
    <xf numFmtId="0" fontId="50" fillId="39" borderId="20" applyNumberFormat="0" applyAlignment="0" applyProtection="0"/>
    <xf numFmtId="0" fontId="50" fillId="39" borderId="20" applyNumberFormat="0" applyAlignment="0" applyProtection="0"/>
    <xf numFmtId="0" fontId="50" fillId="39" borderId="20" applyNumberFormat="0" applyAlignment="0" applyProtection="0"/>
    <xf numFmtId="0" fontId="50" fillId="39" borderId="20" applyNumberFormat="0" applyAlignment="0" applyProtection="0"/>
    <xf numFmtId="0" fontId="50" fillId="39" borderId="20" applyNumberFormat="0" applyAlignment="0" applyProtection="0"/>
    <xf numFmtId="0" fontId="50" fillId="39" borderId="20" applyNumberFormat="0" applyAlignment="0" applyProtection="0"/>
    <xf numFmtId="0" fontId="50" fillId="39" borderId="20" applyNumberFormat="0" applyAlignment="0" applyProtection="0"/>
    <xf numFmtId="0" fontId="50" fillId="38" borderId="20" applyNumberFormat="0" applyAlignment="0" applyProtection="0"/>
    <xf numFmtId="0" fontId="50" fillId="39" borderId="20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70" fillId="0" borderId="0" applyFont="0" applyFill="0" applyBorder="0" applyAlignment="0" applyProtection="0"/>
    <xf numFmtId="9" fontId="70" fillId="0" borderId="0" applyFont="0" applyFill="0" applyBorder="0" applyAlignment="0" applyProtection="0"/>
    <xf numFmtId="9" fontId="7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70" fillId="0" borderId="0" applyFont="0" applyFill="0" applyBorder="0" applyAlignment="0" applyProtection="0"/>
    <xf numFmtId="9" fontId="70" fillId="0" borderId="0" applyFont="0" applyFill="0" applyBorder="0" applyAlignment="0" applyProtection="0"/>
    <xf numFmtId="9" fontId="7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51" fillId="0" borderId="0" applyFont="0" applyFill="0" applyBorder="0" applyAlignment="0" applyProtection="0"/>
    <xf numFmtId="41" fontId="51" fillId="0" borderId="0" applyFont="0" applyFill="0" applyBorder="0" applyAlignment="0" applyProtection="0"/>
    <xf numFmtId="181" fontId="51" fillId="0" borderId="0" applyFont="0" applyFill="0" applyBorder="0" applyAlignment="0" applyProtection="0"/>
    <xf numFmtId="0" fontId="28" fillId="0" borderId="0">
      <alignment vertical="top" wrapText="1"/>
    </xf>
    <xf numFmtId="0" fontId="13" fillId="0" borderId="0"/>
    <xf numFmtId="0" fontId="13" fillId="0" borderId="5" applyNumberFormat="0" applyFill="0" applyProtection="0">
      <alignment horizontal="right"/>
    </xf>
    <xf numFmtId="0" fontId="13" fillId="0" borderId="5" applyNumberFormat="0" applyFill="0" applyProtection="0">
      <alignment horizontal="right"/>
    </xf>
    <xf numFmtId="0" fontId="14" fillId="41" borderId="5" applyNumberFormat="0" applyProtection="0">
      <alignment horizontal="right"/>
    </xf>
    <xf numFmtId="0" fontId="52" fillId="41" borderId="0" applyNumberFormat="0" applyBorder="0" applyProtection="0">
      <alignment horizontal="left"/>
    </xf>
    <xf numFmtId="0" fontId="14" fillId="41" borderId="5" applyNumberFormat="0" applyProtection="0">
      <alignment horizontal="left"/>
    </xf>
    <xf numFmtId="0" fontId="13" fillId="0" borderId="5" applyNumberFormat="0" applyFill="0" applyProtection="0">
      <alignment horizontal="right"/>
    </xf>
    <xf numFmtId="0" fontId="13" fillId="0" borderId="5" applyNumberFormat="0" applyFill="0" applyProtection="0">
      <alignment horizontal="right"/>
    </xf>
    <xf numFmtId="0" fontId="53" fillId="33" borderId="0" applyNumberFormat="0" applyBorder="0" applyProtection="0">
      <alignment horizontal="left"/>
    </xf>
    <xf numFmtId="182" fontId="13" fillId="0" borderId="0" applyFill="0" applyBorder="0" applyAlignment="0" applyProtection="0">
      <alignment wrapText="1"/>
    </xf>
    <xf numFmtId="182" fontId="13" fillId="0" borderId="0" applyFill="0" applyBorder="0" applyAlignment="0" applyProtection="0">
      <alignment wrapText="1"/>
    </xf>
    <xf numFmtId="182" fontId="13" fillId="0" borderId="0" applyFill="0" applyBorder="0" applyAlignment="0" applyProtection="0">
      <alignment wrapText="1"/>
    </xf>
    <xf numFmtId="182" fontId="13" fillId="0" borderId="0" applyFill="0" applyBorder="0" applyAlignment="0" applyProtection="0">
      <alignment wrapText="1"/>
    </xf>
    <xf numFmtId="0" fontId="14" fillId="0" borderId="0" applyNumberFormat="0" applyFill="0" applyBorder="0">
      <alignment horizontal="center" wrapText="1"/>
    </xf>
    <xf numFmtId="0" fontId="14" fillId="0" borderId="0" applyNumberFormat="0" applyFill="0" applyBorder="0">
      <alignment horizontal="center" wrapText="1"/>
    </xf>
    <xf numFmtId="0" fontId="14" fillId="0" borderId="0" applyNumberFormat="0" applyFill="0" applyBorder="0">
      <alignment horizontal="center" wrapText="1"/>
    </xf>
    <xf numFmtId="0" fontId="14" fillId="0" borderId="0" applyNumberFormat="0" applyFill="0" applyBorder="0">
      <alignment horizontal="center" wrapText="1"/>
    </xf>
    <xf numFmtId="183" fontId="54" fillId="42" borderId="21">
      <alignment vertical="center"/>
    </xf>
    <xf numFmtId="166" fontId="55" fillId="42" borderId="21">
      <alignment vertical="center"/>
    </xf>
    <xf numFmtId="183" fontId="56" fillId="43" borderId="21">
      <alignment vertical="center"/>
    </xf>
    <xf numFmtId="0" fontId="13" fillId="44" borderId="22" applyBorder="0">
      <alignment horizontal="left" vertical="center"/>
    </xf>
    <xf numFmtId="0" fontId="13" fillId="44" borderId="22" applyBorder="0">
      <alignment horizontal="left" vertical="center"/>
    </xf>
    <xf numFmtId="49" fontId="13" fillId="45" borderId="5">
      <alignment vertical="center" wrapText="1"/>
    </xf>
    <xf numFmtId="49" fontId="13" fillId="45" borderId="5">
      <alignment vertical="center" wrapText="1"/>
    </xf>
    <xf numFmtId="0" fontId="13" fillId="46" borderId="23">
      <alignment horizontal="left" vertical="center" wrapText="1"/>
    </xf>
    <xf numFmtId="0" fontId="13" fillId="46" borderId="23">
      <alignment horizontal="left" vertical="center" wrapText="1"/>
    </xf>
    <xf numFmtId="0" fontId="57" fillId="47" borderId="5">
      <alignment horizontal="left" vertical="center" wrapText="1"/>
    </xf>
    <xf numFmtId="0" fontId="13" fillId="32" borderId="5">
      <alignment horizontal="left" vertical="center" wrapText="1"/>
    </xf>
    <xf numFmtId="0" fontId="13" fillId="32" borderId="5">
      <alignment horizontal="left" vertical="center" wrapText="1"/>
    </xf>
    <xf numFmtId="0" fontId="13" fillId="48" borderId="5">
      <alignment horizontal="left" vertical="center" wrapText="1"/>
    </xf>
    <xf numFmtId="0" fontId="13" fillId="48" borderId="5">
      <alignment horizontal="left" vertical="center" wrapText="1"/>
    </xf>
    <xf numFmtId="0" fontId="58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60" fillId="0" borderId="24" applyNumberFormat="0" applyFill="0" applyAlignment="0" applyProtection="0"/>
    <xf numFmtId="0" fontId="60" fillId="0" borderId="25" applyNumberFormat="0" applyFill="0" applyAlignment="0" applyProtection="0"/>
    <xf numFmtId="0" fontId="60" fillId="0" borderId="25" applyNumberFormat="0" applyFill="0" applyAlignment="0" applyProtection="0"/>
    <xf numFmtId="0" fontId="60" fillId="0" borderId="25" applyNumberFormat="0" applyFill="0" applyAlignment="0" applyProtection="0"/>
    <xf numFmtId="0" fontId="60" fillId="0" borderId="25" applyNumberFormat="0" applyFill="0" applyAlignment="0" applyProtection="0"/>
    <xf numFmtId="0" fontId="60" fillId="0" borderId="25" applyNumberFormat="0" applyFill="0" applyAlignment="0" applyProtection="0"/>
    <xf numFmtId="0" fontId="60" fillId="0" borderId="25" applyNumberFormat="0" applyFill="0" applyAlignment="0" applyProtection="0"/>
    <xf numFmtId="0" fontId="60" fillId="0" borderId="25" applyNumberFormat="0" applyFill="0" applyAlignment="0" applyProtection="0"/>
    <xf numFmtId="0" fontId="60" fillId="0" borderId="25" applyNumberFormat="0" applyFill="0" applyAlignment="0" applyProtection="0"/>
    <xf numFmtId="0" fontId="60" fillId="0" borderId="25" applyNumberFormat="0" applyFill="0" applyAlignment="0" applyProtection="0"/>
    <xf numFmtId="0" fontId="60" fillId="0" borderId="24" applyNumberFormat="0" applyFill="0" applyAlignment="0" applyProtection="0"/>
    <xf numFmtId="0" fontId="60" fillId="0" borderId="25" applyNumberFormat="0" applyFill="0" applyAlignment="0" applyProtection="0"/>
    <xf numFmtId="184" fontId="51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4" fontId="25" fillId="0" borderId="0"/>
    <xf numFmtId="0" fontId="61" fillId="0" borderId="0" applyNumberFormat="0" applyFill="0" applyBorder="0" applyAlignment="0" applyProtection="0">
      <alignment vertical="center"/>
    </xf>
    <xf numFmtId="0" fontId="1" fillId="0" borderId="0"/>
  </cellStyleXfs>
  <cellXfs count="4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0" xfId="0" applyFont="1"/>
    <xf numFmtId="0" fontId="0" fillId="5" borderId="0" xfId="0" applyFill="1"/>
    <xf numFmtId="0" fontId="0" fillId="6" borderId="0" xfId="0" applyFill="1"/>
    <xf numFmtId="1" fontId="0" fillId="0" borderId="0" xfId="0" applyNumberFormat="1"/>
    <xf numFmtId="2" fontId="0" fillId="0" borderId="0" xfId="0" applyNumberFormat="1"/>
    <xf numFmtId="0" fontId="3" fillId="7" borderId="0" xfId="8" applyFont="1"/>
    <xf numFmtId="0" fontId="4" fillId="7" borderId="0" xfId="8"/>
    <xf numFmtId="0" fontId="5" fillId="8" borderId="0" xfId="7"/>
    <xf numFmtId="0" fontId="6" fillId="9" borderId="0" xfId="0" applyFont="1" applyFill="1"/>
    <xf numFmtId="185" fontId="6" fillId="9" borderId="0" xfId="0" applyNumberFormat="1" applyFont="1" applyFill="1"/>
    <xf numFmtId="4" fontId="5" fillId="8" borderId="0" xfId="7" applyNumberFormat="1"/>
    <xf numFmtId="0" fontId="7" fillId="10" borderId="1" xfId="6"/>
    <xf numFmtId="0" fontId="0" fillId="9" borderId="0" xfId="0" applyFill="1"/>
    <xf numFmtId="0" fontId="8" fillId="0" borderId="0" xfId="0" applyFont="1"/>
    <xf numFmtId="0" fontId="9" fillId="0" borderId="2" xfId="3"/>
    <xf numFmtId="0" fontId="10" fillId="0" borderId="3" xfId="4"/>
    <xf numFmtId="9" fontId="0" fillId="0" borderId="0" xfId="1" applyFont="1"/>
    <xf numFmtId="0" fontId="0" fillId="11" borderId="0" xfId="0" applyFill="1"/>
    <xf numFmtId="0" fontId="0" fillId="0" borderId="0" xfId="0" applyAlignment="1">
      <alignment wrapText="1"/>
    </xf>
    <xf numFmtId="0" fontId="12" fillId="0" borderId="0" xfId="2" applyAlignment="1"/>
    <xf numFmtId="0" fontId="0" fillId="13" borderId="0" xfId="0" applyFill="1"/>
    <xf numFmtId="11" fontId="0" fillId="0" borderId="0" xfId="0" applyNumberFormat="1"/>
    <xf numFmtId="0" fontId="15" fillId="0" borderId="0" xfId="0" applyFont="1"/>
    <xf numFmtId="0" fontId="14" fillId="0" borderId="0" xfId="0" applyFont="1" applyAlignment="1">
      <alignment horizontal="left"/>
    </xf>
    <xf numFmtId="0" fontId="14" fillId="0" borderId="0" xfId="0" applyFont="1" applyAlignment="1">
      <alignment horizontal="center"/>
    </xf>
    <xf numFmtId="0" fontId="14" fillId="14" borderId="4" xfId="0" applyFont="1" applyFill="1" applyBorder="1"/>
    <xf numFmtId="0" fontId="14" fillId="15" borderId="4" xfId="0" applyFont="1" applyFill="1" applyBorder="1"/>
    <xf numFmtId="0" fontId="13" fillId="14" borderId="4" xfId="0" applyFont="1" applyFill="1" applyBorder="1"/>
    <xf numFmtId="0" fontId="0" fillId="16" borderId="0" xfId="0" applyFill="1"/>
    <xf numFmtId="187" fontId="2" fillId="0" borderId="0" xfId="0" applyNumberFormat="1" applyFont="1"/>
    <xf numFmtId="0" fontId="0" fillId="12" borderId="0" xfId="0" applyFill="1"/>
    <xf numFmtId="0" fontId="10" fillId="12" borderId="0" xfId="5" applyFill="1"/>
    <xf numFmtId="0" fontId="11" fillId="12" borderId="0" xfId="0" applyFont="1" applyFill="1"/>
    <xf numFmtId="0" fontId="11" fillId="0" borderId="0" xfId="0" applyFont="1"/>
    <xf numFmtId="0" fontId="0" fillId="0" borderId="0" xfId="0" quotePrefix="1"/>
    <xf numFmtId="0" fontId="0" fillId="13" borderId="0" xfId="0" quotePrefix="1" applyFill="1"/>
    <xf numFmtId="0" fontId="1" fillId="0" borderId="0" xfId="3402"/>
    <xf numFmtId="3" fontId="1" fillId="0" borderId="0" xfId="3402" quotePrefix="1" applyNumberFormat="1"/>
  </cellXfs>
  <cellStyles count="3403">
    <cellStyle name="20% - Accent1 2" xfId="9" xr:uid="{00000000-0005-0000-0000-000031000000}"/>
    <cellStyle name="20% - Accent1 2 10" xfId="10" xr:uid="{00000000-0005-0000-0000-000032000000}"/>
    <cellStyle name="20% - Accent1 2 11" xfId="11" xr:uid="{00000000-0005-0000-0000-000033000000}"/>
    <cellStyle name="20% - Accent1 2 12" xfId="12" xr:uid="{00000000-0005-0000-0000-000034000000}"/>
    <cellStyle name="20% - Accent1 2 13" xfId="13" xr:uid="{00000000-0005-0000-0000-000035000000}"/>
    <cellStyle name="20% - Accent1 2 14" xfId="14" xr:uid="{00000000-0005-0000-0000-000036000000}"/>
    <cellStyle name="20% - Accent1 2 15" xfId="15" xr:uid="{00000000-0005-0000-0000-000037000000}"/>
    <cellStyle name="20% - Accent1 2 2" xfId="16" xr:uid="{00000000-0005-0000-0000-000038000000}"/>
    <cellStyle name="20% - Accent1 2 3" xfId="17" xr:uid="{00000000-0005-0000-0000-000039000000}"/>
    <cellStyle name="20% - Accent1 2 4" xfId="18" xr:uid="{00000000-0005-0000-0000-00003A000000}"/>
    <cellStyle name="20% - Accent1 2 5" xfId="19" xr:uid="{00000000-0005-0000-0000-00003B000000}"/>
    <cellStyle name="20% - Accent1 2 6" xfId="20" xr:uid="{00000000-0005-0000-0000-00003C000000}"/>
    <cellStyle name="20% - Accent1 2 7" xfId="21" xr:uid="{00000000-0005-0000-0000-00003D000000}"/>
    <cellStyle name="20% - Accent1 2 8" xfId="22" xr:uid="{00000000-0005-0000-0000-00003E000000}"/>
    <cellStyle name="20% - Accent1 2 9" xfId="23" xr:uid="{00000000-0005-0000-0000-00003F000000}"/>
    <cellStyle name="20% - Accent1 3" xfId="24" xr:uid="{00000000-0005-0000-0000-000040000000}"/>
    <cellStyle name="20% - Accent1 3 2" xfId="25" xr:uid="{00000000-0005-0000-0000-000041000000}"/>
    <cellStyle name="20% - Accent1 4" xfId="26" xr:uid="{00000000-0005-0000-0000-000042000000}"/>
    <cellStyle name="20% - Accent1 5" xfId="27" xr:uid="{00000000-0005-0000-0000-000043000000}"/>
    <cellStyle name="20% - Accent1 6" xfId="28" xr:uid="{00000000-0005-0000-0000-000044000000}"/>
    <cellStyle name="20% - Accent1 7" xfId="29" xr:uid="{00000000-0005-0000-0000-000045000000}"/>
    <cellStyle name="20% - Accent1 8" xfId="30" xr:uid="{00000000-0005-0000-0000-000046000000}"/>
    <cellStyle name="20% - Accent2 2" xfId="31" xr:uid="{00000000-0005-0000-0000-000047000000}"/>
    <cellStyle name="20% - Accent2 2 10" xfId="32" xr:uid="{00000000-0005-0000-0000-000048000000}"/>
    <cellStyle name="20% - Accent2 2 11" xfId="33" xr:uid="{00000000-0005-0000-0000-000049000000}"/>
    <cellStyle name="20% - Accent2 2 12" xfId="34" xr:uid="{00000000-0005-0000-0000-00004A000000}"/>
    <cellStyle name="20% - Accent2 2 13" xfId="35" xr:uid="{00000000-0005-0000-0000-00004B000000}"/>
    <cellStyle name="20% - Accent2 2 14" xfId="36" xr:uid="{00000000-0005-0000-0000-00004C000000}"/>
    <cellStyle name="20% - Accent2 2 15" xfId="37" xr:uid="{00000000-0005-0000-0000-00004D000000}"/>
    <cellStyle name="20% - Accent2 2 2" xfId="38" xr:uid="{00000000-0005-0000-0000-00004E000000}"/>
    <cellStyle name="20% - Accent2 2 3" xfId="39" xr:uid="{00000000-0005-0000-0000-00004F000000}"/>
    <cellStyle name="20% - Accent2 2 4" xfId="40" xr:uid="{00000000-0005-0000-0000-000050000000}"/>
    <cellStyle name="20% - Accent2 2 5" xfId="41" xr:uid="{00000000-0005-0000-0000-000051000000}"/>
    <cellStyle name="20% - Accent2 2 6" xfId="42" xr:uid="{00000000-0005-0000-0000-000052000000}"/>
    <cellStyle name="20% - Accent2 2 7" xfId="43" xr:uid="{00000000-0005-0000-0000-000053000000}"/>
    <cellStyle name="20% - Accent2 2 8" xfId="44" xr:uid="{00000000-0005-0000-0000-000054000000}"/>
    <cellStyle name="20% - Accent2 2 9" xfId="45" xr:uid="{00000000-0005-0000-0000-000055000000}"/>
    <cellStyle name="20% - Accent2 3" xfId="46" xr:uid="{00000000-0005-0000-0000-000056000000}"/>
    <cellStyle name="20% - Accent2 3 2" xfId="47" xr:uid="{00000000-0005-0000-0000-000057000000}"/>
    <cellStyle name="20% - Accent2 4" xfId="48" xr:uid="{00000000-0005-0000-0000-000058000000}"/>
    <cellStyle name="20% - Accent2 5" xfId="49" xr:uid="{00000000-0005-0000-0000-000059000000}"/>
    <cellStyle name="20% - Accent2 6" xfId="50" xr:uid="{00000000-0005-0000-0000-00005A000000}"/>
    <cellStyle name="20% - Accent2 7" xfId="51" xr:uid="{00000000-0005-0000-0000-00005B000000}"/>
    <cellStyle name="20% - Accent2 8" xfId="52" xr:uid="{00000000-0005-0000-0000-00005C000000}"/>
    <cellStyle name="20% - Accent3 2" xfId="53" xr:uid="{00000000-0005-0000-0000-00005D000000}"/>
    <cellStyle name="20% - Accent3 2 10" xfId="54" xr:uid="{00000000-0005-0000-0000-00005E000000}"/>
    <cellStyle name="20% - Accent3 2 11" xfId="55" xr:uid="{00000000-0005-0000-0000-00005F000000}"/>
    <cellStyle name="20% - Accent3 2 12" xfId="56" xr:uid="{00000000-0005-0000-0000-000060000000}"/>
    <cellStyle name="20% - Accent3 2 13" xfId="57" xr:uid="{00000000-0005-0000-0000-000061000000}"/>
    <cellStyle name="20% - Accent3 2 14" xfId="58" xr:uid="{00000000-0005-0000-0000-000062000000}"/>
    <cellStyle name="20% - Accent3 2 15" xfId="59" xr:uid="{00000000-0005-0000-0000-000063000000}"/>
    <cellStyle name="20% - Accent3 2 2" xfId="60" xr:uid="{00000000-0005-0000-0000-000064000000}"/>
    <cellStyle name="20% - Accent3 2 3" xfId="61" xr:uid="{00000000-0005-0000-0000-000065000000}"/>
    <cellStyle name="20% - Accent3 2 4" xfId="62" xr:uid="{00000000-0005-0000-0000-000066000000}"/>
    <cellStyle name="20% - Accent3 2 5" xfId="63" xr:uid="{00000000-0005-0000-0000-000067000000}"/>
    <cellStyle name="20% - Accent3 2 6" xfId="64" xr:uid="{00000000-0005-0000-0000-000068000000}"/>
    <cellStyle name="20% - Accent3 2 7" xfId="65" xr:uid="{00000000-0005-0000-0000-000069000000}"/>
    <cellStyle name="20% - Accent3 2 8" xfId="66" xr:uid="{00000000-0005-0000-0000-00006A000000}"/>
    <cellStyle name="20% - Accent3 2 9" xfId="67" xr:uid="{00000000-0005-0000-0000-00006B000000}"/>
    <cellStyle name="20% - Accent3 3" xfId="68" xr:uid="{00000000-0005-0000-0000-00006C000000}"/>
    <cellStyle name="20% - Accent3 3 2" xfId="69" xr:uid="{00000000-0005-0000-0000-00006D000000}"/>
    <cellStyle name="20% - Accent3 4" xfId="70" xr:uid="{00000000-0005-0000-0000-00006E000000}"/>
    <cellStyle name="20% - Accent3 5" xfId="71" xr:uid="{00000000-0005-0000-0000-00006F000000}"/>
    <cellStyle name="20% - Accent3 6" xfId="72" xr:uid="{00000000-0005-0000-0000-000070000000}"/>
    <cellStyle name="20% - Accent3 7" xfId="73" xr:uid="{00000000-0005-0000-0000-000071000000}"/>
    <cellStyle name="20% - Accent3 8" xfId="74" xr:uid="{00000000-0005-0000-0000-000072000000}"/>
    <cellStyle name="20% - Accent4 2" xfId="75" xr:uid="{00000000-0005-0000-0000-000073000000}"/>
    <cellStyle name="20% - Accent4 2 10" xfId="76" xr:uid="{00000000-0005-0000-0000-000074000000}"/>
    <cellStyle name="20% - Accent4 2 11" xfId="77" xr:uid="{00000000-0005-0000-0000-000075000000}"/>
    <cellStyle name="20% - Accent4 2 12" xfId="78" xr:uid="{00000000-0005-0000-0000-000076000000}"/>
    <cellStyle name="20% - Accent4 2 13" xfId="79" xr:uid="{00000000-0005-0000-0000-000077000000}"/>
    <cellStyle name="20% - Accent4 2 14" xfId="80" xr:uid="{00000000-0005-0000-0000-000078000000}"/>
    <cellStyle name="20% - Accent4 2 15" xfId="81" xr:uid="{00000000-0005-0000-0000-000079000000}"/>
    <cellStyle name="20% - Accent4 2 2" xfId="82" xr:uid="{00000000-0005-0000-0000-00007A000000}"/>
    <cellStyle name="20% - Accent4 2 3" xfId="83" xr:uid="{00000000-0005-0000-0000-00007B000000}"/>
    <cellStyle name="20% - Accent4 2 4" xfId="84" xr:uid="{00000000-0005-0000-0000-00007C000000}"/>
    <cellStyle name="20% - Accent4 2 5" xfId="85" xr:uid="{00000000-0005-0000-0000-00007D000000}"/>
    <cellStyle name="20% - Accent4 2 6" xfId="86" xr:uid="{00000000-0005-0000-0000-00007E000000}"/>
    <cellStyle name="20% - Accent4 2 7" xfId="87" xr:uid="{00000000-0005-0000-0000-00007F000000}"/>
    <cellStyle name="20% - Accent4 2 8" xfId="88" xr:uid="{00000000-0005-0000-0000-000080000000}"/>
    <cellStyle name="20% - Accent4 2 9" xfId="89" xr:uid="{00000000-0005-0000-0000-000081000000}"/>
    <cellStyle name="20% - Accent4 3" xfId="90" xr:uid="{00000000-0005-0000-0000-000082000000}"/>
    <cellStyle name="20% - Accent4 3 2" xfId="91" xr:uid="{00000000-0005-0000-0000-000083000000}"/>
    <cellStyle name="20% - Accent4 4" xfId="92" xr:uid="{00000000-0005-0000-0000-000084000000}"/>
    <cellStyle name="20% - Accent4 5" xfId="93" xr:uid="{00000000-0005-0000-0000-000085000000}"/>
    <cellStyle name="20% - Accent4 6" xfId="94" xr:uid="{00000000-0005-0000-0000-000086000000}"/>
    <cellStyle name="20% - Accent4 7" xfId="95" xr:uid="{00000000-0005-0000-0000-000087000000}"/>
    <cellStyle name="20% - Accent4 8" xfId="96" xr:uid="{00000000-0005-0000-0000-000088000000}"/>
    <cellStyle name="20% - Accent5 2" xfId="97" xr:uid="{00000000-0005-0000-0000-000089000000}"/>
    <cellStyle name="20% - Accent5 2 10" xfId="98" xr:uid="{00000000-0005-0000-0000-00008A000000}"/>
    <cellStyle name="20% - Accent5 2 11" xfId="99" xr:uid="{00000000-0005-0000-0000-00008B000000}"/>
    <cellStyle name="20% - Accent5 2 12" xfId="100" xr:uid="{00000000-0005-0000-0000-00008C000000}"/>
    <cellStyle name="20% - Accent5 2 13" xfId="101" xr:uid="{00000000-0005-0000-0000-00008D000000}"/>
    <cellStyle name="20% - Accent5 2 14" xfId="102" xr:uid="{00000000-0005-0000-0000-00008E000000}"/>
    <cellStyle name="20% - Accent5 2 15" xfId="103" xr:uid="{00000000-0005-0000-0000-00008F000000}"/>
    <cellStyle name="20% - Accent5 2 2" xfId="104" xr:uid="{00000000-0005-0000-0000-000090000000}"/>
    <cellStyle name="20% - Accent5 2 3" xfId="105" xr:uid="{00000000-0005-0000-0000-000091000000}"/>
    <cellStyle name="20% - Accent5 2 4" xfId="106" xr:uid="{00000000-0005-0000-0000-000092000000}"/>
    <cellStyle name="20% - Accent5 2 5" xfId="107" xr:uid="{00000000-0005-0000-0000-000093000000}"/>
    <cellStyle name="20% - Accent5 2 6" xfId="108" xr:uid="{00000000-0005-0000-0000-000094000000}"/>
    <cellStyle name="20% - Accent5 2 7" xfId="109" xr:uid="{00000000-0005-0000-0000-000095000000}"/>
    <cellStyle name="20% - Accent5 2 8" xfId="110" xr:uid="{00000000-0005-0000-0000-000096000000}"/>
    <cellStyle name="20% - Accent5 2 9" xfId="111" xr:uid="{00000000-0005-0000-0000-000097000000}"/>
    <cellStyle name="20% - Accent5 3" xfId="112" xr:uid="{00000000-0005-0000-0000-000098000000}"/>
    <cellStyle name="20% - Accent5 4" xfId="113" xr:uid="{00000000-0005-0000-0000-000099000000}"/>
    <cellStyle name="20% - Accent5 5" xfId="114" xr:uid="{00000000-0005-0000-0000-00009A000000}"/>
    <cellStyle name="20% - Accent5 6" xfId="115" xr:uid="{00000000-0005-0000-0000-00009B000000}"/>
    <cellStyle name="20% - Accent5 7" xfId="116" xr:uid="{00000000-0005-0000-0000-00009C000000}"/>
    <cellStyle name="20% - Accent5 8" xfId="117" xr:uid="{00000000-0005-0000-0000-00009D000000}"/>
    <cellStyle name="20% - Accent6 2" xfId="118" xr:uid="{00000000-0005-0000-0000-00009E000000}"/>
    <cellStyle name="20% - Accent6 2 10" xfId="119" xr:uid="{00000000-0005-0000-0000-00009F000000}"/>
    <cellStyle name="20% - Accent6 2 11" xfId="120" xr:uid="{00000000-0005-0000-0000-0000A0000000}"/>
    <cellStyle name="20% - Accent6 2 12" xfId="121" xr:uid="{00000000-0005-0000-0000-0000A1000000}"/>
    <cellStyle name="20% - Accent6 2 13" xfId="122" xr:uid="{00000000-0005-0000-0000-0000A2000000}"/>
    <cellStyle name="20% - Accent6 2 14" xfId="123" xr:uid="{00000000-0005-0000-0000-0000A3000000}"/>
    <cellStyle name="20% - Accent6 2 15" xfId="124" xr:uid="{00000000-0005-0000-0000-0000A4000000}"/>
    <cellStyle name="20% - Accent6 2 2" xfId="125" xr:uid="{00000000-0005-0000-0000-0000A5000000}"/>
    <cellStyle name="20% - Accent6 2 3" xfId="126" xr:uid="{00000000-0005-0000-0000-0000A6000000}"/>
    <cellStyle name="20% - Accent6 2 4" xfId="127" xr:uid="{00000000-0005-0000-0000-0000A7000000}"/>
    <cellStyle name="20% - Accent6 2 5" xfId="128" xr:uid="{00000000-0005-0000-0000-0000A8000000}"/>
    <cellStyle name="20% - Accent6 2 6" xfId="129" xr:uid="{00000000-0005-0000-0000-0000A9000000}"/>
    <cellStyle name="20% - Accent6 2 7" xfId="130" xr:uid="{00000000-0005-0000-0000-0000AA000000}"/>
    <cellStyle name="20% - Accent6 2 8" xfId="131" xr:uid="{00000000-0005-0000-0000-0000AB000000}"/>
    <cellStyle name="20% - Accent6 2 9" xfId="132" xr:uid="{00000000-0005-0000-0000-0000AC000000}"/>
    <cellStyle name="20% - Accent6 3" xfId="133" xr:uid="{00000000-0005-0000-0000-0000AD000000}"/>
    <cellStyle name="20% - Accent6 3 2" xfId="134" xr:uid="{00000000-0005-0000-0000-0000AE000000}"/>
    <cellStyle name="20% - Accent6 4" xfId="135" xr:uid="{00000000-0005-0000-0000-0000AF000000}"/>
    <cellStyle name="20% - Accent6 5" xfId="136" xr:uid="{00000000-0005-0000-0000-0000B0000000}"/>
    <cellStyle name="20% - Accent6 6" xfId="137" xr:uid="{00000000-0005-0000-0000-0000B1000000}"/>
    <cellStyle name="20% - Accent6 7" xfId="138" xr:uid="{00000000-0005-0000-0000-0000B2000000}"/>
    <cellStyle name="20% - Accent6 8" xfId="139" xr:uid="{00000000-0005-0000-0000-0000B3000000}"/>
    <cellStyle name="40% - Accent1 2" xfId="140" xr:uid="{00000000-0005-0000-0000-0000B4000000}"/>
    <cellStyle name="40% - Accent1 2 10" xfId="141" xr:uid="{00000000-0005-0000-0000-0000B5000000}"/>
    <cellStyle name="40% - Accent1 2 11" xfId="142" xr:uid="{00000000-0005-0000-0000-0000B6000000}"/>
    <cellStyle name="40% - Accent1 2 12" xfId="143" xr:uid="{00000000-0005-0000-0000-0000B7000000}"/>
    <cellStyle name="40% - Accent1 2 13" xfId="144" xr:uid="{00000000-0005-0000-0000-0000B8000000}"/>
    <cellStyle name="40% - Accent1 2 14" xfId="145" xr:uid="{00000000-0005-0000-0000-0000B9000000}"/>
    <cellStyle name="40% - Accent1 2 15" xfId="146" xr:uid="{00000000-0005-0000-0000-0000BA000000}"/>
    <cellStyle name="40% - Accent1 2 2" xfId="147" xr:uid="{00000000-0005-0000-0000-0000BB000000}"/>
    <cellStyle name="40% - Accent1 2 3" xfId="148" xr:uid="{00000000-0005-0000-0000-0000BC000000}"/>
    <cellStyle name="40% - Accent1 2 4" xfId="149" xr:uid="{00000000-0005-0000-0000-0000BD000000}"/>
    <cellStyle name="40% - Accent1 2 5" xfId="150" xr:uid="{00000000-0005-0000-0000-0000BE000000}"/>
    <cellStyle name="40% - Accent1 2 6" xfId="151" xr:uid="{00000000-0005-0000-0000-0000BF000000}"/>
    <cellStyle name="40% - Accent1 2 7" xfId="152" xr:uid="{00000000-0005-0000-0000-0000C0000000}"/>
    <cellStyle name="40% - Accent1 2 8" xfId="153" xr:uid="{00000000-0005-0000-0000-0000C1000000}"/>
    <cellStyle name="40% - Accent1 2 9" xfId="154" xr:uid="{00000000-0005-0000-0000-0000C2000000}"/>
    <cellStyle name="40% - Accent1 3" xfId="155" xr:uid="{00000000-0005-0000-0000-0000C3000000}"/>
    <cellStyle name="40% - Accent1 3 2" xfId="156" xr:uid="{00000000-0005-0000-0000-0000C4000000}"/>
    <cellStyle name="40% - Accent1 4" xfId="157" xr:uid="{00000000-0005-0000-0000-0000C5000000}"/>
    <cellStyle name="40% - Accent1 5" xfId="158" xr:uid="{00000000-0005-0000-0000-0000C6000000}"/>
    <cellStyle name="40% - Accent1 6" xfId="159" xr:uid="{00000000-0005-0000-0000-0000C7000000}"/>
    <cellStyle name="40% - Accent1 7" xfId="160" xr:uid="{00000000-0005-0000-0000-0000C8000000}"/>
    <cellStyle name="40% - Accent1 8" xfId="161" xr:uid="{00000000-0005-0000-0000-0000C9000000}"/>
    <cellStyle name="40% - Accent2 2" xfId="162" xr:uid="{00000000-0005-0000-0000-0000CA000000}"/>
    <cellStyle name="40% - Accent2 2 10" xfId="163" xr:uid="{00000000-0005-0000-0000-0000CB000000}"/>
    <cellStyle name="40% - Accent2 2 11" xfId="164" xr:uid="{00000000-0005-0000-0000-0000CC000000}"/>
    <cellStyle name="40% - Accent2 2 12" xfId="165" xr:uid="{00000000-0005-0000-0000-0000CD000000}"/>
    <cellStyle name="40% - Accent2 2 13" xfId="166" xr:uid="{00000000-0005-0000-0000-0000CE000000}"/>
    <cellStyle name="40% - Accent2 2 14" xfId="167" xr:uid="{00000000-0005-0000-0000-0000CF000000}"/>
    <cellStyle name="40% - Accent2 2 15" xfId="168" xr:uid="{00000000-0005-0000-0000-0000D0000000}"/>
    <cellStyle name="40% - Accent2 2 2" xfId="169" xr:uid="{00000000-0005-0000-0000-0000D1000000}"/>
    <cellStyle name="40% - Accent2 2 3" xfId="170" xr:uid="{00000000-0005-0000-0000-0000D2000000}"/>
    <cellStyle name="40% - Accent2 2 4" xfId="171" xr:uid="{00000000-0005-0000-0000-0000D3000000}"/>
    <cellStyle name="40% - Accent2 2 5" xfId="172" xr:uid="{00000000-0005-0000-0000-0000D4000000}"/>
    <cellStyle name="40% - Accent2 2 6" xfId="173" xr:uid="{00000000-0005-0000-0000-0000D5000000}"/>
    <cellStyle name="40% - Accent2 2 7" xfId="174" xr:uid="{00000000-0005-0000-0000-0000D6000000}"/>
    <cellStyle name="40% - Accent2 2 8" xfId="175" xr:uid="{00000000-0005-0000-0000-0000D7000000}"/>
    <cellStyle name="40% - Accent2 2 9" xfId="176" xr:uid="{00000000-0005-0000-0000-0000D8000000}"/>
    <cellStyle name="40% - Accent2 3" xfId="177" xr:uid="{00000000-0005-0000-0000-0000D9000000}"/>
    <cellStyle name="40% - Accent2 4" xfId="178" xr:uid="{00000000-0005-0000-0000-0000DA000000}"/>
    <cellStyle name="40% - Accent2 5" xfId="179" xr:uid="{00000000-0005-0000-0000-0000DB000000}"/>
    <cellStyle name="40% - Accent2 6" xfId="180" xr:uid="{00000000-0005-0000-0000-0000DC000000}"/>
    <cellStyle name="40% - Accent2 7" xfId="181" xr:uid="{00000000-0005-0000-0000-0000DD000000}"/>
    <cellStyle name="40% - Accent2 8" xfId="182" xr:uid="{00000000-0005-0000-0000-0000DE000000}"/>
    <cellStyle name="40% - Accent3 2" xfId="183" xr:uid="{00000000-0005-0000-0000-0000DF000000}"/>
    <cellStyle name="40% - Accent3 2 10" xfId="184" xr:uid="{00000000-0005-0000-0000-0000E0000000}"/>
    <cellStyle name="40% - Accent3 2 11" xfId="185" xr:uid="{00000000-0005-0000-0000-0000E1000000}"/>
    <cellStyle name="40% - Accent3 2 12" xfId="186" xr:uid="{00000000-0005-0000-0000-0000E2000000}"/>
    <cellStyle name="40% - Accent3 2 13" xfId="187" xr:uid="{00000000-0005-0000-0000-0000E3000000}"/>
    <cellStyle name="40% - Accent3 2 14" xfId="188" xr:uid="{00000000-0005-0000-0000-0000E4000000}"/>
    <cellStyle name="40% - Accent3 2 15" xfId="189" xr:uid="{00000000-0005-0000-0000-0000E5000000}"/>
    <cellStyle name="40% - Accent3 2 2" xfId="190" xr:uid="{00000000-0005-0000-0000-0000E6000000}"/>
    <cellStyle name="40% - Accent3 2 3" xfId="191" xr:uid="{00000000-0005-0000-0000-0000E7000000}"/>
    <cellStyle name="40% - Accent3 2 4" xfId="192" xr:uid="{00000000-0005-0000-0000-0000E8000000}"/>
    <cellStyle name="40% - Accent3 2 5" xfId="193" xr:uid="{00000000-0005-0000-0000-0000E9000000}"/>
    <cellStyle name="40% - Accent3 2 6" xfId="194" xr:uid="{00000000-0005-0000-0000-0000EA000000}"/>
    <cellStyle name="40% - Accent3 2 7" xfId="195" xr:uid="{00000000-0005-0000-0000-0000EB000000}"/>
    <cellStyle name="40% - Accent3 2 8" xfId="196" xr:uid="{00000000-0005-0000-0000-0000EC000000}"/>
    <cellStyle name="40% - Accent3 2 9" xfId="197" xr:uid="{00000000-0005-0000-0000-0000ED000000}"/>
    <cellStyle name="40% - Accent3 3" xfId="198" xr:uid="{00000000-0005-0000-0000-0000EE000000}"/>
    <cellStyle name="40% - Accent3 3 2" xfId="199" xr:uid="{00000000-0005-0000-0000-0000EF000000}"/>
    <cellStyle name="40% - Accent3 4" xfId="200" xr:uid="{00000000-0005-0000-0000-0000F0000000}"/>
    <cellStyle name="40% - Accent3 5" xfId="201" xr:uid="{00000000-0005-0000-0000-0000F1000000}"/>
    <cellStyle name="40% - Accent3 6" xfId="202" xr:uid="{00000000-0005-0000-0000-0000F2000000}"/>
    <cellStyle name="40% - Accent3 7" xfId="203" xr:uid="{00000000-0005-0000-0000-0000F3000000}"/>
    <cellStyle name="40% - Accent3 8" xfId="204" xr:uid="{00000000-0005-0000-0000-0000F4000000}"/>
    <cellStyle name="40% - Accent4 2" xfId="205" xr:uid="{00000000-0005-0000-0000-0000F5000000}"/>
    <cellStyle name="40% - Accent4 2 10" xfId="206" xr:uid="{00000000-0005-0000-0000-0000F6000000}"/>
    <cellStyle name="40% - Accent4 2 11" xfId="207" xr:uid="{00000000-0005-0000-0000-0000F7000000}"/>
    <cellStyle name="40% - Accent4 2 12" xfId="208" xr:uid="{00000000-0005-0000-0000-0000F8000000}"/>
    <cellStyle name="40% - Accent4 2 13" xfId="209" xr:uid="{00000000-0005-0000-0000-0000F9000000}"/>
    <cellStyle name="40% - Accent4 2 14" xfId="210" xr:uid="{00000000-0005-0000-0000-0000FA000000}"/>
    <cellStyle name="40% - Accent4 2 15" xfId="211" xr:uid="{00000000-0005-0000-0000-0000FB000000}"/>
    <cellStyle name="40% - Accent4 2 2" xfId="212" xr:uid="{00000000-0005-0000-0000-0000FC000000}"/>
    <cellStyle name="40% - Accent4 2 3" xfId="213" xr:uid="{00000000-0005-0000-0000-0000FD000000}"/>
    <cellStyle name="40% - Accent4 2 4" xfId="214" xr:uid="{00000000-0005-0000-0000-0000FE000000}"/>
    <cellStyle name="40% - Accent4 2 5" xfId="215" xr:uid="{00000000-0005-0000-0000-0000FF000000}"/>
    <cellStyle name="40% - Accent4 2 6" xfId="216" xr:uid="{00000000-0005-0000-0000-000000010000}"/>
    <cellStyle name="40% - Accent4 2 7" xfId="217" xr:uid="{00000000-0005-0000-0000-000001010000}"/>
    <cellStyle name="40% - Accent4 2 8" xfId="218" xr:uid="{00000000-0005-0000-0000-000002010000}"/>
    <cellStyle name="40% - Accent4 2 9" xfId="219" xr:uid="{00000000-0005-0000-0000-000003010000}"/>
    <cellStyle name="40% - Accent4 3" xfId="220" xr:uid="{00000000-0005-0000-0000-000004010000}"/>
    <cellStyle name="40% - Accent4 3 2" xfId="221" xr:uid="{00000000-0005-0000-0000-000005010000}"/>
    <cellStyle name="40% - Accent4 4" xfId="222" xr:uid="{00000000-0005-0000-0000-000006010000}"/>
    <cellStyle name="40% - Accent4 5" xfId="223" xr:uid="{00000000-0005-0000-0000-000007010000}"/>
    <cellStyle name="40% - Accent4 6" xfId="224" xr:uid="{00000000-0005-0000-0000-000008010000}"/>
    <cellStyle name="40% - Accent4 7" xfId="225" xr:uid="{00000000-0005-0000-0000-000009010000}"/>
    <cellStyle name="40% - Accent4 8" xfId="226" xr:uid="{00000000-0005-0000-0000-00000A010000}"/>
    <cellStyle name="40% - Accent5 2" xfId="227" xr:uid="{00000000-0005-0000-0000-00000B010000}"/>
    <cellStyle name="40% - Accent5 2 10" xfId="228" xr:uid="{00000000-0005-0000-0000-00000C010000}"/>
    <cellStyle name="40% - Accent5 2 11" xfId="229" xr:uid="{00000000-0005-0000-0000-00000D010000}"/>
    <cellStyle name="40% - Accent5 2 12" xfId="230" xr:uid="{00000000-0005-0000-0000-00000E010000}"/>
    <cellStyle name="40% - Accent5 2 13" xfId="231" xr:uid="{00000000-0005-0000-0000-00000F010000}"/>
    <cellStyle name="40% - Accent5 2 14" xfId="232" xr:uid="{00000000-0005-0000-0000-000010010000}"/>
    <cellStyle name="40% - Accent5 2 15" xfId="233" xr:uid="{00000000-0005-0000-0000-000011010000}"/>
    <cellStyle name="40% - Accent5 2 2" xfId="234" xr:uid="{00000000-0005-0000-0000-000012010000}"/>
    <cellStyle name="40% - Accent5 2 3" xfId="235" xr:uid="{00000000-0005-0000-0000-000013010000}"/>
    <cellStyle name="40% - Accent5 2 4" xfId="236" xr:uid="{00000000-0005-0000-0000-000014010000}"/>
    <cellStyle name="40% - Accent5 2 5" xfId="237" xr:uid="{00000000-0005-0000-0000-000015010000}"/>
    <cellStyle name="40% - Accent5 2 6" xfId="238" xr:uid="{00000000-0005-0000-0000-000016010000}"/>
    <cellStyle name="40% - Accent5 2 7" xfId="239" xr:uid="{00000000-0005-0000-0000-000017010000}"/>
    <cellStyle name="40% - Accent5 2 8" xfId="240" xr:uid="{00000000-0005-0000-0000-000018010000}"/>
    <cellStyle name="40% - Accent5 2 9" xfId="241" xr:uid="{00000000-0005-0000-0000-000019010000}"/>
    <cellStyle name="40% - Accent5 3" xfId="242" xr:uid="{00000000-0005-0000-0000-00001A010000}"/>
    <cellStyle name="40% - Accent5 3 2" xfId="243" xr:uid="{00000000-0005-0000-0000-00001B010000}"/>
    <cellStyle name="40% - Accent5 4" xfId="244" xr:uid="{00000000-0005-0000-0000-00001C010000}"/>
    <cellStyle name="40% - Accent5 5" xfId="245" xr:uid="{00000000-0005-0000-0000-00001D010000}"/>
    <cellStyle name="40% - Accent5 6" xfId="246" xr:uid="{00000000-0005-0000-0000-00001E010000}"/>
    <cellStyle name="40% - Accent5 7" xfId="247" xr:uid="{00000000-0005-0000-0000-00001F010000}"/>
    <cellStyle name="40% - Accent5 8" xfId="248" xr:uid="{00000000-0005-0000-0000-000020010000}"/>
    <cellStyle name="40% - Accent6 2" xfId="249" xr:uid="{00000000-0005-0000-0000-000021010000}"/>
    <cellStyle name="40% - Accent6 2 10" xfId="250" xr:uid="{00000000-0005-0000-0000-000022010000}"/>
    <cellStyle name="40% - Accent6 2 11" xfId="251" xr:uid="{00000000-0005-0000-0000-000023010000}"/>
    <cellStyle name="40% - Accent6 2 12" xfId="252" xr:uid="{00000000-0005-0000-0000-000024010000}"/>
    <cellStyle name="40% - Accent6 2 13" xfId="253" xr:uid="{00000000-0005-0000-0000-000025010000}"/>
    <cellStyle name="40% - Accent6 2 14" xfId="254" xr:uid="{00000000-0005-0000-0000-000026010000}"/>
    <cellStyle name="40% - Accent6 2 15" xfId="255" xr:uid="{00000000-0005-0000-0000-000027010000}"/>
    <cellStyle name="40% - Accent6 2 2" xfId="256" xr:uid="{00000000-0005-0000-0000-000028010000}"/>
    <cellStyle name="40% - Accent6 2 3" xfId="257" xr:uid="{00000000-0005-0000-0000-000029010000}"/>
    <cellStyle name="40% - Accent6 2 4" xfId="258" xr:uid="{00000000-0005-0000-0000-00002A010000}"/>
    <cellStyle name="40% - Accent6 2 5" xfId="259" xr:uid="{00000000-0005-0000-0000-00002B010000}"/>
    <cellStyle name="40% - Accent6 2 6" xfId="260" xr:uid="{00000000-0005-0000-0000-00002C010000}"/>
    <cellStyle name="40% - Accent6 2 7" xfId="261" xr:uid="{00000000-0005-0000-0000-00002D010000}"/>
    <cellStyle name="40% - Accent6 2 8" xfId="262" xr:uid="{00000000-0005-0000-0000-00002E010000}"/>
    <cellStyle name="40% - Accent6 2 9" xfId="263" xr:uid="{00000000-0005-0000-0000-00002F010000}"/>
    <cellStyle name="40% - Accent6 3" xfId="264" xr:uid="{00000000-0005-0000-0000-000030010000}"/>
    <cellStyle name="40% - Accent6 3 2" xfId="265" xr:uid="{00000000-0005-0000-0000-000031010000}"/>
    <cellStyle name="40% - Accent6 4" xfId="266" xr:uid="{00000000-0005-0000-0000-000032010000}"/>
    <cellStyle name="40% - Accent6 5" xfId="267" xr:uid="{00000000-0005-0000-0000-000033010000}"/>
    <cellStyle name="40% - Accent6 6" xfId="268" xr:uid="{00000000-0005-0000-0000-000034010000}"/>
    <cellStyle name="40% - Accent6 7" xfId="269" xr:uid="{00000000-0005-0000-0000-000035010000}"/>
    <cellStyle name="40% - Accent6 8" xfId="270" xr:uid="{00000000-0005-0000-0000-000036010000}"/>
    <cellStyle name="5x indented GHG Textfiels" xfId="271" xr:uid="{00000000-0005-0000-0000-000037010000}"/>
    <cellStyle name="5x indented GHG Textfiels 2" xfId="272" xr:uid="{00000000-0005-0000-0000-000038010000}"/>
    <cellStyle name="5x indented GHG Textfiels 2 2" xfId="273" xr:uid="{00000000-0005-0000-0000-000039010000}"/>
    <cellStyle name="5x indented GHG Textfiels 3" xfId="274" xr:uid="{00000000-0005-0000-0000-00003A010000}"/>
    <cellStyle name="60% - Accent1 2" xfId="275" xr:uid="{00000000-0005-0000-0000-00003B010000}"/>
    <cellStyle name="60% - Accent1 2 10" xfId="276" xr:uid="{00000000-0005-0000-0000-00003C010000}"/>
    <cellStyle name="60% - Accent1 2 2" xfId="277" xr:uid="{00000000-0005-0000-0000-00003D010000}"/>
    <cellStyle name="60% - Accent1 2 3" xfId="278" xr:uid="{00000000-0005-0000-0000-00003E010000}"/>
    <cellStyle name="60% - Accent1 2 4" xfId="279" xr:uid="{00000000-0005-0000-0000-00003F010000}"/>
    <cellStyle name="60% - Accent1 2 5" xfId="280" xr:uid="{00000000-0005-0000-0000-000040010000}"/>
    <cellStyle name="60% - Accent1 2 6" xfId="281" xr:uid="{00000000-0005-0000-0000-000041010000}"/>
    <cellStyle name="60% - Accent1 2 7" xfId="282" xr:uid="{00000000-0005-0000-0000-000042010000}"/>
    <cellStyle name="60% - Accent1 2 8" xfId="283" xr:uid="{00000000-0005-0000-0000-000043010000}"/>
    <cellStyle name="60% - Accent1 2 9" xfId="284" xr:uid="{00000000-0005-0000-0000-000044010000}"/>
    <cellStyle name="60% - Accent1 3" xfId="285" xr:uid="{00000000-0005-0000-0000-000045010000}"/>
    <cellStyle name="60% - Accent1 3 2" xfId="286" xr:uid="{00000000-0005-0000-0000-000046010000}"/>
    <cellStyle name="60% - Accent2 2" xfId="287" xr:uid="{00000000-0005-0000-0000-000047010000}"/>
    <cellStyle name="60% - Accent2 2 10" xfId="288" xr:uid="{00000000-0005-0000-0000-000048010000}"/>
    <cellStyle name="60% - Accent2 2 2" xfId="289" xr:uid="{00000000-0005-0000-0000-000049010000}"/>
    <cellStyle name="60% - Accent2 2 3" xfId="290" xr:uid="{00000000-0005-0000-0000-00004A010000}"/>
    <cellStyle name="60% - Accent2 2 4" xfId="291" xr:uid="{00000000-0005-0000-0000-00004B010000}"/>
    <cellStyle name="60% - Accent2 2 5" xfId="292" xr:uid="{00000000-0005-0000-0000-00004C010000}"/>
    <cellStyle name="60% - Accent2 2 6" xfId="293" xr:uid="{00000000-0005-0000-0000-00004D010000}"/>
    <cellStyle name="60% - Accent2 2 7" xfId="294" xr:uid="{00000000-0005-0000-0000-00004E010000}"/>
    <cellStyle name="60% - Accent2 2 8" xfId="295" xr:uid="{00000000-0005-0000-0000-00004F010000}"/>
    <cellStyle name="60% - Accent2 2 9" xfId="296" xr:uid="{00000000-0005-0000-0000-000050010000}"/>
    <cellStyle name="60% - Accent2 3" xfId="297" xr:uid="{00000000-0005-0000-0000-000051010000}"/>
    <cellStyle name="60% - Accent2 3 2" xfId="298" xr:uid="{00000000-0005-0000-0000-000052010000}"/>
    <cellStyle name="60% - Accent3 2" xfId="299" xr:uid="{00000000-0005-0000-0000-000053010000}"/>
    <cellStyle name="60% - Accent3 2 10" xfId="300" xr:uid="{00000000-0005-0000-0000-000054010000}"/>
    <cellStyle name="60% - Accent3 2 2" xfId="301" xr:uid="{00000000-0005-0000-0000-000055010000}"/>
    <cellStyle name="60% - Accent3 2 3" xfId="302" xr:uid="{00000000-0005-0000-0000-000056010000}"/>
    <cellStyle name="60% - Accent3 2 4" xfId="303" xr:uid="{00000000-0005-0000-0000-000057010000}"/>
    <cellStyle name="60% - Accent3 2 5" xfId="304" xr:uid="{00000000-0005-0000-0000-000058010000}"/>
    <cellStyle name="60% - Accent3 2 6" xfId="305" xr:uid="{00000000-0005-0000-0000-000059010000}"/>
    <cellStyle name="60% - Accent3 2 7" xfId="306" xr:uid="{00000000-0005-0000-0000-00005A010000}"/>
    <cellStyle name="60% - Accent3 2 8" xfId="307" xr:uid="{00000000-0005-0000-0000-00005B010000}"/>
    <cellStyle name="60% - Accent3 2 9" xfId="308" xr:uid="{00000000-0005-0000-0000-00005C010000}"/>
    <cellStyle name="60% - Accent3 3" xfId="309" xr:uid="{00000000-0005-0000-0000-00005D010000}"/>
    <cellStyle name="60% - Accent3 3 2" xfId="310" xr:uid="{00000000-0005-0000-0000-00005E010000}"/>
    <cellStyle name="60% - Accent4 2" xfId="311" xr:uid="{00000000-0005-0000-0000-00005F010000}"/>
    <cellStyle name="60% - Accent4 2 10" xfId="312" xr:uid="{00000000-0005-0000-0000-000060010000}"/>
    <cellStyle name="60% - Accent4 2 2" xfId="313" xr:uid="{00000000-0005-0000-0000-000061010000}"/>
    <cellStyle name="60% - Accent4 2 3" xfId="314" xr:uid="{00000000-0005-0000-0000-000062010000}"/>
    <cellStyle name="60% - Accent4 2 4" xfId="315" xr:uid="{00000000-0005-0000-0000-000063010000}"/>
    <cellStyle name="60% - Accent4 2 5" xfId="316" xr:uid="{00000000-0005-0000-0000-000064010000}"/>
    <cellStyle name="60% - Accent4 2 6" xfId="317" xr:uid="{00000000-0005-0000-0000-000065010000}"/>
    <cellStyle name="60% - Accent4 2 7" xfId="318" xr:uid="{00000000-0005-0000-0000-000066010000}"/>
    <cellStyle name="60% - Accent4 2 8" xfId="319" xr:uid="{00000000-0005-0000-0000-000067010000}"/>
    <cellStyle name="60% - Accent4 2 9" xfId="320" xr:uid="{00000000-0005-0000-0000-000068010000}"/>
    <cellStyle name="60% - Accent4 3" xfId="321" xr:uid="{00000000-0005-0000-0000-000069010000}"/>
    <cellStyle name="60% - Accent4 3 2" xfId="322" xr:uid="{00000000-0005-0000-0000-00006A010000}"/>
    <cellStyle name="60% - Accent5 2" xfId="323" xr:uid="{00000000-0005-0000-0000-00006B010000}"/>
    <cellStyle name="60% - Accent5 2 10" xfId="324" xr:uid="{00000000-0005-0000-0000-00006C010000}"/>
    <cellStyle name="60% - Accent5 2 2" xfId="325" xr:uid="{00000000-0005-0000-0000-00006D010000}"/>
    <cellStyle name="60% - Accent5 2 3" xfId="326" xr:uid="{00000000-0005-0000-0000-00006E010000}"/>
    <cellStyle name="60% - Accent5 2 4" xfId="327" xr:uid="{00000000-0005-0000-0000-00006F010000}"/>
    <cellStyle name="60% - Accent5 2 5" xfId="328" xr:uid="{00000000-0005-0000-0000-000070010000}"/>
    <cellStyle name="60% - Accent5 2 6" xfId="329" xr:uid="{00000000-0005-0000-0000-000071010000}"/>
    <cellStyle name="60% - Accent5 2 7" xfId="330" xr:uid="{00000000-0005-0000-0000-000072010000}"/>
    <cellStyle name="60% - Accent5 2 8" xfId="331" xr:uid="{00000000-0005-0000-0000-000073010000}"/>
    <cellStyle name="60% - Accent5 2 9" xfId="332" xr:uid="{00000000-0005-0000-0000-000074010000}"/>
    <cellStyle name="60% - Accent5 3" xfId="333" xr:uid="{00000000-0005-0000-0000-000075010000}"/>
    <cellStyle name="60% - Accent5 3 2" xfId="334" xr:uid="{00000000-0005-0000-0000-000076010000}"/>
    <cellStyle name="60% - Accent6 2" xfId="335" xr:uid="{00000000-0005-0000-0000-000077010000}"/>
    <cellStyle name="60% - Accent6 2 10" xfId="336" xr:uid="{00000000-0005-0000-0000-000078010000}"/>
    <cellStyle name="60% - Accent6 2 2" xfId="337" xr:uid="{00000000-0005-0000-0000-000079010000}"/>
    <cellStyle name="60% - Accent6 2 3" xfId="338" xr:uid="{00000000-0005-0000-0000-00007A010000}"/>
    <cellStyle name="60% - Accent6 2 4" xfId="339" xr:uid="{00000000-0005-0000-0000-00007B010000}"/>
    <cellStyle name="60% - Accent6 2 5" xfId="340" xr:uid="{00000000-0005-0000-0000-00007C010000}"/>
    <cellStyle name="60% - Accent6 2 6" xfId="341" xr:uid="{00000000-0005-0000-0000-00007D010000}"/>
    <cellStyle name="60% - Accent6 2 7" xfId="342" xr:uid="{00000000-0005-0000-0000-00007E010000}"/>
    <cellStyle name="60% - Accent6 2 8" xfId="343" xr:uid="{00000000-0005-0000-0000-00007F010000}"/>
    <cellStyle name="60% - Accent6 2 9" xfId="344" xr:uid="{00000000-0005-0000-0000-000080010000}"/>
    <cellStyle name="60% - Accent6 3" xfId="345" xr:uid="{00000000-0005-0000-0000-000081010000}"/>
    <cellStyle name="60% - Accent6 3 2" xfId="346" xr:uid="{00000000-0005-0000-0000-000082010000}"/>
    <cellStyle name="Accent1 2" xfId="347" xr:uid="{00000000-0005-0000-0000-000083010000}"/>
    <cellStyle name="Accent1 2 10" xfId="348" xr:uid="{00000000-0005-0000-0000-000084010000}"/>
    <cellStyle name="Accent1 2 2" xfId="349" xr:uid="{00000000-0005-0000-0000-000085010000}"/>
    <cellStyle name="Accent1 2 3" xfId="350" xr:uid="{00000000-0005-0000-0000-000086010000}"/>
    <cellStyle name="Accent1 2 4" xfId="351" xr:uid="{00000000-0005-0000-0000-000087010000}"/>
    <cellStyle name="Accent1 2 5" xfId="352" xr:uid="{00000000-0005-0000-0000-000088010000}"/>
    <cellStyle name="Accent1 2 6" xfId="353" xr:uid="{00000000-0005-0000-0000-000089010000}"/>
    <cellStyle name="Accent1 2 7" xfId="354" xr:uid="{00000000-0005-0000-0000-00008A010000}"/>
    <cellStyle name="Accent1 2 8" xfId="355" xr:uid="{00000000-0005-0000-0000-00008B010000}"/>
    <cellStyle name="Accent1 2 9" xfId="356" xr:uid="{00000000-0005-0000-0000-00008C010000}"/>
    <cellStyle name="Accent1 3" xfId="357" xr:uid="{00000000-0005-0000-0000-00008D010000}"/>
    <cellStyle name="Accent1 3 2" xfId="358" xr:uid="{00000000-0005-0000-0000-00008E010000}"/>
    <cellStyle name="Accent2 2" xfId="359" xr:uid="{00000000-0005-0000-0000-00008F010000}"/>
    <cellStyle name="Accent2 2 10" xfId="360" xr:uid="{00000000-0005-0000-0000-000090010000}"/>
    <cellStyle name="Accent2 2 2" xfId="361" xr:uid="{00000000-0005-0000-0000-000091010000}"/>
    <cellStyle name="Accent2 2 3" xfId="362" xr:uid="{00000000-0005-0000-0000-000092010000}"/>
    <cellStyle name="Accent2 2 4" xfId="363" xr:uid="{00000000-0005-0000-0000-000093010000}"/>
    <cellStyle name="Accent2 2 5" xfId="364" xr:uid="{00000000-0005-0000-0000-000094010000}"/>
    <cellStyle name="Accent2 2 6" xfId="365" xr:uid="{00000000-0005-0000-0000-000095010000}"/>
    <cellStyle name="Accent2 2 7" xfId="366" xr:uid="{00000000-0005-0000-0000-000096010000}"/>
    <cellStyle name="Accent2 2 8" xfId="367" xr:uid="{00000000-0005-0000-0000-000097010000}"/>
    <cellStyle name="Accent2 2 9" xfId="368" xr:uid="{00000000-0005-0000-0000-000098010000}"/>
    <cellStyle name="Accent2 3" xfId="369" xr:uid="{00000000-0005-0000-0000-000099010000}"/>
    <cellStyle name="Accent2 3 2" xfId="370" xr:uid="{00000000-0005-0000-0000-00009A010000}"/>
    <cellStyle name="Accent3 2" xfId="371" xr:uid="{00000000-0005-0000-0000-00009B010000}"/>
    <cellStyle name="Accent3 2 10" xfId="372" xr:uid="{00000000-0005-0000-0000-00009C010000}"/>
    <cellStyle name="Accent3 2 2" xfId="373" xr:uid="{00000000-0005-0000-0000-00009D010000}"/>
    <cellStyle name="Accent3 2 3" xfId="374" xr:uid="{00000000-0005-0000-0000-00009E010000}"/>
    <cellStyle name="Accent3 2 4" xfId="375" xr:uid="{00000000-0005-0000-0000-00009F010000}"/>
    <cellStyle name="Accent3 2 5" xfId="376" xr:uid="{00000000-0005-0000-0000-0000A0010000}"/>
    <cellStyle name="Accent3 2 6" xfId="377" xr:uid="{00000000-0005-0000-0000-0000A1010000}"/>
    <cellStyle name="Accent3 2 7" xfId="378" xr:uid="{00000000-0005-0000-0000-0000A2010000}"/>
    <cellStyle name="Accent3 2 8" xfId="379" xr:uid="{00000000-0005-0000-0000-0000A3010000}"/>
    <cellStyle name="Accent3 2 9" xfId="380" xr:uid="{00000000-0005-0000-0000-0000A4010000}"/>
    <cellStyle name="Accent3 3" xfId="381" xr:uid="{00000000-0005-0000-0000-0000A5010000}"/>
    <cellStyle name="Accent3 3 2" xfId="382" xr:uid="{00000000-0005-0000-0000-0000A6010000}"/>
    <cellStyle name="Accent4 2" xfId="383" xr:uid="{00000000-0005-0000-0000-0000A7010000}"/>
    <cellStyle name="Accent4 2 10" xfId="384" xr:uid="{00000000-0005-0000-0000-0000A8010000}"/>
    <cellStyle name="Accent4 2 2" xfId="385" xr:uid="{00000000-0005-0000-0000-0000A9010000}"/>
    <cellStyle name="Accent4 2 3" xfId="386" xr:uid="{00000000-0005-0000-0000-0000AA010000}"/>
    <cellStyle name="Accent4 2 4" xfId="387" xr:uid="{00000000-0005-0000-0000-0000AB010000}"/>
    <cellStyle name="Accent4 2 5" xfId="388" xr:uid="{00000000-0005-0000-0000-0000AC010000}"/>
    <cellStyle name="Accent4 2 6" xfId="389" xr:uid="{00000000-0005-0000-0000-0000AD010000}"/>
    <cellStyle name="Accent4 2 7" xfId="390" xr:uid="{00000000-0005-0000-0000-0000AE010000}"/>
    <cellStyle name="Accent4 2 8" xfId="391" xr:uid="{00000000-0005-0000-0000-0000AF010000}"/>
    <cellStyle name="Accent4 2 9" xfId="392" xr:uid="{00000000-0005-0000-0000-0000B0010000}"/>
    <cellStyle name="Accent4 3" xfId="393" xr:uid="{00000000-0005-0000-0000-0000B1010000}"/>
    <cellStyle name="Accent4 3 2" xfId="394" xr:uid="{00000000-0005-0000-0000-0000B2010000}"/>
    <cellStyle name="Accent5 2" xfId="395" xr:uid="{00000000-0005-0000-0000-0000B3010000}"/>
    <cellStyle name="Accent5 2 10" xfId="396" xr:uid="{00000000-0005-0000-0000-0000B4010000}"/>
    <cellStyle name="Accent5 2 2" xfId="397" xr:uid="{00000000-0005-0000-0000-0000B5010000}"/>
    <cellStyle name="Accent5 2 3" xfId="398" xr:uid="{00000000-0005-0000-0000-0000B6010000}"/>
    <cellStyle name="Accent5 2 4" xfId="399" xr:uid="{00000000-0005-0000-0000-0000B7010000}"/>
    <cellStyle name="Accent5 2 5" xfId="400" xr:uid="{00000000-0005-0000-0000-0000B8010000}"/>
    <cellStyle name="Accent5 2 6" xfId="401" xr:uid="{00000000-0005-0000-0000-0000B9010000}"/>
    <cellStyle name="Accent5 2 7" xfId="402" xr:uid="{00000000-0005-0000-0000-0000BA010000}"/>
    <cellStyle name="Accent5 2 8" xfId="403" xr:uid="{00000000-0005-0000-0000-0000BB010000}"/>
    <cellStyle name="Accent5 2 9" xfId="404" xr:uid="{00000000-0005-0000-0000-0000BC010000}"/>
    <cellStyle name="Accent5 3" xfId="405" xr:uid="{00000000-0005-0000-0000-0000BD010000}"/>
    <cellStyle name="Accent6 2" xfId="406" xr:uid="{00000000-0005-0000-0000-0000BE010000}"/>
    <cellStyle name="Accent6 2 10" xfId="407" xr:uid="{00000000-0005-0000-0000-0000BF010000}"/>
    <cellStyle name="Accent6 2 2" xfId="408" xr:uid="{00000000-0005-0000-0000-0000C0010000}"/>
    <cellStyle name="Accent6 2 3" xfId="409" xr:uid="{00000000-0005-0000-0000-0000C1010000}"/>
    <cellStyle name="Accent6 2 4" xfId="410" xr:uid="{00000000-0005-0000-0000-0000C2010000}"/>
    <cellStyle name="Accent6 2 5" xfId="411" xr:uid="{00000000-0005-0000-0000-0000C3010000}"/>
    <cellStyle name="Accent6 2 6" xfId="412" xr:uid="{00000000-0005-0000-0000-0000C4010000}"/>
    <cellStyle name="Accent6 2 7" xfId="413" xr:uid="{00000000-0005-0000-0000-0000C5010000}"/>
    <cellStyle name="Accent6 2 8" xfId="414" xr:uid="{00000000-0005-0000-0000-0000C6010000}"/>
    <cellStyle name="Accent6 2 9" xfId="415" xr:uid="{00000000-0005-0000-0000-0000C7010000}"/>
    <cellStyle name="Accent6 3" xfId="416" xr:uid="{00000000-0005-0000-0000-0000C8010000}"/>
    <cellStyle name="Accent6 3 2" xfId="417" xr:uid="{00000000-0005-0000-0000-0000C9010000}"/>
    <cellStyle name="AggOrange_CRFReport-template" xfId="418" xr:uid="{00000000-0005-0000-0000-0000CA010000}"/>
    <cellStyle name="AggOrange9_CRFReport-template" xfId="419" xr:uid="{00000000-0005-0000-0000-0000CB010000}"/>
    <cellStyle name="Bad 2" xfId="420" xr:uid="{00000000-0005-0000-0000-0000CC010000}"/>
    <cellStyle name="Bad 2 10" xfId="421" xr:uid="{00000000-0005-0000-0000-0000CD010000}"/>
    <cellStyle name="Bad 2 2" xfId="422" xr:uid="{00000000-0005-0000-0000-0000CE010000}"/>
    <cellStyle name="Bad 2 3" xfId="423" xr:uid="{00000000-0005-0000-0000-0000CF010000}"/>
    <cellStyle name="Bad 2 4" xfId="424" xr:uid="{00000000-0005-0000-0000-0000D0010000}"/>
    <cellStyle name="Bad 2 5" xfId="425" xr:uid="{00000000-0005-0000-0000-0000D1010000}"/>
    <cellStyle name="Bad 2 6" xfId="426" xr:uid="{00000000-0005-0000-0000-0000D2010000}"/>
    <cellStyle name="Bad 2 7" xfId="427" xr:uid="{00000000-0005-0000-0000-0000D3010000}"/>
    <cellStyle name="Bad 2 8" xfId="428" xr:uid="{00000000-0005-0000-0000-0000D4010000}"/>
    <cellStyle name="Bad 2 9" xfId="429" xr:uid="{00000000-0005-0000-0000-0000D5010000}"/>
    <cellStyle name="Bad 3" xfId="430" xr:uid="{00000000-0005-0000-0000-0000D6010000}"/>
    <cellStyle name="Bad 3 2" xfId="431" xr:uid="{00000000-0005-0000-0000-0000D7010000}"/>
    <cellStyle name="Bad 4" xfId="432" xr:uid="{00000000-0005-0000-0000-0000D8010000}"/>
    <cellStyle name="Calculation 2" xfId="433" xr:uid="{00000000-0005-0000-0000-0000D9010000}"/>
    <cellStyle name="Calculation 2 10" xfId="434" xr:uid="{00000000-0005-0000-0000-0000DA010000}"/>
    <cellStyle name="Calculation 2 2" xfId="435" xr:uid="{00000000-0005-0000-0000-0000DB010000}"/>
    <cellStyle name="Calculation 2 3" xfId="436" xr:uid="{00000000-0005-0000-0000-0000DC010000}"/>
    <cellStyle name="Calculation 2 4" xfId="437" xr:uid="{00000000-0005-0000-0000-0000DD010000}"/>
    <cellStyle name="Calculation 2 5" xfId="438" xr:uid="{00000000-0005-0000-0000-0000DE010000}"/>
    <cellStyle name="Calculation 2 6" xfId="439" xr:uid="{00000000-0005-0000-0000-0000DF010000}"/>
    <cellStyle name="Calculation 2 7" xfId="440" xr:uid="{00000000-0005-0000-0000-0000E0010000}"/>
    <cellStyle name="Calculation 2 8" xfId="441" xr:uid="{00000000-0005-0000-0000-0000E1010000}"/>
    <cellStyle name="Calculation 2 9" xfId="442" xr:uid="{00000000-0005-0000-0000-0000E2010000}"/>
    <cellStyle name="Calculation 3" xfId="443" xr:uid="{00000000-0005-0000-0000-0000E3010000}"/>
    <cellStyle name="Calculation 3 2" xfId="444" xr:uid="{00000000-0005-0000-0000-0000E4010000}"/>
    <cellStyle name="Check Cell 2" xfId="445" xr:uid="{00000000-0005-0000-0000-0000E5010000}"/>
    <cellStyle name="Check Cell 2 10" xfId="446" xr:uid="{00000000-0005-0000-0000-0000E6010000}"/>
    <cellStyle name="Check Cell 2 2" xfId="447" xr:uid="{00000000-0005-0000-0000-0000E7010000}"/>
    <cellStyle name="Check Cell 2 3" xfId="448" xr:uid="{00000000-0005-0000-0000-0000E8010000}"/>
    <cellStyle name="Check Cell 2 4" xfId="449" xr:uid="{00000000-0005-0000-0000-0000E9010000}"/>
    <cellStyle name="Check Cell 2 5" xfId="450" xr:uid="{00000000-0005-0000-0000-0000EA010000}"/>
    <cellStyle name="Check Cell 2 6" xfId="451" xr:uid="{00000000-0005-0000-0000-0000EB010000}"/>
    <cellStyle name="Check Cell 2 7" xfId="452" xr:uid="{00000000-0005-0000-0000-0000EC010000}"/>
    <cellStyle name="Check Cell 2 8" xfId="453" xr:uid="{00000000-0005-0000-0000-0000ED010000}"/>
    <cellStyle name="Check Cell 2 9" xfId="454" xr:uid="{00000000-0005-0000-0000-0000EE010000}"/>
    <cellStyle name="Check Cell 3" xfId="455" xr:uid="{00000000-0005-0000-0000-0000EF010000}"/>
    <cellStyle name="coin" xfId="456" xr:uid="{00000000-0005-0000-0000-0000F0010000}"/>
    <cellStyle name="coin 2" xfId="457" xr:uid="{00000000-0005-0000-0000-0000F1010000}"/>
    <cellStyle name="Comma [0] 2 10" xfId="458" xr:uid="{00000000-0005-0000-0000-0000F2010000}"/>
    <cellStyle name="Comma [0] 2 10 2" xfId="459" xr:uid="{00000000-0005-0000-0000-0000F3010000}"/>
    <cellStyle name="Comma [0] 2 2" xfId="460" xr:uid="{00000000-0005-0000-0000-0000F4010000}"/>
    <cellStyle name="Comma [0] 2 2 2" xfId="461" xr:uid="{00000000-0005-0000-0000-0000F5010000}"/>
    <cellStyle name="Comma [0] 2 3" xfId="462" xr:uid="{00000000-0005-0000-0000-0000F6010000}"/>
    <cellStyle name="Comma [0] 2 3 2" xfId="463" xr:uid="{00000000-0005-0000-0000-0000F7010000}"/>
    <cellStyle name="Comma [0] 2 4" xfId="464" xr:uid="{00000000-0005-0000-0000-0000F8010000}"/>
    <cellStyle name="Comma [0] 2 4 2" xfId="465" xr:uid="{00000000-0005-0000-0000-0000F9010000}"/>
    <cellStyle name="Comma [0] 2 5" xfId="466" xr:uid="{00000000-0005-0000-0000-0000FA010000}"/>
    <cellStyle name="Comma [0] 2 5 2" xfId="467" xr:uid="{00000000-0005-0000-0000-0000FB010000}"/>
    <cellStyle name="Comma [0] 2 6" xfId="468" xr:uid="{00000000-0005-0000-0000-0000FC010000}"/>
    <cellStyle name="Comma [0] 2 6 2" xfId="469" xr:uid="{00000000-0005-0000-0000-0000FD010000}"/>
    <cellStyle name="Comma [0] 2 7" xfId="470" xr:uid="{00000000-0005-0000-0000-0000FE010000}"/>
    <cellStyle name="Comma [0] 2 7 2" xfId="471" xr:uid="{00000000-0005-0000-0000-0000FF010000}"/>
    <cellStyle name="Comma [0] 2 8" xfId="472" xr:uid="{00000000-0005-0000-0000-000000020000}"/>
    <cellStyle name="Comma [0] 2 8 2" xfId="473" xr:uid="{00000000-0005-0000-0000-000001020000}"/>
    <cellStyle name="Comma [0] 2 9" xfId="474" xr:uid="{00000000-0005-0000-0000-000002020000}"/>
    <cellStyle name="Comma [0] 2 9 2" xfId="475" xr:uid="{00000000-0005-0000-0000-000003020000}"/>
    <cellStyle name="Comma 10 2" xfId="476" xr:uid="{00000000-0005-0000-0000-000004020000}"/>
    <cellStyle name="Comma 10 2 10" xfId="477" xr:uid="{00000000-0005-0000-0000-000005020000}"/>
    <cellStyle name="Comma 10 2 10 2" xfId="478" xr:uid="{00000000-0005-0000-0000-000006020000}"/>
    <cellStyle name="Comma 10 2 11" xfId="479" xr:uid="{00000000-0005-0000-0000-000007020000}"/>
    <cellStyle name="Comma 10 2 11 2" xfId="480" xr:uid="{00000000-0005-0000-0000-000008020000}"/>
    <cellStyle name="Comma 10 2 12" xfId="481" xr:uid="{00000000-0005-0000-0000-000009020000}"/>
    <cellStyle name="Comma 10 2 12 2" xfId="482" xr:uid="{00000000-0005-0000-0000-00000A020000}"/>
    <cellStyle name="Comma 10 2 13" xfId="483" xr:uid="{00000000-0005-0000-0000-00000B020000}"/>
    <cellStyle name="Comma 10 2 13 2" xfId="484" xr:uid="{00000000-0005-0000-0000-00000C020000}"/>
    <cellStyle name="Comma 10 2 14" xfId="485" xr:uid="{00000000-0005-0000-0000-00000D020000}"/>
    <cellStyle name="Comma 10 2 14 2" xfId="486" xr:uid="{00000000-0005-0000-0000-00000E020000}"/>
    <cellStyle name="Comma 10 2 15" xfId="487" xr:uid="{00000000-0005-0000-0000-00000F020000}"/>
    <cellStyle name="Comma 10 2 15 2" xfId="488" xr:uid="{00000000-0005-0000-0000-000010020000}"/>
    <cellStyle name="Comma 10 2 16" xfId="489" xr:uid="{00000000-0005-0000-0000-000011020000}"/>
    <cellStyle name="Comma 10 2 16 2" xfId="490" xr:uid="{00000000-0005-0000-0000-000012020000}"/>
    <cellStyle name="Comma 10 2 17" xfId="491" xr:uid="{00000000-0005-0000-0000-000013020000}"/>
    <cellStyle name="Comma 10 2 17 2" xfId="492" xr:uid="{00000000-0005-0000-0000-000014020000}"/>
    <cellStyle name="Comma 10 2 18" xfId="493" xr:uid="{00000000-0005-0000-0000-000015020000}"/>
    <cellStyle name="Comma 10 2 2" xfId="494" xr:uid="{00000000-0005-0000-0000-000016020000}"/>
    <cellStyle name="Comma 10 2 2 2" xfId="495" xr:uid="{00000000-0005-0000-0000-000017020000}"/>
    <cellStyle name="Comma 10 2 3" xfId="496" xr:uid="{00000000-0005-0000-0000-000018020000}"/>
    <cellStyle name="Comma 10 2 3 2" xfId="497" xr:uid="{00000000-0005-0000-0000-000019020000}"/>
    <cellStyle name="Comma 10 2 4" xfId="498" xr:uid="{00000000-0005-0000-0000-00001A020000}"/>
    <cellStyle name="Comma 10 2 4 2" xfId="499" xr:uid="{00000000-0005-0000-0000-00001B020000}"/>
    <cellStyle name="Comma 10 2 5" xfId="500" xr:uid="{00000000-0005-0000-0000-00001C020000}"/>
    <cellStyle name="Comma 10 2 5 2" xfId="501" xr:uid="{00000000-0005-0000-0000-00001D020000}"/>
    <cellStyle name="Comma 10 2 6" xfId="502" xr:uid="{00000000-0005-0000-0000-00001E020000}"/>
    <cellStyle name="Comma 10 2 6 2" xfId="503" xr:uid="{00000000-0005-0000-0000-00001F020000}"/>
    <cellStyle name="Comma 10 2 7" xfId="504" xr:uid="{00000000-0005-0000-0000-000020020000}"/>
    <cellStyle name="Comma 10 2 7 2" xfId="505" xr:uid="{00000000-0005-0000-0000-000021020000}"/>
    <cellStyle name="Comma 10 2 8" xfId="506" xr:uid="{00000000-0005-0000-0000-000022020000}"/>
    <cellStyle name="Comma 10 2 8 2" xfId="507" xr:uid="{00000000-0005-0000-0000-000023020000}"/>
    <cellStyle name="Comma 10 2 9" xfId="508" xr:uid="{00000000-0005-0000-0000-000024020000}"/>
    <cellStyle name="Comma 10 2 9 2" xfId="509" xr:uid="{00000000-0005-0000-0000-000025020000}"/>
    <cellStyle name="Comma 10 3" xfId="510" xr:uid="{00000000-0005-0000-0000-000026020000}"/>
    <cellStyle name="Comma 10 3 10" xfId="511" xr:uid="{00000000-0005-0000-0000-000027020000}"/>
    <cellStyle name="Comma 10 3 10 2" xfId="512" xr:uid="{00000000-0005-0000-0000-000028020000}"/>
    <cellStyle name="Comma 10 3 11" xfId="513" xr:uid="{00000000-0005-0000-0000-000029020000}"/>
    <cellStyle name="Comma 10 3 11 2" xfId="514" xr:uid="{00000000-0005-0000-0000-00002A020000}"/>
    <cellStyle name="Comma 10 3 12" xfId="515" xr:uid="{00000000-0005-0000-0000-00002B020000}"/>
    <cellStyle name="Comma 10 3 12 2" xfId="516" xr:uid="{00000000-0005-0000-0000-00002C020000}"/>
    <cellStyle name="Comma 10 3 13" xfId="517" xr:uid="{00000000-0005-0000-0000-00002D020000}"/>
    <cellStyle name="Comma 10 3 13 2" xfId="518" xr:uid="{00000000-0005-0000-0000-00002E020000}"/>
    <cellStyle name="Comma 10 3 14" xfId="519" xr:uid="{00000000-0005-0000-0000-00002F020000}"/>
    <cellStyle name="Comma 10 3 14 2" xfId="520" xr:uid="{00000000-0005-0000-0000-000030020000}"/>
    <cellStyle name="Comma 10 3 15" xfId="521" xr:uid="{00000000-0005-0000-0000-000031020000}"/>
    <cellStyle name="Comma 10 3 15 2" xfId="522" xr:uid="{00000000-0005-0000-0000-000032020000}"/>
    <cellStyle name="Comma 10 3 16" xfId="523" xr:uid="{00000000-0005-0000-0000-000033020000}"/>
    <cellStyle name="Comma 10 3 16 2" xfId="524" xr:uid="{00000000-0005-0000-0000-000034020000}"/>
    <cellStyle name="Comma 10 3 17" xfId="525" xr:uid="{00000000-0005-0000-0000-000035020000}"/>
    <cellStyle name="Comma 10 3 17 2" xfId="526" xr:uid="{00000000-0005-0000-0000-000036020000}"/>
    <cellStyle name="Comma 10 3 18" xfId="527" xr:uid="{00000000-0005-0000-0000-000037020000}"/>
    <cellStyle name="Comma 10 3 2" xfId="528" xr:uid="{00000000-0005-0000-0000-000038020000}"/>
    <cellStyle name="Comma 10 3 2 2" xfId="529" xr:uid="{00000000-0005-0000-0000-000039020000}"/>
    <cellStyle name="Comma 10 3 3" xfId="530" xr:uid="{00000000-0005-0000-0000-00003A020000}"/>
    <cellStyle name="Comma 10 3 3 2" xfId="531" xr:uid="{00000000-0005-0000-0000-00003B020000}"/>
    <cellStyle name="Comma 10 3 4" xfId="532" xr:uid="{00000000-0005-0000-0000-00003C020000}"/>
    <cellStyle name="Comma 10 3 4 2" xfId="533" xr:uid="{00000000-0005-0000-0000-00003D020000}"/>
    <cellStyle name="Comma 10 3 5" xfId="534" xr:uid="{00000000-0005-0000-0000-00003E020000}"/>
    <cellStyle name="Comma 10 3 5 2" xfId="535" xr:uid="{00000000-0005-0000-0000-00003F020000}"/>
    <cellStyle name="Comma 10 3 6" xfId="536" xr:uid="{00000000-0005-0000-0000-000040020000}"/>
    <cellStyle name="Comma 10 3 6 2" xfId="537" xr:uid="{00000000-0005-0000-0000-000041020000}"/>
    <cellStyle name="Comma 10 3 7" xfId="538" xr:uid="{00000000-0005-0000-0000-000042020000}"/>
    <cellStyle name="Comma 10 3 7 2" xfId="539" xr:uid="{00000000-0005-0000-0000-000043020000}"/>
    <cellStyle name="Comma 10 3 8" xfId="540" xr:uid="{00000000-0005-0000-0000-000044020000}"/>
    <cellStyle name="Comma 10 3 8 2" xfId="541" xr:uid="{00000000-0005-0000-0000-000045020000}"/>
    <cellStyle name="Comma 10 3 9" xfId="542" xr:uid="{00000000-0005-0000-0000-000046020000}"/>
    <cellStyle name="Comma 10 3 9 2" xfId="543" xr:uid="{00000000-0005-0000-0000-000047020000}"/>
    <cellStyle name="Comma 10 4" xfId="544" xr:uid="{00000000-0005-0000-0000-000048020000}"/>
    <cellStyle name="Comma 10 4 10" xfId="545" xr:uid="{00000000-0005-0000-0000-000049020000}"/>
    <cellStyle name="Comma 10 4 10 2" xfId="546" xr:uid="{00000000-0005-0000-0000-00004A020000}"/>
    <cellStyle name="Comma 10 4 11" xfId="547" xr:uid="{00000000-0005-0000-0000-00004B020000}"/>
    <cellStyle name="Comma 10 4 11 2" xfId="548" xr:uid="{00000000-0005-0000-0000-00004C020000}"/>
    <cellStyle name="Comma 10 4 12" xfId="549" xr:uid="{00000000-0005-0000-0000-00004D020000}"/>
    <cellStyle name="Comma 10 4 12 2" xfId="550" xr:uid="{00000000-0005-0000-0000-00004E020000}"/>
    <cellStyle name="Comma 10 4 13" xfId="551" xr:uid="{00000000-0005-0000-0000-00004F020000}"/>
    <cellStyle name="Comma 10 4 13 2" xfId="552" xr:uid="{00000000-0005-0000-0000-000050020000}"/>
    <cellStyle name="Comma 10 4 14" xfId="553" xr:uid="{00000000-0005-0000-0000-000051020000}"/>
    <cellStyle name="Comma 10 4 14 2" xfId="554" xr:uid="{00000000-0005-0000-0000-000052020000}"/>
    <cellStyle name="Comma 10 4 15" xfId="555" xr:uid="{00000000-0005-0000-0000-000053020000}"/>
    <cellStyle name="Comma 10 4 15 2" xfId="556" xr:uid="{00000000-0005-0000-0000-000054020000}"/>
    <cellStyle name="Comma 10 4 16" xfId="557" xr:uid="{00000000-0005-0000-0000-000055020000}"/>
    <cellStyle name="Comma 10 4 16 2" xfId="558" xr:uid="{00000000-0005-0000-0000-000056020000}"/>
    <cellStyle name="Comma 10 4 17" xfId="559" xr:uid="{00000000-0005-0000-0000-000057020000}"/>
    <cellStyle name="Comma 10 4 17 2" xfId="560" xr:uid="{00000000-0005-0000-0000-000058020000}"/>
    <cellStyle name="Comma 10 4 18" xfId="561" xr:uid="{00000000-0005-0000-0000-000059020000}"/>
    <cellStyle name="Comma 10 4 2" xfId="562" xr:uid="{00000000-0005-0000-0000-00005A020000}"/>
    <cellStyle name="Comma 10 4 2 2" xfId="563" xr:uid="{00000000-0005-0000-0000-00005B020000}"/>
    <cellStyle name="Comma 10 4 3" xfId="564" xr:uid="{00000000-0005-0000-0000-00005C020000}"/>
    <cellStyle name="Comma 10 4 3 2" xfId="565" xr:uid="{00000000-0005-0000-0000-00005D020000}"/>
    <cellStyle name="Comma 10 4 4" xfId="566" xr:uid="{00000000-0005-0000-0000-00005E020000}"/>
    <cellStyle name="Comma 10 4 4 2" xfId="567" xr:uid="{00000000-0005-0000-0000-00005F020000}"/>
    <cellStyle name="Comma 10 4 5" xfId="568" xr:uid="{00000000-0005-0000-0000-000060020000}"/>
    <cellStyle name="Comma 10 4 5 2" xfId="569" xr:uid="{00000000-0005-0000-0000-000061020000}"/>
    <cellStyle name="Comma 10 4 6" xfId="570" xr:uid="{00000000-0005-0000-0000-000062020000}"/>
    <cellStyle name="Comma 10 4 6 2" xfId="571" xr:uid="{00000000-0005-0000-0000-000063020000}"/>
    <cellStyle name="Comma 10 4 7" xfId="572" xr:uid="{00000000-0005-0000-0000-000064020000}"/>
    <cellStyle name="Comma 10 4 7 2" xfId="573" xr:uid="{00000000-0005-0000-0000-000065020000}"/>
    <cellStyle name="Comma 10 4 8" xfId="574" xr:uid="{00000000-0005-0000-0000-000066020000}"/>
    <cellStyle name="Comma 10 4 8 2" xfId="575" xr:uid="{00000000-0005-0000-0000-000067020000}"/>
    <cellStyle name="Comma 10 4 9" xfId="576" xr:uid="{00000000-0005-0000-0000-000068020000}"/>
    <cellStyle name="Comma 10 4 9 2" xfId="577" xr:uid="{00000000-0005-0000-0000-000069020000}"/>
    <cellStyle name="Comma 10 5" xfId="578" xr:uid="{00000000-0005-0000-0000-00006A020000}"/>
    <cellStyle name="Comma 10 5 10" xfId="579" xr:uid="{00000000-0005-0000-0000-00006B020000}"/>
    <cellStyle name="Comma 10 5 10 2" xfId="580" xr:uid="{00000000-0005-0000-0000-00006C020000}"/>
    <cellStyle name="Comma 10 5 11" xfId="581" xr:uid="{00000000-0005-0000-0000-00006D020000}"/>
    <cellStyle name="Comma 10 5 11 2" xfId="582" xr:uid="{00000000-0005-0000-0000-00006E020000}"/>
    <cellStyle name="Comma 10 5 12" xfId="583" xr:uid="{00000000-0005-0000-0000-00006F020000}"/>
    <cellStyle name="Comma 10 5 12 2" xfId="584" xr:uid="{00000000-0005-0000-0000-000070020000}"/>
    <cellStyle name="Comma 10 5 13" xfId="585" xr:uid="{00000000-0005-0000-0000-000071020000}"/>
    <cellStyle name="Comma 10 5 13 2" xfId="586" xr:uid="{00000000-0005-0000-0000-000072020000}"/>
    <cellStyle name="Comma 10 5 14" xfId="587" xr:uid="{00000000-0005-0000-0000-000073020000}"/>
    <cellStyle name="Comma 10 5 14 2" xfId="588" xr:uid="{00000000-0005-0000-0000-000074020000}"/>
    <cellStyle name="Comma 10 5 15" xfId="589" xr:uid="{00000000-0005-0000-0000-000075020000}"/>
    <cellStyle name="Comma 10 5 15 2" xfId="590" xr:uid="{00000000-0005-0000-0000-000076020000}"/>
    <cellStyle name="Comma 10 5 16" xfId="591" xr:uid="{00000000-0005-0000-0000-000077020000}"/>
    <cellStyle name="Comma 10 5 16 2" xfId="592" xr:uid="{00000000-0005-0000-0000-000078020000}"/>
    <cellStyle name="Comma 10 5 17" xfId="593" xr:uid="{00000000-0005-0000-0000-000079020000}"/>
    <cellStyle name="Comma 10 5 17 2" xfId="594" xr:uid="{00000000-0005-0000-0000-00007A020000}"/>
    <cellStyle name="Comma 10 5 18" xfId="595" xr:uid="{00000000-0005-0000-0000-00007B020000}"/>
    <cellStyle name="Comma 10 5 2" xfId="596" xr:uid="{00000000-0005-0000-0000-00007C020000}"/>
    <cellStyle name="Comma 10 5 2 2" xfId="597" xr:uid="{00000000-0005-0000-0000-00007D020000}"/>
    <cellStyle name="Comma 10 5 3" xfId="598" xr:uid="{00000000-0005-0000-0000-00007E020000}"/>
    <cellStyle name="Comma 10 5 3 2" xfId="599" xr:uid="{00000000-0005-0000-0000-00007F020000}"/>
    <cellStyle name="Comma 10 5 4" xfId="600" xr:uid="{00000000-0005-0000-0000-000080020000}"/>
    <cellStyle name="Comma 10 5 4 2" xfId="601" xr:uid="{00000000-0005-0000-0000-000081020000}"/>
    <cellStyle name="Comma 10 5 5" xfId="602" xr:uid="{00000000-0005-0000-0000-000082020000}"/>
    <cellStyle name="Comma 10 5 5 2" xfId="603" xr:uid="{00000000-0005-0000-0000-000083020000}"/>
    <cellStyle name="Comma 10 5 6" xfId="604" xr:uid="{00000000-0005-0000-0000-000084020000}"/>
    <cellStyle name="Comma 10 5 6 2" xfId="605" xr:uid="{00000000-0005-0000-0000-000085020000}"/>
    <cellStyle name="Comma 10 5 7" xfId="606" xr:uid="{00000000-0005-0000-0000-000086020000}"/>
    <cellStyle name="Comma 10 5 7 2" xfId="607" xr:uid="{00000000-0005-0000-0000-000087020000}"/>
    <cellStyle name="Comma 10 5 8" xfId="608" xr:uid="{00000000-0005-0000-0000-000088020000}"/>
    <cellStyle name="Comma 10 5 8 2" xfId="609" xr:uid="{00000000-0005-0000-0000-000089020000}"/>
    <cellStyle name="Comma 10 5 9" xfId="610" xr:uid="{00000000-0005-0000-0000-00008A020000}"/>
    <cellStyle name="Comma 10 5 9 2" xfId="611" xr:uid="{00000000-0005-0000-0000-00008B020000}"/>
    <cellStyle name="Comma 10 6" xfId="612" xr:uid="{00000000-0005-0000-0000-00008C020000}"/>
    <cellStyle name="Comma 10 6 10" xfId="613" xr:uid="{00000000-0005-0000-0000-00008D020000}"/>
    <cellStyle name="Comma 10 6 10 2" xfId="614" xr:uid="{00000000-0005-0000-0000-00008E020000}"/>
    <cellStyle name="Comma 10 6 11" xfId="615" xr:uid="{00000000-0005-0000-0000-00008F020000}"/>
    <cellStyle name="Comma 10 6 11 2" xfId="616" xr:uid="{00000000-0005-0000-0000-000090020000}"/>
    <cellStyle name="Comma 10 6 12" xfId="617" xr:uid="{00000000-0005-0000-0000-000091020000}"/>
    <cellStyle name="Comma 10 6 12 2" xfId="618" xr:uid="{00000000-0005-0000-0000-000092020000}"/>
    <cellStyle name="Comma 10 6 13" xfId="619" xr:uid="{00000000-0005-0000-0000-000093020000}"/>
    <cellStyle name="Comma 10 6 13 2" xfId="620" xr:uid="{00000000-0005-0000-0000-000094020000}"/>
    <cellStyle name="Comma 10 6 14" xfId="621" xr:uid="{00000000-0005-0000-0000-000095020000}"/>
    <cellStyle name="Comma 10 6 14 2" xfId="622" xr:uid="{00000000-0005-0000-0000-000096020000}"/>
    <cellStyle name="Comma 10 6 15" xfId="623" xr:uid="{00000000-0005-0000-0000-000097020000}"/>
    <cellStyle name="Comma 10 6 15 2" xfId="624" xr:uid="{00000000-0005-0000-0000-000098020000}"/>
    <cellStyle name="Comma 10 6 16" xfId="625" xr:uid="{00000000-0005-0000-0000-000099020000}"/>
    <cellStyle name="Comma 10 6 16 2" xfId="626" xr:uid="{00000000-0005-0000-0000-00009A020000}"/>
    <cellStyle name="Comma 10 6 17" xfId="627" xr:uid="{00000000-0005-0000-0000-00009B020000}"/>
    <cellStyle name="Comma 10 6 17 2" xfId="628" xr:uid="{00000000-0005-0000-0000-00009C020000}"/>
    <cellStyle name="Comma 10 6 18" xfId="629" xr:uid="{00000000-0005-0000-0000-00009D020000}"/>
    <cellStyle name="Comma 10 6 2" xfId="630" xr:uid="{00000000-0005-0000-0000-00009E020000}"/>
    <cellStyle name="Comma 10 6 2 2" xfId="631" xr:uid="{00000000-0005-0000-0000-00009F020000}"/>
    <cellStyle name="Comma 10 6 3" xfId="632" xr:uid="{00000000-0005-0000-0000-0000A0020000}"/>
    <cellStyle name="Comma 10 6 3 2" xfId="633" xr:uid="{00000000-0005-0000-0000-0000A1020000}"/>
    <cellStyle name="Comma 10 6 4" xfId="634" xr:uid="{00000000-0005-0000-0000-0000A2020000}"/>
    <cellStyle name="Comma 10 6 4 2" xfId="635" xr:uid="{00000000-0005-0000-0000-0000A3020000}"/>
    <cellStyle name="Comma 10 6 5" xfId="636" xr:uid="{00000000-0005-0000-0000-0000A4020000}"/>
    <cellStyle name="Comma 10 6 5 2" xfId="637" xr:uid="{00000000-0005-0000-0000-0000A5020000}"/>
    <cellStyle name="Comma 10 6 6" xfId="638" xr:uid="{00000000-0005-0000-0000-0000A6020000}"/>
    <cellStyle name="Comma 10 6 6 2" xfId="639" xr:uid="{00000000-0005-0000-0000-0000A7020000}"/>
    <cellStyle name="Comma 10 6 7" xfId="640" xr:uid="{00000000-0005-0000-0000-0000A8020000}"/>
    <cellStyle name="Comma 10 6 7 2" xfId="641" xr:uid="{00000000-0005-0000-0000-0000A9020000}"/>
    <cellStyle name="Comma 10 6 8" xfId="642" xr:uid="{00000000-0005-0000-0000-0000AA020000}"/>
    <cellStyle name="Comma 10 6 8 2" xfId="643" xr:uid="{00000000-0005-0000-0000-0000AB020000}"/>
    <cellStyle name="Comma 10 6 9" xfId="644" xr:uid="{00000000-0005-0000-0000-0000AC020000}"/>
    <cellStyle name="Comma 10 6 9 2" xfId="645" xr:uid="{00000000-0005-0000-0000-0000AD020000}"/>
    <cellStyle name="Comma 10 7" xfId="646" xr:uid="{00000000-0005-0000-0000-0000AE020000}"/>
    <cellStyle name="Comma 10 7 10" xfId="647" xr:uid="{00000000-0005-0000-0000-0000AF020000}"/>
    <cellStyle name="Comma 10 7 10 2" xfId="648" xr:uid="{00000000-0005-0000-0000-0000B0020000}"/>
    <cellStyle name="Comma 10 7 11" xfId="649" xr:uid="{00000000-0005-0000-0000-0000B1020000}"/>
    <cellStyle name="Comma 10 7 11 2" xfId="650" xr:uid="{00000000-0005-0000-0000-0000B2020000}"/>
    <cellStyle name="Comma 10 7 12" xfId="651" xr:uid="{00000000-0005-0000-0000-0000B3020000}"/>
    <cellStyle name="Comma 10 7 12 2" xfId="652" xr:uid="{00000000-0005-0000-0000-0000B4020000}"/>
    <cellStyle name="Comma 10 7 13" xfId="653" xr:uid="{00000000-0005-0000-0000-0000B5020000}"/>
    <cellStyle name="Comma 10 7 13 2" xfId="654" xr:uid="{00000000-0005-0000-0000-0000B6020000}"/>
    <cellStyle name="Comma 10 7 14" xfId="655" xr:uid="{00000000-0005-0000-0000-0000B7020000}"/>
    <cellStyle name="Comma 10 7 14 2" xfId="656" xr:uid="{00000000-0005-0000-0000-0000B8020000}"/>
    <cellStyle name="Comma 10 7 15" xfId="657" xr:uid="{00000000-0005-0000-0000-0000B9020000}"/>
    <cellStyle name="Comma 10 7 15 2" xfId="658" xr:uid="{00000000-0005-0000-0000-0000BA020000}"/>
    <cellStyle name="Comma 10 7 16" xfId="659" xr:uid="{00000000-0005-0000-0000-0000BB020000}"/>
    <cellStyle name="Comma 10 7 16 2" xfId="660" xr:uid="{00000000-0005-0000-0000-0000BC020000}"/>
    <cellStyle name="Comma 10 7 17" xfId="661" xr:uid="{00000000-0005-0000-0000-0000BD020000}"/>
    <cellStyle name="Comma 10 7 17 2" xfId="662" xr:uid="{00000000-0005-0000-0000-0000BE020000}"/>
    <cellStyle name="Comma 10 7 18" xfId="663" xr:uid="{00000000-0005-0000-0000-0000BF020000}"/>
    <cellStyle name="Comma 10 7 2" xfId="664" xr:uid="{00000000-0005-0000-0000-0000C0020000}"/>
    <cellStyle name="Comma 10 7 2 2" xfId="665" xr:uid="{00000000-0005-0000-0000-0000C1020000}"/>
    <cellStyle name="Comma 10 7 3" xfId="666" xr:uid="{00000000-0005-0000-0000-0000C2020000}"/>
    <cellStyle name="Comma 10 7 3 2" xfId="667" xr:uid="{00000000-0005-0000-0000-0000C3020000}"/>
    <cellStyle name="Comma 10 7 4" xfId="668" xr:uid="{00000000-0005-0000-0000-0000C4020000}"/>
    <cellStyle name="Comma 10 7 4 2" xfId="669" xr:uid="{00000000-0005-0000-0000-0000C5020000}"/>
    <cellStyle name="Comma 10 7 5" xfId="670" xr:uid="{00000000-0005-0000-0000-0000C6020000}"/>
    <cellStyle name="Comma 10 7 5 2" xfId="671" xr:uid="{00000000-0005-0000-0000-0000C7020000}"/>
    <cellStyle name="Comma 10 7 6" xfId="672" xr:uid="{00000000-0005-0000-0000-0000C8020000}"/>
    <cellStyle name="Comma 10 7 6 2" xfId="673" xr:uid="{00000000-0005-0000-0000-0000C9020000}"/>
    <cellStyle name="Comma 10 7 7" xfId="674" xr:uid="{00000000-0005-0000-0000-0000CA020000}"/>
    <cellStyle name="Comma 10 7 7 2" xfId="675" xr:uid="{00000000-0005-0000-0000-0000CB020000}"/>
    <cellStyle name="Comma 10 7 8" xfId="676" xr:uid="{00000000-0005-0000-0000-0000CC020000}"/>
    <cellStyle name="Comma 10 7 8 2" xfId="677" xr:uid="{00000000-0005-0000-0000-0000CD020000}"/>
    <cellStyle name="Comma 10 7 9" xfId="678" xr:uid="{00000000-0005-0000-0000-0000CE020000}"/>
    <cellStyle name="Comma 10 7 9 2" xfId="679" xr:uid="{00000000-0005-0000-0000-0000CF020000}"/>
    <cellStyle name="Comma 10 8" xfId="680" xr:uid="{00000000-0005-0000-0000-0000D0020000}"/>
    <cellStyle name="Comma 10 8 10" xfId="681" xr:uid="{00000000-0005-0000-0000-0000D1020000}"/>
    <cellStyle name="Comma 10 8 10 2" xfId="682" xr:uid="{00000000-0005-0000-0000-0000D2020000}"/>
    <cellStyle name="Comma 10 8 11" xfId="683" xr:uid="{00000000-0005-0000-0000-0000D3020000}"/>
    <cellStyle name="Comma 10 8 11 2" xfId="684" xr:uid="{00000000-0005-0000-0000-0000D4020000}"/>
    <cellStyle name="Comma 10 8 12" xfId="685" xr:uid="{00000000-0005-0000-0000-0000D5020000}"/>
    <cellStyle name="Comma 10 8 12 2" xfId="686" xr:uid="{00000000-0005-0000-0000-0000D6020000}"/>
    <cellStyle name="Comma 10 8 13" xfId="687" xr:uid="{00000000-0005-0000-0000-0000D7020000}"/>
    <cellStyle name="Comma 10 8 13 2" xfId="688" xr:uid="{00000000-0005-0000-0000-0000D8020000}"/>
    <cellStyle name="Comma 10 8 14" xfId="689" xr:uid="{00000000-0005-0000-0000-0000D9020000}"/>
    <cellStyle name="Comma 10 8 14 2" xfId="690" xr:uid="{00000000-0005-0000-0000-0000DA020000}"/>
    <cellStyle name="Comma 10 8 15" xfId="691" xr:uid="{00000000-0005-0000-0000-0000DB020000}"/>
    <cellStyle name="Comma 10 8 15 2" xfId="692" xr:uid="{00000000-0005-0000-0000-0000DC020000}"/>
    <cellStyle name="Comma 10 8 16" xfId="693" xr:uid="{00000000-0005-0000-0000-0000DD020000}"/>
    <cellStyle name="Comma 10 8 16 2" xfId="694" xr:uid="{00000000-0005-0000-0000-0000DE020000}"/>
    <cellStyle name="Comma 10 8 17" xfId="695" xr:uid="{00000000-0005-0000-0000-0000DF020000}"/>
    <cellStyle name="Comma 10 8 17 2" xfId="696" xr:uid="{00000000-0005-0000-0000-0000E0020000}"/>
    <cellStyle name="Comma 10 8 18" xfId="697" xr:uid="{00000000-0005-0000-0000-0000E1020000}"/>
    <cellStyle name="Comma 10 8 2" xfId="698" xr:uid="{00000000-0005-0000-0000-0000E2020000}"/>
    <cellStyle name="Comma 10 8 2 2" xfId="699" xr:uid="{00000000-0005-0000-0000-0000E3020000}"/>
    <cellStyle name="Comma 10 8 3" xfId="700" xr:uid="{00000000-0005-0000-0000-0000E4020000}"/>
    <cellStyle name="Comma 10 8 3 2" xfId="701" xr:uid="{00000000-0005-0000-0000-0000E5020000}"/>
    <cellStyle name="Comma 10 8 4" xfId="702" xr:uid="{00000000-0005-0000-0000-0000E6020000}"/>
    <cellStyle name="Comma 10 8 4 2" xfId="703" xr:uid="{00000000-0005-0000-0000-0000E7020000}"/>
    <cellStyle name="Comma 10 8 5" xfId="704" xr:uid="{00000000-0005-0000-0000-0000E8020000}"/>
    <cellStyle name="Comma 10 8 5 2" xfId="705" xr:uid="{00000000-0005-0000-0000-0000E9020000}"/>
    <cellStyle name="Comma 10 8 6" xfId="706" xr:uid="{00000000-0005-0000-0000-0000EA020000}"/>
    <cellStyle name="Comma 10 8 6 2" xfId="707" xr:uid="{00000000-0005-0000-0000-0000EB020000}"/>
    <cellStyle name="Comma 10 8 7" xfId="708" xr:uid="{00000000-0005-0000-0000-0000EC020000}"/>
    <cellStyle name="Comma 10 8 7 2" xfId="709" xr:uid="{00000000-0005-0000-0000-0000ED020000}"/>
    <cellStyle name="Comma 10 8 8" xfId="710" xr:uid="{00000000-0005-0000-0000-0000EE020000}"/>
    <cellStyle name="Comma 10 8 8 2" xfId="711" xr:uid="{00000000-0005-0000-0000-0000EF020000}"/>
    <cellStyle name="Comma 10 8 9" xfId="712" xr:uid="{00000000-0005-0000-0000-0000F0020000}"/>
    <cellStyle name="Comma 10 8 9 2" xfId="713" xr:uid="{00000000-0005-0000-0000-0000F1020000}"/>
    <cellStyle name="Comma 2" xfId="714" xr:uid="{00000000-0005-0000-0000-0000F2020000}"/>
    <cellStyle name="Comma 2 10" xfId="715" xr:uid="{00000000-0005-0000-0000-0000F3020000}"/>
    <cellStyle name="Comma 2 10 2" xfId="716" xr:uid="{00000000-0005-0000-0000-0000F4020000}"/>
    <cellStyle name="Comma 2 11" xfId="717" xr:uid="{00000000-0005-0000-0000-0000F5020000}"/>
    <cellStyle name="Comma 2 11 2" xfId="718" xr:uid="{00000000-0005-0000-0000-0000F6020000}"/>
    <cellStyle name="Comma 2 12" xfId="719" xr:uid="{00000000-0005-0000-0000-0000F7020000}"/>
    <cellStyle name="Comma 2 12 2" xfId="720" xr:uid="{00000000-0005-0000-0000-0000F8020000}"/>
    <cellStyle name="Comma 2 13" xfId="721" xr:uid="{00000000-0005-0000-0000-0000F9020000}"/>
    <cellStyle name="Comma 2 13 2" xfId="722" xr:uid="{00000000-0005-0000-0000-0000FA020000}"/>
    <cellStyle name="Comma 2 14" xfId="723" xr:uid="{00000000-0005-0000-0000-0000FB020000}"/>
    <cellStyle name="Comma 2 14 2" xfId="724" xr:uid="{00000000-0005-0000-0000-0000FC020000}"/>
    <cellStyle name="Comma 2 15" xfId="725" xr:uid="{00000000-0005-0000-0000-0000FD020000}"/>
    <cellStyle name="Comma 2 15 2" xfId="726" xr:uid="{00000000-0005-0000-0000-0000FE020000}"/>
    <cellStyle name="Comma 2 16" xfId="727" xr:uid="{00000000-0005-0000-0000-0000FF020000}"/>
    <cellStyle name="Comma 2 16 2" xfId="728" xr:uid="{00000000-0005-0000-0000-000000030000}"/>
    <cellStyle name="Comma 2 17" xfId="729" xr:uid="{00000000-0005-0000-0000-000001030000}"/>
    <cellStyle name="Comma 2 17 2" xfId="730" xr:uid="{00000000-0005-0000-0000-000002030000}"/>
    <cellStyle name="Comma 2 17 3" xfId="731" xr:uid="{00000000-0005-0000-0000-000003030000}"/>
    <cellStyle name="Comma 2 18" xfId="732" xr:uid="{00000000-0005-0000-0000-000004030000}"/>
    <cellStyle name="Comma 2 2" xfId="733" xr:uid="{00000000-0005-0000-0000-000005030000}"/>
    <cellStyle name="Comma 2 2 2" xfId="734" xr:uid="{00000000-0005-0000-0000-000006030000}"/>
    <cellStyle name="Comma 2 2 3" xfId="735" xr:uid="{00000000-0005-0000-0000-000007030000}"/>
    <cellStyle name="Comma 2 3" xfId="736" xr:uid="{00000000-0005-0000-0000-000008030000}"/>
    <cellStyle name="Comma 2 3 2" xfId="737" xr:uid="{00000000-0005-0000-0000-000009030000}"/>
    <cellStyle name="Comma 2 4" xfId="738" xr:uid="{00000000-0005-0000-0000-00000A030000}"/>
    <cellStyle name="Comma 2 4 2" xfId="739" xr:uid="{00000000-0005-0000-0000-00000B030000}"/>
    <cellStyle name="Comma 2 5" xfId="740" xr:uid="{00000000-0005-0000-0000-00000C030000}"/>
    <cellStyle name="Comma 2 5 2" xfId="741" xr:uid="{00000000-0005-0000-0000-00000D030000}"/>
    <cellStyle name="Comma 2 6" xfId="742" xr:uid="{00000000-0005-0000-0000-00000E030000}"/>
    <cellStyle name="Comma 2 6 2" xfId="743" xr:uid="{00000000-0005-0000-0000-00000F030000}"/>
    <cellStyle name="Comma 2 7" xfId="744" xr:uid="{00000000-0005-0000-0000-000010030000}"/>
    <cellStyle name="Comma 2 7 2" xfId="745" xr:uid="{00000000-0005-0000-0000-000011030000}"/>
    <cellStyle name="Comma 2 8" xfId="746" xr:uid="{00000000-0005-0000-0000-000012030000}"/>
    <cellStyle name="Comma 2 8 2" xfId="747" xr:uid="{00000000-0005-0000-0000-000013030000}"/>
    <cellStyle name="Comma 2 9" xfId="748" xr:uid="{00000000-0005-0000-0000-000014030000}"/>
    <cellStyle name="Comma 2 9 2" xfId="749" xr:uid="{00000000-0005-0000-0000-000015030000}"/>
    <cellStyle name="Comma 3" xfId="750" xr:uid="{00000000-0005-0000-0000-000016030000}"/>
    <cellStyle name="Comma 3 2" xfId="751" xr:uid="{00000000-0005-0000-0000-000017030000}"/>
    <cellStyle name="Comma 3 2 2" xfId="752" xr:uid="{00000000-0005-0000-0000-000018030000}"/>
    <cellStyle name="Comma 3 3" xfId="753" xr:uid="{00000000-0005-0000-0000-000019030000}"/>
    <cellStyle name="Comma 3 3 2" xfId="754" xr:uid="{00000000-0005-0000-0000-00001A030000}"/>
    <cellStyle name="Comma 3 4" xfId="755" xr:uid="{00000000-0005-0000-0000-00001B030000}"/>
    <cellStyle name="Comma 3 4 2" xfId="756" xr:uid="{00000000-0005-0000-0000-00001C030000}"/>
    <cellStyle name="Comma 3 5" xfId="757" xr:uid="{00000000-0005-0000-0000-00001D030000}"/>
    <cellStyle name="Comma 3 5 2" xfId="758" xr:uid="{00000000-0005-0000-0000-00001E030000}"/>
    <cellStyle name="Comma 3 6" xfId="759" xr:uid="{00000000-0005-0000-0000-00001F030000}"/>
    <cellStyle name="Comma 3 6 2" xfId="760" xr:uid="{00000000-0005-0000-0000-000020030000}"/>
    <cellStyle name="Comma 3 7" xfId="761" xr:uid="{00000000-0005-0000-0000-000021030000}"/>
    <cellStyle name="Comma 3 7 2" xfId="762" xr:uid="{00000000-0005-0000-0000-000022030000}"/>
    <cellStyle name="Comma 3 8" xfId="763" xr:uid="{00000000-0005-0000-0000-000023030000}"/>
    <cellStyle name="Comma 3 8 2" xfId="764" xr:uid="{00000000-0005-0000-0000-000024030000}"/>
    <cellStyle name="Comma 3 9" xfId="765" xr:uid="{00000000-0005-0000-0000-000025030000}"/>
    <cellStyle name="Comma 4" xfId="766" xr:uid="{00000000-0005-0000-0000-000026030000}"/>
    <cellStyle name="Comma 4 2" xfId="767" xr:uid="{00000000-0005-0000-0000-000027030000}"/>
    <cellStyle name="Comma 4 2 2" xfId="768" xr:uid="{00000000-0005-0000-0000-000028030000}"/>
    <cellStyle name="Comma 4 3" xfId="769" xr:uid="{00000000-0005-0000-0000-000029030000}"/>
    <cellStyle name="Comma 4 3 2" xfId="770" xr:uid="{00000000-0005-0000-0000-00002A030000}"/>
    <cellStyle name="Comma 4 4" xfId="771" xr:uid="{00000000-0005-0000-0000-00002B030000}"/>
    <cellStyle name="Comma 4 4 2" xfId="772" xr:uid="{00000000-0005-0000-0000-00002C030000}"/>
    <cellStyle name="Comma 4 5" xfId="773" xr:uid="{00000000-0005-0000-0000-00002D030000}"/>
    <cellStyle name="Comma 4 5 2" xfId="774" xr:uid="{00000000-0005-0000-0000-00002E030000}"/>
    <cellStyle name="Comma 4 6" xfId="775" xr:uid="{00000000-0005-0000-0000-00002F030000}"/>
    <cellStyle name="Comma 4 6 2" xfId="776" xr:uid="{00000000-0005-0000-0000-000030030000}"/>
    <cellStyle name="Comma 4 7" xfId="777" xr:uid="{00000000-0005-0000-0000-000031030000}"/>
    <cellStyle name="Comma 4 7 2" xfId="778" xr:uid="{00000000-0005-0000-0000-000032030000}"/>
    <cellStyle name="Comma 4 8" xfId="779" xr:uid="{00000000-0005-0000-0000-000033030000}"/>
    <cellStyle name="Comma 4 8 2" xfId="780" xr:uid="{00000000-0005-0000-0000-000034030000}"/>
    <cellStyle name="Comma 4 9" xfId="781" xr:uid="{00000000-0005-0000-0000-000035030000}"/>
    <cellStyle name="Comma 5" xfId="782" xr:uid="{00000000-0005-0000-0000-000036030000}"/>
    <cellStyle name="Comma 5 2" xfId="783" xr:uid="{00000000-0005-0000-0000-000037030000}"/>
    <cellStyle name="Comma 5 2 2" xfId="784" xr:uid="{00000000-0005-0000-0000-000038030000}"/>
    <cellStyle name="Comma 5 3" xfId="785" xr:uid="{00000000-0005-0000-0000-000039030000}"/>
    <cellStyle name="Comma 5 3 2" xfId="786" xr:uid="{00000000-0005-0000-0000-00003A030000}"/>
    <cellStyle name="Comma 5 4" xfId="787" xr:uid="{00000000-0005-0000-0000-00003B030000}"/>
    <cellStyle name="Comma 5 4 2" xfId="788" xr:uid="{00000000-0005-0000-0000-00003C030000}"/>
    <cellStyle name="Comma 5 5" xfId="789" xr:uid="{00000000-0005-0000-0000-00003D030000}"/>
    <cellStyle name="Comma 5 5 2" xfId="790" xr:uid="{00000000-0005-0000-0000-00003E030000}"/>
    <cellStyle name="Comma 5 6" xfId="791" xr:uid="{00000000-0005-0000-0000-00003F030000}"/>
    <cellStyle name="Comma 5 6 2" xfId="792" xr:uid="{00000000-0005-0000-0000-000040030000}"/>
    <cellStyle name="Comma 5 7" xfId="793" xr:uid="{00000000-0005-0000-0000-000041030000}"/>
    <cellStyle name="Comma 5 7 2" xfId="794" xr:uid="{00000000-0005-0000-0000-000042030000}"/>
    <cellStyle name="Comma 5 8" xfId="795" xr:uid="{00000000-0005-0000-0000-000043030000}"/>
    <cellStyle name="Comma 5 8 2" xfId="796" xr:uid="{00000000-0005-0000-0000-000044030000}"/>
    <cellStyle name="Comma 5 9" xfId="797" xr:uid="{00000000-0005-0000-0000-000045030000}"/>
    <cellStyle name="Comma 6" xfId="798" xr:uid="{00000000-0005-0000-0000-000046030000}"/>
    <cellStyle name="Comma 6 2" xfId="799" xr:uid="{00000000-0005-0000-0000-000047030000}"/>
    <cellStyle name="Comma 6 2 2" xfId="800" xr:uid="{00000000-0005-0000-0000-000048030000}"/>
    <cellStyle name="Comma 6 3" xfId="801" xr:uid="{00000000-0005-0000-0000-000049030000}"/>
    <cellStyle name="Comma 6 3 2" xfId="802" xr:uid="{00000000-0005-0000-0000-00004A030000}"/>
    <cellStyle name="Comma 6 4" xfId="803" xr:uid="{00000000-0005-0000-0000-00004B030000}"/>
    <cellStyle name="Comma 6 4 2" xfId="804" xr:uid="{00000000-0005-0000-0000-00004C030000}"/>
    <cellStyle name="Comma 6 5" xfId="805" xr:uid="{00000000-0005-0000-0000-00004D030000}"/>
    <cellStyle name="Comma 6 5 2" xfId="806" xr:uid="{00000000-0005-0000-0000-00004E030000}"/>
    <cellStyle name="Comma 6 6" xfId="807" xr:uid="{00000000-0005-0000-0000-00004F030000}"/>
    <cellStyle name="Comma 6 6 2" xfId="808" xr:uid="{00000000-0005-0000-0000-000050030000}"/>
    <cellStyle name="Comma 6 7" xfId="809" xr:uid="{00000000-0005-0000-0000-000051030000}"/>
    <cellStyle name="Comma 6 7 2" xfId="810" xr:uid="{00000000-0005-0000-0000-000052030000}"/>
    <cellStyle name="Comma 6 8" xfId="811" xr:uid="{00000000-0005-0000-0000-000053030000}"/>
    <cellStyle name="Comma 6 8 2" xfId="812" xr:uid="{00000000-0005-0000-0000-000054030000}"/>
    <cellStyle name="Comma 6 9" xfId="813" xr:uid="{00000000-0005-0000-0000-000055030000}"/>
    <cellStyle name="Comma 7" xfId="814" xr:uid="{00000000-0005-0000-0000-000056030000}"/>
    <cellStyle name="Comma 7 10" xfId="815" xr:uid="{00000000-0005-0000-0000-000057030000}"/>
    <cellStyle name="Comma 7 10 2" xfId="816" xr:uid="{00000000-0005-0000-0000-000058030000}"/>
    <cellStyle name="Comma 7 11" xfId="817" xr:uid="{00000000-0005-0000-0000-000059030000}"/>
    <cellStyle name="Comma 7 11 2" xfId="818" xr:uid="{00000000-0005-0000-0000-00005A030000}"/>
    <cellStyle name="Comma 7 11 2 2" xfId="819" xr:uid="{00000000-0005-0000-0000-00005B030000}"/>
    <cellStyle name="Comma 7 11 2 3" xfId="820" xr:uid="{00000000-0005-0000-0000-00005C030000}"/>
    <cellStyle name="Comma 7 12" xfId="821" xr:uid="{00000000-0005-0000-0000-00005D030000}"/>
    <cellStyle name="Comma 7 12 2" xfId="822" xr:uid="{00000000-0005-0000-0000-00005E030000}"/>
    <cellStyle name="Comma 7 13" xfId="823" xr:uid="{00000000-0005-0000-0000-00005F030000}"/>
    <cellStyle name="Comma 7 13 2" xfId="824" xr:uid="{00000000-0005-0000-0000-000060030000}"/>
    <cellStyle name="Comma 7 14" xfId="825" xr:uid="{00000000-0005-0000-0000-000061030000}"/>
    <cellStyle name="Comma 7 14 2" xfId="826" xr:uid="{00000000-0005-0000-0000-000062030000}"/>
    <cellStyle name="Comma 7 15" xfId="827" xr:uid="{00000000-0005-0000-0000-000063030000}"/>
    <cellStyle name="Comma 7 15 2" xfId="828" xr:uid="{00000000-0005-0000-0000-000064030000}"/>
    <cellStyle name="Comma 7 16" xfId="829" xr:uid="{00000000-0005-0000-0000-000065030000}"/>
    <cellStyle name="Comma 7 16 2" xfId="830" xr:uid="{00000000-0005-0000-0000-000066030000}"/>
    <cellStyle name="Comma 7 16 2 2" xfId="831" xr:uid="{00000000-0005-0000-0000-000067030000}"/>
    <cellStyle name="Comma 7 16 2 3" xfId="832" xr:uid="{00000000-0005-0000-0000-000068030000}"/>
    <cellStyle name="Comma 7 17" xfId="833" xr:uid="{00000000-0005-0000-0000-000069030000}"/>
    <cellStyle name="Comma 7 17 2" xfId="834" xr:uid="{00000000-0005-0000-0000-00006A030000}"/>
    <cellStyle name="Comma 7 17 2 2" xfId="835" xr:uid="{00000000-0005-0000-0000-00006B030000}"/>
    <cellStyle name="Comma 7 17 2 3" xfId="836" xr:uid="{00000000-0005-0000-0000-00006C030000}"/>
    <cellStyle name="Comma 7 18" xfId="837" xr:uid="{00000000-0005-0000-0000-00006D030000}"/>
    <cellStyle name="Comma 7 18 2" xfId="838" xr:uid="{00000000-0005-0000-0000-00006E030000}"/>
    <cellStyle name="Comma 7 18 2 2" xfId="839" xr:uid="{00000000-0005-0000-0000-00006F030000}"/>
    <cellStyle name="Comma 7 18 2 3" xfId="840" xr:uid="{00000000-0005-0000-0000-000070030000}"/>
    <cellStyle name="Comma 7 19" xfId="841" xr:uid="{00000000-0005-0000-0000-000071030000}"/>
    <cellStyle name="Comma 7 19 2" xfId="842" xr:uid="{00000000-0005-0000-0000-000072030000}"/>
    <cellStyle name="Comma 7 19 2 2" xfId="843" xr:uid="{00000000-0005-0000-0000-000073030000}"/>
    <cellStyle name="Comma 7 19 2 3" xfId="844" xr:uid="{00000000-0005-0000-0000-000074030000}"/>
    <cellStyle name="Comma 7 2" xfId="845" xr:uid="{00000000-0005-0000-0000-000075030000}"/>
    <cellStyle name="Comma 7 2 2" xfId="846" xr:uid="{00000000-0005-0000-0000-000076030000}"/>
    <cellStyle name="Comma 7 20" xfId="847" xr:uid="{00000000-0005-0000-0000-000077030000}"/>
    <cellStyle name="Comma 7 20 2" xfId="848" xr:uid="{00000000-0005-0000-0000-000078030000}"/>
    <cellStyle name="Comma 7 20 2 2" xfId="849" xr:uid="{00000000-0005-0000-0000-000079030000}"/>
    <cellStyle name="Comma 7 20 2 3" xfId="850" xr:uid="{00000000-0005-0000-0000-00007A030000}"/>
    <cellStyle name="Comma 7 21" xfId="851" xr:uid="{00000000-0005-0000-0000-00007B030000}"/>
    <cellStyle name="Comma 7 21 2" xfId="852" xr:uid="{00000000-0005-0000-0000-00007C030000}"/>
    <cellStyle name="Comma 7 21 2 2" xfId="853" xr:uid="{00000000-0005-0000-0000-00007D030000}"/>
    <cellStyle name="Comma 7 21 2 3" xfId="854" xr:uid="{00000000-0005-0000-0000-00007E030000}"/>
    <cellStyle name="Comma 7 3" xfId="855" xr:uid="{00000000-0005-0000-0000-00007F030000}"/>
    <cellStyle name="Comma 7 3 10" xfId="856" xr:uid="{00000000-0005-0000-0000-000080030000}"/>
    <cellStyle name="Comma 7 3 10 2" xfId="857" xr:uid="{00000000-0005-0000-0000-000081030000}"/>
    <cellStyle name="Comma 7 3 11" xfId="858" xr:uid="{00000000-0005-0000-0000-000082030000}"/>
    <cellStyle name="Comma 7 3 11 2" xfId="859" xr:uid="{00000000-0005-0000-0000-000083030000}"/>
    <cellStyle name="Comma 7 3 12" xfId="860" xr:uid="{00000000-0005-0000-0000-000084030000}"/>
    <cellStyle name="Comma 7 3 12 2" xfId="861" xr:uid="{00000000-0005-0000-0000-000085030000}"/>
    <cellStyle name="Comma 7 3 13" xfId="862" xr:uid="{00000000-0005-0000-0000-000086030000}"/>
    <cellStyle name="Comma 7 3 13 2" xfId="863" xr:uid="{00000000-0005-0000-0000-000087030000}"/>
    <cellStyle name="Comma 7 3 14" xfId="864" xr:uid="{00000000-0005-0000-0000-000088030000}"/>
    <cellStyle name="Comma 7 3 14 2" xfId="865" xr:uid="{00000000-0005-0000-0000-000089030000}"/>
    <cellStyle name="Comma 7 3 15" xfId="866" xr:uid="{00000000-0005-0000-0000-00008A030000}"/>
    <cellStyle name="Comma 7 3 15 2" xfId="867" xr:uid="{00000000-0005-0000-0000-00008B030000}"/>
    <cellStyle name="Comma 7 3 16" xfId="868" xr:uid="{00000000-0005-0000-0000-00008C030000}"/>
    <cellStyle name="Comma 7 3 16 2" xfId="869" xr:uid="{00000000-0005-0000-0000-00008D030000}"/>
    <cellStyle name="Comma 7 3 16 3" xfId="870" xr:uid="{00000000-0005-0000-0000-00008E030000}"/>
    <cellStyle name="Comma 7 3 2" xfId="871" xr:uid="{00000000-0005-0000-0000-00008F030000}"/>
    <cellStyle name="Comma 7 3 2 2" xfId="872" xr:uid="{00000000-0005-0000-0000-000090030000}"/>
    <cellStyle name="Comma 7 3 3" xfId="873" xr:uid="{00000000-0005-0000-0000-000091030000}"/>
    <cellStyle name="Comma 7 3 3 2" xfId="874" xr:uid="{00000000-0005-0000-0000-000092030000}"/>
    <cellStyle name="Comma 7 3 4" xfId="875" xr:uid="{00000000-0005-0000-0000-000093030000}"/>
    <cellStyle name="Comma 7 3 4 2" xfId="876" xr:uid="{00000000-0005-0000-0000-000094030000}"/>
    <cellStyle name="Comma 7 3 5" xfId="877" xr:uid="{00000000-0005-0000-0000-000095030000}"/>
    <cellStyle name="Comma 7 3 5 2" xfId="878" xr:uid="{00000000-0005-0000-0000-000096030000}"/>
    <cellStyle name="Comma 7 3 6" xfId="879" xr:uid="{00000000-0005-0000-0000-000097030000}"/>
    <cellStyle name="Comma 7 3 6 2" xfId="880" xr:uid="{00000000-0005-0000-0000-000098030000}"/>
    <cellStyle name="Comma 7 3 7" xfId="881" xr:uid="{00000000-0005-0000-0000-000099030000}"/>
    <cellStyle name="Comma 7 3 7 2" xfId="882" xr:uid="{00000000-0005-0000-0000-00009A030000}"/>
    <cellStyle name="Comma 7 3 8" xfId="883" xr:uid="{00000000-0005-0000-0000-00009B030000}"/>
    <cellStyle name="Comma 7 3 8 2" xfId="884" xr:uid="{00000000-0005-0000-0000-00009C030000}"/>
    <cellStyle name="Comma 7 3 9" xfId="885" xr:uid="{00000000-0005-0000-0000-00009D030000}"/>
    <cellStyle name="Comma 7 3 9 2" xfId="886" xr:uid="{00000000-0005-0000-0000-00009E030000}"/>
    <cellStyle name="Comma 7 4" xfId="887" xr:uid="{00000000-0005-0000-0000-00009F030000}"/>
    <cellStyle name="Comma 7 4 2" xfId="888" xr:uid="{00000000-0005-0000-0000-0000A0030000}"/>
    <cellStyle name="Comma 7 5" xfId="889" xr:uid="{00000000-0005-0000-0000-0000A1030000}"/>
    <cellStyle name="Comma 7 5 2" xfId="890" xr:uid="{00000000-0005-0000-0000-0000A2030000}"/>
    <cellStyle name="Comma 7 6" xfId="891" xr:uid="{00000000-0005-0000-0000-0000A3030000}"/>
    <cellStyle name="Comma 7 6 2" xfId="892" xr:uid="{00000000-0005-0000-0000-0000A4030000}"/>
    <cellStyle name="Comma 7 7" xfId="893" xr:uid="{00000000-0005-0000-0000-0000A5030000}"/>
    <cellStyle name="Comma 7 7 2" xfId="894" xr:uid="{00000000-0005-0000-0000-0000A6030000}"/>
    <cellStyle name="Comma 7 8" xfId="895" xr:uid="{00000000-0005-0000-0000-0000A7030000}"/>
    <cellStyle name="Comma 7 8 2" xfId="896" xr:uid="{00000000-0005-0000-0000-0000A8030000}"/>
    <cellStyle name="Comma 7 9" xfId="897" xr:uid="{00000000-0005-0000-0000-0000A9030000}"/>
    <cellStyle name="Comma 7 9 2" xfId="898" xr:uid="{00000000-0005-0000-0000-0000AA030000}"/>
    <cellStyle name="Comma 8" xfId="899" xr:uid="{00000000-0005-0000-0000-0000AB030000}"/>
    <cellStyle name="Comma 8 2" xfId="900" xr:uid="{00000000-0005-0000-0000-0000AC030000}"/>
    <cellStyle name="Comma 8 2 2" xfId="901" xr:uid="{00000000-0005-0000-0000-0000AD030000}"/>
    <cellStyle name="Comma 8 2 2 2" xfId="902" xr:uid="{00000000-0005-0000-0000-0000AE030000}"/>
    <cellStyle name="Comma 8 2 2 3" xfId="903" xr:uid="{00000000-0005-0000-0000-0000AF030000}"/>
    <cellStyle name="Comma 8 3" xfId="904" xr:uid="{00000000-0005-0000-0000-0000B0030000}"/>
    <cellStyle name="Comma 8 3 2" xfId="905" xr:uid="{00000000-0005-0000-0000-0000B1030000}"/>
    <cellStyle name="Comma 8 3 2 2" xfId="906" xr:uid="{00000000-0005-0000-0000-0000B2030000}"/>
    <cellStyle name="Comma 8 3 2 3" xfId="907" xr:uid="{00000000-0005-0000-0000-0000B3030000}"/>
    <cellStyle name="Comma 8 4" xfId="908" xr:uid="{00000000-0005-0000-0000-0000B4030000}"/>
    <cellStyle name="Comma 8 4 2" xfId="909" xr:uid="{00000000-0005-0000-0000-0000B5030000}"/>
    <cellStyle name="Comma 8 4 2 2" xfId="910" xr:uid="{00000000-0005-0000-0000-0000B6030000}"/>
    <cellStyle name="Comma 8 4 2 3" xfId="911" xr:uid="{00000000-0005-0000-0000-0000B7030000}"/>
    <cellStyle name="Comma 8 5" xfId="912" xr:uid="{00000000-0005-0000-0000-0000B8030000}"/>
    <cellStyle name="Comma 8 5 2" xfId="913" xr:uid="{00000000-0005-0000-0000-0000B9030000}"/>
    <cellStyle name="Comma 8 5 2 2" xfId="914" xr:uid="{00000000-0005-0000-0000-0000BA030000}"/>
    <cellStyle name="Comma 8 5 2 3" xfId="915" xr:uid="{00000000-0005-0000-0000-0000BB030000}"/>
    <cellStyle name="Comma 8 6" xfId="916" xr:uid="{00000000-0005-0000-0000-0000BC030000}"/>
    <cellStyle name="Comma 8 6 2" xfId="917" xr:uid="{00000000-0005-0000-0000-0000BD030000}"/>
    <cellStyle name="Comma 8 6 2 2" xfId="918" xr:uid="{00000000-0005-0000-0000-0000BE030000}"/>
    <cellStyle name="Comma 8 6 2 3" xfId="919" xr:uid="{00000000-0005-0000-0000-0000BF030000}"/>
    <cellStyle name="Comma 8 7" xfId="920" xr:uid="{00000000-0005-0000-0000-0000C0030000}"/>
    <cellStyle name="Comma 8 7 2" xfId="921" xr:uid="{00000000-0005-0000-0000-0000C1030000}"/>
    <cellStyle name="Comma 8 7 2 2" xfId="922" xr:uid="{00000000-0005-0000-0000-0000C2030000}"/>
    <cellStyle name="Comma 8 7 2 3" xfId="923" xr:uid="{00000000-0005-0000-0000-0000C3030000}"/>
    <cellStyle name="Comma 8 8" xfId="924" xr:uid="{00000000-0005-0000-0000-0000C4030000}"/>
    <cellStyle name="Comma 8 8 2" xfId="925" xr:uid="{00000000-0005-0000-0000-0000C5030000}"/>
    <cellStyle name="Comma 8 8 2 2" xfId="926" xr:uid="{00000000-0005-0000-0000-0000C6030000}"/>
    <cellStyle name="Comma 8 8 2 3" xfId="927" xr:uid="{00000000-0005-0000-0000-0000C7030000}"/>
    <cellStyle name="Comma 9" xfId="928" xr:uid="{00000000-0005-0000-0000-0000C8030000}"/>
    <cellStyle name="Comma 9 2" xfId="929" xr:uid="{00000000-0005-0000-0000-0000C9030000}"/>
    <cellStyle name="Comma 9 2 2" xfId="930" xr:uid="{00000000-0005-0000-0000-0000CA030000}"/>
    <cellStyle name="Comma 9 3" xfId="931" xr:uid="{00000000-0005-0000-0000-0000CB030000}"/>
    <cellStyle name="Comma 9 4" xfId="932" xr:uid="{00000000-0005-0000-0000-0000CC030000}"/>
    <cellStyle name="Comma 9 5" xfId="933" xr:uid="{00000000-0005-0000-0000-0000CD030000}"/>
    <cellStyle name="Comma 9 6" xfId="934" xr:uid="{00000000-0005-0000-0000-0000CE030000}"/>
    <cellStyle name="Comma 9 7" xfId="935" xr:uid="{00000000-0005-0000-0000-0000CF030000}"/>
    <cellStyle name="Comma 9 8" xfId="936" xr:uid="{00000000-0005-0000-0000-0000D0030000}"/>
    <cellStyle name="Comma 9 9" xfId="937" xr:uid="{00000000-0005-0000-0000-0000D1030000}"/>
    <cellStyle name="Currency 2 2" xfId="938" xr:uid="{00000000-0005-0000-0000-0000D2030000}"/>
    <cellStyle name="Currency 2 2 2" xfId="939" xr:uid="{00000000-0005-0000-0000-0000D3030000}"/>
    <cellStyle name="CustomizationCells" xfId="940" xr:uid="{00000000-0005-0000-0000-0000D4030000}"/>
    <cellStyle name="Date" xfId="941" xr:uid="{00000000-0005-0000-0000-0000D5030000}"/>
    <cellStyle name="Date 2" xfId="942" xr:uid="{00000000-0005-0000-0000-0000D6030000}"/>
    <cellStyle name="donn_normal" xfId="943" xr:uid="{00000000-0005-0000-0000-0000D7030000}"/>
    <cellStyle name="ent_col_ser" xfId="944" xr:uid="{00000000-0005-0000-0000-0000D8030000}"/>
    <cellStyle name="entete_source" xfId="945" xr:uid="{00000000-0005-0000-0000-0000D9030000}"/>
    <cellStyle name="Euro" xfId="946" xr:uid="{00000000-0005-0000-0000-0000DA030000}"/>
    <cellStyle name="Euro 2" xfId="947" xr:uid="{00000000-0005-0000-0000-0000DB030000}"/>
    <cellStyle name="Euro 2 2" xfId="948" xr:uid="{00000000-0005-0000-0000-0000DC030000}"/>
    <cellStyle name="Euro 2 2 2" xfId="949" xr:uid="{00000000-0005-0000-0000-0000DD030000}"/>
    <cellStyle name="Euro 2 2 2 2" xfId="950" xr:uid="{00000000-0005-0000-0000-0000DE030000}"/>
    <cellStyle name="Euro 2 2 2 3" xfId="951" xr:uid="{00000000-0005-0000-0000-0000DF030000}"/>
    <cellStyle name="Euro 2 2 3" xfId="952" xr:uid="{00000000-0005-0000-0000-0000E0030000}"/>
    <cellStyle name="Euro 2 2 4" xfId="953" xr:uid="{00000000-0005-0000-0000-0000E1030000}"/>
    <cellStyle name="Euro 2 3" xfId="954" xr:uid="{00000000-0005-0000-0000-0000E2030000}"/>
    <cellStyle name="Euro 2 3 2" xfId="955" xr:uid="{00000000-0005-0000-0000-0000E3030000}"/>
    <cellStyle name="Euro 2 4" xfId="956" xr:uid="{00000000-0005-0000-0000-0000E4030000}"/>
    <cellStyle name="Euro 2 5" xfId="957" xr:uid="{00000000-0005-0000-0000-0000E5030000}"/>
    <cellStyle name="Euro 3" xfId="958" xr:uid="{00000000-0005-0000-0000-0000E6030000}"/>
    <cellStyle name="Euro 3 2" xfId="959" xr:uid="{00000000-0005-0000-0000-0000E7030000}"/>
    <cellStyle name="Euro 3 3" xfId="960" xr:uid="{00000000-0005-0000-0000-0000E8030000}"/>
    <cellStyle name="Euro 4" xfId="961" xr:uid="{00000000-0005-0000-0000-0000E9030000}"/>
    <cellStyle name="Euro 4 2" xfId="962" xr:uid="{00000000-0005-0000-0000-0000EA030000}"/>
    <cellStyle name="Euro 4 3" xfId="963" xr:uid="{00000000-0005-0000-0000-0000EB030000}"/>
    <cellStyle name="Euro 5" xfId="964" xr:uid="{00000000-0005-0000-0000-0000EC030000}"/>
    <cellStyle name="Explanatory Text 2" xfId="965" xr:uid="{00000000-0005-0000-0000-0000ED030000}"/>
    <cellStyle name="Explanatory Text 2 10" xfId="966" xr:uid="{00000000-0005-0000-0000-0000EE030000}"/>
    <cellStyle name="Explanatory Text 2 2" xfId="967" xr:uid="{00000000-0005-0000-0000-0000EF030000}"/>
    <cellStyle name="Explanatory Text 2 3" xfId="968" xr:uid="{00000000-0005-0000-0000-0000F0030000}"/>
    <cellStyle name="Explanatory Text 2 4" xfId="969" xr:uid="{00000000-0005-0000-0000-0000F1030000}"/>
    <cellStyle name="Explanatory Text 2 5" xfId="970" xr:uid="{00000000-0005-0000-0000-0000F2030000}"/>
    <cellStyle name="Explanatory Text 2 6" xfId="971" xr:uid="{00000000-0005-0000-0000-0000F3030000}"/>
    <cellStyle name="Explanatory Text 2 7" xfId="972" xr:uid="{00000000-0005-0000-0000-0000F4030000}"/>
    <cellStyle name="Explanatory Text 2 8" xfId="973" xr:uid="{00000000-0005-0000-0000-0000F5030000}"/>
    <cellStyle name="Explanatory Text 2 9" xfId="974" xr:uid="{00000000-0005-0000-0000-0000F6030000}"/>
    <cellStyle name="Explanatory Text 3" xfId="975" xr:uid="{00000000-0005-0000-0000-0000F7030000}"/>
    <cellStyle name="Fixed" xfId="976" xr:uid="{00000000-0005-0000-0000-0000F8030000}"/>
    <cellStyle name="Fixed 2" xfId="977" xr:uid="{00000000-0005-0000-0000-0000F9030000}"/>
    <cellStyle name="Float" xfId="978" xr:uid="{00000000-0005-0000-0000-0000FA030000}"/>
    <cellStyle name="Float 2" xfId="979" xr:uid="{00000000-0005-0000-0000-0000FB030000}"/>
    <cellStyle name="Good" xfId="7" builtinId="26"/>
    <cellStyle name="Good 2" xfId="980" xr:uid="{00000000-0005-0000-0000-0000FC030000}"/>
    <cellStyle name="Good 2 10" xfId="981" xr:uid="{00000000-0005-0000-0000-0000FD030000}"/>
    <cellStyle name="Good 2 2" xfId="982" xr:uid="{00000000-0005-0000-0000-0000FE030000}"/>
    <cellStyle name="Good 2 3" xfId="983" xr:uid="{00000000-0005-0000-0000-0000FF030000}"/>
    <cellStyle name="Good 2 4" xfId="984" xr:uid="{00000000-0005-0000-0000-000000040000}"/>
    <cellStyle name="Good 2 5" xfId="985" xr:uid="{00000000-0005-0000-0000-000001040000}"/>
    <cellStyle name="Good 2 6" xfId="986" xr:uid="{00000000-0005-0000-0000-000002040000}"/>
    <cellStyle name="Good 2 7" xfId="987" xr:uid="{00000000-0005-0000-0000-000003040000}"/>
    <cellStyle name="Good 2 8" xfId="988" xr:uid="{00000000-0005-0000-0000-000004040000}"/>
    <cellStyle name="Good 2 9" xfId="989" xr:uid="{00000000-0005-0000-0000-000005040000}"/>
    <cellStyle name="Good 3" xfId="990" xr:uid="{00000000-0005-0000-0000-000006040000}"/>
    <cellStyle name="Good 3 2" xfId="991" xr:uid="{00000000-0005-0000-0000-000007040000}"/>
    <cellStyle name="Good 4" xfId="992" xr:uid="{00000000-0005-0000-0000-000008040000}"/>
    <cellStyle name="Heading 1 2" xfId="993" xr:uid="{00000000-0005-0000-0000-000009040000}"/>
    <cellStyle name="Heading 1 2 10" xfId="994" xr:uid="{00000000-0005-0000-0000-00000A040000}"/>
    <cellStyle name="Heading 1 2 2" xfId="995" xr:uid="{00000000-0005-0000-0000-00000B040000}"/>
    <cellStyle name="Heading 1 2 3" xfId="996" xr:uid="{00000000-0005-0000-0000-00000C040000}"/>
    <cellStyle name="Heading 1 2 4" xfId="997" xr:uid="{00000000-0005-0000-0000-00000D040000}"/>
    <cellStyle name="Heading 1 2 5" xfId="998" xr:uid="{00000000-0005-0000-0000-00000E040000}"/>
    <cellStyle name="Heading 1 2 6" xfId="999" xr:uid="{00000000-0005-0000-0000-00000F040000}"/>
    <cellStyle name="Heading 1 2 7" xfId="1000" xr:uid="{00000000-0005-0000-0000-000010040000}"/>
    <cellStyle name="Heading 1 2 8" xfId="1001" xr:uid="{00000000-0005-0000-0000-000011040000}"/>
    <cellStyle name="Heading 1 2 9" xfId="1002" xr:uid="{00000000-0005-0000-0000-000012040000}"/>
    <cellStyle name="Heading 1 3" xfId="1003" xr:uid="{00000000-0005-0000-0000-000013040000}"/>
    <cellStyle name="Heading 1 3 2" xfId="1004" xr:uid="{00000000-0005-0000-0000-000014040000}"/>
    <cellStyle name="Heading 2" xfId="3" builtinId="17"/>
    <cellStyle name="Heading 2 2" xfId="1005" xr:uid="{00000000-0005-0000-0000-000015040000}"/>
    <cellStyle name="Heading 2 2 10" xfId="1006" xr:uid="{00000000-0005-0000-0000-000016040000}"/>
    <cellStyle name="Heading 2 2 2" xfId="1007" xr:uid="{00000000-0005-0000-0000-000017040000}"/>
    <cellStyle name="Heading 2 2 3" xfId="1008" xr:uid="{00000000-0005-0000-0000-000018040000}"/>
    <cellStyle name="Heading 2 2 4" xfId="1009" xr:uid="{00000000-0005-0000-0000-000019040000}"/>
    <cellStyle name="Heading 2 2 5" xfId="1010" xr:uid="{00000000-0005-0000-0000-00001A040000}"/>
    <cellStyle name="Heading 2 2 6" xfId="1011" xr:uid="{00000000-0005-0000-0000-00001B040000}"/>
    <cellStyle name="Heading 2 2 7" xfId="1012" xr:uid="{00000000-0005-0000-0000-00001C040000}"/>
    <cellStyle name="Heading 2 2 8" xfId="1013" xr:uid="{00000000-0005-0000-0000-00001D040000}"/>
    <cellStyle name="Heading 2 2 9" xfId="1014" xr:uid="{00000000-0005-0000-0000-00001E040000}"/>
    <cellStyle name="Heading 2 3" xfId="1015" xr:uid="{00000000-0005-0000-0000-00001F040000}"/>
    <cellStyle name="Heading 2 3 2" xfId="1016" xr:uid="{00000000-0005-0000-0000-000020040000}"/>
    <cellStyle name="Heading 2 4" xfId="1017" xr:uid="{00000000-0005-0000-0000-000021040000}"/>
    <cellStyle name="Heading 3" xfId="4" builtinId="18"/>
    <cellStyle name="Heading 3 2" xfId="1018" xr:uid="{00000000-0005-0000-0000-000022040000}"/>
    <cellStyle name="Heading 3 2 10" xfId="1019" xr:uid="{00000000-0005-0000-0000-000023040000}"/>
    <cellStyle name="Heading 3 2 2" xfId="1020" xr:uid="{00000000-0005-0000-0000-000024040000}"/>
    <cellStyle name="Heading 3 2 3" xfId="1021" xr:uid="{00000000-0005-0000-0000-000025040000}"/>
    <cellStyle name="Heading 3 2 4" xfId="1022" xr:uid="{00000000-0005-0000-0000-000026040000}"/>
    <cellStyle name="Heading 3 2 5" xfId="1023" xr:uid="{00000000-0005-0000-0000-000027040000}"/>
    <cellStyle name="Heading 3 2 6" xfId="1024" xr:uid="{00000000-0005-0000-0000-000028040000}"/>
    <cellStyle name="Heading 3 2 7" xfId="1025" xr:uid="{00000000-0005-0000-0000-000029040000}"/>
    <cellStyle name="Heading 3 2 8" xfId="1026" xr:uid="{00000000-0005-0000-0000-00002A040000}"/>
    <cellStyle name="Heading 3 2 9" xfId="1027" xr:uid="{00000000-0005-0000-0000-00002B040000}"/>
    <cellStyle name="Heading 3 3" xfId="1028" xr:uid="{00000000-0005-0000-0000-00002C040000}"/>
    <cellStyle name="Heading 3 3 2" xfId="1029" xr:uid="{00000000-0005-0000-0000-00002D040000}"/>
    <cellStyle name="Heading 4" xfId="5" builtinId="19"/>
    <cellStyle name="Heading 4 2" xfId="1030" xr:uid="{00000000-0005-0000-0000-00002E040000}"/>
    <cellStyle name="Heading 4 2 10" xfId="1031" xr:uid="{00000000-0005-0000-0000-00002F040000}"/>
    <cellStyle name="Heading 4 2 2" xfId="1032" xr:uid="{00000000-0005-0000-0000-000030040000}"/>
    <cellStyle name="Heading 4 2 3" xfId="1033" xr:uid="{00000000-0005-0000-0000-000031040000}"/>
    <cellStyle name="Heading 4 2 4" xfId="1034" xr:uid="{00000000-0005-0000-0000-000032040000}"/>
    <cellStyle name="Heading 4 2 5" xfId="1035" xr:uid="{00000000-0005-0000-0000-000033040000}"/>
    <cellStyle name="Heading 4 2 6" xfId="1036" xr:uid="{00000000-0005-0000-0000-000034040000}"/>
    <cellStyle name="Heading 4 2 7" xfId="1037" xr:uid="{00000000-0005-0000-0000-000035040000}"/>
    <cellStyle name="Heading 4 2 8" xfId="1038" xr:uid="{00000000-0005-0000-0000-000036040000}"/>
    <cellStyle name="Heading 4 2 9" xfId="1039" xr:uid="{00000000-0005-0000-0000-000037040000}"/>
    <cellStyle name="Heading 4 3" xfId="1040" xr:uid="{00000000-0005-0000-0000-000038040000}"/>
    <cellStyle name="Heading 4 3 2" xfId="1041" xr:uid="{00000000-0005-0000-0000-000039040000}"/>
    <cellStyle name="Heading1" xfId="1042" xr:uid="{00000000-0005-0000-0000-00003A040000}"/>
    <cellStyle name="Heading1 2" xfId="1043" xr:uid="{00000000-0005-0000-0000-00003B040000}"/>
    <cellStyle name="Heading2" xfId="1044" xr:uid="{00000000-0005-0000-0000-00003C040000}"/>
    <cellStyle name="Heading2 2" xfId="1045" xr:uid="{00000000-0005-0000-0000-00003D040000}"/>
    <cellStyle name="Hyperlink" xfId="2" builtinId="8"/>
    <cellStyle name="Hyperlink 2" xfId="1046" xr:uid="{00000000-0005-0000-0000-00003E040000}"/>
    <cellStyle name="Input" xfId="6" builtinId="20"/>
    <cellStyle name="Input 2" xfId="1047" xr:uid="{00000000-0005-0000-0000-00003F040000}"/>
    <cellStyle name="Input 2 10" xfId="1048" xr:uid="{00000000-0005-0000-0000-000040040000}"/>
    <cellStyle name="Input 2 2" xfId="1049" xr:uid="{00000000-0005-0000-0000-000041040000}"/>
    <cellStyle name="Input 2 3" xfId="1050" xr:uid="{00000000-0005-0000-0000-000042040000}"/>
    <cellStyle name="Input 2 4" xfId="1051" xr:uid="{00000000-0005-0000-0000-000043040000}"/>
    <cellStyle name="Input 2 5" xfId="1052" xr:uid="{00000000-0005-0000-0000-000044040000}"/>
    <cellStyle name="Input 2 6" xfId="1053" xr:uid="{00000000-0005-0000-0000-000045040000}"/>
    <cellStyle name="Input 2 7" xfId="1054" xr:uid="{00000000-0005-0000-0000-000046040000}"/>
    <cellStyle name="Input 2 8" xfId="1055" xr:uid="{00000000-0005-0000-0000-000047040000}"/>
    <cellStyle name="Input 2 9" xfId="1056" xr:uid="{00000000-0005-0000-0000-000048040000}"/>
    <cellStyle name="Input 3" xfId="1057" xr:uid="{00000000-0005-0000-0000-000049040000}"/>
    <cellStyle name="Input 3 2" xfId="1058" xr:uid="{00000000-0005-0000-0000-00004A040000}"/>
    <cellStyle name="Input 4" xfId="1059" xr:uid="{00000000-0005-0000-0000-00004B040000}"/>
    <cellStyle name="InputCells" xfId="1060" xr:uid="{00000000-0005-0000-0000-00004C040000}"/>
    <cellStyle name="ligne_titre_0" xfId="1061" xr:uid="{00000000-0005-0000-0000-00004D040000}"/>
    <cellStyle name="Linked Cell 2" xfId="1062" xr:uid="{00000000-0005-0000-0000-00004E040000}"/>
    <cellStyle name="Linked Cell 2 10" xfId="1063" xr:uid="{00000000-0005-0000-0000-00004F040000}"/>
    <cellStyle name="Linked Cell 2 2" xfId="1064" xr:uid="{00000000-0005-0000-0000-000050040000}"/>
    <cellStyle name="Linked Cell 2 3" xfId="1065" xr:uid="{00000000-0005-0000-0000-000051040000}"/>
    <cellStyle name="Linked Cell 2 4" xfId="1066" xr:uid="{00000000-0005-0000-0000-000052040000}"/>
    <cellStyle name="Linked Cell 2 5" xfId="1067" xr:uid="{00000000-0005-0000-0000-000053040000}"/>
    <cellStyle name="Linked Cell 2 6" xfId="1068" xr:uid="{00000000-0005-0000-0000-000054040000}"/>
    <cellStyle name="Linked Cell 2 7" xfId="1069" xr:uid="{00000000-0005-0000-0000-000055040000}"/>
    <cellStyle name="Linked Cell 2 8" xfId="1070" xr:uid="{00000000-0005-0000-0000-000056040000}"/>
    <cellStyle name="Linked Cell 2 9" xfId="1071" xr:uid="{00000000-0005-0000-0000-000057040000}"/>
    <cellStyle name="Linked Cell 3" xfId="1072" xr:uid="{00000000-0005-0000-0000-000058040000}"/>
    <cellStyle name="Linked Cell 3 2" xfId="1073" xr:uid="{00000000-0005-0000-0000-000059040000}"/>
    <cellStyle name="Migliaia_Oil&amp;Gas IFE ARC POLITO" xfId="1074" xr:uid="{00000000-0005-0000-0000-00005A040000}"/>
    <cellStyle name="Neutral" xfId="8" builtinId="28"/>
    <cellStyle name="Neutral 2" xfId="1075" xr:uid="{00000000-0005-0000-0000-00005B040000}"/>
    <cellStyle name="Neutral 2 10" xfId="1076" xr:uid="{00000000-0005-0000-0000-00005C040000}"/>
    <cellStyle name="Neutral 2 2" xfId="1077" xr:uid="{00000000-0005-0000-0000-00005D040000}"/>
    <cellStyle name="Neutral 2 3" xfId="1078" xr:uid="{00000000-0005-0000-0000-00005E040000}"/>
    <cellStyle name="Neutral 2 4" xfId="1079" xr:uid="{00000000-0005-0000-0000-00005F040000}"/>
    <cellStyle name="Neutral 2 5" xfId="1080" xr:uid="{00000000-0005-0000-0000-000060040000}"/>
    <cellStyle name="Neutral 2 6" xfId="1081" xr:uid="{00000000-0005-0000-0000-000061040000}"/>
    <cellStyle name="Neutral 2 7" xfId="1082" xr:uid="{00000000-0005-0000-0000-000062040000}"/>
    <cellStyle name="Neutral 2 8" xfId="1083" xr:uid="{00000000-0005-0000-0000-000063040000}"/>
    <cellStyle name="Neutral 2 9" xfId="1084" xr:uid="{00000000-0005-0000-0000-000064040000}"/>
    <cellStyle name="Neutral 3" xfId="1085" xr:uid="{00000000-0005-0000-0000-000065040000}"/>
    <cellStyle name="Neutral 3 2" xfId="1086" xr:uid="{00000000-0005-0000-0000-000066040000}"/>
    <cellStyle name="Neutral 3 3" xfId="1087" xr:uid="{00000000-0005-0000-0000-000067040000}"/>
    <cellStyle name="Neutral 4" xfId="1088" xr:uid="{00000000-0005-0000-0000-000068040000}"/>
    <cellStyle name="Normal" xfId="0" builtinId="0"/>
    <cellStyle name="Normal 10" xfId="1089" xr:uid="{00000000-0005-0000-0000-000069040000}"/>
    <cellStyle name="Normal 10 2" xfId="1090" xr:uid="{00000000-0005-0000-0000-00006A040000}"/>
    <cellStyle name="Normal 10 2 2" xfId="1091" xr:uid="{00000000-0005-0000-0000-00006B040000}"/>
    <cellStyle name="Normal 10 3" xfId="1092" xr:uid="{00000000-0005-0000-0000-00006C040000}"/>
    <cellStyle name="Normal 10 3 2" xfId="1093" xr:uid="{00000000-0005-0000-0000-00006D040000}"/>
    <cellStyle name="Normal 10 4" xfId="1094" xr:uid="{00000000-0005-0000-0000-00006E040000}"/>
    <cellStyle name="Normal 10 4 2" xfId="1095" xr:uid="{00000000-0005-0000-0000-00006F040000}"/>
    <cellStyle name="Normal 10 5" xfId="1096" xr:uid="{00000000-0005-0000-0000-000070040000}"/>
    <cellStyle name="Normal 10 5 2" xfId="1097" xr:uid="{00000000-0005-0000-0000-000071040000}"/>
    <cellStyle name="Normal 10 6" xfId="1098" xr:uid="{00000000-0005-0000-0000-000072040000}"/>
    <cellStyle name="Normal 10 6 2" xfId="1099" xr:uid="{00000000-0005-0000-0000-000073040000}"/>
    <cellStyle name="Normal 10 7" xfId="1100" xr:uid="{00000000-0005-0000-0000-000074040000}"/>
    <cellStyle name="Normal 10 7 2" xfId="1101" xr:uid="{00000000-0005-0000-0000-000075040000}"/>
    <cellStyle name="Normal 10 8" xfId="1102" xr:uid="{00000000-0005-0000-0000-000076040000}"/>
    <cellStyle name="Normal 10 8 2" xfId="1103" xr:uid="{00000000-0005-0000-0000-000077040000}"/>
    <cellStyle name="Normal 10 9" xfId="1104" xr:uid="{00000000-0005-0000-0000-000078040000}"/>
    <cellStyle name="Normal 11" xfId="1105" xr:uid="{00000000-0005-0000-0000-000079040000}"/>
    <cellStyle name="Normal 11 10" xfId="1106" xr:uid="{00000000-0005-0000-0000-00007A040000}"/>
    <cellStyle name="Normal 11 2" xfId="1107" xr:uid="{00000000-0005-0000-0000-00007B040000}"/>
    <cellStyle name="Normal 11 2 2" xfId="1108" xr:uid="{00000000-0005-0000-0000-00007C040000}"/>
    <cellStyle name="Normal 11 3" xfId="1109" xr:uid="{00000000-0005-0000-0000-00007D040000}"/>
    <cellStyle name="Normal 11 3 2" xfId="1110" xr:uid="{00000000-0005-0000-0000-00007E040000}"/>
    <cellStyle name="Normal 11 4" xfId="1111" xr:uid="{00000000-0005-0000-0000-00007F040000}"/>
    <cellStyle name="Normal 11 4 2" xfId="1112" xr:uid="{00000000-0005-0000-0000-000080040000}"/>
    <cellStyle name="Normal 11 5" xfId="1113" xr:uid="{00000000-0005-0000-0000-000081040000}"/>
    <cellStyle name="Normal 11 5 2" xfId="1114" xr:uid="{00000000-0005-0000-0000-000082040000}"/>
    <cellStyle name="Normal 11 6" xfId="1115" xr:uid="{00000000-0005-0000-0000-000083040000}"/>
    <cellStyle name="Normal 11 6 2" xfId="1116" xr:uid="{00000000-0005-0000-0000-000084040000}"/>
    <cellStyle name="Normal 11 7" xfId="1117" xr:uid="{00000000-0005-0000-0000-000085040000}"/>
    <cellStyle name="Normal 11 7 2" xfId="1118" xr:uid="{00000000-0005-0000-0000-000086040000}"/>
    <cellStyle name="Normal 11 8" xfId="1119" xr:uid="{00000000-0005-0000-0000-000087040000}"/>
    <cellStyle name="Normal 11 8 2" xfId="1120" xr:uid="{00000000-0005-0000-0000-000088040000}"/>
    <cellStyle name="Normal 11 9" xfId="1121" xr:uid="{00000000-0005-0000-0000-000089040000}"/>
    <cellStyle name="Normal 12" xfId="1122" xr:uid="{00000000-0005-0000-0000-00008A040000}"/>
    <cellStyle name="Normal 12 10" xfId="1123" xr:uid="{00000000-0005-0000-0000-00008B040000}"/>
    <cellStyle name="Normal 12 2" xfId="1124" xr:uid="{00000000-0005-0000-0000-00008C040000}"/>
    <cellStyle name="Normal 12 2 2" xfId="1125" xr:uid="{00000000-0005-0000-0000-00008D040000}"/>
    <cellStyle name="Normal 12 3" xfId="1126" xr:uid="{00000000-0005-0000-0000-00008E040000}"/>
    <cellStyle name="Normal 12 3 2" xfId="1127" xr:uid="{00000000-0005-0000-0000-00008F040000}"/>
    <cellStyle name="Normal 12 4" xfId="1128" xr:uid="{00000000-0005-0000-0000-000090040000}"/>
    <cellStyle name="Normal 12 4 2" xfId="1129" xr:uid="{00000000-0005-0000-0000-000091040000}"/>
    <cellStyle name="Normal 12 5" xfId="1130" xr:uid="{00000000-0005-0000-0000-000092040000}"/>
    <cellStyle name="Normal 12 5 2" xfId="1131" xr:uid="{00000000-0005-0000-0000-000093040000}"/>
    <cellStyle name="Normal 12 6" xfId="1132" xr:uid="{00000000-0005-0000-0000-000094040000}"/>
    <cellStyle name="Normal 12 6 2" xfId="1133" xr:uid="{00000000-0005-0000-0000-000095040000}"/>
    <cellStyle name="Normal 12 7" xfId="1134" xr:uid="{00000000-0005-0000-0000-000096040000}"/>
    <cellStyle name="Normal 12 7 2" xfId="1135" xr:uid="{00000000-0005-0000-0000-000097040000}"/>
    <cellStyle name="Normal 12 8" xfId="1136" xr:uid="{00000000-0005-0000-0000-000098040000}"/>
    <cellStyle name="Normal 12 8 2" xfId="1137" xr:uid="{00000000-0005-0000-0000-000099040000}"/>
    <cellStyle name="Normal 12 9" xfId="1138" xr:uid="{00000000-0005-0000-0000-00009A040000}"/>
    <cellStyle name="Normal 13" xfId="1139" xr:uid="{00000000-0005-0000-0000-00009B040000}"/>
    <cellStyle name="Normal 13 10" xfId="1140" xr:uid="{00000000-0005-0000-0000-00009C040000}"/>
    <cellStyle name="Normal 13 10 2" xfId="1141" xr:uid="{00000000-0005-0000-0000-00009D040000}"/>
    <cellStyle name="Normal 13 10 2 2" xfId="1142" xr:uid="{00000000-0005-0000-0000-00009E040000}"/>
    <cellStyle name="Normal 13 10 2 3" xfId="1143" xr:uid="{00000000-0005-0000-0000-00009F040000}"/>
    <cellStyle name="Normal 13 10 3" xfId="1144" xr:uid="{00000000-0005-0000-0000-0000A0040000}"/>
    <cellStyle name="Normal 13 10 4" xfId="1145" xr:uid="{00000000-0005-0000-0000-0000A1040000}"/>
    <cellStyle name="Normal 13 11" xfId="1146" xr:uid="{00000000-0005-0000-0000-0000A2040000}"/>
    <cellStyle name="Normal 13 11 2" xfId="1147" xr:uid="{00000000-0005-0000-0000-0000A3040000}"/>
    <cellStyle name="Normal 13 11 2 2" xfId="1148" xr:uid="{00000000-0005-0000-0000-0000A4040000}"/>
    <cellStyle name="Normal 13 11 2 3" xfId="1149" xr:uid="{00000000-0005-0000-0000-0000A5040000}"/>
    <cellStyle name="Normal 13 11 3" xfId="1150" xr:uid="{00000000-0005-0000-0000-0000A6040000}"/>
    <cellStyle name="Normal 13 11 4" xfId="1151" xr:uid="{00000000-0005-0000-0000-0000A7040000}"/>
    <cellStyle name="Normal 13 12" xfId="1152" xr:uid="{00000000-0005-0000-0000-0000A8040000}"/>
    <cellStyle name="Normal 13 13" xfId="1153" xr:uid="{00000000-0005-0000-0000-0000A9040000}"/>
    <cellStyle name="Normal 13 13 2" xfId="1154" xr:uid="{00000000-0005-0000-0000-0000AA040000}"/>
    <cellStyle name="Normal 13 13 2 2" xfId="1155" xr:uid="{00000000-0005-0000-0000-0000AB040000}"/>
    <cellStyle name="Normal 13 13 2 3" xfId="1156" xr:uid="{00000000-0005-0000-0000-0000AC040000}"/>
    <cellStyle name="Normal 13 13 3" xfId="1157" xr:uid="{00000000-0005-0000-0000-0000AD040000}"/>
    <cellStyle name="Normal 13 13 4" xfId="1158" xr:uid="{00000000-0005-0000-0000-0000AE040000}"/>
    <cellStyle name="Normal 13 14" xfId="1159" xr:uid="{00000000-0005-0000-0000-0000AF040000}"/>
    <cellStyle name="Normal 13 14 2" xfId="1160" xr:uid="{00000000-0005-0000-0000-0000B0040000}"/>
    <cellStyle name="Normal 13 14 2 2" xfId="1161" xr:uid="{00000000-0005-0000-0000-0000B1040000}"/>
    <cellStyle name="Normal 13 14 2 3" xfId="1162" xr:uid="{00000000-0005-0000-0000-0000B2040000}"/>
    <cellStyle name="Normal 13 14 3" xfId="1163" xr:uid="{00000000-0005-0000-0000-0000B3040000}"/>
    <cellStyle name="Normal 13 14 4" xfId="1164" xr:uid="{00000000-0005-0000-0000-0000B4040000}"/>
    <cellStyle name="Normal 13 15" xfId="1165" xr:uid="{00000000-0005-0000-0000-0000B5040000}"/>
    <cellStyle name="Normal 13 15 2" xfId="1166" xr:uid="{00000000-0005-0000-0000-0000B6040000}"/>
    <cellStyle name="Normal 13 15 2 2" xfId="1167" xr:uid="{00000000-0005-0000-0000-0000B7040000}"/>
    <cellStyle name="Normal 13 15 2 3" xfId="1168" xr:uid="{00000000-0005-0000-0000-0000B8040000}"/>
    <cellStyle name="Normal 13 15 3" xfId="1169" xr:uid="{00000000-0005-0000-0000-0000B9040000}"/>
    <cellStyle name="Normal 13 15 4" xfId="1170" xr:uid="{00000000-0005-0000-0000-0000BA040000}"/>
    <cellStyle name="Normal 13 16" xfId="1171" xr:uid="{00000000-0005-0000-0000-0000BB040000}"/>
    <cellStyle name="Normal 13 16 2" xfId="1172" xr:uid="{00000000-0005-0000-0000-0000BC040000}"/>
    <cellStyle name="Normal 13 16 2 2" xfId="1173" xr:uid="{00000000-0005-0000-0000-0000BD040000}"/>
    <cellStyle name="Normal 13 16 2 3" xfId="1174" xr:uid="{00000000-0005-0000-0000-0000BE040000}"/>
    <cellStyle name="Normal 13 16 3" xfId="1175" xr:uid="{00000000-0005-0000-0000-0000BF040000}"/>
    <cellStyle name="Normal 13 16 4" xfId="1176" xr:uid="{00000000-0005-0000-0000-0000C0040000}"/>
    <cellStyle name="Normal 13 17" xfId="1177" xr:uid="{00000000-0005-0000-0000-0000C1040000}"/>
    <cellStyle name="Normal 13 18" xfId="1178" xr:uid="{00000000-0005-0000-0000-0000C2040000}"/>
    <cellStyle name="Normal 13 19" xfId="1179" xr:uid="{00000000-0005-0000-0000-0000C3040000}"/>
    <cellStyle name="Normal 13 2" xfId="1180" xr:uid="{00000000-0005-0000-0000-0000C4040000}"/>
    <cellStyle name="Normal 13 2 2" xfId="1181" xr:uid="{00000000-0005-0000-0000-0000C5040000}"/>
    <cellStyle name="Normal 13 2 2 2" xfId="1182" xr:uid="{00000000-0005-0000-0000-0000C6040000}"/>
    <cellStyle name="Normal 13 2 2 2 2" xfId="1183" xr:uid="{00000000-0005-0000-0000-0000C7040000}"/>
    <cellStyle name="Normal 13 2 2 2 3" xfId="1184" xr:uid="{00000000-0005-0000-0000-0000C8040000}"/>
    <cellStyle name="Normal 13 2 2 3" xfId="1185" xr:uid="{00000000-0005-0000-0000-0000C9040000}"/>
    <cellStyle name="Normal 13 2 2 4" xfId="1186" xr:uid="{00000000-0005-0000-0000-0000CA040000}"/>
    <cellStyle name="Normal 13 2 3" xfId="1187" xr:uid="{00000000-0005-0000-0000-0000CB040000}"/>
    <cellStyle name="Normal 13 2 3 2" xfId="1188" xr:uid="{00000000-0005-0000-0000-0000CC040000}"/>
    <cellStyle name="Normal 13 2 3 2 2" xfId="1189" xr:uid="{00000000-0005-0000-0000-0000CD040000}"/>
    <cellStyle name="Normal 13 2 3 2 3" xfId="1190" xr:uid="{00000000-0005-0000-0000-0000CE040000}"/>
    <cellStyle name="Normal 13 2 3 3" xfId="1191" xr:uid="{00000000-0005-0000-0000-0000CF040000}"/>
    <cellStyle name="Normal 13 2 3 4" xfId="1192" xr:uid="{00000000-0005-0000-0000-0000D0040000}"/>
    <cellStyle name="Normal 13 2 4" xfId="1193" xr:uid="{00000000-0005-0000-0000-0000D1040000}"/>
    <cellStyle name="Normal 13 2 4 2" xfId="1194" xr:uid="{00000000-0005-0000-0000-0000D2040000}"/>
    <cellStyle name="Normal 13 2 4 2 2" xfId="1195" xr:uid="{00000000-0005-0000-0000-0000D3040000}"/>
    <cellStyle name="Normal 13 2 4 2 3" xfId="1196" xr:uid="{00000000-0005-0000-0000-0000D4040000}"/>
    <cellStyle name="Normal 13 2 4 3" xfId="1197" xr:uid="{00000000-0005-0000-0000-0000D5040000}"/>
    <cellStyle name="Normal 13 2 4 4" xfId="1198" xr:uid="{00000000-0005-0000-0000-0000D6040000}"/>
    <cellStyle name="Normal 13 2 5" xfId="1199" xr:uid="{00000000-0005-0000-0000-0000D7040000}"/>
    <cellStyle name="Normal 13 2 5 2" xfId="1200" xr:uid="{00000000-0005-0000-0000-0000D8040000}"/>
    <cellStyle name="Normal 13 2 5 2 2" xfId="1201" xr:uid="{00000000-0005-0000-0000-0000D9040000}"/>
    <cellStyle name="Normal 13 2 5 2 3" xfId="1202" xr:uid="{00000000-0005-0000-0000-0000DA040000}"/>
    <cellStyle name="Normal 13 2 5 3" xfId="1203" xr:uid="{00000000-0005-0000-0000-0000DB040000}"/>
    <cellStyle name="Normal 13 2 5 4" xfId="1204" xr:uid="{00000000-0005-0000-0000-0000DC040000}"/>
    <cellStyle name="Normal 13 2 6" xfId="1205" xr:uid="{00000000-0005-0000-0000-0000DD040000}"/>
    <cellStyle name="Normal 13 2 6 2" xfId="1206" xr:uid="{00000000-0005-0000-0000-0000DE040000}"/>
    <cellStyle name="Normal 13 2 6 2 2" xfId="1207" xr:uid="{00000000-0005-0000-0000-0000DF040000}"/>
    <cellStyle name="Normal 13 2 6 2 3" xfId="1208" xr:uid="{00000000-0005-0000-0000-0000E0040000}"/>
    <cellStyle name="Normal 13 2 6 3" xfId="1209" xr:uid="{00000000-0005-0000-0000-0000E1040000}"/>
    <cellStyle name="Normal 13 2 6 4" xfId="1210" xr:uid="{00000000-0005-0000-0000-0000E2040000}"/>
    <cellStyle name="Normal 13 2 7" xfId="1211" xr:uid="{00000000-0005-0000-0000-0000E3040000}"/>
    <cellStyle name="Normal 13 2 7 2" xfId="1212" xr:uid="{00000000-0005-0000-0000-0000E4040000}"/>
    <cellStyle name="Normal 13 2 7 2 2" xfId="1213" xr:uid="{00000000-0005-0000-0000-0000E5040000}"/>
    <cellStyle name="Normal 13 2 7 2 3" xfId="1214" xr:uid="{00000000-0005-0000-0000-0000E6040000}"/>
    <cellStyle name="Normal 13 2 7 3" xfId="1215" xr:uid="{00000000-0005-0000-0000-0000E7040000}"/>
    <cellStyle name="Normal 13 2 7 4" xfId="1216" xr:uid="{00000000-0005-0000-0000-0000E8040000}"/>
    <cellStyle name="Normal 13 2 8" xfId="1217" xr:uid="{00000000-0005-0000-0000-0000E9040000}"/>
    <cellStyle name="Normal 13 2 8 2" xfId="1218" xr:uid="{00000000-0005-0000-0000-0000EA040000}"/>
    <cellStyle name="Normal 13 2 8 2 2" xfId="1219" xr:uid="{00000000-0005-0000-0000-0000EB040000}"/>
    <cellStyle name="Normal 13 2 8 2 3" xfId="1220" xr:uid="{00000000-0005-0000-0000-0000EC040000}"/>
    <cellStyle name="Normal 13 2 8 3" xfId="1221" xr:uid="{00000000-0005-0000-0000-0000ED040000}"/>
    <cellStyle name="Normal 13 2 8 4" xfId="1222" xr:uid="{00000000-0005-0000-0000-0000EE040000}"/>
    <cellStyle name="Normal 13 20" xfId="1223" xr:uid="{00000000-0005-0000-0000-0000EF040000}"/>
    <cellStyle name="Normal 13 21" xfId="1224" xr:uid="{00000000-0005-0000-0000-0000F0040000}"/>
    <cellStyle name="Normal 13 22" xfId="1225" xr:uid="{00000000-0005-0000-0000-0000F1040000}"/>
    <cellStyle name="Normal 13 23" xfId="1226" xr:uid="{00000000-0005-0000-0000-0000F2040000}"/>
    <cellStyle name="Normal 13 23 2" xfId="1227" xr:uid="{00000000-0005-0000-0000-0000F3040000}"/>
    <cellStyle name="Normal 13 24" xfId="1228" xr:uid="{00000000-0005-0000-0000-0000F4040000}"/>
    <cellStyle name="Normal 13 24 2" xfId="1229" xr:uid="{00000000-0005-0000-0000-0000F5040000}"/>
    <cellStyle name="Normal 13 25" xfId="1230" xr:uid="{00000000-0005-0000-0000-0000F6040000}"/>
    <cellStyle name="Normal 13 25 2" xfId="1231" xr:uid="{00000000-0005-0000-0000-0000F7040000}"/>
    <cellStyle name="Normal 13 26" xfId="1232" xr:uid="{00000000-0005-0000-0000-0000F8040000}"/>
    <cellStyle name="Normal 13 26 2" xfId="1233" xr:uid="{00000000-0005-0000-0000-0000F9040000}"/>
    <cellStyle name="Normal 13 27" xfId="1234" xr:uid="{00000000-0005-0000-0000-0000FA040000}"/>
    <cellStyle name="Normal 13 27 2" xfId="1235" xr:uid="{00000000-0005-0000-0000-0000FB040000}"/>
    <cellStyle name="Normal 13 28" xfId="1236" xr:uid="{00000000-0005-0000-0000-0000FC040000}"/>
    <cellStyle name="Normal 13 28 2" xfId="1237" xr:uid="{00000000-0005-0000-0000-0000FD040000}"/>
    <cellStyle name="Normal 13 29" xfId="1238" xr:uid="{00000000-0005-0000-0000-0000FE040000}"/>
    <cellStyle name="Normal 13 29 2" xfId="1239" xr:uid="{00000000-0005-0000-0000-0000FF040000}"/>
    <cellStyle name="Normal 13 3" xfId="1240" xr:uid="{00000000-0005-0000-0000-000000050000}"/>
    <cellStyle name="Normal 13 3 2" xfId="1241" xr:uid="{00000000-0005-0000-0000-000001050000}"/>
    <cellStyle name="Normal 13 3 2 2" xfId="1242" xr:uid="{00000000-0005-0000-0000-000002050000}"/>
    <cellStyle name="Normal 13 3 2 3" xfId="1243" xr:uid="{00000000-0005-0000-0000-000003050000}"/>
    <cellStyle name="Normal 13 3 3" xfId="1244" xr:uid="{00000000-0005-0000-0000-000004050000}"/>
    <cellStyle name="Normal 13 3 4" xfId="1245" xr:uid="{00000000-0005-0000-0000-000005050000}"/>
    <cellStyle name="Normal 13 30" xfId="1246" xr:uid="{00000000-0005-0000-0000-000006050000}"/>
    <cellStyle name="Normal 13 30 2" xfId="1247" xr:uid="{00000000-0005-0000-0000-000007050000}"/>
    <cellStyle name="Normal 13 31" xfId="1248" xr:uid="{00000000-0005-0000-0000-000008050000}"/>
    <cellStyle name="Normal 13 31 2" xfId="1249" xr:uid="{00000000-0005-0000-0000-000009050000}"/>
    <cellStyle name="Normal 13 32" xfId="1250" xr:uid="{00000000-0005-0000-0000-00000A050000}"/>
    <cellStyle name="Normal 13 32 2" xfId="1251" xr:uid="{00000000-0005-0000-0000-00000B050000}"/>
    <cellStyle name="Normal 13 33" xfId="1252" xr:uid="{00000000-0005-0000-0000-00000C050000}"/>
    <cellStyle name="Normal 13 33 2" xfId="1253" xr:uid="{00000000-0005-0000-0000-00000D050000}"/>
    <cellStyle name="Normal 13 34" xfId="1254" xr:uid="{00000000-0005-0000-0000-00000E050000}"/>
    <cellStyle name="Normal 13 34 2" xfId="1255" xr:uid="{00000000-0005-0000-0000-00000F050000}"/>
    <cellStyle name="Normal 13 35" xfId="1256" xr:uid="{00000000-0005-0000-0000-000010050000}"/>
    <cellStyle name="Normal 13 35 2" xfId="1257" xr:uid="{00000000-0005-0000-0000-000011050000}"/>
    <cellStyle name="Normal 13 36" xfId="1258" xr:uid="{00000000-0005-0000-0000-000012050000}"/>
    <cellStyle name="Normal 13 36 2" xfId="1259" xr:uid="{00000000-0005-0000-0000-000013050000}"/>
    <cellStyle name="Normal 13 37" xfId="1260" xr:uid="{00000000-0005-0000-0000-000014050000}"/>
    <cellStyle name="Normal 13 37 2" xfId="1261" xr:uid="{00000000-0005-0000-0000-000015050000}"/>
    <cellStyle name="Normal 13 38" xfId="1262" xr:uid="{00000000-0005-0000-0000-000016050000}"/>
    <cellStyle name="Normal 13 38 2" xfId="1263" xr:uid="{00000000-0005-0000-0000-000017050000}"/>
    <cellStyle name="Normal 13 39" xfId="1264" xr:uid="{00000000-0005-0000-0000-000018050000}"/>
    <cellStyle name="Normal 13 4" xfId="1265" xr:uid="{00000000-0005-0000-0000-000019050000}"/>
    <cellStyle name="Normal 13 4 2" xfId="1266" xr:uid="{00000000-0005-0000-0000-00001A050000}"/>
    <cellStyle name="Normal 13 4 2 2" xfId="1267" xr:uid="{00000000-0005-0000-0000-00001B050000}"/>
    <cellStyle name="Normal 13 4 2 3" xfId="1268" xr:uid="{00000000-0005-0000-0000-00001C050000}"/>
    <cellStyle name="Normal 13 4 3" xfId="1269" xr:uid="{00000000-0005-0000-0000-00001D050000}"/>
    <cellStyle name="Normal 13 4 4" xfId="1270" xr:uid="{00000000-0005-0000-0000-00001E050000}"/>
    <cellStyle name="Normal 13 5" xfId="1271" xr:uid="{00000000-0005-0000-0000-00001F050000}"/>
    <cellStyle name="Normal 13 6" xfId="1272" xr:uid="{00000000-0005-0000-0000-000020050000}"/>
    <cellStyle name="Normal 13 7" xfId="1273" xr:uid="{00000000-0005-0000-0000-000021050000}"/>
    <cellStyle name="Normal 13 8" xfId="1274" xr:uid="{00000000-0005-0000-0000-000022050000}"/>
    <cellStyle name="Normal 13 9" xfId="1275" xr:uid="{00000000-0005-0000-0000-000023050000}"/>
    <cellStyle name="Normal 13 9 2" xfId="1276" xr:uid="{00000000-0005-0000-0000-000024050000}"/>
    <cellStyle name="Normal 13 9 2 2" xfId="1277" xr:uid="{00000000-0005-0000-0000-000025050000}"/>
    <cellStyle name="Normal 13 9 2 3" xfId="1278" xr:uid="{00000000-0005-0000-0000-000026050000}"/>
    <cellStyle name="Normal 13 9 3" xfId="1279" xr:uid="{00000000-0005-0000-0000-000027050000}"/>
    <cellStyle name="Normal 13 9 4" xfId="1280" xr:uid="{00000000-0005-0000-0000-000028050000}"/>
    <cellStyle name="Normal 14" xfId="1281" xr:uid="{00000000-0005-0000-0000-000029050000}"/>
    <cellStyle name="Normal 14 10" xfId="1282" xr:uid="{00000000-0005-0000-0000-00002A050000}"/>
    <cellStyle name="Normal 14 10 2" xfId="1283" xr:uid="{00000000-0005-0000-0000-00002B050000}"/>
    <cellStyle name="Normal 14 10 2 2" xfId="1284" xr:uid="{00000000-0005-0000-0000-00002C050000}"/>
    <cellStyle name="Normal 14 10 2 3" xfId="1285" xr:uid="{00000000-0005-0000-0000-00002D050000}"/>
    <cellStyle name="Normal 14 10 3" xfId="1286" xr:uid="{00000000-0005-0000-0000-00002E050000}"/>
    <cellStyle name="Normal 14 10 4" xfId="1287" xr:uid="{00000000-0005-0000-0000-00002F050000}"/>
    <cellStyle name="Normal 14 11" xfId="1288" xr:uid="{00000000-0005-0000-0000-000030050000}"/>
    <cellStyle name="Normal 14 11 2" xfId="1289" xr:uid="{00000000-0005-0000-0000-000031050000}"/>
    <cellStyle name="Normal 14 11 2 2" xfId="1290" xr:uid="{00000000-0005-0000-0000-000032050000}"/>
    <cellStyle name="Normal 14 11 2 3" xfId="1291" xr:uid="{00000000-0005-0000-0000-000033050000}"/>
    <cellStyle name="Normal 14 11 3" xfId="1292" xr:uid="{00000000-0005-0000-0000-000034050000}"/>
    <cellStyle name="Normal 14 11 4" xfId="1293" xr:uid="{00000000-0005-0000-0000-000035050000}"/>
    <cellStyle name="Normal 14 12" xfId="1294" xr:uid="{00000000-0005-0000-0000-000036050000}"/>
    <cellStyle name="Normal 14 12 2" xfId="1295" xr:uid="{00000000-0005-0000-0000-000037050000}"/>
    <cellStyle name="Normal 14 12 2 2" xfId="1296" xr:uid="{00000000-0005-0000-0000-000038050000}"/>
    <cellStyle name="Normal 14 12 2 3" xfId="1297" xr:uid="{00000000-0005-0000-0000-000039050000}"/>
    <cellStyle name="Normal 14 12 3" xfId="1298" xr:uid="{00000000-0005-0000-0000-00003A050000}"/>
    <cellStyle name="Normal 14 12 4" xfId="1299" xr:uid="{00000000-0005-0000-0000-00003B050000}"/>
    <cellStyle name="Normal 14 13" xfId="1300" xr:uid="{00000000-0005-0000-0000-00003C050000}"/>
    <cellStyle name="Normal 14 13 2" xfId="1301" xr:uid="{00000000-0005-0000-0000-00003D050000}"/>
    <cellStyle name="Normal 14 13 2 2" xfId="1302" xr:uid="{00000000-0005-0000-0000-00003E050000}"/>
    <cellStyle name="Normal 14 13 2 3" xfId="1303" xr:uid="{00000000-0005-0000-0000-00003F050000}"/>
    <cellStyle name="Normal 14 13 3" xfId="1304" xr:uid="{00000000-0005-0000-0000-000040050000}"/>
    <cellStyle name="Normal 14 13 4" xfId="1305" xr:uid="{00000000-0005-0000-0000-000041050000}"/>
    <cellStyle name="Normal 14 14" xfId="1306" xr:uid="{00000000-0005-0000-0000-000042050000}"/>
    <cellStyle name="Normal 14 14 2" xfId="1307" xr:uid="{00000000-0005-0000-0000-000043050000}"/>
    <cellStyle name="Normal 14 14 2 2" xfId="1308" xr:uid="{00000000-0005-0000-0000-000044050000}"/>
    <cellStyle name="Normal 14 14 2 3" xfId="1309" xr:uid="{00000000-0005-0000-0000-000045050000}"/>
    <cellStyle name="Normal 14 14 3" xfId="1310" xr:uid="{00000000-0005-0000-0000-000046050000}"/>
    <cellStyle name="Normal 14 14 4" xfId="1311" xr:uid="{00000000-0005-0000-0000-000047050000}"/>
    <cellStyle name="Normal 14 15" xfId="1312" xr:uid="{00000000-0005-0000-0000-000048050000}"/>
    <cellStyle name="Normal 14 15 2" xfId="1313" xr:uid="{00000000-0005-0000-0000-000049050000}"/>
    <cellStyle name="Normal 14 15 2 2" xfId="1314" xr:uid="{00000000-0005-0000-0000-00004A050000}"/>
    <cellStyle name="Normal 14 15 2 3" xfId="1315" xr:uid="{00000000-0005-0000-0000-00004B050000}"/>
    <cellStyle name="Normal 14 15 3" xfId="1316" xr:uid="{00000000-0005-0000-0000-00004C050000}"/>
    <cellStyle name="Normal 14 15 4" xfId="1317" xr:uid="{00000000-0005-0000-0000-00004D050000}"/>
    <cellStyle name="Normal 14 2" xfId="1318" xr:uid="{00000000-0005-0000-0000-00004E050000}"/>
    <cellStyle name="Normal 14 2 10" xfId="1319" xr:uid="{00000000-0005-0000-0000-00004F050000}"/>
    <cellStyle name="Normal 14 2 2" xfId="1320" xr:uid="{00000000-0005-0000-0000-000050050000}"/>
    <cellStyle name="Normal 14 2 2 2" xfId="1321" xr:uid="{00000000-0005-0000-0000-000051050000}"/>
    <cellStyle name="Normal 14 2 3" xfId="1322" xr:uid="{00000000-0005-0000-0000-000052050000}"/>
    <cellStyle name="Normal 14 2 3 2" xfId="1323" xr:uid="{00000000-0005-0000-0000-000053050000}"/>
    <cellStyle name="Normal 14 2 4" xfId="1324" xr:uid="{00000000-0005-0000-0000-000054050000}"/>
    <cellStyle name="Normal 14 2 4 2" xfId="1325" xr:uid="{00000000-0005-0000-0000-000055050000}"/>
    <cellStyle name="Normal 14 2 5" xfId="1326" xr:uid="{00000000-0005-0000-0000-000056050000}"/>
    <cellStyle name="Normal 14 2 5 2" xfId="1327" xr:uid="{00000000-0005-0000-0000-000057050000}"/>
    <cellStyle name="Normal 14 2 6" xfId="1328" xr:uid="{00000000-0005-0000-0000-000058050000}"/>
    <cellStyle name="Normal 14 2 6 2" xfId="1329" xr:uid="{00000000-0005-0000-0000-000059050000}"/>
    <cellStyle name="Normal 14 2 7" xfId="1330" xr:uid="{00000000-0005-0000-0000-00005A050000}"/>
    <cellStyle name="Normal 14 2 7 2" xfId="1331" xr:uid="{00000000-0005-0000-0000-00005B050000}"/>
    <cellStyle name="Normal 14 2 8" xfId="1332" xr:uid="{00000000-0005-0000-0000-00005C050000}"/>
    <cellStyle name="Normal 14 2 8 2" xfId="1333" xr:uid="{00000000-0005-0000-0000-00005D050000}"/>
    <cellStyle name="Normal 14 2 8 3" xfId="1334" xr:uid="{00000000-0005-0000-0000-00005E050000}"/>
    <cellStyle name="Normal 14 2 9" xfId="1335" xr:uid="{00000000-0005-0000-0000-00005F050000}"/>
    <cellStyle name="Normal 14 3" xfId="1336" xr:uid="{00000000-0005-0000-0000-000060050000}"/>
    <cellStyle name="Normal 14 3 2" xfId="1337" xr:uid="{00000000-0005-0000-0000-000061050000}"/>
    <cellStyle name="Normal 14 4" xfId="1338" xr:uid="{00000000-0005-0000-0000-000062050000}"/>
    <cellStyle name="Normal 14 4 2" xfId="1339" xr:uid="{00000000-0005-0000-0000-000063050000}"/>
    <cellStyle name="Normal 14 4 2 2" xfId="1340" xr:uid="{00000000-0005-0000-0000-000064050000}"/>
    <cellStyle name="Normal 14 4 2 3" xfId="1341" xr:uid="{00000000-0005-0000-0000-000065050000}"/>
    <cellStyle name="Normal 14 4 3" xfId="1342" xr:uid="{00000000-0005-0000-0000-000066050000}"/>
    <cellStyle name="Normal 14 4 4" xfId="1343" xr:uid="{00000000-0005-0000-0000-000067050000}"/>
    <cellStyle name="Normal 14 5" xfId="1344" xr:uid="{00000000-0005-0000-0000-000068050000}"/>
    <cellStyle name="Normal 14 5 2" xfId="1345" xr:uid="{00000000-0005-0000-0000-000069050000}"/>
    <cellStyle name="Normal 14 5 2 2" xfId="1346" xr:uid="{00000000-0005-0000-0000-00006A050000}"/>
    <cellStyle name="Normal 14 5 2 3" xfId="1347" xr:uid="{00000000-0005-0000-0000-00006B050000}"/>
    <cellStyle name="Normal 14 5 3" xfId="1348" xr:uid="{00000000-0005-0000-0000-00006C050000}"/>
    <cellStyle name="Normal 14 5 4" xfId="1349" xr:uid="{00000000-0005-0000-0000-00006D050000}"/>
    <cellStyle name="Normal 14 6" xfId="1350" xr:uid="{00000000-0005-0000-0000-00006E050000}"/>
    <cellStyle name="Normal 14 6 2" xfId="1351" xr:uid="{00000000-0005-0000-0000-00006F050000}"/>
    <cellStyle name="Normal 14 7" xfId="1352" xr:uid="{00000000-0005-0000-0000-000070050000}"/>
    <cellStyle name="Normal 14 7 2" xfId="1353" xr:uid="{00000000-0005-0000-0000-000071050000}"/>
    <cellStyle name="Normal 14 8" xfId="1354" xr:uid="{00000000-0005-0000-0000-000072050000}"/>
    <cellStyle name="Normal 14 8 2" xfId="1355" xr:uid="{00000000-0005-0000-0000-000073050000}"/>
    <cellStyle name="Normal 14 9" xfId="1356" xr:uid="{00000000-0005-0000-0000-000074050000}"/>
    <cellStyle name="Normal 14 9 2" xfId="1357" xr:uid="{00000000-0005-0000-0000-000075050000}"/>
    <cellStyle name="Normal 15" xfId="1358" xr:uid="{00000000-0005-0000-0000-000076050000}"/>
    <cellStyle name="Normal 15 2" xfId="1359" xr:uid="{00000000-0005-0000-0000-000077050000}"/>
    <cellStyle name="Normal 15 2 2" xfId="1360" xr:uid="{00000000-0005-0000-0000-000078050000}"/>
    <cellStyle name="Normal 15 3" xfId="1361" xr:uid="{00000000-0005-0000-0000-000079050000}"/>
    <cellStyle name="Normal 15 3 2" xfId="1362" xr:uid="{00000000-0005-0000-0000-00007A050000}"/>
    <cellStyle name="Normal 15 4" xfId="1363" xr:uid="{00000000-0005-0000-0000-00007B050000}"/>
    <cellStyle name="Normal 15 4 2" xfId="1364" xr:uid="{00000000-0005-0000-0000-00007C050000}"/>
    <cellStyle name="Normal 15 5" xfId="1365" xr:uid="{00000000-0005-0000-0000-00007D050000}"/>
    <cellStyle name="Normal 15 5 2" xfId="1366" xr:uid="{00000000-0005-0000-0000-00007E050000}"/>
    <cellStyle name="Normal 15 6" xfId="1367" xr:uid="{00000000-0005-0000-0000-00007F050000}"/>
    <cellStyle name="Normal 15 6 2" xfId="1368" xr:uid="{00000000-0005-0000-0000-000080050000}"/>
    <cellStyle name="Normal 16" xfId="1369" xr:uid="{00000000-0005-0000-0000-000081050000}"/>
    <cellStyle name="Normal 16 2" xfId="1370" xr:uid="{00000000-0005-0000-0000-000082050000}"/>
    <cellStyle name="Normal 16 2 2" xfId="1371" xr:uid="{00000000-0005-0000-0000-000083050000}"/>
    <cellStyle name="Normal 16 3" xfId="1372" xr:uid="{00000000-0005-0000-0000-000084050000}"/>
    <cellStyle name="Normal 16 3 2" xfId="1373" xr:uid="{00000000-0005-0000-0000-000085050000}"/>
    <cellStyle name="Normal 16 4" xfId="1374" xr:uid="{00000000-0005-0000-0000-000086050000}"/>
    <cellStyle name="Normal 16 4 2" xfId="1375" xr:uid="{00000000-0005-0000-0000-000087050000}"/>
    <cellStyle name="Normal 16 5" xfId="1376" xr:uid="{00000000-0005-0000-0000-000088050000}"/>
    <cellStyle name="Normal 16 5 2" xfId="1377" xr:uid="{00000000-0005-0000-0000-000089050000}"/>
    <cellStyle name="Normal 16 6" xfId="1378" xr:uid="{00000000-0005-0000-0000-00008A050000}"/>
    <cellStyle name="Normal 16 6 2" xfId="1379" xr:uid="{00000000-0005-0000-0000-00008B050000}"/>
    <cellStyle name="Normal 16 7" xfId="1380" xr:uid="{00000000-0005-0000-0000-00008C050000}"/>
    <cellStyle name="Normal 16 7 2" xfId="1381" xr:uid="{00000000-0005-0000-0000-00008D050000}"/>
    <cellStyle name="Normal 16 7 3" xfId="1382" xr:uid="{00000000-0005-0000-0000-00008E050000}"/>
    <cellStyle name="Normal 16 8" xfId="1383" xr:uid="{00000000-0005-0000-0000-00008F050000}"/>
    <cellStyle name="Normal 16 9" xfId="1384" xr:uid="{00000000-0005-0000-0000-000090050000}"/>
    <cellStyle name="Normal 17" xfId="1385" xr:uid="{00000000-0005-0000-0000-000091050000}"/>
    <cellStyle name="Normal 17 10" xfId="1386" xr:uid="{00000000-0005-0000-0000-000092050000}"/>
    <cellStyle name="Normal 17 10 2" xfId="1387" xr:uid="{00000000-0005-0000-0000-000093050000}"/>
    <cellStyle name="Normal 17 11" xfId="1388" xr:uid="{00000000-0005-0000-0000-000094050000}"/>
    <cellStyle name="Normal 17 11 2" xfId="1389" xr:uid="{00000000-0005-0000-0000-000095050000}"/>
    <cellStyle name="Normal 17 12" xfId="1390" xr:uid="{00000000-0005-0000-0000-000096050000}"/>
    <cellStyle name="Normal 17 12 2" xfId="1391" xr:uid="{00000000-0005-0000-0000-000097050000}"/>
    <cellStyle name="Normal 17 13" xfId="1392" xr:uid="{00000000-0005-0000-0000-000098050000}"/>
    <cellStyle name="Normal 17 13 2" xfId="1393" xr:uid="{00000000-0005-0000-0000-000099050000}"/>
    <cellStyle name="Normal 17 14" xfId="1394" xr:uid="{00000000-0005-0000-0000-00009A050000}"/>
    <cellStyle name="Normal 17 14 2" xfId="1395" xr:uid="{00000000-0005-0000-0000-00009B050000}"/>
    <cellStyle name="Normal 17 14 3" xfId="1396" xr:uid="{00000000-0005-0000-0000-00009C050000}"/>
    <cellStyle name="Normal 17 15" xfId="1397" xr:uid="{00000000-0005-0000-0000-00009D050000}"/>
    <cellStyle name="Normal 17 16" xfId="1398" xr:uid="{00000000-0005-0000-0000-00009E050000}"/>
    <cellStyle name="Normal 17 2" xfId="1399" xr:uid="{00000000-0005-0000-0000-00009F050000}"/>
    <cellStyle name="Normal 17 2 2" xfId="1400" xr:uid="{00000000-0005-0000-0000-0000A0050000}"/>
    <cellStyle name="Normal 17 3" xfId="1401" xr:uid="{00000000-0005-0000-0000-0000A1050000}"/>
    <cellStyle name="Normal 17 3 2" xfId="1402" xr:uid="{00000000-0005-0000-0000-0000A2050000}"/>
    <cellStyle name="Normal 17 4" xfId="1403" xr:uid="{00000000-0005-0000-0000-0000A3050000}"/>
    <cellStyle name="Normal 17 4 2" xfId="1404" xr:uid="{00000000-0005-0000-0000-0000A4050000}"/>
    <cellStyle name="Normal 17 5" xfId="1405" xr:uid="{00000000-0005-0000-0000-0000A5050000}"/>
    <cellStyle name="Normal 17 5 2" xfId="1406" xr:uid="{00000000-0005-0000-0000-0000A6050000}"/>
    <cellStyle name="Normal 17 6" xfId="1407" xr:uid="{00000000-0005-0000-0000-0000A7050000}"/>
    <cellStyle name="Normal 17 6 2" xfId="1408" xr:uid="{00000000-0005-0000-0000-0000A8050000}"/>
    <cellStyle name="Normal 17 7" xfId="1409" xr:uid="{00000000-0005-0000-0000-0000A9050000}"/>
    <cellStyle name="Normal 17 7 2" xfId="1410" xr:uid="{00000000-0005-0000-0000-0000AA050000}"/>
    <cellStyle name="Normal 17 8" xfId="1411" xr:uid="{00000000-0005-0000-0000-0000AB050000}"/>
    <cellStyle name="Normal 17 8 2" xfId="1412" xr:uid="{00000000-0005-0000-0000-0000AC050000}"/>
    <cellStyle name="Normal 17 9" xfId="1413" xr:uid="{00000000-0005-0000-0000-0000AD050000}"/>
    <cellStyle name="Normal 17 9 2" xfId="1414" xr:uid="{00000000-0005-0000-0000-0000AE050000}"/>
    <cellStyle name="Normal 18" xfId="1415" xr:uid="{00000000-0005-0000-0000-0000AF050000}"/>
    <cellStyle name="Normal 18 2" xfId="1416" xr:uid="{00000000-0005-0000-0000-0000B0050000}"/>
    <cellStyle name="Normal 18 2 2" xfId="1417" xr:uid="{00000000-0005-0000-0000-0000B1050000}"/>
    <cellStyle name="Normal 18 2 3" xfId="1418" xr:uid="{00000000-0005-0000-0000-0000B2050000}"/>
    <cellStyle name="Normal 18 3" xfId="1419" xr:uid="{00000000-0005-0000-0000-0000B3050000}"/>
    <cellStyle name="Normal 18 4" xfId="1420" xr:uid="{00000000-0005-0000-0000-0000B4050000}"/>
    <cellStyle name="Normal 19" xfId="1421" xr:uid="{00000000-0005-0000-0000-0000B5050000}"/>
    <cellStyle name="Normal 2" xfId="1422" xr:uid="{00000000-0005-0000-0000-0000B6050000}"/>
    <cellStyle name="Normal 2 10" xfId="1423" xr:uid="{00000000-0005-0000-0000-0000B7050000}"/>
    <cellStyle name="Normal 2 10 2" xfId="1424" xr:uid="{00000000-0005-0000-0000-0000B8050000}"/>
    <cellStyle name="Normal 2 11" xfId="1425" xr:uid="{00000000-0005-0000-0000-0000B9050000}"/>
    <cellStyle name="Normal 2 11 2" xfId="1426" xr:uid="{00000000-0005-0000-0000-0000BA050000}"/>
    <cellStyle name="Normal 2 12" xfId="1427" xr:uid="{00000000-0005-0000-0000-0000BB050000}"/>
    <cellStyle name="Normal 2 12 2" xfId="1428" xr:uid="{00000000-0005-0000-0000-0000BC050000}"/>
    <cellStyle name="Normal 2 13" xfId="1429" xr:uid="{00000000-0005-0000-0000-0000BD050000}"/>
    <cellStyle name="Normal 2 13 2" xfId="1430" xr:uid="{00000000-0005-0000-0000-0000BE050000}"/>
    <cellStyle name="Normal 2 14" xfId="1431" xr:uid="{00000000-0005-0000-0000-0000BF050000}"/>
    <cellStyle name="Normal 2 14 2" xfId="1432" xr:uid="{00000000-0005-0000-0000-0000C0050000}"/>
    <cellStyle name="Normal 2 15" xfId="1433" xr:uid="{00000000-0005-0000-0000-0000C1050000}"/>
    <cellStyle name="Normal 2 15 2" xfId="1434" xr:uid="{00000000-0005-0000-0000-0000C2050000}"/>
    <cellStyle name="Normal 2 16" xfId="1435" xr:uid="{00000000-0005-0000-0000-0000C3050000}"/>
    <cellStyle name="Normal 2 16 2" xfId="1436" xr:uid="{00000000-0005-0000-0000-0000C4050000}"/>
    <cellStyle name="Normal 2 17" xfId="1437" xr:uid="{00000000-0005-0000-0000-0000C5050000}"/>
    <cellStyle name="Normal 2 17 2" xfId="1438" xr:uid="{00000000-0005-0000-0000-0000C6050000}"/>
    <cellStyle name="Normal 2 18" xfId="1439" xr:uid="{00000000-0005-0000-0000-0000C7050000}"/>
    <cellStyle name="Normal 2 18 2" xfId="1440" xr:uid="{00000000-0005-0000-0000-0000C8050000}"/>
    <cellStyle name="Normal 2 18 3" xfId="1441" xr:uid="{00000000-0005-0000-0000-0000C9050000}"/>
    <cellStyle name="Normal 2 19" xfId="1442" xr:uid="{00000000-0005-0000-0000-0000CA050000}"/>
    <cellStyle name="Normal 2 2" xfId="1443" xr:uid="{00000000-0005-0000-0000-0000CB050000}"/>
    <cellStyle name="Normal 2 2 10" xfId="1444" xr:uid="{00000000-0005-0000-0000-0000CC050000}"/>
    <cellStyle name="Normal 2 2 10 2" xfId="1445" xr:uid="{00000000-0005-0000-0000-0000CD050000}"/>
    <cellStyle name="Normal 2 2 10 2 2" xfId="1446" xr:uid="{00000000-0005-0000-0000-0000CE050000}"/>
    <cellStyle name="Normal 2 2 10 2 3" xfId="1447" xr:uid="{00000000-0005-0000-0000-0000CF050000}"/>
    <cellStyle name="Normal 2 2 10 3" xfId="1448" xr:uid="{00000000-0005-0000-0000-0000D0050000}"/>
    <cellStyle name="Normal 2 2 10 4" xfId="1449" xr:uid="{00000000-0005-0000-0000-0000D1050000}"/>
    <cellStyle name="Normal 2 2 11" xfId="1450" xr:uid="{00000000-0005-0000-0000-0000D2050000}"/>
    <cellStyle name="Normal 2 2 11 2" xfId="1451" xr:uid="{00000000-0005-0000-0000-0000D3050000}"/>
    <cellStyle name="Normal 2 2 11 2 2" xfId="1452" xr:uid="{00000000-0005-0000-0000-0000D4050000}"/>
    <cellStyle name="Normal 2 2 11 2 3" xfId="1453" xr:uid="{00000000-0005-0000-0000-0000D5050000}"/>
    <cellStyle name="Normal 2 2 11 3" xfId="1454" xr:uid="{00000000-0005-0000-0000-0000D6050000}"/>
    <cellStyle name="Normal 2 2 11 4" xfId="1455" xr:uid="{00000000-0005-0000-0000-0000D7050000}"/>
    <cellStyle name="Normal 2 2 12" xfId="1456" xr:uid="{00000000-0005-0000-0000-0000D8050000}"/>
    <cellStyle name="Normal 2 2 12 2" xfId="1457" xr:uid="{00000000-0005-0000-0000-0000D9050000}"/>
    <cellStyle name="Normal 2 2 12 2 2" xfId="1458" xr:uid="{00000000-0005-0000-0000-0000DA050000}"/>
    <cellStyle name="Normal 2 2 12 2 3" xfId="1459" xr:uid="{00000000-0005-0000-0000-0000DB050000}"/>
    <cellStyle name="Normal 2 2 12 3" xfId="1460" xr:uid="{00000000-0005-0000-0000-0000DC050000}"/>
    <cellStyle name="Normal 2 2 12 4" xfId="1461" xr:uid="{00000000-0005-0000-0000-0000DD050000}"/>
    <cellStyle name="Normal 2 2 13" xfId="1462" xr:uid="{00000000-0005-0000-0000-0000DE050000}"/>
    <cellStyle name="Normal 2 2 13 2" xfId="1463" xr:uid="{00000000-0005-0000-0000-0000DF050000}"/>
    <cellStyle name="Normal 2 2 13 2 2" xfId="1464" xr:uid="{00000000-0005-0000-0000-0000E0050000}"/>
    <cellStyle name="Normal 2 2 13 2 3" xfId="1465" xr:uid="{00000000-0005-0000-0000-0000E1050000}"/>
    <cellStyle name="Normal 2 2 13 3" xfId="1466" xr:uid="{00000000-0005-0000-0000-0000E2050000}"/>
    <cellStyle name="Normal 2 2 13 4" xfId="1467" xr:uid="{00000000-0005-0000-0000-0000E3050000}"/>
    <cellStyle name="Normal 2 2 14" xfId="1468" xr:uid="{00000000-0005-0000-0000-0000E4050000}"/>
    <cellStyle name="Normal 2 2 14 2" xfId="1469" xr:uid="{00000000-0005-0000-0000-0000E5050000}"/>
    <cellStyle name="Normal 2 2 15" xfId="1470" xr:uid="{00000000-0005-0000-0000-0000E6050000}"/>
    <cellStyle name="Normal 2 2 16" xfId="1471" xr:uid="{00000000-0005-0000-0000-0000E7050000}"/>
    <cellStyle name="Normal 2 2 2" xfId="1472" xr:uid="{00000000-0005-0000-0000-0000E8050000}"/>
    <cellStyle name="Normal 2 2 2 2" xfId="1473" xr:uid="{00000000-0005-0000-0000-0000E9050000}"/>
    <cellStyle name="Normal 2 2 2 2 2" xfId="1474" xr:uid="{00000000-0005-0000-0000-0000EA050000}"/>
    <cellStyle name="Normal 2 2 2 2 3" xfId="1475" xr:uid="{00000000-0005-0000-0000-0000EB050000}"/>
    <cellStyle name="Normal 2 2 2 3" xfId="1476" xr:uid="{00000000-0005-0000-0000-0000EC050000}"/>
    <cellStyle name="Normal 2 2 2 4" xfId="1477" xr:uid="{00000000-0005-0000-0000-0000ED050000}"/>
    <cellStyle name="Normal 2 2 2 5" xfId="1478" xr:uid="{00000000-0005-0000-0000-0000EE050000}"/>
    <cellStyle name="Normal 2 2 3" xfId="1479" xr:uid="{00000000-0005-0000-0000-0000EF050000}"/>
    <cellStyle name="Normal 2 2 3 2" xfId="1480" xr:uid="{00000000-0005-0000-0000-0000F0050000}"/>
    <cellStyle name="Normal 2 2 3 2 2" xfId="1481" xr:uid="{00000000-0005-0000-0000-0000F1050000}"/>
    <cellStyle name="Normal 2 2 3 2 3" xfId="1482" xr:uid="{00000000-0005-0000-0000-0000F2050000}"/>
    <cellStyle name="Normal 2 2 3 3" xfId="1483" xr:uid="{00000000-0005-0000-0000-0000F3050000}"/>
    <cellStyle name="Normal 2 2 3 4" xfId="1484" xr:uid="{00000000-0005-0000-0000-0000F4050000}"/>
    <cellStyle name="Normal 2 2 3 5" xfId="1485" xr:uid="{00000000-0005-0000-0000-0000F5050000}"/>
    <cellStyle name="Normal 2 2 4" xfId="1486" xr:uid="{00000000-0005-0000-0000-0000F6050000}"/>
    <cellStyle name="Normal 2 2 4 2" xfId="1487" xr:uid="{00000000-0005-0000-0000-0000F7050000}"/>
    <cellStyle name="Normal 2 2 4 2 2" xfId="1488" xr:uid="{00000000-0005-0000-0000-0000F8050000}"/>
    <cellStyle name="Normal 2 2 4 2 3" xfId="1489" xr:uid="{00000000-0005-0000-0000-0000F9050000}"/>
    <cellStyle name="Normal 2 2 4 3" xfId="1490" xr:uid="{00000000-0005-0000-0000-0000FA050000}"/>
    <cellStyle name="Normal 2 2 4 4" xfId="1491" xr:uid="{00000000-0005-0000-0000-0000FB050000}"/>
    <cellStyle name="Normal 2 2 5" xfId="1492" xr:uid="{00000000-0005-0000-0000-0000FC050000}"/>
    <cellStyle name="Normal 2 2 5 2" xfId="1493" xr:uid="{00000000-0005-0000-0000-0000FD050000}"/>
    <cellStyle name="Normal 2 2 5 2 2" xfId="1494" xr:uid="{00000000-0005-0000-0000-0000FE050000}"/>
    <cellStyle name="Normal 2 2 5 2 3" xfId="1495" xr:uid="{00000000-0005-0000-0000-0000FF050000}"/>
    <cellStyle name="Normal 2 2 5 3" xfId="1496" xr:uid="{00000000-0005-0000-0000-000000060000}"/>
    <cellStyle name="Normal 2 2 5 4" xfId="1497" xr:uid="{00000000-0005-0000-0000-000001060000}"/>
    <cellStyle name="Normal 2 2 6" xfId="1498" xr:uid="{00000000-0005-0000-0000-000002060000}"/>
    <cellStyle name="Normal 2 2 6 2" xfId="1499" xr:uid="{00000000-0005-0000-0000-000003060000}"/>
    <cellStyle name="Normal 2 2 6 2 2" xfId="1500" xr:uid="{00000000-0005-0000-0000-000004060000}"/>
    <cellStyle name="Normal 2 2 6 2 3" xfId="1501" xr:uid="{00000000-0005-0000-0000-000005060000}"/>
    <cellStyle name="Normal 2 2 6 3" xfId="1502" xr:uid="{00000000-0005-0000-0000-000006060000}"/>
    <cellStyle name="Normal 2 2 6 4" xfId="1503" xr:uid="{00000000-0005-0000-0000-000007060000}"/>
    <cellStyle name="Normal 2 2 7" xfId="1504" xr:uid="{00000000-0005-0000-0000-000008060000}"/>
    <cellStyle name="Normal 2 2 7 2" xfId="1505" xr:uid="{00000000-0005-0000-0000-000009060000}"/>
    <cellStyle name="Normal 2 2 7 2 2" xfId="1506" xr:uid="{00000000-0005-0000-0000-00000A060000}"/>
    <cellStyle name="Normal 2 2 7 2 3" xfId="1507" xr:uid="{00000000-0005-0000-0000-00000B060000}"/>
    <cellStyle name="Normal 2 2 7 3" xfId="1508" xr:uid="{00000000-0005-0000-0000-00000C060000}"/>
    <cellStyle name="Normal 2 2 7 4" xfId="1509" xr:uid="{00000000-0005-0000-0000-00000D060000}"/>
    <cellStyle name="Normal 2 2 8" xfId="1510" xr:uid="{00000000-0005-0000-0000-00000E060000}"/>
    <cellStyle name="Normal 2 2 8 2" xfId="1511" xr:uid="{00000000-0005-0000-0000-00000F060000}"/>
    <cellStyle name="Normal 2 2 8 2 2" xfId="1512" xr:uid="{00000000-0005-0000-0000-000010060000}"/>
    <cellStyle name="Normal 2 2 8 2 3" xfId="1513" xr:uid="{00000000-0005-0000-0000-000011060000}"/>
    <cellStyle name="Normal 2 2 8 3" xfId="1514" xr:uid="{00000000-0005-0000-0000-000012060000}"/>
    <cellStyle name="Normal 2 2 8 4" xfId="1515" xr:uid="{00000000-0005-0000-0000-000013060000}"/>
    <cellStyle name="Normal 2 2 9" xfId="1516" xr:uid="{00000000-0005-0000-0000-000014060000}"/>
    <cellStyle name="Normal 2 2 9 2" xfId="1517" xr:uid="{00000000-0005-0000-0000-000015060000}"/>
    <cellStyle name="Normal 2 2 9 2 2" xfId="1518" xr:uid="{00000000-0005-0000-0000-000016060000}"/>
    <cellStyle name="Normal 2 2 9 2 3" xfId="1519" xr:uid="{00000000-0005-0000-0000-000017060000}"/>
    <cellStyle name="Normal 2 2 9 3" xfId="1520" xr:uid="{00000000-0005-0000-0000-000018060000}"/>
    <cellStyle name="Normal 2 2 9 4" xfId="1521" xr:uid="{00000000-0005-0000-0000-000019060000}"/>
    <cellStyle name="Normal 2 20" xfId="1522" xr:uid="{00000000-0005-0000-0000-00001A060000}"/>
    <cellStyle name="Normal 2 21" xfId="1523" xr:uid="{00000000-0005-0000-0000-00001B060000}"/>
    <cellStyle name="Normal 2 22" xfId="1524" xr:uid="{00000000-0005-0000-0000-00001C060000}"/>
    <cellStyle name="Normal 2 23" xfId="1525" xr:uid="{00000000-0005-0000-0000-00001D060000}"/>
    <cellStyle name="Normal 2 3" xfId="1526" xr:uid="{00000000-0005-0000-0000-00001E060000}"/>
    <cellStyle name="Normal 2 3 10" xfId="1527" xr:uid="{00000000-0005-0000-0000-00001F060000}"/>
    <cellStyle name="Normal 2 3 10 2" xfId="1528" xr:uid="{00000000-0005-0000-0000-000020060000}"/>
    <cellStyle name="Normal 2 3 10 2 2" xfId="1529" xr:uid="{00000000-0005-0000-0000-000021060000}"/>
    <cellStyle name="Normal 2 3 10 2 3" xfId="1530" xr:uid="{00000000-0005-0000-0000-000022060000}"/>
    <cellStyle name="Normal 2 3 10 3" xfId="1531" xr:uid="{00000000-0005-0000-0000-000023060000}"/>
    <cellStyle name="Normal 2 3 10 4" xfId="1532" xr:uid="{00000000-0005-0000-0000-000024060000}"/>
    <cellStyle name="Normal 2 3 11" xfId="1533" xr:uid="{00000000-0005-0000-0000-000025060000}"/>
    <cellStyle name="Normal 2 3 11 2" xfId="1534" xr:uid="{00000000-0005-0000-0000-000026060000}"/>
    <cellStyle name="Normal 2 3 11 2 2" xfId="1535" xr:uid="{00000000-0005-0000-0000-000027060000}"/>
    <cellStyle name="Normal 2 3 11 2 3" xfId="1536" xr:uid="{00000000-0005-0000-0000-000028060000}"/>
    <cellStyle name="Normal 2 3 11 3" xfId="1537" xr:uid="{00000000-0005-0000-0000-000029060000}"/>
    <cellStyle name="Normal 2 3 11 4" xfId="1538" xr:uid="{00000000-0005-0000-0000-00002A060000}"/>
    <cellStyle name="Normal 2 3 12" xfId="1539" xr:uid="{00000000-0005-0000-0000-00002B060000}"/>
    <cellStyle name="Normal 2 3 12 2" xfId="1540" xr:uid="{00000000-0005-0000-0000-00002C060000}"/>
    <cellStyle name="Normal 2 3 12 2 2" xfId="1541" xr:uid="{00000000-0005-0000-0000-00002D060000}"/>
    <cellStyle name="Normal 2 3 12 2 3" xfId="1542" xr:uid="{00000000-0005-0000-0000-00002E060000}"/>
    <cellStyle name="Normal 2 3 12 3" xfId="1543" xr:uid="{00000000-0005-0000-0000-00002F060000}"/>
    <cellStyle name="Normal 2 3 12 4" xfId="1544" xr:uid="{00000000-0005-0000-0000-000030060000}"/>
    <cellStyle name="Normal 2 3 13" xfId="1545" xr:uid="{00000000-0005-0000-0000-000031060000}"/>
    <cellStyle name="Normal 2 3 13 2" xfId="1546" xr:uid="{00000000-0005-0000-0000-000032060000}"/>
    <cellStyle name="Normal 2 3 13 2 2" xfId="1547" xr:uid="{00000000-0005-0000-0000-000033060000}"/>
    <cellStyle name="Normal 2 3 13 2 3" xfId="1548" xr:uid="{00000000-0005-0000-0000-000034060000}"/>
    <cellStyle name="Normal 2 3 13 3" xfId="1549" xr:uid="{00000000-0005-0000-0000-000035060000}"/>
    <cellStyle name="Normal 2 3 13 4" xfId="1550" xr:uid="{00000000-0005-0000-0000-000036060000}"/>
    <cellStyle name="Normal 2 3 14" xfId="1551" xr:uid="{00000000-0005-0000-0000-000037060000}"/>
    <cellStyle name="Normal 2 3 15" xfId="1552" xr:uid="{00000000-0005-0000-0000-000038060000}"/>
    <cellStyle name="Normal 2 3 16" xfId="1553" xr:uid="{00000000-0005-0000-0000-000039060000}"/>
    <cellStyle name="Normal 2 3 2" xfId="1554" xr:uid="{00000000-0005-0000-0000-00003A060000}"/>
    <cellStyle name="Normal 2 3 2 2" xfId="1555" xr:uid="{00000000-0005-0000-0000-00003B060000}"/>
    <cellStyle name="Normal 2 3 2 2 2" xfId="1556" xr:uid="{00000000-0005-0000-0000-00003C060000}"/>
    <cellStyle name="Normal 2 3 2 2 3" xfId="1557" xr:uid="{00000000-0005-0000-0000-00003D060000}"/>
    <cellStyle name="Normal 2 3 2 3" xfId="1558" xr:uid="{00000000-0005-0000-0000-00003E060000}"/>
    <cellStyle name="Normal 2 3 2 4" xfId="1559" xr:uid="{00000000-0005-0000-0000-00003F060000}"/>
    <cellStyle name="Normal 2 3 2 5" xfId="1560" xr:uid="{00000000-0005-0000-0000-000040060000}"/>
    <cellStyle name="Normal 2 3 3" xfId="1561" xr:uid="{00000000-0005-0000-0000-000041060000}"/>
    <cellStyle name="Normal 2 3 3 2" xfId="1562" xr:uid="{00000000-0005-0000-0000-000042060000}"/>
    <cellStyle name="Normal 2 3 3 2 2" xfId="1563" xr:uid="{00000000-0005-0000-0000-000043060000}"/>
    <cellStyle name="Normal 2 3 3 2 3" xfId="1564" xr:uid="{00000000-0005-0000-0000-000044060000}"/>
    <cellStyle name="Normal 2 3 3 3" xfId="1565" xr:uid="{00000000-0005-0000-0000-000045060000}"/>
    <cellStyle name="Normal 2 3 3 4" xfId="1566" xr:uid="{00000000-0005-0000-0000-000046060000}"/>
    <cellStyle name="Normal 2 3 3 5" xfId="1567" xr:uid="{00000000-0005-0000-0000-000047060000}"/>
    <cellStyle name="Normal 2 3 4" xfId="1568" xr:uid="{00000000-0005-0000-0000-000048060000}"/>
    <cellStyle name="Normal 2 3 4 2" xfId="1569" xr:uid="{00000000-0005-0000-0000-000049060000}"/>
    <cellStyle name="Normal 2 3 4 2 2" xfId="1570" xr:uid="{00000000-0005-0000-0000-00004A060000}"/>
    <cellStyle name="Normal 2 3 4 2 3" xfId="1571" xr:uid="{00000000-0005-0000-0000-00004B060000}"/>
    <cellStyle name="Normal 2 3 4 3" xfId="1572" xr:uid="{00000000-0005-0000-0000-00004C060000}"/>
    <cellStyle name="Normal 2 3 4 4" xfId="1573" xr:uid="{00000000-0005-0000-0000-00004D060000}"/>
    <cellStyle name="Normal 2 3 5" xfId="1574" xr:uid="{00000000-0005-0000-0000-00004E060000}"/>
    <cellStyle name="Normal 2 3 5 2" xfId="1575" xr:uid="{00000000-0005-0000-0000-00004F060000}"/>
    <cellStyle name="Normal 2 3 5 2 2" xfId="1576" xr:uid="{00000000-0005-0000-0000-000050060000}"/>
    <cellStyle name="Normal 2 3 5 2 3" xfId="1577" xr:uid="{00000000-0005-0000-0000-000051060000}"/>
    <cellStyle name="Normal 2 3 5 3" xfId="1578" xr:uid="{00000000-0005-0000-0000-000052060000}"/>
    <cellStyle name="Normal 2 3 5 4" xfId="1579" xr:uid="{00000000-0005-0000-0000-000053060000}"/>
    <cellStyle name="Normal 2 3 6" xfId="1580" xr:uid="{00000000-0005-0000-0000-000054060000}"/>
    <cellStyle name="Normal 2 3 6 2" xfId="1581" xr:uid="{00000000-0005-0000-0000-000055060000}"/>
    <cellStyle name="Normal 2 3 6 2 2" xfId="1582" xr:uid="{00000000-0005-0000-0000-000056060000}"/>
    <cellStyle name="Normal 2 3 6 2 3" xfId="1583" xr:uid="{00000000-0005-0000-0000-000057060000}"/>
    <cellStyle name="Normal 2 3 6 3" xfId="1584" xr:uid="{00000000-0005-0000-0000-000058060000}"/>
    <cellStyle name="Normal 2 3 6 4" xfId="1585" xr:uid="{00000000-0005-0000-0000-000059060000}"/>
    <cellStyle name="Normal 2 3 7" xfId="1586" xr:uid="{00000000-0005-0000-0000-00005A060000}"/>
    <cellStyle name="Normal 2 3 7 2" xfId="1587" xr:uid="{00000000-0005-0000-0000-00005B060000}"/>
    <cellStyle name="Normal 2 3 7 2 2" xfId="1588" xr:uid="{00000000-0005-0000-0000-00005C060000}"/>
    <cellStyle name="Normal 2 3 7 2 3" xfId="1589" xr:uid="{00000000-0005-0000-0000-00005D060000}"/>
    <cellStyle name="Normal 2 3 7 3" xfId="1590" xr:uid="{00000000-0005-0000-0000-00005E060000}"/>
    <cellStyle name="Normal 2 3 7 4" xfId="1591" xr:uid="{00000000-0005-0000-0000-00005F060000}"/>
    <cellStyle name="Normal 2 3 8" xfId="1592" xr:uid="{00000000-0005-0000-0000-000060060000}"/>
    <cellStyle name="Normal 2 3 8 2" xfId="1593" xr:uid="{00000000-0005-0000-0000-000061060000}"/>
    <cellStyle name="Normal 2 3 8 2 2" xfId="1594" xr:uid="{00000000-0005-0000-0000-000062060000}"/>
    <cellStyle name="Normal 2 3 8 2 3" xfId="1595" xr:uid="{00000000-0005-0000-0000-000063060000}"/>
    <cellStyle name="Normal 2 3 8 3" xfId="1596" xr:uid="{00000000-0005-0000-0000-000064060000}"/>
    <cellStyle name="Normal 2 3 8 4" xfId="1597" xr:uid="{00000000-0005-0000-0000-000065060000}"/>
    <cellStyle name="Normal 2 3 9" xfId="1598" xr:uid="{00000000-0005-0000-0000-000066060000}"/>
    <cellStyle name="Normal 2 3 9 2" xfId="1599" xr:uid="{00000000-0005-0000-0000-000067060000}"/>
    <cellStyle name="Normal 2 3 9 2 2" xfId="1600" xr:uid="{00000000-0005-0000-0000-000068060000}"/>
    <cellStyle name="Normal 2 3 9 2 3" xfId="1601" xr:uid="{00000000-0005-0000-0000-000069060000}"/>
    <cellStyle name="Normal 2 3 9 3" xfId="1602" xr:uid="{00000000-0005-0000-0000-00006A060000}"/>
    <cellStyle name="Normal 2 3 9 4" xfId="1603" xr:uid="{00000000-0005-0000-0000-00006B060000}"/>
    <cellStyle name="Normal 2 4" xfId="1604" xr:uid="{00000000-0005-0000-0000-00006C060000}"/>
    <cellStyle name="Normal 2 4 10" xfId="1605" xr:uid="{00000000-0005-0000-0000-00006D060000}"/>
    <cellStyle name="Normal 2 4 10 2" xfId="1606" xr:uid="{00000000-0005-0000-0000-00006E060000}"/>
    <cellStyle name="Normal 2 4 10 2 2" xfId="1607" xr:uid="{00000000-0005-0000-0000-00006F060000}"/>
    <cellStyle name="Normal 2 4 10 2 3" xfId="1608" xr:uid="{00000000-0005-0000-0000-000070060000}"/>
    <cellStyle name="Normal 2 4 10 3" xfId="1609" xr:uid="{00000000-0005-0000-0000-000071060000}"/>
    <cellStyle name="Normal 2 4 10 4" xfId="1610" xr:uid="{00000000-0005-0000-0000-000072060000}"/>
    <cellStyle name="Normal 2 4 11" xfId="1611" xr:uid="{00000000-0005-0000-0000-000073060000}"/>
    <cellStyle name="Normal 2 4 11 2" xfId="1612" xr:uid="{00000000-0005-0000-0000-000074060000}"/>
    <cellStyle name="Normal 2 4 11 2 2" xfId="1613" xr:uid="{00000000-0005-0000-0000-000075060000}"/>
    <cellStyle name="Normal 2 4 11 2 3" xfId="1614" xr:uid="{00000000-0005-0000-0000-000076060000}"/>
    <cellStyle name="Normal 2 4 11 3" xfId="1615" xr:uid="{00000000-0005-0000-0000-000077060000}"/>
    <cellStyle name="Normal 2 4 11 4" xfId="1616" xr:uid="{00000000-0005-0000-0000-000078060000}"/>
    <cellStyle name="Normal 2 4 12" xfId="1617" xr:uid="{00000000-0005-0000-0000-000079060000}"/>
    <cellStyle name="Normal 2 4 12 2" xfId="1618" xr:uid="{00000000-0005-0000-0000-00007A060000}"/>
    <cellStyle name="Normal 2 4 12 2 2" xfId="1619" xr:uid="{00000000-0005-0000-0000-00007B060000}"/>
    <cellStyle name="Normal 2 4 12 2 3" xfId="1620" xr:uid="{00000000-0005-0000-0000-00007C060000}"/>
    <cellStyle name="Normal 2 4 12 3" xfId="1621" xr:uid="{00000000-0005-0000-0000-00007D060000}"/>
    <cellStyle name="Normal 2 4 12 4" xfId="1622" xr:uid="{00000000-0005-0000-0000-00007E060000}"/>
    <cellStyle name="Normal 2 4 13" xfId="1623" xr:uid="{00000000-0005-0000-0000-00007F060000}"/>
    <cellStyle name="Normal 2 4 13 2" xfId="1624" xr:uid="{00000000-0005-0000-0000-000080060000}"/>
    <cellStyle name="Normal 2 4 13 2 2" xfId="1625" xr:uid="{00000000-0005-0000-0000-000081060000}"/>
    <cellStyle name="Normal 2 4 13 2 3" xfId="1626" xr:uid="{00000000-0005-0000-0000-000082060000}"/>
    <cellStyle name="Normal 2 4 13 3" xfId="1627" xr:uid="{00000000-0005-0000-0000-000083060000}"/>
    <cellStyle name="Normal 2 4 13 4" xfId="1628" xr:uid="{00000000-0005-0000-0000-000084060000}"/>
    <cellStyle name="Normal 2 4 14" xfId="1629" xr:uid="{00000000-0005-0000-0000-000085060000}"/>
    <cellStyle name="Normal 2 4 15" xfId="1630" xr:uid="{00000000-0005-0000-0000-000086060000}"/>
    <cellStyle name="Normal 2 4 2" xfId="1631" xr:uid="{00000000-0005-0000-0000-000087060000}"/>
    <cellStyle name="Normal 2 4 2 2" xfId="1632" xr:uid="{00000000-0005-0000-0000-000088060000}"/>
    <cellStyle name="Normal 2 4 2 2 2" xfId="1633" xr:uid="{00000000-0005-0000-0000-000089060000}"/>
    <cellStyle name="Normal 2 4 2 2 3" xfId="1634" xr:uid="{00000000-0005-0000-0000-00008A060000}"/>
    <cellStyle name="Normal 2 4 2 3" xfId="1635" xr:uid="{00000000-0005-0000-0000-00008B060000}"/>
    <cellStyle name="Normal 2 4 2 4" xfId="1636" xr:uid="{00000000-0005-0000-0000-00008C060000}"/>
    <cellStyle name="Normal 2 4 3" xfId="1637" xr:uid="{00000000-0005-0000-0000-00008D060000}"/>
    <cellStyle name="Normal 2 4 3 2" xfId="1638" xr:uid="{00000000-0005-0000-0000-00008E060000}"/>
    <cellStyle name="Normal 2 4 3 2 2" xfId="1639" xr:uid="{00000000-0005-0000-0000-00008F060000}"/>
    <cellStyle name="Normal 2 4 3 2 3" xfId="1640" xr:uid="{00000000-0005-0000-0000-000090060000}"/>
    <cellStyle name="Normal 2 4 3 3" xfId="1641" xr:uid="{00000000-0005-0000-0000-000091060000}"/>
    <cellStyle name="Normal 2 4 3 4" xfId="1642" xr:uid="{00000000-0005-0000-0000-000092060000}"/>
    <cellStyle name="Normal 2 4 4" xfId="1643" xr:uid="{00000000-0005-0000-0000-000093060000}"/>
    <cellStyle name="Normal 2 4 4 2" xfId="1644" xr:uid="{00000000-0005-0000-0000-000094060000}"/>
    <cellStyle name="Normal 2 4 4 2 2" xfId="1645" xr:uid="{00000000-0005-0000-0000-000095060000}"/>
    <cellStyle name="Normal 2 4 4 2 3" xfId="1646" xr:uid="{00000000-0005-0000-0000-000096060000}"/>
    <cellStyle name="Normal 2 4 4 3" xfId="1647" xr:uid="{00000000-0005-0000-0000-000097060000}"/>
    <cellStyle name="Normal 2 4 4 4" xfId="1648" xr:uid="{00000000-0005-0000-0000-000098060000}"/>
    <cellStyle name="Normal 2 4 5" xfId="1649" xr:uid="{00000000-0005-0000-0000-000099060000}"/>
    <cellStyle name="Normal 2 4 5 2" xfId="1650" xr:uid="{00000000-0005-0000-0000-00009A060000}"/>
    <cellStyle name="Normal 2 4 5 2 2" xfId="1651" xr:uid="{00000000-0005-0000-0000-00009B060000}"/>
    <cellStyle name="Normal 2 4 5 2 3" xfId="1652" xr:uid="{00000000-0005-0000-0000-00009C060000}"/>
    <cellStyle name="Normal 2 4 5 3" xfId="1653" xr:uid="{00000000-0005-0000-0000-00009D060000}"/>
    <cellStyle name="Normal 2 4 5 4" xfId="1654" xr:uid="{00000000-0005-0000-0000-00009E060000}"/>
    <cellStyle name="Normal 2 4 6" xfId="1655" xr:uid="{00000000-0005-0000-0000-00009F060000}"/>
    <cellStyle name="Normal 2 4 6 2" xfId="1656" xr:uid="{00000000-0005-0000-0000-0000A0060000}"/>
    <cellStyle name="Normal 2 4 6 2 2" xfId="1657" xr:uid="{00000000-0005-0000-0000-0000A1060000}"/>
    <cellStyle name="Normal 2 4 6 2 3" xfId="1658" xr:uid="{00000000-0005-0000-0000-0000A2060000}"/>
    <cellStyle name="Normal 2 4 6 3" xfId="1659" xr:uid="{00000000-0005-0000-0000-0000A3060000}"/>
    <cellStyle name="Normal 2 4 6 4" xfId="1660" xr:uid="{00000000-0005-0000-0000-0000A4060000}"/>
    <cellStyle name="Normal 2 4 7" xfId="1661" xr:uid="{00000000-0005-0000-0000-0000A5060000}"/>
    <cellStyle name="Normal 2 4 7 2" xfId="1662" xr:uid="{00000000-0005-0000-0000-0000A6060000}"/>
    <cellStyle name="Normal 2 4 7 2 2" xfId="1663" xr:uid="{00000000-0005-0000-0000-0000A7060000}"/>
    <cellStyle name="Normal 2 4 7 2 3" xfId="1664" xr:uid="{00000000-0005-0000-0000-0000A8060000}"/>
    <cellStyle name="Normal 2 4 7 3" xfId="1665" xr:uid="{00000000-0005-0000-0000-0000A9060000}"/>
    <cellStyle name="Normal 2 4 7 4" xfId="1666" xr:uid="{00000000-0005-0000-0000-0000AA060000}"/>
    <cellStyle name="Normal 2 4 8" xfId="1667" xr:uid="{00000000-0005-0000-0000-0000AB060000}"/>
    <cellStyle name="Normal 2 4 8 2" xfId="1668" xr:uid="{00000000-0005-0000-0000-0000AC060000}"/>
    <cellStyle name="Normal 2 4 8 2 2" xfId="1669" xr:uid="{00000000-0005-0000-0000-0000AD060000}"/>
    <cellStyle name="Normal 2 4 8 2 3" xfId="1670" xr:uid="{00000000-0005-0000-0000-0000AE060000}"/>
    <cellStyle name="Normal 2 4 8 3" xfId="1671" xr:uid="{00000000-0005-0000-0000-0000AF060000}"/>
    <cellStyle name="Normal 2 4 8 4" xfId="1672" xr:uid="{00000000-0005-0000-0000-0000B0060000}"/>
    <cellStyle name="Normal 2 4 9" xfId="1673" xr:uid="{00000000-0005-0000-0000-0000B1060000}"/>
    <cellStyle name="Normal 2 4 9 2" xfId="1674" xr:uid="{00000000-0005-0000-0000-0000B2060000}"/>
    <cellStyle name="Normal 2 4 9 2 2" xfId="1675" xr:uid="{00000000-0005-0000-0000-0000B3060000}"/>
    <cellStyle name="Normal 2 4 9 2 3" xfId="1676" xr:uid="{00000000-0005-0000-0000-0000B4060000}"/>
    <cellStyle name="Normal 2 4 9 3" xfId="1677" xr:uid="{00000000-0005-0000-0000-0000B5060000}"/>
    <cellStyle name="Normal 2 4 9 4" xfId="1678" xr:uid="{00000000-0005-0000-0000-0000B6060000}"/>
    <cellStyle name="Normal 2 5" xfId="1679" xr:uid="{00000000-0005-0000-0000-0000B7060000}"/>
    <cellStyle name="Normal 2 5 2" xfId="1680" xr:uid="{00000000-0005-0000-0000-0000B8060000}"/>
    <cellStyle name="Normal 2 5 3" xfId="1681" xr:uid="{00000000-0005-0000-0000-0000B9060000}"/>
    <cellStyle name="Normal 2 6" xfId="1682" xr:uid="{00000000-0005-0000-0000-0000BA060000}"/>
    <cellStyle name="Normal 2 6 2" xfId="1683" xr:uid="{00000000-0005-0000-0000-0000BB060000}"/>
    <cellStyle name="Normal 2 6 3" xfId="1684" xr:uid="{00000000-0005-0000-0000-0000BC060000}"/>
    <cellStyle name="Normal 2 7" xfId="1685" xr:uid="{00000000-0005-0000-0000-0000BD060000}"/>
    <cellStyle name="Normal 2 7 2" xfId="1686" xr:uid="{00000000-0005-0000-0000-0000BE060000}"/>
    <cellStyle name="Normal 2 7 3" xfId="1687" xr:uid="{00000000-0005-0000-0000-0000BF060000}"/>
    <cellStyle name="Normal 2 8" xfId="1688" xr:uid="{00000000-0005-0000-0000-0000C0060000}"/>
    <cellStyle name="Normal 2 8 2" xfId="1689" xr:uid="{00000000-0005-0000-0000-0000C1060000}"/>
    <cellStyle name="Normal 2 8 3" xfId="1690" xr:uid="{00000000-0005-0000-0000-0000C2060000}"/>
    <cellStyle name="Normal 2 9" xfId="1691" xr:uid="{00000000-0005-0000-0000-0000C3060000}"/>
    <cellStyle name="Normal 2 9 2" xfId="1692" xr:uid="{00000000-0005-0000-0000-0000C4060000}"/>
    <cellStyle name="Normal 2_OTHsectors" xfId="1693" xr:uid="{00000000-0005-0000-0000-0000C5060000}"/>
    <cellStyle name="Normal 20" xfId="1694" xr:uid="{00000000-0005-0000-0000-0000C6060000}"/>
    <cellStyle name="Normal 21" xfId="1695" xr:uid="{00000000-0005-0000-0000-0000C7060000}"/>
    <cellStyle name="Normal 21 2" xfId="1696" xr:uid="{00000000-0005-0000-0000-0000C8060000}"/>
    <cellStyle name="Normal 22" xfId="3402" xr:uid="{CA8C2A3E-547F-4FDD-96BC-75AA2995BAF1}"/>
    <cellStyle name="Normal 26" xfId="1697" xr:uid="{00000000-0005-0000-0000-0000C9060000}"/>
    <cellStyle name="Normal 26 2" xfId="1698" xr:uid="{00000000-0005-0000-0000-0000CA060000}"/>
    <cellStyle name="Normal 3" xfId="1699" xr:uid="{00000000-0005-0000-0000-0000CB060000}"/>
    <cellStyle name="Normal 3 10" xfId="1700" xr:uid="{00000000-0005-0000-0000-0000CC060000}"/>
    <cellStyle name="Normal 3 10 2" xfId="1701" xr:uid="{00000000-0005-0000-0000-0000CD060000}"/>
    <cellStyle name="Normal 3 11" xfId="1702" xr:uid="{00000000-0005-0000-0000-0000CE060000}"/>
    <cellStyle name="Normal 3 11 2" xfId="1703" xr:uid="{00000000-0005-0000-0000-0000CF060000}"/>
    <cellStyle name="Normal 3 12" xfId="1704" xr:uid="{00000000-0005-0000-0000-0000D0060000}"/>
    <cellStyle name="Normal 3 12 2" xfId="1705" xr:uid="{00000000-0005-0000-0000-0000D1060000}"/>
    <cellStyle name="Normal 3 13" xfId="1706" xr:uid="{00000000-0005-0000-0000-0000D2060000}"/>
    <cellStyle name="Normal 3 13 2" xfId="1707" xr:uid="{00000000-0005-0000-0000-0000D3060000}"/>
    <cellStyle name="Normal 3 14" xfId="1708" xr:uid="{00000000-0005-0000-0000-0000D4060000}"/>
    <cellStyle name="Normal 3 14 2" xfId="1709" xr:uid="{00000000-0005-0000-0000-0000D5060000}"/>
    <cellStyle name="Normal 3 14 3" xfId="1710" xr:uid="{00000000-0005-0000-0000-0000D6060000}"/>
    <cellStyle name="Normal 3 15" xfId="1711" xr:uid="{00000000-0005-0000-0000-0000D7060000}"/>
    <cellStyle name="Normal 3 16" xfId="1712" xr:uid="{00000000-0005-0000-0000-0000D8060000}"/>
    <cellStyle name="Normal 3 17" xfId="1713" xr:uid="{00000000-0005-0000-0000-0000D9060000}"/>
    <cellStyle name="Normal 3 18" xfId="1714" xr:uid="{00000000-0005-0000-0000-0000DA060000}"/>
    <cellStyle name="Normal 3 2" xfId="1715" xr:uid="{00000000-0005-0000-0000-0000DB060000}"/>
    <cellStyle name="Normal 3 2 10" xfId="1716" xr:uid="{00000000-0005-0000-0000-0000DC060000}"/>
    <cellStyle name="Normal 3 2 11" xfId="1717" xr:uid="{00000000-0005-0000-0000-0000DD060000}"/>
    <cellStyle name="Normal 3 2 2" xfId="1718" xr:uid="{00000000-0005-0000-0000-0000DE060000}"/>
    <cellStyle name="Normal 3 2 2 2" xfId="1719" xr:uid="{00000000-0005-0000-0000-0000DF060000}"/>
    <cellStyle name="Normal 3 2 2 3" xfId="1720" xr:uid="{00000000-0005-0000-0000-0000E0060000}"/>
    <cellStyle name="Normal 3 2 3" xfId="1721" xr:uid="{00000000-0005-0000-0000-0000E1060000}"/>
    <cellStyle name="Normal 3 2 3 2" xfId="1722" xr:uid="{00000000-0005-0000-0000-0000E2060000}"/>
    <cellStyle name="Normal 3 2 4" xfId="1723" xr:uid="{00000000-0005-0000-0000-0000E3060000}"/>
    <cellStyle name="Normal 3 2 4 2" xfId="1724" xr:uid="{00000000-0005-0000-0000-0000E4060000}"/>
    <cellStyle name="Normal 3 2 5" xfId="1725" xr:uid="{00000000-0005-0000-0000-0000E5060000}"/>
    <cellStyle name="Normal 3 2 5 2" xfId="1726" xr:uid="{00000000-0005-0000-0000-0000E6060000}"/>
    <cellStyle name="Normal 3 2 6" xfId="1727" xr:uid="{00000000-0005-0000-0000-0000E7060000}"/>
    <cellStyle name="Normal 3 2 6 2" xfId="1728" xr:uid="{00000000-0005-0000-0000-0000E8060000}"/>
    <cellStyle name="Normal 3 2 7" xfId="1729" xr:uid="{00000000-0005-0000-0000-0000E9060000}"/>
    <cellStyle name="Normal 3 2 7 2" xfId="1730" xr:uid="{00000000-0005-0000-0000-0000EA060000}"/>
    <cellStyle name="Normal 3 2 8" xfId="1731" xr:uid="{00000000-0005-0000-0000-0000EB060000}"/>
    <cellStyle name="Normal 3 2 8 2" xfId="1732" xr:uid="{00000000-0005-0000-0000-0000EC060000}"/>
    <cellStyle name="Normal 3 2 9" xfId="1733" xr:uid="{00000000-0005-0000-0000-0000ED060000}"/>
    <cellStyle name="Normal 3 3" xfId="1734" xr:uid="{00000000-0005-0000-0000-0000EE060000}"/>
    <cellStyle name="Normal 3 3 10" xfId="1735" xr:uid="{00000000-0005-0000-0000-0000EF060000}"/>
    <cellStyle name="Normal 3 3 2" xfId="1736" xr:uid="{00000000-0005-0000-0000-0000F0060000}"/>
    <cellStyle name="Normal 3 3 2 2" xfId="1737" xr:uid="{00000000-0005-0000-0000-0000F1060000}"/>
    <cellStyle name="Normal 3 3 3" xfId="1738" xr:uid="{00000000-0005-0000-0000-0000F2060000}"/>
    <cellStyle name="Normal 3 3 3 2" xfId="1739" xr:uid="{00000000-0005-0000-0000-0000F3060000}"/>
    <cellStyle name="Normal 3 3 4" xfId="1740" xr:uid="{00000000-0005-0000-0000-0000F4060000}"/>
    <cellStyle name="Normal 3 3 4 2" xfId="1741" xr:uid="{00000000-0005-0000-0000-0000F5060000}"/>
    <cellStyle name="Normal 3 3 5" xfId="1742" xr:uid="{00000000-0005-0000-0000-0000F6060000}"/>
    <cellStyle name="Normal 3 3 5 2" xfId="1743" xr:uid="{00000000-0005-0000-0000-0000F7060000}"/>
    <cellStyle name="Normal 3 3 6" xfId="1744" xr:uid="{00000000-0005-0000-0000-0000F8060000}"/>
    <cellStyle name="Normal 3 3 6 2" xfId="1745" xr:uid="{00000000-0005-0000-0000-0000F9060000}"/>
    <cellStyle name="Normal 3 3 7" xfId="1746" xr:uid="{00000000-0005-0000-0000-0000FA060000}"/>
    <cellStyle name="Normal 3 3 7 2" xfId="1747" xr:uid="{00000000-0005-0000-0000-0000FB060000}"/>
    <cellStyle name="Normal 3 3 8" xfId="1748" xr:uid="{00000000-0005-0000-0000-0000FC060000}"/>
    <cellStyle name="Normal 3 3 8 2" xfId="1749" xr:uid="{00000000-0005-0000-0000-0000FD060000}"/>
    <cellStyle name="Normal 3 3 9" xfId="1750" xr:uid="{00000000-0005-0000-0000-0000FE060000}"/>
    <cellStyle name="Normal 3 4" xfId="1751" xr:uid="{00000000-0005-0000-0000-0000FF060000}"/>
    <cellStyle name="Normal 3 4 10" xfId="1752" xr:uid="{00000000-0005-0000-0000-000000070000}"/>
    <cellStyle name="Normal 3 4 2" xfId="1753" xr:uid="{00000000-0005-0000-0000-000001070000}"/>
    <cellStyle name="Normal 3 4 2 2" xfId="1754" xr:uid="{00000000-0005-0000-0000-000002070000}"/>
    <cellStyle name="Normal 3 4 2 3" xfId="1755" xr:uid="{00000000-0005-0000-0000-000003070000}"/>
    <cellStyle name="Normal 3 4 3" xfId="1756" xr:uid="{00000000-0005-0000-0000-000004070000}"/>
    <cellStyle name="Normal 3 4 3 2" xfId="1757" xr:uid="{00000000-0005-0000-0000-000005070000}"/>
    <cellStyle name="Normal 3 4 4" xfId="1758" xr:uid="{00000000-0005-0000-0000-000006070000}"/>
    <cellStyle name="Normal 3 4 4 2" xfId="1759" xr:uid="{00000000-0005-0000-0000-000007070000}"/>
    <cellStyle name="Normal 3 4 5" xfId="1760" xr:uid="{00000000-0005-0000-0000-000008070000}"/>
    <cellStyle name="Normal 3 4 5 2" xfId="1761" xr:uid="{00000000-0005-0000-0000-000009070000}"/>
    <cellStyle name="Normal 3 4 6" xfId="1762" xr:uid="{00000000-0005-0000-0000-00000A070000}"/>
    <cellStyle name="Normal 3 4 6 2" xfId="1763" xr:uid="{00000000-0005-0000-0000-00000B070000}"/>
    <cellStyle name="Normal 3 4 7" xfId="1764" xr:uid="{00000000-0005-0000-0000-00000C070000}"/>
    <cellStyle name="Normal 3 4 7 2" xfId="1765" xr:uid="{00000000-0005-0000-0000-00000D070000}"/>
    <cellStyle name="Normal 3 4 8" xfId="1766" xr:uid="{00000000-0005-0000-0000-00000E070000}"/>
    <cellStyle name="Normal 3 4 8 2" xfId="1767" xr:uid="{00000000-0005-0000-0000-00000F070000}"/>
    <cellStyle name="Normal 3 4 9" xfId="1768" xr:uid="{00000000-0005-0000-0000-000010070000}"/>
    <cellStyle name="Normal 3 5" xfId="1769" xr:uid="{00000000-0005-0000-0000-000011070000}"/>
    <cellStyle name="Normal 3 5 10" xfId="1770" xr:uid="{00000000-0005-0000-0000-000012070000}"/>
    <cellStyle name="Normal 3 5 2" xfId="1771" xr:uid="{00000000-0005-0000-0000-000013070000}"/>
    <cellStyle name="Normal 3 5 2 2" xfId="1772" xr:uid="{00000000-0005-0000-0000-000014070000}"/>
    <cellStyle name="Normal 3 5 3" xfId="1773" xr:uid="{00000000-0005-0000-0000-000015070000}"/>
    <cellStyle name="Normal 3 5 3 2" xfId="1774" xr:uid="{00000000-0005-0000-0000-000016070000}"/>
    <cellStyle name="Normal 3 5 4" xfId="1775" xr:uid="{00000000-0005-0000-0000-000017070000}"/>
    <cellStyle name="Normal 3 5 4 2" xfId="1776" xr:uid="{00000000-0005-0000-0000-000018070000}"/>
    <cellStyle name="Normal 3 5 5" xfId="1777" xr:uid="{00000000-0005-0000-0000-000019070000}"/>
    <cellStyle name="Normal 3 5 5 2" xfId="1778" xr:uid="{00000000-0005-0000-0000-00001A070000}"/>
    <cellStyle name="Normal 3 5 6" xfId="1779" xr:uid="{00000000-0005-0000-0000-00001B070000}"/>
    <cellStyle name="Normal 3 5 6 2" xfId="1780" xr:uid="{00000000-0005-0000-0000-00001C070000}"/>
    <cellStyle name="Normal 3 5 7" xfId="1781" xr:uid="{00000000-0005-0000-0000-00001D070000}"/>
    <cellStyle name="Normal 3 5 7 2" xfId="1782" xr:uid="{00000000-0005-0000-0000-00001E070000}"/>
    <cellStyle name="Normal 3 5 8" xfId="1783" xr:uid="{00000000-0005-0000-0000-00001F070000}"/>
    <cellStyle name="Normal 3 5 8 2" xfId="1784" xr:uid="{00000000-0005-0000-0000-000020070000}"/>
    <cellStyle name="Normal 3 5 9" xfId="1785" xr:uid="{00000000-0005-0000-0000-000021070000}"/>
    <cellStyle name="Normal 3 6" xfId="1786" xr:uid="{00000000-0005-0000-0000-000022070000}"/>
    <cellStyle name="Normal 3 6 2" xfId="1787" xr:uid="{00000000-0005-0000-0000-000023070000}"/>
    <cellStyle name="Normal 3 6 3" xfId="1788" xr:uid="{00000000-0005-0000-0000-000024070000}"/>
    <cellStyle name="Normal 3 7" xfId="1789" xr:uid="{00000000-0005-0000-0000-000025070000}"/>
    <cellStyle name="Normal 3 7 2" xfId="1790" xr:uid="{00000000-0005-0000-0000-000026070000}"/>
    <cellStyle name="Normal 3 8" xfId="1791" xr:uid="{00000000-0005-0000-0000-000027070000}"/>
    <cellStyle name="Normal 3 8 2" xfId="1792" xr:uid="{00000000-0005-0000-0000-000028070000}"/>
    <cellStyle name="Normal 3 9" xfId="1793" xr:uid="{00000000-0005-0000-0000-000029070000}"/>
    <cellStyle name="Normal 3 9 2" xfId="1794" xr:uid="{00000000-0005-0000-0000-00002A070000}"/>
    <cellStyle name="Normal 4" xfId="1795" xr:uid="{00000000-0005-0000-0000-00002B070000}"/>
    <cellStyle name="Normal 4 10" xfId="1796" xr:uid="{00000000-0005-0000-0000-00002C070000}"/>
    <cellStyle name="Normal 4 10 2" xfId="1797" xr:uid="{00000000-0005-0000-0000-00002D070000}"/>
    <cellStyle name="Normal 4 11" xfId="1798" xr:uid="{00000000-0005-0000-0000-00002E070000}"/>
    <cellStyle name="Normal 4 11 2" xfId="1799" xr:uid="{00000000-0005-0000-0000-00002F070000}"/>
    <cellStyle name="Normal 4 12" xfId="1800" xr:uid="{00000000-0005-0000-0000-000030070000}"/>
    <cellStyle name="Normal 4 12 2" xfId="1801" xr:uid="{00000000-0005-0000-0000-000031070000}"/>
    <cellStyle name="Normal 4 13" xfId="1802" xr:uid="{00000000-0005-0000-0000-000032070000}"/>
    <cellStyle name="Normal 4 14" xfId="1803" xr:uid="{00000000-0005-0000-0000-000033070000}"/>
    <cellStyle name="Normal 4 15" xfId="1804" xr:uid="{00000000-0005-0000-0000-000034070000}"/>
    <cellStyle name="Normal 4 2" xfId="1805" xr:uid="{00000000-0005-0000-0000-000035070000}"/>
    <cellStyle name="Normal 4 2 10" xfId="1806" xr:uid="{00000000-0005-0000-0000-000036070000}"/>
    <cellStyle name="Normal 4 2 2" xfId="1807" xr:uid="{00000000-0005-0000-0000-000037070000}"/>
    <cellStyle name="Normal 4 2 2 10" xfId="1808" xr:uid="{00000000-0005-0000-0000-000038070000}"/>
    <cellStyle name="Normal 4 2 2 10 2" xfId="1809" xr:uid="{00000000-0005-0000-0000-000039070000}"/>
    <cellStyle name="Normal 4 2 2 10 2 2" xfId="1810" xr:uid="{00000000-0005-0000-0000-00003A070000}"/>
    <cellStyle name="Normal 4 2 2 10 2 3" xfId="1811" xr:uid="{00000000-0005-0000-0000-00003B070000}"/>
    <cellStyle name="Normal 4 2 2 10 3" xfId="1812" xr:uid="{00000000-0005-0000-0000-00003C070000}"/>
    <cellStyle name="Normal 4 2 2 10 4" xfId="1813" xr:uid="{00000000-0005-0000-0000-00003D070000}"/>
    <cellStyle name="Normal 4 2 2 11" xfId="1814" xr:uid="{00000000-0005-0000-0000-00003E070000}"/>
    <cellStyle name="Normal 4 2 2 11 2" xfId="1815" xr:uid="{00000000-0005-0000-0000-00003F070000}"/>
    <cellStyle name="Normal 4 2 2 11 2 2" xfId="1816" xr:uid="{00000000-0005-0000-0000-000040070000}"/>
    <cellStyle name="Normal 4 2 2 11 2 3" xfId="1817" xr:uid="{00000000-0005-0000-0000-000041070000}"/>
    <cellStyle name="Normal 4 2 2 11 3" xfId="1818" xr:uid="{00000000-0005-0000-0000-000042070000}"/>
    <cellStyle name="Normal 4 2 2 11 4" xfId="1819" xr:uid="{00000000-0005-0000-0000-000043070000}"/>
    <cellStyle name="Normal 4 2 2 12" xfId="1820" xr:uid="{00000000-0005-0000-0000-000044070000}"/>
    <cellStyle name="Normal 4 2 2 12 2" xfId="1821" xr:uid="{00000000-0005-0000-0000-000045070000}"/>
    <cellStyle name="Normal 4 2 2 12 2 2" xfId="1822" xr:uid="{00000000-0005-0000-0000-000046070000}"/>
    <cellStyle name="Normal 4 2 2 12 2 3" xfId="1823" xr:uid="{00000000-0005-0000-0000-000047070000}"/>
    <cellStyle name="Normal 4 2 2 12 3" xfId="1824" xr:uid="{00000000-0005-0000-0000-000048070000}"/>
    <cellStyle name="Normal 4 2 2 12 4" xfId="1825" xr:uid="{00000000-0005-0000-0000-000049070000}"/>
    <cellStyle name="Normal 4 2 2 13" xfId="1826" xr:uid="{00000000-0005-0000-0000-00004A070000}"/>
    <cellStyle name="Normal 4 2 2 13 2" xfId="1827" xr:uid="{00000000-0005-0000-0000-00004B070000}"/>
    <cellStyle name="Normal 4 2 2 13 2 2" xfId="1828" xr:uid="{00000000-0005-0000-0000-00004C070000}"/>
    <cellStyle name="Normal 4 2 2 13 2 3" xfId="1829" xr:uid="{00000000-0005-0000-0000-00004D070000}"/>
    <cellStyle name="Normal 4 2 2 13 3" xfId="1830" xr:uid="{00000000-0005-0000-0000-00004E070000}"/>
    <cellStyle name="Normal 4 2 2 13 4" xfId="1831" xr:uid="{00000000-0005-0000-0000-00004F070000}"/>
    <cellStyle name="Normal 4 2 2 14" xfId="1832" xr:uid="{00000000-0005-0000-0000-000050070000}"/>
    <cellStyle name="Normal 4 2 2 2" xfId="1833" xr:uid="{00000000-0005-0000-0000-000051070000}"/>
    <cellStyle name="Normal 4 2 2 2 10" xfId="1834" xr:uid="{00000000-0005-0000-0000-000052070000}"/>
    <cellStyle name="Normal 4 2 2 2 10 2" xfId="1835" xr:uid="{00000000-0005-0000-0000-000053070000}"/>
    <cellStyle name="Normal 4 2 2 2 11" xfId="1836" xr:uid="{00000000-0005-0000-0000-000054070000}"/>
    <cellStyle name="Normal 4 2 2 2 11 2" xfId="1837" xr:uid="{00000000-0005-0000-0000-000055070000}"/>
    <cellStyle name="Normal 4 2 2 2 12" xfId="1838" xr:uid="{00000000-0005-0000-0000-000056070000}"/>
    <cellStyle name="Normal 4 2 2 2 12 2" xfId="1839" xr:uid="{00000000-0005-0000-0000-000057070000}"/>
    <cellStyle name="Normal 4 2 2 2 13" xfId="1840" xr:uid="{00000000-0005-0000-0000-000058070000}"/>
    <cellStyle name="Normal 4 2 2 2 13 2" xfId="1841" xr:uid="{00000000-0005-0000-0000-000059070000}"/>
    <cellStyle name="Normal 4 2 2 2 14" xfId="1842" xr:uid="{00000000-0005-0000-0000-00005A070000}"/>
    <cellStyle name="Normal 4 2 2 2 14 2" xfId="1843" xr:uid="{00000000-0005-0000-0000-00005B070000}"/>
    <cellStyle name="Normal 4 2 2 2 14 3" xfId="1844" xr:uid="{00000000-0005-0000-0000-00005C070000}"/>
    <cellStyle name="Normal 4 2 2 2 15" xfId="1845" xr:uid="{00000000-0005-0000-0000-00005D070000}"/>
    <cellStyle name="Normal 4 2 2 2 16" xfId="1846" xr:uid="{00000000-0005-0000-0000-00005E070000}"/>
    <cellStyle name="Normal 4 2 2 2 2" xfId="1847" xr:uid="{00000000-0005-0000-0000-00005F070000}"/>
    <cellStyle name="Normal 4 2 2 2 2 2" xfId="1848" xr:uid="{00000000-0005-0000-0000-000060070000}"/>
    <cellStyle name="Normal 4 2 2 2 3" xfId="1849" xr:uid="{00000000-0005-0000-0000-000061070000}"/>
    <cellStyle name="Normal 4 2 2 2 3 2" xfId="1850" xr:uid="{00000000-0005-0000-0000-000062070000}"/>
    <cellStyle name="Normal 4 2 2 2 4" xfId="1851" xr:uid="{00000000-0005-0000-0000-000063070000}"/>
    <cellStyle name="Normal 4 2 2 2 4 2" xfId="1852" xr:uid="{00000000-0005-0000-0000-000064070000}"/>
    <cellStyle name="Normal 4 2 2 2 5" xfId="1853" xr:uid="{00000000-0005-0000-0000-000065070000}"/>
    <cellStyle name="Normal 4 2 2 2 5 2" xfId="1854" xr:uid="{00000000-0005-0000-0000-000066070000}"/>
    <cellStyle name="Normal 4 2 2 2 6" xfId="1855" xr:uid="{00000000-0005-0000-0000-000067070000}"/>
    <cellStyle name="Normal 4 2 2 2 6 2" xfId="1856" xr:uid="{00000000-0005-0000-0000-000068070000}"/>
    <cellStyle name="Normal 4 2 2 2 7" xfId="1857" xr:uid="{00000000-0005-0000-0000-000069070000}"/>
    <cellStyle name="Normal 4 2 2 2 7 2" xfId="1858" xr:uid="{00000000-0005-0000-0000-00006A070000}"/>
    <cellStyle name="Normal 4 2 2 2 8" xfId="1859" xr:uid="{00000000-0005-0000-0000-00006B070000}"/>
    <cellStyle name="Normal 4 2 2 2 8 2" xfId="1860" xr:uid="{00000000-0005-0000-0000-00006C070000}"/>
    <cellStyle name="Normal 4 2 2 2 9" xfId="1861" xr:uid="{00000000-0005-0000-0000-00006D070000}"/>
    <cellStyle name="Normal 4 2 2 2 9 2" xfId="1862" xr:uid="{00000000-0005-0000-0000-00006E070000}"/>
    <cellStyle name="Normal 4 2 2 3" xfId="1863" xr:uid="{00000000-0005-0000-0000-00006F070000}"/>
    <cellStyle name="Normal 4 2 2 3 2" xfId="1864" xr:uid="{00000000-0005-0000-0000-000070070000}"/>
    <cellStyle name="Normal 4 2 2 3 2 2" xfId="1865" xr:uid="{00000000-0005-0000-0000-000071070000}"/>
    <cellStyle name="Normal 4 2 2 3 2 3" xfId="1866" xr:uid="{00000000-0005-0000-0000-000072070000}"/>
    <cellStyle name="Normal 4 2 2 3 3" xfId="1867" xr:uid="{00000000-0005-0000-0000-000073070000}"/>
    <cellStyle name="Normal 4 2 2 3 4" xfId="1868" xr:uid="{00000000-0005-0000-0000-000074070000}"/>
    <cellStyle name="Normal 4 2 2 4" xfId="1869" xr:uid="{00000000-0005-0000-0000-000075070000}"/>
    <cellStyle name="Normal 4 2 2 4 2" xfId="1870" xr:uid="{00000000-0005-0000-0000-000076070000}"/>
    <cellStyle name="Normal 4 2 2 4 2 2" xfId="1871" xr:uid="{00000000-0005-0000-0000-000077070000}"/>
    <cellStyle name="Normal 4 2 2 4 2 3" xfId="1872" xr:uid="{00000000-0005-0000-0000-000078070000}"/>
    <cellStyle name="Normal 4 2 2 4 3" xfId="1873" xr:uid="{00000000-0005-0000-0000-000079070000}"/>
    <cellStyle name="Normal 4 2 2 4 4" xfId="1874" xr:uid="{00000000-0005-0000-0000-00007A070000}"/>
    <cellStyle name="Normal 4 2 2 5" xfId="1875" xr:uid="{00000000-0005-0000-0000-00007B070000}"/>
    <cellStyle name="Normal 4 2 2 5 2" xfId="1876" xr:uid="{00000000-0005-0000-0000-00007C070000}"/>
    <cellStyle name="Normal 4 2 2 5 2 2" xfId="1877" xr:uid="{00000000-0005-0000-0000-00007D070000}"/>
    <cellStyle name="Normal 4 2 2 5 2 3" xfId="1878" xr:uid="{00000000-0005-0000-0000-00007E070000}"/>
    <cellStyle name="Normal 4 2 2 5 3" xfId="1879" xr:uid="{00000000-0005-0000-0000-00007F070000}"/>
    <cellStyle name="Normal 4 2 2 5 4" xfId="1880" xr:uid="{00000000-0005-0000-0000-000080070000}"/>
    <cellStyle name="Normal 4 2 2 6" xfId="1881" xr:uid="{00000000-0005-0000-0000-000081070000}"/>
    <cellStyle name="Normal 4 2 2 6 2" xfId="1882" xr:uid="{00000000-0005-0000-0000-000082070000}"/>
    <cellStyle name="Normal 4 2 2 6 2 2" xfId="1883" xr:uid="{00000000-0005-0000-0000-000083070000}"/>
    <cellStyle name="Normal 4 2 2 6 2 3" xfId="1884" xr:uid="{00000000-0005-0000-0000-000084070000}"/>
    <cellStyle name="Normal 4 2 2 6 3" xfId="1885" xr:uid="{00000000-0005-0000-0000-000085070000}"/>
    <cellStyle name="Normal 4 2 2 6 4" xfId="1886" xr:uid="{00000000-0005-0000-0000-000086070000}"/>
    <cellStyle name="Normal 4 2 2 7" xfId="1887" xr:uid="{00000000-0005-0000-0000-000087070000}"/>
    <cellStyle name="Normal 4 2 2 7 2" xfId="1888" xr:uid="{00000000-0005-0000-0000-000088070000}"/>
    <cellStyle name="Normal 4 2 2 7 2 2" xfId="1889" xr:uid="{00000000-0005-0000-0000-000089070000}"/>
    <cellStyle name="Normal 4 2 2 7 2 3" xfId="1890" xr:uid="{00000000-0005-0000-0000-00008A070000}"/>
    <cellStyle name="Normal 4 2 2 7 3" xfId="1891" xr:uid="{00000000-0005-0000-0000-00008B070000}"/>
    <cellStyle name="Normal 4 2 2 7 4" xfId="1892" xr:uid="{00000000-0005-0000-0000-00008C070000}"/>
    <cellStyle name="Normal 4 2 2 8" xfId="1893" xr:uid="{00000000-0005-0000-0000-00008D070000}"/>
    <cellStyle name="Normal 4 2 2 8 2" xfId="1894" xr:uid="{00000000-0005-0000-0000-00008E070000}"/>
    <cellStyle name="Normal 4 2 2 8 2 2" xfId="1895" xr:uid="{00000000-0005-0000-0000-00008F070000}"/>
    <cellStyle name="Normal 4 2 2 8 2 3" xfId="1896" xr:uid="{00000000-0005-0000-0000-000090070000}"/>
    <cellStyle name="Normal 4 2 2 8 3" xfId="1897" xr:uid="{00000000-0005-0000-0000-000091070000}"/>
    <cellStyle name="Normal 4 2 2 8 4" xfId="1898" xr:uid="{00000000-0005-0000-0000-000092070000}"/>
    <cellStyle name="Normal 4 2 2 9" xfId="1899" xr:uid="{00000000-0005-0000-0000-000093070000}"/>
    <cellStyle name="Normal 4 2 2 9 2" xfId="1900" xr:uid="{00000000-0005-0000-0000-000094070000}"/>
    <cellStyle name="Normal 4 2 2 9 2 2" xfId="1901" xr:uid="{00000000-0005-0000-0000-000095070000}"/>
    <cellStyle name="Normal 4 2 2 9 2 3" xfId="1902" xr:uid="{00000000-0005-0000-0000-000096070000}"/>
    <cellStyle name="Normal 4 2 2 9 3" xfId="1903" xr:uid="{00000000-0005-0000-0000-000097070000}"/>
    <cellStyle name="Normal 4 2 2 9 4" xfId="1904" xr:uid="{00000000-0005-0000-0000-000098070000}"/>
    <cellStyle name="Normal 4 2 3" xfId="1905" xr:uid="{00000000-0005-0000-0000-000099070000}"/>
    <cellStyle name="Normal 4 2 3 2" xfId="1906" xr:uid="{00000000-0005-0000-0000-00009A070000}"/>
    <cellStyle name="Normal 4 2 4" xfId="1907" xr:uid="{00000000-0005-0000-0000-00009B070000}"/>
    <cellStyle name="Normal 4 2 4 2" xfId="1908" xr:uid="{00000000-0005-0000-0000-00009C070000}"/>
    <cellStyle name="Normal 4 2 5" xfId="1909" xr:uid="{00000000-0005-0000-0000-00009D070000}"/>
    <cellStyle name="Normal 4 2 5 2" xfId="1910" xr:uid="{00000000-0005-0000-0000-00009E070000}"/>
    <cellStyle name="Normal 4 2 6" xfId="1911" xr:uid="{00000000-0005-0000-0000-00009F070000}"/>
    <cellStyle name="Normal 4 2 6 2" xfId="1912" xr:uid="{00000000-0005-0000-0000-0000A0070000}"/>
    <cellStyle name="Normal 4 2 7" xfId="1913" xr:uid="{00000000-0005-0000-0000-0000A1070000}"/>
    <cellStyle name="Normal 4 2 7 2" xfId="1914" xr:uid="{00000000-0005-0000-0000-0000A2070000}"/>
    <cellStyle name="Normal 4 2 8" xfId="1915" xr:uid="{00000000-0005-0000-0000-0000A3070000}"/>
    <cellStyle name="Normal 4 2 8 2" xfId="1916" xr:uid="{00000000-0005-0000-0000-0000A4070000}"/>
    <cellStyle name="Normal 4 2 9" xfId="1917" xr:uid="{00000000-0005-0000-0000-0000A5070000}"/>
    <cellStyle name="Normal 4 3" xfId="1918" xr:uid="{00000000-0005-0000-0000-0000A6070000}"/>
    <cellStyle name="Normal 4 3 10" xfId="1919" xr:uid="{00000000-0005-0000-0000-0000A7070000}"/>
    <cellStyle name="Normal 4 3 2" xfId="1920" xr:uid="{00000000-0005-0000-0000-0000A8070000}"/>
    <cellStyle name="Normal 4 3 2 2" xfId="1921" xr:uid="{00000000-0005-0000-0000-0000A9070000}"/>
    <cellStyle name="Normal 4 3 3" xfId="1922" xr:uid="{00000000-0005-0000-0000-0000AA070000}"/>
    <cellStyle name="Normal 4 3 3 2" xfId="1923" xr:uid="{00000000-0005-0000-0000-0000AB070000}"/>
    <cellStyle name="Normal 4 3 4" xfId="1924" xr:uid="{00000000-0005-0000-0000-0000AC070000}"/>
    <cellStyle name="Normal 4 3 4 2" xfId="1925" xr:uid="{00000000-0005-0000-0000-0000AD070000}"/>
    <cellStyle name="Normal 4 3 5" xfId="1926" xr:uid="{00000000-0005-0000-0000-0000AE070000}"/>
    <cellStyle name="Normal 4 3 5 2" xfId="1927" xr:uid="{00000000-0005-0000-0000-0000AF070000}"/>
    <cellStyle name="Normal 4 3 6" xfId="1928" xr:uid="{00000000-0005-0000-0000-0000B0070000}"/>
    <cellStyle name="Normal 4 3 6 2" xfId="1929" xr:uid="{00000000-0005-0000-0000-0000B1070000}"/>
    <cellStyle name="Normal 4 3 7" xfId="1930" xr:uid="{00000000-0005-0000-0000-0000B2070000}"/>
    <cellStyle name="Normal 4 3 7 2" xfId="1931" xr:uid="{00000000-0005-0000-0000-0000B3070000}"/>
    <cellStyle name="Normal 4 3 8" xfId="1932" xr:uid="{00000000-0005-0000-0000-0000B4070000}"/>
    <cellStyle name="Normal 4 3 8 2" xfId="1933" xr:uid="{00000000-0005-0000-0000-0000B5070000}"/>
    <cellStyle name="Normal 4 3 9" xfId="1934" xr:uid="{00000000-0005-0000-0000-0000B6070000}"/>
    <cellStyle name="Normal 4 4" xfId="1935" xr:uid="{00000000-0005-0000-0000-0000B7070000}"/>
    <cellStyle name="Normal 4 4 10" xfId="1936" xr:uid="{00000000-0005-0000-0000-0000B8070000}"/>
    <cellStyle name="Normal 4 4 2" xfId="1937" xr:uid="{00000000-0005-0000-0000-0000B9070000}"/>
    <cellStyle name="Normal 4 4 2 2" xfId="1938" xr:uid="{00000000-0005-0000-0000-0000BA070000}"/>
    <cellStyle name="Normal 4 4 3" xfId="1939" xr:uid="{00000000-0005-0000-0000-0000BB070000}"/>
    <cellStyle name="Normal 4 4 3 2" xfId="1940" xr:uid="{00000000-0005-0000-0000-0000BC070000}"/>
    <cellStyle name="Normal 4 4 4" xfId="1941" xr:uid="{00000000-0005-0000-0000-0000BD070000}"/>
    <cellStyle name="Normal 4 4 4 2" xfId="1942" xr:uid="{00000000-0005-0000-0000-0000BE070000}"/>
    <cellStyle name="Normal 4 4 5" xfId="1943" xr:uid="{00000000-0005-0000-0000-0000BF070000}"/>
    <cellStyle name="Normal 4 4 5 2" xfId="1944" xr:uid="{00000000-0005-0000-0000-0000C0070000}"/>
    <cellStyle name="Normal 4 4 6" xfId="1945" xr:uid="{00000000-0005-0000-0000-0000C1070000}"/>
    <cellStyle name="Normal 4 4 6 2" xfId="1946" xr:uid="{00000000-0005-0000-0000-0000C2070000}"/>
    <cellStyle name="Normal 4 4 7" xfId="1947" xr:uid="{00000000-0005-0000-0000-0000C3070000}"/>
    <cellStyle name="Normal 4 4 7 2" xfId="1948" xr:uid="{00000000-0005-0000-0000-0000C4070000}"/>
    <cellStyle name="Normal 4 4 8" xfId="1949" xr:uid="{00000000-0005-0000-0000-0000C5070000}"/>
    <cellStyle name="Normal 4 4 8 2" xfId="1950" xr:uid="{00000000-0005-0000-0000-0000C6070000}"/>
    <cellStyle name="Normal 4 4 9" xfId="1951" xr:uid="{00000000-0005-0000-0000-0000C7070000}"/>
    <cellStyle name="Normal 4 5" xfId="1952" xr:uid="{00000000-0005-0000-0000-0000C8070000}"/>
    <cellStyle name="Normal 4 5 2" xfId="1953" xr:uid="{00000000-0005-0000-0000-0000C9070000}"/>
    <cellStyle name="Normal 4 5 2 2" xfId="1954" xr:uid="{00000000-0005-0000-0000-0000CA070000}"/>
    <cellStyle name="Normal 4 5 3" xfId="1955" xr:uid="{00000000-0005-0000-0000-0000CB070000}"/>
    <cellStyle name="Normal 4 5 3 2" xfId="1956" xr:uid="{00000000-0005-0000-0000-0000CC070000}"/>
    <cellStyle name="Normal 4 5 4" xfId="1957" xr:uid="{00000000-0005-0000-0000-0000CD070000}"/>
    <cellStyle name="Normal 4 5 4 2" xfId="1958" xr:uid="{00000000-0005-0000-0000-0000CE070000}"/>
    <cellStyle name="Normal 4 5 5" xfId="1959" xr:uid="{00000000-0005-0000-0000-0000CF070000}"/>
    <cellStyle name="Normal 4 5 5 2" xfId="1960" xr:uid="{00000000-0005-0000-0000-0000D0070000}"/>
    <cellStyle name="Normal 4 5 6" xfId="1961" xr:uid="{00000000-0005-0000-0000-0000D1070000}"/>
    <cellStyle name="Normal 4 5 6 2" xfId="1962" xr:uid="{00000000-0005-0000-0000-0000D2070000}"/>
    <cellStyle name="Normal 4 5 7" xfId="1963" xr:uid="{00000000-0005-0000-0000-0000D3070000}"/>
    <cellStyle name="Normal 4 5 7 2" xfId="1964" xr:uid="{00000000-0005-0000-0000-0000D4070000}"/>
    <cellStyle name="Normal 4 5 8" xfId="1965" xr:uid="{00000000-0005-0000-0000-0000D5070000}"/>
    <cellStyle name="Normal 4 5 8 2" xfId="1966" xr:uid="{00000000-0005-0000-0000-0000D6070000}"/>
    <cellStyle name="Normal 4 5 9" xfId="1967" xr:uid="{00000000-0005-0000-0000-0000D7070000}"/>
    <cellStyle name="Normal 4 6" xfId="1968" xr:uid="{00000000-0005-0000-0000-0000D8070000}"/>
    <cellStyle name="Normal 4 6 2" xfId="1969" xr:uid="{00000000-0005-0000-0000-0000D9070000}"/>
    <cellStyle name="Normal 4 7" xfId="1970" xr:uid="{00000000-0005-0000-0000-0000DA070000}"/>
    <cellStyle name="Normal 4 7 2" xfId="1971" xr:uid="{00000000-0005-0000-0000-0000DB070000}"/>
    <cellStyle name="Normal 4 8" xfId="1972" xr:uid="{00000000-0005-0000-0000-0000DC070000}"/>
    <cellStyle name="Normal 4 8 2" xfId="1973" xr:uid="{00000000-0005-0000-0000-0000DD070000}"/>
    <cellStyle name="Normal 4 9" xfId="1974" xr:uid="{00000000-0005-0000-0000-0000DE070000}"/>
    <cellStyle name="Normal 4 9 2" xfId="1975" xr:uid="{00000000-0005-0000-0000-0000DF070000}"/>
    <cellStyle name="Normal 5" xfId="1976" xr:uid="{00000000-0005-0000-0000-0000E0070000}"/>
    <cellStyle name="Normal 5 10" xfId="1977" xr:uid="{00000000-0005-0000-0000-0000E1070000}"/>
    <cellStyle name="Normal 5 10 2" xfId="1978" xr:uid="{00000000-0005-0000-0000-0000E2070000}"/>
    <cellStyle name="Normal 5 11" xfId="1979" xr:uid="{00000000-0005-0000-0000-0000E3070000}"/>
    <cellStyle name="Normal 5 11 2" xfId="1980" xr:uid="{00000000-0005-0000-0000-0000E4070000}"/>
    <cellStyle name="Normal 5 12" xfId="1981" xr:uid="{00000000-0005-0000-0000-0000E5070000}"/>
    <cellStyle name="Normal 5 12 2" xfId="1982" xr:uid="{00000000-0005-0000-0000-0000E6070000}"/>
    <cellStyle name="Normal 5 13" xfId="1983" xr:uid="{00000000-0005-0000-0000-0000E7070000}"/>
    <cellStyle name="Normal 5 13 2" xfId="1984" xr:uid="{00000000-0005-0000-0000-0000E8070000}"/>
    <cellStyle name="Normal 5 14" xfId="1985" xr:uid="{00000000-0005-0000-0000-0000E9070000}"/>
    <cellStyle name="Normal 5 14 2" xfId="1986" xr:uid="{00000000-0005-0000-0000-0000EA070000}"/>
    <cellStyle name="Normal 5 14 3" xfId="1987" xr:uid="{00000000-0005-0000-0000-0000EB070000}"/>
    <cellStyle name="Normal 5 15" xfId="1988" xr:uid="{00000000-0005-0000-0000-0000EC070000}"/>
    <cellStyle name="Normal 5 16" xfId="1989" xr:uid="{00000000-0005-0000-0000-0000ED070000}"/>
    <cellStyle name="Normal 5 17" xfId="1990" xr:uid="{00000000-0005-0000-0000-0000EE070000}"/>
    <cellStyle name="Normal 5 18" xfId="1991" xr:uid="{00000000-0005-0000-0000-0000EF070000}"/>
    <cellStyle name="Normal 5 2" xfId="1992" xr:uid="{00000000-0005-0000-0000-0000F0070000}"/>
    <cellStyle name="Normal 5 2 10" xfId="1993" xr:uid="{00000000-0005-0000-0000-0000F1070000}"/>
    <cellStyle name="Normal 5 2 10 2" xfId="1994" xr:uid="{00000000-0005-0000-0000-0000F2070000}"/>
    <cellStyle name="Normal 5 2 10 3" xfId="1995" xr:uid="{00000000-0005-0000-0000-0000F3070000}"/>
    <cellStyle name="Normal 5 2 11" xfId="1996" xr:uid="{00000000-0005-0000-0000-0000F4070000}"/>
    <cellStyle name="Normal 5 2 12" xfId="1997" xr:uid="{00000000-0005-0000-0000-0000F5070000}"/>
    <cellStyle name="Normal 5 2 13" xfId="1998" xr:uid="{00000000-0005-0000-0000-0000F6070000}"/>
    <cellStyle name="Normal 5 2 14" xfId="1999" xr:uid="{00000000-0005-0000-0000-0000F7070000}"/>
    <cellStyle name="Normal 5 2 2" xfId="2000" xr:uid="{00000000-0005-0000-0000-0000F8070000}"/>
    <cellStyle name="Normal 5 2 2 10" xfId="2001" xr:uid="{00000000-0005-0000-0000-0000F9070000}"/>
    <cellStyle name="Normal 5 2 2 10 2" xfId="2002" xr:uid="{00000000-0005-0000-0000-0000FA070000}"/>
    <cellStyle name="Normal 5 2 2 10 2 2" xfId="2003" xr:uid="{00000000-0005-0000-0000-0000FB070000}"/>
    <cellStyle name="Normal 5 2 2 10 2 3" xfId="2004" xr:uid="{00000000-0005-0000-0000-0000FC070000}"/>
    <cellStyle name="Normal 5 2 2 10 3" xfId="2005" xr:uid="{00000000-0005-0000-0000-0000FD070000}"/>
    <cellStyle name="Normal 5 2 2 10 4" xfId="2006" xr:uid="{00000000-0005-0000-0000-0000FE070000}"/>
    <cellStyle name="Normal 5 2 2 11" xfId="2007" xr:uid="{00000000-0005-0000-0000-0000FF070000}"/>
    <cellStyle name="Normal 5 2 2 11 2" xfId="2008" xr:uid="{00000000-0005-0000-0000-000000080000}"/>
    <cellStyle name="Normal 5 2 2 11 2 2" xfId="2009" xr:uid="{00000000-0005-0000-0000-000001080000}"/>
    <cellStyle name="Normal 5 2 2 11 2 3" xfId="2010" xr:uid="{00000000-0005-0000-0000-000002080000}"/>
    <cellStyle name="Normal 5 2 2 11 3" xfId="2011" xr:uid="{00000000-0005-0000-0000-000003080000}"/>
    <cellStyle name="Normal 5 2 2 11 4" xfId="2012" xr:uid="{00000000-0005-0000-0000-000004080000}"/>
    <cellStyle name="Normal 5 2 2 12" xfId="2013" xr:uid="{00000000-0005-0000-0000-000005080000}"/>
    <cellStyle name="Normal 5 2 2 12 2" xfId="2014" xr:uid="{00000000-0005-0000-0000-000006080000}"/>
    <cellStyle name="Normal 5 2 2 12 2 2" xfId="2015" xr:uid="{00000000-0005-0000-0000-000007080000}"/>
    <cellStyle name="Normal 5 2 2 12 2 3" xfId="2016" xr:uid="{00000000-0005-0000-0000-000008080000}"/>
    <cellStyle name="Normal 5 2 2 12 3" xfId="2017" xr:uid="{00000000-0005-0000-0000-000009080000}"/>
    <cellStyle name="Normal 5 2 2 12 4" xfId="2018" xr:uid="{00000000-0005-0000-0000-00000A080000}"/>
    <cellStyle name="Normal 5 2 2 13" xfId="2019" xr:uid="{00000000-0005-0000-0000-00000B080000}"/>
    <cellStyle name="Normal 5 2 2 13 2" xfId="2020" xr:uid="{00000000-0005-0000-0000-00000C080000}"/>
    <cellStyle name="Normal 5 2 2 13 2 2" xfId="2021" xr:uid="{00000000-0005-0000-0000-00000D080000}"/>
    <cellStyle name="Normal 5 2 2 13 2 3" xfId="2022" xr:uid="{00000000-0005-0000-0000-00000E080000}"/>
    <cellStyle name="Normal 5 2 2 13 3" xfId="2023" xr:uid="{00000000-0005-0000-0000-00000F080000}"/>
    <cellStyle name="Normal 5 2 2 13 4" xfId="2024" xr:uid="{00000000-0005-0000-0000-000010080000}"/>
    <cellStyle name="Normal 5 2 2 14" xfId="2025" xr:uid="{00000000-0005-0000-0000-000011080000}"/>
    <cellStyle name="Normal 5 2 2 2" xfId="2026" xr:uid="{00000000-0005-0000-0000-000012080000}"/>
    <cellStyle name="Normal 5 2 2 2 10" xfId="2027" xr:uid="{00000000-0005-0000-0000-000013080000}"/>
    <cellStyle name="Normal 5 2 2 2 10 2" xfId="2028" xr:uid="{00000000-0005-0000-0000-000014080000}"/>
    <cellStyle name="Normal 5 2 2 2 11" xfId="2029" xr:uid="{00000000-0005-0000-0000-000015080000}"/>
    <cellStyle name="Normal 5 2 2 2 11 2" xfId="2030" xr:uid="{00000000-0005-0000-0000-000016080000}"/>
    <cellStyle name="Normal 5 2 2 2 12" xfId="2031" xr:uid="{00000000-0005-0000-0000-000017080000}"/>
    <cellStyle name="Normal 5 2 2 2 12 2" xfId="2032" xr:uid="{00000000-0005-0000-0000-000018080000}"/>
    <cellStyle name="Normal 5 2 2 2 13" xfId="2033" xr:uid="{00000000-0005-0000-0000-000019080000}"/>
    <cellStyle name="Normal 5 2 2 2 13 2" xfId="2034" xr:uid="{00000000-0005-0000-0000-00001A080000}"/>
    <cellStyle name="Normal 5 2 2 2 14" xfId="2035" xr:uid="{00000000-0005-0000-0000-00001B080000}"/>
    <cellStyle name="Normal 5 2 2 2 14 2" xfId="2036" xr:uid="{00000000-0005-0000-0000-00001C080000}"/>
    <cellStyle name="Normal 5 2 2 2 14 3" xfId="2037" xr:uid="{00000000-0005-0000-0000-00001D080000}"/>
    <cellStyle name="Normal 5 2 2 2 15" xfId="2038" xr:uid="{00000000-0005-0000-0000-00001E080000}"/>
    <cellStyle name="Normal 5 2 2 2 16" xfId="2039" xr:uid="{00000000-0005-0000-0000-00001F080000}"/>
    <cellStyle name="Normal 5 2 2 2 2" xfId="2040" xr:uid="{00000000-0005-0000-0000-000020080000}"/>
    <cellStyle name="Normal 5 2 2 2 2 2" xfId="2041" xr:uid="{00000000-0005-0000-0000-000021080000}"/>
    <cellStyle name="Normal 5 2 2 2 3" xfId="2042" xr:uid="{00000000-0005-0000-0000-000022080000}"/>
    <cellStyle name="Normal 5 2 2 2 3 2" xfId="2043" xr:uid="{00000000-0005-0000-0000-000023080000}"/>
    <cellStyle name="Normal 5 2 2 2 4" xfId="2044" xr:uid="{00000000-0005-0000-0000-000024080000}"/>
    <cellStyle name="Normal 5 2 2 2 4 2" xfId="2045" xr:uid="{00000000-0005-0000-0000-000025080000}"/>
    <cellStyle name="Normal 5 2 2 2 5" xfId="2046" xr:uid="{00000000-0005-0000-0000-000026080000}"/>
    <cellStyle name="Normal 5 2 2 2 5 2" xfId="2047" xr:uid="{00000000-0005-0000-0000-000027080000}"/>
    <cellStyle name="Normal 5 2 2 2 6" xfId="2048" xr:uid="{00000000-0005-0000-0000-000028080000}"/>
    <cellStyle name="Normal 5 2 2 2 6 2" xfId="2049" xr:uid="{00000000-0005-0000-0000-000029080000}"/>
    <cellStyle name="Normal 5 2 2 2 7" xfId="2050" xr:uid="{00000000-0005-0000-0000-00002A080000}"/>
    <cellStyle name="Normal 5 2 2 2 7 2" xfId="2051" xr:uid="{00000000-0005-0000-0000-00002B080000}"/>
    <cellStyle name="Normal 5 2 2 2 8" xfId="2052" xr:uid="{00000000-0005-0000-0000-00002C080000}"/>
    <cellStyle name="Normal 5 2 2 2 8 2" xfId="2053" xr:uid="{00000000-0005-0000-0000-00002D080000}"/>
    <cellStyle name="Normal 5 2 2 2 9" xfId="2054" xr:uid="{00000000-0005-0000-0000-00002E080000}"/>
    <cellStyle name="Normal 5 2 2 2 9 2" xfId="2055" xr:uid="{00000000-0005-0000-0000-00002F080000}"/>
    <cellStyle name="Normal 5 2 2 3" xfId="2056" xr:uid="{00000000-0005-0000-0000-000030080000}"/>
    <cellStyle name="Normal 5 2 2 3 2" xfId="2057" xr:uid="{00000000-0005-0000-0000-000031080000}"/>
    <cellStyle name="Normal 5 2 2 3 2 2" xfId="2058" xr:uid="{00000000-0005-0000-0000-000032080000}"/>
    <cellStyle name="Normal 5 2 2 3 2 3" xfId="2059" xr:uid="{00000000-0005-0000-0000-000033080000}"/>
    <cellStyle name="Normal 5 2 2 3 3" xfId="2060" xr:uid="{00000000-0005-0000-0000-000034080000}"/>
    <cellStyle name="Normal 5 2 2 3 4" xfId="2061" xr:uid="{00000000-0005-0000-0000-000035080000}"/>
    <cellStyle name="Normal 5 2 2 4" xfId="2062" xr:uid="{00000000-0005-0000-0000-000036080000}"/>
    <cellStyle name="Normal 5 2 2 4 2" xfId="2063" xr:uid="{00000000-0005-0000-0000-000037080000}"/>
    <cellStyle name="Normal 5 2 2 4 2 2" xfId="2064" xr:uid="{00000000-0005-0000-0000-000038080000}"/>
    <cellStyle name="Normal 5 2 2 4 2 3" xfId="2065" xr:uid="{00000000-0005-0000-0000-000039080000}"/>
    <cellStyle name="Normal 5 2 2 4 3" xfId="2066" xr:uid="{00000000-0005-0000-0000-00003A080000}"/>
    <cellStyle name="Normal 5 2 2 4 4" xfId="2067" xr:uid="{00000000-0005-0000-0000-00003B080000}"/>
    <cellStyle name="Normal 5 2 2 5" xfId="2068" xr:uid="{00000000-0005-0000-0000-00003C080000}"/>
    <cellStyle name="Normal 5 2 2 5 2" xfId="2069" xr:uid="{00000000-0005-0000-0000-00003D080000}"/>
    <cellStyle name="Normal 5 2 2 5 2 2" xfId="2070" xr:uid="{00000000-0005-0000-0000-00003E080000}"/>
    <cellStyle name="Normal 5 2 2 5 2 3" xfId="2071" xr:uid="{00000000-0005-0000-0000-00003F080000}"/>
    <cellStyle name="Normal 5 2 2 5 3" xfId="2072" xr:uid="{00000000-0005-0000-0000-000040080000}"/>
    <cellStyle name="Normal 5 2 2 5 4" xfId="2073" xr:uid="{00000000-0005-0000-0000-000041080000}"/>
    <cellStyle name="Normal 5 2 2 6" xfId="2074" xr:uid="{00000000-0005-0000-0000-000042080000}"/>
    <cellStyle name="Normal 5 2 2 6 2" xfId="2075" xr:uid="{00000000-0005-0000-0000-000043080000}"/>
    <cellStyle name="Normal 5 2 2 6 2 2" xfId="2076" xr:uid="{00000000-0005-0000-0000-000044080000}"/>
    <cellStyle name="Normal 5 2 2 6 2 3" xfId="2077" xr:uid="{00000000-0005-0000-0000-000045080000}"/>
    <cellStyle name="Normal 5 2 2 6 3" xfId="2078" xr:uid="{00000000-0005-0000-0000-000046080000}"/>
    <cellStyle name="Normal 5 2 2 6 4" xfId="2079" xr:uid="{00000000-0005-0000-0000-000047080000}"/>
    <cellStyle name="Normal 5 2 2 7" xfId="2080" xr:uid="{00000000-0005-0000-0000-000048080000}"/>
    <cellStyle name="Normal 5 2 2 7 2" xfId="2081" xr:uid="{00000000-0005-0000-0000-000049080000}"/>
    <cellStyle name="Normal 5 2 2 7 2 2" xfId="2082" xr:uid="{00000000-0005-0000-0000-00004A080000}"/>
    <cellStyle name="Normal 5 2 2 7 2 3" xfId="2083" xr:uid="{00000000-0005-0000-0000-00004B080000}"/>
    <cellStyle name="Normal 5 2 2 7 3" xfId="2084" xr:uid="{00000000-0005-0000-0000-00004C080000}"/>
    <cellStyle name="Normal 5 2 2 7 4" xfId="2085" xr:uid="{00000000-0005-0000-0000-00004D080000}"/>
    <cellStyle name="Normal 5 2 2 8" xfId="2086" xr:uid="{00000000-0005-0000-0000-00004E080000}"/>
    <cellStyle name="Normal 5 2 2 8 2" xfId="2087" xr:uid="{00000000-0005-0000-0000-00004F080000}"/>
    <cellStyle name="Normal 5 2 2 8 2 2" xfId="2088" xr:uid="{00000000-0005-0000-0000-000050080000}"/>
    <cellStyle name="Normal 5 2 2 8 2 3" xfId="2089" xr:uid="{00000000-0005-0000-0000-000051080000}"/>
    <cellStyle name="Normal 5 2 2 8 3" xfId="2090" xr:uid="{00000000-0005-0000-0000-000052080000}"/>
    <cellStyle name="Normal 5 2 2 8 4" xfId="2091" xr:uid="{00000000-0005-0000-0000-000053080000}"/>
    <cellStyle name="Normal 5 2 2 9" xfId="2092" xr:uid="{00000000-0005-0000-0000-000054080000}"/>
    <cellStyle name="Normal 5 2 2 9 2" xfId="2093" xr:uid="{00000000-0005-0000-0000-000055080000}"/>
    <cellStyle name="Normal 5 2 2 9 2 2" xfId="2094" xr:uid="{00000000-0005-0000-0000-000056080000}"/>
    <cellStyle name="Normal 5 2 2 9 2 3" xfId="2095" xr:uid="{00000000-0005-0000-0000-000057080000}"/>
    <cellStyle name="Normal 5 2 2 9 3" xfId="2096" xr:uid="{00000000-0005-0000-0000-000058080000}"/>
    <cellStyle name="Normal 5 2 2 9 4" xfId="2097" xr:uid="{00000000-0005-0000-0000-000059080000}"/>
    <cellStyle name="Normal 5 2 3" xfId="2098" xr:uid="{00000000-0005-0000-0000-00005A080000}"/>
    <cellStyle name="Normal 5 2 3 2" xfId="2099" xr:uid="{00000000-0005-0000-0000-00005B080000}"/>
    <cellStyle name="Normal 5 2 4" xfId="2100" xr:uid="{00000000-0005-0000-0000-00005C080000}"/>
    <cellStyle name="Normal 5 2 4 2" xfId="2101" xr:uid="{00000000-0005-0000-0000-00005D080000}"/>
    <cellStyle name="Normal 5 2 5" xfId="2102" xr:uid="{00000000-0005-0000-0000-00005E080000}"/>
    <cellStyle name="Normal 5 2 5 2" xfId="2103" xr:uid="{00000000-0005-0000-0000-00005F080000}"/>
    <cellStyle name="Normal 5 2 6" xfId="2104" xr:uid="{00000000-0005-0000-0000-000060080000}"/>
    <cellStyle name="Normal 5 2 6 2" xfId="2105" xr:uid="{00000000-0005-0000-0000-000061080000}"/>
    <cellStyle name="Normal 5 2 7" xfId="2106" xr:uid="{00000000-0005-0000-0000-000062080000}"/>
    <cellStyle name="Normal 5 2 7 2" xfId="2107" xr:uid="{00000000-0005-0000-0000-000063080000}"/>
    <cellStyle name="Normal 5 2 8" xfId="2108" xr:uid="{00000000-0005-0000-0000-000064080000}"/>
    <cellStyle name="Normal 5 2 8 2" xfId="2109" xr:uid="{00000000-0005-0000-0000-000065080000}"/>
    <cellStyle name="Normal 5 2 9" xfId="2110" xr:uid="{00000000-0005-0000-0000-000066080000}"/>
    <cellStyle name="Normal 5 2 9 2" xfId="2111" xr:uid="{00000000-0005-0000-0000-000067080000}"/>
    <cellStyle name="Normal 5 3" xfId="2112" xr:uid="{00000000-0005-0000-0000-000068080000}"/>
    <cellStyle name="Normal 5 3 10" xfId="2113" xr:uid="{00000000-0005-0000-0000-000069080000}"/>
    <cellStyle name="Normal 5 3 2" xfId="2114" xr:uid="{00000000-0005-0000-0000-00006A080000}"/>
    <cellStyle name="Normal 5 3 2 2" xfId="2115" xr:uid="{00000000-0005-0000-0000-00006B080000}"/>
    <cellStyle name="Normal 5 3 3" xfId="2116" xr:uid="{00000000-0005-0000-0000-00006C080000}"/>
    <cellStyle name="Normal 5 3 3 2" xfId="2117" xr:uid="{00000000-0005-0000-0000-00006D080000}"/>
    <cellStyle name="Normal 5 3 4" xfId="2118" xr:uid="{00000000-0005-0000-0000-00006E080000}"/>
    <cellStyle name="Normal 5 3 4 2" xfId="2119" xr:uid="{00000000-0005-0000-0000-00006F080000}"/>
    <cellStyle name="Normal 5 3 5" xfId="2120" xr:uid="{00000000-0005-0000-0000-000070080000}"/>
    <cellStyle name="Normal 5 3 5 2" xfId="2121" xr:uid="{00000000-0005-0000-0000-000071080000}"/>
    <cellStyle name="Normal 5 3 6" xfId="2122" xr:uid="{00000000-0005-0000-0000-000072080000}"/>
    <cellStyle name="Normal 5 3 6 2" xfId="2123" xr:uid="{00000000-0005-0000-0000-000073080000}"/>
    <cellStyle name="Normal 5 3 7" xfId="2124" xr:uid="{00000000-0005-0000-0000-000074080000}"/>
    <cellStyle name="Normal 5 3 7 2" xfId="2125" xr:uid="{00000000-0005-0000-0000-000075080000}"/>
    <cellStyle name="Normal 5 3 8" xfId="2126" xr:uid="{00000000-0005-0000-0000-000076080000}"/>
    <cellStyle name="Normal 5 3 8 2" xfId="2127" xr:uid="{00000000-0005-0000-0000-000077080000}"/>
    <cellStyle name="Normal 5 3 9" xfId="2128" xr:uid="{00000000-0005-0000-0000-000078080000}"/>
    <cellStyle name="Normal 5 4" xfId="2129" xr:uid="{00000000-0005-0000-0000-000079080000}"/>
    <cellStyle name="Normal 5 4 10" xfId="2130" xr:uid="{00000000-0005-0000-0000-00007A080000}"/>
    <cellStyle name="Normal 5 4 2" xfId="2131" xr:uid="{00000000-0005-0000-0000-00007B080000}"/>
    <cellStyle name="Normal 5 4 2 2" xfId="2132" xr:uid="{00000000-0005-0000-0000-00007C080000}"/>
    <cellStyle name="Normal 5 4 3" xfId="2133" xr:uid="{00000000-0005-0000-0000-00007D080000}"/>
    <cellStyle name="Normal 5 4 3 2" xfId="2134" xr:uid="{00000000-0005-0000-0000-00007E080000}"/>
    <cellStyle name="Normal 5 4 4" xfId="2135" xr:uid="{00000000-0005-0000-0000-00007F080000}"/>
    <cellStyle name="Normal 5 4 4 2" xfId="2136" xr:uid="{00000000-0005-0000-0000-000080080000}"/>
    <cellStyle name="Normal 5 4 5" xfId="2137" xr:uid="{00000000-0005-0000-0000-000081080000}"/>
    <cellStyle name="Normal 5 4 5 2" xfId="2138" xr:uid="{00000000-0005-0000-0000-000082080000}"/>
    <cellStyle name="Normal 5 4 6" xfId="2139" xr:uid="{00000000-0005-0000-0000-000083080000}"/>
    <cellStyle name="Normal 5 4 6 2" xfId="2140" xr:uid="{00000000-0005-0000-0000-000084080000}"/>
    <cellStyle name="Normal 5 4 7" xfId="2141" xr:uid="{00000000-0005-0000-0000-000085080000}"/>
    <cellStyle name="Normal 5 4 7 2" xfId="2142" xr:uid="{00000000-0005-0000-0000-000086080000}"/>
    <cellStyle name="Normal 5 4 8" xfId="2143" xr:uid="{00000000-0005-0000-0000-000087080000}"/>
    <cellStyle name="Normal 5 4 8 2" xfId="2144" xr:uid="{00000000-0005-0000-0000-000088080000}"/>
    <cellStyle name="Normal 5 4 9" xfId="2145" xr:uid="{00000000-0005-0000-0000-000089080000}"/>
    <cellStyle name="Normal 5 5" xfId="2146" xr:uid="{00000000-0005-0000-0000-00008A080000}"/>
    <cellStyle name="Normal 5 5 2" xfId="2147" xr:uid="{00000000-0005-0000-0000-00008B080000}"/>
    <cellStyle name="Normal 5 5 2 2" xfId="2148" xr:uid="{00000000-0005-0000-0000-00008C080000}"/>
    <cellStyle name="Normal 5 5 3" xfId="2149" xr:uid="{00000000-0005-0000-0000-00008D080000}"/>
    <cellStyle name="Normal 5 5 3 2" xfId="2150" xr:uid="{00000000-0005-0000-0000-00008E080000}"/>
    <cellStyle name="Normal 5 5 4" xfId="2151" xr:uid="{00000000-0005-0000-0000-00008F080000}"/>
    <cellStyle name="Normal 5 5 4 2" xfId="2152" xr:uid="{00000000-0005-0000-0000-000090080000}"/>
    <cellStyle name="Normal 5 5 5" xfId="2153" xr:uid="{00000000-0005-0000-0000-000091080000}"/>
    <cellStyle name="Normal 5 5 5 2" xfId="2154" xr:uid="{00000000-0005-0000-0000-000092080000}"/>
    <cellStyle name="Normal 5 5 6" xfId="2155" xr:uid="{00000000-0005-0000-0000-000093080000}"/>
    <cellStyle name="Normal 5 5 6 2" xfId="2156" xr:uid="{00000000-0005-0000-0000-000094080000}"/>
    <cellStyle name="Normal 5 5 7" xfId="2157" xr:uid="{00000000-0005-0000-0000-000095080000}"/>
    <cellStyle name="Normal 5 5 7 2" xfId="2158" xr:uid="{00000000-0005-0000-0000-000096080000}"/>
    <cellStyle name="Normal 5 5 8" xfId="2159" xr:uid="{00000000-0005-0000-0000-000097080000}"/>
    <cellStyle name="Normal 5 5 8 2" xfId="2160" xr:uid="{00000000-0005-0000-0000-000098080000}"/>
    <cellStyle name="Normal 5 5 9" xfId="2161" xr:uid="{00000000-0005-0000-0000-000099080000}"/>
    <cellStyle name="Normal 5 6" xfId="2162" xr:uid="{00000000-0005-0000-0000-00009A080000}"/>
    <cellStyle name="Normal 5 6 2" xfId="2163" xr:uid="{00000000-0005-0000-0000-00009B080000}"/>
    <cellStyle name="Normal 5 7" xfId="2164" xr:uid="{00000000-0005-0000-0000-00009C080000}"/>
    <cellStyle name="Normal 5 7 2" xfId="2165" xr:uid="{00000000-0005-0000-0000-00009D080000}"/>
    <cellStyle name="Normal 5 8" xfId="2166" xr:uid="{00000000-0005-0000-0000-00009E080000}"/>
    <cellStyle name="Normal 5 8 2" xfId="2167" xr:uid="{00000000-0005-0000-0000-00009F080000}"/>
    <cellStyle name="Normal 5 9" xfId="2168" xr:uid="{00000000-0005-0000-0000-0000A0080000}"/>
    <cellStyle name="Normal 5 9 2" xfId="2169" xr:uid="{00000000-0005-0000-0000-0000A1080000}"/>
    <cellStyle name="Normal 6" xfId="2170" xr:uid="{00000000-0005-0000-0000-0000A2080000}"/>
    <cellStyle name="Normal 6 10" xfId="2171" xr:uid="{00000000-0005-0000-0000-0000A3080000}"/>
    <cellStyle name="Normal 6 10 2" xfId="2172" xr:uid="{00000000-0005-0000-0000-0000A4080000}"/>
    <cellStyle name="Normal 6 11" xfId="2173" xr:uid="{00000000-0005-0000-0000-0000A5080000}"/>
    <cellStyle name="Normal 6 11 2" xfId="2174" xr:uid="{00000000-0005-0000-0000-0000A6080000}"/>
    <cellStyle name="Normal 6 12" xfId="2175" xr:uid="{00000000-0005-0000-0000-0000A7080000}"/>
    <cellStyle name="Normal 6 12 2" xfId="2176" xr:uid="{00000000-0005-0000-0000-0000A8080000}"/>
    <cellStyle name="Normal 6 13" xfId="2177" xr:uid="{00000000-0005-0000-0000-0000A9080000}"/>
    <cellStyle name="Normal 6 13 2" xfId="2178" xr:uid="{00000000-0005-0000-0000-0000AA080000}"/>
    <cellStyle name="Normal 6 14" xfId="2179" xr:uid="{00000000-0005-0000-0000-0000AB080000}"/>
    <cellStyle name="Normal 6 15" xfId="2180" xr:uid="{00000000-0005-0000-0000-0000AC080000}"/>
    <cellStyle name="Normal 6 2" xfId="2181" xr:uid="{00000000-0005-0000-0000-0000AD080000}"/>
    <cellStyle name="Normal 6 2 10" xfId="2182" xr:uid="{00000000-0005-0000-0000-0000AE080000}"/>
    <cellStyle name="Normal 6 2 2" xfId="2183" xr:uid="{00000000-0005-0000-0000-0000AF080000}"/>
    <cellStyle name="Normal 6 2 2 10" xfId="2184" xr:uid="{00000000-0005-0000-0000-0000B0080000}"/>
    <cellStyle name="Normal 6 2 2 10 2" xfId="2185" xr:uid="{00000000-0005-0000-0000-0000B1080000}"/>
    <cellStyle name="Normal 6 2 2 10 2 2" xfId="2186" xr:uid="{00000000-0005-0000-0000-0000B2080000}"/>
    <cellStyle name="Normal 6 2 2 10 2 3" xfId="2187" xr:uid="{00000000-0005-0000-0000-0000B3080000}"/>
    <cellStyle name="Normal 6 2 2 10 3" xfId="2188" xr:uid="{00000000-0005-0000-0000-0000B4080000}"/>
    <cellStyle name="Normal 6 2 2 10 4" xfId="2189" xr:uid="{00000000-0005-0000-0000-0000B5080000}"/>
    <cellStyle name="Normal 6 2 2 11" xfId="2190" xr:uid="{00000000-0005-0000-0000-0000B6080000}"/>
    <cellStyle name="Normal 6 2 2 11 2" xfId="2191" xr:uid="{00000000-0005-0000-0000-0000B7080000}"/>
    <cellStyle name="Normal 6 2 2 11 2 2" xfId="2192" xr:uid="{00000000-0005-0000-0000-0000B8080000}"/>
    <cellStyle name="Normal 6 2 2 11 2 3" xfId="2193" xr:uid="{00000000-0005-0000-0000-0000B9080000}"/>
    <cellStyle name="Normal 6 2 2 11 3" xfId="2194" xr:uid="{00000000-0005-0000-0000-0000BA080000}"/>
    <cellStyle name="Normal 6 2 2 11 4" xfId="2195" xr:uid="{00000000-0005-0000-0000-0000BB080000}"/>
    <cellStyle name="Normal 6 2 2 12" xfId="2196" xr:uid="{00000000-0005-0000-0000-0000BC080000}"/>
    <cellStyle name="Normal 6 2 2 12 2" xfId="2197" xr:uid="{00000000-0005-0000-0000-0000BD080000}"/>
    <cellStyle name="Normal 6 2 2 12 2 2" xfId="2198" xr:uid="{00000000-0005-0000-0000-0000BE080000}"/>
    <cellStyle name="Normal 6 2 2 12 2 3" xfId="2199" xr:uid="{00000000-0005-0000-0000-0000BF080000}"/>
    <cellStyle name="Normal 6 2 2 12 3" xfId="2200" xr:uid="{00000000-0005-0000-0000-0000C0080000}"/>
    <cellStyle name="Normal 6 2 2 12 4" xfId="2201" xr:uid="{00000000-0005-0000-0000-0000C1080000}"/>
    <cellStyle name="Normal 6 2 2 13" xfId="2202" xr:uid="{00000000-0005-0000-0000-0000C2080000}"/>
    <cellStyle name="Normal 6 2 2 13 2" xfId="2203" xr:uid="{00000000-0005-0000-0000-0000C3080000}"/>
    <cellStyle name="Normal 6 2 2 13 2 2" xfId="2204" xr:uid="{00000000-0005-0000-0000-0000C4080000}"/>
    <cellStyle name="Normal 6 2 2 13 2 3" xfId="2205" xr:uid="{00000000-0005-0000-0000-0000C5080000}"/>
    <cellStyle name="Normal 6 2 2 13 3" xfId="2206" xr:uid="{00000000-0005-0000-0000-0000C6080000}"/>
    <cellStyle name="Normal 6 2 2 13 4" xfId="2207" xr:uid="{00000000-0005-0000-0000-0000C7080000}"/>
    <cellStyle name="Normal 6 2 2 14" xfId="2208" xr:uid="{00000000-0005-0000-0000-0000C8080000}"/>
    <cellStyle name="Normal 6 2 2 15" xfId="2209" xr:uid="{00000000-0005-0000-0000-0000C9080000}"/>
    <cellStyle name="Normal 6 2 2 2" xfId="2210" xr:uid="{00000000-0005-0000-0000-0000CA080000}"/>
    <cellStyle name="Normal 6 2 2 2 2" xfId="2211" xr:uid="{00000000-0005-0000-0000-0000CB080000}"/>
    <cellStyle name="Normal 6 2 2 2 2 2" xfId="2212" xr:uid="{00000000-0005-0000-0000-0000CC080000}"/>
    <cellStyle name="Normal 6 2 2 2 2 3" xfId="2213" xr:uid="{00000000-0005-0000-0000-0000CD080000}"/>
    <cellStyle name="Normal 6 2 2 2 3" xfId="2214" xr:uid="{00000000-0005-0000-0000-0000CE080000}"/>
    <cellStyle name="Normal 6 2 2 2 4" xfId="2215" xr:uid="{00000000-0005-0000-0000-0000CF080000}"/>
    <cellStyle name="Normal 6 2 2 3" xfId="2216" xr:uid="{00000000-0005-0000-0000-0000D0080000}"/>
    <cellStyle name="Normal 6 2 2 3 2" xfId="2217" xr:uid="{00000000-0005-0000-0000-0000D1080000}"/>
    <cellStyle name="Normal 6 2 2 3 2 2" xfId="2218" xr:uid="{00000000-0005-0000-0000-0000D2080000}"/>
    <cellStyle name="Normal 6 2 2 3 2 3" xfId="2219" xr:uid="{00000000-0005-0000-0000-0000D3080000}"/>
    <cellStyle name="Normal 6 2 2 3 3" xfId="2220" xr:uid="{00000000-0005-0000-0000-0000D4080000}"/>
    <cellStyle name="Normal 6 2 2 3 4" xfId="2221" xr:uid="{00000000-0005-0000-0000-0000D5080000}"/>
    <cellStyle name="Normal 6 2 2 4" xfId="2222" xr:uid="{00000000-0005-0000-0000-0000D6080000}"/>
    <cellStyle name="Normal 6 2 2 4 2" xfId="2223" xr:uid="{00000000-0005-0000-0000-0000D7080000}"/>
    <cellStyle name="Normal 6 2 2 4 2 2" xfId="2224" xr:uid="{00000000-0005-0000-0000-0000D8080000}"/>
    <cellStyle name="Normal 6 2 2 4 2 3" xfId="2225" xr:uid="{00000000-0005-0000-0000-0000D9080000}"/>
    <cellStyle name="Normal 6 2 2 4 3" xfId="2226" xr:uid="{00000000-0005-0000-0000-0000DA080000}"/>
    <cellStyle name="Normal 6 2 2 4 4" xfId="2227" xr:uid="{00000000-0005-0000-0000-0000DB080000}"/>
    <cellStyle name="Normal 6 2 2 5" xfId="2228" xr:uid="{00000000-0005-0000-0000-0000DC080000}"/>
    <cellStyle name="Normal 6 2 2 5 2" xfId="2229" xr:uid="{00000000-0005-0000-0000-0000DD080000}"/>
    <cellStyle name="Normal 6 2 2 5 2 2" xfId="2230" xr:uid="{00000000-0005-0000-0000-0000DE080000}"/>
    <cellStyle name="Normal 6 2 2 5 2 3" xfId="2231" xr:uid="{00000000-0005-0000-0000-0000DF080000}"/>
    <cellStyle name="Normal 6 2 2 5 3" xfId="2232" xr:uid="{00000000-0005-0000-0000-0000E0080000}"/>
    <cellStyle name="Normal 6 2 2 5 4" xfId="2233" xr:uid="{00000000-0005-0000-0000-0000E1080000}"/>
    <cellStyle name="Normal 6 2 2 6" xfId="2234" xr:uid="{00000000-0005-0000-0000-0000E2080000}"/>
    <cellStyle name="Normal 6 2 2 6 2" xfId="2235" xr:uid="{00000000-0005-0000-0000-0000E3080000}"/>
    <cellStyle name="Normal 6 2 2 6 2 2" xfId="2236" xr:uid="{00000000-0005-0000-0000-0000E4080000}"/>
    <cellStyle name="Normal 6 2 2 6 2 3" xfId="2237" xr:uid="{00000000-0005-0000-0000-0000E5080000}"/>
    <cellStyle name="Normal 6 2 2 6 3" xfId="2238" xr:uid="{00000000-0005-0000-0000-0000E6080000}"/>
    <cellStyle name="Normal 6 2 2 6 4" xfId="2239" xr:uid="{00000000-0005-0000-0000-0000E7080000}"/>
    <cellStyle name="Normal 6 2 2 7" xfId="2240" xr:uid="{00000000-0005-0000-0000-0000E8080000}"/>
    <cellStyle name="Normal 6 2 2 7 2" xfId="2241" xr:uid="{00000000-0005-0000-0000-0000E9080000}"/>
    <cellStyle name="Normal 6 2 2 7 2 2" xfId="2242" xr:uid="{00000000-0005-0000-0000-0000EA080000}"/>
    <cellStyle name="Normal 6 2 2 7 2 3" xfId="2243" xr:uid="{00000000-0005-0000-0000-0000EB080000}"/>
    <cellStyle name="Normal 6 2 2 7 3" xfId="2244" xr:uid="{00000000-0005-0000-0000-0000EC080000}"/>
    <cellStyle name="Normal 6 2 2 7 4" xfId="2245" xr:uid="{00000000-0005-0000-0000-0000ED080000}"/>
    <cellStyle name="Normal 6 2 2 8" xfId="2246" xr:uid="{00000000-0005-0000-0000-0000EE080000}"/>
    <cellStyle name="Normal 6 2 2 8 2" xfId="2247" xr:uid="{00000000-0005-0000-0000-0000EF080000}"/>
    <cellStyle name="Normal 6 2 2 8 2 2" xfId="2248" xr:uid="{00000000-0005-0000-0000-0000F0080000}"/>
    <cellStyle name="Normal 6 2 2 8 2 3" xfId="2249" xr:uid="{00000000-0005-0000-0000-0000F1080000}"/>
    <cellStyle name="Normal 6 2 2 8 3" xfId="2250" xr:uid="{00000000-0005-0000-0000-0000F2080000}"/>
    <cellStyle name="Normal 6 2 2 8 4" xfId="2251" xr:uid="{00000000-0005-0000-0000-0000F3080000}"/>
    <cellStyle name="Normal 6 2 2 9" xfId="2252" xr:uid="{00000000-0005-0000-0000-0000F4080000}"/>
    <cellStyle name="Normal 6 2 2 9 2" xfId="2253" xr:uid="{00000000-0005-0000-0000-0000F5080000}"/>
    <cellStyle name="Normal 6 2 2 9 2 2" xfId="2254" xr:uid="{00000000-0005-0000-0000-0000F6080000}"/>
    <cellStyle name="Normal 6 2 2 9 2 3" xfId="2255" xr:uid="{00000000-0005-0000-0000-0000F7080000}"/>
    <cellStyle name="Normal 6 2 2 9 3" xfId="2256" xr:uid="{00000000-0005-0000-0000-0000F8080000}"/>
    <cellStyle name="Normal 6 2 2 9 4" xfId="2257" xr:uid="{00000000-0005-0000-0000-0000F9080000}"/>
    <cellStyle name="Normal 6 2 3" xfId="2258" xr:uid="{00000000-0005-0000-0000-0000FA080000}"/>
    <cellStyle name="Normal 6 2 3 2" xfId="2259" xr:uid="{00000000-0005-0000-0000-0000FB080000}"/>
    <cellStyle name="Normal 6 2 4" xfId="2260" xr:uid="{00000000-0005-0000-0000-0000FC080000}"/>
    <cellStyle name="Normal 6 2 4 2" xfId="2261" xr:uid="{00000000-0005-0000-0000-0000FD080000}"/>
    <cellStyle name="Normal 6 2 5" xfId="2262" xr:uid="{00000000-0005-0000-0000-0000FE080000}"/>
    <cellStyle name="Normal 6 2 5 2" xfId="2263" xr:uid="{00000000-0005-0000-0000-0000FF080000}"/>
    <cellStyle name="Normal 6 2 6" xfId="2264" xr:uid="{00000000-0005-0000-0000-000000090000}"/>
    <cellStyle name="Normal 6 2 6 2" xfId="2265" xr:uid="{00000000-0005-0000-0000-000001090000}"/>
    <cellStyle name="Normal 6 2 7" xfId="2266" xr:uid="{00000000-0005-0000-0000-000002090000}"/>
    <cellStyle name="Normal 6 2 7 2" xfId="2267" xr:uid="{00000000-0005-0000-0000-000003090000}"/>
    <cellStyle name="Normal 6 2 8" xfId="2268" xr:uid="{00000000-0005-0000-0000-000004090000}"/>
    <cellStyle name="Normal 6 2 8 2" xfId="2269" xr:uid="{00000000-0005-0000-0000-000005090000}"/>
    <cellStyle name="Normal 6 2 9" xfId="2270" xr:uid="{00000000-0005-0000-0000-000006090000}"/>
    <cellStyle name="Normal 6 3" xfId="2271" xr:uid="{00000000-0005-0000-0000-000007090000}"/>
    <cellStyle name="Normal 6 3 10" xfId="2272" xr:uid="{00000000-0005-0000-0000-000008090000}"/>
    <cellStyle name="Normal 6 3 2" xfId="2273" xr:uid="{00000000-0005-0000-0000-000009090000}"/>
    <cellStyle name="Normal 6 3 2 2" xfId="2274" xr:uid="{00000000-0005-0000-0000-00000A090000}"/>
    <cellStyle name="Normal 6 3 3" xfId="2275" xr:uid="{00000000-0005-0000-0000-00000B090000}"/>
    <cellStyle name="Normal 6 3 3 2" xfId="2276" xr:uid="{00000000-0005-0000-0000-00000C090000}"/>
    <cellStyle name="Normal 6 3 4" xfId="2277" xr:uid="{00000000-0005-0000-0000-00000D090000}"/>
    <cellStyle name="Normal 6 3 4 2" xfId="2278" xr:uid="{00000000-0005-0000-0000-00000E090000}"/>
    <cellStyle name="Normal 6 3 5" xfId="2279" xr:uid="{00000000-0005-0000-0000-00000F090000}"/>
    <cellStyle name="Normal 6 3 5 2" xfId="2280" xr:uid="{00000000-0005-0000-0000-000010090000}"/>
    <cellStyle name="Normal 6 3 6" xfId="2281" xr:uid="{00000000-0005-0000-0000-000011090000}"/>
    <cellStyle name="Normal 6 3 6 2" xfId="2282" xr:uid="{00000000-0005-0000-0000-000012090000}"/>
    <cellStyle name="Normal 6 3 7" xfId="2283" xr:uid="{00000000-0005-0000-0000-000013090000}"/>
    <cellStyle name="Normal 6 3 7 2" xfId="2284" xr:uid="{00000000-0005-0000-0000-000014090000}"/>
    <cellStyle name="Normal 6 3 8" xfId="2285" xr:uid="{00000000-0005-0000-0000-000015090000}"/>
    <cellStyle name="Normal 6 3 8 2" xfId="2286" xr:uid="{00000000-0005-0000-0000-000016090000}"/>
    <cellStyle name="Normal 6 3 9" xfId="2287" xr:uid="{00000000-0005-0000-0000-000017090000}"/>
    <cellStyle name="Normal 6 4" xfId="2288" xr:uid="{00000000-0005-0000-0000-000018090000}"/>
    <cellStyle name="Normal 6 4 10" xfId="2289" xr:uid="{00000000-0005-0000-0000-000019090000}"/>
    <cellStyle name="Normal 6 4 2" xfId="2290" xr:uid="{00000000-0005-0000-0000-00001A090000}"/>
    <cellStyle name="Normal 6 4 2 2" xfId="2291" xr:uid="{00000000-0005-0000-0000-00001B090000}"/>
    <cellStyle name="Normal 6 4 3" xfId="2292" xr:uid="{00000000-0005-0000-0000-00001C090000}"/>
    <cellStyle name="Normal 6 4 3 2" xfId="2293" xr:uid="{00000000-0005-0000-0000-00001D090000}"/>
    <cellStyle name="Normal 6 4 4" xfId="2294" xr:uid="{00000000-0005-0000-0000-00001E090000}"/>
    <cellStyle name="Normal 6 4 4 2" xfId="2295" xr:uid="{00000000-0005-0000-0000-00001F090000}"/>
    <cellStyle name="Normal 6 4 5" xfId="2296" xr:uid="{00000000-0005-0000-0000-000020090000}"/>
    <cellStyle name="Normal 6 4 5 2" xfId="2297" xr:uid="{00000000-0005-0000-0000-000021090000}"/>
    <cellStyle name="Normal 6 4 6" xfId="2298" xr:uid="{00000000-0005-0000-0000-000022090000}"/>
    <cellStyle name="Normal 6 4 6 2" xfId="2299" xr:uid="{00000000-0005-0000-0000-000023090000}"/>
    <cellStyle name="Normal 6 4 7" xfId="2300" xr:uid="{00000000-0005-0000-0000-000024090000}"/>
    <cellStyle name="Normal 6 4 7 2" xfId="2301" xr:uid="{00000000-0005-0000-0000-000025090000}"/>
    <cellStyle name="Normal 6 4 8" xfId="2302" xr:uid="{00000000-0005-0000-0000-000026090000}"/>
    <cellStyle name="Normal 6 4 8 2" xfId="2303" xr:uid="{00000000-0005-0000-0000-000027090000}"/>
    <cellStyle name="Normal 6 4 9" xfId="2304" xr:uid="{00000000-0005-0000-0000-000028090000}"/>
    <cellStyle name="Normal 6 5" xfId="2305" xr:uid="{00000000-0005-0000-0000-000029090000}"/>
    <cellStyle name="Normal 6 5 2" xfId="2306" xr:uid="{00000000-0005-0000-0000-00002A090000}"/>
    <cellStyle name="Normal 6 5 2 2" xfId="2307" xr:uid="{00000000-0005-0000-0000-00002B090000}"/>
    <cellStyle name="Normal 6 5 3" xfId="2308" xr:uid="{00000000-0005-0000-0000-00002C090000}"/>
    <cellStyle name="Normal 6 5 3 2" xfId="2309" xr:uid="{00000000-0005-0000-0000-00002D090000}"/>
    <cellStyle name="Normal 6 5 4" xfId="2310" xr:uid="{00000000-0005-0000-0000-00002E090000}"/>
    <cellStyle name="Normal 6 5 4 2" xfId="2311" xr:uid="{00000000-0005-0000-0000-00002F090000}"/>
    <cellStyle name="Normal 6 5 5" xfId="2312" xr:uid="{00000000-0005-0000-0000-000030090000}"/>
    <cellStyle name="Normal 6 5 5 2" xfId="2313" xr:uid="{00000000-0005-0000-0000-000031090000}"/>
    <cellStyle name="Normal 6 5 6" xfId="2314" xr:uid="{00000000-0005-0000-0000-000032090000}"/>
    <cellStyle name="Normal 6 5 6 2" xfId="2315" xr:uid="{00000000-0005-0000-0000-000033090000}"/>
    <cellStyle name="Normal 6 5 7" xfId="2316" xr:uid="{00000000-0005-0000-0000-000034090000}"/>
    <cellStyle name="Normal 6 5 7 2" xfId="2317" xr:uid="{00000000-0005-0000-0000-000035090000}"/>
    <cellStyle name="Normal 6 5 8" xfId="2318" xr:uid="{00000000-0005-0000-0000-000036090000}"/>
    <cellStyle name="Normal 6 5 8 2" xfId="2319" xr:uid="{00000000-0005-0000-0000-000037090000}"/>
    <cellStyle name="Normal 6 5 9" xfId="2320" xr:uid="{00000000-0005-0000-0000-000038090000}"/>
    <cellStyle name="Normal 6 6" xfId="2321" xr:uid="{00000000-0005-0000-0000-000039090000}"/>
    <cellStyle name="Normal 6 6 2" xfId="2322" xr:uid="{00000000-0005-0000-0000-00003A090000}"/>
    <cellStyle name="Normal 6 7" xfId="2323" xr:uid="{00000000-0005-0000-0000-00003B090000}"/>
    <cellStyle name="Normal 6 7 2" xfId="2324" xr:uid="{00000000-0005-0000-0000-00003C090000}"/>
    <cellStyle name="Normal 6 8" xfId="2325" xr:uid="{00000000-0005-0000-0000-00003D090000}"/>
    <cellStyle name="Normal 6 8 2" xfId="2326" xr:uid="{00000000-0005-0000-0000-00003E090000}"/>
    <cellStyle name="Normal 6 9" xfId="2327" xr:uid="{00000000-0005-0000-0000-00003F090000}"/>
    <cellStyle name="Normal 6 9 2" xfId="2328" xr:uid="{00000000-0005-0000-0000-000040090000}"/>
    <cellStyle name="Normal 7" xfId="2329" xr:uid="{00000000-0005-0000-0000-000041090000}"/>
    <cellStyle name="Normal 7 10" xfId="2330" xr:uid="{00000000-0005-0000-0000-000042090000}"/>
    <cellStyle name="Normal 7 10 2" xfId="2331" xr:uid="{00000000-0005-0000-0000-000043090000}"/>
    <cellStyle name="Normal 7 11" xfId="2332" xr:uid="{00000000-0005-0000-0000-000044090000}"/>
    <cellStyle name="Normal 7 11 2" xfId="2333" xr:uid="{00000000-0005-0000-0000-000045090000}"/>
    <cellStyle name="Normal 7 12" xfId="2334" xr:uid="{00000000-0005-0000-0000-000046090000}"/>
    <cellStyle name="Normal 7 12 2" xfId="2335" xr:uid="{00000000-0005-0000-0000-000047090000}"/>
    <cellStyle name="Normal 7 13" xfId="2336" xr:uid="{00000000-0005-0000-0000-000048090000}"/>
    <cellStyle name="Normal 7 14" xfId="2337" xr:uid="{00000000-0005-0000-0000-000049090000}"/>
    <cellStyle name="Normal 7 2" xfId="2338" xr:uid="{00000000-0005-0000-0000-00004A090000}"/>
    <cellStyle name="Normal 7 2 10" xfId="2339" xr:uid="{00000000-0005-0000-0000-00004B090000}"/>
    <cellStyle name="Normal 7 2 2" xfId="2340" xr:uid="{00000000-0005-0000-0000-00004C090000}"/>
    <cellStyle name="Normal 7 2 2 2" xfId="2341" xr:uid="{00000000-0005-0000-0000-00004D090000}"/>
    <cellStyle name="Normal 7 2 3" xfId="2342" xr:uid="{00000000-0005-0000-0000-00004E090000}"/>
    <cellStyle name="Normal 7 2 3 2" xfId="2343" xr:uid="{00000000-0005-0000-0000-00004F090000}"/>
    <cellStyle name="Normal 7 2 4" xfId="2344" xr:uid="{00000000-0005-0000-0000-000050090000}"/>
    <cellStyle name="Normal 7 2 4 2" xfId="2345" xr:uid="{00000000-0005-0000-0000-000051090000}"/>
    <cellStyle name="Normal 7 2 5" xfId="2346" xr:uid="{00000000-0005-0000-0000-000052090000}"/>
    <cellStyle name="Normal 7 2 5 2" xfId="2347" xr:uid="{00000000-0005-0000-0000-000053090000}"/>
    <cellStyle name="Normal 7 2 6" xfId="2348" xr:uid="{00000000-0005-0000-0000-000054090000}"/>
    <cellStyle name="Normal 7 2 6 2" xfId="2349" xr:uid="{00000000-0005-0000-0000-000055090000}"/>
    <cellStyle name="Normal 7 2 7" xfId="2350" xr:uid="{00000000-0005-0000-0000-000056090000}"/>
    <cellStyle name="Normal 7 2 7 2" xfId="2351" xr:uid="{00000000-0005-0000-0000-000057090000}"/>
    <cellStyle name="Normal 7 2 8" xfId="2352" xr:uid="{00000000-0005-0000-0000-000058090000}"/>
    <cellStyle name="Normal 7 2 8 2" xfId="2353" xr:uid="{00000000-0005-0000-0000-000059090000}"/>
    <cellStyle name="Normal 7 2 9" xfId="2354" xr:uid="{00000000-0005-0000-0000-00005A090000}"/>
    <cellStyle name="Normal 7 3" xfId="2355" xr:uid="{00000000-0005-0000-0000-00005B090000}"/>
    <cellStyle name="Normal 7 3 2" xfId="2356" xr:uid="{00000000-0005-0000-0000-00005C090000}"/>
    <cellStyle name="Normal 7 3 2 2" xfId="2357" xr:uid="{00000000-0005-0000-0000-00005D090000}"/>
    <cellStyle name="Normal 7 3 3" xfId="2358" xr:uid="{00000000-0005-0000-0000-00005E090000}"/>
    <cellStyle name="Normal 7 3 3 2" xfId="2359" xr:uid="{00000000-0005-0000-0000-00005F090000}"/>
    <cellStyle name="Normal 7 3 4" xfId="2360" xr:uid="{00000000-0005-0000-0000-000060090000}"/>
    <cellStyle name="Normal 7 3 4 2" xfId="2361" xr:uid="{00000000-0005-0000-0000-000061090000}"/>
    <cellStyle name="Normal 7 3 5" xfId="2362" xr:uid="{00000000-0005-0000-0000-000062090000}"/>
    <cellStyle name="Normal 7 3 5 2" xfId="2363" xr:uid="{00000000-0005-0000-0000-000063090000}"/>
    <cellStyle name="Normal 7 3 6" xfId="2364" xr:uid="{00000000-0005-0000-0000-000064090000}"/>
    <cellStyle name="Normal 7 3 6 2" xfId="2365" xr:uid="{00000000-0005-0000-0000-000065090000}"/>
    <cellStyle name="Normal 7 3 7" xfId="2366" xr:uid="{00000000-0005-0000-0000-000066090000}"/>
    <cellStyle name="Normal 7 3 7 2" xfId="2367" xr:uid="{00000000-0005-0000-0000-000067090000}"/>
    <cellStyle name="Normal 7 3 8" xfId="2368" xr:uid="{00000000-0005-0000-0000-000068090000}"/>
    <cellStyle name="Normal 7 3 8 2" xfId="2369" xr:uid="{00000000-0005-0000-0000-000069090000}"/>
    <cellStyle name="Normal 7 3 9" xfId="2370" xr:uid="{00000000-0005-0000-0000-00006A090000}"/>
    <cellStyle name="Normal 7 4" xfId="2371" xr:uid="{00000000-0005-0000-0000-00006B090000}"/>
    <cellStyle name="Normal 7 4 2" xfId="2372" xr:uid="{00000000-0005-0000-0000-00006C090000}"/>
    <cellStyle name="Normal 7 4 2 2" xfId="2373" xr:uid="{00000000-0005-0000-0000-00006D090000}"/>
    <cellStyle name="Normal 7 4 3" xfId="2374" xr:uid="{00000000-0005-0000-0000-00006E090000}"/>
    <cellStyle name="Normal 7 4 3 2" xfId="2375" xr:uid="{00000000-0005-0000-0000-00006F090000}"/>
    <cellStyle name="Normal 7 4 4" xfId="2376" xr:uid="{00000000-0005-0000-0000-000070090000}"/>
    <cellStyle name="Normal 7 4 4 2" xfId="2377" xr:uid="{00000000-0005-0000-0000-000071090000}"/>
    <cellStyle name="Normal 7 4 5" xfId="2378" xr:uid="{00000000-0005-0000-0000-000072090000}"/>
    <cellStyle name="Normal 7 4 5 2" xfId="2379" xr:uid="{00000000-0005-0000-0000-000073090000}"/>
    <cellStyle name="Normal 7 4 6" xfId="2380" xr:uid="{00000000-0005-0000-0000-000074090000}"/>
    <cellStyle name="Normal 7 4 6 2" xfId="2381" xr:uid="{00000000-0005-0000-0000-000075090000}"/>
    <cellStyle name="Normal 7 4 7" xfId="2382" xr:uid="{00000000-0005-0000-0000-000076090000}"/>
    <cellStyle name="Normal 7 4 7 2" xfId="2383" xr:uid="{00000000-0005-0000-0000-000077090000}"/>
    <cellStyle name="Normal 7 4 8" xfId="2384" xr:uid="{00000000-0005-0000-0000-000078090000}"/>
    <cellStyle name="Normal 7 4 8 2" xfId="2385" xr:uid="{00000000-0005-0000-0000-000079090000}"/>
    <cellStyle name="Normal 7 4 9" xfId="2386" xr:uid="{00000000-0005-0000-0000-00007A090000}"/>
    <cellStyle name="Normal 7 5" xfId="2387" xr:uid="{00000000-0005-0000-0000-00007B090000}"/>
    <cellStyle name="Normal 7 5 2" xfId="2388" xr:uid="{00000000-0005-0000-0000-00007C090000}"/>
    <cellStyle name="Normal 7 5 2 2" xfId="2389" xr:uid="{00000000-0005-0000-0000-00007D090000}"/>
    <cellStyle name="Normal 7 5 3" xfId="2390" xr:uid="{00000000-0005-0000-0000-00007E090000}"/>
    <cellStyle name="Normal 7 5 3 2" xfId="2391" xr:uid="{00000000-0005-0000-0000-00007F090000}"/>
    <cellStyle name="Normal 7 5 4" xfId="2392" xr:uid="{00000000-0005-0000-0000-000080090000}"/>
    <cellStyle name="Normal 7 5 4 2" xfId="2393" xr:uid="{00000000-0005-0000-0000-000081090000}"/>
    <cellStyle name="Normal 7 5 5" xfId="2394" xr:uid="{00000000-0005-0000-0000-000082090000}"/>
    <cellStyle name="Normal 7 5 5 2" xfId="2395" xr:uid="{00000000-0005-0000-0000-000083090000}"/>
    <cellStyle name="Normal 7 5 6" xfId="2396" xr:uid="{00000000-0005-0000-0000-000084090000}"/>
    <cellStyle name="Normal 7 5 6 2" xfId="2397" xr:uid="{00000000-0005-0000-0000-000085090000}"/>
    <cellStyle name="Normal 7 5 7" xfId="2398" xr:uid="{00000000-0005-0000-0000-000086090000}"/>
    <cellStyle name="Normal 7 5 7 2" xfId="2399" xr:uid="{00000000-0005-0000-0000-000087090000}"/>
    <cellStyle name="Normal 7 5 8" xfId="2400" xr:uid="{00000000-0005-0000-0000-000088090000}"/>
    <cellStyle name="Normal 7 5 8 2" xfId="2401" xr:uid="{00000000-0005-0000-0000-000089090000}"/>
    <cellStyle name="Normal 7 5 9" xfId="2402" xr:uid="{00000000-0005-0000-0000-00008A090000}"/>
    <cellStyle name="Normal 7 6" xfId="2403" xr:uid="{00000000-0005-0000-0000-00008B090000}"/>
    <cellStyle name="Normal 7 6 2" xfId="2404" xr:uid="{00000000-0005-0000-0000-00008C090000}"/>
    <cellStyle name="Normal 7 7" xfId="2405" xr:uid="{00000000-0005-0000-0000-00008D090000}"/>
    <cellStyle name="Normal 7 7 2" xfId="2406" xr:uid="{00000000-0005-0000-0000-00008E090000}"/>
    <cellStyle name="Normal 7 8" xfId="2407" xr:uid="{00000000-0005-0000-0000-00008F090000}"/>
    <cellStyle name="Normal 7 8 2" xfId="2408" xr:uid="{00000000-0005-0000-0000-000090090000}"/>
    <cellStyle name="Normal 7 9" xfId="2409" xr:uid="{00000000-0005-0000-0000-000091090000}"/>
    <cellStyle name="Normal 7 9 2" xfId="2410" xr:uid="{00000000-0005-0000-0000-000092090000}"/>
    <cellStyle name="Normal 8" xfId="2411" xr:uid="{00000000-0005-0000-0000-000093090000}"/>
    <cellStyle name="Normal 8 10" xfId="2412" xr:uid="{00000000-0005-0000-0000-000094090000}"/>
    <cellStyle name="Normal 8 10 2" xfId="2413" xr:uid="{00000000-0005-0000-0000-000095090000}"/>
    <cellStyle name="Normal 8 11" xfId="2414" xr:uid="{00000000-0005-0000-0000-000096090000}"/>
    <cellStyle name="Normal 8 11 2" xfId="2415" xr:uid="{00000000-0005-0000-0000-000097090000}"/>
    <cellStyle name="Normal 8 12" xfId="2416" xr:uid="{00000000-0005-0000-0000-000098090000}"/>
    <cellStyle name="Normal 8 12 2" xfId="2417" xr:uid="{00000000-0005-0000-0000-000099090000}"/>
    <cellStyle name="Normal 8 13" xfId="2418" xr:uid="{00000000-0005-0000-0000-00009A090000}"/>
    <cellStyle name="Normal 8 14" xfId="2419" xr:uid="{00000000-0005-0000-0000-00009B090000}"/>
    <cellStyle name="Normal 8 2" xfId="2420" xr:uid="{00000000-0005-0000-0000-00009C090000}"/>
    <cellStyle name="Normal 8 2 10" xfId="2421" xr:uid="{00000000-0005-0000-0000-00009D090000}"/>
    <cellStyle name="Normal 8 2 2" xfId="2422" xr:uid="{00000000-0005-0000-0000-00009E090000}"/>
    <cellStyle name="Normal 8 2 2 2" xfId="2423" xr:uid="{00000000-0005-0000-0000-00009F090000}"/>
    <cellStyle name="Normal 8 2 3" xfId="2424" xr:uid="{00000000-0005-0000-0000-0000A0090000}"/>
    <cellStyle name="Normal 8 2 3 2" xfId="2425" xr:uid="{00000000-0005-0000-0000-0000A1090000}"/>
    <cellStyle name="Normal 8 2 4" xfId="2426" xr:uid="{00000000-0005-0000-0000-0000A2090000}"/>
    <cellStyle name="Normal 8 2 4 2" xfId="2427" xr:uid="{00000000-0005-0000-0000-0000A3090000}"/>
    <cellStyle name="Normal 8 2 5" xfId="2428" xr:uid="{00000000-0005-0000-0000-0000A4090000}"/>
    <cellStyle name="Normal 8 2 5 2" xfId="2429" xr:uid="{00000000-0005-0000-0000-0000A5090000}"/>
    <cellStyle name="Normal 8 2 6" xfId="2430" xr:uid="{00000000-0005-0000-0000-0000A6090000}"/>
    <cellStyle name="Normal 8 2 6 2" xfId="2431" xr:uid="{00000000-0005-0000-0000-0000A7090000}"/>
    <cellStyle name="Normal 8 2 7" xfId="2432" xr:uid="{00000000-0005-0000-0000-0000A8090000}"/>
    <cellStyle name="Normal 8 2 7 2" xfId="2433" xr:uid="{00000000-0005-0000-0000-0000A9090000}"/>
    <cellStyle name="Normal 8 2 8" xfId="2434" xr:uid="{00000000-0005-0000-0000-0000AA090000}"/>
    <cellStyle name="Normal 8 2 8 2" xfId="2435" xr:uid="{00000000-0005-0000-0000-0000AB090000}"/>
    <cellStyle name="Normal 8 2 9" xfId="2436" xr:uid="{00000000-0005-0000-0000-0000AC090000}"/>
    <cellStyle name="Normal 8 3" xfId="2437" xr:uid="{00000000-0005-0000-0000-0000AD090000}"/>
    <cellStyle name="Normal 8 3 2" xfId="2438" xr:uid="{00000000-0005-0000-0000-0000AE090000}"/>
    <cellStyle name="Normal 8 3 2 2" xfId="2439" xr:uid="{00000000-0005-0000-0000-0000AF090000}"/>
    <cellStyle name="Normal 8 3 3" xfId="2440" xr:uid="{00000000-0005-0000-0000-0000B0090000}"/>
    <cellStyle name="Normal 8 3 3 2" xfId="2441" xr:uid="{00000000-0005-0000-0000-0000B1090000}"/>
    <cellStyle name="Normal 8 3 4" xfId="2442" xr:uid="{00000000-0005-0000-0000-0000B2090000}"/>
    <cellStyle name="Normal 8 3 4 2" xfId="2443" xr:uid="{00000000-0005-0000-0000-0000B3090000}"/>
    <cellStyle name="Normal 8 3 5" xfId="2444" xr:uid="{00000000-0005-0000-0000-0000B4090000}"/>
    <cellStyle name="Normal 8 3 5 2" xfId="2445" xr:uid="{00000000-0005-0000-0000-0000B5090000}"/>
    <cellStyle name="Normal 8 3 6" xfId="2446" xr:uid="{00000000-0005-0000-0000-0000B6090000}"/>
    <cellStyle name="Normal 8 3 6 2" xfId="2447" xr:uid="{00000000-0005-0000-0000-0000B7090000}"/>
    <cellStyle name="Normal 8 3 7" xfId="2448" xr:uid="{00000000-0005-0000-0000-0000B8090000}"/>
    <cellStyle name="Normal 8 3 7 2" xfId="2449" xr:uid="{00000000-0005-0000-0000-0000B9090000}"/>
    <cellStyle name="Normal 8 3 8" xfId="2450" xr:uid="{00000000-0005-0000-0000-0000BA090000}"/>
    <cellStyle name="Normal 8 3 8 2" xfId="2451" xr:uid="{00000000-0005-0000-0000-0000BB090000}"/>
    <cellStyle name="Normal 8 3 9" xfId="2452" xr:uid="{00000000-0005-0000-0000-0000BC090000}"/>
    <cellStyle name="Normal 8 4" xfId="2453" xr:uid="{00000000-0005-0000-0000-0000BD090000}"/>
    <cellStyle name="Normal 8 4 2" xfId="2454" xr:uid="{00000000-0005-0000-0000-0000BE090000}"/>
    <cellStyle name="Normal 8 4 2 2" xfId="2455" xr:uid="{00000000-0005-0000-0000-0000BF090000}"/>
    <cellStyle name="Normal 8 4 3" xfId="2456" xr:uid="{00000000-0005-0000-0000-0000C0090000}"/>
    <cellStyle name="Normal 8 4 3 2" xfId="2457" xr:uid="{00000000-0005-0000-0000-0000C1090000}"/>
    <cellStyle name="Normal 8 4 4" xfId="2458" xr:uid="{00000000-0005-0000-0000-0000C2090000}"/>
    <cellStyle name="Normal 8 4 4 2" xfId="2459" xr:uid="{00000000-0005-0000-0000-0000C3090000}"/>
    <cellStyle name="Normal 8 4 5" xfId="2460" xr:uid="{00000000-0005-0000-0000-0000C4090000}"/>
    <cellStyle name="Normal 8 4 5 2" xfId="2461" xr:uid="{00000000-0005-0000-0000-0000C5090000}"/>
    <cellStyle name="Normal 8 4 6" xfId="2462" xr:uid="{00000000-0005-0000-0000-0000C6090000}"/>
    <cellStyle name="Normal 8 4 6 2" xfId="2463" xr:uid="{00000000-0005-0000-0000-0000C7090000}"/>
    <cellStyle name="Normal 8 4 7" xfId="2464" xr:uid="{00000000-0005-0000-0000-0000C8090000}"/>
    <cellStyle name="Normal 8 4 7 2" xfId="2465" xr:uid="{00000000-0005-0000-0000-0000C9090000}"/>
    <cellStyle name="Normal 8 4 8" xfId="2466" xr:uid="{00000000-0005-0000-0000-0000CA090000}"/>
    <cellStyle name="Normal 8 4 8 2" xfId="2467" xr:uid="{00000000-0005-0000-0000-0000CB090000}"/>
    <cellStyle name="Normal 8 4 9" xfId="2468" xr:uid="{00000000-0005-0000-0000-0000CC090000}"/>
    <cellStyle name="Normal 8 5" xfId="2469" xr:uid="{00000000-0005-0000-0000-0000CD090000}"/>
    <cellStyle name="Normal 8 5 2" xfId="2470" xr:uid="{00000000-0005-0000-0000-0000CE090000}"/>
    <cellStyle name="Normal 8 5 2 2" xfId="2471" xr:uid="{00000000-0005-0000-0000-0000CF090000}"/>
    <cellStyle name="Normal 8 5 3" xfId="2472" xr:uid="{00000000-0005-0000-0000-0000D0090000}"/>
    <cellStyle name="Normal 8 5 3 2" xfId="2473" xr:uid="{00000000-0005-0000-0000-0000D1090000}"/>
    <cellStyle name="Normal 8 5 4" xfId="2474" xr:uid="{00000000-0005-0000-0000-0000D2090000}"/>
    <cellStyle name="Normal 8 5 4 2" xfId="2475" xr:uid="{00000000-0005-0000-0000-0000D3090000}"/>
    <cellStyle name="Normal 8 5 5" xfId="2476" xr:uid="{00000000-0005-0000-0000-0000D4090000}"/>
    <cellStyle name="Normal 8 5 5 2" xfId="2477" xr:uid="{00000000-0005-0000-0000-0000D5090000}"/>
    <cellStyle name="Normal 8 5 6" xfId="2478" xr:uid="{00000000-0005-0000-0000-0000D6090000}"/>
    <cellStyle name="Normal 8 5 6 2" xfId="2479" xr:uid="{00000000-0005-0000-0000-0000D7090000}"/>
    <cellStyle name="Normal 8 5 7" xfId="2480" xr:uid="{00000000-0005-0000-0000-0000D8090000}"/>
    <cellStyle name="Normal 8 5 7 2" xfId="2481" xr:uid="{00000000-0005-0000-0000-0000D9090000}"/>
    <cellStyle name="Normal 8 5 8" xfId="2482" xr:uid="{00000000-0005-0000-0000-0000DA090000}"/>
    <cellStyle name="Normal 8 5 8 2" xfId="2483" xr:uid="{00000000-0005-0000-0000-0000DB090000}"/>
    <cellStyle name="Normal 8 5 9" xfId="2484" xr:uid="{00000000-0005-0000-0000-0000DC090000}"/>
    <cellStyle name="Normal 8 6" xfId="2485" xr:uid="{00000000-0005-0000-0000-0000DD090000}"/>
    <cellStyle name="Normal 8 6 2" xfId="2486" xr:uid="{00000000-0005-0000-0000-0000DE090000}"/>
    <cellStyle name="Normal 8 7" xfId="2487" xr:uid="{00000000-0005-0000-0000-0000DF090000}"/>
    <cellStyle name="Normal 8 7 2" xfId="2488" xr:uid="{00000000-0005-0000-0000-0000E0090000}"/>
    <cellStyle name="Normal 8 8" xfId="2489" xr:uid="{00000000-0005-0000-0000-0000E1090000}"/>
    <cellStyle name="Normal 8 8 2" xfId="2490" xr:uid="{00000000-0005-0000-0000-0000E2090000}"/>
    <cellStyle name="Normal 8 9" xfId="2491" xr:uid="{00000000-0005-0000-0000-0000E3090000}"/>
    <cellStyle name="Normal 8 9 2" xfId="2492" xr:uid="{00000000-0005-0000-0000-0000E4090000}"/>
    <cellStyle name="Normal 9" xfId="2493" xr:uid="{00000000-0005-0000-0000-0000E5090000}"/>
    <cellStyle name="Normal 9 10" xfId="2494" xr:uid="{00000000-0005-0000-0000-0000E6090000}"/>
    <cellStyle name="Normal 9 2" xfId="2495" xr:uid="{00000000-0005-0000-0000-0000E7090000}"/>
    <cellStyle name="Normal 9 2 2" xfId="2496" xr:uid="{00000000-0005-0000-0000-0000E8090000}"/>
    <cellStyle name="Normal 9 3" xfId="2497" xr:uid="{00000000-0005-0000-0000-0000E9090000}"/>
    <cellStyle name="Normal 9 3 2" xfId="2498" xr:uid="{00000000-0005-0000-0000-0000EA090000}"/>
    <cellStyle name="Normal 9 4" xfId="2499" xr:uid="{00000000-0005-0000-0000-0000EB090000}"/>
    <cellStyle name="Normal 9 4 2" xfId="2500" xr:uid="{00000000-0005-0000-0000-0000EC090000}"/>
    <cellStyle name="Normal 9 5" xfId="2501" xr:uid="{00000000-0005-0000-0000-0000ED090000}"/>
    <cellStyle name="Normal 9 5 2" xfId="2502" xr:uid="{00000000-0005-0000-0000-0000EE090000}"/>
    <cellStyle name="Normal 9 6" xfId="2503" xr:uid="{00000000-0005-0000-0000-0000EF090000}"/>
    <cellStyle name="Normal 9 6 2" xfId="2504" xr:uid="{00000000-0005-0000-0000-0000F0090000}"/>
    <cellStyle name="Normal 9 7" xfId="2505" xr:uid="{00000000-0005-0000-0000-0000F1090000}"/>
    <cellStyle name="Normal 9 7 2" xfId="2506" xr:uid="{00000000-0005-0000-0000-0000F2090000}"/>
    <cellStyle name="Normal 9 8" xfId="2507" xr:uid="{00000000-0005-0000-0000-0000F3090000}"/>
    <cellStyle name="Normal 9 8 2" xfId="2508" xr:uid="{00000000-0005-0000-0000-0000F4090000}"/>
    <cellStyle name="Normal 9 9" xfId="2509" xr:uid="{00000000-0005-0000-0000-0000F5090000}"/>
    <cellStyle name="Normal GHG Numbers (0.00)" xfId="2510" xr:uid="{00000000-0005-0000-0000-0000F6090000}"/>
    <cellStyle name="Normal GHG Textfiels Bold" xfId="2511" xr:uid="{00000000-0005-0000-0000-0000F7090000}"/>
    <cellStyle name="Normal GHG-Shade" xfId="2512" xr:uid="{00000000-0005-0000-0000-0000F8090000}"/>
    <cellStyle name="Normal GHG-Shade 2" xfId="2513" xr:uid="{00000000-0005-0000-0000-0000F9090000}"/>
    <cellStyle name="Normal GHG-Shade 2 2" xfId="2514" xr:uid="{00000000-0005-0000-0000-0000FA090000}"/>
    <cellStyle name="Normal GHG-Shade 3" xfId="2515" xr:uid="{00000000-0005-0000-0000-0000FB090000}"/>
    <cellStyle name="Normale_B2020" xfId="2516" xr:uid="{00000000-0005-0000-0000-0000FC090000}"/>
    <cellStyle name="Note 2" xfId="2517" xr:uid="{00000000-0005-0000-0000-0000FD090000}"/>
    <cellStyle name="Note 2 10" xfId="2518" xr:uid="{00000000-0005-0000-0000-0000FE090000}"/>
    <cellStyle name="Note 2 10 2" xfId="2519" xr:uid="{00000000-0005-0000-0000-0000FF090000}"/>
    <cellStyle name="Note 2 11" xfId="2520" xr:uid="{00000000-0005-0000-0000-0000000A0000}"/>
    <cellStyle name="Note 2 11 2" xfId="2521" xr:uid="{00000000-0005-0000-0000-0000010A0000}"/>
    <cellStyle name="Note 2 12" xfId="2522" xr:uid="{00000000-0005-0000-0000-0000020A0000}"/>
    <cellStyle name="Note 2 12 2" xfId="2523" xr:uid="{00000000-0005-0000-0000-0000030A0000}"/>
    <cellStyle name="Note 2 13" xfId="2524" xr:uid="{00000000-0005-0000-0000-0000040A0000}"/>
    <cellStyle name="Note 2 13 2" xfId="2525" xr:uid="{00000000-0005-0000-0000-0000050A0000}"/>
    <cellStyle name="Note 2 14" xfId="2526" xr:uid="{00000000-0005-0000-0000-0000060A0000}"/>
    <cellStyle name="Note 2 14 2" xfId="2527" xr:uid="{00000000-0005-0000-0000-0000070A0000}"/>
    <cellStyle name="Note 2 15" xfId="2528" xr:uid="{00000000-0005-0000-0000-0000080A0000}"/>
    <cellStyle name="Note 2 15 2" xfId="2529" xr:uid="{00000000-0005-0000-0000-0000090A0000}"/>
    <cellStyle name="Note 2 16" xfId="2530" xr:uid="{00000000-0005-0000-0000-00000A0A0000}"/>
    <cellStyle name="Note 2 17" xfId="2531" xr:uid="{00000000-0005-0000-0000-00000B0A0000}"/>
    <cellStyle name="Note 2 2" xfId="2532" xr:uid="{00000000-0005-0000-0000-00000C0A0000}"/>
    <cellStyle name="Note 2 2 2" xfId="2533" xr:uid="{00000000-0005-0000-0000-00000D0A0000}"/>
    <cellStyle name="Note 2 2 2 2" xfId="2534" xr:uid="{00000000-0005-0000-0000-00000E0A0000}"/>
    <cellStyle name="Note 2 3" xfId="2535" xr:uid="{00000000-0005-0000-0000-00000F0A0000}"/>
    <cellStyle name="Note 2 3 2" xfId="2536" xr:uid="{00000000-0005-0000-0000-0000100A0000}"/>
    <cellStyle name="Note 2 4" xfId="2537" xr:uid="{00000000-0005-0000-0000-0000110A0000}"/>
    <cellStyle name="Note 2 4 2" xfId="2538" xr:uid="{00000000-0005-0000-0000-0000120A0000}"/>
    <cellStyle name="Note 2 5" xfId="2539" xr:uid="{00000000-0005-0000-0000-0000130A0000}"/>
    <cellStyle name="Note 2 5 2" xfId="2540" xr:uid="{00000000-0005-0000-0000-0000140A0000}"/>
    <cellStyle name="Note 2 6" xfId="2541" xr:uid="{00000000-0005-0000-0000-0000150A0000}"/>
    <cellStyle name="Note 2 6 2" xfId="2542" xr:uid="{00000000-0005-0000-0000-0000160A0000}"/>
    <cellStyle name="Note 2 7" xfId="2543" xr:uid="{00000000-0005-0000-0000-0000170A0000}"/>
    <cellStyle name="Note 2 7 2" xfId="2544" xr:uid="{00000000-0005-0000-0000-0000180A0000}"/>
    <cellStyle name="Note 2 8" xfId="2545" xr:uid="{00000000-0005-0000-0000-0000190A0000}"/>
    <cellStyle name="Note 2 8 2" xfId="2546" xr:uid="{00000000-0005-0000-0000-00001A0A0000}"/>
    <cellStyle name="Note 2 9" xfId="2547" xr:uid="{00000000-0005-0000-0000-00001B0A0000}"/>
    <cellStyle name="Note 2 9 2" xfId="2548" xr:uid="{00000000-0005-0000-0000-00001C0A0000}"/>
    <cellStyle name="Note 3" xfId="2549" xr:uid="{00000000-0005-0000-0000-00001D0A0000}"/>
    <cellStyle name="Note 3 2" xfId="2550" xr:uid="{00000000-0005-0000-0000-00001E0A0000}"/>
    <cellStyle name="Note 3 2 2" xfId="2551" xr:uid="{00000000-0005-0000-0000-00001F0A0000}"/>
    <cellStyle name="Note 3 2 3" xfId="2552" xr:uid="{00000000-0005-0000-0000-0000200A0000}"/>
    <cellStyle name="Note 3 3" xfId="2553" xr:uid="{00000000-0005-0000-0000-0000210A0000}"/>
    <cellStyle name="Note 4" xfId="2554" xr:uid="{00000000-0005-0000-0000-0000220A0000}"/>
    <cellStyle name="Note 4 2" xfId="2555" xr:uid="{00000000-0005-0000-0000-0000230A0000}"/>
    <cellStyle name="Note 5" xfId="2556" xr:uid="{00000000-0005-0000-0000-0000240A0000}"/>
    <cellStyle name="Note 5 2" xfId="2557" xr:uid="{00000000-0005-0000-0000-0000250A0000}"/>
    <cellStyle name="Note 6" xfId="2558" xr:uid="{00000000-0005-0000-0000-0000260A0000}"/>
    <cellStyle name="Note 6 2" xfId="2559" xr:uid="{00000000-0005-0000-0000-0000270A0000}"/>
    <cellStyle name="Note 7" xfId="2560" xr:uid="{00000000-0005-0000-0000-0000280A0000}"/>
    <cellStyle name="Note 7 2" xfId="2561" xr:uid="{00000000-0005-0000-0000-0000290A0000}"/>
    <cellStyle name="Note 8" xfId="2562" xr:uid="{00000000-0005-0000-0000-00002A0A0000}"/>
    <cellStyle name="Note 8 2" xfId="2563" xr:uid="{00000000-0005-0000-0000-00002B0A0000}"/>
    <cellStyle name="num_note" xfId="2564" xr:uid="{00000000-0005-0000-0000-00002C0A0000}"/>
    <cellStyle name="Nuovo" xfId="2565" xr:uid="{00000000-0005-0000-0000-00002D0A0000}"/>
    <cellStyle name="Nuovo 2" xfId="2566" xr:uid="{00000000-0005-0000-0000-00002E0A0000}"/>
    <cellStyle name="Output 2" xfId="2567" xr:uid="{00000000-0005-0000-0000-00002F0A0000}"/>
    <cellStyle name="Output 2 10" xfId="2568" xr:uid="{00000000-0005-0000-0000-0000300A0000}"/>
    <cellStyle name="Output 2 2" xfId="2569" xr:uid="{00000000-0005-0000-0000-0000310A0000}"/>
    <cellStyle name="Output 2 3" xfId="2570" xr:uid="{00000000-0005-0000-0000-0000320A0000}"/>
    <cellStyle name="Output 2 4" xfId="2571" xr:uid="{00000000-0005-0000-0000-0000330A0000}"/>
    <cellStyle name="Output 2 5" xfId="2572" xr:uid="{00000000-0005-0000-0000-0000340A0000}"/>
    <cellStyle name="Output 2 6" xfId="2573" xr:uid="{00000000-0005-0000-0000-0000350A0000}"/>
    <cellStyle name="Output 2 7" xfId="2574" xr:uid="{00000000-0005-0000-0000-0000360A0000}"/>
    <cellStyle name="Output 2 8" xfId="2575" xr:uid="{00000000-0005-0000-0000-0000370A0000}"/>
    <cellStyle name="Output 2 9" xfId="2576" xr:uid="{00000000-0005-0000-0000-0000380A0000}"/>
    <cellStyle name="Output 3" xfId="2577" xr:uid="{00000000-0005-0000-0000-0000390A0000}"/>
    <cellStyle name="Output 3 2" xfId="2578" xr:uid="{00000000-0005-0000-0000-00003A0A0000}"/>
    <cellStyle name="Percent" xfId="1" builtinId="5"/>
    <cellStyle name="Percent 10" xfId="2579" xr:uid="{00000000-0005-0000-0000-00003B0A0000}"/>
    <cellStyle name="Percent 10 2" xfId="2580" xr:uid="{00000000-0005-0000-0000-00003C0A0000}"/>
    <cellStyle name="Percent 10 2 2" xfId="2581" xr:uid="{00000000-0005-0000-0000-00003D0A0000}"/>
    <cellStyle name="Percent 10 3" xfId="2582" xr:uid="{00000000-0005-0000-0000-00003E0A0000}"/>
    <cellStyle name="Percent 10 3 2" xfId="2583" xr:uid="{00000000-0005-0000-0000-00003F0A0000}"/>
    <cellStyle name="Percent 10 4" xfId="2584" xr:uid="{00000000-0005-0000-0000-0000400A0000}"/>
    <cellStyle name="Percent 10 4 2" xfId="2585" xr:uid="{00000000-0005-0000-0000-0000410A0000}"/>
    <cellStyle name="Percent 10 5" xfId="2586" xr:uid="{00000000-0005-0000-0000-0000420A0000}"/>
    <cellStyle name="Percent 10 5 2" xfId="2587" xr:uid="{00000000-0005-0000-0000-0000430A0000}"/>
    <cellStyle name="Percent 10 6" xfId="2588" xr:uid="{00000000-0005-0000-0000-0000440A0000}"/>
    <cellStyle name="Percent 10 6 2" xfId="2589" xr:uid="{00000000-0005-0000-0000-0000450A0000}"/>
    <cellStyle name="Percent 10 7" xfId="2590" xr:uid="{00000000-0005-0000-0000-0000460A0000}"/>
    <cellStyle name="Percent 10 7 2" xfId="2591" xr:uid="{00000000-0005-0000-0000-0000470A0000}"/>
    <cellStyle name="Percent 10 8" xfId="2592" xr:uid="{00000000-0005-0000-0000-0000480A0000}"/>
    <cellStyle name="Percent 10 8 2" xfId="2593" xr:uid="{00000000-0005-0000-0000-0000490A0000}"/>
    <cellStyle name="Percent 10 9" xfId="2594" xr:uid="{00000000-0005-0000-0000-00004A0A0000}"/>
    <cellStyle name="Percent 11" xfId="2595" xr:uid="{00000000-0005-0000-0000-00004B0A0000}"/>
    <cellStyle name="Percent 11 2" xfId="2596" xr:uid="{00000000-0005-0000-0000-00004C0A0000}"/>
    <cellStyle name="Percent 11 2 2" xfId="2597" xr:uid="{00000000-0005-0000-0000-00004D0A0000}"/>
    <cellStyle name="Percent 11 3" xfId="2598" xr:uid="{00000000-0005-0000-0000-00004E0A0000}"/>
    <cellStyle name="Percent 11 3 2" xfId="2599" xr:uid="{00000000-0005-0000-0000-00004F0A0000}"/>
    <cellStyle name="Percent 11 4" xfId="2600" xr:uid="{00000000-0005-0000-0000-0000500A0000}"/>
    <cellStyle name="Percent 11 4 2" xfId="2601" xr:uid="{00000000-0005-0000-0000-0000510A0000}"/>
    <cellStyle name="Percent 11 5" xfId="2602" xr:uid="{00000000-0005-0000-0000-0000520A0000}"/>
    <cellStyle name="Percent 11 5 2" xfId="2603" xr:uid="{00000000-0005-0000-0000-0000530A0000}"/>
    <cellStyle name="Percent 11 6" xfId="2604" xr:uid="{00000000-0005-0000-0000-0000540A0000}"/>
    <cellStyle name="Percent 11 6 2" xfId="2605" xr:uid="{00000000-0005-0000-0000-0000550A0000}"/>
    <cellStyle name="Percent 11 7" xfId="2606" xr:uid="{00000000-0005-0000-0000-0000560A0000}"/>
    <cellStyle name="Percent 11 7 2" xfId="2607" xr:uid="{00000000-0005-0000-0000-0000570A0000}"/>
    <cellStyle name="Percent 11 8" xfId="2608" xr:uid="{00000000-0005-0000-0000-0000580A0000}"/>
    <cellStyle name="Percent 11 8 2" xfId="2609" xr:uid="{00000000-0005-0000-0000-0000590A0000}"/>
    <cellStyle name="Percent 11 9" xfId="2610" xr:uid="{00000000-0005-0000-0000-00005A0A0000}"/>
    <cellStyle name="Percent 12" xfId="2611" xr:uid="{00000000-0005-0000-0000-00005B0A0000}"/>
    <cellStyle name="Percent 12 2" xfId="2612" xr:uid="{00000000-0005-0000-0000-00005C0A0000}"/>
    <cellStyle name="Percent 12 2 2" xfId="2613" xr:uid="{00000000-0005-0000-0000-00005D0A0000}"/>
    <cellStyle name="Percent 12 3" xfId="2614" xr:uid="{00000000-0005-0000-0000-00005E0A0000}"/>
    <cellStyle name="Percent 12 3 2" xfId="2615" xr:uid="{00000000-0005-0000-0000-00005F0A0000}"/>
    <cellStyle name="Percent 12 4" xfId="2616" xr:uid="{00000000-0005-0000-0000-0000600A0000}"/>
    <cellStyle name="Percent 12 4 2" xfId="2617" xr:uid="{00000000-0005-0000-0000-0000610A0000}"/>
    <cellStyle name="Percent 12 5" xfId="2618" xr:uid="{00000000-0005-0000-0000-0000620A0000}"/>
    <cellStyle name="Percent 12 5 2" xfId="2619" xr:uid="{00000000-0005-0000-0000-0000630A0000}"/>
    <cellStyle name="Percent 12 6" xfId="2620" xr:uid="{00000000-0005-0000-0000-0000640A0000}"/>
    <cellStyle name="Percent 12 6 2" xfId="2621" xr:uid="{00000000-0005-0000-0000-0000650A0000}"/>
    <cellStyle name="Percent 12 7" xfId="2622" xr:uid="{00000000-0005-0000-0000-0000660A0000}"/>
    <cellStyle name="Percent 12 7 2" xfId="2623" xr:uid="{00000000-0005-0000-0000-0000670A0000}"/>
    <cellStyle name="Percent 12 8" xfId="2624" xr:uid="{00000000-0005-0000-0000-0000680A0000}"/>
    <cellStyle name="Percent 12 8 2" xfId="2625" xr:uid="{00000000-0005-0000-0000-0000690A0000}"/>
    <cellStyle name="Percent 12 9" xfId="2626" xr:uid="{00000000-0005-0000-0000-00006A0A0000}"/>
    <cellStyle name="Percent 13" xfId="2627" xr:uid="{00000000-0005-0000-0000-00006B0A0000}"/>
    <cellStyle name="Percent 13 2" xfId="2628" xr:uid="{00000000-0005-0000-0000-00006C0A0000}"/>
    <cellStyle name="Percent 13 2 2" xfId="2629" xr:uid="{00000000-0005-0000-0000-00006D0A0000}"/>
    <cellStyle name="Percent 13 3" xfId="2630" xr:uid="{00000000-0005-0000-0000-00006E0A0000}"/>
    <cellStyle name="Percent 13 3 2" xfId="2631" xr:uid="{00000000-0005-0000-0000-00006F0A0000}"/>
    <cellStyle name="Percent 13 4" xfId="2632" xr:uid="{00000000-0005-0000-0000-0000700A0000}"/>
    <cellStyle name="Percent 13 4 2" xfId="2633" xr:uid="{00000000-0005-0000-0000-0000710A0000}"/>
    <cellStyle name="Percent 13 5" xfId="2634" xr:uid="{00000000-0005-0000-0000-0000720A0000}"/>
    <cellStyle name="Percent 13 5 2" xfId="2635" xr:uid="{00000000-0005-0000-0000-0000730A0000}"/>
    <cellStyle name="Percent 13 6" xfId="2636" xr:uid="{00000000-0005-0000-0000-0000740A0000}"/>
    <cellStyle name="Percent 13 6 2" xfId="2637" xr:uid="{00000000-0005-0000-0000-0000750A0000}"/>
    <cellStyle name="Percent 13 7" xfId="2638" xr:uid="{00000000-0005-0000-0000-0000760A0000}"/>
    <cellStyle name="Percent 13 7 2" xfId="2639" xr:uid="{00000000-0005-0000-0000-0000770A0000}"/>
    <cellStyle name="Percent 13 8" xfId="2640" xr:uid="{00000000-0005-0000-0000-0000780A0000}"/>
    <cellStyle name="Percent 13 8 2" xfId="2641" xr:uid="{00000000-0005-0000-0000-0000790A0000}"/>
    <cellStyle name="Percent 13 9" xfId="2642" xr:uid="{00000000-0005-0000-0000-00007A0A0000}"/>
    <cellStyle name="Percent 14" xfId="2643" xr:uid="{00000000-0005-0000-0000-00007B0A0000}"/>
    <cellStyle name="Percent 14 2" xfId="2644" xr:uid="{00000000-0005-0000-0000-00007C0A0000}"/>
    <cellStyle name="Percent 14 2 2" xfId="2645" xr:uid="{00000000-0005-0000-0000-00007D0A0000}"/>
    <cellStyle name="Percent 14 3" xfId="2646" xr:uid="{00000000-0005-0000-0000-00007E0A0000}"/>
    <cellStyle name="Percent 14 3 2" xfId="2647" xr:uid="{00000000-0005-0000-0000-00007F0A0000}"/>
    <cellStyle name="Percent 14 4" xfId="2648" xr:uid="{00000000-0005-0000-0000-0000800A0000}"/>
    <cellStyle name="Percent 14 4 2" xfId="2649" xr:uid="{00000000-0005-0000-0000-0000810A0000}"/>
    <cellStyle name="Percent 14 5" xfId="2650" xr:uid="{00000000-0005-0000-0000-0000820A0000}"/>
    <cellStyle name="Percent 14 5 2" xfId="2651" xr:uid="{00000000-0005-0000-0000-0000830A0000}"/>
    <cellStyle name="Percent 14 6" xfId="2652" xr:uid="{00000000-0005-0000-0000-0000840A0000}"/>
    <cellStyle name="Percent 14 6 2" xfId="2653" xr:uid="{00000000-0005-0000-0000-0000850A0000}"/>
    <cellStyle name="Percent 14 7" xfId="2654" xr:uid="{00000000-0005-0000-0000-0000860A0000}"/>
    <cellStyle name="Percent 14 7 2" xfId="2655" xr:uid="{00000000-0005-0000-0000-0000870A0000}"/>
    <cellStyle name="Percent 14 8" xfId="2656" xr:uid="{00000000-0005-0000-0000-0000880A0000}"/>
    <cellStyle name="Percent 14 8 2" xfId="2657" xr:uid="{00000000-0005-0000-0000-0000890A0000}"/>
    <cellStyle name="Percent 14 9" xfId="2658" xr:uid="{00000000-0005-0000-0000-00008A0A0000}"/>
    <cellStyle name="Percent 15" xfId="2659" xr:uid="{00000000-0005-0000-0000-00008B0A0000}"/>
    <cellStyle name="Percent 15 10" xfId="2660" xr:uid="{00000000-0005-0000-0000-00008C0A0000}"/>
    <cellStyle name="Percent 15 10 2" xfId="2661" xr:uid="{00000000-0005-0000-0000-00008D0A0000}"/>
    <cellStyle name="Percent 15 11" xfId="2662" xr:uid="{00000000-0005-0000-0000-00008E0A0000}"/>
    <cellStyle name="Percent 15 11 2" xfId="2663" xr:uid="{00000000-0005-0000-0000-00008F0A0000}"/>
    <cellStyle name="Percent 15 12" xfId="2664" xr:uid="{00000000-0005-0000-0000-0000900A0000}"/>
    <cellStyle name="Percent 15 12 2" xfId="2665" xr:uid="{00000000-0005-0000-0000-0000910A0000}"/>
    <cellStyle name="Percent 15 13" xfId="2666" xr:uid="{00000000-0005-0000-0000-0000920A0000}"/>
    <cellStyle name="Percent 15 13 2" xfId="2667" xr:uid="{00000000-0005-0000-0000-0000930A0000}"/>
    <cellStyle name="Percent 15 14" xfId="2668" xr:uid="{00000000-0005-0000-0000-0000940A0000}"/>
    <cellStyle name="Percent 15 14 2" xfId="2669" xr:uid="{00000000-0005-0000-0000-0000950A0000}"/>
    <cellStyle name="Percent 15 2" xfId="2670" xr:uid="{00000000-0005-0000-0000-0000960A0000}"/>
    <cellStyle name="Percent 15 2 2" xfId="2671" xr:uid="{00000000-0005-0000-0000-0000970A0000}"/>
    <cellStyle name="Percent 15 2 3" xfId="2672" xr:uid="{00000000-0005-0000-0000-0000980A0000}"/>
    <cellStyle name="Percent 15 2 4" xfId="2673" xr:uid="{00000000-0005-0000-0000-0000990A0000}"/>
    <cellStyle name="Percent 15 2 5" xfId="2674" xr:uid="{00000000-0005-0000-0000-00009A0A0000}"/>
    <cellStyle name="Percent 15 2 6" xfId="2675" xr:uid="{00000000-0005-0000-0000-00009B0A0000}"/>
    <cellStyle name="Percent 15 2 7" xfId="2676" xr:uid="{00000000-0005-0000-0000-00009C0A0000}"/>
    <cellStyle name="Percent 15 2 8" xfId="2677" xr:uid="{00000000-0005-0000-0000-00009D0A0000}"/>
    <cellStyle name="Percent 15 3" xfId="2678" xr:uid="{00000000-0005-0000-0000-00009E0A0000}"/>
    <cellStyle name="Percent 15 4" xfId="2679" xr:uid="{00000000-0005-0000-0000-00009F0A0000}"/>
    <cellStyle name="Percent 15 4 2" xfId="2680" xr:uid="{00000000-0005-0000-0000-0000A00A0000}"/>
    <cellStyle name="Percent 15 5" xfId="2681" xr:uid="{00000000-0005-0000-0000-0000A10A0000}"/>
    <cellStyle name="Percent 15 6" xfId="2682" xr:uid="{00000000-0005-0000-0000-0000A20A0000}"/>
    <cellStyle name="Percent 15 7" xfId="2683" xr:uid="{00000000-0005-0000-0000-0000A30A0000}"/>
    <cellStyle name="Percent 15 8" xfId="2684" xr:uid="{00000000-0005-0000-0000-0000A40A0000}"/>
    <cellStyle name="Percent 15 9" xfId="2685" xr:uid="{00000000-0005-0000-0000-0000A50A0000}"/>
    <cellStyle name="Percent 15 9 2" xfId="2686" xr:uid="{00000000-0005-0000-0000-0000A60A0000}"/>
    <cellStyle name="Percent 16 2" xfId="2687" xr:uid="{00000000-0005-0000-0000-0000A70A0000}"/>
    <cellStyle name="Percent 16 3" xfId="2688" xr:uid="{00000000-0005-0000-0000-0000A80A0000}"/>
    <cellStyle name="Percent 16 3 10" xfId="2689" xr:uid="{00000000-0005-0000-0000-0000A90A0000}"/>
    <cellStyle name="Percent 16 3 10 2" xfId="2690" xr:uid="{00000000-0005-0000-0000-0000AA0A0000}"/>
    <cellStyle name="Percent 16 3 11" xfId="2691" xr:uid="{00000000-0005-0000-0000-0000AB0A0000}"/>
    <cellStyle name="Percent 16 3 11 2" xfId="2692" xr:uid="{00000000-0005-0000-0000-0000AC0A0000}"/>
    <cellStyle name="Percent 16 3 12" xfId="2693" xr:uid="{00000000-0005-0000-0000-0000AD0A0000}"/>
    <cellStyle name="Percent 16 3 12 2" xfId="2694" xr:uid="{00000000-0005-0000-0000-0000AE0A0000}"/>
    <cellStyle name="Percent 16 3 13" xfId="2695" xr:uid="{00000000-0005-0000-0000-0000AF0A0000}"/>
    <cellStyle name="Percent 16 3 13 2" xfId="2696" xr:uid="{00000000-0005-0000-0000-0000B00A0000}"/>
    <cellStyle name="Percent 16 3 14" xfId="2697" xr:uid="{00000000-0005-0000-0000-0000B10A0000}"/>
    <cellStyle name="Percent 16 3 14 2" xfId="2698" xr:uid="{00000000-0005-0000-0000-0000B20A0000}"/>
    <cellStyle name="Percent 16 3 15" xfId="2699" xr:uid="{00000000-0005-0000-0000-0000B30A0000}"/>
    <cellStyle name="Percent 16 3 15 2" xfId="2700" xr:uid="{00000000-0005-0000-0000-0000B40A0000}"/>
    <cellStyle name="Percent 16 3 16" xfId="2701" xr:uid="{00000000-0005-0000-0000-0000B50A0000}"/>
    <cellStyle name="Percent 16 3 16 2" xfId="2702" xr:uid="{00000000-0005-0000-0000-0000B60A0000}"/>
    <cellStyle name="Percent 16 3 17" xfId="2703" xr:uid="{00000000-0005-0000-0000-0000B70A0000}"/>
    <cellStyle name="Percent 16 3 17 2" xfId="2704" xr:uid="{00000000-0005-0000-0000-0000B80A0000}"/>
    <cellStyle name="Percent 16 3 18" xfId="2705" xr:uid="{00000000-0005-0000-0000-0000B90A0000}"/>
    <cellStyle name="Percent 16 3 2" xfId="2706" xr:uid="{00000000-0005-0000-0000-0000BA0A0000}"/>
    <cellStyle name="Percent 16 3 2 2" xfId="2707" xr:uid="{00000000-0005-0000-0000-0000BB0A0000}"/>
    <cellStyle name="Percent 16 3 3" xfId="2708" xr:uid="{00000000-0005-0000-0000-0000BC0A0000}"/>
    <cellStyle name="Percent 16 3 3 2" xfId="2709" xr:uid="{00000000-0005-0000-0000-0000BD0A0000}"/>
    <cellStyle name="Percent 16 3 4" xfId="2710" xr:uid="{00000000-0005-0000-0000-0000BE0A0000}"/>
    <cellStyle name="Percent 16 3 4 2" xfId="2711" xr:uid="{00000000-0005-0000-0000-0000BF0A0000}"/>
    <cellStyle name="Percent 16 3 5" xfId="2712" xr:uid="{00000000-0005-0000-0000-0000C00A0000}"/>
    <cellStyle name="Percent 16 3 5 2" xfId="2713" xr:uid="{00000000-0005-0000-0000-0000C10A0000}"/>
    <cellStyle name="Percent 16 3 6" xfId="2714" xr:uid="{00000000-0005-0000-0000-0000C20A0000}"/>
    <cellStyle name="Percent 16 3 6 2" xfId="2715" xr:uid="{00000000-0005-0000-0000-0000C30A0000}"/>
    <cellStyle name="Percent 16 3 7" xfId="2716" xr:uid="{00000000-0005-0000-0000-0000C40A0000}"/>
    <cellStyle name="Percent 16 3 7 2" xfId="2717" xr:uid="{00000000-0005-0000-0000-0000C50A0000}"/>
    <cellStyle name="Percent 16 3 8" xfId="2718" xr:uid="{00000000-0005-0000-0000-0000C60A0000}"/>
    <cellStyle name="Percent 16 3 8 2" xfId="2719" xr:uid="{00000000-0005-0000-0000-0000C70A0000}"/>
    <cellStyle name="Percent 16 3 9" xfId="2720" xr:uid="{00000000-0005-0000-0000-0000C80A0000}"/>
    <cellStyle name="Percent 16 3 9 2" xfId="2721" xr:uid="{00000000-0005-0000-0000-0000C90A0000}"/>
    <cellStyle name="Percent 16 4" xfId="2722" xr:uid="{00000000-0005-0000-0000-0000CA0A0000}"/>
    <cellStyle name="Percent 16 4 10" xfId="2723" xr:uid="{00000000-0005-0000-0000-0000CB0A0000}"/>
    <cellStyle name="Percent 16 4 10 2" xfId="2724" xr:uid="{00000000-0005-0000-0000-0000CC0A0000}"/>
    <cellStyle name="Percent 16 4 11" xfId="2725" xr:uid="{00000000-0005-0000-0000-0000CD0A0000}"/>
    <cellStyle name="Percent 16 4 11 2" xfId="2726" xr:uid="{00000000-0005-0000-0000-0000CE0A0000}"/>
    <cellStyle name="Percent 16 4 12" xfId="2727" xr:uid="{00000000-0005-0000-0000-0000CF0A0000}"/>
    <cellStyle name="Percent 16 4 12 2" xfId="2728" xr:uid="{00000000-0005-0000-0000-0000D00A0000}"/>
    <cellStyle name="Percent 16 4 13" xfId="2729" xr:uid="{00000000-0005-0000-0000-0000D10A0000}"/>
    <cellStyle name="Percent 16 4 13 2" xfId="2730" xr:uid="{00000000-0005-0000-0000-0000D20A0000}"/>
    <cellStyle name="Percent 16 4 14" xfId="2731" xr:uid="{00000000-0005-0000-0000-0000D30A0000}"/>
    <cellStyle name="Percent 16 4 14 2" xfId="2732" xr:uid="{00000000-0005-0000-0000-0000D40A0000}"/>
    <cellStyle name="Percent 16 4 15" xfId="2733" xr:uid="{00000000-0005-0000-0000-0000D50A0000}"/>
    <cellStyle name="Percent 16 4 15 2" xfId="2734" xr:uid="{00000000-0005-0000-0000-0000D60A0000}"/>
    <cellStyle name="Percent 16 4 16" xfId="2735" xr:uid="{00000000-0005-0000-0000-0000D70A0000}"/>
    <cellStyle name="Percent 16 4 16 2" xfId="2736" xr:uid="{00000000-0005-0000-0000-0000D80A0000}"/>
    <cellStyle name="Percent 16 4 17" xfId="2737" xr:uid="{00000000-0005-0000-0000-0000D90A0000}"/>
    <cellStyle name="Percent 16 4 17 2" xfId="2738" xr:uid="{00000000-0005-0000-0000-0000DA0A0000}"/>
    <cellStyle name="Percent 16 4 18" xfId="2739" xr:uid="{00000000-0005-0000-0000-0000DB0A0000}"/>
    <cellStyle name="Percent 16 4 2" xfId="2740" xr:uid="{00000000-0005-0000-0000-0000DC0A0000}"/>
    <cellStyle name="Percent 16 4 2 2" xfId="2741" xr:uid="{00000000-0005-0000-0000-0000DD0A0000}"/>
    <cellStyle name="Percent 16 4 3" xfId="2742" xr:uid="{00000000-0005-0000-0000-0000DE0A0000}"/>
    <cellStyle name="Percent 16 4 3 2" xfId="2743" xr:uid="{00000000-0005-0000-0000-0000DF0A0000}"/>
    <cellStyle name="Percent 16 4 4" xfId="2744" xr:uid="{00000000-0005-0000-0000-0000E00A0000}"/>
    <cellStyle name="Percent 16 4 4 2" xfId="2745" xr:uid="{00000000-0005-0000-0000-0000E10A0000}"/>
    <cellStyle name="Percent 16 4 5" xfId="2746" xr:uid="{00000000-0005-0000-0000-0000E20A0000}"/>
    <cellStyle name="Percent 16 4 5 2" xfId="2747" xr:uid="{00000000-0005-0000-0000-0000E30A0000}"/>
    <cellStyle name="Percent 16 4 6" xfId="2748" xr:uid="{00000000-0005-0000-0000-0000E40A0000}"/>
    <cellStyle name="Percent 16 4 6 2" xfId="2749" xr:uid="{00000000-0005-0000-0000-0000E50A0000}"/>
    <cellStyle name="Percent 16 4 7" xfId="2750" xr:uid="{00000000-0005-0000-0000-0000E60A0000}"/>
    <cellStyle name="Percent 16 4 7 2" xfId="2751" xr:uid="{00000000-0005-0000-0000-0000E70A0000}"/>
    <cellStyle name="Percent 16 4 8" xfId="2752" xr:uid="{00000000-0005-0000-0000-0000E80A0000}"/>
    <cellStyle name="Percent 16 4 8 2" xfId="2753" xr:uid="{00000000-0005-0000-0000-0000E90A0000}"/>
    <cellStyle name="Percent 16 4 9" xfId="2754" xr:uid="{00000000-0005-0000-0000-0000EA0A0000}"/>
    <cellStyle name="Percent 16 4 9 2" xfId="2755" xr:uid="{00000000-0005-0000-0000-0000EB0A0000}"/>
    <cellStyle name="Percent 16 5" xfId="2756" xr:uid="{00000000-0005-0000-0000-0000EC0A0000}"/>
    <cellStyle name="Percent 16 5 10" xfId="2757" xr:uid="{00000000-0005-0000-0000-0000ED0A0000}"/>
    <cellStyle name="Percent 16 5 10 2" xfId="2758" xr:uid="{00000000-0005-0000-0000-0000EE0A0000}"/>
    <cellStyle name="Percent 16 5 11" xfId="2759" xr:uid="{00000000-0005-0000-0000-0000EF0A0000}"/>
    <cellStyle name="Percent 16 5 11 2" xfId="2760" xr:uid="{00000000-0005-0000-0000-0000F00A0000}"/>
    <cellStyle name="Percent 16 5 12" xfId="2761" xr:uid="{00000000-0005-0000-0000-0000F10A0000}"/>
    <cellStyle name="Percent 16 5 12 2" xfId="2762" xr:uid="{00000000-0005-0000-0000-0000F20A0000}"/>
    <cellStyle name="Percent 16 5 13" xfId="2763" xr:uid="{00000000-0005-0000-0000-0000F30A0000}"/>
    <cellStyle name="Percent 16 5 13 2" xfId="2764" xr:uid="{00000000-0005-0000-0000-0000F40A0000}"/>
    <cellStyle name="Percent 16 5 14" xfId="2765" xr:uid="{00000000-0005-0000-0000-0000F50A0000}"/>
    <cellStyle name="Percent 16 5 14 2" xfId="2766" xr:uid="{00000000-0005-0000-0000-0000F60A0000}"/>
    <cellStyle name="Percent 16 5 15" xfId="2767" xr:uid="{00000000-0005-0000-0000-0000F70A0000}"/>
    <cellStyle name="Percent 16 5 15 2" xfId="2768" xr:uid="{00000000-0005-0000-0000-0000F80A0000}"/>
    <cellStyle name="Percent 16 5 16" xfId="2769" xr:uid="{00000000-0005-0000-0000-0000F90A0000}"/>
    <cellStyle name="Percent 16 5 16 2" xfId="2770" xr:uid="{00000000-0005-0000-0000-0000FA0A0000}"/>
    <cellStyle name="Percent 16 5 17" xfId="2771" xr:uid="{00000000-0005-0000-0000-0000FB0A0000}"/>
    <cellStyle name="Percent 16 5 17 2" xfId="2772" xr:uid="{00000000-0005-0000-0000-0000FC0A0000}"/>
    <cellStyle name="Percent 16 5 18" xfId="2773" xr:uid="{00000000-0005-0000-0000-0000FD0A0000}"/>
    <cellStyle name="Percent 16 5 2" xfId="2774" xr:uid="{00000000-0005-0000-0000-0000FE0A0000}"/>
    <cellStyle name="Percent 16 5 2 2" xfId="2775" xr:uid="{00000000-0005-0000-0000-0000FF0A0000}"/>
    <cellStyle name="Percent 16 5 3" xfId="2776" xr:uid="{00000000-0005-0000-0000-0000000B0000}"/>
    <cellStyle name="Percent 16 5 3 2" xfId="2777" xr:uid="{00000000-0005-0000-0000-0000010B0000}"/>
    <cellStyle name="Percent 16 5 4" xfId="2778" xr:uid="{00000000-0005-0000-0000-0000020B0000}"/>
    <cellStyle name="Percent 16 5 4 2" xfId="2779" xr:uid="{00000000-0005-0000-0000-0000030B0000}"/>
    <cellStyle name="Percent 16 5 5" xfId="2780" xr:uid="{00000000-0005-0000-0000-0000040B0000}"/>
    <cellStyle name="Percent 16 5 5 2" xfId="2781" xr:uid="{00000000-0005-0000-0000-0000050B0000}"/>
    <cellStyle name="Percent 16 5 6" xfId="2782" xr:uid="{00000000-0005-0000-0000-0000060B0000}"/>
    <cellStyle name="Percent 16 5 6 2" xfId="2783" xr:uid="{00000000-0005-0000-0000-0000070B0000}"/>
    <cellStyle name="Percent 16 5 7" xfId="2784" xr:uid="{00000000-0005-0000-0000-0000080B0000}"/>
    <cellStyle name="Percent 16 5 7 2" xfId="2785" xr:uid="{00000000-0005-0000-0000-0000090B0000}"/>
    <cellStyle name="Percent 16 5 8" xfId="2786" xr:uid="{00000000-0005-0000-0000-00000A0B0000}"/>
    <cellStyle name="Percent 16 5 8 2" xfId="2787" xr:uid="{00000000-0005-0000-0000-00000B0B0000}"/>
    <cellStyle name="Percent 16 5 9" xfId="2788" xr:uid="{00000000-0005-0000-0000-00000C0B0000}"/>
    <cellStyle name="Percent 16 5 9 2" xfId="2789" xr:uid="{00000000-0005-0000-0000-00000D0B0000}"/>
    <cellStyle name="Percent 16 6" xfId="2790" xr:uid="{00000000-0005-0000-0000-00000E0B0000}"/>
    <cellStyle name="Percent 16 6 10" xfId="2791" xr:uid="{00000000-0005-0000-0000-00000F0B0000}"/>
    <cellStyle name="Percent 16 6 10 2" xfId="2792" xr:uid="{00000000-0005-0000-0000-0000100B0000}"/>
    <cellStyle name="Percent 16 6 11" xfId="2793" xr:uid="{00000000-0005-0000-0000-0000110B0000}"/>
    <cellStyle name="Percent 16 6 11 2" xfId="2794" xr:uid="{00000000-0005-0000-0000-0000120B0000}"/>
    <cellStyle name="Percent 16 6 12" xfId="2795" xr:uid="{00000000-0005-0000-0000-0000130B0000}"/>
    <cellStyle name="Percent 16 6 12 2" xfId="2796" xr:uid="{00000000-0005-0000-0000-0000140B0000}"/>
    <cellStyle name="Percent 16 6 13" xfId="2797" xr:uid="{00000000-0005-0000-0000-0000150B0000}"/>
    <cellStyle name="Percent 16 6 13 2" xfId="2798" xr:uid="{00000000-0005-0000-0000-0000160B0000}"/>
    <cellStyle name="Percent 16 6 14" xfId="2799" xr:uid="{00000000-0005-0000-0000-0000170B0000}"/>
    <cellStyle name="Percent 16 6 14 2" xfId="2800" xr:uid="{00000000-0005-0000-0000-0000180B0000}"/>
    <cellStyle name="Percent 16 6 15" xfId="2801" xr:uid="{00000000-0005-0000-0000-0000190B0000}"/>
    <cellStyle name="Percent 16 6 15 2" xfId="2802" xr:uid="{00000000-0005-0000-0000-00001A0B0000}"/>
    <cellStyle name="Percent 16 6 16" xfId="2803" xr:uid="{00000000-0005-0000-0000-00001B0B0000}"/>
    <cellStyle name="Percent 16 6 16 2" xfId="2804" xr:uid="{00000000-0005-0000-0000-00001C0B0000}"/>
    <cellStyle name="Percent 16 6 17" xfId="2805" xr:uid="{00000000-0005-0000-0000-00001D0B0000}"/>
    <cellStyle name="Percent 16 6 17 2" xfId="2806" xr:uid="{00000000-0005-0000-0000-00001E0B0000}"/>
    <cellStyle name="Percent 16 6 18" xfId="2807" xr:uid="{00000000-0005-0000-0000-00001F0B0000}"/>
    <cellStyle name="Percent 16 6 2" xfId="2808" xr:uid="{00000000-0005-0000-0000-0000200B0000}"/>
    <cellStyle name="Percent 16 6 2 2" xfId="2809" xr:uid="{00000000-0005-0000-0000-0000210B0000}"/>
    <cellStyle name="Percent 16 6 3" xfId="2810" xr:uid="{00000000-0005-0000-0000-0000220B0000}"/>
    <cellStyle name="Percent 16 6 3 2" xfId="2811" xr:uid="{00000000-0005-0000-0000-0000230B0000}"/>
    <cellStyle name="Percent 16 6 4" xfId="2812" xr:uid="{00000000-0005-0000-0000-0000240B0000}"/>
    <cellStyle name="Percent 16 6 4 2" xfId="2813" xr:uid="{00000000-0005-0000-0000-0000250B0000}"/>
    <cellStyle name="Percent 16 6 5" xfId="2814" xr:uid="{00000000-0005-0000-0000-0000260B0000}"/>
    <cellStyle name="Percent 16 6 5 2" xfId="2815" xr:uid="{00000000-0005-0000-0000-0000270B0000}"/>
    <cellStyle name="Percent 16 6 6" xfId="2816" xr:uid="{00000000-0005-0000-0000-0000280B0000}"/>
    <cellStyle name="Percent 16 6 6 2" xfId="2817" xr:uid="{00000000-0005-0000-0000-0000290B0000}"/>
    <cellStyle name="Percent 16 6 7" xfId="2818" xr:uid="{00000000-0005-0000-0000-00002A0B0000}"/>
    <cellStyle name="Percent 16 6 7 2" xfId="2819" xr:uid="{00000000-0005-0000-0000-00002B0B0000}"/>
    <cellStyle name="Percent 16 6 8" xfId="2820" xr:uid="{00000000-0005-0000-0000-00002C0B0000}"/>
    <cellStyle name="Percent 16 6 8 2" xfId="2821" xr:uid="{00000000-0005-0000-0000-00002D0B0000}"/>
    <cellStyle name="Percent 16 6 9" xfId="2822" xr:uid="{00000000-0005-0000-0000-00002E0B0000}"/>
    <cellStyle name="Percent 16 6 9 2" xfId="2823" xr:uid="{00000000-0005-0000-0000-00002F0B0000}"/>
    <cellStyle name="Percent 16 7" xfId="2824" xr:uid="{00000000-0005-0000-0000-0000300B0000}"/>
    <cellStyle name="Percent 16 7 10" xfId="2825" xr:uid="{00000000-0005-0000-0000-0000310B0000}"/>
    <cellStyle name="Percent 16 7 10 2" xfId="2826" xr:uid="{00000000-0005-0000-0000-0000320B0000}"/>
    <cellStyle name="Percent 16 7 11" xfId="2827" xr:uid="{00000000-0005-0000-0000-0000330B0000}"/>
    <cellStyle name="Percent 16 7 11 2" xfId="2828" xr:uid="{00000000-0005-0000-0000-0000340B0000}"/>
    <cellStyle name="Percent 16 7 12" xfId="2829" xr:uid="{00000000-0005-0000-0000-0000350B0000}"/>
    <cellStyle name="Percent 16 7 12 2" xfId="2830" xr:uid="{00000000-0005-0000-0000-0000360B0000}"/>
    <cellStyle name="Percent 16 7 13" xfId="2831" xr:uid="{00000000-0005-0000-0000-0000370B0000}"/>
    <cellStyle name="Percent 16 7 13 2" xfId="2832" xr:uid="{00000000-0005-0000-0000-0000380B0000}"/>
    <cellStyle name="Percent 16 7 14" xfId="2833" xr:uid="{00000000-0005-0000-0000-0000390B0000}"/>
    <cellStyle name="Percent 16 7 14 2" xfId="2834" xr:uid="{00000000-0005-0000-0000-00003A0B0000}"/>
    <cellStyle name="Percent 16 7 15" xfId="2835" xr:uid="{00000000-0005-0000-0000-00003B0B0000}"/>
    <cellStyle name="Percent 16 7 15 2" xfId="2836" xr:uid="{00000000-0005-0000-0000-00003C0B0000}"/>
    <cellStyle name="Percent 16 7 16" xfId="2837" xr:uid="{00000000-0005-0000-0000-00003D0B0000}"/>
    <cellStyle name="Percent 16 7 16 2" xfId="2838" xr:uid="{00000000-0005-0000-0000-00003E0B0000}"/>
    <cellStyle name="Percent 16 7 17" xfId="2839" xr:uid="{00000000-0005-0000-0000-00003F0B0000}"/>
    <cellStyle name="Percent 16 7 17 2" xfId="2840" xr:uid="{00000000-0005-0000-0000-0000400B0000}"/>
    <cellStyle name="Percent 16 7 18" xfId="2841" xr:uid="{00000000-0005-0000-0000-0000410B0000}"/>
    <cellStyle name="Percent 16 7 2" xfId="2842" xr:uid="{00000000-0005-0000-0000-0000420B0000}"/>
    <cellStyle name="Percent 16 7 2 2" xfId="2843" xr:uid="{00000000-0005-0000-0000-0000430B0000}"/>
    <cellStyle name="Percent 16 7 3" xfId="2844" xr:uid="{00000000-0005-0000-0000-0000440B0000}"/>
    <cellStyle name="Percent 16 7 3 2" xfId="2845" xr:uid="{00000000-0005-0000-0000-0000450B0000}"/>
    <cellStyle name="Percent 16 7 4" xfId="2846" xr:uid="{00000000-0005-0000-0000-0000460B0000}"/>
    <cellStyle name="Percent 16 7 4 2" xfId="2847" xr:uid="{00000000-0005-0000-0000-0000470B0000}"/>
    <cellStyle name="Percent 16 7 5" xfId="2848" xr:uid="{00000000-0005-0000-0000-0000480B0000}"/>
    <cellStyle name="Percent 16 7 5 2" xfId="2849" xr:uid="{00000000-0005-0000-0000-0000490B0000}"/>
    <cellStyle name="Percent 16 7 6" xfId="2850" xr:uid="{00000000-0005-0000-0000-00004A0B0000}"/>
    <cellStyle name="Percent 16 7 6 2" xfId="2851" xr:uid="{00000000-0005-0000-0000-00004B0B0000}"/>
    <cellStyle name="Percent 16 7 7" xfId="2852" xr:uid="{00000000-0005-0000-0000-00004C0B0000}"/>
    <cellStyle name="Percent 16 7 7 2" xfId="2853" xr:uid="{00000000-0005-0000-0000-00004D0B0000}"/>
    <cellStyle name="Percent 16 7 8" xfId="2854" xr:uid="{00000000-0005-0000-0000-00004E0B0000}"/>
    <cellStyle name="Percent 16 7 8 2" xfId="2855" xr:uid="{00000000-0005-0000-0000-00004F0B0000}"/>
    <cellStyle name="Percent 16 7 9" xfId="2856" xr:uid="{00000000-0005-0000-0000-0000500B0000}"/>
    <cellStyle name="Percent 16 7 9 2" xfId="2857" xr:uid="{00000000-0005-0000-0000-0000510B0000}"/>
    <cellStyle name="Percent 16 8" xfId="2858" xr:uid="{00000000-0005-0000-0000-0000520B0000}"/>
    <cellStyle name="Percent 16 8 10" xfId="2859" xr:uid="{00000000-0005-0000-0000-0000530B0000}"/>
    <cellStyle name="Percent 16 8 10 2" xfId="2860" xr:uid="{00000000-0005-0000-0000-0000540B0000}"/>
    <cellStyle name="Percent 16 8 11" xfId="2861" xr:uid="{00000000-0005-0000-0000-0000550B0000}"/>
    <cellStyle name="Percent 16 8 11 2" xfId="2862" xr:uid="{00000000-0005-0000-0000-0000560B0000}"/>
    <cellStyle name="Percent 16 8 12" xfId="2863" xr:uid="{00000000-0005-0000-0000-0000570B0000}"/>
    <cellStyle name="Percent 16 8 12 2" xfId="2864" xr:uid="{00000000-0005-0000-0000-0000580B0000}"/>
    <cellStyle name="Percent 16 8 13" xfId="2865" xr:uid="{00000000-0005-0000-0000-0000590B0000}"/>
    <cellStyle name="Percent 16 8 13 2" xfId="2866" xr:uid="{00000000-0005-0000-0000-00005A0B0000}"/>
    <cellStyle name="Percent 16 8 14" xfId="2867" xr:uid="{00000000-0005-0000-0000-00005B0B0000}"/>
    <cellStyle name="Percent 16 8 14 2" xfId="2868" xr:uid="{00000000-0005-0000-0000-00005C0B0000}"/>
    <cellStyle name="Percent 16 8 15" xfId="2869" xr:uid="{00000000-0005-0000-0000-00005D0B0000}"/>
    <cellStyle name="Percent 16 8 15 2" xfId="2870" xr:uid="{00000000-0005-0000-0000-00005E0B0000}"/>
    <cellStyle name="Percent 16 8 16" xfId="2871" xr:uid="{00000000-0005-0000-0000-00005F0B0000}"/>
    <cellStyle name="Percent 16 8 16 2" xfId="2872" xr:uid="{00000000-0005-0000-0000-0000600B0000}"/>
    <cellStyle name="Percent 16 8 17" xfId="2873" xr:uid="{00000000-0005-0000-0000-0000610B0000}"/>
    <cellStyle name="Percent 16 8 17 2" xfId="2874" xr:uid="{00000000-0005-0000-0000-0000620B0000}"/>
    <cellStyle name="Percent 16 8 18" xfId="2875" xr:uid="{00000000-0005-0000-0000-0000630B0000}"/>
    <cellStyle name="Percent 16 8 2" xfId="2876" xr:uid="{00000000-0005-0000-0000-0000640B0000}"/>
    <cellStyle name="Percent 16 8 2 2" xfId="2877" xr:uid="{00000000-0005-0000-0000-0000650B0000}"/>
    <cellStyle name="Percent 16 8 3" xfId="2878" xr:uid="{00000000-0005-0000-0000-0000660B0000}"/>
    <cellStyle name="Percent 16 8 3 2" xfId="2879" xr:uid="{00000000-0005-0000-0000-0000670B0000}"/>
    <cellStyle name="Percent 16 8 4" xfId="2880" xr:uid="{00000000-0005-0000-0000-0000680B0000}"/>
    <cellStyle name="Percent 16 8 4 2" xfId="2881" xr:uid="{00000000-0005-0000-0000-0000690B0000}"/>
    <cellStyle name="Percent 16 8 5" xfId="2882" xr:uid="{00000000-0005-0000-0000-00006A0B0000}"/>
    <cellStyle name="Percent 16 8 5 2" xfId="2883" xr:uid="{00000000-0005-0000-0000-00006B0B0000}"/>
    <cellStyle name="Percent 16 8 6" xfId="2884" xr:uid="{00000000-0005-0000-0000-00006C0B0000}"/>
    <cellStyle name="Percent 16 8 6 2" xfId="2885" xr:uid="{00000000-0005-0000-0000-00006D0B0000}"/>
    <cellStyle name="Percent 16 8 7" xfId="2886" xr:uid="{00000000-0005-0000-0000-00006E0B0000}"/>
    <cellStyle name="Percent 16 8 7 2" xfId="2887" xr:uid="{00000000-0005-0000-0000-00006F0B0000}"/>
    <cellStyle name="Percent 16 8 8" xfId="2888" xr:uid="{00000000-0005-0000-0000-0000700B0000}"/>
    <cellStyle name="Percent 16 8 8 2" xfId="2889" xr:uid="{00000000-0005-0000-0000-0000710B0000}"/>
    <cellStyle name="Percent 16 8 9" xfId="2890" xr:uid="{00000000-0005-0000-0000-0000720B0000}"/>
    <cellStyle name="Percent 16 8 9 2" xfId="2891" xr:uid="{00000000-0005-0000-0000-0000730B0000}"/>
    <cellStyle name="Percent 16 9" xfId="2892" xr:uid="{00000000-0005-0000-0000-0000740B0000}"/>
    <cellStyle name="Percent 16 9 10" xfId="2893" xr:uid="{00000000-0005-0000-0000-0000750B0000}"/>
    <cellStyle name="Percent 16 9 10 2" xfId="2894" xr:uid="{00000000-0005-0000-0000-0000760B0000}"/>
    <cellStyle name="Percent 16 9 11" xfId="2895" xr:uid="{00000000-0005-0000-0000-0000770B0000}"/>
    <cellStyle name="Percent 16 9 11 2" xfId="2896" xr:uid="{00000000-0005-0000-0000-0000780B0000}"/>
    <cellStyle name="Percent 16 9 12" xfId="2897" xr:uid="{00000000-0005-0000-0000-0000790B0000}"/>
    <cellStyle name="Percent 16 9 12 2" xfId="2898" xr:uid="{00000000-0005-0000-0000-00007A0B0000}"/>
    <cellStyle name="Percent 16 9 13" xfId="2899" xr:uid="{00000000-0005-0000-0000-00007B0B0000}"/>
    <cellStyle name="Percent 16 9 13 2" xfId="2900" xr:uid="{00000000-0005-0000-0000-00007C0B0000}"/>
    <cellStyle name="Percent 16 9 14" xfId="2901" xr:uid="{00000000-0005-0000-0000-00007D0B0000}"/>
    <cellStyle name="Percent 16 9 14 2" xfId="2902" xr:uid="{00000000-0005-0000-0000-00007E0B0000}"/>
    <cellStyle name="Percent 16 9 15" xfId="2903" xr:uid="{00000000-0005-0000-0000-00007F0B0000}"/>
    <cellStyle name="Percent 16 9 15 2" xfId="2904" xr:uid="{00000000-0005-0000-0000-0000800B0000}"/>
    <cellStyle name="Percent 16 9 16" xfId="2905" xr:uid="{00000000-0005-0000-0000-0000810B0000}"/>
    <cellStyle name="Percent 16 9 16 2" xfId="2906" xr:uid="{00000000-0005-0000-0000-0000820B0000}"/>
    <cellStyle name="Percent 16 9 17" xfId="2907" xr:uid="{00000000-0005-0000-0000-0000830B0000}"/>
    <cellStyle name="Percent 16 9 17 2" xfId="2908" xr:uid="{00000000-0005-0000-0000-0000840B0000}"/>
    <cellStyle name="Percent 16 9 18" xfId="2909" xr:uid="{00000000-0005-0000-0000-0000850B0000}"/>
    <cellStyle name="Percent 16 9 2" xfId="2910" xr:uid="{00000000-0005-0000-0000-0000860B0000}"/>
    <cellStyle name="Percent 16 9 2 2" xfId="2911" xr:uid="{00000000-0005-0000-0000-0000870B0000}"/>
    <cellStyle name="Percent 16 9 3" xfId="2912" xr:uid="{00000000-0005-0000-0000-0000880B0000}"/>
    <cellStyle name="Percent 16 9 3 2" xfId="2913" xr:uid="{00000000-0005-0000-0000-0000890B0000}"/>
    <cellStyle name="Percent 16 9 4" xfId="2914" xr:uid="{00000000-0005-0000-0000-00008A0B0000}"/>
    <cellStyle name="Percent 16 9 4 2" xfId="2915" xr:uid="{00000000-0005-0000-0000-00008B0B0000}"/>
    <cellStyle name="Percent 16 9 5" xfId="2916" xr:uid="{00000000-0005-0000-0000-00008C0B0000}"/>
    <cellStyle name="Percent 16 9 5 2" xfId="2917" xr:uid="{00000000-0005-0000-0000-00008D0B0000}"/>
    <cellStyle name="Percent 16 9 6" xfId="2918" xr:uid="{00000000-0005-0000-0000-00008E0B0000}"/>
    <cellStyle name="Percent 16 9 6 2" xfId="2919" xr:uid="{00000000-0005-0000-0000-00008F0B0000}"/>
    <cellStyle name="Percent 16 9 7" xfId="2920" xr:uid="{00000000-0005-0000-0000-0000900B0000}"/>
    <cellStyle name="Percent 16 9 7 2" xfId="2921" xr:uid="{00000000-0005-0000-0000-0000910B0000}"/>
    <cellStyle name="Percent 16 9 8" xfId="2922" xr:uid="{00000000-0005-0000-0000-0000920B0000}"/>
    <cellStyle name="Percent 16 9 8 2" xfId="2923" xr:uid="{00000000-0005-0000-0000-0000930B0000}"/>
    <cellStyle name="Percent 16 9 9" xfId="2924" xr:uid="{00000000-0005-0000-0000-0000940B0000}"/>
    <cellStyle name="Percent 16 9 9 2" xfId="2925" xr:uid="{00000000-0005-0000-0000-0000950B0000}"/>
    <cellStyle name="Percent 17" xfId="2926" xr:uid="{00000000-0005-0000-0000-0000960B0000}"/>
    <cellStyle name="Percent 17 2" xfId="2927" xr:uid="{00000000-0005-0000-0000-0000970B0000}"/>
    <cellStyle name="Percent 2" xfId="2928" xr:uid="{00000000-0005-0000-0000-0000980B0000}"/>
    <cellStyle name="Percent 2 10" xfId="2929" xr:uid="{00000000-0005-0000-0000-0000990B0000}"/>
    <cellStyle name="Percent 2 10 2" xfId="2930" xr:uid="{00000000-0005-0000-0000-00009A0B0000}"/>
    <cellStyle name="Percent 2 10 2 2" xfId="2931" xr:uid="{00000000-0005-0000-0000-00009B0B0000}"/>
    <cellStyle name="Percent 2 10 3" xfId="2932" xr:uid="{00000000-0005-0000-0000-00009C0B0000}"/>
    <cellStyle name="Percent 2 10 3 2" xfId="2933" xr:uid="{00000000-0005-0000-0000-00009D0B0000}"/>
    <cellStyle name="Percent 2 10 4" xfId="2934" xr:uid="{00000000-0005-0000-0000-00009E0B0000}"/>
    <cellStyle name="Percent 2 10 4 2" xfId="2935" xr:uid="{00000000-0005-0000-0000-00009F0B0000}"/>
    <cellStyle name="Percent 2 10 5" xfId="2936" xr:uid="{00000000-0005-0000-0000-0000A00B0000}"/>
    <cellStyle name="Percent 2 10 5 2" xfId="2937" xr:uid="{00000000-0005-0000-0000-0000A10B0000}"/>
    <cellStyle name="Percent 2 10 6" xfId="2938" xr:uid="{00000000-0005-0000-0000-0000A20B0000}"/>
    <cellStyle name="Percent 2 10 6 2" xfId="2939" xr:uid="{00000000-0005-0000-0000-0000A30B0000}"/>
    <cellStyle name="Percent 2 10 7" xfId="2940" xr:uid="{00000000-0005-0000-0000-0000A40B0000}"/>
    <cellStyle name="Percent 2 10 7 2" xfId="2941" xr:uid="{00000000-0005-0000-0000-0000A50B0000}"/>
    <cellStyle name="Percent 2 10 8" xfId="2942" xr:uid="{00000000-0005-0000-0000-0000A60B0000}"/>
    <cellStyle name="Percent 2 10 8 2" xfId="2943" xr:uid="{00000000-0005-0000-0000-0000A70B0000}"/>
    <cellStyle name="Percent 2 10 9" xfId="2944" xr:uid="{00000000-0005-0000-0000-0000A80B0000}"/>
    <cellStyle name="Percent 2 11" xfId="2945" xr:uid="{00000000-0005-0000-0000-0000A90B0000}"/>
    <cellStyle name="Percent 2 11 2" xfId="2946" xr:uid="{00000000-0005-0000-0000-0000AA0B0000}"/>
    <cellStyle name="Percent 2 11 2 2" xfId="2947" xr:uid="{00000000-0005-0000-0000-0000AB0B0000}"/>
    <cellStyle name="Percent 2 11 3" xfId="2948" xr:uid="{00000000-0005-0000-0000-0000AC0B0000}"/>
    <cellStyle name="Percent 2 11 3 2" xfId="2949" xr:uid="{00000000-0005-0000-0000-0000AD0B0000}"/>
    <cellStyle name="Percent 2 11 4" xfId="2950" xr:uid="{00000000-0005-0000-0000-0000AE0B0000}"/>
    <cellStyle name="Percent 2 11 4 2" xfId="2951" xr:uid="{00000000-0005-0000-0000-0000AF0B0000}"/>
    <cellStyle name="Percent 2 11 5" xfId="2952" xr:uid="{00000000-0005-0000-0000-0000B00B0000}"/>
    <cellStyle name="Percent 2 11 5 2" xfId="2953" xr:uid="{00000000-0005-0000-0000-0000B10B0000}"/>
    <cellStyle name="Percent 2 11 6" xfId="2954" xr:uid="{00000000-0005-0000-0000-0000B20B0000}"/>
    <cellStyle name="Percent 2 11 6 2" xfId="2955" xr:uid="{00000000-0005-0000-0000-0000B30B0000}"/>
    <cellStyle name="Percent 2 11 7" xfId="2956" xr:uid="{00000000-0005-0000-0000-0000B40B0000}"/>
    <cellStyle name="Percent 2 11 7 2" xfId="2957" xr:uid="{00000000-0005-0000-0000-0000B50B0000}"/>
    <cellStyle name="Percent 2 11 8" xfId="2958" xr:uid="{00000000-0005-0000-0000-0000B60B0000}"/>
    <cellStyle name="Percent 2 11 8 2" xfId="2959" xr:uid="{00000000-0005-0000-0000-0000B70B0000}"/>
    <cellStyle name="Percent 2 11 9" xfId="2960" xr:uid="{00000000-0005-0000-0000-0000B80B0000}"/>
    <cellStyle name="Percent 2 12" xfId="2961" xr:uid="{00000000-0005-0000-0000-0000B90B0000}"/>
    <cellStyle name="Percent 2 12 2" xfId="2962" xr:uid="{00000000-0005-0000-0000-0000BA0B0000}"/>
    <cellStyle name="Percent 2 13" xfId="2963" xr:uid="{00000000-0005-0000-0000-0000BB0B0000}"/>
    <cellStyle name="Percent 2 13 2" xfId="2964" xr:uid="{00000000-0005-0000-0000-0000BC0B0000}"/>
    <cellStyle name="Percent 2 14" xfId="2965" xr:uid="{00000000-0005-0000-0000-0000BD0B0000}"/>
    <cellStyle name="Percent 2 14 2" xfId="2966" xr:uid="{00000000-0005-0000-0000-0000BE0B0000}"/>
    <cellStyle name="Percent 2 15" xfId="2967" xr:uid="{00000000-0005-0000-0000-0000BF0B0000}"/>
    <cellStyle name="Percent 2 15 2" xfId="2968" xr:uid="{00000000-0005-0000-0000-0000C00B0000}"/>
    <cellStyle name="Percent 2 16" xfId="2969" xr:uid="{00000000-0005-0000-0000-0000C10B0000}"/>
    <cellStyle name="Percent 2 16 2" xfId="2970" xr:uid="{00000000-0005-0000-0000-0000C20B0000}"/>
    <cellStyle name="Percent 2 17" xfId="2971" xr:uid="{00000000-0005-0000-0000-0000C30B0000}"/>
    <cellStyle name="Percent 2 17 2" xfId="2972" xr:uid="{00000000-0005-0000-0000-0000C40B0000}"/>
    <cellStyle name="Percent 2 18" xfId="2973" xr:uid="{00000000-0005-0000-0000-0000C50B0000}"/>
    <cellStyle name="Percent 2 18 2" xfId="2974" xr:uid="{00000000-0005-0000-0000-0000C60B0000}"/>
    <cellStyle name="Percent 2 19" xfId="2975" xr:uid="{00000000-0005-0000-0000-0000C70B0000}"/>
    <cellStyle name="Percent 2 2" xfId="2976" xr:uid="{00000000-0005-0000-0000-0000C80B0000}"/>
    <cellStyle name="Percent 2 2 10" xfId="2977" xr:uid="{00000000-0005-0000-0000-0000C90B0000}"/>
    <cellStyle name="Percent 2 2 2" xfId="2978" xr:uid="{00000000-0005-0000-0000-0000CA0B0000}"/>
    <cellStyle name="Percent 2 2 2 2" xfId="2979" xr:uid="{00000000-0005-0000-0000-0000CB0B0000}"/>
    <cellStyle name="Percent 2 2 2 3" xfId="2980" xr:uid="{00000000-0005-0000-0000-0000CC0B0000}"/>
    <cellStyle name="Percent 2 2 3" xfId="2981" xr:uid="{00000000-0005-0000-0000-0000CD0B0000}"/>
    <cellStyle name="Percent 2 2 3 2" xfId="2982" xr:uid="{00000000-0005-0000-0000-0000CE0B0000}"/>
    <cellStyle name="Percent 2 2 3 2 2" xfId="2983" xr:uid="{00000000-0005-0000-0000-0000CF0B0000}"/>
    <cellStyle name="Percent 2 2 3 3" xfId="2984" xr:uid="{00000000-0005-0000-0000-0000D00B0000}"/>
    <cellStyle name="Percent 2 2 4" xfId="2985" xr:uid="{00000000-0005-0000-0000-0000D10B0000}"/>
    <cellStyle name="Percent 2 2 4 2" xfId="2986" xr:uid="{00000000-0005-0000-0000-0000D20B0000}"/>
    <cellStyle name="Percent 2 2 5" xfId="2987" xr:uid="{00000000-0005-0000-0000-0000D30B0000}"/>
    <cellStyle name="Percent 2 2 5 2" xfId="2988" xr:uid="{00000000-0005-0000-0000-0000D40B0000}"/>
    <cellStyle name="Percent 2 2 6" xfId="2989" xr:uid="{00000000-0005-0000-0000-0000D50B0000}"/>
    <cellStyle name="Percent 2 2 6 2" xfId="2990" xr:uid="{00000000-0005-0000-0000-0000D60B0000}"/>
    <cellStyle name="Percent 2 2 7" xfId="2991" xr:uid="{00000000-0005-0000-0000-0000D70B0000}"/>
    <cellStyle name="Percent 2 2 7 2" xfId="2992" xr:uid="{00000000-0005-0000-0000-0000D80B0000}"/>
    <cellStyle name="Percent 2 2 8" xfId="2993" xr:uid="{00000000-0005-0000-0000-0000D90B0000}"/>
    <cellStyle name="Percent 2 2 8 2" xfId="2994" xr:uid="{00000000-0005-0000-0000-0000DA0B0000}"/>
    <cellStyle name="Percent 2 2 9" xfId="2995" xr:uid="{00000000-0005-0000-0000-0000DB0B0000}"/>
    <cellStyle name="Percent 2 20" xfId="2996" xr:uid="{00000000-0005-0000-0000-0000DC0B0000}"/>
    <cellStyle name="Percent 2 3" xfId="2997" xr:uid="{00000000-0005-0000-0000-0000DD0B0000}"/>
    <cellStyle name="Percent 2 3 10" xfId="2998" xr:uid="{00000000-0005-0000-0000-0000DE0B0000}"/>
    <cellStyle name="Percent 2 3 2" xfId="2999" xr:uid="{00000000-0005-0000-0000-0000DF0B0000}"/>
    <cellStyle name="Percent 2 3 2 2" xfId="3000" xr:uid="{00000000-0005-0000-0000-0000E00B0000}"/>
    <cellStyle name="Percent 2 3 2 3" xfId="3001" xr:uid="{00000000-0005-0000-0000-0000E10B0000}"/>
    <cellStyle name="Percent 2 3 3" xfId="3002" xr:uid="{00000000-0005-0000-0000-0000E20B0000}"/>
    <cellStyle name="Percent 2 3 3 2" xfId="3003" xr:uid="{00000000-0005-0000-0000-0000E30B0000}"/>
    <cellStyle name="Percent 2 3 3 2 2" xfId="3004" xr:uid="{00000000-0005-0000-0000-0000E40B0000}"/>
    <cellStyle name="Percent 2 3 3 3" xfId="3005" xr:uid="{00000000-0005-0000-0000-0000E50B0000}"/>
    <cellStyle name="Percent 2 3 4" xfId="3006" xr:uid="{00000000-0005-0000-0000-0000E60B0000}"/>
    <cellStyle name="Percent 2 3 4 2" xfId="3007" xr:uid="{00000000-0005-0000-0000-0000E70B0000}"/>
    <cellStyle name="Percent 2 3 5" xfId="3008" xr:uid="{00000000-0005-0000-0000-0000E80B0000}"/>
    <cellStyle name="Percent 2 3 5 2" xfId="3009" xr:uid="{00000000-0005-0000-0000-0000E90B0000}"/>
    <cellStyle name="Percent 2 3 6" xfId="3010" xr:uid="{00000000-0005-0000-0000-0000EA0B0000}"/>
    <cellStyle name="Percent 2 3 6 2" xfId="3011" xr:uid="{00000000-0005-0000-0000-0000EB0B0000}"/>
    <cellStyle name="Percent 2 3 7" xfId="3012" xr:uid="{00000000-0005-0000-0000-0000EC0B0000}"/>
    <cellStyle name="Percent 2 3 7 2" xfId="3013" xr:uid="{00000000-0005-0000-0000-0000ED0B0000}"/>
    <cellStyle name="Percent 2 3 8" xfId="3014" xr:uid="{00000000-0005-0000-0000-0000EE0B0000}"/>
    <cellStyle name="Percent 2 3 8 2" xfId="3015" xr:uid="{00000000-0005-0000-0000-0000EF0B0000}"/>
    <cellStyle name="Percent 2 3 9" xfId="3016" xr:uid="{00000000-0005-0000-0000-0000F00B0000}"/>
    <cellStyle name="Percent 2 4" xfId="3017" xr:uid="{00000000-0005-0000-0000-0000F10B0000}"/>
    <cellStyle name="Percent 2 4 10" xfId="3018" xr:uid="{00000000-0005-0000-0000-0000F20B0000}"/>
    <cellStyle name="Percent 2 4 2" xfId="3019" xr:uid="{00000000-0005-0000-0000-0000F30B0000}"/>
    <cellStyle name="Percent 2 4 2 2" xfId="3020" xr:uid="{00000000-0005-0000-0000-0000F40B0000}"/>
    <cellStyle name="Percent 2 4 3" xfId="3021" xr:uid="{00000000-0005-0000-0000-0000F50B0000}"/>
    <cellStyle name="Percent 2 4 3 2" xfId="3022" xr:uid="{00000000-0005-0000-0000-0000F60B0000}"/>
    <cellStyle name="Percent 2 4 4" xfId="3023" xr:uid="{00000000-0005-0000-0000-0000F70B0000}"/>
    <cellStyle name="Percent 2 4 4 2" xfId="3024" xr:uid="{00000000-0005-0000-0000-0000F80B0000}"/>
    <cellStyle name="Percent 2 4 5" xfId="3025" xr:uid="{00000000-0005-0000-0000-0000F90B0000}"/>
    <cellStyle name="Percent 2 4 5 2" xfId="3026" xr:uid="{00000000-0005-0000-0000-0000FA0B0000}"/>
    <cellStyle name="Percent 2 4 6" xfId="3027" xr:uid="{00000000-0005-0000-0000-0000FB0B0000}"/>
    <cellStyle name="Percent 2 4 6 2" xfId="3028" xr:uid="{00000000-0005-0000-0000-0000FC0B0000}"/>
    <cellStyle name="Percent 2 4 7" xfId="3029" xr:uid="{00000000-0005-0000-0000-0000FD0B0000}"/>
    <cellStyle name="Percent 2 4 7 2" xfId="3030" xr:uid="{00000000-0005-0000-0000-0000FE0B0000}"/>
    <cellStyle name="Percent 2 4 8" xfId="3031" xr:uid="{00000000-0005-0000-0000-0000FF0B0000}"/>
    <cellStyle name="Percent 2 4 8 2" xfId="3032" xr:uid="{00000000-0005-0000-0000-0000000C0000}"/>
    <cellStyle name="Percent 2 4 9" xfId="3033" xr:uid="{00000000-0005-0000-0000-0000010C0000}"/>
    <cellStyle name="Percent 2 5" xfId="3034" xr:uid="{00000000-0005-0000-0000-0000020C0000}"/>
    <cellStyle name="Percent 2 5 2" xfId="3035" xr:uid="{00000000-0005-0000-0000-0000030C0000}"/>
    <cellStyle name="Percent 2 5 2 2" xfId="3036" xr:uid="{00000000-0005-0000-0000-0000040C0000}"/>
    <cellStyle name="Percent 2 5 3" xfId="3037" xr:uid="{00000000-0005-0000-0000-0000050C0000}"/>
    <cellStyle name="Percent 2 5 3 2" xfId="3038" xr:uid="{00000000-0005-0000-0000-0000060C0000}"/>
    <cellStyle name="Percent 2 5 4" xfId="3039" xr:uid="{00000000-0005-0000-0000-0000070C0000}"/>
    <cellStyle name="Percent 2 5 4 2" xfId="3040" xr:uid="{00000000-0005-0000-0000-0000080C0000}"/>
    <cellStyle name="Percent 2 5 5" xfId="3041" xr:uid="{00000000-0005-0000-0000-0000090C0000}"/>
    <cellStyle name="Percent 2 5 5 2" xfId="3042" xr:uid="{00000000-0005-0000-0000-00000A0C0000}"/>
    <cellStyle name="Percent 2 5 6" xfId="3043" xr:uid="{00000000-0005-0000-0000-00000B0C0000}"/>
    <cellStyle name="Percent 2 5 6 2" xfId="3044" xr:uid="{00000000-0005-0000-0000-00000C0C0000}"/>
    <cellStyle name="Percent 2 5 7" xfId="3045" xr:uid="{00000000-0005-0000-0000-00000D0C0000}"/>
    <cellStyle name="Percent 2 5 7 2" xfId="3046" xr:uid="{00000000-0005-0000-0000-00000E0C0000}"/>
    <cellStyle name="Percent 2 5 8" xfId="3047" xr:uid="{00000000-0005-0000-0000-00000F0C0000}"/>
    <cellStyle name="Percent 2 5 8 2" xfId="3048" xr:uid="{00000000-0005-0000-0000-0000100C0000}"/>
    <cellStyle name="Percent 2 5 9" xfId="3049" xr:uid="{00000000-0005-0000-0000-0000110C0000}"/>
    <cellStyle name="Percent 2 6" xfId="3050" xr:uid="{00000000-0005-0000-0000-0000120C0000}"/>
    <cellStyle name="Percent 2 6 2" xfId="3051" xr:uid="{00000000-0005-0000-0000-0000130C0000}"/>
    <cellStyle name="Percent 2 6 2 2" xfId="3052" xr:uid="{00000000-0005-0000-0000-0000140C0000}"/>
    <cellStyle name="Percent 2 6 3" xfId="3053" xr:uid="{00000000-0005-0000-0000-0000150C0000}"/>
    <cellStyle name="Percent 2 6 3 2" xfId="3054" xr:uid="{00000000-0005-0000-0000-0000160C0000}"/>
    <cellStyle name="Percent 2 6 4" xfId="3055" xr:uid="{00000000-0005-0000-0000-0000170C0000}"/>
    <cellStyle name="Percent 2 6 4 2" xfId="3056" xr:uid="{00000000-0005-0000-0000-0000180C0000}"/>
    <cellStyle name="Percent 2 6 5" xfId="3057" xr:uid="{00000000-0005-0000-0000-0000190C0000}"/>
    <cellStyle name="Percent 2 6 5 2" xfId="3058" xr:uid="{00000000-0005-0000-0000-00001A0C0000}"/>
    <cellStyle name="Percent 2 6 6" xfId="3059" xr:uid="{00000000-0005-0000-0000-00001B0C0000}"/>
    <cellStyle name="Percent 2 6 6 2" xfId="3060" xr:uid="{00000000-0005-0000-0000-00001C0C0000}"/>
    <cellStyle name="Percent 2 6 7" xfId="3061" xr:uid="{00000000-0005-0000-0000-00001D0C0000}"/>
    <cellStyle name="Percent 2 6 7 2" xfId="3062" xr:uid="{00000000-0005-0000-0000-00001E0C0000}"/>
    <cellStyle name="Percent 2 6 8" xfId="3063" xr:uid="{00000000-0005-0000-0000-00001F0C0000}"/>
    <cellStyle name="Percent 2 6 8 2" xfId="3064" xr:uid="{00000000-0005-0000-0000-0000200C0000}"/>
    <cellStyle name="Percent 2 6 9" xfId="3065" xr:uid="{00000000-0005-0000-0000-0000210C0000}"/>
    <cellStyle name="Percent 2 7" xfId="3066" xr:uid="{00000000-0005-0000-0000-0000220C0000}"/>
    <cellStyle name="Percent 2 7 2" xfId="3067" xr:uid="{00000000-0005-0000-0000-0000230C0000}"/>
    <cellStyle name="Percent 2 7 2 2" xfId="3068" xr:uid="{00000000-0005-0000-0000-0000240C0000}"/>
    <cellStyle name="Percent 2 7 3" xfId="3069" xr:uid="{00000000-0005-0000-0000-0000250C0000}"/>
    <cellStyle name="Percent 2 7 3 2" xfId="3070" xr:uid="{00000000-0005-0000-0000-0000260C0000}"/>
    <cellStyle name="Percent 2 7 4" xfId="3071" xr:uid="{00000000-0005-0000-0000-0000270C0000}"/>
    <cellStyle name="Percent 2 7 4 2" xfId="3072" xr:uid="{00000000-0005-0000-0000-0000280C0000}"/>
    <cellStyle name="Percent 2 7 5" xfId="3073" xr:uid="{00000000-0005-0000-0000-0000290C0000}"/>
    <cellStyle name="Percent 2 7 5 2" xfId="3074" xr:uid="{00000000-0005-0000-0000-00002A0C0000}"/>
    <cellStyle name="Percent 2 7 6" xfId="3075" xr:uid="{00000000-0005-0000-0000-00002B0C0000}"/>
    <cellStyle name="Percent 2 7 6 2" xfId="3076" xr:uid="{00000000-0005-0000-0000-00002C0C0000}"/>
    <cellStyle name="Percent 2 7 7" xfId="3077" xr:uid="{00000000-0005-0000-0000-00002D0C0000}"/>
    <cellStyle name="Percent 2 7 7 2" xfId="3078" xr:uid="{00000000-0005-0000-0000-00002E0C0000}"/>
    <cellStyle name="Percent 2 7 8" xfId="3079" xr:uid="{00000000-0005-0000-0000-00002F0C0000}"/>
    <cellStyle name="Percent 2 7 8 2" xfId="3080" xr:uid="{00000000-0005-0000-0000-0000300C0000}"/>
    <cellStyle name="Percent 2 7 9" xfId="3081" xr:uid="{00000000-0005-0000-0000-0000310C0000}"/>
    <cellStyle name="Percent 2 8" xfId="3082" xr:uid="{00000000-0005-0000-0000-0000320C0000}"/>
    <cellStyle name="Percent 2 8 2" xfId="3083" xr:uid="{00000000-0005-0000-0000-0000330C0000}"/>
    <cellStyle name="Percent 2 8 2 2" xfId="3084" xr:uid="{00000000-0005-0000-0000-0000340C0000}"/>
    <cellStyle name="Percent 2 8 3" xfId="3085" xr:uid="{00000000-0005-0000-0000-0000350C0000}"/>
    <cellStyle name="Percent 2 8 3 2" xfId="3086" xr:uid="{00000000-0005-0000-0000-0000360C0000}"/>
    <cellStyle name="Percent 2 8 4" xfId="3087" xr:uid="{00000000-0005-0000-0000-0000370C0000}"/>
    <cellStyle name="Percent 2 8 4 2" xfId="3088" xr:uid="{00000000-0005-0000-0000-0000380C0000}"/>
    <cellStyle name="Percent 2 8 5" xfId="3089" xr:uid="{00000000-0005-0000-0000-0000390C0000}"/>
    <cellStyle name="Percent 2 8 5 2" xfId="3090" xr:uid="{00000000-0005-0000-0000-00003A0C0000}"/>
    <cellStyle name="Percent 2 8 6" xfId="3091" xr:uid="{00000000-0005-0000-0000-00003B0C0000}"/>
    <cellStyle name="Percent 2 8 6 2" xfId="3092" xr:uid="{00000000-0005-0000-0000-00003C0C0000}"/>
    <cellStyle name="Percent 2 8 7" xfId="3093" xr:uid="{00000000-0005-0000-0000-00003D0C0000}"/>
    <cellStyle name="Percent 2 8 7 2" xfId="3094" xr:uid="{00000000-0005-0000-0000-00003E0C0000}"/>
    <cellStyle name="Percent 2 8 8" xfId="3095" xr:uid="{00000000-0005-0000-0000-00003F0C0000}"/>
    <cellStyle name="Percent 2 8 8 2" xfId="3096" xr:uid="{00000000-0005-0000-0000-0000400C0000}"/>
    <cellStyle name="Percent 2 8 9" xfId="3097" xr:uid="{00000000-0005-0000-0000-0000410C0000}"/>
    <cellStyle name="Percent 2 9" xfId="3098" xr:uid="{00000000-0005-0000-0000-0000420C0000}"/>
    <cellStyle name="Percent 2 9 2" xfId="3099" xr:uid="{00000000-0005-0000-0000-0000430C0000}"/>
    <cellStyle name="Percent 2 9 2 2" xfId="3100" xr:uid="{00000000-0005-0000-0000-0000440C0000}"/>
    <cellStyle name="Percent 2 9 3" xfId="3101" xr:uid="{00000000-0005-0000-0000-0000450C0000}"/>
    <cellStyle name="Percent 2 9 3 2" xfId="3102" xr:uid="{00000000-0005-0000-0000-0000460C0000}"/>
    <cellStyle name="Percent 2 9 4" xfId="3103" xr:uid="{00000000-0005-0000-0000-0000470C0000}"/>
    <cellStyle name="Percent 2 9 4 2" xfId="3104" xr:uid="{00000000-0005-0000-0000-0000480C0000}"/>
    <cellStyle name="Percent 2 9 5" xfId="3105" xr:uid="{00000000-0005-0000-0000-0000490C0000}"/>
    <cellStyle name="Percent 2 9 5 2" xfId="3106" xr:uid="{00000000-0005-0000-0000-00004A0C0000}"/>
    <cellStyle name="Percent 2 9 6" xfId="3107" xr:uid="{00000000-0005-0000-0000-00004B0C0000}"/>
    <cellStyle name="Percent 2 9 6 2" xfId="3108" xr:uid="{00000000-0005-0000-0000-00004C0C0000}"/>
    <cellStyle name="Percent 2 9 7" xfId="3109" xr:uid="{00000000-0005-0000-0000-00004D0C0000}"/>
    <cellStyle name="Percent 2 9 7 2" xfId="3110" xr:uid="{00000000-0005-0000-0000-00004E0C0000}"/>
    <cellStyle name="Percent 2 9 8" xfId="3111" xr:uid="{00000000-0005-0000-0000-00004F0C0000}"/>
    <cellStyle name="Percent 2 9 8 2" xfId="3112" xr:uid="{00000000-0005-0000-0000-0000500C0000}"/>
    <cellStyle name="Percent 2 9 9" xfId="3113" xr:uid="{00000000-0005-0000-0000-0000510C0000}"/>
    <cellStyle name="Percent 3" xfId="3114" xr:uid="{00000000-0005-0000-0000-0000520C0000}"/>
    <cellStyle name="Percent 3 10" xfId="3115" xr:uid="{00000000-0005-0000-0000-0000530C0000}"/>
    <cellStyle name="Percent 3 11" xfId="3116" xr:uid="{00000000-0005-0000-0000-0000540C0000}"/>
    <cellStyle name="Percent 3 12" xfId="3117" xr:uid="{00000000-0005-0000-0000-0000550C0000}"/>
    <cellStyle name="Percent 3 2" xfId="3118" xr:uid="{00000000-0005-0000-0000-0000560C0000}"/>
    <cellStyle name="Percent 3 2 2" xfId="3119" xr:uid="{00000000-0005-0000-0000-0000570C0000}"/>
    <cellStyle name="Percent 3 2 2 2" xfId="3120" xr:uid="{00000000-0005-0000-0000-0000580C0000}"/>
    <cellStyle name="Percent 3 2 3" xfId="3121" xr:uid="{00000000-0005-0000-0000-0000590C0000}"/>
    <cellStyle name="Percent 3 2 4" xfId="3122" xr:uid="{00000000-0005-0000-0000-00005A0C0000}"/>
    <cellStyle name="Percent 3 3" xfId="3123" xr:uid="{00000000-0005-0000-0000-00005B0C0000}"/>
    <cellStyle name="Percent 3 3 2" xfId="3124" xr:uid="{00000000-0005-0000-0000-00005C0C0000}"/>
    <cellStyle name="Percent 3 3 2 2" xfId="3125" xr:uid="{00000000-0005-0000-0000-00005D0C0000}"/>
    <cellStyle name="Percent 3 3 3" xfId="3126" xr:uid="{00000000-0005-0000-0000-00005E0C0000}"/>
    <cellStyle name="Percent 3 3 3 2" xfId="3127" xr:uid="{00000000-0005-0000-0000-00005F0C0000}"/>
    <cellStyle name="Percent 3 3 4" xfId="3128" xr:uid="{00000000-0005-0000-0000-0000600C0000}"/>
    <cellStyle name="Percent 3 4" xfId="3129" xr:uid="{00000000-0005-0000-0000-0000610C0000}"/>
    <cellStyle name="Percent 3 4 2" xfId="3130" xr:uid="{00000000-0005-0000-0000-0000620C0000}"/>
    <cellStyle name="Percent 3 4 2 2" xfId="3131" xr:uid="{00000000-0005-0000-0000-0000630C0000}"/>
    <cellStyle name="Percent 3 4 3" xfId="3132" xr:uid="{00000000-0005-0000-0000-0000640C0000}"/>
    <cellStyle name="Percent 3 5" xfId="3133" xr:uid="{00000000-0005-0000-0000-0000650C0000}"/>
    <cellStyle name="Percent 3 5 2" xfId="3134" xr:uid="{00000000-0005-0000-0000-0000660C0000}"/>
    <cellStyle name="Percent 3 5 3" xfId="3135" xr:uid="{00000000-0005-0000-0000-0000670C0000}"/>
    <cellStyle name="Percent 3 6" xfId="3136" xr:uid="{00000000-0005-0000-0000-0000680C0000}"/>
    <cellStyle name="Percent 3 6 2" xfId="3137" xr:uid="{00000000-0005-0000-0000-0000690C0000}"/>
    <cellStyle name="Percent 3 7" xfId="3138" xr:uid="{00000000-0005-0000-0000-00006A0C0000}"/>
    <cellStyle name="Percent 3 7 2" xfId="3139" xr:uid="{00000000-0005-0000-0000-00006B0C0000}"/>
    <cellStyle name="Percent 3 8" xfId="3140" xr:uid="{00000000-0005-0000-0000-00006C0C0000}"/>
    <cellStyle name="Percent 3 8 2" xfId="3141" xr:uid="{00000000-0005-0000-0000-00006D0C0000}"/>
    <cellStyle name="Percent 3 9" xfId="3142" xr:uid="{00000000-0005-0000-0000-00006E0C0000}"/>
    <cellStyle name="Percent 3 9 2" xfId="3143" xr:uid="{00000000-0005-0000-0000-00006F0C0000}"/>
    <cellStyle name="Percent 3 9 3" xfId="3144" xr:uid="{00000000-0005-0000-0000-0000700C0000}"/>
    <cellStyle name="Percent 4" xfId="3145" xr:uid="{00000000-0005-0000-0000-0000710C0000}"/>
    <cellStyle name="Percent 4 10" xfId="3146" xr:uid="{00000000-0005-0000-0000-0000720C0000}"/>
    <cellStyle name="Percent 4 10 2" xfId="3147" xr:uid="{00000000-0005-0000-0000-0000730C0000}"/>
    <cellStyle name="Percent 4 11" xfId="3148" xr:uid="{00000000-0005-0000-0000-0000740C0000}"/>
    <cellStyle name="Percent 4 11 2" xfId="3149" xr:uid="{00000000-0005-0000-0000-0000750C0000}"/>
    <cellStyle name="Percent 4 12" xfId="3150" xr:uid="{00000000-0005-0000-0000-0000760C0000}"/>
    <cellStyle name="Percent 4 12 2" xfId="3151" xr:uid="{00000000-0005-0000-0000-0000770C0000}"/>
    <cellStyle name="Percent 4 13" xfId="3152" xr:uid="{00000000-0005-0000-0000-0000780C0000}"/>
    <cellStyle name="Percent 4 13 2" xfId="3153" xr:uid="{00000000-0005-0000-0000-0000790C0000}"/>
    <cellStyle name="Percent 4 14" xfId="3154" xr:uid="{00000000-0005-0000-0000-00007A0C0000}"/>
    <cellStyle name="Percent 4 15" xfId="3155" xr:uid="{00000000-0005-0000-0000-00007B0C0000}"/>
    <cellStyle name="Percent 4 2" xfId="3156" xr:uid="{00000000-0005-0000-0000-00007C0C0000}"/>
    <cellStyle name="Percent 4 2 10" xfId="3157" xr:uid="{00000000-0005-0000-0000-00007D0C0000}"/>
    <cellStyle name="Percent 4 2 2" xfId="3158" xr:uid="{00000000-0005-0000-0000-00007E0C0000}"/>
    <cellStyle name="Percent 4 2 2 2" xfId="3159" xr:uid="{00000000-0005-0000-0000-00007F0C0000}"/>
    <cellStyle name="Percent 4 2 2 3" xfId="3160" xr:uid="{00000000-0005-0000-0000-0000800C0000}"/>
    <cellStyle name="Percent 4 2 3" xfId="3161" xr:uid="{00000000-0005-0000-0000-0000810C0000}"/>
    <cellStyle name="Percent 4 2 3 2" xfId="3162" xr:uid="{00000000-0005-0000-0000-0000820C0000}"/>
    <cellStyle name="Percent 4 2 4" xfId="3163" xr:uid="{00000000-0005-0000-0000-0000830C0000}"/>
    <cellStyle name="Percent 4 2 4 2" xfId="3164" xr:uid="{00000000-0005-0000-0000-0000840C0000}"/>
    <cellStyle name="Percent 4 2 5" xfId="3165" xr:uid="{00000000-0005-0000-0000-0000850C0000}"/>
    <cellStyle name="Percent 4 2 5 2" xfId="3166" xr:uid="{00000000-0005-0000-0000-0000860C0000}"/>
    <cellStyle name="Percent 4 2 6" xfId="3167" xr:uid="{00000000-0005-0000-0000-0000870C0000}"/>
    <cellStyle name="Percent 4 2 6 2" xfId="3168" xr:uid="{00000000-0005-0000-0000-0000880C0000}"/>
    <cellStyle name="Percent 4 2 7" xfId="3169" xr:uid="{00000000-0005-0000-0000-0000890C0000}"/>
    <cellStyle name="Percent 4 2 7 2" xfId="3170" xr:uid="{00000000-0005-0000-0000-00008A0C0000}"/>
    <cellStyle name="Percent 4 2 8" xfId="3171" xr:uid="{00000000-0005-0000-0000-00008B0C0000}"/>
    <cellStyle name="Percent 4 2 8 2" xfId="3172" xr:uid="{00000000-0005-0000-0000-00008C0C0000}"/>
    <cellStyle name="Percent 4 2 9" xfId="3173" xr:uid="{00000000-0005-0000-0000-00008D0C0000}"/>
    <cellStyle name="Percent 4 3" xfId="3174" xr:uid="{00000000-0005-0000-0000-00008E0C0000}"/>
    <cellStyle name="Percent 4 3 10" xfId="3175" xr:uid="{00000000-0005-0000-0000-00008F0C0000}"/>
    <cellStyle name="Percent 4 3 2" xfId="3176" xr:uid="{00000000-0005-0000-0000-0000900C0000}"/>
    <cellStyle name="Percent 4 3 2 2" xfId="3177" xr:uid="{00000000-0005-0000-0000-0000910C0000}"/>
    <cellStyle name="Percent 4 3 3" xfId="3178" xr:uid="{00000000-0005-0000-0000-0000920C0000}"/>
    <cellStyle name="Percent 4 3 3 2" xfId="3179" xr:uid="{00000000-0005-0000-0000-0000930C0000}"/>
    <cellStyle name="Percent 4 3 4" xfId="3180" xr:uid="{00000000-0005-0000-0000-0000940C0000}"/>
    <cellStyle name="Percent 4 3 4 2" xfId="3181" xr:uid="{00000000-0005-0000-0000-0000950C0000}"/>
    <cellStyle name="Percent 4 3 5" xfId="3182" xr:uid="{00000000-0005-0000-0000-0000960C0000}"/>
    <cellStyle name="Percent 4 3 5 2" xfId="3183" xr:uid="{00000000-0005-0000-0000-0000970C0000}"/>
    <cellStyle name="Percent 4 3 6" xfId="3184" xr:uid="{00000000-0005-0000-0000-0000980C0000}"/>
    <cellStyle name="Percent 4 3 6 2" xfId="3185" xr:uid="{00000000-0005-0000-0000-0000990C0000}"/>
    <cellStyle name="Percent 4 3 7" xfId="3186" xr:uid="{00000000-0005-0000-0000-00009A0C0000}"/>
    <cellStyle name="Percent 4 3 7 2" xfId="3187" xr:uid="{00000000-0005-0000-0000-00009B0C0000}"/>
    <cellStyle name="Percent 4 3 8" xfId="3188" xr:uid="{00000000-0005-0000-0000-00009C0C0000}"/>
    <cellStyle name="Percent 4 3 8 2" xfId="3189" xr:uid="{00000000-0005-0000-0000-00009D0C0000}"/>
    <cellStyle name="Percent 4 3 9" xfId="3190" xr:uid="{00000000-0005-0000-0000-00009E0C0000}"/>
    <cellStyle name="Percent 4 4" xfId="3191" xr:uid="{00000000-0005-0000-0000-00009F0C0000}"/>
    <cellStyle name="Percent 4 4 10" xfId="3192" xr:uid="{00000000-0005-0000-0000-0000A00C0000}"/>
    <cellStyle name="Percent 4 4 2" xfId="3193" xr:uid="{00000000-0005-0000-0000-0000A10C0000}"/>
    <cellStyle name="Percent 4 4 2 2" xfId="3194" xr:uid="{00000000-0005-0000-0000-0000A20C0000}"/>
    <cellStyle name="Percent 4 4 3" xfId="3195" xr:uid="{00000000-0005-0000-0000-0000A30C0000}"/>
    <cellStyle name="Percent 4 4 3 2" xfId="3196" xr:uid="{00000000-0005-0000-0000-0000A40C0000}"/>
    <cellStyle name="Percent 4 4 4" xfId="3197" xr:uid="{00000000-0005-0000-0000-0000A50C0000}"/>
    <cellStyle name="Percent 4 4 4 2" xfId="3198" xr:uid="{00000000-0005-0000-0000-0000A60C0000}"/>
    <cellStyle name="Percent 4 4 5" xfId="3199" xr:uid="{00000000-0005-0000-0000-0000A70C0000}"/>
    <cellStyle name="Percent 4 4 5 2" xfId="3200" xr:uid="{00000000-0005-0000-0000-0000A80C0000}"/>
    <cellStyle name="Percent 4 4 6" xfId="3201" xr:uid="{00000000-0005-0000-0000-0000A90C0000}"/>
    <cellStyle name="Percent 4 4 6 2" xfId="3202" xr:uid="{00000000-0005-0000-0000-0000AA0C0000}"/>
    <cellStyle name="Percent 4 4 7" xfId="3203" xr:uid="{00000000-0005-0000-0000-0000AB0C0000}"/>
    <cellStyle name="Percent 4 4 7 2" xfId="3204" xr:uid="{00000000-0005-0000-0000-0000AC0C0000}"/>
    <cellStyle name="Percent 4 4 8" xfId="3205" xr:uid="{00000000-0005-0000-0000-0000AD0C0000}"/>
    <cellStyle name="Percent 4 4 8 2" xfId="3206" xr:uid="{00000000-0005-0000-0000-0000AE0C0000}"/>
    <cellStyle name="Percent 4 4 9" xfId="3207" xr:uid="{00000000-0005-0000-0000-0000AF0C0000}"/>
    <cellStyle name="Percent 4 5" xfId="3208" xr:uid="{00000000-0005-0000-0000-0000B00C0000}"/>
    <cellStyle name="Percent 4 5 2" xfId="3209" xr:uid="{00000000-0005-0000-0000-0000B10C0000}"/>
    <cellStyle name="Percent 4 5 2 2" xfId="3210" xr:uid="{00000000-0005-0000-0000-0000B20C0000}"/>
    <cellStyle name="Percent 4 5 3" xfId="3211" xr:uid="{00000000-0005-0000-0000-0000B30C0000}"/>
    <cellStyle name="Percent 4 5 3 2" xfId="3212" xr:uid="{00000000-0005-0000-0000-0000B40C0000}"/>
    <cellStyle name="Percent 4 5 4" xfId="3213" xr:uid="{00000000-0005-0000-0000-0000B50C0000}"/>
    <cellStyle name="Percent 4 5 4 2" xfId="3214" xr:uid="{00000000-0005-0000-0000-0000B60C0000}"/>
    <cellStyle name="Percent 4 5 5" xfId="3215" xr:uid="{00000000-0005-0000-0000-0000B70C0000}"/>
    <cellStyle name="Percent 4 5 5 2" xfId="3216" xr:uid="{00000000-0005-0000-0000-0000B80C0000}"/>
    <cellStyle name="Percent 4 5 6" xfId="3217" xr:uid="{00000000-0005-0000-0000-0000B90C0000}"/>
    <cellStyle name="Percent 4 5 6 2" xfId="3218" xr:uid="{00000000-0005-0000-0000-0000BA0C0000}"/>
    <cellStyle name="Percent 4 5 7" xfId="3219" xr:uid="{00000000-0005-0000-0000-0000BB0C0000}"/>
    <cellStyle name="Percent 4 5 7 2" xfId="3220" xr:uid="{00000000-0005-0000-0000-0000BC0C0000}"/>
    <cellStyle name="Percent 4 5 8" xfId="3221" xr:uid="{00000000-0005-0000-0000-0000BD0C0000}"/>
    <cellStyle name="Percent 4 5 8 2" xfId="3222" xr:uid="{00000000-0005-0000-0000-0000BE0C0000}"/>
    <cellStyle name="Percent 4 5 9" xfId="3223" xr:uid="{00000000-0005-0000-0000-0000BF0C0000}"/>
    <cellStyle name="Percent 4 6" xfId="3224" xr:uid="{00000000-0005-0000-0000-0000C00C0000}"/>
    <cellStyle name="Percent 4 6 2" xfId="3225" xr:uid="{00000000-0005-0000-0000-0000C10C0000}"/>
    <cellStyle name="Percent 4 6 2 2" xfId="3226" xr:uid="{00000000-0005-0000-0000-0000C20C0000}"/>
    <cellStyle name="Percent 4 6 3" xfId="3227" xr:uid="{00000000-0005-0000-0000-0000C30C0000}"/>
    <cellStyle name="Percent 4 6 3 2" xfId="3228" xr:uid="{00000000-0005-0000-0000-0000C40C0000}"/>
    <cellStyle name="Percent 4 6 4" xfId="3229" xr:uid="{00000000-0005-0000-0000-0000C50C0000}"/>
    <cellStyle name="Percent 4 6 4 2" xfId="3230" xr:uid="{00000000-0005-0000-0000-0000C60C0000}"/>
    <cellStyle name="Percent 4 6 5" xfId="3231" xr:uid="{00000000-0005-0000-0000-0000C70C0000}"/>
    <cellStyle name="Percent 4 6 5 2" xfId="3232" xr:uid="{00000000-0005-0000-0000-0000C80C0000}"/>
    <cellStyle name="Percent 4 6 6" xfId="3233" xr:uid="{00000000-0005-0000-0000-0000C90C0000}"/>
    <cellStyle name="Percent 4 6 6 2" xfId="3234" xr:uid="{00000000-0005-0000-0000-0000CA0C0000}"/>
    <cellStyle name="Percent 4 6 7" xfId="3235" xr:uid="{00000000-0005-0000-0000-0000CB0C0000}"/>
    <cellStyle name="Percent 4 6 7 2" xfId="3236" xr:uid="{00000000-0005-0000-0000-0000CC0C0000}"/>
    <cellStyle name="Percent 4 6 8" xfId="3237" xr:uid="{00000000-0005-0000-0000-0000CD0C0000}"/>
    <cellStyle name="Percent 4 6 8 2" xfId="3238" xr:uid="{00000000-0005-0000-0000-0000CE0C0000}"/>
    <cellStyle name="Percent 4 6 9" xfId="3239" xr:uid="{00000000-0005-0000-0000-0000CF0C0000}"/>
    <cellStyle name="Percent 4 7" xfId="3240" xr:uid="{00000000-0005-0000-0000-0000D00C0000}"/>
    <cellStyle name="Percent 4 7 2" xfId="3241" xr:uid="{00000000-0005-0000-0000-0000D10C0000}"/>
    <cellStyle name="Percent 4 8" xfId="3242" xr:uid="{00000000-0005-0000-0000-0000D20C0000}"/>
    <cellStyle name="Percent 4 8 2" xfId="3243" xr:uid="{00000000-0005-0000-0000-0000D30C0000}"/>
    <cellStyle name="Percent 4 9" xfId="3244" xr:uid="{00000000-0005-0000-0000-0000D40C0000}"/>
    <cellStyle name="Percent 4 9 2" xfId="3245" xr:uid="{00000000-0005-0000-0000-0000D50C0000}"/>
    <cellStyle name="Percent 5" xfId="3246" xr:uid="{00000000-0005-0000-0000-0000D60C0000}"/>
    <cellStyle name="Percent 5 10" xfId="3247" xr:uid="{00000000-0005-0000-0000-0000D70C0000}"/>
    <cellStyle name="Percent 5 2" xfId="3248" xr:uid="{00000000-0005-0000-0000-0000D80C0000}"/>
    <cellStyle name="Percent 5 2 2" xfId="3249" xr:uid="{00000000-0005-0000-0000-0000D90C0000}"/>
    <cellStyle name="Percent 5 2 3" xfId="3250" xr:uid="{00000000-0005-0000-0000-0000DA0C0000}"/>
    <cellStyle name="Percent 5 3" xfId="3251" xr:uid="{00000000-0005-0000-0000-0000DB0C0000}"/>
    <cellStyle name="Percent 5 3 2" xfId="3252" xr:uid="{00000000-0005-0000-0000-0000DC0C0000}"/>
    <cellStyle name="Percent 5 4" xfId="3253" xr:uid="{00000000-0005-0000-0000-0000DD0C0000}"/>
    <cellStyle name="Percent 5 4 2" xfId="3254" xr:uid="{00000000-0005-0000-0000-0000DE0C0000}"/>
    <cellStyle name="Percent 5 5" xfId="3255" xr:uid="{00000000-0005-0000-0000-0000DF0C0000}"/>
    <cellStyle name="Percent 5 5 2" xfId="3256" xr:uid="{00000000-0005-0000-0000-0000E00C0000}"/>
    <cellStyle name="Percent 5 6" xfId="3257" xr:uid="{00000000-0005-0000-0000-0000E10C0000}"/>
    <cellStyle name="Percent 5 6 2" xfId="3258" xr:uid="{00000000-0005-0000-0000-0000E20C0000}"/>
    <cellStyle name="Percent 5 7" xfId="3259" xr:uid="{00000000-0005-0000-0000-0000E30C0000}"/>
    <cellStyle name="Percent 5 7 2" xfId="3260" xr:uid="{00000000-0005-0000-0000-0000E40C0000}"/>
    <cellStyle name="Percent 5 8" xfId="3261" xr:uid="{00000000-0005-0000-0000-0000E50C0000}"/>
    <cellStyle name="Percent 5 8 2" xfId="3262" xr:uid="{00000000-0005-0000-0000-0000E60C0000}"/>
    <cellStyle name="Percent 5 9" xfId="3263" xr:uid="{00000000-0005-0000-0000-0000E70C0000}"/>
    <cellStyle name="Percent 6" xfId="3264" xr:uid="{00000000-0005-0000-0000-0000E80C0000}"/>
    <cellStyle name="Percent 6 10" xfId="3265" xr:uid="{00000000-0005-0000-0000-0000E90C0000}"/>
    <cellStyle name="Percent 6 2" xfId="3266" xr:uid="{00000000-0005-0000-0000-0000EA0C0000}"/>
    <cellStyle name="Percent 6 2 2" xfId="3267" xr:uid="{00000000-0005-0000-0000-0000EB0C0000}"/>
    <cellStyle name="Percent 6 3" xfId="3268" xr:uid="{00000000-0005-0000-0000-0000EC0C0000}"/>
    <cellStyle name="Percent 6 3 2" xfId="3269" xr:uid="{00000000-0005-0000-0000-0000ED0C0000}"/>
    <cellStyle name="Percent 6 4" xfId="3270" xr:uid="{00000000-0005-0000-0000-0000EE0C0000}"/>
    <cellStyle name="Percent 6 4 2" xfId="3271" xr:uid="{00000000-0005-0000-0000-0000EF0C0000}"/>
    <cellStyle name="Percent 6 5" xfId="3272" xr:uid="{00000000-0005-0000-0000-0000F00C0000}"/>
    <cellStyle name="Percent 6 5 2" xfId="3273" xr:uid="{00000000-0005-0000-0000-0000F10C0000}"/>
    <cellStyle name="Percent 6 6" xfId="3274" xr:uid="{00000000-0005-0000-0000-0000F20C0000}"/>
    <cellStyle name="Percent 6 6 2" xfId="3275" xr:uid="{00000000-0005-0000-0000-0000F30C0000}"/>
    <cellStyle name="Percent 6 7" xfId="3276" xr:uid="{00000000-0005-0000-0000-0000F40C0000}"/>
    <cellStyle name="Percent 6 7 2" xfId="3277" xr:uid="{00000000-0005-0000-0000-0000F50C0000}"/>
    <cellStyle name="Percent 6 8" xfId="3278" xr:uid="{00000000-0005-0000-0000-0000F60C0000}"/>
    <cellStyle name="Percent 6 8 2" xfId="3279" xr:uid="{00000000-0005-0000-0000-0000F70C0000}"/>
    <cellStyle name="Percent 6 9" xfId="3280" xr:uid="{00000000-0005-0000-0000-0000F80C0000}"/>
    <cellStyle name="Percent 7" xfId="3281" xr:uid="{00000000-0005-0000-0000-0000F90C0000}"/>
    <cellStyle name="Percent 7 2" xfId="3282" xr:uid="{00000000-0005-0000-0000-0000FA0C0000}"/>
    <cellStyle name="Percent 7 2 2" xfId="3283" xr:uid="{00000000-0005-0000-0000-0000FB0C0000}"/>
    <cellStyle name="Percent 7 3" xfId="3284" xr:uid="{00000000-0005-0000-0000-0000FC0C0000}"/>
    <cellStyle name="Percent 7 3 2" xfId="3285" xr:uid="{00000000-0005-0000-0000-0000FD0C0000}"/>
    <cellStyle name="Percent 7 4" xfId="3286" xr:uid="{00000000-0005-0000-0000-0000FE0C0000}"/>
    <cellStyle name="Percent 7 4 2" xfId="3287" xr:uid="{00000000-0005-0000-0000-0000FF0C0000}"/>
    <cellStyle name="Percent 7 5" xfId="3288" xr:uid="{00000000-0005-0000-0000-0000000D0000}"/>
    <cellStyle name="Percent 7 5 2" xfId="3289" xr:uid="{00000000-0005-0000-0000-0000010D0000}"/>
    <cellStyle name="Percent 7 6" xfId="3290" xr:uid="{00000000-0005-0000-0000-0000020D0000}"/>
    <cellStyle name="Percent 7 6 2" xfId="3291" xr:uid="{00000000-0005-0000-0000-0000030D0000}"/>
    <cellStyle name="Percent 7 7" xfId="3292" xr:uid="{00000000-0005-0000-0000-0000040D0000}"/>
    <cellStyle name="Percent 7 7 2" xfId="3293" xr:uid="{00000000-0005-0000-0000-0000050D0000}"/>
    <cellStyle name="Percent 7 8" xfId="3294" xr:uid="{00000000-0005-0000-0000-0000060D0000}"/>
    <cellStyle name="Percent 7 8 2" xfId="3295" xr:uid="{00000000-0005-0000-0000-0000070D0000}"/>
    <cellStyle name="Percent 7 9" xfId="3296" xr:uid="{00000000-0005-0000-0000-0000080D0000}"/>
    <cellStyle name="Percent 8" xfId="3297" xr:uid="{00000000-0005-0000-0000-0000090D0000}"/>
    <cellStyle name="Percent 8 2" xfId="3298" xr:uid="{00000000-0005-0000-0000-00000A0D0000}"/>
    <cellStyle name="Percent 8 2 2" xfId="3299" xr:uid="{00000000-0005-0000-0000-00000B0D0000}"/>
    <cellStyle name="Percent 8 3" xfId="3300" xr:uid="{00000000-0005-0000-0000-00000C0D0000}"/>
    <cellStyle name="Percent 8 3 2" xfId="3301" xr:uid="{00000000-0005-0000-0000-00000D0D0000}"/>
    <cellStyle name="Percent 8 4" xfId="3302" xr:uid="{00000000-0005-0000-0000-00000E0D0000}"/>
    <cellStyle name="Percent 8 4 2" xfId="3303" xr:uid="{00000000-0005-0000-0000-00000F0D0000}"/>
    <cellStyle name="Percent 8 5" xfId="3304" xr:uid="{00000000-0005-0000-0000-0000100D0000}"/>
    <cellStyle name="Percent 8 5 2" xfId="3305" xr:uid="{00000000-0005-0000-0000-0000110D0000}"/>
    <cellStyle name="Percent 8 6" xfId="3306" xr:uid="{00000000-0005-0000-0000-0000120D0000}"/>
    <cellStyle name="Percent 8 6 2" xfId="3307" xr:uid="{00000000-0005-0000-0000-0000130D0000}"/>
    <cellStyle name="Percent 8 7" xfId="3308" xr:uid="{00000000-0005-0000-0000-0000140D0000}"/>
    <cellStyle name="Percent 8 7 2" xfId="3309" xr:uid="{00000000-0005-0000-0000-0000150D0000}"/>
    <cellStyle name="Percent 8 8" xfId="3310" xr:uid="{00000000-0005-0000-0000-0000160D0000}"/>
    <cellStyle name="Percent 8 8 2" xfId="3311" xr:uid="{00000000-0005-0000-0000-0000170D0000}"/>
    <cellStyle name="Percent 8 9" xfId="3312" xr:uid="{00000000-0005-0000-0000-0000180D0000}"/>
    <cellStyle name="Percent 9" xfId="3313" xr:uid="{00000000-0005-0000-0000-0000190D0000}"/>
    <cellStyle name="Percent 9 2" xfId="3314" xr:uid="{00000000-0005-0000-0000-00001A0D0000}"/>
    <cellStyle name="Percent 9 2 2" xfId="3315" xr:uid="{00000000-0005-0000-0000-00001B0D0000}"/>
    <cellStyle name="Percent 9 3" xfId="3316" xr:uid="{00000000-0005-0000-0000-00001C0D0000}"/>
    <cellStyle name="Percent 9 3 2" xfId="3317" xr:uid="{00000000-0005-0000-0000-00001D0D0000}"/>
    <cellStyle name="Percent 9 4" xfId="3318" xr:uid="{00000000-0005-0000-0000-00001E0D0000}"/>
    <cellStyle name="Percent 9 4 2" xfId="3319" xr:uid="{00000000-0005-0000-0000-00001F0D0000}"/>
    <cellStyle name="Percent 9 5" xfId="3320" xr:uid="{00000000-0005-0000-0000-0000200D0000}"/>
    <cellStyle name="Percent 9 5 2" xfId="3321" xr:uid="{00000000-0005-0000-0000-0000210D0000}"/>
    <cellStyle name="Percent 9 6" xfId="3322" xr:uid="{00000000-0005-0000-0000-0000220D0000}"/>
    <cellStyle name="Percent 9 6 2" xfId="3323" xr:uid="{00000000-0005-0000-0000-0000230D0000}"/>
    <cellStyle name="Percent 9 7" xfId="3324" xr:uid="{00000000-0005-0000-0000-0000240D0000}"/>
    <cellStyle name="Percent 9 7 2" xfId="3325" xr:uid="{00000000-0005-0000-0000-0000250D0000}"/>
    <cellStyle name="Percent 9 8" xfId="3326" xr:uid="{00000000-0005-0000-0000-0000260D0000}"/>
    <cellStyle name="Percent 9 8 2" xfId="3327" xr:uid="{00000000-0005-0000-0000-0000270D0000}"/>
    <cellStyle name="Percent 9 9" xfId="3328" xr:uid="{00000000-0005-0000-0000-0000280D0000}"/>
    <cellStyle name="Pilkku_Layo9704" xfId="3329" xr:uid="{00000000-0005-0000-0000-0000290D0000}"/>
    <cellStyle name="Pyör. luku_Layo9704" xfId="3330" xr:uid="{00000000-0005-0000-0000-00002A0D0000}"/>
    <cellStyle name="Pyör. valuutta_Layo9704" xfId="3331" xr:uid="{00000000-0005-0000-0000-00002B0D0000}"/>
    <cellStyle name="source" xfId="3332" xr:uid="{00000000-0005-0000-0000-00002C0D0000}"/>
    <cellStyle name="Standard_Sce_D_Extraction" xfId="3333" xr:uid="{00000000-0005-0000-0000-00002D0D0000}"/>
    <cellStyle name="Style 21" xfId="3334" xr:uid="{00000000-0005-0000-0000-00002E0D0000}"/>
    <cellStyle name="Style 21 2" xfId="3335" xr:uid="{00000000-0005-0000-0000-00002F0D0000}"/>
    <cellStyle name="Style 22" xfId="3336" xr:uid="{00000000-0005-0000-0000-0000300D0000}"/>
    <cellStyle name="Style 23" xfId="3337" xr:uid="{00000000-0005-0000-0000-0000310D0000}"/>
    <cellStyle name="Style 24" xfId="3338" xr:uid="{00000000-0005-0000-0000-0000320D0000}"/>
    <cellStyle name="Style 25" xfId="3339" xr:uid="{00000000-0005-0000-0000-0000330D0000}"/>
    <cellStyle name="Style 25 2" xfId="3340" xr:uid="{00000000-0005-0000-0000-0000340D0000}"/>
    <cellStyle name="Style 26" xfId="3341" xr:uid="{00000000-0005-0000-0000-0000350D0000}"/>
    <cellStyle name="Style 29" xfId="3342" xr:uid="{00000000-0005-0000-0000-0000360D0000}"/>
    <cellStyle name="Style 29 2" xfId="3343" xr:uid="{00000000-0005-0000-0000-0000370D0000}"/>
    <cellStyle name="Style 29 2 2" xfId="3344" xr:uid="{00000000-0005-0000-0000-0000380D0000}"/>
    <cellStyle name="Style 29 3" xfId="3345" xr:uid="{00000000-0005-0000-0000-0000390D0000}"/>
    <cellStyle name="Style 35" xfId="3346" xr:uid="{00000000-0005-0000-0000-00003A0D0000}"/>
    <cellStyle name="Style 35 2" xfId="3347" xr:uid="{00000000-0005-0000-0000-00003B0D0000}"/>
    <cellStyle name="Style 36" xfId="3348" xr:uid="{00000000-0005-0000-0000-00003C0D0000}"/>
    <cellStyle name="Style 36 2" xfId="3349" xr:uid="{00000000-0005-0000-0000-00003D0D0000}"/>
    <cellStyle name="tableau | cellule | normal | decimal 1" xfId="3350" xr:uid="{00000000-0005-0000-0000-00003E0D0000}"/>
    <cellStyle name="tableau | cellule | normal | pourcentage | decimal 1" xfId="3351" xr:uid="{00000000-0005-0000-0000-00003F0D0000}"/>
    <cellStyle name="tableau | cellule | total | decimal 1" xfId="3352" xr:uid="{00000000-0005-0000-0000-0000400D0000}"/>
    <cellStyle name="tableau | coin superieur gauche" xfId="3353" xr:uid="{00000000-0005-0000-0000-0000410D0000}"/>
    <cellStyle name="tableau | coin superieur gauche 2" xfId="3354" xr:uid="{00000000-0005-0000-0000-0000420D0000}"/>
    <cellStyle name="tableau | entete-colonne | series" xfId="3355" xr:uid="{00000000-0005-0000-0000-0000430D0000}"/>
    <cellStyle name="tableau | entete-colonne | series 2" xfId="3356" xr:uid="{00000000-0005-0000-0000-0000440D0000}"/>
    <cellStyle name="tableau | entete-ligne | normal" xfId="3357" xr:uid="{00000000-0005-0000-0000-0000450D0000}"/>
    <cellStyle name="tableau | entete-ligne | normal 2" xfId="3358" xr:uid="{00000000-0005-0000-0000-0000460D0000}"/>
    <cellStyle name="tableau | entete-ligne | total" xfId="3359" xr:uid="{00000000-0005-0000-0000-0000470D0000}"/>
    <cellStyle name="tableau | ligne-titre | niveau1" xfId="3360" xr:uid="{00000000-0005-0000-0000-0000480D0000}"/>
    <cellStyle name="tableau | ligne-titre | niveau1 2" xfId="3361" xr:uid="{00000000-0005-0000-0000-0000490D0000}"/>
    <cellStyle name="tableau | ligne-titre | niveau2" xfId="3362" xr:uid="{00000000-0005-0000-0000-00004A0D0000}"/>
    <cellStyle name="tableau | ligne-titre | niveau2 2" xfId="3363" xr:uid="{00000000-0005-0000-0000-00004B0D0000}"/>
    <cellStyle name="Title 2" xfId="3364" xr:uid="{00000000-0005-0000-0000-00004C0D0000}"/>
    <cellStyle name="Title 2 10" xfId="3365" xr:uid="{00000000-0005-0000-0000-00004D0D0000}"/>
    <cellStyle name="Title 2 2" xfId="3366" xr:uid="{00000000-0005-0000-0000-00004E0D0000}"/>
    <cellStyle name="Title 2 3" xfId="3367" xr:uid="{00000000-0005-0000-0000-00004F0D0000}"/>
    <cellStyle name="Title 2 4" xfId="3368" xr:uid="{00000000-0005-0000-0000-0000500D0000}"/>
    <cellStyle name="Title 2 5" xfId="3369" xr:uid="{00000000-0005-0000-0000-0000510D0000}"/>
    <cellStyle name="Title 2 6" xfId="3370" xr:uid="{00000000-0005-0000-0000-0000520D0000}"/>
    <cellStyle name="Title 2 7" xfId="3371" xr:uid="{00000000-0005-0000-0000-0000530D0000}"/>
    <cellStyle name="Title 2 8" xfId="3372" xr:uid="{00000000-0005-0000-0000-0000540D0000}"/>
    <cellStyle name="Title 2 9" xfId="3373" xr:uid="{00000000-0005-0000-0000-0000550D0000}"/>
    <cellStyle name="Title 3" xfId="3374" xr:uid="{00000000-0005-0000-0000-0000560D0000}"/>
    <cellStyle name="Title 3 2" xfId="3375" xr:uid="{00000000-0005-0000-0000-0000570D0000}"/>
    <cellStyle name="Total 2" xfId="3376" xr:uid="{00000000-0005-0000-0000-0000580D0000}"/>
    <cellStyle name="Total 2 10" xfId="3377" xr:uid="{00000000-0005-0000-0000-0000590D0000}"/>
    <cellStyle name="Total 2 2" xfId="3378" xr:uid="{00000000-0005-0000-0000-00005A0D0000}"/>
    <cellStyle name="Total 2 3" xfId="3379" xr:uid="{00000000-0005-0000-0000-00005B0D0000}"/>
    <cellStyle name="Total 2 4" xfId="3380" xr:uid="{00000000-0005-0000-0000-00005C0D0000}"/>
    <cellStyle name="Total 2 5" xfId="3381" xr:uid="{00000000-0005-0000-0000-00005D0D0000}"/>
    <cellStyle name="Total 2 6" xfId="3382" xr:uid="{00000000-0005-0000-0000-00005E0D0000}"/>
    <cellStyle name="Total 2 7" xfId="3383" xr:uid="{00000000-0005-0000-0000-00005F0D0000}"/>
    <cellStyle name="Total 2 8" xfId="3384" xr:uid="{00000000-0005-0000-0000-0000600D0000}"/>
    <cellStyle name="Total 2 9" xfId="3385" xr:uid="{00000000-0005-0000-0000-0000610D0000}"/>
    <cellStyle name="Total 3" xfId="3386" xr:uid="{00000000-0005-0000-0000-0000620D0000}"/>
    <cellStyle name="Total 3 2" xfId="3387" xr:uid="{00000000-0005-0000-0000-0000630D0000}"/>
    <cellStyle name="Valuutta_Layo9704" xfId="3388" xr:uid="{00000000-0005-0000-0000-0000640D0000}"/>
    <cellStyle name="Warning Text 2" xfId="3389" xr:uid="{00000000-0005-0000-0000-0000650D0000}"/>
    <cellStyle name="Warning Text 2 10" xfId="3390" xr:uid="{00000000-0005-0000-0000-0000660D0000}"/>
    <cellStyle name="Warning Text 2 2" xfId="3391" xr:uid="{00000000-0005-0000-0000-0000670D0000}"/>
    <cellStyle name="Warning Text 2 3" xfId="3392" xr:uid="{00000000-0005-0000-0000-0000680D0000}"/>
    <cellStyle name="Warning Text 2 4" xfId="3393" xr:uid="{00000000-0005-0000-0000-0000690D0000}"/>
    <cellStyle name="Warning Text 2 5" xfId="3394" xr:uid="{00000000-0005-0000-0000-00006A0D0000}"/>
    <cellStyle name="Warning Text 2 6" xfId="3395" xr:uid="{00000000-0005-0000-0000-00006B0D0000}"/>
    <cellStyle name="Warning Text 2 7" xfId="3396" xr:uid="{00000000-0005-0000-0000-00006C0D0000}"/>
    <cellStyle name="Warning Text 2 8" xfId="3397" xr:uid="{00000000-0005-0000-0000-00006D0D0000}"/>
    <cellStyle name="Warning Text 2 9" xfId="3398" xr:uid="{00000000-0005-0000-0000-00006E0D0000}"/>
    <cellStyle name="Warning Text 3" xfId="3399" xr:uid="{00000000-0005-0000-0000-00006F0D0000}"/>
    <cellStyle name="Обычный_CRF2002 (1)" xfId="3400" xr:uid="{00000000-0005-0000-0000-0000700D0000}"/>
    <cellStyle name="已访问的超链接" xfId="3401" xr:uid="{00000000-0005-0000-0000-0000710D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16"/>
  <sheetViews>
    <sheetView zoomScale="81" zoomScaleNormal="81" workbookViewId="0">
      <selection activeCell="D4" sqref="D4"/>
    </sheetView>
  </sheetViews>
  <sheetFormatPr defaultColWidth="9" defaultRowHeight="14.25"/>
  <cols>
    <col min="2" max="2" width="18.73046875" customWidth="1"/>
    <col min="40" max="40" width="12.59765625" customWidth="1"/>
  </cols>
  <sheetData>
    <row r="1" spans="1:41">
      <c r="A1" s="17" t="s">
        <v>0</v>
      </c>
      <c r="M1" t="s">
        <v>1</v>
      </c>
    </row>
    <row r="3" spans="1:41">
      <c r="D3" s="16" t="s">
        <v>631</v>
      </c>
    </row>
    <row r="4" spans="1:41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  <c r="W4" t="s">
        <v>24</v>
      </c>
      <c r="X4" t="s">
        <v>25</v>
      </c>
      <c r="Y4" t="s">
        <v>26</v>
      </c>
      <c r="Z4" t="s">
        <v>27</v>
      </c>
      <c r="AA4" t="s">
        <v>28</v>
      </c>
      <c r="AB4" t="s">
        <v>29</v>
      </c>
      <c r="AC4" t="s">
        <v>30</v>
      </c>
      <c r="AD4" t="s">
        <v>31</v>
      </c>
      <c r="AE4" t="s">
        <v>32</v>
      </c>
      <c r="AF4" t="s">
        <v>33</v>
      </c>
      <c r="AG4" t="s">
        <v>34</v>
      </c>
      <c r="AH4" t="s">
        <v>35</v>
      </c>
      <c r="AI4" t="s">
        <v>36</v>
      </c>
      <c r="AJ4" t="s">
        <v>37</v>
      </c>
      <c r="AK4" t="s">
        <v>38</v>
      </c>
      <c r="AL4" t="s">
        <v>39</v>
      </c>
      <c r="AM4" t="s">
        <v>40</v>
      </c>
      <c r="AN4" t="s">
        <v>41</v>
      </c>
      <c r="AO4" t="s">
        <v>42</v>
      </c>
    </row>
    <row r="5" spans="1:41">
      <c r="A5" t="s">
        <v>43</v>
      </c>
      <c r="B5" t="str">
        <f>"uce_cap25_"&amp;A5</f>
        <v>uce_cap25_Coal</v>
      </c>
      <c r="C5" t="str">
        <f>"E_"&amp;A5</f>
        <v>E_Coal</v>
      </c>
      <c r="D5">
        <v>1</v>
      </c>
      <c r="E5" s="8">
        <v>4.4119999999999999</v>
      </c>
      <c r="F5" s="8">
        <v>3.1202637578255201</v>
      </c>
      <c r="G5" s="8">
        <v>19.818999999999999</v>
      </c>
      <c r="H5" s="8" t="s">
        <v>44</v>
      </c>
      <c r="I5" s="8" t="s">
        <v>44</v>
      </c>
      <c r="J5" s="8">
        <v>5.3920000000000003</v>
      </c>
      <c r="K5" s="8">
        <v>3.04</v>
      </c>
      <c r="L5" s="8">
        <v>1049.77744541795</v>
      </c>
      <c r="M5" s="8">
        <v>0.34100000000000003</v>
      </c>
      <c r="N5" s="8">
        <v>1.829</v>
      </c>
      <c r="O5" s="8">
        <v>1.784</v>
      </c>
      <c r="P5" s="8">
        <v>20.963999999999999</v>
      </c>
      <c r="Q5" s="8" t="s">
        <v>44</v>
      </c>
      <c r="R5" s="8">
        <v>0.63100000000000001</v>
      </c>
      <c r="S5" s="8" t="s">
        <v>44</v>
      </c>
      <c r="T5" s="8">
        <v>226.58500000000001</v>
      </c>
      <c r="U5" s="8">
        <v>1.0429999999999999</v>
      </c>
      <c r="V5" s="8">
        <v>7.734</v>
      </c>
      <c r="W5" s="8">
        <v>55.883000000000003</v>
      </c>
      <c r="X5" s="8">
        <v>8.1129999999999995</v>
      </c>
      <c r="Y5" s="8">
        <v>5.8150000000000004</v>
      </c>
      <c r="Z5" s="8">
        <v>208.923</v>
      </c>
      <c r="AA5" s="8">
        <v>8.0000000000000002E-3</v>
      </c>
      <c r="AB5" s="8">
        <v>21.844000000000001</v>
      </c>
      <c r="AC5" s="8">
        <v>1173.4073261681399</v>
      </c>
      <c r="AD5" s="8">
        <v>33.270000000000003</v>
      </c>
      <c r="AE5" s="8" t="s">
        <v>44</v>
      </c>
      <c r="AF5" s="8">
        <v>45.335000000000001</v>
      </c>
      <c r="AG5" s="8">
        <v>1.425</v>
      </c>
      <c r="AH5" s="8">
        <v>6.0679999999999996</v>
      </c>
      <c r="AI5" s="8" t="s">
        <v>44</v>
      </c>
      <c r="AJ5" s="8">
        <v>8.6639999999999997</v>
      </c>
      <c r="AK5" s="8">
        <v>5.1079999999999997</v>
      </c>
      <c r="AL5" s="8">
        <v>25.702000000000002</v>
      </c>
      <c r="AM5" s="8">
        <v>0.224</v>
      </c>
      <c r="AN5" s="8">
        <v>-1</v>
      </c>
    </row>
    <row r="6" spans="1:41">
      <c r="A6" t="s">
        <v>45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8">
        <v>96.795000000000002</v>
      </c>
      <c r="F6" s="8">
        <v>25.635171082069899</v>
      </c>
      <c r="G6" s="8">
        <v>16.366312550574499</v>
      </c>
      <c r="H6" s="8">
        <v>4.5289999999999999</v>
      </c>
      <c r="I6" s="8">
        <v>2.2290000000000001</v>
      </c>
      <c r="J6" s="8">
        <v>19.908000000000001</v>
      </c>
      <c r="K6" s="8">
        <v>12.976000000000001</v>
      </c>
      <c r="L6" s="8">
        <v>124.106769526882</v>
      </c>
      <c r="M6" s="8">
        <v>1.35494652675863</v>
      </c>
      <c r="N6" s="8">
        <v>2.9550000000000001</v>
      </c>
      <c r="O6" s="8">
        <v>8.2629999999999999</v>
      </c>
      <c r="P6" s="8">
        <v>23.885000000000002</v>
      </c>
      <c r="Q6" s="8">
        <v>7.819</v>
      </c>
      <c r="R6" s="8">
        <v>6.2789999999999999</v>
      </c>
      <c r="S6" s="8" t="s">
        <v>44</v>
      </c>
      <c r="T6" s="8">
        <v>24.629000000000001</v>
      </c>
      <c r="U6" s="8">
        <v>4.3019999999999996</v>
      </c>
      <c r="V6" s="8">
        <v>50.521999999999998</v>
      </c>
      <c r="W6" s="8">
        <v>83.7</v>
      </c>
      <c r="X6" s="8">
        <v>56.636000000000003</v>
      </c>
      <c r="Y6" s="8">
        <v>215.315</v>
      </c>
      <c r="Z6" s="8">
        <v>555.11699999999996</v>
      </c>
      <c r="AA6" s="8">
        <v>0.318</v>
      </c>
      <c r="AB6" s="8">
        <v>3.8170000000000002</v>
      </c>
      <c r="AC6" s="8">
        <v>377.33885156572001</v>
      </c>
      <c r="AD6" s="8">
        <v>126.81699999999999</v>
      </c>
      <c r="AE6" s="8">
        <v>54.058</v>
      </c>
      <c r="AF6" s="8">
        <v>3.3000000000000002E-2</v>
      </c>
      <c r="AG6" s="8">
        <v>31.271999999999998</v>
      </c>
      <c r="AH6" s="8">
        <v>5.718</v>
      </c>
      <c r="AI6" s="8">
        <v>0.49099999999999999</v>
      </c>
      <c r="AJ6" s="8">
        <v>25.943999999999999</v>
      </c>
      <c r="AK6" s="8">
        <v>33.529000000000003</v>
      </c>
      <c r="AL6" s="8">
        <v>3.113</v>
      </c>
      <c r="AM6" s="8">
        <v>0.95099999999999996</v>
      </c>
      <c r="AN6" s="8">
        <v>-1</v>
      </c>
    </row>
    <row r="7" spans="1:41">
      <c r="A7" t="s">
        <v>46</v>
      </c>
      <c r="B7" t="str">
        <f t="shared" si="0"/>
        <v>uce_cap25_Hydro</v>
      </c>
      <c r="C7" t="str">
        <f t="shared" si="1"/>
        <v>E_Hydro</v>
      </c>
      <c r="D7">
        <v>1</v>
      </c>
      <c r="E7" s="8">
        <v>4.4320000000000004</v>
      </c>
      <c r="F7" s="8">
        <v>36.885852759931701</v>
      </c>
      <c r="G7" s="8">
        <v>8.44</v>
      </c>
      <c r="H7" s="8">
        <v>14.933</v>
      </c>
      <c r="I7" s="8">
        <v>1.7170000000000001</v>
      </c>
      <c r="J7" s="8">
        <v>0.19800000000000001</v>
      </c>
      <c r="K7" s="8">
        <v>109.95</v>
      </c>
      <c r="L7" s="8">
        <v>381.48085868681801</v>
      </c>
      <c r="M7" s="8">
        <v>3.63800080835852</v>
      </c>
      <c r="N7" s="8">
        <v>2.7309999999999999</v>
      </c>
      <c r="O7" s="8">
        <v>24.478000000000002</v>
      </c>
      <c r="P7" s="8">
        <v>5.7409999999999997</v>
      </c>
      <c r="Q7" s="8">
        <v>3.456</v>
      </c>
      <c r="R7" s="8">
        <v>9.2059999999999995</v>
      </c>
      <c r="S7" s="8">
        <v>2.1139999999999999</v>
      </c>
      <c r="T7" s="8">
        <v>54.102839619352501</v>
      </c>
      <c r="U7" s="8">
        <v>0.23699999999999999</v>
      </c>
      <c r="V7" s="8">
        <v>18.942</v>
      </c>
      <c r="W7" s="8">
        <v>28.247</v>
      </c>
      <c r="X7" s="8">
        <v>81.817377242914105</v>
      </c>
      <c r="Y7" s="8">
        <v>15.185832498403901</v>
      </c>
      <c r="Z7" s="8">
        <v>184.39099999999999</v>
      </c>
      <c r="AA7" s="8">
        <v>34.409999999999997</v>
      </c>
      <c r="AB7" s="8">
        <v>0.98599999999999999</v>
      </c>
      <c r="AC7" s="8">
        <v>506.24236697874602</v>
      </c>
      <c r="AD7" s="8">
        <v>51.534999999999997</v>
      </c>
      <c r="AE7" s="8" t="s">
        <v>44</v>
      </c>
      <c r="AF7" s="8">
        <v>0.752</v>
      </c>
      <c r="AG7" s="8">
        <v>25.039000000000001</v>
      </c>
      <c r="AH7" s="8">
        <v>19.646999999999998</v>
      </c>
      <c r="AI7" s="8">
        <v>15.279</v>
      </c>
      <c r="AJ7" s="8">
        <v>31.934999999999999</v>
      </c>
      <c r="AK7" s="8">
        <v>2.2519999999999998</v>
      </c>
      <c r="AL7" s="8">
        <v>4.8869999999999996</v>
      </c>
      <c r="AM7" s="8">
        <v>8.8006131136694901</v>
      </c>
      <c r="AN7" s="8">
        <v>-1</v>
      </c>
    </row>
    <row r="8" spans="1:41">
      <c r="A8" t="s">
        <v>47</v>
      </c>
      <c r="B8" t="str">
        <f t="shared" si="0"/>
        <v>uce_cap25_Nuclear</v>
      </c>
      <c r="C8" t="str">
        <f t="shared" si="1"/>
        <v>E_Nuclear</v>
      </c>
      <c r="D8">
        <v>1</v>
      </c>
      <c r="E8" s="8" t="s">
        <v>44</v>
      </c>
      <c r="F8" s="8" t="s">
        <v>44</v>
      </c>
      <c r="G8" s="8" t="s">
        <v>44</v>
      </c>
      <c r="H8" s="8" t="s">
        <v>44</v>
      </c>
      <c r="I8" s="8" t="s">
        <v>44</v>
      </c>
      <c r="J8" s="8">
        <v>5.5629999999999997</v>
      </c>
      <c r="K8" s="8">
        <v>2.0619999999999998</v>
      </c>
      <c r="L8" s="8">
        <v>70.629793064894301</v>
      </c>
      <c r="M8" s="8">
        <v>0.72699999999999998</v>
      </c>
      <c r="N8" s="8">
        <v>6.9539999999999997</v>
      </c>
      <c r="O8" s="8">
        <v>65.792000000000002</v>
      </c>
      <c r="P8" s="8">
        <v>4.2910000000000004</v>
      </c>
      <c r="Q8" s="8" t="s">
        <v>44</v>
      </c>
      <c r="R8" s="8">
        <v>5.45</v>
      </c>
      <c r="S8" s="8" t="s">
        <v>44</v>
      </c>
      <c r="T8" s="8">
        <v>14.4554035848022</v>
      </c>
      <c r="U8" s="8" t="s">
        <v>44</v>
      </c>
      <c r="V8" s="8" t="s">
        <v>44</v>
      </c>
      <c r="W8" s="8">
        <v>34.119481817549399</v>
      </c>
      <c r="X8" s="8">
        <v>1.798</v>
      </c>
      <c r="Y8" s="8">
        <v>7.62</v>
      </c>
      <c r="Z8" s="8">
        <v>115.929</v>
      </c>
      <c r="AA8" s="8" t="s">
        <v>44</v>
      </c>
      <c r="AB8" s="8" t="s">
        <v>44</v>
      </c>
      <c r="AC8" s="8">
        <v>112.973094438467</v>
      </c>
      <c r="AD8" s="8">
        <v>34.297233878302002</v>
      </c>
      <c r="AE8" s="8" t="s">
        <v>44</v>
      </c>
      <c r="AF8" s="8">
        <v>1.94</v>
      </c>
      <c r="AG8" s="8">
        <v>7.3979999999999997</v>
      </c>
      <c r="AH8" s="8">
        <v>11.706</v>
      </c>
      <c r="AI8" s="8">
        <v>3.0249999999999999</v>
      </c>
      <c r="AJ8" s="8">
        <v>3.5459143326008902</v>
      </c>
      <c r="AK8" s="8">
        <v>7.2345614445903399</v>
      </c>
      <c r="AL8" s="8">
        <v>13.88</v>
      </c>
      <c r="AM8" s="8" t="s">
        <v>44</v>
      </c>
      <c r="AN8" s="8">
        <v>-1</v>
      </c>
    </row>
    <row r="9" spans="1:41">
      <c r="A9" t="s">
        <v>48</v>
      </c>
      <c r="B9" t="str">
        <f t="shared" si="0"/>
        <v>uce_cap25_Solar</v>
      </c>
      <c r="C9" t="str">
        <f t="shared" si="1"/>
        <v>E_Solar</v>
      </c>
      <c r="D9">
        <v>1</v>
      </c>
      <c r="E9" s="8">
        <v>3.7589999999999999</v>
      </c>
      <c r="F9" s="8">
        <v>3.3460000000000001</v>
      </c>
      <c r="G9" s="8">
        <v>34.218000000000004</v>
      </c>
      <c r="H9" s="8">
        <v>6.8319999999999999</v>
      </c>
      <c r="I9" s="8">
        <v>2.2080000000000002</v>
      </c>
      <c r="J9" s="8">
        <v>32.886000000000003</v>
      </c>
      <c r="K9" s="8">
        <v>40.780999999999999</v>
      </c>
      <c r="L9" s="8">
        <v>618.10557042935795</v>
      </c>
      <c r="M9" s="8">
        <v>1.496</v>
      </c>
      <c r="N9" s="8">
        <v>3.1850000000000001</v>
      </c>
      <c r="O9" s="8">
        <v>20.552</v>
      </c>
      <c r="P9" s="8">
        <v>83.039000000000001</v>
      </c>
      <c r="Q9" s="8">
        <v>7.6369999999999996</v>
      </c>
      <c r="R9" s="8">
        <v>10.704000000000001</v>
      </c>
      <c r="S9" s="8">
        <v>7.0000000000000001E-3</v>
      </c>
      <c r="T9" s="8">
        <v>76.308999999999997</v>
      </c>
      <c r="U9" s="8">
        <v>0.73799999999999999</v>
      </c>
      <c r="V9" s="8">
        <v>30.029</v>
      </c>
      <c r="W9" s="8">
        <v>87.173000000000002</v>
      </c>
      <c r="X9" s="8">
        <v>15.894</v>
      </c>
      <c r="Y9" s="8">
        <v>17.263000000000002</v>
      </c>
      <c r="Z9" s="8">
        <v>158.453</v>
      </c>
      <c r="AA9" s="8">
        <v>0.61699999999999999</v>
      </c>
      <c r="AB9" s="8">
        <v>15.81</v>
      </c>
      <c r="AC9" s="8">
        <v>690.02499999999998</v>
      </c>
      <c r="AD9" s="8">
        <v>2.4420000000000002</v>
      </c>
      <c r="AE9" s="8">
        <v>2.286</v>
      </c>
      <c r="AF9" s="8">
        <v>6.4729999999999999</v>
      </c>
      <c r="AG9" s="8">
        <v>35.164000000000001</v>
      </c>
      <c r="AH9" s="8">
        <v>7.9169999999999998</v>
      </c>
      <c r="AI9" s="8">
        <v>5.84</v>
      </c>
      <c r="AJ9" s="8">
        <v>11.292</v>
      </c>
      <c r="AK9" s="8">
        <v>15.657</v>
      </c>
      <c r="AL9" s="8">
        <v>8.15</v>
      </c>
      <c r="AM9" s="8">
        <v>1.0249999999999999</v>
      </c>
      <c r="AN9" s="8">
        <v>-1</v>
      </c>
      <c r="AO9" t="s">
        <v>49</v>
      </c>
    </row>
    <row r="10" spans="1:41">
      <c r="A10" t="s">
        <v>50</v>
      </c>
      <c r="B10" t="str">
        <f t="shared" si="0"/>
        <v>uce_cap25_Wind</v>
      </c>
      <c r="C10" t="str">
        <f t="shared" si="1"/>
        <v>E_Wind</v>
      </c>
      <c r="D10">
        <v>1</v>
      </c>
      <c r="E10" s="8">
        <v>10.1220661744693</v>
      </c>
      <c r="F10" s="8">
        <v>1.2729999999999999</v>
      </c>
      <c r="G10" s="8">
        <v>13.161</v>
      </c>
      <c r="H10" s="8">
        <v>3.9769999999999999</v>
      </c>
      <c r="I10" s="8">
        <v>1.9139999999999999</v>
      </c>
      <c r="J10" s="8">
        <v>16.492000000000001</v>
      </c>
      <c r="K10" s="8">
        <v>29.818000000000001</v>
      </c>
      <c r="L10" s="8">
        <v>481.98396376118001</v>
      </c>
      <c r="M10" s="8">
        <v>1.1459999999999999</v>
      </c>
      <c r="N10" s="8">
        <v>0.34699999999999998</v>
      </c>
      <c r="O10" s="8">
        <v>23.175999999999998</v>
      </c>
      <c r="P10" s="8">
        <v>70.263059689022995</v>
      </c>
      <c r="Q10" s="8">
        <v>5.3789999999999996</v>
      </c>
      <c r="R10" s="8">
        <v>4.141</v>
      </c>
      <c r="S10" s="8">
        <v>0.17695741101743001</v>
      </c>
      <c r="T10" s="8">
        <v>52.965882320789703</v>
      </c>
      <c r="U10" s="8">
        <v>4.8620000000000001</v>
      </c>
      <c r="V10" s="8">
        <v>12.391</v>
      </c>
      <c r="W10" s="8">
        <v>5.4829999999999997</v>
      </c>
      <c r="X10" s="8">
        <v>19.4340173249179</v>
      </c>
      <c r="Y10" s="8">
        <v>1.4870000000000001</v>
      </c>
      <c r="Z10" s="8">
        <v>174.88145848892401</v>
      </c>
      <c r="AA10" s="8">
        <v>5.0650000000000004</v>
      </c>
      <c r="AB10" s="8">
        <v>9.3070000000000004</v>
      </c>
      <c r="AC10" s="8">
        <v>466.35134707407298</v>
      </c>
      <c r="AD10" s="8">
        <v>2.64</v>
      </c>
      <c r="AE10" s="8">
        <v>0.40300000000000002</v>
      </c>
      <c r="AF10" s="8">
        <v>3.4630000000000001</v>
      </c>
      <c r="AG10" s="8">
        <v>36.744999999999997</v>
      </c>
      <c r="AH10" s="8">
        <v>31.957000000000001</v>
      </c>
      <c r="AI10" s="8">
        <v>8.6999999999999994E-2</v>
      </c>
      <c r="AJ10" s="8">
        <v>11.749000000000001</v>
      </c>
      <c r="AK10" s="8">
        <v>34.539427725646497</v>
      </c>
      <c r="AL10" s="8">
        <v>1.9019999999999999</v>
      </c>
      <c r="AM10" s="8">
        <v>1.095</v>
      </c>
      <c r="AN10" s="8">
        <v>-1</v>
      </c>
      <c r="AO10" t="s">
        <v>49</v>
      </c>
    </row>
    <row r="11" spans="1:41"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</row>
    <row r="12" spans="1:41"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</row>
    <row r="13" spans="1:41"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 spans="1:41"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 spans="1:41"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1:41"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E43"/>
  <sheetViews>
    <sheetView topLeftCell="J1" zoomScale="73" zoomScaleNormal="73" workbookViewId="0">
      <selection activeCell="T34" sqref="T34"/>
    </sheetView>
  </sheetViews>
  <sheetFormatPr defaultColWidth="9" defaultRowHeight="14.25"/>
  <cols>
    <col min="2" max="2" width="10.1328125" customWidth="1"/>
    <col min="3" max="3" width="8.86328125" customWidth="1"/>
    <col min="4" max="4" width="10" customWidth="1"/>
    <col min="5" max="5" width="9.3984375" customWidth="1"/>
    <col min="6" max="6" width="6.59765625" customWidth="1"/>
    <col min="7" max="7" width="9.73046875" customWidth="1"/>
    <col min="8" max="8" width="10.73046875" customWidth="1"/>
    <col min="9" max="9" width="8.73046875" customWidth="1"/>
    <col min="10" max="10" width="10.265625" customWidth="1"/>
    <col min="11" max="11" width="8.3984375" customWidth="1"/>
    <col min="12" max="12" width="7.59765625" customWidth="1"/>
    <col min="13" max="13" width="8.59765625" customWidth="1"/>
    <col min="14" max="14" width="8.73046875" customWidth="1"/>
    <col min="15" max="16" width="8.3984375" customWidth="1"/>
    <col min="17" max="17" width="4.59765625" customWidth="1"/>
    <col min="18" max="19" width="5.1328125" customWidth="1"/>
    <col min="20" max="20" width="11" customWidth="1"/>
    <col min="21" max="21" width="9.73046875" customWidth="1"/>
    <col min="22" max="22" width="15.86328125" customWidth="1"/>
    <col min="24" max="24" width="16.3984375" customWidth="1"/>
    <col min="25" max="25" width="18.73046875" customWidth="1"/>
    <col min="26" max="26" width="15.86328125" customWidth="1"/>
    <col min="27" max="27" width="11.265625" customWidth="1"/>
    <col min="28" max="69" width="5.3984375" customWidth="1"/>
    <col min="71" max="71" width="4.3984375" customWidth="1"/>
    <col min="72" max="72" width="8.86328125" customWidth="1"/>
  </cols>
  <sheetData>
    <row r="1" spans="1:30">
      <c r="A1" t="s">
        <v>51</v>
      </c>
    </row>
    <row r="2" spans="1:30">
      <c r="B2" s="26" t="s">
        <v>52</v>
      </c>
      <c r="I2" s="27"/>
      <c r="J2" s="28"/>
      <c r="K2" s="28"/>
      <c r="L2" s="28"/>
      <c r="M2" s="28"/>
      <c r="N2" s="28"/>
      <c r="O2" s="28"/>
      <c r="P2" s="28"/>
    </row>
    <row r="3" spans="1:30">
      <c r="B3" s="29" t="s">
        <v>53</v>
      </c>
      <c r="C3" s="29" t="s">
        <v>54</v>
      </c>
      <c r="D3" s="29" t="s">
        <v>55</v>
      </c>
      <c r="E3" s="29" t="s">
        <v>56</v>
      </c>
      <c r="F3" s="29" t="s">
        <v>57</v>
      </c>
      <c r="G3" s="29" t="s">
        <v>58</v>
      </c>
      <c r="H3" s="30" t="s">
        <v>59</v>
      </c>
      <c r="I3" s="31" t="s">
        <v>60</v>
      </c>
      <c r="J3" s="31" t="s">
        <v>61</v>
      </c>
      <c r="K3" s="31" t="s">
        <v>62</v>
      </c>
      <c r="L3" s="31" t="s">
        <v>63</v>
      </c>
      <c r="M3" s="31" t="s">
        <v>64</v>
      </c>
      <c r="N3" s="31" t="s">
        <v>65</v>
      </c>
      <c r="O3" s="31" t="s">
        <v>66</v>
      </c>
      <c r="P3" s="31" t="s">
        <v>67</v>
      </c>
      <c r="U3" t="s">
        <v>52</v>
      </c>
    </row>
    <row r="4" spans="1:30">
      <c r="D4" t="s">
        <v>68</v>
      </c>
      <c r="F4" t="s">
        <v>69</v>
      </c>
      <c r="H4">
        <v>2.7</v>
      </c>
      <c r="J4" t="s">
        <v>70</v>
      </c>
      <c r="O4" t="s">
        <v>71</v>
      </c>
      <c r="U4" t="s">
        <v>72</v>
      </c>
      <c r="V4" t="s">
        <v>73</v>
      </c>
      <c r="W4" t="s">
        <v>74</v>
      </c>
      <c r="X4" t="s">
        <v>75</v>
      </c>
      <c r="Y4" t="s">
        <v>76</v>
      </c>
    </row>
    <row r="5" spans="1:30">
      <c r="D5" t="s">
        <v>68</v>
      </c>
      <c r="F5" t="s">
        <v>69</v>
      </c>
      <c r="H5">
        <v>1.83</v>
      </c>
      <c r="J5" t="s">
        <v>70</v>
      </c>
      <c r="O5" t="s">
        <v>77</v>
      </c>
      <c r="U5" s="24" t="s">
        <v>78</v>
      </c>
      <c r="V5" s="24" t="s">
        <v>79</v>
      </c>
      <c r="W5" s="24">
        <v>2150</v>
      </c>
      <c r="X5" s="24"/>
      <c r="Y5" s="24"/>
    </row>
    <row r="6" spans="1:30">
      <c r="D6" t="s">
        <v>68</v>
      </c>
      <c r="F6" t="s">
        <v>69</v>
      </c>
      <c r="H6">
        <v>-2.35</v>
      </c>
      <c r="J6" t="s">
        <v>70</v>
      </c>
      <c r="O6" t="s">
        <v>80</v>
      </c>
      <c r="U6" t="s">
        <v>81</v>
      </c>
      <c r="W6">
        <v>2150</v>
      </c>
      <c r="X6" t="s">
        <v>82</v>
      </c>
      <c r="Y6" t="s">
        <v>83</v>
      </c>
      <c r="AB6" t="s">
        <v>84</v>
      </c>
    </row>
    <row r="7" spans="1:30">
      <c r="D7" t="s">
        <v>68</v>
      </c>
      <c r="F7" t="s">
        <v>69</v>
      </c>
      <c r="H7">
        <v>2.66</v>
      </c>
      <c r="J7" t="s">
        <v>70</v>
      </c>
      <c r="O7" t="s">
        <v>85</v>
      </c>
    </row>
    <row r="8" spans="1:30">
      <c r="D8" t="s">
        <v>68</v>
      </c>
      <c r="F8" t="s">
        <v>69</v>
      </c>
      <c r="H8">
        <v>-1.35</v>
      </c>
      <c r="J8" t="s">
        <v>70</v>
      </c>
      <c r="O8" t="s">
        <v>86</v>
      </c>
    </row>
    <row r="9" spans="1:30">
      <c r="D9" t="s">
        <v>68</v>
      </c>
      <c r="F9" t="s">
        <v>69</v>
      </c>
      <c r="H9">
        <f>H6</f>
        <v>-2.35</v>
      </c>
      <c r="J9" t="s">
        <v>70</v>
      </c>
      <c r="O9" t="s">
        <v>87</v>
      </c>
      <c r="T9" t="s">
        <v>88</v>
      </c>
    </row>
    <row r="10" spans="1:30">
      <c r="D10" t="s">
        <v>81</v>
      </c>
      <c r="H10">
        <v>2150</v>
      </c>
      <c r="J10" t="s">
        <v>89</v>
      </c>
      <c r="T10" t="s">
        <v>57</v>
      </c>
      <c r="U10" t="s">
        <v>55</v>
      </c>
      <c r="V10">
        <v>2020</v>
      </c>
      <c r="W10">
        <v>2040</v>
      </c>
      <c r="X10" t="s">
        <v>63</v>
      </c>
      <c r="Y10" t="s">
        <v>64</v>
      </c>
      <c r="Z10" t="s">
        <v>90</v>
      </c>
      <c r="AA10" t="s">
        <v>66</v>
      </c>
      <c r="AB10" t="s">
        <v>91</v>
      </c>
      <c r="AC10" t="s">
        <v>92</v>
      </c>
      <c r="AD10" t="s">
        <v>93</v>
      </c>
    </row>
    <row r="11" spans="1:30">
      <c r="D11" t="s">
        <v>81</v>
      </c>
      <c r="H11">
        <v>2150</v>
      </c>
      <c r="J11" t="s">
        <v>94</v>
      </c>
      <c r="T11" t="s">
        <v>69</v>
      </c>
      <c r="U11" t="s">
        <v>95</v>
      </c>
      <c r="V11">
        <v>19.440000000000001</v>
      </c>
      <c r="X11" t="s">
        <v>96</v>
      </c>
      <c r="Y11" t="s">
        <v>97</v>
      </c>
      <c r="AA11" t="str">
        <f>X11</f>
        <v>ELC</v>
      </c>
      <c r="AC11" t="s">
        <v>98</v>
      </c>
    </row>
    <row r="12" spans="1:30">
      <c r="T12" t="s">
        <v>69</v>
      </c>
      <c r="U12" t="s">
        <v>95</v>
      </c>
      <c r="V12">
        <v>15.28</v>
      </c>
      <c r="X12" t="s">
        <v>96</v>
      </c>
      <c r="Y12" t="s">
        <v>99</v>
      </c>
      <c r="AA12" t="str">
        <f>X12</f>
        <v>ELC</v>
      </c>
      <c r="AC12" t="s">
        <v>98</v>
      </c>
    </row>
    <row r="13" spans="1:30">
      <c r="B13" t="s">
        <v>52</v>
      </c>
      <c r="T13" t="s">
        <v>69</v>
      </c>
      <c r="U13" t="s">
        <v>95</v>
      </c>
      <c r="V13">
        <v>6.94</v>
      </c>
      <c r="X13" t="s">
        <v>96</v>
      </c>
      <c r="Y13" t="s">
        <v>100</v>
      </c>
      <c r="AA13" t="str">
        <f>X13</f>
        <v>ELC</v>
      </c>
      <c r="AC13" t="s">
        <v>98</v>
      </c>
    </row>
    <row r="14" spans="1:30">
      <c r="B14" t="s">
        <v>53</v>
      </c>
      <c r="C14" t="s">
        <v>54</v>
      </c>
      <c r="D14" t="s">
        <v>55</v>
      </c>
      <c r="E14" t="s">
        <v>56</v>
      </c>
      <c r="F14" t="s">
        <v>57</v>
      </c>
      <c r="G14" t="s">
        <v>58</v>
      </c>
      <c r="H14" t="s">
        <v>59</v>
      </c>
      <c r="I14" t="s">
        <v>60</v>
      </c>
      <c r="J14" t="s">
        <v>61</v>
      </c>
      <c r="K14" t="s">
        <v>62</v>
      </c>
      <c r="L14" t="s">
        <v>63</v>
      </c>
      <c r="M14" t="s">
        <v>64</v>
      </c>
      <c r="N14" t="s">
        <v>65</v>
      </c>
      <c r="O14" t="s">
        <v>66</v>
      </c>
      <c r="T14" t="s">
        <v>69</v>
      </c>
      <c r="U14" t="s">
        <v>95</v>
      </c>
      <c r="V14" s="32">
        <v>3.5</v>
      </c>
      <c r="X14" t="s">
        <v>101</v>
      </c>
      <c r="Y14" s="32" t="s">
        <v>102</v>
      </c>
      <c r="AA14" t="s">
        <v>101</v>
      </c>
      <c r="AB14" t="s">
        <v>103</v>
      </c>
      <c r="AC14" t="s">
        <v>98</v>
      </c>
    </row>
    <row r="15" spans="1:30">
      <c r="D15" t="s">
        <v>81</v>
      </c>
      <c r="H15">
        <v>2120</v>
      </c>
      <c r="J15" t="s">
        <v>104</v>
      </c>
      <c r="T15" t="s">
        <v>69</v>
      </c>
      <c r="U15" t="s">
        <v>95</v>
      </c>
      <c r="V15">
        <v>0.8</v>
      </c>
      <c r="X15" t="s">
        <v>101</v>
      </c>
      <c r="Y15" t="s">
        <v>105</v>
      </c>
      <c r="AA15" t="s">
        <v>101</v>
      </c>
      <c r="AB15" t="s">
        <v>103</v>
      </c>
      <c r="AC15" t="s">
        <v>98</v>
      </c>
    </row>
    <row r="16" spans="1:30">
      <c r="D16" t="s">
        <v>106</v>
      </c>
      <c r="H16" s="7">
        <v>25</v>
      </c>
      <c r="J16" t="s">
        <v>107</v>
      </c>
      <c r="T16" t="s">
        <v>69</v>
      </c>
      <c r="U16" t="s">
        <v>95</v>
      </c>
      <c r="V16">
        <v>3.6</v>
      </c>
      <c r="X16" t="s">
        <v>101</v>
      </c>
      <c r="Y16" t="s">
        <v>108</v>
      </c>
      <c r="AA16" t="s">
        <v>101</v>
      </c>
      <c r="AC16" t="s">
        <v>98</v>
      </c>
    </row>
    <row r="17" spans="2:135">
      <c r="D17" t="s">
        <v>109</v>
      </c>
      <c r="H17">
        <v>65</v>
      </c>
      <c r="J17" t="s">
        <v>107</v>
      </c>
      <c r="T17" t="s">
        <v>69</v>
      </c>
      <c r="U17" t="s">
        <v>95</v>
      </c>
      <c r="V17" s="6">
        <f>4.7+4</f>
        <v>8.6999999999999993</v>
      </c>
      <c r="X17" t="s">
        <v>101</v>
      </c>
      <c r="Y17" t="s">
        <v>110</v>
      </c>
      <c r="AA17" t="s">
        <v>101</v>
      </c>
      <c r="AC17" t="s">
        <v>98</v>
      </c>
    </row>
    <row r="18" spans="2:135">
      <c r="D18" t="s">
        <v>95</v>
      </c>
      <c r="H18">
        <v>10</v>
      </c>
      <c r="I18" t="s">
        <v>111</v>
      </c>
      <c r="M18" t="s">
        <v>112</v>
      </c>
      <c r="O18" t="s">
        <v>113</v>
      </c>
      <c r="T18" t="s">
        <v>69</v>
      </c>
      <c r="U18" t="s">
        <v>95</v>
      </c>
      <c r="V18">
        <v>4</v>
      </c>
      <c r="X18" t="s">
        <v>101</v>
      </c>
      <c r="Y18" t="s">
        <v>114</v>
      </c>
      <c r="AA18" t="s">
        <v>101</v>
      </c>
      <c r="AB18" t="s">
        <v>103</v>
      </c>
      <c r="AC18" t="s">
        <v>98</v>
      </c>
    </row>
    <row r="19" spans="2:135">
      <c r="T19" t="s">
        <v>69</v>
      </c>
      <c r="U19" t="s">
        <v>95</v>
      </c>
      <c r="V19">
        <v>3.04</v>
      </c>
      <c r="X19" t="s">
        <v>115</v>
      </c>
      <c r="Y19" t="s">
        <v>116</v>
      </c>
      <c r="AA19" t="s">
        <v>115</v>
      </c>
      <c r="AC19" t="s">
        <v>98</v>
      </c>
    </row>
    <row r="20" spans="2:135">
      <c r="B20" t="s">
        <v>117</v>
      </c>
      <c r="T20" t="s">
        <v>69</v>
      </c>
      <c r="U20" t="s">
        <v>95</v>
      </c>
      <c r="V20">
        <v>1.52</v>
      </c>
      <c r="X20" t="s">
        <v>118</v>
      </c>
      <c r="Y20" t="s">
        <v>119</v>
      </c>
      <c r="AA20" t="s">
        <v>118</v>
      </c>
      <c r="AC20" t="s">
        <v>98</v>
      </c>
    </row>
    <row r="21" spans="2:135">
      <c r="B21" t="s">
        <v>54</v>
      </c>
      <c r="C21" t="s">
        <v>120</v>
      </c>
      <c r="D21" t="s">
        <v>55</v>
      </c>
      <c r="E21" t="s">
        <v>121</v>
      </c>
      <c r="F21" t="s">
        <v>122</v>
      </c>
      <c r="G21" t="s">
        <v>58</v>
      </c>
      <c r="H21" t="s">
        <v>59</v>
      </c>
      <c r="I21" t="s">
        <v>61</v>
      </c>
      <c r="J21" t="s">
        <v>123</v>
      </c>
      <c r="K21" t="s">
        <v>124</v>
      </c>
      <c r="L21" t="s">
        <v>125</v>
      </c>
      <c r="T21" t="s">
        <v>69</v>
      </c>
      <c r="U21" t="s">
        <v>95</v>
      </c>
      <c r="V21" s="33">
        <f>V11*1.2</f>
        <v>23.327999999999999</v>
      </c>
      <c r="X21" t="s">
        <v>126</v>
      </c>
      <c r="Y21" t="s">
        <v>127</v>
      </c>
      <c r="Z21" s="38" t="s">
        <v>128</v>
      </c>
      <c r="AA21" t="str">
        <f t="shared" ref="AA21:AA26" si="0">X21</f>
        <v>HH2</v>
      </c>
      <c r="AB21" s="38" t="s">
        <v>129</v>
      </c>
      <c r="AC21" t="s">
        <v>98</v>
      </c>
      <c r="AD21" t="s">
        <v>130</v>
      </c>
    </row>
    <row r="22" spans="2:135">
      <c r="C22" t="s">
        <v>49</v>
      </c>
      <c r="D22" t="s">
        <v>131</v>
      </c>
      <c r="E22">
        <v>2020</v>
      </c>
      <c r="H22" t="s">
        <v>132</v>
      </c>
      <c r="I22" t="s">
        <v>133</v>
      </c>
      <c r="T22" t="s">
        <v>69</v>
      </c>
      <c r="U22" t="s">
        <v>95</v>
      </c>
      <c r="V22" s="33">
        <f>V12*1.2</f>
        <v>18.335999999999999</v>
      </c>
      <c r="X22" t="s">
        <v>126</v>
      </c>
      <c r="Y22" t="s">
        <v>134</v>
      </c>
      <c r="AA22" t="str">
        <f t="shared" si="0"/>
        <v>HH2</v>
      </c>
      <c r="AC22" t="s">
        <v>98</v>
      </c>
    </row>
    <row r="23" spans="2:135">
      <c r="C23" t="s">
        <v>49</v>
      </c>
      <c r="D23" t="s">
        <v>131</v>
      </c>
      <c r="E23">
        <v>2030</v>
      </c>
      <c r="H23">
        <v>0</v>
      </c>
      <c r="I23" t="s">
        <v>135</v>
      </c>
      <c r="T23" t="s">
        <v>69</v>
      </c>
      <c r="U23" t="s">
        <v>95</v>
      </c>
      <c r="V23" s="33">
        <f>V13*1.2</f>
        <v>8.3279999999999994</v>
      </c>
      <c r="X23" t="s">
        <v>126</v>
      </c>
      <c r="Y23" t="s">
        <v>136</v>
      </c>
      <c r="AA23" t="str">
        <f t="shared" si="0"/>
        <v>HH2</v>
      </c>
      <c r="AC23" t="s">
        <v>98</v>
      </c>
    </row>
    <row r="24" spans="2:135">
      <c r="C24" t="s">
        <v>49</v>
      </c>
      <c r="D24" t="s">
        <v>131</v>
      </c>
      <c r="E24">
        <v>2020</v>
      </c>
      <c r="H24" t="s">
        <v>132</v>
      </c>
      <c r="I24" t="s">
        <v>137</v>
      </c>
      <c r="T24" t="s">
        <v>69</v>
      </c>
      <c r="U24" t="s">
        <v>95</v>
      </c>
      <c r="V24">
        <v>5</v>
      </c>
      <c r="X24" t="s">
        <v>138</v>
      </c>
      <c r="Y24" t="s">
        <v>139</v>
      </c>
      <c r="AA24" t="str">
        <f t="shared" si="0"/>
        <v>OIL*</v>
      </c>
      <c r="AB24" s="38" t="s">
        <v>140</v>
      </c>
      <c r="AC24" t="s">
        <v>98</v>
      </c>
    </row>
    <row r="25" spans="2:135">
      <c r="C25" t="s">
        <v>49</v>
      </c>
      <c r="D25" t="s">
        <v>131</v>
      </c>
      <c r="E25">
        <v>2050</v>
      </c>
      <c r="H25" t="s">
        <v>141</v>
      </c>
      <c r="I25" t="s">
        <v>137</v>
      </c>
      <c r="T25" t="s">
        <v>69</v>
      </c>
      <c r="U25" t="s">
        <v>95</v>
      </c>
      <c r="V25" s="33">
        <f>V22</f>
        <v>18.335999999999999</v>
      </c>
      <c r="X25" t="s">
        <v>126</v>
      </c>
      <c r="Y25" t="s">
        <v>139</v>
      </c>
      <c r="AA25" t="str">
        <f t="shared" si="0"/>
        <v>HH2</v>
      </c>
      <c r="AC25" t="s">
        <v>98</v>
      </c>
    </row>
    <row r="26" spans="2:135">
      <c r="D26" t="s">
        <v>142</v>
      </c>
      <c r="E26">
        <v>2020</v>
      </c>
      <c r="H26" s="38" t="s">
        <v>143</v>
      </c>
      <c r="I26" t="s">
        <v>70</v>
      </c>
      <c r="J26" t="s">
        <v>144</v>
      </c>
      <c r="L26" t="s">
        <v>145</v>
      </c>
      <c r="T26" t="s">
        <v>69</v>
      </c>
      <c r="U26" t="s">
        <v>95</v>
      </c>
      <c r="V26">
        <v>5</v>
      </c>
      <c r="X26" t="s">
        <v>146</v>
      </c>
      <c r="Y26" t="s">
        <v>139</v>
      </c>
      <c r="AA26" t="str">
        <f t="shared" si="0"/>
        <v>BIODST,BIOGSL</v>
      </c>
      <c r="AB26" s="38" t="s">
        <v>140</v>
      </c>
      <c r="AC26" t="s">
        <v>98</v>
      </c>
    </row>
    <row r="27" spans="2:135">
      <c r="D27" t="s">
        <v>142</v>
      </c>
      <c r="E27">
        <v>2050</v>
      </c>
      <c r="H27" s="38" t="s">
        <v>147</v>
      </c>
      <c r="I27" t="s">
        <v>70</v>
      </c>
      <c r="J27" t="s">
        <v>144</v>
      </c>
      <c r="L27" t="s">
        <v>145</v>
      </c>
    </row>
    <row r="28" spans="2:135">
      <c r="D28" t="s">
        <v>142</v>
      </c>
      <c r="E28">
        <v>2020</v>
      </c>
      <c r="H28">
        <v>1</v>
      </c>
      <c r="I28" t="s">
        <v>70</v>
      </c>
      <c r="J28" t="s">
        <v>144</v>
      </c>
      <c r="K28" t="s">
        <v>148</v>
      </c>
      <c r="W28" t="s">
        <v>149</v>
      </c>
    </row>
    <row r="29" spans="2:135">
      <c r="C29" t="s">
        <v>150</v>
      </c>
      <c r="D29" t="s">
        <v>131</v>
      </c>
      <c r="E29">
        <v>2020</v>
      </c>
      <c r="H29" t="s">
        <v>132</v>
      </c>
      <c r="I29" t="s">
        <v>107</v>
      </c>
      <c r="W29" s="34" t="s">
        <v>72</v>
      </c>
      <c r="X29" s="35" t="s">
        <v>151</v>
      </c>
      <c r="Y29" s="35" t="s">
        <v>152</v>
      </c>
      <c r="Z29" s="35" t="s">
        <v>153</v>
      </c>
      <c r="AA29" s="35" t="s">
        <v>154</v>
      </c>
      <c r="AB29" s="35" t="s">
        <v>155</v>
      </c>
      <c r="AC29" s="35" t="s">
        <v>8</v>
      </c>
      <c r="AD29" s="35" t="s">
        <v>9</v>
      </c>
      <c r="AE29" s="35" t="s">
        <v>156</v>
      </c>
      <c r="AF29" s="35" t="s">
        <v>157</v>
      </c>
      <c r="AG29" s="35" t="s">
        <v>158</v>
      </c>
      <c r="AH29" s="35" t="s">
        <v>159</v>
      </c>
      <c r="AI29" s="35" t="s">
        <v>160</v>
      </c>
      <c r="AJ29" s="35" t="s">
        <v>12</v>
      </c>
      <c r="AK29" s="35" t="s">
        <v>161</v>
      </c>
      <c r="AL29" s="35" t="s">
        <v>162</v>
      </c>
      <c r="AM29" s="35" t="s">
        <v>163</v>
      </c>
      <c r="AN29" s="35" t="s">
        <v>164</v>
      </c>
      <c r="AO29" s="35" t="s">
        <v>13</v>
      </c>
      <c r="AP29" s="35" t="s">
        <v>165</v>
      </c>
      <c r="AQ29" s="35" t="s">
        <v>166</v>
      </c>
      <c r="AR29" s="35" t="s">
        <v>167</v>
      </c>
      <c r="AS29" s="35" t="s">
        <v>168</v>
      </c>
      <c r="AT29" s="35" t="s">
        <v>169</v>
      </c>
      <c r="AU29" s="35" t="s">
        <v>170</v>
      </c>
      <c r="AV29" s="35" t="s">
        <v>171</v>
      </c>
      <c r="AW29" s="35" t="s">
        <v>172</v>
      </c>
      <c r="AX29" s="35" t="s">
        <v>173</v>
      </c>
      <c r="AY29" s="35" t="s">
        <v>174</v>
      </c>
      <c r="AZ29" s="35" t="s">
        <v>16</v>
      </c>
      <c r="BA29" s="35" t="s">
        <v>175</v>
      </c>
      <c r="BB29" s="35" t="s">
        <v>17</v>
      </c>
      <c r="BC29" s="35" t="s">
        <v>176</v>
      </c>
      <c r="BD29" s="35" t="s">
        <v>177</v>
      </c>
      <c r="BE29" s="35" t="s">
        <v>178</v>
      </c>
      <c r="BF29" s="35" t="s">
        <v>20</v>
      </c>
      <c r="BG29" s="35" t="s">
        <v>21</v>
      </c>
      <c r="BH29" s="35" t="s">
        <v>179</v>
      </c>
      <c r="BI29" s="35" t="s">
        <v>180</v>
      </c>
      <c r="BJ29" s="35" t="s">
        <v>181</v>
      </c>
      <c r="BK29" s="35" t="s">
        <v>22</v>
      </c>
      <c r="BL29" s="35" t="s">
        <v>182</v>
      </c>
      <c r="BM29" s="35" t="s">
        <v>183</v>
      </c>
      <c r="BN29" s="35" t="s">
        <v>184</v>
      </c>
      <c r="BO29" s="35" t="s">
        <v>24</v>
      </c>
      <c r="BP29" s="35" t="s">
        <v>185</v>
      </c>
      <c r="BQ29" s="35" t="s">
        <v>186</v>
      </c>
      <c r="BR29" s="35" t="s">
        <v>187</v>
      </c>
      <c r="BS29" s="35" t="s">
        <v>188</v>
      </c>
      <c r="BT29" s="35" t="s">
        <v>189</v>
      </c>
      <c r="BU29" s="35" t="s">
        <v>190</v>
      </c>
      <c r="BV29" s="35" t="s">
        <v>191</v>
      </c>
      <c r="BW29" s="35" t="s">
        <v>192</v>
      </c>
      <c r="BX29" s="35" t="s">
        <v>193</v>
      </c>
      <c r="BY29" s="35" t="s">
        <v>194</v>
      </c>
      <c r="BZ29" s="35" t="s">
        <v>195</v>
      </c>
      <c r="CA29" s="35" t="s">
        <v>196</v>
      </c>
      <c r="CB29" s="35" t="s">
        <v>197</v>
      </c>
      <c r="CC29" s="35" t="s">
        <v>198</v>
      </c>
      <c r="CD29" s="35" t="s">
        <v>199</v>
      </c>
      <c r="CE29" s="35" t="s">
        <v>200</v>
      </c>
      <c r="CF29" s="35" t="s">
        <v>201</v>
      </c>
      <c r="CG29" s="35" t="s">
        <v>202</v>
      </c>
      <c r="CH29" s="35" t="s">
        <v>203</v>
      </c>
      <c r="CI29" s="35" t="s">
        <v>204</v>
      </c>
      <c r="CJ29" s="35" t="s">
        <v>205</v>
      </c>
      <c r="CK29" s="35" t="s">
        <v>206</v>
      </c>
      <c r="CL29" s="35" t="s">
        <v>207</v>
      </c>
      <c r="CM29" s="35" t="s">
        <v>28</v>
      </c>
      <c r="CN29" s="35" t="s">
        <v>208</v>
      </c>
      <c r="CO29" s="35" t="s">
        <v>209</v>
      </c>
      <c r="CP29" s="35" t="s">
        <v>210</v>
      </c>
      <c r="CQ29" s="35" t="s">
        <v>211</v>
      </c>
      <c r="CR29" s="35" t="s">
        <v>212</v>
      </c>
      <c r="CS29" s="35" t="s">
        <v>213</v>
      </c>
      <c r="CT29" s="35" t="s">
        <v>214</v>
      </c>
      <c r="CU29" s="35" t="s">
        <v>215</v>
      </c>
      <c r="CV29" s="35" t="s">
        <v>216</v>
      </c>
      <c r="CW29" s="35" t="s">
        <v>29</v>
      </c>
      <c r="CX29" s="35" t="s">
        <v>217</v>
      </c>
      <c r="CY29" s="35" t="s">
        <v>218</v>
      </c>
      <c r="CZ29" s="35" t="s">
        <v>219</v>
      </c>
      <c r="DA29" s="35" t="s">
        <v>31</v>
      </c>
      <c r="DB29" s="35" t="s">
        <v>32</v>
      </c>
      <c r="DC29" s="35" t="s">
        <v>220</v>
      </c>
      <c r="DD29" s="35" t="s">
        <v>221</v>
      </c>
      <c r="DE29" s="35" t="s">
        <v>222</v>
      </c>
      <c r="DF29" s="35" t="s">
        <v>223</v>
      </c>
      <c r="DG29" s="35" t="s">
        <v>33</v>
      </c>
      <c r="DH29" s="35" t="s">
        <v>224</v>
      </c>
      <c r="DI29" s="35" t="s">
        <v>225</v>
      </c>
      <c r="DJ29" s="35" t="s">
        <v>226</v>
      </c>
      <c r="DK29" s="35" t="s">
        <v>227</v>
      </c>
      <c r="DL29" s="35" t="s">
        <v>36</v>
      </c>
      <c r="DM29" s="35" t="s">
        <v>228</v>
      </c>
      <c r="DN29" s="35" t="s">
        <v>229</v>
      </c>
      <c r="DO29" s="35" t="s">
        <v>230</v>
      </c>
      <c r="DP29" s="35" t="s">
        <v>231</v>
      </c>
      <c r="DQ29" s="35" t="s">
        <v>232</v>
      </c>
      <c r="DR29" s="35" t="s">
        <v>37</v>
      </c>
      <c r="DS29" s="35" t="s">
        <v>233</v>
      </c>
      <c r="DT29" s="35" t="s">
        <v>234</v>
      </c>
      <c r="DU29" s="35" t="s">
        <v>38</v>
      </c>
      <c r="DV29" s="35" t="s">
        <v>39</v>
      </c>
      <c r="DW29" s="35" t="s">
        <v>235</v>
      </c>
      <c r="DX29" s="35" t="s">
        <v>236</v>
      </c>
      <c r="DY29" s="35" t="s">
        <v>237</v>
      </c>
      <c r="DZ29" s="35" t="s">
        <v>238</v>
      </c>
      <c r="EA29" s="35" t="s">
        <v>239</v>
      </c>
      <c r="EB29" s="35" t="s">
        <v>240</v>
      </c>
      <c r="EC29" s="35" t="s">
        <v>241</v>
      </c>
      <c r="ED29" s="35" t="s">
        <v>242</v>
      </c>
      <c r="EE29" s="35" t="s">
        <v>243</v>
      </c>
    </row>
    <row r="30" spans="2:135">
      <c r="C30" t="s">
        <v>150</v>
      </c>
      <c r="D30" t="s">
        <v>131</v>
      </c>
      <c r="E30">
        <v>2040</v>
      </c>
      <c r="H30">
        <v>0</v>
      </c>
      <c r="I30" t="str">
        <f t="shared" ref="I30:I35" si="1">I29</f>
        <v>SUP_TREFINER</v>
      </c>
      <c r="W30" s="36" t="s">
        <v>244</v>
      </c>
      <c r="X30" s="21">
        <v>0.5</v>
      </c>
      <c r="Y30" s="21">
        <v>0.5</v>
      </c>
      <c r="Z30" s="21">
        <v>0.5</v>
      </c>
      <c r="AA30" s="21">
        <v>0.5</v>
      </c>
      <c r="AB30" s="21">
        <v>0.88033012968967095</v>
      </c>
      <c r="AC30" s="21">
        <v>0.5</v>
      </c>
      <c r="AD30" s="21">
        <v>1.43635426584992</v>
      </c>
      <c r="AE30" s="21">
        <v>0.28640020473296002</v>
      </c>
      <c r="AF30" s="21">
        <v>0.5</v>
      </c>
      <c r="AG30" s="21">
        <v>1.89681589551844</v>
      </c>
      <c r="AH30" s="21">
        <v>0.52956170917727896</v>
      </c>
      <c r="AI30" s="21">
        <v>2.23280493333333</v>
      </c>
      <c r="AJ30" s="21">
        <v>0.5</v>
      </c>
      <c r="AK30" s="21">
        <v>1.537054107788</v>
      </c>
      <c r="AL30" s="21">
        <v>0.5</v>
      </c>
      <c r="AM30" s="21">
        <v>0.51784155866454695</v>
      </c>
      <c r="AN30" s="21">
        <v>0.5</v>
      </c>
      <c r="AO30" s="21">
        <v>0.68859433785326996</v>
      </c>
      <c r="AP30" s="21">
        <v>0.5</v>
      </c>
      <c r="AQ30" s="21">
        <v>0.90991397379788597</v>
      </c>
      <c r="AR30" s="21">
        <v>0.246856388121547</v>
      </c>
      <c r="AS30" s="21">
        <v>1.5371503702684399</v>
      </c>
      <c r="AT30" s="21">
        <v>2.0095446197502902</v>
      </c>
      <c r="AU30" s="21">
        <v>0.5</v>
      </c>
      <c r="AV30" s="21">
        <v>0.5</v>
      </c>
      <c r="AW30" s="21">
        <v>2.5361438666648501</v>
      </c>
      <c r="AX30" s="21">
        <v>0.5</v>
      </c>
      <c r="AY30" s="21">
        <v>1.31959168743754</v>
      </c>
      <c r="AZ30" s="21">
        <v>1.26333562748337</v>
      </c>
      <c r="BA30" s="21">
        <v>0.5</v>
      </c>
      <c r="BB30" s="21">
        <v>0.81146350846439896</v>
      </c>
      <c r="BC30" s="21">
        <v>0.5</v>
      </c>
      <c r="BD30" s="21">
        <v>7.0924584645638E-2</v>
      </c>
      <c r="BE30" s="21">
        <v>0.538886154380813</v>
      </c>
      <c r="BF30" s="21">
        <v>0.77210817262765297</v>
      </c>
      <c r="BG30" s="21">
        <v>0.5</v>
      </c>
      <c r="BH30" s="21">
        <v>0.5</v>
      </c>
      <c r="BI30" s="21">
        <v>0.5</v>
      </c>
      <c r="BJ30" s="21">
        <v>0.5</v>
      </c>
      <c r="BK30" s="21">
        <v>0.5</v>
      </c>
      <c r="BL30" s="21">
        <v>0.5</v>
      </c>
      <c r="BM30" s="21">
        <v>0.56167966505775901</v>
      </c>
      <c r="BN30" s="21">
        <v>0.5</v>
      </c>
      <c r="BO30" s="21">
        <v>0.5</v>
      </c>
      <c r="BP30" s="21">
        <v>1.0120269220626901</v>
      </c>
      <c r="BQ30" s="21">
        <v>0.5</v>
      </c>
      <c r="BR30" s="21">
        <v>0.5</v>
      </c>
      <c r="BS30" s="21">
        <v>0.5</v>
      </c>
      <c r="BT30" s="21">
        <v>1.9574518012422399</v>
      </c>
      <c r="BU30" s="21">
        <v>0.88857603226876902</v>
      </c>
      <c r="BV30" s="21">
        <v>0.5</v>
      </c>
      <c r="BW30" s="21">
        <v>3.5283240693456102</v>
      </c>
      <c r="BX30" s="21">
        <v>2.40276262425447</v>
      </c>
      <c r="BY30" s="21">
        <v>0.27237855839311198</v>
      </c>
      <c r="BZ30" s="21">
        <v>0.5</v>
      </c>
      <c r="CA30" s="21">
        <v>3.8154975785033601E-2</v>
      </c>
      <c r="CB30" s="21">
        <v>0.5</v>
      </c>
      <c r="CC30" s="21">
        <v>2.1428566105006102</v>
      </c>
      <c r="CD30" s="21">
        <v>0.5</v>
      </c>
      <c r="CE30" s="21">
        <v>0.5</v>
      </c>
      <c r="CF30" s="21">
        <v>0.5</v>
      </c>
      <c r="CG30" s="21">
        <v>0.5</v>
      </c>
      <c r="CH30" s="21">
        <v>0.5</v>
      </c>
      <c r="CI30" s="21">
        <v>0.50170869900585502</v>
      </c>
      <c r="CJ30" s="21">
        <v>0.14026261139344801</v>
      </c>
      <c r="CK30" s="21">
        <v>0.5</v>
      </c>
      <c r="CL30" s="21">
        <v>0.5</v>
      </c>
      <c r="CM30" s="21">
        <v>0.80239841823418101</v>
      </c>
      <c r="CN30" s="21">
        <v>0.5</v>
      </c>
      <c r="CO30" s="21">
        <v>0.5</v>
      </c>
      <c r="CP30" s="21">
        <v>2.6247684895193699</v>
      </c>
      <c r="CQ30" s="21">
        <v>0.5</v>
      </c>
      <c r="CR30" s="21">
        <v>0.5</v>
      </c>
      <c r="CS30" s="21">
        <v>0.5</v>
      </c>
      <c r="CT30" s="21">
        <v>0.5</v>
      </c>
      <c r="CU30" s="21">
        <v>0.5</v>
      </c>
      <c r="CV30" s="21">
        <v>0.5</v>
      </c>
      <c r="CW30" s="21">
        <v>0.37387361590228801</v>
      </c>
      <c r="CX30" s="21">
        <v>0.80361030490381802</v>
      </c>
      <c r="CY30" s="21">
        <v>0.5</v>
      </c>
      <c r="CZ30" s="21">
        <v>1.5518203790790199</v>
      </c>
      <c r="DA30" s="21">
        <v>1.1637896040236499</v>
      </c>
      <c r="DB30" s="21">
        <v>0.5</v>
      </c>
      <c r="DC30" s="21">
        <v>0.56144598173930704</v>
      </c>
      <c r="DD30" s="21">
        <v>0.5</v>
      </c>
      <c r="DE30" s="21">
        <v>0.89701510300290599</v>
      </c>
      <c r="DF30" s="21">
        <v>1.66556152209298</v>
      </c>
      <c r="DG30" s="21">
        <v>0.5</v>
      </c>
      <c r="DH30" s="21">
        <v>0.88598512693904496</v>
      </c>
      <c r="DI30" s="21">
        <v>0.5</v>
      </c>
      <c r="DJ30" s="21">
        <v>0.5</v>
      </c>
      <c r="DK30" s="21">
        <v>2.6377865257631301</v>
      </c>
      <c r="DL30" s="21">
        <v>1.49857000783021</v>
      </c>
      <c r="DM30" s="21">
        <v>0.67530256145031797</v>
      </c>
      <c r="DN30" s="21">
        <v>0.54693317719805801</v>
      </c>
      <c r="DO30" s="21">
        <v>0.5</v>
      </c>
      <c r="DP30" s="21">
        <v>0.5</v>
      </c>
      <c r="DQ30" s="21">
        <v>0.5</v>
      </c>
      <c r="DR30" s="21">
        <v>0.90866938205912795</v>
      </c>
      <c r="DS30" s="21">
        <v>0.13409918859682399</v>
      </c>
      <c r="DT30" s="21">
        <v>0.5</v>
      </c>
      <c r="DU30" s="21">
        <v>0.5</v>
      </c>
      <c r="DV30" s="21">
        <v>2.6253451874437599</v>
      </c>
      <c r="DW30" s="21">
        <v>0.41864325133767699</v>
      </c>
      <c r="DX30" s="21">
        <v>0.62632075877165905</v>
      </c>
      <c r="DY30" s="21">
        <v>0.5</v>
      </c>
      <c r="DZ30" s="21">
        <v>0.5</v>
      </c>
      <c r="EA30" s="21">
        <v>0.5</v>
      </c>
      <c r="EB30" s="21">
        <v>0.5</v>
      </c>
      <c r="EC30">
        <v>0.74979670015640199</v>
      </c>
    </row>
    <row r="31" spans="2:135">
      <c r="C31" t="s">
        <v>150</v>
      </c>
      <c r="D31" t="s">
        <v>131</v>
      </c>
      <c r="E31">
        <v>0</v>
      </c>
      <c r="H31">
        <v>1</v>
      </c>
      <c r="I31" t="str">
        <f t="shared" si="1"/>
        <v>SUP_TREFINER</v>
      </c>
      <c r="W31" s="36" t="s">
        <v>244</v>
      </c>
      <c r="ED31">
        <v>0</v>
      </c>
      <c r="EE31">
        <v>3</v>
      </c>
    </row>
    <row r="32" spans="2:135">
      <c r="B32" t="s">
        <v>245</v>
      </c>
      <c r="D32" t="s">
        <v>131</v>
      </c>
      <c r="E32">
        <v>2000</v>
      </c>
      <c r="F32" t="s">
        <v>246</v>
      </c>
      <c r="H32" t="s">
        <v>247</v>
      </c>
      <c r="I32" t="str">
        <f t="shared" si="1"/>
        <v>SUP_TREFINER</v>
      </c>
    </row>
    <row r="33" spans="2:26">
      <c r="B33" t="s">
        <v>245</v>
      </c>
      <c r="D33" t="s">
        <v>131</v>
      </c>
      <c r="E33">
        <v>2010</v>
      </c>
      <c r="F33" t="s">
        <v>246</v>
      </c>
      <c r="H33" t="s">
        <v>247</v>
      </c>
      <c r="I33" t="str">
        <f t="shared" si="1"/>
        <v>SUP_TREFINER</v>
      </c>
    </row>
    <row r="34" spans="2:26">
      <c r="C34" t="s">
        <v>245</v>
      </c>
      <c r="D34" t="s">
        <v>142</v>
      </c>
      <c r="H34" t="s">
        <v>132</v>
      </c>
      <c r="I34" t="str">
        <f t="shared" si="1"/>
        <v>SUP_TREFINER</v>
      </c>
      <c r="K34" t="s">
        <v>248</v>
      </c>
    </row>
    <row r="35" spans="2:26">
      <c r="C35" t="s">
        <v>245</v>
      </c>
      <c r="D35" t="s">
        <v>249</v>
      </c>
      <c r="E35">
        <v>0</v>
      </c>
      <c r="H35">
        <v>3</v>
      </c>
      <c r="I35" t="str">
        <f t="shared" si="1"/>
        <v>SUP_TREFINER</v>
      </c>
      <c r="K35" t="s">
        <v>248</v>
      </c>
    </row>
    <row r="36" spans="2:26">
      <c r="D36" s="37" t="s">
        <v>249</v>
      </c>
      <c r="E36">
        <v>2020</v>
      </c>
      <c r="H36" t="s">
        <v>143</v>
      </c>
      <c r="I36" t="s">
        <v>70</v>
      </c>
      <c r="J36" t="s">
        <v>144</v>
      </c>
      <c r="K36" t="s">
        <v>250</v>
      </c>
      <c r="U36" t="s">
        <v>88</v>
      </c>
    </row>
    <row r="37" spans="2:26">
      <c r="U37" t="s">
        <v>251</v>
      </c>
      <c r="V37" t="s">
        <v>55</v>
      </c>
      <c r="W37" t="s">
        <v>42</v>
      </c>
      <c r="X37" t="s">
        <v>252</v>
      </c>
      <c r="Y37">
        <v>2019</v>
      </c>
      <c r="Z37">
        <v>0</v>
      </c>
    </row>
    <row r="38" spans="2:26">
      <c r="V38" t="s">
        <v>253</v>
      </c>
      <c r="W38" t="s">
        <v>49</v>
      </c>
      <c r="X38" t="s">
        <v>254</v>
      </c>
      <c r="Y38">
        <v>0</v>
      </c>
      <c r="Z38">
        <v>3</v>
      </c>
    </row>
    <row r="39" spans="2:26">
      <c r="J39" t="s">
        <v>255</v>
      </c>
    </row>
    <row r="40" spans="2:26">
      <c r="J40" t="s">
        <v>72</v>
      </c>
      <c r="K40" t="s">
        <v>73</v>
      </c>
      <c r="L40" t="s">
        <v>252</v>
      </c>
      <c r="M40" s="38" t="s">
        <v>74</v>
      </c>
    </row>
    <row r="41" spans="2:26">
      <c r="J41" t="s">
        <v>256</v>
      </c>
      <c r="K41" t="s">
        <v>257</v>
      </c>
      <c r="L41" t="s">
        <v>80</v>
      </c>
      <c r="M41" s="38" t="s">
        <v>258</v>
      </c>
    </row>
    <row r="42" spans="2:26">
      <c r="J42" t="s">
        <v>256</v>
      </c>
      <c r="K42" t="s">
        <v>259</v>
      </c>
      <c r="L42" t="s">
        <v>260</v>
      </c>
      <c r="M42" t="s">
        <v>261</v>
      </c>
    </row>
    <row r="43" spans="2:26">
      <c r="J43" t="s">
        <v>256</v>
      </c>
      <c r="K43" t="s">
        <v>259</v>
      </c>
      <c r="L43" t="s">
        <v>262</v>
      </c>
      <c r="M43" t="s">
        <v>261</v>
      </c>
    </row>
  </sheetData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6A1D8-A420-4A97-A702-D3E88699485C}">
  <dimension ref="C3:U28"/>
  <sheetViews>
    <sheetView workbookViewId="0">
      <selection activeCell="M24" sqref="M24"/>
    </sheetView>
  </sheetViews>
  <sheetFormatPr defaultRowHeight="14.25"/>
  <cols>
    <col min="1" max="2" width="9.06640625" style="40"/>
    <col min="3" max="3" width="8.59765625" style="40" bestFit="1" customWidth="1"/>
    <col min="4" max="4" width="9.06640625" style="40" bestFit="1" customWidth="1"/>
    <col min="5" max="5" width="7.73046875" style="40" bestFit="1" customWidth="1"/>
    <col min="6" max="6" width="4.73046875" style="40" bestFit="1" customWidth="1"/>
    <col min="7" max="7" width="10.33203125" style="40" bestFit="1" customWidth="1"/>
    <col min="8" max="8" width="10.19921875" style="40" bestFit="1" customWidth="1"/>
    <col min="9" max="9" width="10.06640625" style="40" bestFit="1" customWidth="1"/>
    <col min="10" max="10" width="9.796875" style="40" bestFit="1" customWidth="1"/>
    <col min="11" max="11" width="10.265625" style="40" bestFit="1" customWidth="1"/>
    <col min="12" max="12" width="10.46484375" style="40" bestFit="1" customWidth="1"/>
    <col min="13" max="13" width="18.9296875" style="40" bestFit="1" customWidth="1"/>
    <col min="14" max="14" width="16.59765625" style="40" bestFit="1" customWidth="1"/>
    <col min="15" max="15" width="15.59765625" style="40" bestFit="1" customWidth="1"/>
    <col min="16" max="16384" width="9.06640625" style="40"/>
  </cols>
  <sheetData>
    <row r="3" spans="3:21">
      <c r="C3" s="40" t="s">
        <v>632</v>
      </c>
      <c r="R3" s="40" t="s">
        <v>633</v>
      </c>
    </row>
    <row r="4" spans="3:21">
      <c r="C4" s="40" t="s">
        <v>75</v>
      </c>
      <c r="D4" s="40" t="s">
        <v>76</v>
      </c>
      <c r="E4" s="40" t="s">
        <v>72</v>
      </c>
      <c r="F4" s="40" t="s">
        <v>242</v>
      </c>
      <c r="G4" s="40" t="s">
        <v>634</v>
      </c>
      <c r="H4" s="40" t="s">
        <v>635</v>
      </c>
      <c r="I4" s="40" t="s">
        <v>636</v>
      </c>
      <c r="J4" s="40" t="s">
        <v>637</v>
      </c>
      <c r="K4" s="40" t="s">
        <v>638</v>
      </c>
      <c r="L4" s="40" t="s">
        <v>639</v>
      </c>
      <c r="M4" s="40" t="s">
        <v>640</v>
      </c>
      <c r="N4" s="40" t="s">
        <v>641</v>
      </c>
      <c r="O4" s="40" t="s">
        <v>642</v>
      </c>
      <c r="R4" s="40" t="s">
        <v>643</v>
      </c>
      <c r="S4" s="40" t="s">
        <v>644</v>
      </c>
      <c r="T4" s="40" t="s">
        <v>75</v>
      </c>
      <c r="U4" s="40" t="s">
        <v>74</v>
      </c>
    </row>
    <row r="5" spans="3:21">
      <c r="C5" s="40" t="s">
        <v>645</v>
      </c>
      <c r="E5" s="40" t="s">
        <v>646</v>
      </c>
      <c r="F5" s="40">
        <v>2022</v>
      </c>
      <c r="G5" s="40">
        <v>1420</v>
      </c>
      <c r="H5" s="40">
        <v>750</v>
      </c>
      <c r="I5" s="40">
        <v>720</v>
      </c>
      <c r="J5" s="40">
        <v>640</v>
      </c>
      <c r="K5" s="40">
        <v>1910</v>
      </c>
      <c r="L5" s="40">
        <v>1710</v>
      </c>
      <c r="M5" s="40">
        <v>990</v>
      </c>
      <c r="N5" s="40">
        <v>1120</v>
      </c>
      <c r="O5" s="40">
        <v>620</v>
      </c>
      <c r="R5" s="40" t="s">
        <v>647</v>
      </c>
      <c r="S5" s="41" t="s">
        <v>648</v>
      </c>
      <c r="T5" s="40" t="s">
        <v>649</v>
      </c>
      <c r="U5" s="40" t="s">
        <v>132</v>
      </c>
    </row>
    <row r="6" spans="3:21">
      <c r="C6" s="40" t="s">
        <v>645</v>
      </c>
      <c r="E6" s="40" t="s">
        <v>650</v>
      </c>
      <c r="F6" s="40">
        <v>2022</v>
      </c>
      <c r="G6" s="40">
        <v>22</v>
      </c>
      <c r="H6" s="40">
        <v>12</v>
      </c>
      <c r="I6" s="40">
        <v>12</v>
      </c>
      <c r="J6" s="40">
        <v>10</v>
      </c>
      <c r="K6" s="40">
        <v>28</v>
      </c>
      <c r="L6" s="40">
        <v>26</v>
      </c>
      <c r="M6" s="40">
        <v>14</v>
      </c>
      <c r="N6" s="40">
        <v>16</v>
      </c>
      <c r="O6" s="40">
        <v>10</v>
      </c>
    </row>
    <row r="7" spans="3:21">
      <c r="D7" s="40" t="s">
        <v>651</v>
      </c>
      <c r="E7" s="40" t="s">
        <v>646</v>
      </c>
      <c r="F7" s="40">
        <v>2022</v>
      </c>
      <c r="G7" s="40">
        <v>1950</v>
      </c>
      <c r="H7" s="40">
        <v>1050</v>
      </c>
      <c r="I7" s="40">
        <v>1100</v>
      </c>
      <c r="J7" s="40">
        <v>1120</v>
      </c>
      <c r="K7" s="40">
        <v>3520</v>
      </c>
      <c r="L7" s="40">
        <v>1640</v>
      </c>
      <c r="M7" s="40">
        <v>1750</v>
      </c>
      <c r="N7" s="40">
        <v>1220</v>
      </c>
      <c r="O7" s="40">
        <v>1950</v>
      </c>
    </row>
    <row r="8" spans="3:21">
      <c r="D8" s="40" t="s">
        <v>651</v>
      </c>
      <c r="E8" s="40" t="s">
        <v>650</v>
      </c>
      <c r="F8" s="40">
        <v>2022</v>
      </c>
      <c r="G8" s="40">
        <v>48</v>
      </c>
      <c r="H8" s="40">
        <v>26</v>
      </c>
      <c r="I8" s="40">
        <v>28</v>
      </c>
      <c r="J8" s="40">
        <v>28</v>
      </c>
      <c r="K8" s="40">
        <v>88</v>
      </c>
      <c r="L8" s="40">
        <v>40</v>
      </c>
      <c r="M8" s="40">
        <v>46</v>
      </c>
      <c r="N8" s="40">
        <v>30</v>
      </c>
      <c r="O8" s="40">
        <v>48</v>
      </c>
    </row>
    <row r="9" spans="3:21">
      <c r="D9" s="40" t="s">
        <v>652</v>
      </c>
      <c r="E9" s="40" t="s">
        <v>646</v>
      </c>
      <c r="F9" s="40">
        <v>2022</v>
      </c>
      <c r="G9" s="40">
        <v>4260</v>
      </c>
      <c r="H9" s="40">
        <v>4440</v>
      </c>
      <c r="I9" s="40">
        <v>2820</v>
      </c>
      <c r="J9" s="40">
        <v>3060</v>
      </c>
      <c r="K9" s="40">
        <v>6640</v>
      </c>
      <c r="L9" s="40">
        <v>4600</v>
      </c>
      <c r="M9" s="40">
        <v>3420</v>
      </c>
      <c r="N9" s="40">
        <v>4060</v>
      </c>
      <c r="O9" s="40">
        <v>4400</v>
      </c>
    </row>
    <row r="10" spans="3:21">
      <c r="D10" s="40" t="s">
        <v>652</v>
      </c>
      <c r="E10" s="40" t="s">
        <v>650</v>
      </c>
      <c r="F10" s="40">
        <v>2022</v>
      </c>
      <c r="G10" s="40">
        <v>105</v>
      </c>
      <c r="H10" s="40">
        <v>110</v>
      </c>
      <c r="I10" s="40">
        <v>70</v>
      </c>
      <c r="J10" s="40">
        <v>75</v>
      </c>
      <c r="K10" s="40">
        <v>165</v>
      </c>
      <c r="L10" s="40">
        <v>115</v>
      </c>
      <c r="M10" s="40">
        <v>70</v>
      </c>
      <c r="N10" s="40">
        <v>120</v>
      </c>
      <c r="O10" s="40">
        <v>110</v>
      </c>
    </row>
    <row r="11" spans="3:21">
      <c r="C11" s="40" t="s">
        <v>653</v>
      </c>
      <c r="E11" s="40" t="s">
        <v>646</v>
      </c>
      <c r="F11" s="40">
        <v>2022</v>
      </c>
      <c r="G11" s="40">
        <v>3300</v>
      </c>
      <c r="H11" s="40">
        <v>3350</v>
      </c>
      <c r="I11" s="40">
        <v>2000</v>
      </c>
      <c r="J11" s="40">
        <v>3050</v>
      </c>
      <c r="K11" s="40">
        <v>3550</v>
      </c>
      <c r="L11" s="40">
        <v>3500</v>
      </c>
      <c r="M11" s="40">
        <v>3900</v>
      </c>
      <c r="N11" s="40">
        <v>4050</v>
      </c>
      <c r="O11" s="40">
        <v>3400</v>
      </c>
    </row>
    <row r="12" spans="3:21">
      <c r="C12" s="40" t="s">
        <v>653</v>
      </c>
      <c r="E12" s="40" t="s">
        <v>650</v>
      </c>
      <c r="F12" s="40">
        <v>2022</v>
      </c>
      <c r="G12" s="40">
        <v>65</v>
      </c>
      <c r="H12" s="40">
        <v>65</v>
      </c>
      <c r="I12" s="40">
        <v>40</v>
      </c>
      <c r="J12" s="40">
        <v>60</v>
      </c>
      <c r="K12" s="40">
        <v>70</v>
      </c>
      <c r="L12" s="40">
        <v>70</v>
      </c>
      <c r="M12" s="40">
        <v>80</v>
      </c>
      <c r="N12" s="40">
        <v>80</v>
      </c>
      <c r="O12" s="40">
        <v>70</v>
      </c>
    </row>
    <row r="13" spans="3:21">
      <c r="C13" s="40" t="s">
        <v>645</v>
      </c>
      <c r="E13" s="40" t="s">
        <v>646</v>
      </c>
      <c r="F13" s="40">
        <v>2030</v>
      </c>
      <c r="G13" s="40">
        <v>850</v>
      </c>
      <c r="H13" s="40">
        <v>460</v>
      </c>
      <c r="I13" s="40">
        <v>430</v>
      </c>
      <c r="J13" s="40">
        <v>390</v>
      </c>
      <c r="K13" s="40">
        <v>1250</v>
      </c>
      <c r="L13" s="40">
        <v>1090</v>
      </c>
      <c r="M13" s="40">
        <v>620</v>
      </c>
      <c r="N13" s="40">
        <v>690</v>
      </c>
      <c r="O13" s="40">
        <v>360</v>
      </c>
    </row>
    <row r="14" spans="3:21">
      <c r="C14" s="40" t="s">
        <v>645</v>
      </c>
      <c r="E14" s="40" t="s">
        <v>650</v>
      </c>
      <c r="F14" s="40">
        <v>2030</v>
      </c>
      <c r="G14" s="40">
        <v>20</v>
      </c>
      <c r="H14" s="40">
        <v>10</v>
      </c>
      <c r="I14" s="40">
        <v>10</v>
      </c>
      <c r="J14" s="40">
        <v>8</v>
      </c>
      <c r="K14" s="40">
        <v>26</v>
      </c>
      <c r="L14" s="40">
        <v>24</v>
      </c>
      <c r="M14" s="40">
        <v>14</v>
      </c>
      <c r="N14" s="40">
        <v>16</v>
      </c>
      <c r="O14" s="40">
        <v>8</v>
      </c>
    </row>
    <row r="15" spans="3:21">
      <c r="D15" s="40" t="s">
        <v>651</v>
      </c>
      <c r="E15" s="40" t="s">
        <v>646</v>
      </c>
      <c r="F15" s="40">
        <v>2030</v>
      </c>
      <c r="G15" s="40">
        <v>1830</v>
      </c>
      <c r="H15" s="40">
        <v>1000</v>
      </c>
      <c r="I15" s="40">
        <v>1040</v>
      </c>
      <c r="J15" s="40">
        <v>1060</v>
      </c>
      <c r="K15" s="40">
        <v>3320</v>
      </c>
      <c r="L15" s="40">
        <v>1550</v>
      </c>
      <c r="M15" s="40">
        <v>1670</v>
      </c>
      <c r="N15" s="40">
        <v>1160</v>
      </c>
      <c r="O15" s="40">
        <v>1830</v>
      </c>
    </row>
    <row r="16" spans="3:21">
      <c r="D16" s="40" t="s">
        <v>651</v>
      </c>
      <c r="E16" s="40" t="s">
        <v>650</v>
      </c>
      <c r="F16" s="40">
        <v>2030</v>
      </c>
      <c r="G16" s="40">
        <v>46</v>
      </c>
      <c r="H16" s="40">
        <v>26</v>
      </c>
      <c r="I16" s="40">
        <v>26</v>
      </c>
      <c r="J16" s="40">
        <v>26</v>
      </c>
      <c r="K16" s="40">
        <v>84</v>
      </c>
      <c r="L16" s="40">
        <v>40</v>
      </c>
      <c r="M16" s="40">
        <v>42</v>
      </c>
      <c r="N16" s="40">
        <v>30</v>
      </c>
      <c r="O16" s="40">
        <v>46</v>
      </c>
    </row>
    <row r="17" spans="3:15">
      <c r="D17" s="40" t="s">
        <v>652</v>
      </c>
      <c r="E17" s="40" t="s">
        <v>646</v>
      </c>
      <c r="F17" s="40">
        <v>2030</v>
      </c>
      <c r="G17" s="40">
        <v>2880</v>
      </c>
      <c r="H17" s="40">
        <v>3000</v>
      </c>
      <c r="I17" s="40">
        <v>1880</v>
      </c>
      <c r="J17" s="40">
        <v>2060</v>
      </c>
      <c r="K17" s="40">
        <v>4180</v>
      </c>
      <c r="L17" s="40">
        <v>3120</v>
      </c>
      <c r="M17" s="40">
        <v>2280</v>
      </c>
      <c r="N17" s="40">
        <v>2520</v>
      </c>
      <c r="O17" s="40">
        <v>3000</v>
      </c>
    </row>
    <row r="18" spans="3:15">
      <c r="D18" s="40" t="s">
        <v>652</v>
      </c>
      <c r="E18" s="40" t="s">
        <v>650</v>
      </c>
      <c r="F18" s="40">
        <v>2030</v>
      </c>
      <c r="G18" s="40">
        <v>80</v>
      </c>
      <c r="H18" s="40">
        <v>80</v>
      </c>
      <c r="I18" s="40">
        <v>50</v>
      </c>
      <c r="J18" s="40">
        <v>55</v>
      </c>
      <c r="K18" s="40">
        <v>115</v>
      </c>
      <c r="L18" s="40">
        <v>85</v>
      </c>
      <c r="M18" s="40">
        <v>50</v>
      </c>
      <c r="N18" s="40">
        <v>90</v>
      </c>
      <c r="O18" s="40">
        <v>80</v>
      </c>
    </row>
    <row r="19" spans="3:15">
      <c r="C19" s="40" t="s">
        <v>653</v>
      </c>
      <c r="E19" s="40" t="s">
        <v>646</v>
      </c>
      <c r="F19" s="40">
        <v>2030</v>
      </c>
      <c r="G19" s="40">
        <v>3300</v>
      </c>
      <c r="H19" s="40">
        <v>3350</v>
      </c>
      <c r="I19" s="40">
        <v>2000</v>
      </c>
      <c r="J19" s="40">
        <v>3050</v>
      </c>
      <c r="K19" s="40">
        <v>3550</v>
      </c>
      <c r="L19" s="40">
        <v>3500</v>
      </c>
      <c r="M19" s="40">
        <v>3900</v>
      </c>
      <c r="N19" s="40">
        <v>4050</v>
      </c>
      <c r="O19" s="40">
        <v>3400</v>
      </c>
    </row>
    <row r="20" spans="3:15">
      <c r="C20" s="40" t="s">
        <v>653</v>
      </c>
      <c r="E20" s="40" t="s">
        <v>650</v>
      </c>
      <c r="F20" s="40">
        <v>2030</v>
      </c>
      <c r="G20" s="40">
        <v>65</v>
      </c>
      <c r="H20" s="40">
        <v>65</v>
      </c>
      <c r="I20" s="40">
        <v>40</v>
      </c>
      <c r="J20" s="40">
        <v>60</v>
      </c>
      <c r="K20" s="40">
        <v>70</v>
      </c>
      <c r="L20" s="40">
        <v>70</v>
      </c>
      <c r="M20" s="40">
        <v>80</v>
      </c>
      <c r="N20" s="40">
        <v>80</v>
      </c>
      <c r="O20" s="40">
        <v>70</v>
      </c>
    </row>
    <row r="21" spans="3:15">
      <c r="C21" s="40" t="s">
        <v>645</v>
      </c>
      <c r="E21" s="40" t="s">
        <v>646</v>
      </c>
      <c r="F21" s="40">
        <v>2050</v>
      </c>
      <c r="G21" s="40">
        <v>580</v>
      </c>
      <c r="H21" s="40">
        <v>330</v>
      </c>
      <c r="I21" s="40">
        <v>300</v>
      </c>
      <c r="J21" s="40">
        <v>270</v>
      </c>
      <c r="K21" s="40">
        <v>940</v>
      </c>
      <c r="L21" s="40">
        <v>770</v>
      </c>
      <c r="M21" s="40">
        <v>450</v>
      </c>
      <c r="N21" s="40">
        <v>480</v>
      </c>
      <c r="O21" s="40">
        <v>250</v>
      </c>
    </row>
    <row r="22" spans="3:15">
      <c r="C22" s="40" t="s">
        <v>645</v>
      </c>
      <c r="E22" s="40" t="s">
        <v>650</v>
      </c>
      <c r="F22" s="40">
        <v>2050</v>
      </c>
      <c r="G22" s="40">
        <v>18</v>
      </c>
      <c r="H22" s="40">
        <v>10</v>
      </c>
      <c r="I22" s="40">
        <v>10</v>
      </c>
      <c r="J22" s="40">
        <v>8</v>
      </c>
      <c r="K22" s="40">
        <v>24</v>
      </c>
      <c r="L22" s="40">
        <v>22</v>
      </c>
      <c r="M22" s="40">
        <v>12</v>
      </c>
      <c r="N22" s="40">
        <v>16</v>
      </c>
      <c r="O22" s="40">
        <v>8</v>
      </c>
    </row>
    <row r="23" spans="3:15">
      <c r="D23" s="40" t="s">
        <v>651</v>
      </c>
      <c r="E23" s="40" t="s">
        <v>646</v>
      </c>
      <c r="F23" s="40">
        <v>2050</v>
      </c>
      <c r="G23" s="40">
        <v>1740</v>
      </c>
      <c r="H23" s="40">
        <v>950</v>
      </c>
      <c r="I23" s="40">
        <v>1000</v>
      </c>
      <c r="J23" s="40">
        <v>1010</v>
      </c>
      <c r="K23" s="40">
        <v>3170</v>
      </c>
      <c r="L23" s="40">
        <v>1470</v>
      </c>
      <c r="M23" s="40">
        <v>1610</v>
      </c>
      <c r="N23" s="40">
        <v>1110</v>
      </c>
      <c r="O23" s="40">
        <v>1710</v>
      </c>
    </row>
    <row r="24" spans="3:15">
      <c r="D24" s="40" t="s">
        <v>651</v>
      </c>
      <c r="E24" s="40" t="s">
        <v>650</v>
      </c>
      <c r="F24" s="40">
        <v>2050</v>
      </c>
      <c r="G24" s="40">
        <v>44</v>
      </c>
      <c r="H24" s="40">
        <v>24</v>
      </c>
      <c r="I24" s="40">
        <v>26</v>
      </c>
      <c r="J24" s="40">
        <v>26</v>
      </c>
      <c r="K24" s="40">
        <v>82</v>
      </c>
      <c r="L24" s="40">
        <v>38</v>
      </c>
      <c r="M24" s="40">
        <v>42</v>
      </c>
      <c r="N24" s="40">
        <v>30</v>
      </c>
      <c r="O24" s="40">
        <v>44</v>
      </c>
    </row>
    <row r="25" spans="3:15">
      <c r="D25" s="40" t="s">
        <v>652</v>
      </c>
      <c r="E25" s="40" t="s">
        <v>646</v>
      </c>
      <c r="F25" s="40">
        <v>2050</v>
      </c>
      <c r="G25" s="40">
        <v>2080</v>
      </c>
      <c r="H25" s="40">
        <v>2160</v>
      </c>
      <c r="I25" s="40">
        <v>1420</v>
      </c>
      <c r="J25" s="40">
        <v>1500</v>
      </c>
      <c r="K25" s="40">
        <v>3160</v>
      </c>
      <c r="L25" s="40">
        <v>2280</v>
      </c>
      <c r="M25" s="40">
        <v>1740</v>
      </c>
      <c r="N25" s="40">
        <v>1900</v>
      </c>
      <c r="O25" s="40">
        <v>2180</v>
      </c>
    </row>
    <row r="26" spans="3:15">
      <c r="D26" s="40" t="s">
        <v>652</v>
      </c>
      <c r="E26" s="40" t="s">
        <v>650</v>
      </c>
      <c r="F26" s="40">
        <v>2050</v>
      </c>
      <c r="G26" s="40">
        <v>65</v>
      </c>
      <c r="H26" s="40">
        <v>65</v>
      </c>
      <c r="I26" s="40">
        <v>45</v>
      </c>
      <c r="J26" s="40">
        <v>45</v>
      </c>
      <c r="K26" s="40">
        <v>95</v>
      </c>
      <c r="L26" s="40">
        <v>70</v>
      </c>
      <c r="M26" s="40">
        <v>45</v>
      </c>
      <c r="N26" s="40">
        <v>70</v>
      </c>
      <c r="O26" s="40">
        <v>65</v>
      </c>
    </row>
    <row r="27" spans="3:15">
      <c r="C27" s="40" t="s">
        <v>653</v>
      </c>
      <c r="E27" s="40" t="s">
        <v>646</v>
      </c>
      <c r="F27" s="40">
        <v>2050</v>
      </c>
      <c r="G27" s="40">
        <v>3250</v>
      </c>
      <c r="H27" s="40">
        <v>3350</v>
      </c>
      <c r="I27" s="40">
        <v>2000</v>
      </c>
      <c r="J27" s="40">
        <v>3050</v>
      </c>
      <c r="K27" s="40">
        <v>3550</v>
      </c>
      <c r="L27" s="40">
        <v>3500</v>
      </c>
      <c r="M27" s="40">
        <v>3900</v>
      </c>
      <c r="N27" s="40">
        <v>4050</v>
      </c>
      <c r="O27" s="40">
        <v>3400</v>
      </c>
    </row>
    <row r="28" spans="3:15">
      <c r="C28" s="40" t="s">
        <v>653</v>
      </c>
      <c r="E28" s="40" t="s">
        <v>650</v>
      </c>
      <c r="F28" s="40">
        <v>2050</v>
      </c>
      <c r="G28" s="40">
        <v>65</v>
      </c>
      <c r="H28" s="40">
        <v>65</v>
      </c>
      <c r="I28" s="40">
        <v>40</v>
      </c>
      <c r="J28" s="40">
        <v>60</v>
      </c>
      <c r="K28" s="40">
        <v>70</v>
      </c>
      <c r="L28" s="40">
        <v>70</v>
      </c>
      <c r="M28" s="40">
        <v>80</v>
      </c>
      <c r="N28" s="40">
        <v>80</v>
      </c>
      <c r="O28" s="40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J19"/>
  <sheetViews>
    <sheetView zoomScale="84" zoomScaleNormal="84" workbookViewId="0">
      <selection activeCell="H20" sqref="H20"/>
    </sheetView>
  </sheetViews>
  <sheetFormatPr defaultColWidth="9" defaultRowHeight="14.25"/>
  <cols>
    <col min="2" max="2" width="13.73046875" customWidth="1"/>
  </cols>
  <sheetData>
    <row r="3" spans="2:10">
      <c r="B3" t="s">
        <v>263</v>
      </c>
    </row>
    <row r="4" spans="2:10">
      <c r="B4" t="s">
        <v>4</v>
      </c>
      <c r="C4" t="s">
        <v>264</v>
      </c>
      <c r="D4" t="s">
        <v>74</v>
      </c>
      <c r="E4" t="s">
        <v>265</v>
      </c>
      <c r="F4" t="s">
        <v>76</v>
      </c>
      <c r="H4" t="s">
        <v>266</v>
      </c>
      <c r="J4" t="s">
        <v>267</v>
      </c>
    </row>
    <row r="5" spans="2:10">
      <c r="B5" t="s">
        <v>268</v>
      </c>
      <c r="C5" t="s">
        <v>269</v>
      </c>
      <c r="D5" t="s">
        <v>98</v>
      </c>
      <c r="E5" t="s">
        <v>270</v>
      </c>
      <c r="F5" s="38" t="s">
        <v>271</v>
      </c>
      <c r="H5" t="s">
        <v>272</v>
      </c>
    </row>
    <row r="6" spans="2:10">
      <c r="B6" t="s">
        <v>268</v>
      </c>
      <c r="C6" t="s">
        <v>105</v>
      </c>
      <c r="D6" t="s">
        <v>98</v>
      </c>
      <c r="E6" t="s">
        <v>273</v>
      </c>
      <c r="F6" s="38" t="s">
        <v>271</v>
      </c>
      <c r="H6" t="s">
        <v>272</v>
      </c>
    </row>
    <row r="7" spans="2:10">
      <c r="B7" t="s">
        <v>268</v>
      </c>
      <c r="C7" t="s">
        <v>274</v>
      </c>
      <c r="D7" t="s">
        <v>98</v>
      </c>
      <c r="E7" t="s">
        <v>275</v>
      </c>
      <c r="F7" s="38" t="s">
        <v>271</v>
      </c>
      <c r="H7" t="s">
        <v>272</v>
      </c>
    </row>
    <row r="8" spans="2:10">
      <c r="B8" t="s">
        <v>276</v>
      </c>
    </row>
    <row r="9" spans="2:10">
      <c r="B9" t="s">
        <v>268</v>
      </c>
      <c r="C9" t="s">
        <v>269</v>
      </c>
      <c r="D9" t="s">
        <v>98</v>
      </c>
      <c r="E9" t="s">
        <v>277</v>
      </c>
      <c r="F9" s="38" t="s">
        <v>271</v>
      </c>
      <c r="H9" t="s">
        <v>272</v>
      </c>
    </row>
    <row r="10" spans="2:10">
      <c r="B10" t="s">
        <v>268</v>
      </c>
      <c r="C10" t="s">
        <v>105</v>
      </c>
      <c r="D10" t="s">
        <v>98</v>
      </c>
      <c r="E10" t="s">
        <v>278</v>
      </c>
      <c r="F10" s="38" t="s">
        <v>271</v>
      </c>
      <c r="H10" t="s">
        <v>272</v>
      </c>
    </row>
    <row r="11" spans="2:10">
      <c r="B11" t="s">
        <v>268</v>
      </c>
      <c r="C11" t="s">
        <v>274</v>
      </c>
      <c r="D11" t="s">
        <v>98</v>
      </c>
      <c r="E11" t="s">
        <v>279</v>
      </c>
      <c r="F11" s="38" t="s">
        <v>271</v>
      </c>
      <c r="H11" t="s">
        <v>272</v>
      </c>
    </row>
    <row r="12" spans="2:10">
      <c r="B12" t="s">
        <v>276</v>
      </c>
    </row>
    <row r="13" spans="2:10">
      <c r="B13" t="s">
        <v>280</v>
      </c>
      <c r="C13" t="s">
        <v>281</v>
      </c>
      <c r="D13" t="s">
        <v>98</v>
      </c>
      <c r="E13" t="s">
        <v>282</v>
      </c>
      <c r="H13" t="s">
        <v>283</v>
      </c>
    </row>
    <row r="16" spans="2:10">
      <c r="B16" s="16" t="s">
        <v>88</v>
      </c>
    </row>
    <row r="18" spans="2:5">
      <c r="B18" t="s">
        <v>72</v>
      </c>
      <c r="C18" t="s">
        <v>90</v>
      </c>
      <c r="D18">
        <v>2023</v>
      </c>
      <c r="E18">
        <v>0</v>
      </c>
    </row>
    <row r="19" spans="2:5">
      <c r="B19" t="s">
        <v>284</v>
      </c>
      <c r="C19" t="s">
        <v>285</v>
      </c>
      <c r="D19">
        <v>0</v>
      </c>
      <c r="E19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J173"/>
  <sheetViews>
    <sheetView topLeftCell="A4" zoomScale="111" zoomScaleNormal="111" workbookViewId="0">
      <selection activeCell="G23" sqref="G23"/>
    </sheetView>
  </sheetViews>
  <sheetFormatPr defaultColWidth="9" defaultRowHeight="14.25"/>
  <cols>
    <col min="10" max="10" width="7" customWidth="1"/>
    <col min="11" max="11" width="8.265625" customWidth="1"/>
    <col min="12" max="12" width="4.73046875" customWidth="1"/>
  </cols>
  <sheetData>
    <row r="2" spans="2:36">
      <c r="B2" t="s">
        <v>263</v>
      </c>
      <c r="I2" t="s">
        <v>52</v>
      </c>
    </row>
    <row r="3" spans="2:36">
      <c r="B3" t="s">
        <v>4</v>
      </c>
      <c r="C3" t="s">
        <v>286</v>
      </c>
      <c r="D3" t="s">
        <v>74</v>
      </c>
      <c r="E3" t="s">
        <v>265</v>
      </c>
      <c r="I3" t="s">
        <v>72</v>
      </c>
      <c r="J3" t="s">
        <v>90</v>
      </c>
      <c r="K3" t="s">
        <v>243</v>
      </c>
      <c r="L3" t="s">
        <v>242</v>
      </c>
    </row>
    <row r="4" spans="2:36">
      <c r="B4" t="s">
        <v>111</v>
      </c>
      <c r="C4" t="s">
        <v>287</v>
      </c>
      <c r="D4" t="s">
        <v>98</v>
      </c>
      <c r="E4" t="s">
        <v>288</v>
      </c>
      <c r="I4" t="s">
        <v>289</v>
      </c>
      <c r="J4" t="s">
        <v>290</v>
      </c>
      <c r="K4">
        <v>15</v>
      </c>
    </row>
    <row r="5" spans="2:36">
      <c r="B5" t="s">
        <v>111</v>
      </c>
      <c r="C5" t="s">
        <v>291</v>
      </c>
      <c r="D5" t="s">
        <v>98</v>
      </c>
      <c r="E5" t="s">
        <v>292</v>
      </c>
      <c r="I5" t="s">
        <v>289</v>
      </c>
      <c r="J5" t="s">
        <v>290</v>
      </c>
      <c r="K5">
        <v>2</v>
      </c>
      <c r="L5">
        <v>0</v>
      </c>
    </row>
    <row r="6" spans="2:36">
      <c r="B6" t="s">
        <v>111</v>
      </c>
      <c r="C6" t="s">
        <v>293</v>
      </c>
      <c r="D6" t="s">
        <v>98</v>
      </c>
      <c r="E6" t="s">
        <v>294</v>
      </c>
      <c r="I6" t="s">
        <v>295</v>
      </c>
      <c r="J6" t="s">
        <v>290</v>
      </c>
      <c r="K6">
        <v>7</v>
      </c>
    </row>
    <row r="7" spans="2:36">
      <c r="C7" t="s">
        <v>296</v>
      </c>
      <c r="D7" t="s">
        <v>98</v>
      </c>
      <c r="E7" t="s">
        <v>297</v>
      </c>
    </row>
    <row r="8" spans="2:36">
      <c r="C8" t="s">
        <v>298</v>
      </c>
      <c r="D8" t="s">
        <v>98</v>
      </c>
      <c r="E8" t="s">
        <v>299</v>
      </c>
    </row>
    <row r="9" spans="2:36">
      <c r="C9" t="s">
        <v>300</v>
      </c>
      <c r="D9" t="s">
        <v>98</v>
      </c>
      <c r="E9" t="s">
        <v>301</v>
      </c>
    </row>
    <row r="11" spans="2:36">
      <c r="B11" s="24" t="s">
        <v>52</v>
      </c>
      <c r="C11" s="24"/>
      <c r="D11" s="24"/>
      <c r="E11" s="24"/>
      <c r="F11" s="24"/>
    </row>
    <row r="12" spans="2:36">
      <c r="B12" s="24"/>
      <c r="C12" s="24"/>
      <c r="D12" s="24"/>
      <c r="E12" s="24"/>
      <c r="F12" s="24"/>
    </row>
    <row r="13" spans="2:36">
      <c r="B13" s="24" t="s">
        <v>55</v>
      </c>
      <c r="C13" s="24" t="s">
        <v>4</v>
      </c>
      <c r="D13" s="24" t="s">
        <v>286</v>
      </c>
      <c r="E13" s="24" t="s">
        <v>265</v>
      </c>
      <c r="F13" s="39" t="s">
        <v>74</v>
      </c>
      <c r="K13" t="s">
        <v>302</v>
      </c>
    </row>
    <row r="14" spans="2:36">
      <c r="B14" s="24" t="s">
        <v>303</v>
      </c>
      <c r="C14" s="24" t="s">
        <v>111</v>
      </c>
      <c r="D14" s="24" t="s">
        <v>287</v>
      </c>
      <c r="E14" s="24" t="s">
        <v>113</v>
      </c>
      <c r="F14" s="24">
        <v>1.25</v>
      </c>
      <c r="K14" t="s">
        <v>73</v>
      </c>
      <c r="L14" t="s">
        <v>242</v>
      </c>
      <c r="M14" t="s">
        <v>8</v>
      </c>
      <c r="N14" t="s">
        <v>9</v>
      </c>
      <c r="O14" t="s">
        <v>11</v>
      </c>
      <c r="P14" t="s">
        <v>12</v>
      </c>
      <c r="Q14" t="s">
        <v>13</v>
      </c>
      <c r="R14" t="s">
        <v>16</v>
      </c>
      <c r="S14" t="s">
        <v>17</v>
      </c>
      <c r="T14" t="s">
        <v>18</v>
      </c>
      <c r="U14" t="s">
        <v>20</v>
      </c>
      <c r="V14" t="s">
        <v>21</v>
      </c>
      <c r="W14" t="s">
        <v>23</v>
      </c>
      <c r="X14" t="s">
        <v>24</v>
      </c>
      <c r="Y14" t="s">
        <v>25</v>
      </c>
      <c r="Z14" t="s">
        <v>26</v>
      </c>
      <c r="AA14" t="s">
        <v>27</v>
      </c>
      <c r="AB14" t="s">
        <v>28</v>
      </c>
      <c r="AC14" t="s">
        <v>29</v>
      </c>
      <c r="AD14" t="s">
        <v>30</v>
      </c>
      <c r="AE14" t="s">
        <v>33</v>
      </c>
      <c r="AF14" t="s">
        <v>34</v>
      </c>
      <c r="AG14" t="s">
        <v>35</v>
      </c>
      <c r="AH14" t="s">
        <v>36</v>
      </c>
      <c r="AI14" t="s">
        <v>37</v>
      </c>
      <c r="AJ14" t="s">
        <v>38</v>
      </c>
    </row>
    <row r="15" spans="2:36">
      <c r="K15" t="s">
        <v>304</v>
      </c>
      <c r="L15">
        <v>2019</v>
      </c>
      <c r="M15" s="8">
        <f t="shared" ref="M15:V20" si="0">SUMIFS($D$19:$D$199,$C$19:$C$199,$L15,$B$19:$B$199,M$14)/5</f>
        <v>1.3435999999999999E-3</v>
      </c>
      <c r="N15" s="8">
        <f t="shared" si="0"/>
        <v>1.6000000000000001E-3</v>
      </c>
      <c r="O15" s="8">
        <f t="shared" si="0"/>
        <v>1.4999999999999999E-2</v>
      </c>
      <c r="P15" s="8">
        <f t="shared" si="0"/>
        <v>2.0000000000000001E-4</v>
      </c>
      <c r="Q15" s="8">
        <f t="shared" si="0"/>
        <v>0.222</v>
      </c>
      <c r="R15" s="8">
        <f t="shared" si="0"/>
        <v>8.9999999999999993E-3</v>
      </c>
      <c r="S15" s="8">
        <f t="shared" si="0"/>
        <v>1.4999999999999999E-2</v>
      </c>
      <c r="T15" s="8">
        <f t="shared" si="0"/>
        <v>2.0000000000000001E-4</v>
      </c>
      <c r="U15" s="8">
        <f t="shared" si="0"/>
        <v>4.0000000000000002E-4</v>
      </c>
      <c r="V15" s="8">
        <f t="shared" si="0"/>
        <v>3.1199999999999999E-4</v>
      </c>
      <c r="W15" s="8">
        <f t="shared" ref="W15:AJ20" si="1">SUMIFS($D$19:$D$199,$C$19:$C$199,$L15,$B$19:$B$199,W$14)/5</f>
        <v>1.1999999999999999E-3</v>
      </c>
      <c r="X15" s="8">
        <f t="shared" si="1"/>
        <v>4.4000000000000003E-3</v>
      </c>
      <c r="Y15" s="8">
        <f t="shared" si="1"/>
        <v>1.0000000000000001E-5</v>
      </c>
      <c r="Z15" s="8">
        <f t="shared" si="1"/>
        <v>5.0000000000000001E-4</v>
      </c>
      <c r="AA15" s="8">
        <f t="shared" si="1"/>
        <v>7.7640000000000001E-2</v>
      </c>
      <c r="AB15" s="8">
        <f t="shared" si="1"/>
        <v>1.20632E-2</v>
      </c>
      <c r="AC15" s="8">
        <f t="shared" si="1"/>
        <v>4.0000000000000002E-4</v>
      </c>
      <c r="AD15" s="8">
        <f t="shared" si="1"/>
        <v>1.92E-3</v>
      </c>
      <c r="AE15" s="8">
        <f t="shared" si="1"/>
        <v>2.0000000000000002E-5</v>
      </c>
      <c r="AF15" s="8">
        <f t="shared" si="1"/>
        <v>1.6999999999999999E-3</v>
      </c>
      <c r="AG15" s="8">
        <f t="shared" si="1"/>
        <v>8.0000000000000002E-3</v>
      </c>
      <c r="AH15" s="8">
        <f t="shared" si="1"/>
        <v>1.6999999999999999E-3</v>
      </c>
      <c r="AI15" s="8">
        <f t="shared" si="1"/>
        <v>2.0000000000000001E-4</v>
      </c>
      <c r="AJ15" s="8">
        <f t="shared" si="1"/>
        <v>7.6E-3</v>
      </c>
    </row>
    <row r="16" spans="2:36">
      <c r="K16" t="s">
        <v>304</v>
      </c>
      <c r="L16">
        <v>2020</v>
      </c>
      <c r="M16" s="8">
        <f t="shared" si="0"/>
        <v>1.3799999999999999E-3</v>
      </c>
      <c r="N16" s="8">
        <f t="shared" si="0"/>
        <v>5.1999999999999998E-3</v>
      </c>
      <c r="O16" s="8">
        <f t="shared" si="0"/>
        <v>2.3800000000000002E-2</v>
      </c>
      <c r="P16" s="8">
        <f t="shared" si="0"/>
        <v>3.9490000000000003E-3</v>
      </c>
      <c r="Q16" s="8">
        <f t="shared" si="0"/>
        <v>0.26600000000000001</v>
      </c>
      <c r="R16" s="8">
        <f t="shared" si="0"/>
        <v>3.6999999999999998E-2</v>
      </c>
      <c r="S16" s="8">
        <f t="shared" si="0"/>
        <v>7.9600000000000004E-2</v>
      </c>
      <c r="T16" s="8">
        <f t="shared" si="0"/>
        <v>4.0000000000000002E-4</v>
      </c>
      <c r="U16" s="8">
        <f t="shared" si="0"/>
        <v>8.0000000000000004E-4</v>
      </c>
      <c r="V16" s="8">
        <f t="shared" si="0"/>
        <v>1E-3</v>
      </c>
      <c r="W16" s="8">
        <f t="shared" si="1"/>
        <v>6.4000000000000003E-3</v>
      </c>
      <c r="X16" s="8">
        <f t="shared" si="1"/>
        <v>5.7999999999999996E-3</v>
      </c>
      <c r="Y16" s="8">
        <f t="shared" si="1"/>
        <v>2.0000000000000002E-5</v>
      </c>
      <c r="Z16" s="8">
        <f t="shared" si="1"/>
        <v>1.6000000000000001E-3</v>
      </c>
      <c r="AA16" s="8">
        <f t="shared" si="1"/>
        <v>7.5999999999999998E-2</v>
      </c>
      <c r="AB16" s="8">
        <f t="shared" si="1"/>
        <v>2.12E-2</v>
      </c>
      <c r="AC16" s="8">
        <f t="shared" si="1"/>
        <v>1.6000000000000001E-3</v>
      </c>
      <c r="AD16" s="8">
        <f t="shared" si="1"/>
        <v>6.6E-3</v>
      </c>
      <c r="AE16" s="8">
        <f t="shared" si="1"/>
        <v>4.0000000000000003E-5</v>
      </c>
      <c r="AF16" s="8">
        <f t="shared" si="1"/>
        <v>6.6E-3</v>
      </c>
      <c r="AG16" s="8">
        <f t="shared" si="1"/>
        <v>2.4400000000000002E-2</v>
      </c>
      <c r="AH16" s="8">
        <f t="shared" si="1"/>
        <v>5.5999999999999999E-3</v>
      </c>
      <c r="AI16" s="8">
        <f t="shared" si="1"/>
        <v>4.0000000000000002E-4</v>
      </c>
      <c r="AJ16" s="8">
        <f t="shared" si="1"/>
        <v>3.5200000000000002E-2</v>
      </c>
    </row>
    <row r="17" spans="1:36">
      <c r="K17" t="s">
        <v>304</v>
      </c>
      <c r="L17">
        <v>2021</v>
      </c>
      <c r="M17" s="8">
        <f t="shared" si="0"/>
        <v>4.1999999999999997E-3</v>
      </c>
      <c r="N17" s="8">
        <f t="shared" si="0"/>
        <v>8.2000000000000007E-3</v>
      </c>
      <c r="O17" s="8">
        <f t="shared" si="0"/>
        <v>4.02E-2</v>
      </c>
      <c r="P17" s="8">
        <f t="shared" si="0"/>
        <v>6.4999999999999997E-3</v>
      </c>
      <c r="Q17" s="8">
        <f t="shared" si="0"/>
        <v>0.68</v>
      </c>
      <c r="R17" s="8">
        <f t="shared" si="0"/>
        <v>6.3E-2</v>
      </c>
      <c r="S17" s="8">
        <f t="shared" si="0"/>
        <v>0.13619999999999999</v>
      </c>
      <c r="T17" s="8">
        <f t="shared" si="0"/>
        <v>1E-3</v>
      </c>
      <c r="U17" s="8">
        <f t="shared" si="0"/>
        <v>1.6000000000000001E-3</v>
      </c>
      <c r="V17" s="8">
        <f t="shared" si="0"/>
        <v>3.2000000000000002E-3</v>
      </c>
      <c r="W17" s="8">
        <f t="shared" si="1"/>
        <v>1.34E-2</v>
      </c>
      <c r="X17" s="8">
        <f t="shared" si="1"/>
        <v>8.8000000000000005E-3</v>
      </c>
      <c r="Y17" s="8">
        <f t="shared" si="1"/>
        <v>6.0000000000000002E-5</v>
      </c>
      <c r="Z17" s="8">
        <f t="shared" si="1"/>
        <v>4.0000000000000001E-3</v>
      </c>
      <c r="AA17" s="8">
        <f t="shared" si="1"/>
        <v>0.1512</v>
      </c>
      <c r="AB17" s="8">
        <f t="shared" si="1"/>
        <v>2.7799999999999998E-2</v>
      </c>
      <c r="AC17" s="8">
        <f t="shared" si="1"/>
        <v>2.3999999999999998E-3</v>
      </c>
      <c r="AD17" s="8">
        <f t="shared" si="1"/>
        <v>2.4199999999999999E-2</v>
      </c>
      <c r="AE17" s="8">
        <f t="shared" si="1"/>
        <v>8.0000000000000007E-5</v>
      </c>
      <c r="AF17" s="8">
        <f t="shared" si="1"/>
        <v>1.46E-2</v>
      </c>
      <c r="AG17" s="8">
        <f t="shared" si="1"/>
        <v>3.8800000000000001E-2</v>
      </c>
      <c r="AH17" s="8">
        <f t="shared" si="1"/>
        <v>9.5999999999999992E-3</v>
      </c>
      <c r="AI17" s="8">
        <f t="shared" si="1"/>
        <v>1E-3</v>
      </c>
      <c r="AJ17" s="8">
        <f t="shared" si="1"/>
        <v>3.8199999999999998E-2</v>
      </c>
    </row>
    <row r="18" spans="1:36">
      <c r="A18" t="s">
        <v>305</v>
      </c>
      <c r="B18" t="s">
        <v>306</v>
      </c>
      <c r="C18" t="s">
        <v>242</v>
      </c>
      <c r="D18" t="s">
        <v>307</v>
      </c>
      <c r="K18" t="s">
        <v>304</v>
      </c>
      <c r="L18">
        <v>2022</v>
      </c>
      <c r="M18" s="8">
        <f t="shared" si="0"/>
        <v>1.2999999999999999E-2</v>
      </c>
      <c r="N18" s="8">
        <f t="shared" si="0"/>
        <v>1.0999999999999999E-2</v>
      </c>
      <c r="O18" s="8">
        <f t="shared" si="0"/>
        <v>6.4000000000000001E-2</v>
      </c>
      <c r="P18" s="8">
        <f t="shared" si="0"/>
        <v>0.01</v>
      </c>
      <c r="Q18" s="8">
        <f t="shared" si="0"/>
        <v>1.24</v>
      </c>
      <c r="R18" s="8">
        <f t="shared" si="0"/>
        <v>0.08</v>
      </c>
      <c r="S18" s="8">
        <f t="shared" si="0"/>
        <v>0.16600000000000001</v>
      </c>
      <c r="T18" s="8">
        <f t="shared" si="0"/>
        <v>2.5999999999999999E-3</v>
      </c>
      <c r="U18" s="8">
        <f t="shared" si="0"/>
        <v>2.2000000000000001E-3</v>
      </c>
      <c r="V18" s="8">
        <f t="shared" si="0"/>
        <v>1.0200000000000001E-2</v>
      </c>
      <c r="W18" s="8">
        <f t="shared" si="1"/>
        <v>2.1999999999999999E-2</v>
      </c>
      <c r="X18" s="8">
        <f t="shared" si="1"/>
        <v>1.84E-2</v>
      </c>
      <c r="Y18" s="8">
        <f t="shared" si="1"/>
        <v>1.2E-4</v>
      </c>
      <c r="Z18" s="8">
        <f t="shared" si="1"/>
        <v>8.0000000000000002E-3</v>
      </c>
      <c r="AA18" s="8">
        <f t="shared" si="1"/>
        <v>0.2132</v>
      </c>
      <c r="AB18" s="8">
        <f t="shared" si="1"/>
        <v>2.7E-2</v>
      </c>
      <c r="AC18" s="8">
        <f t="shared" si="1"/>
        <v>4.7999999999999996E-3</v>
      </c>
      <c r="AD18" s="8">
        <f t="shared" si="1"/>
        <v>3.1399999999999997E-2</v>
      </c>
      <c r="AE18" s="8">
        <f t="shared" si="1"/>
        <v>1.6000000000000001E-4</v>
      </c>
      <c r="AF18" s="8">
        <f t="shared" si="1"/>
        <v>2.5999999999999999E-2</v>
      </c>
      <c r="AG18" s="8">
        <f t="shared" si="1"/>
        <v>5.2400000000000002E-2</v>
      </c>
      <c r="AH18" s="8">
        <f t="shared" si="1"/>
        <v>1.24E-2</v>
      </c>
      <c r="AI18" s="8">
        <f t="shared" si="1"/>
        <v>7.0000000000000001E-3</v>
      </c>
      <c r="AJ18" s="8">
        <f t="shared" si="1"/>
        <v>7.3999999999999996E-2</v>
      </c>
    </row>
    <row r="19" spans="1:36">
      <c r="A19" t="s">
        <v>308</v>
      </c>
      <c r="B19" t="s">
        <v>8</v>
      </c>
      <c r="C19">
        <v>2019</v>
      </c>
      <c r="D19">
        <v>6.718E-3</v>
      </c>
      <c r="K19" t="s">
        <v>304</v>
      </c>
      <c r="L19">
        <v>2023</v>
      </c>
      <c r="M19" s="8">
        <f t="shared" si="0"/>
        <v>1.9599999999999999E-2</v>
      </c>
      <c r="N19" s="8">
        <f t="shared" si="0"/>
        <v>1.2999999999999999E-2</v>
      </c>
      <c r="O19" s="8">
        <f t="shared" si="0"/>
        <v>8.0600000000000005E-2</v>
      </c>
      <c r="P19" s="8">
        <f t="shared" si="0"/>
        <v>1.04E-2</v>
      </c>
      <c r="Q19" s="8">
        <f t="shared" si="0"/>
        <v>1.62</v>
      </c>
      <c r="R19" s="8">
        <f t="shared" si="0"/>
        <v>9.4E-2</v>
      </c>
      <c r="S19" s="8">
        <f t="shared" si="0"/>
        <v>0.14000000000000001</v>
      </c>
      <c r="T19" s="8">
        <f t="shared" si="0"/>
        <v>3.3999999999999998E-3</v>
      </c>
      <c r="U19" s="8">
        <f t="shared" si="0"/>
        <v>2.48E-3</v>
      </c>
      <c r="V19" s="8">
        <f t="shared" si="0"/>
        <v>1.6454E-2</v>
      </c>
      <c r="W19" s="8">
        <f t="shared" si="1"/>
        <v>2.7199999999999998E-2</v>
      </c>
      <c r="X19" s="8">
        <f t="shared" si="1"/>
        <v>2.8060000000000002E-2</v>
      </c>
      <c r="Y19" s="8">
        <f t="shared" si="1"/>
        <v>1.84E-4</v>
      </c>
      <c r="Z19" s="8">
        <f t="shared" si="1"/>
        <v>1.2999999999999999E-2</v>
      </c>
      <c r="AA19" s="8">
        <f t="shared" si="1"/>
        <v>0.31524000000000002</v>
      </c>
      <c r="AB19" s="8">
        <f t="shared" si="1"/>
        <v>2.1999999999999999E-2</v>
      </c>
      <c r="AC19" s="8">
        <f t="shared" si="1"/>
        <v>6.0200000000000002E-3</v>
      </c>
      <c r="AD19" s="8">
        <f t="shared" si="1"/>
        <v>3.4860000000000002E-2</v>
      </c>
      <c r="AE19" s="8">
        <f t="shared" si="1"/>
        <v>2.1599999999999999E-4</v>
      </c>
      <c r="AF19" s="8">
        <f t="shared" si="1"/>
        <v>3.6999999999999998E-2</v>
      </c>
      <c r="AG19" s="8">
        <f t="shared" si="1"/>
        <v>5.9799999999999999E-2</v>
      </c>
      <c r="AH19" s="8">
        <f t="shared" si="1"/>
        <v>1.52E-2</v>
      </c>
      <c r="AI19" s="8">
        <f t="shared" si="1"/>
        <v>1.374E-2</v>
      </c>
      <c r="AJ19" s="8">
        <f t="shared" si="1"/>
        <v>0.09</v>
      </c>
    </row>
    <row r="20" spans="1:36">
      <c r="A20" t="s">
        <v>308</v>
      </c>
      <c r="B20" t="s">
        <v>8</v>
      </c>
      <c r="C20">
        <v>2020</v>
      </c>
      <c r="D20">
        <v>6.8999999999999999E-3</v>
      </c>
      <c r="K20" t="s">
        <v>304</v>
      </c>
      <c r="L20">
        <v>2024</v>
      </c>
      <c r="M20" s="8">
        <f t="shared" si="0"/>
        <v>1.8200000000000001E-2</v>
      </c>
      <c r="N20" s="8">
        <f t="shared" si="0"/>
        <v>0</v>
      </c>
      <c r="O20" s="8">
        <f t="shared" si="0"/>
        <v>2.64332E-2</v>
      </c>
      <c r="P20" s="8">
        <f t="shared" si="0"/>
        <v>2.5000000000000001E-2</v>
      </c>
      <c r="Q20" s="8">
        <f t="shared" si="0"/>
        <v>2.2400000000000002</v>
      </c>
      <c r="R20" s="8">
        <f t="shared" si="0"/>
        <v>5.8228599999999998E-2</v>
      </c>
      <c r="S20" s="8">
        <f t="shared" si="0"/>
        <v>7.6121800000000003E-2</v>
      </c>
      <c r="T20" s="8">
        <f t="shared" si="0"/>
        <v>0</v>
      </c>
      <c r="U20" s="8">
        <f t="shared" si="0"/>
        <v>0</v>
      </c>
      <c r="V20" s="8">
        <f t="shared" si="0"/>
        <v>0</v>
      </c>
      <c r="W20" s="8">
        <f t="shared" si="1"/>
        <v>1.2996600000000001E-2</v>
      </c>
      <c r="X20" s="8">
        <f t="shared" si="1"/>
        <v>0</v>
      </c>
      <c r="Y20" s="8">
        <f t="shared" si="1"/>
        <v>0</v>
      </c>
      <c r="Z20" s="8">
        <f t="shared" si="1"/>
        <v>0</v>
      </c>
      <c r="AA20" s="8">
        <f t="shared" si="1"/>
        <v>0.26</v>
      </c>
      <c r="AB20" s="8">
        <f t="shared" si="1"/>
        <v>2.2881800000000001E-2</v>
      </c>
      <c r="AC20" s="8">
        <f t="shared" si="1"/>
        <v>0</v>
      </c>
      <c r="AD20" s="8">
        <f t="shared" si="1"/>
        <v>0</v>
      </c>
      <c r="AE20" s="8">
        <f t="shared" si="1"/>
        <v>0</v>
      </c>
      <c r="AF20" s="8">
        <f t="shared" si="1"/>
        <v>0</v>
      </c>
      <c r="AG20" s="8">
        <f t="shared" si="1"/>
        <v>1.8866399999999998E-2</v>
      </c>
      <c r="AH20" s="8">
        <f t="shared" si="1"/>
        <v>0</v>
      </c>
      <c r="AI20" s="8">
        <f t="shared" si="1"/>
        <v>0</v>
      </c>
      <c r="AJ20" s="8">
        <f t="shared" si="1"/>
        <v>7.6394000000000004E-2</v>
      </c>
    </row>
    <row r="21" spans="1:36">
      <c r="A21" t="s">
        <v>308</v>
      </c>
      <c r="B21" t="s">
        <v>8</v>
      </c>
      <c r="C21">
        <v>2021</v>
      </c>
      <c r="D21">
        <v>2.1000000000000001E-2</v>
      </c>
    </row>
    <row r="22" spans="1:36">
      <c r="A22" t="s">
        <v>308</v>
      </c>
      <c r="B22" t="s">
        <v>8</v>
      </c>
      <c r="C22">
        <v>2022</v>
      </c>
      <c r="D22">
        <v>6.5000000000000002E-2</v>
      </c>
    </row>
    <row r="23" spans="1:36">
      <c r="A23" t="s">
        <v>308</v>
      </c>
      <c r="B23" t="s">
        <v>8</v>
      </c>
      <c r="C23">
        <v>2023</v>
      </c>
      <c r="D23">
        <v>9.8000000000000004E-2</v>
      </c>
    </row>
    <row r="24" spans="1:36">
      <c r="A24" t="s">
        <v>308</v>
      </c>
      <c r="B24" t="s">
        <v>8</v>
      </c>
      <c r="C24">
        <v>2024</v>
      </c>
      <c r="D24">
        <v>9.0999999999999998E-2</v>
      </c>
    </row>
    <row r="25" spans="1:36">
      <c r="A25" t="s">
        <v>308</v>
      </c>
      <c r="B25" t="s">
        <v>9</v>
      </c>
      <c r="C25">
        <v>2019</v>
      </c>
      <c r="D25">
        <v>8.0000000000000002E-3</v>
      </c>
    </row>
    <row r="26" spans="1:36">
      <c r="A26" t="s">
        <v>308</v>
      </c>
      <c r="B26" t="s">
        <v>9</v>
      </c>
      <c r="C26">
        <v>2020</v>
      </c>
      <c r="D26">
        <v>2.5999999999999999E-2</v>
      </c>
    </row>
    <row r="27" spans="1:36">
      <c r="A27" t="s">
        <v>308</v>
      </c>
      <c r="B27" t="s">
        <v>9</v>
      </c>
      <c r="C27">
        <v>2021</v>
      </c>
      <c r="D27">
        <v>4.1000000000000002E-2</v>
      </c>
    </row>
    <row r="28" spans="1:36">
      <c r="A28" t="s">
        <v>308</v>
      </c>
      <c r="B28" t="s">
        <v>9</v>
      </c>
      <c r="C28">
        <v>2022</v>
      </c>
      <c r="D28">
        <v>5.5E-2</v>
      </c>
    </row>
    <row r="29" spans="1:36">
      <c r="A29" t="s">
        <v>308</v>
      </c>
      <c r="B29" t="s">
        <v>9</v>
      </c>
      <c r="C29">
        <v>2023</v>
      </c>
      <c r="D29">
        <v>6.5000000000000002E-2</v>
      </c>
    </row>
    <row r="30" spans="1:36">
      <c r="A30" t="s">
        <v>308</v>
      </c>
      <c r="B30" t="s">
        <v>11</v>
      </c>
      <c r="C30">
        <v>2019</v>
      </c>
      <c r="D30">
        <v>7.4999999999999997E-2</v>
      </c>
    </row>
    <row r="31" spans="1:36">
      <c r="A31" t="s">
        <v>308</v>
      </c>
      <c r="B31" t="s">
        <v>11</v>
      </c>
      <c r="C31">
        <v>2020</v>
      </c>
      <c r="D31">
        <v>0.11899999999999999</v>
      </c>
    </row>
    <row r="32" spans="1:36">
      <c r="A32" t="s">
        <v>308</v>
      </c>
      <c r="B32" t="s">
        <v>11</v>
      </c>
      <c r="C32">
        <v>2021</v>
      </c>
      <c r="D32">
        <v>0.20100000000000001</v>
      </c>
    </row>
    <row r="33" spans="1:4">
      <c r="A33" t="s">
        <v>308</v>
      </c>
      <c r="B33" t="s">
        <v>11</v>
      </c>
      <c r="C33">
        <v>2022</v>
      </c>
      <c r="D33">
        <v>0.32</v>
      </c>
    </row>
    <row r="34" spans="1:4">
      <c r="A34" t="s">
        <v>308</v>
      </c>
      <c r="B34" t="s">
        <v>11</v>
      </c>
      <c r="C34">
        <v>2023</v>
      </c>
      <c r="D34">
        <v>0.40300000000000002</v>
      </c>
    </row>
    <row r="35" spans="1:4">
      <c r="A35" t="s">
        <v>308</v>
      </c>
      <c r="B35" t="s">
        <v>11</v>
      </c>
      <c r="C35">
        <v>2024</v>
      </c>
      <c r="D35">
        <v>0.13216600000000001</v>
      </c>
    </row>
    <row r="36" spans="1:4">
      <c r="A36" t="s">
        <v>308</v>
      </c>
      <c r="B36" t="s">
        <v>12</v>
      </c>
      <c r="C36">
        <v>2019</v>
      </c>
      <c r="D36">
        <v>1E-3</v>
      </c>
    </row>
    <row r="37" spans="1:4">
      <c r="A37" t="s">
        <v>308</v>
      </c>
      <c r="B37" t="s">
        <v>12</v>
      </c>
      <c r="C37">
        <v>2020</v>
      </c>
      <c r="D37">
        <v>1.9744999999999999E-2</v>
      </c>
    </row>
    <row r="38" spans="1:4">
      <c r="A38" t="s">
        <v>308</v>
      </c>
      <c r="B38" t="s">
        <v>12</v>
      </c>
      <c r="C38">
        <v>2021</v>
      </c>
      <c r="D38">
        <v>3.2500000000000001E-2</v>
      </c>
    </row>
    <row r="39" spans="1:4">
      <c r="A39" t="s">
        <v>308</v>
      </c>
      <c r="B39" t="s">
        <v>12</v>
      </c>
      <c r="C39">
        <v>2022</v>
      </c>
      <c r="D39">
        <v>0.05</v>
      </c>
    </row>
    <row r="40" spans="1:4">
      <c r="A40" t="s">
        <v>308</v>
      </c>
      <c r="B40" t="s">
        <v>12</v>
      </c>
      <c r="C40">
        <v>2023</v>
      </c>
      <c r="D40">
        <v>5.1999999999999998E-2</v>
      </c>
    </row>
    <row r="41" spans="1:4">
      <c r="A41" t="s">
        <v>308</v>
      </c>
      <c r="B41" t="s">
        <v>12</v>
      </c>
      <c r="C41">
        <v>2024</v>
      </c>
      <c r="D41">
        <v>0.125</v>
      </c>
    </row>
    <row r="42" spans="1:4">
      <c r="A42" t="s">
        <v>308</v>
      </c>
      <c r="B42" t="s">
        <v>13</v>
      </c>
      <c r="C42">
        <v>2019</v>
      </c>
      <c r="D42">
        <v>1.1100000000000001</v>
      </c>
    </row>
    <row r="43" spans="1:4">
      <c r="A43" t="s">
        <v>308</v>
      </c>
      <c r="B43" t="s">
        <v>13</v>
      </c>
      <c r="C43">
        <v>2020</v>
      </c>
      <c r="D43">
        <v>1.33</v>
      </c>
    </row>
    <row r="44" spans="1:4">
      <c r="A44" t="s">
        <v>308</v>
      </c>
      <c r="B44" t="s">
        <v>13</v>
      </c>
      <c r="C44">
        <v>2021</v>
      </c>
      <c r="D44">
        <v>3.4</v>
      </c>
    </row>
    <row r="45" spans="1:4">
      <c r="A45" t="s">
        <v>308</v>
      </c>
      <c r="B45" t="s">
        <v>13</v>
      </c>
      <c r="C45">
        <v>2022</v>
      </c>
      <c r="D45">
        <v>6.2</v>
      </c>
    </row>
    <row r="46" spans="1:4">
      <c r="A46" t="s">
        <v>308</v>
      </c>
      <c r="B46" t="s">
        <v>13</v>
      </c>
      <c r="C46">
        <v>2023</v>
      </c>
      <c r="D46">
        <v>8.1</v>
      </c>
    </row>
    <row r="47" spans="1:4">
      <c r="A47" t="s">
        <v>308</v>
      </c>
      <c r="B47" t="s">
        <v>13</v>
      </c>
      <c r="C47">
        <v>2024</v>
      </c>
      <c r="D47">
        <v>11.2</v>
      </c>
    </row>
    <row r="48" spans="1:4">
      <c r="A48" t="s">
        <v>308</v>
      </c>
      <c r="B48" t="s">
        <v>16</v>
      </c>
      <c r="C48">
        <v>2019</v>
      </c>
      <c r="D48">
        <v>4.4999999999999998E-2</v>
      </c>
    </row>
    <row r="49" spans="1:4">
      <c r="A49" t="s">
        <v>308</v>
      </c>
      <c r="B49" t="s">
        <v>16</v>
      </c>
      <c r="C49">
        <v>2020</v>
      </c>
      <c r="D49">
        <v>0.185</v>
      </c>
    </row>
    <row r="50" spans="1:4">
      <c r="A50" t="s">
        <v>308</v>
      </c>
      <c r="B50" t="s">
        <v>16</v>
      </c>
      <c r="C50">
        <v>2021</v>
      </c>
      <c r="D50">
        <v>0.315</v>
      </c>
    </row>
    <row r="51" spans="1:4">
      <c r="A51" t="s">
        <v>308</v>
      </c>
      <c r="B51" t="s">
        <v>16</v>
      </c>
      <c r="C51">
        <v>2022</v>
      </c>
      <c r="D51">
        <v>0.4</v>
      </c>
    </row>
    <row r="52" spans="1:4">
      <c r="A52" t="s">
        <v>308</v>
      </c>
      <c r="B52" t="s">
        <v>16</v>
      </c>
      <c r="C52">
        <v>2023</v>
      </c>
      <c r="D52">
        <v>0.47</v>
      </c>
    </row>
    <row r="53" spans="1:4">
      <c r="A53" t="s">
        <v>308</v>
      </c>
      <c r="B53" t="s">
        <v>16</v>
      </c>
      <c r="C53">
        <v>2024</v>
      </c>
      <c r="D53">
        <v>0.29114299999999999</v>
      </c>
    </row>
    <row r="54" spans="1:4">
      <c r="A54" t="s">
        <v>308</v>
      </c>
      <c r="B54" t="s">
        <v>17</v>
      </c>
      <c r="C54">
        <v>2019</v>
      </c>
      <c r="D54">
        <v>7.4999999999999997E-2</v>
      </c>
    </row>
    <row r="55" spans="1:4">
      <c r="A55" t="s">
        <v>308</v>
      </c>
      <c r="B55" t="s">
        <v>17</v>
      </c>
      <c r="C55">
        <v>2020</v>
      </c>
      <c r="D55">
        <v>0.39800000000000002</v>
      </c>
    </row>
    <row r="56" spans="1:4">
      <c r="A56" t="s">
        <v>308</v>
      </c>
      <c r="B56" t="s">
        <v>17</v>
      </c>
      <c r="C56">
        <v>2021</v>
      </c>
      <c r="D56">
        <v>0.68100000000000005</v>
      </c>
    </row>
    <row r="57" spans="1:4">
      <c r="A57" t="s">
        <v>308</v>
      </c>
      <c r="B57" t="s">
        <v>17</v>
      </c>
      <c r="C57">
        <v>2022</v>
      </c>
      <c r="D57">
        <v>0.83</v>
      </c>
    </row>
    <row r="58" spans="1:4">
      <c r="A58" t="s">
        <v>308</v>
      </c>
      <c r="B58" t="s">
        <v>17</v>
      </c>
      <c r="C58">
        <v>2023</v>
      </c>
      <c r="D58">
        <v>0.7</v>
      </c>
    </row>
    <row r="59" spans="1:4">
      <c r="A59" t="s">
        <v>308</v>
      </c>
      <c r="B59" t="s">
        <v>17</v>
      </c>
      <c r="C59">
        <v>2024</v>
      </c>
      <c r="D59">
        <v>0.38060899999999998</v>
      </c>
    </row>
    <row r="60" spans="1:4">
      <c r="A60" t="s">
        <v>308</v>
      </c>
      <c r="B60" t="s">
        <v>18</v>
      </c>
      <c r="C60">
        <v>2019</v>
      </c>
      <c r="D60">
        <v>1E-3</v>
      </c>
    </row>
    <row r="61" spans="1:4">
      <c r="A61" t="s">
        <v>308</v>
      </c>
      <c r="B61" t="s">
        <v>18</v>
      </c>
      <c r="C61">
        <v>2020</v>
      </c>
      <c r="D61">
        <v>2E-3</v>
      </c>
    </row>
    <row r="62" spans="1:4">
      <c r="A62" t="s">
        <v>308</v>
      </c>
      <c r="B62" t="s">
        <v>18</v>
      </c>
      <c r="C62">
        <v>2021</v>
      </c>
      <c r="D62">
        <v>5.0000000000000001E-3</v>
      </c>
    </row>
    <row r="63" spans="1:4">
      <c r="A63" t="s">
        <v>308</v>
      </c>
      <c r="B63" t="s">
        <v>18</v>
      </c>
      <c r="C63">
        <v>2022</v>
      </c>
      <c r="D63">
        <v>1.2999999999999999E-2</v>
      </c>
    </row>
    <row r="64" spans="1:4">
      <c r="A64" t="s">
        <v>308</v>
      </c>
      <c r="B64" t="s">
        <v>18</v>
      </c>
      <c r="C64">
        <v>2023</v>
      </c>
      <c r="D64">
        <v>1.7000000000000001E-2</v>
      </c>
    </row>
    <row r="65" spans="1:4">
      <c r="A65" t="s">
        <v>308</v>
      </c>
      <c r="B65" t="s">
        <v>20</v>
      </c>
      <c r="C65">
        <v>2019</v>
      </c>
      <c r="D65">
        <v>2E-3</v>
      </c>
    </row>
    <row r="66" spans="1:4">
      <c r="A66" t="s">
        <v>308</v>
      </c>
      <c r="B66" t="s">
        <v>20</v>
      </c>
      <c r="C66">
        <v>2020</v>
      </c>
      <c r="D66">
        <v>4.0000000000000001E-3</v>
      </c>
    </row>
    <row r="67" spans="1:4">
      <c r="A67" t="s">
        <v>308</v>
      </c>
      <c r="B67" t="s">
        <v>20</v>
      </c>
      <c r="C67">
        <v>2021</v>
      </c>
      <c r="D67">
        <v>8.0000000000000002E-3</v>
      </c>
    </row>
    <row r="68" spans="1:4">
      <c r="A68" t="s">
        <v>308</v>
      </c>
      <c r="B68" t="s">
        <v>20</v>
      </c>
      <c r="C68">
        <v>2022</v>
      </c>
      <c r="D68">
        <v>1.0999999999999999E-2</v>
      </c>
    </row>
    <row r="69" spans="1:4">
      <c r="A69" t="s">
        <v>308</v>
      </c>
      <c r="B69" t="s">
        <v>20</v>
      </c>
      <c r="C69">
        <v>2023</v>
      </c>
      <c r="D69">
        <v>1.24E-2</v>
      </c>
    </row>
    <row r="70" spans="1:4">
      <c r="A70" t="s">
        <v>308</v>
      </c>
      <c r="B70" t="s">
        <v>21</v>
      </c>
      <c r="C70">
        <v>2019</v>
      </c>
      <c r="D70">
        <v>1.56E-3</v>
      </c>
    </row>
    <row r="71" spans="1:4">
      <c r="A71" t="s">
        <v>308</v>
      </c>
      <c r="B71" t="s">
        <v>21</v>
      </c>
      <c r="C71">
        <v>2020</v>
      </c>
      <c r="D71">
        <v>5.0000000000000001E-3</v>
      </c>
    </row>
    <row r="72" spans="1:4">
      <c r="A72" t="s">
        <v>308</v>
      </c>
      <c r="B72" t="s">
        <v>21</v>
      </c>
      <c r="C72">
        <v>2021</v>
      </c>
      <c r="D72">
        <v>1.6E-2</v>
      </c>
    </row>
    <row r="73" spans="1:4">
      <c r="A73" t="s">
        <v>308</v>
      </c>
      <c r="B73" t="s">
        <v>21</v>
      </c>
      <c r="C73">
        <v>2022</v>
      </c>
      <c r="D73">
        <v>5.0999999999999997E-2</v>
      </c>
    </row>
    <row r="74" spans="1:4">
      <c r="A74" t="s">
        <v>308</v>
      </c>
      <c r="B74" t="s">
        <v>21</v>
      </c>
      <c r="C74">
        <v>2023</v>
      </c>
      <c r="D74">
        <v>8.2269999999999996E-2</v>
      </c>
    </row>
    <row r="75" spans="1:4">
      <c r="A75" t="s">
        <v>308</v>
      </c>
      <c r="B75" t="s">
        <v>23</v>
      </c>
      <c r="C75">
        <v>2019</v>
      </c>
      <c r="D75">
        <v>6.0000000000000001E-3</v>
      </c>
    </row>
    <row r="76" spans="1:4">
      <c r="A76" t="s">
        <v>308</v>
      </c>
      <c r="B76" t="s">
        <v>23</v>
      </c>
      <c r="C76">
        <v>2020</v>
      </c>
      <c r="D76">
        <v>3.2000000000000001E-2</v>
      </c>
    </row>
    <row r="77" spans="1:4">
      <c r="A77" t="s">
        <v>308</v>
      </c>
      <c r="B77" t="s">
        <v>23</v>
      </c>
      <c r="C77">
        <v>2021</v>
      </c>
      <c r="D77">
        <v>6.7000000000000004E-2</v>
      </c>
    </row>
    <row r="78" spans="1:4">
      <c r="A78" t="s">
        <v>308</v>
      </c>
      <c r="B78" t="s">
        <v>23</v>
      </c>
      <c r="C78">
        <v>2022</v>
      </c>
      <c r="D78">
        <v>0.11</v>
      </c>
    </row>
    <row r="79" spans="1:4">
      <c r="A79" t="s">
        <v>308</v>
      </c>
      <c r="B79" t="s">
        <v>23</v>
      </c>
      <c r="C79">
        <v>2023</v>
      </c>
      <c r="D79" s="25">
        <v>0.13600000000000001</v>
      </c>
    </row>
    <row r="80" spans="1:4">
      <c r="A80" t="s">
        <v>308</v>
      </c>
      <c r="B80" t="s">
        <v>23</v>
      </c>
      <c r="C80">
        <v>2024</v>
      </c>
      <c r="D80">
        <v>6.4982999999999999E-2</v>
      </c>
    </row>
    <row r="81" spans="1:4">
      <c r="A81" t="s">
        <v>308</v>
      </c>
      <c r="B81" t="s">
        <v>24</v>
      </c>
      <c r="C81">
        <v>2019</v>
      </c>
      <c r="D81">
        <v>2.1999999999999999E-2</v>
      </c>
    </row>
    <row r="82" spans="1:4">
      <c r="A82" t="s">
        <v>308</v>
      </c>
      <c r="B82" t="s">
        <v>24</v>
      </c>
      <c r="C82">
        <v>2020</v>
      </c>
      <c r="D82">
        <v>2.9000000000000001E-2</v>
      </c>
    </row>
    <row r="83" spans="1:4">
      <c r="A83" t="s">
        <v>308</v>
      </c>
      <c r="B83" t="s">
        <v>24</v>
      </c>
      <c r="C83">
        <v>2021</v>
      </c>
      <c r="D83">
        <v>4.3999999999999997E-2</v>
      </c>
    </row>
    <row r="84" spans="1:4">
      <c r="A84" t="s">
        <v>308</v>
      </c>
      <c r="B84" t="s">
        <v>24</v>
      </c>
      <c r="C84">
        <v>2022</v>
      </c>
      <c r="D84">
        <v>9.1999999999999998E-2</v>
      </c>
    </row>
    <row r="85" spans="1:4">
      <c r="A85" t="s">
        <v>308</v>
      </c>
      <c r="B85" t="s">
        <v>24</v>
      </c>
      <c r="C85">
        <v>2023</v>
      </c>
      <c r="D85">
        <v>0.14030000000000001</v>
      </c>
    </row>
    <row r="86" spans="1:4">
      <c r="A86" t="s">
        <v>308</v>
      </c>
      <c r="B86" t="s">
        <v>25</v>
      </c>
      <c r="C86">
        <v>2019</v>
      </c>
      <c r="D86" s="25">
        <v>5.0000000000000002E-5</v>
      </c>
    </row>
    <row r="87" spans="1:4">
      <c r="A87" t="s">
        <v>308</v>
      </c>
      <c r="B87" t="s">
        <v>25</v>
      </c>
      <c r="C87">
        <v>2020</v>
      </c>
      <c r="D87">
        <v>1E-4</v>
      </c>
    </row>
    <row r="88" spans="1:4">
      <c r="A88" t="s">
        <v>308</v>
      </c>
      <c r="B88" t="s">
        <v>25</v>
      </c>
      <c r="C88">
        <v>2021</v>
      </c>
      <c r="D88">
        <v>2.9999999999999997E-4</v>
      </c>
    </row>
    <row r="89" spans="1:4">
      <c r="A89" t="s">
        <v>308</v>
      </c>
      <c r="B89" t="s">
        <v>25</v>
      </c>
      <c r="C89">
        <v>2022</v>
      </c>
      <c r="D89">
        <v>5.9999999999999995E-4</v>
      </c>
    </row>
    <row r="90" spans="1:4">
      <c r="A90" t="s">
        <v>308</v>
      </c>
      <c r="B90" t="s">
        <v>25</v>
      </c>
      <c r="C90">
        <v>2023</v>
      </c>
      <c r="D90">
        <v>9.2000000000000003E-4</v>
      </c>
    </row>
    <row r="91" spans="1:4">
      <c r="A91" t="s">
        <v>308</v>
      </c>
      <c r="B91" t="s">
        <v>26</v>
      </c>
      <c r="C91">
        <v>2019</v>
      </c>
      <c r="D91">
        <v>2.5000000000000001E-3</v>
      </c>
    </row>
    <row r="92" spans="1:4">
      <c r="A92" t="s">
        <v>308</v>
      </c>
      <c r="B92" t="s">
        <v>26</v>
      </c>
      <c r="C92">
        <v>2020</v>
      </c>
      <c r="D92">
        <v>8.0000000000000002E-3</v>
      </c>
    </row>
    <row r="93" spans="1:4">
      <c r="A93" t="s">
        <v>308</v>
      </c>
      <c r="B93" t="s">
        <v>26</v>
      </c>
      <c r="C93">
        <v>2021</v>
      </c>
      <c r="D93">
        <v>0.02</v>
      </c>
    </row>
    <row r="94" spans="1:4">
      <c r="A94" t="s">
        <v>308</v>
      </c>
      <c r="B94" t="s">
        <v>26</v>
      </c>
      <c r="C94">
        <v>2022</v>
      </c>
      <c r="D94">
        <v>0.04</v>
      </c>
    </row>
    <row r="95" spans="1:4">
      <c r="A95" t="s">
        <v>308</v>
      </c>
      <c r="B95" t="s">
        <v>26</v>
      </c>
      <c r="C95">
        <v>2023</v>
      </c>
      <c r="D95">
        <v>6.5000000000000002E-2</v>
      </c>
    </row>
    <row r="96" spans="1:4">
      <c r="A96" t="s">
        <v>308</v>
      </c>
      <c r="B96" t="s">
        <v>27</v>
      </c>
      <c r="C96">
        <v>2019</v>
      </c>
      <c r="D96">
        <v>0.38819999999999999</v>
      </c>
    </row>
    <row r="97" spans="1:4">
      <c r="A97" t="s">
        <v>308</v>
      </c>
      <c r="B97" t="s">
        <v>27</v>
      </c>
      <c r="C97">
        <v>2020</v>
      </c>
      <c r="D97">
        <v>0.38</v>
      </c>
    </row>
    <row r="98" spans="1:4">
      <c r="A98" t="s">
        <v>308</v>
      </c>
      <c r="B98" t="s">
        <v>27</v>
      </c>
      <c r="C98">
        <v>2021</v>
      </c>
      <c r="D98">
        <v>0.75600000000000001</v>
      </c>
    </row>
    <row r="99" spans="1:4">
      <c r="A99" t="s">
        <v>308</v>
      </c>
      <c r="B99" t="s">
        <v>27</v>
      </c>
      <c r="C99">
        <v>2022</v>
      </c>
      <c r="D99">
        <v>1.0660000000000001</v>
      </c>
    </row>
    <row r="100" spans="1:4">
      <c r="A100" t="s">
        <v>308</v>
      </c>
      <c r="B100" t="s">
        <v>27</v>
      </c>
      <c r="C100">
        <v>2023</v>
      </c>
      <c r="D100">
        <v>1.5762</v>
      </c>
    </row>
    <row r="101" spans="1:4">
      <c r="A101" t="s">
        <v>308</v>
      </c>
      <c r="B101" t="s">
        <v>27</v>
      </c>
      <c r="C101">
        <v>2024</v>
      </c>
      <c r="D101">
        <v>1.3</v>
      </c>
    </row>
    <row r="102" spans="1:4">
      <c r="A102" t="s">
        <v>308</v>
      </c>
      <c r="B102" t="s">
        <v>28</v>
      </c>
      <c r="C102">
        <v>2019</v>
      </c>
      <c r="D102">
        <v>6.0316000000000002E-2</v>
      </c>
    </row>
    <row r="103" spans="1:4">
      <c r="A103" t="s">
        <v>308</v>
      </c>
      <c r="B103" t="s">
        <v>28</v>
      </c>
      <c r="C103">
        <v>2020</v>
      </c>
      <c r="D103">
        <v>0.106</v>
      </c>
    </row>
    <row r="104" spans="1:4">
      <c r="A104" t="s">
        <v>308</v>
      </c>
      <c r="B104" t="s">
        <v>28</v>
      </c>
      <c r="C104">
        <v>2021</v>
      </c>
      <c r="D104">
        <v>0.13900000000000001</v>
      </c>
    </row>
    <row r="105" spans="1:4">
      <c r="A105" t="s">
        <v>308</v>
      </c>
      <c r="B105" t="s">
        <v>28</v>
      </c>
      <c r="C105">
        <v>2022</v>
      </c>
      <c r="D105">
        <v>0.13500000000000001</v>
      </c>
    </row>
    <row r="106" spans="1:4">
      <c r="A106" t="s">
        <v>308</v>
      </c>
      <c r="B106" t="s">
        <v>28</v>
      </c>
      <c r="C106">
        <v>2023</v>
      </c>
      <c r="D106">
        <v>0.11</v>
      </c>
    </row>
    <row r="107" spans="1:4">
      <c r="A107" t="s">
        <v>308</v>
      </c>
      <c r="B107" t="s">
        <v>28</v>
      </c>
      <c r="C107">
        <v>2024</v>
      </c>
      <c r="D107">
        <v>0.114409</v>
      </c>
    </row>
    <row r="108" spans="1:4">
      <c r="A108" t="s">
        <v>308</v>
      </c>
      <c r="B108" t="s">
        <v>29</v>
      </c>
      <c r="C108">
        <v>2019</v>
      </c>
      <c r="D108">
        <v>2E-3</v>
      </c>
    </row>
    <row r="109" spans="1:4">
      <c r="A109" t="s">
        <v>308</v>
      </c>
      <c r="B109" t="s">
        <v>29</v>
      </c>
      <c r="C109">
        <v>2020</v>
      </c>
      <c r="D109">
        <v>8.0000000000000002E-3</v>
      </c>
    </row>
    <row r="110" spans="1:4">
      <c r="A110" t="s">
        <v>308</v>
      </c>
      <c r="B110" t="s">
        <v>29</v>
      </c>
      <c r="C110">
        <v>2021</v>
      </c>
      <c r="D110">
        <v>1.2E-2</v>
      </c>
    </row>
    <row r="111" spans="1:4">
      <c r="A111" t="s">
        <v>308</v>
      </c>
      <c r="B111" t="s">
        <v>29</v>
      </c>
      <c r="C111">
        <v>2022</v>
      </c>
      <c r="D111">
        <v>2.4E-2</v>
      </c>
    </row>
    <row r="112" spans="1:4">
      <c r="A112" t="s">
        <v>308</v>
      </c>
      <c r="B112" t="s">
        <v>29</v>
      </c>
      <c r="C112">
        <v>2023</v>
      </c>
      <c r="D112">
        <v>3.0099999999999998E-2</v>
      </c>
    </row>
    <row r="113" spans="1:4">
      <c r="A113" t="s">
        <v>308</v>
      </c>
      <c r="B113" t="s">
        <v>30</v>
      </c>
      <c r="C113">
        <v>2019</v>
      </c>
      <c r="D113">
        <v>9.5999999999999992E-3</v>
      </c>
    </row>
    <row r="114" spans="1:4">
      <c r="A114" t="s">
        <v>308</v>
      </c>
      <c r="B114" t="s">
        <v>30</v>
      </c>
      <c r="C114">
        <v>2020</v>
      </c>
      <c r="D114">
        <v>3.3000000000000002E-2</v>
      </c>
    </row>
    <row r="115" spans="1:4">
      <c r="A115" t="s">
        <v>308</v>
      </c>
      <c r="B115" t="s">
        <v>30</v>
      </c>
      <c r="C115">
        <v>2021</v>
      </c>
      <c r="D115">
        <v>0.121</v>
      </c>
    </row>
    <row r="116" spans="1:4">
      <c r="A116" t="s">
        <v>308</v>
      </c>
      <c r="B116" t="s">
        <v>30</v>
      </c>
      <c r="C116">
        <v>2022</v>
      </c>
      <c r="D116">
        <v>0.157</v>
      </c>
    </row>
    <row r="117" spans="1:4">
      <c r="A117" t="s">
        <v>308</v>
      </c>
      <c r="B117" t="s">
        <v>30</v>
      </c>
      <c r="C117">
        <v>2023</v>
      </c>
      <c r="D117">
        <v>0.17430000000000001</v>
      </c>
    </row>
    <row r="118" spans="1:4">
      <c r="A118" t="s">
        <v>308</v>
      </c>
      <c r="B118" t="s">
        <v>33</v>
      </c>
      <c r="C118">
        <v>2019</v>
      </c>
      <c r="D118">
        <v>1E-4</v>
      </c>
    </row>
    <row r="119" spans="1:4">
      <c r="A119" t="s">
        <v>308</v>
      </c>
      <c r="B119" t="s">
        <v>33</v>
      </c>
      <c r="C119">
        <v>2020</v>
      </c>
      <c r="D119">
        <v>2.0000000000000001E-4</v>
      </c>
    </row>
    <row r="120" spans="1:4">
      <c r="A120" t="s">
        <v>308</v>
      </c>
      <c r="B120" t="s">
        <v>33</v>
      </c>
      <c r="C120">
        <v>2021</v>
      </c>
      <c r="D120">
        <v>4.0000000000000002E-4</v>
      </c>
    </row>
    <row r="121" spans="1:4">
      <c r="A121" t="s">
        <v>308</v>
      </c>
      <c r="B121" t="s">
        <v>33</v>
      </c>
      <c r="C121">
        <v>2022</v>
      </c>
      <c r="D121">
        <v>8.0000000000000004E-4</v>
      </c>
    </row>
    <row r="122" spans="1:4">
      <c r="A122" t="s">
        <v>308</v>
      </c>
      <c r="B122" t="s">
        <v>33</v>
      </c>
      <c r="C122">
        <v>2023</v>
      </c>
      <c r="D122">
        <v>1.08E-3</v>
      </c>
    </row>
    <row r="123" spans="1:4">
      <c r="A123" t="s">
        <v>308</v>
      </c>
      <c r="B123" t="s">
        <v>34</v>
      </c>
      <c r="C123">
        <v>2019</v>
      </c>
      <c r="D123">
        <v>8.5000000000000006E-3</v>
      </c>
    </row>
    <row r="124" spans="1:4">
      <c r="A124" t="s">
        <v>308</v>
      </c>
      <c r="B124" t="s">
        <v>34</v>
      </c>
      <c r="C124">
        <v>2020</v>
      </c>
      <c r="D124">
        <v>3.3000000000000002E-2</v>
      </c>
    </row>
    <row r="125" spans="1:4">
      <c r="A125" t="s">
        <v>308</v>
      </c>
      <c r="B125" t="s">
        <v>34</v>
      </c>
      <c r="C125">
        <v>2021</v>
      </c>
      <c r="D125">
        <v>7.2999999999999995E-2</v>
      </c>
    </row>
    <row r="126" spans="1:4">
      <c r="A126" t="s">
        <v>308</v>
      </c>
      <c r="B126" t="s">
        <v>34</v>
      </c>
      <c r="C126">
        <v>2022</v>
      </c>
      <c r="D126">
        <v>0.13</v>
      </c>
    </row>
    <row r="127" spans="1:4">
      <c r="A127" t="s">
        <v>308</v>
      </c>
      <c r="B127" t="s">
        <v>34</v>
      </c>
      <c r="C127">
        <v>2023</v>
      </c>
      <c r="D127">
        <v>0.185</v>
      </c>
    </row>
    <row r="128" spans="1:4">
      <c r="A128" t="s">
        <v>308</v>
      </c>
      <c r="B128" t="s">
        <v>35</v>
      </c>
      <c r="C128">
        <v>2019</v>
      </c>
      <c r="D128">
        <v>0.04</v>
      </c>
    </row>
    <row r="129" spans="1:4">
      <c r="A129" t="s">
        <v>308</v>
      </c>
      <c r="B129" t="s">
        <v>35</v>
      </c>
      <c r="C129">
        <v>2020</v>
      </c>
      <c r="D129">
        <v>0.122</v>
      </c>
    </row>
    <row r="130" spans="1:4">
      <c r="A130" t="s">
        <v>308</v>
      </c>
      <c r="B130" t="s">
        <v>35</v>
      </c>
      <c r="C130">
        <v>2021</v>
      </c>
      <c r="D130">
        <v>0.19400000000000001</v>
      </c>
    </row>
    <row r="131" spans="1:4">
      <c r="A131" t="s">
        <v>308</v>
      </c>
      <c r="B131" t="s">
        <v>35</v>
      </c>
      <c r="C131">
        <v>2022</v>
      </c>
      <c r="D131">
        <v>0.26200000000000001</v>
      </c>
    </row>
    <row r="132" spans="1:4">
      <c r="A132" t="s">
        <v>308</v>
      </c>
      <c r="B132" t="s">
        <v>35</v>
      </c>
      <c r="C132">
        <v>2023</v>
      </c>
      <c r="D132">
        <v>0.29899999999999999</v>
      </c>
    </row>
    <row r="133" spans="1:4">
      <c r="A133" t="s">
        <v>308</v>
      </c>
      <c r="B133" t="s">
        <v>35</v>
      </c>
      <c r="C133">
        <v>2024</v>
      </c>
      <c r="D133">
        <v>9.4331999999999999E-2</v>
      </c>
    </row>
    <row r="134" spans="1:4">
      <c r="A134" t="s">
        <v>308</v>
      </c>
      <c r="B134" t="s">
        <v>36</v>
      </c>
      <c r="C134">
        <v>2019</v>
      </c>
      <c r="D134">
        <v>8.5000000000000006E-3</v>
      </c>
    </row>
    <row r="135" spans="1:4">
      <c r="A135" t="s">
        <v>308</v>
      </c>
      <c r="B135" t="s">
        <v>36</v>
      </c>
      <c r="C135">
        <v>2020</v>
      </c>
      <c r="D135">
        <v>2.8000000000000001E-2</v>
      </c>
    </row>
    <row r="136" spans="1:4">
      <c r="A136" t="s">
        <v>308</v>
      </c>
      <c r="B136" t="s">
        <v>36</v>
      </c>
      <c r="C136">
        <v>2021</v>
      </c>
      <c r="D136">
        <v>4.8000000000000001E-2</v>
      </c>
    </row>
    <row r="137" spans="1:4">
      <c r="A137" t="s">
        <v>308</v>
      </c>
      <c r="B137" t="s">
        <v>36</v>
      </c>
      <c r="C137">
        <v>2022</v>
      </c>
      <c r="D137">
        <v>6.2E-2</v>
      </c>
    </row>
    <row r="138" spans="1:4">
      <c r="A138" t="s">
        <v>308</v>
      </c>
      <c r="B138" t="s">
        <v>36</v>
      </c>
      <c r="C138">
        <v>2023</v>
      </c>
      <c r="D138">
        <v>7.5999999999999998E-2</v>
      </c>
    </row>
    <row r="139" spans="1:4">
      <c r="A139" t="s">
        <v>308</v>
      </c>
      <c r="B139" t="s">
        <v>37</v>
      </c>
      <c r="C139">
        <v>2019</v>
      </c>
      <c r="D139">
        <v>1E-3</v>
      </c>
    </row>
    <row r="140" spans="1:4">
      <c r="A140" t="s">
        <v>308</v>
      </c>
      <c r="B140" t="s">
        <v>37</v>
      </c>
      <c r="C140">
        <v>2020</v>
      </c>
      <c r="D140">
        <v>2E-3</v>
      </c>
    </row>
    <row r="141" spans="1:4">
      <c r="A141" t="s">
        <v>308</v>
      </c>
      <c r="B141" t="s">
        <v>37</v>
      </c>
      <c r="C141">
        <v>2021</v>
      </c>
      <c r="D141">
        <v>5.0000000000000001E-3</v>
      </c>
    </row>
    <row r="142" spans="1:4">
      <c r="A142" t="s">
        <v>308</v>
      </c>
      <c r="B142" t="s">
        <v>37</v>
      </c>
      <c r="C142">
        <v>2022</v>
      </c>
      <c r="D142">
        <v>3.5000000000000003E-2</v>
      </c>
    </row>
    <row r="143" spans="1:4">
      <c r="A143" t="s">
        <v>308</v>
      </c>
      <c r="B143" t="s">
        <v>37</v>
      </c>
      <c r="C143">
        <v>2023</v>
      </c>
      <c r="D143">
        <v>6.8699999999999997E-2</v>
      </c>
    </row>
    <row r="144" spans="1:4">
      <c r="A144" t="s">
        <v>308</v>
      </c>
      <c r="B144" t="s">
        <v>38</v>
      </c>
      <c r="C144">
        <v>2019</v>
      </c>
      <c r="D144">
        <v>3.7999999999999999E-2</v>
      </c>
    </row>
    <row r="145" spans="1:4">
      <c r="A145" t="s">
        <v>308</v>
      </c>
      <c r="B145" t="s">
        <v>38</v>
      </c>
      <c r="C145">
        <v>2020</v>
      </c>
      <c r="D145">
        <v>0.17599999999999999</v>
      </c>
    </row>
    <row r="146" spans="1:4">
      <c r="A146" t="s">
        <v>308</v>
      </c>
      <c r="B146" t="s">
        <v>38</v>
      </c>
      <c r="C146">
        <v>2021</v>
      </c>
      <c r="D146">
        <v>0.191</v>
      </c>
    </row>
    <row r="147" spans="1:4">
      <c r="A147" t="s">
        <v>308</v>
      </c>
      <c r="B147" t="s">
        <v>38</v>
      </c>
      <c r="C147">
        <v>2022</v>
      </c>
      <c r="D147">
        <v>0.37</v>
      </c>
    </row>
    <row r="148" spans="1:4">
      <c r="A148" t="s">
        <v>308</v>
      </c>
      <c r="B148" t="s">
        <v>38</v>
      </c>
      <c r="C148">
        <v>2023</v>
      </c>
      <c r="D148">
        <v>0.45</v>
      </c>
    </row>
    <row r="149" spans="1:4">
      <c r="A149" t="s">
        <v>308</v>
      </c>
      <c r="B149" t="s">
        <v>38</v>
      </c>
      <c r="C149">
        <v>2024</v>
      </c>
      <c r="D149">
        <v>0.38196999999999998</v>
      </c>
    </row>
    <row r="150" spans="1:4">
      <c r="A150" t="s">
        <v>309</v>
      </c>
      <c r="B150" t="s">
        <v>8</v>
      </c>
      <c r="C150">
        <v>2018</v>
      </c>
      <c r="D150">
        <v>1.4999999999999999E-2</v>
      </c>
    </row>
    <row r="151" spans="1:4">
      <c r="A151" t="s">
        <v>309</v>
      </c>
      <c r="B151" t="s">
        <v>9</v>
      </c>
      <c r="C151">
        <v>2018</v>
      </c>
      <c r="D151">
        <v>0.03</v>
      </c>
    </row>
    <row r="152" spans="1:4">
      <c r="A152" t="s">
        <v>309</v>
      </c>
      <c r="B152" t="s">
        <v>11</v>
      </c>
      <c r="C152">
        <v>2018</v>
      </c>
      <c r="D152">
        <v>0.16</v>
      </c>
    </row>
    <row r="153" spans="1:4">
      <c r="A153" t="s">
        <v>309</v>
      </c>
      <c r="B153" t="s">
        <v>12</v>
      </c>
      <c r="C153">
        <v>2018</v>
      </c>
      <c r="D153">
        <v>8.0000000000000002E-3</v>
      </c>
    </row>
    <row r="154" spans="1:4">
      <c r="A154" t="s">
        <v>309</v>
      </c>
      <c r="B154" t="s">
        <v>13</v>
      </c>
      <c r="C154">
        <v>2018</v>
      </c>
      <c r="D154">
        <v>2.6</v>
      </c>
    </row>
    <row r="155" spans="1:4">
      <c r="A155" t="s">
        <v>309</v>
      </c>
      <c r="B155" t="s">
        <v>16</v>
      </c>
      <c r="C155">
        <v>2018</v>
      </c>
      <c r="D155">
        <v>0.15</v>
      </c>
    </row>
    <row r="156" spans="1:4">
      <c r="A156" t="s">
        <v>309</v>
      </c>
      <c r="B156" t="s">
        <v>17</v>
      </c>
      <c r="C156">
        <v>2018</v>
      </c>
      <c r="D156">
        <v>0.2</v>
      </c>
    </row>
    <row r="157" spans="1:4">
      <c r="A157" t="s">
        <v>309</v>
      </c>
      <c r="B157" t="s">
        <v>18</v>
      </c>
      <c r="C157">
        <v>2018</v>
      </c>
      <c r="D157">
        <v>3.0000000000000001E-3</v>
      </c>
    </row>
    <row r="158" spans="1:4">
      <c r="A158" t="s">
        <v>309</v>
      </c>
      <c r="B158" t="s">
        <v>20</v>
      </c>
      <c r="C158">
        <v>2018</v>
      </c>
      <c r="D158">
        <v>8.0000000000000002E-3</v>
      </c>
    </row>
    <row r="159" spans="1:4">
      <c r="A159" t="s">
        <v>309</v>
      </c>
      <c r="B159" t="s">
        <v>21</v>
      </c>
      <c r="C159">
        <v>2018</v>
      </c>
      <c r="D159">
        <v>8.0000000000000002E-3</v>
      </c>
    </row>
    <row r="160" spans="1:4">
      <c r="A160" t="s">
        <v>309</v>
      </c>
      <c r="B160" t="s">
        <v>23</v>
      </c>
      <c r="C160">
        <v>2018</v>
      </c>
      <c r="D160">
        <v>2.5000000000000001E-2</v>
      </c>
    </row>
    <row r="161" spans="1:4">
      <c r="A161" t="s">
        <v>309</v>
      </c>
      <c r="B161" t="s">
        <v>24</v>
      </c>
      <c r="C161">
        <v>2018</v>
      </c>
      <c r="D161">
        <v>0.06</v>
      </c>
    </row>
    <row r="162" spans="1:4">
      <c r="A162" t="s">
        <v>309</v>
      </c>
      <c r="B162" t="s">
        <v>25</v>
      </c>
      <c r="C162">
        <v>2018</v>
      </c>
      <c r="D162">
        <v>2.9999999999999997E-4</v>
      </c>
    </row>
    <row r="163" spans="1:4">
      <c r="A163" t="s">
        <v>309</v>
      </c>
      <c r="B163" t="s">
        <v>26</v>
      </c>
      <c r="C163">
        <v>2018</v>
      </c>
      <c r="D163">
        <v>8.0000000000000002E-3</v>
      </c>
    </row>
    <row r="164" spans="1:4">
      <c r="A164" t="s">
        <v>309</v>
      </c>
      <c r="B164" t="s">
        <v>27</v>
      </c>
      <c r="C164">
        <v>2018</v>
      </c>
      <c r="D164">
        <v>1.0714999999999999</v>
      </c>
    </row>
    <row r="165" spans="1:4">
      <c r="A165" t="s">
        <v>309</v>
      </c>
      <c r="B165" t="s">
        <v>28</v>
      </c>
      <c r="C165">
        <v>2018</v>
      </c>
      <c r="D165">
        <v>0.2</v>
      </c>
    </row>
    <row r="166" spans="1:4">
      <c r="A166" t="s">
        <v>309</v>
      </c>
      <c r="B166" t="s">
        <v>29</v>
      </c>
      <c r="C166">
        <v>2018</v>
      </c>
      <c r="D166">
        <v>8.0000000000000002E-3</v>
      </c>
    </row>
    <row r="167" spans="1:4">
      <c r="A167" t="s">
        <v>309</v>
      </c>
      <c r="B167" t="s">
        <v>30</v>
      </c>
      <c r="C167">
        <v>2018</v>
      </c>
      <c r="D167">
        <v>5.8000000000000003E-2</v>
      </c>
    </row>
    <row r="168" spans="1:4">
      <c r="A168" t="s">
        <v>309</v>
      </c>
      <c r="B168" t="s">
        <v>33</v>
      </c>
      <c r="C168">
        <v>2018</v>
      </c>
      <c r="D168">
        <v>5.0000000000000001E-4</v>
      </c>
    </row>
    <row r="169" spans="1:4">
      <c r="A169" t="s">
        <v>309</v>
      </c>
      <c r="B169" t="s">
        <v>34</v>
      </c>
      <c r="C169">
        <v>2018</v>
      </c>
      <c r="D169">
        <v>3.5000000000000003E-2</v>
      </c>
    </row>
    <row r="170" spans="1:4">
      <c r="A170" t="s">
        <v>309</v>
      </c>
      <c r="B170" t="s">
        <v>35</v>
      </c>
      <c r="C170">
        <v>2018</v>
      </c>
      <c r="D170">
        <v>0.11700000000000001</v>
      </c>
    </row>
    <row r="171" spans="1:4">
      <c r="A171" t="s">
        <v>309</v>
      </c>
      <c r="B171" t="s">
        <v>36</v>
      </c>
      <c r="C171">
        <v>2018</v>
      </c>
      <c r="D171">
        <v>3.5000000000000003E-2</v>
      </c>
    </row>
    <row r="172" spans="1:4">
      <c r="A172" t="s">
        <v>309</v>
      </c>
      <c r="B172" t="s">
        <v>37</v>
      </c>
      <c r="C172">
        <v>2018</v>
      </c>
      <c r="D172">
        <v>3.0000000000000001E-3</v>
      </c>
    </row>
    <row r="173" spans="1:4">
      <c r="A173" t="s">
        <v>309</v>
      </c>
      <c r="B173" t="s">
        <v>38</v>
      </c>
      <c r="C173">
        <v>2018</v>
      </c>
      <c r="D173">
        <v>0.13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>
    <tabColor theme="3"/>
  </sheetPr>
  <dimension ref="B1:O14"/>
  <sheetViews>
    <sheetView zoomScale="56" zoomScaleNormal="56" workbookViewId="0">
      <selection activeCell="N21" sqref="N21"/>
    </sheetView>
  </sheetViews>
  <sheetFormatPr defaultColWidth="9" defaultRowHeight="14.25"/>
  <cols>
    <col min="2" max="2" width="24.3984375" customWidth="1"/>
    <col min="3" max="3" width="19.265625" customWidth="1"/>
    <col min="4" max="4" width="15.3984375" customWidth="1"/>
    <col min="5" max="5" width="20.1328125" customWidth="1"/>
    <col min="6" max="6" width="12.46484375" customWidth="1"/>
    <col min="7" max="7" width="8.73046875" customWidth="1"/>
    <col min="8" max="8" width="8.3984375" customWidth="1"/>
    <col min="9" max="9" width="7.59765625" customWidth="1"/>
    <col min="10" max="10" width="8.3984375" customWidth="1"/>
    <col min="12" max="12" width="16.265625" customWidth="1"/>
    <col min="13" max="13" width="43.9296875" customWidth="1"/>
    <col min="14" max="14" width="60.796875" customWidth="1"/>
  </cols>
  <sheetData>
    <row r="1" spans="2:15">
      <c r="M1" t="s">
        <v>311</v>
      </c>
      <c r="N1" t="s">
        <v>312</v>
      </c>
      <c r="O1" t="s">
        <v>313</v>
      </c>
    </row>
    <row r="2" spans="2:15" ht="34.049999999999997" customHeight="1">
      <c r="M2" t="s">
        <v>314</v>
      </c>
      <c r="N2" s="22" t="s">
        <v>315</v>
      </c>
      <c r="O2" s="22" t="s">
        <v>316</v>
      </c>
    </row>
    <row r="3" spans="2:15" ht="57">
      <c r="M3" t="s">
        <v>317</v>
      </c>
      <c r="N3" s="22" t="s">
        <v>318</v>
      </c>
      <c r="O3" s="23" t="s">
        <v>319</v>
      </c>
    </row>
    <row r="11" spans="2:15">
      <c r="B11" t="s">
        <v>52</v>
      </c>
    </row>
    <row r="12" spans="2:15">
      <c r="B12" t="s">
        <v>53</v>
      </c>
      <c r="C12" t="s">
        <v>55</v>
      </c>
      <c r="D12" t="s">
        <v>57</v>
      </c>
      <c r="E12" t="s">
        <v>59</v>
      </c>
      <c r="F12" t="s">
        <v>320</v>
      </c>
      <c r="G12" t="s">
        <v>60</v>
      </c>
      <c r="H12" t="s">
        <v>61</v>
      </c>
      <c r="I12" t="s">
        <v>63</v>
      </c>
      <c r="J12" t="s">
        <v>64</v>
      </c>
      <c r="K12" t="s">
        <v>242</v>
      </c>
    </row>
    <row r="13" spans="2:15">
      <c r="C13" t="s">
        <v>321</v>
      </c>
      <c r="D13" t="s">
        <v>322</v>
      </c>
      <c r="E13">
        <v>0.02</v>
      </c>
      <c r="G13" t="s">
        <v>323</v>
      </c>
      <c r="H13" t="s">
        <v>324</v>
      </c>
      <c r="I13" t="s">
        <v>325</v>
      </c>
      <c r="K13">
        <v>2020</v>
      </c>
    </row>
    <row r="14" spans="2:15">
      <c r="C14" t="s">
        <v>321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xr:uid="{00000000-0004-0000-05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3:S17"/>
  <sheetViews>
    <sheetView zoomScale="60" zoomScaleNormal="60" workbookViewId="0">
      <selection activeCell="S33" sqref="S33"/>
    </sheetView>
  </sheetViews>
  <sheetFormatPr defaultColWidth="8.86328125" defaultRowHeight="14.25"/>
  <cols>
    <col min="1" max="1" width="14.1328125" customWidth="1"/>
    <col min="2" max="2" width="19.86328125" customWidth="1"/>
    <col min="3" max="3" width="8.1328125" customWidth="1"/>
    <col min="4" max="4" width="10.86328125" customWidth="1"/>
    <col min="5" max="5" width="7.265625" customWidth="1"/>
    <col min="6" max="6" width="9.59765625" customWidth="1"/>
    <col min="7" max="7" width="11" customWidth="1"/>
    <col min="8" max="8" width="4.73046875" customWidth="1"/>
    <col min="9" max="9" width="11" customWidth="1"/>
    <col min="10" max="15" width="10.73046875" customWidth="1"/>
    <col min="16" max="18" width="4.1328125" customWidth="1"/>
    <col min="19" max="20" width="10.73046875" customWidth="1"/>
    <col min="21" max="21" width="8.73046875" customWidth="1"/>
    <col min="22" max="23" width="8.3984375" customWidth="1"/>
    <col min="24" max="24" width="7.3984375" customWidth="1"/>
    <col min="25" max="25" width="8.3984375" customWidth="1"/>
    <col min="26" max="26" width="8.73046875" customWidth="1"/>
    <col min="27" max="28" width="8.3984375" customWidth="1"/>
  </cols>
  <sheetData>
    <row r="3" spans="1:19">
      <c r="A3" t="s">
        <v>1</v>
      </c>
    </row>
    <row r="5" spans="1:19">
      <c r="F5" t="s">
        <v>326</v>
      </c>
    </row>
    <row r="6" spans="1:19">
      <c r="A6" t="s">
        <v>327</v>
      </c>
      <c r="B6" t="s">
        <v>3</v>
      </c>
      <c r="C6" t="s">
        <v>63</v>
      </c>
      <c r="D6" t="s">
        <v>328</v>
      </c>
      <c r="E6" t="s">
        <v>54</v>
      </c>
      <c r="F6">
        <v>2030</v>
      </c>
      <c r="G6">
        <v>2035</v>
      </c>
      <c r="H6" t="s">
        <v>329</v>
      </c>
      <c r="I6" t="s">
        <v>41</v>
      </c>
      <c r="J6" t="s">
        <v>76</v>
      </c>
      <c r="K6" t="s">
        <v>330</v>
      </c>
    </row>
    <row r="7" spans="1:19">
      <c r="A7" t="s">
        <v>331</v>
      </c>
      <c r="B7" t="s">
        <v>332</v>
      </c>
      <c r="C7" t="s">
        <v>333</v>
      </c>
      <c r="D7" t="s">
        <v>333</v>
      </c>
      <c r="E7" t="s">
        <v>150</v>
      </c>
      <c r="F7">
        <v>1.05</v>
      </c>
      <c r="H7">
        <v>1</v>
      </c>
      <c r="I7">
        <v>2</v>
      </c>
      <c r="J7" t="s">
        <v>334</v>
      </c>
      <c r="K7" t="s">
        <v>335</v>
      </c>
    </row>
    <row r="8" spans="1:19">
      <c r="A8" t="s">
        <v>331</v>
      </c>
      <c r="B8" t="s">
        <v>336</v>
      </c>
      <c r="C8" t="s">
        <v>333</v>
      </c>
      <c r="D8" t="s">
        <v>333</v>
      </c>
      <c r="E8" t="s">
        <v>49</v>
      </c>
      <c r="F8">
        <v>0.95</v>
      </c>
      <c r="G8">
        <v>0.9</v>
      </c>
      <c r="H8">
        <v>1</v>
      </c>
      <c r="I8">
        <v>2</v>
      </c>
      <c r="J8" t="s">
        <v>334</v>
      </c>
      <c r="K8" t="s">
        <v>337</v>
      </c>
      <c r="P8" s="8">
        <f>F8^15</f>
        <v>0.46329123015975299</v>
      </c>
      <c r="Q8" s="8">
        <f>G8^15</f>
        <v>0.20589113209464899</v>
      </c>
      <c r="S8" s="20">
        <f>PRODUCT(P8:R8)</f>
        <v>9.5387555867114296E-2</v>
      </c>
    </row>
    <row r="11" spans="1:19">
      <c r="A11" t="s">
        <v>338</v>
      </c>
    </row>
    <row r="13" spans="1:19">
      <c r="D13" t="s">
        <v>339</v>
      </c>
    </row>
    <row r="14" spans="1:19">
      <c r="A14" t="s">
        <v>327</v>
      </c>
      <c r="B14" t="s">
        <v>3</v>
      </c>
      <c r="C14" t="s">
        <v>91</v>
      </c>
      <c r="D14" t="s">
        <v>264</v>
      </c>
      <c r="E14">
        <v>2030</v>
      </c>
      <c r="F14">
        <v>2040</v>
      </c>
      <c r="G14">
        <v>2050</v>
      </c>
      <c r="H14" t="s">
        <v>329</v>
      </c>
      <c r="I14" t="s">
        <v>340</v>
      </c>
      <c r="J14" t="s">
        <v>41</v>
      </c>
      <c r="K14" t="s">
        <v>330</v>
      </c>
    </row>
    <row r="15" spans="1:19">
      <c r="A15" t="s">
        <v>341</v>
      </c>
      <c r="B15" t="str">
        <f>"UC_ELCcap_decay - "&amp;MID(D15,4,3)</f>
        <v>UC_ELCcap_decay - OIL</v>
      </c>
      <c r="C15" t="s">
        <v>342</v>
      </c>
      <c r="D15" t="s">
        <v>343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8">
        <f>E15^10</f>
        <v>0.81707280688754702</v>
      </c>
      <c r="P15" s="8">
        <f>F15^10</f>
        <v>0.59873693923837901</v>
      </c>
      <c r="Q15" s="8">
        <f>G15^10</f>
        <v>0.1073741824</v>
      </c>
      <c r="R15" s="20">
        <f>PRODUCT(O15:Q15)</f>
        <v>5.2528703251152803E-2</v>
      </c>
    </row>
    <row r="16" spans="1:19">
      <c r="A16" t="s">
        <v>341</v>
      </c>
      <c r="B16" t="str">
        <f t="shared" ref="B16:B17" si="0">"UC_ELCcap_decay - "&amp;MID(D16,4,3)</f>
        <v>UC_ELCcap_decay - CO?</v>
      </c>
      <c r="C16" t="s">
        <v>342</v>
      </c>
      <c r="D16" t="s">
        <v>344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8">
        <f t="shared" ref="O16:O17" si="1">E16^10</f>
        <v>0.81707280688754702</v>
      </c>
      <c r="P16" s="8">
        <f t="shared" ref="P16:P17" si="2">F16^10</f>
        <v>0.34867844009999999</v>
      </c>
      <c r="Q16" s="8">
        <f t="shared" ref="Q16:Q17" si="3">G16^10</f>
        <v>0.1073741824</v>
      </c>
      <c r="R16" s="20">
        <f t="shared" ref="R16:R17" si="4">PRODUCT(O16:Q16)</f>
        <v>3.0590439823849999E-2</v>
      </c>
    </row>
    <row r="17" spans="1:18">
      <c r="A17" t="s">
        <v>341</v>
      </c>
      <c r="B17" t="str">
        <f t="shared" si="0"/>
        <v>UC_ELCcap_decay - NGA</v>
      </c>
      <c r="C17" t="s">
        <v>342</v>
      </c>
      <c r="D17" t="s">
        <v>281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8">
        <f t="shared" si="1"/>
        <v>0.81707280688754702</v>
      </c>
      <c r="P17" s="8">
        <f t="shared" si="2"/>
        <v>0.59873693923837901</v>
      </c>
      <c r="Q17" s="8">
        <f t="shared" si="3"/>
        <v>0.1073741824</v>
      </c>
      <c r="R17" s="20">
        <f t="shared" si="4"/>
        <v>5.2528703251152803E-2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B1:O30"/>
  <sheetViews>
    <sheetView zoomScale="84" zoomScaleNormal="84" workbookViewId="0">
      <selection activeCell="H6" sqref="H6"/>
    </sheetView>
  </sheetViews>
  <sheetFormatPr defaultColWidth="9" defaultRowHeight="14.25"/>
  <cols>
    <col min="2" max="2" width="16.1328125" customWidth="1"/>
    <col min="3" max="3" width="11.59765625" customWidth="1"/>
    <col min="4" max="5" width="5" customWidth="1"/>
    <col min="6" max="6" width="6.73046875" customWidth="1"/>
    <col min="7" max="7" width="7.86328125" customWidth="1"/>
    <col min="11" max="11" width="17.59765625" customWidth="1"/>
    <col min="12" max="12" width="29.265625" customWidth="1"/>
    <col min="13" max="14" width="10.73046875" customWidth="1"/>
    <col min="15" max="15" width="10.1328125" customWidth="1"/>
  </cols>
  <sheetData>
    <row r="1" spans="2:15">
      <c r="H1" t="s">
        <v>1</v>
      </c>
    </row>
    <row r="2" spans="2:15">
      <c r="B2" t="s">
        <v>345</v>
      </c>
      <c r="L2" t="s">
        <v>346</v>
      </c>
    </row>
    <row r="3" spans="2:15">
      <c r="B3" t="s">
        <v>72</v>
      </c>
      <c r="C3" t="s">
        <v>347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3</v>
      </c>
      <c r="L3" t="s">
        <v>252</v>
      </c>
      <c r="M3" t="s">
        <v>348</v>
      </c>
      <c r="N3" t="s">
        <v>349</v>
      </c>
      <c r="O3" t="s">
        <v>350</v>
      </c>
    </row>
    <row r="4" spans="2:15">
      <c r="B4" t="s">
        <v>351</v>
      </c>
      <c r="C4" t="s">
        <v>352</v>
      </c>
      <c r="D4">
        <v>-0.3</v>
      </c>
      <c r="K4" t="s">
        <v>353</v>
      </c>
      <c r="L4" t="s">
        <v>354</v>
      </c>
      <c r="M4">
        <v>1</v>
      </c>
      <c r="O4">
        <v>2</v>
      </c>
    </row>
    <row r="5" spans="2:15">
      <c r="B5" t="s">
        <v>355</v>
      </c>
      <c r="C5" t="s">
        <v>352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356</v>
      </c>
      <c r="L5" t="s">
        <v>357</v>
      </c>
      <c r="M5">
        <v>1</v>
      </c>
      <c r="O5">
        <v>2</v>
      </c>
    </row>
    <row r="6" spans="2:15">
      <c r="B6" t="s">
        <v>358</v>
      </c>
      <c r="C6" t="s">
        <v>352</v>
      </c>
      <c r="D6">
        <v>10</v>
      </c>
      <c r="K6" t="s">
        <v>359</v>
      </c>
      <c r="L6" t="s">
        <v>360</v>
      </c>
      <c r="N6" s="5">
        <v>1</v>
      </c>
      <c r="O6">
        <v>2</v>
      </c>
    </row>
    <row r="7" spans="2:15">
      <c r="K7" t="s">
        <v>276</v>
      </c>
    </row>
    <row r="8" spans="2:15">
      <c r="K8" t="s">
        <v>361</v>
      </c>
      <c r="L8" t="s">
        <v>362</v>
      </c>
      <c r="M8">
        <v>1</v>
      </c>
      <c r="O8">
        <v>2</v>
      </c>
    </row>
    <row r="9" spans="2:15">
      <c r="K9" t="s">
        <v>361</v>
      </c>
      <c r="L9" t="s">
        <v>363</v>
      </c>
      <c r="M9">
        <v>1</v>
      </c>
      <c r="O9">
        <v>2</v>
      </c>
    </row>
    <row r="10" spans="2:15">
      <c r="B10" t="s">
        <v>345</v>
      </c>
      <c r="K10" t="s">
        <v>364</v>
      </c>
      <c r="L10" t="s">
        <v>365</v>
      </c>
      <c r="M10">
        <v>1</v>
      </c>
      <c r="O10">
        <v>2</v>
      </c>
    </row>
    <row r="11" spans="2:15">
      <c r="B11" t="s">
        <v>72</v>
      </c>
      <c r="C11" t="s">
        <v>276</v>
      </c>
      <c r="D11">
        <v>2025</v>
      </c>
      <c r="E11">
        <v>2035</v>
      </c>
      <c r="F11">
        <v>2050</v>
      </c>
      <c r="G11" t="s">
        <v>265</v>
      </c>
      <c r="K11" t="s">
        <v>364</v>
      </c>
      <c r="L11" t="s">
        <v>366</v>
      </c>
      <c r="M11">
        <v>1</v>
      </c>
      <c r="O11">
        <v>2</v>
      </c>
    </row>
    <row r="12" spans="2:15">
      <c r="B12" t="s">
        <v>351</v>
      </c>
      <c r="D12">
        <v>-0.3</v>
      </c>
      <c r="G12" t="s">
        <v>367</v>
      </c>
      <c r="K12" t="s">
        <v>368</v>
      </c>
      <c r="L12" t="s">
        <v>369</v>
      </c>
      <c r="M12">
        <v>1</v>
      </c>
      <c r="O12">
        <v>2</v>
      </c>
    </row>
    <row r="13" spans="2:15">
      <c r="B13" t="s">
        <v>355</v>
      </c>
      <c r="D13">
        <v>0</v>
      </c>
      <c r="E13">
        <v>0.3</v>
      </c>
      <c r="F13">
        <v>0.5</v>
      </c>
      <c r="G13" t="s">
        <v>367</v>
      </c>
      <c r="K13" t="s">
        <v>370</v>
      </c>
      <c r="L13" t="s">
        <v>371</v>
      </c>
      <c r="M13">
        <v>1</v>
      </c>
      <c r="O13">
        <v>2</v>
      </c>
    </row>
    <row r="14" spans="2:15">
      <c r="B14" t="s">
        <v>358</v>
      </c>
      <c r="D14">
        <v>10</v>
      </c>
      <c r="G14" t="s">
        <v>367</v>
      </c>
      <c r="K14" t="s">
        <v>276</v>
      </c>
    </row>
    <row r="15" spans="2:15">
      <c r="K15" t="s">
        <v>372</v>
      </c>
      <c r="L15" t="s">
        <v>373</v>
      </c>
      <c r="M15">
        <v>1</v>
      </c>
      <c r="O15">
        <v>2</v>
      </c>
    </row>
    <row r="16" spans="2:15">
      <c r="K16" t="s">
        <v>372</v>
      </c>
      <c r="L16" t="s">
        <v>374</v>
      </c>
      <c r="M16">
        <v>1</v>
      </c>
      <c r="O16">
        <v>2</v>
      </c>
    </row>
    <row r="17" spans="2:15">
      <c r="K17" t="s">
        <v>375</v>
      </c>
      <c r="L17" t="s">
        <v>376</v>
      </c>
      <c r="M17">
        <v>1</v>
      </c>
      <c r="O17">
        <v>2</v>
      </c>
    </row>
    <row r="18" spans="2:15">
      <c r="K18" t="s">
        <v>375</v>
      </c>
      <c r="L18" t="s">
        <v>377</v>
      </c>
      <c r="M18">
        <v>1</v>
      </c>
      <c r="O18">
        <v>2</v>
      </c>
    </row>
    <row r="19" spans="2:15">
      <c r="K19" t="s">
        <v>378</v>
      </c>
      <c r="L19" t="s">
        <v>379</v>
      </c>
      <c r="M19">
        <v>1</v>
      </c>
      <c r="O19">
        <v>2</v>
      </c>
    </row>
    <row r="20" spans="2:15">
      <c r="K20" t="s">
        <v>380</v>
      </c>
      <c r="L20" t="s">
        <v>381</v>
      </c>
      <c r="M20">
        <v>1</v>
      </c>
      <c r="O20">
        <v>2</v>
      </c>
    </row>
    <row r="23" spans="2:15">
      <c r="B23" t="s">
        <v>382</v>
      </c>
      <c r="L23" t="s">
        <v>346</v>
      </c>
    </row>
    <row r="24" spans="2:15">
      <c r="B24" t="s">
        <v>73</v>
      </c>
      <c r="C24" t="s">
        <v>252</v>
      </c>
      <c r="D24" t="s">
        <v>74</v>
      </c>
      <c r="K24" t="s">
        <v>3</v>
      </c>
      <c r="L24" t="s">
        <v>73</v>
      </c>
      <c r="M24" t="s">
        <v>383</v>
      </c>
      <c r="N24" t="s">
        <v>384</v>
      </c>
      <c r="O24" t="s">
        <v>242</v>
      </c>
    </row>
    <row r="25" spans="2:15">
      <c r="B25" t="s">
        <v>385</v>
      </c>
      <c r="C25" t="s">
        <v>386</v>
      </c>
      <c r="D25" t="s">
        <v>387</v>
      </c>
      <c r="K25" t="s">
        <v>388</v>
      </c>
      <c r="N25">
        <v>1</v>
      </c>
    </row>
    <row r="26" spans="2:15">
      <c r="L26" t="s">
        <v>389</v>
      </c>
      <c r="M26">
        <v>1</v>
      </c>
      <c r="O26" t="s">
        <v>390</v>
      </c>
    </row>
    <row r="27" spans="2:15">
      <c r="L27" t="s">
        <v>389</v>
      </c>
      <c r="M27">
        <v>1</v>
      </c>
      <c r="O27" t="s">
        <v>391</v>
      </c>
    </row>
    <row r="28" spans="2:15">
      <c r="B28" t="s">
        <v>392</v>
      </c>
      <c r="L28" t="s">
        <v>389</v>
      </c>
      <c r="M28">
        <v>1</v>
      </c>
      <c r="O28" t="s">
        <v>393</v>
      </c>
    </row>
    <row r="29" spans="2:15">
      <c r="B29" t="s">
        <v>72</v>
      </c>
      <c r="C29" t="s">
        <v>252</v>
      </c>
      <c r="D29">
        <v>2020</v>
      </c>
      <c r="E29">
        <v>0</v>
      </c>
      <c r="F29" t="s">
        <v>42</v>
      </c>
      <c r="L29" t="s">
        <v>389</v>
      </c>
      <c r="M29">
        <v>1</v>
      </c>
      <c r="O29" t="s">
        <v>394</v>
      </c>
    </row>
    <row r="30" spans="2:15">
      <c r="B30" t="s">
        <v>395</v>
      </c>
      <c r="C30" t="str">
        <f>C25</f>
        <v>repuc_unity</v>
      </c>
      <c r="D30">
        <v>1</v>
      </c>
      <c r="E30">
        <v>3</v>
      </c>
      <c r="F30" t="s">
        <v>245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W35"/>
  <sheetViews>
    <sheetView tabSelected="1" zoomScale="51" zoomScaleNormal="51" workbookViewId="0">
      <selection activeCell="AI43" sqref="AI43"/>
    </sheetView>
  </sheetViews>
  <sheetFormatPr defaultColWidth="9" defaultRowHeight="14.25"/>
  <cols>
    <col min="1" max="1" width="19.265625" customWidth="1"/>
    <col min="2" max="2" width="11.86328125" customWidth="1"/>
    <col min="3" max="3" width="12.265625" customWidth="1"/>
    <col min="4" max="4" width="10.265625" customWidth="1"/>
    <col min="5" max="5" width="11.86328125" customWidth="1"/>
    <col min="6" max="6" width="7.86328125" customWidth="1"/>
    <col min="7" max="7" width="12.86328125" customWidth="1"/>
    <col min="8" max="8" width="19.1328125" customWidth="1"/>
    <col min="9" max="9" width="6.73046875" customWidth="1"/>
    <col min="10" max="10" width="8.73046875" customWidth="1"/>
    <col min="11" max="11" width="8.3984375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59765625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spans="1:49" ht="16.899999999999999">
      <c r="A1" s="17" t="s">
        <v>402</v>
      </c>
      <c r="AC1" s="18" t="s">
        <v>403</v>
      </c>
    </row>
    <row r="2" spans="1:49">
      <c r="A2" t="s">
        <v>404</v>
      </c>
      <c r="B2" t="s">
        <v>405</v>
      </c>
      <c r="C2" t="s">
        <v>406</v>
      </c>
      <c r="D2" t="s">
        <v>407</v>
      </c>
      <c r="E2" t="s">
        <v>408</v>
      </c>
      <c r="F2" t="s">
        <v>409</v>
      </c>
      <c r="G2" t="s">
        <v>410</v>
      </c>
      <c r="H2" t="s">
        <v>411</v>
      </c>
      <c r="I2" t="s">
        <v>412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19" t="s">
        <v>413</v>
      </c>
      <c r="AD2" s="19">
        <f t="shared" ref="AD2:AR3" si="0">J2</f>
        <v>1</v>
      </c>
      <c r="AE2" s="19">
        <f t="shared" si="0"/>
        <v>39</v>
      </c>
      <c r="AF2" s="19">
        <f t="shared" si="0"/>
        <v>40</v>
      </c>
      <c r="AG2" s="19">
        <f t="shared" si="0"/>
        <v>41</v>
      </c>
      <c r="AH2" s="19">
        <f t="shared" si="0"/>
        <v>79</v>
      </c>
      <c r="AI2" s="19">
        <f t="shared" si="0"/>
        <v>80</v>
      </c>
      <c r="AJ2" s="19">
        <f t="shared" si="0"/>
        <v>81</v>
      </c>
      <c r="AK2" s="19">
        <f t="shared" si="0"/>
        <v>119</v>
      </c>
      <c r="AL2" s="19">
        <f t="shared" si="0"/>
        <v>120</v>
      </c>
      <c r="AM2" s="19">
        <f t="shared" si="0"/>
        <v>121</v>
      </c>
      <c r="AN2" s="19">
        <f t="shared" si="0"/>
        <v>159</v>
      </c>
      <c r="AO2" s="19">
        <f t="shared" si="0"/>
        <v>160</v>
      </c>
      <c r="AP2" s="19">
        <f t="shared" si="0"/>
        <v>161</v>
      </c>
      <c r="AQ2" s="19">
        <f t="shared" si="0"/>
        <v>199</v>
      </c>
      <c r="AR2" s="19">
        <f t="shared" si="0"/>
        <v>200</v>
      </c>
    </row>
    <row r="3" spans="1:49">
      <c r="A3" t="s">
        <v>414</v>
      </c>
      <c r="B3" t="s">
        <v>415</v>
      </c>
      <c r="C3" t="s">
        <v>416</v>
      </c>
      <c r="D3" t="s">
        <v>416</v>
      </c>
      <c r="E3" t="s">
        <v>417</v>
      </c>
      <c r="F3" s="8">
        <v>39.18</v>
      </c>
      <c r="G3" s="8" t="s">
        <v>418</v>
      </c>
      <c r="H3" s="8">
        <v>43.5</v>
      </c>
      <c r="I3">
        <v>81</v>
      </c>
      <c r="J3">
        <v>1</v>
      </c>
      <c r="K3">
        <v>1.1100000000000001</v>
      </c>
      <c r="L3">
        <v>6.18</v>
      </c>
      <c r="M3">
        <v>1</v>
      </c>
      <c r="N3">
        <v>1.1100000000000001</v>
      </c>
      <c r="O3">
        <v>6.18</v>
      </c>
      <c r="P3">
        <v>1</v>
      </c>
      <c r="Q3">
        <v>1.1100000000000001</v>
      </c>
      <c r="R3">
        <v>6.18</v>
      </c>
      <c r="S3">
        <v>1</v>
      </c>
      <c r="T3">
        <v>1.1100000000000001</v>
      </c>
      <c r="U3">
        <v>6.18</v>
      </c>
      <c r="V3">
        <v>1</v>
      </c>
      <c r="W3">
        <v>1.1100000000000001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1.1100000000000001</v>
      </c>
      <c r="AF3">
        <f t="shared" si="0"/>
        <v>6.18</v>
      </c>
      <c r="AG3">
        <f t="shared" si="0"/>
        <v>1</v>
      </c>
      <c r="AH3">
        <f t="shared" si="0"/>
        <v>1.1100000000000001</v>
      </c>
      <c r="AI3">
        <f t="shared" si="0"/>
        <v>6.18</v>
      </c>
      <c r="AJ3">
        <f t="shared" si="0"/>
        <v>1</v>
      </c>
      <c r="AK3">
        <f t="shared" si="0"/>
        <v>1.1100000000000001</v>
      </c>
      <c r="AL3">
        <f t="shared" si="0"/>
        <v>6.18</v>
      </c>
      <c r="AM3">
        <f t="shared" si="0"/>
        <v>1</v>
      </c>
      <c r="AN3">
        <f t="shared" si="0"/>
        <v>1.1100000000000001</v>
      </c>
      <c r="AO3">
        <f t="shared" si="0"/>
        <v>6.18</v>
      </c>
      <c r="AP3">
        <f t="shared" si="0"/>
        <v>1</v>
      </c>
      <c r="AQ3">
        <f t="shared" si="0"/>
        <v>1.1100000000000001</v>
      </c>
      <c r="AR3">
        <f t="shared" si="0"/>
        <v>6.18</v>
      </c>
    </row>
    <row r="4" spans="1:49">
      <c r="A4" t="s">
        <v>419</v>
      </c>
      <c r="B4" t="s">
        <v>416</v>
      </c>
      <c r="C4" t="s">
        <v>420</v>
      </c>
      <c r="D4" t="s">
        <v>416</v>
      </c>
      <c r="E4" t="s">
        <v>417</v>
      </c>
      <c r="F4" s="8">
        <v>19.34</v>
      </c>
      <c r="G4" s="8" t="s">
        <v>418</v>
      </c>
      <c r="H4" s="8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spans="1:49" ht="16.899999999999999">
      <c r="AC6" s="18" t="s">
        <v>403</v>
      </c>
    </row>
    <row r="7" spans="1:49">
      <c r="A7" t="s">
        <v>404</v>
      </c>
      <c r="B7" t="s">
        <v>405</v>
      </c>
      <c r="C7" t="s">
        <v>406</v>
      </c>
      <c r="D7" t="s">
        <v>407</v>
      </c>
      <c r="E7" t="s">
        <v>408</v>
      </c>
      <c r="F7" t="s">
        <v>409</v>
      </c>
      <c r="G7" t="s">
        <v>412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19" t="s">
        <v>413</v>
      </c>
      <c r="AD7" s="19">
        <f t="shared" ref="AD7:AS9" si="2">H7</f>
        <v>1</v>
      </c>
      <c r="AE7" s="19">
        <f t="shared" si="2"/>
        <v>29</v>
      </c>
      <c r="AF7" s="19">
        <f t="shared" si="2"/>
        <v>30</v>
      </c>
      <c r="AG7" s="19">
        <f t="shared" si="2"/>
        <v>31</v>
      </c>
      <c r="AH7" s="19">
        <f t="shared" si="2"/>
        <v>59</v>
      </c>
      <c r="AI7" s="19">
        <f t="shared" si="2"/>
        <v>60</v>
      </c>
      <c r="AJ7" s="19">
        <f t="shared" si="2"/>
        <v>61</v>
      </c>
      <c r="AK7" s="19">
        <f t="shared" si="2"/>
        <v>89</v>
      </c>
      <c r="AL7" s="19">
        <f t="shared" si="2"/>
        <v>90</v>
      </c>
      <c r="AM7" s="19">
        <f t="shared" si="2"/>
        <v>91</v>
      </c>
      <c r="AN7" s="19">
        <f t="shared" si="2"/>
        <v>119</v>
      </c>
      <c r="AO7" s="19">
        <f t="shared" si="2"/>
        <v>120</v>
      </c>
      <c r="AP7" s="19">
        <f t="shared" si="2"/>
        <v>121</v>
      </c>
      <c r="AQ7" s="19">
        <f t="shared" si="2"/>
        <v>149</v>
      </c>
      <c r="AR7" s="19">
        <f t="shared" si="2"/>
        <v>150</v>
      </c>
      <c r="AS7" s="19">
        <f t="shared" si="2"/>
        <v>151</v>
      </c>
      <c r="AT7" s="19">
        <f t="shared" ref="AN7:AW9" si="3">X7</f>
        <v>179</v>
      </c>
      <c r="AU7" s="19">
        <f t="shared" si="3"/>
        <v>180</v>
      </c>
      <c r="AV7" s="19">
        <f t="shared" si="3"/>
        <v>181</v>
      </c>
      <c r="AW7" s="19">
        <f t="shared" si="3"/>
        <v>200</v>
      </c>
    </row>
    <row r="8" spans="1:49">
      <c r="A8" t="s">
        <v>421</v>
      </c>
      <c r="B8" t="s">
        <v>416</v>
      </c>
      <c r="C8" t="s">
        <v>416</v>
      </c>
      <c r="D8" t="s">
        <v>416</v>
      </c>
      <c r="E8" t="s">
        <v>422</v>
      </c>
      <c r="F8" s="8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423</v>
      </c>
      <c r="B9" t="s">
        <v>416</v>
      </c>
      <c r="C9" t="s">
        <v>416</v>
      </c>
      <c r="D9" t="s">
        <v>416</v>
      </c>
      <c r="E9" t="s">
        <v>422</v>
      </c>
      <c r="F9" s="8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17" t="s">
        <v>424</v>
      </c>
    </row>
    <row r="13" spans="1:49">
      <c r="A13" s="11" t="s">
        <v>425</v>
      </c>
      <c r="B13" s="11"/>
      <c r="C13" s="11"/>
    </row>
    <row r="14" spans="1:49">
      <c r="A14" s="11" t="s">
        <v>426</v>
      </c>
      <c r="B14" s="11"/>
      <c r="C14" s="11"/>
    </row>
    <row r="15" spans="1:49">
      <c r="A15" s="11" t="s">
        <v>427</v>
      </c>
      <c r="B15" s="11"/>
      <c r="C15" s="11"/>
    </row>
    <row r="17" spans="1:13">
      <c r="A17" s="11" t="s">
        <v>428</v>
      </c>
      <c r="B17" s="11" t="s">
        <v>429</v>
      </c>
      <c r="C17" s="11" t="s">
        <v>430</v>
      </c>
    </row>
    <row r="18" spans="1:13">
      <c r="A18" s="11" t="s">
        <v>431</v>
      </c>
      <c r="B18" s="11" t="s">
        <v>432</v>
      </c>
      <c r="C18" s="11">
        <v>253</v>
      </c>
    </row>
    <row r="19" spans="1:13">
      <c r="A19" s="11" t="s">
        <v>433</v>
      </c>
      <c r="B19" s="11" t="s">
        <v>432</v>
      </c>
      <c r="C19" s="11">
        <v>203</v>
      </c>
      <c r="G19" t="s">
        <v>88</v>
      </c>
    </row>
    <row r="20" spans="1:13">
      <c r="A20" s="11" t="s">
        <v>434</v>
      </c>
      <c r="B20" s="11" t="s">
        <v>435</v>
      </c>
      <c r="C20" s="11">
        <v>82</v>
      </c>
      <c r="G20" t="s">
        <v>72</v>
      </c>
      <c r="H20" t="s">
        <v>91</v>
      </c>
      <c r="I20" t="s">
        <v>413</v>
      </c>
      <c r="J20" t="s">
        <v>124</v>
      </c>
      <c r="K20" t="s">
        <v>264</v>
      </c>
      <c r="L20">
        <v>2019</v>
      </c>
      <c r="M20">
        <v>0</v>
      </c>
    </row>
    <row r="21" spans="1:13">
      <c r="A21" s="11" t="s">
        <v>436</v>
      </c>
      <c r="B21" s="11" t="s">
        <v>435</v>
      </c>
      <c r="C21" s="11">
        <v>242</v>
      </c>
      <c r="G21" t="s">
        <v>437</v>
      </c>
      <c r="H21" t="s">
        <v>438</v>
      </c>
      <c r="K21" t="s">
        <v>439</v>
      </c>
      <c r="L21">
        <f>AC3</f>
        <v>81</v>
      </c>
      <c r="M21">
        <v>2</v>
      </c>
    </row>
    <row r="22" spans="1:13">
      <c r="A22" s="11" t="s">
        <v>440</v>
      </c>
      <c r="B22" s="11" t="s">
        <v>435</v>
      </c>
      <c r="C22" s="11">
        <v>226</v>
      </c>
      <c r="G22" t="s">
        <v>437</v>
      </c>
      <c r="H22" t="s">
        <v>441</v>
      </c>
      <c r="L22">
        <f>AC4</f>
        <v>82</v>
      </c>
      <c r="M22">
        <v>2</v>
      </c>
    </row>
    <row r="23" spans="1:13">
      <c r="A23" s="11" t="s">
        <v>442</v>
      </c>
      <c r="B23" s="11" t="s">
        <v>432</v>
      </c>
      <c r="C23" s="11">
        <v>174</v>
      </c>
      <c r="G23" t="s">
        <v>437</v>
      </c>
      <c r="H23" t="s">
        <v>443</v>
      </c>
      <c r="L23">
        <f>AC8</f>
        <v>83</v>
      </c>
      <c r="M23">
        <v>2</v>
      </c>
    </row>
    <row r="24" spans="1:13">
      <c r="A24" s="11" t="s">
        <v>444</v>
      </c>
      <c r="B24" s="11" t="s">
        <v>432</v>
      </c>
      <c r="C24" s="11">
        <v>258</v>
      </c>
      <c r="G24" t="s">
        <v>437</v>
      </c>
      <c r="H24" t="s">
        <v>445</v>
      </c>
      <c r="L24">
        <f>AC9</f>
        <v>84</v>
      </c>
      <c r="M24">
        <v>2</v>
      </c>
    </row>
    <row r="25" spans="1:13">
      <c r="A25" s="11" t="s">
        <v>446</v>
      </c>
      <c r="B25" s="11" t="s">
        <v>447</v>
      </c>
      <c r="C25" s="11">
        <v>135</v>
      </c>
    </row>
    <row r="30" spans="1:13">
      <c r="A30" t="s">
        <v>52</v>
      </c>
    </row>
    <row r="31" spans="1:13">
      <c r="A31" t="s">
        <v>55</v>
      </c>
      <c r="B31" t="s">
        <v>448</v>
      </c>
      <c r="C31" t="s">
        <v>56</v>
      </c>
      <c r="D31" t="s">
        <v>59</v>
      </c>
    </row>
    <row r="32" spans="1:13">
      <c r="A32" t="s">
        <v>412</v>
      </c>
      <c r="B32">
        <v>85</v>
      </c>
      <c r="C32">
        <v>1</v>
      </c>
      <c r="D32">
        <v>1</v>
      </c>
      <c r="F32" t="s">
        <v>449</v>
      </c>
    </row>
    <row r="33" spans="1:6">
      <c r="A33" t="s">
        <v>412</v>
      </c>
      <c r="B33">
        <f>B32</f>
        <v>85</v>
      </c>
      <c r="C33">
        <v>100</v>
      </c>
      <c r="D33">
        <v>1.5</v>
      </c>
    </row>
    <row r="34" spans="1:6">
      <c r="A34" t="s">
        <v>412</v>
      </c>
      <c r="B34">
        <v>86</v>
      </c>
      <c r="C34">
        <v>1</v>
      </c>
      <c r="D34">
        <v>1</v>
      </c>
      <c r="F34" t="s">
        <v>450</v>
      </c>
    </row>
    <row r="35" spans="1:6">
      <c r="A35" t="s">
        <v>412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J55"/>
  <sheetViews>
    <sheetView zoomScale="71" zoomScaleNormal="71" workbookViewId="0"/>
  </sheetViews>
  <sheetFormatPr defaultColWidth="9" defaultRowHeight="14.25"/>
  <cols>
    <col min="4" max="4" width="8.3984375" customWidth="1"/>
    <col min="5" max="5" width="7" customWidth="1"/>
    <col min="7" max="7" width="40.73046875" customWidth="1"/>
    <col min="18" max="18" width="11" customWidth="1"/>
    <col min="19" max="19" width="11.3984375" customWidth="1"/>
    <col min="20" max="20" width="14" customWidth="1"/>
    <col min="21" max="21" width="7" customWidth="1"/>
    <col min="24" max="24" width="12" customWidth="1"/>
    <col min="25" max="25" width="25.33203125" customWidth="1"/>
    <col min="26" max="26" width="23.73046875" customWidth="1"/>
    <col min="27" max="27" width="17.265625" customWidth="1"/>
    <col min="28" max="28" width="7" customWidth="1"/>
    <col min="32" max="32" width="13.9296875" customWidth="1"/>
  </cols>
  <sheetData>
    <row r="1" spans="1:35">
      <c r="D1" s="9" t="s">
        <v>451</v>
      </c>
      <c r="E1" s="9" t="s">
        <v>452</v>
      </c>
      <c r="F1" s="9" t="s">
        <v>453</v>
      </c>
      <c r="R1" t="s">
        <v>454</v>
      </c>
      <c r="X1" t="s">
        <v>52</v>
      </c>
      <c r="AF1" t="s">
        <v>263</v>
      </c>
    </row>
    <row r="2" spans="1:35">
      <c r="A2" t="s">
        <v>455</v>
      </c>
      <c r="B2" t="str">
        <f>MID(A2,4,7)</f>
        <v>COA</v>
      </c>
      <c r="D2" s="10" t="s">
        <v>456</v>
      </c>
      <c r="E2" s="10">
        <f>N12</f>
        <v>55.99</v>
      </c>
      <c r="F2" s="10" t="s">
        <v>457</v>
      </c>
      <c r="G2" s="11" t="s">
        <v>458</v>
      </c>
      <c r="H2" s="11"/>
      <c r="I2" s="11"/>
      <c r="J2" s="11"/>
      <c r="K2" s="11"/>
      <c r="L2" s="11"/>
      <c r="M2" s="11"/>
      <c r="N2" s="11"/>
      <c r="R2" t="s">
        <v>72</v>
      </c>
      <c r="S2" t="s">
        <v>252</v>
      </c>
      <c r="T2" t="s">
        <v>413</v>
      </c>
      <c r="U2" t="s">
        <v>74</v>
      </c>
      <c r="X2" t="s">
        <v>72</v>
      </c>
      <c r="Y2" t="s">
        <v>4</v>
      </c>
      <c r="Z2" t="s">
        <v>252</v>
      </c>
      <c r="AA2" t="s">
        <v>413</v>
      </c>
      <c r="AB2" t="s">
        <v>74</v>
      </c>
      <c r="AF2" t="s">
        <v>73</v>
      </c>
      <c r="AG2" t="s">
        <v>459</v>
      </c>
      <c r="AH2" t="s">
        <v>252</v>
      </c>
    </row>
    <row r="3" spans="1:35">
      <c r="A3" t="s">
        <v>460</v>
      </c>
      <c r="B3" t="str">
        <f t="shared" ref="B3:B54" si="0">MID(A3,4,7)</f>
        <v>KER</v>
      </c>
      <c r="D3" s="10" t="s">
        <v>461</v>
      </c>
      <c r="E3" s="10">
        <f>E5</f>
        <v>98.43</v>
      </c>
      <c r="F3" s="10" t="s">
        <v>462</v>
      </c>
      <c r="G3" s="11"/>
      <c r="H3" s="11" t="s">
        <v>463</v>
      </c>
      <c r="I3" s="11"/>
      <c r="J3" s="11" t="s">
        <v>464</v>
      </c>
      <c r="K3" s="11"/>
      <c r="L3" s="11" t="s">
        <v>465</v>
      </c>
      <c r="M3" s="11" t="s">
        <v>464</v>
      </c>
      <c r="N3" s="11" t="s">
        <v>464</v>
      </c>
      <c r="R3" t="s">
        <v>466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467</v>
      </c>
      <c r="Z3" s="4" t="s">
        <v>468</v>
      </c>
      <c r="AA3" t="s">
        <v>360</v>
      </c>
      <c r="AB3">
        <v>1</v>
      </c>
      <c r="AF3" t="s">
        <v>469</v>
      </c>
      <c r="AG3" t="s">
        <v>98</v>
      </c>
      <c r="AH3" t="s">
        <v>470</v>
      </c>
    </row>
    <row r="4" spans="1:35">
      <c r="A4" t="s">
        <v>471</v>
      </c>
      <c r="B4" t="str">
        <f t="shared" si="0"/>
        <v>LPG</v>
      </c>
      <c r="D4" s="10" t="s">
        <v>472</v>
      </c>
      <c r="E4" s="10">
        <f>E3</f>
        <v>98.43</v>
      </c>
      <c r="F4" s="10" t="str">
        <f>F3</f>
        <v>b</v>
      </c>
      <c r="G4" s="11" t="s">
        <v>473</v>
      </c>
      <c r="H4" s="11" t="s">
        <v>474</v>
      </c>
      <c r="I4" s="11"/>
      <c r="J4" s="11" t="s">
        <v>474</v>
      </c>
      <c r="K4" s="11"/>
      <c r="L4" s="11" t="s">
        <v>475</v>
      </c>
      <c r="M4" s="11" t="s">
        <v>475</v>
      </c>
      <c r="N4" s="11" t="s">
        <v>476</v>
      </c>
      <c r="R4" t="s">
        <v>466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477</v>
      </c>
      <c r="B5" t="str">
        <f t="shared" si="0"/>
        <v>NGA</v>
      </c>
      <c r="D5" s="10" t="s">
        <v>478</v>
      </c>
      <c r="E5" s="10">
        <f>N30</f>
        <v>98.43</v>
      </c>
      <c r="F5" s="10" t="s">
        <v>457</v>
      </c>
      <c r="G5" s="11" t="s">
        <v>479</v>
      </c>
      <c r="H5" s="11"/>
      <c r="I5" s="11"/>
      <c r="J5" s="11"/>
      <c r="K5" s="11"/>
      <c r="L5" s="11"/>
      <c r="M5" s="11"/>
      <c r="N5" s="11"/>
      <c r="R5" t="s">
        <v>466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480</v>
      </c>
      <c r="B6" t="str">
        <f t="shared" si="0"/>
        <v>OIL</v>
      </c>
      <c r="D6" s="10" t="s">
        <v>481</v>
      </c>
      <c r="E6" s="10">
        <f>E5</f>
        <v>98.43</v>
      </c>
      <c r="F6" s="10" t="s">
        <v>457</v>
      </c>
      <c r="G6" s="11" t="s">
        <v>482</v>
      </c>
      <c r="H6" s="11">
        <v>12.7</v>
      </c>
      <c r="I6" s="11" t="s">
        <v>483</v>
      </c>
      <c r="J6" s="11">
        <v>5.76</v>
      </c>
      <c r="K6" s="11" t="s">
        <v>483</v>
      </c>
      <c r="L6" s="11">
        <v>139.05000000000001</v>
      </c>
      <c r="M6" s="11">
        <v>63.07</v>
      </c>
      <c r="N6" s="11">
        <v>66.540000000000006</v>
      </c>
      <c r="R6" t="s">
        <v>466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12" t="s">
        <v>467</v>
      </c>
      <c r="Y6" s="12"/>
      <c r="Z6" s="12" t="s">
        <v>484</v>
      </c>
      <c r="AA6" s="12" t="s">
        <v>360</v>
      </c>
      <c r="AB6" s="13">
        <v>-1E-3</v>
      </c>
    </row>
    <row r="7" spans="1:35">
      <c r="A7" t="s">
        <v>485</v>
      </c>
      <c r="B7" t="str">
        <f t="shared" si="0"/>
        <v>COA</v>
      </c>
      <c r="D7" s="10" t="s">
        <v>486</v>
      </c>
      <c r="E7" s="10">
        <f>N32</f>
        <v>103.08</v>
      </c>
      <c r="F7" s="10" t="s">
        <v>457</v>
      </c>
      <c r="G7" s="11" t="s">
        <v>487</v>
      </c>
      <c r="H7" s="11">
        <v>14.8</v>
      </c>
      <c r="I7" s="11" t="s">
        <v>483</v>
      </c>
      <c r="J7" s="11">
        <v>6.71</v>
      </c>
      <c r="K7" s="11" t="s">
        <v>483</v>
      </c>
      <c r="L7" s="11">
        <v>143.19999999999999</v>
      </c>
      <c r="M7" s="11">
        <v>64.95</v>
      </c>
      <c r="N7" s="11">
        <v>68.53</v>
      </c>
      <c r="R7" t="s">
        <v>466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488</v>
      </c>
      <c r="B8" t="str">
        <f t="shared" si="0"/>
        <v>HFO</v>
      </c>
      <c r="D8" s="10" t="s">
        <v>489</v>
      </c>
      <c r="E8" s="10">
        <f>E2</f>
        <v>55.99</v>
      </c>
      <c r="F8" s="10" t="s">
        <v>457</v>
      </c>
      <c r="G8" s="11" t="s">
        <v>490</v>
      </c>
      <c r="H8" s="11">
        <v>13.7</v>
      </c>
      <c r="I8" s="11" t="s">
        <v>483</v>
      </c>
      <c r="J8" s="11">
        <v>6.21</v>
      </c>
      <c r="K8" s="11" t="s">
        <v>483</v>
      </c>
      <c r="L8" s="11">
        <v>141.12</v>
      </c>
      <c r="M8" s="11">
        <v>64.010000000000005</v>
      </c>
      <c r="N8" s="11">
        <v>67.53</v>
      </c>
      <c r="R8" t="s">
        <v>466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491</v>
      </c>
    </row>
    <row r="9" spans="1:35">
      <c r="A9" t="s">
        <v>492</v>
      </c>
      <c r="B9" t="str">
        <f t="shared" si="0"/>
        <v>KER</v>
      </c>
      <c r="D9" s="10" t="s">
        <v>493</v>
      </c>
      <c r="E9" s="10">
        <f>N33</f>
        <v>120.4</v>
      </c>
      <c r="F9" s="10" t="s">
        <v>457</v>
      </c>
      <c r="G9" s="11" t="s">
        <v>494</v>
      </c>
      <c r="H9" s="11">
        <v>22.4</v>
      </c>
      <c r="I9" s="11" t="s">
        <v>483</v>
      </c>
      <c r="J9" s="11">
        <v>10.16</v>
      </c>
      <c r="K9" s="11" t="s">
        <v>483</v>
      </c>
      <c r="L9" s="11">
        <v>161.30000000000001</v>
      </c>
      <c r="M9" s="11">
        <v>73.16</v>
      </c>
      <c r="N9" s="11">
        <v>77.19</v>
      </c>
      <c r="R9" t="s">
        <v>466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52</v>
      </c>
      <c r="AF9" t="s">
        <v>263</v>
      </c>
    </row>
    <row r="10" spans="1:35">
      <c r="A10" t="s">
        <v>495</v>
      </c>
      <c r="B10" t="str">
        <f t="shared" si="0"/>
        <v>LPG</v>
      </c>
      <c r="D10" s="10" t="s">
        <v>496</v>
      </c>
      <c r="E10" s="10">
        <f>N9</f>
        <v>77.19</v>
      </c>
      <c r="F10" s="10" t="s">
        <v>497</v>
      </c>
      <c r="G10" s="11" t="s">
        <v>498</v>
      </c>
      <c r="H10" s="11">
        <v>21.5</v>
      </c>
      <c r="I10" s="11" t="s">
        <v>483</v>
      </c>
      <c r="J10" s="11">
        <v>9.75</v>
      </c>
      <c r="K10" s="11" t="s">
        <v>483</v>
      </c>
      <c r="L10" s="11">
        <v>159.4</v>
      </c>
      <c r="M10" s="11">
        <v>72.3</v>
      </c>
      <c r="N10" s="11">
        <v>76.28</v>
      </c>
      <c r="R10" t="s">
        <v>466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72</v>
      </c>
      <c r="Y10" t="s">
        <v>76</v>
      </c>
      <c r="Z10" t="s">
        <v>252</v>
      </c>
      <c r="AA10" t="s">
        <v>413</v>
      </c>
      <c r="AB10" t="s">
        <v>74</v>
      </c>
      <c r="AF10" t="s">
        <v>76</v>
      </c>
      <c r="AG10" t="s">
        <v>459</v>
      </c>
      <c r="AH10" t="s">
        <v>252</v>
      </c>
      <c r="AI10" t="s">
        <v>75</v>
      </c>
    </row>
    <row r="11" spans="1:35">
      <c r="A11" t="s">
        <v>269</v>
      </c>
      <c r="B11" t="str">
        <f t="shared" si="0"/>
        <v>NGA</v>
      </c>
      <c r="D11" s="10" t="s">
        <v>499</v>
      </c>
      <c r="E11" s="10">
        <f>N6</f>
        <v>66.540000000000006</v>
      </c>
      <c r="F11" s="10" t="s">
        <v>500</v>
      </c>
      <c r="G11" s="11" t="s">
        <v>501</v>
      </c>
      <c r="H11" s="14">
        <v>4631.5</v>
      </c>
      <c r="I11" s="11" t="s">
        <v>502</v>
      </c>
      <c r="J11" s="14">
        <v>2100.8200000000002</v>
      </c>
      <c r="K11" s="11" t="s">
        <v>502</v>
      </c>
      <c r="L11" s="11">
        <v>210.2</v>
      </c>
      <c r="M11" s="11">
        <v>95.35</v>
      </c>
      <c r="N11" s="11">
        <v>100.59</v>
      </c>
      <c r="R11" t="s">
        <v>466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503</v>
      </c>
      <c r="Y11" t="s">
        <v>504</v>
      </c>
      <c r="Z11" t="str">
        <f>"INDCO2N"&amp;VLOOKUP(MID(AA11,4,7),$D$2:$F$27,3,FALSE)</f>
        <v>INDCO2No</v>
      </c>
      <c r="AA11" t="s">
        <v>260</v>
      </c>
      <c r="AB11">
        <f>VLOOKUP(MID(AA11,4,7),$D$2:$F$27,2,FALSE)*AD11</f>
        <v>15.362</v>
      </c>
      <c r="AD11" s="15">
        <v>0.2</v>
      </c>
      <c r="AF11" t="str">
        <f>Y11</f>
        <v>ICH_feedstock</v>
      </c>
      <c r="AG11" t="s">
        <v>145</v>
      </c>
      <c r="AH11" t="str">
        <f>Z11</f>
        <v>INDCO2No</v>
      </c>
      <c r="AI11" t="str">
        <f>AA11</f>
        <v>OILNAP</v>
      </c>
    </row>
    <row r="12" spans="1:35">
      <c r="A12" t="s">
        <v>505</v>
      </c>
      <c r="B12" t="str">
        <f t="shared" si="0"/>
        <v>OIL</v>
      </c>
      <c r="D12" s="10" t="s">
        <v>506</v>
      </c>
      <c r="E12" s="10">
        <f>N12</f>
        <v>55.99</v>
      </c>
      <c r="F12" s="10" t="s">
        <v>500</v>
      </c>
      <c r="G12" s="11" t="s">
        <v>507</v>
      </c>
      <c r="H12" s="11">
        <v>117.1</v>
      </c>
      <c r="I12" s="11" t="s">
        <v>508</v>
      </c>
      <c r="J12" s="11">
        <v>53.12</v>
      </c>
      <c r="K12" s="11" t="s">
        <v>508</v>
      </c>
      <c r="L12" s="11">
        <v>117</v>
      </c>
      <c r="M12" s="11">
        <v>53.07</v>
      </c>
      <c r="N12" s="11">
        <v>55.99</v>
      </c>
      <c r="R12" t="s">
        <v>466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503</v>
      </c>
      <c r="Y12" t="s">
        <v>504</v>
      </c>
      <c r="Z12" t="str">
        <f>"INDCO2N"&amp;VLOOKUP(MID(AA12,4,7),$D$2:$F$27,3,FALSE)</f>
        <v>INDCO2No</v>
      </c>
      <c r="AA12" t="s">
        <v>87</v>
      </c>
      <c r="AB12">
        <f>VLOOKUP(MID(AA12,4,7),$D$2:$F$27,2,FALSE)*AD12</f>
        <v>13.506</v>
      </c>
      <c r="AD12" s="15">
        <v>0.2</v>
      </c>
      <c r="AF12" t="str">
        <f t="shared" ref="AF12:AF14" si="4">Y12</f>
        <v>ICH_feedstock</v>
      </c>
      <c r="AG12" t="s">
        <v>145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397</v>
      </c>
      <c r="B13" t="str">
        <f t="shared" si="0"/>
        <v>COA</v>
      </c>
      <c r="D13" s="10" t="s">
        <v>509</v>
      </c>
      <c r="E13" s="10">
        <f>N13</f>
        <v>75.22</v>
      </c>
      <c r="F13" s="10" t="s">
        <v>497</v>
      </c>
      <c r="G13" s="11" t="s">
        <v>510</v>
      </c>
      <c r="H13" s="11">
        <v>19.600000000000001</v>
      </c>
      <c r="I13" s="11" t="s">
        <v>483</v>
      </c>
      <c r="J13" s="11">
        <v>8.89</v>
      </c>
      <c r="K13" s="11" t="s">
        <v>483</v>
      </c>
      <c r="L13" s="11">
        <v>157.19999999999999</v>
      </c>
      <c r="M13" s="11">
        <v>71.3</v>
      </c>
      <c r="N13" s="11">
        <v>75.22</v>
      </c>
      <c r="R13" t="s">
        <v>466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503</v>
      </c>
      <c r="Y13" t="s">
        <v>504</v>
      </c>
      <c r="Z13" t="str">
        <f>"INDCO2N"&amp;VLOOKUP(MID(AA13,1,3),$D$2:$F$27,3,FALSE)</f>
        <v>INDCO2Ng</v>
      </c>
      <c r="AA13" t="s">
        <v>101</v>
      </c>
      <c r="AB13">
        <f>VLOOKUP(MID(AA13,4,7),$D$2:$F$27,2,FALSE)*AD13</f>
        <v>4.4791999999999996</v>
      </c>
      <c r="AD13" s="15">
        <v>0.08</v>
      </c>
      <c r="AF13" t="str">
        <f t="shared" si="4"/>
        <v>ICH_feedstock</v>
      </c>
      <c r="AG13" t="s">
        <v>145</v>
      </c>
      <c r="AH13" t="str">
        <f t="shared" si="5"/>
        <v>INDCO2Ng</v>
      </c>
      <c r="AI13" t="str">
        <f t="shared" si="6"/>
        <v>GASNGA</v>
      </c>
    </row>
    <row r="14" spans="1:35">
      <c r="A14" t="s">
        <v>511</v>
      </c>
      <c r="B14" t="str">
        <f t="shared" si="0"/>
        <v>CoaG</v>
      </c>
      <c r="D14" s="10" t="s">
        <v>512</v>
      </c>
      <c r="E14" s="10">
        <f>N26</f>
        <v>76.81</v>
      </c>
      <c r="F14" s="10" t="s">
        <v>497</v>
      </c>
      <c r="G14" s="11" t="s">
        <v>513</v>
      </c>
      <c r="H14" s="11">
        <v>26</v>
      </c>
      <c r="I14" s="11" t="s">
        <v>483</v>
      </c>
      <c r="J14" s="11">
        <v>11.79</v>
      </c>
      <c r="K14" s="11" t="s">
        <v>483</v>
      </c>
      <c r="L14" s="11">
        <v>173.7</v>
      </c>
      <c r="M14" s="11">
        <v>78.790000000000006</v>
      </c>
      <c r="N14" s="11">
        <v>83.12</v>
      </c>
      <c r="R14" t="s">
        <v>466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503</v>
      </c>
      <c r="Y14" t="s">
        <v>504</v>
      </c>
      <c r="Z14" t="str">
        <f>"INDCO2N"&amp;VLOOKUP(MID(AA14,1,3),$D$2:$F$27,3,FALSE)</f>
        <v>INDCO2Ng</v>
      </c>
      <c r="AA14" t="s">
        <v>514</v>
      </c>
      <c r="AB14">
        <f>VLOOKUP(MID(AA14,4,7),$D$2:$F$27,2,FALSE)*AD14</f>
        <v>5.3231999999999999</v>
      </c>
      <c r="AD14" s="15">
        <v>0.08</v>
      </c>
      <c r="AF14" t="str">
        <f t="shared" si="4"/>
        <v>ICH_feedstock</v>
      </c>
      <c r="AG14" t="s">
        <v>145</v>
      </c>
      <c r="AH14" t="str">
        <f t="shared" si="5"/>
        <v>INDCO2Ng</v>
      </c>
      <c r="AI14" t="str">
        <f t="shared" si="6"/>
        <v>GASETH</v>
      </c>
    </row>
    <row r="15" spans="1:35">
      <c r="A15" t="s">
        <v>396</v>
      </c>
      <c r="B15" t="str">
        <f t="shared" si="0"/>
        <v>COB</v>
      </c>
      <c r="D15" s="10" t="s">
        <v>515</v>
      </c>
      <c r="E15" s="10">
        <f>N14</f>
        <v>83.12</v>
      </c>
      <c r="F15" s="10" t="s">
        <v>497</v>
      </c>
      <c r="G15" s="11" t="s">
        <v>516</v>
      </c>
      <c r="H15" s="11"/>
      <c r="I15" s="11"/>
      <c r="J15" s="11"/>
      <c r="K15" s="11"/>
      <c r="L15" s="11"/>
      <c r="M15" s="11"/>
      <c r="N15" s="11">
        <v>0</v>
      </c>
      <c r="R15" t="s">
        <v>466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517</v>
      </c>
      <c r="B16" t="str">
        <f t="shared" si="0"/>
        <v>GAS</v>
      </c>
      <c r="D16" s="10" t="s">
        <v>518</v>
      </c>
      <c r="E16" s="10">
        <f>N16</f>
        <v>74.8</v>
      </c>
      <c r="F16" s="10" t="s">
        <v>497</v>
      </c>
      <c r="G16" s="11" t="s">
        <v>519</v>
      </c>
      <c r="H16" s="11">
        <v>21.1</v>
      </c>
      <c r="I16" s="11" t="s">
        <v>483</v>
      </c>
      <c r="J16" s="11">
        <v>9.57</v>
      </c>
      <c r="K16" s="11" t="s">
        <v>483</v>
      </c>
      <c r="L16" s="11">
        <v>156.30000000000001</v>
      </c>
      <c r="M16" s="11">
        <v>70.900000000000006</v>
      </c>
      <c r="N16" s="11">
        <v>74.8</v>
      </c>
      <c r="R16" t="s">
        <v>466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281</v>
      </c>
      <c r="B17" t="str">
        <f t="shared" si="0"/>
        <v>NGA</v>
      </c>
      <c r="D17" s="10" t="s">
        <v>520</v>
      </c>
      <c r="E17" s="10">
        <f>N10</f>
        <v>76.28</v>
      </c>
      <c r="F17" s="10" t="s">
        <v>497</v>
      </c>
      <c r="G17" s="11" t="s">
        <v>521</v>
      </c>
      <c r="H17" s="11">
        <v>18.399999999999999</v>
      </c>
      <c r="I17" s="11" t="s">
        <v>483</v>
      </c>
      <c r="J17" s="11">
        <v>8.35</v>
      </c>
      <c r="K17" s="11" t="s">
        <v>483</v>
      </c>
      <c r="L17" s="11">
        <v>152.6</v>
      </c>
      <c r="M17" s="11">
        <v>69.2</v>
      </c>
      <c r="N17" s="11">
        <v>73.010000000000005</v>
      </c>
      <c r="R17" t="s">
        <v>466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398</v>
      </c>
      <c r="B18" t="str">
        <f t="shared" si="0"/>
        <v>OIL</v>
      </c>
      <c r="D18" s="10" t="s">
        <v>522</v>
      </c>
      <c r="E18" s="10">
        <f>N8</f>
        <v>67.53</v>
      </c>
      <c r="F18" s="10" t="s">
        <v>497</v>
      </c>
      <c r="G18" s="11" t="s">
        <v>523</v>
      </c>
      <c r="H18" s="11"/>
      <c r="I18" s="11"/>
      <c r="J18" s="11"/>
      <c r="K18" s="11"/>
      <c r="L18" s="11"/>
      <c r="M18" s="11"/>
      <c r="N18" s="11">
        <v>0</v>
      </c>
      <c r="R18" t="s">
        <v>466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52</v>
      </c>
    </row>
    <row r="19" spans="1:36">
      <c r="A19" t="s">
        <v>399</v>
      </c>
      <c r="B19" t="str">
        <f t="shared" si="0"/>
        <v>OIL_CRD</v>
      </c>
      <c r="D19" s="10" t="s">
        <v>524</v>
      </c>
      <c r="E19" s="10">
        <f>N12</f>
        <v>55.99</v>
      </c>
      <c r="F19" s="10" t="s">
        <v>500</v>
      </c>
      <c r="G19" s="11" t="s">
        <v>525</v>
      </c>
      <c r="H19" s="11">
        <v>120.7</v>
      </c>
      <c r="I19" s="11" t="s">
        <v>508</v>
      </c>
      <c r="J19" s="11">
        <v>54.75</v>
      </c>
      <c r="K19" s="11" t="s">
        <v>508</v>
      </c>
      <c r="L19" s="11">
        <v>120.6</v>
      </c>
      <c r="M19" s="11">
        <v>54.7</v>
      </c>
      <c r="N19" s="11">
        <v>57.71</v>
      </c>
      <c r="R19" t="s">
        <v>466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72</v>
      </c>
      <c r="Y19" t="s">
        <v>75</v>
      </c>
      <c r="Z19" t="s">
        <v>252</v>
      </c>
      <c r="AA19" t="s">
        <v>413</v>
      </c>
      <c r="AB19" t="s">
        <v>74</v>
      </c>
      <c r="AC19" t="s">
        <v>76</v>
      </c>
    </row>
    <row r="20" spans="1:36">
      <c r="A20" t="s">
        <v>400</v>
      </c>
      <c r="B20" t="str">
        <f t="shared" si="0"/>
        <v>OIL_DST</v>
      </c>
      <c r="D20" s="10" t="s">
        <v>526</v>
      </c>
      <c r="E20" s="10">
        <f>N14</f>
        <v>83.12</v>
      </c>
      <c r="F20" s="10" t="s">
        <v>497</v>
      </c>
      <c r="G20" s="11" t="s">
        <v>527</v>
      </c>
      <c r="H20" s="11">
        <v>32.4</v>
      </c>
      <c r="I20" s="11" t="s">
        <v>483</v>
      </c>
      <c r="J20" s="11">
        <v>14.7</v>
      </c>
      <c r="K20" s="11" t="s">
        <v>483</v>
      </c>
      <c r="L20" s="11">
        <v>225.1</v>
      </c>
      <c r="M20" s="11">
        <v>102.1</v>
      </c>
      <c r="N20" s="11">
        <v>107.72</v>
      </c>
      <c r="R20" t="s">
        <v>466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503</v>
      </c>
      <c r="Y20" t="s">
        <v>528</v>
      </c>
      <c r="Z20" t="s">
        <v>529</v>
      </c>
      <c r="AA20" t="s">
        <v>528</v>
      </c>
      <c r="AB20">
        <f>VLOOKUP(MID(AA20,1,3),$D$2:$F$27,2,FALSE)</f>
        <v>98.43</v>
      </c>
      <c r="AC20" t="s">
        <v>126</v>
      </c>
    </row>
    <row r="21" spans="1:36">
      <c r="A21" t="s">
        <v>530</v>
      </c>
      <c r="B21" t="str">
        <f t="shared" si="0"/>
        <v>WAS</v>
      </c>
      <c r="D21" s="10" t="s">
        <v>531</v>
      </c>
      <c r="E21" s="10">
        <f>N14</f>
        <v>83.12</v>
      </c>
      <c r="F21" s="10" t="s">
        <v>497</v>
      </c>
      <c r="G21" s="11" t="s">
        <v>532</v>
      </c>
      <c r="H21" s="11">
        <v>22.09</v>
      </c>
      <c r="I21" s="11" t="s">
        <v>483</v>
      </c>
      <c r="J21" s="11">
        <v>10.02</v>
      </c>
      <c r="K21" s="11" t="s">
        <v>483</v>
      </c>
      <c r="L21" s="11">
        <v>160.1</v>
      </c>
      <c r="M21" s="11">
        <v>72.62</v>
      </c>
      <c r="N21" s="11">
        <v>76.61</v>
      </c>
      <c r="R21" t="s">
        <v>466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503</v>
      </c>
      <c r="Y21" t="s">
        <v>533</v>
      </c>
      <c r="Z21" t="s">
        <v>534</v>
      </c>
      <c r="AA21" t="s">
        <v>533</v>
      </c>
      <c r="AB21">
        <f>VLOOKUP(MID(AA21,1,3),$D$2:$F$27,2,FALSE)</f>
        <v>98.43</v>
      </c>
      <c r="AC21" t="s">
        <v>126</v>
      </c>
    </row>
    <row r="22" spans="1:36">
      <c r="A22" t="s">
        <v>535</v>
      </c>
      <c r="B22" t="str">
        <f t="shared" si="0"/>
        <v>BFG</v>
      </c>
      <c r="D22" s="10" t="s">
        <v>536</v>
      </c>
      <c r="E22" s="10">
        <f>E10</f>
        <v>77.19</v>
      </c>
      <c r="F22" s="10" t="s">
        <v>497</v>
      </c>
      <c r="G22" s="11" t="s">
        <v>537</v>
      </c>
      <c r="H22" s="11"/>
      <c r="I22" s="11"/>
      <c r="J22" s="11"/>
      <c r="K22" s="11"/>
      <c r="L22" s="11"/>
      <c r="M22" s="11"/>
      <c r="N22" s="11">
        <v>0</v>
      </c>
      <c r="R22" t="s">
        <v>466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503</v>
      </c>
      <c r="Y22" t="s">
        <v>101</v>
      </c>
      <c r="Z22" t="s">
        <v>538</v>
      </c>
      <c r="AA22" t="s">
        <v>101</v>
      </c>
      <c r="AB22">
        <f>VLOOKUP(MID(AA22,1,3),$D$2:$F$27,2,FALSE)</f>
        <v>55.99</v>
      </c>
      <c r="AC22" t="s">
        <v>126</v>
      </c>
    </row>
    <row r="23" spans="1:36">
      <c r="A23" t="s">
        <v>401</v>
      </c>
      <c r="B23" t="str">
        <f t="shared" si="0"/>
        <v>BSL</v>
      </c>
      <c r="D23" s="10" t="s">
        <v>539</v>
      </c>
      <c r="E23" s="10">
        <f>N33</f>
        <v>120.4</v>
      </c>
      <c r="F23" s="10" t="s">
        <v>457</v>
      </c>
      <c r="G23" s="11" t="s">
        <v>540</v>
      </c>
      <c r="H23" s="11">
        <v>26.34</v>
      </c>
      <c r="I23" s="11" t="s">
        <v>483</v>
      </c>
      <c r="J23" s="11">
        <v>11.95</v>
      </c>
      <c r="K23" s="11" t="s">
        <v>483</v>
      </c>
      <c r="L23" s="11">
        <v>166.7</v>
      </c>
      <c r="M23" s="11">
        <v>75.61</v>
      </c>
      <c r="N23" s="11">
        <v>79.77</v>
      </c>
      <c r="R23" t="s">
        <v>466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541</v>
      </c>
      <c r="Y23" t="s">
        <v>542</v>
      </c>
      <c r="Z23" t="s">
        <v>543</v>
      </c>
      <c r="AA23" t="s">
        <v>542</v>
      </c>
      <c r="AB23">
        <v>1</v>
      </c>
      <c r="AC23" t="s">
        <v>544</v>
      </c>
    </row>
    <row r="24" spans="1:36">
      <c r="A24" t="s">
        <v>545</v>
      </c>
      <c r="B24" t="str">
        <f t="shared" si="0"/>
        <v>COA</v>
      </c>
      <c r="D24" s="10" t="s">
        <v>546</v>
      </c>
      <c r="E24" s="10">
        <f>N20</f>
        <v>107.72</v>
      </c>
      <c r="F24" s="10" t="s">
        <v>497</v>
      </c>
      <c r="G24" s="11" t="s">
        <v>547</v>
      </c>
      <c r="H24" s="11">
        <v>23.62</v>
      </c>
      <c r="I24" s="11" t="s">
        <v>483</v>
      </c>
      <c r="J24" s="11">
        <v>10.72</v>
      </c>
      <c r="K24" s="11" t="s">
        <v>483</v>
      </c>
      <c r="L24" s="11">
        <v>163.6</v>
      </c>
      <c r="M24" s="11">
        <v>74.209999999999994</v>
      </c>
      <c r="N24" s="11">
        <v>78.290000000000006</v>
      </c>
      <c r="R24" t="s">
        <v>466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548</v>
      </c>
      <c r="B25" t="str">
        <f t="shared" si="0"/>
        <v>COG</v>
      </c>
      <c r="D25" s="10" t="s">
        <v>549</v>
      </c>
      <c r="E25" s="10">
        <f>E2</f>
        <v>55.99</v>
      </c>
      <c r="F25" s="10" t="s">
        <v>497</v>
      </c>
      <c r="G25" s="11" t="s">
        <v>550</v>
      </c>
      <c r="H25" s="11">
        <v>24.74</v>
      </c>
      <c r="I25" s="11" t="s">
        <v>483</v>
      </c>
      <c r="J25" s="11">
        <v>11.22</v>
      </c>
      <c r="K25" s="11" t="s">
        <v>483</v>
      </c>
      <c r="L25" s="11">
        <v>156.6</v>
      </c>
      <c r="M25" s="11">
        <v>71.03</v>
      </c>
      <c r="N25" s="11">
        <v>74.94</v>
      </c>
      <c r="R25" t="s">
        <v>466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551</v>
      </c>
      <c r="B26" t="str">
        <f t="shared" si="0"/>
        <v>COK</v>
      </c>
      <c r="D26" s="10" t="s">
        <v>552</v>
      </c>
      <c r="E26" s="10">
        <f>N9</f>
        <v>77.19</v>
      </c>
      <c r="F26" s="10" t="s">
        <v>497</v>
      </c>
      <c r="G26" s="11" t="s">
        <v>553</v>
      </c>
      <c r="H26" s="11">
        <v>20.05</v>
      </c>
      <c r="I26" s="11" t="s">
        <v>483</v>
      </c>
      <c r="J26" s="11">
        <v>9.1</v>
      </c>
      <c r="K26" s="11" t="s">
        <v>483</v>
      </c>
      <c r="L26" s="11">
        <v>160.5</v>
      </c>
      <c r="M26" s="11">
        <v>72.8</v>
      </c>
      <c r="N26" s="11">
        <v>76.81</v>
      </c>
      <c r="R26" t="s">
        <v>466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554</v>
      </c>
      <c r="B27" t="str">
        <f t="shared" si="0"/>
        <v>HFO</v>
      </c>
      <c r="D27" s="10" t="s">
        <v>555</v>
      </c>
      <c r="E27" s="10">
        <f>N36</f>
        <v>43.98</v>
      </c>
      <c r="F27" s="10" t="s">
        <v>556</v>
      </c>
      <c r="G27" s="11" t="s">
        <v>557</v>
      </c>
      <c r="H27" s="11">
        <v>21.11</v>
      </c>
      <c r="I27" s="11" t="s">
        <v>483</v>
      </c>
      <c r="J27" s="11">
        <v>9.57</v>
      </c>
      <c r="K27" s="11" t="s">
        <v>483</v>
      </c>
      <c r="L27" s="11">
        <v>160.1</v>
      </c>
      <c r="M27" s="11">
        <v>72.62</v>
      </c>
      <c r="N27" s="11">
        <v>76.61</v>
      </c>
      <c r="R27" t="s">
        <v>466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52</v>
      </c>
    </row>
    <row r="28" spans="1:36">
      <c r="A28" t="s">
        <v>558</v>
      </c>
      <c r="B28" t="str">
        <f t="shared" si="0"/>
        <v>LPG</v>
      </c>
      <c r="G28" s="11" t="s">
        <v>559</v>
      </c>
      <c r="H28" s="11"/>
      <c r="I28" s="11"/>
      <c r="J28" s="11"/>
      <c r="K28" s="11"/>
      <c r="L28" s="11"/>
      <c r="M28" s="11"/>
      <c r="N28" s="11"/>
      <c r="R28" t="s">
        <v>466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72</v>
      </c>
      <c r="Y28" t="s">
        <v>252</v>
      </c>
      <c r="Z28" t="s">
        <v>413</v>
      </c>
      <c r="AA28" t="s">
        <v>74</v>
      </c>
    </row>
    <row r="29" spans="1:36">
      <c r="A29" t="s">
        <v>105</v>
      </c>
      <c r="B29" t="str">
        <f t="shared" si="0"/>
        <v>NGA</v>
      </c>
      <c r="G29" s="11" t="s">
        <v>560</v>
      </c>
      <c r="H29" s="14">
        <v>5685</v>
      </c>
      <c r="I29" s="11" t="s">
        <v>502</v>
      </c>
      <c r="J29" s="14">
        <v>2578.6799999999998</v>
      </c>
      <c r="K29" s="11" t="s">
        <v>502</v>
      </c>
      <c r="L29" s="11">
        <v>228.6</v>
      </c>
      <c r="M29" s="11">
        <v>103.7</v>
      </c>
      <c r="N29" s="11">
        <v>109.4</v>
      </c>
      <c r="R29" t="s">
        <v>466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467</v>
      </c>
      <c r="Y29" t="s">
        <v>654</v>
      </c>
      <c r="Z29" t="s">
        <v>561</v>
      </c>
      <c r="AA29">
        <v>1E-3</v>
      </c>
    </row>
    <row r="30" spans="1:36">
      <c r="A30" t="s">
        <v>333</v>
      </c>
      <c r="B30" t="str">
        <f t="shared" si="0"/>
        <v>OIL</v>
      </c>
      <c r="G30" s="11" t="s">
        <v>562</v>
      </c>
      <c r="H30" s="14">
        <v>4931.3</v>
      </c>
      <c r="I30" s="11" t="s">
        <v>502</v>
      </c>
      <c r="J30" s="14">
        <v>2236.8000000000002</v>
      </c>
      <c r="K30" s="11" t="s">
        <v>502</v>
      </c>
      <c r="L30" s="11">
        <v>205.7</v>
      </c>
      <c r="M30" s="11">
        <v>93.3</v>
      </c>
      <c r="N30" s="11">
        <v>98.43</v>
      </c>
      <c r="R30" t="s">
        <v>466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467</v>
      </c>
      <c r="Y30" t="s">
        <v>563</v>
      </c>
      <c r="Z30" t="s">
        <v>561</v>
      </c>
      <c r="AA30">
        <v>-1E-3</v>
      </c>
      <c r="AG30" s="16" t="s">
        <v>467</v>
      </c>
      <c r="AH30" s="16" t="s">
        <v>563</v>
      </c>
      <c r="AI30" s="16" t="s">
        <v>561</v>
      </c>
      <c r="AJ30" s="16">
        <v>-1E-3</v>
      </c>
    </row>
    <row r="31" spans="1:36">
      <c r="A31" t="s">
        <v>564</v>
      </c>
      <c r="B31" t="str">
        <f t="shared" si="0"/>
        <v>OVC</v>
      </c>
      <c r="G31" s="11" t="s">
        <v>565</v>
      </c>
      <c r="H31" s="14">
        <v>3715.9</v>
      </c>
      <c r="I31" s="11" t="s">
        <v>502</v>
      </c>
      <c r="J31" s="14">
        <v>1685.51</v>
      </c>
      <c r="K31" s="11" t="s">
        <v>502</v>
      </c>
      <c r="L31" s="11">
        <v>214.3</v>
      </c>
      <c r="M31" s="11">
        <v>97.2</v>
      </c>
      <c r="N31" s="11">
        <v>102.55</v>
      </c>
      <c r="R31" t="s">
        <v>466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276</v>
      </c>
    </row>
    <row r="32" spans="1:36">
      <c r="A32" t="s">
        <v>566</v>
      </c>
      <c r="B32" t="str">
        <f t="shared" si="0"/>
        <v>PTC</v>
      </c>
      <c r="G32" s="11" t="s">
        <v>567</v>
      </c>
      <c r="H32" s="14">
        <v>2791.6</v>
      </c>
      <c r="I32" s="11" t="s">
        <v>502</v>
      </c>
      <c r="J32" s="14">
        <v>1266.25</v>
      </c>
      <c r="K32" s="11" t="s">
        <v>502</v>
      </c>
      <c r="L32" s="11">
        <v>215.4</v>
      </c>
      <c r="M32" s="11">
        <v>97.7</v>
      </c>
      <c r="N32" s="11">
        <v>103.08</v>
      </c>
      <c r="R32" t="s">
        <v>466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467</v>
      </c>
      <c r="Y32" t="s">
        <v>568</v>
      </c>
      <c r="Z32" t="s">
        <v>569</v>
      </c>
      <c r="AA32">
        <v>1E-3</v>
      </c>
    </row>
    <row r="33" spans="1:30">
      <c r="A33" t="s">
        <v>570</v>
      </c>
      <c r="B33" t="str">
        <f t="shared" si="0"/>
        <v>COA</v>
      </c>
      <c r="G33" s="11" t="s">
        <v>571</v>
      </c>
      <c r="H33" s="14">
        <v>6239.68</v>
      </c>
      <c r="I33" s="11" t="s">
        <v>502</v>
      </c>
      <c r="J33" s="14">
        <v>2830.27</v>
      </c>
      <c r="K33" s="11" t="s">
        <v>502</v>
      </c>
      <c r="L33" s="11">
        <v>251.6</v>
      </c>
      <c r="M33" s="11">
        <v>114.12</v>
      </c>
      <c r="N33" s="11">
        <v>120.4</v>
      </c>
      <c r="R33" t="s">
        <v>466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467</v>
      </c>
      <c r="Y33" t="s">
        <v>572</v>
      </c>
      <c r="Z33" t="s">
        <v>569</v>
      </c>
      <c r="AA33">
        <v>-1E-3</v>
      </c>
    </row>
    <row r="34" spans="1:30">
      <c r="A34" t="s">
        <v>573</v>
      </c>
      <c r="B34" t="str">
        <f t="shared" si="0"/>
        <v>HFO</v>
      </c>
      <c r="G34" s="11" t="s">
        <v>574</v>
      </c>
      <c r="H34" s="11"/>
      <c r="I34" s="11"/>
      <c r="J34" s="11"/>
      <c r="K34" s="11"/>
      <c r="L34" s="11"/>
      <c r="M34" s="11"/>
      <c r="N34" s="11"/>
      <c r="R34" t="s">
        <v>466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276</v>
      </c>
    </row>
    <row r="35" spans="1:30">
      <c r="A35" t="s">
        <v>575</v>
      </c>
      <c r="B35" t="str">
        <f t="shared" si="0"/>
        <v>KER</v>
      </c>
      <c r="G35" s="11" t="s">
        <v>576</v>
      </c>
      <c r="H35" s="11" t="s">
        <v>577</v>
      </c>
      <c r="I35" s="11"/>
      <c r="J35" s="11" t="s">
        <v>577</v>
      </c>
      <c r="K35" s="11"/>
      <c r="L35" s="11">
        <v>16.989999999999998</v>
      </c>
      <c r="M35" s="11">
        <v>7.71</v>
      </c>
      <c r="N35" s="11">
        <v>8.1300000000000008</v>
      </c>
      <c r="R35" t="s">
        <v>466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467</v>
      </c>
      <c r="Y35" t="s">
        <v>578</v>
      </c>
      <c r="Z35" t="s">
        <v>579</v>
      </c>
      <c r="AA35">
        <v>1E-3</v>
      </c>
    </row>
    <row r="36" spans="1:30">
      <c r="A36" t="s">
        <v>580</v>
      </c>
      <c r="B36" t="str">
        <f t="shared" si="0"/>
        <v>LPG</v>
      </c>
      <c r="G36" s="11" t="s">
        <v>581</v>
      </c>
      <c r="H36" s="14">
        <v>5771</v>
      </c>
      <c r="I36" s="11" t="s">
        <v>502</v>
      </c>
      <c r="J36" s="14">
        <v>2617.6799999999998</v>
      </c>
      <c r="K36" s="11" t="s">
        <v>502</v>
      </c>
      <c r="L36" s="11">
        <v>91.9</v>
      </c>
      <c r="M36" s="11">
        <v>41.69</v>
      </c>
      <c r="N36" s="11">
        <v>43.98</v>
      </c>
      <c r="R36" t="s">
        <v>466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582</v>
      </c>
      <c r="Y36" t="s">
        <v>543</v>
      </c>
      <c r="Z36" t="s">
        <v>579</v>
      </c>
      <c r="AA36">
        <v>1E-3</v>
      </c>
    </row>
    <row r="37" spans="1:30">
      <c r="A37" t="s">
        <v>274</v>
      </c>
      <c r="B37" t="str">
        <f t="shared" si="0"/>
        <v>NGA</v>
      </c>
      <c r="G37" s="11" t="s">
        <v>583</v>
      </c>
      <c r="H37" s="14">
        <v>6160</v>
      </c>
      <c r="I37" s="11" t="s">
        <v>502</v>
      </c>
      <c r="J37" s="14">
        <v>2794.13</v>
      </c>
      <c r="K37" s="11" t="s">
        <v>502</v>
      </c>
      <c r="L37" s="11">
        <v>189.54</v>
      </c>
      <c r="M37" s="11">
        <v>85.97</v>
      </c>
      <c r="N37" s="11">
        <v>90.7</v>
      </c>
      <c r="R37" t="s">
        <v>466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467</v>
      </c>
      <c r="Y37" t="s">
        <v>584</v>
      </c>
      <c r="Z37" t="s">
        <v>579</v>
      </c>
      <c r="AA37">
        <v>-1E-3</v>
      </c>
    </row>
    <row r="38" spans="1:30">
      <c r="A38" t="s">
        <v>585</v>
      </c>
      <c r="B38" t="str">
        <f t="shared" si="0"/>
        <v>OIL</v>
      </c>
      <c r="G38" s="11" t="s">
        <v>586</v>
      </c>
      <c r="H38" s="11">
        <v>924</v>
      </c>
      <c r="I38" s="11" t="s">
        <v>587</v>
      </c>
      <c r="J38" s="11">
        <v>419.12</v>
      </c>
      <c r="K38" s="11" t="s">
        <v>587</v>
      </c>
      <c r="L38" s="11">
        <v>210</v>
      </c>
      <c r="M38" s="11">
        <v>95.25</v>
      </c>
      <c r="N38" s="11">
        <v>100.49</v>
      </c>
      <c r="R38" t="s">
        <v>466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467</v>
      </c>
      <c r="Y38" t="s">
        <v>542</v>
      </c>
      <c r="Z38" t="s">
        <v>579</v>
      </c>
      <c r="AA38">
        <v>-1E-3</v>
      </c>
    </row>
    <row r="39" spans="1:30">
      <c r="A39" t="s">
        <v>588</v>
      </c>
      <c r="B39" t="str">
        <f t="shared" si="0"/>
        <v>BFG</v>
      </c>
      <c r="G39" s="11" t="s">
        <v>589</v>
      </c>
      <c r="H39" s="11"/>
      <c r="I39" s="11"/>
      <c r="J39" s="11"/>
      <c r="K39" s="11"/>
      <c r="L39" s="11"/>
      <c r="M39" s="11"/>
      <c r="N39" s="11"/>
      <c r="R39" t="s">
        <v>466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276</v>
      </c>
    </row>
    <row r="40" spans="1:30">
      <c r="A40" t="s">
        <v>590</v>
      </c>
      <c r="B40" t="str">
        <f t="shared" si="0"/>
        <v>BIO</v>
      </c>
      <c r="G40" s="11" t="s">
        <v>591</v>
      </c>
      <c r="H40" s="11"/>
      <c r="I40" s="11"/>
      <c r="J40" s="11"/>
      <c r="K40" s="11"/>
      <c r="L40" s="11"/>
      <c r="M40" s="11"/>
      <c r="N40" s="11"/>
      <c r="R40" t="s">
        <v>466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467</v>
      </c>
      <c r="Y40" t="s">
        <v>592</v>
      </c>
      <c r="Z40" t="s">
        <v>593</v>
      </c>
      <c r="AA40">
        <v>1E-3</v>
      </c>
    </row>
    <row r="41" spans="1:30">
      <c r="A41" t="s">
        <v>594</v>
      </c>
      <c r="B41" t="str">
        <f t="shared" si="0"/>
        <v>COA</v>
      </c>
      <c r="G41" s="11" t="s">
        <v>595</v>
      </c>
      <c r="H41" s="11"/>
      <c r="I41" s="11"/>
      <c r="J41" s="11"/>
      <c r="K41" s="11"/>
      <c r="L41" s="11"/>
      <c r="M41" s="11"/>
      <c r="N41" s="11"/>
      <c r="R41" t="s">
        <v>466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467</v>
      </c>
      <c r="Y41" t="s">
        <v>596</v>
      </c>
      <c r="Z41" t="s">
        <v>597</v>
      </c>
      <c r="AA41">
        <v>1E-3</v>
      </c>
    </row>
    <row r="42" spans="1:30">
      <c r="A42" t="s">
        <v>598</v>
      </c>
      <c r="B42" t="str">
        <f t="shared" si="0"/>
        <v>COG</v>
      </c>
      <c r="R42" t="s">
        <v>466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599</v>
      </c>
      <c r="B43" t="str">
        <f t="shared" si="0"/>
        <v>NGA</v>
      </c>
      <c r="R43" t="s">
        <v>466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600</v>
      </c>
      <c r="B44" t="str">
        <f t="shared" si="0"/>
        <v>OIL</v>
      </c>
      <c r="R44" t="s">
        <v>466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601</v>
      </c>
      <c r="B45" t="str">
        <f t="shared" si="0"/>
        <v>RFG</v>
      </c>
      <c r="R45" t="s">
        <v>466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88</v>
      </c>
    </row>
    <row r="46" spans="1:30">
      <c r="A46" t="s">
        <v>602</v>
      </c>
      <c r="B46" t="str">
        <f t="shared" si="0"/>
        <v>RPP</v>
      </c>
      <c r="R46" t="s">
        <v>466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55</v>
      </c>
      <c r="Y46" t="s">
        <v>448</v>
      </c>
      <c r="Z46" t="s">
        <v>264</v>
      </c>
      <c r="AA46" t="s">
        <v>124</v>
      </c>
      <c r="AB46">
        <v>2020</v>
      </c>
      <c r="AC46">
        <v>2050</v>
      </c>
      <c r="AD46" t="s">
        <v>286</v>
      </c>
    </row>
    <row r="47" spans="1:30">
      <c r="A47" t="s">
        <v>603</v>
      </c>
      <c r="B47" t="str">
        <f t="shared" si="0"/>
        <v>COA</v>
      </c>
      <c r="R47" t="s">
        <v>466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503</v>
      </c>
      <c r="Y47" t="s">
        <v>604</v>
      </c>
      <c r="Z47" t="s">
        <v>397</v>
      </c>
      <c r="AA47" t="s">
        <v>563</v>
      </c>
      <c r="AB47">
        <v>0.9</v>
      </c>
      <c r="AD47" t="str">
        <f>AA47</f>
        <v>CO2Captured_elc</v>
      </c>
    </row>
    <row r="48" spans="1:30">
      <c r="A48" t="s">
        <v>300</v>
      </c>
      <c r="B48" t="str">
        <f t="shared" si="0"/>
        <v>DST</v>
      </c>
      <c r="R48" t="s">
        <v>466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503</v>
      </c>
      <c r="Y48" t="s">
        <v>605</v>
      </c>
      <c r="Z48" t="s">
        <v>401</v>
      </c>
      <c r="AA48" t="s">
        <v>563</v>
      </c>
      <c r="AB48">
        <v>0.8</v>
      </c>
      <c r="AD48" t="str">
        <f>AA48</f>
        <v>CO2Captured_elc</v>
      </c>
    </row>
    <row r="49" spans="1:31">
      <c r="A49" t="s">
        <v>298</v>
      </c>
      <c r="B49" t="str">
        <f t="shared" si="0"/>
        <v>GSL</v>
      </c>
      <c r="R49" t="s">
        <v>466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503</v>
      </c>
      <c r="Y49" t="s">
        <v>606</v>
      </c>
      <c r="Z49" t="s">
        <v>281</v>
      </c>
      <c r="AA49" t="s">
        <v>563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607</v>
      </c>
      <c r="B50" t="str">
        <f t="shared" si="0"/>
        <v>HFO</v>
      </c>
      <c r="R50" t="s">
        <v>466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296</v>
      </c>
      <c r="B51" t="str">
        <f t="shared" si="0"/>
        <v>JTK</v>
      </c>
      <c r="R51" t="s">
        <v>466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608</v>
      </c>
      <c r="B52" t="str">
        <f t="shared" si="0"/>
        <v>LPG</v>
      </c>
      <c r="R52" t="s">
        <v>466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88</v>
      </c>
    </row>
    <row r="53" spans="1:31">
      <c r="A53" t="s">
        <v>110</v>
      </c>
      <c r="B53" t="str">
        <f t="shared" si="0"/>
        <v>NGA</v>
      </c>
      <c r="R53" t="s">
        <v>466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75</v>
      </c>
      <c r="Y53" t="s">
        <v>609</v>
      </c>
      <c r="Z53" t="s">
        <v>90</v>
      </c>
      <c r="AA53" t="s">
        <v>72</v>
      </c>
      <c r="AB53" t="s">
        <v>76</v>
      </c>
      <c r="AC53">
        <v>2020</v>
      </c>
      <c r="AD53">
        <v>2030</v>
      </c>
      <c r="AE53" t="s">
        <v>252</v>
      </c>
    </row>
    <row r="54" spans="1:31">
      <c r="A54" t="s">
        <v>610</v>
      </c>
      <c r="B54" t="str">
        <f t="shared" si="0"/>
        <v>BIO</v>
      </c>
      <c r="R54" t="s">
        <v>466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101</v>
      </c>
      <c r="Y54" t="s">
        <v>538</v>
      </c>
      <c r="Z54" t="s">
        <v>611</v>
      </c>
      <c r="AA54" t="s">
        <v>503</v>
      </c>
      <c r="AB54" t="s">
        <v>126</v>
      </c>
      <c r="AC54">
        <v>0.9</v>
      </c>
      <c r="AD54">
        <v>0.95</v>
      </c>
      <c r="AE54" t="s">
        <v>584</v>
      </c>
    </row>
    <row r="55" spans="1:31">
      <c r="R55" t="s">
        <v>466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528</v>
      </c>
      <c r="Y55" t="s">
        <v>529</v>
      </c>
      <c r="Z55" t="s">
        <v>611</v>
      </c>
      <c r="AA55" t="s">
        <v>503</v>
      </c>
      <c r="AB55" t="s">
        <v>126</v>
      </c>
      <c r="AC55">
        <v>0.9</v>
      </c>
      <c r="AD55">
        <v>0.95</v>
      </c>
      <c r="AE55" t="s">
        <v>584</v>
      </c>
    </row>
  </sheetData>
  <sortState xmlns:xlrd2="http://schemas.microsoft.com/office/spreadsheetml/2017/richdata2" ref="D2:D27">
    <sortCondition ref="D2:D27"/>
  </sortState>
  <pageMargins left="0.7" right="0.7" top="0.75" bottom="0.75" header="0.3" footer="0.3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rgb="FFFF0000"/>
  </sheetPr>
  <dimension ref="B2:V38"/>
  <sheetViews>
    <sheetView zoomScale="90" zoomScaleNormal="90" workbookViewId="0"/>
  </sheetViews>
  <sheetFormatPr defaultColWidth="9" defaultRowHeight="14.25"/>
  <cols>
    <col min="2" max="2" width="24" customWidth="1"/>
    <col min="3" max="3" width="12.73046875" customWidth="1"/>
    <col min="4" max="4" width="11.73046875" customWidth="1"/>
    <col min="5" max="5" width="6.59765625" customWidth="1"/>
    <col min="6" max="6" width="7.86328125" customWidth="1"/>
    <col min="7" max="7" width="5" customWidth="1"/>
    <col min="8" max="8" width="5.53125" customWidth="1"/>
    <col min="9" max="9" width="10.86328125" customWidth="1"/>
    <col min="10" max="10" width="10.73046875" bestFit="1" customWidth="1"/>
    <col min="12" max="12" width="13.86328125" customWidth="1"/>
    <col min="13" max="13" width="14.06640625" customWidth="1"/>
    <col min="14" max="14" width="9.73046875" customWidth="1"/>
    <col min="15" max="15" width="1.73046875" customWidth="1"/>
    <col min="16" max="18" width="10.86328125" customWidth="1"/>
    <col min="19" max="19" width="14.06640625" customWidth="1"/>
    <col min="20" max="20" width="10.86328125" customWidth="1"/>
    <col min="21" max="21" width="1.73046875" customWidth="1"/>
    <col min="22" max="22" width="9.59765625" customWidth="1"/>
  </cols>
  <sheetData>
    <row r="2" spans="2:22">
      <c r="B2" t="s">
        <v>613</v>
      </c>
      <c r="L2" t="s">
        <v>612</v>
      </c>
      <c r="R2" t="s">
        <v>612</v>
      </c>
    </row>
    <row r="3" spans="2:22">
      <c r="B3" t="s">
        <v>615</v>
      </c>
      <c r="C3" t="s">
        <v>310</v>
      </c>
      <c r="D3" t="s">
        <v>321</v>
      </c>
      <c r="E3" t="s">
        <v>57</v>
      </c>
      <c r="H3" t="s">
        <v>56</v>
      </c>
      <c r="I3" t="s">
        <v>615</v>
      </c>
      <c r="J3" t="s">
        <v>614</v>
      </c>
      <c r="L3" t="s">
        <v>251</v>
      </c>
      <c r="M3" t="s">
        <v>72</v>
      </c>
      <c r="N3">
        <v>2020</v>
      </c>
      <c r="O3">
        <v>0</v>
      </c>
      <c r="P3" t="s">
        <v>252</v>
      </c>
      <c r="R3" t="s">
        <v>251</v>
      </c>
      <c r="S3" t="s">
        <v>72</v>
      </c>
      <c r="T3">
        <v>2020</v>
      </c>
      <c r="U3">
        <v>0</v>
      </c>
      <c r="V3" t="s">
        <v>252</v>
      </c>
    </row>
    <row r="4" spans="2:22">
      <c r="B4" t="s">
        <v>6</v>
      </c>
      <c r="C4" t="s">
        <v>469</v>
      </c>
      <c r="D4">
        <v>0.08</v>
      </c>
      <c r="E4" t="s">
        <v>616</v>
      </c>
      <c r="H4">
        <v>2019</v>
      </c>
      <c r="I4" t="s">
        <v>6</v>
      </c>
      <c r="J4">
        <v>578305.29999999993</v>
      </c>
      <c r="L4" t="str">
        <f>$I4</f>
        <v>Africa_North</v>
      </c>
      <c r="M4" t="s">
        <v>253</v>
      </c>
      <c r="N4" s="8">
        <f>-J4/1000/3</f>
        <v>-192.76843333333329</v>
      </c>
      <c r="O4">
        <v>3</v>
      </c>
      <c r="P4" t="s">
        <v>360</v>
      </c>
      <c r="R4" t="str">
        <f>$I4</f>
        <v>Africa_North</v>
      </c>
      <c r="S4" t="s">
        <v>253</v>
      </c>
      <c r="T4" s="8">
        <f>-J4/1000/3</f>
        <v>-192.76843333333329</v>
      </c>
      <c r="U4">
        <v>3</v>
      </c>
      <c r="V4" t="s">
        <v>561</v>
      </c>
    </row>
    <row r="5" spans="2:22">
      <c r="B5" t="s">
        <v>7</v>
      </c>
      <c r="C5" t="s">
        <v>469</v>
      </c>
      <c r="D5">
        <v>0.08</v>
      </c>
      <c r="E5" t="s">
        <v>616</v>
      </c>
      <c r="H5">
        <v>2019</v>
      </c>
      <c r="I5" t="s">
        <v>7</v>
      </c>
      <c r="J5">
        <v>417790.1</v>
      </c>
      <c r="L5" t="str">
        <f t="shared" ref="L5:L38" si="0">$I5</f>
        <v>Africa_Other</v>
      </c>
      <c r="M5" t="s">
        <v>253</v>
      </c>
      <c r="N5" s="8">
        <f t="shared" ref="N5:N38" si="1">-J5/1000/3</f>
        <v>-139.26336666666666</v>
      </c>
      <c r="O5">
        <v>3</v>
      </c>
      <c r="P5" t="s">
        <v>360</v>
      </c>
      <c r="R5" t="str">
        <f t="shared" ref="R5:R38" si="2">$I5</f>
        <v>Africa_Other</v>
      </c>
      <c r="S5" t="s">
        <v>253</v>
      </c>
      <c r="T5" s="8">
        <f t="shared" ref="T5:T38" si="3">-J5/1000/3</f>
        <v>-139.26336666666666</v>
      </c>
      <c r="U5">
        <v>3</v>
      </c>
      <c r="V5" t="s">
        <v>561</v>
      </c>
    </row>
    <row r="6" spans="2:22">
      <c r="B6" t="s">
        <v>8</v>
      </c>
      <c r="C6" t="s">
        <v>469</v>
      </c>
      <c r="D6">
        <v>0.1</v>
      </c>
      <c r="E6" t="s">
        <v>616</v>
      </c>
      <c r="H6">
        <v>2019</v>
      </c>
      <c r="I6" t="s">
        <v>8</v>
      </c>
      <c r="J6">
        <v>407908.6</v>
      </c>
      <c r="L6" t="str">
        <f t="shared" si="0"/>
        <v>Australia</v>
      </c>
      <c r="M6" t="s">
        <v>253</v>
      </c>
      <c r="N6" s="8">
        <f t="shared" si="1"/>
        <v>-135.96953333333332</v>
      </c>
      <c r="O6">
        <v>3</v>
      </c>
      <c r="P6" t="s">
        <v>360</v>
      </c>
      <c r="R6" t="str">
        <f t="shared" si="2"/>
        <v>Australia</v>
      </c>
      <c r="S6" t="s">
        <v>253</v>
      </c>
      <c r="T6" s="8">
        <f t="shared" si="3"/>
        <v>-135.96953333333332</v>
      </c>
      <c r="U6">
        <v>3</v>
      </c>
      <c r="V6" t="s">
        <v>561</v>
      </c>
    </row>
    <row r="7" spans="2:22">
      <c r="B7" t="s">
        <v>9</v>
      </c>
      <c r="C7" t="s">
        <v>469</v>
      </c>
      <c r="D7">
        <v>0.08</v>
      </c>
      <c r="E7" t="s">
        <v>616</v>
      </c>
      <c r="H7">
        <v>2019</v>
      </c>
      <c r="I7" t="s">
        <v>9</v>
      </c>
      <c r="J7">
        <v>68776.700000000012</v>
      </c>
      <c r="L7" t="str">
        <f t="shared" si="0"/>
        <v>Austria</v>
      </c>
      <c r="M7" t="s">
        <v>253</v>
      </c>
      <c r="N7" s="8">
        <f t="shared" si="1"/>
        <v>-22.925566666666668</v>
      </c>
      <c r="O7">
        <v>3</v>
      </c>
      <c r="P7" t="s">
        <v>360</v>
      </c>
      <c r="R7" t="str">
        <f t="shared" si="2"/>
        <v>Austria</v>
      </c>
      <c r="S7" t="s">
        <v>253</v>
      </c>
      <c r="T7" s="8">
        <f t="shared" si="3"/>
        <v>-22.925566666666668</v>
      </c>
      <c r="U7">
        <v>3</v>
      </c>
      <c r="V7" t="s">
        <v>561</v>
      </c>
    </row>
    <row r="8" spans="2:22">
      <c r="B8" t="s">
        <v>10</v>
      </c>
      <c r="C8" t="s">
        <v>469</v>
      </c>
      <c r="D8">
        <v>0.08</v>
      </c>
      <c r="E8" t="s">
        <v>616</v>
      </c>
      <c r="H8">
        <v>2019</v>
      </c>
      <c r="I8" t="s">
        <v>10</v>
      </c>
      <c r="J8">
        <v>37667.199999999997</v>
      </c>
      <c r="L8" t="str">
        <f t="shared" si="0"/>
        <v>Baltics</v>
      </c>
      <c r="M8" t="s">
        <v>253</v>
      </c>
      <c r="N8" s="8">
        <f t="shared" si="1"/>
        <v>-12.555733333333331</v>
      </c>
      <c r="O8">
        <v>3</v>
      </c>
      <c r="P8" t="s">
        <v>360</v>
      </c>
      <c r="R8" t="str">
        <f t="shared" si="2"/>
        <v>Baltics</v>
      </c>
      <c r="S8" t="s">
        <v>253</v>
      </c>
      <c r="T8" s="8">
        <f t="shared" si="3"/>
        <v>-12.555733333333331</v>
      </c>
      <c r="U8">
        <v>3</v>
      </c>
      <c r="V8" t="s">
        <v>561</v>
      </c>
    </row>
    <row r="9" spans="2:22">
      <c r="B9" t="s">
        <v>11</v>
      </c>
      <c r="C9" t="s">
        <v>469</v>
      </c>
      <c r="D9">
        <v>0.08</v>
      </c>
      <c r="E9" t="s">
        <v>616</v>
      </c>
      <c r="H9">
        <v>2019</v>
      </c>
      <c r="I9" t="s">
        <v>11</v>
      </c>
      <c r="J9">
        <v>267979.59999999998</v>
      </c>
      <c r="L9" t="str">
        <f t="shared" si="0"/>
        <v>BeNeLux</v>
      </c>
      <c r="M9" t="s">
        <v>253</v>
      </c>
      <c r="N9" s="8">
        <f t="shared" si="1"/>
        <v>-89.32653333333333</v>
      </c>
      <c r="O9">
        <v>3</v>
      </c>
      <c r="P9" t="s">
        <v>360</v>
      </c>
      <c r="R9" t="str">
        <f t="shared" si="2"/>
        <v>BeNeLux</v>
      </c>
      <c r="S9" t="s">
        <v>253</v>
      </c>
      <c r="T9" s="8">
        <f t="shared" si="3"/>
        <v>-89.32653333333333</v>
      </c>
      <c r="U9">
        <v>3</v>
      </c>
      <c r="V9" t="s">
        <v>561</v>
      </c>
    </row>
    <row r="10" spans="2:22">
      <c r="B10" t="s">
        <v>12</v>
      </c>
      <c r="C10" t="s">
        <v>469</v>
      </c>
      <c r="D10">
        <v>3.7499999999999999E-2</v>
      </c>
      <c r="E10" t="s">
        <v>616</v>
      </c>
      <c r="H10">
        <v>2019</v>
      </c>
      <c r="I10" t="s">
        <v>12</v>
      </c>
      <c r="J10">
        <v>468579.4</v>
      </c>
      <c r="L10" t="str">
        <f t="shared" si="0"/>
        <v>Brazil</v>
      </c>
      <c r="M10" t="s">
        <v>253</v>
      </c>
      <c r="N10" s="8">
        <f t="shared" si="1"/>
        <v>-156.19313333333335</v>
      </c>
      <c r="O10">
        <v>3</v>
      </c>
      <c r="P10" t="s">
        <v>360</v>
      </c>
      <c r="R10" t="str">
        <f t="shared" si="2"/>
        <v>Brazil</v>
      </c>
      <c r="S10" t="s">
        <v>253</v>
      </c>
      <c r="T10" s="8">
        <f t="shared" si="3"/>
        <v>-156.19313333333335</v>
      </c>
      <c r="U10">
        <v>3</v>
      </c>
      <c r="V10" t="s">
        <v>561</v>
      </c>
    </row>
    <row r="11" spans="2:22">
      <c r="B11" t="s">
        <v>13</v>
      </c>
      <c r="C11" t="s">
        <v>469</v>
      </c>
      <c r="D11">
        <v>0.04</v>
      </c>
      <c r="E11" t="s">
        <v>616</v>
      </c>
      <c r="H11">
        <v>2019</v>
      </c>
      <c r="I11" t="s">
        <v>13</v>
      </c>
      <c r="J11">
        <v>11813058.199999999</v>
      </c>
      <c r="L11" t="str">
        <f t="shared" si="0"/>
        <v>China</v>
      </c>
      <c r="M11" t="s">
        <v>253</v>
      </c>
      <c r="N11" s="8">
        <f t="shared" si="1"/>
        <v>-3937.6860666666666</v>
      </c>
      <c r="O11">
        <v>3</v>
      </c>
      <c r="P11" t="s">
        <v>360</v>
      </c>
      <c r="R11" t="str">
        <f t="shared" si="2"/>
        <v>China</v>
      </c>
      <c r="S11" t="s">
        <v>253</v>
      </c>
      <c r="T11" s="8">
        <f t="shared" si="3"/>
        <v>-3937.6860666666666</v>
      </c>
      <c r="U11">
        <v>3</v>
      </c>
      <c r="V11" t="s">
        <v>561</v>
      </c>
    </row>
    <row r="12" spans="2:22">
      <c r="B12" t="s">
        <v>14</v>
      </c>
      <c r="C12" t="s">
        <v>469</v>
      </c>
      <c r="D12">
        <v>0.08</v>
      </c>
      <c r="E12" t="s">
        <v>616</v>
      </c>
      <c r="H12">
        <v>2019</v>
      </c>
      <c r="I12" t="s">
        <v>14</v>
      </c>
      <c r="J12">
        <v>32798.300000000003</v>
      </c>
      <c r="L12" t="str">
        <f t="shared" si="0"/>
        <v>CroSloven</v>
      </c>
      <c r="M12" t="s">
        <v>253</v>
      </c>
      <c r="N12" s="8">
        <f t="shared" si="1"/>
        <v>-10.932766666666668</v>
      </c>
      <c r="O12">
        <v>3</v>
      </c>
      <c r="P12" t="s">
        <v>360</v>
      </c>
      <c r="R12" t="str">
        <f t="shared" si="2"/>
        <v>CroSloven</v>
      </c>
      <c r="S12" t="s">
        <v>253</v>
      </c>
      <c r="T12" s="8">
        <f t="shared" si="3"/>
        <v>-10.932766666666668</v>
      </c>
      <c r="U12">
        <v>3</v>
      </c>
      <c r="V12" t="s">
        <v>561</v>
      </c>
    </row>
    <row r="13" spans="2:22">
      <c r="B13" t="s">
        <v>15</v>
      </c>
      <c r="C13" t="s">
        <v>469</v>
      </c>
      <c r="D13">
        <v>0.08</v>
      </c>
      <c r="E13" t="s">
        <v>616</v>
      </c>
      <c r="H13">
        <v>2019</v>
      </c>
      <c r="I13" t="s">
        <v>15</v>
      </c>
      <c r="J13">
        <v>138586.70000000001</v>
      </c>
      <c r="L13" t="str">
        <f t="shared" si="0"/>
        <v>CzechSlovak</v>
      </c>
      <c r="M13" t="s">
        <v>253</v>
      </c>
      <c r="N13" s="8">
        <f t="shared" si="1"/>
        <v>-46.195566666666672</v>
      </c>
      <c r="O13">
        <v>3</v>
      </c>
      <c r="P13" t="s">
        <v>360</v>
      </c>
      <c r="R13" t="str">
        <f t="shared" si="2"/>
        <v>CzechSlovak</v>
      </c>
      <c r="S13" t="s">
        <v>253</v>
      </c>
      <c r="T13" s="8">
        <f t="shared" si="3"/>
        <v>-46.195566666666672</v>
      </c>
      <c r="U13">
        <v>3</v>
      </c>
      <c r="V13" t="s">
        <v>561</v>
      </c>
    </row>
    <row r="14" spans="2:22">
      <c r="B14" t="s">
        <v>16</v>
      </c>
      <c r="C14" t="s">
        <v>469</v>
      </c>
      <c r="D14">
        <v>0.08</v>
      </c>
      <c r="E14" t="s">
        <v>616</v>
      </c>
      <c r="H14">
        <v>2019</v>
      </c>
      <c r="I14" t="s">
        <v>16</v>
      </c>
      <c r="J14">
        <v>322904.3</v>
      </c>
      <c r="L14" t="str">
        <f t="shared" si="0"/>
        <v>France</v>
      </c>
      <c r="M14" t="s">
        <v>253</v>
      </c>
      <c r="N14" s="8">
        <f t="shared" si="1"/>
        <v>-107.63476666666666</v>
      </c>
      <c r="O14">
        <v>3</v>
      </c>
      <c r="P14" t="s">
        <v>360</v>
      </c>
      <c r="R14" t="str">
        <f t="shared" si="2"/>
        <v>France</v>
      </c>
      <c r="S14" t="s">
        <v>253</v>
      </c>
      <c r="T14" s="8">
        <f t="shared" si="3"/>
        <v>-107.63476666666666</v>
      </c>
      <c r="U14">
        <v>3</v>
      </c>
      <c r="V14" t="s">
        <v>561</v>
      </c>
    </row>
    <row r="15" spans="2:22">
      <c r="B15" t="s">
        <v>17</v>
      </c>
      <c r="C15" t="s">
        <v>469</v>
      </c>
      <c r="D15">
        <v>0.08</v>
      </c>
      <c r="E15" t="s">
        <v>616</v>
      </c>
      <c r="H15">
        <v>2019</v>
      </c>
      <c r="I15" t="s">
        <v>17</v>
      </c>
      <c r="J15">
        <v>696500.2</v>
      </c>
      <c r="L15" t="str">
        <f t="shared" si="0"/>
        <v>Germany</v>
      </c>
      <c r="M15" t="s">
        <v>253</v>
      </c>
      <c r="N15" s="8">
        <f t="shared" si="1"/>
        <v>-232.16673333333333</v>
      </c>
      <c r="O15">
        <v>3</v>
      </c>
      <c r="P15" t="s">
        <v>360</v>
      </c>
      <c r="R15" t="str">
        <f t="shared" si="2"/>
        <v>Germany</v>
      </c>
      <c r="S15" t="s">
        <v>253</v>
      </c>
      <c r="T15" s="8">
        <f t="shared" si="3"/>
        <v>-232.16673333333333</v>
      </c>
      <c r="U15">
        <v>3</v>
      </c>
      <c r="V15" t="s">
        <v>561</v>
      </c>
    </row>
    <row r="16" spans="2:22">
      <c r="B16" t="s">
        <v>18</v>
      </c>
      <c r="C16" t="s">
        <v>469</v>
      </c>
      <c r="D16">
        <v>0.08</v>
      </c>
      <c r="E16" t="s">
        <v>616</v>
      </c>
      <c r="H16">
        <v>2019</v>
      </c>
      <c r="I16" t="s">
        <v>18</v>
      </c>
      <c r="J16">
        <v>68709.5</v>
      </c>
      <c r="L16" t="str">
        <f t="shared" si="0"/>
        <v>GreeceCyp</v>
      </c>
      <c r="M16" t="s">
        <v>253</v>
      </c>
      <c r="N16" s="8">
        <f t="shared" si="1"/>
        <v>-22.903166666666667</v>
      </c>
      <c r="O16">
        <v>3</v>
      </c>
      <c r="P16" t="s">
        <v>360</v>
      </c>
      <c r="R16" t="str">
        <f t="shared" si="2"/>
        <v>GreeceCyp</v>
      </c>
      <c r="S16" t="s">
        <v>253</v>
      </c>
      <c r="T16" s="8">
        <f t="shared" si="3"/>
        <v>-22.903166666666667</v>
      </c>
      <c r="U16">
        <v>3</v>
      </c>
      <c r="V16" t="s">
        <v>561</v>
      </c>
    </row>
    <row r="17" spans="2:22">
      <c r="B17" t="s">
        <v>19</v>
      </c>
      <c r="C17" t="s">
        <v>469</v>
      </c>
      <c r="D17">
        <v>0.08</v>
      </c>
      <c r="E17" t="s">
        <v>616</v>
      </c>
      <c r="H17">
        <v>2019</v>
      </c>
      <c r="I17" t="s">
        <v>19</v>
      </c>
      <c r="J17">
        <v>177290.8</v>
      </c>
      <c r="L17" t="str">
        <f t="shared" si="0"/>
        <v>HunRomBul</v>
      </c>
      <c r="M17" t="s">
        <v>253</v>
      </c>
      <c r="N17" s="8">
        <f t="shared" si="1"/>
        <v>-59.096933333333332</v>
      </c>
      <c r="O17">
        <v>3</v>
      </c>
      <c r="P17" t="s">
        <v>360</v>
      </c>
      <c r="R17" t="str">
        <f t="shared" si="2"/>
        <v>HunRomBul</v>
      </c>
      <c r="S17" t="s">
        <v>253</v>
      </c>
      <c r="T17" s="8">
        <f t="shared" si="3"/>
        <v>-59.096933333333332</v>
      </c>
      <c r="U17">
        <v>3</v>
      </c>
      <c r="V17" t="s">
        <v>561</v>
      </c>
    </row>
    <row r="18" spans="2:22">
      <c r="B18" t="s">
        <v>20</v>
      </c>
      <c r="C18" t="s">
        <v>469</v>
      </c>
      <c r="D18">
        <v>0.08</v>
      </c>
      <c r="E18" t="s">
        <v>616</v>
      </c>
      <c r="H18">
        <v>2019</v>
      </c>
      <c r="I18" t="s">
        <v>20</v>
      </c>
      <c r="J18">
        <v>3176.8</v>
      </c>
      <c r="L18" t="str">
        <f t="shared" si="0"/>
        <v>Iceland</v>
      </c>
      <c r="M18" t="s">
        <v>253</v>
      </c>
      <c r="N18" s="8">
        <f t="shared" si="1"/>
        <v>-1.0589333333333333</v>
      </c>
      <c r="O18">
        <v>3</v>
      </c>
      <c r="P18" t="s">
        <v>360</v>
      </c>
      <c r="R18" t="str">
        <f t="shared" si="2"/>
        <v>Iceland</v>
      </c>
      <c r="S18" t="s">
        <v>253</v>
      </c>
      <c r="T18" s="8">
        <f t="shared" si="3"/>
        <v>-1.0589333333333333</v>
      </c>
      <c r="U18">
        <v>3</v>
      </c>
      <c r="V18" t="s">
        <v>561</v>
      </c>
    </row>
    <row r="19" spans="2:22">
      <c r="B19" t="s">
        <v>21</v>
      </c>
      <c r="C19" t="s">
        <v>469</v>
      </c>
      <c r="D19">
        <v>0.08</v>
      </c>
      <c r="E19" t="s">
        <v>616</v>
      </c>
      <c r="H19">
        <v>2019</v>
      </c>
      <c r="I19" t="s">
        <v>21</v>
      </c>
      <c r="J19">
        <v>2551485.1</v>
      </c>
      <c r="L19" t="str">
        <f t="shared" si="0"/>
        <v>India</v>
      </c>
      <c r="M19" t="s">
        <v>253</v>
      </c>
      <c r="N19" s="8">
        <f t="shared" si="1"/>
        <v>-850.49503333333325</v>
      </c>
      <c r="O19">
        <v>3</v>
      </c>
      <c r="P19" t="s">
        <v>360</v>
      </c>
      <c r="R19" t="str">
        <f t="shared" si="2"/>
        <v>India</v>
      </c>
      <c r="S19" t="s">
        <v>253</v>
      </c>
      <c r="T19" s="8">
        <f t="shared" si="3"/>
        <v>-850.49503333333325</v>
      </c>
      <c r="U19">
        <v>3</v>
      </c>
      <c r="V19" t="s">
        <v>561</v>
      </c>
    </row>
    <row r="20" spans="2:22">
      <c r="B20" t="s">
        <v>22</v>
      </c>
      <c r="C20" t="s">
        <v>469</v>
      </c>
      <c r="D20">
        <v>0.08</v>
      </c>
      <c r="E20" t="s">
        <v>616</v>
      </c>
      <c r="H20">
        <v>2019</v>
      </c>
      <c r="I20" t="s">
        <v>22</v>
      </c>
      <c r="J20">
        <v>36369</v>
      </c>
      <c r="L20" t="str">
        <f t="shared" si="0"/>
        <v>Ireland</v>
      </c>
      <c r="M20" t="s">
        <v>253</v>
      </c>
      <c r="N20" s="8">
        <f t="shared" si="1"/>
        <v>-12.122999999999999</v>
      </c>
      <c r="O20">
        <v>3</v>
      </c>
      <c r="P20" t="s">
        <v>360</v>
      </c>
      <c r="R20" t="str">
        <f t="shared" si="2"/>
        <v>Ireland</v>
      </c>
      <c r="S20" t="s">
        <v>253</v>
      </c>
      <c r="T20" s="8">
        <f t="shared" si="3"/>
        <v>-12.122999999999999</v>
      </c>
      <c r="U20">
        <v>3</v>
      </c>
      <c r="V20" t="s">
        <v>561</v>
      </c>
    </row>
    <row r="21" spans="2:22">
      <c r="B21" t="s">
        <v>23</v>
      </c>
      <c r="C21" t="s">
        <v>469</v>
      </c>
      <c r="D21">
        <v>0.08</v>
      </c>
      <c r="E21" t="s">
        <v>616</v>
      </c>
      <c r="H21">
        <v>2019</v>
      </c>
      <c r="I21" t="s">
        <v>23</v>
      </c>
      <c r="J21">
        <v>334235</v>
      </c>
      <c r="L21" t="str">
        <f t="shared" si="0"/>
        <v>ItalyMal</v>
      </c>
      <c r="M21" t="s">
        <v>253</v>
      </c>
      <c r="N21" s="8">
        <f t="shared" si="1"/>
        <v>-111.41166666666668</v>
      </c>
      <c r="O21">
        <v>3</v>
      </c>
      <c r="P21" t="s">
        <v>360</v>
      </c>
      <c r="R21" t="str">
        <f t="shared" si="2"/>
        <v>ItalyMal</v>
      </c>
      <c r="S21" t="s">
        <v>253</v>
      </c>
      <c r="T21" s="8">
        <f t="shared" si="3"/>
        <v>-111.41166666666668</v>
      </c>
      <c r="U21">
        <v>3</v>
      </c>
      <c r="V21" t="s">
        <v>561</v>
      </c>
    </row>
    <row r="22" spans="2:22">
      <c r="B22" t="s">
        <v>24</v>
      </c>
      <c r="C22" t="s">
        <v>469</v>
      </c>
      <c r="D22">
        <v>0.1</v>
      </c>
      <c r="E22" t="s">
        <v>616</v>
      </c>
      <c r="H22">
        <v>2019</v>
      </c>
      <c r="I22" t="s">
        <v>24</v>
      </c>
      <c r="J22">
        <v>1123813</v>
      </c>
      <c r="L22" t="str">
        <f t="shared" si="0"/>
        <v>Japan</v>
      </c>
      <c r="M22" t="s">
        <v>253</v>
      </c>
      <c r="N22" s="8">
        <f t="shared" si="1"/>
        <v>-374.60433333333339</v>
      </c>
      <c r="O22">
        <v>3</v>
      </c>
      <c r="P22" t="s">
        <v>360</v>
      </c>
      <c r="R22" t="str">
        <f t="shared" si="2"/>
        <v>Japan</v>
      </c>
      <c r="S22" t="s">
        <v>253</v>
      </c>
      <c r="T22" s="8">
        <f t="shared" si="3"/>
        <v>-374.60433333333339</v>
      </c>
      <c r="U22">
        <v>3</v>
      </c>
      <c r="V22" t="s">
        <v>561</v>
      </c>
    </row>
    <row r="23" spans="2:22">
      <c r="B23" t="s">
        <v>25</v>
      </c>
      <c r="C23" t="s">
        <v>469</v>
      </c>
      <c r="D23">
        <v>3.7499999999999999E-2</v>
      </c>
      <c r="E23" t="s">
        <v>616</v>
      </c>
      <c r="H23">
        <v>2019</v>
      </c>
      <c r="I23" t="s">
        <v>25</v>
      </c>
      <c r="J23">
        <v>806801.1</v>
      </c>
      <c r="L23" t="str">
        <f t="shared" si="0"/>
        <v>LatAm</v>
      </c>
      <c r="M23" t="s">
        <v>253</v>
      </c>
      <c r="N23" s="8">
        <f t="shared" si="1"/>
        <v>-268.93369999999999</v>
      </c>
      <c r="O23">
        <v>3</v>
      </c>
      <c r="P23" t="s">
        <v>360</v>
      </c>
      <c r="R23" t="str">
        <f t="shared" si="2"/>
        <v>LatAm</v>
      </c>
      <c r="S23" t="s">
        <v>253</v>
      </c>
      <c r="T23" s="8">
        <f t="shared" si="3"/>
        <v>-268.93369999999999</v>
      </c>
      <c r="U23">
        <v>3</v>
      </c>
      <c r="V23" t="s">
        <v>561</v>
      </c>
    </row>
    <row r="24" spans="2:22">
      <c r="B24" t="s">
        <v>26</v>
      </c>
      <c r="C24" t="s">
        <v>469</v>
      </c>
      <c r="D24">
        <v>0.01</v>
      </c>
      <c r="E24" t="s">
        <v>616</v>
      </c>
      <c r="H24">
        <v>2019</v>
      </c>
      <c r="I24" t="s">
        <v>26</v>
      </c>
      <c r="J24">
        <v>1602111.4000000001</v>
      </c>
      <c r="L24" t="str">
        <f t="shared" si="0"/>
        <v>MidEast</v>
      </c>
      <c r="M24" t="s">
        <v>253</v>
      </c>
      <c r="N24" s="8">
        <f t="shared" si="1"/>
        <v>-534.03713333333337</v>
      </c>
      <c r="O24">
        <v>3</v>
      </c>
      <c r="P24" t="s">
        <v>360</v>
      </c>
      <c r="R24" t="str">
        <f t="shared" si="2"/>
        <v>MidEast</v>
      </c>
      <c r="S24" t="s">
        <v>253</v>
      </c>
      <c r="T24" s="8">
        <f t="shared" si="3"/>
        <v>-534.03713333333337</v>
      </c>
      <c r="U24">
        <v>3</v>
      </c>
      <c r="V24" t="s">
        <v>561</v>
      </c>
    </row>
    <row r="25" spans="2:22">
      <c r="B25" t="s">
        <v>27</v>
      </c>
      <c r="C25" t="s">
        <v>469</v>
      </c>
      <c r="D25">
        <v>2.5000000000000001E-2</v>
      </c>
      <c r="E25" t="s">
        <v>616</v>
      </c>
      <c r="H25">
        <v>2019</v>
      </c>
      <c r="I25" t="s">
        <v>27</v>
      </c>
      <c r="J25">
        <v>6070661</v>
      </c>
      <c r="L25" t="str">
        <f t="shared" si="0"/>
        <v>NorthAm</v>
      </c>
      <c r="M25" t="s">
        <v>253</v>
      </c>
      <c r="N25" s="8">
        <f t="shared" si="1"/>
        <v>-2023.5536666666667</v>
      </c>
      <c r="O25">
        <v>3</v>
      </c>
      <c r="P25" t="s">
        <v>360</v>
      </c>
      <c r="R25" t="str">
        <f t="shared" si="2"/>
        <v>NorthAm</v>
      </c>
      <c r="S25" t="s">
        <v>253</v>
      </c>
      <c r="T25" s="8">
        <f t="shared" si="3"/>
        <v>-2023.5536666666667</v>
      </c>
      <c r="U25">
        <v>3</v>
      </c>
      <c r="V25" t="s">
        <v>561</v>
      </c>
    </row>
    <row r="26" spans="2:22">
      <c r="B26" t="s">
        <v>28</v>
      </c>
      <c r="C26" t="s">
        <v>469</v>
      </c>
      <c r="D26">
        <v>0.08</v>
      </c>
      <c r="E26" t="s">
        <v>616</v>
      </c>
      <c r="H26">
        <v>2019</v>
      </c>
      <c r="I26" t="s">
        <v>28</v>
      </c>
      <c r="J26">
        <v>45346.600000000006</v>
      </c>
      <c r="L26" t="str">
        <f t="shared" si="0"/>
        <v>Norway</v>
      </c>
      <c r="M26" t="s">
        <v>253</v>
      </c>
      <c r="N26" s="8">
        <f t="shared" si="1"/>
        <v>-15.115533333333337</v>
      </c>
      <c r="O26">
        <v>3</v>
      </c>
      <c r="P26" t="s">
        <v>360</v>
      </c>
      <c r="R26" t="str">
        <f t="shared" si="2"/>
        <v>Norway</v>
      </c>
      <c r="S26" t="s">
        <v>253</v>
      </c>
      <c r="T26" s="8">
        <f t="shared" si="3"/>
        <v>-15.115533333333337</v>
      </c>
      <c r="U26">
        <v>3</v>
      </c>
      <c r="V26" t="s">
        <v>561</v>
      </c>
    </row>
    <row r="27" spans="2:22">
      <c r="B27" t="s">
        <v>29</v>
      </c>
      <c r="C27" t="s">
        <v>469</v>
      </c>
      <c r="D27">
        <v>0.08</v>
      </c>
      <c r="E27" t="s">
        <v>616</v>
      </c>
      <c r="H27">
        <v>2019</v>
      </c>
      <c r="I27" t="s">
        <v>29</v>
      </c>
      <c r="J27">
        <v>312070.7</v>
      </c>
      <c r="L27" t="str">
        <f t="shared" si="0"/>
        <v>Poland</v>
      </c>
      <c r="M27" t="s">
        <v>253</v>
      </c>
      <c r="N27" s="8">
        <f t="shared" si="1"/>
        <v>-104.02356666666667</v>
      </c>
      <c r="O27">
        <v>3</v>
      </c>
      <c r="P27" t="s">
        <v>360</v>
      </c>
      <c r="R27" t="str">
        <f t="shared" si="2"/>
        <v>Poland</v>
      </c>
      <c r="S27" t="s">
        <v>253</v>
      </c>
      <c r="T27" s="8">
        <f t="shared" si="3"/>
        <v>-104.02356666666667</v>
      </c>
      <c r="U27">
        <v>3</v>
      </c>
      <c r="V27" t="s">
        <v>561</v>
      </c>
    </row>
    <row r="28" spans="2:22">
      <c r="B28" t="s">
        <v>30</v>
      </c>
      <c r="C28" t="s">
        <v>469</v>
      </c>
      <c r="D28">
        <v>0.05</v>
      </c>
      <c r="E28" t="s">
        <v>616</v>
      </c>
      <c r="H28">
        <v>2019</v>
      </c>
      <c r="I28" t="s">
        <v>30</v>
      </c>
      <c r="J28">
        <v>3491433.3</v>
      </c>
      <c r="L28" t="str">
        <f t="shared" si="0"/>
        <v>ROW</v>
      </c>
      <c r="M28" t="s">
        <v>253</v>
      </c>
      <c r="N28" s="8">
        <f t="shared" si="1"/>
        <v>-1163.8110999999999</v>
      </c>
      <c r="O28">
        <v>3</v>
      </c>
      <c r="P28" t="s">
        <v>360</v>
      </c>
      <c r="R28" t="str">
        <f t="shared" si="2"/>
        <v>ROW</v>
      </c>
      <c r="S28" t="s">
        <v>253</v>
      </c>
      <c r="T28" s="8">
        <f t="shared" si="3"/>
        <v>-1163.8110999999999</v>
      </c>
      <c r="U28">
        <v>3</v>
      </c>
      <c r="V28" t="s">
        <v>561</v>
      </c>
    </row>
    <row r="29" spans="2:22">
      <c r="B29" t="s">
        <v>31</v>
      </c>
      <c r="C29" t="s">
        <v>469</v>
      </c>
      <c r="D29">
        <v>0.05</v>
      </c>
      <c r="E29" t="s">
        <v>616</v>
      </c>
      <c r="H29">
        <v>2019</v>
      </c>
      <c r="I29" t="s">
        <v>31</v>
      </c>
      <c r="J29">
        <v>1919249.5</v>
      </c>
      <c r="L29" t="str">
        <f t="shared" si="0"/>
        <v>Russia</v>
      </c>
      <c r="M29" t="s">
        <v>253</v>
      </c>
      <c r="N29" s="8">
        <f t="shared" si="1"/>
        <v>-639.7498333333333</v>
      </c>
      <c r="O29">
        <v>3</v>
      </c>
      <c r="P29" t="s">
        <v>360</v>
      </c>
      <c r="R29" t="str">
        <f t="shared" si="2"/>
        <v>Russia</v>
      </c>
      <c r="S29" t="s">
        <v>253</v>
      </c>
      <c r="T29" s="8">
        <f t="shared" si="3"/>
        <v>-639.7498333333333</v>
      </c>
      <c r="U29">
        <v>3</v>
      </c>
      <c r="V29" t="s">
        <v>561</v>
      </c>
    </row>
    <row r="30" spans="2:22">
      <c r="B30" t="s">
        <v>32</v>
      </c>
      <c r="C30" t="s">
        <v>469</v>
      </c>
      <c r="D30">
        <v>0.01</v>
      </c>
      <c r="E30" t="s">
        <v>616</v>
      </c>
      <c r="H30">
        <v>2019</v>
      </c>
      <c r="I30" t="s">
        <v>32</v>
      </c>
      <c r="J30">
        <v>579808.80000000005</v>
      </c>
      <c r="L30" t="str">
        <f t="shared" si="0"/>
        <v>SaudiArabia</v>
      </c>
      <c r="M30" t="s">
        <v>253</v>
      </c>
      <c r="N30" s="8">
        <f t="shared" si="1"/>
        <v>-193.2696</v>
      </c>
      <c r="O30">
        <v>3</v>
      </c>
      <c r="P30" t="s">
        <v>360</v>
      </c>
      <c r="R30" t="str">
        <f t="shared" si="2"/>
        <v>SaudiArabia</v>
      </c>
      <c r="S30" t="s">
        <v>253</v>
      </c>
      <c r="T30" s="8">
        <f t="shared" si="3"/>
        <v>-193.2696</v>
      </c>
      <c r="U30">
        <v>3</v>
      </c>
      <c r="V30" t="s">
        <v>561</v>
      </c>
    </row>
    <row r="31" spans="2:22">
      <c r="B31" t="s">
        <v>33</v>
      </c>
      <c r="C31" t="s">
        <v>469</v>
      </c>
      <c r="D31">
        <v>0.08</v>
      </c>
      <c r="E31" t="s">
        <v>616</v>
      </c>
      <c r="H31">
        <v>2019</v>
      </c>
      <c r="I31" t="s">
        <v>33</v>
      </c>
      <c r="J31">
        <v>477544.6</v>
      </c>
      <c r="L31" t="str">
        <f t="shared" si="0"/>
        <v>SouthAfrica</v>
      </c>
      <c r="M31" t="s">
        <v>253</v>
      </c>
      <c r="N31" s="8">
        <f t="shared" si="1"/>
        <v>-159.18153333333333</v>
      </c>
      <c r="O31">
        <v>3</v>
      </c>
      <c r="P31" t="s">
        <v>360</v>
      </c>
      <c r="R31" t="str">
        <f t="shared" si="2"/>
        <v>SouthAfrica</v>
      </c>
      <c r="S31" t="s">
        <v>253</v>
      </c>
      <c r="T31" s="8">
        <f t="shared" si="3"/>
        <v>-159.18153333333333</v>
      </c>
      <c r="U31">
        <v>3</v>
      </c>
      <c r="V31" t="s">
        <v>561</v>
      </c>
    </row>
    <row r="32" spans="2:22">
      <c r="B32" t="s">
        <v>34</v>
      </c>
      <c r="C32" t="s">
        <v>469</v>
      </c>
      <c r="D32">
        <v>0.08</v>
      </c>
      <c r="E32" t="s">
        <v>616</v>
      </c>
      <c r="H32">
        <v>2019</v>
      </c>
      <c r="I32" t="s">
        <v>34</v>
      </c>
      <c r="J32">
        <v>300779.30000000005</v>
      </c>
      <c r="L32" t="str">
        <f t="shared" si="0"/>
        <v>SpainPor</v>
      </c>
      <c r="M32" t="s">
        <v>253</v>
      </c>
      <c r="N32" s="8">
        <f t="shared" si="1"/>
        <v>-100.25976666666668</v>
      </c>
      <c r="O32">
        <v>3</v>
      </c>
      <c r="P32" t="s">
        <v>360</v>
      </c>
      <c r="R32" t="str">
        <f t="shared" si="2"/>
        <v>SpainPor</v>
      </c>
      <c r="S32" t="s">
        <v>253</v>
      </c>
      <c r="T32" s="8">
        <f t="shared" si="3"/>
        <v>-100.25976666666668</v>
      </c>
      <c r="U32">
        <v>3</v>
      </c>
      <c r="V32" t="s">
        <v>561</v>
      </c>
    </row>
    <row r="33" spans="2:22">
      <c r="B33" t="s">
        <v>35</v>
      </c>
      <c r="C33" t="s">
        <v>469</v>
      </c>
      <c r="D33">
        <v>0.08</v>
      </c>
      <c r="E33" t="s">
        <v>616</v>
      </c>
      <c r="H33">
        <v>2019</v>
      </c>
      <c r="I33" t="s">
        <v>35</v>
      </c>
      <c r="J33">
        <v>113715.7</v>
      </c>
      <c r="L33" t="str">
        <f t="shared" si="0"/>
        <v>SweFinDen</v>
      </c>
      <c r="M33" t="s">
        <v>253</v>
      </c>
      <c r="N33" s="8">
        <f t="shared" si="1"/>
        <v>-37.905233333333335</v>
      </c>
      <c r="O33">
        <v>3</v>
      </c>
      <c r="P33" t="s">
        <v>360</v>
      </c>
      <c r="R33" t="str">
        <f t="shared" si="2"/>
        <v>SweFinDen</v>
      </c>
      <c r="S33" t="s">
        <v>253</v>
      </c>
      <c r="T33" s="8">
        <f t="shared" si="3"/>
        <v>-37.905233333333335</v>
      </c>
      <c r="U33">
        <v>3</v>
      </c>
      <c r="V33" t="s">
        <v>561</v>
      </c>
    </row>
    <row r="34" spans="2:22">
      <c r="B34" t="s">
        <v>36</v>
      </c>
      <c r="C34" t="s">
        <v>469</v>
      </c>
      <c r="D34">
        <v>0.08</v>
      </c>
      <c r="E34" t="s">
        <v>616</v>
      </c>
      <c r="H34">
        <v>2019</v>
      </c>
      <c r="I34" t="s">
        <v>36</v>
      </c>
      <c r="J34">
        <v>38395.4</v>
      </c>
      <c r="L34" t="str">
        <f t="shared" si="0"/>
        <v>Switzerland</v>
      </c>
      <c r="M34" t="s">
        <v>253</v>
      </c>
      <c r="N34" s="8">
        <f t="shared" si="1"/>
        <v>-12.798466666666668</v>
      </c>
      <c r="O34">
        <v>3</v>
      </c>
      <c r="P34" t="s">
        <v>360</v>
      </c>
      <c r="R34" t="str">
        <f t="shared" si="2"/>
        <v>Switzerland</v>
      </c>
      <c r="S34" t="s">
        <v>253</v>
      </c>
      <c r="T34" s="8">
        <f t="shared" si="3"/>
        <v>-12.798466666666668</v>
      </c>
      <c r="U34">
        <v>3</v>
      </c>
      <c r="V34" t="s">
        <v>561</v>
      </c>
    </row>
    <row r="35" spans="2:22">
      <c r="B35" t="s">
        <v>37</v>
      </c>
      <c r="C35" t="s">
        <v>469</v>
      </c>
      <c r="D35">
        <v>3.7499999999999999E-2</v>
      </c>
      <c r="E35" t="s">
        <v>616</v>
      </c>
      <c r="H35">
        <v>2019</v>
      </c>
      <c r="I35" t="s">
        <v>37</v>
      </c>
      <c r="J35">
        <v>414477.5</v>
      </c>
      <c r="L35" t="str">
        <f t="shared" si="0"/>
        <v>Turkey</v>
      </c>
      <c r="M35" t="s">
        <v>253</v>
      </c>
      <c r="N35" s="8">
        <f t="shared" si="1"/>
        <v>-138.15916666666666</v>
      </c>
      <c r="O35">
        <v>3</v>
      </c>
      <c r="P35" t="s">
        <v>360</v>
      </c>
      <c r="R35" t="str">
        <f t="shared" si="2"/>
        <v>Turkey</v>
      </c>
      <c r="S35" t="s">
        <v>253</v>
      </c>
      <c r="T35" s="8">
        <f t="shared" si="3"/>
        <v>-138.15916666666666</v>
      </c>
      <c r="U35">
        <v>3</v>
      </c>
      <c r="V35" t="s">
        <v>561</v>
      </c>
    </row>
    <row r="36" spans="2:22">
      <c r="B36" t="s">
        <v>38</v>
      </c>
      <c r="C36" t="s">
        <v>469</v>
      </c>
      <c r="D36">
        <v>0.08</v>
      </c>
      <c r="E36" t="s">
        <v>616</v>
      </c>
      <c r="H36">
        <v>2019</v>
      </c>
      <c r="I36" t="s">
        <v>38</v>
      </c>
      <c r="J36">
        <v>359013.10000000003</v>
      </c>
      <c r="L36" t="str">
        <f t="shared" si="0"/>
        <v>UK</v>
      </c>
      <c r="M36" t="s">
        <v>253</v>
      </c>
      <c r="N36" s="8">
        <f t="shared" si="1"/>
        <v>-119.67103333333334</v>
      </c>
      <c r="O36">
        <v>3</v>
      </c>
      <c r="P36" t="s">
        <v>360</v>
      </c>
      <c r="R36" t="str">
        <f t="shared" si="2"/>
        <v>UK</v>
      </c>
      <c r="S36" t="s">
        <v>253</v>
      </c>
      <c r="T36" s="8">
        <f t="shared" si="3"/>
        <v>-119.67103333333334</v>
      </c>
      <c r="U36">
        <v>3</v>
      </c>
      <c r="V36" t="s">
        <v>561</v>
      </c>
    </row>
    <row r="37" spans="2:22">
      <c r="B37" t="s">
        <v>39</v>
      </c>
      <c r="C37" t="s">
        <v>469</v>
      </c>
      <c r="D37">
        <v>3.7499999999999999E-2</v>
      </c>
      <c r="E37" t="s">
        <v>616</v>
      </c>
      <c r="H37">
        <v>2019</v>
      </c>
      <c r="I37" t="s">
        <v>39</v>
      </c>
      <c r="J37">
        <v>217019.8</v>
      </c>
      <c r="L37" t="str">
        <f t="shared" si="0"/>
        <v>Ukraine</v>
      </c>
      <c r="M37" t="s">
        <v>253</v>
      </c>
      <c r="N37" s="8">
        <f t="shared" si="1"/>
        <v>-72.33993333333332</v>
      </c>
      <c r="O37">
        <v>3</v>
      </c>
      <c r="P37" t="s">
        <v>360</v>
      </c>
      <c r="R37" t="str">
        <f t="shared" si="2"/>
        <v>Ukraine</v>
      </c>
      <c r="S37" t="s">
        <v>253</v>
      </c>
      <c r="T37" s="8">
        <f t="shared" si="3"/>
        <v>-72.33993333333332</v>
      </c>
      <c r="U37">
        <v>3</v>
      </c>
      <c r="V37" t="s">
        <v>561</v>
      </c>
    </row>
    <row r="38" spans="2:22">
      <c r="B38" t="s">
        <v>40</v>
      </c>
      <c r="C38" t="s">
        <v>469</v>
      </c>
      <c r="D38">
        <v>3.7499999999999999E-2</v>
      </c>
      <c r="E38" t="s">
        <v>616</v>
      </c>
      <c r="H38">
        <v>2019</v>
      </c>
      <c r="I38" t="s">
        <v>40</v>
      </c>
      <c r="J38">
        <v>27581.5</v>
      </c>
      <c r="L38" t="str">
        <f t="shared" si="0"/>
        <v>WestBalkans</v>
      </c>
      <c r="M38" t="s">
        <v>253</v>
      </c>
      <c r="N38" s="8">
        <f t="shared" si="1"/>
        <v>-9.1938333333333322</v>
      </c>
      <c r="O38">
        <v>3</v>
      </c>
      <c r="P38" t="s">
        <v>360</v>
      </c>
      <c r="R38" t="str">
        <f t="shared" si="2"/>
        <v>WestBalkans</v>
      </c>
      <c r="S38" t="s">
        <v>253</v>
      </c>
      <c r="T38" s="8">
        <f t="shared" si="3"/>
        <v>-9.1938333333333322</v>
      </c>
      <c r="U38">
        <v>3</v>
      </c>
      <c r="V38" t="s">
        <v>561</v>
      </c>
    </row>
  </sheetData>
  <pageMargins left="0.7" right="0.7" top="0.75" bottom="0.75" header="0.3" footer="0.3"/>
  <pageSetup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5"/>
  <dimension ref="B3:I25"/>
  <sheetViews>
    <sheetView zoomScale="60" zoomScaleNormal="60" workbookViewId="0">
      <selection activeCell="I25" sqref="I25"/>
    </sheetView>
  </sheetViews>
  <sheetFormatPr defaultColWidth="9" defaultRowHeight="14.25"/>
  <cols>
    <col min="2" max="2" width="24.3984375" customWidth="1"/>
    <col min="3" max="3" width="19.86328125" customWidth="1"/>
    <col min="4" max="4" width="7.86328125" customWidth="1"/>
    <col min="5" max="5" width="8" customWidth="1"/>
    <col min="6" max="6" width="5" customWidth="1"/>
    <col min="7" max="7" width="2" customWidth="1"/>
    <col min="9" max="9" width="67.796875" customWidth="1"/>
  </cols>
  <sheetData>
    <row r="3" spans="2:9">
      <c r="B3" t="s">
        <v>1</v>
      </c>
    </row>
    <row r="5" spans="2:9">
      <c r="C5" t="s">
        <v>617</v>
      </c>
    </row>
    <row r="6" spans="2:9">
      <c r="B6" t="s">
        <v>3</v>
      </c>
      <c r="C6" t="s">
        <v>4</v>
      </c>
      <c r="D6" t="s">
        <v>76</v>
      </c>
      <c r="E6" t="s">
        <v>5</v>
      </c>
      <c r="F6">
        <v>2020</v>
      </c>
      <c r="G6">
        <v>0</v>
      </c>
      <c r="H6" t="s">
        <v>75</v>
      </c>
      <c r="I6" t="s">
        <v>90</v>
      </c>
    </row>
    <row r="7" spans="2:9" s="1" customFormat="1">
      <c r="B7" s="1" t="s">
        <v>618</v>
      </c>
      <c r="C7" s="1" t="s">
        <v>280</v>
      </c>
      <c r="D7" s="1" t="s">
        <v>96</v>
      </c>
      <c r="E7" s="3">
        <f>1/0.05</f>
        <v>20</v>
      </c>
      <c r="F7" s="1">
        <v>0</v>
      </c>
      <c r="G7" s="1">
        <v>3</v>
      </c>
      <c r="H7" s="1" t="s">
        <v>619</v>
      </c>
      <c r="I7" s="1" t="s">
        <v>620</v>
      </c>
    </row>
    <row r="8" spans="2:9">
      <c r="C8" t="s">
        <v>111</v>
      </c>
      <c r="D8" s="4" t="s">
        <v>621</v>
      </c>
      <c r="E8" s="4">
        <v>-60</v>
      </c>
      <c r="F8" s="4"/>
      <c r="G8" s="4"/>
      <c r="H8" s="4" t="s">
        <v>619</v>
      </c>
    </row>
    <row r="9" spans="2:9">
      <c r="C9" t="s">
        <v>111</v>
      </c>
      <c r="D9" s="4" t="s">
        <v>622</v>
      </c>
      <c r="E9" s="4">
        <v>-180</v>
      </c>
      <c r="F9" s="4"/>
      <c r="G9" s="4"/>
      <c r="H9" s="4" t="s">
        <v>619</v>
      </c>
    </row>
    <row r="10" spans="2:9">
      <c r="C10" t="s">
        <v>111</v>
      </c>
      <c r="D10" t="s">
        <v>623</v>
      </c>
      <c r="E10">
        <v>-600</v>
      </c>
      <c r="H10" t="s">
        <v>619</v>
      </c>
    </row>
    <row r="12" spans="2:9" s="2" customFormat="1"/>
    <row r="13" spans="2:9" s="2" customFormat="1"/>
    <row r="14" spans="2:9" s="2" customFormat="1"/>
    <row r="15" spans="2:9" s="2" customFormat="1"/>
    <row r="17" spans="2:9">
      <c r="C17" t="s">
        <v>624</v>
      </c>
    </row>
    <row r="18" spans="2:9">
      <c r="B18" t="s">
        <v>3</v>
      </c>
      <c r="C18" t="s">
        <v>4</v>
      </c>
      <c r="D18" t="s">
        <v>76</v>
      </c>
      <c r="E18" t="s">
        <v>5</v>
      </c>
      <c r="F18">
        <v>2020</v>
      </c>
      <c r="G18">
        <v>0</v>
      </c>
      <c r="H18" t="s">
        <v>75</v>
      </c>
      <c r="I18" t="s">
        <v>90</v>
      </c>
    </row>
    <row r="19" spans="2:9">
      <c r="B19" t="s">
        <v>625</v>
      </c>
      <c r="C19" t="s">
        <v>626</v>
      </c>
      <c r="D19" t="s">
        <v>619</v>
      </c>
      <c r="E19">
        <v>1</v>
      </c>
      <c r="F19">
        <v>0</v>
      </c>
      <c r="G19">
        <v>3</v>
      </c>
      <c r="I19" t="s">
        <v>627</v>
      </c>
    </row>
    <row r="20" spans="2:9">
      <c r="C20" t="s">
        <v>111</v>
      </c>
      <c r="D20" t="s">
        <v>621</v>
      </c>
      <c r="E20">
        <v>-60</v>
      </c>
      <c r="H20" t="s">
        <v>619</v>
      </c>
    </row>
    <row r="21" spans="2:9">
      <c r="C21" t="s">
        <v>111</v>
      </c>
      <c r="D21" t="s">
        <v>622</v>
      </c>
      <c r="E21">
        <v>-180</v>
      </c>
      <c r="H21" t="s">
        <v>619</v>
      </c>
    </row>
    <row r="22" spans="2:9">
      <c r="C22" s="2" t="s">
        <v>111</v>
      </c>
      <c r="D22" s="2" t="s">
        <v>628</v>
      </c>
      <c r="E22" s="2">
        <v>-600</v>
      </c>
      <c r="F22" s="2"/>
      <c r="G22" s="2"/>
      <c r="H22" s="2" t="s">
        <v>619</v>
      </c>
    </row>
    <row r="23" spans="2:9">
      <c r="C23" s="2" t="s">
        <v>111</v>
      </c>
      <c r="D23" s="2" t="s">
        <v>629</v>
      </c>
      <c r="E23" s="2">
        <v>-14.7692307692308</v>
      </c>
      <c r="F23" s="2"/>
      <c r="G23" s="2"/>
      <c r="H23" s="2" t="s">
        <v>619</v>
      </c>
    </row>
    <row r="24" spans="2:9">
      <c r="C24" s="2" t="s">
        <v>111</v>
      </c>
      <c r="D24" s="2" t="s">
        <v>630</v>
      </c>
      <c r="E24" s="2">
        <v>-16.842105263157901</v>
      </c>
      <c r="F24" s="2"/>
      <c r="G24" s="2"/>
      <c r="H24" s="2" t="s">
        <v>619</v>
      </c>
    </row>
    <row r="25" spans="2:9">
      <c r="C25" t="s">
        <v>111</v>
      </c>
      <c r="D25" t="s">
        <v>623</v>
      </c>
      <c r="E25">
        <v>-600</v>
      </c>
      <c r="H25" t="s">
        <v>619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2009-05-27T15:40:00Z</dcterms:created>
  <dcterms:modified xsi:type="dcterms:W3CDTF">2026-06-29T15:35:56Z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1033-12.1.0.26880</vt:lpwstr>
  </property>
  <property fmtid="{D5CDD505-2E9C-101B-9397-08002B2CF9AE}" pid="6" name="CalculationRule">
    <vt:i4>0</vt:i4>
  </property>
</Properties>
</file>