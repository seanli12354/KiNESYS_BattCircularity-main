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<sst xmlns="http://schemas.openxmlformats.org/spreadsheetml/2006/main" count="2412" uniqueCount="765">
  <si>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</si>
  <si>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</si>
  <si>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</si>
  <si>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</si>
  <si>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</si>
  <si>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</si>
  <si>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</si>
  <si>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</si>
  <si>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</si>
  <si>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</si>
  <si>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</si>
  <si>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</si>
  <si>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</si>
  <si>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</si>
  <si>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</si>
  <si>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</si>
  <si>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</si>
  <si>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</si>
  <si>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</si>
  <si>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</si>
  <si>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</si>
  <si>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</si>
  <si>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</si>
  <si>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</si>
  <si>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</si>
  <si>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</si>
  <si>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</si>
  <si>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</si>
  <si>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</si>
  <si>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</si>
  <si>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</si>
  <si>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</si>
  <si>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</si>
  <si>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</si>
  <si>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</si>
  <si>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</si>
  <si>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</si>
  <si>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</si>
  <si>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</si>
  <si>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</si>
  <si>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</si>
  <si>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</si>
  <si>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</si>
  <si>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</si>
  <si>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</si>
  <si>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</si>
  <si>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</si>
  <si>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</si>
  <si>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</si>
  <si>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</si>
  <si>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</si>
  <si>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</si>
  <si>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</si>
  <si>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</si>
  <si>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</si>
  <si>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</si>
  <si>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</si>
  <si>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</si>
  <si>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</si>
  <si>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</si>
  <si>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</si>
  <si>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</si>
  <si>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</si>
  <si>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</si>
  <si>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</si>
  <si>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</si>
  <si>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</si>
  <si>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</si>
  <si>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</si>
  <si>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</si>
  <si>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</si>
  <si>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</si>
  <si>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</si>
  <si>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</si>
  <si>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</si>
  <si>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</si>
  <si>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</si>
  <si>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</si>
  <si>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</si>
  <si>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</si>
  <si>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</si>
  <si>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</si>
  <si>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</si>
  <si>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</si>
  <si>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</si>
  <si>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</si>
  <si>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</si>
  <si>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</si>
  <si>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</si>
  <si>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</si>
  <si>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</si>
  <si>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</si>
  <si>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</si>
  <si>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</si>
  <si>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</si>
  <si>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</si>
  <si>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</si>
  <si>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</si>
  <si>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</si>
  <si>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</si>
  <si>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</si>
  <si>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</si>
  <si>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</si>
  <si>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</si>
  <si>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</si>
  <si>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</si>
  <si>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</si>
  <si>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</si>
  <si>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</si>
  <si>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</si>
  <si>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</si>
  <si>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</si>
  <si>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</si>
  <si>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</si>
  <si>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</si>
  <si>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</si>
  <si>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</si>
  <si>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</si>
  <si>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</si>
  <si>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</si>
  <si>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</si>
  <si>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</si>
  <si>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</si>
  <si>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</si>
  <si>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</si>
  <si>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</si>
  <si>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</si>
  <si>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</si>
  <si>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</si>
  <si>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</si>
  <si>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</si>
  <si>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</si>
  <si>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</si>
  <si>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</si>
  <si>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</si>
  <si>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</si>
  <si>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</si>
  <si>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</si>
  <si>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</si>
  <si>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</si>
  <si>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</si>
  <si>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</si>
  <si>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</si>
  <si>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</si>
  <si>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</si>
  <si>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</si>
  <si>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</si>
  <si>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</si>
  <si>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</si>
  <si>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</si>
  <si>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</si>
  <si>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</si>
  <si>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</si>
  <si>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</si>
  <si>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</si>
  <si>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</si>
  <si>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</si>
  <si>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</si>
  <si>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</si>
  <si>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</si>
  <si>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</si>
  <si>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</si>
  <si>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</si>
  <si>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</si>
  <si>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</si>
  <si>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</si>
  <si>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</si>
  <si>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</si>
  <si>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</si>
  <si>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</si>
  <si>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</si>
  <si>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</si>
  <si>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</si>
  <si>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</si>
  <si>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</si>
  <si>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</si>
  <si>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</si>
  <si>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</si>
  <si>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</si>
  <si>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</si>
  <si>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</si>
  <si>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</si>
  <si>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</si>
  <si>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</si>
  <si>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</si>
  <si>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</si>
  <si>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</si>
  <si>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</si>
  <si>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</si>
  <si>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</si>
  <si>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</si>
  <si>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</si>
  <si>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</si>
  <si>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</si>
  <si>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</si>
  <si>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</si>
  <si>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</si>
  <si>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</si>
  <si>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</si>
  <si>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</si>
  <si>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</si>
  <si>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</si>
  <si>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</si>
  <si>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</si>
  <si>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</si>
  <si>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</si>
  <si>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</si>
  <si>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</si>
  <si>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</si>
  <si>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</si>
  <si>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</si>
  <si>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</si>
  <si>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</si>
  <si>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</si>
  <si>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</si>
  <si>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</si>
  <si>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</si>
  <si>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</si>
  <si>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</si>
  <si>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</si>
  <si>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</si>
  <si>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</si>
  <si>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</si>
  <si>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</si>
  <si>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</si>
  <si>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</si>
  <si>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</si>
  <si>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</si>
  <si>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</si>
  <si>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</si>
  <si>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</si>
  <si>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</si>
  <si>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</si>
  <si>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</si>
  <si>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</si>
  <si>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</si>
  <si>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</si>
  <si>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</si>
  <si>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</si>
  <si>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</si>
  <si>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</si>
  <si>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</si>
  <si>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</si>
  <si>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</si>
  <si>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</si>
  <si>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</si>
  <si>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</si>
  <si>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</si>
  <si>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</si>
  <si>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</si>
  <si>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</si>
  <si>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</si>
  <si>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</si>
  <si>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</si>
  <si>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</si>
  <si>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</si>
  <si>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</si>
  <si>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</si>
  <si>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</si>
  <si>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</si>
  <si>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</si>
  <si>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</si>
  <si>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</si>
  <si>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</si>
  <si>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</si>
  <si>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</si>
  <si>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</si>
  <si>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</si>
  <si>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</si>
  <si>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</si>
  <si>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</si>
  <si>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</si>
  <si>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</si>
  <si>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</si>
  <si>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</si>
  <si>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</si>
  <si>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</si>
  <si>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</si>
  <si>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</si>
  <si>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</si>
  <si>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</si>
  <si>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</si>
  <si>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</si>
  <si>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</si>
  <si>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</si>
  <si>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</si>
  <si>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</si>
  <si>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</si>
  <si>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</si>
  <si>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</si>
  <si>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</si>
  <si>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</si>
  <si>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</si>
  <si>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</si>
  <si>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</si>
  <si>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</si>
  <si>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</si>
  <si>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</si>
  <si>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</si>
  <si>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</si>
  <si>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</si>
  <si>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</si>
  <si>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</si>
  <si>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</si>
  <si>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</si>
  <si>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</si>
  <si>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</si>
  <si>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</si>
  <si>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</si>
  <si>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</si>
  <si>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</si>
  <si>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</si>
  <si>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</si>
  <si>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</si>
  <si>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</si>
  <si>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</si>
  <si>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</si>
  <si>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</si>
  <si>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</si>
  <si>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</si>
  <si>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</si>
  <si>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</si>
  <si>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</si>
  <si>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</si>
  <si>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</si>
  <si>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</si>
  <si>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</si>
  <si>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</si>
  <si>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</si>
  <si>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</si>
  <si>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</si>
  <si>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</si>
  <si>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</si>
  <si>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</si>
  <si>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</si>
  <si>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</si>
  <si>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</si>
  <si>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</si>
  <si>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</si>
  <si>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</si>
  <si>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</si>
  <si>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</si>
  <si>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</si>
  <si>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</si>
  <si>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</si>
  <si>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</si>
  <si>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</si>
  <si>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</si>
  <si>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</si>
  <si>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</si>
  <si>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</si>
  <si>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</si>
  <si>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</si>
  <si>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</si>
  <si>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</si>
  <si>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</si>
  <si>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</si>
  <si>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</si>
  <si>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</si>
  <si>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</si>
  <si>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</si>
  <si>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</si>
  <si>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</si>
  <si>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</si>
  <si>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</si>
  <si>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</si>
  <si>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</si>
  <si>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</si>
  <si>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</si>
  <si>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</si>
  <si>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</si>
  <si>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</si>
  <si>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</si>
  <si>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</si>
  <si>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</si>
  <si>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</si>
  <si>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</si>
  <si>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</si>
  <si>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</si>
  <si>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</si>
  <si>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</si>
  <si>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</si>
  <si>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</si>
  <si>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</si>
  <si>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</si>
  <si>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</si>
  <si>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</si>
  <si>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</si>
  <si>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</si>
  <si>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</si>
  <si>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</si>
  <si>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</si>
  <si>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</si>
  <si>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</si>
  <si>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</si>
  <si>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</si>
  <si>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</si>
  <si>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</si>
  <si>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</si>
  <si>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</si>
  <si>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</si>
  <si>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</si>
  <si>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</si>
  <si>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</si>
  <si>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</si>
  <si>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</si>
  <si>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</si>
  <si>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</si>
  <si>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</si>
  <si>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</si>
  <si>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</si>
  <si>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</si>
  <si>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</si>
  <si>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</si>
  <si>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</si>
  <si>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</si>
  <si>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</si>
  <si>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</si>
  <si>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</si>
  <si>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</si>
  <si>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</si>
  <si>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</si>
  <si>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</si>
  <si>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</si>
  <si>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</si>
  <si>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</si>
  <si>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</si>
  <si>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</si>
  <si>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</si>
  <si>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</si>
  <si>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</si>
  <si>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</si>
  <si>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</si>
  <si>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</si>
  <si>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</si>
  <si>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</si>
  <si>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</si>
  <si>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</si>
  <si>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</si>
  <si>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</si>
  <si>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</si>
  <si>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</si>
  <si>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</si>
  <si>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</si>
  <si>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</si>
  <si>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</si>
  <si>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</si>
  <si>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</si>
  <si>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</si>
  <si>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</si>
  <si>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</si>
  <si>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</si>
  <si>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</si>
  <si>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</si>
  <si>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</si>
  <si>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</si>
  <si>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</si>
  <si>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</si>
  <si>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</si>
  <si>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</si>
  <si>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</si>
  <si>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</si>
  <si>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</si>
  <si>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</si>
  <si>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</si>
  <si>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</si>
  <si>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</si>
  <si>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</si>
  <si>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</si>
  <si>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</si>
  <si>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</si>
  <si>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</si>
  <si>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</si>
  <si>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</si>
  <si>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</si>
  <si>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</si>
  <si>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</si>
  <si>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</si>
  <si>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</si>
  <si>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</si>
  <si>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</si>
  <si>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</si>
  <si>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</si>
  <si>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</si>
  <si>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</si>
  <si>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</si>
  <si>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</si>
  <si>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</si>
  <si>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</si>
  <si>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</si>
  <si>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</si>
  <si>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</si>
  <si>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</si>
  <si>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</si>
  <si>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</si>
  <si>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</si>
  <si>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</si>
  <si>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</si>
  <si>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</si>
  <si>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</si>
  <si>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</si>
  <si>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</si>
  <si>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</si>
  <si>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</si>
  <si>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</si>
  <si>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</si>
  <si>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</si>
  <si>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</si>
  <si>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</si>
  <si>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</si>
  <si>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</si>
  <si>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</si>
  <si>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</si>
  <si>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</si>
  <si>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</si>
  <si>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</si>
  <si>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</si>
  <si>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</si>
  <si>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</si>
  <si>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</si>
  <si>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</si>
  <si>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</si>
  <si>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</si>
  <si>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</si>
  <si>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</si>
  <si>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</si>
  <si>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</si>
  <si>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</si>
  <si>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</si>
  <si>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</si>
  <si>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</si>
  <si>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</si>
  <si>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</si>
  <si>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</si>
  <si>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</si>
  <si>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</si>
  <si>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</si>
  <si>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</si>
  <si>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</si>
  <si>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</si>
  <si>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</si>
  <si>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</si>
  <si>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</si>
  <si>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</si>
  <si>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</si>
  <si>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</si>
  <si>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</si>
  <si>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</si>
  <si>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</si>
  <si>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</si>
  <si>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</si>
  <si>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</si>
  <si>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</si>
  <si>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</si>
  <si>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</si>
  <si>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</si>
  <si>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</si>
  <si>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</si>
  <si>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</si>
  <si>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</si>
  <si>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</si>
  <si>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</si>
  <si>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</si>
  <si>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</si>
  <si>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</si>
  <si>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</si>
  <si>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</si>
  <si>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</si>
  <si>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</si>
  <si>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</si>
  <si>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</si>
  <si>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</si>
  <si>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</si>
  <si>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</si>
  <si>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</si>
  <si>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</si>
  <si>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</si>
  <si>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</si>
  <si>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</si>
  <si>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</si>
  <si>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</si>
  <si>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</si>
  <si>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</si>
  <si>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</si>
  <si>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</si>
  <si>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</si>
  <si>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</si>
  <si>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</si>
  <si>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</si>
  <si>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</si>
  <si>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</si>
  <si>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</si>
  <si>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</si>
  <si>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</si>
  <si>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</si>
  <si>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</si>
  <si>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</si>
  <si>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</si>
  <si>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</si>
  <si>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</si>
  <si>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</si>
  <si>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</si>
  <si>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</si>
  <si>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</si>
  <si>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</si>
  <si>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</si>
  <si>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</si>
  <si>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</si>
  <si>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</si>
  <si>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</si>
  <si>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</si>
  <si>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</si>
  <si>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</si>
  <si>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</si>
  <si>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</si>
  <si>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</si>
  <si>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</si>
  <si>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</si>
  <si>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</si>
  <si>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</si>
  <si>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</si>
  <si>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</si>
  <si>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</si>
  <si>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</si>
  <si>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</si>
  <si>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</si>
  <si>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</si>
  <si>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</si>
  <si>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</si>
  <si>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</si>
  <si>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</si>
  <si>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</si>
  <si>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</si>
  <si>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</si>
  <si>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</si>
  <si>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</si>
  <si>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</si>
  <si>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</si>
  <si>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</si>
  <si>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</si>
  <si>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</si>
  <si>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</si>
  <si>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</si>
  <si>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</si>
  <si>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</si>
  <si>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</si>
  <si>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</si>
  <si>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</si>
  <si>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</si>
  <si>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</si>
  <si>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</si>
  <si>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</si>
  <si>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</si>
  <si>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</si>
  <si>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</si>
  <si>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</si>
  <si>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</si>
  <si>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</si>
  <si>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</si>
  <si>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</si>
  <si>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</si>
  <si>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</si>
  <si>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</si>
  <si>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</si>
  <si>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</si>
  <si>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</si>
  <si>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</si>
  <si>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</si>
  <si>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</si>
  <si>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</si>
  <si>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</si>
  <si>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</si>
  <si>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</si>
  <si>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</si>
  <si>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</si>
  <si>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</si>
  <si>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</si>
  <si>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</si>
  <si>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</si>
  <si>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</si>
  <si>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</si>
  <si>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</si>
  <si>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</si>
  <si>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</si>
  <si>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</si>
  <si>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</si>
  <si>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</si>
  <si>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</si>
  <si>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</si>
  <si>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</si>
  <si>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</si>
  <si>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</si>
  <si>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</si>
  <si>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</si>
  <si>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</si>
  <si>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</si>
  <si>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</si>
  <si>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</si>
  <si>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</si>
  <si>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</si>
  <si>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</si>
  <si>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</si>
  <si>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</si>
  <si>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</si>
  <si>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</si>
  <si>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</si>
  <si>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</si>
  <si>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</si>
  <si>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</si>
  <si>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</si>
  <si>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</si>
  <si>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</si>
  <si>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</si>
  <si>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</si>
  <si>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</si>
  <si>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</si>
  <si>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</si>
  <si>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</si>
  <si>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</si>
  <si>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</si>
  <si>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</si>
  <si>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</si>
  <si>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</si>
  <si>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</si>
  <si>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</si>
  <si>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</si>
  <si>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</si>
  <si>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</si>
  <si>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</si>
  <si>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</si>
  <si>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</si>
  <si>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</si>
  <si>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</si>
  <si>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</si>
  <si>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</si>
  <si>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</si>
  <si>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</si>
  <si>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</si>
  <si>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</si>
  <si>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</si>
  <si>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</si>
  <si>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</si>
  <si>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</si>
  <si>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</si>
  <si>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</si>
  <si>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</si>
  <si>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</si>
  <si>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</si>
  <si>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</si>
  <si>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</si>
  <si>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</si>
  <si>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</si>
  <si>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</si>
  <si>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</si>
  <si>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</si>
  <si>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</si>
  <si>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</si>
  <si>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</t>
  </si>
  <si>
    <t>MINBatMaterials_COB</t>
  </si>
  <si>
    <t>UC_Grow_MN</t>
  </si>
  <si>
    <t>MINBatMaterials_MN</t>
  </si>
  <si>
    <t>UC_Grow_COP</t>
  </si>
  <si>
    <t>MINBatMaterials_COP</t>
  </si>
  <si>
    <t>UC_Grow_AL</t>
  </si>
  <si>
    <t>MINBatMaterials_AL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</si>
</sst>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1">
        <f t="shared" ref="M20:AJ20" si="1">SUMIFS($D$19:$D$199,$C$19:$C$199,$L20,$B$19:$B$199,M$14)/5</f>
        <v>0.00138</v>
      </c>
      <c r="N20" s="21">
        <f t="shared" si="1"/>
        <v>0.0052</v>
      </c>
      <c r="O20" s="21">
        <f t="shared" si="1"/>
        <v>0.0238</v>
      </c>
      <c r="P20" s="21">
        <f t="shared" si="1"/>
        <v>0.003949</v>
      </c>
      <c r="Q20" s="21">
        <f t="shared" si="1"/>
        <v>0.266</v>
      </c>
      <c r="R20" s="21">
        <f t="shared" si="1"/>
        <v>0.037</v>
      </c>
      <c r="S20" s="21">
        <f t="shared" si="1"/>
        <v>0.0796</v>
      </c>
      <c r="T20" s="21">
        <f t="shared" si="1"/>
        <v>0.0004</v>
      </c>
      <c r="U20" s="21">
        <f t="shared" si="1"/>
        <v>0.0008</v>
      </c>
      <c r="V20" s="21">
        <f t="shared" si="1"/>
        <v>0.001</v>
      </c>
      <c r="W20" s="21">
        <f t="shared" si="1"/>
        <v>0.0064</v>
      </c>
      <c r="X20" s="21">
        <f t="shared" si="1"/>
        <v>0.0058</v>
      </c>
      <c r="Y20" s="21">
        <f t="shared" si="1"/>
        <v>2e-5</v>
      </c>
      <c r="Z20" s="21">
        <f t="shared" si="1"/>
        <v>0.0016</v>
      </c>
      <c r="AA20" s="21">
        <f t="shared" si="1"/>
        <v>0.076</v>
      </c>
      <c r="AB20" s="21">
        <f t="shared" si="1"/>
        <v>0.0212</v>
      </c>
      <c r="AC20" s="21">
        <f t="shared" si="1"/>
        <v>0.0016</v>
      </c>
      <c r="AD20" s="21">
        <f t="shared" si="1"/>
        <v>0.0066</v>
      </c>
      <c r="AE20" s="21">
        <f t="shared" si="1"/>
        <v>4e-5</v>
      </c>
      <c r="AF20" s="21">
        <f t="shared" si="1"/>
        <v>0.0066</v>
      </c>
      <c r="AG20" s="21">
        <f t="shared" si="1"/>
        <v>0.0244</v>
      </c>
      <c r="AH20" s="21">
        <f t="shared" si="1"/>
        <v>0.0056</v>
      </c>
      <c r="AI20" s="21">
        <f t="shared" si="1"/>
        <v>0.0004</v>
      </c>
      <c r="AJ20" s="21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34" zoomScaleNormal="34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3"/>
      <c r="V4" s="13"/>
      <c r="W4" s="13"/>
      <c r="X4" s="13"/>
      <c r="Y4" s="13"/>
      <c r="Z4" s="14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3"/>
      <c r="V5" s="13"/>
      <c r="W5" s="13"/>
      <c r="X5" s="13"/>
      <c r="Y5" s="13"/>
      <c r="Z5" s="14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2019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2019</v>
      </c>
      <c r="R6" s="6">
        <v>0</v>
      </c>
      <c r="S6" s="6" t="s">
        <v>76</v>
      </c>
      <c r="T6" s="6" t="s">
        <v>91</v>
      </c>
      <c r="U6" s="13"/>
      <c r="V6" s="13"/>
      <c r="W6" s="13"/>
      <c r="X6" s="13"/>
      <c r="Y6" s="13"/>
      <c r="Z6" s="14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5">
        <v>1</v>
      </c>
      <c r="Q7" s="6">
        <v>0</v>
      </c>
      <c r="R7" s="6">
        <v>5</v>
      </c>
      <c r="S7" s="6"/>
      <c r="T7" s="6" t="s">
        <v>661</v>
      </c>
      <c r="U7" s="13"/>
      <c r="V7" s="13"/>
      <c r="W7" s="13"/>
      <c r="X7" s="13"/>
      <c r="Y7" s="13"/>
      <c r="Z7" s="14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6">
        <v>-21.6</v>
      </c>
      <c r="Q8" s="6"/>
      <c r="R8" s="6"/>
      <c r="S8" s="6"/>
      <c r="T8" s="9" t="s">
        <v>644</v>
      </c>
      <c r="U8" s="13"/>
      <c r="V8" s="13"/>
      <c r="W8" s="13"/>
      <c r="X8" s="13"/>
      <c r="Y8" s="13"/>
      <c r="Z8" s="14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6">
        <v>-28.8</v>
      </c>
      <c r="Q9" s="6"/>
      <c r="R9" s="6"/>
      <c r="S9" s="6"/>
      <c r="T9" s="9" t="s">
        <v>646</v>
      </c>
      <c r="U9" s="13"/>
      <c r="V9" s="13"/>
      <c r="W9" s="13"/>
      <c r="X9" s="13"/>
      <c r="Y9" s="13"/>
      <c r="Z9" s="14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6">
        <v>-36</v>
      </c>
      <c r="Q10" s="6"/>
      <c r="R10" s="6"/>
      <c r="S10" s="6"/>
      <c r="T10" s="9" t="s">
        <v>648</v>
      </c>
      <c r="U10" s="13"/>
      <c r="V10" s="13"/>
      <c r="W10" s="13"/>
      <c r="X10" s="13"/>
      <c r="Y10" s="13"/>
      <c r="Z10" s="14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6">
        <v>-45</v>
      </c>
      <c r="Q11" s="6"/>
      <c r="R11" s="6"/>
      <c r="S11" s="6"/>
      <c r="T11" s="9" t="s">
        <v>652</v>
      </c>
      <c r="U11" s="13"/>
      <c r="V11" s="13"/>
      <c r="W11" s="13"/>
      <c r="X11" s="13"/>
      <c r="Y11" s="13"/>
      <c r="Z11" s="14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6">
        <v>-54</v>
      </c>
      <c r="Q12" s="6"/>
      <c r="R12" s="6"/>
      <c r="S12" s="6"/>
      <c r="T12" s="9" t="s">
        <v>654</v>
      </c>
      <c r="U12" s="13"/>
      <c r="V12" s="13"/>
      <c r="W12" s="13"/>
      <c r="X12" s="13"/>
      <c r="Y12" s="13"/>
      <c r="Z12" s="14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6">
        <v>-63</v>
      </c>
      <c r="Q13" s="6"/>
      <c r="R13" s="6"/>
      <c r="S13" s="6"/>
      <c r="T13" s="9" t="s">
        <v>662</v>
      </c>
      <c r="U13" s="13"/>
      <c r="V13" s="13"/>
      <c r="W13" s="13"/>
      <c r="X13" s="13"/>
      <c r="Y13" s="13"/>
      <c r="Z13" s="14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6">
        <v>-72</v>
      </c>
      <c r="Q14" s="6"/>
      <c r="R14" s="6"/>
      <c r="S14" s="6"/>
      <c r="T14" s="9" t="s">
        <v>664</v>
      </c>
      <c r="U14" s="13"/>
      <c r="V14" s="13"/>
      <c r="W14" s="13"/>
      <c r="X14" s="13"/>
      <c r="Y14" s="13"/>
      <c r="Z14" s="14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6">
        <v>-90</v>
      </c>
      <c r="Q15" s="6"/>
      <c r="R15" s="6"/>
      <c r="S15" s="6"/>
      <c r="T15" s="9" t="s">
        <v>666</v>
      </c>
      <c r="U15" s="13"/>
      <c r="V15" s="13"/>
      <c r="W15" s="13"/>
      <c r="X15" s="13"/>
      <c r="Y15" s="13"/>
      <c r="Z15" s="14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6">
        <v>-36</v>
      </c>
      <c r="Q16" s="6"/>
      <c r="R16" s="6"/>
      <c r="S16" s="6"/>
      <c r="T16" s="9" t="s">
        <v>668</v>
      </c>
      <c r="U16" s="13"/>
      <c r="V16" s="13"/>
      <c r="W16" s="13"/>
      <c r="X16" s="13"/>
      <c r="Y16" s="13"/>
      <c r="Z16" s="14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6">
        <v>-48</v>
      </c>
      <c r="Q17" s="6"/>
      <c r="R17" s="6"/>
      <c r="S17" s="6"/>
      <c r="T17" s="9" t="s">
        <v>669</v>
      </c>
      <c r="U17" s="13"/>
      <c r="V17" s="13"/>
      <c r="W17" s="13"/>
      <c r="X17" s="13"/>
      <c r="Y17" s="13"/>
      <c r="Z17" s="14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6">
        <v>-60</v>
      </c>
      <c r="Q18" s="6"/>
      <c r="R18" s="6"/>
      <c r="S18" s="6"/>
      <c r="T18" s="9" t="s">
        <v>670</v>
      </c>
      <c r="U18" s="13"/>
      <c r="V18" s="13"/>
      <c r="W18" s="13"/>
      <c r="X18" s="13"/>
      <c r="Y18" s="13"/>
      <c r="Z18" s="14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6">
        <v>-75</v>
      </c>
      <c r="Q19" s="6"/>
      <c r="R19" s="6"/>
      <c r="S19" s="6"/>
      <c r="T19" s="9" t="s">
        <v>671</v>
      </c>
      <c r="U19" s="13"/>
      <c r="V19" s="13"/>
      <c r="W19" s="13"/>
      <c r="X19" s="13"/>
      <c r="Y19" s="13"/>
      <c r="Z19" s="14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6">
        <v>-90</v>
      </c>
      <c r="Q20" s="6"/>
      <c r="R20" s="6"/>
      <c r="S20" s="6"/>
      <c r="T20" s="9" t="s">
        <v>672</v>
      </c>
      <c r="U20" s="13"/>
      <c r="V20" s="13"/>
      <c r="W20" s="13"/>
      <c r="X20" s="13"/>
      <c r="Y20" s="13"/>
      <c r="Z20" s="14" t="s">
        <v>678</v>
      </c>
      <c r="AA20" s="2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6">
        <v>-105</v>
      </c>
      <c r="Q21" s="6"/>
      <c r="R21" s="6"/>
      <c r="S21" s="6"/>
      <c r="T21" s="9" t="s">
        <v>673</v>
      </c>
      <c r="U21" s="13"/>
      <c r="V21" s="13"/>
      <c r="W21" s="13"/>
      <c r="X21" s="13"/>
      <c r="Y21" s="13"/>
      <c r="Z21" s="14" t="s">
        <v>679</v>
      </c>
      <c r="AA21" s="2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6">
        <v>-120</v>
      </c>
      <c r="Q22" s="6"/>
      <c r="R22" s="6"/>
      <c r="S22" s="6"/>
      <c r="T22" s="9" t="s">
        <v>674</v>
      </c>
      <c r="U22" s="13"/>
      <c r="V22" s="13"/>
      <c r="W22" s="13"/>
      <c r="X22" s="13"/>
      <c r="Y22" s="13"/>
      <c r="Z22" s="14" t="s">
        <v>680</v>
      </c>
      <c r="AA22" s="2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6">
        <v>-150</v>
      </c>
      <c r="Q23" s="6"/>
      <c r="R23" s="6"/>
      <c r="S23" s="6"/>
      <c r="T23" s="9" t="s">
        <v>675</v>
      </c>
      <c r="U23" s="13"/>
      <c r="V23" s="13"/>
      <c r="W23" s="13"/>
      <c r="X23" s="13"/>
      <c r="Y23" s="13"/>
      <c r="Z23" s="14" t="s">
        <v>681</v>
      </c>
      <c r="AA23" s="2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6">
        <v>-180</v>
      </c>
      <c r="Q24" s="6"/>
      <c r="R24" s="6"/>
      <c r="S24" s="6"/>
      <c r="T24" s="9" t="s">
        <v>676</v>
      </c>
      <c r="U24" s="13"/>
      <c r="V24" s="13"/>
      <c r="W24" s="13"/>
      <c r="X24" s="13"/>
      <c r="Y24" s="13"/>
      <c r="Z24" s="14" t="s">
        <v>682</v>
      </c>
      <c r="AA24" s="2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6">
        <v>-214.8</v>
      </c>
      <c r="Q25" s="6"/>
      <c r="R25" s="6"/>
      <c r="S25" s="6"/>
      <c r="T25" s="9" t="s">
        <v>677</v>
      </c>
      <c r="U25" s="13"/>
      <c r="V25" s="13"/>
      <c r="W25" s="13"/>
      <c r="X25" s="13"/>
      <c r="Y25" s="13"/>
      <c r="Z25" s="14" t="s">
        <v>683</v>
      </c>
      <c r="AA25" s="2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6">
        <v>-248.4</v>
      </c>
      <c r="Q26" s="6"/>
      <c r="R26" s="6"/>
      <c r="S26" s="6"/>
      <c r="T26" s="9" t="s">
        <v>678</v>
      </c>
      <c r="U26" s="13"/>
      <c r="V26" s="13"/>
      <c r="W26" s="13"/>
      <c r="X26" s="13"/>
      <c r="Y26" s="13"/>
      <c r="Z26" s="14" t="s">
        <v>645</v>
      </c>
      <c r="AA26" s="2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6">
        <v>-283.2</v>
      </c>
      <c r="Q27" s="6"/>
      <c r="R27" s="6"/>
      <c r="S27" s="6"/>
      <c r="T27" s="9" t="s">
        <v>679</v>
      </c>
      <c r="U27" s="13"/>
      <c r="V27" s="13"/>
      <c r="W27" s="13"/>
      <c r="X27" s="13"/>
      <c r="Y27" s="13"/>
      <c r="Z27" s="14" t="s">
        <v>647</v>
      </c>
      <c r="AA27" s="2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6">
        <v>-316.8</v>
      </c>
      <c r="Q28" s="6"/>
      <c r="R28" s="6"/>
      <c r="S28" s="6"/>
      <c r="T28" s="9" t="s">
        <v>680</v>
      </c>
      <c r="U28" s="13"/>
      <c r="V28" s="13"/>
      <c r="W28" s="13"/>
      <c r="X28" s="13"/>
      <c r="Y28" s="13"/>
      <c r="Z28" s="14" t="s">
        <v>649</v>
      </c>
      <c r="AA28" s="2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6">
        <v>-420</v>
      </c>
      <c r="Q29" s="6"/>
      <c r="R29" s="6"/>
      <c r="S29" s="6"/>
      <c r="T29" s="9" t="s">
        <v>681</v>
      </c>
      <c r="U29" s="13"/>
      <c r="V29" s="13"/>
      <c r="W29" s="13"/>
      <c r="X29" s="13"/>
      <c r="Y29" s="13"/>
      <c r="Z29" s="14" t="s">
        <v>653</v>
      </c>
      <c r="AA29" s="2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6">
        <v>-600</v>
      </c>
      <c r="Q30" s="6"/>
      <c r="R30" s="6"/>
      <c r="S30" s="6"/>
      <c r="T30" s="9" t="s">
        <v>682</v>
      </c>
      <c r="U30" s="13"/>
      <c r="V30" s="13"/>
      <c r="W30" s="13"/>
      <c r="X30" s="13"/>
      <c r="Y30" s="13"/>
      <c r="Z30" s="14" t="s">
        <v>655</v>
      </c>
      <c r="AA30" s="2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6">
        <v>-720</v>
      </c>
      <c r="Q31" s="6"/>
      <c r="R31" s="6"/>
      <c r="S31" s="6"/>
      <c r="T31" s="9" t="s">
        <v>683</v>
      </c>
      <c r="U31" s="13"/>
      <c r="V31" s="13"/>
      <c r="W31" s="13"/>
      <c r="X31" s="13"/>
      <c r="Y31" s="13"/>
      <c r="Z31" s="14" t="s">
        <v>663</v>
      </c>
      <c r="AA31" s="2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6">
        <v>-120</v>
      </c>
      <c r="Q32" s="6"/>
      <c r="R32" s="6"/>
      <c r="S32" s="6"/>
      <c r="T32" s="9" t="s">
        <v>645</v>
      </c>
      <c r="U32" s="13"/>
      <c r="V32" s="13"/>
      <c r="W32" s="13"/>
      <c r="X32" s="13"/>
      <c r="Y32" s="13"/>
      <c r="Z32" s="14" t="s">
        <v>665</v>
      </c>
      <c r="AA32" s="2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6">
        <v>-134</v>
      </c>
      <c r="Q33" s="6"/>
      <c r="R33" s="6"/>
      <c r="S33" s="6"/>
      <c r="T33" s="9" t="s">
        <v>647</v>
      </c>
      <c r="U33" s="13"/>
      <c r="V33" s="13"/>
      <c r="W33" s="13"/>
      <c r="X33" s="13"/>
      <c r="Y33" s="13"/>
      <c r="Z33" s="14" t="s">
        <v>667</v>
      </c>
      <c r="AA33" s="2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6">
        <v>-149</v>
      </c>
      <c r="Q34" s="6"/>
      <c r="R34" s="6"/>
      <c r="S34" s="6"/>
      <c r="T34" s="9" t="s">
        <v>649</v>
      </c>
      <c r="U34" s="13"/>
      <c r="V34" s="13"/>
      <c r="W34" s="13"/>
      <c r="X34" s="13"/>
      <c r="Y34" s="13"/>
      <c r="Z34" s="14" t="s">
        <v>684</v>
      </c>
      <c r="AA34" s="2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6">
        <v>-163</v>
      </c>
      <c r="Q35" s="6"/>
      <c r="R35" s="6"/>
      <c r="S35" s="6"/>
      <c r="T35" s="9" t="s">
        <v>653</v>
      </c>
      <c r="U35" s="13"/>
      <c r="V35" s="13"/>
      <c r="W35" s="13"/>
      <c r="X35" s="13"/>
      <c r="Y35" s="13"/>
      <c r="Z35" s="14" t="s">
        <v>685</v>
      </c>
      <c r="AA35" s="2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6">
        <v>-177</v>
      </c>
      <c r="Q36" s="6"/>
      <c r="R36" s="6"/>
      <c r="S36" s="6"/>
      <c r="T36" s="9" t="s">
        <v>655</v>
      </c>
      <c r="U36" s="13"/>
      <c r="V36" s="13"/>
      <c r="W36" s="13"/>
      <c r="X36" s="13"/>
      <c r="Y36" s="13"/>
      <c r="Z36" s="14" t="s">
        <v>686</v>
      </c>
      <c r="AA36" s="2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6">
        <v>-191</v>
      </c>
      <c r="Q37" s="6"/>
      <c r="R37" s="6"/>
      <c r="S37" s="6"/>
      <c r="T37" s="9" t="s">
        <v>663</v>
      </c>
      <c r="U37" s="13"/>
      <c r="V37" s="13"/>
      <c r="W37" s="13"/>
      <c r="X37" s="13"/>
      <c r="Y37" s="13"/>
      <c r="Z37" s="14" t="s">
        <v>687</v>
      </c>
      <c r="AA37" s="2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6">
        <v>-206</v>
      </c>
      <c r="Q38" s="6"/>
      <c r="R38" s="6"/>
      <c r="S38" s="6"/>
      <c r="T38" s="9" t="s">
        <v>665</v>
      </c>
      <c r="U38" s="13"/>
      <c r="V38" s="13"/>
      <c r="W38" s="13"/>
      <c r="X38" s="13"/>
      <c r="Y38" s="13"/>
      <c r="Z38" s="14" t="s">
        <v>688</v>
      </c>
      <c r="AA38" s="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zoomScale="89" zoomScaleNormal="89" workbookViewId="0">
      <selection activeCell="N13" sqref="N13"/>
    </sheetView>
  </sheetViews>
  <sheetFormatPr defaultColWidth="8.72727272727273" defaultRowHeight="14.5"/>
  <cols>
    <col min="4" max="4" width="18.3636363636364" customWidth="1"/>
    <col min="6" max="6" width="22.0545454545455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spans="2:14">
      <c r="D12" s="2" t="s">
        <v>757</v>
      </c>
      <c r="F12" s="2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2026-08-09T09:54:33Z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