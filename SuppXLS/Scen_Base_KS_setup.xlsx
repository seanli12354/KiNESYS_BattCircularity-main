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<sst xmlns="http://schemas.openxmlformats.org/spreadsheetml/2006/main" count="2449" uniqueCount="759">
  <si>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</si>
  <si>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</si>
  <si>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</si>
  <si>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</si>
  <si>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</si>
  <si>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</si>
  <si>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</si>
  <si>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</si>
  <si>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</si>
  <si>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</si>
  <si>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</si>
  <si>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</si>
  <si>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</si>
  <si>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</si>
  <si>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</si>
  <si>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</si>
  <si>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</si>
  <si>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</si>
  <si>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</si>
  <si>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</si>
  <si>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</si>
  <si>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</si>
  <si>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</si>
  <si>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</si>
  <si>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</si>
  <si>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</si>
  <si>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</si>
  <si>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</si>
  <si>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</si>
  <si>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</si>
  <si>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</si>
  <si>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</si>
  <si>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</si>
  <si>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</si>
  <si>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</si>
  <si>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</si>
  <si>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</si>
  <si>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</si>
  <si>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</si>
  <si>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</si>
  <si>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</si>
  <si>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</si>
  <si>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</si>
  <si>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</si>
  <si>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</si>
  <si>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</si>
  <si>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</si>
  <si>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</si>
  <si>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</si>
  <si>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</si>
  <si>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</si>
  <si>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</si>
  <si>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</si>
  <si>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</si>
  <si>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</si>
  <si>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</si>
  <si>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</si>
  <si>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</si>
  <si>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</si>
  <si>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</si>
  <si>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</si>
  <si>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</si>
  <si>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</si>
  <si>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</si>
  <si>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</si>
  <si>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</si>
  <si>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</si>
  <si>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</si>
  <si>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</si>
  <si>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</si>
  <si>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</si>
  <si>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</si>
  <si>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</si>
  <si>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</si>
  <si>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</si>
  <si>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</si>
  <si>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</si>
  <si>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</si>
  <si>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</si>
  <si>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</si>
  <si>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</si>
  <si>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</si>
  <si>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</si>
  <si>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</si>
  <si>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</si>
  <si>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</si>
  <si>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</si>
  <si>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</si>
  <si>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</si>
  <si>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</si>
  <si>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</si>
  <si>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</si>
  <si>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</si>
  <si>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</si>
  <si>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</si>
  <si>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</si>
  <si>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</si>
  <si>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</si>
  <si>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</si>
  <si>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</si>
  <si>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</si>
  <si>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</si>
  <si>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</si>
  <si>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</si>
  <si>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</si>
  <si>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</si>
  <si>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</si>
  <si>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</si>
  <si>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</si>
  <si>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</si>
  <si>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</si>
  <si>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</si>
  <si>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</si>
  <si>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</si>
  <si>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</si>
  <si>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</si>
  <si>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</si>
  <si>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</si>
  <si>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</si>
  <si>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</si>
  <si>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</si>
  <si>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</si>
  <si>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</si>
  <si>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</si>
  <si>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</si>
  <si>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</si>
  <si>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</si>
  <si>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</si>
  <si>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</si>
  <si>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</si>
  <si>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</si>
  <si>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</si>
  <si>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</si>
  <si>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</si>
  <si>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</si>
  <si>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</si>
  <si>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</si>
  <si>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</si>
  <si>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</si>
  <si>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</si>
  <si>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</si>
  <si>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</si>
  <si>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</si>
  <si>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</si>
  <si>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</si>
  <si>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</si>
  <si>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</si>
  <si>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</si>
  <si>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</si>
  <si>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</si>
  <si>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</si>
  <si>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</si>
  <si>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</si>
  <si>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</si>
  <si>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</si>
  <si>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</si>
  <si>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</si>
  <si>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</si>
  <si>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</si>
  <si>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</si>
  <si>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</si>
  <si>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</si>
  <si>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</si>
  <si>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</si>
  <si>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</si>
  <si>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</si>
  <si>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</si>
  <si>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</si>
  <si>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</si>
  <si>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</si>
  <si>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</si>
  <si>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</si>
  <si>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</si>
  <si>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</si>
  <si>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</si>
  <si>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</si>
  <si>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</si>
  <si>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</si>
  <si>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</si>
  <si>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</si>
  <si>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</si>
  <si>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</si>
  <si>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</si>
  <si>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</si>
  <si>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</si>
  <si>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</si>
  <si>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</si>
  <si>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</si>
  <si>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</si>
  <si>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</si>
  <si>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</si>
  <si>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</si>
  <si>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</si>
  <si>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</si>
  <si>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</si>
  <si>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</si>
  <si>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</si>
  <si>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</si>
  <si>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</si>
  <si>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</si>
  <si>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</si>
  <si>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</si>
  <si>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</si>
  <si>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</si>
  <si>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</si>
  <si>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</si>
  <si>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</si>
  <si>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</si>
  <si>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</si>
  <si>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</si>
  <si>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</si>
  <si>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</si>
  <si>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</si>
  <si>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</si>
  <si>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</si>
  <si>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</si>
  <si>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</si>
  <si>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</si>
  <si>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</si>
  <si>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</si>
  <si>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</si>
  <si>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</si>
  <si>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</si>
  <si>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</si>
  <si>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</si>
  <si>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</si>
  <si>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</si>
  <si>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</si>
  <si>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</si>
  <si>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</si>
  <si>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</si>
  <si>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</si>
  <si>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</si>
  <si>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</si>
  <si>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</si>
  <si>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</si>
  <si>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</si>
  <si>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</si>
  <si>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</si>
  <si>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</si>
  <si>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</si>
  <si>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</si>
  <si>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</si>
  <si>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</si>
  <si>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</si>
  <si>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</si>
  <si>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</si>
  <si>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</si>
  <si>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</si>
  <si>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</si>
  <si>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</si>
  <si>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</si>
  <si>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</si>
  <si>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</si>
  <si>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</si>
  <si>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</si>
  <si>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</si>
  <si>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</si>
  <si>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</si>
  <si>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</si>
  <si>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</si>
  <si>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</si>
  <si>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</si>
  <si>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</si>
  <si>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</si>
  <si>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</si>
  <si>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</si>
  <si>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</si>
  <si>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</si>
  <si>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</si>
  <si>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</si>
  <si>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</si>
  <si>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</si>
  <si>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</si>
  <si>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</si>
  <si>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</si>
  <si>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</si>
  <si>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</si>
  <si>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</si>
  <si>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</si>
  <si>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</si>
  <si>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</si>
  <si>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</si>
  <si>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</si>
  <si>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</si>
  <si>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</si>
  <si>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</si>
  <si>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</si>
  <si>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</si>
  <si>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</si>
  <si>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</si>
  <si>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</si>
  <si>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</si>
  <si>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</si>
  <si>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</si>
  <si>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</si>
  <si>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</si>
  <si>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</si>
  <si>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</si>
  <si>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</si>
  <si>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</si>
  <si>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</si>
  <si>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</si>
  <si>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</si>
  <si>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</si>
  <si>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</si>
  <si>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</si>
  <si>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</si>
  <si>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</si>
  <si>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</si>
  <si>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</si>
  <si>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</si>
  <si>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</si>
  <si>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</si>
  <si>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</si>
  <si>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</si>
  <si>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</si>
  <si>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</si>
  <si>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</si>
  <si>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</si>
  <si>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</si>
  <si>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</si>
  <si>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</si>
  <si>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</si>
  <si>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</si>
  <si>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</si>
  <si>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</si>
  <si>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</si>
  <si>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*elc500*, -Trd_car_elc_120, -Trd_car_elc_160, -Trd_car_elc_200, -Trd_car_elc_250, -Trd_car_elc_300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</si>
  <si>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</si>
  <si>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</si>
  <si>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</si>
  <si>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</si>
  <si>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</si>
  <si>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</si>
  <si>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</si>
  <si>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</si>
  <si>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</si>
  <si>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</si>
  <si>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</si>
  <si>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</si>
  <si>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</si>
  <si>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</si>
  <si>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</si>
  <si>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</si>
  <si>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</si>
  <si>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</si>
  <si>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</si>
  <si>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</si>
  <si>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</si>
  <si>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</si>
  <si>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</si>
  <si>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</si>
  <si>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</si>
  <si>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Glb*, -Glb*recy*</t>
  </si>
  <si>
    <t>m_*</t>
  </si>
  <si>
    <t>Glb*recy*</t>
  </si>
  <si>
    <t>Now it's same bcz hard to defend</t>
  </si>
  <si>
    <t>End-of-life battery transport costs were assumed to be twice those of conventional material transport, reflecting additional dangerous-goods handling and packaging requirements; multipliers of 1–3 were evaluated in sensitivity analysis.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</si>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</sst>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"/>
    </font>
    <font>
      <b/>
      <sz val="8"/>
      <name val="Tahoma"/>
      <charset val="134"/>
    </font>
    <font>
      <sz val="9"/>
      <name val="Times New Roman"/>
      <charset val="134"/>
    </font>
    <font>
      <b/>
      <sz val="9"/>
      <name val="Times New Roman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2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7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6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60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3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30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3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1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5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4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2" fontId="0" fillId="12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3" borderId="5" xfId="0" applyFont="1" applyFill="1" applyBorder="1"/>
    <xf numFmtId="0" fontId="16" fillId="14" borderId="5" xfId="0" applyFont="1" applyFill="1" applyBorder="1"/>
    <xf numFmtId="0" fontId="2" fillId="13" borderId="5" xfId="0" applyFont="1" applyFill="1" applyBorder="1"/>
    <xf numFmtId="1" fontId="0" fillId="0" borderId="0" xfId="0" applyNumberFormat="1"/>
    <xf numFmtId="200" fontId="4" fillId="0" borderId="0" xfId="0" applyNumberFormat="1" applyFont="1"/>
    <xf numFmtId="0" fontId="0" fillId="15" borderId="0" xfId="0" applyFill="1"/>
    <xf numFmtId="0" fontId="13" fillId="15" borderId="0" xfId="15" applyFill="1"/>
    <xf numFmtId="0" fontId="5" fillId="15" borderId="0" xfId="0" applyFont="1" applyFill="1"/>
    <xf numFmtId="0" fontId="5" fillId="0" borderId="0" xfId="0" applyFont="1"/>
    <xf numFmtId="0" fontId="0" fillId="0" borderId="0" xfId="0" quotePrefix="1"/>
    <xf numFmtId="0" fontId="0" fillId="11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4">
        <v>4.412</v>
      </c>
      <c r="F5" s="24">
        <v>3.12026375782552</v>
      </c>
      <c r="G5" s="24">
        <v>19.819</v>
      </c>
      <c r="H5" s="24" t="s">
        <v>45</v>
      </c>
      <c r="I5" s="24" t="s">
        <v>45</v>
      </c>
      <c r="J5" s="24">
        <v>5.392</v>
      </c>
      <c r="K5" s="24">
        <v>3.04</v>
      </c>
      <c r="L5" s="24">
        <v>1049.77744541795</v>
      </c>
      <c r="M5" s="24">
        <v>0.341</v>
      </c>
      <c r="N5" s="24">
        <v>1.829</v>
      </c>
      <c r="O5" s="24">
        <v>1.784</v>
      </c>
      <c r="P5" s="24">
        <v>20.964</v>
      </c>
      <c r="Q5" s="24" t="s">
        <v>45</v>
      </c>
      <c r="R5" s="24">
        <v>0.631</v>
      </c>
      <c r="S5" s="24" t="s">
        <v>45</v>
      </c>
      <c r="T5" s="24">
        <v>226.585</v>
      </c>
      <c r="U5" s="24">
        <v>1.043</v>
      </c>
      <c r="V5" s="24">
        <v>7.734</v>
      </c>
      <c r="W5" s="24">
        <v>55.883</v>
      </c>
      <c r="X5" s="24">
        <v>8.113</v>
      </c>
      <c r="Y5" s="24">
        <v>5.815</v>
      </c>
      <c r="Z5" s="24">
        <v>208.923</v>
      </c>
      <c r="AA5" s="24">
        <v>0.008</v>
      </c>
      <c r="AB5" s="24">
        <v>21.844</v>
      </c>
      <c r="AC5" s="24">
        <v>1173.40732616814</v>
      </c>
      <c r="AD5" s="24">
        <v>33.27</v>
      </c>
      <c r="AE5" s="24" t="s">
        <v>45</v>
      </c>
      <c r="AF5" s="24">
        <v>45.335</v>
      </c>
      <c r="AG5" s="24">
        <v>1.425</v>
      </c>
      <c r="AH5" s="24">
        <v>6.068</v>
      </c>
      <c r="AI5" s="24" t="s">
        <v>45</v>
      </c>
      <c r="AJ5" s="24">
        <v>8.664</v>
      </c>
      <c r="AK5" s="24">
        <v>5.108</v>
      </c>
      <c r="AL5" s="24">
        <v>25.702</v>
      </c>
      <c r="AM5" s="24">
        <v>0.224</v>
      </c>
      <c r="AN5" s="2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4">
        <v>96.795</v>
      </c>
      <c r="F6" s="24">
        <v>25.6351710820699</v>
      </c>
      <c r="G6" s="24">
        <v>16.3663125505745</v>
      </c>
      <c r="H6" s="24">
        <v>4.529</v>
      </c>
      <c r="I6" s="24">
        <v>2.229</v>
      </c>
      <c r="J6" s="24">
        <v>19.908</v>
      </c>
      <c r="K6" s="24">
        <v>12.976</v>
      </c>
      <c r="L6" s="24">
        <v>124.106769526882</v>
      </c>
      <c r="M6" s="24">
        <v>1.35494652675863</v>
      </c>
      <c r="N6" s="24">
        <v>2.955</v>
      </c>
      <c r="O6" s="24">
        <v>8.263</v>
      </c>
      <c r="P6" s="24">
        <v>23.885</v>
      </c>
      <c r="Q6" s="24">
        <v>7.819</v>
      </c>
      <c r="R6" s="24">
        <v>6.279</v>
      </c>
      <c r="S6" s="24" t="s">
        <v>45</v>
      </c>
      <c r="T6" s="24">
        <v>24.629</v>
      </c>
      <c r="U6" s="24">
        <v>4.302</v>
      </c>
      <c r="V6" s="24">
        <v>50.522</v>
      </c>
      <c r="W6" s="24">
        <v>83.7</v>
      </c>
      <c r="X6" s="24">
        <v>56.636</v>
      </c>
      <c r="Y6" s="24">
        <v>215.315</v>
      </c>
      <c r="Z6" s="24">
        <v>555.117</v>
      </c>
      <c r="AA6" s="24">
        <v>0.318</v>
      </c>
      <c r="AB6" s="24">
        <v>3.817</v>
      </c>
      <c r="AC6" s="24">
        <v>377.33885156572</v>
      </c>
      <c r="AD6" s="24">
        <v>126.817</v>
      </c>
      <c r="AE6" s="24">
        <v>54.058</v>
      </c>
      <c r="AF6" s="24">
        <v>0.033</v>
      </c>
      <c r="AG6" s="24">
        <v>31.272</v>
      </c>
      <c r="AH6" s="24">
        <v>5.718</v>
      </c>
      <c r="AI6" s="24">
        <v>0.491</v>
      </c>
      <c r="AJ6" s="24">
        <v>25.944</v>
      </c>
      <c r="AK6" s="24">
        <v>33.529</v>
      </c>
      <c r="AL6" s="24">
        <v>3.113</v>
      </c>
      <c r="AM6" s="24">
        <v>0.951</v>
      </c>
      <c r="AN6" s="2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4">
        <v>4.432</v>
      </c>
      <c r="F7" s="24">
        <v>36.8858527599317</v>
      </c>
      <c r="G7" s="24">
        <v>8.44</v>
      </c>
      <c r="H7" s="24">
        <v>14.933</v>
      </c>
      <c r="I7" s="24">
        <v>1.717</v>
      </c>
      <c r="J7" s="24">
        <v>0.198</v>
      </c>
      <c r="K7" s="24">
        <v>109.95</v>
      </c>
      <c r="L7" s="24">
        <v>381.480858686818</v>
      </c>
      <c r="M7" s="24">
        <v>3.63800080835852</v>
      </c>
      <c r="N7" s="24">
        <v>2.731</v>
      </c>
      <c r="O7" s="24">
        <v>24.478</v>
      </c>
      <c r="P7" s="24">
        <v>5.741</v>
      </c>
      <c r="Q7" s="24">
        <v>3.456</v>
      </c>
      <c r="R7" s="24">
        <v>9.206</v>
      </c>
      <c r="S7" s="24">
        <v>2.114</v>
      </c>
      <c r="T7" s="24">
        <v>54.1028396193525</v>
      </c>
      <c r="U7" s="24">
        <v>0.237</v>
      </c>
      <c r="V7" s="24">
        <v>18.942</v>
      </c>
      <c r="W7" s="24">
        <v>28.247</v>
      </c>
      <c r="X7" s="24">
        <v>81.8173772429141</v>
      </c>
      <c r="Y7" s="24">
        <v>15.1858324984039</v>
      </c>
      <c r="Z7" s="24">
        <v>184.391</v>
      </c>
      <c r="AA7" s="24">
        <v>34.41</v>
      </c>
      <c r="AB7" s="24">
        <v>0.986</v>
      </c>
      <c r="AC7" s="24">
        <v>506.242366978746</v>
      </c>
      <c r="AD7" s="24">
        <v>51.535</v>
      </c>
      <c r="AE7" s="24" t="s">
        <v>45</v>
      </c>
      <c r="AF7" s="24">
        <v>0.752</v>
      </c>
      <c r="AG7" s="24">
        <v>25.039</v>
      </c>
      <c r="AH7" s="24">
        <v>19.647</v>
      </c>
      <c r="AI7" s="24">
        <v>15.279</v>
      </c>
      <c r="AJ7" s="24">
        <v>31.935</v>
      </c>
      <c r="AK7" s="24">
        <v>2.252</v>
      </c>
      <c r="AL7" s="24">
        <v>4.887</v>
      </c>
      <c r="AM7" s="24">
        <v>8.80061311366949</v>
      </c>
      <c r="AN7" s="2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4" t="s">
        <v>45</v>
      </c>
      <c r="F8" s="24" t="s">
        <v>45</v>
      </c>
      <c r="G8" s="24" t="s">
        <v>45</v>
      </c>
      <c r="H8" s="24" t="s">
        <v>45</v>
      </c>
      <c r="I8" s="24" t="s">
        <v>45</v>
      </c>
      <c r="J8" s="24">
        <v>5.563</v>
      </c>
      <c r="K8" s="24">
        <v>2.062</v>
      </c>
      <c r="L8" s="24">
        <v>70.6297930648943</v>
      </c>
      <c r="M8" s="24">
        <v>0.727</v>
      </c>
      <c r="N8" s="24">
        <v>6.954</v>
      </c>
      <c r="O8" s="24">
        <v>65.792</v>
      </c>
      <c r="P8" s="24">
        <v>4.291</v>
      </c>
      <c r="Q8" s="24" t="s">
        <v>45</v>
      </c>
      <c r="R8" s="24">
        <v>5.45</v>
      </c>
      <c r="S8" s="24" t="s">
        <v>45</v>
      </c>
      <c r="T8" s="24">
        <v>14.4554035848022</v>
      </c>
      <c r="U8" s="24" t="s">
        <v>45</v>
      </c>
      <c r="V8" s="24" t="s">
        <v>45</v>
      </c>
      <c r="W8" s="24">
        <v>34.1194818175494</v>
      </c>
      <c r="X8" s="24">
        <v>1.798</v>
      </c>
      <c r="Y8" s="24">
        <v>7.62</v>
      </c>
      <c r="Z8" s="24">
        <v>115.929</v>
      </c>
      <c r="AA8" s="24" t="s">
        <v>45</v>
      </c>
      <c r="AB8" s="24" t="s">
        <v>45</v>
      </c>
      <c r="AC8" s="24">
        <v>112.973094438467</v>
      </c>
      <c r="AD8" s="24">
        <v>34.297233878302</v>
      </c>
      <c r="AE8" s="24" t="s">
        <v>45</v>
      </c>
      <c r="AF8" s="24">
        <v>1.94</v>
      </c>
      <c r="AG8" s="24">
        <v>7.398</v>
      </c>
      <c r="AH8" s="24">
        <v>11.706</v>
      </c>
      <c r="AI8" s="24">
        <v>3.025</v>
      </c>
      <c r="AJ8" s="24">
        <v>3.54591433260089</v>
      </c>
      <c r="AK8" s="24">
        <v>7.23456144459034</v>
      </c>
      <c r="AL8" s="24">
        <v>13.88</v>
      </c>
      <c r="AM8" s="24" t="s">
        <v>45</v>
      </c>
      <c r="AN8" s="2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4">
        <v>3.759</v>
      </c>
      <c r="F9" s="24">
        <v>3.346</v>
      </c>
      <c r="G9" s="24">
        <v>34.218</v>
      </c>
      <c r="H9" s="24">
        <v>6.832</v>
      </c>
      <c r="I9" s="24">
        <v>2.208</v>
      </c>
      <c r="J9" s="24">
        <v>32.886</v>
      </c>
      <c r="K9" s="24">
        <v>40.781</v>
      </c>
      <c r="L9" s="24">
        <v>618.105570429358</v>
      </c>
      <c r="M9" s="24">
        <v>1.496</v>
      </c>
      <c r="N9" s="24">
        <v>3.185</v>
      </c>
      <c r="O9" s="24">
        <v>20.552</v>
      </c>
      <c r="P9" s="24">
        <v>83.039</v>
      </c>
      <c r="Q9" s="24">
        <v>7.637</v>
      </c>
      <c r="R9" s="24">
        <v>10.704</v>
      </c>
      <c r="S9" s="24">
        <v>0.007</v>
      </c>
      <c r="T9" s="24">
        <v>76.309</v>
      </c>
      <c r="U9" s="24">
        <v>0.738</v>
      </c>
      <c r="V9" s="24">
        <v>30.029</v>
      </c>
      <c r="W9" s="24">
        <v>87.173</v>
      </c>
      <c r="X9" s="24">
        <v>15.894</v>
      </c>
      <c r="Y9" s="24">
        <v>17.263</v>
      </c>
      <c r="Z9" s="24">
        <v>158.453</v>
      </c>
      <c r="AA9" s="24">
        <v>0.617</v>
      </c>
      <c r="AB9" s="24">
        <v>15.81</v>
      </c>
      <c r="AC9" s="24">
        <v>690.025</v>
      </c>
      <c r="AD9" s="24">
        <v>2.442</v>
      </c>
      <c r="AE9" s="24">
        <v>2.286</v>
      </c>
      <c r="AF9" s="24">
        <v>6.473</v>
      </c>
      <c r="AG9" s="24">
        <v>35.164</v>
      </c>
      <c r="AH9" s="24">
        <v>7.917</v>
      </c>
      <c r="AI9" s="24">
        <v>5.84</v>
      </c>
      <c r="AJ9" s="24">
        <v>11.292</v>
      </c>
      <c r="AK9" s="24">
        <v>15.657</v>
      </c>
      <c r="AL9" s="24">
        <v>8.15</v>
      </c>
      <c r="AM9" s="24">
        <v>1.025</v>
      </c>
      <c r="AN9" s="2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4">
        <v>10.1220661744693</v>
      </c>
      <c r="F10" s="24">
        <v>1.273</v>
      </c>
      <c r="G10" s="24">
        <v>13.161</v>
      </c>
      <c r="H10" s="24">
        <v>3.977</v>
      </c>
      <c r="I10" s="24">
        <v>1.914</v>
      </c>
      <c r="J10" s="24">
        <v>16.492</v>
      </c>
      <c r="K10" s="24">
        <v>29.818</v>
      </c>
      <c r="L10" s="24">
        <v>481.98396376118</v>
      </c>
      <c r="M10" s="24">
        <v>1.146</v>
      </c>
      <c r="N10" s="24">
        <v>0.347</v>
      </c>
      <c r="O10" s="24">
        <v>23.176</v>
      </c>
      <c r="P10" s="24">
        <v>70.263059689023</v>
      </c>
      <c r="Q10" s="24">
        <v>5.379</v>
      </c>
      <c r="R10" s="24">
        <v>4.141</v>
      </c>
      <c r="S10" s="24">
        <v>0.17695741101743</v>
      </c>
      <c r="T10" s="24">
        <v>52.9658823207897</v>
      </c>
      <c r="U10" s="24">
        <v>4.862</v>
      </c>
      <c r="V10" s="24">
        <v>12.391</v>
      </c>
      <c r="W10" s="24">
        <v>5.483</v>
      </c>
      <c r="X10" s="24">
        <v>19.4340173249179</v>
      </c>
      <c r="Y10" s="24">
        <v>1.487</v>
      </c>
      <c r="Z10" s="24">
        <v>174.881458488924</v>
      </c>
      <c r="AA10" s="24">
        <v>5.065</v>
      </c>
      <c r="AB10" s="24">
        <v>9.307</v>
      </c>
      <c r="AC10" s="24">
        <v>466.351347074073</v>
      </c>
      <c r="AD10" s="24">
        <v>2.64</v>
      </c>
      <c r="AE10" s="24">
        <v>0.403</v>
      </c>
      <c r="AF10" s="24">
        <v>3.463</v>
      </c>
      <c r="AG10" s="24">
        <v>36.745</v>
      </c>
      <c r="AH10" s="24">
        <v>31.957</v>
      </c>
      <c r="AI10" s="24">
        <v>0.087</v>
      </c>
      <c r="AJ10" s="24">
        <v>11.749</v>
      </c>
      <c r="AK10" s="24">
        <v>34.5394277256465</v>
      </c>
      <c r="AL10" s="24">
        <v>1.902</v>
      </c>
      <c r="AM10" s="24">
        <v>1.095</v>
      </c>
      <c r="AN10" s="24">
        <v>-1</v>
      </c>
      <c r="AO10" t="s">
        <v>50</v>
      </c>
    </row>
    <row r="11" spans="1:41"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1"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1"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1"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1"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1"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H10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40">
        <v>0.5</v>
      </c>
      <c r="Y30" s="40">
        <v>0.5</v>
      </c>
      <c r="Z30" s="40">
        <v>0.5</v>
      </c>
      <c r="AA30" s="40">
        <v>0.5</v>
      </c>
      <c r="AB30" s="40">
        <v>0.880330129689671</v>
      </c>
      <c r="AC30" s="40">
        <v>0.5</v>
      </c>
      <c r="AD30" s="40">
        <v>1.43635426584992</v>
      </c>
      <c r="AE30" s="40">
        <v>0.28640020473296</v>
      </c>
      <c r="AF30" s="40">
        <v>0.5</v>
      </c>
      <c r="AG30" s="40">
        <v>1.89681589551844</v>
      </c>
      <c r="AH30" s="40">
        <v>0.529561709177279</v>
      </c>
      <c r="AI30" s="40">
        <v>2.23280493333333</v>
      </c>
      <c r="AJ30" s="40">
        <v>0.5</v>
      </c>
      <c r="AK30" s="40">
        <v>1.537054107788</v>
      </c>
      <c r="AL30" s="40">
        <v>0.5</v>
      </c>
      <c r="AM30" s="40">
        <v>0.517841558664547</v>
      </c>
      <c r="AN30" s="40">
        <v>0.5</v>
      </c>
      <c r="AO30" s="40">
        <v>0.68859433785327</v>
      </c>
      <c r="AP30" s="40">
        <v>0.5</v>
      </c>
      <c r="AQ30" s="40">
        <v>0.909913973797886</v>
      </c>
      <c r="AR30" s="40">
        <v>0.246856388121547</v>
      </c>
      <c r="AS30" s="40">
        <v>1.53715037026844</v>
      </c>
      <c r="AT30" s="40">
        <v>2.00954461975029</v>
      </c>
      <c r="AU30" s="40">
        <v>0.5</v>
      </c>
      <c r="AV30" s="40">
        <v>0.5</v>
      </c>
      <c r="AW30" s="40">
        <v>2.53614386666485</v>
      </c>
      <c r="AX30" s="40">
        <v>0.5</v>
      </c>
      <c r="AY30" s="40">
        <v>1.31959168743754</v>
      </c>
      <c r="AZ30" s="40">
        <v>1.26333562748337</v>
      </c>
      <c r="BA30" s="40">
        <v>0.5</v>
      </c>
      <c r="BB30" s="40">
        <v>0.811463508464399</v>
      </c>
      <c r="BC30" s="40">
        <v>0.5</v>
      </c>
      <c r="BD30" s="40">
        <v>0.070924584645638</v>
      </c>
      <c r="BE30" s="40">
        <v>0.538886154380813</v>
      </c>
      <c r="BF30" s="40">
        <v>0.772108172627653</v>
      </c>
      <c r="BG30" s="40">
        <v>0.5</v>
      </c>
      <c r="BH30" s="40">
        <v>0.5</v>
      </c>
      <c r="BI30" s="40">
        <v>0.5</v>
      </c>
      <c r="BJ30" s="40">
        <v>0.5</v>
      </c>
      <c r="BK30" s="40">
        <v>0.5</v>
      </c>
      <c r="BL30" s="40">
        <v>0.5</v>
      </c>
      <c r="BM30" s="40">
        <v>0.561679665057759</v>
      </c>
      <c r="BN30" s="40">
        <v>0.5</v>
      </c>
      <c r="BO30" s="40">
        <v>0.5</v>
      </c>
      <c r="BP30" s="40">
        <v>1.01202692206269</v>
      </c>
      <c r="BQ30" s="40">
        <v>0.5</v>
      </c>
      <c r="BR30" s="40">
        <v>0.5</v>
      </c>
      <c r="BS30" s="40">
        <v>0.5</v>
      </c>
      <c r="BT30" s="40">
        <v>1.95745180124224</v>
      </c>
      <c r="BU30" s="40">
        <v>0.888576032268769</v>
      </c>
      <c r="BV30" s="40">
        <v>0.5</v>
      </c>
      <c r="BW30" s="40">
        <v>3.52832406934561</v>
      </c>
      <c r="BX30" s="40">
        <v>2.40276262425447</v>
      </c>
      <c r="BY30" s="40">
        <v>0.272378558393112</v>
      </c>
      <c r="BZ30" s="40">
        <v>0.5</v>
      </c>
      <c r="CA30" s="40">
        <v>0.0381549757850336</v>
      </c>
      <c r="CB30" s="40">
        <v>0.5</v>
      </c>
      <c r="CC30" s="40">
        <v>2.14285661050061</v>
      </c>
      <c r="CD30" s="40">
        <v>0.5</v>
      </c>
      <c r="CE30" s="40">
        <v>0.5</v>
      </c>
      <c r="CF30" s="40">
        <v>0.5</v>
      </c>
      <c r="CG30" s="40">
        <v>0.5</v>
      </c>
      <c r="CH30" s="40">
        <v>0.5</v>
      </c>
      <c r="CI30" s="40">
        <v>0.501708699005855</v>
      </c>
      <c r="CJ30" s="40">
        <v>0.140262611393448</v>
      </c>
      <c r="CK30" s="40">
        <v>0.5</v>
      </c>
      <c r="CL30" s="40">
        <v>0.5</v>
      </c>
      <c r="CM30" s="40">
        <v>0.802398418234181</v>
      </c>
      <c r="CN30" s="40">
        <v>0.5</v>
      </c>
      <c r="CO30" s="40">
        <v>0.5</v>
      </c>
      <c r="CP30" s="40">
        <v>2.62476848951937</v>
      </c>
      <c r="CQ30" s="40">
        <v>0.5</v>
      </c>
      <c r="CR30" s="40">
        <v>0.5</v>
      </c>
      <c r="CS30" s="40">
        <v>0.5</v>
      </c>
      <c r="CT30" s="40">
        <v>0.5</v>
      </c>
      <c r="CU30" s="40">
        <v>0.5</v>
      </c>
      <c r="CV30" s="40">
        <v>0.5</v>
      </c>
      <c r="CW30" s="40">
        <v>0.373873615902288</v>
      </c>
      <c r="CX30" s="40">
        <v>0.803610304903818</v>
      </c>
      <c r="CY30" s="40">
        <v>0.5</v>
      </c>
      <c r="CZ30" s="40">
        <v>1.55182037907902</v>
      </c>
      <c r="DA30" s="40">
        <v>1.16378960402365</v>
      </c>
      <c r="DB30" s="40">
        <v>0.5</v>
      </c>
      <c r="DC30" s="40">
        <v>0.561445981739307</v>
      </c>
      <c r="DD30" s="40">
        <v>0.5</v>
      </c>
      <c r="DE30" s="40">
        <v>0.897015103002906</v>
      </c>
      <c r="DF30" s="40">
        <v>1.66556152209298</v>
      </c>
      <c r="DG30" s="40">
        <v>0.5</v>
      </c>
      <c r="DH30" s="40">
        <v>0.885985126939045</v>
      </c>
      <c r="DI30" s="40">
        <v>0.5</v>
      </c>
      <c r="DJ30" s="40">
        <v>0.5</v>
      </c>
      <c r="DK30" s="40">
        <v>2.63778652576313</v>
      </c>
      <c r="DL30" s="40">
        <v>1.49857000783021</v>
      </c>
      <c r="DM30" s="40">
        <v>0.675302561450318</v>
      </c>
      <c r="DN30" s="40">
        <v>0.546933177198058</v>
      </c>
      <c r="DO30" s="40">
        <v>0.5</v>
      </c>
      <c r="DP30" s="40">
        <v>0.5</v>
      </c>
      <c r="DQ30" s="40">
        <v>0.5</v>
      </c>
      <c r="DR30" s="40">
        <v>0.908669382059128</v>
      </c>
      <c r="DS30" s="40">
        <v>0.134099188596824</v>
      </c>
      <c r="DT30" s="40">
        <v>0.5</v>
      </c>
      <c r="DU30" s="40">
        <v>0.5</v>
      </c>
      <c r="DV30" s="40">
        <v>2.62534518744376</v>
      </c>
      <c r="DW30" s="40">
        <v>0.418643251337677</v>
      </c>
      <c r="DX30" s="40">
        <v>0.626320758771659</v>
      </c>
      <c r="DY30" s="40">
        <v>0.5</v>
      </c>
      <c r="DZ30" s="40">
        <v>0.5</v>
      </c>
      <c r="EA30" s="40">
        <v>0.5</v>
      </c>
      <c r="EB30" s="40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59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59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59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59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59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59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84" zoomScaleNormal="84" topLeftCell="J1" workbookViewId="0">
      <selection activeCell="J29" sqref="J29"/>
    </sheetView>
  </sheetViews>
  <sheetFormatPr defaultColWidth="9" defaultRowHeight="14.5"/>
  <cols>
    <col min="9" max="9" width="10.2727272727273" customWidth="1"/>
    <col min="10" max="10" width="125.545454545455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0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4">
        <f t="shared" ref="M15:AJ15" si="0">SUMIFS($D$19:$D$199,$C$19:$C$199,$L15,$B$19:$B$199,M$14)/5</f>
        <v>0.0013436</v>
      </c>
      <c r="N15" s="24">
        <f t="shared" si="0"/>
        <v>0.0016</v>
      </c>
      <c r="O15" s="24">
        <f t="shared" si="0"/>
        <v>0.015</v>
      </c>
      <c r="P15" s="24">
        <f t="shared" si="0"/>
        <v>0.0002</v>
      </c>
      <c r="Q15" s="24">
        <f t="shared" si="0"/>
        <v>0.222</v>
      </c>
      <c r="R15" s="24">
        <f t="shared" si="0"/>
        <v>0.009</v>
      </c>
      <c r="S15" s="24">
        <f t="shared" si="0"/>
        <v>0.015</v>
      </c>
      <c r="T15" s="24">
        <f t="shared" si="0"/>
        <v>0.0002</v>
      </c>
      <c r="U15" s="24">
        <f t="shared" si="0"/>
        <v>0.0004</v>
      </c>
      <c r="V15" s="24">
        <f t="shared" si="0"/>
        <v>0.000312</v>
      </c>
      <c r="W15" s="24">
        <f t="shared" si="0"/>
        <v>0.0012</v>
      </c>
      <c r="X15" s="24">
        <f t="shared" si="0"/>
        <v>0.0044</v>
      </c>
      <c r="Y15" s="24">
        <f t="shared" si="0"/>
        <v>1e-5</v>
      </c>
      <c r="Z15" s="24">
        <f t="shared" si="0"/>
        <v>0.0005</v>
      </c>
      <c r="AA15" s="24">
        <f t="shared" si="0"/>
        <v>0.07764</v>
      </c>
      <c r="AB15" s="24">
        <f t="shared" si="0"/>
        <v>0.0120632</v>
      </c>
      <c r="AC15" s="24">
        <f t="shared" si="0"/>
        <v>0.0004</v>
      </c>
      <c r="AD15" s="24">
        <f t="shared" si="0"/>
        <v>0.00192</v>
      </c>
      <c r="AE15" s="24">
        <f t="shared" si="0"/>
        <v>2e-5</v>
      </c>
      <c r="AF15" s="24">
        <f t="shared" si="0"/>
        <v>0.0017</v>
      </c>
      <c r="AG15" s="24">
        <f t="shared" si="0"/>
        <v>0.008</v>
      </c>
      <c r="AH15" s="24">
        <f t="shared" si="0"/>
        <v>0.0017</v>
      </c>
      <c r="AI15" s="24">
        <f t="shared" si="0"/>
        <v>0.0002</v>
      </c>
      <c r="AJ15" s="24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3"/>
  <sheetViews>
    <sheetView zoomScale="85" zoomScaleNormal="85" topLeftCell="A6" workbookViewId="0">
      <selection activeCell="E19" sqref="E19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15.9090909090909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14" t="s">
        <v>345</v>
      </c>
      <c r="O2" s="14" t="s">
        <v>346</v>
      </c>
    </row>
    <row r="3" ht="58" spans="2:15">
      <c r="M3" t="s">
        <v>347</v>
      </c>
      <c r="N3" s="14" t="s">
        <v>348</v>
      </c>
      <c r="O3" s="39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Glb*, -Glb*recy*</v>
      </c>
      <c r="I14" t="str">
        <f>I13</f>
        <v>m_*</v>
      </c>
      <c r="K14">
        <v>0</v>
      </c>
    </row>
    <row r="15" spans="2:15">
      <c r="C15" t="s">
        <v>351</v>
      </c>
      <c r="D15" t="s">
        <v>352</v>
      </c>
      <c r="E15" s="33">
        <v>2</v>
      </c>
      <c r="G15" t="s">
        <v>353</v>
      </c>
      <c r="H15" t="s">
        <v>356</v>
      </c>
      <c r="I15" t="s">
        <v>355</v>
      </c>
      <c r="K15">
        <v>2019</v>
      </c>
    </row>
    <row r="16" spans="2:15">
      <c r="C16" t="s">
        <v>351</v>
      </c>
      <c r="D16" t="s">
        <v>352</v>
      </c>
      <c r="E16">
        <v>3</v>
      </c>
      <c r="G16" t="s">
        <v>353</v>
      </c>
      <c r="H16" t="s">
        <v>356</v>
      </c>
      <c r="I16" t="s">
        <v>355</v>
      </c>
      <c r="K16">
        <v>0</v>
      </c>
    </row>
    <row r="21" spans="5:5">
      <c r="E21" t="s">
        <v>357</v>
      </c>
    </row>
    <row r="23" spans="5:5">
      <c r="E23" s="40" t="s">
        <v>358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359</v>
      </c>
    </row>
    <row r="6" spans="1:19">
      <c r="A6" t="s">
        <v>360</v>
      </c>
      <c r="B6" t="s">
        <v>4</v>
      </c>
      <c r="C6" t="s">
        <v>64</v>
      </c>
      <c r="D6" t="s">
        <v>361</v>
      </c>
      <c r="E6" t="s">
        <v>55</v>
      </c>
      <c r="F6">
        <v>2030</v>
      </c>
      <c r="G6">
        <v>2035</v>
      </c>
      <c r="H6" t="s">
        <v>362</v>
      </c>
      <c r="I6" t="s">
        <v>42</v>
      </c>
      <c r="J6" t="s">
        <v>77</v>
      </c>
      <c r="K6" t="s">
        <v>363</v>
      </c>
    </row>
    <row r="7" spans="1:19">
      <c r="A7" t="s">
        <v>364</v>
      </c>
      <c r="B7" t="s">
        <v>365</v>
      </c>
      <c r="C7" t="s">
        <v>366</v>
      </c>
      <c r="D7" t="s">
        <v>366</v>
      </c>
      <c r="E7" t="s">
        <v>151</v>
      </c>
      <c r="F7">
        <v>1.05</v>
      </c>
      <c r="H7">
        <v>1</v>
      </c>
      <c r="I7">
        <v>2</v>
      </c>
      <c r="J7" t="s">
        <v>367</v>
      </c>
      <c r="K7" t="s">
        <v>368</v>
      </c>
    </row>
    <row r="8" spans="1:19">
      <c r="A8" t="s">
        <v>364</v>
      </c>
      <c r="B8" t="s">
        <v>369</v>
      </c>
      <c r="C8" t="s">
        <v>366</v>
      </c>
      <c r="D8" t="s">
        <v>366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367</v>
      </c>
      <c r="K8" t="s">
        <v>370</v>
      </c>
      <c r="P8" s="24">
        <f>F8^15</f>
        <v>0.463291230159753</v>
      </c>
      <c r="Q8" s="24">
        <f>G8^15</f>
        <v>0.205891132094649</v>
      </c>
      <c r="S8" s="38">
        <f>PRODUCT(P8:R8)</f>
        <v>0.0953875558671143</v>
      </c>
    </row>
    <row r="11" spans="1:19">
      <c r="A11" t="s">
        <v>371</v>
      </c>
    </row>
    <row r="13" spans="1:19">
      <c r="D13" t="s">
        <v>372</v>
      </c>
    </row>
    <row r="14" spans="1:19">
      <c r="A14" t="s">
        <v>360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362</v>
      </c>
      <c r="I14" t="s">
        <v>373</v>
      </c>
      <c r="J14" t="s">
        <v>42</v>
      </c>
      <c r="K14" t="s">
        <v>363</v>
      </c>
    </row>
    <row r="15" spans="1:19">
      <c r="A15" t="s">
        <v>374</v>
      </c>
      <c r="B15" t="str">
        <f>"UC_ELCcap_decay - "&amp;MID(D15,4,3)</f>
        <v>UC_ELCcap_decay - OIL</v>
      </c>
      <c r="C15" t="s">
        <v>375</v>
      </c>
      <c r="D15" t="s">
        <v>376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4">
        <f>E15^10</f>
        <v>0.817072806887547</v>
      </c>
      <c r="P15" s="24">
        <f>F15^10</f>
        <v>0.598736939238379</v>
      </c>
      <c r="Q15" s="24">
        <f>G15^10</f>
        <v>0.1073741824</v>
      </c>
      <c r="R15" s="38">
        <f>PRODUCT(O15:Q15)</f>
        <v>0.0525287032511528</v>
      </c>
    </row>
    <row r="16" spans="1:19">
      <c r="A16" t="s">
        <v>374</v>
      </c>
      <c r="B16" t="str">
        <f t="shared" ref="B16:B17" si="0">"UC_ELCcap_decay - "&amp;MID(D16,4,3)</f>
        <v>UC_ELCcap_decay - CO?</v>
      </c>
      <c r="C16" t="s">
        <v>375</v>
      </c>
      <c r="D16" t="s">
        <v>377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4">
        <f t="shared" ref="O16:O17" si="1">E16^10</f>
        <v>0.817072806887547</v>
      </c>
      <c r="P16" s="24">
        <f t="shared" ref="P16:P17" si="2">F16^10</f>
        <v>0.3486784401</v>
      </c>
      <c r="Q16" s="24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374</v>
      </c>
      <c r="B17" t="str">
        <f t="shared" si="0"/>
        <v>UC_ELCcap_decay - NGA</v>
      </c>
      <c r="C17" t="s">
        <v>375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4">
        <f t="shared" si="1"/>
        <v>0.817072806887547</v>
      </c>
      <c r="P17" s="24">
        <f t="shared" si="2"/>
        <v>0.598736939238379</v>
      </c>
      <c r="Q17" s="24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K42" sqref="K4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378</v>
      </c>
      <c r="L2" t="s">
        <v>379</v>
      </c>
    </row>
    <row r="3" spans="2:15">
      <c r="B3" t="s">
        <v>73</v>
      </c>
      <c r="C3" t="s">
        <v>380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381</v>
      </c>
      <c r="N3" t="s">
        <v>382</v>
      </c>
      <c r="O3" t="s">
        <v>383</v>
      </c>
    </row>
    <row r="4" spans="2:15">
      <c r="B4" t="s">
        <v>384</v>
      </c>
      <c r="C4" t="s">
        <v>385</v>
      </c>
      <c r="D4">
        <v>-0.3</v>
      </c>
      <c r="K4" t="s">
        <v>386</v>
      </c>
      <c r="L4" t="s">
        <v>387</v>
      </c>
      <c r="M4">
        <v>1</v>
      </c>
      <c r="O4">
        <v>2</v>
      </c>
    </row>
    <row r="5" spans="2:15">
      <c r="B5" t="s">
        <v>388</v>
      </c>
      <c r="C5" t="s">
        <v>385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389</v>
      </c>
      <c r="L5" t="s">
        <v>390</v>
      </c>
      <c r="M5">
        <v>1</v>
      </c>
      <c r="O5">
        <v>2</v>
      </c>
    </row>
    <row r="6" spans="2:15">
      <c r="B6" t="s">
        <v>391</v>
      </c>
      <c r="C6" t="s">
        <v>385</v>
      </c>
      <c r="D6">
        <v>10</v>
      </c>
      <c r="K6" t="s">
        <v>392</v>
      </c>
      <c r="L6" t="s">
        <v>393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394</v>
      </c>
      <c r="L8" t="s">
        <v>395</v>
      </c>
      <c r="M8">
        <v>1</v>
      </c>
      <c r="O8">
        <v>2</v>
      </c>
    </row>
    <row r="9" spans="2:15">
      <c r="K9" t="s">
        <v>394</v>
      </c>
      <c r="L9" t="s">
        <v>396</v>
      </c>
      <c r="M9">
        <v>1</v>
      </c>
      <c r="O9">
        <v>2</v>
      </c>
    </row>
    <row r="10" spans="2:15">
      <c r="B10" t="s">
        <v>378</v>
      </c>
      <c r="K10" t="s">
        <v>397</v>
      </c>
      <c r="L10" t="s">
        <v>398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397</v>
      </c>
      <c r="L11" t="s">
        <v>399</v>
      </c>
      <c r="M11">
        <v>1</v>
      </c>
      <c r="O11">
        <v>2</v>
      </c>
    </row>
    <row r="12" spans="2:15">
      <c r="B12" t="s">
        <v>384</v>
      </c>
      <c r="D12">
        <v>-0.3</v>
      </c>
      <c r="G12" t="s">
        <v>400</v>
      </c>
      <c r="K12" t="s">
        <v>401</v>
      </c>
      <c r="L12" t="s">
        <v>402</v>
      </c>
      <c r="M12">
        <v>1</v>
      </c>
      <c r="O12">
        <v>2</v>
      </c>
    </row>
    <row r="13" spans="2:15">
      <c r="B13" t="s">
        <v>388</v>
      </c>
      <c r="D13">
        <v>0</v>
      </c>
      <c r="E13">
        <v>0.3</v>
      </c>
      <c r="F13">
        <v>0.5</v>
      </c>
      <c r="G13" t="s">
        <v>400</v>
      </c>
      <c r="K13" t="s">
        <v>403</v>
      </c>
      <c r="L13" t="s">
        <v>404</v>
      </c>
      <c r="M13">
        <v>1</v>
      </c>
      <c r="O13">
        <v>2</v>
      </c>
    </row>
    <row r="14" spans="2:15">
      <c r="B14" t="s">
        <v>391</v>
      </c>
      <c r="D14">
        <v>10</v>
      </c>
      <c r="G14" t="s">
        <v>400</v>
      </c>
      <c r="K14" t="s">
        <v>306</v>
      </c>
    </row>
    <row r="15" spans="2:15">
      <c r="K15" t="s">
        <v>405</v>
      </c>
      <c r="L15" t="s">
        <v>406</v>
      </c>
      <c r="M15">
        <v>1</v>
      </c>
      <c r="O15">
        <v>2</v>
      </c>
    </row>
    <row r="16" spans="2:15">
      <c r="K16" t="s">
        <v>405</v>
      </c>
      <c r="L16" t="s">
        <v>407</v>
      </c>
      <c r="M16">
        <v>1</v>
      </c>
      <c r="O16">
        <v>2</v>
      </c>
    </row>
    <row r="17" spans="2:15">
      <c r="K17" t="s">
        <v>408</v>
      </c>
      <c r="L17" t="s">
        <v>409</v>
      </c>
      <c r="M17">
        <v>1</v>
      </c>
      <c r="O17">
        <v>2</v>
      </c>
    </row>
    <row r="18" spans="2:15">
      <c r="K18" t="s">
        <v>408</v>
      </c>
      <c r="L18" t="s">
        <v>410</v>
      </c>
      <c r="M18">
        <v>1</v>
      </c>
      <c r="O18">
        <v>2</v>
      </c>
    </row>
    <row r="19" spans="2:15">
      <c r="K19" t="s">
        <v>411</v>
      </c>
      <c r="L19" t="s">
        <v>412</v>
      </c>
      <c r="M19">
        <v>1</v>
      </c>
      <c r="O19">
        <v>2</v>
      </c>
    </row>
    <row r="20" spans="2:15">
      <c r="K20" t="s">
        <v>413</v>
      </c>
      <c r="L20" t="s">
        <v>414</v>
      </c>
      <c r="M20">
        <v>1</v>
      </c>
      <c r="O20">
        <v>2</v>
      </c>
    </row>
    <row r="23" spans="2:15">
      <c r="B23" t="s">
        <v>415</v>
      </c>
      <c r="L23" t="s">
        <v>379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416</v>
      </c>
      <c r="N24" t="s">
        <v>417</v>
      </c>
      <c r="O24" t="s">
        <v>243</v>
      </c>
    </row>
    <row r="25" spans="2:15">
      <c r="B25" t="s">
        <v>418</v>
      </c>
      <c r="C25" t="s">
        <v>419</v>
      </c>
      <c r="D25" t="s">
        <v>420</v>
      </c>
      <c r="K25" t="s">
        <v>421</v>
      </c>
      <c r="N25">
        <v>1</v>
      </c>
    </row>
    <row r="26" spans="2:15">
      <c r="L26" t="s">
        <v>422</v>
      </c>
      <c r="M26">
        <v>1</v>
      </c>
      <c r="O26" t="s">
        <v>423</v>
      </c>
    </row>
    <row r="27" spans="2:15">
      <c r="L27" t="s">
        <v>422</v>
      </c>
      <c r="M27">
        <v>1</v>
      </c>
      <c r="O27" t="s">
        <v>424</v>
      </c>
    </row>
    <row r="28" spans="2:15">
      <c r="B28" t="s">
        <v>425</v>
      </c>
      <c r="L28" t="s">
        <v>422</v>
      </c>
      <c r="M28">
        <v>1</v>
      </c>
      <c r="O28" t="s">
        <v>426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422</v>
      </c>
      <c r="M29">
        <v>1</v>
      </c>
      <c r="O29" t="s">
        <v>427</v>
      </c>
    </row>
    <row r="30" spans="2:15">
      <c r="B30" t="s">
        <v>428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429</v>
      </c>
      <c r="AC1" s="36" t="s">
        <v>430</v>
      </c>
    </row>
    <row r="2" ht="16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440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24">
        <v>39.18</v>
      </c>
      <c r="G3" s="24" t="s">
        <v>445</v>
      </c>
      <c r="H3" s="2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24">
        <v>19.34</v>
      </c>
      <c r="G4" s="24" t="s">
        <v>445</v>
      </c>
      <c r="H4" s="2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430</v>
      </c>
    </row>
    <row r="7" ht="16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440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2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2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451</v>
      </c>
    </row>
    <row r="13" spans="1:49">
      <c r="A13" s="27" t="s">
        <v>452</v>
      </c>
      <c r="B13" s="27"/>
      <c r="C13" s="27"/>
    </row>
    <row r="14" spans="1:49">
      <c r="A14" s="27" t="s">
        <v>453</v>
      </c>
      <c r="B14" s="27"/>
      <c r="C14" s="27"/>
    </row>
    <row r="15" spans="1:49">
      <c r="A15" s="27" t="s">
        <v>454</v>
      </c>
      <c r="B15" s="27"/>
      <c r="C15" s="27"/>
    </row>
    <row r="17" spans="1:13">
      <c r="A17" s="27" t="s">
        <v>455</v>
      </c>
      <c r="B17" s="27" t="s">
        <v>456</v>
      </c>
      <c r="C17" s="27" t="s">
        <v>457</v>
      </c>
    </row>
    <row r="18" spans="1:13">
      <c r="A18" s="27" t="s">
        <v>458</v>
      </c>
      <c r="B18" s="27" t="s">
        <v>459</v>
      </c>
      <c r="C18" s="27">
        <v>253</v>
      </c>
    </row>
    <row r="19" spans="1:13">
      <c r="A19" s="27" t="s">
        <v>460</v>
      </c>
      <c r="B19" s="27" t="s">
        <v>459</v>
      </c>
      <c r="C19" s="27">
        <v>203</v>
      </c>
      <c r="G19" t="s">
        <v>89</v>
      </c>
    </row>
    <row r="20" spans="1:13">
      <c r="A20" s="27" t="s">
        <v>461</v>
      </c>
      <c r="B20" s="27" t="s">
        <v>462</v>
      </c>
      <c r="C20" s="27">
        <v>82</v>
      </c>
      <c r="G20" t="s">
        <v>73</v>
      </c>
      <c r="H20" t="s">
        <v>92</v>
      </c>
      <c r="I20" t="s">
        <v>440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7" t="s">
        <v>463</v>
      </c>
      <c r="B21" s="27" t="s">
        <v>462</v>
      </c>
      <c r="C21" s="27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27" t="s">
        <v>467</v>
      </c>
      <c r="B22" s="27" t="s">
        <v>462</v>
      </c>
      <c r="C22" s="27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27" t="s">
        <v>469</v>
      </c>
      <c r="B23" s="27" t="s">
        <v>459</v>
      </c>
      <c r="C23" s="27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27" t="s">
        <v>471</v>
      </c>
      <c r="B24" s="27" t="s">
        <v>459</v>
      </c>
      <c r="C24" s="27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27" t="s">
        <v>473</v>
      </c>
      <c r="B25" s="27" t="s">
        <v>474</v>
      </c>
      <c r="C25" s="27">
        <v>135</v>
      </c>
    </row>
    <row r="30" spans="1:13">
      <c r="A30" t="s">
        <v>53</v>
      </c>
    </row>
    <row r="31" spans="1:13">
      <c r="A31" t="s">
        <v>56</v>
      </c>
      <c r="B31" t="s">
        <v>475</v>
      </c>
      <c r="C31" t="s">
        <v>57</v>
      </c>
      <c r="D31" t="s">
        <v>60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5" t="s">
        <v>478</v>
      </c>
      <c r="E1" s="25" t="s">
        <v>479</v>
      </c>
      <c r="F1" s="25" t="s">
        <v>480</v>
      </c>
      <c r="R1" t="s">
        <v>481</v>
      </c>
      <c r="X1" t="s">
        <v>53</v>
      </c>
      <c r="AF1" t="s">
        <v>293</v>
      </c>
    </row>
    <row r="2" spans="1:35">
      <c r="A2" t="s">
        <v>482</v>
      </c>
      <c r="B2" t="str">
        <f>MID(A2,4,7)</f>
        <v>COA</v>
      </c>
      <c r="D2" s="26" t="s">
        <v>483</v>
      </c>
      <c r="E2" s="26">
        <f>N12</f>
        <v>55.99</v>
      </c>
      <c r="F2" s="26" t="s">
        <v>484</v>
      </c>
      <c r="G2" s="27" t="s">
        <v>485</v>
      </c>
      <c r="H2" s="27"/>
      <c r="I2" s="27"/>
      <c r="J2" s="27"/>
      <c r="K2" s="27"/>
      <c r="L2" s="27"/>
      <c r="M2" s="27"/>
      <c r="N2" s="27"/>
      <c r="R2" t="s">
        <v>73</v>
      </c>
      <c r="S2" t="s">
        <v>253</v>
      </c>
      <c r="T2" t="s">
        <v>440</v>
      </c>
      <c r="U2" t="s">
        <v>75</v>
      </c>
      <c r="X2" t="s">
        <v>73</v>
      </c>
      <c r="Y2" t="s">
        <v>5</v>
      </c>
      <c r="Z2" t="s">
        <v>253</v>
      </c>
      <c r="AA2" t="s">
        <v>440</v>
      </c>
      <c r="AB2" t="s">
        <v>75</v>
      </c>
      <c r="AF2" t="s">
        <v>74</v>
      </c>
      <c r="AG2" t="s">
        <v>486</v>
      </c>
      <c r="AH2" t="s">
        <v>253</v>
      </c>
    </row>
    <row r="3" spans="1:35">
      <c r="A3" t="s">
        <v>487</v>
      </c>
      <c r="B3" t="str">
        <f t="shared" ref="B3:B54" si="0">MID(A3,4,7)</f>
        <v>KER</v>
      </c>
      <c r="D3" s="26" t="s">
        <v>488</v>
      </c>
      <c r="E3" s="26">
        <f>E5</f>
        <v>98.43</v>
      </c>
      <c r="F3" s="26" t="s">
        <v>489</v>
      </c>
      <c r="G3" s="27"/>
      <c r="H3" s="27" t="s">
        <v>490</v>
      </c>
      <c r="I3" s="27"/>
      <c r="J3" s="27" t="s">
        <v>491</v>
      </c>
      <c r="K3" s="27"/>
      <c r="L3" s="27" t="s">
        <v>492</v>
      </c>
      <c r="M3" s="27" t="s">
        <v>491</v>
      </c>
      <c r="N3" s="27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28" t="s">
        <v>495</v>
      </c>
      <c r="AA3" t="s">
        <v>393</v>
      </c>
      <c r="AB3">
        <v>1</v>
      </c>
      <c r="AF3" t="s">
        <v>496</v>
      </c>
      <c r="AG3" t="s">
        <v>99</v>
      </c>
      <c r="AH3" t="s">
        <v>497</v>
      </c>
    </row>
    <row r="4" spans="1:35">
      <c r="A4" t="s">
        <v>498</v>
      </c>
      <c r="B4" t="str">
        <f t="shared" si="0"/>
        <v>LPG</v>
      </c>
      <c r="D4" s="26" t="s">
        <v>499</v>
      </c>
      <c r="E4" s="26">
        <f>E3</f>
        <v>98.43</v>
      </c>
      <c r="F4" s="26" t="str">
        <f>F3</f>
        <v>b</v>
      </c>
      <c r="G4" s="27" t="s">
        <v>500</v>
      </c>
      <c r="H4" s="27" t="s">
        <v>501</v>
      </c>
      <c r="I4" s="27"/>
      <c r="J4" s="27" t="s">
        <v>501</v>
      </c>
      <c r="K4" s="27"/>
      <c r="L4" s="27" t="s">
        <v>502</v>
      </c>
      <c r="M4" s="27" t="s">
        <v>502</v>
      </c>
      <c r="N4" s="27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26" t="s">
        <v>505</v>
      </c>
      <c r="E5" s="26">
        <f>N30</f>
        <v>98.43</v>
      </c>
      <c r="F5" s="26" t="s">
        <v>484</v>
      </c>
      <c r="G5" s="27" t="s">
        <v>506</v>
      </c>
      <c r="H5" s="27"/>
      <c r="I5" s="27"/>
      <c r="J5" s="27"/>
      <c r="K5" s="27"/>
      <c r="L5" s="27"/>
      <c r="M5" s="27"/>
      <c r="N5" s="27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26" t="s">
        <v>508</v>
      </c>
      <c r="E6" s="26">
        <f>E5</f>
        <v>98.43</v>
      </c>
      <c r="F6" s="26" t="s">
        <v>484</v>
      </c>
      <c r="G6" s="27" t="s">
        <v>509</v>
      </c>
      <c r="H6" s="27">
        <v>12.7</v>
      </c>
      <c r="I6" s="27" t="s">
        <v>510</v>
      </c>
      <c r="J6" s="27">
        <v>5.76</v>
      </c>
      <c r="K6" s="27" t="s">
        <v>510</v>
      </c>
      <c r="L6" s="27">
        <v>139.05</v>
      </c>
      <c r="M6" s="27">
        <v>63.07</v>
      </c>
      <c r="N6" s="27">
        <v>66.54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9" t="s">
        <v>494</v>
      </c>
      <c r="Y6" s="29"/>
      <c r="Z6" s="29" t="s">
        <v>511</v>
      </c>
      <c r="AA6" s="29" t="s">
        <v>393</v>
      </c>
      <c r="AB6" s="30">
        <v>-0.001</v>
      </c>
    </row>
    <row r="7" spans="1:35">
      <c r="A7" t="s">
        <v>512</v>
      </c>
      <c r="B7" t="str">
        <f t="shared" si="0"/>
        <v>COA</v>
      </c>
      <c r="D7" s="26" t="s">
        <v>513</v>
      </c>
      <c r="E7" s="26">
        <f>N32</f>
        <v>103.08</v>
      </c>
      <c r="F7" s="26" t="s">
        <v>484</v>
      </c>
      <c r="G7" s="27" t="s">
        <v>514</v>
      </c>
      <c r="H7" s="27">
        <v>14.8</v>
      </c>
      <c r="I7" s="27" t="s">
        <v>510</v>
      </c>
      <c r="J7" s="27">
        <v>6.71</v>
      </c>
      <c r="K7" s="27" t="s">
        <v>510</v>
      </c>
      <c r="L7" s="27">
        <v>143.2</v>
      </c>
      <c r="M7" s="27">
        <v>64.95</v>
      </c>
      <c r="N7" s="27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26" t="s">
        <v>516</v>
      </c>
      <c r="E8" s="26">
        <f>E2</f>
        <v>55.99</v>
      </c>
      <c r="F8" s="26" t="s">
        <v>484</v>
      </c>
      <c r="G8" s="27" t="s">
        <v>517</v>
      </c>
      <c r="H8" s="27">
        <v>13.7</v>
      </c>
      <c r="I8" s="27" t="s">
        <v>510</v>
      </c>
      <c r="J8" s="27">
        <v>6.21</v>
      </c>
      <c r="K8" s="27" t="s">
        <v>510</v>
      </c>
      <c r="L8" s="27">
        <v>141.12</v>
      </c>
      <c r="M8" s="27">
        <v>64.01</v>
      </c>
      <c r="N8" s="27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26" t="s">
        <v>520</v>
      </c>
      <c r="E9" s="26">
        <f>N33</f>
        <v>120.4</v>
      </c>
      <c r="F9" s="26" t="s">
        <v>484</v>
      </c>
      <c r="G9" s="27" t="s">
        <v>521</v>
      </c>
      <c r="H9" s="27">
        <v>22.4</v>
      </c>
      <c r="I9" s="27" t="s">
        <v>510</v>
      </c>
      <c r="J9" s="27">
        <v>10.16</v>
      </c>
      <c r="K9" s="27" t="s">
        <v>510</v>
      </c>
      <c r="L9" s="27">
        <v>161.3</v>
      </c>
      <c r="M9" s="27">
        <v>73.16</v>
      </c>
      <c r="N9" s="27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522</v>
      </c>
      <c r="B10" t="str">
        <f t="shared" si="0"/>
        <v>LPG</v>
      </c>
      <c r="D10" s="26" t="s">
        <v>523</v>
      </c>
      <c r="E10" s="26">
        <f>N9</f>
        <v>77.19</v>
      </c>
      <c r="F10" s="26" t="s">
        <v>524</v>
      </c>
      <c r="G10" s="27" t="s">
        <v>525</v>
      </c>
      <c r="H10" s="27">
        <v>21.5</v>
      </c>
      <c r="I10" s="27" t="s">
        <v>510</v>
      </c>
      <c r="J10" s="27">
        <v>9.75</v>
      </c>
      <c r="K10" s="27" t="s">
        <v>510</v>
      </c>
      <c r="L10" s="27">
        <v>159.4</v>
      </c>
      <c r="M10" s="27">
        <v>72.3</v>
      </c>
      <c r="N10" s="27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440</v>
      </c>
      <c r="AB10" t="s">
        <v>75</v>
      </c>
      <c r="AF10" t="s">
        <v>77</v>
      </c>
      <c r="AG10" t="s">
        <v>486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6" t="s">
        <v>526</v>
      </c>
      <c r="E11" s="26">
        <f>N6</f>
        <v>66.54</v>
      </c>
      <c r="F11" s="26" t="s">
        <v>527</v>
      </c>
      <c r="G11" s="27" t="s">
        <v>528</v>
      </c>
      <c r="H11" s="31">
        <v>4631.5</v>
      </c>
      <c r="I11" s="27" t="s">
        <v>529</v>
      </c>
      <c r="J11" s="31">
        <v>2100.82</v>
      </c>
      <c r="K11" s="27" t="s">
        <v>529</v>
      </c>
      <c r="L11" s="27">
        <v>210.2</v>
      </c>
      <c r="M11" s="27">
        <v>95.35</v>
      </c>
      <c r="N11" s="27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2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26" t="s">
        <v>533</v>
      </c>
      <c r="E12" s="26">
        <f>N12</f>
        <v>55.99</v>
      </c>
      <c r="F12" s="26" t="s">
        <v>527</v>
      </c>
      <c r="G12" s="27" t="s">
        <v>534</v>
      </c>
      <c r="H12" s="27">
        <v>117.1</v>
      </c>
      <c r="I12" s="27" t="s">
        <v>535</v>
      </c>
      <c r="J12" s="27">
        <v>53.12</v>
      </c>
      <c r="K12" s="27" t="s">
        <v>535</v>
      </c>
      <c r="L12" s="27">
        <v>117</v>
      </c>
      <c r="M12" s="27">
        <v>53.07</v>
      </c>
      <c r="N12" s="27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2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536</v>
      </c>
      <c r="B13" t="str">
        <f t="shared" si="0"/>
        <v>COA</v>
      </c>
      <c r="D13" s="26" t="s">
        <v>537</v>
      </c>
      <c r="E13" s="26">
        <f>N13</f>
        <v>75.22</v>
      </c>
      <c r="F13" s="26" t="s">
        <v>524</v>
      </c>
      <c r="G13" s="27" t="s">
        <v>538</v>
      </c>
      <c r="H13" s="27">
        <v>19.6</v>
      </c>
      <c r="I13" s="27" t="s">
        <v>510</v>
      </c>
      <c r="J13" s="27">
        <v>8.89</v>
      </c>
      <c r="K13" s="27" t="s">
        <v>510</v>
      </c>
      <c r="L13" s="27">
        <v>157.2</v>
      </c>
      <c r="M13" s="27">
        <v>71.3</v>
      </c>
      <c r="N13" s="27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2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539</v>
      </c>
      <c r="B14" t="str">
        <f t="shared" si="0"/>
        <v>CoaG</v>
      </c>
      <c r="D14" s="26" t="s">
        <v>540</v>
      </c>
      <c r="E14" s="26">
        <f>N26</f>
        <v>76.81</v>
      </c>
      <c r="F14" s="26" t="s">
        <v>524</v>
      </c>
      <c r="G14" s="27" t="s">
        <v>541</v>
      </c>
      <c r="H14" s="27">
        <v>26</v>
      </c>
      <c r="I14" s="27" t="s">
        <v>510</v>
      </c>
      <c r="J14" s="27">
        <v>11.79</v>
      </c>
      <c r="K14" s="27" t="s">
        <v>510</v>
      </c>
      <c r="L14" s="27">
        <v>173.7</v>
      </c>
      <c r="M14" s="27">
        <v>78.79</v>
      </c>
      <c r="N14" s="27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542</v>
      </c>
      <c r="AB14">
        <f>VLOOKUP(MID(AA14,4,7),$D$2:$F$27,2,FALSE)*AD14</f>
        <v>5.3232</v>
      </c>
      <c r="AD14" s="32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543</v>
      </c>
      <c r="B15" t="str">
        <f t="shared" si="0"/>
        <v>COB</v>
      </c>
      <c r="D15" s="26" t="s">
        <v>544</v>
      </c>
      <c r="E15" s="26">
        <f>N14</f>
        <v>83.12</v>
      </c>
      <c r="F15" s="26" t="s">
        <v>524</v>
      </c>
      <c r="G15" s="27" t="s">
        <v>545</v>
      </c>
      <c r="H15" s="27"/>
      <c r="I15" s="27"/>
      <c r="J15" s="27"/>
      <c r="K15" s="27"/>
      <c r="L15" s="27"/>
      <c r="M15" s="27"/>
      <c r="N15" s="27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546</v>
      </c>
      <c r="B16" t="str">
        <f t="shared" si="0"/>
        <v>GAS</v>
      </c>
      <c r="D16" s="26" t="s">
        <v>547</v>
      </c>
      <c r="E16" s="26">
        <f>N16</f>
        <v>74.8</v>
      </c>
      <c r="F16" s="26" t="s">
        <v>524</v>
      </c>
      <c r="G16" s="27" t="s">
        <v>548</v>
      </c>
      <c r="H16" s="27">
        <v>21.1</v>
      </c>
      <c r="I16" s="27" t="s">
        <v>510</v>
      </c>
      <c r="J16" s="27">
        <v>9.57</v>
      </c>
      <c r="K16" s="27" t="s">
        <v>510</v>
      </c>
      <c r="L16" s="27">
        <v>156.3</v>
      </c>
      <c r="M16" s="27">
        <v>70.9</v>
      </c>
      <c r="N16" s="27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6" t="s">
        <v>549</v>
      </c>
      <c r="E17" s="26">
        <f>N10</f>
        <v>76.28</v>
      </c>
      <c r="F17" s="26" t="s">
        <v>524</v>
      </c>
      <c r="G17" s="27" t="s">
        <v>550</v>
      </c>
      <c r="H17" s="27">
        <v>18.4</v>
      </c>
      <c r="I17" s="27" t="s">
        <v>510</v>
      </c>
      <c r="J17" s="27">
        <v>8.35</v>
      </c>
      <c r="K17" s="27" t="s">
        <v>510</v>
      </c>
      <c r="L17" s="27">
        <v>152.6</v>
      </c>
      <c r="M17" s="27">
        <v>69.2</v>
      </c>
      <c r="N17" s="27">
        <v>73.01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551</v>
      </c>
      <c r="B18" t="str">
        <f t="shared" si="0"/>
        <v>OIL</v>
      </c>
      <c r="D18" s="26" t="s">
        <v>552</v>
      </c>
      <c r="E18" s="26">
        <f>N8</f>
        <v>67.53</v>
      </c>
      <c r="F18" s="26" t="s">
        <v>524</v>
      </c>
      <c r="G18" s="27" t="s">
        <v>553</v>
      </c>
      <c r="H18" s="27"/>
      <c r="I18" s="27"/>
      <c r="J18" s="27"/>
      <c r="K18" s="27"/>
      <c r="L18" s="27"/>
      <c r="M18" s="27"/>
      <c r="N18" s="27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554</v>
      </c>
      <c r="B19" t="str">
        <f t="shared" si="0"/>
        <v>OIL_CRD</v>
      </c>
      <c r="D19" s="26" t="s">
        <v>555</v>
      </c>
      <c r="E19" s="26">
        <f>N12</f>
        <v>55.99</v>
      </c>
      <c r="F19" s="26" t="s">
        <v>527</v>
      </c>
      <c r="G19" s="27" t="s">
        <v>556</v>
      </c>
      <c r="H19" s="27">
        <v>120.7</v>
      </c>
      <c r="I19" s="27" t="s">
        <v>535</v>
      </c>
      <c r="J19" s="27">
        <v>54.75</v>
      </c>
      <c r="K19" s="27" t="s">
        <v>535</v>
      </c>
      <c r="L19" s="27">
        <v>120.6</v>
      </c>
      <c r="M19" s="27">
        <v>54.7</v>
      </c>
      <c r="N19" s="27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440</v>
      </c>
      <c r="AB19" t="s">
        <v>75</v>
      </c>
      <c r="AC19" t="s">
        <v>77</v>
      </c>
    </row>
    <row r="20" spans="1:36">
      <c r="A20" t="s">
        <v>557</v>
      </c>
      <c r="B20" t="str">
        <f t="shared" si="0"/>
        <v>OIL_DST</v>
      </c>
      <c r="D20" s="26" t="s">
        <v>558</v>
      </c>
      <c r="E20" s="26">
        <f>N14</f>
        <v>83.12</v>
      </c>
      <c r="F20" s="26" t="s">
        <v>524</v>
      </c>
      <c r="G20" s="27" t="s">
        <v>559</v>
      </c>
      <c r="H20" s="27">
        <v>32.4</v>
      </c>
      <c r="I20" s="27" t="s">
        <v>510</v>
      </c>
      <c r="J20" s="27">
        <v>14.7</v>
      </c>
      <c r="K20" s="27" t="s">
        <v>510</v>
      </c>
      <c r="L20" s="27">
        <v>225.1</v>
      </c>
      <c r="M20" s="27">
        <v>102.1</v>
      </c>
      <c r="N20" s="27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560</v>
      </c>
      <c r="Z20" t="s">
        <v>561</v>
      </c>
      <c r="AA20" t="s">
        <v>560</v>
      </c>
      <c r="AB20">
        <f>VLOOKUP(MID(AA20,1,3),$D$2:$F$27,2,FALSE)</f>
        <v>98.43</v>
      </c>
      <c r="AC20" t="s">
        <v>127</v>
      </c>
    </row>
    <row r="21" spans="1:36">
      <c r="A21" t="s">
        <v>562</v>
      </c>
      <c r="B21" t="str">
        <f t="shared" si="0"/>
        <v>WAS</v>
      </c>
      <c r="D21" s="26" t="s">
        <v>563</v>
      </c>
      <c r="E21" s="26">
        <f>N14</f>
        <v>83.12</v>
      </c>
      <c r="F21" s="26" t="s">
        <v>524</v>
      </c>
      <c r="G21" s="27" t="s">
        <v>564</v>
      </c>
      <c r="H21" s="27">
        <v>22.09</v>
      </c>
      <c r="I21" s="27" t="s">
        <v>510</v>
      </c>
      <c r="J21" s="27">
        <v>10.02</v>
      </c>
      <c r="K21" s="27" t="s">
        <v>510</v>
      </c>
      <c r="L21" s="27">
        <v>160.1</v>
      </c>
      <c r="M21" s="27">
        <v>72.62</v>
      </c>
      <c r="N21" s="27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565</v>
      </c>
      <c r="Z21" t="s">
        <v>566</v>
      </c>
      <c r="AA21" t="s">
        <v>565</v>
      </c>
      <c r="AB21">
        <f>VLOOKUP(MID(AA21,1,3),$D$2:$F$27,2,FALSE)</f>
        <v>98.43</v>
      </c>
      <c r="AC21" t="s">
        <v>127</v>
      </c>
    </row>
    <row r="22" spans="1:36">
      <c r="A22" t="s">
        <v>567</v>
      </c>
      <c r="B22" t="str">
        <f t="shared" si="0"/>
        <v>BFG</v>
      </c>
      <c r="D22" s="26" t="s">
        <v>568</v>
      </c>
      <c r="E22" s="26">
        <f>E10</f>
        <v>77.19</v>
      </c>
      <c r="F22" s="26" t="s">
        <v>524</v>
      </c>
      <c r="G22" s="27" t="s">
        <v>569</v>
      </c>
      <c r="H22" s="27"/>
      <c r="I22" s="27"/>
      <c r="J22" s="27"/>
      <c r="K22" s="27"/>
      <c r="L22" s="27"/>
      <c r="M22" s="27"/>
      <c r="N22" s="27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102</v>
      </c>
      <c r="Z22" t="s">
        <v>570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571</v>
      </c>
      <c r="B23" t="str">
        <f t="shared" si="0"/>
        <v>BSL</v>
      </c>
      <c r="D23" s="26" t="s">
        <v>572</v>
      </c>
      <c r="E23" s="26">
        <f>N33</f>
        <v>120.4</v>
      </c>
      <c r="F23" s="26" t="s">
        <v>484</v>
      </c>
      <c r="G23" s="27" t="s">
        <v>573</v>
      </c>
      <c r="H23" s="27">
        <v>26.34</v>
      </c>
      <c r="I23" s="27" t="s">
        <v>510</v>
      </c>
      <c r="J23" s="27">
        <v>11.95</v>
      </c>
      <c r="K23" s="27" t="s">
        <v>510</v>
      </c>
      <c r="L23" s="27">
        <v>166.7</v>
      </c>
      <c r="M23" s="27">
        <v>75.61</v>
      </c>
      <c r="N23" s="27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8" t="s">
        <v>574</v>
      </c>
      <c r="Y23" t="s">
        <v>575</v>
      </c>
      <c r="Z23" t="s">
        <v>576</v>
      </c>
      <c r="AA23" t="s">
        <v>575</v>
      </c>
      <c r="AB23">
        <v>1</v>
      </c>
      <c r="AC23" t="s">
        <v>577</v>
      </c>
    </row>
    <row r="24" spans="1:36">
      <c r="A24" t="s">
        <v>578</v>
      </c>
      <c r="B24" t="str">
        <f t="shared" si="0"/>
        <v>COA</v>
      </c>
      <c r="D24" s="26" t="s">
        <v>579</v>
      </c>
      <c r="E24" s="26">
        <f>N20</f>
        <v>107.72</v>
      </c>
      <c r="F24" s="26" t="s">
        <v>524</v>
      </c>
      <c r="G24" s="27" t="s">
        <v>580</v>
      </c>
      <c r="H24" s="27">
        <v>23.62</v>
      </c>
      <c r="I24" s="27" t="s">
        <v>510</v>
      </c>
      <c r="J24" s="27">
        <v>10.72</v>
      </c>
      <c r="K24" s="27" t="s">
        <v>510</v>
      </c>
      <c r="L24" s="27">
        <v>163.6</v>
      </c>
      <c r="M24" s="27">
        <v>74.21</v>
      </c>
      <c r="N24" s="27">
        <v>78.29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581</v>
      </c>
      <c r="B25" t="str">
        <f t="shared" si="0"/>
        <v>COG</v>
      </c>
      <c r="D25" s="26" t="s">
        <v>582</v>
      </c>
      <c r="E25" s="26">
        <f>E2</f>
        <v>55.99</v>
      </c>
      <c r="F25" s="26" t="s">
        <v>524</v>
      </c>
      <c r="G25" s="27" t="s">
        <v>583</v>
      </c>
      <c r="H25" s="27">
        <v>24.74</v>
      </c>
      <c r="I25" s="27" t="s">
        <v>510</v>
      </c>
      <c r="J25" s="27">
        <v>11.22</v>
      </c>
      <c r="K25" s="27" t="s">
        <v>510</v>
      </c>
      <c r="L25" s="27">
        <v>156.6</v>
      </c>
      <c r="M25" s="27">
        <v>71.03</v>
      </c>
      <c r="N25" s="27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584</v>
      </c>
      <c r="B26" t="str">
        <f t="shared" si="0"/>
        <v>COK</v>
      </c>
      <c r="D26" s="26" t="s">
        <v>585</v>
      </c>
      <c r="E26" s="26">
        <f>N9</f>
        <v>77.19</v>
      </c>
      <c r="F26" s="26" t="s">
        <v>524</v>
      </c>
      <c r="G26" s="27" t="s">
        <v>586</v>
      </c>
      <c r="H26" s="27">
        <v>20.05</v>
      </c>
      <c r="I26" s="27" t="s">
        <v>510</v>
      </c>
      <c r="J26" s="27">
        <v>9.1</v>
      </c>
      <c r="K26" s="27" t="s">
        <v>510</v>
      </c>
      <c r="L26" s="27">
        <v>160.5</v>
      </c>
      <c r="M26" s="27">
        <v>72.8</v>
      </c>
      <c r="N26" s="27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587</v>
      </c>
      <c r="B27" t="str">
        <f t="shared" si="0"/>
        <v>HFO</v>
      </c>
      <c r="D27" s="26" t="s">
        <v>588</v>
      </c>
      <c r="E27" s="26">
        <f>N36</f>
        <v>43.98</v>
      </c>
      <c r="F27" s="26" t="s">
        <v>589</v>
      </c>
      <c r="G27" s="27" t="s">
        <v>590</v>
      </c>
      <c r="H27" s="27">
        <v>21.11</v>
      </c>
      <c r="I27" s="27" t="s">
        <v>510</v>
      </c>
      <c r="J27" s="27">
        <v>9.57</v>
      </c>
      <c r="K27" s="27" t="s">
        <v>510</v>
      </c>
      <c r="L27" s="27">
        <v>160.1</v>
      </c>
      <c r="M27" s="27">
        <v>72.62</v>
      </c>
      <c r="N27" s="27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591</v>
      </c>
      <c r="B28" t="str">
        <f t="shared" si="0"/>
        <v>LPG</v>
      </c>
      <c r="G28" s="27" t="s">
        <v>592</v>
      </c>
      <c r="H28" s="27"/>
      <c r="I28" s="27"/>
      <c r="J28" s="27"/>
      <c r="K28" s="27"/>
      <c r="L28" s="27"/>
      <c r="M28" s="27"/>
      <c r="N28" s="27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440</v>
      </c>
      <c r="AA28" t="s">
        <v>75</v>
      </c>
    </row>
    <row r="29" spans="1:36">
      <c r="A29" t="s">
        <v>106</v>
      </c>
      <c r="B29" t="str">
        <f t="shared" si="0"/>
        <v>NGA</v>
      </c>
      <c r="G29" s="27" t="s">
        <v>593</v>
      </c>
      <c r="H29" s="31">
        <v>5685</v>
      </c>
      <c r="I29" s="27" t="s">
        <v>529</v>
      </c>
      <c r="J29" s="31">
        <v>2578.68</v>
      </c>
      <c r="K29" s="27" t="s">
        <v>529</v>
      </c>
      <c r="L29" s="27">
        <v>228.6</v>
      </c>
      <c r="M29" s="27">
        <v>103.7</v>
      </c>
      <c r="N29" s="27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s="33" t="s">
        <v>594</v>
      </c>
      <c r="Z29" t="s">
        <v>595</v>
      </c>
      <c r="AA29">
        <v>0.001</v>
      </c>
    </row>
    <row r="30" spans="1:36">
      <c r="A30" t="s">
        <v>366</v>
      </c>
      <c r="B30" t="str">
        <f t="shared" si="0"/>
        <v>OIL</v>
      </c>
      <c r="G30" s="27" t="s">
        <v>596</v>
      </c>
      <c r="H30" s="31">
        <v>4931.3</v>
      </c>
      <c r="I30" s="27" t="s">
        <v>529</v>
      </c>
      <c r="J30" s="31">
        <v>2236.8</v>
      </c>
      <c r="K30" s="27" t="s">
        <v>529</v>
      </c>
      <c r="L30" s="27">
        <v>205.7</v>
      </c>
      <c r="M30" s="27">
        <v>93.3</v>
      </c>
      <c r="N30" s="27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597</v>
      </c>
      <c r="Z30" t="s">
        <v>595</v>
      </c>
      <c r="AA30">
        <v>-0.001</v>
      </c>
      <c r="AG30" s="34" t="s">
        <v>494</v>
      </c>
      <c r="AH30" s="34" t="s">
        <v>597</v>
      </c>
      <c r="AI30" s="34" t="s">
        <v>595</v>
      </c>
      <c r="AJ30" s="34">
        <v>-0.001</v>
      </c>
    </row>
    <row r="31" spans="1:36">
      <c r="A31" t="s">
        <v>598</v>
      </c>
      <c r="B31" t="str">
        <f t="shared" si="0"/>
        <v>OVC</v>
      </c>
      <c r="G31" s="27" t="s">
        <v>599</v>
      </c>
      <c r="H31" s="31">
        <v>3715.9</v>
      </c>
      <c r="I31" s="27" t="s">
        <v>529</v>
      </c>
      <c r="J31" s="31">
        <v>1685.51</v>
      </c>
      <c r="K31" s="27" t="s">
        <v>529</v>
      </c>
      <c r="L31" s="27">
        <v>214.3</v>
      </c>
      <c r="M31" s="27">
        <v>97.2</v>
      </c>
      <c r="N31" s="27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600</v>
      </c>
      <c r="B32" t="str">
        <f t="shared" si="0"/>
        <v>PTC</v>
      </c>
      <c r="G32" s="27" t="s">
        <v>601</v>
      </c>
      <c r="H32" s="31">
        <v>2791.6</v>
      </c>
      <c r="I32" s="27" t="s">
        <v>529</v>
      </c>
      <c r="J32" s="31">
        <v>1266.25</v>
      </c>
      <c r="K32" s="27" t="s">
        <v>529</v>
      </c>
      <c r="L32" s="27">
        <v>215.4</v>
      </c>
      <c r="M32" s="27">
        <v>97.7</v>
      </c>
      <c r="N32" s="27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602</v>
      </c>
      <c r="Z32" t="s">
        <v>603</v>
      </c>
      <c r="AA32">
        <v>0.001</v>
      </c>
    </row>
    <row r="33" spans="1:30">
      <c r="A33" t="s">
        <v>604</v>
      </c>
      <c r="B33" t="str">
        <f t="shared" si="0"/>
        <v>COA</v>
      </c>
      <c r="G33" s="27" t="s">
        <v>605</v>
      </c>
      <c r="H33" s="31">
        <v>6239.68</v>
      </c>
      <c r="I33" s="27" t="s">
        <v>529</v>
      </c>
      <c r="J33" s="31">
        <v>2830.27</v>
      </c>
      <c r="K33" s="27" t="s">
        <v>529</v>
      </c>
      <c r="L33" s="27">
        <v>251.6</v>
      </c>
      <c r="M33" s="27">
        <v>114.12</v>
      </c>
      <c r="N33" s="27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606</v>
      </c>
      <c r="Z33" t="s">
        <v>603</v>
      </c>
      <c r="AA33">
        <v>-0.001</v>
      </c>
    </row>
    <row r="34" spans="1:30">
      <c r="A34" t="s">
        <v>607</v>
      </c>
      <c r="B34" t="str">
        <f t="shared" si="0"/>
        <v>HFO</v>
      </c>
      <c r="G34" s="27" t="s">
        <v>608</v>
      </c>
      <c r="H34" s="27"/>
      <c r="I34" s="27"/>
      <c r="J34" s="27"/>
      <c r="K34" s="27"/>
      <c r="L34" s="27"/>
      <c r="M34" s="27"/>
      <c r="N34" s="27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609</v>
      </c>
      <c r="B35" t="str">
        <f t="shared" si="0"/>
        <v>KER</v>
      </c>
      <c r="G35" s="27" t="s">
        <v>610</v>
      </c>
      <c r="H35" s="27" t="s">
        <v>611</v>
      </c>
      <c r="I35" s="27"/>
      <c r="J35" s="27" t="s">
        <v>611</v>
      </c>
      <c r="K35" s="27"/>
      <c r="L35" s="27">
        <v>16.99</v>
      </c>
      <c r="M35" s="27">
        <v>7.71</v>
      </c>
      <c r="N35" s="27">
        <v>8.13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612</v>
      </c>
      <c r="Z35" t="s">
        <v>613</v>
      </c>
      <c r="AA35">
        <v>0.001</v>
      </c>
    </row>
    <row r="36" spans="1:30">
      <c r="A36" t="s">
        <v>614</v>
      </c>
      <c r="B36" t="str">
        <f t="shared" si="0"/>
        <v>LPG</v>
      </c>
      <c r="G36" s="27" t="s">
        <v>615</v>
      </c>
      <c r="H36" s="31">
        <v>5771</v>
      </c>
      <c r="I36" s="27" t="s">
        <v>529</v>
      </c>
      <c r="J36" s="31">
        <v>2617.68</v>
      </c>
      <c r="K36" s="27" t="s">
        <v>529</v>
      </c>
      <c r="L36" s="27">
        <v>91.9</v>
      </c>
      <c r="M36" s="27">
        <v>41.69</v>
      </c>
      <c r="N36" s="27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8" t="s">
        <v>616</v>
      </c>
      <c r="Y36" t="s">
        <v>576</v>
      </c>
      <c r="Z36" t="s">
        <v>613</v>
      </c>
      <c r="AA36">
        <v>0.001</v>
      </c>
    </row>
    <row r="37" spans="1:30">
      <c r="A37" t="s">
        <v>304</v>
      </c>
      <c r="B37" t="str">
        <f t="shared" si="0"/>
        <v>NGA</v>
      </c>
      <c r="G37" s="27" t="s">
        <v>617</v>
      </c>
      <c r="H37" s="31">
        <v>6160</v>
      </c>
      <c r="I37" s="27" t="s">
        <v>529</v>
      </c>
      <c r="J37" s="31">
        <v>2794.13</v>
      </c>
      <c r="K37" s="27" t="s">
        <v>529</v>
      </c>
      <c r="L37" s="27">
        <v>189.54</v>
      </c>
      <c r="M37" s="27">
        <v>85.97</v>
      </c>
      <c r="N37" s="27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618</v>
      </c>
      <c r="Z37" t="s">
        <v>613</v>
      </c>
      <c r="AA37">
        <v>-0.001</v>
      </c>
    </row>
    <row r="38" spans="1:30">
      <c r="A38" t="s">
        <v>619</v>
      </c>
      <c r="B38" t="str">
        <f t="shared" si="0"/>
        <v>OIL</v>
      </c>
      <c r="G38" s="27" t="s">
        <v>620</v>
      </c>
      <c r="H38" s="27">
        <v>924</v>
      </c>
      <c r="I38" s="27" t="s">
        <v>621</v>
      </c>
      <c r="J38" s="27">
        <v>419.12</v>
      </c>
      <c r="K38" s="27" t="s">
        <v>621</v>
      </c>
      <c r="L38" s="27">
        <v>210</v>
      </c>
      <c r="M38" s="27">
        <v>95.25</v>
      </c>
      <c r="N38" s="27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575</v>
      </c>
      <c r="Z38" t="s">
        <v>613</v>
      </c>
      <c r="AA38">
        <v>-0.001</v>
      </c>
    </row>
    <row r="39" spans="1:30">
      <c r="A39" t="s">
        <v>622</v>
      </c>
      <c r="B39" t="str">
        <f t="shared" si="0"/>
        <v>BFG</v>
      </c>
      <c r="G39" s="27" t="s">
        <v>623</v>
      </c>
      <c r="H39" s="27"/>
      <c r="I39" s="27"/>
      <c r="J39" s="27"/>
      <c r="K39" s="27"/>
      <c r="L39" s="27"/>
      <c r="M39" s="27"/>
      <c r="N39" s="27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624</v>
      </c>
      <c r="B40" t="str">
        <f t="shared" si="0"/>
        <v>BIO</v>
      </c>
      <c r="G40" s="27" t="s">
        <v>625</v>
      </c>
      <c r="H40" s="27"/>
      <c r="I40" s="27"/>
      <c r="J40" s="27"/>
      <c r="K40" s="27"/>
      <c r="L40" s="27"/>
      <c r="M40" s="27"/>
      <c r="N40" s="27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626</v>
      </c>
      <c r="Z40" t="s">
        <v>627</v>
      </c>
      <c r="AA40">
        <v>0.001</v>
      </c>
    </row>
    <row r="41" spans="1:30">
      <c r="A41" t="s">
        <v>628</v>
      </c>
      <c r="B41" t="str">
        <f t="shared" si="0"/>
        <v>COA</v>
      </c>
      <c r="G41" s="27" t="s">
        <v>629</v>
      </c>
      <c r="H41" s="27"/>
      <c r="I41" s="27"/>
      <c r="J41" s="27"/>
      <c r="K41" s="27"/>
      <c r="L41" s="27"/>
      <c r="M41" s="27"/>
      <c r="N41" s="27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630</v>
      </c>
      <c r="Z41" t="s">
        <v>631</v>
      </c>
      <c r="AA41">
        <v>0.001</v>
      </c>
    </row>
    <row r="42" spans="1:30">
      <c r="A42" t="s">
        <v>632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633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634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635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636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475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637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638</v>
      </c>
      <c r="Z47" t="s">
        <v>536</v>
      </c>
      <c r="AA47" t="s">
        <v>597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639</v>
      </c>
      <c r="Z48" t="s">
        <v>571</v>
      </c>
      <c r="AA48" t="s">
        <v>597</v>
      </c>
      <c r="AB48" s="33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640</v>
      </c>
      <c r="Z49" t="s">
        <v>311</v>
      </c>
      <c r="AA49" t="s">
        <v>597</v>
      </c>
      <c r="AB49">
        <v>0.9</v>
      </c>
      <c r="AC49" s="33"/>
      <c r="AD49" t="str">
        <f>AA49</f>
        <v>CO2Captured_elc</v>
      </c>
    </row>
    <row r="50" spans="1:31">
      <c r="A50" t="s">
        <v>641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642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644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570</v>
      </c>
      <c r="Z54" t="s">
        <v>645</v>
      </c>
      <c r="AA54" t="s">
        <v>530</v>
      </c>
      <c r="AB54" t="s">
        <v>127</v>
      </c>
      <c r="AC54">
        <v>0.9</v>
      </c>
      <c r="AD54">
        <v>0.95</v>
      </c>
      <c r="AE54" t="s">
        <v>618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560</v>
      </c>
      <c r="Y55" t="s">
        <v>561</v>
      </c>
      <c r="Z55" t="s">
        <v>645</v>
      </c>
      <c r="AA55" t="s">
        <v>530</v>
      </c>
      <c r="AB55" t="s">
        <v>127</v>
      </c>
      <c r="AC55">
        <v>0.9</v>
      </c>
      <c r="AD55">
        <v>0.95</v>
      </c>
      <c r="AE55" t="s">
        <v>618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646</v>
      </c>
      <c r="L2" t="s">
        <v>647</v>
      </c>
      <c r="R2" t="s">
        <v>647</v>
      </c>
    </row>
    <row r="3" spans="2:22">
      <c r="B3" t="s">
        <v>648</v>
      </c>
      <c r="C3" t="s">
        <v>649</v>
      </c>
      <c r="D3" t="s">
        <v>351</v>
      </c>
      <c r="E3" t="s">
        <v>58</v>
      </c>
      <c r="H3" t="s">
        <v>57</v>
      </c>
      <c r="I3" t="s">
        <v>648</v>
      </c>
      <c r="J3" t="s">
        <v>650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496</v>
      </c>
      <c r="D4">
        <v>0.08</v>
      </c>
      <c r="E4" t="s">
        <v>651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4">
        <f>-J4/1000/3</f>
        <v>-192.768433333333</v>
      </c>
      <c r="O4">
        <v>3</v>
      </c>
      <c r="P4" t="s">
        <v>393</v>
      </c>
      <c r="R4" t="str">
        <f>$I4</f>
        <v>Africa_North</v>
      </c>
      <c r="S4" t="s">
        <v>254</v>
      </c>
      <c r="T4" s="24">
        <f>-J4/1000/3</f>
        <v>-192.768433333333</v>
      </c>
      <c r="U4">
        <v>3</v>
      </c>
      <c r="V4" t="s">
        <v>595</v>
      </c>
    </row>
    <row r="5" spans="2:22">
      <c r="B5" t="s">
        <v>8</v>
      </c>
      <c r="C5" t="s">
        <v>496</v>
      </c>
      <c r="D5">
        <v>0.08</v>
      </c>
      <c r="E5" t="s">
        <v>651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4">
        <f t="shared" ref="N5:N38" si="1">-J5/1000/3</f>
        <v>-139.263366666667</v>
      </c>
      <c r="O5">
        <v>3</v>
      </c>
      <c r="P5" t="s">
        <v>393</v>
      </c>
      <c r="R5" t="str">
        <f t="shared" ref="R5:R38" si="2">$I5</f>
        <v>Africa_Other</v>
      </c>
      <c r="S5" t="s">
        <v>254</v>
      </c>
      <c r="T5" s="24">
        <f t="shared" ref="T5:T38" si="3">-J5/1000/3</f>
        <v>-139.263366666667</v>
      </c>
      <c r="U5">
        <v>3</v>
      </c>
      <c r="V5" t="s">
        <v>595</v>
      </c>
    </row>
    <row r="6" spans="2:22">
      <c r="B6" t="s">
        <v>9</v>
      </c>
      <c r="C6" t="s">
        <v>496</v>
      </c>
      <c r="D6">
        <v>0.1</v>
      </c>
      <c r="E6" t="s">
        <v>651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4">
        <f t="shared" si="1"/>
        <v>-135.969533333333</v>
      </c>
      <c r="O6">
        <v>3</v>
      </c>
      <c r="P6" t="s">
        <v>393</v>
      </c>
      <c r="R6" t="str">
        <f t="shared" si="2"/>
        <v>Australia</v>
      </c>
      <c r="S6" t="s">
        <v>254</v>
      </c>
      <c r="T6" s="24">
        <f t="shared" si="3"/>
        <v>-135.969533333333</v>
      </c>
      <c r="U6">
        <v>3</v>
      </c>
      <c r="V6" t="s">
        <v>595</v>
      </c>
    </row>
    <row r="7" spans="2:22">
      <c r="B7" t="s">
        <v>10</v>
      </c>
      <c r="C7" t="s">
        <v>496</v>
      </c>
      <c r="D7">
        <v>0.08</v>
      </c>
      <c r="E7" t="s">
        <v>651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4">
        <f t="shared" si="1"/>
        <v>-22.9255666666667</v>
      </c>
      <c r="O7">
        <v>3</v>
      </c>
      <c r="P7" t="s">
        <v>393</v>
      </c>
      <c r="R7" t="str">
        <f t="shared" si="2"/>
        <v>Austria</v>
      </c>
      <c r="S7" t="s">
        <v>254</v>
      </c>
      <c r="T7" s="24">
        <f t="shared" si="3"/>
        <v>-22.9255666666667</v>
      </c>
      <c r="U7">
        <v>3</v>
      </c>
      <c r="V7" t="s">
        <v>595</v>
      </c>
    </row>
    <row r="8" spans="2:22">
      <c r="B8" t="s">
        <v>11</v>
      </c>
      <c r="C8" t="s">
        <v>496</v>
      </c>
      <c r="D8">
        <v>0.08</v>
      </c>
      <c r="E8" t="s">
        <v>651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4">
        <f t="shared" si="1"/>
        <v>-12.5557333333333</v>
      </c>
      <c r="O8">
        <v>3</v>
      </c>
      <c r="P8" t="s">
        <v>393</v>
      </c>
      <c r="R8" t="str">
        <f t="shared" si="2"/>
        <v>Baltics</v>
      </c>
      <c r="S8" t="s">
        <v>254</v>
      </c>
      <c r="T8" s="24">
        <f t="shared" si="3"/>
        <v>-12.5557333333333</v>
      </c>
      <c r="U8">
        <v>3</v>
      </c>
      <c r="V8" t="s">
        <v>595</v>
      </c>
    </row>
    <row r="9" spans="2:22">
      <c r="B9" t="s">
        <v>12</v>
      </c>
      <c r="C9" t="s">
        <v>496</v>
      </c>
      <c r="D9">
        <v>0.08</v>
      </c>
      <c r="E9" t="s">
        <v>651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4">
        <f t="shared" si="1"/>
        <v>-89.3265333333333</v>
      </c>
      <c r="O9">
        <v>3</v>
      </c>
      <c r="P9" t="s">
        <v>393</v>
      </c>
      <c r="R9" t="str">
        <f t="shared" si="2"/>
        <v>BeNeLux</v>
      </c>
      <c r="S9" t="s">
        <v>254</v>
      </c>
      <c r="T9" s="24">
        <f t="shared" si="3"/>
        <v>-89.3265333333333</v>
      </c>
      <c r="U9">
        <v>3</v>
      </c>
      <c r="V9" t="s">
        <v>595</v>
      </c>
    </row>
    <row r="10" spans="2:22">
      <c r="B10" t="s">
        <v>13</v>
      </c>
      <c r="C10" t="s">
        <v>496</v>
      </c>
      <c r="D10">
        <v>0.0375</v>
      </c>
      <c r="E10" t="s">
        <v>651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4">
        <f t="shared" si="1"/>
        <v>-156.193133333333</v>
      </c>
      <c r="O10">
        <v>3</v>
      </c>
      <c r="P10" t="s">
        <v>393</v>
      </c>
      <c r="R10" t="str">
        <f t="shared" si="2"/>
        <v>Brazil</v>
      </c>
      <c r="S10" t="s">
        <v>254</v>
      </c>
      <c r="T10" s="24">
        <f t="shared" si="3"/>
        <v>-156.193133333333</v>
      </c>
      <c r="U10">
        <v>3</v>
      </c>
      <c r="V10" t="s">
        <v>595</v>
      </c>
    </row>
    <row r="11" spans="2:22">
      <c r="B11" t="s">
        <v>14</v>
      </c>
      <c r="C11" t="s">
        <v>496</v>
      </c>
      <c r="D11">
        <v>0.04</v>
      </c>
      <c r="E11" t="s">
        <v>651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4">
        <f t="shared" si="1"/>
        <v>-3937.68606666667</v>
      </c>
      <c r="O11">
        <v>3</v>
      </c>
      <c r="P11" t="s">
        <v>393</v>
      </c>
      <c r="R11" t="str">
        <f t="shared" si="2"/>
        <v>China</v>
      </c>
      <c r="S11" t="s">
        <v>254</v>
      </c>
      <c r="T11" s="24">
        <f t="shared" si="3"/>
        <v>-3937.68606666667</v>
      </c>
      <c r="U11">
        <v>3</v>
      </c>
      <c r="V11" t="s">
        <v>595</v>
      </c>
    </row>
    <row r="12" spans="2:22">
      <c r="B12" t="s">
        <v>15</v>
      </c>
      <c r="C12" t="s">
        <v>496</v>
      </c>
      <c r="D12">
        <v>0.08</v>
      </c>
      <c r="E12" t="s">
        <v>651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4">
        <f t="shared" si="1"/>
        <v>-10.9327666666667</v>
      </c>
      <c r="O12">
        <v>3</v>
      </c>
      <c r="P12" t="s">
        <v>393</v>
      </c>
      <c r="R12" t="str">
        <f t="shared" si="2"/>
        <v>CroSloven</v>
      </c>
      <c r="S12" t="s">
        <v>254</v>
      </c>
      <c r="T12" s="24">
        <f t="shared" si="3"/>
        <v>-10.9327666666667</v>
      </c>
      <c r="U12">
        <v>3</v>
      </c>
      <c r="V12" t="s">
        <v>595</v>
      </c>
    </row>
    <row r="13" spans="2:22">
      <c r="B13" t="s">
        <v>16</v>
      </c>
      <c r="C13" t="s">
        <v>496</v>
      </c>
      <c r="D13">
        <v>0.08</v>
      </c>
      <c r="E13" t="s">
        <v>651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4">
        <f t="shared" si="1"/>
        <v>-46.1955666666667</v>
      </c>
      <c r="O13">
        <v>3</v>
      </c>
      <c r="P13" t="s">
        <v>393</v>
      </c>
      <c r="R13" t="str">
        <f t="shared" si="2"/>
        <v>CzechSlovak</v>
      </c>
      <c r="S13" t="s">
        <v>254</v>
      </c>
      <c r="T13" s="24">
        <f t="shared" si="3"/>
        <v>-46.1955666666667</v>
      </c>
      <c r="U13">
        <v>3</v>
      </c>
      <c r="V13" t="s">
        <v>595</v>
      </c>
    </row>
    <row r="14" spans="2:22">
      <c r="B14" t="s">
        <v>17</v>
      </c>
      <c r="C14" t="s">
        <v>496</v>
      </c>
      <c r="D14">
        <v>0.08</v>
      </c>
      <c r="E14" t="s">
        <v>651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4">
        <f t="shared" si="1"/>
        <v>-107.634766666667</v>
      </c>
      <c r="O14">
        <v>3</v>
      </c>
      <c r="P14" t="s">
        <v>393</v>
      </c>
      <c r="R14" t="str">
        <f t="shared" si="2"/>
        <v>France</v>
      </c>
      <c r="S14" t="s">
        <v>254</v>
      </c>
      <c r="T14" s="24">
        <f t="shared" si="3"/>
        <v>-107.634766666667</v>
      </c>
      <c r="U14">
        <v>3</v>
      </c>
      <c r="V14" t="s">
        <v>595</v>
      </c>
    </row>
    <row r="15" spans="2:22">
      <c r="B15" t="s">
        <v>18</v>
      </c>
      <c r="C15" t="s">
        <v>496</v>
      </c>
      <c r="D15">
        <v>0.08</v>
      </c>
      <c r="E15" t="s">
        <v>651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4">
        <f t="shared" si="1"/>
        <v>-232.166733333333</v>
      </c>
      <c r="O15">
        <v>3</v>
      </c>
      <c r="P15" t="s">
        <v>393</v>
      </c>
      <c r="R15" t="str">
        <f t="shared" si="2"/>
        <v>Germany</v>
      </c>
      <c r="S15" t="s">
        <v>254</v>
      </c>
      <c r="T15" s="24">
        <f t="shared" si="3"/>
        <v>-232.166733333333</v>
      </c>
      <c r="U15">
        <v>3</v>
      </c>
      <c r="V15" t="s">
        <v>595</v>
      </c>
    </row>
    <row r="16" spans="2:22">
      <c r="B16" t="s">
        <v>19</v>
      </c>
      <c r="C16" t="s">
        <v>496</v>
      </c>
      <c r="D16">
        <v>0.08</v>
      </c>
      <c r="E16" t="s">
        <v>651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4">
        <f t="shared" si="1"/>
        <v>-22.9031666666667</v>
      </c>
      <c r="O16">
        <v>3</v>
      </c>
      <c r="P16" t="s">
        <v>393</v>
      </c>
      <c r="R16" t="str">
        <f t="shared" si="2"/>
        <v>GreeceCyp</v>
      </c>
      <c r="S16" t="s">
        <v>254</v>
      </c>
      <c r="T16" s="24">
        <f t="shared" si="3"/>
        <v>-22.9031666666667</v>
      </c>
      <c r="U16">
        <v>3</v>
      </c>
      <c r="V16" t="s">
        <v>595</v>
      </c>
    </row>
    <row r="17" spans="2:22">
      <c r="B17" t="s">
        <v>20</v>
      </c>
      <c r="C17" t="s">
        <v>496</v>
      </c>
      <c r="D17">
        <v>0.08</v>
      </c>
      <c r="E17" t="s">
        <v>651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4">
        <f t="shared" si="1"/>
        <v>-59.0969333333333</v>
      </c>
      <c r="O17">
        <v>3</v>
      </c>
      <c r="P17" t="s">
        <v>393</v>
      </c>
      <c r="R17" t="str">
        <f t="shared" si="2"/>
        <v>HunRomBul</v>
      </c>
      <c r="S17" t="s">
        <v>254</v>
      </c>
      <c r="T17" s="24">
        <f t="shared" si="3"/>
        <v>-59.0969333333333</v>
      </c>
      <c r="U17">
        <v>3</v>
      </c>
      <c r="V17" t="s">
        <v>595</v>
      </c>
    </row>
    <row r="18" spans="2:22">
      <c r="B18" t="s">
        <v>21</v>
      </c>
      <c r="C18" t="s">
        <v>496</v>
      </c>
      <c r="D18">
        <v>0.08</v>
      </c>
      <c r="E18" t="s">
        <v>651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4">
        <f t="shared" si="1"/>
        <v>-1.05893333333333</v>
      </c>
      <c r="O18">
        <v>3</v>
      </c>
      <c r="P18" t="s">
        <v>393</v>
      </c>
      <c r="R18" t="str">
        <f t="shared" si="2"/>
        <v>Iceland</v>
      </c>
      <c r="S18" t="s">
        <v>254</v>
      </c>
      <c r="T18" s="24">
        <f t="shared" si="3"/>
        <v>-1.05893333333333</v>
      </c>
      <c r="U18">
        <v>3</v>
      </c>
      <c r="V18" t="s">
        <v>595</v>
      </c>
    </row>
    <row r="19" spans="2:22">
      <c r="B19" t="s">
        <v>22</v>
      </c>
      <c r="C19" t="s">
        <v>496</v>
      </c>
      <c r="D19">
        <v>0.08</v>
      </c>
      <c r="E19" t="s">
        <v>651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4">
        <f t="shared" si="1"/>
        <v>-850.495033333333</v>
      </c>
      <c r="O19">
        <v>3</v>
      </c>
      <c r="P19" t="s">
        <v>393</v>
      </c>
      <c r="R19" t="str">
        <f t="shared" si="2"/>
        <v>India</v>
      </c>
      <c r="S19" t="s">
        <v>254</v>
      </c>
      <c r="T19" s="24">
        <f t="shared" si="3"/>
        <v>-850.495033333333</v>
      </c>
      <c r="U19">
        <v>3</v>
      </c>
      <c r="V19" t="s">
        <v>595</v>
      </c>
    </row>
    <row r="20" spans="2:22">
      <c r="B20" t="s">
        <v>23</v>
      </c>
      <c r="C20" t="s">
        <v>496</v>
      </c>
      <c r="D20">
        <v>0.08</v>
      </c>
      <c r="E20" t="s">
        <v>651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4">
        <f t="shared" si="1"/>
        <v>-12.123</v>
      </c>
      <c r="O20">
        <v>3</v>
      </c>
      <c r="P20" t="s">
        <v>393</v>
      </c>
      <c r="R20" t="str">
        <f t="shared" si="2"/>
        <v>Ireland</v>
      </c>
      <c r="S20" t="s">
        <v>254</v>
      </c>
      <c r="T20" s="24">
        <f t="shared" si="3"/>
        <v>-12.123</v>
      </c>
      <c r="U20">
        <v>3</v>
      </c>
      <c r="V20" t="s">
        <v>595</v>
      </c>
    </row>
    <row r="21" spans="2:22">
      <c r="B21" t="s">
        <v>24</v>
      </c>
      <c r="C21" t="s">
        <v>496</v>
      </c>
      <c r="D21">
        <v>0.08</v>
      </c>
      <c r="E21" t="s">
        <v>651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4">
        <f t="shared" si="1"/>
        <v>-111.411666666667</v>
      </c>
      <c r="O21">
        <v>3</v>
      </c>
      <c r="P21" t="s">
        <v>393</v>
      </c>
      <c r="R21" t="str">
        <f t="shared" si="2"/>
        <v>ItalyMal</v>
      </c>
      <c r="S21" t="s">
        <v>254</v>
      </c>
      <c r="T21" s="24">
        <f t="shared" si="3"/>
        <v>-111.411666666667</v>
      </c>
      <c r="U21">
        <v>3</v>
      </c>
      <c r="V21" t="s">
        <v>595</v>
      </c>
    </row>
    <row r="22" spans="2:22">
      <c r="B22" t="s">
        <v>25</v>
      </c>
      <c r="C22" t="s">
        <v>496</v>
      </c>
      <c r="D22">
        <v>0.1</v>
      </c>
      <c r="E22" t="s">
        <v>651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4">
        <f t="shared" si="1"/>
        <v>-374.604333333333</v>
      </c>
      <c r="O22">
        <v>3</v>
      </c>
      <c r="P22" t="s">
        <v>393</v>
      </c>
      <c r="R22" t="str">
        <f t="shared" si="2"/>
        <v>Japan</v>
      </c>
      <c r="S22" t="s">
        <v>254</v>
      </c>
      <c r="T22" s="24">
        <f t="shared" si="3"/>
        <v>-374.604333333333</v>
      </c>
      <c r="U22">
        <v>3</v>
      </c>
      <c r="V22" t="s">
        <v>595</v>
      </c>
    </row>
    <row r="23" spans="2:22">
      <c r="B23" t="s">
        <v>26</v>
      </c>
      <c r="C23" t="s">
        <v>496</v>
      </c>
      <c r="D23">
        <v>0.0375</v>
      </c>
      <c r="E23" t="s">
        <v>651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4">
        <f t="shared" si="1"/>
        <v>-268.9337</v>
      </c>
      <c r="O23">
        <v>3</v>
      </c>
      <c r="P23" t="s">
        <v>393</v>
      </c>
      <c r="R23" t="str">
        <f t="shared" si="2"/>
        <v>LatAm</v>
      </c>
      <c r="S23" t="s">
        <v>254</v>
      </c>
      <c r="T23" s="24">
        <f t="shared" si="3"/>
        <v>-268.9337</v>
      </c>
      <c r="U23">
        <v>3</v>
      </c>
      <c r="V23" t="s">
        <v>595</v>
      </c>
    </row>
    <row r="24" spans="2:22">
      <c r="B24" t="s">
        <v>27</v>
      </c>
      <c r="C24" t="s">
        <v>496</v>
      </c>
      <c r="D24">
        <v>0.01</v>
      </c>
      <c r="E24" t="s">
        <v>651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4">
        <f t="shared" si="1"/>
        <v>-534.037133333333</v>
      </c>
      <c r="O24">
        <v>3</v>
      </c>
      <c r="P24" t="s">
        <v>393</v>
      </c>
      <c r="R24" t="str">
        <f t="shared" si="2"/>
        <v>MidEast</v>
      </c>
      <c r="S24" t="s">
        <v>254</v>
      </c>
      <c r="T24" s="24">
        <f t="shared" si="3"/>
        <v>-534.037133333333</v>
      </c>
      <c r="U24">
        <v>3</v>
      </c>
      <c r="V24" t="s">
        <v>595</v>
      </c>
    </row>
    <row r="25" spans="2:22">
      <c r="B25" t="s">
        <v>28</v>
      </c>
      <c r="C25" t="s">
        <v>496</v>
      </c>
      <c r="D25">
        <v>0.025</v>
      </c>
      <c r="E25" t="s">
        <v>651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4">
        <f t="shared" si="1"/>
        <v>-2023.55366666667</v>
      </c>
      <c r="O25">
        <v>3</v>
      </c>
      <c r="P25" t="s">
        <v>393</v>
      </c>
      <c r="R25" t="str">
        <f t="shared" si="2"/>
        <v>NorthAm</v>
      </c>
      <c r="S25" t="s">
        <v>254</v>
      </c>
      <c r="T25" s="24">
        <f t="shared" si="3"/>
        <v>-2023.55366666667</v>
      </c>
      <c r="U25">
        <v>3</v>
      </c>
      <c r="V25" t="s">
        <v>595</v>
      </c>
    </row>
    <row r="26" spans="2:22">
      <c r="B26" t="s">
        <v>29</v>
      </c>
      <c r="C26" t="s">
        <v>496</v>
      </c>
      <c r="D26">
        <v>0.08</v>
      </c>
      <c r="E26" t="s">
        <v>651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4">
        <f t="shared" si="1"/>
        <v>-15.1155333333333</v>
      </c>
      <c r="O26">
        <v>3</v>
      </c>
      <c r="P26" t="s">
        <v>393</v>
      </c>
      <c r="R26" t="str">
        <f t="shared" si="2"/>
        <v>Norway</v>
      </c>
      <c r="S26" t="s">
        <v>254</v>
      </c>
      <c r="T26" s="24">
        <f t="shared" si="3"/>
        <v>-15.1155333333333</v>
      </c>
      <c r="U26">
        <v>3</v>
      </c>
      <c r="V26" t="s">
        <v>595</v>
      </c>
    </row>
    <row r="27" spans="2:22">
      <c r="B27" t="s">
        <v>30</v>
      </c>
      <c r="C27" t="s">
        <v>496</v>
      </c>
      <c r="D27">
        <v>0.08</v>
      </c>
      <c r="E27" t="s">
        <v>651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4">
        <f t="shared" si="1"/>
        <v>-104.023566666667</v>
      </c>
      <c r="O27">
        <v>3</v>
      </c>
      <c r="P27" t="s">
        <v>393</v>
      </c>
      <c r="R27" t="str">
        <f t="shared" si="2"/>
        <v>Poland</v>
      </c>
      <c r="S27" t="s">
        <v>254</v>
      </c>
      <c r="T27" s="24">
        <f t="shared" si="3"/>
        <v>-104.023566666667</v>
      </c>
      <c r="U27">
        <v>3</v>
      </c>
      <c r="V27" t="s">
        <v>595</v>
      </c>
    </row>
    <row r="28" spans="2:22">
      <c r="B28" t="s">
        <v>31</v>
      </c>
      <c r="C28" t="s">
        <v>496</v>
      </c>
      <c r="D28">
        <v>0.05</v>
      </c>
      <c r="E28" t="s">
        <v>651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4">
        <f t="shared" si="1"/>
        <v>-1163.8111</v>
      </c>
      <c r="O28">
        <v>3</v>
      </c>
      <c r="P28" t="s">
        <v>393</v>
      </c>
      <c r="R28" t="str">
        <f t="shared" si="2"/>
        <v>ROW</v>
      </c>
      <c r="S28" t="s">
        <v>254</v>
      </c>
      <c r="T28" s="24">
        <f t="shared" si="3"/>
        <v>-1163.8111</v>
      </c>
      <c r="U28">
        <v>3</v>
      </c>
      <c r="V28" t="s">
        <v>595</v>
      </c>
    </row>
    <row r="29" spans="2:22">
      <c r="B29" t="s">
        <v>32</v>
      </c>
      <c r="C29" t="s">
        <v>496</v>
      </c>
      <c r="D29">
        <v>0.05</v>
      </c>
      <c r="E29" t="s">
        <v>651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4">
        <f t="shared" si="1"/>
        <v>-639.749833333333</v>
      </c>
      <c r="O29">
        <v>3</v>
      </c>
      <c r="P29" t="s">
        <v>393</v>
      </c>
      <c r="R29" t="str">
        <f t="shared" si="2"/>
        <v>Russia</v>
      </c>
      <c r="S29" t="s">
        <v>254</v>
      </c>
      <c r="T29" s="24">
        <f t="shared" si="3"/>
        <v>-639.749833333333</v>
      </c>
      <c r="U29">
        <v>3</v>
      </c>
      <c r="V29" t="s">
        <v>595</v>
      </c>
    </row>
    <row r="30" spans="2:22">
      <c r="B30" t="s">
        <v>33</v>
      </c>
      <c r="C30" t="s">
        <v>496</v>
      </c>
      <c r="D30">
        <v>0.01</v>
      </c>
      <c r="E30" t="s">
        <v>651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4">
        <f t="shared" si="1"/>
        <v>-193.2696</v>
      </c>
      <c r="O30">
        <v>3</v>
      </c>
      <c r="P30" t="s">
        <v>393</v>
      </c>
      <c r="R30" t="str">
        <f t="shared" si="2"/>
        <v>SaudiArabia</v>
      </c>
      <c r="S30" t="s">
        <v>254</v>
      </c>
      <c r="T30" s="24">
        <f t="shared" si="3"/>
        <v>-193.2696</v>
      </c>
      <c r="U30">
        <v>3</v>
      </c>
      <c r="V30" t="s">
        <v>595</v>
      </c>
    </row>
    <row r="31" spans="2:22">
      <c r="B31" t="s">
        <v>34</v>
      </c>
      <c r="C31" t="s">
        <v>496</v>
      </c>
      <c r="D31">
        <v>0.08</v>
      </c>
      <c r="E31" t="s">
        <v>651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4">
        <f t="shared" si="1"/>
        <v>-159.181533333333</v>
      </c>
      <c r="O31">
        <v>3</v>
      </c>
      <c r="P31" t="s">
        <v>393</v>
      </c>
      <c r="R31" t="str">
        <f t="shared" si="2"/>
        <v>SouthAfrica</v>
      </c>
      <c r="S31" t="s">
        <v>254</v>
      </c>
      <c r="T31" s="24">
        <f t="shared" si="3"/>
        <v>-159.181533333333</v>
      </c>
      <c r="U31">
        <v>3</v>
      </c>
      <c r="V31" t="s">
        <v>595</v>
      </c>
    </row>
    <row r="32" spans="2:22">
      <c r="B32" t="s">
        <v>35</v>
      </c>
      <c r="C32" t="s">
        <v>496</v>
      </c>
      <c r="D32">
        <v>0.08</v>
      </c>
      <c r="E32" t="s">
        <v>651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4">
        <f t="shared" si="1"/>
        <v>-100.259766666667</v>
      </c>
      <c r="O32">
        <v>3</v>
      </c>
      <c r="P32" t="s">
        <v>393</v>
      </c>
      <c r="R32" t="str">
        <f t="shared" si="2"/>
        <v>SpainPor</v>
      </c>
      <c r="S32" t="s">
        <v>254</v>
      </c>
      <c r="T32" s="24">
        <f t="shared" si="3"/>
        <v>-100.259766666667</v>
      </c>
      <c r="U32">
        <v>3</v>
      </c>
      <c r="V32" t="s">
        <v>595</v>
      </c>
    </row>
    <row r="33" spans="2:22">
      <c r="B33" t="s">
        <v>36</v>
      </c>
      <c r="C33" t="s">
        <v>496</v>
      </c>
      <c r="D33">
        <v>0.08</v>
      </c>
      <c r="E33" t="s">
        <v>651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4">
        <f t="shared" si="1"/>
        <v>-37.9052333333333</v>
      </c>
      <c r="O33">
        <v>3</v>
      </c>
      <c r="P33" t="s">
        <v>393</v>
      </c>
      <c r="R33" t="str">
        <f t="shared" si="2"/>
        <v>SweFinDen</v>
      </c>
      <c r="S33" t="s">
        <v>254</v>
      </c>
      <c r="T33" s="24">
        <f t="shared" si="3"/>
        <v>-37.9052333333333</v>
      </c>
      <c r="U33">
        <v>3</v>
      </c>
      <c r="V33" t="s">
        <v>595</v>
      </c>
    </row>
    <row r="34" spans="2:22">
      <c r="B34" t="s">
        <v>37</v>
      </c>
      <c r="C34" t="s">
        <v>496</v>
      </c>
      <c r="D34">
        <v>0.08</v>
      </c>
      <c r="E34" t="s">
        <v>651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4">
        <f t="shared" si="1"/>
        <v>-12.7984666666667</v>
      </c>
      <c r="O34">
        <v>3</v>
      </c>
      <c r="P34" t="s">
        <v>393</v>
      </c>
      <c r="R34" t="str">
        <f t="shared" si="2"/>
        <v>Switzerland</v>
      </c>
      <c r="S34" t="s">
        <v>254</v>
      </c>
      <c r="T34" s="24">
        <f t="shared" si="3"/>
        <v>-12.7984666666667</v>
      </c>
      <c r="U34">
        <v>3</v>
      </c>
      <c r="V34" t="s">
        <v>595</v>
      </c>
    </row>
    <row r="35" spans="2:22">
      <c r="B35" t="s">
        <v>38</v>
      </c>
      <c r="C35" t="s">
        <v>496</v>
      </c>
      <c r="D35">
        <v>0.0375</v>
      </c>
      <c r="E35" t="s">
        <v>651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4">
        <f t="shared" si="1"/>
        <v>-138.159166666667</v>
      </c>
      <c r="O35">
        <v>3</v>
      </c>
      <c r="P35" t="s">
        <v>393</v>
      </c>
      <c r="R35" t="str">
        <f t="shared" si="2"/>
        <v>Turkey</v>
      </c>
      <c r="S35" t="s">
        <v>254</v>
      </c>
      <c r="T35" s="24">
        <f t="shared" si="3"/>
        <v>-138.159166666667</v>
      </c>
      <c r="U35">
        <v>3</v>
      </c>
      <c r="V35" t="s">
        <v>595</v>
      </c>
    </row>
    <row r="36" spans="2:22">
      <c r="B36" t="s">
        <v>39</v>
      </c>
      <c r="C36" t="s">
        <v>496</v>
      </c>
      <c r="D36">
        <v>0.08</v>
      </c>
      <c r="E36" t="s">
        <v>651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4">
        <f t="shared" si="1"/>
        <v>-119.671033333333</v>
      </c>
      <c r="O36">
        <v>3</v>
      </c>
      <c r="P36" t="s">
        <v>393</v>
      </c>
      <c r="R36" t="str">
        <f t="shared" si="2"/>
        <v>UK</v>
      </c>
      <c r="S36" t="s">
        <v>254</v>
      </c>
      <c r="T36" s="24">
        <f t="shared" si="3"/>
        <v>-119.671033333333</v>
      </c>
      <c r="U36">
        <v>3</v>
      </c>
      <c r="V36" t="s">
        <v>595</v>
      </c>
    </row>
    <row r="37" spans="2:22">
      <c r="B37" t="s">
        <v>40</v>
      </c>
      <c r="C37" t="s">
        <v>496</v>
      </c>
      <c r="D37">
        <v>0.0375</v>
      </c>
      <c r="E37" t="s">
        <v>651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4">
        <f t="shared" si="1"/>
        <v>-72.3399333333333</v>
      </c>
      <c r="O37">
        <v>3</v>
      </c>
      <c r="P37" t="s">
        <v>393</v>
      </c>
      <c r="R37" t="str">
        <f t="shared" si="2"/>
        <v>Ukraine</v>
      </c>
      <c r="S37" t="s">
        <v>254</v>
      </c>
      <c r="T37" s="24">
        <f t="shared" si="3"/>
        <v>-72.3399333333333</v>
      </c>
      <c r="U37">
        <v>3</v>
      </c>
      <c r="V37" t="s">
        <v>595</v>
      </c>
    </row>
    <row r="38" spans="2:22">
      <c r="B38" t="s">
        <v>41</v>
      </c>
      <c r="C38" t="s">
        <v>496</v>
      </c>
      <c r="D38">
        <v>0.0375</v>
      </c>
      <c r="E38" t="s">
        <v>651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4">
        <f t="shared" si="1"/>
        <v>-9.19383333333333</v>
      </c>
      <c r="O38">
        <v>3</v>
      </c>
      <c r="P38" t="s">
        <v>393</v>
      </c>
      <c r="R38" t="str">
        <f t="shared" si="2"/>
        <v>WestBalkans</v>
      </c>
      <c r="S38" t="s">
        <v>254</v>
      </c>
      <c r="T38" s="24">
        <f t="shared" si="3"/>
        <v>-9.19383333333333</v>
      </c>
      <c r="U38">
        <v>3</v>
      </c>
      <c r="V38" t="s">
        <v>595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79" zoomScaleNormal="79" workbookViewId="0">
      <selection activeCell="L8" sqref="L8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3" t="s">
        <v>649</v>
      </c>
      <c r="AA1" s="13" t="s">
        <v>652</v>
      </c>
      <c r="AF1" s="13" t="s">
        <v>649</v>
      </c>
      <c r="AG1" s="13" t="s">
        <v>653</v>
      </c>
      <c r="AH1" s="13"/>
    </row>
    <row r="2" ht="29" spans="1:34">
      <c r="Z2" s="14" t="s">
        <v>654</v>
      </c>
      <c r="AA2" s="14">
        <v>21.6</v>
      </c>
      <c r="AB2">
        <f>-AA2</f>
        <v>-21.6</v>
      </c>
      <c r="AF2" s="14" t="s">
        <v>655</v>
      </c>
      <c r="AG2" s="14">
        <v>120</v>
      </c>
      <c r="AH2" s="14">
        <f>-AG2</f>
        <v>-120</v>
      </c>
    </row>
    <row r="3" ht="29" spans="1:34">
      <c r="B3" t="s">
        <v>1</v>
      </c>
      <c r="Z3" s="14" t="s">
        <v>656</v>
      </c>
      <c r="AA3" s="14">
        <v>28.8</v>
      </c>
      <c r="AB3">
        <f t="shared" ref="AB3:AB34" si="0">-AA3</f>
        <v>-28.8</v>
      </c>
      <c r="AF3" s="14" t="s">
        <v>657</v>
      </c>
      <c r="AG3" s="14">
        <v>134</v>
      </c>
      <c r="AH3" s="14">
        <f t="shared" ref="AH3:AH19" si="1">-AG3</f>
        <v>-134</v>
      </c>
    </row>
    <row r="4" ht="29" spans="1:34">
      <c r="A4" s="6"/>
      <c r="B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5"/>
      <c r="V4" s="15"/>
      <c r="W4" s="15"/>
      <c r="X4" s="15"/>
      <c r="Y4" s="15"/>
      <c r="Z4" s="16" t="s">
        <v>658</v>
      </c>
      <c r="AA4" s="14">
        <v>36</v>
      </c>
      <c r="AB4">
        <f t="shared" si="0"/>
        <v>-36</v>
      </c>
      <c r="AF4" s="14" t="s">
        <v>659</v>
      </c>
      <c r="AG4" s="14">
        <v>149</v>
      </c>
      <c r="AH4" s="14">
        <f t="shared" si="1"/>
        <v>-149</v>
      </c>
    </row>
    <row r="5" ht="29" spans="1:34">
      <c r="A5" s="6"/>
      <c r="B5" s="7"/>
      <c r="C5" s="7" t="s">
        <v>660</v>
      </c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661</v>
      </c>
      <c r="O5" s="7"/>
      <c r="P5" s="7"/>
      <c r="Q5" s="7"/>
      <c r="R5" s="7"/>
      <c r="S5" s="7"/>
      <c r="T5" s="7"/>
      <c r="U5" s="15"/>
      <c r="V5" s="15"/>
      <c r="W5" s="15"/>
      <c r="X5" s="15"/>
      <c r="Y5" s="15"/>
      <c r="Z5" s="16" t="s">
        <v>662</v>
      </c>
      <c r="AA5" s="14">
        <v>45</v>
      </c>
      <c r="AB5">
        <f t="shared" si="0"/>
        <v>-45</v>
      </c>
      <c r="AF5" s="14" t="s">
        <v>663</v>
      </c>
      <c r="AG5" s="14">
        <v>163</v>
      </c>
      <c r="AH5" s="14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5"/>
      <c r="V6" s="15"/>
      <c r="W6" s="15"/>
      <c r="X6" s="15"/>
      <c r="Y6" s="15"/>
      <c r="Z6" s="16" t="s">
        <v>664</v>
      </c>
      <c r="AA6" s="14">
        <v>54</v>
      </c>
      <c r="AB6">
        <f t="shared" si="0"/>
        <v>-54</v>
      </c>
      <c r="AF6" s="14" t="s">
        <v>665</v>
      </c>
      <c r="AG6" s="14">
        <v>177</v>
      </c>
      <c r="AH6" s="14">
        <f t="shared" si="1"/>
        <v>-177</v>
      </c>
    </row>
    <row r="7" s="2" customFormat="1" ht="29" spans="1:34">
      <c r="A7" s="6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667</v>
      </c>
      <c r="I7" s="7" t="s">
        <v>668</v>
      </c>
      <c r="J7" s="6"/>
      <c r="K7" s="6"/>
      <c r="L7" s="6"/>
      <c r="M7" s="7" t="s">
        <v>669</v>
      </c>
      <c r="N7" s="7" t="s">
        <v>670</v>
      </c>
      <c r="O7" s="7" t="s">
        <v>667</v>
      </c>
      <c r="P7" s="17">
        <v>1</v>
      </c>
      <c r="Q7" s="7">
        <v>0</v>
      </c>
      <c r="R7" s="7">
        <v>3</v>
      </c>
      <c r="S7" s="7"/>
      <c r="T7" s="7" t="s">
        <v>671</v>
      </c>
      <c r="U7" s="15"/>
      <c r="V7" s="15"/>
      <c r="W7" s="15"/>
      <c r="X7" s="15"/>
      <c r="Y7" s="15"/>
      <c r="Z7" s="16" t="s">
        <v>672</v>
      </c>
      <c r="AA7" s="14">
        <v>63</v>
      </c>
      <c r="AB7">
        <f t="shared" si="0"/>
        <v>-63</v>
      </c>
      <c r="AC7"/>
      <c r="AD7"/>
      <c r="AE7"/>
      <c r="AF7" s="14" t="s">
        <v>673</v>
      </c>
      <c r="AG7" s="14">
        <v>191</v>
      </c>
      <c r="AH7" s="14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  <c r="J8" s="6"/>
      <c r="K8" s="6"/>
      <c r="L8" s="6"/>
      <c r="M8" s="7"/>
      <c r="N8" s="7" t="s">
        <v>112</v>
      </c>
      <c r="O8" s="7"/>
      <c r="P8" s="18">
        <v>-21.6</v>
      </c>
      <c r="Q8" s="7"/>
      <c r="R8" s="7"/>
      <c r="S8" s="7"/>
      <c r="T8" s="10" t="s">
        <v>654</v>
      </c>
      <c r="U8" s="15"/>
      <c r="V8" s="15"/>
      <c r="W8" s="15"/>
      <c r="X8" s="15"/>
      <c r="Y8" s="15"/>
      <c r="Z8" s="16" t="s">
        <v>674</v>
      </c>
      <c r="AA8" s="14">
        <v>72</v>
      </c>
      <c r="AB8">
        <f t="shared" si="0"/>
        <v>-72</v>
      </c>
      <c r="AF8" s="14" t="s">
        <v>675</v>
      </c>
      <c r="AG8" s="14">
        <v>206</v>
      </c>
      <c r="AH8" s="14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6"/>
      <c r="K9" s="6"/>
      <c r="L9" s="6"/>
      <c r="M9" s="7"/>
      <c r="N9" s="7" t="s">
        <v>112</v>
      </c>
      <c r="O9" s="7"/>
      <c r="P9" s="18">
        <v>-28.8</v>
      </c>
      <c r="Q9" s="7"/>
      <c r="R9" s="7"/>
      <c r="S9" s="7"/>
      <c r="T9" s="10" t="s">
        <v>656</v>
      </c>
      <c r="U9" s="15"/>
      <c r="V9" s="15"/>
      <c r="W9" s="15"/>
      <c r="X9" s="15"/>
      <c r="Y9" s="15"/>
      <c r="Z9" s="16" t="s">
        <v>676</v>
      </c>
      <c r="AA9" s="14">
        <v>90</v>
      </c>
      <c r="AB9">
        <f t="shared" si="0"/>
        <v>-90</v>
      </c>
      <c r="AF9" s="14" t="s">
        <v>677</v>
      </c>
      <c r="AG9" s="14">
        <v>220</v>
      </c>
      <c r="AH9" s="14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659</v>
      </c>
      <c r="J10" s="6"/>
      <c r="K10" s="6"/>
      <c r="L10" s="6"/>
      <c r="M10" s="7"/>
      <c r="N10" s="7" t="s">
        <v>112</v>
      </c>
      <c r="O10" s="7"/>
      <c r="P10" s="18">
        <v>-36</v>
      </c>
      <c r="Q10" s="7"/>
      <c r="R10" s="7"/>
      <c r="S10" s="7"/>
      <c r="T10" s="10" t="s">
        <v>658</v>
      </c>
      <c r="U10" s="15"/>
      <c r="V10" s="15"/>
      <c r="W10" s="15"/>
      <c r="X10" s="15"/>
      <c r="Y10" s="15"/>
      <c r="Z10" s="16" t="s">
        <v>678</v>
      </c>
      <c r="AA10" s="14">
        <v>36</v>
      </c>
      <c r="AB10">
        <f t="shared" si="0"/>
        <v>-36</v>
      </c>
      <c r="AF10" s="14" t="s">
        <v>662</v>
      </c>
      <c r="AG10" s="14">
        <v>45</v>
      </c>
      <c r="AH10" s="14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  <c r="J11" s="6"/>
      <c r="K11" s="6"/>
      <c r="L11" s="6"/>
      <c r="M11" s="7"/>
      <c r="N11" s="7" t="s">
        <v>112</v>
      </c>
      <c r="O11" s="7"/>
      <c r="P11" s="18">
        <v>-45</v>
      </c>
      <c r="Q11" s="7"/>
      <c r="R11" s="7"/>
      <c r="S11" s="7"/>
      <c r="T11" s="10" t="s">
        <v>662</v>
      </c>
      <c r="U11" s="15"/>
      <c r="V11" s="15"/>
      <c r="W11" s="15"/>
      <c r="X11" s="15"/>
      <c r="Y11" s="15"/>
      <c r="Z11" s="16" t="s">
        <v>679</v>
      </c>
      <c r="AA11" s="14">
        <v>48</v>
      </c>
      <c r="AB11">
        <f t="shared" si="0"/>
        <v>-48</v>
      </c>
      <c r="AF11" s="14" t="s">
        <v>664</v>
      </c>
      <c r="AG11" s="14">
        <v>54</v>
      </c>
      <c r="AH11" s="14">
        <f t="shared" si="1"/>
        <v>-54</v>
      </c>
    </row>
    <row r="12" s="11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6"/>
      <c r="K12" s="6"/>
      <c r="L12" s="6"/>
      <c r="M12" s="7"/>
      <c r="N12" s="7" t="s">
        <v>112</v>
      </c>
      <c r="O12" s="7"/>
      <c r="P12" s="18">
        <v>-54</v>
      </c>
      <c r="Q12" s="7"/>
      <c r="R12" s="7"/>
      <c r="S12" s="7"/>
      <c r="T12" s="10" t="s">
        <v>664</v>
      </c>
      <c r="U12" s="15"/>
      <c r="V12" s="15"/>
      <c r="W12" s="15"/>
      <c r="X12" s="15"/>
      <c r="Y12" s="15"/>
      <c r="Z12" s="16" t="s">
        <v>680</v>
      </c>
      <c r="AA12" s="14">
        <v>60</v>
      </c>
      <c r="AB12">
        <f t="shared" si="0"/>
        <v>-60</v>
      </c>
      <c r="AC12"/>
      <c r="AD12"/>
      <c r="AE12"/>
      <c r="AF12" s="14" t="s">
        <v>672</v>
      </c>
      <c r="AG12" s="14">
        <v>63</v>
      </c>
      <c r="AH12" s="14">
        <f t="shared" si="1"/>
        <v>-63</v>
      </c>
    </row>
    <row r="13" s="11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6"/>
      <c r="K13" s="6"/>
      <c r="L13" s="6"/>
      <c r="M13" s="7"/>
      <c r="N13" s="7" t="s">
        <v>112</v>
      </c>
      <c r="O13" s="7"/>
      <c r="P13" s="18">
        <v>-63</v>
      </c>
      <c r="Q13" s="7"/>
      <c r="R13" s="7"/>
      <c r="S13" s="7"/>
      <c r="T13" s="10" t="s">
        <v>672</v>
      </c>
      <c r="U13" s="15"/>
      <c r="V13" s="15"/>
      <c r="W13" s="15"/>
      <c r="X13" s="15"/>
      <c r="Y13" s="15"/>
      <c r="Z13" s="16" t="s">
        <v>681</v>
      </c>
      <c r="AA13" s="14">
        <v>75</v>
      </c>
      <c r="AB13">
        <f t="shared" si="0"/>
        <v>-75</v>
      </c>
      <c r="AC13"/>
      <c r="AD13"/>
      <c r="AE13"/>
      <c r="AF13" s="14" t="s">
        <v>674</v>
      </c>
      <c r="AG13" s="14">
        <v>72</v>
      </c>
      <c r="AH13" s="14">
        <f t="shared" si="1"/>
        <v>-72</v>
      </c>
    </row>
    <row r="14" s="11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  <c r="J14" s="6"/>
      <c r="K14" s="6"/>
      <c r="L14" s="6"/>
      <c r="M14" s="7"/>
      <c r="N14" s="7" t="s">
        <v>112</v>
      </c>
      <c r="O14" s="7"/>
      <c r="P14" s="18">
        <v>-72</v>
      </c>
      <c r="Q14" s="7"/>
      <c r="R14" s="7"/>
      <c r="S14" s="7"/>
      <c r="T14" s="10" t="s">
        <v>674</v>
      </c>
      <c r="U14" s="15"/>
      <c r="V14" s="15"/>
      <c r="W14" s="15"/>
      <c r="X14" s="15"/>
      <c r="Y14" s="15"/>
      <c r="Z14" s="16" t="s">
        <v>682</v>
      </c>
      <c r="AA14" s="14">
        <v>90</v>
      </c>
      <c r="AB14">
        <f t="shared" si="0"/>
        <v>-90</v>
      </c>
      <c r="AC14"/>
      <c r="AD14"/>
      <c r="AE14"/>
      <c r="AF14" s="14" t="s">
        <v>676</v>
      </c>
      <c r="AG14" s="14">
        <v>90</v>
      </c>
      <c r="AH14" s="14">
        <f t="shared" si="1"/>
        <v>-90</v>
      </c>
    </row>
    <row r="15" s="11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6"/>
      <c r="K15" s="6"/>
      <c r="L15" s="6"/>
      <c r="M15" s="7"/>
      <c r="N15" s="7" t="s">
        <v>112</v>
      </c>
      <c r="O15" s="7"/>
      <c r="P15" s="18">
        <v>-90</v>
      </c>
      <c r="Q15" s="7"/>
      <c r="R15" s="7"/>
      <c r="S15" s="7"/>
      <c r="T15" s="10" t="s">
        <v>676</v>
      </c>
      <c r="U15" s="15"/>
      <c r="V15" s="15"/>
      <c r="W15" s="15"/>
      <c r="X15" s="15"/>
      <c r="Y15" s="15"/>
      <c r="Z15" s="16" t="s">
        <v>683</v>
      </c>
      <c r="AA15" s="14">
        <v>105</v>
      </c>
      <c r="AB15">
        <f t="shared" si="0"/>
        <v>-105</v>
      </c>
      <c r="AC15"/>
      <c r="AD15"/>
      <c r="AE15"/>
      <c r="AF15" s="14" t="s">
        <v>681</v>
      </c>
      <c r="AG15" s="14">
        <v>75</v>
      </c>
      <c r="AH15" s="14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6"/>
      <c r="K16" s="6"/>
      <c r="L16" s="6"/>
      <c r="M16" s="7"/>
      <c r="N16" s="7" t="s">
        <v>112</v>
      </c>
      <c r="O16" s="7"/>
      <c r="P16" s="18">
        <v>-36</v>
      </c>
      <c r="Q16" s="7"/>
      <c r="R16" s="7"/>
      <c r="S16" s="7"/>
      <c r="T16" s="10" t="s">
        <v>678</v>
      </c>
      <c r="U16" s="15"/>
      <c r="V16" s="15"/>
      <c r="W16" s="15"/>
      <c r="X16" s="15"/>
      <c r="Y16" s="15"/>
      <c r="Z16" s="16" t="s">
        <v>684</v>
      </c>
      <c r="AA16" s="14">
        <v>120</v>
      </c>
      <c r="AB16">
        <f t="shared" si="0"/>
        <v>-120</v>
      </c>
      <c r="AF16" s="14" t="s">
        <v>682</v>
      </c>
      <c r="AG16" s="14">
        <v>90</v>
      </c>
      <c r="AH16" s="14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  <c r="J17" s="6"/>
      <c r="K17" s="6"/>
      <c r="L17" s="6"/>
      <c r="M17" s="7"/>
      <c r="N17" s="7" t="s">
        <v>112</v>
      </c>
      <c r="O17" s="7"/>
      <c r="P17" s="18">
        <v>-48</v>
      </c>
      <c r="Q17" s="7"/>
      <c r="R17" s="7"/>
      <c r="S17" s="7"/>
      <c r="T17" s="10" t="s">
        <v>679</v>
      </c>
      <c r="U17" s="15"/>
      <c r="V17" s="15"/>
      <c r="W17" s="15"/>
      <c r="X17" s="15"/>
      <c r="Y17" s="15"/>
      <c r="Z17" s="16" t="s">
        <v>685</v>
      </c>
      <c r="AA17" s="14">
        <v>150</v>
      </c>
      <c r="AB17">
        <f t="shared" si="0"/>
        <v>-150</v>
      </c>
      <c r="AF17" s="14" t="s">
        <v>683</v>
      </c>
      <c r="AG17" s="14">
        <v>105</v>
      </c>
      <c r="AH17" s="14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6"/>
      <c r="K18" s="6"/>
      <c r="L18" s="6"/>
      <c r="M18" s="7"/>
      <c r="N18" s="7" t="s">
        <v>112</v>
      </c>
      <c r="O18" s="7"/>
      <c r="P18" s="18">
        <v>-60</v>
      </c>
      <c r="Q18" s="7"/>
      <c r="R18" s="7"/>
      <c r="S18" s="7"/>
      <c r="T18" s="10" t="s">
        <v>680</v>
      </c>
      <c r="U18" s="15"/>
      <c r="V18" s="15"/>
      <c r="W18" s="15"/>
      <c r="X18" s="15"/>
      <c r="Y18" s="15"/>
      <c r="Z18" s="16" t="s">
        <v>686</v>
      </c>
      <c r="AA18" s="14">
        <v>180</v>
      </c>
      <c r="AB18">
        <f t="shared" si="0"/>
        <v>-180</v>
      </c>
      <c r="AF18" s="14" t="s">
        <v>684</v>
      </c>
      <c r="AG18" s="14">
        <v>120</v>
      </c>
      <c r="AH18" s="14">
        <f t="shared" si="1"/>
        <v>-120</v>
      </c>
    </row>
    <row r="19" s="2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6"/>
      <c r="K19" s="6"/>
      <c r="L19" s="6"/>
      <c r="M19" s="7"/>
      <c r="N19" s="7" t="s">
        <v>112</v>
      </c>
      <c r="O19" s="7"/>
      <c r="P19" s="18">
        <v>-75</v>
      </c>
      <c r="Q19" s="7"/>
      <c r="R19" s="7"/>
      <c r="S19" s="7"/>
      <c r="T19" s="10" t="s">
        <v>681</v>
      </c>
      <c r="U19" s="15"/>
      <c r="V19" s="15"/>
      <c r="W19" s="15"/>
      <c r="X19" s="15"/>
      <c r="Y19" s="15"/>
      <c r="Z19" s="16" t="s">
        <v>687</v>
      </c>
      <c r="AA19" s="14">
        <v>214.8</v>
      </c>
      <c r="AB19">
        <f t="shared" si="0"/>
        <v>-214.8</v>
      </c>
      <c r="AC19"/>
      <c r="AD19"/>
      <c r="AE19"/>
      <c r="AF19" s="14" t="s">
        <v>685</v>
      </c>
      <c r="AG19" s="14">
        <v>150</v>
      </c>
      <c r="AH19" s="14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  <c r="J20" s="6"/>
      <c r="K20" s="6"/>
      <c r="L20" s="6"/>
      <c r="M20" s="7"/>
      <c r="N20" s="7" t="s">
        <v>112</v>
      </c>
      <c r="O20" s="7"/>
      <c r="P20" s="18">
        <v>-90</v>
      </c>
      <c r="Q20" s="7"/>
      <c r="R20" s="7"/>
      <c r="S20" s="7"/>
      <c r="T20" s="10" t="s">
        <v>682</v>
      </c>
      <c r="U20" s="15"/>
      <c r="V20" s="15"/>
      <c r="W20" s="15"/>
      <c r="X20" s="15"/>
      <c r="Y20" s="15"/>
      <c r="Z20" s="16" t="s">
        <v>688</v>
      </c>
      <c r="AA20" s="14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6"/>
      <c r="K21" s="6"/>
      <c r="L21" s="6"/>
      <c r="M21" s="7"/>
      <c r="N21" s="7" t="s">
        <v>112</v>
      </c>
      <c r="O21" s="7"/>
      <c r="P21" s="18">
        <v>-105</v>
      </c>
      <c r="Q21" s="7"/>
      <c r="R21" s="7"/>
      <c r="S21" s="7"/>
      <c r="T21" s="10" t="s">
        <v>683</v>
      </c>
      <c r="U21" s="15"/>
      <c r="V21" s="15"/>
      <c r="W21" s="15"/>
      <c r="X21" s="15"/>
      <c r="Y21" s="15"/>
      <c r="Z21" s="16" t="s">
        <v>689</v>
      </c>
      <c r="AA21" s="14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6"/>
      <c r="K22" s="6"/>
      <c r="L22" s="6"/>
      <c r="M22" s="7"/>
      <c r="N22" s="7" t="s">
        <v>112</v>
      </c>
      <c r="O22" s="7"/>
      <c r="P22" s="18">
        <v>-120</v>
      </c>
      <c r="Q22" s="7"/>
      <c r="R22" s="7"/>
      <c r="S22" s="7"/>
      <c r="T22" s="10" t="s">
        <v>684</v>
      </c>
      <c r="U22" s="15"/>
      <c r="V22" s="15"/>
      <c r="W22" s="15"/>
      <c r="X22" s="15"/>
      <c r="Y22" s="15"/>
      <c r="Z22" s="16" t="s">
        <v>690</v>
      </c>
      <c r="AA22" s="14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  <c r="J23" s="6"/>
      <c r="K23" s="6"/>
      <c r="L23" s="6"/>
      <c r="M23" s="7"/>
      <c r="N23" s="7" t="s">
        <v>112</v>
      </c>
      <c r="O23" s="7"/>
      <c r="P23" s="18">
        <v>-150</v>
      </c>
      <c r="Q23" s="7"/>
      <c r="R23" s="7"/>
      <c r="S23" s="7"/>
      <c r="T23" s="10" t="s">
        <v>685</v>
      </c>
      <c r="U23" s="15"/>
      <c r="V23" s="15"/>
      <c r="W23" s="15"/>
      <c r="X23" s="15"/>
      <c r="Y23" s="15"/>
      <c r="Z23" s="16" t="s">
        <v>691</v>
      </c>
      <c r="AA23" s="14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6"/>
      <c r="K24" s="6"/>
      <c r="L24" s="6"/>
      <c r="M24" s="7"/>
      <c r="N24" s="7" t="s">
        <v>112</v>
      </c>
      <c r="O24" s="7"/>
      <c r="P24" s="19">
        <v>-180</v>
      </c>
      <c r="Q24" s="7"/>
      <c r="R24" s="7"/>
      <c r="S24" s="7"/>
      <c r="T24" s="10" t="s">
        <v>686</v>
      </c>
      <c r="U24" s="15"/>
      <c r="V24" s="15"/>
      <c r="W24" s="15"/>
      <c r="X24" s="15"/>
      <c r="Y24" s="15"/>
      <c r="Z24" s="16" t="s">
        <v>692</v>
      </c>
      <c r="AA24" s="14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6"/>
      <c r="K25" s="6"/>
      <c r="L25" s="6"/>
      <c r="M25" s="7"/>
      <c r="N25" s="7" t="s">
        <v>112</v>
      </c>
      <c r="O25" s="7"/>
      <c r="P25" s="18">
        <v>-214.8</v>
      </c>
      <c r="Q25" s="7"/>
      <c r="R25" s="7"/>
      <c r="S25" s="7"/>
      <c r="T25" s="10" t="s">
        <v>687</v>
      </c>
      <c r="U25" s="15"/>
      <c r="V25" s="15"/>
      <c r="W25" s="15"/>
      <c r="X25" s="15"/>
      <c r="Y25" s="15"/>
      <c r="Z25" s="16" t="s">
        <v>693</v>
      </c>
      <c r="AA25" s="14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8">
        <v>-248.4</v>
      </c>
      <c r="Q26" s="7"/>
      <c r="R26" s="7"/>
      <c r="S26" s="7"/>
      <c r="T26" s="10" t="s">
        <v>688</v>
      </c>
      <c r="U26" s="15"/>
      <c r="V26" s="15"/>
      <c r="W26" s="15"/>
      <c r="X26" s="15"/>
      <c r="Y26" s="15"/>
      <c r="Z26" s="16" t="s">
        <v>655</v>
      </c>
      <c r="AA26" s="14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8">
        <v>-283.2</v>
      </c>
      <c r="Q27" s="7"/>
      <c r="R27" s="7"/>
      <c r="S27" s="7"/>
      <c r="T27" s="10" t="s">
        <v>689</v>
      </c>
      <c r="U27" s="15"/>
      <c r="V27" s="15"/>
      <c r="W27" s="15"/>
      <c r="X27" s="15"/>
      <c r="Y27" s="15"/>
      <c r="Z27" s="16" t="s">
        <v>657</v>
      </c>
      <c r="AA27" s="14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8">
        <v>-316.8</v>
      </c>
      <c r="Q28" s="7"/>
      <c r="R28" s="7"/>
      <c r="S28" s="7"/>
      <c r="T28" s="10" t="s">
        <v>690</v>
      </c>
      <c r="U28" s="15"/>
      <c r="V28" s="15"/>
      <c r="W28" s="15"/>
      <c r="X28" s="15"/>
      <c r="Y28" s="15"/>
      <c r="Z28" s="16" t="s">
        <v>659</v>
      </c>
      <c r="AA28" s="14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8">
        <v>-420</v>
      </c>
      <c r="Q29" s="7"/>
      <c r="R29" s="7"/>
      <c r="S29" s="7"/>
      <c r="T29" s="10" t="s">
        <v>691</v>
      </c>
      <c r="U29" s="15"/>
      <c r="V29" s="15"/>
      <c r="W29" s="15"/>
      <c r="X29" s="15"/>
      <c r="Y29" s="15"/>
      <c r="Z29" s="16" t="s">
        <v>663</v>
      </c>
      <c r="AA29" s="14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8">
        <v>-600</v>
      </c>
      <c r="Q30" s="7"/>
      <c r="R30" s="7"/>
      <c r="S30" s="7"/>
      <c r="T30" s="10" t="s">
        <v>692</v>
      </c>
      <c r="U30" s="15"/>
      <c r="V30" s="15"/>
      <c r="W30" s="15"/>
      <c r="X30" s="15"/>
      <c r="Y30" s="15"/>
      <c r="Z30" s="16" t="s">
        <v>665</v>
      </c>
      <c r="AA30" s="14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8">
        <v>-720</v>
      </c>
      <c r="Q31" s="7"/>
      <c r="R31" s="7"/>
      <c r="S31" s="7"/>
      <c r="T31" s="10" t="s">
        <v>693</v>
      </c>
      <c r="U31" s="15"/>
      <c r="V31" s="15"/>
      <c r="W31" s="15"/>
      <c r="X31" s="15"/>
      <c r="Y31" s="15"/>
      <c r="Z31" s="16" t="s">
        <v>673</v>
      </c>
      <c r="AA31" s="14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8">
        <v>-120</v>
      </c>
      <c r="Q32" s="7"/>
      <c r="R32" s="7"/>
      <c r="S32" s="7"/>
      <c r="T32" s="10" t="s">
        <v>655</v>
      </c>
      <c r="U32" s="15"/>
      <c r="V32" s="15"/>
      <c r="W32" s="15"/>
      <c r="X32" s="15"/>
      <c r="Y32" s="15"/>
      <c r="Z32" s="16" t="s">
        <v>675</v>
      </c>
      <c r="AA32" s="14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8">
        <v>-134</v>
      </c>
      <c r="Q33" s="7"/>
      <c r="R33" s="7"/>
      <c r="S33" s="7"/>
      <c r="T33" s="10" t="s">
        <v>657</v>
      </c>
      <c r="U33" s="15"/>
      <c r="V33" s="15"/>
      <c r="W33" s="15"/>
      <c r="X33" s="15"/>
      <c r="Y33" s="15"/>
      <c r="Z33" s="16" t="s">
        <v>677</v>
      </c>
      <c r="AA33" s="14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8">
        <v>-149</v>
      </c>
      <c r="Q34" s="7"/>
      <c r="R34" s="7"/>
      <c r="S34" s="7"/>
      <c r="T34" s="10" t="s">
        <v>659</v>
      </c>
      <c r="U34" s="15"/>
      <c r="V34" s="15"/>
      <c r="W34" s="15"/>
      <c r="X34" s="15"/>
      <c r="Y34" s="15"/>
      <c r="Z34" s="16" t="s">
        <v>694</v>
      </c>
      <c r="AA34" s="14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8">
        <v>-163</v>
      </c>
      <c r="Q35" s="7"/>
      <c r="R35" s="7"/>
      <c r="S35" s="7"/>
      <c r="T35" s="10" t="s">
        <v>663</v>
      </c>
      <c r="U35" s="15"/>
      <c r="V35" s="15"/>
      <c r="W35" s="15"/>
      <c r="X35" s="15"/>
      <c r="Y35" s="15"/>
      <c r="Z35" s="16" t="s">
        <v>695</v>
      </c>
      <c r="AA35" s="14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8">
        <v>-177</v>
      </c>
      <c r="Q36" s="7"/>
      <c r="R36" s="7"/>
      <c r="S36" s="7"/>
      <c r="T36" s="10" t="s">
        <v>665</v>
      </c>
      <c r="U36" s="15"/>
      <c r="V36" s="15"/>
      <c r="W36" s="15"/>
      <c r="X36" s="15"/>
      <c r="Y36" s="15"/>
      <c r="Z36" s="16" t="s">
        <v>696</v>
      </c>
      <c r="AA36" s="14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8">
        <v>-191</v>
      </c>
      <c r="Q37" s="7"/>
      <c r="R37" s="7"/>
      <c r="S37" s="7"/>
      <c r="T37" s="10" t="s">
        <v>673</v>
      </c>
      <c r="U37" s="15"/>
      <c r="V37" s="15"/>
      <c r="W37" s="15"/>
      <c r="X37" s="15"/>
      <c r="Y37" s="15"/>
      <c r="Z37" s="16" t="s">
        <v>697</v>
      </c>
      <c r="AA37" s="14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8">
        <v>-206</v>
      </c>
      <c r="Q38" s="7"/>
      <c r="R38" s="7"/>
      <c r="S38" s="7"/>
      <c r="T38" s="10" t="s">
        <v>675</v>
      </c>
      <c r="U38" s="15"/>
      <c r="V38" s="15"/>
      <c r="W38" s="15"/>
      <c r="X38" s="15"/>
      <c r="Y38" s="15"/>
      <c r="Z38" s="16" t="s">
        <v>698</v>
      </c>
      <c r="AA38" s="14">
        <v>8.3</v>
      </c>
      <c r="AB38">
        <f t="shared" si="2"/>
        <v>-8.3</v>
      </c>
    </row>
    <row r="39" spans="1:28">
      <c r="M39" s="20"/>
      <c r="N39" s="20" t="s">
        <v>112</v>
      </c>
      <c r="O39" s="20"/>
      <c r="P39" s="21">
        <v>-220</v>
      </c>
      <c r="Q39" s="20"/>
      <c r="R39" s="20"/>
      <c r="S39" s="20"/>
      <c r="T39" s="22" t="s">
        <v>677</v>
      </c>
      <c r="Z39" s="14" t="s">
        <v>699</v>
      </c>
      <c r="AA39" s="14">
        <v>8.85</v>
      </c>
      <c r="AB39">
        <f t="shared" si="2"/>
        <v>-8.85</v>
      </c>
    </row>
    <row r="40" spans="1:28">
      <c r="M40" s="20"/>
      <c r="N40" s="23" t="s">
        <v>112</v>
      </c>
      <c r="O40" s="20"/>
      <c r="P40" s="21">
        <v>-6</v>
      </c>
      <c r="Q40" s="20"/>
      <c r="R40" s="20"/>
      <c r="S40" s="20"/>
      <c r="T40" s="22" t="s">
        <v>694</v>
      </c>
      <c r="Z40" s="14" t="s">
        <v>700</v>
      </c>
      <c r="AA40" s="14">
        <v>9.45</v>
      </c>
      <c r="AB40">
        <f t="shared" si="2"/>
        <v>-9.45</v>
      </c>
    </row>
    <row r="41" spans="1:28">
      <c r="M41" s="20"/>
      <c r="N41" s="20" t="s">
        <v>112</v>
      </c>
      <c r="O41" s="20"/>
      <c r="P41" s="21">
        <v>-6.55</v>
      </c>
      <c r="Q41" s="20"/>
      <c r="R41" s="20"/>
      <c r="S41" s="20"/>
      <c r="T41" s="22" t="s">
        <v>695</v>
      </c>
      <c r="Z41" s="14" t="s">
        <v>701</v>
      </c>
      <c r="AA41" s="14">
        <v>10</v>
      </c>
      <c r="AB41">
        <f t="shared" si="2"/>
        <v>-10</v>
      </c>
    </row>
    <row r="42" spans="1:28">
      <c r="M42" s="20"/>
      <c r="N42" s="20" t="s">
        <v>112</v>
      </c>
      <c r="O42" s="20"/>
      <c r="P42" s="21">
        <v>-7.15</v>
      </c>
      <c r="Q42" s="20"/>
      <c r="R42" s="20"/>
      <c r="S42" s="20"/>
      <c r="T42" s="22" t="s">
        <v>696</v>
      </c>
      <c r="Z42" s="14" t="s">
        <v>702</v>
      </c>
      <c r="AA42" s="14">
        <v>2</v>
      </c>
      <c r="AB42">
        <f t="shared" si="2"/>
        <v>-2</v>
      </c>
    </row>
    <row r="43" spans="1:28">
      <c r="M43" s="20"/>
      <c r="N43" s="20" t="s">
        <v>112</v>
      </c>
      <c r="O43" s="20"/>
      <c r="P43" s="21">
        <v>-7.7</v>
      </c>
      <c r="Q43" s="20"/>
      <c r="R43" s="20"/>
      <c r="S43" s="20"/>
      <c r="T43" s="22" t="s">
        <v>697</v>
      </c>
      <c r="Z43" s="14" t="s">
        <v>703</v>
      </c>
      <c r="AA43" s="14">
        <v>2.18</v>
      </c>
      <c r="AB43">
        <f t="shared" si="2"/>
        <v>-2.18</v>
      </c>
    </row>
    <row r="44" spans="1:28">
      <c r="M44" s="20"/>
      <c r="N44" s="20" t="s">
        <v>112</v>
      </c>
      <c r="O44" s="20"/>
      <c r="P44" s="21">
        <v>-8.3</v>
      </c>
      <c r="Q44" s="20"/>
      <c r="R44" s="20"/>
      <c r="S44" s="20"/>
      <c r="T44" s="22" t="s">
        <v>698</v>
      </c>
      <c r="Z44" s="14" t="s">
        <v>704</v>
      </c>
      <c r="AA44" s="14">
        <v>2.34</v>
      </c>
      <c r="AB44">
        <f t="shared" si="2"/>
        <v>-2.34</v>
      </c>
    </row>
    <row r="45" spans="1:28">
      <c r="M45" s="20"/>
      <c r="N45" s="20" t="s">
        <v>112</v>
      </c>
      <c r="O45" s="20"/>
      <c r="P45" s="21">
        <v>-8.85</v>
      </c>
      <c r="Q45" s="20"/>
      <c r="R45" s="20"/>
      <c r="S45" s="20"/>
      <c r="T45" s="22" t="s">
        <v>699</v>
      </c>
      <c r="Z45" s="14" t="s">
        <v>705</v>
      </c>
      <c r="AA45" s="14">
        <v>2.52</v>
      </c>
      <c r="AB45">
        <f t="shared" si="2"/>
        <v>-2.52</v>
      </c>
    </row>
    <row r="46" spans="1:28">
      <c r="M46" s="20"/>
      <c r="N46" s="20" t="s">
        <v>112</v>
      </c>
      <c r="O46" s="20"/>
      <c r="P46" s="21">
        <v>-9.45</v>
      </c>
      <c r="Q46" s="20"/>
      <c r="R46" s="20"/>
      <c r="S46" s="20"/>
      <c r="T46" s="22" t="s">
        <v>700</v>
      </c>
      <c r="Z46" s="14" t="s">
        <v>706</v>
      </c>
      <c r="AA46" s="14">
        <v>2.68</v>
      </c>
      <c r="AB46">
        <f t="shared" si="2"/>
        <v>-2.68</v>
      </c>
    </row>
    <row r="47" spans="1:28">
      <c r="M47" s="20"/>
      <c r="N47" s="20" t="s">
        <v>112</v>
      </c>
      <c r="O47" s="20"/>
      <c r="P47" s="21">
        <v>-10</v>
      </c>
      <c r="Q47" s="20"/>
      <c r="R47" s="20"/>
      <c r="S47" s="20"/>
      <c r="T47" s="22" t="s">
        <v>701</v>
      </c>
      <c r="Z47" s="14" t="s">
        <v>707</v>
      </c>
      <c r="AA47" s="14">
        <v>2.86</v>
      </c>
      <c r="AB47">
        <f t="shared" si="2"/>
        <v>-2.86</v>
      </c>
    </row>
    <row r="48" spans="1:28">
      <c r="M48" s="20"/>
      <c r="N48" s="20" t="s">
        <v>112</v>
      </c>
      <c r="O48" s="20"/>
      <c r="P48" s="21">
        <v>-2</v>
      </c>
      <c r="Q48" s="20"/>
      <c r="R48" s="20"/>
      <c r="S48" s="20"/>
      <c r="T48" s="22" t="s">
        <v>702</v>
      </c>
      <c r="Z48" s="14" t="s">
        <v>708</v>
      </c>
      <c r="AA48" s="14">
        <v>3.02</v>
      </c>
      <c r="AB48">
        <f t="shared" si="2"/>
        <v>-3.02</v>
      </c>
    </row>
    <row r="49" spans="13:28">
      <c r="M49" s="20"/>
      <c r="N49" s="20" t="s">
        <v>112</v>
      </c>
      <c r="O49" s="20"/>
      <c r="P49" s="21">
        <v>-2.18</v>
      </c>
      <c r="Q49" s="20"/>
      <c r="R49" s="20"/>
      <c r="S49" s="20"/>
      <c r="T49" s="22" t="s">
        <v>703</v>
      </c>
      <c r="Z49" s="14" t="s">
        <v>709</v>
      </c>
      <c r="AA49" s="14">
        <v>3.2</v>
      </c>
      <c r="AB49">
        <f t="shared" si="2"/>
        <v>-3.2</v>
      </c>
    </row>
    <row r="50" spans="13:28">
      <c r="M50" s="20"/>
      <c r="N50" s="20" t="s">
        <v>112</v>
      </c>
      <c r="O50" s="20"/>
      <c r="P50" s="21">
        <v>-2.34</v>
      </c>
      <c r="Q50" s="20"/>
      <c r="R50" s="20"/>
      <c r="S50" s="20"/>
      <c r="T50" s="22" t="s">
        <v>704</v>
      </c>
      <c r="Z50" s="14" t="s">
        <v>710</v>
      </c>
      <c r="AA50" s="14">
        <v>3.6</v>
      </c>
      <c r="AB50">
        <f t="shared" si="2"/>
        <v>-3.6</v>
      </c>
    </row>
    <row r="51" spans="13:28">
      <c r="M51" s="20"/>
      <c r="N51" s="20" t="s">
        <v>112</v>
      </c>
      <c r="O51" s="20"/>
      <c r="P51" s="21">
        <v>-2.52</v>
      </c>
      <c r="Q51" s="20"/>
      <c r="R51" s="20"/>
      <c r="S51" s="20"/>
      <c r="T51" s="22" t="s">
        <v>705</v>
      </c>
      <c r="Z51" s="14" t="s">
        <v>711</v>
      </c>
      <c r="AA51" s="14">
        <v>3.93</v>
      </c>
      <c r="AB51">
        <f t="shared" si="2"/>
        <v>-3.93</v>
      </c>
    </row>
    <row r="52" spans="13:28">
      <c r="M52" s="20"/>
      <c r="N52" s="20" t="s">
        <v>112</v>
      </c>
      <c r="O52" s="20"/>
      <c r="P52" s="21">
        <v>-2.68</v>
      </c>
      <c r="Q52" s="20"/>
      <c r="R52" s="20"/>
      <c r="S52" s="20"/>
      <c r="T52" s="22" t="s">
        <v>706</v>
      </c>
      <c r="Z52" s="14" t="s">
        <v>712</v>
      </c>
      <c r="AA52" s="14">
        <v>4.29</v>
      </c>
      <c r="AB52">
        <f t="shared" si="2"/>
        <v>-4.29</v>
      </c>
    </row>
    <row r="53" spans="13:28">
      <c r="M53" s="20"/>
      <c r="N53" s="20" t="s">
        <v>112</v>
      </c>
      <c r="O53" s="20"/>
      <c r="P53" s="21">
        <v>-2.86</v>
      </c>
      <c r="Q53" s="20"/>
      <c r="R53" s="20"/>
      <c r="S53" s="20"/>
      <c r="T53" s="22" t="s">
        <v>707</v>
      </c>
      <c r="Z53" s="14" t="s">
        <v>713</v>
      </c>
      <c r="AA53" s="14">
        <v>4.62</v>
      </c>
      <c r="AB53">
        <f t="shared" si="2"/>
        <v>-4.62</v>
      </c>
    </row>
    <row r="54" spans="13:28">
      <c r="M54" s="20"/>
      <c r="N54" s="20" t="s">
        <v>112</v>
      </c>
      <c r="O54" s="20"/>
      <c r="P54" s="21">
        <v>-3.02</v>
      </c>
      <c r="Q54" s="20"/>
      <c r="R54" s="20"/>
      <c r="S54" s="20"/>
      <c r="T54" s="22" t="s">
        <v>708</v>
      </c>
      <c r="Z54" s="14" t="s">
        <v>714</v>
      </c>
      <c r="AA54" s="14">
        <v>4.98</v>
      </c>
      <c r="AB54">
        <f t="shared" si="2"/>
        <v>-4.98</v>
      </c>
    </row>
    <row r="55" spans="13:28">
      <c r="M55" s="20"/>
      <c r="N55" s="20" t="s">
        <v>112</v>
      </c>
      <c r="O55" s="20"/>
      <c r="P55" s="21">
        <v>-3.2</v>
      </c>
      <c r="Q55" s="20"/>
      <c r="R55" s="20"/>
      <c r="S55" s="20"/>
      <c r="T55" s="22" t="s">
        <v>709</v>
      </c>
      <c r="Z55" s="14" t="s">
        <v>715</v>
      </c>
      <c r="AA55" s="14">
        <v>5.31</v>
      </c>
      <c r="AB55">
        <f t="shared" si="2"/>
        <v>-5.31</v>
      </c>
    </row>
    <row r="56" spans="13:28">
      <c r="M56" s="20"/>
      <c r="N56" s="20" t="s">
        <v>112</v>
      </c>
      <c r="O56" s="20"/>
      <c r="P56" s="21">
        <v>-3.6</v>
      </c>
      <c r="Q56" s="20"/>
      <c r="R56" s="20"/>
      <c r="S56" s="20"/>
      <c r="T56" s="22" t="s">
        <v>710</v>
      </c>
      <c r="Z56" s="14" t="s">
        <v>716</v>
      </c>
      <c r="AA56" s="14">
        <v>5.67</v>
      </c>
      <c r="AB56">
        <f t="shared" si="2"/>
        <v>-5.67</v>
      </c>
    </row>
    <row r="57" spans="13:28">
      <c r="M57" s="20"/>
      <c r="N57" s="20" t="s">
        <v>112</v>
      </c>
      <c r="O57" s="20"/>
      <c r="P57" s="21">
        <v>-3.93</v>
      </c>
      <c r="Q57" s="20"/>
      <c r="R57" s="20"/>
      <c r="S57" s="20"/>
      <c r="T57" s="22" t="s">
        <v>711</v>
      </c>
      <c r="Z57" s="14" t="s">
        <v>717</v>
      </c>
      <c r="AA57" s="14">
        <v>6</v>
      </c>
      <c r="AB57">
        <f t="shared" si="2"/>
        <v>-6</v>
      </c>
    </row>
    <row r="58" spans="13:28">
      <c r="M58" s="20"/>
      <c r="N58" s="20" t="s">
        <v>112</v>
      </c>
      <c r="O58" s="20"/>
      <c r="P58" s="21">
        <v>-4.29</v>
      </c>
      <c r="Q58" s="20"/>
      <c r="R58" s="20"/>
      <c r="S58" s="20"/>
      <c r="T58" s="22" t="s">
        <v>712</v>
      </c>
      <c r="Z58" s="14" t="s">
        <v>718</v>
      </c>
      <c r="AA58" s="14">
        <v>4.8</v>
      </c>
      <c r="AB58">
        <f t="shared" si="2"/>
        <v>-4.8</v>
      </c>
    </row>
    <row r="59" spans="13:28">
      <c r="M59" s="20"/>
      <c r="N59" s="20" t="s">
        <v>112</v>
      </c>
      <c r="O59" s="20"/>
      <c r="P59" s="21">
        <v>-4.62</v>
      </c>
      <c r="Q59" s="20"/>
      <c r="R59" s="20"/>
      <c r="S59" s="20"/>
      <c r="T59" s="22" t="s">
        <v>713</v>
      </c>
      <c r="Z59" s="14" t="s">
        <v>719</v>
      </c>
      <c r="AA59" s="14">
        <v>5.24</v>
      </c>
      <c r="AB59">
        <f t="shared" si="2"/>
        <v>-5.24</v>
      </c>
    </row>
    <row r="60" spans="13:28">
      <c r="M60" s="20"/>
      <c r="N60" s="20" t="s">
        <v>112</v>
      </c>
      <c r="O60" s="20"/>
      <c r="P60" s="21">
        <v>-4.98</v>
      </c>
      <c r="Q60" s="20"/>
      <c r="R60" s="20"/>
      <c r="S60" s="20"/>
      <c r="T60" s="22" t="s">
        <v>714</v>
      </c>
      <c r="Z60" s="14" t="s">
        <v>720</v>
      </c>
      <c r="AA60" s="14">
        <v>5.72</v>
      </c>
      <c r="AB60">
        <f t="shared" si="2"/>
        <v>-5.72</v>
      </c>
    </row>
    <row r="61" spans="13:28">
      <c r="M61" s="20"/>
      <c r="N61" s="20" t="s">
        <v>112</v>
      </c>
      <c r="O61" s="20"/>
      <c r="P61" s="21">
        <v>-5.31</v>
      </c>
      <c r="Q61" s="20"/>
      <c r="R61" s="20"/>
      <c r="S61" s="20"/>
      <c r="T61" s="22" t="s">
        <v>715</v>
      </c>
      <c r="Z61" s="14" t="s">
        <v>721</v>
      </c>
      <c r="AA61" s="14">
        <v>6.16</v>
      </c>
      <c r="AB61">
        <f t="shared" si="2"/>
        <v>-6.16</v>
      </c>
    </row>
    <row r="62" spans="13:28">
      <c r="M62" s="20"/>
      <c r="N62" s="20" t="s">
        <v>112</v>
      </c>
      <c r="O62" s="20"/>
      <c r="P62" s="21">
        <v>-5.67</v>
      </c>
      <c r="Q62" s="20"/>
      <c r="R62" s="20"/>
      <c r="S62" s="20"/>
      <c r="T62" s="22" t="s">
        <v>716</v>
      </c>
      <c r="Z62" s="14" t="s">
        <v>722</v>
      </c>
      <c r="AA62" s="14">
        <v>6.64</v>
      </c>
      <c r="AB62">
        <f t="shared" si="2"/>
        <v>-6.64</v>
      </c>
    </row>
    <row r="63" spans="13:28">
      <c r="M63" s="20"/>
      <c r="N63" s="20" t="s">
        <v>112</v>
      </c>
      <c r="O63" s="20"/>
      <c r="P63" s="21">
        <v>-6</v>
      </c>
      <c r="Q63" s="20"/>
      <c r="R63" s="20"/>
      <c r="S63" s="20"/>
      <c r="T63" s="22" t="s">
        <v>717</v>
      </c>
      <c r="Z63" s="14" t="s">
        <v>723</v>
      </c>
      <c r="AA63" s="14">
        <v>7.08</v>
      </c>
      <c r="AB63">
        <f t="shared" si="2"/>
        <v>-7.08</v>
      </c>
    </row>
    <row r="64" spans="13:28">
      <c r="M64" s="20"/>
      <c r="N64" s="20" t="s">
        <v>112</v>
      </c>
      <c r="O64" s="20"/>
      <c r="P64" s="21">
        <v>-4.8</v>
      </c>
      <c r="Q64" s="20"/>
      <c r="R64" s="20"/>
      <c r="S64" s="20"/>
      <c r="T64" s="22" t="s">
        <v>718</v>
      </c>
      <c r="Z64" s="14" t="s">
        <v>724</v>
      </c>
      <c r="AA64" s="14">
        <v>7.56</v>
      </c>
      <c r="AB64">
        <f t="shared" si="2"/>
        <v>-7.56</v>
      </c>
    </row>
    <row r="65" spans="13:28">
      <c r="M65" s="20"/>
      <c r="N65" s="20" t="s">
        <v>112</v>
      </c>
      <c r="O65" s="20"/>
      <c r="P65" s="21">
        <v>-5.24</v>
      </c>
      <c r="Q65" s="20"/>
      <c r="R65" s="20"/>
      <c r="S65" s="20"/>
      <c r="T65" s="22" t="s">
        <v>719</v>
      </c>
      <c r="Z65" s="14" t="s">
        <v>725</v>
      </c>
      <c r="AA65" s="14">
        <v>8</v>
      </c>
      <c r="AB65">
        <f t="shared" si="2"/>
        <v>-8</v>
      </c>
    </row>
    <row r="66" spans="13:28">
      <c r="M66" s="20"/>
      <c r="N66" s="20" t="s">
        <v>112</v>
      </c>
      <c r="O66" s="20"/>
      <c r="P66" s="21">
        <v>-5.72</v>
      </c>
      <c r="Q66" s="20"/>
      <c r="R66" s="20"/>
      <c r="S66" s="20"/>
      <c r="T66" s="22" t="s">
        <v>720</v>
      </c>
      <c r="Z66" s="14" t="s">
        <v>726</v>
      </c>
      <c r="AA66" s="14">
        <v>11</v>
      </c>
      <c r="AB66">
        <f t="shared" si="2"/>
        <v>-11</v>
      </c>
    </row>
    <row r="67" spans="13:28">
      <c r="M67" s="20"/>
      <c r="N67" s="20" t="s">
        <v>112</v>
      </c>
      <c r="O67" s="20"/>
      <c r="P67" s="21">
        <v>-6.16</v>
      </c>
      <c r="Q67" s="20"/>
      <c r="R67" s="20"/>
      <c r="S67" s="20"/>
      <c r="T67" s="22" t="s">
        <v>721</v>
      </c>
      <c r="Z67" s="14" t="s">
        <v>727</v>
      </c>
      <c r="AA67" s="14">
        <v>11</v>
      </c>
      <c r="AB67">
        <f t="shared" ref="AB67:AB92" si="3">-AA67</f>
        <v>-11</v>
      </c>
    </row>
    <row r="68" spans="13:28">
      <c r="M68" s="20"/>
      <c r="N68" s="20" t="s">
        <v>112</v>
      </c>
      <c r="O68" s="20"/>
      <c r="P68" s="21">
        <v>-6.64</v>
      </c>
      <c r="Q68" s="20"/>
      <c r="R68" s="20"/>
      <c r="S68" s="20"/>
      <c r="T68" s="22" t="s">
        <v>722</v>
      </c>
      <c r="Z68" s="14" t="s">
        <v>728</v>
      </c>
      <c r="AA68" s="14">
        <v>11</v>
      </c>
      <c r="AB68">
        <f t="shared" si="3"/>
        <v>-11</v>
      </c>
    </row>
    <row r="69" spans="13:28">
      <c r="M69" s="20"/>
      <c r="N69" s="20" t="s">
        <v>112</v>
      </c>
      <c r="O69" s="20"/>
      <c r="P69" s="21">
        <v>-7.08</v>
      </c>
      <c r="Q69" s="20"/>
      <c r="R69" s="20"/>
      <c r="S69" s="20"/>
      <c r="T69" s="22" t="s">
        <v>723</v>
      </c>
      <c r="Z69" s="14" t="s">
        <v>729</v>
      </c>
      <c r="AA69" s="14">
        <v>11</v>
      </c>
      <c r="AB69">
        <f t="shared" si="3"/>
        <v>-11</v>
      </c>
    </row>
    <row r="70" spans="13:28">
      <c r="M70" s="20"/>
      <c r="N70" s="20" t="s">
        <v>112</v>
      </c>
      <c r="O70" s="20"/>
      <c r="P70" s="21">
        <v>-7.56</v>
      </c>
      <c r="Q70" s="20"/>
      <c r="R70" s="20"/>
      <c r="S70" s="20"/>
      <c r="T70" s="22" t="s">
        <v>724</v>
      </c>
      <c r="Z70" s="14" t="s">
        <v>730</v>
      </c>
      <c r="AA70" s="14">
        <v>11</v>
      </c>
      <c r="AB70">
        <f t="shared" si="3"/>
        <v>-11</v>
      </c>
    </row>
    <row r="71" spans="13:28">
      <c r="M71" s="20"/>
      <c r="N71" s="20" t="s">
        <v>112</v>
      </c>
      <c r="O71" s="20"/>
      <c r="P71" s="21">
        <v>-8</v>
      </c>
      <c r="Q71" s="20"/>
      <c r="R71" s="20"/>
      <c r="S71" s="20"/>
      <c r="T71" s="22" t="s">
        <v>725</v>
      </c>
      <c r="Z71" s="14" t="s">
        <v>731</v>
      </c>
      <c r="AA71" s="14">
        <v>11</v>
      </c>
      <c r="AB71">
        <f t="shared" si="3"/>
        <v>-11</v>
      </c>
    </row>
    <row r="72" spans="13:28">
      <c r="M72" s="20"/>
      <c r="N72" s="20" t="s">
        <v>112</v>
      </c>
      <c r="O72" s="20"/>
      <c r="P72" s="21">
        <v>-11</v>
      </c>
      <c r="Q72" s="20"/>
      <c r="R72" s="20"/>
      <c r="S72" s="20"/>
      <c r="T72" s="22" t="s">
        <v>726</v>
      </c>
      <c r="Z72" s="14" t="s">
        <v>732</v>
      </c>
      <c r="AA72" s="14">
        <v>11</v>
      </c>
      <c r="AB72">
        <f t="shared" si="3"/>
        <v>-11</v>
      </c>
    </row>
    <row r="73" spans="13:28">
      <c r="M73" s="20"/>
      <c r="N73" s="20" t="s">
        <v>112</v>
      </c>
      <c r="O73" s="20"/>
      <c r="P73" s="21">
        <v>-11</v>
      </c>
      <c r="Q73" s="20"/>
      <c r="R73" s="20"/>
      <c r="S73" s="20"/>
      <c r="T73" s="22" t="s">
        <v>727</v>
      </c>
      <c r="Z73" s="14" t="s">
        <v>733</v>
      </c>
      <c r="AA73" s="14">
        <v>11</v>
      </c>
      <c r="AB73">
        <f t="shared" si="3"/>
        <v>-11</v>
      </c>
    </row>
    <row r="74" spans="13:28">
      <c r="M74" s="20"/>
      <c r="N74" s="20" t="s">
        <v>112</v>
      </c>
      <c r="O74" s="20"/>
      <c r="P74" s="21">
        <v>-11</v>
      </c>
      <c r="Q74" s="20"/>
      <c r="R74" s="20"/>
      <c r="S74" s="20"/>
      <c r="T74" s="22" t="s">
        <v>728</v>
      </c>
      <c r="Z74" s="14" t="s">
        <v>734</v>
      </c>
      <c r="AA74" s="14">
        <v>11</v>
      </c>
      <c r="AB74">
        <f t="shared" si="3"/>
        <v>-11</v>
      </c>
    </row>
    <row r="75" spans="13:28">
      <c r="M75" s="20"/>
      <c r="N75" s="20" t="s">
        <v>112</v>
      </c>
      <c r="O75" s="20"/>
      <c r="P75" s="21">
        <v>-11</v>
      </c>
      <c r="Q75" s="20"/>
      <c r="R75" s="20"/>
      <c r="S75" s="20"/>
      <c r="T75" s="22" t="s">
        <v>729</v>
      </c>
      <c r="Z75" s="14" t="s">
        <v>735</v>
      </c>
      <c r="AA75" s="14">
        <v>11</v>
      </c>
      <c r="AB75">
        <f t="shared" si="3"/>
        <v>-11</v>
      </c>
    </row>
    <row r="76" spans="13:28">
      <c r="M76" s="20"/>
      <c r="N76" s="20" t="s">
        <v>112</v>
      </c>
      <c r="O76" s="20"/>
      <c r="P76" s="21">
        <v>-11</v>
      </c>
      <c r="Q76" s="20"/>
      <c r="R76" s="20"/>
      <c r="S76" s="20"/>
      <c r="T76" s="22" t="s">
        <v>730</v>
      </c>
      <c r="Z76" s="14" t="s">
        <v>736</v>
      </c>
      <c r="AA76" s="14">
        <v>11</v>
      </c>
      <c r="AB76">
        <f t="shared" si="3"/>
        <v>-11</v>
      </c>
    </row>
    <row r="77" spans="13:28">
      <c r="M77" s="20"/>
      <c r="N77" s="20" t="s">
        <v>112</v>
      </c>
      <c r="O77" s="20"/>
      <c r="P77" s="21">
        <v>-11</v>
      </c>
      <c r="Q77" s="20"/>
      <c r="R77" s="20"/>
      <c r="S77" s="20"/>
      <c r="T77" s="22" t="s">
        <v>731</v>
      </c>
      <c r="Z77" s="14" t="s">
        <v>737</v>
      </c>
      <c r="AA77" s="14">
        <v>11</v>
      </c>
      <c r="AB77">
        <f t="shared" si="3"/>
        <v>-11</v>
      </c>
    </row>
    <row r="78" spans="13:28">
      <c r="M78" s="20"/>
      <c r="N78" s="20" t="s">
        <v>112</v>
      </c>
      <c r="O78" s="20"/>
      <c r="P78" s="21">
        <v>-11</v>
      </c>
      <c r="Q78" s="20"/>
      <c r="R78" s="20"/>
      <c r="S78" s="20"/>
      <c r="T78" s="22" t="s">
        <v>732</v>
      </c>
      <c r="Z78" s="14" t="s">
        <v>738</v>
      </c>
      <c r="AA78" s="14">
        <v>11</v>
      </c>
      <c r="AB78">
        <f t="shared" si="3"/>
        <v>-11</v>
      </c>
    </row>
    <row r="79" spans="13:28">
      <c r="M79" s="20"/>
      <c r="N79" s="20" t="s">
        <v>112</v>
      </c>
      <c r="O79" s="20"/>
      <c r="P79" s="21">
        <v>-11</v>
      </c>
      <c r="Q79" s="20"/>
      <c r="R79" s="20"/>
      <c r="S79" s="20"/>
      <c r="T79" s="22" t="s">
        <v>733</v>
      </c>
      <c r="Z79" s="14" t="s">
        <v>739</v>
      </c>
      <c r="AA79" s="14">
        <v>11</v>
      </c>
      <c r="AB79">
        <f t="shared" si="3"/>
        <v>-11</v>
      </c>
    </row>
    <row r="80" spans="13:28">
      <c r="M80" s="20"/>
      <c r="N80" s="20" t="s">
        <v>112</v>
      </c>
      <c r="O80" s="20"/>
      <c r="P80" s="21">
        <v>-11</v>
      </c>
      <c r="Q80" s="20"/>
      <c r="R80" s="20"/>
      <c r="S80" s="20"/>
      <c r="T80" s="22" t="s">
        <v>734</v>
      </c>
      <c r="Z80" s="14" t="s">
        <v>740</v>
      </c>
      <c r="AA80" s="14">
        <v>18</v>
      </c>
      <c r="AB80">
        <f t="shared" si="3"/>
        <v>-18</v>
      </c>
    </row>
    <row r="81" spans="13:28">
      <c r="M81" s="20"/>
      <c r="N81" s="20" t="s">
        <v>112</v>
      </c>
      <c r="O81" s="20"/>
      <c r="P81" s="21">
        <v>-11</v>
      </c>
      <c r="Q81" s="20"/>
      <c r="R81" s="20"/>
      <c r="S81" s="20"/>
      <c r="T81" s="22" t="s">
        <v>735</v>
      </c>
      <c r="Z81" s="14" t="s">
        <v>741</v>
      </c>
      <c r="AA81" s="14">
        <v>18</v>
      </c>
      <c r="AB81">
        <f t="shared" si="3"/>
        <v>-18</v>
      </c>
    </row>
    <row r="82" spans="13:28">
      <c r="M82" s="20"/>
      <c r="N82" s="20" t="s">
        <v>112</v>
      </c>
      <c r="O82" s="20"/>
      <c r="P82" s="21">
        <v>-11</v>
      </c>
      <c r="Q82" s="20"/>
      <c r="R82" s="20"/>
      <c r="S82" s="20"/>
      <c r="T82" s="22" t="s">
        <v>736</v>
      </c>
      <c r="Z82" s="14" t="s">
        <v>742</v>
      </c>
      <c r="AA82" s="14">
        <v>18</v>
      </c>
      <c r="AB82">
        <f t="shared" si="3"/>
        <v>-18</v>
      </c>
    </row>
    <row r="83" spans="13:28">
      <c r="M83" s="20"/>
      <c r="N83" s="20" t="s">
        <v>112</v>
      </c>
      <c r="O83" s="20"/>
      <c r="P83" s="21">
        <v>-11</v>
      </c>
      <c r="Q83" s="20"/>
      <c r="R83" s="20"/>
      <c r="S83" s="20"/>
      <c r="T83" s="22" t="s">
        <v>737</v>
      </c>
      <c r="Z83" s="14" t="s">
        <v>743</v>
      </c>
      <c r="AA83" s="14">
        <v>18</v>
      </c>
      <c r="AB83">
        <f t="shared" si="3"/>
        <v>-18</v>
      </c>
    </row>
    <row r="84" spans="13:28">
      <c r="M84" s="20"/>
      <c r="N84" s="20" t="s">
        <v>112</v>
      </c>
      <c r="O84" s="20"/>
      <c r="P84" s="21">
        <v>-11</v>
      </c>
      <c r="Q84" s="20"/>
      <c r="R84" s="20"/>
      <c r="S84" s="20"/>
      <c r="T84" s="22" t="s">
        <v>738</v>
      </c>
      <c r="Z84" s="14" t="s">
        <v>744</v>
      </c>
      <c r="AA84" s="14">
        <v>18</v>
      </c>
      <c r="AB84">
        <f t="shared" si="3"/>
        <v>-18</v>
      </c>
    </row>
    <row r="85" spans="13:28">
      <c r="M85" s="20"/>
      <c r="N85" s="20" t="s">
        <v>112</v>
      </c>
      <c r="O85" s="20"/>
      <c r="P85" s="21">
        <v>-11</v>
      </c>
      <c r="Q85" s="20"/>
      <c r="R85" s="20"/>
      <c r="S85" s="20"/>
      <c r="T85" s="22" t="s">
        <v>739</v>
      </c>
      <c r="Z85" s="14" t="s">
        <v>745</v>
      </c>
      <c r="AA85" s="14">
        <v>18</v>
      </c>
      <c r="AB85">
        <f t="shared" si="3"/>
        <v>-18</v>
      </c>
    </row>
    <row r="86" spans="13:28">
      <c r="M86" s="20"/>
      <c r="N86" s="20" t="s">
        <v>112</v>
      </c>
      <c r="O86" s="20"/>
      <c r="P86" s="21">
        <v>-18</v>
      </c>
      <c r="Q86" s="20"/>
      <c r="R86" s="20"/>
      <c r="S86" s="20"/>
      <c r="T86" s="22" t="s">
        <v>740</v>
      </c>
      <c r="Z86" s="14" t="s">
        <v>746</v>
      </c>
      <c r="AA86" s="14">
        <v>18</v>
      </c>
      <c r="AB86">
        <f t="shared" si="3"/>
        <v>-18</v>
      </c>
    </row>
    <row r="87" spans="13:28">
      <c r="M87" s="20"/>
      <c r="N87" s="20" t="s">
        <v>112</v>
      </c>
      <c r="O87" s="20"/>
      <c r="P87" s="21">
        <v>-18</v>
      </c>
      <c r="Q87" s="20"/>
      <c r="R87" s="20"/>
      <c r="S87" s="20"/>
      <c r="T87" s="22" t="s">
        <v>741</v>
      </c>
      <c r="Z87" s="14" t="s">
        <v>747</v>
      </c>
      <c r="AA87" s="14">
        <v>18</v>
      </c>
      <c r="AB87">
        <f t="shared" si="3"/>
        <v>-18</v>
      </c>
    </row>
    <row r="88" spans="13:28">
      <c r="M88" s="20"/>
      <c r="N88" s="20" t="s">
        <v>112</v>
      </c>
      <c r="O88" s="20"/>
      <c r="P88" s="21">
        <v>-18</v>
      </c>
      <c r="Q88" s="20"/>
      <c r="R88" s="20"/>
      <c r="S88" s="20"/>
      <c r="T88" s="22" t="s">
        <v>742</v>
      </c>
      <c r="Z88" s="14" t="s">
        <v>748</v>
      </c>
      <c r="AA88" s="14">
        <v>18</v>
      </c>
      <c r="AB88">
        <f t="shared" si="3"/>
        <v>-18</v>
      </c>
    </row>
    <row r="89" spans="13:28">
      <c r="M89" s="20"/>
      <c r="N89" s="20" t="s">
        <v>112</v>
      </c>
      <c r="O89" s="20"/>
      <c r="P89" s="21">
        <v>-18</v>
      </c>
      <c r="Q89" s="20"/>
      <c r="R89" s="20"/>
      <c r="S89" s="20"/>
      <c r="T89" s="22" t="s">
        <v>743</v>
      </c>
      <c r="Z89" s="14" t="s">
        <v>749</v>
      </c>
      <c r="AA89" s="14">
        <v>18</v>
      </c>
      <c r="AB89">
        <f t="shared" si="3"/>
        <v>-18</v>
      </c>
    </row>
    <row r="90" spans="13:28">
      <c r="M90" s="20"/>
      <c r="N90" s="20" t="s">
        <v>112</v>
      </c>
      <c r="O90" s="20"/>
      <c r="P90" s="21">
        <v>-18</v>
      </c>
      <c r="Q90" s="20"/>
      <c r="R90" s="20"/>
      <c r="S90" s="20"/>
      <c r="T90" s="22" t="s">
        <v>744</v>
      </c>
      <c r="Z90" s="14" t="s">
        <v>750</v>
      </c>
      <c r="AA90" s="14">
        <v>18</v>
      </c>
      <c r="AB90">
        <f t="shared" si="3"/>
        <v>-18</v>
      </c>
    </row>
    <row r="91" spans="13:28">
      <c r="M91" s="20"/>
      <c r="N91" s="20" t="s">
        <v>112</v>
      </c>
      <c r="O91" s="20"/>
      <c r="P91" s="21">
        <v>-18</v>
      </c>
      <c r="Q91" s="20"/>
      <c r="R91" s="20"/>
      <c r="S91" s="20"/>
      <c r="T91" s="22" t="s">
        <v>745</v>
      </c>
      <c r="Z91" s="14" t="s">
        <v>751</v>
      </c>
      <c r="AA91" s="14">
        <v>18</v>
      </c>
      <c r="AB91">
        <f t="shared" si="3"/>
        <v>-18</v>
      </c>
    </row>
    <row r="92" spans="13:28">
      <c r="M92" s="20"/>
      <c r="N92" s="20" t="s">
        <v>112</v>
      </c>
      <c r="O92" s="20"/>
      <c r="P92" s="21">
        <v>-18</v>
      </c>
      <c r="Q92" s="20"/>
      <c r="R92" s="20"/>
      <c r="S92" s="20"/>
      <c r="T92" s="22" t="s">
        <v>746</v>
      </c>
      <c r="Z92" s="14" t="s">
        <v>752</v>
      </c>
      <c r="AA92" s="14">
        <v>18</v>
      </c>
      <c r="AB92">
        <f t="shared" si="3"/>
        <v>-18</v>
      </c>
    </row>
    <row r="93" spans="13:28">
      <c r="M93" s="20"/>
      <c r="N93" s="20" t="s">
        <v>112</v>
      </c>
      <c r="O93" s="20"/>
      <c r="P93" s="21">
        <v>-18</v>
      </c>
      <c r="Q93" s="20"/>
      <c r="R93" s="20"/>
      <c r="S93" s="20"/>
      <c r="T93" s="22" t="s">
        <v>747</v>
      </c>
    </row>
    <row r="94" spans="13:28">
      <c r="M94" s="20"/>
      <c r="N94" s="20" t="s">
        <v>112</v>
      </c>
      <c r="O94" s="20"/>
      <c r="P94" s="21">
        <v>-18</v>
      </c>
      <c r="Q94" s="20"/>
      <c r="R94" s="20"/>
      <c r="S94" s="20"/>
      <c r="T94" s="22" t="s">
        <v>748</v>
      </c>
    </row>
    <row r="95" spans="13:28">
      <c r="M95" s="20"/>
      <c r="N95" s="20" t="s">
        <v>112</v>
      </c>
      <c r="O95" s="20"/>
      <c r="P95" s="21">
        <v>-18</v>
      </c>
      <c r="Q95" s="20"/>
      <c r="R95" s="20"/>
      <c r="S95" s="20"/>
      <c r="T95" s="22" t="s">
        <v>749</v>
      </c>
    </row>
    <row r="96" spans="13:28">
      <c r="M96" s="20"/>
      <c r="N96" s="20" t="s">
        <v>112</v>
      </c>
      <c r="O96" s="20"/>
      <c r="P96" s="21">
        <v>-18</v>
      </c>
      <c r="Q96" s="20"/>
      <c r="R96" s="20"/>
      <c r="S96" s="20"/>
      <c r="T96" s="22" t="s">
        <v>750</v>
      </c>
    </row>
    <row r="97" spans="13:20">
      <c r="M97" s="20"/>
      <c r="N97" s="20" t="s">
        <v>112</v>
      </c>
      <c r="O97" s="20"/>
      <c r="P97" s="21">
        <v>-18</v>
      </c>
      <c r="Q97" s="20"/>
      <c r="R97" s="20"/>
      <c r="S97" s="20"/>
      <c r="T97" s="22" t="s">
        <v>751</v>
      </c>
    </row>
    <row r="98" spans="13:20">
      <c r="M98" s="20"/>
      <c r="N98" s="20" t="s">
        <v>112</v>
      </c>
      <c r="O98" s="20"/>
      <c r="P98" s="21">
        <v>-18</v>
      </c>
      <c r="Q98" s="20"/>
      <c r="R98" s="20"/>
      <c r="S98" s="20"/>
      <c r="T98" s="22" t="s">
        <v>752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660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666</v>
      </c>
      <c r="C7" s="7" t="s">
        <v>310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667</v>
      </c>
      <c r="I7" s="7" t="s">
        <v>668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655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657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659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663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665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673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675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677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662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664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672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674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676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681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682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683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684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685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T31" sqref="T3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753</v>
      </c>
    </row>
    <row r="7" spans="6:19">
      <c r="L7" t="s">
        <v>754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755</v>
      </c>
      <c r="R8" t="s">
        <v>60</v>
      </c>
      <c r="S8" t="s">
        <v>55</v>
      </c>
    </row>
    <row r="9" spans="6:19">
      <c r="I9" t="s">
        <v>756</v>
      </c>
      <c r="O9" t="s">
        <v>757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758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2026-09-19T02:41:48Z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1033-12.1.0.28485</vt:lpwstr>
  </property>
  <property fmtid="{D5CDD505-2E9C-101B-9397-08002B2CF9AE}" pid="6" name="CalculationRule">
    <vt:i4>0</vt:i4>
  </property>
</Properties>
</file>