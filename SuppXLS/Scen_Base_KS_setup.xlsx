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xr:revisionPtr revIDLastSave="0" documentId="13_ncr:1_{A6FADFD8-C370-4929-84A6-38257DCB43B7}" xr6:coauthVersionLast="47" xr6:coauthVersionMax="47" xr10:uidLastSave="{00000000-0000-0000-0000-000000000000}"/>
  <bookViews>
    <workbookView xWindow="-120" yWindow="-120" windowWidth="29040" windowHeight="17520" firstSheet="7" activeTab="12" xr2:uid="{00000000-000D-0000-FFFF-FFFF00000000}"/>
  </bookViews>
  <sheets>
    <sheet name="Readme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4" l="1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13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E21" i="13"/>
  <c r="C21" i="13"/>
  <c r="F12" i="13"/>
  <c r="E12" i="13"/>
  <c r="O11" i="13"/>
  <c r="E11" i="13"/>
  <c r="E10" i="13"/>
  <c r="E9" i="13"/>
  <c r="E8" i="13"/>
  <c r="E7" i="13"/>
  <c r="E6" i="13"/>
  <c r="E5" i="13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F8" authorId="0" shapeId="0" xr:uid="{C4E670A5-37DB-4AD6-9208-17FCF815D75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12-04-2022
3X coal
</t>
        </r>
      </text>
    </comment>
    <comment ref="H27" authorId="0" shapeId="0" xr:uid="{9CEB6D67-66C2-4162-88C4-DC2ACD67E80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19-09-2022
relaxation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<sst xmlns="http://schemas.openxmlformats.org/spreadsheetml/2006/main" count="3677" uniqueCount="764">
  <si>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</si>
  <si>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</si>
  <si>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</si>
  <si>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</si>
  <si>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</si>
  <si>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</si>
  <si>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</si>
  <si>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</si>
  <si>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</si>
  <si>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</si>
  <si>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</si>
  <si>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</si>
  <si>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</si>
  <si>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</si>
  <si>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</si>
  <si>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</si>
  <si>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</si>
  <si>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</si>
  <si>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</si>
  <si>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</si>
  <si>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</si>
  <si>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</si>
  <si>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</si>
  <si>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</si>
  <si>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</si>
  <si>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</si>
  <si>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</si>
  <si>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</si>
  <si>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</si>
  <si>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</si>
  <si>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</si>
  <si>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</si>
  <si>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</si>
  <si>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</si>
  <si>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</si>
  <si>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</si>
  <si>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</si>
  <si>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</si>
  <si>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</si>
  <si>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</si>
  <si>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</si>
  <si>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</si>
  <si>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</si>
  <si>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</si>
  <si>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</si>
  <si>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</si>
  <si>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</si>
  <si>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</si>
  <si>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</si>
  <si>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</si>
  <si>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</si>
  <si>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</si>
  <si>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</si>
  <si>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</si>
  <si>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</si>
  <si>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</si>
  <si>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</si>
  <si>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</si>
  <si>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</si>
  <si>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</si>
  <si>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</si>
  <si>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</si>
  <si>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</si>
  <si>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</si>
  <si>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</si>
  <si>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</si>
  <si>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</si>
  <si>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</si>
  <si>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</si>
  <si>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</si>
  <si>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</si>
  <si>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</si>
  <si>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</si>
  <si>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</si>
  <si>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</si>
  <si>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</si>
  <si>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</si>
  <si>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</si>
  <si>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</si>
  <si>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</si>
  <si>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</si>
  <si>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</si>
  <si>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</si>
  <si>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</si>
  <si>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</si>
  <si>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</si>
  <si>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</si>
  <si>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</si>
  <si>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</si>
  <si>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</si>
  <si>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</si>
  <si>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</si>
  <si>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</si>
  <si>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</si>
  <si>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</si>
  <si>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</si>
  <si>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</si>
  <si>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</si>
  <si>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</si>
  <si>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</si>
  <si>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</si>
  <si>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</si>
  <si>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</si>
  <si>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</si>
  <si>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</si>
  <si>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</si>
  <si>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</si>
  <si>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</si>
  <si>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</si>
  <si>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</si>
  <si>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</si>
  <si>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</si>
  <si>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</si>
  <si>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</si>
  <si>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</si>
  <si>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</si>
  <si>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</si>
  <si>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</si>
  <si>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</si>
  <si>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</si>
  <si>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</si>
  <si>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</si>
  <si>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</si>
  <si>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</si>
  <si>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</si>
  <si>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</si>
  <si>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</si>
  <si>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</si>
  <si>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</si>
  <si>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</si>
  <si>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</si>
  <si>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</si>
  <si>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</si>
  <si>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</si>
  <si>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</si>
  <si>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</si>
  <si>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</si>
  <si>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</si>
  <si>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</si>
  <si>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</si>
  <si>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</si>
  <si>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</si>
  <si>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</si>
  <si>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</si>
  <si>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</si>
  <si>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</si>
  <si>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</si>
  <si>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</si>
  <si>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</si>
  <si>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</si>
  <si>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</si>
  <si>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</si>
  <si>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</si>
  <si>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</si>
  <si>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</si>
  <si>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</si>
  <si>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</si>
  <si>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</si>
  <si>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</si>
  <si>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</si>
  <si>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</si>
  <si>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</si>
  <si>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</si>
  <si>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</si>
  <si>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</si>
  <si>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</si>
  <si>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</si>
  <si>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</si>
  <si>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</si>
  <si>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</si>
  <si>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</si>
  <si>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</si>
  <si>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</si>
  <si>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</si>
  <si>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</si>
  <si>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</si>
  <si>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</si>
  <si>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</si>
  <si>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</si>
  <si>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</si>
  <si>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</si>
  <si>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</si>
  <si>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</si>
  <si>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</si>
  <si>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</si>
  <si>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</si>
  <si>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</si>
  <si>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</si>
  <si>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</si>
  <si>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</si>
  <si>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</si>
  <si>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</si>
  <si>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</si>
  <si>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</si>
  <si>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</si>
  <si>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</si>
  <si>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</si>
  <si>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</si>
  <si>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</si>
  <si>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</si>
  <si>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</si>
  <si>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</si>
  <si>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</si>
  <si>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</si>
  <si>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</si>
  <si>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</si>
  <si>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</si>
  <si>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</si>
  <si>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</si>
  <si>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</si>
  <si>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</si>
  <si>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</si>
  <si>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</si>
  <si>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</si>
  <si>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</si>
  <si>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</si>
  <si>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</si>
  <si>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</si>
  <si>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</si>
  <si>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</si>
  <si>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</si>
  <si>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</si>
  <si>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</si>
  <si>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</si>
  <si>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</si>
  <si>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</si>
  <si>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</si>
  <si>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</si>
  <si>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</si>
  <si>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</si>
  <si>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</si>
  <si>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</si>
  <si>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</si>
  <si>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</si>
  <si>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</si>
  <si>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</si>
  <si>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</si>
  <si>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</si>
  <si>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</si>
  <si>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</si>
  <si>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</si>
  <si>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</si>
  <si>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</si>
  <si>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</si>
  <si>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</si>
  <si>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</si>
  <si>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</si>
  <si>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</si>
  <si>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</si>
  <si>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</si>
  <si>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</si>
  <si>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</si>
  <si>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</si>
  <si>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</si>
  <si>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</si>
  <si>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</si>
  <si>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</si>
  <si>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</si>
  <si>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COA*</t>
  </si>
  <si>
    <t>$10/t</t>
  </si>
  <si>
    <t>GAS*</t>
  </si>
  <si>
    <t>$3/1000 cf</t>
  </si>
  <si>
    <t>OIL*</t>
  </si>
  <si>
    <t>$5/bbl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</si>
  <si>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</si>
  <si>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</si>
  <si>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</si>
  <si>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</si>
  <si>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</si>
  <si>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</si>
  <si>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</si>
  <si>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</si>
  <si>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</si>
  <si>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</si>
  <si>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</si>
  <si>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</si>
  <si>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</si>
  <si>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</si>
  <si>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</si>
  <si>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</si>
  <si>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</si>
  <si>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</si>
  <si>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</si>
  <si>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MINBIO*</t>
  </si>
  <si>
    <t>BEFORE creating another model:</t>
  </si>
  <si>
    <t>BIO*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</si>
  <si>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</si>
  <si>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</si>
  <si>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</si>
  <si>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</si>
  <si>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</si>
  <si>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</si>
  <si>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</si>
  <si>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</si>
  <si>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</si>
  <si>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</si>
  <si>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</si>
  <si>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</si>
  <si>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</si>
  <si>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</si>
  <si>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</si>
  <si>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</si>
  <si>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</si>
  <si>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</si>
  <si>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</si>
  <si>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</si>
  <si>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</si>
  <si>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</si>
  <si>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</si>
  <si>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</si>
  <si>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</si>
  <si>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</si>
  <si>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</si>
  <si>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</si>
  <si>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</si>
  <si>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</si>
  <si>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</si>
  <si>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</si>
  <si>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</si>
  <si>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</si>
  <si>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</si>
  <si>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</si>
  <si>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</si>
  <si>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</si>
  <si>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</si>
  <si>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</si>
  <si>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</si>
  <si>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</si>
  <si>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</si>
  <si>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</si>
  <si>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</si>
  <si>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</si>
  <si>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</si>
  <si>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</si>
  <si>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</si>
  <si>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</si>
  <si>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</si>
  <si>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</si>
  <si>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</si>
  <si>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</si>
  <si>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</si>
  <si>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</si>
  <si>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</si>
  <si>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</si>
  <si>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</si>
  <si>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</si>
  <si>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</si>
  <si>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</si>
  <si>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</si>
  <si>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</si>
  <si>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</si>
  <si>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</si>
  <si>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</si>
  <si>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</si>
  <si>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</si>
  <si>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</si>
  <si>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</si>
  <si>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</si>
  <si>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</si>
  <si>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</si>
  <si>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</si>
  <si>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</si>
  <si>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</si>
  <si>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</si>
  <si>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</si>
  <si>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</si>
  <si>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</si>
  <si>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</si>
  <si>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</si>
  <si>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</si>
  <si>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</si>
  <si>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</si>
  <si>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</si>
  <si>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</si>
  <si>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</si>
  <si>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</si>
  <si>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</si>
  <si>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</si>
  <si>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</si>
  <si>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</si>
  <si>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</si>
  <si>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</si>
  <si>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</si>
  <si>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</si>
  <si>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</si>
  <si>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</si>
  <si>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</si>
  <si>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</si>
  <si>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</si>
  <si>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</si>
  <si>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</si>
  <si>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</si>
  <si>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</si>
  <si>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</si>
  <si>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</si>
  <si>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</si>
  <si>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</si>
  <si>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</si>
  <si>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</si>
  <si>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</si>
  <si>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</si>
  <si>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</si>
  <si>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</si>
  <si>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UCS_oil prod export lim</t>
  </si>
  <si>
    <t>UC_IRE-E</t>
  </si>
  <si>
    <t>UC_IRE-I</t>
  </si>
  <si>
    <t>~UC_T: UC_RHSRT~UP</t>
  </si>
  <si>
    <t>ALLOILcrd,ALLOILprd</t>
  </si>
  <si>
    <t>ALLOILcrd</t>
  </si>
  <si>
    <t>MIN*,-IMPNRGZ</t>
  </si>
  <si>
    <t>-SUP*</t>
  </si>
  <si>
    <t>region</t>
  </si>
  <si>
    <t>GBL</t>
  </si>
  <si>
    <t>UCS_coal prod export lim</t>
  </si>
  <si>
    <t>AllCOAL,AllCoalind</t>
  </si>
  <si>
    <t>AllCoal</t>
  </si>
  <si>
    <t>UC_FLO</t>
  </si>
  <si>
    <t>UC_BECCS only from dom bio</t>
  </si>
  <si>
    <t>CO2Cap*</t>
  </si>
  <si>
    <t>*BSL*</t>
  </si>
  <si>
    <t>relaxing upper bounds on utilization</t>
  </si>
  <si>
    <t>TRA*</t>
  </si>
  <si>
    <t>UC_ATTR</t>
  </si>
  <si>
    <t>E_Hydro</t>
  </si>
  <si>
    <t>uc_act</t>
  </si>
  <si>
    <t>UC_H2 export only from elec</t>
  </si>
  <si>
    <t>Glb*HH2</t>
  </si>
  <si>
    <t>CSC,RSC</t>
  </si>
  <si>
    <t>Euro/kg</t>
  </si>
  <si>
    <t>ammonia shipping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</si>
  <si>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</si>
  <si>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</si>
  <si>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</si>
  <si>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</si>
  <si>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</si>
  <si>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</si>
  <si>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</si>
  <si>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</si>
  <si>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</si>
  <si>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</si>
  <si>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</si>
  <si>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</si>
  <si>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</si>
  <si>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</si>
  <si>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</si>
  <si>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</si>
  <si>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</si>
  <si>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</si>
  <si>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</si>
  <si>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</si>
  <si>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</si>
  <si>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</si>
  <si>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</si>
  <si>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</si>
  <si>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</si>
  <si>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</si>
  <si>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</si>
  <si>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</si>
  <si>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</si>
  <si>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</si>
  <si>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</si>
  <si>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</si>
  <si>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</si>
  <si>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</si>
  <si>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</si>
  <si>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</si>
  <si>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</si>
  <si>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</si>
  <si>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</si>
  <si>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</si>
  <si>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</si>
  <si>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</si>
  <si>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</si>
  <si>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</si>
  <si>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</si>
  <si>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</si>
  <si>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</si>
  <si>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</si>
  <si>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</si>
  <si>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</si>
  <si>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</si>
  <si>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</si>
  <si>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</si>
  <si>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</si>
  <si>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</si>
  <si>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</si>
  <si>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</si>
  <si>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</si>
  <si>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</si>
  <si>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</si>
  <si>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</si>
  <si>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</si>
  <si>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</si>
  <si>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</si>
  <si>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</si>
  <si>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</si>
  <si>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</si>
  <si>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</si>
  <si>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</si>
  <si>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</si>
  <si>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</si>
  <si>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</si>
  <si>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</si>
  <si>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</si>
  <si>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</si>
  <si>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</si>
  <si>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</si>
  <si>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</si>
  <si>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</si>
  <si>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</si>
  <si>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</si>
  <si>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</si>
  <si>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</si>
  <si>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</si>
  <si>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</si>
  <si>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</si>
  <si>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</si>
  <si>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</si>
  <si>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</si>
  <si>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</si>
  <si>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</si>
  <si>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</si>
  <si>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</si>
  <si>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</si>
  <si>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</si>
  <si>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</si>
  <si>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</si>
  <si>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</si>
  <si>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</si>
  <si>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</si>
  <si>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</si>
  <si>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</si>
  <si>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</si>
  <si>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</si>
  <si>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</si>
  <si>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</si>
  <si>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BIODST,BIOGSL,BIOJTK</t>
  </si>
  <si>
    <t>TU_LNG*</t>
  </si>
  <si>
    <t>m$/PJ</t>
  </si>
  <si>
    <t>*CO2*</t>
  </si>
  <si>
    <t>CO2 shipping at $150/t</t>
  </si>
  <si>
    <t>~TFM_INS: attribute=START</t>
  </si>
  <si>
    <t>TU[_]ELC[_]*</t>
  </si>
  <si>
    <t>-CAP_BND</t>
  </si>
  <si>
    <t>disabling unbounded trade links</t>
  </si>
  <si>
    <t>H2prd_Elc*</t>
  </si>
  <si>
    <t>New Ref assumptions for gas trade links</t>
  </si>
  <si>
    <t>~TFM_INS-TS: attribute=AF;limtype=UP</t>
  </si>
  <si>
    <t>reduction%</t>
  </si>
  <si>
    <t>TU_GasPip--Russia-Turkey</t>
  </si>
  <si>
    <t>TU_GasPip--Russia-Eur_west</t>
  </si>
  <si>
    <t>Nord Stream</t>
  </si>
  <si>
    <t>\I:*LNG*New*</t>
  </si>
  <si>
    <t>TU_GasPip--Russia-Ukraine</t>
  </si>
  <si>
    <t>Flows are currently limited to a single entry point (Sudzha).</t>
  </si>
  <si>
    <t>TU_GasPip--Russia-Eur_noreas</t>
  </si>
  <si>
    <t>Russia-Russia (Kaliningrad) ONLY. ALL other flows=0</t>
  </si>
  <si>
    <t>TU_GasPip--Turkey-Eur_east</t>
  </si>
  <si>
    <t>~TFM_INS-AT</t>
  </si>
  <si>
    <t>TU_GasPip--Russia-Asia_Cen</t>
  </si>
  <si>
    <t>SUP[_]*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</si>
  <si>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</si>
  <si>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</si>
  <si>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</si>
  <si>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</si>
  <si>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</si>
  <si>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</si>
  <si>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</si>
  <si>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</si>
  <si>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</si>
  <si>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</si>
  <si>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</si>
  <si>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</si>
  <si>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</si>
  <si>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</si>
  <si>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</si>
  <si>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DeACT UC_T: UC_RHSRT~UP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</si>
  <si>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</si>
  <si>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</si>
  <si>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</si>
  <si>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</si>
  <si>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</si>
  <si>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</si>
  <si>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</si>
  <si>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</si>
  <si>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</si>
  <si>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</si>
  <si>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</si>
  <si>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</si>
  <si>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</si>
  <si>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</si>
  <si>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</si>
  <si>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</si>
  <si>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</si>
  <si>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</si>
  <si>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</si>
  <si>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</si>
  <si>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</si>
  <si>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</si>
  <si>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</si>
  <si>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</si>
  <si>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</si>
  <si>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</si>
  <si>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</si>
  <si>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</si>
  <si>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</si>
  <si>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</si>
  <si>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</si>
  <si>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</si>
  <si>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</si>
  <si>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</si>
  <si>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</si>
  <si>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</si>
  <si>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</si>
  <si>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</si>
  <si>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</si>
  <si>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</si>
  <si>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</si>
  <si>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</si>
  <si>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</si>
  <si>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</si>
  <si>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</si>
  <si>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</si>
  <si>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</si>
  <si>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</si>
  <si>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</si>
  <si>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</si>
  <si>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</si>
  <si>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</si>
  <si>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</si>
  <si>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</si>
  <si>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</si>
  <si>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</si>
  <si>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</si>
  <si>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</si>
  <si>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</si>
  <si>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</si>
  <si>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</si>
  <si>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</si>
  <si>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</si>
  <si>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</si>
  <si>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</si>
  <si>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</si>
  <si>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</si>
  <si>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</si>
  <si>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</si>
  <si>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</si>
  <si>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</si>
  <si>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</si>
  <si>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</si>
  <si>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</si>
  <si>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</si>
  <si>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</si>
  <si>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</si>
  <si>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</si>
  <si>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</si>
  <si>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</si>
  <si>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</si>
  <si>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</si>
  <si>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</si>
  <si>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</si>
  <si>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</si>
  <si>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</si>
  <si>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</si>
  <si>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</si>
  <si>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</si>
  <si>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</si>
  <si>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</si>
  <si>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</si>
  <si>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</si>
  <si>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</si>
  <si>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</si>
  <si>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</si>
  <si>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</si>
  <si>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</si>
  <si>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</si>
  <si>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</si>
  <si>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</si>
  <si>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</si>
  <si>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</si>
  <si>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</si>
  <si>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</si>
  <si>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</si>
  <si>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</si>
  <si>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</si>
  <si>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</si>
  <si>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</si>
  <si>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</si>
  <si>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</si>
  <si>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</si>
  <si>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</si>
  <si>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</si>
  <si>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</si>
  <si>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</si>
  <si>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</si>
  <si>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</si>
  <si>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</si>
  <si>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</si>
  <si>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</si>
  <si>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</si>
  <si>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</si>
  <si>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</si>
  <si>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</si>
  <si>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</si>
  <si>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</si>
  <si>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</si>
  <si>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</si>
  <si>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</si>
  <si>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</si>
  <si>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</si>
  <si>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</si>
  <si>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</si>
  <si>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</si>
  <si>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</si>
  <si>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</si>
  <si>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</si>
  <si>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</si>
  <si>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</si>
  <si>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</si>
  <si>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</si>
  <si>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</si>
  <si>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</si>
  <si>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</si>
  <si>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</si>
  <si>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</si>
  <si>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</si>
  <si>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</si>
  <si>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</si>
  <si>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</si>
  <si>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</si>
  <si>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</si>
  <si>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</si>
  <si>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</si>
  <si>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</si>
  <si>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</si>
  <si>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</si>
  <si>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</si>
  <si>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</si>
  <si>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</si>
  <si>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</si>
  <si>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</si>
  <si>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</si>
  <si>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</si>
  <si>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</si>
  <si>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</si>
  <si>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</si>
  <si>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</si>
  <si>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</si>
  <si>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</si>
  <si>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</si>
  <si>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</si>
  <si>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</si>
  <si>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</si>
  <si>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</si>
  <si>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</si>
  <si>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</si>
  <si>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</si>
  <si>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</si>
  <si>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</si>
  <si>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</si>
  <si>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*ACT_COST</t>
  </si>
  <si>
    <t>Tra_BEV*</t>
  </si>
  <si>
    <t>UCT_car batteries cap - car</t>
  </si>
  <si>
    <t>Tra_EV*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</si>
</sst>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164" formatCode="0.0"/>
    <numFmt numFmtId="165" formatCode="0.0%"/>
    <numFmt numFmtId="166" formatCode="0.000"/>
    <numFmt numFmtId="167" formatCode="0.0000"/>
    <numFmt numFmtId="169" formatCode="_ * #,##0_ ;_ * \-#,##0_ ;_ * &quot;-&quot;_ ;_ @_ "/>
    <numFmt numFmtId="171" formatCode="_ * #,##0.00_ ;_ * \-#,##0.00_ ;_ * &quot;-&quot;??_ ;_ @_ "/>
    <numFmt numFmtId="172" formatCode="_-* #,##0_-;\-* #,##0_-;_-* &quot;-&quot;_-;_-@_-"/>
    <numFmt numFmtId="173" formatCode="_-* #,##0.00_-;\-* #,##0.00_-;_-* &quot;-&quot;??_-;_-@_-"/>
    <numFmt numFmtId="175" formatCode="&quot;$&quot;#,##0_);\(&quot;$&quot;#,##0\)"/>
    <numFmt numFmtId="176" formatCode="_([$€]* #,##0.00_);_([$€]* \(#,##0.00\);_([$€]* &quot;-&quot;??_);_(@_)"/>
    <numFmt numFmtId="177" formatCode="_ &quot;kr&quot;\ * #,##0_ ;_ &quot;kr&quot;\ * \-#,##0_ ;_ &quot;kr&quot;\ * &quot;-&quot;_ ;_ @_ "/>
    <numFmt numFmtId="178" formatCode="_ &quot;kr&quot;\ * #,##0.00_ ;_ &quot;kr&quot;\ * \-#,##0.00_ ;_ &quot;kr&quot;\ * &quot;-&quot;??_ ;_ @_ "/>
    <numFmt numFmtId="179" formatCode="_([$€-2]* #,##0.00_);_([$€-2]* \(#,##0.00\);_([$€-2]* &quot;-&quot;??_)"/>
    <numFmt numFmtId="180" formatCode="_-[$€]* #,##0.00_-;\-[$€]* #,##0.00_-;_-[$€]* &quot;-&quot;??_-;_-@_-"/>
    <numFmt numFmtId="181" formatCode="_-&quot;$&quot;* #,##0.00_-;\-&quot;$&quot;* #,##0.00_-;_-&quot;$&quot;* &quot;-&quot;??_-;_-@_-"/>
    <numFmt numFmtId="182" formatCode="_-* #,##0.00\ _€_-;\-* #,##0.00\ _€_-;_-* &quot;-&quot;??\ _€_-;_-@_-"/>
    <numFmt numFmtId="183" formatCode="\(##\);\(##\)"/>
    <numFmt numFmtId="184" formatCode="#,##0.0"/>
    <numFmt numFmtId="185" formatCode="_-[$€-2]\ * #,##0.00_-;\-[$€-2]\ * #,##0.00_-;_-[$€-2]\ * &quot;-&quot;??_-"/>
    <numFmt numFmtId="186" formatCode="#,##0;\-\ #,##0;_-\ &quot;- &quot;"/>
    <numFmt numFmtId="187" formatCode="_-&quot;€&quot;\ * #,##0.00_-;\-&quot;€&quot;\ * #,##0.00_-;_-&quot;€&quot;\ * &quot;-&quot;??_-;_-@_-"/>
    <numFmt numFmtId="188" formatCode="General_)"/>
    <numFmt numFmtId="189" formatCode="m\o\n\th\ d\,\ yyyy"/>
    <numFmt numFmtId="190" formatCode="#.00"/>
    <numFmt numFmtId="191" formatCode="#."/>
    <numFmt numFmtId="192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2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20" fillId="5" borderId="0" applyNumberFormat="0" applyBorder="0" applyAlignment="0" applyProtection="0"/>
    <xf numFmtId="0" fontId="3" fillId="0" borderId="0"/>
    <xf numFmtId="0" fontId="28" fillId="0" borderId="0"/>
    <xf numFmtId="0" fontId="7" fillId="0" borderId="13" applyNumberFormat="0" applyFill="0" applyAlignment="0" applyProtection="0"/>
    <xf numFmtId="0" fontId="8" fillId="12" borderId="2" applyNumberFormat="0" applyAlignment="0" applyProtection="0"/>
    <xf numFmtId="0" fontId="13" fillId="13" borderId="0" applyNumberFormat="0" applyBorder="0" applyAlignment="0" applyProtection="0"/>
    <xf numFmtId="0" fontId="14" fillId="14" borderId="0" applyNumberFormat="0" applyBorder="0" applyAlignment="0" applyProtection="0"/>
    <xf numFmtId="0" fontId="21" fillId="0" borderId="0"/>
    <xf numFmtId="0" fontId="20" fillId="15" borderId="0" applyNumberFormat="0" applyBorder="0" applyAlignment="0" applyProtection="0"/>
    <xf numFmtId="0" fontId="3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1" fillId="34" borderId="14" applyNumberFormat="0" applyAlignment="0" applyProtection="0"/>
    <xf numFmtId="0" fontId="31" fillId="34" borderId="14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8" borderId="0" applyNumberFormat="0" applyBorder="0" applyAlignment="0" applyProtection="0"/>
    <xf numFmtId="0" fontId="34" fillId="18" borderId="0" applyNumberFormat="0" applyBorder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6" fillId="0" borderId="17" applyNumberFormat="0" applyFill="0" applyAlignment="0" applyProtection="0"/>
    <xf numFmtId="0" fontId="36" fillId="0" borderId="17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1" borderId="14" applyNumberFormat="0" applyAlignment="0" applyProtection="0"/>
    <xf numFmtId="0" fontId="38" fillId="21" borderId="14" applyNumberFormat="0" applyAlignment="0" applyProtection="0"/>
    <xf numFmtId="0" fontId="39" fillId="0" borderId="19" applyNumberFormat="0" applyFill="0" applyAlignment="0" applyProtection="0"/>
    <xf numFmtId="0" fontId="39" fillId="0" borderId="19" applyNumberFormat="0" applyFill="0" applyAlignment="0" applyProtection="0"/>
    <xf numFmtId="0" fontId="40" fillId="36" borderId="0" applyNumberFormat="0" applyBorder="0" applyAlignment="0" applyProtection="0"/>
    <xf numFmtId="0" fontId="47" fillId="36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41" fillId="34" borderId="21" applyNumberFormat="0" applyAlignment="0" applyProtection="0"/>
    <xf numFmtId="0" fontId="41" fillId="34" borderId="21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1" fontId="48" fillId="0" borderId="0" applyFont="0" applyFill="0" applyBorder="0" applyAlignment="0" applyProtection="0"/>
    <xf numFmtId="169" fontId="48" fillId="0" borderId="0" applyFont="0" applyFill="0" applyBorder="0" applyAlignment="0" applyProtection="0"/>
    <xf numFmtId="177" fontId="48" fillId="0" borderId="0" applyFont="0" applyFill="0" applyBorder="0" applyAlignment="0" applyProtection="0"/>
    <xf numFmtId="0" fontId="3" fillId="0" borderId="0"/>
    <xf numFmtId="0" fontId="3" fillId="0" borderId="22" applyNumberFormat="0" applyFill="0" applyProtection="0">
      <alignment horizontal="right"/>
    </xf>
    <xf numFmtId="0" fontId="3" fillId="0" borderId="22" applyNumberFormat="0" applyFill="0" applyProtection="0">
      <alignment horizontal="right"/>
    </xf>
    <xf numFmtId="0" fontId="2" fillId="38" borderId="22" applyNumberFormat="0" applyProtection="0">
      <alignment horizontal="right"/>
    </xf>
    <xf numFmtId="0" fontId="46" fillId="38" borderId="0" applyNumberFormat="0" applyBorder="0" applyProtection="0">
      <alignment horizontal="left"/>
    </xf>
    <xf numFmtId="0" fontId="2" fillId="38" borderId="22" applyNumberFormat="0" applyProtection="0">
      <alignment horizontal="left"/>
    </xf>
    <xf numFmtId="0" fontId="3" fillId="0" borderId="22" applyNumberFormat="0" applyFill="0" applyProtection="0">
      <alignment horizontal="right"/>
    </xf>
    <xf numFmtId="0" fontId="3" fillId="0" borderId="22" applyNumberFormat="0" applyFill="0" applyProtection="0">
      <alignment horizontal="right"/>
    </xf>
    <xf numFmtId="0" fontId="49" fillId="39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23" applyNumberFormat="0" applyFill="0" applyAlignment="0" applyProtection="0"/>
    <xf numFmtId="0" fontId="43" fillId="0" borderId="23" applyNumberFormat="0" applyFill="0" applyAlignment="0" applyProtection="0"/>
    <xf numFmtId="178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40" borderId="22">
      <alignment horizontal="right" vertical="center"/>
    </xf>
    <xf numFmtId="4" fontId="50" fillId="40" borderId="22">
      <alignment horizontal="right" vertical="center"/>
    </xf>
    <xf numFmtId="0" fontId="51" fillId="0" borderId="25">
      <alignment horizontal="left" vertical="center" wrapText="1" indent="2"/>
    </xf>
    <xf numFmtId="176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22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1" borderId="0" applyNumberFormat="0" applyFont="0" applyBorder="0" applyAlignment="0" applyProtection="0"/>
    <xf numFmtId="4" fontId="51" fillId="0" borderId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17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33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54" fillId="44" borderId="14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0" fontId="32" fillId="35" borderId="15" applyNumberFormat="0" applyAlignment="0" applyProtection="0"/>
    <xf numFmtId="49" fontId="3" fillId="45" borderId="26">
      <alignment vertical="top" wrapText="1"/>
    </xf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81" fontId="3" fillId="0" borderId="0" applyFont="0" applyFill="0" applyBorder="0" applyAlignment="0" applyProtection="0"/>
    <xf numFmtId="189" fontId="71" fillId="0" borderId="0">
      <protection locked="0"/>
    </xf>
    <xf numFmtId="189" fontId="71" fillId="0" borderId="0">
      <protection locked="0"/>
    </xf>
    <xf numFmtId="3" fontId="56" fillId="0" borderId="26">
      <alignment horizontal="right" vertical="top"/>
    </xf>
    <xf numFmtId="0" fontId="2" fillId="46" borderId="22">
      <alignment horizontal="centerContinuous" vertical="top" wrapText="1"/>
    </xf>
    <xf numFmtId="0" fontId="57" fillId="0" borderId="0">
      <alignment vertical="top" wrapText="1"/>
    </xf>
    <xf numFmtId="18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87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90" fontId="71" fillId="0" borderId="0">
      <protection locked="0"/>
    </xf>
    <xf numFmtId="190" fontId="71" fillId="0" borderId="0">
      <protection locked="0"/>
    </xf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34" fillId="20" borderId="0" applyNumberFormat="0" applyBorder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5" fillId="0" borderId="27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6" fillId="0" borderId="28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29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91" fontId="72" fillId="0" borderId="0">
      <protection locked="0"/>
    </xf>
    <xf numFmtId="191" fontId="72" fillId="0" borderId="0">
      <protection locked="0"/>
    </xf>
    <xf numFmtId="191" fontId="72" fillId="0" borderId="0">
      <protection locked="0"/>
    </xf>
    <xf numFmtId="191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38" fillId="36" borderId="14" applyNumberFormat="0" applyAlignment="0" applyProtection="0"/>
    <xf numFmtId="0" fontId="58" fillId="0" borderId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0" fontId="44" fillId="0" borderId="30" applyNumberFormat="0" applyFill="0" applyAlignment="0" applyProtection="0"/>
    <xf numFmtId="182" fontId="3" fillId="0" borderId="0" applyFont="0" applyFill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68" fillId="36" borderId="0" applyNumberFormat="0" applyBorder="0" applyAlignment="0" applyProtection="0"/>
    <xf numFmtId="0" fontId="40" fillId="36" borderId="0" applyNumberFormat="0" applyBorder="0" applyAlignment="0" applyProtection="0"/>
    <xf numFmtId="0" fontId="68" fillId="3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7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75" fontId="69" fillId="0" borderId="0">
      <alignment vertical="center"/>
    </xf>
    <xf numFmtId="175" fontId="69" fillId="0" borderId="0">
      <alignment vertical="center"/>
    </xf>
    <xf numFmtId="175" fontId="69" fillId="0" borderId="0">
      <alignment vertical="center"/>
    </xf>
    <xf numFmtId="17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5" fontId="69" fillId="0" borderId="0">
      <alignment vertical="center"/>
    </xf>
    <xf numFmtId="175" fontId="69" fillId="0" borderId="0">
      <alignment vertical="center"/>
    </xf>
    <xf numFmtId="17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75" fontId="69" fillId="0" borderId="0">
      <alignment vertical="center"/>
    </xf>
    <xf numFmtId="175" fontId="69" fillId="0" borderId="0">
      <alignment vertical="center"/>
    </xf>
    <xf numFmtId="175" fontId="69" fillId="0" borderId="0">
      <alignment vertical="center"/>
    </xf>
    <xf numFmtId="175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8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1" borderId="0" applyNumberFormat="0" applyFont="0" applyBorder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1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1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183" fontId="59" fillId="0" borderId="0">
      <alignment horizontal="right"/>
    </xf>
    <xf numFmtId="186" fontId="3" fillId="0" borderId="0" applyFont="0" applyFill="0" applyBorder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0" fontId="41" fillId="44" borderId="21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92" fontId="3" fillId="0" borderId="0" applyFill="0" applyBorder="0" applyAlignment="0" applyProtection="0">
      <alignment wrapText="1"/>
    </xf>
    <xf numFmtId="192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84" fontId="60" fillId="47" borderId="31">
      <alignment vertical="center"/>
    </xf>
    <xf numFmtId="165" fontId="61" fillId="47" borderId="31">
      <alignment vertical="center"/>
    </xf>
    <xf numFmtId="184" fontId="62" fillId="48" borderId="31">
      <alignment vertical="center"/>
    </xf>
    <xf numFmtId="0" fontId="3" fillId="49" borderId="32" applyBorder="0">
      <alignment horizontal="left" vertical="center"/>
    </xf>
    <xf numFmtId="49" fontId="3" fillId="50" borderId="22">
      <alignment vertical="center" wrapText="1"/>
    </xf>
    <xf numFmtId="0" fontId="3" fillId="51" borderId="24">
      <alignment horizontal="left" vertical="center" wrapText="1"/>
    </xf>
    <xf numFmtId="0" fontId="63" fillId="52" borderId="22">
      <alignment horizontal="left" vertical="center" wrapText="1"/>
    </xf>
    <xf numFmtId="0" fontId="3" fillId="53" borderId="22">
      <alignment horizontal="left" vertical="center" wrapText="1"/>
    </xf>
    <xf numFmtId="0" fontId="3" fillId="54" borderId="22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3" fillId="0" borderId="3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5" borderId="26">
      <alignment vertical="top" wrapText="1"/>
    </xf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2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18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87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1" borderId="0" applyNumberFormat="0" applyFont="0" applyBorder="0" applyAlignment="0" applyProtection="0"/>
    <xf numFmtId="0" fontId="3" fillId="41" borderId="0" applyNumberFormat="0" applyFont="0" applyBorder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0" fontId="3" fillId="37" borderId="20" applyNumberFormat="0" applyFont="0" applyAlignment="0" applyProtection="0"/>
    <xf numFmtId="18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92" fontId="3" fillId="0" borderId="0" applyFill="0" applyBorder="0" applyAlignment="0" applyProtection="0">
      <alignment wrapText="1"/>
    </xf>
    <xf numFmtId="192" fontId="3" fillId="0" borderId="0" applyFill="0" applyBorder="0" applyAlignment="0" applyProtection="0">
      <alignment wrapText="1"/>
    </xf>
    <xf numFmtId="0" fontId="3" fillId="49" borderId="32" applyBorder="0">
      <alignment horizontal="left" vertical="center"/>
    </xf>
    <xf numFmtId="49" fontId="3" fillId="50" borderId="22">
      <alignment vertical="center" wrapText="1"/>
    </xf>
    <xf numFmtId="0" fontId="3" fillId="51" borderId="24">
      <alignment horizontal="left" vertical="center" wrapText="1"/>
    </xf>
    <xf numFmtId="0" fontId="3" fillId="53" borderId="22">
      <alignment horizontal="left" vertical="center" wrapText="1"/>
    </xf>
    <xf numFmtId="0" fontId="3" fillId="54" borderId="22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171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171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56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6" borderId="4" xfId="0" applyFont="1" applyFill="1" applyBorder="1"/>
    <xf numFmtId="0" fontId="2" fillId="7" borderId="4" xfId="0" applyFont="1" applyFill="1" applyBorder="1"/>
    <xf numFmtId="0" fontId="3" fillId="6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8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9" borderId="0" xfId="0" applyFill="1"/>
    <xf numFmtId="0" fontId="16" fillId="9" borderId="0" xfId="8" applyFill="1"/>
    <xf numFmtId="0" fontId="17" fillId="9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10" borderId="0" xfId="0" applyFill="1"/>
    <xf numFmtId="9" fontId="0" fillId="10" borderId="0" xfId="0" applyNumberFormat="1" applyFill="1"/>
    <xf numFmtId="9" fontId="0" fillId="9" borderId="0" xfId="0" applyNumberFormat="1" applyFill="1"/>
    <xf numFmtId="0" fontId="16" fillId="0" borderId="3" xfId="9"/>
    <xf numFmtId="9" fontId="0" fillId="11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3"/>
    <xf numFmtId="0" fontId="3" fillId="10" borderId="0" xfId="13" applyFill="1"/>
    <xf numFmtId="0" fontId="3" fillId="0" borderId="0" xfId="13" quotePrefix="1"/>
    <xf numFmtId="0" fontId="19" fillId="0" borderId="0" xfId="13" applyFont="1"/>
    <xf numFmtId="0" fontId="20" fillId="5" borderId="5" xfId="12" applyBorder="1"/>
    <xf numFmtId="0" fontId="20" fillId="5" borderId="6" xfId="12" applyBorder="1"/>
    <xf numFmtId="0" fontId="20" fillId="5" borderId="7" xfId="12" applyBorder="1"/>
    <xf numFmtId="0" fontId="20" fillId="5" borderId="0" xfId="12"/>
    <xf numFmtId="0" fontId="20" fillId="5" borderId="8" xfId="12" applyBorder="1"/>
    <xf numFmtId="0" fontId="20" fillId="5" borderId="9" xfId="12" applyBorder="1"/>
    <xf numFmtId="165" fontId="20" fillId="5" borderId="0" xfId="12" applyNumberFormat="1" applyBorder="1"/>
    <xf numFmtId="166" fontId="20" fillId="5" borderId="9" xfId="12" applyNumberFormat="1" applyBorder="1"/>
    <xf numFmtId="0" fontId="20" fillId="5" borderId="10" xfId="12" applyBorder="1"/>
    <xf numFmtId="165" fontId="20" fillId="5" borderId="11" xfId="12" applyNumberFormat="1" applyBorder="1"/>
    <xf numFmtId="0" fontId="20" fillId="5" borderId="11" xfId="12" applyBorder="1"/>
    <xf numFmtId="9" fontId="20" fillId="5" borderId="12" xfId="12" applyNumberFormat="1" applyBorder="1"/>
    <xf numFmtId="0" fontId="2" fillId="0" borderId="0" xfId="13" applyFont="1"/>
    <xf numFmtId="9" fontId="17" fillId="0" borderId="0" xfId="0" applyNumberFormat="1" applyFont="1"/>
    <xf numFmtId="0" fontId="9" fillId="0" borderId="0" xfId="0" applyFont="1"/>
    <xf numFmtId="167" fontId="0" fillId="0" borderId="0" xfId="0" applyNumberFormat="1"/>
    <xf numFmtId="0" fontId="0" fillId="0" borderId="0" xfId="0"/>
    <xf numFmtId="0" fontId="0" fillId="0" borderId="0" xfId="0" quotePrefix="1"/>
    <xf numFmtId="0" fontId="9" fillId="0" borderId="0" xfId="0" applyFont="1"/>
    <xf numFmtId="0" fontId="73" fillId="0" borderId="0" xfId="0" applyFont="1"/>
  </cellXfs>
  <cellStyles count="3402">
    <cellStyle name="20% - Accent1 2" xfId="22" xr:uid="{CE08C6FC-6AAD-4B4D-A826-710319922964}"/>
    <cellStyle name="20% - Accent1 2 10" xfId="209" xr:uid="{025D51C1-7C40-4204-B4ED-375E48694ABB}"/>
    <cellStyle name="20% - Accent1 2 11" xfId="210" xr:uid="{F8165F32-6770-4779-AE52-FDB4B726EAE5}"/>
    <cellStyle name="20% - Accent1 2 12" xfId="211" xr:uid="{A571EB9C-C018-4800-9829-50CCB61262C5}"/>
    <cellStyle name="20% - Accent1 2 13" xfId="212" xr:uid="{8D2111E1-11FC-4F98-ADC6-841A29BA1B58}"/>
    <cellStyle name="20% - Accent1 2 14" xfId="213" xr:uid="{BBEF553B-9B68-43AE-A74B-0E57C796CE2E}"/>
    <cellStyle name="20% - Accent1 2 15" xfId="214" xr:uid="{81C6438D-5140-4008-BA1B-9F1F3FD86390}"/>
    <cellStyle name="20% - Accent1 2 2" xfId="215" xr:uid="{77B27F0D-F424-4CC7-9BDB-D7DAEE812FDE}"/>
    <cellStyle name="20% - Accent1 2 3" xfId="216" xr:uid="{0DFD880F-0140-4A2C-9AE9-647307775EE1}"/>
    <cellStyle name="20% - Accent1 2 4" xfId="217" xr:uid="{27D7D3C4-F9DD-4667-BF43-5B05BCD6CC6F}"/>
    <cellStyle name="20% - Accent1 2 5" xfId="218" xr:uid="{3402C677-989A-4AD9-8E31-73A604C958A8}"/>
    <cellStyle name="20% - Accent1 2 6" xfId="219" xr:uid="{E601CDC3-4748-4E36-9217-FD12B9CEF557}"/>
    <cellStyle name="20% - Accent1 2 7" xfId="220" xr:uid="{B3DCF6D1-740F-4324-A159-ED61FDC12EB9}"/>
    <cellStyle name="20% - Accent1 2 8" xfId="221" xr:uid="{9D0A48E8-E71A-4824-B6D4-6AC6D31EA7D3}"/>
    <cellStyle name="20% - Accent1 2 9" xfId="222" xr:uid="{859A9629-7142-43CA-A32D-BB103B8BBDE0}"/>
    <cellStyle name="20% - Accent1 3" xfId="23" xr:uid="{D2271CE1-6296-4AB6-9874-EF94E7C6B646}"/>
    <cellStyle name="20% - Accent1 3 2" xfId="223" xr:uid="{CC6DF146-0E28-4DD5-A74E-AEA2961A82D9}"/>
    <cellStyle name="20% - Accent1 4" xfId="224" xr:uid="{5399D7AC-DA42-414F-AFA3-D83CD8A56FE4}"/>
    <cellStyle name="20% - Accent1 5" xfId="225" xr:uid="{6E4C8895-C4F3-445C-A509-70D14A8011C0}"/>
    <cellStyle name="20% - Accent1 6" xfId="226" xr:uid="{96DAD081-FBAD-44A6-B3E9-A05A19EEFD83}"/>
    <cellStyle name="20% - Accent1 7" xfId="227" xr:uid="{9D654C37-D944-45D7-A10A-6CAED3357552}"/>
    <cellStyle name="20% - Accent1 8" xfId="228" xr:uid="{08B789F0-B224-490E-AE94-A7C01082DCCB}"/>
    <cellStyle name="20% - Accent2 2" xfId="24" xr:uid="{0D35FB7B-9D62-407B-9D5C-91412F505293}"/>
    <cellStyle name="20% - Accent2 2 10" xfId="229" xr:uid="{455AF431-EC3E-447F-B0D9-E6B3FC85A660}"/>
    <cellStyle name="20% - Accent2 2 11" xfId="230" xr:uid="{F9DB9CA9-5A1A-46C5-BEB9-94DD1D9F01FA}"/>
    <cellStyle name="20% - Accent2 2 12" xfId="231" xr:uid="{90F2BA29-F047-4890-8B2A-540DBBEAF944}"/>
    <cellStyle name="20% - Accent2 2 13" xfId="232" xr:uid="{60E368A1-BD7C-4F56-9E13-BBA96F2FF817}"/>
    <cellStyle name="20% - Accent2 2 14" xfId="233" xr:uid="{0C9C675C-1415-46AD-9150-B2D973541816}"/>
    <cellStyle name="20% - Accent2 2 15" xfId="234" xr:uid="{3986B6EE-13A6-4C0D-9E6A-007234579047}"/>
    <cellStyle name="20% - Accent2 2 2" xfId="235" xr:uid="{D9072986-CD1E-4982-97AE-0CCD2167123B}"/>
    <cellStyle name="20% - Accent2 2 3" xfId="236" xr:uid="{9BFFD7DC-337A-48E3-B782-8A697F3F8568}"/>
    <cellStyle name="20% - Accent2 2 4" xfId="237" xr:uid="{1FC3CCB2-2198-48C1-8B7D-DE7100EACC4D}"/>
    <cellStyle name="20% - Accent2 2 5" xfId="238" xr:uid="{259D7373-FC03-49EB-BACB-2D0B0668D72C}"/>
    <cellStyle name="20% - Accent2 2 6" xfId="239" xr:uid="{26B8CE22-AF99-4EA9-9F22-FEAC69B11CE1}"/>
    <cellStyle name="20% - Accent2 2 7" xfId="240" xr:uid="{4A06BD5F-B554-4A87-82C5-F38758C36A54}"/>
    <cellStyle name="20% - Accent2 2 8" xfId="241" xr:uid="{19B2AA4B-858A-4544-86A6-F9BC2E186735}"/>
    <cellStyle name="20% - Accent2 2 9" xfId="242" xr:uid="{83B43F1C-C6B5-47DF-A2B7-83522018ACA2}"/>
    <cellStyle name="20% - Accent2 3" xfId="25" xr:uid="{D28B49C3-B42A-47AD-8AEC-4B975607B19E}"/>
    <cellStyle name="20% - Accent2 3 2" xfId="243" xr:uid="{DB0BCEF8-9A70-4714-A1B9-786A51CECE4A}"/>
    <cellStyle name="20% - Accent2 4" xfId="244" xr:uid="{72545585-2393-4FD8-8BF2-1A2C1407524E}"/>
    <cellStyle name="20% - Accent2 5" xfId="245" xr:uid="{DCF066F8-B3F7-4D75-8EE3-ABA4CDEA1AFB}"/>
    <cellStyle name="20% - Accent2 6" xfId="246" xr:uid="{0E88A622-5DEE-4C66-987B-51D9A06D9D81}"/>
    <cellStyle name="20% - Accent2 7" xfId="247" xr:uid="{CFFFEF80-613C-4554-8981-4C5919042824}"/>
    <cellStyle name="20% - Accent2 8" xfId="248" xr:uid="{3D2AC307-15E3-420F-8CFB-8DF36BBFB27A}"/>
    <cellStyle name="20% - Accent3 2" xfId="26" xr:uid="{DD980286-19F3-44BC-9BED-FD3748BCBCA3}"/>
    <cellStyle name="20% - Accent3 2 10" xfId="249" xr:uid="{F4C53B28-433B-4DE2-BCBD-8D7C6538AD38}"/>
    <cellStyle name="20% - Accent3 2 11" xfId="250" xr:uid="{79C26BF2-D0A3-46B7-8C5F-540E51561AD4}"/>
    <cellStyle name="20% - Accent3 2 12" xfId="251" xr:uid="{DA982564-042B-4646-B5D0-D9FC344C3F8A}"/>
    <cellStyle name="20% - Accent3 2 13" xfId="252" xr:uid="{0489A558-740B-4559-B7BA-DC4FB4D980EB}"/>
    <cellStyle name="20% - Accent3 2 14" xfId="253" xr:uid="{9C311826-69F9-48AC-BE8E-23AB7A84BA43}"/>
    <cellStyle name="20% - Accent3 2 15" xfId="254" xr:uid="{D2235CC2-14EE-4F11-98FB-D08174A3D7B3}"/>
    <cellStyle name="20% - Accent3 2 2" xfId="255" xr:uid="{4C5580F4-933B-47E1-805F-4BD6B3AC7E78}"/>
    <cellStyle name="20% - Accent3 2 3" xfId="256" xr:uid="{DB672E83-0ED8-4DB9-A751-84B396726100}"/>
    <cellStyle name="20% - Accent3 2 4" xfId="257" xr:uid="{C07DE6E0-64F7-409D-8B23-E213DB00B45E}"/>
    <cellStyle name="20% - Accent3 2 5" xfId="258" xr:uid="{45732DC0-D10F-4372-9B9A-020E9BCC5472}"/>
    <cellStyle name="20% - Accent3 2 6" xfId="259" xr:uid="{AFB0143C-AAD7-43E1-864A-C8A363B6F4B9}"/>
    <cellStyle name="20% - Accent3 2 7" xfId="260" xr:uid="{74FEA387-A4A1-4035-AA28-5B0B5E41AB4E}"/>
    <cellStyle name="20% - Accent3 2 8" xfId="261" xr:uid="{9C657F7C-73FE-461E-919B-D9A25639B0A0}"/>
    <cellStyle name="20% - Accent3 2 9" xfId="262" xr:uid="{7415DFD9-2CEF-4940-A593-478364DF9B8C}"/>
    <cellStyle name="20% - Accent3 3" xfId="27" xr:uid="{B3BB06C7-CA24-4B16-AA24-BAE3503BE7D5}"/>
    <cellStyle name="20% - Accent3 3 2" xfId="263" xr:uid="{26C0515D-F7D8-4A6D-80A8-10D538FBA43E}"/>
    <cellStyle name="20% - Accent3 4" xfId="264" xr:uid="{2A3F4B92-FF05-404F-ADF8-22BC6CBD16B0}"/>
    <cellStyle name="20% - Accent3 5" xfId="265" xr:uid="{04088AA3-DAE5-448B-A37F-64527AF88372}"/>
    <cellStyle name="20% - Accent3 6" xfId="266" xr:uid="{F06B011E-870A-4B27-B7A8-75818B9C5B47}"/>
    <cellStyle name="20% - Accent3 7" xfId="267" xr:uid="{8986D048-3F0F-4B4D-A80C-C4E88F377388}"/>
    <cellStyle name="20% - Accent3 8" xfId="268" xr:uid="{D7CEA7C2-88D5-40E4-B75E-55BE606DF72E}"/>
    <cellStyle name="20% - Accent4 2" xfId="28" xr:uid="{243C7257-EE36-4DF8-806C-EBF501820A91}"/>
    <cellStyle name="20% - Accent4 2 10" xfId="269" xr:uid="{28A8A1D5-0925-4081-99CE-7037D00F7062}"/>
    <cellStyle name="20% - Accent4 2 11" xfId="270" xr:uid="{195999F0-3A1F-40E3-A801-D5C6071D41AF}"/>
    <cellStyle name="20% - Accent4 2 12" xfId="271" xr:uid="{88055A13-1AC7-42AF-8960-3FE36803E5AA}"/>
    <cellStyle name="20% - Accent4 2 13" xfId="272" xr:uid="{6031A24E-7677-40FD-A413-83D0EE7389D9}"/>
    <cellStyle name="20% - Accent4 2 14" xfId="273" xr:uid="{6E5217BB-9732-42CA-8CF6-D792E0BB64C5}"/>
    <cellStyle name="20% - Accent4 2 15" xfId="274" xr:uid="{2BD5D122-56E4-4A52-9D33-7DA282A19E12}"/>
    <cellStyle name="20% - Accent4 2 2" xfId="275" xr:uid="{7FDCFF82-3076-4AAB-A799-5C2A9E7F714A}"/>
    <cellStyle name="20% - Accent4 2 3" xfId="276" xr:uid="{2C75F085-5914-48A1-BF33-1BFD984D72CC}"/>
    <cellStyle name="20% - Accent4 2 4" xfId="277" xr:uid="{059C934B-832C-455A-85F3-BDCE3A37BB63}"/>
    <cellStyle name="20% - Accent4 2 5" xfId="278" xr:uid="{3979DF69-05D3-4047-9974-D70EEBDA7DB8}"/>
    <cellStyle name="20% - Accent4 2 6" xfId="279" xr:uid="{3C3CE451-183A-489B-9FBB-B2C91AF9323B}"/>
    <cellStyle name="20% - Accent4 2 7" xfId="280" xr:uid="{53CCE484-3FE0-4494-A4AC-707B76F18E9A}"/>
    <cellStyle name="20% - Accent4 2 8" xfId="281" xr:uid="{33AD63EA-D4F6-4E3E-81E4-C3B079AAB7EE}"/>
    <cellStyle name="20% - Accent4 2 9" xfId="282" xr:uid="{BECDCA05-D7E8-4AD7-9AB2-44681D1F09BC}"/>
    <cellStyle name="20% - Accent4 3" xfId="29" xr:uid="{8521F3EE-D550-4B68-9A01-913A60E40582}"/>
    <cellStyle name="20% - Accent4 3 2" xfId="283" xr:uid="{205D1C7D-A710-45C9-B955-139FA5074610}"/>
    <cellStyle name="20% - Accent4 4" xfId="284" xr:uid="{F1E4FFE6-1453-4AF3-81B2-F653ADCAFCB2}"/>
    <cellStyle name="20% - Accent4 5" xfId="285" xr:uid="{C255A927-99D7-4F3F-86B7-DB3C70362D2D}"/>
    <cellStyle name="20% - Accent4 6" xfId="286" xr:uid="{642571D0-EF6D-4FF7-92A9-4EBE7FA41C94}"/>
    <cellStyle name="20% - Accent4 7" xfId="287" xr:uid="{F28BA875-47AA-44E8-870B-715203D193E0}"/>
    <cellStyle name="20% - Accent4 8" xfId="288" xr:uid="{BA62951A-8EB8-4CDF-A726-01BBA365A313}"/>
    <cellStyle name="20% - Accent5 2" xfId="30" xr:uid="{41DEF37E-9B85-4C89-B256-8A88F07FFB1B}"/>
    <cellStyle name="20% - Accent5 2 10" xfId="289" xr:uid="{FDD61EF4-B2A7-44E5-9B5D-3BC3B00D91BB}"/>
    <cellStyle name="20% - Accent5 2 11" xfId="290" xr:uid="{AFBE7B4B-35C5-445B-94D0-654FBC376CDE}"/>
    <cellStyle name="20% - Accent5 2 12" xfId="291" xr:uid="{C0D2E64D-8644-4FB4-A92B-F3E13AEDDDDD}"/>
    <cellStyle name="20% - Accent5 2 13" xfId="292" xr:uid="{91F5485A-E2CD-4ED7-A41B-139207142BA6}"/>
    <cellStyle name="20% - Accent5 2 14" xfId="293" xr:uid="{10F95C03-E3C2-47EE-A026-A4E79A25D2CD}"/>
    <cellStyle name="20% - Accent5 2 15" xfId="294" xr:uid="{DF45AC67-43CB-4342-8B96-1CA86AA75FF6}"/>
    <cellStyle name="20% - Accent5 2 2" xfId="295" xr:uid="{FD1AF1EF-E460-4E41-8D4A-8BFF11E82CF2}"/>
    <cellStyle name="20% - Accent5 2 3" xfId="296" xr:uid="{84AAC161-1FCE-416D-84B5-3D59C368B299}"/>
    <cellStyle name="20% - Accent5 2 4" xfId="297" xr:uid="{4201FA1D-4F49-47B9-AE8E-19D277D4ECDB}"/>
    <cellStyle name="20% - Accent5 2 5" xfId="298" xr:uid="{44AB8253-3875-4465-9FDF-2A4B943F751F}"/>
    <cellStyle name="20% - Accent5 2 6" xfId="299" xr:uid="{618DFE8C-E8A8-418B-802D-C42E1FF06804}"/>
    <cellStyle name="20% - Accent5 2 7" xfId="300" xr:uid="{5119F373-F58C-4DAE-A92D-6DDDD10D1005}"/>
    <cellStyle name="20% - Accent5 2 8" xfId="301" xr:uid="{6765100F-0718-42E6-A0BC-BA97DF80C830}"/>
    <cellStyle name="20% - Accent5 2 9" xfId="302" xr:uid="{6F69ED3F-53EF-451A-A7B9-DC010EACDE0B}"/>
    <cellStyle name="20% - Accent5 3" xfId="31" xr:uid="{B38C4185-D278-41E1-A5A4-6BD7E1C1FBE6}"/>
    <cellStyle name="20% - Accent5 4" xfId="303" xr:uid="{BF8B8BC1-420C-4D09-85D6-EEE4E1C662B7}"/>
    <cellStyle name="20% - Accent5 5" xfId="304" xr:uid="{0F94794F-D384-45B9-AC39-2C4DFD504A79}"/>
    <cellStyle name="20% - Accent5 6" xfId="305" xr:uid="{06231E31-A974-4C3B-AA03-02CE315D59AD}"/>
    <cellStyle name="20% - Accent5 7" xfId="306" xr:uid="{D0DDBC94-873F-4E7C-BD6B-605289E94235}"/>
    <cellStyle name="20% - Accent5 8" xfId="307" xr:uid="{046CAD78-A43F-4CB8-AB31-BD371CFA74BB}"/>
    <cellStyle name="20% - Accent6 2" xfId="32" xr:uid="{57FD0E4B-20AF-48C3-9783-B357DE68D30D}"/>
    <cellStyle name="20% - Accent6 2 10" xfId="308" xr:uid="{4A08819D-6EDD-4C53-B61F-C2F68C5D1301}"/>
    <cellStyle name="20% - Accent6 2 11" xfId="309" xr:uid="{C3E7B59B-8B58-4A1B-808A-4D08023690E0}"/>
    <cellStyle name="20% - Accent6 2 12" xfId="310" xr:uid="{85EBBC54-4526-4EA6-A1C0-FABF93DD32EC}"/>
    <cellStyle name="20% - Accent6 2 13" xfId="311" xr:uid="{2A1F07BA-6A0B-4F21-B020-7A38087AC08E}"/>
    <cellStyle name="20% - Accent6 2 14" xfId="312" xr:uid="{CE61AA5C-DDC9-4D6B-A4D7-A62CF4CF8DD1}"/>
    <cellStyle name="20% - Accent6 2 15" xfId="313" xr:uid="{AC26D9E4-1A56-47E3-A271-E69096567AAE}"/>
    <cellStyle name="20% - Accent6 2 2" xfId="314" xr:uid="{FF4849FF-57C6-455D-B3CB-BD6978BDAB64}"/>
    <cellStyle name="20% - Accent6 2 3" xfId="315" xr:uid="{F662EBF2-B7AD-4A9C-9ED8-4A4EA0C04D93}"/>
    <cellStyle name="20% - Accent6 2 4" xfId="316" xr:uid="{9DD1280B-96BF-47D2-89AD-FB391AF68207}"/>
    <cellStyle name="20% - Accent6 2 5" xfId="317" xr:uid="{30BAA71D-AB61-4D12-AAB1-A9C3920F216D}"/>
    <cellStyle name="20% - Accent6 2 6" xfId="318" xr:uid="{3AAD5766-A049-427A-915D-A49EF6717EB2}"/>
    <cellStyle name="20% - Accent6 2 7" xfId="319" xr:uid="{1716DB18-9BB5-4772-BF1C-CCA83C3F803D}"/>
    <cellStyle name="20% - Accent6 2 8" xfId="320" xr:uid="{52B8B5DF-83D8-40A0-A09A-0B891FE56A1A}"/>
    <cellStyle name="20% - Accent6 2 9" xfId="321" xr:uid="{78643A2D-3CAD-4E25-A50E-50611B21715E}"/>
    <cellStyle name="20% - Accent6 3" xfId="33" xr:uid="{0E855308-2D7C-446E-A8C5-A79D0700A727}"/>
    <cellStyle name="20% - Accent6 3 2" xfId="322" xr:uid="{E9597BEE-0E51-47AD-A49D-FF004485B099}"/>
    <cellStyle name="20% - Accent6 4" xfId="323" xr:uid="{A54A9805-FED5-4DF1-BB0B-369142A7EC91}"/>
    <cellStyle name="20% - Accent6 5" xfId="324" xr:uid="{7AEB8091-2788-435E-B6F1-C816646557C6}"/>
    <cellStyle name="20% - Accent6 6" xfId="325" xr:uid="{9B7D15D5-C1F8-4CF8-B3D2-C2EB54669089}"/>
    <cellStyle name="20% - Accent6 7" xfId="326" xr:uid="{13C0F39A-8FF6-450D-8FA7-C057ED5E6624}"/>
    <cellStyle name="20% - Accent6 8" xfId="327" xr:uid="{B9B43E43-C045-4F7B-BAA6-DC31E8B0EF40}"/>
    <cellStyle name="40% - Accent1 2" xfId="34" xr:uid="{25FEA04B-440B-4554-807C-B00D3336FC48}"/>
    <cellStyle name="40% - Accent1 2 10" xfId="328" xr:uid="{1AFBE23A-7FF1-4EC5-9CD1-EB837037D0AF}"/>
    <cellStyle name="40% - Accent1 2 11" xfId="329" xr:uid="{AC99D11B-8295-45FD-A651-E2686D9DCA78}"/>
    <cellStyle name="40% - Accent1 2 12" xfId="330" xr:uid="{C043E770-FD72-42C2-A635-F0465CB3B2AA}"/>
    <cellStyle name="40% - Accent1 2 13" xfId="331" xr:uid="{57E33816-26C4-4A17-B870-C902ABE54AD4}"/>
    <cellStyle name="40% - Accent1 2 14" xfId="332" xr:uid="{E130F625-C9D2-4014-9DF5-080E64302AA9}"/>
    <cellStyle name="40% - Accent1 2 15" xfId="333" xr:uid="{636CC113-2C6C-48FE-94CD-03ED5EE281AD}"/>
    <cellStyle name="40% - Accent1 2 2" xfId="334" xr:uid="{15D662FB-9081-4459-BF2B-AD24ACA4DC22}"/>
    <cellStyle name="40% - Accent1 2 3" xfId="335" xr:uid="{F4168D38-A2F9-4B81-95ED-3F10006E0625}"/>
    <cellStyle name="40% - Accent1 2 4" xfId="336" xr:uid="{D6DF9603-D8D3-4111-B4FF-6889E597ABA5}"/>
    <cellStyle name="40% - Accent1 2 5" xfId="337" xr:uid="{31634176-0886-4BC8-A432-13EC3E7283DE}"/>
    <cellStyle name="40% - Accent1 2 6" xfId="338" xr:uid="{CEFB8AA6-B90C-43E5-AE2A-36757486C956}"/>
    <cellStyle name="40% - Accent1 2 7" xfId="339" xr:uid="{2660269D-4CDA-458B-8969-A50D7E6590C3}"/>
    <cellStyle name="40% - Accent1 2 8" xfId="340" xr:uid="{5BC6617F-761D-417D-9266-ACDE58B0C678}"/>
    <cellStyle name="40% - Accent1 2 9" xfId="341" xr:uid="{A27A850E-FD5C-4B01-8A44-7DE498E8C846}"/>
    <cellStyle name="40% - Accent1 3" xfId="35" xr:uid="{C6E08CFA-54D1-46C5-9B22-7FBEBE71D8A9}"/>
    <cellStyle name="40% - Accent1 3 2" xfId="342" xr:uid="{12E0C3D3-EF2A-4030-B0D7-0669F9A9F590}"/>
    <cellStyle name="40% - Accent1 4" xfId="343" xr:uid="{0063FC19-778A-4C31-81E3-46D605A99921}"/>
    <cellStyle name="40% - Accent1 5" xfId="344" xr:uid="{099EDDB2-504D-4EAD-AAB1-0F0FA84109A4}"/>
    <cellStyle name="40% - Accent1 6" xfId="345" xr:uid="{9347AD66-418A-46A6-B51F-1A7070CD408C}"/>
    <cellStyle name="40% - Accent1 7" xfId="346" xr:uid="{4B77DC9A-0F22-455F-AD61-D9FC23A3BCBC}"/>
    <cellStyle name="40% - Accent1 8" xfId="347" xr:uid="{09E8C033-80D0-44EA-9B34-4A56FF92C19F}"/>
    <cellStyle name="40% - Accent2 2" xfId="36" xr:uid="{23C036EF-5E6E-467C-A3AB-6C239A4C1E32}"/>
    <cellStyle name="40% - Accent2 2 10" xfId="348" xr:uid="{F7CD66F5-B6C9-4146-8EEC-36807FC7D0A4}"/>
    <cellStyle name="40% - Accent2 2 11" xfId="349" xr:uid="{9BDDAD7C-0C34-43FA-A017-48626633BECA}"/>
    <cellStyle name="40% - Accent2 2 12" xfId="350" xr:uid="{4EAC678E-6CEF-4A3B-BF07-6355D5A45F43}"/>
    <cellStyle name="40% - Accent2 2 13" xfId="351" xr:uid="{FC3C07A7-F6E3-45A4-BDB4-AB6B857EE3B2}"/>
    <cellStyle name="40% - Accent2 2 14" xfId="352" xr:uid="{3E1F9127-1E75-4FAB-96D8-1EF8BA99A60C}"/>
    <cellStyle name="40% - Accent2 2 15" xfId="353" xr:uid="{E560B62A-F5F5-47F1-82F1-9DD0798AD67B}"/>
    <cellStyle name="40% - Accent2 2 2" xfId="354" xr:uid="{DC8C6A0B-AD50-4EC4-8214-80F24F598C9A}"/>
    <cellStyle name="40% - Accent2 2 3" xfId="355" xr:uid="{2CC7B658-156E-4D06-A2DE-451BA868136F}"/>
    <cellStyle name="40% - Accent2 2 4" xfId="356" xr:uid="{D75686CE-901E-44F1-A00F-318D769F5CE1}"/>
    <cellStyle name="40% - Accent2 2 5" xfId="357" xr:uid="{A123A80C-2CE3-4985-8E2A-32651968571A}"/>
    <cellStyle name="40% - Accent2 2 6" xfId="358" xr:uid="{499E4C87-19FA-4AC4-8FE9-853061320D5A}"/>
    <cellStyle name="40% - Accent2 2 7" xfId="359" xr:uid="{D4234EA8-7AF1-4F34-BEF6-E249E58F7106}"/>
    <cellStyle name="40% - Accent2 2 8" xfId="360" xr:uid="{58DC694A-8CEF-428C-9640-DA51D1475133}"/>
    <cellStyle name="40% - Accent2 2 9" xfId="361" xr:uid="{78D4884D-3AD2-404E-B926-7F27CB698162}"/>
    <cellStyle name="40% - Accent2 3" xfId="37" xr:uid="{2C29C7ED-0CED-4D10-9B86-65680838F0EE}"/>
    <cellStyle name="40% - Accent2 4" xfId="362" xr:uid="{875F3A2E-41C9-4344-A147-E4D21814A0BA}"/>
    <cellStyle name="40% - Accent2 5" xfId="363" xr:uid="{6772590D-5FF3-4215-A5E5-A8B2603D3F57}"/>
    <cellStyle name="40% - Accent2 6" xfId="364" xr:uid="{64169968-0D60-467F-B62B-0C60BFB2F545}"/>
    <cellStyle name="40% - Accent2 7" xfId="365" xr:uid="{C6C537C7-A100-4402-AB25-A264D7740EFA}"/>
    <cellStyle name="40% - Accent2 8" xfId="366" xr:uid="{EAB25353-945F-4D7A-AD25-A2C43DF1479A}"/>
    <cellStyle name="40% - Accent3 2" xfId="38" xr:uid="{A3AADB85-B3E7-436B-98E5-300FB71DCAC3}"/>
    <cellStyle name="40% - Accent3 2 10" xfId="367" xr:uid="{0818E95B-0EE3-481C-A643-9B9111CB2C20}"/>
    <cellStyle name="40% - Accent3 2 11" xfId="368" xr:uid="{98FC5DE3-6457-4886-8A65-8D2A1D4B8717}"/>
    <cellStyle name="40% - Accent3 2 12" xfId="369" xr:uid="{E468AC27-B65C-4E4F-84FD-C666D35FA062}"/>
    <cellStyle name="40% - Accent3 2 13" xfId="370" xr:uid="{04377C2A-4C9C-47CE-9788-441D1912B2C8}"/>
    <cellStyle name="40% - Accent3 2 14" xfId="371" xr:uid="{C8782263-641F-4B94-9B60-56FBD8D61BE6}"/>
    <cellStyle name="40% - Accent3 2 15" xfId="372" xr:uid="{B27C0C62-DFEA-4917-98E5-CEF08BDD32D2}"/>
    <cellStyle name="40% - Accent3 2 2" xfId="373" xr:uid="{A7446097-545F-4722-B046-0BF6A3390685}"/>
    <cellStyle name="40% - Accent3 2 3" xfId="374" xr:uid="{89822767-DA9D-480D-8B7B-0CF7A2044F30}"/>
    <cellStyle name="40% - Accent3 2 4" xfId="375" xr:uid="{A2AB5EB4-A2DE-4BBE-A85B-57F56DA561E1}"/>
    <cellStyle name="40% - Accent3 2 5" xfId="376" xr:uid="{BD8A59ED-2A42-4986-B812-07B8312EBDCA}"/>
    <cellStyle name="40% - Accent3 2 6" xfId="377" xr:uid="{CD152B29-0670-44A1-9F71-B1178AC9D09C}"/>
    <cellStyle name="40% - Accent3 2 7" xfId="378" xr:uid="{BA744B44-A9F4-4BD0-A615-A4F96E2FBAAB}"/>
    <cellStyle name="40% - Accent3 2 8" xfId="379" xr:uid="{EB8B5A64-21DF-42DE-B401-7AA4A4723F20}"/>
    <cellStyle name="40% - Accent3 2 9" xfId="380" xr:uid="{610BC09E-0106-4EC9-9F05-E3F693C510A2}"/>
    <cellStyle name="40% - Accent3 3" xfId="39" xr:uid="{A8F39EC6-BABD-482C-AA73-AF84D37EF556}"/>
    <cellStyle name="40% - Accent3 3 2" xfId="381" xr:uid="{CCECC824-EF39-4BE8-9CAF-92D4A9F4AAB3}"/>
    <cellStyle name="40% - Accent3 4" xfId="382" xr:uid="{D59674D3-7633-4938-A493-3C9B7D2BBD81}"/>
    <cellStyle name="40% - Accent3 5" xfId="383" xr:uid="{F0BA6705-D3D5-4643-91EE-5A35D76B2A78}"/>
    <cellStyle name="40% - Accent3 6" xfId="384" xr:uid="{AB55A09F-CB57-47A9-A10F-988215DF6B0D}"/>
    <cellStyle name="40% - Accent3 7" xfId="385" xr:uid="{629F8346-7271-4F3F-83E9-410F56D8779C}"/>
    <cellStyle name="40% - Accent3 8" xfId="386" xr:uid="{3CECEFC9-8ADA-4EA7-874E-320B9253308E}"/>
    <cellStyle name="40% - Accent4 2" xfId="40" xr:uid="{776E9A0A-E667-471F-8E1D-0FA32D0BE7BE}"/>
    <cellStyle name="40% - Accent4 2 10" xfId="387" xr:uid="{DE2053B1-C4D5-49F4-8063-1CB8404857D7}"/>
    <cellStyle name="40% - Accent4 2 11" xfId="388" xr:uid="{10B0AED4-8A63-4EA4-8C22-C7670A8740C3}"/>
    <cellStyle name="40% - Accent4 2 12" xfId="389" xr:uid="{815E1F98-E1F8-4513-854C-B142795C25D4}"/>
    <cellStyle name="40% - Accent4 2 13" xfId="390" xr:uid="{02433222-FE01-4EE7-B725-9A73B9951EAC}"/>
    <cellStyle name="40% - Accent4 2 14" xfId="391" xr:uid="{FFC539D3-371F-473E-8B27-727EDAB92A81}"/>
    <cellStyle name="40% - Accent4 2 15" xfId="392" xr:uid="{BB313738-E47D-4EE1-A3BB-0BDDF5136DFA}"/>
    <cellStyle name="40% - Accent4 2 2" xfId="393" xr:uid="{C8A8E4E0-387B-4B18-903B-274B4C4D7320}"/>
    <cellStyle name="40% - Accent4 2 3" xfId="394" xr:uid="{C1C91E8F-EB1B-403E-A322-D93A039A1A08}"/>
    <cellStyle name="40% - Accent4 2 4" xfId="395" xr:uid="{936A705A-ABDB-4CF4-B139-B27C97334E8B}"/>
    <cellStyle name="40% - Accent4 2 5" xfId="396" xr:uid="{FAE5D2EF-D9B7-4E10-8802-0A1981FBA91A}"/>
    <cellStyle name="40% - Accent4 2 6" xfId="397" xr:uid="{BDD6DDF6-728C-4013-8B9D-8D25D34D8BD9}"/>
    <cellStyle name="40% - Accent4 2 7" xfId="398" xr:uid="{BB947DAD-0996-41E2-BA08-0E1217F56D90}"/>
    <cellStyle name="40% - Accent4 2 8" xfId="399" xr:uid="{2B816A46-257B-4D92-AA76-95E037701990}"/>
    <cellStyle name="40% - Accent4 2 9" xfId="400" xr:uid="{3CADEAF1-5788-4EC9-B070-8B57CD3690C3}"/>
    <cellStyle name="40% - Accent4 3" xfId="41" xr:uid="{C96E3669-761A-466E-90FC-F85D49E0F8E2}"/>
    <cellStyle name="40% - Accent4 3 2" xfId="401" xr:uid="{3443F2A3-5FE0-4373-9840-F5718ED11347}"/>
    <cellStyle name="40% - Accent4 4" xfId="402" xr:uid="{360ABF48-B5D8-451B-9AD4-A1DBFA60804A}"/>
    <cellStyle name="40% - Accent4 5" xfId="403" xr:uid="{9932999B-D6E0-488D-B929-2650F9CA6DD2}"/>
    <cellStyle name="40% - Accent4 6" xfId="404" xr:uid="{0B5E645D-BC4E-4FD8-83DE-CB3A1A36E454}"/>
    <cellStyle name="40% - Accent4 7" xfId="405" xr:uid="{25DFFE7C-5DB3-49DB-9539-2C2CD293BA59}"/>
    <cellStyle name="40% - Accent4 8" xfId="406" xr:uid="{674FFCAF-1CB3-4D2F-8200-08260E85C299}"/>
    <cellStyle name="40% - Accent5 2" xfId="42" xr:uid="{F1B5EF93-07F1-44A3-8899-0DEE934407E1}"/>
    <cellStyle name="40% - Accent5 2 10" xfId="407" xr:uid="{C45FB563-99AC-402D-9184-389FA36789DE}"/>
    <cellStyle name="40% - Accent5 2 11" xfId="408" xr:uid="{AE3B50BD-2EDC-40C9-8B4B-4BA49EC70C3E}"/>
    <cellStyle name="40% - Accent5 2 12" xfId="409" xr:uid="{DB1B2F7D-7F60-45C6-92A0-A1E6E48A51F6}"/>
    <cellStyle name="40% - Accent5 2 13" xfId="410" xr:uid="{DC78834A-7AC9-44A4-BCBD-9829CE9AC72C}"/>
    <cellStyle name="40% - Accent5 2 14" xfId="411" xr:uid="{69A9A1CF-FB93-4618-AE30-BBE98EA73843}"/>
    <cellStyle name="40% - Accent5 2 15" xfId="412" xr:uid="{0A007E43-DEB5-456B-A690-69B5F3961AFD}"/>
    <cellStyle name="40% - Accent5 2 2" xfId="413" xr:uid="{70469AF8-0B36-42E4-8FA8-75B22FEA729E}"/>
    <cellStyle name="40% - Accent5 2 3" xfId="414" xr:uid="{C9902FA1-5AFE-4F13-97D9-ABEAE1F29FB8}"/>
    <cellStyle name="40% - Accent5 2 4" xfId="415" xr:uid="{2896AA8E-6F35-4613-9781-C9EB2AAE0008}"/>
    <cellStyle name="40% - Accent5 2 5" xfId="416" xr:uid="{EBA5A1AC-70A4-4A64-867D-9590E670660C}"/>
    <cellStyle name="40% - Accent5 2 6" xfId="417" xr:uid="{92806B1C-62B3-4564-A1F7-A7B150574952}"/>
    <cellStyle name="40% - Accent5 2 7" xfId="418" xr:uid="{2046EB12-A368-4CDD-BEC5-25BFA2D37777}"/>
    <cellStyle name="40% - Accent5 2 8" xfId="419" xr:uid="{2F17CBF3-509C-4C7C-9D83-F846CD8E7C30}"/>
    <cellStyle name="40% - Accent5 2 9" xfId="420" xr:uid="{79BB535E-98CD-4A89-AC33-654AC72BFAF6}"/>
    <cellStyle name="40% - Accent5 3" xfId="43" xr:uid="{21AA9746-B33C-4B36-9658-856E8229DB95}"/>
    <cellStyle name="40% - Accent5 3 2" xfId="421" xr:uid="{FA595AA7-B3D7-4141-AAFC-518256DF1D46}"/>
    <cellStyle name="40% - Accent5 4" xfId="422" xr:uid="{13F8891E-C607-4397-9E0E-8BB3D0909BCF}"/>
    <cellStyle name="40% - Accent5 5" xfId="423" xr:uid="{54294764-1F89-44E8-BFD8-42281C02ED25}"/>
    <cellStyle name="40% - Accent5 6" xfId="424" xr:uid="{2FD48322-EA43-4F0A-AC32-0270109560F5}"/>
    <cellStyle name="40% - Accent5 7" xfId="425" xr:uid="{B8C4A3ED-1200-407E-ACB4-E70679C3AB4D}"/>
    <cellStyle name="40% - Accent5 8" xfId="426" xr:uid="{38ABB970-2460-474A-9C4C-DA691E405647}"/>
    <cellStyle name="40% - Accent6 2" xfId="44" xr:uid="{40240571-98A0-44DD-9D25-9CACFB4D5512}"/>
    <cellStyle name="40% - Accent6 2 10" xfId="427" xr:uid="{3B943786-756C-4A30-AD76-A3659C1594B9}"/>
    <cellStyle name="40% - Accent6 2 11" xfId="428" xr:uid="{FC28746C-A807-4E61-A0CD-B2E05B280D11}"/>
    <cellStyle name="40% - Accent6 2 12" xfId="429" xr:uid="{64F0BC76-10DE-4B23-9849-6E6F01D349CA}"/>
    <cellStyle name="40% - Accent6 2 13" xfId="430" xr:uid="{D705B451-2788-48B6-B4A0-BF8217ECA79D}"/>
    <cellStyle name="40% - Accent6 2 14" xfId="431" xr:uid="{51247ED2-ADF7-4E0C-A74B-81D67B5C7ACC}"/>
    <cellStyle name="40% - Accent6 2 15" xfId="432" xr:uid="{87C987EC-D84C-40BF-B463-E1F92A0BAFA9}"/>
    <cellStyle name="40% - Accent6 2 2" xfId="433" xr:uid="{36E72ECA-EC4A-4264-BE42-FB782B460B01}"/>
    <cellStyle name="40% - Accent6 2 3" xfId="434" xr:uid="{C1E3206B-89EC-43B1-AF34-D06E6953D389}"/>
    <cellStyle name="40% - Accent6 2 4" xfId="435" xr:uid="{90AC4613-550E-4620-820A-8727C2FD2CEB}"/>
    <cellStyle name="40% - Accent6 2 5" xfId="436" xr:uid="{5465569C-DACF-4A97-8CDE-E4AF923B88BE}"/>
    <cellStyle name="40% - Accent6 2 6" xfId="437" xr:uid="{65ADCC1F-6186-4DDA-8B4D-94D8FB73CDE9}"/>
    <cellStyle name="40% - Accent6 2 7" xfId="438" xr:uid="{1795E2E1-2551-424C-A311-3FC373F284CF}"/>
    <cellStyle name="40% - Accent6 2 8" xfId="439" xr:uid="{4B09A933-53E2-4BD0-A24D-30A1B5B2A2E8}"/>
    <cellStyle name="40% - Accent6 2 9" xfId="440" xr:uid="{40C1C5DA-FF42-445F-8300-525A74B91E89}"/>
    <cellStyle name="40% - Accent6 3" xfId="45" xr:uid="{4C75A2A9-F9E2-4A9D-A988-316BC9A41C46}"/>
    <cellStyle name="40% - Accent6 3 2" xfId="441" xr:uid="{A1E991DC-AF8E-40C3-B5B5-33CAD93FF8AA}"/>
    <cellStyle name="40% - Accent6 4" xfId="442" xr:uid="{170C58E6-31EA-487D-8FB5-1FA60F572417}"/>
    <cellStyle name="40% - Accent6 5" xfId="443" xr:uid="{64DB3092-4F62-462E-AA77-5528F4E9008A}"/>
    <cellStyle name="40% - Accent6 6" xfId="444" xr:uid="{AAD297DA-6830-46D1-BE7A-066D9E1F3BBF}"/>
    <cellStyle name="40% - Accent6 7" xfId="445" xr:uid="{7848E78A-7CE8-4BB4-BA2E-0E9D9F47EF1C}"/>
    <cellStyle name="40% - Accent6 8" xfId="446" xr:uid="{D9C264FA-93FD-45C3-93DE-7A565413A3D8}"/>
    <cellStyle name="5x indented GHG Textfiels" xfId="197" xr:uid="{C57AACE8-DBA1-4104-9950-4C2131828CFD}"/>
    <cellStyle name="5x indented GHG Textfiels 2" xfId="447" xr:uid="{BEBC2904-2C21-435A-B901-A88687CAA4A7}"/>
    <cellStyle name="5x indented GHG Textfiels 2 2" xfId="1865" xr:uid="{CE9ACCA2-D118-4F8B-B552-67915EF7B3ED}"/>
    <cellStyle name="5x indented GHG Textfiels 3" xfId="1864" xr:uid="{A5C14428-D691-4FB7-9C3B-5EB137A784A6}"/>
    <cellStyle name="60% - Accent1 2" xfId="46" xr:uid="{5AE9B5C3-040C-43A4-B52A-D772FCA0097B}"/>
    <cellStyle name="60% - Accent1 2 10" xfId="448" xr:uid="{6B10C421-1B05-45D5-9169-E8F4F035EBE5}"/>
    <cellStyle name="60% - Accent1 2 2" xfId="449" xr:uid="{89378E77-903E-4461-937E-4FFD16345A0D}"/>
    <cellStyle name="60% - Accent1 2 3" xfId="450" xr:uid="{AB70A043-7678-4B6B-8EDD-D3FC2815EB55}"/>
    <cellStyle name="60% - Accent1 2 4" xfId="451" xr:uid="{70A2EC64-3EB8-4EA7-A047-34A5A6204BED}"/>
    <cellStyle name="60% - Accent1 2 5" xfId="452" xr:uid="{92AD9DE5-1160-432A-A827-8A1CFA0C2808}"/>
    <cellStyle name="60% - Accent1 2 6" xfId="453" xr:uid="{B56B2C7F-9F9E-44DA-B159-B419B33D7086}"/>
    <cellStyle name="60% - Accent1 2 7" xfId="454" xr:uid="{0584F2C6-4F0E-4D9F-8414-15302FBA28FF}"/>
    <cellStyle name="60% - Accent1 2 8" xfId="455" xr:uid="{1BD19DA7-B6C6-4487-9AE1-6D44C9069CD3}"/>
    <cellStyle name="60% - Accent1 2 9" xfId="456" xr:uid="{C430D6BA-B350-4402-82D7-8B1F17B923A5}"/>
    <cellStyle name="60% - Accent1 3" xfId="47" xr:uid="{0F4EF802-94A9-4C27-8F06-1698640373D9}"/>
    <cellStyle name="60% - Accent1 3 2" xfId="457" xr:uid="{3C2FC45A-451B-4B81-9825-8D33C7FF46E2}"/>
    <cellStyle name="60% - Accent2 2" xfId="48" xr:uid="{1585BD97-2F49-46F7-B73A-49D5A727E543}"/>
    <cellStyle name="60% - Accent2 2 10" xfId="458" xr:uid="{2355B1F8-B42E-4FBF-B552-DF85C0A971BD}"/>
    <cellStyle name="60% - Accent2 2 2" xfId="459" xr:uid="{5C1D40BB-9F9A-4A97-B803-8BA2A56309A7}"/>
    <cellStyle name="60% - Accent2 2 3" xfId="460" xr:uid="{6AC99D2E-74BB-4F1F-B6E8-B73B1FE417EC}"/>
    <cellStyle name="60% - Accent2 2 4" xfId="461" xr:uid="{AC744B94-333A-4AC2-B337-5B716A64CB09}"/>
    <cellStyle name="60% - Accent2 2 5" xfId="462" xr:uid="{22A71699-5EA5-4AFD-B81A-D997CB94E7E3}"/>
    <cellStyle name="60% - Accent2 2 6" xfId="463" xr:uid="{B5F62AB7-43BE-4604-87E7-8F83685B226A}"/>
    <cellStyle name="60% - Accent2 2 7" xfId="464" xr:uid="{0678551D-BD43-46A8-9AB2-59AD9FFA6C18}"/>
    <cellStyle name="60% - Accent2 2 8" xfId="465" xr:uid="{13ADEA96-68BA-4AD1-A2EC-0C5343525A51}"/>
    <cellStyle name="60% - Accent2 2 9" xfId="466" xr:uid="{8B079EE6-A810-42CF-86A6-A5CDC1EBCCC7}"/>
    <cellStyle name="60% - Accent2 3" xfId="49" xr:uid="{5A6CC8E4-342E-49F2-B8F9-FE1F82A585C7}"/>
    <cellStyle name="60% - Accent2 3 2" xfId="467" xr:uid="{6FA84A81-97ED-4E1C-A431-4E5D7F2B1406}"/>
    <cellStyle name="60% - Accent3 2" xfId="50" xr:uid="{149F7027-A0E2-4D02-99A4-72DC2A393F23}"/>
    <cellStyle name="60% - Accent3 2 10" xfId="468" xr:uid="{8B824965-DA90-488D-923E-BC6EBD0CBE44}"/>
    <cellStyle name="60% - Accent3 2 2" xfId="469" xr:uid="{A51DB733-0154-43C3-892A-E680073620C7}"/>
    <cellStyle name="60% - Accent3 2 3" xfId="470" xr:uid="{4635E4FA-DBF1-44C7-8164-1ED9CC3109B7}"/>
    <cellStyle name="60% - Accent3 2 4" xfId="471" xr:uid="{5283F7F5-3D16-405A-B875-86F0600D6E57}"/>
    <cellStyle name="60% - Accent3 2 5" xfId="472" xr:uid="{6054BA37-D3FA-4F45-B1E4-FE3ACD541D0F}"/>
    <cellStyle name="60% - Accent3 2 6" xfId="473" xr:uid="{15BEDB2C-F854-4160-ABDB-FC307ADCA179}"/>
    <cellStyle name="60% - Accent3 2 7" xfId="474" xr:uid="{E06F953D-716D-4032-8426-E731CEA5E1C5}"/>
    <cellStyle name="60% - Accent3 2 8" xfId="475" xr:uid="{A5C762BC-9550-497D-804E-C761DF87EAD0}"/>
    <cellStyle name="60% - Accent3 2 9" xfId="476" xr:uid="{6598E74A-E6AE-4221-8684-D0DD8DD39B35}"/>
    <cellStyle name="60% - Accent3 3" xfId="51" xr:uid="{68CFF44B-EB8E-40B0-BE83-205D156238FA}"/>
    <cellStyle name="60% - Accent3 3 2" xfId="477" xr:uid="{B14DD74F-9C4F-4313-8935-92D59475C4CB}"/>
    <cellStyle name="60% - Accent4 2" xfId="52" xr:uid="{C4F539C5-65B8-4AA5-8789-0A21CEC562D4}"/>
    <cellStyle name="60% - Accent4 2 10" xfId="478" xr:uid="{CEA6820B-6F70-416A-9D33-9FC74BA588BC}"/>
    <cellStyle name="60% - Accent4 2 2" xfId="479" xr:uid="{092F61B9-2405-4112-8DCD-27EE022F0F83}"/>
    <cellStyle name="60% - Accent4 2 3" xfId="480" xr:uid="{44D3CE6C-EC53-4026-BB4A-1B462B35F038}"/>
    <cellStyle name="60% - Accent4 2 4" xfId="481" xr:uid="{C41485B0-3DEF-41F9-9BE5-ADDACE5000E1}"/>
    <cellStyle name="60% - Accent4 2 5" xfId="482" xr:uid="{E5B98035-B269-46BD-82DA-0BC3A8C2C909}"/>
    <cellStyle name="60% - Accent4 2 6" xfId="483" xr:uid="{EBD591FE-64E0-4A95-B864-536E55A765C9}"/>
    <cellStyle name="60% - Accent4 2 7" xfId="484" xr:uid="{462DEC52-7653-459D-8765-62158B1DEDF5}"/>
    <cellStyle name="60% - Accent4 2 8" xfId="485" xr:uid="{A1E0AA6D-DEE3-4A98-AE94-16AD6D31362C}"/>
    <cellStyle name="60% - Accent4 2 9" xfId="486" xr:uid="{74F3F6E7-B964-4073-89A1-F7EEB5FE287C}"/>
    <cellStyle name="60% - Accent4 3" xfId="53" xr:uid="{45CC3224-D2A4-4D4E-8043-B7B339B2FDEA}"/>
    <cellStyle name="60% - Accent4 3 2" xfId="487" xr:uid="{A5AE6009-173A-4D13-A587-8F139EEF9830}"/>
    <cellStyle name="60% - Accent5 2" xfId="54" xr:uid="{DD99C832-BE6C-4AE8-9BDC-8206E4A3AF06}"/>
    <cellStyle name="60% - Accent5 2 10" xfId="488" xr:uid="{CA0B5658-8E10-4543-A4CD-775431A747D9}"/>
    <cellStyle name="60% - Accent5 2 2" xfId="489" xr:uid="{BDCBB332-6EE6-482A-B9B6-A889E68ABDC3}"/>
    <cellStyle name="60% - Accent5 2 3" xfId="490" xr:uid="{6E0DD9C2-EC7A-4489-BBAF-3D5356A1AB18}"/>
    <cellStyle name="60% - Accent5 2 4" xfId="491" xr:uid="{EDBDD143-59DE-4350-BA70-C19A8128937F}"/>
    <cellStyle name="60% - Accent5 2 5" xfId="492" xr:uid="{588010D1-EA1D-46F2-944C-D5479A9E4E57}"/>
    <cellStyle name="60% - Accent5 2 6" xfId="493" xr:uid="{3E41BF60-FB7D-414D-93AC-E5B4E5703F0E}"/>
    <cellStyle name="60% - Accent5 2 7" xfId="494" xr:uid="{D24F41A2-E1AC-4F74-8A55-1894CF8CE69D}"/>
    <cellStyle name="60% - Accent5 2 8" xfId="495" xr:uid="{4DF09B49-EA2C-4300-BDC0-FC3B2B44349C}"/>
    <cellStyle name="60% - Accent5 2 9" xfId="496" xr:uid="{DAC487DC-68A9-4862-9D78-50980885DD68}"/>
    <cellStyle name="60% - Accent5 3" xfId="55" xr:uid="{244F699F-E476-407F-A2D1-CB2C70DE0AE6}"/>
    <cellStyle name="60% - Accent5 3 2" xfId="497" xr:uid="{14D7098B-7A33-4F7A-A1A9-E324F4F80E97}"/>
    <cellStyle name="60% - Accent6 2" xfId="56" xr:uid="{C7B30D2F-A3E5-4A0F-B742-F386E232FC61}"/>
    <cellStyle name="60% - Accent6 2 10" xfId="498" xr:uid="{26673CCE-E569-4E2E-A0F5-BE0089C8EC55}"/>
    <cellStyle name="60% - Accent6 2 2" xfId="499" xr:uid="{20E2B321-9747-49ED-8C88-FDD09148C1D3}"/>
    <cellStyle name="60% - Accent6 2 3" xfId="500" xr:uid="{F1115754-1CBE-4FDC-9043-523EBEC752D8}"/>
    <cellStyle name="60% - Accent6 2 4" xfId="501" xr:uid="{5BA756D2-18EE-4CDD-9F4A-0139941AFFE6}"/>
    <cellStyle name="60% - Accent6 2 5" xfId="502" xr:uid="{61646AD5-519C-4C29-B859-404A13BA084C}"/>
    <cellStyle name="60% - Accent6 2 6" xfId="503" xr:uid="{6E83C5CA-2D3C-4B4B-B3FA-C862BBECC9CD}"/>
    <cellStyle name="60% - Accent6 2 7" xfId="504" xr:uid="{9AEA9C58-BF76-4DCC-B987-C6573780E5BA}"/>
    <cellStyle name="60% - Accent6 2 8" xfId="505" xr:uid="{CC1269B0-637F-49D4-876B-1E4A8773379D}"/>
    <cellStyle name="60% - Accent6 2 9" xfId="506" xr:uid="{83222B2B-90F2-4E94-87AB-A692013B470C}"/>
    <cellStyle name="60% - Accent6 3" xfId="57" xr:uid="{1FEC983B-41F7-466C-BCF5-B1FCBBA4070D}"/>
    <cellStyle name="60% - Accent6 3 2" xfId="507" xr:uid="{ECE2DBD1-F4B7-4411-9EB8-D40C7847E1A7}"/>
    <cellStyle name="Accent1 2" xfId="58" xr:uid="{36FDCBAC-59B6-4A7E-96CB-E47CA32BE0BA}"/>
    <cellStyle name="Accent1 2 10" xfId="508" xr:uid="{D44F4AE0-2857-4A38-B758-B54B4A4E8003}"/>
    <cellStyle name="Accent1 2 2" xfId="509" xr:uid="{EBEECDF3-8BD3-47BC-B129-19C53230CCDF}"/>
    <cellStyle name="Accent1 2 3" xfId="510" xr:uid="{8BA0106C-AB85-46AA-9F9A-8EAF3CBA23AA}"/>
    <cellStyle name="Accent1 2 4" xfId="511" xr:uid="{5268AFD9-2249-4FBE-B45F-1CF206EE013E}"/>
    <cellStyle name="Accent1 2 5" xfId="512" xr:uid="{988AF87E-C724-45A8-9185-9AE9AAC451BB}"/>
    <cellStyle name="Accent1 2 6" xfId="513" xr:uid="{3DF3F26E-2F53-44F3-A54D-812FF8A31D00}"/>
    <cellStyle name="Accent1 2 7" xfId="514" xr:uid="{A3BB3913-2E20-44D8-8388-CFC00CD40504}"/>
    <cellStyle name="Accent1 2 8" xfId="515" xr:uid="{A1ADAAA1-7B9C-4844-BC7E-FDEA8F8D7356}"/>
    <cellStyle name="Accent1 2 9" xfId="516" xr:uid="{6122CFB1-FFE8-49B8-A54D-2CFF4E50C95E}"/>
    <cellStyle name="Accent1 3" xfId="59" xr:uid="{5B15924B-E913-4E42-B5FA-22EA16279209}"/>
    <cellStyle name="Accent1 3 2" xfId="517" xr:uid="{9096C969-B128-4183-A556-15A22676F109}"/>
    <cellStyle name="Accent2 2" xfId="60" xr:uid="{EE551EEE-B371-4FF6-997C-4F56A3DAB6F1}"/>
    <cellStyle name="Accent2 2 10" xfId="518" xr:uid="{200744BE-6960-40C6-B1B8-13B107B85F0F}"/>
    <cellStyle name="Accent2 2 2" xfId="519" xr:uid="{1AD1CA8A-8DCB-4179-BDE0-E16742B61E83}"/>
    <cellStyle name="Accent2 2 3" xfId="520" xr:uid="{8B447864-E0BF-4BA7-A74E-26F0D862BFBD}"/>
    <cellStyle name="Accent2 2 4" xfId="521" xr:uid="{C395D78D-F7FE-448E-9D47-0AC2FF2FEEF9}"/>
    <cellStyle name="Accent2 2 5" xfId="522" xr:uid="{7C90E38C-3B9B-49A5-B570-27A410B839C8}"/>
    <cellStyle name="Accent2 2 6" xfId="523" xr:uid="{41CC84F8-FEB7-429F-9377-2F8009301496}"/>
    <cellStyle name="Accent2 2 7" xfId="524" xr:uid="{6A3A9F4C-AFE0-4DD5-8B60-D9A838C1F1B7}"/>
    <cellStyle name="Accent2 2 8" xfId="525" xr:uid="{4956B659-42FA-4009-8827-68E307490DF4}"/>
    <cellStyle name="Accent2 2 9" xfId="526" xr:uid="{86D06634-5AC3-440C-ADAD-A6674D719EEB}"/>
    <cellStyle name="Accent2 3" xfId="61" xr:uid="{EC5697BD-8811-401D-AE0B-B04DC36C3B0C}"/>
    <cellStyle name="Accent2 3 2" xfId="527" xr:uid="{A7D25931-ABBB-4EF1-AAF5-C177065D5C29}"/>
    <cellStyle name="Accent3 2" xfId="62" xr:uid="{1BFF5FBE-2FF4-41F9-89C9-2FF0B5D1CA57}"/>
    <cellStyle name="Accent3 2 10" xfId="528" xr:uid="{312D943B-CA0C-4ABB-A955-BBF893A721BF}"/>
    <cellStyle name="Accent3 2 2" xfId="529" xr:uid="{266DC9E5-1E26-4643-BC67-C3C8E064A18D}"/>
    <cellStyle name="Accent3 2 3" xfId="530" xr:uid="{0610B655-F687-4E37-828A-FD9C6CC24B4F}"/>
    <cellStyle name="Accent3 2 4" xfId="531" xr:uid="{CB5677B1-5AE5-4728-9659-470AD1AC2937}"/>
    <cellStyle name="Accent3 2 5" xfId="532" xr:uid="{32F2E93D-275B-4DBC-931E-F35F6CB224A8}"/>
    <cellStyle name="Accent3 2 6" xfId="533" xr:uid="{2909BAC2-50B8-4C3D-AD5E-F34E98026348}"/>
    <cellStyle name="Accent3 2 7" xfId="534" xr:uid="{6901431A-9D1B-4F09-BADC-E2B40A5DAC50}"/>
    <cellStyle name="Accent3 2 8" xfId="535" xr:uid="{9CB1CDA9-881F-4A9B-9863-C5BE560C77C0}"/>
    <cellStyle name="Accent3 2 9" xfId="536" xr:uid="{9BDD94F6-1CBF-428F-9447-3791FC66D097}"/>
    <cellStyle name="Accent3 3" xfId="63" xr:uid="{FCEC030C-5249-45BB-B2D8-6B15E34FFA4F}"/>
    <cellStyle name="Accent3 3 2" xfId="537" xr:uid="{F04F9480-D2B4-4291-A3B2-5DA5B22977FB}"/>
    <cellStyle name="Accent4 2" xfId="64" xr:uid="{02F883D3-7978-4FA9-ADC2-525BB6880485}"/>
    <cellStyle name="Accent4 2 10" xfId="538" xr:uid="{0EB6D0EA-6EFE-491B-B1D0-65D1355FBD70}"/>
    <cellStyle name="Accent4 2 2" xfId="539" xr:uid="{2FB5EB51-C608-44BE-A030-9AFE6CB4CC9C}"/>
    <cellStyle name="Accent4 2 3" xfId="540" xr:uid="{3712D988-29B2-4F99-8DCE-14FC0B17EEC0}"/>
    <cellStyle name="Accent4 2 4" xfId="541" xr:uid="{A6C22265-7144-4D3E-8239-E3252CEEE0BB}"/>
    <cellStyle name="Accent4 2 5" xfId="542" xr:uid="{DF96F316-D220-4505-952A-0B5A11B5ACA3}"/>
    <cellStyle name="Accent4 2 6" xfId="543" xr:uid="{5D6D3FA8-8ACE-4503-A31F-895C12B097B6}"/>
    <cellStyle name="Accent4 2 7" xfId="544" xr:uid="{80E0858B-082E-4524-87E5-518F89AD745A}"/>
    <cellStyle name="Accent4 2 8" xfId="545" xr:uid="{6E711A63-4014-4C6F-8765-DE4D36440D6B}"/>
    <cellStyle name="Accent4 2 9" xfId="546" xr:uid="{E8ED3747-F6B0-4FA1-9C84-F7EE8DABDAE8}"/>
    <cellStyle name="Accent4 3" xfId="65" xr:uid="{F28ECE69-4CD8-4FD5-BC4C-0BB487E3C5B5}"/>
    <cellStyle name="Accent4 3 2" xfId="547" xr:uid="{BE9B68F0-7391-4CB1-A85E-5EDE5700B741}"/>
    <cellStyle name="Accent5 2" xfId="66" xr:uid="{89BF7F86-6EA1-4B9F-96E1-17E3993221EA}"/>
    <cellStyle name="Accent5 2 10" xfId="548" xr:uid="{8221DFF9-FC5E-440B-8CED-D85CBF36352A}"/>
    <cellStyle name="Accent5 2 2" xfId="549" xr:uid="{A420C240-19FE-448E-93AE-4D2A28432563}"/>
    <cellStyle name="Accent5 2 3" xfId="550" xr:uid="{012F114D-BA5B-4791-B11D-5452CCCEC4CD}"/>
    <cellStyle name="Accent5 2 4" xfId="551" xr:uid="{508E8BEB-27B0-4F7D-9C15-FF0E74A6F3C7}"/>
    <cellStyle name="Accent5 2 5" xfId="552" xr:uid="{08B5A56D-6BB4-4530-84C9-7D18E8BC93B5}"/>
    <cellStyle name="Accent5 2 6" xfId="553" xr:uid="{49640ACC-D9A5-4C50-A5BD-9F424074F4E0}"/>
    <cellStyle name="Accent5 2 7" xfId="554" xr:uid="{8324FADA-9D1E-4D82-8F34-4C9986C18F50}"/>
    <cellStyle name="Accent5 2 8" xfId="555" xr:uid="{4AE1C585-2F8B-47BE-9EDC-3D4C5F4A9EB2}"/>
    <cellStyle name="Accent5 2 9" xfId="556" xr:uid="{BEFD7FCD-6A0C-4206-89DE-8FC9B920C6B9}"/>
    <cellStyle name="Accent5 3" xfId="67" xr:uid="{6D89BCDA-CD4C-4428-8784-B6B394955A75}"/>
    <cellStyle name="Accent6 2" xfId="68" xr:uid="{83741285-D727-44EA-B506-29A9313B05F9}"/>
    <cellStyle name="Accent6 2 10" xfId="557" xr:uid="{CADD141D-FEDC-44E2-A6B1-D37AC2ECCF01}"/>
    <cellStyle name="Accent6 2 2" xfId="558" xr:uid="{EA50464A-E729-4F2D-86A9-3BA368386DEA}"/>
    <cellStyle name="Accent6 2 3" xfId="559" xr:uid="{10AF4619-D9A5-4113-A2CC-1924FD74C986}"/>
    <cellStyle name="Accent6 2 4" xfId="560" xr:uid="{361BD6B6-6226-488A-AB2C-AA25A253A7C1}"/>
    <cellStyle name="Accent6 2 5" xfId="561" xr:uid="{42DD5405-DADF-43C0-8330-5C60AFB48C34}"/>
    <cellStyle name="Accent6 2 6" xfId="562" xr:uid="{DE38B1CD-9919-46C6-9161-8022B916789C}"/>
    <cellStyle name="Accent6 2 7" xfId="563" xr:uid="{3F195911-7DE6-4EFE-B6BD-83E93DCFE603}"/>
    <cellStyle name="Accent6 2 8" xfId="564" xr:uid="{163A4980-9110-4AB5-96B7-7274FE6A3CC9}"/>
    <cellStyle name="Accent6 2 9" xfId="565" xr:uid="{3A59BF94-57EA-47B2-9640-130B0077ACEE}"/>
    <cellStyle name="Accent6 3" xfId="69" xr:uid="{FECDF80A-CD93-4359-ADB0-F952DD7EC153}"/>
    <cellStyle name="Accent6 3 2" xfId="566" xr:uid="{3A1D8514-B61E-423F-9C4A-736D07B905B7}"/>
    <cellStyle name="AggOrange_CRFReport-template" xfId="198" xr:uid="{A1EAADD1-7557-403D-9BEA-162EE9AFDB1B}"/>
    <cellStyle name="AggOrange9_CRFReport-template" xfId="199" xr:uid="{6849C01F-22C6-4A91-91BE-58442F0F2E14}"/>
    <cellStyle name="Bad" xfId="12" builtinId="27"/>
    <cellStyle name="Bad 2" xfId="70" xr:uid="{62DD23FC-D6C4-4D32-B7E5-34F9A91EE65B}"/>
    <cellStyle name="Bad 2 10" xfId="567" xr:uid="{433BDB01-98F5-4B62-8CB5-DDF4B18E24AC}"/>
    <cellStyle name="Bad 2 2" xfId="568" xr:uid="{458FEDCE-0B9D-4595-B709-479EECF2971D}"/>
    <cellStyle name="Bad 2 3" xfId="569" xr:uid="{0E26D51E-8A57-4918-8FE4-668266406853}"/>
    <cellStyle name="Bad 2 4" xfId="570" xr:uid="{24E30490-000B-4721-93F8-0D1403B57980}"/>
    <cellStyle name="Bad 2 5" xfId="571" xr:uid="{92060534-1C4E-484A-8830-0B4128890544}"/>
    <cellStyle name="Bad 2 6" xfId="572" xr:uid="{DCC34754-FB39-4A1F-BEB2-675596FBF0FB}"/>
    <cellStyle name="Bad 2 7" xfId="573" xr:uid="{5BABAD6D-67CC-4779-A596-CF88F8272820}"/>
    <cellStyle name="Bad 2 8" xfId="574" xr:uid="{00D0E998-BF00-4849-9D91-8279DCA00ABC}"/>
    <cellStyle name="Bad 2 9" xfId="575" xr:uid="{8FF572BE-71DD-4572-A5B4-72629970DDA8}"/>
    <cellStyle name="Bad 3" xfId="71" xr:uid="{E07C84D6-3ABE-4D05-A4AA-51747BA1B35F}"/>
    <cellStyle name="Bad 3 2" xfId="576" xr:uid="{2D59C0D8-6A18-40AE-AC8D-86426337A1EB}"/>
    <cellStyle name="Bad 4" xfId="20" xr:uid="{3D242224-D70E-44E0-B099-C67745181987}"/>
    <cellStyle name="Calculation 2" xfId="72" xr:uid="{9BF4E013-4719-4312-BD0C-074232712E19}"/>
    <cellStyle name="Calculation 2 10" xfId="577" xr:uid="{45559448-AE4E-4D6F-9EE1-D7A5637C969D}"/>
    <cellStyle name="Calculation 2 2" xfId="578" xr:uid="{6215EC3B-0594-4F48-A714-3EA127B0BF15}"/>
    <cellStyle name="Calculation 2 3" xfId="579" xr:uid="{06D929B5-7DDD-4E62-8EA9-2027D37C71F0}"/>
    <cellStyle name="Calculation 2 4" xfId="580" xr:uid="{5EF12B86-18A2-403E-A6D3-FE31780F4596}"/>
    <cellStyle name="Calculation 2 5" xfId="581" xr:uid="{07B76BAE-8529-4413-85FC-62239706E3CA}"/>
    <cellStyle name="Calculation 2 6" xfId="582" xr:uid="{D1D3FBD0-927C-4075-8C16-B604F4B2CFBD}"/>
    <cellStyle name="Calculation 2 7" xfId="583" xr:uid="{B0DE2C53-56C5-4EF6-9E68-C3D3345CF5E0}"/>
    <cellStyle name="Calculation 2 8" xfId="584" xr:uid="{A74C8AA5-382D-4689-ABF3-BF9184C4779F}"/>
    <cellStyle name="Calculation 2 9" xfId="585" xr:uid="{BC8AA590-9D30-4051-AA61-4EBEE0684F29}"/>
    <cellStyle name="Calculation 3" xfId="73" xr:uid="{9EC7D4EE-6708-48DA-8A11-08791D6B10D8}"/>
    <cellStyle name="Calculation 3 2" xfId="586" xr:uid="{66461479-D04A-4F6C-BBCA-EA2C0B923967}"/>
    <cellStyle name="Check Cell 2" xfId="74" xr:uid="{C4C5DA30-7F8C-4D4B-86D8-0E1785758B1D}"/>
    <cellStyle name="Check Cell 2 10" xfId="587" xr:uid="{2132EF6B-093E-4DE9-952C-95B3E324921C}"/>
    <cellStyle name="Check Cell 2 2" xfId="588" xr:uid="{5E4FAA8E-2925-44EF-B2B9-24A1C1F469DE}"/>
    <cellStyle name="Check Cell 2 3" xfId="589" xr:uid="{7DDC7432-19D3-4131-A879-1F244E67050D}"/>
    <cellStyle name="Check Cell 2 4" xfId="590" xr:uid="{F3EDE8C3-F239-4F28-93C8-8A8BF88FA01E}"/>
    <cellStyle name="Check Cell 2 5" xfId="591" xr:uid="{8B451BFE-79A8-49B2-8E63-39124CE93538}"/>
    <cellStyle name="Check Cell 2 6" xfId="592" xr:uid="{0B325E43-DE38-4149-B05E-20382146F230}"/>
    <cellStyle name="Check Cell 2 7" xfId="593" xr:uid="{BBFB3744-DD6A-4841-ABE9-DB0E47B5A17C}"/>
    <cellStyle name="Check Cell 2 8" xfId="594" xr:uid="{6A7C8835-B3C0-4BC7-98D5-9274549D9C8F}"/>
    <cellStyle name="Check Cell 2 9" xfId="595" xr:uid="{39FB8E6D-423E-4ECE-893A-1C05E1FCF85F}"/>
    <cellStyle name="Check Cell 3" xfId="75" xr:uid="{AA42A06D-9D58-4371-8608-7B606F462B0C}"/>
    <cellStyle name="coin" xfId="596" xr:uid="{6E0C3AD7-383F-4CD1-AAA4-D55E6C9D69F2}"/>
    <cellStyle name="coin 2" xfId="1866" xr:uid="{31E0EC17-7CB7-4D47-866B-36D5FCFCB072}"/>
    <cellStyle name="Comma [0] 2 10" xfId="597" xr:uid="{00D95A06-D505-45F0-9E83-0A54134C3B88}"/>
    <cellStyle name="Comma [0] 2 10 2" xfId="1867" xr:uid="{04A207F9-81E9-4E66-96BB-204223ABA764}"/>
    <cellStyle name="Comma [0] 2 2" xfId="598" xr:uid="{ED18227D-18B8-4548-A32F-C6CFD658CABA}"/>
    <cellStyle name="Comma [0] 2 2 2" xfId="1868" xr:uid="{79F62CB1-8B56-4638-B869-74B610898A56}"/>
    <cellStyle name="Comma [0] 2 3" xfId="599" xr:uid="{F0265FA9-5406-4D76-8D85-1F60807B3D1A}"/>
    <cellStyle name="Comma [0] 2 3 2" xfId="1869" xr:uid="{9EAD22E7-5062-466C-9DB8-3FC2C1F74D85}"/>
    <cellStyle name="Comma [0] 2 4" xfId="600" xr:uid="{B13A8AE6-4AF8-475C-972D-C45FD3AB55FE}"/>
    <cellStyle name="Comma [0] 2 4 2" xfId="1870" xr:uid="{918A6C63-7481-49AB-BFBF-786A6F133E57}"/>
    <cellStyle name="Comma [0] 2 5" xfId="601" xr:uid="{B20B672A-FE96-49E9-BA40-06D35747D315}"/>
    <cellStyle name="Comma [0] 2 5 2" xfId="1871" xr:uid="{FBEA66A8-339A-4C85-B5A5-9FA4FFD769B9}"/>
    <cellStyle name="Comma [0] 2 6" xfId="602" xr:uid="{1DCF5788-2356-4762-8E82-6F8413684BD3}"/>
    <cellStyle name="Comma [0] 2 6 2" xfId="1872" xr:uid="{3F154A5F-8616-4248-BDC3-E3999755123E}"/>
    <cellStyle name="Comma [0] 2 7" xfId="603" xr:uid="{96D01BCC-0558-4F20-8D6A-91FAAF7E7F1D}"/>
    <cellStyle name="Comma [0] 2 7 2" xfId="1873" xr:uid="{46F433B8-83B9-4678-B554-22322E4CCB22}"/>
    <cellStyle name="Comma [0] 2 8" xfId="604" xr:uid="{F3F3C0FB-E2E2-4C4D-83FC-4E84C97B6936}"/>
    <cellStyle name="Comma [0] 2 8 2" xfId="1874" xr:uid="{8041D4A1-AD97-481D-B114-2578644330D4}"/>
    <cellStyle name="Comma [0] 2 9" xfId="605" xr:uid="{855D5BF1-905C-4541-B93C-768996527208}"/>
    <cellStyle name="Comma [0] 2 9 2" xfId="1875" xr:uid="{C40C38DB-46FE-49ED-BF6E-22E6F7E6A641}"/>
    <cellStyle name="Comma 10 2" xfId="606" xr:uid="{C5048DB3-72CF-4C5A-BDA7-720B1325B26C}"/>
    <cellStyle name="Comma 10 2 10" xfId="607" xr:uid="{A36E8283-30D6-4A1B-930F-B322ED81D2D1}"/>
    <cellStyle name="Comma 10 2 10 2" xfId="1877" xr:uid="{DFD052E4-819A-4A90-9983-EA47882BA2A0}"/>
    <cellStyle name="Comma 10 2 11" xfId="608" xr:uid="{21B341B6-2728-44A4-9A12-A0F5F9C2223E}"/>
    <cellStyle name="Comma 10 2 11 2" xfId="1878" xr:uid="{EB3AEAF4-5F28-4985-9099-544447A74216}"/>
    <cellStyle name="Comma 10 2 12" xfId="609" xr:uid="{1B4AEEF1-CED5-4CB7-8E0A-5E00D72C705A}"/>
    <cellStyle name="Comma 10 2 12 2" xfId="1879" xr:uid="{1CC8BE95-A4AC-45B9-B90D-028254356467}"/>
    <cellStyle name="Comma 10 2 13" xfId="610" xr:uid="{D3F3AC04-3725-4D92-A1A8-F9D0548A66B2}"/>
    <cellStyle name="Comma 10 2 13 2" xfId="1880" xr:uid="{7BF7876B-E0F8-4D6A-BC08-25C41E125131}"/>
    <cellStyle name="Comma 10 2 14" xfId="611" xr:uid="{E58EA2F2-B728-4E6C-8A78-233DC0633D48}"/>
    <cellStyle name="Comma 10 2 14 2" xfId="1881" xr:uid="{77E8C9A7-BC01-4104-8BB1-33052A714A97}"/>
    <cellStyle name="Comma 10 2 15" xfId="612" xr:uid="{73997069-0482-4164-8C93-CC0261922A1F}"/>
    <cellStyle name="Comma 10 2 15 2" xfId="1882" xr:uid="{9767C408-E68A-4F24-A807-9AC5ABEC72A1}"/>
    <cellStyle name="Comma 10 2 16" xfId="613" xr:uid="{5CF6CADA-F3BE-4DBC-93A4-6D9B4F2E5002}"/>
    <cellStyle name="Comma 10 2 16 2" xfId="1883" xr:uid="{C79DE9E6-B6BA-4B60-81C6-D5AE4FF8D8FE}"/>
    <cellStyle name="Comma 10 2 17" xfId="614" xr:uid="{A77BA1D8-9BB8-44EA-AD32-245DFDF4BB57}"/>
    <cellStyle name="Comma 10 2 17 2" xfId="1884" xr:uid="{0BF412F5-4AC1-4E5C-BC73-FB505050E711}"/>
    <cellStyle name="Comma 10 2 18" xfId="1876" xr:uid="{9773EE75-D440-4B3B-8599-A2D212F14830}"/>
    <cellStyle name="Comma 10 2 2" xfId="615" xr:uid="{E9542B49-F94F-4CD3-87E9-3960315D00FD}"/>
    <cellStyle name="Comma 10 2 2 2" xfId="1885" xr:uid="{41F8F9E5-8119-476F-B73E-B01A4238639E}"/>
    <cellStyle name="Comma 10 2 3" xfId="616" xr:uid="{ABFEA188-27FE-4962-9EA1-1161CC88BF59}"/>
    <cellStyle name="Comma 10 2 3 2" xfId="1886" xr:uid="{BDF36B71-8DFA-47BA-999B-0AD0F5A29479}"/>
    <cellStyle name="Comma 10 2 4" xfId="617" xr:uid="{DF82C616-3D7D-4B66-AAE4-B714984FD43F}"/>
    <cellStyle name="Comma 10 2 4 2" xfId="1887" xr:uid="{0B1220ED-DB4E-496C-B9F0-40EBC12D56EC}"/>
    <cellStyle name="Comma 10 2 5" xfId="618" xr:uid="{F99CC4B9-AA35-418C-B8C8-5D7D2699A447}"/>
    <cellStyle name="Comma 10 2 5 2" xfId="1888" xr:uid="{345771B2-F4F0-4F50-9D8F-2C4EB3A70C60}"/>
    <cellStyle name="Comma 10 2 6" xfId="619" xr:uid="{DCD284D3-05FF-4FDE-9B10-C69E2DF4F00B}"/>
    <cellStyle name="Comma 10 2 6 2" xfId="1889" xr:uid="{0DA9A8D8-96F3-4986-959C-F3F282039CED}"/>
    <cellStyle name="Comma 10 2 7" xfId="620" xr:uid="{99BFB0B9-1CDC-4B6C-9B96-37C12D315BE0}"/>
    <cellStyle name="Comma 10 2 7 2" xfId="1890" xr:uid="{2D633668-B0DF-4DCE-A2E4-8706BECB6A8B}"/>
    <cellStyle name="Comma 10 2 8" xfId="621" xr:uid="{E116423B-0647-493A-A6F1-AE4DEDD122E5}"/>
    <cellStyle name="Comma 10 2 8 2" xfId="1891" xr:uid="{D49C3718-B088-4604-A537-FF5050C7A4B6}"/>
    <cellStyle name="Comma 10 2 9" xfId="622" xr:uid="{48E728E3-8F34-416E-A935-9B65398F5A48}"/>
    <cellStyle name="Comma 10 2 9 2" xfId="1892" xr:uid="{CDCB1A9C-E71C-43B7-AB87-79B330767317}"/>
    <cellStyle name="Comma 10 3" xfId="623" xr:uid="{09A99F54-0683-46D1-B967-79A7342C021A}"/>
    <cellStyle name="Comma 10 3 10" xfId="624" xr:uid="{A268DA26-F7C9-4C1E-96D7-10A70EB6D0B5}"/>
    <cellStyle name="Comma 10 3 10 2" xfId="1894" xr:uid="{F096BEF1-9B76-4763-AD00-34BF83218F89}"/>
    <cellStyle name="Comma 10 3 11" xfId="625" xr:uid="{95D917B6-018B-4A2A-B322-DA16647A176C}"/>
    <cellStyle name="Comma 10 3 11 2" xfId="1895" xr:uid="{3B29EF12-3F50-4845-B902-1FDE02CB8127}"/>
    <cellStyle name="Comma 10 3 12" xfId="626" xr:uid="{40C050CB-7D0D-4730-A583-773AC682EE87}"/>
    <cellStyle name="Comma 10 3 12 2" xfId="1896" xr:uid="{C68C64D2-FE6A-4EBC-91A5-332CB57831A3}"/>
    <cellStyle name="Comma 10 3 13" xfId="627" xr:uid="{1AC0035D-7781-4B7A-B5F1-A81558460A06}"/>
    <cellStyle name="Comma 10 3 13 2" xfId="1897" xr:uid="{EBC8F37A-1350-4C95-9368-22836C85C840}"/>
    <cellStyle name="Comma 10 3 14" xfId="628" xr:uid="{007475CC-6884-469D-833E-AFC1BBC1247A}"/>
    <cellStyle name="Comma 10 3 14 2" xfId="1898" xr:uid="{6FBCB092-2650-4376-8048-934A7852A08B}"/>
    <cellStyle name="Comma 10 3 15" xfId="629" xr:uid="{E4E15B73-DBA1-450A-BF48-C77888658E84}"/>
    <cellStyle name="Comma 10 3 15 2" xfId="1899" xr:uid="{3F4207AC-89FE-4650-A9D2-ACC72902F768}"/>
    <cellStyle name="Comma 10 3 16" xfId="630" xr:uid="{A6D7CFE1-711B-45E6-A9E6-31FAA8D2EDCB}"/>
    <cellStyle name="Comma 10 3 16 2" xfId="1900" xr:uid="{8585FA4F-CFA6-4691-BC46-0F25D9EDD601}"/>
    <cellStyle name="Comma 10 3 17" xfId="631" xr:uid="{E30CB9C3-9110-4193-A8B4-4CF5B3935D37}"/>
    <cellStyle name="Comma 10 3 17 2" xfId="1901" xr:uid="{95A6F9F7-7EBF-4ADC-AB45-E8E3FB4F4C2B}"/>
    <cellStyle name="Comma 10 3 18" xfId="1893" xr:uid="{B0F89752-0A80-4732-9A64-15D13D4A0084}"/>
    <cellStyle name="Comma 10 3 2" xfId="632" xr:uid="{DF2DA1F8-681D-4DF7-9DC7-DAFACFB2921A}"/>
    <cellStyle name="Comma 10 3 2 2" xfId="1902" xr:uid="{535E572F-3FBE-412D-AF35-E58624E7767D}"/>
    <cellStyle name="Comma 10 3 3" xfId="633" xr:uid="{21098E6B-790B-4F16-AB08-0EC3D565BAC7}"/>
    <cellStyle name="Comma 10 3 3 2" xfId="1903" xr:uid="{A45DCC75-D953-460E-949B-A317AB5929C9}"/>
    <cellStyle name="Comma 10 3 4" xfId="634" xr:uid="{A3C9C825-45C4-40BF-BDA3-965365C65DEA}"/>
    <cellStyle name="Comma 10 3 4 2" xfId="1904" xr:uid="{03DD4202-B3DE-40C5-8E0A-00ACAE0D403B}"/>
    <cellStyle name="Comma 10 3 5" xfId="635" xr:uid="{19641805-8F0C-45AF-AC2E-246F862F0379}"/>
    <cellStyle name="Comma 10 3 5 2" xfId="1905" xr:uid="{D6863387-AAEE-4699-BE1C-3FB5351BABBE}"/>
    <cellStyle name="Comma 10 3 6" xfId="636" xr:uid="{7A9E9806-3283-401C-8D41-E4EE613EFB03}"/>
    <cellStyle name="Comma 10 3 6 2" xfId="1906" xr:uid="{6F2C2CFC-6780-4271-BFC5-95CE9BDE4C3D}"/>
    <cellStyle name="Comma 10 3 7" xfId="637" xr:uid="{0DD35F9A-327B-4CBC-8FC1-7D9730131C43}"/>
    <cellStyle name="Comma 10 3 7 2" xfId="1907" xr:uid="{0E8A8CD1-582B-4BB5-B373-79D2DFD5FF27}"/>
    <cellStyle name="Comma 10 3 8" xfId="638" xr:uid="{023E2A59-152A-4EEF-9759-F0D595187907}"/>
    <cellStyle name="Comma 10 3 8 2" xfId="1908" xr:uid="{1EABD615-3C1E-4E80-AAB9-6FF9499A6C26}"/>
    <cellStyle name="Comma 10 3 9" xfId="639" xr:uid="{90505DD8-A564-468B-9055-D2728EE1A177}"/>
    <cellStyle name="Comma 10 3 9 2" xfId="1909" xr:uid="{650A7D51-49DD-4CC3-B008-5518DDA1A1B8}"/>
    <cellStyle name="Comma 10 4" xfId="640" xr:uid="{B90A7EF8-B0FE-458F-82D9-FD44814ACE11}"/>
    <cellStyle name="Comma 10 4 10" xfId="641" xr:uid="{C1DA2BBF-C67E-4DA0-BAB4-2DC0611ACF9B}"/>
    <cellStyle name="Comma 10 4 10 2" xfId="1911" xr:uid="{C435A935-B82F-4273-97D0-B6E5EF061C1A}"/>
    <cellStyle name="Comma 10 4 11" xfId="642" xr:uid="{B5961AD9-9D43-4AC4-B158-7F2FBD77964D}"/>
    <cellStyle name="Comma 10 4 11 2" xfId="1912" xr:uid="{7712023C-52F9-445C-B2CB-1CB0DF7E5B71}"/>
    <cellStyle name="Comma 10 4 12" xfId="643" xr:uid="{454407C6-0C0B-4144-AD22-A416D1613A7D}"/>
    <cellStyle name="Comma 10 4 12 2" xfId="1913" xr:uid="{11925945-3180-459B-B370-72472107E99B}"/>
    <cellStyle name="Comma 10 4 13" xfId="644" xr:uid="{EDED5BBB-DCE6-42E2-9016-BFC04E511E44}"/>
    <cellStyle name="Comma 10 4 13 2" xfId="1914" xr:uid="{31CE5942-7656-4EBE-9040-6786A306A688}"/>
    <cellStyle name="Comma 10 4 14" xfId="645" xr:uid="{E7C89990-DED0-4E88-801B-C4539C4AF144}"/>
    <cellStyle name="Comma 10 4 14 2" xfId="1915" xr:uid="{969D9390-4B21-44EE-82D6-B56BD3D91A1C}"/>
    <cellStyle name="Comma 10 4 15" xfId="646" xr:uid="{C7934377-85E4-4EB2-98CF-B6050AF03397}"/>
    <cellStyle name="Comma 10 4 15 2" xfId="1916" xr:uid="{2AE95E49-AA99-4D9F-BF52-D4EB59934585}"/>
    <cellStyle name="Comma 10 4 16" xfId="647" xr:uid="{1F0B3D5C-D35B-4906-98D6-21BD6D1C7675}"/>
    <cellStyle name="Comma 10 4 16 2" xfId="1917" xr:uid="{86D436FF-83D5-43FC-B220-EB6C2077948C}"/>
    <cellStyle name="Comma 10 4 17" xfId="648" xr:uid="{3B269F13-BF15-4D00-9BFC-A1C602591D71}"/>
    <cellStyle name="Comma 10 4 17 2" xfId="1918" xr:uid="{B085EB78-FD3C-43E7-9B19-28C385EEDB74}"/>
    <cellStyle name="Comma 10 4 18" xfId="1910" xr:uid="{0DFBCC5D-B9A5-4EBC-9E33-53D568ED7004}"/>
    <cellStyle name="Comma 10 4 2" xfId="649" xr:uid="{80D7D33B-88EF-4529-A97D-7BA5C860522B}"/>
    <cellStyle name="Comma 10 4 2 2" xfId="1919" xr:uid="{5F55C26F-01C2-4616-848C-A6BE6CEE3154}"/>
    <cellStyle name="Comma 10 4 3" xfId="650" xr:uid="{3468B2CC-8201-43C6-A834-03E28B845A0B}"/>
    <cellStyle name="Comma 10 4 3 2" xfId="1920" xr:uid="{B80C35C5-161C-4808-A2E3-FC23DE81ABFC}"/>
    <cellStyle name="Comma 10 4 4" xfId="651" xr:uid="{11234F59-255B-49EC-9A4F-C1F7876E1967}"/>
    <cellStyle name="Comma 10 4 4 2" xfId="1921" xr:uid="{96B7B837-76DB-4CCD-864C-234B92B5F367}"/>
    <cellStyle name="Comma 10 4 5" xfId="652" xr:uid="{821A2016-D475-4F65-806F-9C8B35C38A75}"/>
    <cellStyle name="Comma 10 4 5 2" xfId="1922" xr:uid="{20508D36-D41C-497C-9EE0-F032B1D3ADAA}"/>
    <cellStyle name="Comma 10 4 6" xfId="653" xr:uid="{2BA0926B-02A2-44D6-A540-66231BC837AA}"/>
    <cellStyle name="Comma 10 4 6 2" xfId="1923" xr:uid="{C9AD9715-B5FE-4AC9-82F4-29D999229EFB}"/>
    <cellStyle name="Comma 10 4 7" xfId="654" xr:uid="{B0F522E4-543F-4F4C-BF09-A72D19F1C548}"/>
    <cellStyle name="Comma 10 4 7 2" xfId="1924" xr:uid="{59B7E63A-BD5A-4E5E-A434-FA415C2DF0AD}"/>
    <cellStyle name="Comma 10 4 8" xfId="655" xr:uid="{A76C1655-121F-4EAA-A07A-9D2DC4D4350F}"/>
    <cellStyle name="Comma 10 4 8 2" xfId="1925" xr:uid="{F12EB288-E265-49B0-B7C0-B8396616BF64}"/>
    <cellStyle name="Comma 10 4 9" xfId="656" xr:uid="{8AEFDEC5-CDBF-4C68-8CF4-578A2072B479}"/>
    <cellStyle name="Comma 10 4 9 2" xfId="1926" xr:uid="{1126E190-CD5F-4D87-B2CD-83B195AFC605}"/>
    <cellStyle name="Comma 10 5" xfId="657" xr:uid="{1BFEF7E9-7FC6-4111-835D-4ACF00727849}"/>
    <cellStyle name="Comma 10 5 10" xfId="658" xr:uid="{A64C4797-A229-44F2-B85D-99C7071252F1}"/>
    <cellStyle name="Comma 10 5 10 2" xfId="1928" xr:uid="{59338565-BF21-409B-901F-175EE3F25341}"/>
    <cellStyle name="Comma 10 5 11" xfId="659" xr:uid="{D10DEBA7-CA8C-4D76-A983-69B81149C1FE}"/>
    <cellStyle name="Comma 10 5 11 2" xfId="1929" xr:uid="{0465EA78-B20A-4628-B3BB-5739F2EC608A}"/>
    <cellStyle name="Comma 10 5 12" xfId="660" xr:uid="{A9EC28A3-0ECB-4C30-A3AA-5902A191C07E}"/>
    <cellStyle name="Comma 10 5 12 2" xfId="1930" xr:uid="{36724C59-BA4F-4CB8-82B0-26B2A1D609DD}"/>
    <cellStyle name="Comma 10 5 13" xfId="661" xr:uid="{F5D1CE92-270F-44E6-93E9-F9FF926C5933}"/>
    <cellStyle name="Comma 10 5 13 2" xfId="1931" xr:uid="{9AE82786-737F-45B2-AD50-A2F7F7083E2A}"/>
    <cellStyle name="Comma 10 5 14" xfId="662" xr:uid="{087FFBFF-D690-42AF-A903-E8D78C02B526}"/>
    <cellStyle name="Comma 10 5 14 2" xfId="1932" xr:uid="{DAB08D22-72EB-466F-94CA-A2FE6D7243C0}"/>
    <cellStyle name="Comma 10 5 15" xfId="663" xr:uid="{70F1611B-93E6-4AFB-BF2E-B5A67FF1E1F0}"/>
    <cellStyle name="Comma 10 5 15 2" xfId="1933" xr:uid="{057D59AE-EACC-461E-BF8D-635CEB7B034A}"/>
    <cellStyle name="Comma 10 5 16" xfId="664" xr:uid="{E35C2A8B-178E-4928-B976-B12A82606E77}"/>
    <cellStyle name="Comma 10 5 16 2" xfId="1934" xr:uid="{B00AC128-9FD7-4890-BF18-A6999D2C2FDB}"/>
    <cellStyle name="Comma 10 5 17" xfId="665" xr:uid="{C3B2821E-65D9-40B9-BD11-2BA55105F4F4}"/>
    <cellStyle name="Comma 10 5 17 2" xfId="1935" xr:uid="{39A33062-FECB-4545-835B-49442673F1A1}"/>
    <cellStyle name="Comma 10 5 18" xfId="1927" xr:uid="{27CA7A01-3D9E-499A-B755-26C4A4BE9A41}"/>
    <cellStyle name="Comma 10 5 2" xfId="666" xr:uid="{2D778118-4118-4B6B-B981-3F11E6403A40}"/>
    <cellStyle name="Comma 10 5 2 2" xfId="1936" xr:uid="{D7C78AD0-3992-45E7-BE2D-C4044777F5A7}"/>
    <cellStyle name="Comma 10 5 3" xfId="667" xr:uid="{D6044883-AFCB-435F-A2BA-B656B984E231}"/>
    <cellStyle name="Comma 10 5 3 2" xfId="1937" xr:uid="{A8C38D4A-750D-45DD-8017-7A59697BC0E9}"/>
    <cellStyle name="Comma 10 5 4" xfId="668" xr:uid="{4231838B-4CAE-46B8-A8F0-DD482270162D}"/>
    <cellStyle name="Comma 10 5 4 2" xfId="1938" xr:uid="{68A4FC62-F666-4756-99C7-E73336D19032}"/>
    <cellStyle name="Comma 10 5 5" xfId="669" xr:uid="{6A59CBA1-3B16-426D-85BD-947B750A3403}"/>
    <cellStyle name="Comma 10 5 5 2" xfId="1939" xr:uid="{C5D250CD-7274-4621-920D-9730198410B7}"/>
    <cellStyle name="Comma 10 5 6" xfId="670" xr:uid="{8EA1EFC6-F9CA-449F-958E-4C00193518DB}"/>
    <cellStyle name="Comma 10 5 6 2" xfId="1940" xr:uid="{99FB4526-DC15-408E-B8CD-9EA4B3A45177}"/>
    <cellStyle name="Comma 10 5 7" xfId="671" xr:uid="{0AB199CC-4EC1-4D58-8164-715140EB6EC4}"/>
    <cellStyle name="Comma 10 5 7 2" xfId="1941" xr:uid="{E23467D0-4F47-471D-91EE-F5B436DC6298}"/>
    <cellStyle name="Comma 10 5 8" xfId="672" xr:uid="{3D36D058-74E6-48B7-9764-CA8F7B2A3F1D}"/>
    <cellStyle name="Comma 10 5 8 2" xfId="1942" xr:uid="{56769820-C617-4454-97E4-232AED7DDD49}"/>
    <cellStyle name="Comma 10 5 9" xfId="673" xr:uid="{6873B38A-7CC8-4C5D-BCC0-CDF9DF0793EB}"/>
    <cellStyle name="Comma 10 5 9 2" xfId="1943" xr:uid="{EE827B21-73AF-41F8-8A6C-7FB93FC9E259}"/>
    <cellStyle name="Comma 10 6" xfId="674" xr:uid="{22A25DAA-62CA-4568-82CD-8151450BCDA0}"/>
    <cellStyle name="Comma 10 6 10" xfId="675" xr:uid="{91BAD195-FB06-45BE-99F7-6E1D76FC7EB5}"/>
    <cellStyle name="Comma 10 6 10 2" xfId="1945" xr:uid="{7F84AD8B-6DC6-4510-9041-9024DB3E369B}"/>
    <cellStyle name="Comma 10 6 11" xfId="676" xr:uid="{3FE20E6C-698A-4A74-93FF-7AFCA28F025A}"/>
    <cellStyle name="Comma 10 6 11 2" xfId="1946" xr:uid="{CFB8A904-AF1E-4FC1-9229-0F71754BCFE1}"/>
    <cellStyle name="Comma 10 6 12" xfId="677" xr:uid="{B7F6AE0E-EB95-45D6-BA6F-1E2C9D67249D}"/>
    <cellStyle name="Comma 10 6 12 2" xfId="1947" xr:uid="{8A9A3015-E245-422A-85DB-0FC27CC59D0E}"/>
    <cellStyle name="Comma 10 6 13" xfId="678" xr:uid="{E114014E-42A5-40FF-A657-87974288BC10}"/>
    <cellStyle name="Comma 10 6 13 2" xfId="1948" xr:uid="{1EAFE64A-AF5E-4F65-89EE-61682E9768C8}"/>
    <cellStyle name="Comma 10 6 14" xfId="679" xr:uid="{3734F34D-DE89-415A-8030-1E9203B147F6}"/>
    <cellStyle name="Comma 10 6 14 2" xfId="1949" xr:uid="{50F2D4BB-2FD5-450A-B7F6-5D7656051202}"/>
    <cellStyle name="Comma 10 6 15" xfId="680" xr:uid="{BAD05A7E-9E21-45E3-83DA-8AE585B7A505}"/>
    <cellStyle name="Comma 10 6 15 2" xfId="1950" xr:uid="{E4A96D27-555B-4059-9CC0-E328CA88D9B1}"/>
    <cellStyle name="Comma 10 6 16" xfId="681" xr:uid="{4184A696-22D9-45BD-A218-61EE35FE606B}"/>
    <cellStyle name="Comma 10 6 16 2" xfId="1951" xr:uid="{F55B31F6-C29D-4008-ADD7-D652656735BF}"/>
    <cellStyle name="Comma 10 6 17" xfId="682" xr:uid="{B6E3A050-CBE2-430E-8FF4-2A2D620F0724}"/>
    <cellStyle name="Comma 10 6 17 2" xfId="1952" xr:uid="{D0A57FAC-2F19-4C43-9A2B-1DDD4C79DEAA}"/>
    <cellStyle name="Comma 10 6 18" xfId="1944" xr:uid="{53344A3F-E2D1-40C1-8F20-D87518A494F3}"/>
    <cellStyle name="Comma 10 6 2" xfId="683" xr:uid="{B445E271-3B79-4C5D-8AA8-592DE17394CD}"/>
    <cellStyle name="Comma 10 6 2 2" xfId="1953" xr:uid="{C42DAEA9-A9BA-4239-ABE5-A10F5C5F9399}"/>
    <cellStyle name="Comma 10 6 3" xfId="684" xr:uid="{0AA57155-6F41-408F-9E56-3FFF5C499754}"/>
    <cellStyle name="Comma 10 6 3 2" xfId="1954" xr:uid="{1AFEAC9F-62B6-4462-B39C-8B0DA43BD3A2}"/>
    <cellStyle name="Comma 10 6 4" xfId="685" xr:uid="{438E8298-607A-44FE-8842-C905ACC54D5F}"/>
    <cellStyle name="Comma 10 6 4 2" xfId="1955" xr:uid="{9589162A-7D90-4A77-A6A0-094DBD9C0310}"/>
    <cellStyle name="Comma 10 6 5" xfId="686" xr:uid="{2071A3E4-9522-4DEA-B147-A0C04E447D42}"/>
    <cellStyle name="Comma 10 6 5 2" xfId="1956" xr:uid="{8340718D-B780-4121-A207-AE8D912431F3}"/>
    <cellStyle name="Comma 10 6 6" xfId="687" xr:uid="{DBFD3538-E97E-42D8-89DD-E6B46412527A}"/>
    <cellStyle name="Comma 10 6 6 2" xfId="1957" xr:uid="{518ADFF0-06CC-4282-84E1-202836CA2237}"/>
    <cellStyle name="Comma 10 6 7" xfId="688" xr:uid="{66C823D4-8F6A-4BF0-94B5-016449620B8E}"/>
    <cellStyle name="Comma 10 6 7 2" xfId="1958" xr:uid="{1F4BB67F-DC40-4ED5-9BE7-BD1A327B8394}"/>
    <cellStyle name="Comma 10 6 8" xfId="689" xr:uid="{1883156B-095A-4499-AB36-642B66972764}"/>
    <cellStyle name="Comma 10 6 8 2" xfId="1959" xr:uid="{88D5C206-534D-44F9-8F63-0AA62B33B5FE}"/>
    <cellStyle name="Comma 10 6 9" xfId="690" xr:uid="{91FB2EFC-9567-4E4E-BE1A-843ACC30A512}"/>
    <cellStyle name="Comma 10 6 9 2" xfId="1960" xr:uid="{462C9A7F-0B41-46E0-98B4-41BF06D16436}"/>
    <cellStyle name="Comma 10 7" xfId="691" xr:uid="{D6C55884-B1F1-41E8-9B61-EB6CBAB78BB4}"/>
    <cellStyle name="Comma 10 7 10" xfId="692" xr:uid="{A70C3920-FBF0-474C-A342-AD28614D8F44}"/>
    <cellStyle name="Comma 10 7 10 2" xfId="1962" xr:uid="{27E12520-EFBE-4654-B1C7-8FFC7C4203D6}"/>
    <cellStyle name="Comma 10 7 11" xfId="693" xr:uid="{6DB335F9-B06E-4FE6-97D0-7F8D870AAD48}"/>
    <cellStyle name="Comma 10 7 11 2" xfId="1963" xr:uid="{8676CFD3-5783-4038-8B0E-67FCB337476E}"/>
    <cellStyle name="Comma 10 7 12" xfId="694" xr:uid="{2EAA155E-2998-496F-8B3D-2B6B6011D149}"/>
    <cellStyle name="Comma 10 7 12 2" xfId="1964" xr:uid="{F14EE66F-984D-4D1D-9527-FC2417A98583}"/>
    <cellStyle name="Comma 10 7 13" xfId="695" xr:uid="{23DFE895-4642-477E-BA7D-E7C58A6BEEDD}"/>
    <cellStyle name="Comma 10 7 13 2" xfId="1965" xr:uid="{958A1310-8841-414D-9034-83C7803AB626}"/>
    <cellStyle name="Comma 10 7 14" xfId="696" xr:uid="{350EACA4-3295-4583-B221-561436583347}"/>
    <cellStyle name="Comma 10 7 14 2" xfId="1966" xr:uid="{D04616E4-B081-45CA-9E09-07E0C3EFE239}"/>
    <cellStyle name="Comma 10 7 15" xfId="697" xr:uid="{C40D6A6A-5360-4EF8-B6D2-419A974B2F0A}"/>
    <cellStyle name="Comma 10 7 15 2" xfId="1967" xr:uid="{3C2647DC-FEB3-403E-8AE7-4786449E1C92}"/>
    <cellStyle name="Comma 10 7 16" xfId="698" xr:uid="{04B65D4F-60AD-4496-BF25-05505B3EBBB1}"/>
    <cellStyle name="Comma 10 7 16 2" xfId="1968" xr:uid="{B6FE2E71-8BCC-467A-A03E-E1DEFA7C4F2B}"/>
    <cellStyle name="Comma 10 7 17" xfId="699" xr:uid="{0A170683-D9AF-4F2D-A37F-DF6813813B5B}"/>
    <cellStyle name="Comma 10 7 17 2" xfId="1969" xr:uid="{8DBBDBCF-FC70-4D5A-BD2D-F18469A7D4B7}"/>
    <cellStyle name="Comma 10 7 18" xfId="1961" xr:uid="{2374DDDA-E51D-4892-BE2F-F4229FAB1B5A}"/>
    <cellStyle name="Comma 10 7 2" xfId="700" xr:uid="{8CA00511-DF30-435D-920E-5FEC37B5BBD1}"/>
    <cellStyle name="Comma 10 7 2 2" xfId="1970" xr:uid="{7AD234B8-AF0D-4F11-84D2-56A9B995A393}"/>
    <cellStyle name="Comma 10 7 3" xfId="701" xr:uid="{0076B014-3CD8-48DF-BECA-F441B437B471}"/>
    <cellStyle name="Comma 10 7 3 2" xfId="1971" xr:uid="{6C872530-76B8-4890-80B6-CCAA0C5369C4}"/>
    <cellStyle name="Comma 10 7 4" xfId="702" xr:uid="{8E916DCA-4872-4D63-8F11-879C1BE0BE97}"/>
    <cellStyle name="Comma 10 7 4 2" xfId="1972" xr:uid="{866D1B3B-A8E8-4AFE-8CE4-1F4766A902D6}"/>
    <cellStyle name="Comma 10 7 5" xfId="703" xr:uid="{581C1310-5AB8-4570-9FC8-CB7B324BB3F1}"/>
    <cellStyle name="Comma 10 7 5 2" xfId="1973" xr:uid="{5153C647-C7DD-48D1-9E0F-B58BE5614E59}"/>
    <cellStyle name="Comma 10 7 6" xfId="704" xr:uid="{A93AC779-D55D-486F-9EA8-5755EDA320E5}"/>
    <cellStyle name="Comma 10 7 6 2" xfId="1974" xr:uid="{749797C8-0ABE-4256-884A-B905F03AEE43}"/>
    <cellStyle name="Comma 10 7 7" xfId="705" xr:uid="{154835CC-FA57-456E-AAA1-26B477CC40B1}"/>
    <cellStyle name="Comma 10 7 7 2" xfId="1975" xr:uid="{B6C4FA4A-B24D-4ED1-9BF4-341347E5A261}"/>
    <cellStyle name="Comma 10 7 8" xfId="706" xr:uid="{77884B38-D13D-4E4E-9AE4-425833AE8179}"/>
    <cellStyle name="Comma 10 7 8 2" xfId="1976" xr:uid="{52A860C5-878E-4F24-9238-60E68E455BEF}"/>
    <cellStyle name="Comma 10 7 9" xfId="707" xr:uid="{9A28CAA6-85F7-4926-A050-EC47E1121399}"/>
    <cellStyle name="Comma 10 7 9 2" xfId="1977" xr:uid="{D0A67ADA-0494-4A1C-A80B-2B9E7234E281}"/>
    <cellStyle name="Comma 10 8" xfId="708" xr:uid="{DAEA8370-095F-478F-BF96-287A13BE5A6B}"/>
    <cellStyle name="Comma 10 8 10" xfId="709" xr:uid="{03FAC5BB-6950-4CBE-A904-8801087949DF}"/>
    <cellStyle name="Comma 10 8 10 2" xfId="1979" xr:uid="{71D37778-9357-4855-BACA-2668415373B0}"/>
    <cellStyle name="Comma 10 8 11" xfId="710" xr:uid="{B214312C-C335-4312-9191-55213310B152}"/>
    <cellStyle name="Comma 10 8 11 2" xfId="1980" xr:uid="{B0D467AD-DD94-4311-B93D-33B77DADE8EF}"/>
    <cellStyle name="Comma 10 8 12" xfId="711" xr:uid="{C7F627F8-27F4-498F-AF92-D0F6202D7078}"/>
    <cellStyle name="Comma 10 8 12 2" xfId="1981" xr:uid="{83536E65-4350-46BC-9C0F-F64814F16766}"/>
    <cellStyle name="Comma 10 8 13" xfId="712" xr:uid="{BF86C695-A3FD-4318-AF8C-08354EF2E024}"/>
    <cellStyle name="Comma 10 8 13 2" xfId="1982" xr:uid="{29F25110-A9A3-41BA-BF7B-68106B901488}"/>
    <cellStyle name="Comma 10 8 14" xfId="713" xr:uid="{7B61802D-0D68-4FE7-8D90-6B371A633423}"/>
    <cellStyle name="Comma 10 8 14 2" xfId="1983" xr:uid="{158E0F88-735F-4AC8-88A5-BCCC61650C60}"/>
    <cellStyle name="Comma 10 8 15" xfId="714" xr:uid="{680E5E13-24FB-456B-B38F-056DA50058E6}"/>
    <cellStyle name="Comma 10 8 15 2" xfId="1984" xr:uid="{2EE152FA-8ECE-45BF-9EA2-CC3EC6E4D6B4}"/>
    <cellStyle name="Comma 10 8 16" xfId="715" xr:uid="{C30475FA-10EE-4609-99CC-4F3304704211}"/>
    <cellStyle name="Comma 10 8 16 2" xfId="1985" xr:uid="{6C010895-E35F-4539-BFF2-49A69185B288}"/>
    <cellStyle name="Comma 10 8 17" xfId="716" xr:uid="{9C0106D4-84B3-4967-B3FC-45C1D8157649}"/>
    <cellStyle name="Comma 10 8 17 2" xfId="1986" xr:uid="{EB24B006-56C2-4D6D-8EB7-3D72904808DF}"/>
    <cellStyle name="Comma 10 8 18" xfId="1978" xr:uid="{30AEAF51-41AD-4B04-A0F1-C46BA5C87DED}"/>
    <cellStyle name="Comma 10 8 2" xfId="717" xr:uid="{4AD82241-E334-4322-BF81-821ABA85701D}"/>
    <cellStyle name="Comma 10 8 2 2" xfId="1987" xr:uid="{23622100-85B7-4BA4-A235-D0B8A266467E}"/>
    <cellStyle name="Comma 10 8 3" xfId="718" xr:uid="{6EED0DC2-9FF6-4220-8590-3D11502AC88F}"/>
    <cellStyle name="Comma 10 8 3 2" xfId="1988" xr:uid="{F0FD8167-B3CE-425E-8807-32FC7BFBBF85}"/>
    <cellStyle name="Comma 10 8 4" xfId="719" xr:uid="{8BA19BFE-71F3-4E24-99FC-162806349C64}"/>
    <cellStyle name="Comma 10 8 4 2" xfId="1989" xr:uid="{CA2E1198-5D53-454F-8624-C402958C6A38}"/>
    <cellStyle name="Comma 10 8 5" xfId="720" xr:uid="{08316792-7D0A-4942-91A7-92DBD2AD5464}"/>
    <cellStyle name="Comma 10 8 5 2" xfId="1990" xr:uid="{8BDA0309-2918-4607-B2BA-B4E66EFA4C65}"/>
    <cellStyle name="Comma 10 8 6" xfId="721" xr:uid="{EB74DE75-B17A-40A9-9210-530A4D2AA573}"/>
    <cellStyle name="Comma 10 8 6 2" xfId="1991" xr:uid="{3CCE7990-A670-4100-B040-9059E8F2925A}"/>
    <cellStyle name="Comma 10 8 7" xfId="722" xr:uid="{82A77271-5431-4B2A-84A8-08E0E505F8F0}"/>
    <cellStyle name="Comma 10 8 7 2" xfId="1992" xr:uid="{9883DB00-B2EC-4B65-A3CE-1562F81DC505}"/>
    <cellStyle name="Comma 10 8 8" xfId="723" xr:uid="{B9608EE8-0DF6-4F6B-98E6-045CF878C3F4}"/>
    <cellStyle name="Comma 10 8 8 2" xfId="1993" xr:uid="{D5402013-EC3A-4987-82EB-44AD04D1A7DD}"/>
    <cellStyle name="Comma 10 8 9" xfId="724" xr:uid="{ECEE7270-65ED-45A2-96DD-20DAFD5933B7}"/>
    <cellStyle name="Comma 10 8 9 2" xfId="1994" xr:uid="{FC6F7734-0465-42C3-8519-F19A2C0EE25B}"/>
    <cellStyle name="Comma 2" xfId="76" xr:uid="{0BB2D937-4C4F-4448-8062-DF739C4311F4}"/>
    <cellStyle name="Comma 2 10" xfId="726" xr:uid="{81FB061A-47C4-4D14-9DED-77679EA4150B}"/>
    <cellStyle name="Comma 2 10 2" xfId="1996" xr:uid="{080DFF20-6EAB-40F0-9CB8-2D8F59D81E03}"/>
    <cellStyle name="Comma 2 11" xfId="727" xr:uid="{147A5CEF-C710-43BD-9E7F-93384359F45D}"/>
    <cellStyle name="Comma 2 11 2" xfId="1997" xr:uid="{2BCB4966-F180-4417-9FBB-D43942869B44}"/>
    <cellStyle name="Comma 2 12" xfId="728" xr:uid="{B05E447D-72E9-4B37-8C36-65D10F7AF925}"/>
    <cellStyle name="Comma 2 12 2" xfId="1998" xr:uid="{B2FEED2F-555C-4785-AEB2-8C0E804D5EED}"/>
    <cellStyle name="Comma 2 13" xfId="729" xr:uid="{E8D74200-E8DF-48F0-A3C9-D51959961D09}"/>
    <cellStyle name="Comma 2 13 2" xfId="1999" xr:uid="{7875FF9D-A115-45FD-BD72-C2F97A86D836}"/>
    <cellStyle name="Comma 2 14" xfId="730" xr:uid="{B7F62D58-7D90-43D3-B18F-CB30D043EFBF}"/>
    <cellStyle name="Comma 2 14 2" xfId="2000" xr:uid="{B04D91E8-BE1B-4076-813C-2292AE343B9F}"/>
    <cellStyle name="Comma 2 15" xfId="731" xr:uid="{7002D95D-840F-47D2-89B8-866BA8F4B26A}"/>
    <cellStyle name="Comma 2 15 2" xfId="2001" xr:uid="{35665FF9-637A-4684-8CE5-BC0CDF93F884}"/>
    <cellStyle name="Comma 2 16" xfId="732" xr:uid="{927F2AAB-BD68-4A6E-92BE-08D57461BECC}"/>
    <cellStyle name="Comma 2 16 2" xfId="2002" xr:uid="{07F52F1C-8B2B-422D-BD43-D7F1C62BA79E}"/>
    <cellStyle name="Comma 2 17" xfId="1995" xr:uid="{5B0C71B8-A43C-4115-ADB7-953A911E9CF7}"/>
    <cellStyle name="Comma 2 17 2" xfId="3050" xr:uid="{73AED6E2-6D9C-4B74-A36C-04F2DAE0BD91}"/>
    <cellStyle name="Comma 2 17 3" xfId="3276" xr:uid="{84B8DE88-AEBA-4CAE-B060-0E57CC5C17A1}"/>
    <cellStyle name="Comma 2 18" xfId="725" xr:uid="{9163E81F-9FA2-4B7E-A1F1-17C6D100A8DA}"/>
    <cellStyle name="Comma 2 2" xfId="77" xr:uid="{8E2904C9-92AD-42B7-B38F-F13DF6588EAC}"/>
    <cellStyle name="Comma 2 2 2" xfId="2003" xr:uid="{24AEC5CE-8753-4A74-8B36-2660464D9CF6}"/>
    <cellStyle name="Comma 2 2 3" xfId="733" xr:uid="{CD51A511-7D9A-476F-B8EF-009CF914D03F}"/>
    <cellStyle name="Comma 2 3" xfId="734" xr:uid="{3120C27A-BB67-4EE7-BF73-62192340F0E2}"/>
    <cellStyle name="Comma 2 3 2" xfId="2004" xr:uid="{DB235445-4933-4E2F-8820-559FFA83D3DA}"/>
    <cellStyle name="Comma 2 4" xfId="735" xr:uid="{E88F0B5C-2B25-47C2-817E-7485B0E9C30C}"/>
    <cellStyle name="Comma 2 4 2" xfId="2005" xr:uid="{B31F292C-8690-495F-B04B-36CFE3CDF0DA}"/>
    <cellStyle name="Comma 2 5" xfId="736" xr:uid="{CD5105FE-DC02-40CC-BA30-C3FDAD252A1C}"/>
    <cellStyle name="Comma 2 5 2" xfId="2006" xr:uid="{08F5EA41-5DF7-462D-9E23-35969283FA97}"/>
    <cellStyle name="Comma 2 6" xfId="737" xr:uid="{84375395-1C67-4150-A1F6-0080402B0910}"/>
    <cellStyle name="Comma 2 6 2" xfId="2007" xr:uid="{57E4B749-89E1-4499-91F2-BB48FB6B3121}"/>
    <cellStyle name="Comma 2 7" xfId="738" xr:uid="{2B9CBFD4-A938-43BF-B2B3-A67ACE1531C4}"/>
    <cellStyle name="Comma 2 7 2" xfId="2008" xr:uid="{199645A0-12C8-4024-90CF-49D8F0351B63}"/>
    <cellStyle name="Comma 2 8" xfId="739" xr:uid="{1C0FAF18-ABCC-456F-A8ED-5EBC456A40BE}"/>
    <cellStyle name="Comma 2 8 2" xfId="2009" xr:uid="{771075DC-1C73-4625-A741-32DC579C514E}"/>
    <cellStyle name="Comma 2 9" xfId="740" xr:uid="{84D0BC81-3C60-409E-AEFC-EBB2D8E01D25}"/>
    <cellStyle name="Comma 2 9 2" xfId="2010" xr:uid="{5C7B3479-CC10-41C0-BBF9-77394D1A4A4F}"/>
    <cellStyle name="Comma 3" xfId="741" xr:uid="{651BDA03-41DF-424D-9BEF-54F0BECE5282}"/>
    <cellStyle name="Comma 3 2" xfId="742" xr:uid="{97C66FF8-54FD-4BEA-BDFB-A8995D869F90}"/>
    <cellStyle name="Comma 3 2 2" xfId="2012" xr:uid="{7DAF90A2-E57F-4B5A-8ACF-B5E5CDB59595}"/>
    <cellStyle name="Comma 3 3" xfId="743" xr:uid="{0042AF61-1E14-4F5C-B226-0EC08089945B}"/>
    <cellStyle name="Comma 3 3 2" xfId="2013" xr:uid="{DDEA8EBE-A702-42DD-B9E4-A88CA38B2B4B}"/>
    <cellStyle name="Comma 3 4" xfId="744" xr:uid="{4EEC84B5-BD77-4100-B211-36D4FE29A179}"/>
    <cellStyle name="Comma 3 4 2" xfId="2014" xr:uid="{83657263-5321-4F57-849A-FD2E381B76BF}"/>
    <cellStyle name="Comma 3 5" xfId="745" xr:uid="{C2CC4122-233E-42DF-91AF-8AA99DA4B8BF}"/>
    <cellStyle name="Comma 3 5 2" xfId="2015" xr:uid="{CEC55F2B-19C6-47ED-87A6-7F845F8D51C5}"/>
    <cellStyle name="Comma 3 6" xfId="746" xr:uid="{0F795FE2-E25F-4D65-9D3D-815CD2FA55DD}"/>
    <cellStyle name="Comma 3 6 2" xfId="2016" xr:uid="{BC6664BC-D0CC-4781-8387-42A01B25CC62}"/>
    <cellStyle name="Comma 3 7" xfId="747" xr:uid="{98770866-B9C6-46CE-8422-5DEA184C3242}"/>
    <cellStyle name="Comma 3 7 2" xfId="2017" xr:uid="{4512B5AB-6B36-42B0-ADA9-BF9BD17A5F55}"/>
    <cellStyle name="Comma 3 8" xfId="748" xr:uid="{26C28E38-50C1-490D-ACA6-69868004C7A8}"/>
    <cellStyle name="Comma 3 8 2" xfId="2018" xr:uid="{BC2F55C2-8F57-4083-9EDB-2F12E590360D}"/>
    <cellStyle name="Comma 3 9" xfId="2011" xr:uid="{44775FEF-7846-49FB-81ED-677B4E78A9C9}"/>
    <cellStyle name="Comma 4" xfId="749" xr:uid="{208CC086-C080-4456-B205-11DF9706C273}"/>
    <cellStyle name="Comma 4 2" xfId="750" xr:uid="{46388A41-9E92-42AD-B4BB-A3E47F3D1AC7}"/>
    <cellStyle name="Comma 4 2 2" xfId="2020" xr:uid="{08A51DE7-C8F1-41F7-852A-9AD7DDD14ACA}"/>
    <cellStyle name="Comma 4 3" xfId="751" xr:uid="{B6C9CF65-A372-402B-AB64-DED3A13396E0}"/>
    <cellStyle name="Comma 4 3 2" xfId="2021" xr:uid="{FDE2A09B-4D7E-4600-9662-0ECCCC630949}"/>
    <cellStyle name="Comma 4 4" xfId="752" xr:uid="{D22B9AF7-8606-4F1C-A6CE-B574D89CE18D}"/>
    <cellStyle name="Comma 4 4 2" xfId="2022" xr:uid="{D98F31D1-4CB2-4845-AFEC-46EAC9033F1B}"/>
    <cellStyle name="Comma 4 5" xfId="753" xr:uid="{44DD8C57-A933-4DFD-AF53-00A15DDE8EB5}"/>
    <cellStyle name="Comma 4 5 2" xfId="2023" xr:uid="{7CB0AF8C-F9E5-4C40-880D-70FEE200F563}"/>
    <cellStyle name="Comma 4 6" xfId="754" xr:uid="{655D4623-5A03-44FF-84BA-639DDE97CECA}"/>
    <cellStyle name="Comma 4 6 2" xfId="2024" xr:uid="{45B2476E-E699-413D-8922-A7F654DCC810}"/>
    <cellStyle name="Comma 4 7" xfId="755" xr:uid="{5BA6712E-0CD2-43EC-AB4B-101138D93BD7}"/>
    <cellStyle name="Comma 4 7 2" xfId="2025" xr:uid="{904C6B49-AB32-4C69-B20C-A0E7E46AB558}"/>
    <cellStyle name="Comma 4 8" xfId="756" xr:uid="{DDDE9BCD-29C0-4C13-9617-FD900ABD2167}"/>
    <cellStyle name="Comma 4 8 2" xfId="2026" xr:uid="{AAC993E2-4169-4561-871F-11B73016EFBF}"/>
    <cellStyle name="Comma 4 9" xfId="2019" xr:uid="{5B54FF94-AA41-425B-B542-0FF7A86B0B64}"/>
    <cellStyle name="Comma 5" xfId="757" xr:uid="{588EAC4A-1593-41D7-8260-791116A9CE8B}"/>
    <cellStyle name="Comma 5 2" xfId="758" xr:uid="{BF94F1DA-BC72-4D2C-B839-56AC355DF810}"/>
    <cellStyle name="Comma 5 2 2" xfId="2028" xr:uid="{FEED917D-3476-488F-B536-3D68DA3BC2D9}"/>
    <cellStyle name="Comma 5 3" xfId="759" xr:uid="{7A7BF46A-12E9-4802-B3A5-AE469FEE99D4}"/>
    <cellStyle name="Comma 5 3 2" xfId="2029" xr:uid="{842DFC76-D9A7-43D0-BE13-C47D351A931E}"/>
    <cellStyle name="Comma 5 4" xfId="760" xr:uid="{FDF6E1AA-06A3-4C6F-926B-717B7DAFC16A}"/>
    <cellStyle name="Comma 5 4 2" xfId="2030" xr:uid="{6270B6D1-EA3C-432A-8878-1232617BE4B9}"/>
    <cellStyle name="Comma 5 5" xfId="761" xr:uid="{AAF27971-64EF-4EDE-A609-0050868122F3}"/>
    <cellStyle name="Comma 5 5 2" xfId="2031" xr:uid="{12D8E6C3-611D-46C2-8A98-6EA3DEAF3764}"/>
    <cellStyle name="Comma 5 6" xfId="762" xr:uid="{806A0EDA-AF97-4003-BBCB-B3AB29B340EB}"/>
    <cellStyle name="Comma 5 6 2" xfId="2032" xr:uid="{0F29CA51-4008-404C-9C38-2A021EEC5A08}"/>
    <cellStyle name="Comma 5 7" xfId="763" xr:uid="{05087986-0169-47C8-91D2-EB76DE53AEB7}"/>
    <cellStyle name="Comma 5 7 2" xfId="2033" xr:uid="{757D7809-E25D-4745-9E87-CD5F9E4DC7A6}"/>
    <cellStyle name="Comma 5 8" xfId="764" xr:uid="{AB0DEAD6-9F87-4963-9D0A-AC5A0C76F801}"/>
    <cellStyle name="Comma 5 8 2" xfId="2034" xr:uid="{D1524115-D0C0-474C-A6E2-A4C5E28BA89D}"/>
    <cellStyle name="Comma 5 9" xfId="2027" xr:uid="{8DA46C02-F42E-47A4-8CEA-5E3B352AF715}"/>
    <cellStyle name="Comma 6" xfId="765" xr:uid="{CAB7BC55-9D46-4715-B85C-C91719767F96}"/>
    <cellStyle name="Comma 6 2" xfId="766" xr:uid="{BA7F2DDC-6E6C-44E5-BBCC-61DC05485092}"/>
    <cellStyle name="Comma 6 2 2" xfId="2036" xr:uid="{ADAC0428-14CE-49C2-9D3A-EEABC57EF060}"/>
    <cellStyle name="Comma 6 3" xfId="767" xr:uid="{E79B8644-DA3E-4B76-AE45-0D6A02F0C66C}"/>
    <cellStyle name="Comma 6 3 2" xfId="2037" xr:uid="{95F862C7-E041-48B0-8D1C-8B8501F3EFFC}"/>
    <cellStyle name="Comma 6 4" xfId="768" xr:uid="{986126AB-2818-4551-9117-2D9A5AE90F7F}"/>
    <cellStyle name="Comma 6 4 2" xfId="2038" xr:uid="{F0073C4B-F2F8-48BB-A6ED-A03BDDBBF27B}"/>
    <cellStyle name="Comma 6 5" xfId="769" xr:uid="{709E362C-B12C-4358-9A56-BFADEAE2751B}"/>
    <cellStyle name="Comma 6 5 2" xfId="2039" xr:uid="{124A25DA-6ADA-4458-8CB3-79D37F563377}"/>
    <cellStyle name="Comma 6 6" xfId="770" xr:uid="{91F2EDA7-E683-4781-B1DE-9307BDEEB922}"/>
    <cellStyle name="Comma 6 6 2" xfId="2040" xr:uid="{5ACF535A-DE91-43A3-A8F3-BE095363D36D}"/>
    <cellStyle name="Comma 6 7" xfId="771" xr:uid="{199A67E5-223A-49C9-8217-EA08EB50FB72}"/>
    <cellStyle name="Comma 6 7 2" xfId="2041" xr:uid="{2C368477-629C-400D-BFD9-8B9391ACE62E}"/>
    <cellStyle name="Comma 6 8" xfId="772" xr:uid="{A26CA8FE-A115-4AF1-B666-B4363FEC077F}"/>
    <cellStyle name="Comma 6 8 2" xfId="2042" xr:uid="{58CB7D1E-ABC6-4241-85B3-7692F8E9A817}"/>
    <cellStyle name="Comma 6 9" xfId="2035" xr:uid="{039FB2C2-2032-45B2-AAFB-DDF7FF9CC39D}"/>
    <cellStyle name="Comma 7" xfId="773" xr:uid="{2B650776-FDCC-4433-931D-606F8B0CDEB0}"/>
    <cellStyle name="Comma 7 10" xfId="774" xr:uid="{318C1FCB-ED65-47F5-9B22-DD390BB2531E}"/>
    <cellStyle name="Comma 7 10 2" xfId="2043" xr:uid="{96376652-A7DC-4E60-8EF5-269D088616E7}"/>
    <cellStyle name="Comma 7 11" xfId="775" xr:uid="{94A54BC8-A1D3-4F50-A4AD-2EF4F748C299}"/>
    <cellStyle name="Comma 7 11 2" xfId="2044" xr:uid="{285435A6-7D35-46F5-903D-DA3C1AECE98B}"/>
    <cellStyle name="Comma 7 11 2 2" xfId="3051" xr:uid="{BE86FC66-EDAD-4485-8464-CED96CC3C8FC}"/>
    <cellStyle name="Comma 7 11 2 3" xfId="3277" xr:uid="{A92113FC-A672-4539-A80B-D625F25B9BC9}"/>
    <cellStyle name="Comma 7 12" xfId="776" xr:uid="{109D66C0-EB4A-4829-8ADB-506C1C6BB240}"/>
    <cellStyle name="Comma 7 12 2" xfId="2045" xr:uid="{367DA631-6883-4A8B-BDE7-31B0E57E541D}"/>
    <cellStyle name="Comma 7 13" xfId="777" xr:uid="{E2BCEFD3-00E7-4FFE-8431-7E891E164F91}"/>
    <cellStyle name="Comma 7 13 2" xfId="2046" xr:uid="{D60D7094-1164-429E-A74B-CACA1D4EB8B6}"/>
    <cellStyle name="Comma 7 14" xfId="778" xr:uid="{21F486F9-58C4-4AF9-AFB3-3A0ABD90BBC4}"/>
    <cellStyle name="Comma 7 14 2" xfId="2047" xr:uid="{F8204F0B-D5E6-4D38-94C3-B65F4091E0DE}"/>
    <cellStyle name="Comma 7 15" xfId="779" xr:uid="{0B22C1A2-7334-42D1-8928-8C6813A492BB}"/>
    <cellStyle name="Comma 7 15 2" xfId="2048" xr:uid="{144F1EC2-AA8A-431B-94D0-2FA46D2A8D84}"/>
    <cellStyle name="Comma 7 16" xfId="780" xr:uid="{F63D42EE-B152-4E33-AB7A-132BC9F399F5}"/>
    <cellStyle name="Comma 7 16 2" xfId="2049" xr:uid="{791154D2-5DC5-41EF-BFF0-A046313CA3B9}"/>
    <cellStyle name="Comma 7 16 2 2" xfId="3052" xr:uid="{AF0584BD-7931-4DE8-8C3F-87972CDFB7F0}"/>
    <cellStyle name="Comma 7 16 2 3" xfId="3278" xr:uid="{30A805CA-1A9B-4EA2-ADB4-1E61890AD126}"/>
    <cellStyle name="Comma 7 17" xfId="781" xr:uid="{091AC581-C71E-479D-B95C-A62E93B9D250}"/>
    <cellStyle name="Comma 7 17 2" xfId="2050" xr:uid="{3FAD0785-F57D-4FDD-826C-A6DA7BF70431}"/>
    <cellStyle name="Comma 7 17 2 2" xfId="3053" xr:uid="{3A4C8DD6-90E1-487E-A456-5E93285AB973}"/>
    <cellStyle name="Comma 7 17 2 3" xfId="3279" xr:uid="{FE98C5BC-5784-477F-B058-F07E605C92FC}"/>
    <cellStyle name="Comma 7 18" xfId="782" xr:uid="{FC0640E0-365B-4D2E-A244-44D190EC9155}"/>
    <cellStyle name="Comma 7 18 2" xfId="2051" xr:uid="{E143B94A-7384-40BC-B49F-C29E11932176}"/>
    <cellStyle name="Comma 7 18 2 2" xfId="3054" xr:uid="{7FC32AF2-3B9E-4DA4-8AF5-9E64ADE6D5E4}"/>
    <cellStyle name="Comma 7 18 2 3" xfId="3280" xr:uid="{9D9A2B9B-7C09-46C3-8D1A-CB58A77387A1}"/>
    <cellStyle name="Comma 7 19" xfId="783" xr:uid="{C08BA0C6-116F-4DAC-9493-D453F8DB72E6}"/>
    <cellStyle name="Comma 7 19 2" xfId="2052" xr:uid="{418E5EE4-9A56-47F0-893C-E5B07134EE30}"/>
    <cellStyle name="Comma 7 19 2 2" xfId="3055" xr:uid="{BE72B61B-301E-4F23-9BA0-1352A138B2C6}"/>
    <cellStyle name="Comma 7 19 2 3" xfId="3281" xr:uid="{17A52D43-8001-49B2-A5CB-3CF2B39B2855}"/>
    <cellStyle name="Comma 7 2" xfId="784" xr:uid="{36053AF2-A6F9-4B3C-AD86-D1FAAAA46514}"/>
    <cellStyle name="Comma 7 2 2" xfId="2053" xr:uid="{22D92C74-22D3-4430-B9DA-E0F6F9A68F0B}"/>
    <cellStyle name="Comma 7 20" xfId="785" xr:uid="{8E72F224-E065-41A8-BA02-B28C827A8225}"/>
    <cellStyle name="Comma 7 20 2" xfId="2054" xr:uid="{8D70E469-6456-439D-83DF-4691BEF67175}"/>
    <cellStyle name="Comma 7 20 2 2" xfId="3056" xr:uid="{BC29EABD-DDCC-44ED-9195-23715C72ACEA}"/>
    <cellStyle name="Comma 7 20 2 3" xfId="3282" xr:uid="{76ED72A8-33B2-4632-8F93-6D8949FE4101}"/>
    <cellStyle name="Comma 7 21" xfId="786" xr:uid="{88A7A881-5D67-43C3-9548-D1902B72BA64}"/>
    <cellStyle name="Comma 7 21 2" xfId="2055" xr:uid="{4F406525-E6F5-4B90-B079-8995E5D8DF45}"/>
    <cellStyle name="Comma 7 21 2 2" xfId="3057" xr:uid="{ABA127D4-5B0D-43B2-A990-E17C0D95D22F}"/>
    <cellStyle name="Comma 7 21 2 3" xfId="3283" xr:uid="{BF070947-0111-4142-9A21-D05D846BEE2E}"/>
    <cellStyle name="Comma 7 3" xfId="787" xr:uid="{5CA434CF-E338-4C02-9885-9166F279A6CD}"/>
    <cellStyle name="Comma 7 3 10" xfId="788" xr:uid="{2463B464-B62E-44DC-AA22-787ED3772AC0}"/>
    <cellStyle name="Comma 7 3 10 2" xfId="2057" xr:uid="{6A5E2AAD-0953-48F2-BBCB-77906E01D104}"/>
    <cellStyle name="Comma 7 3 11" xfId="789" xr:uid="{7B26CEF5-7A49-44CE-B05D-705832721A77}"/>
    <cellStyle name="Comma 7 3 11 2" xfId="2058" xr:uid="{374ED25F-2D7D-46EE-A487-5C4716B3FB16}"/>
    <cellStyle name="Comma 7 3 12" xfId="790" xr:uid="{3B8D51CF-975F-42A1-BF19-3B40DA161110}"/>
    <cellStyle name="Comma 7 3 12 2" xfId="2059" xr:uid="{73A2425B-375A-4464-BF57-71A2A262B3C1}"/>
    <cellStyle name="Comma 7 3 13" xfId="791" xr:uid="{AD2625C3-6F01-4F36-8448-A0940825521A}"/>
    <cellStyle name="Comma 7 3 13 2" xfId="2060" xr:uid="{BD604045-2BB1-480B-9683-4C8EDDE5CCBD}"/>
    <cellStyle name="Comma 7 3 14" xfId="792" xr:uid="{55562FFF-8907-4E22-AF1B-E5F1B899666D}"/>
    <cellStyle name="Comma 7 3 14 2" xfId="2061" xr:uid="{FE3D0443-7F16-4B7F-998C-19E2245507B2}"/>
    <cellStyle name="Comma 7 3 15" xfId="793" xr:uid="{803D9CCE-F590-495D-AEAD-ABB6AFD54C76}"/>
    <cellStyle name="Comma 7 3 15 2" xfId="2062" xr:uid="{B52BADFC-D6AF-45EF-8FB7-C536DDEE41F7}"/>
    <cellStyle name="Comma 7 3 16" xfId="2056" xr:uid="{0CE0A72F-00E0-4907-AA3F-618488091030}"/>
    <cellStyle name="Comma 7 3 16 2" xfId="3058" xr:uid="{01E781DD-1478-4913-876F-FF02DA983A9C}"/>
    <cellStyle name="Comma 7 3 16 3" xfId="3284" xr:uid="{7BF8550D-1F65-407B-875D-41FFDBA5AB84}"/>
    <cellStyle name="Comma 7 3 2" xfId="794" xr:uid="{747C1FCD-5FD8-4E25-8397-88DF06D96730}"/>
    <cellStyle name="Comma 7 3 2 2" xfId="2063" xr:uid="{48867EED-BCE6-4C0A-B8AA-5118D6C2A85F}"/>
    <cellStyle name="Comma 7 3 3" xfId="795" xr:uid="{D4E8F2A8-32E1-4BF0-8957-8E722BB13498}"/>
    <cellStyle name="Comma 7 3 3 2" xfId="2064" xr:uid="{71D52CD0-6601-409C-8E4B-64B1257B675B}"/>
    <cellStyle name="Comma 7 3 4" xfId="796" xr:uid="{B1C23216-7986-442E-8985-C012899E95FC}"/>
    <cellStyle name="Comma 7 3 4 2" xfId="2065" xr:uid="{8B57667F-D586-4500-904C-5AE74780AF11}"/>
    <cellStyle name="Comma 7 3 5" xfId="797" xr:uid="{00C463E7-6813-4392-B0EA-740F7FC6F45B}"/>
    <cellStyle name="Comma 7 3 5 2" xfId="2066" xr:uid="{B71FF78C-C4C4-492A-A8B0-78EF780F636D}"/>
    <cellStyle name="Comma 7 3 6" xfId="798" xr:uid="{615D6369-E410-46D5-9F9F-C3F6405D9CDE}"/>
    <cellStyle name="Comma 7 3 6 2" xfId="2067" xr:uid="{F74FBD53-02B0-40DD-B38B-A90FC2F487FB}"/>
    <cellStyle name="Comma 7 3 7" xfId="799" xr:uid="{EA2B49B5-FFEC-499C-B6EC-4D6E1263122E}"/>
    <cellStyle name="Comma 7 3 7 2" xfId="2068" xr:uid="{7EEEB094-12F7-41F8-B99C-F91728DBE48F}"/>
    <cellStyle name="Comma 7 3 8" xfId="800" xr:uid="{F93C30E8-203A-4936-9DDB-E9346215FD27}"/>
    <cellStyle name="Comma 7 3 8 2" xfId="2069" xr:uid="{636E87F9-1599-4493-9E6B-BBA9BA5B2CF0}"/>
    <cellStyle name="Comma 7 3 9" xfId="801" xr:uid="{986C3961-2C7C-40FC-AAE6-A0238DECDFA6}"/>
    <cellStyle name="Comma 7 3 9 2" xfId="2070" xr:uid="{CF229204-0A6A-4C62-81B2-3EE573DD5FD7}"/>
    <cellStyle name="Comma 7 4" xfId="802" xr:uid="{74F7499E-F4E0-44A6-80C0-51887C9A7F1A}"/>
    <cellStyle name="Comma 7 4 2" xfId="2071" xr:uid="{41ADC959-22FC-436B-BBA9-E518D5E161ED}"/>
    <cellStyle name="Comma 7 5" xfId="803" xr:uid="{DC8782BD-6FF5-41C9-924E-8EFED45FC4B5}"/>
    <cellStyle name="Comma 7 5 2" xfId="2072" xr:uid="{CD13EFBA-C2D2-4594-99F3-51390F486E52}"/>
    <cellStyle name="Comma 7 6" xfId="804" xr:uid="{4063EF39-C400-4B95-8CEC-C166867CAA89}"/>
    <cellStyle name="Comma 7 6 2" xfId="2073" xr:uid="{A619F7E8-78C0-4968-90C8-76C223FB8DE1}"/>
    <cellStyle name="Comma 7 7" xfId="805" xr:uid="{2E71A176-3BF1-4507-AFD8-9A700E3DE95C}"/>
    <cellStyle name="Comma 7 7 2" xfId="2074" xr:uid="{7F75E7B1-366D-4EFF-A1F5-CECD4316874A}"/>
    <cellStyle name="Comma 7 8" xfId="806" xr:uid="{40E88D8E-0E3B-4CE4-B3BC-87D7A9779444}"/>
    <cellStyle name="Comma 7 8 2" xfId="2075" xr:uid="{BAADC072-57C7-4449-898F-262C8F242087}"/>
    <cellStyle name="Comma 7 9" xfId="807" xr:uid="{2A5B791E-F14C-4BDD-B357-16C4CE022EF3}"/>
    <cellStyle name="Comma 7 9 2" xfId="2076" xr:uid="{0D376046-1CE0-4C5B-99BF-E56D1791E080}"/>
    <cellStyle name="Comma 8" xfId="808" xr:uid="{49CD39ED-3F91-46CD-ABB6-580EDCA4FA06}"/>
    <cellStyle name="Comma 8 2" xfId="809" xr:uid="{01589B27-11B2-4DDE-97A1-8F48C2758B67}"/>
    <cellStyle name="Comma 8 2 2" xfId="2077" xr:uid="{E6AF1367-9CC9-4A79-9903-F25417AFDE7D}"/>
    <cellStyle name="Comma 8 2 2 2" xfId="3059" xr:uid="{065CC6EF-FDAA-42CE-8827-FD42937372BB}"/>
    <cellStyle name="Comma 8 2 2 3" xfId="3285" xr:uid="{D2F45348-E895-4BB1-A769-5B811373BAFC}"/>
    <cellStyle name="Comma 8 3" xfId="810" xr:uid="{72DA2386-85A9-445E-8961-9D1426031417}"/>
    <cellStyle name="Comma 8 3 2" xfId="2078" xr:uid="{8B218C5F-6270-4C2D-A6E8-90B8C3DB0417}"/>
    <cellStyle name="Comma 8 3 2 2" xfId="3060" xr:uid="{D74BF09A-D38C-4C0C-B934-B20E3328873A}"/>
    <cellStyle name="Comma 8 3 2 3" xfId="3286" xr:uid="{1A86EAE5-26A5-428F-97BB-77E9DFB144E8}"/>
    <cellStyle name="Comma 8 4" xfId="811" xr:uid="{FACCDEAE-0616-4E1F-AC24-22E6644313C2}"/>
    <cellStyle name="Comma 8 4 2" xfId="2079" xr:uid="{4AB7D1E8-A6ED-478B-AE8D-6818BBDCA06F}"/>
    <cellStyle name="Comma 8 4 2 2" xfId="3061" xr:uid="{AD6C6FAD-1FB9-4109-930E-8417154978EA}"/>
    <cellStyle name="Comma 8 4 2 3" xfId="3287" xr:uid="{F20DD391-4FC8-4386-9BA1-C3E06A8044A4}"/>
    <cellStyle name="Comma 8 5" xfId="812" xr:uid="{DE1B0AAD-7851-4D22-B83C-3080975BD88F}"/>
    <cellStyle name="Comma 8 5 2" xfId="2080" xr:uid="{1A754DD0-7D9F-4ABB-832F-F42EEB43A4CA}"/>
    <cellStyle name="Comma 8 5 2 2" xfId="3062" xr:uid="{8185A323-0C61-4A98-BF69-3EA72B41943A}"/>
    <cellStyle name="Comma 8 5 2 3" xfId="3288" xr:uid="{DFE4C2C0-32CA-4780-BF56-D355D0E35BF1}"/>
    <cellStyle name="Comma 8 6" xfId="813" xr:uid="{4F4C1626-CACB-4BBA-9B52-1F37B4247B04}"/>
    <cellStyle name="Comma 8 6 2" xfId="2081" xr:uid="{92798E09-3F20-44DB-94C5-F24DDF6F602A}"/>
    <cellStyle name="Comma 8 6 2 2" xfId="3063" xr:uid="{457D52DE-C581-4AC5-A925-508A71D1BAED}"/>
    <cellStyle name="Comma 8 6 2 3" xfId="3289" xr:uid="{A8E39311-BC82-4F46-9718-0E03B988EE60}"/>
    <cellStyle name="Comma 8 7" xfId="814" xr:uid="{B8FA7592-20B9-4CD8-A1BF-654A4D701F53}"/>
    <cellStyle name="Comma 8 7 2" xfId="2082" xr:uid="{C1755212-F857-4041-B3C7-8799836838F7}"/>
    <cellStyle name="Comma 8 7 2 2" xfId="3064" xr:uid="{A2873435-71A4-4E53-ABC5-B50C5833FB3B}"/>
    <cellStyle name="Comma 8 7 2 3" xfId="3290" xr:uid="{819CEC86-8A1D-4FDE-A778-762D47CCC773}"/>
    <cellStyle name="Comma 8 8" xfId="815" xr:uid="{E1AA6E27-2DE4-43B1-A048-D36E1A2B5860}"/>
    <cellStyle name="Comma 8 8 2" xfId="2083" xr:uid="{4E948F12-5A55-4A8A-95AF-556CB210C63C}"/>
    <cellStyle name="Comma 8 8 2 2" xfId="3065" xr:uid="{DB28AB91-695E-4913-AEF0-96E39EC83864}"/>
    <cellStyle name="Comma 8 8 2 3" xfId="3291" xr:uid="{D5BB0265-5A53-4130-B93D-32315C12A8C9}"/>
    <cellStyle name="Comma 9" xfId="3397" xr:uid="{63A4CAF7-DE54-4E38-A148-739CE037147E}"/>
    <cellStyle name="Comma 9 2" xfId="816" xr:uid="{C08DD1B1-EB5E-42F8-A5ED-4A5E4EC2AE3F}"/>
    <cellStyle name="Comma 9 2 2" xfId="2084" xr:uid="{DB93B5D1-70D5-4FDB-9444-771C81B6F49E}"/>
    <cellStyle name="Comma 9 3" xfId="817" xr:uid="{B212D34F-32B4-42F0-A16D-A6B89D8B29F1}"/>
    <cellStyle name="Comma 9 4" xfId="818" xr:uid="{4C571293-43DC-4233-9EB5-088242F6D622}"/>
    <cellStyle name="Comma 9 5" xfId="819" xr:uid="{3389700E-DC73-4E11-AD2D-37236B8E5505}"/>
    <cellStyle name="Comma 9 6" xfId="820" xr:uid="{E0EED7AD-2AEA-498C-BF39-A1AEBEE70763}"/>
    <cellStyle name="Comma 9 7" xfId="821" xr:uid="{26417AD5-4D63-43E2-9A21-3131925E95EB}"/>
    <cellStyle name="Comma 9 8" xfId="822" xr:uid="{0DBD5101-D519-4429-8B21-267A59197793}"/>
    <cellStyle name="Comma 9 9" xfId="823" xr:uid="{FF993F0D-FC55-4B2B-BDCC-8910095496D0}"/>
    <cellStyle name="Currency 2 2" xfId="824" xr:uid="{0C6FD007-761E-4429-80D9-2010A8C5B760}"/>
    <cellStyle name="Currency 2 2 2" xfId="2085" xr:uid="{7FD0402B-6BED-4DA1-8A4A-262167AAEFBE}"/>
    <cellStyle name="CustomizationCells" xfId="200" xr:uid="{939A96A6-076F-4047-8FA0-A50FB46E8BCA}"/>
    <cellStyle name="Date" xfId="825" xr:uid="{75AE9BD3-C568-4953-B364-179AD2A25724}"/>
    <cellStyle name="Date 2" xfId="826" xr:uid="{9F94687D-3933-401D-AE06-84AF9460A697}"/>
    <cellStyle name="donn_normal" xfId="827" xr:uid="{9E7B9DC4-3780-4687-975C-D43DEDA17B01}"/>
    <cellStyle name="ent_col_ser" xfId="828" xr:uid="{9A80786C-0756-46A6-A7C4-17AA774DC59A}"/>
    <cellStyle name="entete_source" xfId="829" xr:uid="{C2A6F187-7463-4699-AE81-87149A4E91CC}"/>
    <cellStyle name="Euro" xfId="78" xr:uid="{69C4EF6A-335D-4980-A274-9EE34523B499}"/>
    <cellStyle name="Euro 2" xfId="79" xr:uid="{37F483BC-5C8F-4D11-A6E8-501C940B3B3A}"/>
    <cellStyle name="Euro 2 2" xfId="80" xr:uid="{A8F70738-6C59-47C3-9DF5-7C7D00993326}"/>
    <cellStyle name="Euro 2 2 2" xfId="81" xr:uid="{36E16DF6-E305-49F6-907F-FB9BA8C7C4CE}"/>
    <cellStyle name="Euro 2 2 2 2" xfId="2088" xr:uid="{47927B66-F39A-4193-AB76-83714EBBD23B}"/>
    <cellStyle name="Euro 2 2 2 3" xfId="832" xr:uid="{39B05727-6B7D-43B1-9B6A-6D495CF114EF}"/>
    <cellStyle name="Euro 2 2 3" xfId="2087" xr:uid="{3151D171-53DC-4441-83E3-DFDDC964CC8D}"/>
    <cellStyle name="Euro 2 2 4" xfId="831" xr:uid="{3A80B14C-A113-42E4-815B-D0EB01E22134}"/>
    <cellStyle name="Euro 2 3" xfId="833" xr:uid="{54FD9A8D-B282-42D9-BC2A-CCE6F39C1335}"/>
    <cellStyle name="Euro 2 3 2" xfId="2089" xr:uid="{C15030E0-5D02-44E0-A98C-ED190F0ED366}"/>
    <cellStyle name="Euro 2 4" xfId="2086" xr:uid="{D25B6647-9EA3-4071-8F8B-59CBF008EE95}"/>
    <cellStyle name="Euro 2 5" xfId="830" xr:uid="{DB3F511E-5E7B-4BC6-8877-CF71B2AA5DBB}"/>
    <cellStyle name="Euro 3" xfId="82" xr:uid="{AEA7F1B3-5C37-4DAA-B659-9076990BF6B9}"/>
    <cellStyle name="Euro 3 2" xfId="2090" xr:uid="{7826D191-29C0-4CD5-A6B8-A015247D6502}"/>
    <cellStyle name="Euro 3 3" xfId="834" xr:uid="{28858492-0072-4213-BEE1-6BC09FE3103A}"/>
    <cellStyle name="Euro 4" xfId="83" xr:uid="{CCCFE6A7-67EC-4A30-B05F-51CD04691FFF}"/>
    <cellStyle name="Euro 4 2" xfId="2091" xr:uid="{339A1C35-19CB-48A7-9AF9-AED7687099CB}"/>
    <cellStyle name="Euro 4 3" xfId="835" xr:uid="{77F2D07F-AEE8-48B0-A5D3-2F45C2D3D37A}"/>
    <cellStyle name="Euro 5" xfId="201" xr:uid="{08D2382B-5A3D-4E6B-AE1E-588063F4565E}"/>
    <cellStyle name="Explanatory Text 2" xfId="84" xr:uid="{1C58E883-AA8A-4B7D-85FB-B5F34F3BD1CD}"/>
    <cellStyle name="Explanatory Text 2 10" xfId="836" xr:uid="{BC58FAD7-9EA9-43CD-AB06-E1BCF5A8B516}"/>
    <cellStyle name="Explanatory Text 2 2" xfId="837" xr:uid="{36A40B99-271E-460A-8236-A6565A00C5D6}"/>
    <cellStyle name="Explanatory Text 2 3" xfId="838" xr:uid="{8ED5BF79-9593-4A00-8A67-D95D92FCC6A1}"/>
    <cellStyle name="Explanatory Text 2 4" xfId="839" xr:uid="{129B8875-9184-487D-91B9-221233A2F029}"/>
    <cellStyle name="Explanatory Text 2 5" xfId="840" xr:uid="{EDC34020-9F07-4C9F-A010-18FC8865434D}"/>
    <cellStyle name="Explanatory Text 2 6" xfId="841" xr:uid="{02F7F28C-C2A8-4534-98C1-DE666DD42A59}"/>
    <cellStyle name="Explanatory Text 2 7" xfId="842" xr:uid="{157A28B7-5CE2-41FD-A860-6ADEBEF27FD7}"/>
    <cellStyle name="Explanatory Text 2 8" xfId="843" xr:uid="{086770D1-2217-40A1-B2FE-01F8BEC3B7A4}"/>
    <cellStyle name="Explanatory Text 2 9" xfId="844" xr:uid="{DF86FE27-E849-4D32-AEC1-4DBF6139CB00}"/>
    <cellStyle name="Explanatory Text 3" xfId="85" xr:uid="{1C6AF690-81DC-4C25-BB45-F98E84F3EB6A}"/>
    <cellStyle name="Fixed" xfId="845" xr:uid="{274CBD16-2182-491B-B1FA-F24E765E57D3}"/>
    <cellStyle name="Fixed 2" xfId="846" xr:uid="{5058F554-108F-4272-A71B-1A7F2CB7B385}"/>
    <cellStyle name="Float" xfId="86" xr:uid="{B8EC86B8-86F4-4075-916B-4D6325FBF5E7}"/>
    <cellStyle name="Float 2" xfId="87" xr:uid="{2466CFB0-0075-4343-AC72-8B8B91A2C8FE}"/>
    <cellStyle name="Good" xfId="5" builtinId="26"/>
    <cellStyle name="Good 2" xfId="88" xr:uid="{0E5EC658-E2E9-46CC-BC0D-F87F5B328A4C}"/>
    <cellStyle name="Good 2 10" xfId="847" xr:uid="{0ADC9F4E-7E8C-4373-AA46-7847CE594D2C}"/>
    <cellStyle name="Good 2 2" xfId="848" xr:uid="{394C8BC6-D305-47A1-91E7-C9A38E7CC17D}"/>
    <cellStyle name="Good 2 3" xfId="849" xr:uid="{2A06E148-FF66-484D-AB70-243DA06DDA02}"/>
    <cellStyle name="Good 2 4" xfId="850" xr:uid="{2348305B-717D-4DC4-9C76-1B1066BA593B}"/>
    <cellStyle name="Good 2 5" xfId="851" xr:uid="{A5AF55DA-4D7D-457B-BC6A-C1A25D280C56}"/>
    <cellStyle name="Good 2 6" xfId="852" xr:uid="{51213212-D72C-44E1-B6AA-297B3C989E21}"/>
    <cellStyle name="Good 2 7" xfId="853" xr:uid="{E98F0C11-9A0F-40BE-B7AE-FF08FCF81EF9}"/>
    <cellStyle name="Good 2 8" xfId="854" xr:uid="{EFF64C02-5C37-4718-A070-1C9B2E100BE0}"/>
    <cellStyle name="Good 2 9" xfId="855" xr:uid="{B71294EF-6C9D-4202-B067-C3CA1DC07FCE}"/>
    <cellStyle name="Good 3" xfId="89" xr:uid="{0D432FF1-762F-4F8A-B8B4-9AFD2C8BA346}"/>
    <cellStyle name="Good 3 2" xfId="856" xr:uid="{804391FE-3E54-460A-AD3D-6E2B2F7504B4}"/>
    <cellStyle name="Good 4" xfId="17" xr:uid="{FF89AD05-7210-4B1F-A496-FA8B1D654FD5}"/>
    <cellStyle name="Heading 1 2" xfId="90" xr:uid="{F6779493-CCCA-4465-805F-CEDEB3C4D231}"/>
    <cellStyle name="Heading 1 2 10" xfId="857" xr:uid="{1A0E3DAC-BC24-477D-B2B1-BEB9D703640F}"/>
    <cellStyle name="Heading 1 2 2" xfId="858" xr:uid="{E5DC145F-8D3C-4574-9A1A-572CA9EDE087}"/>
    <cellStyle name="Heading 1 2 3" xfId="859" xr:uid="{0A7111AB-ECAD-40CB-A489-1404617E00A2}"/>
    <cellStyle name="Heading 1 2 4" xfId="860" xr:uid="{417BB349-2175-462D-A94F-6BF723D19862}"/>
    <cellStyle name="Heading 1 2 5" xfId="861" xr:uid="{36CA7AA7-18A1-4703-9785-93EBD309CC88}"/>
    <cellStyle name="Heading 1 2 6" xfId="862" xr:uid="{EA3FE852-5EA3-4F8A-AD77-C8E70EF3CB58}"/>
    <cellStyle name="Heading 1 2 7" xfId="863" xr:uid="{D39EF9B2-1DDE-4E6E-938D-057AD3DF45A4}"/>
    <cellStyle name="Heading 1 2 8" xfId="864" xr:uid="{F5A4B3CF-0615-48ED-9EC3-511F0BF37D1B}"/>
    <cellStyle name="Heading 1 2 9" xfId="865" xr:uid="{59A31A78-C37A-4AE3-A4FC-BF6DC36AB1DF}"/>
    <cellStyle name="Heading 1 3" xfId="91" xr:uid="{2ED5DA86-A4D2-4240-AB97-0BE5C98BD901}"/>
    <cellStyle name="Heading 1 3 2" xfId="866" xr:uid="{0048867C-3165-4BDD-9B3A-E9ABE5FD010C}"/>
    <cellStyle name="Heading 2" xfId="3" builtinId="17"/>
    <cellStyle name="Heading 2 2" xfId="92" xr:uid="{8CD977C6-8D41-4816-A479-53BDE71FAE07}"/>
    <cellStyle name="Heading 2 2 10" xfId="867" xr:uid="{76502B36-FC4A-43E3-9CAB-B6BC6AD6DE57}"/>
    <cellStyle name="Heading 2 2 2" xfId="868" xr:uid="{30D8081B-D5A4-4595-B892-2A66D2DA6786}"/>
    <cellStyle name="Heading 2 2 3" xfId="869" xr:uid="{062F465E-1579-4841-9BF5-AB4BC203A2FD}"/>
    <cellStyle name="Heading 2 2 4" xfId="870" xr:uid="{A720AC2B-4DFE-4413-870B-CF8ABD916BE2}"/>
    <cellStyle name="Heading 2 2 5" xfId="871" xr:uid="{0E899FC6-F085-4B48-A2CE-66A4757AF30E}"/>
    <cellStyle name="Heading 2 2 6" xfId="872" xr:uid="{E0860235-14EE-4DFC-A572-40A3D018E4CB}"/>
    <cellStyle name="Heading 2 2 7" xfId="873" xr:uid="{8B0AB442-BDC3-4A2D-9C13-0BE9F2F4845E}"/>
    <cellStyle name="Heading 2 2 8" xfId="874" xr:uid="{A04997E5-A31D-478F-919A-EA02E1522C38}"/>
    <cellStyle name="Heading 2 2 9" xfId="875" xr:uid="{C2E524B4-060B-4557-85AF-996038450DB6}"/>
    <cellStyle name="Heading 2 3" xfId="93" xr:uid="{CCEE530B-C38E-456E-8DC5-55E63AF6BAAC}"/>
    <cellStyle name="Heading 2 3 2" xfId="876" xr:uid="{4F282765-4391-4279-A771-6AADE18FE1F8}"/>
    <cellStyle name="Heading 2 4" xfId="15" xr:uid="{99A7C3A6-6AC6-4376-93F4-EABB615021B7}"/>
    <cellStyle name="Heading 3" xfId="9" builtinId="18"/>
    <cellStyle name="Heading 3 2" xfId="94" xr:uid="{54E95285-0B91-42A5-AD01-8289E8344FCE}"/>
    <cellStyle name="Heading 3 2 10" xfId="877" xr:uid="{0474B3F8-A707-4EA4-87FD-EC41FC84BC90}"/>
    <cellStyle name="Heading 3 2 2" xfId="878" xr:uid="{3E232ACD-62BD-4240-8B84-763943F34462}"/>
    <cellStyle name="Heading 3 2 3" xfId="879" xr:uid="{76865014-E1DD-4A7A-9E6B-D4731C093844}"/>
    <cellStyle name="Heading 3 2 4" xfId="880" xr:uid="{883F4941-7E11-4584-8701-B1C6BCB01A95}"/>
    <cellStyle name="Heading 3 2 5" xfId="881" xr:uid="{5C0370AA-B448-41DF-9E96-96A7469BD327}"/>
    <cellStyle name="Heading 3 2 6" xfId="882" xr:uid="{537B3C1E-CBD3-4A15-A574-B1602900147F}"/>
    <cellStyle name="Heading 3 2 7" xfId="883" xr:uid="{91D660F9-216B-46AF-A9AA-F88F5E1EE541}"/>
    <cellStyle name="Heading 3 2 8" xfId="884" xr:uid="{8C2CD37F-FD7D-4A02-8531-141D7D7879DE}"/>
    <cellStyle name="Heading 3 2 9" xfId="885" xr:uid="{9E1BB69E-924C-480D-BE9C-14A2061D40D4}"/>
    <cellStyle name="Heading 3 3" xfId="95" xr:uid="{82E8B5A7-5075-4AF4-B3A2-FF7D84827E20}"/>
    <cellStyle name="Heading 3 3 2" xfId="886" xr:uid="{602DD8FE-9BB1-4030-9075-F7E7794CA7F4}"/>
    <cellStyle name="Heading 4" xfId="8" builtinId="19"/>
    <cellStyle name="Heading 4 2" xfId="96" xr:uid="{75D63625-532D-4DDD-A0CB-66F976DF9A14}"/>
    <cellStyle name="Heading 4 2 10" xfId="887" xr:uid="{30990F12-DBD2-433A-BDB6-AE3B3D0C311F}"/>
    <cellStyle name="Heading 4 2 2" xfId="888" xr:uid="{1EB4F1E5-698D-41BD-B781-D5CC516043D0}"/>
    <cellStyle name="Heading 4 2 3" xfId="889" xr:uid="{7B6F6350-DCE5-4D49-A8CE-32A3C377A63F}"/>
    <cellStyle name="Heading 4 2 4" xfId="890" xr:uid="{B03DA7C3-5587-43DA-B07D-19D7306CFAD4}"/>
    <cellStyle name="Heading 4 2 5" xfId="891" xr:uid="{C9274061-E8AC-48DD-90AF-5239BF96FCF5}"/>
    <cellStyle name="Heading 4 2 6" xfId="892" xr:uid="{F4BCFE88-0467-47D0-AC9A-2D37E31CE1CD}"/>
    <cellStyle name="Heading 4 2 7" xfId="893" xr:uid="{4B4149D9-39BE-47ED-A796-482DB30B75C7}"/>
    <cellStyle name="Heading 4 2 8" xfId="894" xr:uid="{084B25E9-1E3B-467F-B436-7AAA3C7D42A4}"/>
    <cellStyle name="Heading 4 2 9" xfId="895" xr:uid="{157A6DD5-1A99-4F6C-AA9D-ABA418F86585}"/>
    <cellStyle name="Heading 4 3" xfId="97" xr:uid="{72029554-5648-4CFF-8268-9E26E2C12D34}"/>
    <cellStyle name="Heading 4 3 2" xfId="896" xr:uid="{E90125A8-0560-43C0-951C-7EA2D83929F3}"/>
    <cellStyle name="Heading1" xfId="897" xr:uid="{0427632F-D933-4ABC-B675-3C42556ECC43}"/>
    <cellStyle name="Heading1 2" xfId="898" xr:uid="{A0E330AF-1386-479D-826C-A03A73E44DB8}"/>
    <cellStyle name="Heading2" xfId="899" xr:uid="{D5F347B6-8DCA-490F-A874-FFD220D26597}"/>
    <cellStyle name="Heading2 2" xfId="900" xr:uid="{DC9E7B94-598E-4551-9146-C139E88E7612}"/>
    <cellStyle name="Hyperlink 2" xfId="901" xr:uid="{DE709979-4C76-4C48-A169-8067F4F4266E}"/>
    <cellStyle name="Input" xfId="4" builtinId="20"/>
    <cellStyle name="Input 2" xfId="98" xr:uid="{D8155277-10F6-4673-888B-E7DE345F3E9D}"/>
    <cellStyle name="Input 2 10" xfId="902" xr:uid="{B7FB6FDC-C2B7-49CB-A2BB-94650CA3AD23}"/>
    <cellStyle name="Input 2 2" xfId="903" xr:uid="{5EC92F63-5F70-49BC-861A-A3C061CBD88C}"/>
    <cellStyle name="Input 2 3" xfId="904" xr:uid="{A38F64C4-9CD9-499A-A1C0-3B2A5F21E2F2}"/>
    <cellStyle name="Input 2 4" xfId="905" xr:uid="{077627FF-5D4C-458D-BD8E-589C52271EE0}"/>
    <cellStyle name="Input 2 5" xfId="906" xr:uid="{2C4A4589-3CEE-4EB5-B96E-04F8EA713798}"/>
    <cellStyle name="Input 2 6" xfId="907" xr:uid="{F1DBA815-2286-4BE4-B9FE-C48BCCDB318F}"/>
    <cellStyle name="Input 2 7" xfId="908" xr:uid="{0E1D4A8B-2616-4176-A078-484C6ACC141B}"/>
    <cellStyle name="Input 2 8" xfId="909" xr:uid="{C9204360-99C2-4C64-B78A-0760FCA6A3D9}"/>
    <cellStyle name="Input 2 9" xfId="910" xr:uid="{7B9C8388-8040-4AB7-ABA3-970D4872D8C1}"/>
    <cellStyle name="Input 3" xfId="99" xr:uid="{240B78EB-F29C-4984-8663-C8BB99502C75}"/>
    <cellStyle name="Input 3 2" xfId="911" xr:uid="{5B2A68A0-2731-4490-B6EC-283A8F0B8FF6}"/>
    <cellStyle name="Input 4" xfId="16" xr:uid="{DB37B1AD-6D7A-47C7-A3C4-9E0A3BD1AE93}"/>
    <cellStyle name="InputCells" xfId="202" xr:uid="{A0FBDC4F-27D0-405C-86CA-0B1D77035AAA}"/>
    <cellStyle name="ligne_titre_0" xfId="912" xr:uid="{1221B8F6-BF5B-4258-AF17-DD1B13B770A4}"/>
    <cellStyle name="Linked Cell 2" xfId="100" xr:uid="{C58E63D3-63FA-4E11-8B9B-557DC2C0816B}"/>
    <cellStyle name="Linked Cell 2 10" xfId="913" xr:uid="{CE35DE40-D13B-4922-B679-1601D537C710}"/>
    <cellStyle name="Linked Cell 2 2" xfId="914" xr:uid="{A9DBFC2F-1348-4173-8F03-CC3C5A070062}"/>
    <cellStyle name="Linked Cell 2 3" xfId="915" xr:uid="{1F16C85B-2BF3-404E-BF2E-EF8FC67C9C38}"/>
    <cellStyle name="Linked Cell 2 4" xfId="916" xr:uid="{31687484-0D39-4F4D-A06B-EA99BC1C719F}"/>
    <cellStyle name="Linked Cell 2 5" xfId="917" xr:uid="{EE78D6E2-82EB-420E-A354-D9F1372E60DE}"/>
    <cellStyle name="Linked Cell 2 6" xfId="918" xr:uid="{4E19EA51-9CBB-4794-A248-CC13FEDEA8B1}"/>
    <cellStyle name="Linked Cell 2 7" xfId="919" xr:uid="{702375CE-BED7-45FE-8C80-371FFC7AF1CA}"/>
    <cellStyle name="Linked Cell 2 8" xfId="920" xr:uid="{75CC752C-33FD-4332-80E5-F5B842A69EC6}"/>
    <cellStyle name="Linked Cell 2 9" xfId="921" xr:uid="{9D4F9658-C072-4EC5-96B3-F3DE65F1198E}"/>
    <cellStyle name="Linked Cell 3" xfId="101" xr:uid="{835E3FCC-D177-49D0-8A23-74854DDF9A68}"/>
    <cellStyle name="Linked Cell 3 2" xfId="922" xr:uid="{144C2B00-D428-4A52-8A3F-CB4CA2403571}"/>
    <cellStyle name="Migliaia_Oil&amp;Gas IFE ARC POLITO" xfId="923" xr:uid="{123AE939-3936-475D-B5D3-514D350C0BBE}"/>
    <cellStyle name="Neutral" xfId="6" builtinId="28"/>
    <cellStyle name="Neutral 2" xfId="102" xr:uid="{D820DEF6-64AC-41F6-9CA6-47810A7248E0}"/>
    <cellStyle name="Neutral 2 10" xfId="924" xr:uid="{88640D02-153E-4A40-A333-37AFFFF761D7}"/>
    <cellStyle name="Neutral 2 2" xfId="925" xr:uid="{528A371C-7214-43FF-8CED-EB4F6748F1A9}"/>
    <cellStyle name="Neutral 2 3" xfId="926" xr:uid="{1421C856-8006-49F1-8098-B7F02597E2E6}"/>
    <cellStyle name="Neutral 2 4" xfId="927" xr:uid="{7D490998-E278-4511-A0A6-4169BB8DD74F}"/>
    <cellStyle name="Neutral 2 5" xfId="928" xr:uid="{06462558-9D6D-450F-A96F-8520E16FAB7E}"/>
    <cellStyle name="Neutral 2 6" xfId="929" xr:uid="{7C834104-79F4-4307-A0C1-56D3D5125540}"/>
    <cellStyle name="Neutral 2 7" xfId="930" xr:uid="{A87B855D-E6F8-4257-8039-614549FAA6BB}"/>
    <cellStyle name="Neutral 2 8" xfId="931" xr:uid="{F45718FE-5CB3-4998-957A-A0EE01995CB5}"/>
    <cellStyle name="Neutral 2 9" xfId="932" xr:uid="{F21F506B-91CC-41AF-9A47-7842DDD68271}"/>
    <cellStyle name="Neutral 3" xfId="103" xr:uid="{2290B08A-0B49-4520-BE00-72068322CBCE}"/>
    <cellStyle name="Neutral 3 2" xfId="934" xr:uid="{CECEA7FA-D636-42C5-9D4F-6EFAC4CE7AF9}"/>
    <cellStyle name="Neutral 3 3" xfId="933" xr:uid="{4AAB13C8-41CF-4A71-A3A7-67BB4FB48D76}"/>
    <cellStyle name="Neutral 4" xfId="18" xr:uid="{6386530D-7FF3-4BF3-8531-D3BF5A6F5401}"/>
    <cellStyle name="Normal" xfId="0" builtinId="0"/>
    <cellStyle name="Normal 10" xfId="2" xr:uid="{00000000-0005-0000-0000-000006000000}"/>
    <cellStyle name="Normal 10 2" xfId="203" xr:uid="{3E69E36A-40C9-47A5-81D9-E90B48C36B0B}"/>
    <cellStyle name="Normal 10 2 2" xfId="2093" xr:uid="{AEF20D8D-8606-464E-80DB-6B9861FF4619}"/>
    <cellStyle name="Normal 10 3" xfId="935" xr:uid="{644E4195-0B80-486C-804C-967D4F1DE7A8}"/>
    <cellStyle name="Normal 10 3 2" xfId="2094" xr:uid="{029B1A4C-8F44-4527-8A14-942833C22076}"/>
    <cellStyle name="Normal 10 4" xfId="936" xr:uid="{EA97FCBC-DD4E-4F12-A7F8-6219A32FBCBE}"/>
    <cellStyle name="Normal 10 4 2" xfId="2095" xr:uid="{C6A09ABE-A78F-42F6-A79E-3765880864E7}"/>
    <cellStyle name="Normal 10 5" xfId="937" xr:uid="{E5127420-9545-4F15-AED0-D17EC7FEFA2C}"/>
    <cellStyle name="Normal 10 5 2" xfId="2096" xr:uid="{E85A977F-97CF-4AAF-B037-2AD9819EA82C}"/>
    <cellStyle name="Normal 10 6" xfId="938" xr:uid="{8636EED5-0C60-4358-9D52-12A224973D90}"/>
    <cellStyle name="Normal 10 6 2" xfId="2097" xr:uid="{DD1B3E67-0942-4FD5-A28D-FC1ADC9E17D3}"/>
    <cellStyle name="Normal 10 7" xfId="939" xr:uid="{33929809-BD29-47CA-8D04-7343C458B0E4}"/>
    <cellStyle name="Normal 10 7 2" xfId="2098" xr:uid="{E50DF4DD-DCFE-4A6A-BCEA-17FC4EDDF913}"/>
    <cellStyle name="Normal 10 8" xfId="940" xr:uid="{71E5F8B3-CDDA-446A-B4F2-C0A9ED1EC51E}"/>
    <cellStyle name="Normal 10 8 2" xfId="2099" xr:uid="{A3A87330-2C3E-4768-95F8-632F99652924}"/>
    <cellStyle name="Normal 10 9" xfId="2092" xr:uid="{EFB7582C-D712-4F67-AFF2-246D831B533A}"/>
    <cellStyle name="Normal 11" xfId="194" xr:uid="{C5E939D0-FC45-4B01-982A-33BE5D83E25B}"/>
    <cellStyle name="Normal 11 10" xfId="941" xr:uid="{FCC4C9D8-F0AC-479B-8A8A-8C42B57967A2}"/>
    <cellStyle name="Normal 11 2" xfId="942" xr:uid="{296B699A-3574-48E8-BE0C-37FC9B77C467}"/>
    <cellStyle name="Normal 11 2 2" xfId="2101" xr:uid="{66148CE9-34ED-4358-B663-8614BC381852}"/>
    <cellStyle name="Normal 11 3" xfId="943" xr:uid="{CDD628D5-31AC-44E9-86D5-8CD7D2EF0E3A}"/>
    <cellStyle name="Normal 11 3 2" xfId="2102" xr:uid="{4C56188F-1F67-47AA-8A2D-FFF7E822AC23}"/>
    <cellStyle name="Normal 11 4" xfId="944" xr:uid="{2BD494A0-3EF7-43B5-BA7F-C639C7927142}"/>
    <cellStyle name="Normal 11 4 2" xfId="2103" xr:uid="{7A41F5E6-B35F-46AC-95EF-F039A45B81E3}"/>
    <cellStyle name="Normal 11 5" xfId="945" xr:uid="{8F49BE6B-6D8F-4840-A0A9-A56A3F0C17A5}"/>
    <cellStyle name="Normal 11 5 2" xfId="2104" xr:uid="{33A28677-3298-4E52-AC36-4718B1E2A3ED}"/>
    <cellStyle name="Normal 11 6" xfId="946" xr:uid="{F820CFE1-1DA3-402A-8C30-136E30C7E108}"/>
    <cellStyle name="Normal 11 6 2" xfId="2105" xr:uid="{4C11E7DB-2419-40A6-A950-7653F99176F6}"/>
    <cellStyle name="Normal 11 7" xfId="947" xr:uid="{EA0A50DF-4282-4ABC-86B7-03B20F9C5724}"/>
    <cellStyle name="Normal 11 7 2" xfId="2106" xr:uid="{7FD9E197-B409-46E6-9A24-AD53E8F94B99}"/>
    <cellStyle name="Normal 11 8" xfId="948" xr:uid="{E58D13A3-F06F-450C-BCA5-1E2199AB91ED}"/>
    <cellStyle name="Normal 11 8 2" xfId="2107" xr:uid="{78DB54E8-D0A6-475F-93F5-80AE74F3C739}"/>
    <cellStyle name="Normal 11 9" xfId="2100" xr:uid="{23EDEF56-130F-4E37-8130-FE007C102804}"/>
    <cellStyle name="Normal 12" xfId="195" xr:uid="{CCF2D9E3-C422-4F66-A0C3-1846114E40BE}"/>
    <cellStyle name="Normal 12 10" xfId="949" xr:uid="{2BBFD05D-9AE0-4D5B-813F-AD19737D93F6}"/>
    <cellStyle name="Normal 12 2" xfId="950" xr:uid="{3A344415-41EE-4218-98A3-FA7B908CFF4D}"/>
    <cellStyle name="Normal 12 2 2" xfId="2109" xr:uid="{CCF4DE32-F6D5-48E0-8F5F-FD2DF670E615}"/>
    <cellStyle name="Normal 12 3" xfId="951" xr:uid="{7A6F4061-6BF4-4FBF-82D0-AF6BDB183E38}"/>
    <cellStyle name="Normal 12 3 2" xfId="2110" xr:uid="{2766B16D-F303-43A2-B42D-AC2A1A55FBD4}"/>
    <cellStyle name="Normal 12 4" xfId="952" xr:uid="{1813B6F7-8574-4BA7-A7AC-09D36F3D715A}"/>
    <cellStyle name="Normal 12 4 2" xfId="2111" xr:uid="{0AAE03BE-C218-4B1B-AC12-B46AE5BE768C}"/>
    <cellStyle name="Normal 12 5" xfId="953" xr:uid="{24B99985-CB9A-4338-B30B-D394287B2BA9}"/>
    <cellStyle name="Normal 12 5 2" xfId="2112" xr:uid="{4498785D-015D-4F5D-8E43-8A63B2BBC89B}"/>
    <cellStyle name="Normal 12 6" xfId="954" xr:uid="{B98C4BE4-68D1-4ED6-A1F4-43A2D695E683}"/>
    <cellStyle name="Normal 12 6 2" xfId="2113" xr:uid="{791C27D7-EC00-48DE-B979-A923765D2EF1}"/>
    <cellStyle name="Normal 12 7" xfId="955" xr:uid="{87903599-5CA8-432F-80E1-66326CB6CB9C}"/>
    <cellStyle name="Normal 12 7 2" xfId="2114" xr:uid="{1A3C6CB9-BE27-416A-8BAB-40F467BE9969}"/>
    <cellStyle name="Normal 12 8" xfId="956" xr:uid="{2FFC8F44-0205-4BEC-BDF0-34A0529496EE}"/>
    <cellStyle name="Normal 12 8 2" xfId="2115" xr:uid="{F59AB6C0-3A6B-44AF-A69B-5DBE02177E47}"/>
    <cellStyle name="Normal 12 9" xfId="2108" xr:uid="{30D87B4F-D084-4D83-A79D-A00ED3EB4666}"/>
    <cellStyle name="Normal 13" xfId="957" xr:uid="{95845397-2988-4498-8ED2-DE9CB8B1E202}"/>
    <cellStyle name="Normal 13 10" xfId="958" xr:uid="{2218CE6A-15E1-457F-95AC-1D2E6B15C5FF}"/>
    <cellStyle name="Normal 13 10 2" xfId="2117" xr:uid="{9D8D1A85-39B4-4984-BAB0-13EA5A99E4AF}"/>
    <cellStyle name="Normal 13 10 2 2" xfId="3066" xr:uid="{553D92A1-6560-471E-9D5F-038FB3616B35}"/>
    <cellStyle name="Normal 13 10 2 3" xfId="3292" xr:uid="{5FD48831-1C87-45BB-A441-6B406DD5A4FF}"/>
    <cellStyle name="Normal 13 10 3" xfId="2945" xr:uid="{D1D9D427-EC88-4EA2-9C99-877992D2BB62}"/>
    <cellStyle name="Normal 13 10 4" xfId="3171" xr:uid="{4FEE43DB-E644-4605-9209-DD0706D71F61}"/>
    <cellStyle name="Normal 13 11" xfId="959" xr:uid="{E1599E3B-EBDD-44C1-B56F-582D289832EB}"/>
    <cellStyle name="Normal 13 11 2" xfId="2118" xr:uid="{B4733C08-0833-433D-87ED-CA1DCDBABAF0}"/>
    <cellStyle name="Normal 13 11 2 2" xfId="3067" xr:uid="{8DE774C7-58C5-4134-9602-27A272AAB0AB}"/>
    <cellStyle name="Normal 13 11 2 3" xfId="3293" xr:uid="{F4402AB4-E989-484C-841E-A774029E63D8}"/>
    <cellStyle name="Normal 13 11 3" xfId="2946" xr:uid="{57E26B70-D2DE-468C-99A1-17393486507F}"/>
    <cellStyle name="Normal 13 11 4" xfId="3172" xr:uid="{EFE34E16-0011-4A4C-A207-2A7BDE749490}"/>
    <cellStyle name="Normal 13 12" xfId="960" xr:uid="{B73B38C8-8C24-4EF9-8CD9-1114939AEFDA}"/>
    <cellStyle name="Normal 13 13" xfId="961" xr:uid="{32454DE5-EE14-49E6-886F-9D59581BB604}"/>
    <cellStyle name="Normal 13 13 2" xfId="2119" xr:uid="{1FE6CE6E-1C75-4FC5-B848-3A56AB037412}"/>
    <cellStyle name="Normal 13 13 2 2" xfId="3068" xr:uid="{8F37913D-7317-4B00-B20C-FEC0B76174FE}"/>
    <cellStyle name="Normal 13 13 2 3" xfId="3294" xr:uid="{177379DC-2119-4289-AC27-2E2FA2418AA8}"/>
    <cellStyle name="Normal 13 13 3" xfId="2947" xr:uid="{F03013E8-9CE1-47E9-8BF1-A1F96B993A56}"/>
    <cellStyle name="Normal 13 13 4" xfId="3173" xr:uid="{E6364508-C7F6-4668-806B-1C78FA48CD8E}"/>
    <cellStyle name="Normal 13 14" xfId="962" xr:uid="{6161AF06-A14E-4443-A082-1AB35E8BD2DF}"/>
    <cellStyle name="Normal 13 14 2" xfId="2120" xr:uid="{C5A7A423-128B-4ACA-8DFB-F5A3A52716C7}"/>
    <cellStyle name="Normal 13 14 2 2" xfId="3069" xr:uid="{F4B6BCA6-E948-48AC-A78A-C865E3638706}"/>
    <cellStyle name="Normal 13 14 2 3" xfId="3295" xr:uid="{D3A6FD80-2F84-44F6-9AF5-BAFDCB73DC54}"/>
    <cellStyle name="Normal 13 14 3" xfId="2948" xr:uid="{7C3DE2B2-3CEA-47CC-8490-761F4AF0140A}"/>
    <cellStyle name="Normal 13 14 4" xfId="3174" xr:uid="{FF0638E0-AB93-453D-9286-C1E8F81E6470}"/>
    <cellStyle name="Normal 13 15" xfId="963" xr:uid="{9A7E7296-BF29-4AD2-AEDD-84467630561A}"/>
    <cellStyle name="Normal 13 15 2" xfId="2121" xr:uid="{59820217-89DD-4CBB-81ED-B104364317AF}"/>
    <cellStyle name="Normal 13 15 2 2" xfId="3070" xr:uid="{22237B54-157D-4C9D-88EE-B676D6C2742E}"/>
    <cellStyle name="Normal 13 15 2 3" xfId="3296" xr:uid="{AD42ED05-83C7-447E-98A3-0836F6F337DB}"/>
    <cellStyle name="Normal 13 15 3" xfId="2949" xr:uid="{64D5D180-4DAD-4565-AEA7-2EB3B4AC9F4F}"/>
    <cellStyle name="Normal 13 15 4" xfId="3175" xr:uid="{BEAF3BCE-E1BD-4466-B480-779D2F4057CD}"/>
    <cellStyle name="Normal 13 16" xfId="964" xr:uid="{7ED3D211-DE46-4F48-A60A-1CB3BF18194B}"/>
    <cellStyle name="Normal 13 16 2" xfId="2122" xr:uid="{13BB01BD-92AA-42D3-9F0D-FF89E5796DBE}"/>
    <cellStyle name="Normal 13 16 2 2" xfId="3071" xr:uid="{AC5BAEE8-6552-4948-A997-AED199148754}"/>
    <cellStyle name="Normal 13 16 2 3" xfId="3297" xr:uid="{32DC1C92-5D49-43E4-A833-7591FFFE2A38}"/>
    <cellStyle name="Normal 13 16 3" xfId="2950" xr:uid="{0CF61B41-2C55-4E4D-83D8-C896FE99E8AF}"/>
    <cellStyle name="Normal 13 16 4" xfId="3176" xr:uid="{EBACF0AF-2C89-4DCC-BF42-397C12ED76BB}"/>
    <cellStyle name="Normal 13 17" xfId="965" xr:uid="{7377ACBE-51E4-4FDD-BFC5-A4C3370FBFF8}"/>
    <cellStyle name="Normal 13 18" xfId="966" xr:uid="{4C48B1C1-8B9B-4918-ACED-9B17452AF6B1}"/>
    <cellStyle name="Normal 13 19" xfId="967" xr:uid="{BC8F4BAE-4686-42D4-A6D9-252F143E5311}"/>
    <cellStyle name="Normal 13 2" xfId="968" xr:uid="{A3EA6F4D-9D60-4EE9-9404-C9227BD6EC4A}"/>
    <cellStyle name="Normal 13 2 2" xfId="969" xr:uid="{2D30DAEC-B18A-467E-99D7-C6EF5D19ECF7}"/>
    <cellStyle name="Normal 13 2 2 2" xfId="2123" xr:uid="{260ADFBB-EF4B-4D81-A01C-9C5BE3DC8A14}"/>
    <cellStyle name="Normal 13 2 2 2 2" xfId="3072" xr:uid="{C60E3C23-0B75-4B7A-8380-B7318C6463E8}"/>
    <cellStyle name="Normal 13 2 2 2 3" xfId="3298" xr:uid="{C40282AC-B2E9-4541-BE2F-ABBFEE96B4D1}"/>
    <cellStyle name="Normal 13 2 2 3" xfId="2951" xr:uid="{0786E2E2-0997-4CCD-A44C-72337BB983A5}"/>
    <cellStyle name="Normal 13 2 2 4" xfId="3177" xr:uid="{4AFBF63F-4802-45C0-9D49-DE0490569FE3}"/>
    <cellStyle name="Normal 13 2 3" xfId="970" xr:uid="{A0EBEA99-0F11-4F59-A3F9-F4B0D7AFA0D2}"/>
    <cellStyle name="Normal 13 2 3 2" xfId="2124" xr:uid="{7014412F-49CB-421B-9076-53338EBD0C7B}"/>
    <cellStyle name="Normal 13 2 3 2 2" xfId="3073" xr:uid="{A879ABED-AFCD-4C8E-A3B9-D77854FE0D44}"/>
    <cellStyle name="Normal 13 2 3 2 3" xfId="3299" xr:uid="{D9A41BFD-5A69-4C06-A068-ABFD27B175B3}"/>
    <cellStyle name="Normal 13 2 3 3" xfId="2952" xr:uid="{57291A50-BAE9-47AC-92BA-0D89AC65F73B}"/>
    <cellStyle name="Normal 13 2 3 4" xfId="3178" xr:uid="{6BF78E86-74BF-4B02-AC38-B78BDAE2E384}"/>
    <cellStyle name="Normal 13 2 4" xfId="971" xr:uid="{5B8E0AD4-7D35-43D9-91DF-8A70F4F0699C}"/>
    <cellStyle name="Normal 13 2 4 2" xfId="2125" xr:uid="{263B5293-00A4-43A7-B893-234CDD9F7E7B}"/>
    <cellStyle name="Normal 13 2 4 2 2" xfId="3074" xr:uid="{C23B2D24-BBAB-4465-80A8-7784592829F3}"/>
    <cellStyle name="Normal 13 2 4 2 3" xfId="3300" xr:uid="{014CCEA8-102C-44D9-82F1-15BDA799EE72}"/>
    <cellStyle name="Normal 13 2 4 3" xfId="2953" xr:uid="{68791254-C6AF-4A4F-B274-709D43899CF0}"/>
    <cellStyle name="Normal 13 2 4 4" xfId="3179" xr:uid="{5448A2CF-0152-4AB1-AF6B-47A8C09CA07B}"/>
    <cellStyle name="Normal 13 2 5" xfId="972" xr:uid="{A72DAC5C-DBFF-4971-8010-F9D2F08C065A}"/>
    <cellStyle name="Normal 13 2 5 2" xfId="2126" xr:uid="{740E5BA2-A2D5-43F3-96F8-27DE4E9A2887}"/>
    <cellStyle name="Normal 13 2 5 2 2" xfId="3075" xr:uid="{A107737F-08EF-4999-83E2-DD24603B2A80}"/>
    <cellStyle name="Normal 13 2 5 2 3" xfId="3301" xr:uid="{0051DD21-9092-4214-B81C-6999F6BF5955}"/>
    <cellStyle name="Normal 13 2 5 3" xfId="2954" xr:uid="{6EF3606B-E3CA-49C7-988B-08DA6FDFF9F7}"/>
    <cellStyle name="Normal 13 2 5 4" xfId="3180" xr:uid="{147D027E-79EE-4EA1-A628-170DB0511AC8}"/>
    <cellStyle name="Normal 13 2 6" xfId="973" xr:uid="{B8EF5C67-3137-495B-9EBA-310A44796D1F}"/>
    <cellStyle name="Normal 13 2 6 2" xfId="2127" xr:uid="{22059DD6-8F14-4183-8775-4286C62DC6F0}"/>
    <cellStyle name="Normal 13 2 6 2 2" xfId="3076" xr:uid="{259B82C9-FB31-43D4-A6A2-C3A46EA469E7}"/>
    <cellStyle name="Normal 13 2 6 2 3" xfId="3302" xr:uid="{661618FB-C235-4611-973D-913449092F31}"/>
    <cellStyle name="Normal 13 2 6 3" xfId="2955" xr:uid="{EDC4EA32-E235-4699-9908-82985FD75D82}"/>
    <cellStyle name="Normal 13 2 6 4" xfId="3181" xr:uid="{4912AEC6-C056-460C-8857-D4C35BC831B4}"/>
    <cellStyle name="Normal 13 2 7" xfId="974" xr:uid="{C345A53D-D37B-4B32-A645-6CA281CD87BE}"/>
    <cellStyle name="Normal 13 2 7 2" xfId="2128" xr:uid="{313C3883-0253-4761-9199-79DF783C607E}"/>
    <cellStyle name="Normal 13 2 7 2 2" xfId="3077" xr:uid="{A913A360-0FB7-494D-AE1D-7CA02EAB9BD6}"/>
    <cellStyle name="Normal 13 2 7 2 3" xfId="3303" xr:uid="{21BB98E4-651D-4D62-9969-8C3823439660}"/>
    <cellStyle name="Normal 13 2 7 3" xfId="2956" xr:uid="{BB326DE0-2CEA-49E1-A6B3-8DC8C9099082}"/>
    <cellStyle name="Normal 13 2 7 4" xfId="3182" xr:uid="{A9505DA0-F666-46AA-9D17-CC339B438221}"/>
    <cellStyle name="Normal 13 2 8" xfId="975" xr:uid="{590EC771-C3F9-454F-899C-E861BB0FDDFB}"/>
    <cellStyle name="Normal 13 2 8 2" xfId="2129" xr:uid="{E1936460-8B26-44E3-BFA8-48A41546AA38}"/>
    <cellStyle name="Normal 13 2 8 2 2" xfId="3078" xr:uid="{DD3A2D9A-787F-4F43-95A9-63A24A26E702}"/>
    <cellStyle name="Normal 13 2 8 2 3" xfId="3304" xr:uid="{FC3C1983-3DDC-4AD2-9B67-B257F7C8BAB0}"/>
    <cellStyle name="Normal 13 2 8 3" xfId="2957" xr:uid="{A745D364-22D4-4354-BC70-A880C8690610}"/>
    <cellStyle name="Normal 13 2 8 4" xfId="3183" xr:uid="{BD6AC917-EF62-4059-8470-1BD82EC9D584}"/>
    <cellStyle name="Normal 13 20" xfId="976" xr:uid="{B123AF3A-CE73-4666-8A1F-E2820B72B5B3}"/>
    <cellStyle name="Normal 13 21" xfId="977" xr:uid="{E0E01694-AEFB-47B8-831F-560C8B07680E}"/>
    <cellStyle name="Normal 13 22" xfId="978" xr:uid="{90304FE7-DF63-4E57-A1BA-0296CFE14D38}"/>
    <cellStyle name="Normal 13 23" xfId="979" xr:uid="{7AC1E302-6157-4055-A9E1-F226A5E2A7EC}"/>
    <cellStyle name="Normal 13 23 2" xfId="2130" xr:uid="{7CEB7956-98DC-469A-ACF3-84CD069CB89A}"/>
    <cellStyle name="Normal 13 24" xfId="980" xr:uid="{C8B853E4-EF23-42B7-BB3D-8E3793BE7706}"/>
    <cellStyle name="Normal 13 24 2" xfId="2131" xr:uid="{B65B44D9-A6D0-41D4-9936-E8BFD4F8009E}"/>
    <cellStyle name="Normal 13 25" xfId="981" xr:uid="{B0F046BF-2B06-41BC-A0A5-5809CA543669}"/>
    <cellStyle name="Normal 13 25 2" xfId="2132" xr:uid="{1DA5E224-E185-47AC-B0C8-5F1B4E4B26CF}"/>
    <cellStyle name="Normal 13 26" xfId="982" xr:uid="{D8156859-E927-44D1-B23B-75A7E6CD4163}"/>
    <cellStyle name="Normal 13 26 2" xfId="2133" xr:uid="{73D5F629-6245-416F-BC7C-FCE69B3032DF}"/>
    <cellStyle name="Normal 13 27" xfId="983" xr:uid="{BD7AD134-1CD9-456A-8A01-D77214142B25}"/>
    <cellStyle name="Normal 13 27 2" xfId="2134" xr:uid="{867313DF-D6A3-46EC-AEDE-44E1ECC5EBF9}"/>
    <cellStyle name="Normal 13 28" xfId="984" xr:uid="{3873F0D8-9FC3-4780-9303-2059357B45EA}"/>
    <cellStyle name="Normal 13 28 2" xfId="2135" xr:uid="{8AFEFAEA-5912-4D98-8195-706B0F6029C7}"/>
    <cellStyle name="Normal 13 29" xfId="985" xr:uid="{6774E36C-4C27-4E6A-9C5A-2B29D386F4DE}"/>
    <cellStyle name="Normal 13 29 2" xfId="2136" xr:uid="{DADF9F82-B867-4A1F-91EB-E5C092B61360}"/>
    <cellStyle name="Normal 13 3" xfId="986" xr:uid="{D3ED4886-2FD6-4FC6-93E9-1304B6057E56}"/>
    <cellStyle name="Normal 13 3 2" xfId="2137" xr:uid="{D8A44CD8-1251-4D62-BC49-1BD52F11A8DC}"/>
    <cellStyle name="Normal 13 3 2 2" xfId="3079" xr:uid="{89C075A7-BCEB-40B0-BA2D-A083412BFE39}"/>
    <cellStyle name="Normal 13 3 2 3" xfId="3305" xr:uid="{117EA8AB-7497-411C-A880-D0917963253D}"/>
    <cellStyle name="Normal 13 3 3" xfId="2958" xr:uid="{88B7011C-FC0F-4344-8A49-9EAB71DF84D4}"/>
    <cellStyle name="Normal 13 3 4" xfId="3184" xr:uid="{32FDE948-9B68-47B8-A584-B35DE021B0AF}"/>
    <cellStyle name="Normal 13 30" xfId="987" xr:uid="{77CEEA3E-EA41-4AD7-BC00-9A5C0CF31D83}"/>
    <cellStyle name="Normal 13 30 2" xfId="2138" xr:uid="{2F1FA03B-22A9-431C-A5DC-3CE610CA77EC}"/>
    <cellStyle name="Normal 13 31" xfId="988" xr:uid="{A1A5A07A-AFB2-4389-8412-44E585DD167E}"/>
    <cellStyle name="Normal 13 31 2" xfId="2139" xr:uid="{9C61301F-88C3-400A-9328-5A19A28020C7}"/>
    <cellStyle name="Normal 13 32" xfId="989" xr:uid="{1EB0BDAF-41CF-49E2-9729-5386636BB67B}"/>
    <cellStyle name="Normal 13 32 2" xfId="2140" xr:uid="{3E826D48-3442-4B11-9739-B00378B972DE}"/>
    <cellStyle name="Normal 13 33" xfId="990" xr:uid="{B572DCDB-63EB-4B66-A8B9-446BF7F66345}"/>
    <cellStyle name="Normal 13 33 2" xfId="2141" xr:uid="{9CF9AF25-4DAD-494C-AF1D-5A1EA3E78EAA}"/>
    <cellStyle name="Normal 13 34" xfId="991" xr:uid="{3FA2CD3E-C285-4B6D-8553-2E3ABB8651FF}"/>
    <cellStyle name="Normal 13 34 2" xfId="2142" xr:uid="{2BAD8792-A6CF-4FFA-A574-EE144E82DAEA}"/>
    <cellStyle name="Normal 13 35" xfId="992" xr:uid="{5251BC3D-1041-4356-BA73-2837F3CAE82B}"/>
    <cellStyle name="Normal 13 35 2" xfId="2143" xr:uid="{FA024383-2958-470F-8F70-B1D76CC28FB5}"/>
    <cellStyle name="Normal 13 36" xfId="993" xr:uid="{9C0F25C5-8B18-48AD-9910-6689FE5EAB08}"/>
    <cellStyle name="Normal 13 36 2" xfId="2144" xr:uid="{C9DE7E0E-600A-4D5A-92A6-393E093FAD50}"/>
    <cellStyle name="Normal 13 37" xfId="994" xr:uid="{E807BCA4-6A3D-41B7-BEFE-5C506D5195D8}"/>
    <cellStyle name="Normal 13 37 2" xfId="2145" xr:uid="{12104A31-FBC7-4456-AEB5-6ADEF6CCC5B3}"/>
    <cellStyle name="Normal 13 38" xfId="995" xr:uid="{F75A51C2-7095-4370-B954-E6CB53198AD4}"/>
    <cellStyle name="Normal 13 38 2" xfId="2146" xr:uid="{5590454D-6FCE-4F40-A50F-29B62CC8AE76}"/>
    <cellStyle name="Normal 13 39" xfId="2116" xr:uid="{90F0E47D-7A93-4019-A24D-8B5A7FCBE62E}"/>
    <cellStyle name="Normal 13 4" xfId="996" xr:uid="{E892A430-EC71-4573-946B-CAF70685377E}"/>
    <cellStyle name="Normal 13 4 2" xfId="2147" xr:uid="{C9D76A08-C622-491B-8275-805346376CEF}"/>
    <cellStyle name="Normal 13 4 2 2" xfId="3080" xr:uid="{F4888ADA-4A74-4971-B635-579E655FBCDA}"/>
    <cellStyle name="Normal 13 4 2 3" xfId="3306" xr:uid="{476C416F-DF9D-4340-BC77-7787170F2FA9}"/>
    <cellStyle name="Normal 13 4 3" xfId="2959" xr:uid="{1D760CC5-F239-424D-BC80-2A1905C4FA9A}"/>
    <cellStyle name="Normal 13 4 4" xfId="3185" xr:uid="{C3E1C017-73E1-4569-9977-8377E70A6F89}"/>
    <cellStyle name="Normal 13 5" xfId="997" xr:uid="{7C398EDB-F104-45CB-A9B4-14A415C614CC}"/>
    <cellStyle name="Normal 13 6" xfId="998" xr:uid="{755B9B26-6FDB-4458-81DB-647207738B99}"/>
    <cellStyle name="Normal 13 7" xfId="999" xr:uid="{35E7E484-38B5-4AD4-BC7F-4ECFEE5A5E49}"/>
    <cellStyle name="Normal 13 8" xfId="1000" xr:uid="{1CF03830-F178-4F82-A5A3-913B9EBC11EE}"/>
    <cellStyle name="Normal 13 9" xfId="1001" xr:uid="{9387ED62-4A34-46FC-920B-E9A26D4D9B66}"/>
    <cellStyle name="Normal 13 9 2" xfId="2148" xr:uid="{D7677E64-CC4C-4E17-9C5D-75AEAE7D14F9}"/>
    <cellStyle name="Normal 13 9 2 2" xfId="3081" xr:uid="{8A72E631-894A-4D9D-83CF-79148CCDA4F7}"/>
    <cellStyle name="Normal 13 9 2 3" xfId="3307" xr:uid="{31D0503E-18D9-4979-AB4E-1FBAA6EE0602}"/>
    <cellStyle name="Normal 13 9 3" xfId="2960" xr:uid="{D82E55BD-D3E3-43AF-8949-7D9EC3C2548F}"/>
    <cellStyle name="Normal 13 9 4" xfId="3186" xr:uid="{84318669-D657-4A9B-A6E7-642CD0E9C787}"/>
    <cellStyle name="Normal 14" xfId="1002" xr:uid="{8D57B2BB-8B69-4D3F-97E4-4DBF93DE12CB}"/>
    <cellStyle name="Normal 14 10" xfId="1003" xr:uid="{BEF439E4-B19C-4783-90CF-C29C0EC70328}"/>
    <cellStyle name="Normal 14 10 2" xfId="2149" xr:uid="{4D349EF9-A607-46A9-8EBA-8448FDB39F51}"/>
    <cellStyle name="Normal 14 10 2 2" xfId="3082" xr:uid="{E98A78AA-F4FB-4F83-9A59-4DCF27212450}"/>
    <cellStyle name="Normal 14 10 2 3" xfId="3308" xr:uid="{1CE36A63-9680-4670-9E84-B35411E0D37D}"/>
    <cellStyle name="Normal 14 10 3" xfId="2961" xr:uid="{E98D8593-2B55-4C78-92AF-E1C5574FA4B8}"/>
    <cellStyle name="Normal 14 10 4" xfId="3187" xr:uid="{278A3F69-DF02-4F5F-8310-B3933693DABF}"/>
    <cellStyle name="Normal 14 11" xfId="1004" xr:uid="{00C24284-D2EC-464D-A8E9-60A119EA9970}"/>
    <cellStyle name="Normal 14 11 2" xfId="2150" xr:uid="{A4508904-22E7-44CF-81F0-1157D6DA8064}"/>
    <cellStyle name="Normal 14 11 2 2" xfId="3083" xr:uid="{088E7884-E1EE-4FF1-ABE2-72443D807870}"/>
    <cellStyle name="Normal 14 11 2 3" xfId="3309" xr:uid="{1ED3E1B3-CDB2-4639-8BEC-8C6BEC0807C4}"/>
    <cellStyle name="Normal 14 11 3" xfId="2962" xr:uid="{2E378ACD-9326-42F9-9780-D4E307644E4F}"/>
    <cellStyle name="Normal 14 11 4" xfId="3188" xr:uid="{19763779-EF53-4E63-B1C5-97878B017B76}"/>
    <cellStyle name="Normal 14 12" xfId="1005" xr:uid="{2DB1DE60-275E-4C77-B85D-1253ACF4F1F0}"/>
    <cellStyle name="Normal 14 12 2" xfId="2151" xr:uid="{55E6DEE4-F862-4FF8-AF13-99F4DDCE5A43}"/>
    <cellStyle name="Normal 14 12 2 2" xfId="3084" xr:uid="{49EF3A73-6D15-4A05-82D5-82685A097DD8}"/>
    <cellStyle name="Normal 14 12 2 3" xfId="3310" xr:uid="{348A8C82-78FE-483B-B0D0-D4D7716B7D34}"/>
    <cellStyle name="Normal 14 12 3" xfId="2963" xr:uid="{5F0E18FC-FCD7-4304-9763-4D95D6388501}"/>
    <cellStyle name="Normal 14 12 4" xfId="3189" xr:uid="{3A1C073A-6334-4667-A280-68874CE113AE}"/>
    <cellStyle name="Normal 14 13" xfId="1006" xr:uid="{AB77BD0E-C9C9-4F8C-9051-ED5A533F4030}"/>
    <cellStyle name="Normal 14 13 2" xfId="2152" xr:uid="{F88EB2BE-568D-4701-9E8D-8A775B0F5F2B}"/>
    <cellStyle name="Normal 14 13 2 2" xfId="3085" xr:uid="{EA308F03-3681-4734-A34C-7127A90972E6}"/>
    <cellStyle name="Normal 14 13 2 3" xfId="3311" xr:uid="{B8DBA08D-1BED-4E53-9237-36C99FD24512}"/>
    <cellStyle name="Normal 14 13 3" xfId="2964" xr:uid="{FEDD99D4-B524-44C1-8C9B-52B2EEFDFB45}"/>
    <cellStyle name="Normal 14 13 4" xfId="3190" xr:uid="{79C51810-BA04-49E8-9868-5DADC7454A13}"/>
    <cellStyle name="Normal 14 14" xfId="1007" xr:uid="{0E156B0A-7DCB-4520-9230-AFA4FC02B605}"/>
    <cellStyle name="Normal 14 14 2" xfId="2153" xr:uid="{46F25DC5-8C4D-4A7B-99F0-3897199A043E}"/>
    <cellStyle name="Normal 14 14 2 2" xfId="3086" xr:uid="{A2A12C4F-C074-4F45-AA61-37746B38412D}"/>
    <cellStyle name="Normal 14 14 2 3" xfId="3312" xr:uid="{1BEAC117-EFC9-4936-BAB1-CA9B9E06658B}"/>
    <cellStyle name="Normal 14 14 3" xfId="2965" xr:uid="{7202E2C4-00BF-49C9-AF6B-CA9E5690A2BE}"/>
    <cellStyle name="Normal 14 14 4" xfId="3191" xr:uid="{0D8925BB-9796-4DF3-B3FE-CB38F3F304D4}"/>
    <cellStyle name="Normal 14 15" xfId="1008" xr:uid="{0EC0DBAC-C70B-4AA4-BB0E-C57F384532E0}"/>
    <cellStyle name="Normal 14 15 2" xfId="2154" xr:uid="{37098337-D769-45D4-AD71-B9835EE4C325}"/>
    <cellStyle name="Normal 14 15 2 2" xfId="3087" xr:uid="{AB564844-E5D1-46E8-B907-86FDA5AE108C}"/>
    <cellStyle name="Normal 14 15 2 3" xfId="3313" xr:uid="{722D281D-6D1F-4AE4-B0D5-16BA87119E15}"/>
    <cellStyle name="Normal 14 15 3" xfId="2966" xr:uid="{FA0D7E9F-DD37-464A-8AAF-F1E7550AC6DA}"/>
    <cellStyle name="Normal 14 15 4" xfId="3192" xr:uid="{79D2CAF4-2B91-4F87-8750-0ED8F95450C5}"/>
    <cellStyle name="Normal 14 2" xfId="1009" xr:uid="{CC81E1EB-B380-47A7-9488-1E96E015148F}"/>
    <cellStyle name="Normal 14 2 10" xfId="3193" xr:uid="{77A4D044-DB3D-4BBC-94C0-5B3E3651C4F0}"/>
    <cellStyle name="Normal 14 2 2" xfId="1010" xr:uid="{104AB1E2-BCE9-44FB-9744-F27E3326A3C8}"/>
    <cellStyle name="Normal 14 2 2 2" xfId="2156" xr:uid="{C8184154-5A75-4B48-A755-C7CADC27A60D}"/>
    <cellStyle name="Normal 14 2 3" xfId="1011" xr:uid="{4A6DCD57-55CD-46DE-953F-84B89B94D9F8}"/>
    <cellStyle name="Normal 14 2 3 2" xfId="2157" xr:uid="{E8C0BAAE-CF4B-4B14-BC15-AC9312A9322C}"/>
    <cellStyle name="Normal 14 2 4" xfId="1012" xr:uid="{0F58120E-9508-4854-AF99-310376251874}"/>
    <cellStyle name="Normal 14 2 4 2" xfId="2158" xr:uid="{9BDF9677-DC94-406A-B5AD-B5442EC784AE}"/>
    <cellStyle name="Normal 14 2 5" xfId="1013" xr:uid="{9D4F2A68-714D-4074-8F6B-5ABD58EC22C8}"/>
    <cellStyle name="Normal 14 2 5 2" xfId="2159" xr:uid="{08D7526B-FEA3-4997-83EA-A9340F8C592D}"/>
    <cellStyle name="Normal 14 2 6" xfId="1014" xr:uid="{9B61EE65-3425-41CA-8C27-11CF88CE213F}"/>
    <cellStyle name="Normal 14 2 6 2" xfId="2160" xr:uid="{1A75D9FB-1E1F-4E0E-B19C-480D684A26A5}"/>
    <cellStyle name="Normal 14 2 7" xfId="1015" xr:uid="{82999844-8DCD-4EFE-A144-D4C7EEB92306}"/>
    <cellStyle name="Normal 14 2 7 2" xfId="2161" xr:uid="{48420274-3BBA-4502-A91A-646A99E52555}"/>
    <cellStyle name="Normal 14 2 8" xfId="2155" xr:uid="{35A8942E-B282-4AE8-9FF3-AF4E4D2E7FB4}"/>
    <cellStyle name="Normal 14 2 8 2" xfId="3088" xr:uid="{53E7ADD8-CEF4-44E8-A672-D23FF23F160B}"/>
    <cellStyle name="Normal 14 2 8 3" xfId="3314" xr:uid="{D556B976-7EDC-4DF6-9620-A16294F01A03}"/>
    <cellStyle name="Normal 14 2 9" xfId="2967" xr:uid="{636C2F98-9F4A-4404-843B-B88E89D6D458}"/>
    <cellStyle name="Normal 14 3" xfId="1016" xr:uid="{ED5E41F5-7E1B-4BE2-BB86-B96EE81DF94E}"/>
    <cellStyle name="Normal 14 3 2" xfId="2162" xr:uid="{8E562AE7-D028-4569-B3B0-E717588450D3}"/>
    <cellStyle name="Normal 14 4" xfId="1017" xr:uid="{C2243EB3-BB5C-4BE7-B75A-0C2D652521E8}"/>
    <cellStyle name="Normal 14 4 2" xfId="2163" xr:uid="{97564E22-3514-44F6-B3F8-7A7D59845577}"/>
    <cellStyle name="Normal 14 4 2 2" xfId="3089" xr:uid="{259EAB3C-C5B4-41C9-BE2D-6E18C0CFA7A0}"/>
    <cellStyle name="Normal 14 4 2 3" xfId="3315" xr:uid="{ED3644C3-0BB6-48FD-9D2A-7E2CB9B4B5B6}"/>
    <cellStyle name="Normal 14 4 3" xfId="2968" xr:uid="{CD2B0961-17D7-423E-8157-A28EECA2EC2B}"/>
    <cellStyle name="Normal 14 4 4" xfId="3194" xr:uid="{E354CE56-18E0-48CB-91F8-C387E46F7007}"/>
    <cellStyle name="Normal 14 5" xfId="1018" xr:uid="{6F3A237A-EE56-40B7-9035-CB83723D1996}"/>
    <cellStyle name="Normal 14 5 2" xfId="2164" xr:uid="{A0AEA725-CDD9-4431-AB57-59DB134157A9}"/>
    <cellStyle name="Normal 14 5 2 2" xfId="3090" xr:uid="{4A5520ED-5F8A-4CED-914A-0D52F7185202}"/>
    <cellStyle name="Normal 14 5 2 3" xfId="3316" xr:uid="{8902F8B4-4D8A-40E9-919F-2925C07983F6}"/>
    <cellStyle name="Normal 14 5 3" xfId="2969" xr:uid="{A0F85278-1F09-4B7D-86A9-6FAD9EC7C1D9}"/>
    <cellStyle name="Normal 14 5 4" xfId="3195" xr:uid="{C162B3CB-F942-4A04-8D4A-C66281D7FE81}"/>
    <cellStyle name="Normal 14 6" xfId="1019" xr:uid="{AF123845-1757-4659-917A-4790B5C6F3B0}"/>
    <cellStyle name="Normal 14 6 2" xfId="2165" xr:uid="{2F1D0C81-457C-41F5-9464-F75829FDAC04}"/>
    <cellStyle name="Normal 14 7" xfId="1020" xr:uid="{CB285A1F-066A-4787-A533-E9B4D2994F71}"/>
    <cellStyle name="Normal 14 7 2" xfId="2166" xr:uid="{EC03AAC6-1BB4-4DCE-BC40-ED5505770C40}"/>
    <cellStyle name="Normal 14 8" xfId="1021" xr:uid="{C3D9D964-30A3-4017-96AC-9B743ADE624E}"/>
    <cellStyle name="Normal 14 8 2" xfId="2167" xr:uid="{B2747ED0-3521-4FF8-906A-B7E7239EEEEC}"/>
    <cellStyle name="Normal 14 9" xfId="1022" xr:uid="{AD44E178-CA16-4ED6-B3A4-087047F41732}"/>
    <cellStyle name="Normal 14 9 2" xfId="2168" xr:uid="{91DDFB29-843E-4459-B0BA-B531255F711F}"/>
    <cellStyle name="Normal 15" xfId="1023" xr:uid="{9C609C8B-84CB-431A-8C52-1A45423B0039}"/>
    <cellStyle name="Normal 15 2" xfId="1024" xr:uid="{C79BAE96-B72D-4883-AB63-67D49BA1D31B}"/>
    <cellStyle name="Normal 15 2 2" xfId="2169" xr:uid="{E0EB389F-AF60-4973-954E-F03086FFB560}"/>
    <cellStyle name="Normal 15 3" xfId="1025" xr:uid="{0B7D455B-77E4-4DD4-9998-0B1FA0C1D626}"/>
    <cellStyle name="Normal 15 3 2" xfId="2170" xr:uid="{E9640DAD-2C9D-4F53-AD1D-468F3F94DC1C}"/>
    <cellStyle name="Normal 15 4" xfId="1026" xr:uid="{E24870C4-BCB4-414A-A34D-B89E66794C09}"/>
    <cellStyle name="Normal 15 4 2" xfId="2171" xr:uid="{41B8180A-96FA-4616-959B-57BC352CB1AE}"/>
    <cellStyle name="Normal 15 5" xfId="1027" xr:uid="{9C9F2EEE-4DD9-4616-9CAC-83D80CA171A2}"/>
    <cellStyle name="Normal 15 5 2" xfId="2172" xr:uid="{7633C4E2-2A24-4424-952B-F2E780068C81}"/>
    <cellStyle name="Normal 15 6" xfId="1028" xr:uid="{63455FED-D598-4513-96DF-60351BD1630A}"/>
    <cellStyle name="Normal 15 6 2" xfId="2173" xr:uid="{EA7AF908-2926-4594-A03D-B33CEAF91295}"/>
    <cellStyle name="Normal 16" xfId="1029" xr:uid="{A53322CC-FAD4-418D-967F-A778C9C26360}"/>
    <cellStyle name="Normal 16 2" xfId="1030" xr:uid="{D1A70754-721A-4C0F-96E4-DB15C4A4940C}"/>
    <cellStyle name="Normal 16 2 2" xfId="2175" xr:uid="{A372FC0C-2724-4413-B53C-5F74F39F687F}"/>
    <cellStyle name="Normal 16 3" xfId="1031" xr:uid="{539E596C-4ED7-4AF4-844A-A798360D1817}"/>
    <cellStyle name="Normal 16 3 2" xfId="2176" xr:uid="{49667BFA-1725-4886-BBC7-BF08BF3D5407}"/>
    <cellStyle name="Normal 16 4" xfId="1032" xr:uid="{48174F6E-BD0C-4722-8045-2CE06E418CB1}"/>
    <cellStyle name="Normal 16 4 2" xfId="2177" xr:uid="{50E8C4A6-9F56-4F79-8537-D2493702EDC0}"/>
    <cellStyle name="Normal 16 5" xfId="1033" xr:uid="{4EB68DD6-00CD-4674-8F6D-1ECF9C3BAFA5}"/>
    <cellStyle name="Normal 16 5 2" xfId="2178" xr:uid="{A0603A81-A7AB-403B-BDF4-451179598949}"/>
    <cellStyle name="Normal 16 6" xfId="1034" xr:uid="{111FBF0B-486C-4072-BF61-1C0C9A792860}"/>
    <cellStyle name="Normal 16 6 2" xfId="2179" xr:uid="{8230A0AE-B3E7-4B79-8D98-EC6CC8CDF220}"/>
    <cellStyle name="Normal 16 7" xfId="2174" xr:uid="{2359ED3B-86FE-4335-95B8-2E30713B46B7}"/>
    <cellStyle name="Normal 16 7 2" xfId="3091" xr:uid="{951631ED-D9D0-4572-984F-4710A63C48EE}"/>
    <cellStyle name="Normal 16 7 3" xfId="3317" xr:uid="{0187C321-2173-4CD0-821A-44047C0579D2}"/>
    <cellStyle name="Normal 16 8" xfId="2970" xr:uid="{574D5258-1F97-4C12-BF06-571D5EFA61DF}"/>
    <cellStyle name="Normal 16 9" xfId="3196" xr:uid="{37EC9D74-726C-4D94-8E0C-F4C4C09D453E}"/>
    <cellStyle name="Normal 17" xfId="1035" xr:uid="{8867394D-D2BD-4640-A9C4-DF3A78987781}"/>
    <cellStyle name="Normal 17 10" xfId="1036" xr:uid="{AB09089F-1EED-4CEF-A7AC-9588F3F6F360}"/>
    <cellStyle name="Normal 17 10 2" xfId="2181" xr:uid="{6C99F06F-D55A-40D4-8497-DB0B39460677}"/>
    <cellStyle name="Normal 17 11" xfId="1037" xr:uid="{1AF95B40-78F1-4CF4-AC19-FF9A060BE636}"/>
    <cellStyle name="Normal 17 11 2" xfId="2182" xr:uid="{9341DAF5-2058-4E57-BB90-C5F000516CD8}"/>
    <cellStyle name="Normal 17 12" xfId="1038" xr:uid="{DFED494D-E0D3-414D-9384-C31E81C2B6DD}"/>
    <cellStyle name="Normal 17 12 2" xfId="2183" xr:uid="{F4E4041C-B22E-48FC-891B-3FA31EB001A4}"/>
    <cellStyle name="Normal 17 13" xfId="1039" xr:uid="{E60038D3-CA36-4977-995F-D01D54773359}"/>
    <cellStyle name="Normal 17 13 2" xfId="2184" xr:uid="{D47368DC-CD69-40F8-9CA3-0A3090A33CAC}"/>
    <cellStyle name="Normal 17 14" xfId="2180" xr:uid="{36BF8051-F677-473B-A4F2-7E53AFB0E18F}"/>
    <cellStyle name="Normal 17 14 2" xfId="3092" xr:uid="{82AC2DF7-F59E-42D7-8D00-1C6229365408}"/>
    <cellStyle name="Normal 17 14 3" xfId="3318" xr:uid="{E95A9D4C-041E-4009-AFBB-25B3FC63DBF7}"/>
    <cellStyle name="Normal 17 15" xfId="2971" xr:uid="{70800DEE-0019-4653-9CAA-F9226F5FDD9E}"/>
    <cellStyle name="Normal 17 16" xfId="3197" xr:uid="{C4CD5ED3-81CA-4E0C-B9A0-BAAE2D25AF18}"/>
    <cellStyle name="Normal 17 2" xfId="1040" xr:uid="{71196174-0B77-4926-8801-AA35864E6787}"/>
    <cellStyle name="Normal 17 2 2" xfId="2185" xr:uid="{223AB9A2-5939-4D27-8953-83A72970D305}"/>
    <cellStyle name="Normal 17 3" xfId="1041" xr:uid="{77418424-10D4-4CAA-A9CF-2AC6F5715D3E}"/>
    <cellStyle name="Normal 17 3 2" xfId="2186" xr:uid="{5CA0B9CA-BC42-47F6-8696-920DA4B04A19}"/>
    <cellStyle name="Normal 17 4" xfId="1042" xr:uid="{135C31AA-36A2-45CC-9A7B-E167E3CA49F1}"/>
    <cellStyle name="Normal 17 4 2" xfId="2187" xr:uid="{7CBFB7F3-87F0-49EA-B381-ECB2ED26D4A1}"/>
    <cellStyle name="Normal 17 5" xfId="1043" xr:uid="{BED00888-5C3E-4644-810D-5F04478A6873}"/>
    <cellStyle name="Normal 17 5 2" xfId="2188" xr:uid="{EB9D7E8E-8C19-40B0-AB81-35DFF99E37EF}"/>
    <cellStyle name="Normal 17 6" xfId="1044" xr:uid="{CACB6531-943B-4F09-8386-AE8441CA5CD2}"/>
    <cellStyle name="Normal 17 6 2" xfId="2189" xr:uid="{9BEAF3B0-CE78-487C-A32B-F9D1D91A956E}"/>
    <cellStyle name="Normal 17 7" xfId="1045" xr:uid="{3F39D38B-36A0-42E2-814C-59595B84E632}"/>
    <cellStyle name="Normal 17 7 2" xfId="2190" xr:uid="{31556600-631F-4C8F-BF00-9C44BE74C464}"/>
    <cellStyle name="Normal 17 8" xfId="1046" xr:uid="{ACBEEEF0-081D-40CA-AFA5-4E2CA99DBE3E}"/>
    <cellStyle name="Normal 17 8 2" xfId="2191" xr:uid="{3EF7067D-1DE4-4D62-80EC-5415EE71EF0C}"/>
    <cellStyle name="Normal 17 9" xfId="1047" xr:uid="{1866CF4E-4E9A-4A2E-85AD-6B6840A3731C}"/>
    <cellStyle name="Normal 17 9 2" xfId="2192" xr:uid="{0C56D161-4A29-4074-82C4-999C4B4C1FB2}"/>
    <cellStyle name="Normal 18" xfId="1048" xr:uid="{C631FECA-7909-47FD-B50C-3F2928B04459}"/>
    <cellStyle name="Normal 18 2" xfId="2193" xr:uid="{772AD34E-CA5D-4636-B30F-B436DC37E062}"/>
    <cellStyle name="Normal 18 2 2" xfId="3093" xr:uid="{F4F6B470-E690-4C1F-A006-CE0B9B81F198}"/>
    <cellStyle name="Normal 18 2 3" xfId="3319" xr:uid="{FBE29474-3E93-4905-B5CB-10593CD2CC6E}"/>
    <cellStyle name="Normal 18 3" xfId="2972" xr:uid="{7F8C9665-E2A5-4BA0-8DE9-CF461BA6AA46}"/>
    <cellStyle name="Normal 18 4" xfId="3198" xr:uid="{59B27FE0-9509-4D93-BBEF-13997C2C1F83}"/>
    <cellStyle name="Normal 19" xfId="21" xr:uid="{064D12B2-2AE6-4BB1-A6EA-15A5D3079FE3}"/>
    <cellStyle name="Normal 2" xfId="7" xr:uid="{00000000-0005-0000-0000-00000C000000}"/>
    <cellStyle name="Normal 2 10" xfId="1050" xr:uid="{0A80C3DD-293C-4CFC-8CE7-E4E747B46FA4}"/>
    <cellStyle name="Normal 2 10 2" xfId="2195" xr:uid="{646B40FB-FDB3-42FF-B618-040E2C45F3FB}"/>
    <cellStyle name="Normal 2 11" xfId="1051" xr:uid="{884039E1-2D03-405C-A7D1-6F8CD7208A41}"/>
    <cellStyle name="Normal 2 11 2" xfId="2196" xr:uid="{A43A7045-E2DD-4A33-9E6B-CF66367C7372}"/>
    <cellStyle name="Normal 2 12" xfId="1052" xr:uid="{D869D2E6-C8DF-4C44-9095-C656CF49653A}"/>
    <cellStyle name="Normal 2 12 2" xfId="2197" xr:uid="{3E1EFA01-7AE5-4895-86D4-F86F9A6DAC2E}"/>
    <cellStyle name="Normal 2 13" xfId="1053" xr:uid="{06D41135-4AC9-4511-B5D8-567F3B83961D}"/>
    <cellStyle name="Normal 2 13 2" xfId="2198" xr:uid="{E64D77F3-B07F-4BAE-BC45-C994FBE8A07B}"/>
    <cellStyle name="Normal 2 14" xfId="1054" xr:uid="{863811E4-0786-4F80-AF22-E3ED49E39684}"/>
    <cellStyle name="Normal 2 14 2" xfId="2199" xr:uid="{F2FFB1C4-9936-4323-BA8A-265D9D5E9FC7}"/>
    <cellStyle name="Normal 2 15" xfId="1055" xr:uid="{AF747B15-F0BD-4181-BF95-F3A1E98ABB01}"/>
    <cellStyle name="Normal 2 15 2" xfId="2200" xr:uid="{2E6F6489-3701-43B8-B31F-09DD4D9E8892}"/>
    <cellStyle name="Normal 2 16" xfId="1056" xr:uid="{E7B8EA0A-C108-4973-BAF0-A6CBB3424C8D}"/>
    <cellStyle name="Normal 2 16 2" xfId="2201" xr:uid="{0D90E16F-DB71-411D-B81A-8A9441667FFD}"/>
    <cellStyle name="Normal 2 17" xfId="1057" xr:uid="{D2E74000-952A-4035-889A-5EE39D8FC912}"/>
    <cellStyle name="Normal 2 17 2" xfId="2202" xr:uid="{5024D2CE-C871-4852-81C5-97E19665EE66}"/>
    <cellStyle name="Normal 2 18" xfId="2194" xr:uid="{EF322C27-310C-42DA-A532-57E3E1B3586A}"/>
    <cellStyle name="Normal 2 18 2" xfId="3094" xr:uid="{62EAD871-DB12-4F26-90AA-03634EB779BF}"/>
    <cellStyle name="Normal 2 18 3" xfId="3320" xr:uid="{C596EC1D-7877-46BE-99CD-BF21E99598C4}"/>
    <cellStyle name="Normal 2 19" xfId="1049" xr:uid="{4782B6F8-7F5B-46FB-9BC2-DCE8960AB6C2}"/>
    <cellStyle name="Normal 2 2" xfId="11" xr:uid="{00000000-0005-0000-0000-000010000000}"/>
    <cellStyle name="Normal 2 2 10" xfId="1059" xr:uid="{B7767035-0877-4843-A9A1-C54543E8A1FF}"/>
    <cellStyle name="Normal 2 2 10 2" xfId="2204" xr:uid="{D66F7488-9CFA-4101-97D1-E6004379D0A5}"/>
    <cellStyle name="Normal 2 2 10 2 2" xfId="3095" xr:uid="{AFD28621-E432-45B4-9738-13BC99E7534A}"/>
    <cellStyle name="Normal 2 2 10 2 3" xfId="3321" xr:uid="{CADFD33A-0B27-45BF-9B4A-479788D37114}"/>
    <cellStyle name="Normal 2 2 10 3" xfId="2974" xr:uid="{058FBE1D-3B6B-4AE4-AD2C-57F2054BE738}"/>
    <cellStyle name="Normal 2 2 10 4" xfId="3200" xr:uid="{C369DB1B-A20D-4D17-9606-8A29C62E6FCA}"/>
    <cellStyle name="Normal 2 2 11" xfId="1060" xr:uid="{F50A4164-5BCB-4858-8F78-BED2C89B86A0}"/>
    <cellStyle name="Normal 2 2 11 2" xfId="2205" xr:uid="{A7975625-D5E3-48DA-A8D7-73643BC70363}"/>
    <cellStyle name="Normal 2 2 11 2 2" xfId="3096" xr:uid="{B0EA1DE4-358E-4787-B6D5-F9154CD86285}"/>
    <cellStyle name="Normal 2 2 11 2 3" xfId="3322" xr:uid="{9A1C15B0-50D0-4395-B9CC-C11CA9D3BE09}"/>
    <cellStyle name="Normal 2 2 11 3" xfId="2975" xr:uid="{9A71872E-5092-4159-936E-02F38C83877C}"/>
    <cellStyle name="Normal 2 2 11 4" xfId="3201" xr:uid="{47A95F34-E141-4931-9849-51E0EFB9F7F3}"/>
    <cellStyle name="Normal 2 2 12" xfId="1061" xr:uid="{0EEA9662-389A-4C9B-B54C-46D24D335F94}"/>
    <cellStyle name="Normal 2 2 12 2" xfId="2206" xr:uid="{781600F1-341F-4ED3-9702-2917135D53D3}"/>
    <cellStyle name="Normal 2 2 12 2 2" xfId="3097" xr:uid="{72458401-2D6E-461E-881F-1C47F88775C4}"/>
    <cellStyle name="Normal 2 2 12 2 3" xfId="3323" xr:uid="{5E8AB63D-8864-4E1F-871F-A9A7DB3016D5}"/>
    <cellStyle name="Normal 2 2 12 3" xfId="2976" xr:uid="{B0E510B7-62AB-436B-BF22-E2ED40E4F29F}"/>
    <cellStyle name="Normal 2 2 12 4" xfId="3202" xr:uid="{910D0423-CC36-45DA-9F9F-FA19161B91B0}"/>
    <cellStyle name="Normal 2 2 13" xfId="1062" xr:uid="{E0220FA9-CDF5-4E23-8AEC-4EC6875D2967}"/>
    <cellStyle name="Normal 2 2 13 2" xfId="2207" xr:uid="{29FA601F-BFB7-4B89-B2E7-280FE4C63576}"/>
    <cellStyle name="Normal 2 2 13 2 2" xfId="3098" xr:uid="{053D66AB-D713-457F-87BA-B41A957E59E8}"/>
    <cellStyle name="Normal 2 2 13 2 3" xfId="3324" xr:uid="{0CC0363C-3105-4684-AFBA-A4A32B48E182}"/>
    <cellStyle name="Normal 2 2 13 3" xfId="2977" xr:uid="{E9217EE8-6848-416E-85FC-2664AF38E2C3}"/>
    <cellStyle name="Normal 2 2 13 4" xfId="3203" xr:uid="{A9ADA7EF-D5C7-4248-BB27-5CCE0E41AEFB}"/>
    <cellStyle name="Normal 2 2 14" xfId="1063" xr:uid="{D1D6783A-9F83-485D-8F25-4215DBB83EA1}"/>
    <cellStyle name="Normal 2 2 14 2" xfId="2208" xr:uid="{A829DB20-6868-4DD3-8CE6-A146542B37AB}"/>
    <cellStyle name="Normal 2 2 15" xfId="2203" xr:uid="{3207F215-9A26-48CC-A487-6CC6D4F67BAB}"/>
    <cellStyle name="Normal 2 2 16" xfId="1058" xr:uid="{FB597DEE-CEF9-4F38-81C8-62D4308AEE4D}"/>
    <cellStyle name="Normal 2 2 2" xfId="105" xr:uid="{AB473F82-782B-43DC-A4B9-D088F40C9D86}"/>
    <cellStyle name="Normal 2 2 2 2" xfId="2209" xr:uid="{97A43AAD-35C0-4437-A3AD-DB63B9F8A835}"/>
    <cellStyle name="Normal 2 2 2 2 2" xfId="3099" xr:uid="{5B74D9D1-A666-4128-B5D4-D5148EEBE76C}"/>
    <cellStyle name="Normal 2 2 2 2 3" xfId="3325" xr:uid="{8AE3039A-C208-48C8-A914-DB562183EE03}"/>
    <cellStyle name="Normal 2 2 2 3" xfId="1064" xr:uid="{3074FF74-BAFA-4666-8761-931751D3DE37}"/>
    <cellStyle name="Normal 2 2 2 4" xfId="2978" xr:uid="{78589DD5-DC5E-400C-9FE2-5842EF76140F}"/>
    <cellStyle name="Normal 2 2 2 5" xfId="3204" xr:uid="{F1F82920-FC20-4695-A74C-A7B4A57F81B4}"/>
    <cellStyle name="Normal 2 2 3" xfId="106" xr:uid="{ABF82D26-2D3F-43C8-B445-9AF19B58AC98}"/>
    <cellStyle name="Normal 2 2 3 2" xfId="2210" xr:uid="{6A397AA6-B6E3-410C-9801-10D1233D5C03}"/>
    <cellStyle name="Normal 2 2 3 2 2" xfId="3100" xr:uid="{02C303FE-3588-40CB-94CE-226D6E314F41}"/>
    <cellStyle name="Normal 2 2 3 2 3" xfId="3326" xr:uid="{C602D4EE-660F-498B-85B5-9F4F3FBD7B85}"/>
    <cellStyle name="Normal 2 2 3 3" xfId="1065" xr:uid="{C99429E6-C3D6-4F0E-BFCC-B51C68B4D79A}"/>
    <cellStyle name="Normal 2 2 3 4" xfId="2979" xr:uid="{A8D7B6C3-4AC3-4A94-AA78-2A4062C57D04}"/>
    <cellStyle name="Normal 2 2 3 5" xfId="3205" xr:uid="{CDB66DA5-1A2C-4404-AAA8-83043050B8F3}"/>
    <cellStyle name="Normal 2 2 4" xfId="1066" xr:uid="{9C0726E4-E012-420F-92C0-B2B5A58276A3}"/>
    <cellStyle name="Normal 2 2 4 2" xfId="2211" xr:uid="{1CBCAB36-13D7-4718-9322-607E2245BFA2}"/>
    <cellStyle name="Normal 2 2 4 2 2" xfId="3101" xr:uid="{4D0A3FAC-1195-4197-BDE9-40F916CD4B41}"/>
    <cellStyle name="Normal 2 2 4 2 3" xfId="3327" xr:uid="{19093E65-AB5D-401B-8E9E-A017E8D4FCDE}"/>
    <cellStyle name="Normal 2 2 4 3" xfId="2980" xr:uid="{063CB7D8-5744-4E62-B36F-AA55D2595371}"/>
    <cellStyle name="Normal 2 2 4 4" xfId="3206" xr:uid="{DAF9D2E3-E752-4654-96B4-E5B063D49C2A}"/>
    <cellStyle name="Normal 2 2 5" xfId="1067" xr:uid="{282FFC7F-E42E-4787-BB46-E2EBB5F12270}"/>
    <cellStyle name="Normal 2 2 5 2" xfId="2212" xr:uid="{B127BAAA-8BFC-47F0-99DA-DB1B8E683260}"/>
    <cellStyle name="Normal 2 2 5 2 2" xfId="3102" xr:uid="{980646E1-927B-4B9E-900E-0DDD87D56F96}"/>
    <cellStyle name="Normal 2 2 5 2 3" xfId="3328" xr:uid="{2CCCDCFC-7627-4477-9558-13A5E37A74CA}"/>
    <cellStyle name="Normal 2 2 5 3" xfId="2981" xr:uid="{67F0F3B3-8622-4FB5-BE87-1BF5031AA1C9}"/>
    <cellStyle name="Normal 2 2 5 4" xfId="3207" xr:uid="{E8C1CDD9-C3D3-4911-AEC5-F531834693A8}"/>
    <cellStyle name="Normal 2 2 6" xfId="1068" xr:uid="{29BEF6E1-AF84-432F-BC21-40765D1A1DA2}"/>
    <cellStyle name="Normal 2 2 6 2" xfId="2213" xr:uid="{9F4A9C58-7CF3-4B82-A926-1EA051A349BD}"/>
    <cellStyle name="Normal 2 2 6 2 2" xfId="3103" xr:uid="{0662FF42-0323-4432-A557-FC36A4AAB35D}"/>
    <cellStyle name="Normal 2 2 6 2 3" xfId="3329" xr:uid="{1D3514DD-958D-4EEE-9264-4FA7B2F19780}"/>
    <cellStyle name="Normal 2 2 6 3" xfId="2982" xr:uid="{4DA3AA77-EF46-4620-A70B-3DBC145F2D71}"/>
    <cellStyle name="Normal 2 2 6 4" xfId="3208" xr:uid="{BFC402F9-CA4D-4923-A587-820C054DDB32}"/>
    <cellStyle name="Normal 2 2 7" xfId="1069" xr:uid="{035CD9A9-041F-41BC-8ABD-63965BE33BAA}"/>
    <cellStyle name="Normal 2 2 7 2" xfId="2214" xr:uid="{CC33EF83-E295-430E-BCA9-6E81E05A9D65}"/>
    <cellStyle name="Normal 2 2 7 2 2" xfId="3104" xr:uid="{DF9C8F05-E8D5-4AFB-B68A-0BBD1B36A9A0}"/>
    <cellStyle name="Normal 2 2 7 2 3" xfId="3330" xr:uid="{851BDDD1-613C-4BCE-B8D1-E1BD2F83E258}"/>
    <cellStyle name="Normal 2 2 7 3" xfId="2983" xr:uid="{DAD691F6-2B38-4BA3-83F8-04AE37B13B3B}"/>
    <cellStyle name="Normal 2 2 7 4" xfId="3209" xr:uid="{1FB07827-C6EF-4FDE-97FA-FF66DB8BCB61}"/>
    <cellStyle name="Normal 2 2 8" xfId="1070" xr:uid="{54146EA2-90FD-413A-87DF-0BEB575449B3}"/>
    <cellStyle name="Normal 2 2 8 2" xfId="2215" xr:uid="{E73701D6-B709-4DB8-B33D-31A0EFE524C1}"/>
    <cellStyle name="Normal 2 2 8 2 2" xfId="3105" xr:uid="{369E69D3-128C-40FC-B0AA-8A04301DF2E6}"/>
    <cellStyle name="Normal 2 2 8 2 3" xfId="3331" xr:uid="{DCEA0CFD-285B-4FD5-93E1-3D2C22E1F90E}"/>
    <cellStyle name="Normal 2 2 8 3" xfId="2984" xr:uid="{8DA082D5-3527-4992-9982-BB01A3E41849}"/>
    <cellStyle name="Normal 2 2 8 4" xfId="3210" xr:uid="{22FBFF5D-2833-4B7B-AD5F-BE84806045A2}"/>
    <cellStyle name="Normal 2 2 9" xfId="1071" xr:uid="{499A4CA1-6AE8-4944-9F26-3EBEF5E454C2}"/>
    <cellStyle name="Normal 2 2 9 2" xfId="2216" xr:uid="{D36139E6-122E-470B-BF2F-7D007DC1B649}"/>
    <cellStyle name="Normal 2 2 9 2 2" xfId="3106" xr:uid="{E566A743-B7D4-49BF-9FCE-FD9B3F6CA0EB}"/>
    <cellStyle name="Normal 2 2 9 2 3" xfId="3332" xr:uid="{CDA3B9D8-F139-4B55-81D6-CF6AAA99B3A6}"/>
    <cellStyle name="Normal 2 2 9 3" xfId="2985" xr:uid="{5E8E9284-4A76-4C29-9E22-3A0AB2A35F90}"/>
    <cellStyle name="Normal 2 2 9 4" xfId="3211" xr:uid="{254A48ED-5BED-4DEC-8AB1-E12DDA51F570}"/>
    <cellStyle name="Normal 2 20" xfId="2973" xr:uid="{236CE1B8-FDAD-457F-9596-08ECAEC27517}"/>
    <cellStyle name="Normal 2 21" xfId="3199" xr:uid="{EF29E91B-5EB0-48B6-B78F-335B51E1440D}"/>
    <cellStyle name="Normal 2 22" xfId="3398" xr:uid="{2078B555-30A6-4A59-B3A7-8AA3C3C5F70F}"/>
    <cellStyle name="Normal 2 23" xfId="104" xr:uid="{BAEDC4B5-877C-4203-B5E1-1AAA2DB060C1}"/>
    <cellStyle name="Normal 2 3" xfId="10" xr:uid="{00000000-0005-0000-0000-00000F000000}"/>
    <cellStyle name="Normal 2 3 10" xfId="1073" xr:uid="{E4D7A263-F201-4A93-89C7-4057BEDC77B1}"/>
    <cellStyle name="Normal 2 3 10 2" xfId="2218" xr:uid="{5DD420A1-1819-47CB-B46F-F5DCEFF9DF2F}"/>
    <cellStyle name="Normal 2 3 10 2 2" xfId="3107" xr:uid="{9FCB7048-D984-4E69-B929-82BDADC3DCE6}"/>
    <cellStyle name="Normal 2 3 10 2 3" xfId="3333" xr:uid="{605C0F07-25DB-4CC9-BAA4-2C21F2359FD7}"/>
    <cellStyle name="Normal 2 3 10 3" xfId="2986" xr:uid="{1F5B8F3F-2B42-44C7-BBDF-245795CA64E4}"/>
    <cellStyle name="Normal 2 3 10 4" xfId="3212" xr:uid="{952F90DB-B4F0-41A9-922B-3BB2B938E253}"/>
    <cellStyle name="Normal 2 3 11" xfId="1074" xr:uid="{60A3FFBF-DCF0-467B-B15B-88EF009A086A}"/>
    <cellStyle name="Normal 2 3 11 2" xfId="2219" xr:uid="{AC6DE89A-8173-4A0E-925B-7A271705CBD5}"/>
    <cellStyle name="Normal 2 3 11 2 2" xfId="3108" xr:uid="{F6790CC7-CBB5-4036-B2D2-09A37A94BF6E}"/>
    <cellStyle name="Normal 2 3 11 2 3" xfId="3334" xr:uid="{701827BE-88F3-4BE9-96FD-B2519894CB18}"/>
    <cellStyle name="Normal 2 3 11 3" xfId="2987" xr:uid="{A7A7C562-ED20-4A14-8B6B-1E6F42FAB288}"/>
    <cellStyle name="Normal 2 3 11 4" xfId="3213" xr:uid="{B691D6CD-77D7-4B60-866D-823B64F22910}"/>
    <cellStyle name="Normal 2 3 12" xfId="1075" xr:uid="{91EB52BD-FBFF-48C5-A2AA-D23A7E55D932}"/>
    <cellStyle name="Normal 2 3 12 2" xfId="2220" xr:uid="{2096AF79-1DA8-47E4-96C9-6574479BEA59}"/>
    <cellStyle name="Normal 2 3 12 2 2" xfId="3109" xr:uid="{9CD81762-01AD-4EE9-931F-B19AAE532A03}"/>
    <cellStyle name="Normal 2 3 12 2 3" xfId="3335" xr:uid="{39DFE52A-52CE-4FB8-AAED-516F32B55A0C}"/>
    <cellStyle name="Normal 2 3 12 3" xfId="2988" xr:uid="{5AC902F5-9008-4502-B14C-476EF5D52F6E}"/>
    <cellStyle name="Normal 2 3 12 4" xfId="3214" xr:uid="{17332BB9-3ADC-466F-B2F4-55741F90C7B5}"/>
    <cellStyle name="Normal 2 3 13" xfId="1076" xr:uid="{5017DA60-7E43-47BD-8ACC-4921FABC7F89}"/>
    <cellStyle name="Normal 2 3 13 2" xfId="2221" xr:uid="{1832AE50-A897-407D-90CC-6E9AFAFA9D21}"/>
    <cellStyle name="Normal 2 3 13 2 2" xfId="3110" xr:uid="{B1C3AFE5-EC5F-4DA2-8F08-7F7091F29001}"/>
    <cellStyle name="Normal 2 3 13 2 3" xfId="3336" xr:uid="{45698D20-5539-41FF-9E86-998B072EDE26}"/>
    <cellStyle name="Normal 2 3 13 3" xfId="2989" xr:uid="{B4B11F31-545C-40E5-9595-2466793CBEAD}"/>
    <cellStyle name="Normal 2 3 13 4" xfId="3215" xr:uid="{1CE5F47A-639D-4921-BED9-DA5BEF91FCCF}"/>
    <cellStyle name="Normal 2 3 14" xfId="2217" xr:uid="{01A48CC7-DF17-424F-AF75-E638C536BCD8}"/>
    <cellStyle name="Normal 2 3 15" xfId="1072" xr:uid="{85688025-BE5C-4536-87C4-560A1EF46E21}"/>
    <cellStyle name="Normal 2 3 16" xfId="107" xr:uid="{949651B8-2B6B-4923-9AE7-301AEBBD401D}"/>
    <cellStyle name="Normal 2 3 2" xfId="108" xr:uid="{9EDFFDB0-4F7E-4029-9069-3F2A66A76B59}"/>
    <cellStyle name="Normal 2 3 2 2" xfId="2222" xr:uid="{E49DAC75-B163-4978-9DEA-199A50651090}"/>
    <cellStyle name="Normal 2 3 2 2 2" xfId="3111" xr:uid="{3A91D2C6-98D6-43D0-A2BD-81D46DD12571}"/>
    <cellStyle name="Normal 2 3 2 2 3" xfId="3337" xr:uid="{764FC05E-BC88-46AB-A111-28A305205AFF}"/>
    <cellStyle name="Normal 2 3 2 3" xfId="1077" xr:uid="{4B001003-2660-494C-B6B6-9F3EFCC9567A}"/>
    <cellStyle name="Normal 2 3 2 4" xfId="2990" xr:uid="{ADE94CEC-3304-42EA-A33F-B898F2220E32}"/>
    <cellStyle name="Normal 2 3 2 5" xfId="3216" xr:uid="{36700F62-E260-4389-9659-AB8CBBB1FED0}"/>
    <cellStyle name="Normal 2 3 3" xfId="109" xr:uid="{0C8259B8-8320-40C5-8C55-98BCEB8B0950}"/>
    <cellStyle name="Normal 2 3 3 2" xfId="2223" xr:uid="{57485640-1859-4409-81A1-F37E562A64D3}"/>
    <cellStyle name="Normal 2 3 3 2 2" xfId="3112" xr:uid="{D32A6EC8-8FDC-4CA0-A1F2-D335AA220000}"/>
    <cellStyle name="Normal 2 3 3 2 3" xfId="3338" xr:uid="{18B557D8-54C7-4600-B7C7-F528D70061F6}"/>
    <cellStyle name="Normal 2 3 3 3" xfId="1078" xr:uid="{01817BB2-FCE7-4A62-9F4D-33731AC7B858}"/>
    <cellStyle name="Normal 2 3 3 4" xfId="2991" xr:uid="{32216FB7-AB32-4B10-9E1A-0C24720BCB10}"/>
    <cellStyle name="Normal 2 3 3 5" xfId="3217" xr:uid="{A0350298-5BC4-42CB-AAD3-5FB17828BA58}"/>
    <cellStyle name="Normal 2 3 4" xfId="1079" xr:uid="{D8565CB0-C71E-468B-8C55-9125BBCFDD2F}"/>
    <cellStyle name="Normal 2 3 4 2" xfId="2224" xr:uid="{DF069FD1-52CE-4E4A-8563-8A7DC163648A}"/>
    <cellStyle name="Normal 2 3 4 2 2" xfId="3113" xr:uid="{18EFB7A7-1ACB-49B7-8DDD-AEBB48ED7EF7}"/>
    <cellStyle name="Normal 2 3 4 2 3" xfId="3339" xr:uid="{721CA65B-9FF2-496A-8542-7365B2C2209F}"/>
    <cellStyle name="Normal 2 3 4 3" xfId="2992" xr:uid="{FAC15C17-6455-4AC4-8AC1-673F0CFD67A9}"/>
    <cellStyle name="Normal 2 3 4 4" xfId="3218" xr:uid="{AB82FD76-BA58-461F-982D-7E56A817F7D3}"/>
    <cellStyle name="Normal 2 3 5" xfId="1080" xr:uid="{387EB9B4-4527-490B-9DC4-25D10041CA91}"/>
    <cellStyle name="Normal 2 3 5 2" xfId="2225" xr:uid="{2796533E-E89C-4A77-91C5-2469C683C5AE}"/>
    <cellStyle name="Normal 2 3 5 2 2" xfId="3114" xr:uid="{68CDD06A-2F6F-4C2C-BCCC-5B12AAA9B915}"/>
    <cellStyle name="Normal 2 3 5 2 3" xfId="3340" xr:uid="{9A55BA91-FF5A-4C10-A94E-9038E8F45965}"/>
    <cellStyle name="Normal 2 3 5 3" xfId="2993" xr:uid="{7EE43F87-DD0A-4066-B780-DB4421CD465A}"/>
    <cellStyle name="Normal 2 3 5 4" xfId="3219" xr:uid="{E7E5F47A-D363-4F23-B082-EA8A9F91CEED}"/>
    <cellStyle name="Normal 2 3 6" xfId="1081" xr:uid="{8D974108-3608-4BAA-87CC-3185F33E897E}"/>
    <cellStyle name="Normal 2 3 6 2" xfId="2226" xr:uid="{A9CA93BE-7D84-42C9-B6FA-A94992C70B99}"/>
    <cellStyle name="Normal 2 3 6 2 2" xfId="3115" xr:uid="{807413F3-F6E4-409A-BDF3-53FFB3EF62AA}"/>
    <cellStyle name="Normal 2 3 6 2 3" xfId="3341" xr:uid="{804FFC69-EA8B-45E5-B581-22F5A733D491}"/>
    <cellStyle name="Normal 2 3 6 3" xfId="2994" xr:uid="{70254C69-EA89-43D8-A38D-32E43B3E3592}"/>
    <cellStyle name="Normal 2 3 6 4" xfId="3220" xr:uid="{EB4604B4-3CE5-4CC2-A34F-3407BCDD4D28}"/>
    <cellStyle name="Normal 2 3 7" xfId="1082" xr:uid="{375B3942-69E8-4ABB-AC9A-149DC60A0FC4}"/>
    <cellStyle name="Normal 2 3 7 2" xfId="2227" xr:uid="{57404387-C99C-4162-90A0-05818D77340E}"/>
    <cellStyle name="Normal 2 3 7 2 2" xfId="3116" xr:uid="{F5AFFE79-80C6-40D4-8D5F-037224CC09E6}"/>
    <cellStyle name="Normal 2 3 7 2 3" xfId="3342" xr:uid="{3D4FB956-E78D-4628-A851-6B119A3D4250}"/>
    <cellStyle name="Normal 2 3 7 3" xfId="2995" xr:uid="{5EE1DC23-8B1E-4233-9B63-528704DD2F11}"/>
    <cellStyle name="Normal 2 3 7 4" xfId="3221" xr:uid="{F5708194-1D9D-469B-BAD1-C0194A8AAF81}"/>
    <cellStyle name="Normal 2 3 8" xfId="1083" xr:uid="{B95A22F9-16C5-4D5A-89A9-FCEE5BC521ED}"/>
    <cellStyle name="Normal 2 3 8 2" xfId="2228" xr:uid="{5EA61DE7-53BD-4430-90CA-4B84C21EE280}"/>
    <cellStyle name="Normal 2 3 8 2 2" xfId="3117" xr:uid="{D6CDCA0D-4A77-45B6-950B-0C3AE274A70E}"/>
    <cellStyle name="Normal 2 3 8 2 3" xfId="3343" xr:uid="{43CD845A-D7F0-4F6E-8978-D55EA012A04F}"/>
    <cellStyle name="Normal 2 3 8 3" xfId="2996" xr:uid="{B8250FF0-C0D9-4088-8642-563165567BB8}"/>
    <cellStyle name="Normal 2 3 8 4" xfId="3222" xr:uid="{AD5D8ACA-E364-4739-8BF8-05686AE51E29}"/>
    <cellStyle name="Normal 2 3 9" xfId="1084" xr:uid="{2BFA8419-4C82-4187-AD64-6322C751CCF1}"/>
    <cellStyle name="Normal 2 3 9 2" xfId="2229" xr:uid="{BB9E810C-AEDC-4F03-90A6-C0E20AB77E48}"/>
    <cellStyle name="Normal 2 3 9 2 2" xfId="3118" xr:uid="{12E2915A-F7D7-481B-8FB0-74469CD197B9}"/>
    <cellStyle name="Normal 2 3 9 2 3" xfId="3344" xr:uid="{45BA8D3A-6D18-4C33-86A8-881C0D0BDB86}"/>
    <cellStyle name="Normal 2 3 9 3" xfId="2997" xr:uid="{07DDA1A8-0493-4979-B7AC-130ED673A83C}"/>
    <cellStyle name="Normal 2 3 9 4" xfId="3223" xr:uid="{3459A496-CC97-4C94-859F-AC7CCB07931B}"/>
    <cellStyle name="Normal 2 4" xfId="110" xr:uid="{B3A156E8-8987-456E-8307-883113922B4A}"/>
    <cellStyle name="Normal 2 4 10" xfId="1086" xr:uid="{43FB53D5-C9F3-4750-BE25-A4309DE4ABCA}"/>
    <cellStyle name="Normal 2 4 10 2" xfId="2231" xr:uid="{628B120D-91BF-4801-AE4F-12CD04B9FA1B}"/>
    <cellStyle name="Normal 2 4 10 2 2" xfId="3119" xr:uid="{9A61F373-0C39-4A02-B4CA-B21CBD603664}"/>
    <cellStyle name="Normal 2 4 10 2 3" xfId="3345" xr:uid="{2EE0DAE5-CF44-45C8-A497-BC6362D58586}"/>
    <cellStyle name="Normal 2 4 10 3" xfId="2998" xr:uid="{AFC7BE14-54C2-40DD-9DCC-0C842A30BE1A}"/>
    <cellStyle name="Normal 2 4 10 4" xfId="3224" xr:uid="{402FC450-82DB-4364-8181-9F7BBB7A5402}"/>
    <cellStyle name="Normal 2 4 11" xfId="1087" xr:uid="{FCA88293-E465-4451-BC11-F107045FE62A}"/>
    <cellStyle name="Normal 2 4 11 2" xfId="2232" xr:uid="{90DE87E1-878C-46FF-B5F3-E805F7C49E4C}"/>
    <cellStyle name="Normal 2 4 11 2 2" xfId="3120" xr:uid="{F1C4EC5C-1981-4672-8B05-9E2A49313981}"/>
    <cellStyle name="Normal 2 4 11 2 3" xfId="3346" xr:uid="{AEFFA45B-30A6-428D-9791-3DBCADB57588}"/>
    <cellStyle name="Normal 2 4 11 3" xfId="2999" xr:uid="{624FEEE3-BA79-4C19-9BB6-6CFBDC5C7A2A}"/>
    <cellStyle name="Normal 2 4 11 4" xfId="3225" xr:uid="{E3AA0C9C-2022-4805-B3B4-860B96E99E9F}"/>
    <cellStyle name="Normal 2 4 12" xfId="1088" xr:uid="{915A325B-D338-44FE-82CD-14BE86CD504E}"/>
    <cellStyle name="Normal 2 4 12 2" xfId="2233" xr:uid="{FCEF1B8A-95E2-480A-A179-CDC79F227F71}"/>
    <cellStyle name="Normal 2 4 12 2 2" xfId="3121" xr:uid="{2526B44D-6875-4D2B-A499-421E9FFA216C}"/>
    <cellStyle name="Normal 2 4 12 2 3" xfId="3347" xr:uid="{1A38D249-F01B-460E-A065-28E1B1B29236}"/>
    <cellStyle name="Normal 2 4 12 3" xfId="3000" xr:uid="{AB304139-4143-41A2-A523-73E85D614B61}"/>
    <cellStyle name="Normal 2 4 12 4" xfId="3226" xr:uid="{D9320004-3E72-4181-9136-42C12FB9B8E7}"/>
    <cellStyle name="Normal 2 4 13" xfId="1089" xr:uid="{9456563E-5026-49B4-BFF1-69522BA5EDA4}"/>
    <cellStyle name="Normal 2 4 13 2" xfId="2234" xr:uid="{D428B53B-8431-42BD-AE12-D58A6134976D}"/>
    <cellStyle name="Normal 2 4 13 2 2" xfId="3122" xr:uid="{6A7B0D87-0E5C-4FD2-A7D9-6A0790CF59CE}"/>
    <cellStyle name="Normal 2 4 13 2 3" xfId="3348" xr:uid="{51C49135-3D6F-49C9-A84E-2802437F12B5}"/>
    <cellStyle name="Normal 2 4 13 3" xfId="3001" xr:uid="{1BA5647A-1183-4B86-BA73-B743855F4E5C}"/>
    <cellStyle name="Normal 2 4 13 4" xfId="3227" xr:uid="{C10793A5-85D8-4565-8F75-260D9132F368}"/>
    <cellStyle name="Normal 2 4 14" xfId="2230" xr:uid="{FAA084A8-64E9-497D-AC9E-A215BF455B86}"/>
    <cellStyle name="Normal 2 4 15" xfId="1085" xr:uid="{B2CF0C08-A897-4345-A4C2-7F40B0BAD434}"/>
    <cellStyle name="Normal 2 4 2" xfId="1090" xr:uid="{AB643C07-E970-4E7A-96AB-B6CEBFB990ED}"/>
    <cellStyle name="Normal 2 4 2 2" xfId="2235" xr:uid="{0C5B385A-811A-4D70-9DA1-A76E87E538AC}"/>
    <cellStyle name="Normal 2 4 2 2 2" xfId="3123" xr:uid="{02CF72C1-260E-4E72-8FBF-A8069AA50D9F}"/>
    <cellStyle name="Normal 2 4 2 2 3" xfId="3349" xr:uid="{F04E6973-9952-41EC-BB7F-0BC1DB43F593}"/>
    <cellStyle name="Normal 2 4 2 3" xfId="3002" xr:uid="{936E1CC4-2BA1-46B5-9EF4-E56B36151F73}"/>
    <cellStyle name="Normal 2 4 2 4" xfId="3228" xr:uid="{87021601-C07B-45F8-91C0-F39BB353AACE}"/>
    <cellStyle name="Normal 2 4 3" xfId="1091" xr:uid="{3085531E-7FD8-4E4A-BAFF-919AD5AFC7BA}"/>
    <cellStyle name="Normal 2 4 3 2" xfId="2236" xr:uid="{E81BA49C-A00F-4AAA-9149-1AD1B13B6527}"/>
    <cellStyle name="Normal 2 4 3 2 2" xfId="3124" xr:uid="{C3A52FEB-1C99-42CB-BA1B-0756C9D32878}"/>
    <cellStyle name="Normal 2 4 3 2 3" xfId="3350" xr:uid="{AA9C36AE-1CFD-446D-8C1F-1A56999FF3B1}"/>
    <cellStyle name="Normal 2 4 3 3" xfId="3003" xr:uid="{08EFE5B8-0A07-42A9-8880-AC55259B30DC}"/>
    <cellStyle name="Normal 2 4 3 4" xfId="3229" xr:uid="{6BC231C4-E2F8-438E-AB50-E866B95647A3}"/>
    <cellStyle name="Normal 2 4 4" xfId="1092" xr:uid="{3270E741-C10B-477E-A31D-9B7090646BB0}"/>
    <cellStyle name="Normal 2 4 4 2" xfId="2237" xr:uid="{E2690BAA-287F-4E41-9602-2D8ED319EF6C}"/>
    <cellStyle name="Normal 2 4 4 2 2" xfId="3125" xr:uid="{B6E223D7-D437-42A3-B1D1-A0C155D69D92}"/>
    <cellStyle name="Normal 2 4 4 2 3" xfId="3351" xr:uid="{725FEC96-8843-4BED-B684-EE28739A42A0}"/>
    <cellStyle name="Normal 2 4 4 3" xfId="3004" xr:uid="{4D922339-FFA8-4309-BBF0-145A9A489CF0}"/>
    <cellStyle name="Normal 2 4 4 4" xfId="3230" xr:uid="{BF97841A-B7A7-4C72-97E2-FD9ED7AB957F}"/>
    <cellStyle name="Normal 2 4 5" xfId="1093" xr:uid="{F37D04F1-5371-4194-9151-9F5CAD768379}"/>
    <cellStyle name="Normal 2 4 5 2" xfId="2238" xr:uid="{508F9FB8-2CF0-4E20-BE67-11C67C8E0BDB}"/>
    <cellStyle name="Normal 2 4 5 2 2" xfId="3126" xr:uid="{6E39F021-9EC0-417A-8905-2568835F61EC}"/>
    <cellStyle name="Normal 2 4 5 2 3" xfId="3352" xr:uid="{2EA1BFC1-A86C-4428-A1FA-FDE9CC751C5C}"/>
    <cellStyle name="Normal 2 4 5 3" xfId="3005" xr:uid="{6323B87A-4DF2-49AB-89C9-EA695B0E885A}"/>
    <cellStyle name="Normal 2 4 5 4" xfId="3231" xr:uid="{AFAD2CC2-69FD-4814-AB26-BC4E93DED1BB}"/>
    <cellStyle name="Normal 2 4 6" xfId="1094" xr:uid="{F4E2BEAB-B52B-4E1B-A16D-AC5287B53A2C}"/>
    <cellStyle name="Normal 2 4 6 2" xfId="2239" xr:uid="{8DDBE7DC-B94A-43DA-9DD8-8579D649B697}"/>
    <cellStyle name="Normal 2 4 6 2 2" xfId="3127" xr:uid="{9D8410B8-39C4-486C-B7AD-41ADAB5B1F7B}"/>
    <cellStyle name="Normal 2 4 6 2 3" xfId="3353" xr:uid="{16107120-3300-4413-AA43-07C5BE2C69B7}"/>
    <cellStyle name="Normal 2 4 6 3" xfId="3006" xr:uid="{170CDB4B-FC2E-4DB7-91DC-2BA6FE32A097}"/>
    <cellStyle name="Normal 2 4 6 4" xfId="3232" xr:uid="{EEE65B34-7A9B-4875-8521-BCBA759D0928}"/>
    <cellStyle name="Normal 2 4 7" xfId="1095" xr:uid="{EEE7104A-E12A-4358-8E32-82DCE34B672D}"/>
    <cellStyle name="Normal 2 4 7 2" xfId="2240" xr:uid="{E8EDC608-E727-4E1E-BFE2-6A2E02B4F9F6}"/>
    <cellStyle name="Normal 2 4 7 2 2" xfId="3128" xr:uid="{E15BD50F-DD63-4C99-B44C-A86434A70621}"/>
    <cellStyle name="Normal 2 4 7 2 3" xfId="3354" xr:uid="{CB86D06D-4CB4-4324-BDD1-BBE383362DC3}"/>
    <cellStyle name="Normal 2 4 7 3" xfId="3007" xr:uid="{F2015F33-8604-4012-889F-F57C242C054E}"/>
    <cellStyle name="Normal 2 4 7 4" xfId="3233" xr:uid="{F00432D0-CB53-4F89-A2F4-DB84EBE03229}"/>
    <cellStyle name="Normal 2 4 8" xfId="1096" xr:uid="{83A154B2-A7BC-4D7D-A65F-987FF97E0228}"/>
    <cellStyle name="Normal 2 4 8 2" xfId="2241" xr:uid="{3DC0B53F-BE78-4B39-9098-61D4A9745A5D}"/>
    <cellStyle name="Normal 2 4 8 2 2" xfId="3129" xr:uid="{F4AD79C2-C1C2-4B74-BD68-7DAE53E69F56}"/>
    <cellStyle name="Normal 2 4 8 2 3" xfId="3355" xr:uid="{B7CD952E-3740-4A31-B805-8E199D1A6A21}"/>
    <cellStyle name="Normal 2 4 8 3" xfId="3008" xr:uid="{DE96CBA3-938D-4995-9990-AA3A6038790C}"/>
    <cellStyle name="Normal 2 4 8 4" xfId="3234" xr:uid="{C1F0E5C2-99B7-4465-AA95-16C4C307A7EA}"/>
    <cellStyle name="Normal 2 4 9" xfId="1097" xr:uid="{5B280AC6-F755-4907-8BC5-CA74E9111605}"/>
    <cellStyle name="Normal 2 4 9 2" xfId="2242" xr:uid="{12117DFE-30DE-4986-9C12-EA1BA1172697}"/>
    <cellStyle name="Normal 2 4 9 2 2" xfId="3130" xr:uid="{99D6BAE4-9434-472E-AA88-955AF543E887}"/>
    <cellStyle name="Normal 2 4 9 2 3" xfId="3356" xr:uid="{C52ECFE6-FE5E-409C-A077-4951FBAA0C2A}"/>
    <cellStyle name="Normal 2 4 9 3" xfId="3009" xr:uid="{12294DEC-0559-42F9-8DAD-C9D9795189FC}"/>
    <cellStyle name="Normal 2 4 9 4" xfId="3235" xr:uid="{8409CEC4-A33E-4D05-8060-7413E2C3A100}"/>
    <cellStyle name="Normal 2 5" xfId="111" xr:uid="{9FFECF6A-8A76-4533-BB5F-369C66973BEB}"/>
    <cellStyle name="Normal 2 5 2" xfId="2243" xr:uid="{768D20C3-7C26-4D6B-BE90-FEC169176B38}"/>
    <cellStyle name="Normal 2 5 3" xfId="1098" xr:uid="{D9DCD934-604A-4FAB-8475-26FE6620B167}"/>
    <cellStyle name="Normal 2 6" xfId="112" xr:uid="{79FD0E2D-28FE-4FB2-A76D-D7BBE74BF328}"/>
    <cellStyle name="Normal 2 6 2" xfId="2244" xr:uid="{E833F8F5-2F02-4505-A1B0-12EDFF9C1738}"/>
    <cellStyle name="Normal 2 6 3" xfId="1099" xr:uid="{14B0A1DA-2DF2-4D5D-916D-717B44838825}"/>
    <cellStyle name="Normal 2 7" xfId="113" xr:uid="{86B1F0BD-F5A4-4B8B-81B0-5CB9F7A94B12}"/>
    <cellStyle name="Normal 2 7 2" xfId="2245" xr:uid="{E65FB4FE-2039-4E8F-A32A-55279A16783E}"/>
    <cellStyle name="Normal 2 7 3" xfId="1100" xr:uid="{ACBF132E-8382-45EF-A7A1-0524C90C2A1D}"/>
    <cellStyle name="Normal 2 8" xfId="114" xr:uid="{F8C83FEF-D865-4D95-9A3D-4EE1B588974A}"/>
    <cellStyle name="Normal 2 8 2" xfId="2246" xr:uid="{66493AEA-5173-4104-9CC2-50DDED794539}"/>
    <cellStyle name="Normal 2 8 3" xfId="1101" xr:uid="{7BA19336-1ABF-4127-BE06-97C9F7EB6801}"/>
    <cellStyle name="Normal 2 9" xfId="196" xr:uid="{10992C05-5092-4E19-A8F6-F2A91F62A8BB}"/>
    <cellStyle name="Normal 2 9 2" xfId="2247" xr:uid="{70CA3EB9-A97E-49FB-8626-3A0879182297}"/>
    <cellStyle name="Normal 2_OTHsectors" xfId="115" xr:uid="{75028F72-560E-4E55-BC8F-42E8C6DD4E36}"/>
    <cellStyle name="Normal 20" xfId="1102" xr:uid="{5B60DCDF-BA0D-485F-93DC-26CF7AE73F59}"/>
    <cellStyle name="Normal 21" xfId="1103" xr:uid="{51132F14-F284-42D5-9395-8F2103163E88}"/>
    <cellStyle name="Normal 21 2" xfId="2248" xr:uid="{00327E72-75BC-4ADD-B60F-97F6E1E2770C}"/>
    <cellStyle name="Normal 26" xfId="1104" xr:uid="{FD498ECE-E5AE-44E0-BD87-E253012B8B21}"/>
    <cellStyle name="Normal 26 2" xfId="2249" xr:uid="{87FB80A7-7FCB-456F-8780-904F4D9D3530}"/>
    <cellStyle name="Normal 3" xfId="14" xr:uid="{B91C8861-17DE-4670-9B49-B4163D4ABF40}"/>
    <cellStyle name="Normal 3 10" xfId="1106" xr:uid="{44FBD991-7C8F-4410-8CBC-1D82F61E86B0}"/>
    <cellStyle name="Normal 3 10 2" xfId="2251" xr:uid="{8FC02F8B-9057-4387-8142-31B10C155272}"/>
    <cellStyle name="Normal 3 11" xfId="1107" xr:uid="{2321D989-0B1A-4244-8EFA-E5BF1124E4D2}"/>
    <cellStyle name="Normal 3 11 2" xfId="2252" xr:uid="{56BFC0C5-0197-4C90-8847-A11200E35AB9}"/>
    <cellStyle name="Normal 3 12" xfId="1108" xr:uid="{5D48BED9-B396-4B10-BE8C-B1FC3EA0B994}"/>
    <cellStyle name="Normal 3 12 2" xfId="2253" xr:uid="{01EF34A4-787D-44E8-A006-99410DA468EB}"/>
    <cellStyle name="Normal 3 13" xfId="1109" xr:uid="{7C92DDCE-3F38-48D9-9B5D-DA464C5B6F4F}"/>
    <cellStyle name="Normal 3 13 2" xfId="2254" xr:uid="{9637247A-2F28-4BDF-818E-01A728E51E48}"/>
    <cellStyle name="Normal 3 14" xfId="2250" xr:uid="{D5ED07C9-BC73-43F2-B554-41A63AB64698}"/>
    <cellStyle name="Normal 3 14 2" xfId="3131" xr:uid="{A7E2EFA9-C62F-4EC5-8839-661CFF344C53}"/>
    <cellStyle name="Normal 3 14 3" xfId="3357" xr:uid="{78D2CA6E-99D1-4758-9D32-FCD3D9295E4F}"/>
    <cellStyle name="Normal 3 15" xfId="1105" xr:uid="{D483FF0D-121C-43A4-906D-05FEE02016DD}"/>
    <cellStyle name="Normal 3 16" xfId="3010" xr:uid="{0280BB57-D9F0-4D67-8309-434706861933}"/>
    <cellStyle name="Normal 3 17" xfId="3236" xr:uid="{C8DEA57E-66B0-4FAE-8A9D-2ED8062076FC}"/>
    <cellStyle name="Normal 3 18" xfId="19" xr:uid="{B6CB814D-54D6-4061-BD4D-9CC62CCB8856}"/>
    <cellStyle name="Normal 3 2" xfId="13" xr:uid="{00000000-0005-0000-0000-000012000000}"/>
    <cellStyle name="Normal 3 2 10" xfId="1110" xr:uid="{F81A7519-3AC6-4F25-8188-096067EE114E}"/>
    <cellStyle name="Normal 3 2 11" xfId="116" xr:uid="{6C04434E-36C4-4B31-8FE7-F799C0AAE43B}"/>
    <cellStyle name="Normal 3 2 2" xfId="117" xr:uid="{94051FAB-2FE7-40C1-AE9B-C1EDF4A592CE}"/>
    <cellStyle name="Normal 3 2 2 2" xfId="2256" xr:uid="{C6D206BC-31B3-4137-AB36-0031CAAE9A36}"/>
    <cellStyle name="Normal 3 2 2 3" xfId="1111" xr:uid="{86E9616A-6457-4B40-8D38-FBB4E9493DC1}"/>
    <cellStyle name="Normal 3 2 3" xfId="1112" xr:uid="{3724EF73-C222-440C-9FCB-03E6294C96DB}"/>
    <cellStyle name="Normal 3 2 3 2" xfId="2257" xr:uid="{DEBEACED-3E59-4A25-A1DB-004843C02A83}"/>
    <cellStyle name="Normal 3 2 4" xfId="1113" xr:uid="{624C9F24-2C3A-4EFE-8ED3-252564CA0FE0}"/>
    <cellStyle name="Normal 3 2 4 2" xfId="2258" xr:uid="{F3D48FBF-E026-47EF-831A-3DF19F26D8F6}"/>
    <cellStyle name="Normal 3 2 5" xfId="1114" xr:uid="{F58817C4-BFEB-4D2F-A2C2-F366C33D3AAE}"/>
    <cellStyle name="Normal 3 2 5 2" xfId="2259" xr:uid="{910B71CA-E46B-44B8-A800-F6921C091AC3}"/>
    <cellStyle name="Normal 3 2 6" xfId="1115" xr:uid="{101DC3A4-2177-45EC-95E1-FF3B20BA54AF}"/>
    <cellStyle name="Normal 3 2 6 2" xfId="2260" xr:uid="{9AE3BCDD-5CD1-4E27-BA18-F2DBB6883F49}"/>
    <cellStyle name="Normal 3 2 7" xfId="1116" xr:uid="{A0F4C9BA-8C6A-49D8-81F5-E92817B13E0E}"/>
    <cellStyle name="Normal 3 2 7 2" xfId="2261" xr:uid="{721C6F52-6887-4EC7-A680-D1AD29F90889}"/>
    <cellStyle name="Normal 3 2 8" xfId="1117" xr:uid="{26A06B70-43A1-43D7-A39C-01BF67D2D2FC}"/>
    <cellStyle name="Normal 3 2 8 2" xfId="2262" xr:uid="{68E1B0A5-11A1-4509-B597-6D51E7D7FE9A}"/>
    <cellStyle name="Normal 3 2 9" xfId="2255" xr:uid="{9B38D195-4C4C-4C36-9B5D-5ED65232E19A}"/>
    <cellStyle name="Normal 3 3" xfId="118" xr:uid="{C47CC738-D491-4147-B0CC-6CB7866F99C9}"/>
    <cellStyle name="Normal 3 3 10" xfId="1118" xr:uid="{B14B23E1-2C56-4F2A-ACA5-B9FDE7B0C3A4}"/>
    <cellStyle name="Normal 3 3 2" xfId="1119" xr:uid="{E956951D-E5E3-4CC8-82D2-9E19EDEA4B97}"/>
    <cellStyle name="Normal 3 3 2 2" xfId="2264" xr:uid="{332C24DE-666F-4EEB-BACC-E549B6A6E247}"/>
    <cellStyle name="Normal 3 3 3" xfId="1120" xr:uid="{0F3518B9-7EB0-455D-A0F0-D0A550503C8B}"/>
    <cellStyle name="Normal 3 3 3 2" xfId="2265" xr:uid="{F49C246A-6C2A-46AF-9B59-C44267DE909B}"/>
    <cellStyle name="Normal 3 3 4" xfId="1121" xr:uid="{8DEC813A-8506-4E1E-93D5-069EE375EAF6}"/>
    <cellStyle name="Normal 3 3 4 2" xfId="2266" xr:uid="{C457AAD8-C22D-4D6D-8F14-74CB43D32EB7}"/>
    <cellStyle name="Normal 3 3 5" xfId="1122" xr:uid="{8C592E9C-71E2-4F75-AB58-1EBA749186D5}"/>
    <cellStyle name="Normal 3 3 5 2" xfId="2267" xr:uid="{4D6BEBBA-3187-426C-B6B4-D8EAC5745A68}"/>
    <cellStyle name="Normal 3 3 6" xfId="1123" xr:uid="{B64B19D9-087A-41E5-9F05-6BAD1531AF8B}"/>
    <cellStyle name="Normal 3 3 6 2" xfId="2268" xr:uid="{C33AC997-8235-43EC-92DA-36E0F15A5B98}"/>
    <cellStyle name="Normal 3 3 7" xfId="1124" xr:uid="{EB056AC4-A2CE-47A2-954D-B76DE9369572}"/>
    <cellStyle name="Normal 3 3 7 2" xfId="2269" xr:uid="{0BACB766-AF2E-485D-93FB-2B8E4FB23AE7}"/>
    <cellStyle name="Normal 3 3 8" xfId="1125" xr:uid="{A6A1749D-A97A-4601-B584-41FE972CA505}"/>
    <cellStyle name="Normal 3 3 8 2" xfId="2270" xr:uid="{6D17996A-76D7-40D1-BE74-481C71568523}"/>
    <cellStyle name="Normal 3 3 9" xfId="2263" xr:uid="{28B9D6B3-370D-4E84-AB2F-6F0EFD6E90C8}"/>
    <cellStyle name="Normal 3 4" xfId="119" xr:uid="{A92E8064-72AE-498E-8191-F468AD55964D}"/>
    <cellStyle name="Normal 3 4 10" xfId="1126" xr:uid="{EBF10C8E-F84C-4CFC-A678-E993CB3463F8}"/>
    <cellStyle name="Normal 3 4 2" xfId="120" xr:uid="{5727735D-4A74-40AA-BED3-73CC1201E3DA}"/>
    <cellStyle name="Normal 3 4 2 2" xfId="2272" xr:uid="{56DA8EB1-B8F6-4EB3-9956-8DF3BFF99B66}"/>
    <cellStyle name="Normal 3 4 2 3" xfId="1127" xr:uid="{60F7640F-82A0-4C0A-BCDD-0A453E7CEAA5}"/>
    <cellStyle name="Normal 3 4 3" xfId="1128" xr:uid="{5E341DAC-5F70-46BB-83EF-D695CE28D716}"/>
    <cellStyle name="Normal 3 4 3 2" xfId="2273" xr:uid="{30FC6B65-9A80-4268-8713-7B6126A38396}"/>
    <cellStyle name="Normal 3 4 4" xfId="1129" xr:uid="{EEA2CBF8-F6CF-43FC-B17F-C4F368AFE39C}"/>
    <cellStyle name="Normal 3 4 4 2" xfId="2274" xr:uid="{39907683-60C7-4894-B867-2FDC98B9B43B}"/>
    <cellStyle name="Normal 3 4 5" xfId="1130" xr:uid="{3DEB9BB5-D57C-44DC-BEC0-F4CD59A5E007}"/>
    <cellStyle name="Normal 3 4 5 2" xfId="2275" xr:uid="{A0B8BE72-A67F-43FC-808B-851A140EA524}"/>
    <cellStyle name="Normal 3 4 6" xfId="1131" xr:uid="{FBDC09A7-EEF8-4083-BC5E-E6A1A5D37D94}"/>
    <cellStyle name="Normal 3 4 6 2" xfId="2276" xr:uid="{719A4AE2-9398-4D9E-9C8D-DE206DDC7C3B}"/>
    <cellStyle name="Normal 3 4 7" xfId="1132" xr:uid="{042F93D3-6CF4-4442-930C-E290DD9FC3ED}"/>
    <cellStyle name="Normal 3 4 7 2" xfId="2277" xr:uid="{D1DF9DF8-BE50-40AC-9585-CC3085B0E362}"/>
    <cellStyle name="Normal 3 4 8" xfId="1133" xr:uid="{0AAF6A70-E109-4CE9-8137-4701AA86DFFA}"/>
    <cellStyle name="Normal 3 4 8 2" xfId="2278" xr:uid="{9148FB4C-2774-4D91-B933-0BD3A2A4FB5D}"/>
    <cellStyle name="Normal 3 4 9" xfId="2271" xr:uid="{B5462CB9-9267-499A-BB06-1981DC6B7F2B}"/>
    <cellStyle name="Normal 3 5" xfId="121" xr:uid="{EF05AF96-1333-478E-875B-25B5949F4268}"/>
    <cellStyle name="Normal 3 5 10" xfId="1134" xr:uid="{96A8E007-041C-446A-A438-528924656E05}"/>
    <cellStyle name="Normal 3 5 2" xfId="1135" xr:uid="{81EFB06B-1241-44C6-9EA4-42410CEAAAE2}"/>
    <cellStyle name="Normal 3 5 2 2" xfId="2280" xr:uid="{CBD87565-4BC6-4CC8-82C9-C6418F2B308C}"/>
    <cellStyle name="Normal 3 5 3" xfId="1136" xr:uid="{FE496F0F-3051-4964-8C2A-366FC0B3F4FA}"/>
    <cellStyle name="Normal 3 5 3 2" xfId="2281" xr:uid="{8C126881-BB07-4550-88E4-405C85C875A1}"/>
    <cellStyle name="Normal 3 5 4" xfId="1137" xr:uid="{6CFCAF29-163D-4950-A553-98B5C9DE0569}"/>
    <cellStyle name="Normal 3 5 4 2" xfId="2282" xr:uid="{8978EC9B-1E25-48E1-B02F-4DDAB1508B3D}"/>
    <cellStyle name="Normal 3 5 5" xfId="1138" xr:uid="{1CDF4EDC-B1AE-4A3E-872A-899D6C6253A8}"/>
    <cellStyle name="Normal 3 5 5 2" xfId="2283" xr:uid="{CBAFAE2F-829F-407B-8EA9-37A3571DFA96}"/>
    <cellStyle name="Normal 3 5 6" xfId="1139" xr:uid="{38B3D92E-6A1B-4248-8923-78A641D04148}"/>
    <cellStyle name="Normal 3 5 6 2" xfId="2284" xr:uid="{D8634310-C55A-4BE2-BD9C-98283425F5F5}"/>
    <cellStyle name="Normal 3 5 7" xfId="1140" xr:uid="{85E49AC4-E0ED-47BF-B43F-2C6BE5575B95}"/>
    <cellStyle name="Normal 3 5 7 2" xfId="2285" xr:uid="{A91F4509-D8E0-4AF8-AE22-F59329D430AC}"/>
    <cellStyle name="Normal 3 5 8" xfId="1141" xr:uid="{A1166782-2847-4AF7-A98B-A9D077285B99}"/>
    <cellStyle name="Normal 3 5 8 2" xfId="2286" xr:uid="{319A151E-24CC-4692-B552-832425174EC3}"/>
    <cellStyle name="Normal 3 5 9" xfId="2279" xr:uid="{C7DEF8EF-641E-4245-AA6F-8A397DF714DD}"/>
    <cellStyle name="Normal 3 6" xfId="204" xr:uid="{FD05D6D7-B998-47D7-88E1-188274E9DAA6}"/>
    <cellStyle name="Normal 3 6 2" xfId="2287" xr:uid="{1ABF6F29-8EBE-45BF-924A-D71503FFF6CD}"/>
    <cellStyle name="Normal 3 6 3" xfId="1142" xr:uid="{3E978DE0-6C6C-4931-BB31-6904ED1F0B0C}"/>
    <cellStyle name="Normal 3 7" xfId="1143" xr:uid="{FA938B0B-D502-433B-9E59-4A802A42ADDD}"/>
    <cellStyle name="Normal 3 7 2" xfId="2288" xr:uid="{DFD2ECEB-8782-4355-B48A-11BFF5958F9A}"/>
    <cellStyle name="Normal 3 8" xfId="1144" xr:uid="{A1203CF6-2D4A-47C3-9A0A-0E382DC38912}"/>
    <cellStyle name="Normal 3 8 2" xfId="2289" xr:uid="{53349E25-D70F-457A-837A-CBB027531AEC}"/>
    <cellStyle name="Normal 3 9" xfId="1145" xr:uid="{5EA97DCA-EDD6-499C-A2C4-8D74ACA5016F}"/>
    <cellStyle name="Normal 3 9 2" xfId="2290" xr:uid="{06392D73-EAD9-4B56-B4A7-3B1C107BA6D7}"/>
    <cellStyle name="Normal 4" xfId="122" xr:uid="{9B4830B9-3519-4597-A35C-E94020DC90A5}"/>
    <cellStyle name="Normal 4 10" xfId="1147" xr:uid="{CF9DB270-1CE6-46AA-B27E-8BB30EAFBCB9}"/>
    <cellStyle name="Normal 4 10 2" xfId="2292" xr:uid="{AA3981E9-8647-4E4B-A4E5-64358BBD305C}"/>
    <cellStyle name="Normal 4 11" xfId="1148" xr:uid="{1B401C33-55C8-4D05-8EBB-D3D5DD375C4B}"/>
    <cellStyle name="Normal 4 11 2" xfId="2293" xr:uid="{CD18853F-671B-461F-A5F1-41AC2A745FF4}"/>
    <cellStyle name="Normal 4 12" xfId="1149" xr:uid="{63A0DEBA-090A-4169-8F7A-1CE9ED4687C9}"/>
    <cellStyle name="Normal 4 12 2" xfId="2294" xr:uid="{75C0E182-C122-453A-A36E-6636D9D8AD5A}"/>
    <cellStyle name="Normal 4 13" xfId="2291" xr:uid="{15A12F8E-F48D-4DF3-9643-4ADFD4B4213D}"/>
    <cellStyle name="Normal 4 14" xfId="1146" xr:uid="{A5355266-C5E7-4676-AD8E-E15E3856CA35}"/>
    <cellStyle name="Normal 4 15" xfId="3399" xr:uid="{327D36CB-C8E5-48C1-9235-67ED1BEAB0FE}"/>
    <cellStyle name="Normal 4 2" xfId="123" xr:uid="{9493F0F1-DA72-4796-A6F7-15F949F8F423}"/>
    <cellStyle name="Normal 4 2 10" xfId="1150" xr:uid="{CC82A85D-9BEB-4A24-AAFF-237A5935903B}"/>
    <cellStyle name="Normal 4 2 2" xfId="1151" xr:uid="{DF53B48B-1AF7-4698-AE37-EAFEE2F55E78}"/>
    <cellStyle name="Normal 4 2 2 10" xfId="1152" xr:uid="{1259711F-AA88-4E18-9A23-F2DE193B50B5}"/>
    <cellStyle name="Normal 4 2 2 10 2" xfId="2297" xr:uid="{1CFCE1C3-051C-4007-8A0E-E785980780F2}"/>
    <cellStyle name="Normal 4 2 2 10 2 2" xfId="3132" xr:uid="{232CBF60-079D-4D80-BFF7-964D5544F0D9}"/>
    <cellStyle name="Normal 4 2 2 10 2 3" xfId="3358" xr:uid="{BE91ECA7-6AB1-47D5-B386-D44062BEC991}"/>
    <cellStyle name="Normal 4 2 2 10 3" xfId="3011" xr:uid="{F458A63E-5CE3-4330-A89C-7A501A168B18}"/>
    <cellStyle name="Normal 4 2 2 10 4" xfId="3237" xr:uid="{262E53C8-FC0B-46E2-AE5C-97A0A5DE4626}"/>
    <cellStyle name="Normal 4 2 2 11" xfId="1153" xr:uid="{A23DEA83-B354-4F3A-BD1B-C0C840E9A0A0}"/>
    <cellStyle name="Normal 4 2 2 11 2" xfId="2298" xr:uid="{2F970237-A6D8-4F1E-A121-1BF965B8F7F3}"/>
    <cellStyle name="Normal 4 2 2 11 2 2" xfId="3133" xr:uid="{05A1EA91-3CD0-40FB-8D99-19664F2A1CE9}"/>
    <cellStyle name="Normal 4 2 2 11 2 3" xfId="3359" xr:uid="{AC0AA3AE-9CB3-4E72-B157-352BDB5E97EB}"/>
    <cellStyle name="Normal 4 2 2 11 3" xfId="3012" xr:uid="{2CB23CBE-2930-4A34-A7BF-E61736DB7B1F}"/>
    <cellStyle name="Normal 4 2 2 11 4" xfId="3238" xr:uid="{E7816EB6-9F82-47E8-9E5B-1C3433B0D8C1}"/>
    <cellStyle name="Normal 4 2 2 12" xfId="1154" xr:uid="{40A7CD5B-6DBB-4D52-8E26-828DA4982885}"/>
    <cellStyle name="Normal 4 2 2 12 2" xfId="2299" xr:uid="{14876C4D-3996-402F-9565-2C5ECCB9E2F0}"/>
    <cellStyle name="Normal 4 2 2 12 2 2" xfId="3134" xr:uid="{8F7B018A-DAAA-4E0B-AA06-B6E91C241F8B}"/>
    <cellStyle name="Normal 4 2 2 12 2 3" xfId="3360" xr:uid="{5A5D5E9D-A99F-4E77-99CC-DD328E75B5B5}"/>
    <cellStyle name="Normal 4 2 2 12 3" xfId="3013" xr:uid="{62F4939B-970E-450C-9673-446589C52933}"/>
    <cellStyle name="Normal 4 2 2 12 4" xfId="3239" xr:uid="{FD130C5C-7989-4DBF-AF2E-C6FD4D036A16}"/>
    <cellStyle name="Normal 4 2 2 13" xfId="1155" xr:uid="{A33B0F1B-DDCD-4826-983F-F724E0895F00}"/>
    <cellStyle name="Normal 4 2 2 13 2" xfId="2300" xr:uid="{E3C90FAC-D661-4C03-A7EB-2BE1DDF1816D}"/>
    <cellStyle name="Normal 4 2 2 13 2 2" xfId="3135" xr:uid="{EE190D5E-B71E-4556-9C98-1FFE2B48CE39}"/>
    <cellStyle name="Normal 4 2 2 13 2 3" xfId="3361" xr:uid="{B98E8788-204E-4AA1-933C-746975FCA18B}"/>
    <cellStyle name="Normal 4 2 2 13 3" xfId="3014" xr:uid="{59999AF6-A6F3-4781-AE93-E92BF0EBF128}"/>
    <cellStyle name="Normal 4 2 2 13 4" xfId="3240" xr:uid="{92E1EF38-461D-4ADF-AEFF-4B9A7EA29673}"/>
    <cellStyle name="Normal 4 2 2 14" xfId="2296" xr:uid="{69861EF9-346E-4E88-ABC7-F685E29D0007}"/>
    <cellStyle name="Normal 4 2 2 2" xfId="1156" xr:uid="{8A945B8D-F99E-4112-A26D-1CEC898B3D73}"/>
    <cellStyle name="Normal 4 2 2 2 10" xfId="1157" xr:uid="{B151B6FD-D7C8-4201-922F-DBFA6BB51C32}"/>
    <cellStyle name="Normal 4 2 2 2 10 2" xfId="2302" xr:uid="{92C03D3F-2E55-40DB-88E0-F5FD6BEAC42D}"/>
    <cellStyle name="Normal 4 2 2 2 11" xfId="1158" xr:uid="{830DA7AF-A052-4BEC-A0D4-8EDE7E9747EA}"/>
    <cellStyle name="Normal 4 2 2 2 11 2" xfId="2303" xr:uid="{5CF43D15-5C6E-4CDD-9ACF-746873F7CE07}"/>
    <cellStyle name="Normal 4 2 2 2 12" xfId="1159" xr:uid="{67A27E11-F2BF-4DC5-9254-4B46C1340879}"/>
    <cellStyle name="Normal 4 2 2 2 12 2" xfId="2304" xr:uid="{EE4210C8-C138-42C9-9B4F-0A4450509AC5}"/>
    <cellStyle name="Normal 4 2 2 2 13" xfId="1160" xr:uid="{EBB588CA-6633-414D-9D96-F6646637FADC}"/>
    <cellStyle name="Normal 4 2 2 2 13 2" xfId="2305" xr:uid="{691238EA-1FB8-46D5-A9D4-4E2942E47795}"/>
    <cellStyle name="Normal 4 2 2 2 14" xfId="2301" xr:uid="{A71C589E-29B0-4BEF-91C1-7E5767AAA5B6}"/>
    <cellStyle name="Normal 4 2 2 2 14 2" xfId="3136" xr:uid="{0FCF9C32-3EE0-4608-99D6-E4C163DD6F20}"/>
    <cellStyle name="Normal 4 2 2 2 14 3" xfId="3362" xr:uid="{7E016834-1B5D-488C-9713-633E379C4556}"/>
    <cellStyle name="Normal 4 2 2 2 15" xfId="3015" xr:uid="{FA98B9B3-CB5C-411C-BA4C-78302F05A0F9}"/>
    <cellStyle name="Normal 4 2 2 2 16" xfId="3241" xr:uid="{1CC9A17F-3F9C-4BE3-9133-EF8559B90DB3}"/>
    <cellStyle name="Normal 4 2 2 2 2" xfId="1161" xr:uid="{ACBEBE89-EE35-4ED7-9106-5C7967CD56E2}"/>
    <cellStyle name="Normal 4 2 2 2 2 2" xfId="2306" xr:uid="{41B6E3B7-95E9-4740-865E-681F9E223C0A}"/>
    <cellStyle name="Normal 4 2 2 2 3" xfId="1162" xr:uid="{052E6694-E849-405A-824F-5BAEA0929C3B}"/>
    <cellStyle name="Normal 4 2 2 2 3 2" xfId="2307" xr:uid="{08AEBF3E-8B12-4F00-BD10-CCC371713052}"/>
    <cellStyle name="Normal 4 2 2 2 4" xfId="1163" xr:uid="{74CD0005-CD13-4185-9D30-B5686626C4E2}"/>
    <cellStyle name="Normal 4 2 2 2 4 2" xfId="2308" xr:uid="{E6D6A393-5021-4A41-92B2-57D3C3817C90}"/>
    <cellStyle name="Normal 4 2 2 2 5" xfId="1164" xr:uid="{A09619DD-089D-4464-8585-770EFA845B83}"/>
    <cellStyle name="Normal 4 2 2 2 5 2" xfId="2309" xr:uid="{2EF18214-5810-4DD9-B35D-238FE8B10359}"/>
    <cellStyle name="Normal 4 2 2 2 6" xfId="1165" xr:uid="{ECA5B94D-844C-4B94-ADD1-2244DBFAB470}"/>
    <cellStyle name="Normal 4 2 2 2 6 2" xfId="2310" xr:uid="{9CAF0133-9A4C-4676-A5B3-50A8149D6827}"/>
    <cellStyle name="Normal 4 2 2 2 7" xfId="1166" xr:uid="{BE33F72D-9529-437B-8ABE-107D8FBC4845}"/>
    <cellStyle name="Normal 4 2 2 2 7 2" xfId="2311" xr:uid="{E906A926-A2B1-4254-9AA3-BE871D7A76CE}"/>
    <cellStyle name="Normal 4 2 2 2 8" xfId="1167" xr:uid="{2D7960C5-43D7-4AAE-86DE-D73BD2572227}"/>
    <cellStyle name="Normal 4 2 2 2 8 2" xfId="2312" xr:uid="{7339D36D-7F94-42F0-9933-0E38252B21FB}"/>
    <cellStyle name="Normal 4 2 2 2 9" xfId="1168" xr:uid="{C88B8603-2A46-40E7-9D18-A1808F993BEE}"/>
    <cellStyle name="Normal 4 2 2 2 9 2" xfId="2313" xr:uid="{1A4E2B33-8F56-4402-829E-83E390C83CAF}"/>
    <cellStyle name="Normal 4 2 2 3" xfId="1169" xr:uid="{8F4F7A04-00C6-405A-8262-6693874F8DDF}"/>
    <cellStyle name="Normal 4 2 2 3 2" xfId="2314" xr:uid="{EB42B738-415B-4EC4-ADC9-944F21E1EEE0}"/>
    <cellStyle name="Normal 4 2 2 3 2 2" xfId="3137" xr:uid="{BE1D430F-F951-4857-A312-591346206EDD}"/>
    <cellStyle name="Normal 4 2 2 3 2 3" xfId="3363" xr:uid="{0CA067CD-AB0D-45B8-A6ED-06B296AEA7A9}"/>
    <cellStyle name="Normal 4 2 2 3 3" xfId="3016" xr:uid="{14DCDF9D-19AD-49B0-8D81-3124E707749B}"/>
    <cellStyle name="Normal 4 2 2 3 4" xfId="3242" xr:uid="{FE913506-A756-488D-9243-3C7528E19AB2}"/>
    <cellStyle name="Normal 4 2 2 4" xfId="1170" xr:uid="{2A6A47DC-B16D-4057-AABD-9E03AF7A915F}"/>
    <cellStyle name="Normal 4 2 2 4 2" xfId="2315" xr:uid="{C9B4AF03-8882-4626-AE47-8B1EEA24E347}"/>
    <cellStyle name="Normal 4 2 2 4 2 2" xfId="3138" xr:uid="{DC467527-EA09-40E3-95D6-E946AB196981}"/>
    <cellStyle name="Normal 4 2 2 4 2 3" xfId="3364" xr:uid="{B28639C0-A911-424D-BA0C-F7B3D242ABEF}"/>
    <cellStyle name="Normal 4 2 2 4 3" xfId="3017" xr:uid="{550A6437-39E5-4DB5-9B9F-7F8EAE5E7DBD}"/>
    <cellStyle name="Normal 4 2 2 4 4" xfId="3243" xr:uid="{EBD5498E-AA89-4421-B21A-3AEA9BBB850D}"/>
    <cellStyle name="Normal 4 2 2 5" xfId="1171" xr:uid="{005BAE9D-FC5B-437F-8AE1-0700BF41347B}"/>
    <cellStyle name="Normal 4 2 2 5 2" xfId="2316" xr:uid="{9AE6C0E1-6B6B-46B5-B349-EED8313BBF8B}"/>
    <cellStyle name="Normal 4 2 2 5 2 2" xfId="3139" xr:uid="{44E12877-BEF1-4038-9C07-A2D2C8971D26}"/>
    <cellStyle name="Normal 4 2 2 5 2 3" xfId="3365" xr:uid="{EF3556A9-0609-4272-A0DA-82C208ACB361}"/>
    <cellStyle name="Normal 4 2 2 5 3" xfId="3018" xr:uid="{756759BA-B759-456B-9ED3-9E1A7CE69C93}"/>
    <cellStyle name="Normal 4 2 2 5 4" xfId="3244" xr:uid="{A4D300F3-33CB-42E3-9D7A-24152BA63684}"/>
    <cellStyle name="Normal 4 2 2 6" xfId="1172" xr:uid="{32A61E5D-B9E4-47F4-9FEE-7372694E06DE}"/>
    <cellStyle name="Normal 4 2 2 6 2" xfId="2317" xr:uid="{F261E027-06E3-4C5A-8F64-CBFE00F16F92}"/>
    <cellStyle name="Normal 4 2 2 6 2 2" xfId="3140" xr:uid="{725653EF-661A-49CD-9EF6-2F043172967D}"/>
    <cellStyle name="Normal 4 2 2 6 2 3" xfId="3366" xr:uid="{AD6321EE-6041-4B40-A762-00892EC97C34}"/>
    <cellStyle name="Normal 4 2 2 6 3" xfId="3019" xr:uid="{6B5C4CD1-D200-404D-96DF-F767400843BF}"/>
    <cellStyle name="Normal 4 2 2 6 4" xfId="3245" xr:uid="{DFC4AC9F-992A-4CBE-92CA-29CA948ABC73}"/>
    <cellStyle name="Normal 4 2 2 7" xfId="1173" xr:uid="{2FD200E2-B7C9-47D5-8D17-0F743E350623}"/>
    <cellStyle name="Normal 4 2 2 7 2" xfId="2318" xr:uid="{7954C05F-944A-4247-9AD6-9B6956AD2298}"/>
    <cellStyle name="Normal 4 2 2 7 2 2" xfId="3141" xr:uid="{0A4DC942-C15C-4711-A9E4-F1325E318D95}"/>
    <cellStyle name="Normal 4 2 2 7 2 3" xfId="3367" xr:uid="{C2440AAD-798B-4D9C-910A-2CE01AC6FC77}"/>
    <cellStyle name="Normal 4 2 2 7 3" xfId="3020" xr:uid="{52B28EED-B85F-454F-9A64-AFE35BF5D090}"/>
    <cellStyle name="Normal 4 2 2 7 4" xfId="3246" xr:uid="{E2FF6C0D-C8C5-4E01-A52D-C7082FCEC082}"/>
    <cellStyle name="Normal 4 2 2 8" xfId="1174" xr:uid="{F92F23FB-12A6-443A-847D-D2A7168AEDED}"/>
    <cellStyle name="Normal 4 2 2 8 2" xfId="2319" xr:uid="{15827CBC-276B-48E3-969F-ABC89E6C5558}"/>
    <cellStyle name="Normal 4 2 2 8 2 2" xfId="3142" xr:uid="{AAD98C82-E47E-4B24-AE24-13382F5D44DF}"/>
    <cellStyle name="Normal 4 2 2 8 2 3" xfId="3368" xr:uid="{736B498C-9B92-41B8-A433-8E5CED8EC2BC}"/>
    <cellStyle name="Normal 4 2 2 8 3" xfId="3021" xr:uid="{29E6BE6D-EC24-4DE2-AB2D-DA67D7C2D38F}"/>
    <cellStyle name="Normal 4 2 2 8 4" xfId="3247" xr:uid="{1E42F7D8-90C9-4F02-B6F8-720070A7F9B6}"/>
    <cellStyle name="Normal 4 2 2 9" xfId="1175" xr:uid="{2476EBC8-1465-4CCC-BEDD-0862D301AF1E}"/>
    <cellStyle name="Normal 4 2 2 9 2" xfId="2320" xr:uid="{2B038CDC-8884-4681-9C04-71018F06CB40}"/>
    <cellStyle name="Normal 4 2 2 9 2 2" xfId="3143" xr:uid="{AA106D5D-91BA-4C81-8883-A3C857B0DF62}"/>
    <cellStyle name="Normal 4 2 2 9 2 3" xfId="3369" xr:uid="{C2BB5FD4-DDBD-4B8F-B7B9-2189E97CA24A}"/>
    <cellStyle name="Normal 4 2 2 9 3" xfId="3022" xr:uid="{5573054A-1664-4129-B4E6-F6417A94513E}"/>
    <cellStyle name="Normal 4 2 2 9 4" xfId="3248" xr:uid="{EDEEA0CC-5E1C-4A26-A98B-0095A992D729}"/>
    <cellStyle name="Normal 4 2 3" xfId="1176" xr:uid="{46A4130E-BD2C-4032-8381-0B865CF9B8C2}"/>
    <cellStyle name="Normal 4 2 3 2" xfId="2321" xr:uid="{325EF620-65CD-46DA-A186-7F06D5BAAF72}"/>
    <cellStyle name="Normal 4 2 4" xfId="1177" xr:uid="{B9DF45A8-9B05-4F4E-9490-7AB08A642747}"/>
    <cellStyle name="Normal 4 2 4 2" xfId="2322" xr:uid="{4717447F-8B06-4C52-B686-281D9C8E76D9}"/>
    <cellStyle name="Normal 4 2 5" xfId="1178" xr:uid="{92D00A81-1E4B-41D7-90C1-98D035CC3AB8}"/>
    <cellStyle name="Normal 4 2 5 2" xfId="2323" xr:uid="{B1B2DF97-1872-4EF5-B2A6-D92AA95292A9}"/>
    <cellStyle name="Normal 4 2 6" xfId="1179" xr:uid="{35585BF0-D60A-4303-9D79-4F1D5EF90231}"/>
    <cellStyle name="Normal 4 2 6 2" xfId="2324" xr:uid="{690A3E60-FC1A-46CB-A86D-28060E39636B}"/>
    <cellStyle name="Normal 4 2 7" xfId="1180" xr:uid="{12B8F504-95CF-4070-938A-35DF535C6844}"/>
    <cellStyle name="Normal 4 2 7 2" xfId="2325" xr:uid="{8AD3AA42-CAF3-4804-80A7-99DA318B58E4}"/>
    <cellStyle name="Normal 4 2 8" xfId="1181" xr:uid="{54009657-DDFD-4012-9510-2FD4D35CE1FB}"/>
    <cellStyle name="Normal 4 2 8 2" xfId="2326" xr:uid="{264DF4B0-624D-4C38-B568-D23B1E5646B4}"/>
    <cellStyle name="Normal 4 2 9" xfId="2295" xr:uid="{05449B98-ACA6-48A7-87AF-155583BBDBE4}"/>
    <cellStyle name="Normal 4 3" xfId="124" xr:uid="{9AFB4A51-4490-4E24-AE91-768E95DAC889}"/>
    <cellStyle name="Normal 4 3 10" xfId="1182" xr:uid="{54B0DD05-7D86-4CD0-B3B5-250209EAF3BE}"/>
    <cellStyle name="Normal 4 3 2" xfId="1183" xr:uid="{7CBE0F41-D896-49D8-AE9C-CD229DDD0F75}"/>
    <cellStyle name="Normal 4 3 2 2" xfId="2328" xr:uid="{7FE141C3-3589-436C-8AD4-E3ECFE63654B}"/>
    <cellStyle name="Normal 4 3 3" xfId="1184" xr:uid="{37E18375-D118-4304-AE61-B0CFE89A1F5E}"/>
    <cellStyle name="Normal 4 3 3 2" xfId="2329" xr:uid="{5BE6AD9E-1385-45DC-826F-E27F7584F5A3}"/>
    <cellStyle name="Normal 4 3 4" xfId="1185" xr:uid="{4B59BF96-0681-45BF-9A4D-4EAC3D8CCA42}"/>
    <cellStyle name="Normal 4 3 4 2" xfId="2330" xr:uid="{DFBC9BF1-80CD-481B-8F85-DF970AE8509B}"/>
    <cellStyle name="Normal 4 3 5" xfId="1186" xr:uid="{47F9BAC5-5808-48E2-B6CC-1A221961502D}"/>
    <cellStyle name="Normal 4 3 5 2" xfId="2331" xr:uid="{F82FAA08-408D-4754-BCD4-945B573C1E9E}"/>
    <cellStyle name="Normal 4 3 6" xfId="1187" xr:uid="{5746D7AF-33BA-4918-9462-D72C46F29F46}"/>
    <cellStyle name="Normal 4 3 6 2" xfId="2332" xr:uid="{E1132F5E-7CAF-4033-AB25-2AC8452DD12F}"/>
    <cellStyle name="Normal 4 3 7" xfId="1188" xr:uid="{81BBAA43-8046-4E5F-97CC-838A901AFEE1}"/>
    <cellStyle name="Normal 4 3 7 2" xfId="2333" xr:uid="{35CBDF46-706D-4C69-9D77-80CDD775C950}"/>
    <cellStyle name="Normal 4 3 8" xfId="1189" xr:uid="{77D73D9D-B127-4531-A0F5-DC4C5E76AF59}"/>
    <cellStyle name="Normal 4 3 8 2" xfId="2334" xr:uid="{DFAB3884-2BC6-4580-BEB7-9C91070BF5DC}"/>
    <cellStyle name="Normal 4 3 9" xfId="2327" xr:uid="{CDB72033-B646-44AF-8738-102E21768D1D}"/>
    <cellStyle name="Normal 4 4" xfId="125" xr:uid="{4895F067-6F5C-4FA1-A8E4-D56EBE014D2E}"/>
    <cellStyle name="Normal 4 4 10" xfId="1190" xr:uid="{CDA1A770-7676-4F2C-810E-C4FD0A3BFEFB}"/>
    <cellStyle name="Normal 4 4 2" xfId="1191" xr:uid="{2D7DA60E-815F-4F5A-93DF-FA430F9DFDA8}"/>
    <cellStyle name="Normal 4 4 2 2" xfId="2336" xr:uid="{24A50C6D-706E-4C55-8EEB-A1E6B23D66D0}"/>
    <cellStyle name="Normal 4 4 3" xfId="1192" xr:uid="{50759294-CBEA-4CF2-9D66-7FFF9C930AF5}"/>
    <cellStyle name="Normal 4 4 3 2" xfId="2337" xr:uid="{7BC158B8-A071-45A8-9827-D02A945F5CD4}"/>
    <cellStyle name="Normal 4 4 4" xfId="1193" xr:uid="{A41A5EAE-94C6-4114-A3EC-D3215FA20F35}"/>
    <cellStyle name="Normal 4 4 4 2" xfId="2338" xr:uid="{8C095E9B-4C9C-4202-8BA4-1344A12E7914}"/>
    <cellStyle name="Normal 4 4 5" xfId="1194" xr:uid="{76430C85-4AE4-498F-8C1C-DE7BF1784E36}"/>
    <cellStyle name="Normal 4 4 5 2" xfId="2339" xr:uid="{46976EDD-4799-4BD6-806C-257133695123}"/>
    <cellStyle name="Normal 4 4 6" xfId="1195" xr:uid="{ED9D2472-C139-4D35-8C3F-7933B2364CBA}"/>
    <cellStyle name="Normal 4 4 6 2" xfId="2340" xr:uid="{860316BC-2712-42E7-ABA7-5555E7AE4EE2}"/>
    <cellStyle name="Normal 4 4 7" xfId="1196" xr:uid="{A2DFE3C4-BC8F-4BFD-A3DA-D2DDDCFDCF57}"/>
    <cellStyle name="Normal 4 4 7 2" xfId="2341" xr:uid="{2C654358-F730-4514-A0E9-A1076DE280CF}"/>
    <cellStyle name="Normal 4 4 8" xfId="1197" xr:uid="{6A49939A-788D-4F27-9490-924A08C95524}"/>
    <cellStyle name="Normal 4 4 8 2" xfId="2342" xr:uid="{7B3F2F97-37DF-4E29-B31F-A5DE3004236D}"/>
    <cellStyle name="Normal 4 4 9" xfId="2335" xr:uid="{B3C25C47-6DB9-4508-8AD4-1BED744568BF}"/>
    <cellStyle name="Normal 4 5" xfId="1198" xr:uid="{ECD7D319-608F-41FD-8EF7-0C794F9E3748}"/>
    <cellStyle name="Normal 4 5 2" xfId="1199" xr:uid="{DF27BE1C-95C9-47E1-B2B4-45FEFD5A7BB8}"/>
    <cellStyle name="Normal 4 5 2 2" xfId="2344" xr:uid="{8C2FE4A1-8F3F-46AB-8EAC-489D1B484049}"/>
    <cellStyle name="Normal 4 5 3" xfId="1200" xr:uid="{F3AC042F-A302-4534-9757-846C5F6BA40D}"/>
    <cellStyle name="Normal 4 5 3 2" xfId="2345" xr:uid="{31ABDD76-3BB1-4994-BBAE-1DCDFA586696}"/>
    <cellStyle name="Normal 4 5 4" xfId="1201" xr:uid="{E0217626-C70D-403A-8833-488FBFD79E71}"/>
    <cellStyle name="Normal 4 5 4 2" xfId="2346" xr:uid="{85FADF50-79C8-4F54-90D8-6B0D5F78D8FD}"/>
    <cellStyle name="Normal 4 5 5" xfId="1202" xr:uid="{4FDAF8EC-A603-467E-ADA0-7772C64475A3}"/>
    <cellStyle name="Normal 4 5 5 2" xfId="2347" xr:uid="{211F4D09-5FE8-4030-95BE-FE2FA8883146}"/>
    <cellStyle name="Normal 4 5 6" xfId="1203" xr:uid="{8B48C941-6A67-42AC-97FB-E23260D50694}"/>
    <cellStyle name="Normal 4 5 6 2" xfId="2348" xr:uid="{0E444C72-9ECD-4297-8496-BC6E7B4FBE16}"/>
    <cellStyle name="Normal 4 5 7" xfId="1204" xr:uid="{93CA8DDD-BA0C-4B12-B22F-E86E6CFA0551}"/>
    <cellStyle name="Normal 4 5 7 2" xfId="2349" xr:uid="{6ED46F5C-D64C-4B50-A9C0-BC59E548CE9C}"/>
    <cellStyle name="Normal 4 5 8" xfId="1205" xr:uid="{C5FD718B-E87F-4C8D-AFF7-D554E8EEE8B0}"/>
    <cellStyle name="Normal 4 5 8 2" xfId="2350" xr:uid="{FEDFFFCC-3E31-4788-9D48-DECE61EEF27D}"/>
    <cellStyle name="Normal 4 5 9" xfId="2343" xr:uid="{932D0D13-A6A0-4253-983C-0EE14181979B}"/>
    <cellStyle name="Normal 4 6" xfId="1206" xr:uid="{317C63F1-FC57-4760-B58C-6326F90A0AC1}"/>
    <cellStyle name="Normal 4 6 2" xfId="2351" xr:uid="{1CEB54DE-6112-4E8D-B601-B3111B5CBE08}"/>
    <cellStyle name="Normal 4 7" xfId="1207" xr:uid="{A398A5F3-054D-4828-809C-20F051A60808}"/>
    <cellStyle name="Normal 4 7 2" xfId="2352" xr:uid="{9C0CE0D5-4359-4CB1-B9EA-6C1213538F36}"/>
    <cellStyle name="Normal 4 8" xfId="1208" xr:uid="{AF351FA2-3862-48B9-A58D-FB3AC725198D}"/>
    <cellStyle name="Normal 4 8 2" xfId="2353" xr:uid="{564608D2-4FF9-4E2C-A7C4-3486F6042EF8}"/>
    <cellStyle name="Normal 4 9" xfId="1209" xr:uid="{3D9D9D6E-F2BF-49DC-BDDE-D3B31D896CBC}"/>
    <cellStyle name="Normal 4 9 2" xfId="2354" xr:uid="{8C649E63-E944-4CDC-BA5B-93ACB12C8A84}"/>
    <cellStyle name="Normal 5" xfId="126" xr:uid="{7CB3B869-1184-4594-8969-A125DD0CA3AF}"/>
    <cellStyle name="Normal 5 10" xfId="1211" xr:uid="{30579E3B-ECF6-40BC-96C9-7B2D9B2BC895}"/>
    <cellStyle name="Normal 5 10 2" xfId="2356" xr:uid="{9C92B70B-30C5-40B5-97D1-C7C3F2A20259}"/>
    <cellStyle name="Normal 5 11" xfId="1212" xr:uid="{D0C4A1AC-C25D-4FB0-A62F-5B372E3EEB7B}"/>
    <cellStyle name="Normal 5 11 2" xfId="2357" xr:uid="{5624C210-C380-499F-8B63-F53F87C312CA}"/>
    <cellStyle name="Normal 5 12" xfId="1213" xr:uid="{91B88C2B-4344-47CF-96ED-B07F7CC3DF6A}"/>
    <cellStyle name="Normal 5 12 2" xfId="2358" xr:uid="{6CF5BF3D-7130-484A-8E64-95A692657146}"/>
    <cellStyle name="Normal 5 13" xfId="1214" xr:uid="{B825F742-2632-4E02-A699-BD1C99128EB8}"/>
    <cellStyle name="Normal 5 13 2" xfId="2359" xr:uid="{3CE3758C-26BF-4F39-B470-339E0A31D902}"/>
    <cellStyle name="Normal 5 14" xfId="2355" xr:uid="{0E9C6361-248E-4A07-8CB6-0803D79A3684}"/>
    <cellStyle name="Normal 5 14 2" xfId="3144" xr:uid="{0360D9F6-F222-4FF2-A930-B118568317E2}"/>
    <cellStyle name="Normal 5 14 3" xfId="3370" xr:uid="{AB471A3C-A380-49F3-87F8-E57C409CFB42}"/>
    <cellStyle name="Normal 5 15" xfId="1210" xr:uid="{D69AA784-91D4-435A-BFA5-EDBAF532CAD1}"/>
    <cellStyle name="Normal 5 16" xfId="3023" xr:uid="{A3CABCF0-06B4-4216-93B2-22BE495034B1}"/>
    <cellStyle name="Normal 5 17" xfId="3249" xr:uid="{7E224FA0-3C9E-4F46-9D88-8BE805189E38}"/>
    <cellStyle name="Normal 5 18" xfId="3400" xr:uid="{421ECE31-DC0A-4F26-8DB5-B5164AF262D5}"/>
    <cellStyle name="Normal 5 2" xfId="127" xr:uid="{7ED87AFF-A855-4E84-8132-072D9C3B7802}"/>
    <cellStyle name="Normal 5 2 10" xfId="2360" xr:uid="{A704E41A-C7C3-4DBD-8721-DDB8796A4271}"/>
    <cellStyle name="Normal 5 2 10 2" xfId="3145" xr:uid="{52E0E790-DA54-4669-A0EF-F10D48E53AAB}"/>
    <cellStyle name="Normal 5 2 10 3" xfId="3371" xr:uid="{C166C513-9DAA-4A07-B3EA-80EE438C3812}"/>
    <cellStyle name="Normal 5 2 11" xfId="1215" xr:uid="{B41E06BF-BD54-4C37-8230-239F7611A67F}"/>
    <cellStyle name="Normal 5 2 12" xfId="3024" xr:uid="{31576174-3209-4BC1-9AFA-D7EA581563F0}"/>
    <cellStyle name="Normal 5 2 13" xfId="3250" xr:uid="{C396A95F-0957-4C90-B96D-1E7394721244}"/>
    <cellStyle name="Normal 5 2 14" xfId="3401" xr:uid="{DC1B76D5-A1D3-498A-8ED3-0DDBDAA83C43}"/>
    <cellStyle name="Normal 5 2 2" xfId="1216" xr:uid="{54A7D71E-1B87-4770-8ECB-308743280D2E}"/>
    <cellStyle name="Normal 5 2 2 10" xfId="1217" xr:uid="{7BCC9D2A-B346-4487-8493-648CA0AAF357}"/>
    <cellStyle name="Normal 5 2 2 10 2" xfId="2362" xr:uid="{46B4664B-75E5-4944-8B98-B9F4AA44FEDA}"/>
    <cellStyle name="Normal 5 2 2 10 2 2" xfId="3146" xr:uid="{8449FAB6-E335-441E-A495-E5F9D4EA5668}"/>
    <cellStyle name="Normal 5 2 2 10 2 3" xfId="3372" xr:uid="{E7FD025C-DB52-42A1-A9E6-509B4B52E5F8}"/>
    <cellStyle name="Normal 5 2 2 10 3" xfId="3025" xr:uid="{1F53A88D-833A-4FC2-B69A-E525ADBBC2D6}"/>
    <cellStyle name="Normal 5 2 2 10 4" xfId="3251" xr:uid="{6680D11B-6FC6-42C8-9D75-54DD3B08A1F6}"/>
    <cellStyle name="Normal 5 2 2 11" xfId="1218" xr:uid="{B0453865-ED7A-4B49-8106-4798565E6340}"/>
    <cellStyle name="Normal 5 2 2 11 2" xfId="2363" xr:uid="{EE988B86-22F0-4ADB-B815-E9AB68D8088E}"/>
    <cellStyle name="Normal 5 2 2 11 2 2" xfId="3147" xr:uid="{7D953FCB-A0B8-4775-A332-D5468A3AF033}"/>
    <cellStyle name="Normal 5 2 2 11 2 3" xfId="3373" xr:uid="{1EBFA616-7E06-4736-BD7D-83436BA347C3}"/>
    <cellStyle name="Normal 5 2 2 11 3" xfId="3026" xr:uid="{B7599C54-3BDD-439A-9195-D0F698A9256B}"/>
    <cellStyle name="Normal 5 2 2 11 4" xfId="3252" xr:uid="{EC394071-1E3E-4675-A4A3-B2871D29CC92}"/>
    <cellStyle name="Normal 5 2 2 12" xfId="1219" xr:uid="{51838D46-1423-47E5-B73E-74A031EECF20}"/>
    <cellStyle name="Normal 5 2 2 12 2" xfId="2364" xr:uid="{EC041C2B-40BA-489E-9A98-A3EBD6767559}"/>
    <cellStyle name="Normal 5 2 2 12 2 2" xfId="3148" xr:uid="{E73A3006-4695-45A5-91ED-B29B0C61B1AC}"/>
    <cellStyle name="Normal 5 2 2 12 2 3" xfId="3374" xr:uid="{134C69BF-FCC2-441D-BBE0-2C413496905D}"/>
    <cellStyle name="Normal 5 2 2 12 3" xfId="3027" xr:uid="{2835E868-D725-4935-B370-19F58B4FEE8E}"/>
    <cellStyle name="Normal 5 2 2 12 4" xfId="3253" xr:uid="{B4987278-D2ED-4FCC-9DF4-132BB2A98137}"/>
    <cellStyle name="Normal 5 2 2 13" xfId="1220" xr:uid="{E7A38B53-0FAE-43B6-8CBB-75EC9F64EB32}"/>
    <cellStyle name="Normal 5 2 2 13 2" xfId="2365" xr:uid="{500F4347-FFB2-4419-A47C-092ED98AA989}"/>
    <cellStyle name="Normal 5 2 2 13 2 2" xfId="3149" xr:uid="{2F36803A-9E0C-4E1D-8B16-13A39BF17912}"/>
    <cellStyle name="Normal 5 2 2 13 2 3" xfId="3375" xr:uid="{9184A337-03F6-473C-BF93-0CDF54AB7A80}"/>
    <cellStyle name="Normal 5 2 2 13 3" xfId="3028" xr:uid="{39B4D90D-F7A7-482F-810A-EEFD6E6387BF}"/>
    <cellStyle name="Normal 5 2 2 13 4" xfId="3254" xr:uid="{AF7A7C85-242C-4B79-9085-A975E5B0CF17}"/>
    <cellStyle name="Normal 5 2 2 14" xfId="2361" xr:uid="{FB851785-2FB1-43BE-A7EF-2C354D528BD7}"/>
    <cellStyle name="Normal 5 2 2 2" xfId="1221" xr:uid="{8C2617BA-8DDC-4C0C-B453-501C4DBD85D0}"/>
    <cellStyle name="Normal 5 2 2 2 10" xfId="1222" xr:uid="{10D410FA-9BA2-4458-9E88-2758B5D84908}"/>
    <cellStyle name="Normal 5 2 2 2 10 2" xfId="2367" xr:uid="{00B1E229-D503-461B-AFD7-332C3EA077F3}"/>
    <cellStyle name="Normal 5 2 2 2 11" xfId="1223" xr:uid="{62CE594E-8C0E-4F71-A775-5DF1FD30426B}"/>
    <cellStyle name="Normal 5 2 2 2 11 2" xfId="2368" xr:uid="{86F01C56-C37E-4BF5-AD9E-6F517CF541EF}"/>
    <cellStyle name="Normal 5 2 2 2 12" xfId="1224" xr:uid="{30C34366-2926-47D9-9D3C-3FCA44CA0240}"/>
    <cellStyle name="Normal 5 2 2 2 12 2" xfId="2369" xr:uid="{650E3EFE-C071-4815-A3B0-35D00B1971E4}"/>
    <cellStyle name="Normal 5 2 2 2 13" xfId="1225" xr:uid="{5E850155-4BAF-42D7-B705-F3D5192B99A0}"/>
    <cellStyle name="Normal 5 2 2 2 13 2" xfId="2370" xr:uid="{0DF1B30F-3A9E-4A5B-B9FA-FEB475A1E663}"/>
    <cellStyle name="Normal 5 2 2 2 14" xfId="2366" xr:uid="{C5487442-118D-4446-9651-40CF1A47F821}"/>
    <cellStyle name="Normal 5 2 2 2 14 2" xfId="3150" xr:uid="{B3594379-40D6-43D6-B727-BB19C55272D3}"/>
    <cellStyle name="Normal 5 2 2 2 14 3" xfId="3376" xr:uid="{7C770A1A-5AF5-4D25-9D20-60152231666C}"/>
    <cellStyle name="Normal 5 2 2 2 15" xfId="3029" xr:uid="{0239AA76-6CF1-4A58-A640-62944B50FE2E}"/>
    <cellStyle name="Normal 5 2 2 2 16" xfId="3255" xr:uid="{8728B5A6-33CD-445D-887C-364A755FDBED}"/>
    <cellStyle name="Normal 5 2 2 2 2" xfId="1226" xr:uid="{B76AF6F0-74F6-4F8E-B8ED-740BFACFA683}"/>
    <cellStyle name="Normal 5 2 2 2 2 2" xfId="2371" xr:uid="{FC05CDFA-A42F-413B-8AA1-882A2EC7279C}"/>
    <cellStyle name="Normal 5 2 2 2 3" xfId="1227" xr:uid="{EF561028-7A82-4FAC-AE74-EA64CCA1CF55}"/>
    <cellStyle name="Normal 5 2 2 2 3 2" xfId="2372" xr:uid="{F299785D-C949-484E-832B-4107A68A2FBF}"/>
    <cellStyle name="Normal 5 2 2 2 4" xfId="1228" xr:uid="{488CFFEC-83DC-48D1-8060-0C4B6FBDBA1B}"/>
    <cellStyle name="Normal 5 2 2 2 4 2" xfId="2373" xr:uid="{8B73F3DB-7B87-4E7F-A7D7-4A994A999C69}"/>
    <cellStyle name="Normal 5 2 2 2 5" xfId="1229" xr:uid="{20B5442B-1DB7-456B-A037-7E0450028E6B}"/>
    <cellStyle name="Normal 5 2 2 2 5 2" xfId="2374" xr:uid="{DCC56107-91A0-43F9-8CDC-9563544BBEDC}"/>
    <cellStyle name="Normal 5 2 2 2 6" xfId="1230" xr:uid="{EE39037C-0D98-44AE-BC7F-4AD47AC40800}"/>
    <cellStyle name="Normal 5 2 2 2 6 2" xfId="2375" xr:uid="{F8F1624F-9DF8-4411-B1E9-75F0D2DD72C0}"/>
    <cellStyle name="Normal 5 2 2 2 7" xfId="1231" xr:uid="{4B429F14-CE51-484C-A93C-512DE5EA674D}"/>
    <cellStyle name="Normal 5 2 2 2 7 2" xfId="2376" xr:uid="{B4A5D369-A34F-475A-BD9A-02B23868641E}"/>
    <cellStyle name="Normal 5 2 2 2 8" xfId="1232" xr:uid="{8CBC32A8-6620-4E9A-8A16-E81801EC78BE}"/>
    <cellStyle name="Normal 5 2 2 2 8 2" xfId="2377" xr:uid="{3D453738-1C97-4213-AEE1-0C2888438336}"/>
    <cellStyle name="Normal 5 2 2 2 9" xfId="1233" xr:uid="{38E64767-22C4-4176-8288-8BA3D3B29A29}"/>
    <cellStyle name="Normal 5 2 2 2 9 2" xfId="2378" xr:uid="{603E79E4-4A31-4F72-8EEE-D47EECE9BF6E}"/>
    <cellStyle name="Normal 5 2 2 3" xfId="1234" xr:uid="{39CFE0F5-30B2-417C-A8FF-83B3BBDDC0F9}"/>
    <cellStyle name="Normal 5 2 2 3 2" xfId="2379" xr:uid="{DC3C0655-7EA4-48BF-8D5A-D2CBF16A3720}"/>
    <cellStyle name="Normal 5 2 2 3 2 2" xfId="3151" xr:uid="{15A83DCF-E242-4D59-959C-EF6C4BADA3EC}"/>
    <cellStyle name="Normal 5 2 2 3 2 3" xfId="3377" xr:uid="{1045AB12-112C-48AF-87EE-1E8EA8D5F109}"/>
    <cellStyle name="Normal 5 2 2 3 3" xfId="3030" xr:uid="{D13FAC2C-30DE-4419-9D63-19DE6640392D}"/>
    <cellStyle name="Normal 5 2 2 3 4" xfId="3256" xr:uid="{508A18B2-5689-4545-AAE6-811628F1C318}"/>
    <cellStyle name="Normal 5 2 2 4" xfId="1235" xr:uid="{23676D42-8CFF-4FCF-B51A-AFFA662E4949}"/>
    <cellStyle name="Normal 5 2 2 4 2" xfId="2380" xr:uid="{C917105E-5B08-4A47-823A-BA20BAC96F10}"/>
    <cellStyle name="Normal 5 2 2 4 2 2" xfId="3152" xr:uid="{118D5D6E-7D26-4C23-9034-2E94865DD8A1}"/>
    <cellStyle name="Normal 5 2 2 4 2 3" xfId="3378" xr:uid="{DA437980-32FD-42DB-92C7-2D33A5B75E63}"/>
    <cellStyle name="Normal 5 2 2 4 3" xfId="3031" xr:uid="{A91224EE-8274-4801-9D4C-30287450A148}"/>
    <cellStyle name="Normal 5 2 2 4 4" xfId="3257" xr:uid="{A5FE4CE5-B73D-4FD2-9A01-36B2FA24D868}"/>
    <cellStyle name="Normal 5 2 2 5" xfId="1236" xr:uid="{CB5760D2-E5DC-4D3C-AB0F-DE08304C2A9C}"/>
    <cellStyle name="Normal 5 2 2 5 2" xfId="2381" xr:uid="{7873D70B-4A5B-4C58-AFDC-8673D1C69375}"/>
    <cellStyle name="Normal 5 2 2 5 2 2" xfId="3153" xr:uid="{27D994CA-E530-4803-ABB5-1D9661E79908}"/>
    <cellStyle name="Normal 5 2 2 5 2 3" xfId="3379" xr:uid="{3DB21347-6460-48E3-AA05-D5F4AC9A47FD}"/>
    <cellStyle name="Normal 5 2 2 5 3" xfId="3032" xr:uid="{AA8DB34D-6471-4EA0-AEDE-B0CBBA0C6429}"/>
    <cellStyle name="Normal 5 2 2 5 4" xfId="3258" xr:uid="{64E1473F-F8EA-40EB-AA25-039A68E9631F}"/>
    <cellStyle name="Normal 5 2 2 6" xfId="1237" xr:uid="{82D7819A-DBCD-4EA6-AA6B-820D07AB3AA9}"/>
    <cellStyle name="Normal 5 2 2 6 2" xfId="2382" xr:uid="{306284D7-200C-4380-AEAF-C3FEE9659CE3}"/>
    <cellStyle name="Normal 5 2 2 6 2 2" xfId="3154" xr:uid="{A195916D-909A-49ED-A0D4-BE8A1393DCE5}"/>
    <cellStyle name="Normal 5 2 2 6 2 3" xfId="3380" xr:uid="{5A1CEAF8-422B-405F-911E-E6305407F97C}"/>
    <cellStyle name="Normal 5 2 2 6 3" xfId="3033" xr:uid="{88236D0A-1DD2-4054-A24B-80810916D19B}"/>
    <cellStyle name="Normal 5 2 2 6 4" xfId="3259" xr:uid="{35E9ACE0-2D29-4C96-BB93-531B72F233B8}"/>
    <cellStyle name="Normal 5 2 2 7" xfId="1238" xr:uid="{0FD35C72-8DEB-4122-9406-1132E16D79B2}"/>
    <cellStyle name="Normal 5 2 2 7 2" xfId="2383" xr:uid="{8E02269F-9E00-4A4D-A71D-E49FAE311F40}"/>
    <cellStyle name="Normal 5 2 2 7 2 2" xfId="3155" xr:uid="{5DBB8304-B435-4951-9102-64284DB531EE}"/>
    <cellStyle name="Normal 5 2 2 7 2 3" xfId="3381" xr:uid="{ED6569D8-7ED2-4EE4-9CDF-32FC27ED0E73}"/>
    <cellStyle name="Normal 5 2 2 7 3" xfId="3034" xr:uid="{46185C3E-6A27-4FEF-A777-A1CAB91F69FF}"/>
    <cellStyle name="Normal 5 2 2 7 4" xfId="3260" xr:uid="{EA56A1B5-0BCA-429A-9882-D7A2564680A8}"/>
    <cellStyle name="Normal 5 2 2 8" xfId="1239" xr:uid="{D1080C0C-38D4-4461-A82B-D9F737A23345}"/>
    <cellStyle name="Normal 5 2 2 8 2" xfId="2384" xr:uid="{7A0CE8F8-64FF-43A9-AB6A-C3A2C2B946A5}"/>
    <cellStyle name="Normal 5 2 2 8 2 2" xfId="3156" xr:uid="{F2D96D48-2D20-45F4-B35F-4B8745BF4A54}"/>
    <cellStyle name="Normal 5 2 2 8 2 3" xfId="3382" xr:uid="{4890F720-9048-41E2-BEA4-1A197B06C88C}"/>
    <cellStyle name="Normal 5 2 2 8 3" xfId="3035" xr:uid="{9E2553F7-CE89-471C-818A-B1A085F6240D}"/>
    <cellStyle name="Normal 5 2 2 8 4" xfId="3261" xr:uid="{8B623602-3D62-4508-8A82-6FF6894AF4AD}"/>
    <cellStyle name="Normal 5 2 2 9" xfId="1240" xr:uid="{7D21698A-E617-4DD8-B9E4-7DAB0EB927B1}"/>
    <cellStyle name="Normal 5 2 2 9 2" xfId="2385" xr:uid="{5DE5FC9C-83BD-40CB-9C30-DB105F2A2C91}"/>
    <cellStyle name="Normal 5 2 2 9 2 2" xfId="3157" xr:uid="{A11BEC69-6FC6-4C9A-B7A7-77FD48FEA529}"/>
    <cellStyle name="Normal 5 2 2 9 2 3" xfId="3383" xr:uid="{85DF4B9C-BEDC-4AC4-AFA2-E2D482E10468}"/>
    <cellStyle name="Normal 5 2 2 9 3" xfId="3036" xr:uid="{3A916050-7A21-4ACB-B6A0-2F861D8D106F}"/>
    <cellStyle name="Normal 5 2 2 9 4" xfId="3262" xr:uid="{7B9E38EA-B3FF-4518-B52B-47C4F5A735F4}"/>
    <cellStyle name="Normal 5 2 3" xfId="1241" xr:uid="{EAA58E83-7046-47B6-BDF5-F5D55BC88733}"/>
    <cellStyle name="Normal 5 2 3 2" xfId="2386" xr:uid="{7D112220-4294-4457-8F37-DBD0DDD9DFA6}"/>
    <cellStyle name="Normal 5 2 4" xfId="1242" xr:uid="{68BA48A3-5D14-48CC-BFD0-984476554B08}"/>
    <cellStyle name="Normal 5 2 4 2" xfId="2387" xr:uid="{23D6511A-479E-46A5-9533-8645BB9D56AE}"/>
    <cellStyle name="Normal 5 2 5" xfId="1243" xr:uid="{47053C7E-FE2A-4F38-978C-4D5E50688455}"/>
    <cellStyle name="Normal 5 2 5 2" xfId="2388" xr:uid="{936E6B9E-D615-47AB-B7AB-90D388A55150}"/>
    <cellStyle name="Normal 5 2 6" xfId="1244" xr:uid="{E6FEC413-9220-4F34-BA64-BB7382FA04CC}"/>
    <cellStyle name="Normal 5 2 6 2" xfId="2389" xr:uid="{84B945B8-5B15-49F6-9352-9FF4CBE00BF4}"/>
    <cellStyle name="Normal 5 2 7" xfId="1245" xr:uid="{254FEDCE-2925-47F1-91BE-3A97F4D774EF}"/>
    <cellStyle name="Normal 5 2 7 2" xfId="2390" xr:uid="{819BA55C-F551-4182-A96E-AA8E2980257B}"/>
    <cellStyle name="Normal 5 2 8" xfId="1246" xr:uid="{4E5B5A78-1F4B-4FF9-BFBB-DA9ED4995BD1}"/>
    <cellStyle name="Normal 5 2 8 2" xfId="2391" xr:uid="{7E2114E3-B1E6-4B6C-B435-54CB5EF7096E}"/>
    <cellStyle name="Normal 5 2 9" xfId="1247" xr:uid="{0C3C2BCE-0DE4-4A26-BE89-5F8503CFA311}"/>
    <cellStyle name="Normal 5 2 9 2" xfId="2392" xr:uid="{9BED0831-0371-4518-B1DF-B5624755B8B5}"/>
    <cellStyle name="Normal 5 3" xfId="128" xr:uid="{1EF18148-85AB-4A49-A167-FDF64AD86EE6}"/>
    <cellStyle name="Normal 5 3 10" xfId="1248" xr:uid="{F5808D43-5453-4C31-A89B-83ABBB2077EB}"/>
    <cellStyle name="Normal 5 3 2" xfId="1249" xr:uid="{1997CDE0-20A5-49F4-8B63-F18FC6B02CA1}"/>
    <cellStyle name="Normal 5 3 2 2" xfId="2394" xr:uid="{DADF12ED-FE08-4CBC-8237-D7A5775C3B36}"/>
    <cellStyle name="Normal 5 3 3" xfId="1250" xr:uid="{FD10F937-7160-4C9D-A0C6-380A8CA78A5E}"/>
    <cellStyle name="Normal 5 3 3 2" xfId="2395" xr:uid="{09FDBBED-3FA1-4EA8-9664-F40B1ADE8A69}"/>
    <cellStyle name="Normal 5 3 4" xfId="1251" xr:uid="{2B7E62D3-E6E3-4E8C-B685-AF954734ACDD}"/>
    <cellStyle name="Normal 5 3 4 2" xfId="2396" xr:uid="{27D83A66-FE2C-4062-AE75-7B5DA6D6C46C}"/>
    <cellStyle name="Normal 5 3 5" xfId="1252" xr:uid="{512D9E1A-F719-4DB6-973C-1E50721A733F}"/>
    <cellStyle name="Normal 5 3 5 2" xfId="2397" xr:uid="{F386B8E9-EE16-4A6A-B418-5E18B602D6B2}"/>
    <cellStyle name="Normal 5 3 6" xfId="1253" xr:uid="{D1B5EAA9-3E78-402E-A43E-852D2EF0049D}"/>
    <cellStyle name="Normal 5 3 6 2" xfId="2398" xr:uid="{1942DE9C-F782-4AF4-915D-5A615FA144FB}"/>
    <cellStyle name="Normal 5 3 7" xfId="1254" xr:uid="{E1D83180-7FC9-4325-AC68-C86D56E6AD8C}"/>
    <cellStyle name="Normal 5 3 7 2" xfId="2399" xr:uid="{7E791BE9-BD21-4615-BB91-04616CE7FB29}"/>
    <cellStyle name="Normal 5 3 8" xfId="1255" xr:uid="{D2D53FE1-5950-4521-AB5B-3B817DEE5FE5}"/>
    <cellStyle name="Normal 5 3 8 2" xfId="2400" xr:uid="{05B82B12-78B2-4D70-BD7F-24416F1B13FB}"/>
    <cellStyle name="Normal 5 3 9" xfId="2393" xr:uid="{D30A2FE5-276F-481F-9227-6D9F174B4ED7}"/>
    <cellStyle name="Normal 5 4" xfId="129" xr:uid="{BFA4FC62-EDDD-4C73-A430-F5968B865B46}"/>
    <cellStyle name="Normal 5 4 10" xfId="1256" xr:uid="{849BD8DE-A699-4D14-B2E7-E80663FE87DF}"/>
    <cellStyle name="Normal 5 4 2" xfId="1257" xr:uid="{931C465A-D0AB-4335-AD4B-B5EF6F68D5C9}"/>
    <cellStyle name="Normal 5 4 2 2" xfId="2402" xr:uid="{76C4B4B9-CA04-4506-B74E-EC50A4A22880}"/>
    <cellStyle name="Normal 5 4 3" xfId="1258" xr:uid="{47255269-A579-418C-979B-B5A6B4A9F797}"/>
    <cellStyle name="Normal 5 4 3 2" xfId="2403" xr:uid="{11147AF3-BAD8-4B86-AC6D-BB0FD113CC64}"/>
    <cellStyle name="Normal 5 4 4" xfId="1259" xr:uid="{D23F666F-F852-47FD-B177-C123B1FC37E2}"/>
    <cellStyle name="Normal 5 4 4 2" xfId="2404" xr:uid="{2A71DC8D-1EA1-423A-8ACB-2CCB92D47573}"/>
    <cellStyle name="Normal 5 4 5" xfId="1260" xr:uid="{5C6C9D06-72B7-474B-A939-5CBCD5459E95}"/>
    <cellStyle name="Normal 5 4 5 2" xfId="2405" xr:uid="{6DF30CC5-7E08-4F0F-B894-8652B2088ACE}"/>
    <cellStyle name="Normal 5 4 6" xfId="1261" xr:uid="{FB8051FB-2473-429B-A70A-AC1D571C6E2B}"/>
    <cellStyle name="Normal 5 4 6 2" xfId="2406" xr:uid="{FE45FCD3-BD3E-402E-988A-58A67DB15704}"/>
    <cellStyle name="Normal 5 4 7" xfId="1262" xr:uid="{136D08BF-3E19-4BE3-946E-BD0D97A69BE0}"/>
    <cellStyle name="Normal 5 4 7 2" xfId="2407" xr:uid="{17A041C7-C090-44AE-9083-B398F100B2EC}"/>
    <cellStyle name="Normal 5 4 8" xfId="1263" xr:uid="{BAA97FCB-C9B2-49DE-AD54-95ECD012EEDF}"/>
    <cellStyle name="Normal 5 4 8 2" xfId="2408" xr:uid="{B96E7611-5018-40BC-832C-0596CB7FCA0D}"/>
    <cellStyle name="Normal 5 4 9" xfId="2401" xr:uid="{96C61C27-C8B3-4DAA-8692-B4802B217386}"/>
    <cellStyle name="Normal 5 5" xfId="1264" xr:uid="{E5301F0A-04E7-4162-B63E-E15C3E099E58}"/>
    <cellStyle name="Normal 5 5 2" xfId="1265" xr:uid="{A7BFC904-BAE2-4694-80D5-33569AAC101F}"/>
    <cellStyle name="Normal 5 5 2 2" xfId="2410" xr:uid="{F1561DFD-54F3-49A7-88B8-CC0618C2F5BD}"/>
    <cellStyle name="Normal 5 5 3" xfId="1266" xr:uid="{52F7BFEC-4A07-4D37-B126-48E92EE1D48D}"/>
    <cellStyle name="Normal 5 5 3 2" xfId="2411" xr:uid="{CAB96175-2F6F-48E2-AD6A-5968D7160BBF}"/>
    <cellStyle name="Normal 5 5 4" xfId="1267" xr:uid="{F3C723BC-45D1-47ED-9ABE-8D2C2D918F6C}"/>
    <cellStyle name="Normal 5 5 4 2" xfId="2412" xr:uid="{DB76D58F-721E-4E5A-820C-1F2FBAEC154E}"/>
    <cellStyle name="Normal 5 5 5" xfId="1268" xr:uid="{CADB33E8-1B90-471D-A21C-B5AA8666CA82}"/>
    <cellStyle name="Normal 5 5 5 2" xfId="2413" xr:uid="{A6D903BC-6623-4050-89E4-39F29B481FC5}"/>
    <cellStyle name="Normal 5 5 6" xfId="1269" xr:uid="{4AE6053A-F858-4D8F-BC5E-1BB25CC07637}"/>
    <cellStyle name="Normal 5 5 6 2" xfId="2414" xr:uid="{C3D31B27-9AB2-455E-851D-06C1525F1CC2}"/>
    <cellStyle name="Normal 5 5 7" xfId="1270" xr:uid="{AB7AECF9-DADC-4327-BEE7-F0375267A77E}"/>
    <cellStyle name="Normal 5 5 7 2" xfId="2415" xr:uid="{7888F9D5-B62C-4FEF-8890-ED2518004D07}"/>
    <cellStyle name="Normal 5 5 8" xfId="1271" xr:uid="{0D5B973E-C134-4000-B3EB-A314FE02F42D}"/>
    <cellStyle name="Normal 5 5 8 2" xfId="2416" xr:uid="{EB910DBD-FE62-4507-B213-61A146ED9774}"/>
    <cellStyle name="Normal 5 5 9" xfId="2409" xr:uid="{3F0F5827-07AF-44B7-B3A1-F13212BC50FB}"/>
    <cellStyle name="Normal 5 6" xfId="1272" xr:uid="{991EECE0-2265-488D-9436-001629A5EE16}"/>
    <cellStyle name="Normal 5 6 2" xfId="2417" xr:uid="{B9D277AC-2020-4E4B-A393-8C7BD6B1833A}"/>
    <cellStyle name="Normal 5 7" xfId="1273" xr:uid="{D10EDA21-4A94-4D36-9C7C-2197BE84CD9D}"/>
    <cellStyle name="Normal 5 7 2" xfId="2418" xr:uid="{EEC594D7-73E0-4AD5-86A5-13B6DE6BF8A0}"/>
    <cellStyle name="Normal 5 8" xfId="1274" xr:uid="{C2512268-A6DB-4972-A8F5-B1F4EA06EAF9}"/>
    <cellStyle name="Normal 5 8 2" xfId="2419" xr:uid="{A55DB39B-CB66-4C37-AEE3-7E6F85AA44D3}"/>
    <cellStyle name="Normal 5 9" xfId="1275" xr:uid="{E7F27679-CCE9-4CD5-89DE-93D880DA6F0F}"/>
    <cellStyle name="Normal 5 9 2" xfId="2420" xr:uid="{35348B99-349E-46A5-8BF0-D3359C033794}"/>
    <cellStyle name="Normal 6" xfId="130" xr:uid="{AB353C54-4847-4EBC-A388-0BBC03A77A9C}"/>
    <cellStyle name="Normal 6 10" xfId="1277" xr:uid="{D083379B-C92B-414D-A2E3-EC67DC8E8F4D}"/>
    <cellStyle name="Normal 6 10 2" xfId="2422" xr:uid="{B3785E7D-5CF2-4D51-AB32-4FFE94E047B7}"/>
    <cellStyle name="Normal 6 11" xfId="1278" xr:uid="{4B1430E7-6486-4FC0-A191-03B788B8A698}"/>
    <cellStyle name="Normal 6 11 2" xfId="2423" xr:uid="{6D0C76A7-6C1D-425F-ADEA-531F1C127827}"/>
    <cellStyle name="Normal 6 12" xfId="1279" xr:uid="{E2042577-662B-429D-8DE6-087039CD9580}"/>
    <cellStyle name="Normal 6 12 2" xfId="2424" xr:uid="{CE4DACBF-6FA7-4DC7-AB21-2ACCF7EE4136}"/>
    <cellStyle name="Normal 6 13" xfId="1280" xr:uid="{DD882C65-1011-4212-A824-FF337398A954}"/>
    <cellStyle name="Normal 6 13 2" xfId="2425" xr:uid="{73163253-D1EB-4BD8-A8F9-46C89C323151}"/>
    <cellStyle name="Normal 6 14" xfId="2421" xr:uid="{0FD83F5A-DBB9-4F3E-9F34-5B65C9EC5C8D}"/>
    <cellStyle name="Normal 6 15" xfId="1276" xr:uid="{D731D6A7-71A0-4A1F-882E-F995F59307DE}"/>
    <cellStyle name="Normal 6 2" xfId="131" xr:uid="{06EA8138-3ECE-4420-A4D0-14D064BED440}"/>
    <cellStyle name="Normal 6 2 10" xfId="1281" xr:uid="{31B2AEF6-326E-48AA-A9B6-184F93496944}"/>
    <cellStyle name="Normal 6 2 2" xfId="132" xr:uid="{7CC2DB87-0D4A-44C5-B380-D0780F43CC47}"/>
    <cellStyle name="Normal 6 2 2 10" xfId="1283" xr:uid="{D34A5443-DE24-4D92-8CF1-8B654334E5DC}"/>
    <cellStyle name="Normal 6 2 2 10 2" xfId="2428" xr:uid="{49F8CFEF-944F-4EEB-AB35-BAF18A9DA2D2}"/>
    <cellStyle name="Normal 6 2 2 10 2 2" xfId="3158" xr:uid="{5517A628-7CAB-4972-9A18-5100144588E2}"/>
    <cellStyle name="Normal 6 2 2 10 2 3" xfId="3384" xr:uid="{D8F972AD-1EF8-4EBD-9930-38F1E1CF8C21}"/>
    <cellStyle name="Normal 6 2 2 10 3" xfId="3037" xr:uid="{3EC6755B-96BE-448F-9B31-EBDD02E318D0}"/>
    <cellStyle name="Normal 6 2 2 10 4" xfId="3263" xr:uid="{74DC2217-DF08-4681-B32E-42DB2E562F21}"/>
    <cellStyle name="Normal 6 2 2 11" xfId="1284" xr:uid="{9CAEAE6F-871E-413A-8D42-BA5E3773C602}"/>
    <cellStyle name="Normal 6 2 2 11 2" xfId="2429" xr:uid="{C43A8574-9042-4C2A-A93F-7AD34DC69EA6}"/>
    <cellStyle name="Normal 6 2 2 11 2 2" xfId="3159" xr:uid="{5D4F3B76-537B-4756-95D8-BA76ADFD1485}"/>
    <cellStyle name="Normal 6 2 2 11 2 3" xfId="3385" xr:uid="{884A221D-5453-493A-B520-B644ECBF410A}"/>
    <cellStyle name="Normal 6 2 2 11 3" xfId="3038" xr:uid="{80E9B959-DF7F-44E9-BDAD-D2DC0D7FC9C9}"/>
    <cellStyle name="Normal 6 2 2 11 4" xfId="3264" xr:uid="{BE9CFBC9-629B-4E9E-9E43-89CA15C99BF5}"/>
    <cellStyle name="Normal 6 2 2 12" xfId="1285" xr:uid="{4A600ACE-F5AA-448C-A5E9-2C56E58DF953}"/>
    <cellStyle name="Normal 6 2 2 12 2" xfId="2430" xr:uid="{AA1D2CF9-F13B-4536-9273-F539073B9430}"/>
    <cellStyle name="Normal 6 2 2 12 2 2" xfId="3160" xr:uid="{E0CC680B-6E00-4B13-B76E-479F105F4554}"/>
    <cellStyle name="Normal 6 2 2 12 2 3" xfId="3386" xr:uid="{56676910-F5C8-41E1-866D-70CF47916A29}"/>
    <cellStyle name="Normal 6 2 2 12 3" xfId="3039" xr:uid="{E04BF582-4BA2-43A8-8E3D-D5F14B3C0AC2}"/>
    <cellStyle name="Normal 6 2 2 12 4" xfId="3265" xr:uid="{8EE389F1-1ADB-43AF-BD74-968815FFDF7E}"/>
    <cellStyle name="Normal 6 2 2 13" xfId="1286" xr:uid="{F04A599B-7FAE-438B-9176-8E063B95F281}"/>
    <cellStyle name="Normal 6 2 2 13 2" xfId="2431" xr:uid="{2530B9F8-D3DC-4E14-BB9A-CC14D08C293F}"/>
    <cellStyle name="Normal 6 2 2 13 2 2" xfId="3161" xr:uid="{E633FF09-067F-405E-A664-8BC0D79DDB5C}"/>
    <cellStyle name="Normal 6 2 2 13 2 3" xfId="3387" xr:uid="{92D0E8B5-67BC-4438-8102-563DDE11AF52}"/>
    <cellStyle name="Normal 6 2 2 13 3" xfId="3040" xr:uid="{35ECA056-0C75-4E68-91B3-596CCFC83596}"/>
    <cellStyle name="Normal 6 2 2 13 4" xfId="3266" xr:uid="{6C629C01-0650-4835-A91C-BC1A4850BF84}"/>
    <cellStyle name="Normal 6 2 2 14" xfId="2427" xr:uid="{89936737-4328-435F-A2E0-DE78BA43FB24}"/>
    <cellStyle name="Normal 6 2 2 15" xfId="1282" xr:uid="{4AFACA27-4BAB-47AD-89B2-4394ADFB9D2A}"/>
    <cellStyle name="Normal 6 2 2 2" xfId="1287" xr:uid="{0C8E4039-211C-4ECD-86F7-37032F2B45B8}"/>
    <cellStyle name="Normal 6 2 2 2 2" xfId="2432" xr:uid="{57B90B6B-A241-482A-9A43-CB2125B3EE7B}"/>
    <cellStyle name="Normal 6 2 2 2 2 2" xfId="3162" xr:uid="{0DFC93D5-0B61-402E-868B-400F310AB961}"/>
    <cellStyle name="Normal 6 2 2 2 2 3" xfId="3388" xr:uid="{391FB97A-1828-4460-BF3C-D3C102AE2E57}"/>
    <cellStyle name="Normal 6 2 2 2 3" xfId="3041" xr:uid="{9C9296C0-C8EC-427F-9A3E-3A04D8107493}"/>
    <cellStyle name="Normal 6 2 2 2 4" xfId="3267" xr:uid="{30EBE42A-6503-4435-80DD-9885C78FE608}"/>
    <cellStyle name="Normal 6 2 2 3" xfId="1288" xr:uid="{1B0658E6-7DAF-4646-A337-454BF65B5E77}"/>
    <cellStyle name="Normal 6 2 2 3 2" xfId="2433" xr:uid="{5CF25920-D0F1-4BD6-A214-BEE1E29F4680}"/>
    <cellStyle name="Normal 6 2 2 3 2 2" xfId="3163" xr:uid="{64E260C0-9B82-45A1-A5AB-A327A3DE18DA}"/>
    <cellStyle name="Normal 6 2 2 3 2 3" xfId="3389" xr:uid="{C44025C2-BB9E-4427-AC0D-E84664CAD0E7}"/>
    <cellStyle name="Normal 6 2 2 3 3" xfId="3042" xr:uid="{B84FA205-1459-42BE-BCE0-685C642BBCBD}"/>
    <cellStyle name="Normal 6 2 2 3 4" xfId="3268" xr:uid="{91FA5A9D-F6D2-4C18-A376-7EC2F24C26C9}"/>
    <cellStyle name="Normal 6 2 2 4" xfId="1289" xr:uid="{683AFA13-2E7E-4FA6-B735-57BBEBBA0D81}"/>
    <cellStyle name="Normal 6 2 2 4 2" xfId="2434" xr:uid="{71197BFD-51CA-4077-87FC-F4CFAB9F8FED}"/>
    <cellStyle name="Normal 6 2 2 4 2 2" xfId="3164" xr:uid="{2E7025F3-AF8E-48CB-B7F7-A65EB5F5F412}"/>
    <cellStyle name="Normal 6 2 2 4 2 3" xfId="3390" xr:uid="{353AE8B3-2795-487D-90AC-D3370A64D9C3}"/>
    <cellStyle name="Normal 6 2 2 4 3" xfId="3043" xr:uid="{E11B8090-9C6B-45CA-A2A4-96D8418ED88E}"/>
    <cellStyle name="Normal 6 2 2 4 4" xfId="3269" xr:uid="{387588A7-9964-4B95-BD7B-A42B0863B8D3}"/>
    <cellStyle name="Normal 6 2 2 5" xfId="1290" xr:uid="{22580997-9DD4-440B-99F6-18BAACF4D6B1}"/>
    <cellStyle name="Normal 6 2 2 5 2" xfId="2435" xr:uid="{3BB154D3-D600-481F-941C-AD1F879BB792}"/>
    <cellStyle name="Normal 6 2 2 5 2 2" xfId="3165" xr:uid="{243E4BD8-905A-4900-829F-568476E1A671}"/>
    <cellStyle name="Normal 6 2 2 5 2 3" xfId="3391" xr:uid="{26E4FF03-3574-4EC0-B7D1-2D023FAF4787}"/>
    <cellStyle name="Normal 6 2 2 5 3" xfId="3044" xr:uid="{BDCF043D-3AAE-42B1-BBD0-2D296812B4F6}"/>
    <cellStyle name="Normal 6 2 2 5 4" xfId="3270" xr:uid="{512DEFD1-42FC-40A0-BC0B-7A20A52BBC4E}"/>
    <cellStyle name="Normal 6 2 2 6" xfId="1291" xr:uid="{FE81005E-59CF-44BA-A24D-A0D71A79579B}"/>
    <cellStyle name="Normal 6 2 2 6 2" xfId="2436" xr:uid="{9118475E-15C8-4312-B7A2-6F1C7A4FD7CF}"/>
    <cellStyle name="Normal 6 2 2 6 2 2" xfId="3166" xr:uid="{9D56784A-0769-40B8-8803-9808AA657C6E}"/>
    <cellStyle name="Normal 6 2 2 6 2 3" xfId="3392" xr:uid="{D1F35BDE-EF42-4503-85B7-04FC56AD1106}"/>
    <cellStyle name="Normal 6 2 2 6 3" xfId="3045" xr:uid="{4663431D-54D1-478E-8F12-C4A1525A4E7C}"/>
    <cellStyle name="Normal 6 2 2 6 4" xfId="3271" xr:uid="{5AFE1531-F01C-41C7-B563-C5DCF46A22BB}"/>
    <cellStyle name="Normal 6 2 2 7" xfId="1292" xr:uid="{2B52768F-A4DF-4560-9E7A-44E46BC53E4E}"/>
    <cellStyle name="Normal 6 2 2 7 2" xfId="2437" xr:uid="{EF54E446-C4B3-4575-A9B4-15C174FF185A}"/>
    <cellStyle name="Normal 6 2 2 7 2 2" xfId="3167" xr:uid="{2FA92006-86BC-42E3-BF52-DD92B30CFCB6}"/>
    <cellStyle name="Normal 6 2 2 7 2 3" xfId="3393" xr:uid="{14B9F08D-AA5D-4021-A197-F21099FE9C50}"/>
    <cellStyle name="Normal 6 2 2 7 3" xfId="3046" xr:uid="{61194AAB-4979-4773-8E6F-58F1553B4424}"/>
    <cellStyle name="Normal 6 2 2 7 4" xfId="3272" xr:uid="{C2DF6C6C-5496-460C-A06C-28E71166E804}"/>
    <cellStyle name="Normal 6 2 2 8" xfId="1293" xr:uid="{4AFF0592-0B31-4511-A4F6-660DC53FB0BD}"/>
    <cellStyle name="Normal 6 2 2 8 2" xfId="2438" xr:uid="{1B953E20-82D6-4D0C-97E4-84B60F540EC4}"/>
    <cellStyle name="Normal 6 2 2 8 2 2" xfId="3168" xr:uid="{ADE7C5DF-7505-4833-9DF0-F545A50FCEE1}"/>
    <cellStyle name="Normal 6 2 2 8 2 3" xfId="3394" xr:uid="{AB75E3D5-F0D4-4537-941E-E196E9372185}"/>
    <cellStyle name="Normal 6 2 2 8 3" xfId="3047" xr:uid="{52CDD3BE-04BE-408F-8CD2-102DE787DC69}"/>
    <cellStyle name="Normal 6 2 2 8 4" xfId="3273" xr:uid="{85DF0D69-4246-42CB-A9AE-0314A85BD749}"/>
    <cellStyle name="Normal 6 2 2 9" xfId="1294" xr:uid="{FE7017AC-40D6-433B-8B39-79923E0A8AA5}"/>
    <cellStyle name="Normal 6 2 2 9 2" xfId="2439" xr:uid="{EF0DF3DB-E400-4701-AF13-4C7B5821B285}"/>
    <cellStyle name="Normal 6 2 2 9 2 2" xfId="3169" xr:uid="{AE92E46F-101C-4DB9-8F79-E0F886B3F120}"/>
    <cellStyle name="Normal 6 2 2 9 2 3" xfId="3395" xr:uid="{DDE687DF-4132-4D1A-B30C-2E6A892664E2}"/>
    <cellStyle name="Normal 6 2 2 9 3" xfId="3048" xr:uid="{A01596D1-25D8-4C93-A7F9-D5BD3DCFFBD6}"/>
    <cellStyle name="Normal 6 2 2 9 4" xfId="3274" xr:uid="{666D58EE-862F-430B-8ED1-871B4A3FFE20}"/>
    <cellStyle name="Normal 6 2 3" xfId="1295" xr:uid="{6AA4D3D5-EFCF-4B2C-9343-0B67B1B5EED7}"/>
    <cellStyle name="Normal 6 2 3 2" xfId="2440" xr:uid="{4B2CF864-3F43-4130-8E7A-391FAB525B3F}"/>
    <cellStyle name="Normal 6 2 4" xfId="1296" xr:uid="{D0EB4C05-A7A8-4B3F-A0FA-B80DECCE2168}"/>
    <cellStyle name="Normal 6 2 4 2" xfId="2441" xr:uid="{BCB5E4AF-B23C-4547-80A7-A341F8EC9133}"/>
    <cellStyle name="Normal 6 2 5" xfId="1297" xr:uid="{D0B78D52-DE40-4B85-9B0E-1CFDA183F892}"/>
    <cellStyle name="Normal 6 2 5 2" xfId="2442" xr:uid="{3351AAF7-784B-4691-B557-43D22C1E4736}"/>
    <cellStyle name="Normal 6 2 6" xfId="1298" xr:uid="{F31A5490-1D3F-48C5-AC63-A1DFB4DCE233}"/>
    <cellStyle name="Normal 6 2 6 2" xfId="2443" xr:uid="{571607E1-0737-4AC4-B298-731E4779C536}"/>
    <cellStyle name="Normal 6 2 7" xfId="1299" xr:uid="{2EFFC358-0F15-4E37-B44A-1192E24E5158}"/>
    <cellStyle name="Normal 6 2 7 2" xfId="2444" xr:uid="{7D980311-0AB1-4A03-8EAD-AA4487F24644}"/>
    <cellStyle name="Normal 6 2 8" xfId="1300" xr:uid="{095251C0-EF40-4D6E-A1C7-5E99102A48B4}"/>
    <cellStyle name="Normal 6 2 8 2" xfId="2445" xr:uid="{91819EBB-F6F0-42D4-AEE3-EBF494B6660B}"/>
    <cellStyle name="Normal 6 2 9" xfId="2426" xr:uid="{5FF307D9-7B54-406D-80AF-8B6A18D1EA75}"/>
    <cellStyle name="Normal 6 3" xfId="133" xr:uid="{8637668E-B046-434C-ADFC-D9994D62E65D}"/>
    <cellStyle name="Normal 6 3 10" xfId="1301" xr:uid="{4CD5E13C-BF7A-4A8C-B4C9-E54C30214C04}"/>
    <cellStyle name="Normal 6 3 2" xfId="1302" xr:uid="{12CA057D-238C-4952-A76D-07832EDADFCC}"/>
    <cellStyle name="Normal 6 3 2 2" xfId="2447" xr:uid="{3DA73568-8A57-4F9C-99D5-F2B72AB2DED4}"/>
    <cellStyle name="Normal 6 3 3" xfId="1303" xr:uid="{732C68F2-8DF1-4168-8CDF-37A87D94DC1E}"/>
    <cellStyle name="Normal 6 3 3 2" xfId="2448" xr:uid="{A72E05C7-1967-464D-A61A-05AE96097C0F}"/>
    <cellStyle name="Normal 6 3 4" xfId="1304" xr:uid="{A449B4CD-F2EE-4675-930C-6933B12B536E}"/>
    <cellStyle name="Normal 6 3 4 2" xfId="2449" xr:uid="{B5E23FB7-B0E3-49F6-AD7C-DC02EFE1A611}"/>
    <cellStyle name="Normal 6 3 5" xfId="1305" xr:uid="{C7BAAF6F-6F87-4637-95F7-EBE74DEA98D5}"/>
    <cellStyle name="Normal 6 3 5 2" xfId="2450" xr:uid="{BD75AC50-4BAE-4884-8159-E7BB52777B8D}"/>
    <cellStyle name="Normal 6 3 6" xfId="1306" xr:uid="{44798FBC-3D6A-4C3C-AE72-B38873107A62}"/>
    <cellStyle name="Normal 6 3 6 2" xfId="2451" xr:uid="{7AB19CE3-9AB3-4440-99FA-8237200488AD}"/>
    <cellStyle name="Normal 6 3 7" xfId="1307" xr:uid="{57EA1D8D-A10F-4FAE-8DDF-6329FAC29B74}"/>
    <cellStyle name="Normal 6 3 7 2" xfId="2452" xr:uid="{3D781F92-B108-45CB-B57D-3348E95F6DD1}"/>
    <cellStyle name="Normal 6 3 8" xfId="1308" xr:uid="{6FBA6D51-F6E8-4CED-9357-4215CACE63F3}"/>
    <cellStyle name="Normal 6 3 8 2" xfId="2453" xr:uid="{F4FEC09C-0AEB-4729-A10C-459AFACF3A70}"/>
    <cellStyle name="Normal 6 3 9" xfId="2446" xr:uid="{E862B6C2-0777-4F99-B2B6-6E9F4E6285D4}"/>
    <cellStyle name="Normal 6 4" xfId="134" xr:uid="{C37D3B3C-EFC4-4B17-8E2A-8C48B7AD86A6}"/>
    <cellStyle name="Normal 6 4 10" xfId="1309" xr:uid="{3B6A8FE1-778A-4688-BED9-5C4FC8C95E63}"/>
    <cellStyle name="Normal 6 4 2" xfId="1310" xr:uid="{5C6A3BC1-C111-48BC-B82D-3B897E062457}"/>
    <cellStyle name="Normal 6 4 2 2" xfId="2455" xr:uid="{C25B4E6A-4EFA-44B8-B5BE-979D52AC692A}"/>
    <cellStyle name="Normal 6 4 3" xfId="1311" xr:uid="{50F64BBF-9CC9-417A-9FB9-74733C21A3E6}"/>
    <cellStyle name="Normal 6 4 3 2" xfId="2456" xr:uid="{C54B54DF-E9E5-4BE3-A825-3BCF2A6B24DD}"/>
    <cellStyle name="Normal 6 4 4" xfId="1312" xr:uid="{E7BEE3C4-C023-4491-A5BF-73EB8364CF21}"/>
    <cellStyle name="Normal 6 4 4 2" xfId="2457" xr:uid="{9BD77432-1F08-4337-8FFB-C6EB54285171}"/>
    <cellStyle name="Normal 6 4 5" xfId="1313" xr:uid="{C0283D59-3D2A-42EC-8C78-E49EE9128B41}"/>
    <cellStyle name="Normal 6 4 5 2" xfId="2458" xr:uid="{0A3E4D84-A11B-46F3-82A8-6B6D944A8B50}"/>
    <cellStyle name="Normal 6 4 6" xfId="1314" xr:uid="{CF96C83D-D7D2-4E47-92E4-C5EFA292D915}"/>
    <cellStyle name="Normal 6 4 6 2" xfId="2459" xr:uid="{86EF5131-9148-4D91-A60E-5B0E3B12EC56}"/>
    <cellStyle name="Normal 6 4 7" xfId="1315" xr:uid="{45BD0CAC-E969-4347-8C56-98368DA935BF}"/>
    <cellStyle name="Normal 6 4 7 2" xfId="2460" xr:uid="{DA4E3F69-E209-43BC-9E62-0E9A0A3AF3DF}"/>
    <cellStyle name="Normal 6 4 8" xfId="1316" xr:uid="{AD8E8B34-CFAC-4C91-BF37-C9814C43F4FD}"/>
    <cellStyle name="Normal 6 4 8 2" xfId="2461" xr:uid="{A51AB524-7A05-447F-AD8D-B91C0ECBB72A}"/>
    <cellStyle name="Normal 6 4 9" xfId="2454" xr:uid="{6B464E2E-A7B8-4711-86DE-79B630DA92C9}"/>
    <cellStyle name="Normal 6 5" xfId="1317" xr:uid="{9699AD79-2789-43CD-A8CA-51DD0EAB804E}"/>
    <cellStyle name="Normal 6 5 2" xfId="1318" xr:uid="{8A2511B6-CD84-48D0-8B79-626B5A57B80A}"/>
    <cellStyle name="Normal 6 5 2 2" xfId="2463" xr:uid="{0619B04A-43CD-4173-94AF-23BC08B7333D}"/>
    <cellStyle name="Normal 6 5 3" xfId="1319" xr:uid="{D71CE603-AC59-4811-A457-866E8C79CE79}"/>
    <cellStyle name="Normal 6 5 3 2" xfId="2464" xr:uid="{DC3B82AA-19F1-4B8C-B289-C1FBFD980455}"/>
    <cellStyle name="Normal 6 5 4" xfId="1320" xr:uid="{02C4D0D5-A274-4AA6-A1E7-3E07C06C6650}"/>
    <cellStyle name="Normal 6 5 4 2" xfId="2465" xr:uid="{48C00520-8142-4619-ACC5-44D9F12ABC75}"/>
    <cellStyle name="Normal 6 5 5" xfId="1321" xr:uid="{E065B864-4829-4650-A63C-739D37174F46}"/>
    <cellStyle name="Normal 6 5 5 2" xfId="2466" xr:uid="{D4DF0B28-8C8E-42E4-8449-2CA2FACCE8F1}"/>
    <cellStyle name="Normal 6 5 6" xfId="1322" xr:uid="{BAB30CE2-CE68-41F4-98BF-3E3BD634EA1A}"/>
    <cellStyle name="Normal 6 5 6 2" xfId="2467" xr:uid="{10B4C629-1739-4CB8-86DA-6F4C2304FCD8}"/>
    <cellStyle name="Normal 6 5 7" xfId="1323" xr:uid="{04282746-4ED3-45DB-9949-DB979F926205}"/>
    <cellStyle name="Normal 6 5 7 2" xfId="2468" xr:uid="{A8C94C50-AD04-48CB-ACDE-99D588FF5CFE}"/>
    <cellStyle name="Normal 6 5 8" xfId="1324" xr:uid="{E9748218-73AC-4229-A380-94DFC7EA22B5}"/>
    <cellStyle name="Normal 6 5 8 2" xfId="2469" xr:uid="{31741DFE-28AB-4F96-884B-25232C1C43BD}"/>
    <cellStyle name="Normal 6 5 9" xfId="2462" xr:uid="{0034EBD1-51E3-4198-9D5D-A4973DFAFFA2}"/>
    <cellStyle name="Normal 6 6" xfId="1325" xr:uid="{7D38949E-35EE-46F1-A72C-802D763E7F62}"/>
    <cellStyle name="Normal 6 6 2" xfId="2470" xr:uid="{BFEC8DA3-3FC2-4D2B-9CC4-5B0E754FFAD1}"/>
    <cellStyle name="Normal 6 7" xfId="1326" xr:uid="{1D94A4D4-CC60-4B2D-912B-91AA7B340A2D}"/>
    <cellStyle name="Normal 6 7 2" xfId="2471" xr:uid="{B8CC5DEA-5714-45DB-9B74-44E5ECA19515}"/>
    <cellStyle name="Normal 6 8" xfId="1327" xr:uid="{6FABA7FB-2791-46A1-B05F-4EA68166DFF3}"/>
    <cellStyle name="Normal 6 8 2" xfId="2472" xr:uid="{7B0D1C62-CC78-4A34-8CFB-AA74FA37640C}"/>
    <cellStyle name="Normal 6 9" xfId="1328" xr:uid="{DD101296-E9D1-4068-BC7B-EA67D4860EFA}"/>
    <cellStyle name="Normal 6 9 2" xfId="2473" xr:uid="{F1A48633-6BB5-4FEF-8380-0BF39335B3E9}"/>
    <cellStyle name="Normal 7" xfId="135" xr:uid="{6FFA829A-2ED9-4602-9F58-1D6B5C316AAD}"/>
    <cellStyle name="Normal 7 10" xfId="1330" xr:uid="{AD3B767A-4E0A-4649-8757-FCA8B76E6B36}"/>
    <cellStyle name="Normal 7 10 2" xfId="2475" xr:uid="{B74B4C42-C621-43BA-85A4-063EB0AB15E0}"/>
    <cellStyle name="Normal 7 11" xfId="1331" xr:uid="{5074E220-9F7E-4F19-9FCF-6BE306C94B6D}"/>
    <cellStyle name="Normal 7 11 2" xfId="2476" xr:uid="{F67D7119-DD0A-43A7-B3B0-3E99438F6678}"/>
    <cellStyle name="Normal 7 12" xfId="1332" xr:uid="{E1FE7A09-2D97-478A-A9C1-1871AC8AA031}"/>
    <cellStyle name="Normal 7 12 2" xfId="2477" xr:uid="{CF4CAA7B-B19F-4A26-A63F-54C7053CC1E5}"/>
    <cellStyle name="Normal 7 13" xfId="2474" xr:uid="{748B1284-3677-4077-B596-3C0176DE6A07}"/>
    <cellStyle name="Normal 7 14" xfId="1329" xr:uid="{96D6E6C9-DEE7-4F9D-A6B5-1BF783AB02D3}"/>
    <cellStyle name="Normal 7 2" xfId="136" xr:uid="{3C639081-6B65-43A1-819B-53C1F79E0376}"/>
    <cellStyle name="Normal 7 2 10" xfId="1333" xr:uid="{CE75B4D6-1315-48ED-8A59-A96E2CB2D00A}"/>
    <cellStyle name="Normal 7 2 2" xfId="1334" xr:uid="{3A8080CF-E3D6-4966-8E29-B606F5F0EA36}"/>
    <cellStyle name="Normal 7 2 2 2" xfId="2479" xr:uid="{1182D3DC-673C-426D-AE49-548A1C108F28}"/>
    <cellStyle name="Normal 7 2 3" xfId="1335" xr:uid="{EF7113EA-D744-408C-BF2C-1FD1DEF2B07D}"/>
    <cellStyle name="Normal 7 2 3 2" xfId="2480" xr:uid="{7C0CB38A-7ADC-4390-B2F1-9A4C8197282A}"/>
    <cellStyle name="Normal 7 2 4" xfId="1336" xr:uid="{53DE28FF-B4F1-47CA-BDA4-70D1F6BD36FA}"/>
    <cellStyle name="Normal 7 2 4 2" xfId="2481" xr:uid="{D50A225A-659D-40CF-9468-728D77B95800}"/>
    <cellStyle name="Normal 7 2 5" xfId="1337" xr:uid="{7BAF8610-B7A2-4263-BD1C-BA362EB25D7D}"/>
    <cellStyle name="Normal 7 2 5 2" xfId="2482" xr:uid="{5D48A95F-8BA0-45CC-99E8-A3E472BD128B}"/>
    <cellStyle name="Normal 7 2 6" xfId="1338" xr:uid="{791DB4DC-F547-4F1F-85E2-7956F23112A1}"/>
    <cellStyle name="Normal 7 2 6 2" xfId="2483" xr:uid="{DDFD3CB5-7011-469F-9F27-14F72ED6EB24}"/>
    <cellStyle name="Normal 7 2 7" xfId="1339" xr:uid="{A68EAD8E-43AC-4B8B-BC4E-20EFD17C365E}"/>
    <cellStyle name="Normal 7 2 7 2" xfId="2484" xr:uid="{6C87191C-3B56-4EC8-AF4F-8F485BFD3038}"/>
    <cellStyle name="Normal 7 2 8" xfId="1340" xr:uid="{902F18B3-2081-4DA6-9F0E-0BDB7B09C3ED}"/>
    <cellStyle name="Normal 7 2 8 2" xfId="2485" xr:uid="{A9C51106-209F-496E-B23C-F736B4B2F3FE}"/>
    <cellStyle name="Normal 7 2 9" xfId="2478" xr:uid="{93C251D0-1567-459E-8FD5-65B9842B1405}"/>
    <cellStyle name="Normal 7 3" xfId="1341" xr:uid="{C100E800-2C5A-4EC8-9F75-D2393228BC27}"/>
    <cellStyle name="Normal 7 3 2" xfId="1342" xr:uid="{14CBDD0D-654D-4366-B8C3-BF086AAC4F6D}"/>
    <cellStyle name="Normal 7 3 2 2" xfId="2487" xr:uid="{96608647-939C-4375-B7A6-710806D0A2EB}"/>
    <cellStyle name="Normal 7 3 3" xfId="1343" xr:uid="{961D7512-6982-4EE0-AB5B-31DF96A2B73B}"/>
    <cellStyle name="Normal 7 3 3 2" xfId="2488" xr:uid="{70824CE0-7C4A-4F33-B942-83A4DD863483}"/>
    <cellStyle name="Normal 7 3 4" xfId="1344" xr:uid="{9C849FE0-837D-4350-B3C7-8BAAB4DC947E}"/>
    <cellStyle name="Normal 7 3 4 2" xfId="2489" xr:uid="{BEAEDD53-CCA1-4443-848E-9E59A8ACF5F8}"/>
    <cellStyle name="Normal 7 3 5" xfId="1345" xr:uid="{233367C3-9EC2-471B-BA86-287DA6923852}"/>
    <cellStyle name="Normal 7 3 5 2" xfId="2490" xr:uid="{1A207E0E-8903-48F2-9292-9A82EB6E70E4}"/>
    <cellStyle name="Normal 7 3 6" xfId="1346" xr:uid="{7CAF46D5-947B-4D0D-A57C-38A623658984}"/>
    <cellStyle name="Normal 7 3 6 2" xfId="2491" xr:uid="{2DAE9EEA-EB35-454F-AF30-B7D12B967FC4}"/>
    <cellStyle name="Normal 7 3 7" xfId="1347" xr:uid="{70420B04-77F6-4AEF-AE42-6A4EA083AB6F}"/>
    <cellStyle name="Normal 7 3 7 2" xfId="2492" xr:uid="{87780FBA-0E71-467D-9648-B99C5CFE2673}"/>
    <cellStyle name="Normal 7 3 8" xfId="1348" xr:uid="{337C45D4-F668-4E13-9FB6-F2292B33AABD}"/>
    <cellStyle name="Normal 7 3 8 2" xfId="2493" xr:uid="{ACBB522D-873A-45A4-ACEA-50DE8672D736}"/>
    <cellStyle name="Normal 7 3 9" xfId="2486" xr:uid="{1A38A93F-7A12-4CCB-8077-860C7565B5F8}"/>
    <cellStyle name="Normal 7 4" xfId="1349" xr:uid="{02E218C0-3CFD-4929-A1BC-63D8D2530620}"/>
    <cellStyle name="Normal 7 4 2" xfId="1350" xr:uid="{3C9B5A31-2A65-41D1-8556-FF7BBDE73CE6}"/>
    <cellStyle name="Normal 7 4 2 2" xfId="2495" xr:uid="{4D30F43C-D26D-42E8-BE6F-54939F00BE6B}"/>
    <cellStyle name="Normal 7 4 3" xfId="1351" xr:uid="{27B57FA5-E139-4706-9C88-4E5EED54C3FC}"/>
    <cellStyle name="Normal 7 4 3 2" xfId="2496" xr:uid="{7A421A2F-7A02-49AF-92B2-58E3D29E3370}"/>
    <cellStyle name="Normal 7 4 4" xfId="1352" xr:uid="{8A6BA6DF-4EAF-464D-93AA-BA071ED79D5E}"/>
    <cellStyle name="Normal 7 4 4 2" xfId="2497" xr:uid="{6E1C8060-582C-40D1-9A34-CDB7EA5EA1E4}"/>
    <cellStyle name="Normal 7 4 5" xfId="1353" xr:uid="{815A525F-4831-42DE-BC57-288D35D66CC8}"/>
    <cellStyle name="Normal 7 4 5 2" xfId="2498" xr:uid="{D5D55019-F3FB-488B-8F10-7A986B35A8AC}"/>
    <cellStyle name="Normal 7 4 6" xfId="1354" xr:uid="{71618393-A5D7-409C-BF89-A994AF877AA6}"/>
    <cellStyle name="Normal 7 4 6 2" xfId="2499" xr:uid="{E47AB37F-FE3E-4DE0-B479-857B1F4A3B15}"/>
    <cellStyle name="Normal 7 4 7" xfId="1355" xr:uid="{4684E4F3-4154-45CD-AC60-3A0B8D0DD639}"/>
    <cellStyle name="Normal 7 4 7 2" xfId="2500" xr:uid="{B04895FE-533D-4041-8A44-A9EB6B9A5E64}"/>
    <cellStyle name="Normal 7 4 8" xfId="1356" xr:uid="{3D797BB3-3138-4E7C-A66B-0B6C99471D6A}"/>
    <cellStyle name="Normal 7 4 8 2" xfId="2501" xr:uid="{02A986DB-F259-417F-8675-6DE37C5E93DB}"/>
    <cellStyle name="Normal 7 4 9" xfId="2494" xr:uid="{464F09E8-0D4C-4821-9EE9-8026949DD88A}"/>
    <cellStyle name="Normal 7 5" xfId="1357" xr:uid="{519FC929-590E-4F99-99AE-978148CDF066}"/>
    <cellStyle name="Normal 7 5 2" xfId="1358" xr:uid="{D144651A-5D3A-4BAF-B7BD-2FD0DB34F37C}"/>
    <cellStyle name="Normal 7 5 2 2" xfId="2503" xr:uid="{2F25CC01-FF40-4108-AC29-45F7755DAEBC}"/>
    <cellStyle name="Normal 7 5 3" xfId="1359" xr:uid="{BEC9CD92-6C15-45EC-BFDA-179A3EF8DDC3}"/>
    <cellStyle name="Normal 7 5 3 2" xfId="2504" xr:uid="{F1037B43-C1A7-4194-A52B-11F3884F6265}"/>
    <cellStyle name="Normal 7 5 4" xfId="1360" xr:uid="{769EE519-AEA0-4F13-A24C-5C798D7CC907}"/>
    <cellStyle name="Normal 7 5 4 2" xfId="2505" xr:uid="{F19E8E77-254E-4488-83DA-CEBAD78542A9}"/>
    <cellStyle name="Normal 7 5 5" xfId="1361" xr:uid="{9BCB2AC3-D75D-4877-9DF9-E1A1C8F4CF46}"/>
    <cellStyle name="Normal 7 5 5 2" xfId="2506" xr:uid="{C4B5C2CE-94E0-4BA1-9E13-BCF726A2F7F0}"/>
    <cellStyle name="Normal 7 5 6" xfId="1362" xr:uid="{A3AF5A19-1673-4F93-98E5-AA4B8B3635C1}"/>
    <cellStyle name="Normal 7 5 6 2" xfId="2507" xr:uid="{2CAF3023-3D19-43BE-B070-6C2A4702E5CC}"/>
    <cellStyle name="Normal 7 5 7" xfId="1363" xr:uid="{6980C7AF-0EBF-4B17-9303-E12065472D18}"/>
    <cellStyle name="Normal 7 5 7 2" xfId="2508" xr:uid="{086F855B-973C-426E-B871-EE1099B777A1}"/>
    <cellStyle name="Normal 7 5 8" xfId="1364" xr:uid="{B430D53A-1619-4F4E-AA5D-E2E977D34400}"/>
    <cellStyle name="Normal 7 5 8 2" xfId="2509" xr:uid="{124D5805-97DD-4997-B9BA-BB438FE7114B}"/>
    <cellStyle name="Normal 7 5 9" xfId="2502" xr:uid="{D9317609-DC3F-4905-8D88-ECFA72EC89C8}"/>
    <cellStyle name="Normal 7 6" xfId="1365" xr:uid="{823A1B0B-6B95-4AC1-AE30-6369DDF7FC74}"/>
    <cellStyle name="Normal 7 6 2" xfId="2510" xr:uid="{59CDB58F-DB3A-4E2A-BE24-8647A39B66D5}"/>
    <cellStyle name="Normal 7 7" xfId="1366" xr:uid="{84F9E5FE-3BE0-4017-A65D-1B6840A35ADD}"/>
    <cellStyle name="Normal 7 7 2" xfId="2511" xr:uid="{BB3895A8-67B5-4E61-86A2-07BDF2526906}"/>
    <cellStyle name="Normal 7 8" xfId="1367" xr:uid="{71ED8177-0876-4534-BCBE-47B664DC876F}"/>
    <cellStyle name="Normal 7 8 2" xfId="2512" xr:uid="{E4626F9E-FE50-4BDE-BDB8-729AA5EFEEFA}"/>
    <cellStyle name="Normal 7 9" xfId="1368" xr:uid="{F6CA4947-F49C-4E71-9F8E-9D6B95AF3B94}"/>
    <cellStyle name="Normal 7 9 2" xfId="2513" xr:uid="{0AB78906-A165-457B-BA56-1D24233BD090}"/>
    <cellStyle name="Normal 8" xfId="137" xr:uid="{C2F4B269-0448-4AB7-91E9-949494ED66D4}"/>
    <cellStyle name="Normal 8 10" xfId="1370" xr:uid="{BC9B2381-2C8A-4138-AAF0-3FE183482F26}"/>
    <cellStyle name="Normal 8 10 2" xfId="2515" xr:uid="{16F59EEC-8E3D-498C-94A7-53373C84F3F5}"/>
    <cellStyle name="Normal 8 11" xfId="1371" xr:uid="{BB17C463-25D3-4873-8961-4790E16CFC42}"/>
    <cellStyle name="Normal 8 11 2" xfId="2516" xr:uid="{44F61789-04E6-4B6B-9C01-C0965AE32A12}"/>
    <cellStyle name="Normal 8 12" xfId="1372" xr:uid="{25B9F42C-2D49-411B-A4FA-73DCEEE80532}"/>
    <cellStyle name="Normal 8 12 2" xfId="2517" xr:uid="{08A7B502-016A-4AA6-8F3D-FC5AF5D56018}"/>
    <cellStyle name="Normal 8 13" xfId="2514" xr:uid="{DFBE5DB5-37B5-4F9A-A031-7E9EA59976EB}"/>
    <cellStyle name="Normal 8 14" xfId="1369" xr:uid="{B397F092-9C7E-4F5D-A64A-14DE51FE3AF3}"/>
    <cellStyle name="Normal 8 2" xfId="138" xr:uid="{598A94CF-39B8-4847-8489-5A6D7C24FACA}"/>
    <cellStyle name="Normal 8 2 10" xfId="1373" xr:uid="{A1017A5C-0685-407B-A711-620CF06CD01C}"/>
    <cellStyle name="Normal 8 2 2" xfId="1374" xr:uid="{59375DD0-556E-4248-9869-9BEFAD6ED5B2}"/>
    <cellStyle name="Normal 8 2 2 2" xfId="2519" xr:uid="{98756763-B989-4682-9306-46B8AE8890A3}"/>
    <cellStyle name="Normal 8 2 3" xfId="1375" xr:uid="{F90C4820-6C66-4CDF-B6E3-53D272D0D9D2}"/>
    <cellStyle name="Normal 8 2 3 2" xfId="2520" xr:uid="{2482D15D-2DD8-4626-8E3B-94A55E547FBC}"/>
    <cellStyle name="Normal 8 2 4" xfId="1376" xr:uid="{17235A83-D00D-4CB8-BAF4-3CE78CD563A3}"/>
    <cellStyle name="Normal 8 2 4 2" xfId="2521" xr:uid="{FB50C7C3-292B-4440-9A5C-0D1752E20125}"/>
    <cellStyle name="Normal 8 2 5" xfId="1377" xr:uid="{050C5FFC-8E80-4F66-A4C2-4B2EBBE67E80}"/>
    <cellStyle name="Normal 8 2 5 2" xfId="2522" xr:uid="{5114CA63-06FA-4C24-B3EB-BF54E67AC54E}"/>
    <cellStyle name="Normal 8 2 6" xfId="1378" xr:uid="{70683FE2-AE99-49EE-96A8-378D07A44288}"/>
    <cellStyle name="Normal 8 2 6 2" xfId="2523" xr:uid="{DDA6ECEF-D0A6-48EC-A713-039BB7533BB3}"/>
    <cellStyle name="Normal 8 2 7" xfId="1379" xr:uid="{94E9D6FE-5E38-4873-A923-8EADE2194351}"/>
    <cellStyle name="Normal 8 2 7 2" xfId="2524" xr:uid="{BD22D65E-6BEA-41E0-9436-59650B422BAD}"/>
    <cellStyle name="Normal 8 2 8" xfId="1380" xr:uid="{E85519FE-4FBB-4C13-9D81-751E4A183364}"/>
    <cellStyle name="Normal 8 2 8 2" xfId="2525" xr:uid="{ACC5C1E0-DD3A-41AA-B9C7-3148089299AD}"/>
    <cellStyle name="Normal 8 2 9" xfId="2518" xr:uid="{124269E0-DD06-4095-8976-A01E43AAF6DE}"/>
    <cellStyle name="Normal 8 3" xfId="1381" xr:uid="{26343FFA-C6F9-481F-BE71-2E1C88581C9E}"/>
    <cellStyle name="Normal 8 3 2" xfId="1382" xr:uid="{3C20166C-A039-433C-AB65-1F1E2EA4E177}"/>
    <cellStyle name="Normal 8 3 2 2" xfId="2527" xr:uid="{5B5A7519-3676-4858-981E-58D3AC70B1B9}"/>
    <cellStyle name="Normal 8 3 3" xfId="1383" xr:uid="{4381FBAD-1404-4790-80CB-491D167D1D86}"/>
    <cellStyle name="Normal 8 3 3 2" xfId="2528" xr:uid="{2DED4C50-8710-41FF-A5ED-068D6C048623}"/>
    <cellStyle name="Normal 8 3 4" xfId="1384" xr:uid="{57760045-C770-4A33-B56F-0754DF8E9094}"/>
    <cellStyle name="Normal 8 3 4 2" xfId="2529" xr:uid="{A40A0221-51DE-4B06-A537-AEB0B31DA61A}"/>
    <cellStyle name="Normal 8 3 5" xfId="1385" xr:uid="{62C0F2CB-B879-41B2-A0C9-71F9D64DD7B0}"/>
    <cellStyle name="Normal 8 3 5 2" xfId="2530" xr:uid="{B1ABE955-6CBB-4465-A146-4B39A0D65AAD}"/>
    <cellStyle name="Normal 8 3 6" xfId="1386" xr:uid="{22871301-3326-4E4B-A9D6-33E8BE8A6F3C}"/>
    <cellStyle name="Normal 8 3 6 2" xfId="2531" xr:uid="{04353A6A-44C7-42D6-A4CC-5633A8AA12A0}"/>
    <cellStyle name="Normal 8 3 7" xfId="1387" xr:uid="{E58E3F26-53ED-4E34-9D03-B01E87D82A6E}"/>
    <cellStyle name="Normal 8 3 7 2" xfId="2532" xr:uid="{74A8CA00-0465-4BFE-AA44-A5680EE361E7}"/>
    <cellStyle name="Normal 8 3 8" xfId="1388" xr:uid="{67B8BA07-6848-4AE2-8434-DA7E741CD01A}"/>
    <cellStyle name="Normal 8 3 8 2" xfId="2533" xr:uid="{64BDC876-7617-4D4A-A639-76406E66313E}"/>
    <cellStyle name="Normal 8 3 9" xfId="2526" xr:uid="{FCFCDBE9-6912-4805-BDB6-3F7A45110C90}"/>
    <cellStyle name="Normal 8 4" xfId="1389" xr:uid="{F9DDD331-B55B-495B-B77A-C5A20F77E590}"/>
    <cellStyle name="Normal 8 4 2" xfId="1390" xr:uid="{4F5D1ED0-F7E6-4A23-B703-6C9AFCB3468C}"/>
    <cellStyle name="Normal 8 4 2 2" xfId="2535" xr:uid="{CD9AF367-6252-4496-9E2D-EC8656E3F234}"/>
    <cellStyle name="Normal 8 4 3" xfId="1391" xr:uid="{C893E51D-31CC-4236-B334-64D44F57DFAE}"/>
    <cellStyle name="Normal 8 4 3 2" xfId="2536" xr:uid="{AECD414F-ADAE-4E64-B0D6-A1D322355930}"/>
    <cellStyle name="Normal 8 4 4" xfId="1392" xr:uid="{1F9AF46D-BC46-4B3D-8884-4A4F37781D5A}"/>
    <cellStyle name="Normal 8 4 4 2" xfId="2537" xr:uid="{974E5808-1D13-436C-A024-3EE5329A3FBF}"/>
    <cellStyle name="Normal 8 4 5" xfId="1393" xr:uid="{062DDD3B-7244-4943-AC9B-DC5731D29056}"/>
    <cellStyle name="Normal 8 4 5 2" xfId="2538" xr:uid="{97A6697E-E0D9-41C0-A93E-687D847ABBFD}"/>
    <cellStyle name="Normal 8 4 6" xfId="1394" xr:uid="{0A344C80-1BB3-4110-8333-6EE7CABF5234}"/>
    <cellStyle name="Normal 8 4 6 2" xfId="2539" xr:uid="{E4F4DF6E-DFDB-4F4D-AD1D-E1C66BCCEEB2}"/>
    <cellStyle name="Normal 8 4 7" xfId="1395" xr:uid="{42D9CB47-F6CC-4EFC-B057-CDE35F4E94C5}"/>
    <cellStyle name="Normal 8 4 7 2" xfId="2540" xr:uid="{3B5846E5-C2D9-4358-A59E-2965F38BBBF6}"/>
    <cellStyle name="Normal 8 4 8" xfId="1396" xr:uid="{E6AC18D3-ACEF-455D-B99E-15C41DCD91F9}"/>
    <cellStyle name="Normal 8 4 8 2" xfId="2541" xr:uid="{DFB2E41C-253E-44FB-82AB-1A72DA1C2CFC}"/>
    <cellStyle name="Normal 8 4 9" xfId="2534" xr:uid="{C2358122-1671-4D56-B996-C9FFCA0D3284}"/>
    <cellStyle name="Normal 8 5" xfId="1397" xr:uid="{39C4BDCE-F83C-4BBE-8B91-F37B25311E82}"/>
    <cellStyle name="Normal 8 5 2" xfId="1398" xr:uid="{70E1E3D4-8C10-4107-AD1A-B43728B8DBE9}"/>
    <cellStyle name="Normal 8 5 2 2" xfId="2543" xr:uid="{81CBDC1F-90B9-4DD4-970C-CF7E8B98A3E9}"/>
    <cellStyle name="Normal 8 5 3" xfId="1399" xr:uid="{2E6966F7-BE0A-42EF-87EB-C34EAEA9ECE3}"/>
    <cellStyle name="Normal 8 5 3 2" xfId="2544" xr:uid="{90FADF6A-B73A-4971-BB5B-A6166BBE319D}"/>
    <cellStyle name="Normal 8 5 4" xfId="1400" xr:uid="{D984C309-A67F-4EF8-8E7F-7256A09CDE5D}"/>
    <cellStyle name="Normal 8 5 4 2" xfId="2545" xr:uid="{991D7D32-6451-4EDB-A03B-CF1B04AC224C}"/>
    <cellStyle name="Normal 8 5 5" xfId="1401" xr:uid="{2C868CCA-4C9C-4321-8C1B-922B8466586C}"/>
    <cellStyle name="Normal 8 5 5 2" xfId="2546" xr:uid="{92B4E927-956C-4F5B-8F7F-625A3E6286F2}"/>
    <cellStyle name="Normal 8 5 6" xfId="1402" xr:uid="{F5D250AF-B68A-4670-8420-E6294ADF69D3}"/>
    <cellStyle name="Normal 8 5 6 2" xfId="2547" xr:uid="{B900B8F2-1AC8-414B-B1C9-C51601706E01}"/>
    <cellStyle name="Normal 8 5 7" xfId="1403" xr:uid="{C1BD4A35-E596-4274-8DED-E742E283A822}"/>
    <cellStyle name="Normal 8 5 7 2" xfId="2548" xr:uid="{D276C5E4-323C-48D2-A8CA-F3BB596CA57A}"/>
    <cellStyle name="Normal 8 5 8" xfId="1404" xr:uid="{2097D7B1-8B3F-494E-A1F2-DB1B24EDA21F}"/>
    <cellStyle name="Normal 8 5 8 2" xfId="2549" xr:uid="{7A3DC5C4-C245-4D75-A13B-6938EBF5C151}"/>
    <cellStyle name="Normal 8 5 9" xfId="2542" xr:uid="{70027872-6AD3-4C66-8B46-DF4C3CF4DF00}"/>
    <cellStyle name="Normal 8 6" xfId="1405" xr:uid="{C2D7675C-5B38-434C-9969-671968CE43D4}"/>
    <cellStyle name="Normal 8 6 2" xfId="2550" xr:uid="{A6E3F0DF-F6A6-463D-AC22-F896A321897E}"/>
    <cellStyle name="Normal 8 7" xfId="1406" xr:uid="{53867CB3-92C0-4A59-B907-AD65B76A57CF}"/>
    <cellStyle name="Normal 8 7 2" xfId="2551" xr:uid="{4E0C9B47-DBB6-4C80-8B87-C8EA41EA1B3A}"/>
    <cellStyle name="Normal 8 8" xfId="1407" xr:uid="{3D647240-7465-4459-8D9F-39F6D41BFFA6}"/>
    <cellStyle name="Normal 8 8 2" xfId="2552" xr:uid="{5BE2B812-C6A8-48E9-9169-5E92517DDFF0}"/>
    <cellStyle name="Normal 8 9" xfId="1408" xr:uid="{B5A51043-11F8-430C-A925-046F6ACC7F7D}"/>
    <cellStyle name="Normal 8 9 2" xfId="2553" xr:uid="{B23A8461-04A3-404B-BDD5-A6938A7EBEF4}"/>
    <cellStyle name="Normal 9" xfId="139" xr:uid="{4A13B543-22FE-45B2-B8E7-4B49FA920AAA}"/>
    <cellStyle name="Normal 9 10" xfId="1409" xr:uid="{DCBADC8D-299C-4116-B023-CB5AB9D771CB}"/>
    <cellStyle name="Normal 9 2" xfId="1410" xr:uid="{BDEA5754-D8F6-409F-9212-E70531A4FD7C}"/>
    <cellStyle name="Normal 9 2 2" xfId="2555" xr:uid="{4FA0A48D-30AC-4298-A119-D32123D7DBA8}"/>
    <cellStyle name="Normal 9 3" xfId="1411" xr:uid="{D365A60B-3D14-4C7C-B74E-E4ED016D735C}"/>
    <cellStyle name="Normal 9 3 2" xfId="2556" xr:uid="{3E4E4412-72AA-4648-88ED-7F40DCE32838}"/>
    <cellStyle name="Normal 9 4" xfId="1412" xr:uid="{372823E0-18ED-4747-A947-E05C61D61A13}"/>
    <cellStyle name="Normal 9 4 2" xfId="2557" xr:uid="{E7441711-444E-4E15-91FD-72ECC74B2131}"/>
    <cellStyle name="Normal 9 5" xfId="1413" xr:uid="{ECF2090B-31B3-410E-9EC3-F77A8EF62E00}"/>
    <cellStyle name="Normal 9 5 2" xfId="2558" xr:uid="{F664159A-F213-42AD-B199-A34926FF523B}"/>
    <cellStyle name="Normal 9 6" xfId="1414" xr:uid="{D51D669D-A310-41DD-8723-5CE2CA631518}"/>
    <cellStyle name="Normal 9 6 2" xfId="2559" xr:uid="{BBDE27A0-E618-4724-8938-BFE7807E1365}"/>
    <cellStyle name="Normal 9 7" xfId="1415" xr:uid="{B247FABA-FC7C-4A5C-ABBA-87AC5B9DADC9}"/>
    <cellStyle name="Normal 9 7 2" xfId="2560" xr:uid="{CB5E3691-51BB-43F6-A8B3-BCA79B7127AF}"/>
    <cellStyle name="Normal 9 8" xfId="1416" xr:uid="{11778653-E2A3-4EFA-9290-F2136B5B7DF3}"/>
    <cellStyle name="Normal 9 8 2" xfId="2561" xr:uid="{3E94C147-4A1A-4B74-98D8-09CB8837DD6E}"/>
    <cellStyle name="Normal 9 9" xfId="2554" xr:uid="{CF4B72E2-D2FF-4831-B7DB-A104DD978520}"/>
    <cellStyle name="Normal GHG Numbers (0.00)" xfId="205" xr:uid="{13E8AAFC-0AC4-4908-A5C6-7F65D99E58E2}"/>
    <cellStyle name="Normal GHG Textfiels Bold" xfId="206" xr:uid="{955F2F75-B24F-4AA7-A893-285D8BAD171B}"/>
    <cellStyle name="Normal GHG-Shade" xfId="207" xr:uid="{50AEDAFD-3AE9-4764-B875-5519E5600BDE}"/>
    <cellStyle name="Normal GHG-Shade 2" xfId="1417" xr:uid="{B4117865-BB9A-456D-BE22-6F2B696B5A08}"/>
    <cellStyle name="Normal GHG-Shade 2 2" xfId="2563" xr:uid="{A4C765C0-CA7D-4F0B-B5FB-871498902100}"/>
    <cellStyle name="Normal GHG-Shade 3" xfId="2562" xr:uid="{2E8407A6-F3F1-44DF-90BB-DDB00B93A28E}"/>
    <cellStyle name="Normale_B2020" xfId="140" xr:uid="{FE2E0BAA-EC3E-4696-9D5D-E62026B24C47}"/>
    <cellStyle name="Note 2" xfId="141" xr:uid="{EDA02626-43A4-48CE-A9EE-4C26C297796D}"/>
    <cellStyle name="Note 2 10" xfId="1419" xr:uid="{5680B430-39CE-49AF-AB8B-94B49BCE2E93}"/>
    <cellStyle name="Note 2 10 2" xfId="2565" xr:uid="{A1AA7EF1-0452-43B2-921A-1CE45A7BC5AD}"/>
    <cellStyle name="Note 2 11" xfId="1420" xr:uid="{86CF160E-1CC3-4A35-B31D-BCDAE41A9AC4}"/>
    <cellStyle name="Note 2 11 2" xfId="2566" xr:uid="{0A0A0EA9-A159-427B-9F4E-EB10423EBDC6}"/>
    <cellStyle name="Note 2 12" xfId="1421" xr:uid="{AC2F1522-A051-46BD-AF74-FD513D39E53F}"/>
    <cellStyle name="Note 2 12 2" xfId="2567" xr:uid="{30F0B66A-4ACF-42E9-9BB8-267743569F7B}"/>
    <cellStyle name="Note 2 13" xfId="1422" xr:uid="{FEB04054-AC69-4700-A055-0FC58EA6EBF2}"/>
    <cellStyle name="Note 2 13 2" xfId="2568" xr:uid="{1C0B625C-540D-488A-9C25-6B969FC2FCF6}"/>
    <cellStyle name="Note 2 14" xfId="1423" xr:uid="{DCB47650-7699-4EE0-9C28-6B0716FF81CC}"/>
    <cellStyle name="Note 2 14 2" xfId="2569" xr:uid="{89FEBC79-8C50-4721-BD91-F96BD0439B46}"/>
    <cellStyle name="Note 2 15" xfId="1424" xr:uid="{1BDE77B2-7FB2-4094-BD53-2EA68B3E1BC5}"/>
    <cellStyle name="Note 2 15 2" xfId="2570" xr:uid="{02EF6621-ED18-492A-B40E-4FF0BA5E38EB}"/>
    <cellStyle name="Note 2 16" xfId="2564" xr:uid="{082C813D-23B4-4D32-869E-20C0FF35FC00}"/>
    <cellStyle name="Note 2 17" xfId="1418" xr:uid="{5D2B9C41-E823-4692-806F-87C8F4F8508C}"/>
    <cellStyle name="Note 2 2" xfId="1425" xr:uid="{499E07E0-CF04-4E05-AAF2-1F3C4D6C6334}"/>
    <cellStyle name="Note 2 2 2" xfId="1426" xr:uid="{82C46E5F-481C-45A8-8AC7-1B300F697A49}"/>
    <cellStyle name="Note 2 2 2 2" xfId="2571" xr:uid="{D91A8923-424A-4271-86C5-4CA50248DFE8}"/>
    <cellStyle name="Note 2 3" xfId="1427" xr:uid="{E12A6B78-1046-427D-8D81-7D53BE90F379}"/>
    <cellStyle name="Note 2 3 2" xfId="2572" xr:uid="{31741998-18AB-4359-A6B8-5292BA617948}"/>
    <cellStyle name="Note 2 4" xfId="1428" xr:uid="{97F43017-0BD6-45A2-A2B6-9ECA5A6A55CC}"/>
    <cellStyle name="Note 2 4 2" xfId="2573" xr:uid="{940643C3-92C0-46B3-B00E-7E5D5BDFDA9A}"/>
    <cellStyle name="Note 2 5" xfId="1429" xr:uid="{AE546C1D-FFB0-47CA-A2DE-0F33413DE726}"/>
    <cellStyle name="Note 2 5 2" xfId="2574" xr:uid="{F1BA1A49-C2EA-4E6F-9B31-52ABD5A8DB93}"/>
    <cellStyle name="Note 2 6" xfId="1430" xr:uid="{2C67F5D8-5F76-49E4-B705-A58B6C847146}"/>
    <cellStyle name="Note 2 6 2" xfId="2575" xr:uid="{2C0BBCAA-80BC-4C41-AE7A-2242037D9619}"/>
    <cellStyle name="Note 2 7" xfId="1431" xr:uid="{00C354FC-AB3A-489D-9A28-1998C4149A3E}"/>
    <cellStyle name="Note 2 7 2" xfId="2576" xr:uid="{E811ADBD-056E-42CD-81A7-4759FF969E48}"/>
    <cellStyle name="Note 2 8" xfId="1432" xr:uid="{E3CEE26E-34CA-45E2-A0A2-027DB2952D77}"/>
    <cellStyle name="Note 2 8 2" xfId="2577" xr:uid="{7CF23F99-2DC5-4C7F-BEE6-5E05EA0A91C7}"/>
    <cellStyle name="Note 2 9" xfId="1433" xr:uid="{F8C32852-FC83-4C73-8DE4-8DC3C1BB6C0D}"/>
    <cellStyle name="Note 2 9 2" xfId="2578" xr:uid="{1915BAAC-2BA5-4D19-83F5-F42A9A8BF2F1}"/>
    <cellStyle name="Note 3" xfId="142" xr:uid="{41719266-29A1-403D-80EF-6866709B9652}"/>
    <cellStyle name="Note 3 2" xfId="143" xr:uid="{DB2CBF8E-C7D7-4BA5-8121-4DF82DEB65B2}"/>
    <cellStyle name="Note 3 2 2" xfId="2579" xr:uid="{B2E1208F-38EE-4E14-B660-1CD72BD93B9F}"/>
    <cellStyle name="Note 3 2 3" xfId="1435" xr:uid="{9D894E00-6818-4E76-B743-ABF57EE00295}"/>
    <cellStyle name="Note 3 3" xfId="1434" xr:uid="{ACCF915C-D870-4C21-9D00-D0C71F775AAC}"/>
    <cellStyle name="Note 4" xfId="1436" xr:uid="{54CF8E54-946C-458F-A4A9-1952F15B2349}"/>
    <cellStyle name="Note 4 2" xfId="2580" xr:uid="{C38C2801-18AD-4C52-845A-881AB76DC5A5}"/>
    <cellStyle name="Note 5" xfId="1437" xr:uid="{9ED17D38-0FEF-4119-AB21-596F6CB7F519}"/>
    <cellStyle name="Note 5 2" xfId="2581" xr:uid="{AE472C7E-6E98-4D63-B243-BBE63375E36D}"/>
    <cellStyle name="Note 6" xfId="1438" xr:uid="{48BB35D8-F872-4BEE-B06E-F87473B7D3D6}"/>
    <cellStyle name="Note 6 2" xfId="2582" xr:uid="{48E34086-F7AA-4A0A-B98D-173E873BB9EE}"/>
    <cellStyle name="Note 7" xfId="1439" xr:uid="{BD8C784C-94E1-47CB-A2A1-1AF0EED2A842}"/>
    <cellStyle name="Note 7 2" xfId="2583" xr:uid="{0277DBDB-DA94-4ABD-8EBC-96E1E5C6E2BB}"/>
    <cellStyle name="Note 8" xfId="1440" xr:uid="{6D13CCC9-ECC8-49FA-8D83-AFB4FAAEC1B2}"/>
    <cellStyle name="Note 8 2" xfId="2584" xr:uid="{B875568E-EED9-464B-A4C8-D6CB21796AF6}"/>
    <cellStyle name="num_note" xfId="1441" xr:uid="{3613865E-81E2-42CC-9F73-E9FE969E07B0}"/>
    <cellStyle name="Nuovo" xfId="1442" xr:uid="{EE7060A5-CD52-43D5-B5DB-A8CFC5D23D03}"/>
    <cellStyle name="Nuovo 2" xfId="2585" xr:uid="{4C0E5E2B-84C3-47D5-8093-BD17DFC3D25E}"/>
    <cellStyle name="Output 2" xfId="144" xr:uid="{734599D8-F784-4C11-89B4-B8CDA965B564}"/>
    <cellStyle name="Output 2 10" xfId="1443" xr:uid="{ED4C629C-E60D-44E8-9B5C-F162619904D9}"/>
    <cellStyle name="Output 2 2" xfId="1444" xr:uid="{2F4ED85F-14A1-4588-9BF2-6D405EB65F8A}"/>
    <cellStyle name="Output 2 3" xfId="1445" xr:uid="{E70A6C0E-9A24-4E75-B07B-B2205452913B}"/>
    <cellStyle name="Output 2 4" xfId="1446" xr:uid="{E8D04BEB-2914-42B7-A9F2-0E8665659305}"/>
    <cellStyle name="Output 2 5" xfId="1447" xr:uid="{84E17AC1-DFD1-41E4-96D0-BD30033D9246}"/>
    <cellStyle name="Output 2 6" xfId="1448" xr:uid="{6DB50140-83D4-4E23-B786-37C0D41E45C5}"/>
    <cellStyle name="Output 2 7" xfId="1449" xr:uid="{726DDA87-72FB-4697-B461-E2F1B98499FC}"/>
    <cellStyle name="Output 2 8" xfId="1450" xr:uid="{461C4C89-146A-4B78-A4FF-FFCD4A9E19CE}"/>
    <cellStyle name="Output 2 9" xfId="1451" xr:uid="{9222EF5E-8351-4C72-8469-3788FD3100D0}"/>
    <cellStyle name="Output 3" xfId="145" xr:uid="{C6C28385-74C5-4C38-A98D-3C5FB8E80BB9}"/>
    <cellStyle name="Output 3 2" xfId="1452" xr:uid="{FE58BCC3-F72F-4D1F-9B51-C373B60A4165}"/>
    <cellStyle name="Percent" xfId="1" builtinId="5"/>
    <cellStyle name="Percent 10" xfId="1453" xr:uid="{4584E137-9767-4E56-B8BD-8A8A53917F35}"/>
    <cellStyle name="Percent 10 2" xfId="1454" xr:uid="{D770616B-73EE-4092-B1DD-A360E5BF5FAF}"/>
    <cellStyle name="Percent 10 2 2" xfId="2587" xr:uid="{FC469AC2-FA2A-443F-9A4D-F770E5E2356F}"/>
    <cellStyle name="Percent 10 3" xfId="1455" xr:uid="{6CC6F0E4-B66A-4346-970F-7DA72C333287}"/>
    <cellStyle name="Percent 10 3 2" xfId="2588" xr:uid="{24A1D6A7-CEE2-422F-A9E8-9985DE29EFE6}"/>
    <cellStyle name="Percent 10 4" xfId="1456" xr:uid="{E28E8DD4-5565-4FBA-A161-7EE3EA73CB35}"/>
    <cellStyle name="Percent 10 4 2" xfId="2589" xr:uid="{98E2AE47-FC27-45BD-B293-4C302F791A58}"/>
    <cellStyle name="Percent 10 5" xfId="1457" xr:uid="{1D031206-3EAD-4AF4-99C2-65CBFF5BEABD}"/>
    <cellStyle name="Percent 10 5 2" xfId="2590" xr:uid="{79276EDC-20D7-4D78-8786-5B153D836AA0}"/>
    <cellStyle name="Percent 10 6" xfId="1458" xr:uid="{3C9A6434-CEF9-49F2-9E0A-5036BF1FE248}"/>
    <cellStyle name="Percent 10 6 2" xfId="2591" xr:uid="{E8034BDC-FF99-44A3-B932-7FFBFA8568D6}"/>
    <cellStyle name="Percent 10 7" xfId="1459" xr:uid="{E232159A-515E-4C76-8F48-44474DE34AF7}"/>
    <cellStyle name="Percent 10 7 2" xfId="2592" xr:uid="{C54A4757-B24C-4B14-BBE9-872EBD1C6AF6}"/>
    <cellStyle name="Percent 10 8" xfId="1460" xr:uid="{EEF8C586-05C8-47C1-B68F-270FBC6B5DD8}"/>
    <cellStyle name="Percent 10 8 2" xfId="2593" xr:uid="{260A5109-4900-4E9F-B834-269B28251CBF}"/>
    <cellStyle name="Percent 10 9" xfId="2586" xr:uid="{F2EE2AD2-AC92-4CB5-B765-345B4FBD568D}"/>
    <cellStyle name="Percent 11" xfId="1461" xr:uid="{F69A29CA-5A64-4448-8270-1CAEC5091970}"/>
    <cellStyle name="Percent 11 2" xfId="1462" xr:uid="{9FA4E51A-EAB1-4D35-A1D6-C6ABCC415820}"/>
    <cellStyle name="Percent 11 2 2" xfId="2595" xr:uid="{3735C707-AA34-4224-A141-8351640A3DD0}"/>
    <cellStyle name="Percent 11 3" xfId="1463" xr:uid="{5490BF85-1DD2-4A99-BF44-4BEF593069AA}"/>
    <cellStyle name="Percent 11 3 2" xfId="2596" xr:uid="{305AE634-AB15-41D8-AC53-2F29EA6D9791}"/>
    <cellStyle name="Percent 11 4" xfId="1464" xr:uid="{C7492C5D-FBCA-4151-96F2-D25A78A1DC90}"/>
    <cellStyle name="Percent 11 4 2" xfId="2597" xr:uid="{64FD52EE-8059-4FA2-9F6B-0B63BA107FBE}"/>
    <cellStyle name="Percent 11 5" xfId="1465" xr:uid="{DE8A5D97-CB4F-40BE-8DBC-0665B3B2C473}"/>
    <cellStyle name="Percent 11 5 2" xfId="2598" xr:uid="{977BEE84-8E7B-40DA-89A0-AE71E318EAFE}"/>
    <cellStyle name="Percent 11 6" xfId="1466" xr:uid="{0383B4B4-8A5F-433F-8405-AE222ADCB98E}"/>
    <cellStyle name="Percent 11 6 2" xfId="2599" xr:uid="{CCC9543A-1D7E-4E7A-9F21-427E250EF57D}"/>
    <cellStyle name="Percent 11 7" xfId="1467" xr:uid="{E33389D6-A068-4C21-B03C-BF4C70F69089}"/>
    <cellStyle name="Percent 11 7 2" xfId="2600" xr:uid="{44FBFEFC-045E-4553-B6D8-B08E24A663E2}"/>
    <cellStyle name="Percent 11 8" xfId="1468" xr:uid="{2BA0B51E-CCAF-4114-BCA3-9821FB862370}"/>
    <cellStyle name="Percent 11 8 2" xfId="2601" xr:uid="{9E12E6E1-90AE-4384-A8B6-DFA1BF7BA4C6}"/>
    <cellStyle name="Percent 11 9" xfId="2594" xr:uid="{E5BE1FC2-7D34-4C87-9CD1-D767E21DCC2E}"/>
    <cellStyle name="Percent 12" xfId="1469" xr:uid="{E313F63E-200B-47BD-8C13-24DB7F8E1FF8}"/>
    <cellStyle name="Percent 12 2" xfId="1470" xr:uid="{7EE68612-D226-41BD-99B3-E8900218CF84}"/>
    <cellStyle name="Percent 12 2 2" xfId="2603" xr:uid="{486F6061-3C9B-4D96-847B-E708DB192EC4}"/>
    <cellStyle name="Percent 12 3" xfId="1471" xr:uid="{C982763A-48C1-414D-ABA5-8592C0B6661E}"/>
    <cellStyle name="Percent 12 3 2" xfId="2604" xr:uid="{D0E1F1E2-6AC8-49F9-976A-7EFF456B08CD}"/>
    <cellStyle name="Percent 12 4" xfId="1472" xr:uid="{0706EF97-2E90-4408-84C0-7B79DBC0053A}"/>
    <cellStyle name="Percent 12 4 2" xfId="2605" xr:uid="{E9D9A3FC-FEF3-4AD5-BBE0-A39740402197}"/>
    <cellStyle name="Percent 12 5" xfId="1473" xr:uid="{6CE03705-D091-4FFF-959D-CC503BFE8783}"/>
    <cellStyle name="Percent 12 5 2" xfId="2606" xr:uid="{B086D9D2-CC53-46C3-88FF-B875FE919AFC}"/>
    <cellStyle name="Percent 12 6" xfId="1474" xr:uid="{59A087D8-5A0D-41BB-A124-A02C1B69B2EB}"/>
    <cellStyle name="Percent 12 6 2" xfId="2607" xr:uid="{DA8AA811-3E60-423E-997B-CF5DE41F2C20}"/>
    <cellStyle name="Percent 12 7" xfId="1475" xr:uid="{22666841-D72E-440E-84A8-D7688745DF47}"/>
    <cellStyle name="Percent 12 7 2" xfId="2608" xr:uid="{2E96856C-A5D5-47F3-BF11-3FBF3858345E}"/>
    <cellStyle name="Percent 12 8" xfId="1476" xr:uid="{6E446F96-01D8-4784-A8F8-E97243BA2BD4}"/>
    <cellStyle name="Percent 12 8 2" xfId="2609" xr:uid="{CED49FC8-EF98-4624-B043-210BA9E3F778}"/>
    <cellStyle name="Percent 12 9" xfId="2602" xr:uid="{2C71168D-96D1-4F38-A215-3430D8F82128}"/>
    <cellStyle name="Percent 13" xfId="1477" xr:uid="{E9D8912C-773D-4639-9EC9-426469DC42F6}"/>
    <cellStyle name="Percent 13 2" xfId="1478" xr:uid="{24B1C679-E75E-4937-B008-FFC9039F8CA0}"/>
    <cellStyle name="Percent 13 2 2" xfId="2611" xr:uid="{0A8B0A3C-2883-4889-A70A-BBD86C8A7A60}"/>
    <cellStyle name="Percent 13 3" xfId="1479" xr:uid="{A18CF0E7-4644-4283-8BE4-34497F76AAF4}"/>
    <cellStyle name="Percent 13 3 2" xfId="2612" xr:uid="{15F1C7C3-FAED-46FD-AD88-3D54645E3A7F}"/>
    <cellStyle name="Percent 13 4" xfId="1480" xr:uid="{60BFDB30-CB87-4CD0-8AC4-35B5D2120CB0}"/>
    <cellStyle name="Percent 13 4 2" xfId="2613" xr:uid="{3725A597-A90B-4E5C-87A1-8C6FCECEA1A5}"/>
    <cellStyle name="Percent 13 5" xfId="1481" xr:uid="{E6ED5935-604F-43FE-81E7-02F4EB3536E9}"/>
    <cellStyle name="Percent 13 5 2" xfId="2614" xr:uid="{3EC24563-3579-4062-B403-B33FC4F93E2E}"/>
    <cellStyle name="Percent 13 6" xfId="1482" xr:uid="{E51CAB18-8DBB-4BFE-A982-4C7E0F632FFB}"/>
    <cellStyle name="Percent 13 6 2" xfId="2615" xr:uid="{7D0524AA-4409-4093-835F-846957624FB5}"/>
    <cellStyle name="Percent 13 7" xfId="1483" xr:uid="{4415E461-E08B-46C6-91CD-EC43CB12B953}"/>
    <cellStyle name="Percent 13 7 2" xfId="2616" xr:uid="{7332ECCF-85F1-41FF-A2D6-2A53A3A3F218}"/>
    <cellStyle name="Percent 13 8" xfId="1484" xr:uid="{7F104079-8E10-4D4A-A9F5-543B122919FC}"/>
    <cellStyle name="Percent 13 8 2" xfId="2617" xr:uid="{4DFCA0A9-21DD-4591-ABE2-74D09211423F}"/>
    <cellStyle name="Percent 13 9" xfId="2610" xr:uid="{0C4A713F-2069-465C-AEA3-126C1D46E2F6}"/>
    <cellStyle name="Percent 14" xfId="1485" xr:uid="{1F78247E-1F0E-4BA3-B020-881FE81DEDC2}"/>
    <cellStyle name="Percent 14 2" xfId="1486" xr:uid="{7965FC20-3986-4BA3-A261-AAA499A1C02B}"/>
    <cellStyle name="Percent 14 2 2" xfId="2619" xr:uid="{D7773614-878D-4CD1-8CE4-1371BAE216DA}"/>
    <cellStyle name="Percent 14 3" xfId="1487" xr:uid="{6ABDFCFA-7144-4240-8394-92222417DC88}"/>
    <cellStyle name="Percent 14 3 2" xfId="2620" xr:uid="{40D75F19-1F6A-4661-895E-BCF34584B346}"/>
    <cellStyle name="Percent 14 4" xfId="1488" xr:uid="{7D3B983D-6656-4060-9C68-9342B55B2CD7}"/>
    <cellStyle name="Percent 14 4 2" xfId="2621" xr:uid="{ADFE0064-C319-472F-9103-CA240BE0DD70}"/>
    <cellStyle name="Percent 14 5" xfId="1489" xr:uid="{42880DB6-CD47-4D32-A153-3E2540F7EB85}"/>
    <cellStyle name="Percent 14 5 2" xfId="2622" xr:uid="{C10E97AE-727C-4F1E-9D0E-22A015DF4BD2}"/>
    <cellStyle name="Percent 14 6" xfId="1490" xr:uid="{E9B410B7-404C-4D9A-8860-14129678A143}"/>
    <cellStyle name="Percent 14 6 2" xfId="2623" xr:uid="{B4C1F24A-9975-4A41-84DB-7E006DCFE0DC}"/>
    <cellStyle name="Percent 14 7" xfId="1491" xr:uid="{FD79478E-7121-41A3-96D6-73B3298155B3}"/>
    <cellStyle name="Percent 14 7 2" xfId="2624" xr:uid="{9C639912-CD95-42D9-9AA6-422E760C8E8C}"/>
    <cellStyle name="Percent 14 8" xfId="1492" xr:uid="{5ADE4D39-9810-4576-BA8B-B36461BDB727}"/>
    <cellStyle name="Percent 14 8 2" xfId="2625" xr:uid="{9541A32E-33B5-4F86-B672-BEC5AE22A5A9}"/>
    <cellStyle name="Percent 14 9" xfId="2618" xr:uid="{2F8264E9-2662-483D-8A1C-0D6047A8101B}"/>
    <cellStyle name="Percent 15" xfId="1493" xr:uid="{DCA72AF9-37D3-4D17-AC71-F826706D24A5}"/>
    <cellStyle name="Percent 15 10" xfId="1494" xr:uid="{6454B412-D5FC-4CAF-A87F-9D9E725D1268}"/>
    <cellStyle name="Percent 15 10 2" xfId="2626" xr:uid="{446F0227-62B7-4B62-BEE6-6038BFD7E243}"/>
    <cellStyle name="Percent 15 11" xfId="1495" xr:uid="{4ABD6C6C-3C6F-4BEE-A8E1-65C81092C360}"/>
    <cellStyle name="Percent 15 11 2" xfId="2627" xr:uid="{0C242233-5195-4993-8B4D-73893304BD1E}"/>
    <cellStyle name="Percent 15 12" xfId="1496" xr:uid="{4798E9F8-81D6-424A-B4B0-C6F9B1016000}"/>
    <cellStyle name="Percent 15 12 2" xfId="2628" xr:uid="{2112F0F0-D7BF-4EBF-B183-7A2A5BC59105}"/>
    <cellStyle name="Percent 15 13" xfId="1497" xr:uid="{82012CC6-FA8C-4DFC-BBD2-233F87103774}"/>
    <cellStyle name="Percent 15 13 2" xfId="2629" xr:uid="{435056AC-CF9F-4BA0-B47D-2205686411E9}"/>
    <cellStyle name="Percent 15 14" xfId="1498" xr:uid="{88757D82-9E37-47F2-B1D2-83214D36C661}"/>
    <cellStyle name="Percent 15 14 2" xfId="2630" xr:uid="{B4144FEF-0258-498D-8DA7-9939F3603BF8}"/>
    <cellStyle name="Percent 15 2" xfId="1499" xr:uid="{6BEECFE7-4586-4FA1-ACD9-93D106F84C1D}"/>
    <cellStyle name="Percent 15 2 2" xfId="1500" xr:uid="{FB2F92DB-D42E-44D8-AB44-4A36AB239597}"/>
    <cellStyle name="Percent 15 2 3" xfId="1501" xr:uid="{344266A8-7404-4935-B288-8F2D9306F6C1}"/>
    <cellStyle name="Percent 15 2 4" xfId="1502" xr:uid="{C2BC5535-4F8D-4EAC-919A-3A538B6A7817}"/>
    <cellStyle name="Percent 15 2 5" xfId="1503" xr:uid="{E9F2D83E-EE5F-4AE9-AAFD-8935558319F2}"/>
    <cellStyle name="Percent 15 2 6" xfId="1504" xr:uid="{8094044A-9751-4C18-91B2-46B33834779C}"/>
    <cellStyle name="Percent 15 2 7" xfId="1505" xr:uid="{F5DA3EE6-214B-42D4-9E57-9DF7F3BF01A8}"/>
    <cellStyle name="Percent 15 2 8" xfId="2631" xr:uid="{E13E2A9D-0E69-4B95-AC38-3378080AFD89}"/>
    <cellStyle name="Percent 15 3" xfId="1506" xr:uid="{5C28E646-731A-4352-81D5-B109A0B1E6F2}"/>
    <cellStyle name="Percent 15 4" xfId="1507" xr:uid="{B7CAE77D-0029-429A-B64D-D61A81A6F4A2}"/>
    <cellStyle name="Percent 15 4 2" xfId="2632" xr:uid="{0C280A2F-A4BC-488C-9B6E-470D0569B4BE}"/>
    <cellStyle name="Percent 15 5" xfId="1508" xr:uid="{1B47B0E3-BA55-4561-9788-8B3358D09A66}"/>
    <cellStyle name="Percent 15 6" xfId="1509" xr:uid="{C7E42B79-0544-438D-8BD7-834FAC6D00B0}"/>
    <cellStyle name="Percent 15 7" xfId="1510" xr:uid="{5099BA92-3B93-43EC-9760-5B978464E0D2}"/>
    <cellStyle name="Percent 15 8" xfId="1511" xr:uid="{460A741F-90CA-4459-A68A-54871E5BC538}"/>
    <cellStyle name="Percent 15 9" xfId="1512" xr:uid="{0C1898BF-2C02-4A66-B8D7-D720C9FD3818}"/>
    <cellStyle name="Percent 15 9 2" xfId="2633" xr:uid="{A95A63B5-6A11-4D80-81A2-37F1AD91CE1C}"/>
    <cellStyle name="Percent 16 2" xfId="1513" xr:uid="{585E7DD4-2407-4D08-83F2-D1F326A3FD36}"/>
    <cellStyle name="Percent 16 3" xfId="1514" xr:uid="{08039EB4-6052-4795-9B99-E6AE9F845205}"/>
    <cellStyle name="Percent 16 3 10" xfId="1515" xr:uid="{6DBCAAF0-23B3-46C7-9CD2-00B805583271}"/>
    <cellStyle name="Percent 16 3 10 2" xfId="2635" xr:uid="{1BB10425-1B4E-4414-8E5A-82A3094BFC95}"/>
    <cellStyle name="Percent 16 3 11" xfId="1516" xr:uid="{37872A17-19BC-4D5D-9ACF-7E8ACAE55B86}"/>
    <cellStyle name="Percent 16 3 11 2" xfId="2636" xr:uid="{05AD5E40-5B31-42F1-AA1B-A99ED8D65E7D}"/>
    <cellStyle name="Percent 16 3 12" xfId="1517" xr:uid="{28C607BA-D980-43ED-8608-D0741E7C1318}"/>
    <cellStyle name="Percent 16 3 12 2" xfId="2637" xr:uid="{A9760C0C-EC5E-4DAB-8B09-B00142CBB4E4}"/>
    <cellStyle name="Percent 16 3 13" xfId="1518" xr:uid="{8D5C5902-C36B-4B86-8539-3FA2177EC9CE}"/>
    <cellStyle name="Percent 16 3 13 2" xfId="2638" xr:uid="{354D450E-24FB-4741-988F-AF487B346AC3}"/>
    <cellStyle name="Percent 16 3 14" xfId="1519" xr:uid="{8893F3ED-683F-4262-95E4-2AA2A610099A}"/>
    <cellStyle name="Percent 16 3 14 2" xfId="2639" xr:uid="{BFCEE9F0-809F-40B5-8846-EDADCF719918}"/>
    <cellStyle name="Percent 16 3 15" xfId="1520" xr:uid="{FD6AA279-055B-401E-B38D-FAFBDB129688}"/>
    <cellStyle name="Percent 16 3 15 2" xfId="2640" xr:uid="{66069675-E022-4F12-B2F3-B3EB67B5868D}"/>
    <cellStyle name="Percent 16 3 16" xfId="1521" xr:uid="{C672AFCA-4C78-4FD7-A90A-27FBC4284861}"/>
    <cellStyle name="Percent 16 3 16 2" xfId="2641" xr:uid="{AFFB250C-945F-4B84-A3BF-F42FD5EF473E}"/>
    <cellStyle name="Percent 16 3 17" xfId="1522" xr:uid="{63642CF9-73E4-4A21-8FC2-6BA1BE62709D}"/>
    <cellStyle name="Percent 16 3 17 2" xfId="2642" xr:uid="{9F339014-2A0F-4C22-9EE5-4B979454AC0D}"/>
    <cellStyle name="Percent 16 3 18" xfId="2634" xr:uid="{07F9F844-483C-48A2-8714-6A9382A7FAFE}"/>
    <cellStyle name="Percent 16 3 2" xfId="1523" xr:uid="{D4D5787D-8F9A-44AE-8094-A62852D71201}"/>
    <cellStyle name="Percent 16 3 2 2" xfId="2643" xr:uid="{9E75D0D8-DFAC-4B8D-B950-341C667D8F4F}"/>
    <cellStyle name="Percent 16 3 3" xfId="1524" xr:uid="{38E51D84-FE70-47DD-A134-070772E17E35}"/>
    <cellStyle name="Percent 16 3 3 2" xfId="2644" xr:uid="{954FC0F9-3CBD-41B9-B59F-318DAF5FCED2}"/>
    <cellStyle name="Percent 16 3 4" xfId="1525" xr:uid="{7BAE17B5-6983-43AC-B377-E9ED819B8FF0}"/>
    <cellStyle name="Percent 16 3 4 2" xfId="2645" xr:uid="{C58D318E-D926-4010-A372-E9555BFEEDBC}"/>
    <cellStyle name="Percent 16 3 5" xfId="1526" xr:uid="{76076B80-56E8-42E4-A95A-1AE0B87613D5}"/>
    <cellStyle name="Percent 16 3 5 2" xfId="2646" xr:uid="{9E266929-E92C-488D-A8A5-BCC6CA0726C6}"/>
    <cellStyle name="Percent 16 3 6" xfId="1527" xr:uid="{2718A805-F269-47B4-A70A-E68262687660}"/>
    <cellStyle name="Percent 16 3 6 2" xfId="2647" xr:uid="{276B0457-ABCF-4AE7-BED6-550B887B8D7E}"/>
    <cellStyle name="Percent 16 3 7" xfId="1528" xr:uid="{12242985-EDE0-480C-8DE4-073D54F3C756}"/>
    <cellStyle name="Percent 16 3 7 2" xfId="2648" xr:uid="{671B0F09-2190-4D87-8652-37703416CD28}"/>
    <cellStyle name="Percent 16 3 8" xfId="1529" xr:uid="{C188B205-E73A-4D46-A063-4C7569840E03}"/>
    <cellStyle name="Percent 16 3 8 2" xfId="2649" xr:uid="{8E06B403-D6B6-4653-9581-5D8F7BBF8D3C}"/>
    <cellStyle name="Percent 16 3 9" xfId="1530" xr:uid="{7F3F96BC-6F1A-4653-A277-0DA81C865569}"/>
    <cellStyle name="Percent 16 3 9 2" xfId="2650" xr:uid="{5CFA7B2D-814A-4614-B75A-103B647B3ADE}"/>
    <cellStyle name="Percent 16 4" xfId="1531" xr:uid="{37314A28-AB15-4D3E-BC95-C3AE34562C33}"/>
    <cellStyle name="Percent 16 4 10" xfId="1532" xr:uid="{1844F2BD-E511-4895-B9F2-6D3FFB8A86CA}"/>
    <cellStyle name="Percent 16 4 10 2" xfId="2652" xr:uid="{298D9894-0FE3-4239-8AEB-AA73726B4165}"/>
    <cellStyle name="Percent 16 4 11" xfId="1533" xr:uid="{EC3CF5B3-5C79-4C13-92FF-9F200B95DFE1}"/>
    <cellStyle name="Percent 16 4 11 2" xfId="2653" xr:uid="{36952384-E064-48B2-B22D-EE437696477F}"/>
    <cellStyle name="Percent 16 4 12" xfId="1534" xr:uid="{EC7C0811-80DD-4A39-BE86-3E59A549F56D}"/>
    <cellStyle name="Percent 16 4 12 2" xfId="2654" xr:uid="{C2888354-FF33-415C-BFCD-3F32682C903C}"/>
    <cellStyle name="Percent 16 4 13" xfId="1535" xr:uid="{814AF3D0-FFA5-40C4-A9E5-539A48BAC307}"/>
    <cellStyle name="Percent 16 4 13 2" xfId="2655" xr:uid="{164F0F86-678B-447F-9B7C-BFFECBE75C65}"/>
    <cellStyle name="Percent 16 4 14" xfId="1536" xr:uid="{ED109789-2596-4D4D-87B0-4BFF464845F9}"/>
    <cellStyle name="Percent 16 4 14 2" xfId="2656" xr:uid="{B5D4D232-BCAF-4CE8-9D39-B58A798EBCCB}"/>
    <cellStyle name="Percent 16 4 15" xfId="1537" xr:uid="{D291C6B1-C22E-492D-AC0F-4A09A22D7F89}"/>
    <cellStyle name="Percent 16 4 15 2" xfId="2657" xr:uid="{D8CDDA75-2FD3-4400-851A-6C8B949C932D}"/>
    <cellStyle name="Percent 16 4 16" xfId="1538" xr:uid="{92405775-A606-4F59-9EB4-DB8420C53414}"/>
    <cellStyle name="Percent 16 4 16 2" xfId="2658" xr:uid="{25C46B20-F465-4FE3-8A17-7E98660D1ECD}"/>
    <cellStyle name="Percent 16 4 17" xfId="1539" xr:uid="{FA217BB3-BC85-42A9-AEF3-66ACD2C1554E}"/>
    <cellStyle name="Percent 16 4 17 2" xfId="2659" xr:uid="{E757E66F-BD4C-4AC2-B872-0E0ABD0A8B39}"/>
    <cellStyle name="Percent 16 4 18" xfId="2651" xr:uid="{9F654D7D-891C-4E7A-963B-2FE2AA065852}"/>
    <cellStyle name="Percent 16 4 2" xfId="1540" xr:uid="{8DA5027F-B650-4D59-B591-69F8A5A37C2E}"/>
    <cellStyle name="Percent 16 4 2 2" xfId="2660" xr:uid="{954E6ED1-458E-4B72-A727-F36BCE283437}"/>
    <cellStyle name="Percent 16 4 3" xfId="1541" xr:uid="{2FB80BF3-F46E-49B0-9C18-E05EC0741B9F}"/>
    <cellStyle name="Percent 16 4 3 2" xfId="2661" xr:uid="{12AE4284-C640-4593-B840-187CC8A96C93}"/>
    <cellStyle name="Percent 16 4 4" xfId="1542" xr:uid="{59FDB8F3-B488-4F53-B821-4B11FFAE29FE}"/>
    <cellStyle name="Percent 16 4 4 2" xfId="2662" xr:uid="{DF6B73D4-4800-47F9-9DC3-D953F813DAA4}"/>
    <cellStyle name="Percent 16 4 5" xfId="1543" xr:uid="{1792B031-19F9-43CF-8C42-52DF890E6712}"/>
    <cellStyle name="Percent 16 4 5 2" xfId="2663" xr:uid="{7EA322C4-E707-43BE-8265-D0545B1D9A5F}"/>
    <cellStyle name="Percent 16 4 6" xfId="1544" xr:uid="{F455182B-210C-4E88-BF92-B3AC5A2CD01F}"/>
    <cellStyle name="Percent 16 4 6 2" xfId="2664" xr:uid="{8CCA7FF3-DA16-43E3-AC69-0D9CDA9F0E6B}"/>
    <cellStyle name="Percent 16 4 7" xfId="1545" xr:uid="{3A0B938D-54AD-4090-A04D-741E9631090F}"/>
    <cellStyle name="Percent 16 4 7 2" xfId="2665" xr:uid="{612FC199-1F8C-4B0B-985D-D29DAAC2C837}"/>
    <cellStyle name="Percent 16 4 8" xfId="1546" xr:uid="{2B8B09D4-55E0-4E7B-A4DE-D736851E88B1}"/>
    <cellStyle name="Percent 16 4 8 2" xfId="2666" xr:uid="{A55B1E65-2A26-46BF-8E2A-6314F7B1019A}"/>
    <cellStyle name="Percent 16 4 9" xfId="1547" xr:uid="{8805896D-0D9F-43B3-B6FF-92E8C295A549}"/>
    <cellStyle name="Percent 16 4 9 2" xfId="2667" xr:uid="{1152B0B6-D88F-45F3-81CC-FC2E1FB526B2}"/>
    <cellStyle name="Percent 16 5" xfId="1548" xr:uid="{72ECA11B-4BEE-4C38-9579-4535E109145C}"/>
    <cellStyle name="Percent 16 5 10" xfId="1549" xr:uid="{0285D9DE-BD05-4CA9-8AD5-D8F9C96B5DAC}"/>
    <cellStyle name="Percent 16 5 10 2" xfId="2669" xr:uid="{62C38C60-2BB7-4552-A3E2-011B63EEEE53}"/>
    <cellStyle name="Percent 16 5 11" xfId="1550" xr:uid="{AC4CC15F-3A24-467E-BA49-F7E45C99D652}"/>
    <cellStyle name="Percent 16 5 11 2" xfId="2670" xr:uid="{A1DFDDC9-E006-47C4-A278-DE1E1C6BE430}"/>
    <cellStyle name="Percent 16 5 12" xfId="1551" xr:uid="{D49A7E8C-327E-42B3-9ABF-E3167AA7FA64}"/>
    <cellStyle name="Percent 16 5 12 2" xfId="2671" xr:uid="{E2A367F6-DC78-46D6-A51F-079CAC337DFF}"/>
    <cellStyle name="Percent 16 5 13" xfId="1552" xr:uid="{1EBF78FA-E6B5-4E94-8E21-368D3E0C5D33}"/>
    <cellStyle name="Percent 16 5 13 2" xfId="2672" xr:uid="{18EC301B-0A01-4125-BCFF-CA53E4C44A50}"/>
    <cellStyle name="Percent 16 5 14" xfId="1553" xr:uid="{EFD2B6D9-E46E-4420-ACD8-7654C873CD3F}"/>
    <cellStyle name="Percent 16 5 14 2" xfId="2673" xr:uid="{085149D8-CA17-4DE9-B0C0-E4158DFC45D6}"/>
    <cellStyle name="Percent 16 5 15" xfId="1554" xr:uid="{88432F7B-9055-474D-8961-8C8CAD15310D}"/>
    <cellStyle name="Percent 16 5 15 2" xfId="2674" xr:uid="{8B5407AE-3A6D-4455-B442-2C34FC5F09A2}"/>
    <cellStyle name="Percent 16 5 16" xfId="1555" xr:uid="{B2E346BA-B74F-4150-B9D8-1918A730B4D7}"/>
    <cellStyle name="Percent 16 5 16 2" xfId="2675" xr:uid="{BBCE6661-F24D-4751-AA46-CE482F8BB9FC}"/>
    <cellStyle name="Percent 16 5 17" xfId="1556" xr:uid="{7EE13D8E-3020-4F29-8E5A-6C7FA311B7D4}"/>
    <cellStyle name="Percent 16 5 17 2" xfId="2676" xr:uid="{0FC0005A-41DC-456C-A5F3-9E5EB65517E9}"/>
    <cellStyle name="Percent 16 5 18" xfId="2668" xr:uid="{62E6D0B2-7423-4758-8C62-F1D820671DFA}"/>
    <cellStyle name="Percent 16 5 2" xfId="1557" xr:uid="{7AC6FAC7-3804-487D-AA32-0E24B68DFBD5}"/>
    <cellStyle name="Percent 16 5 2 2" xfId="2677" xr:uid="{3D4BE56C-5904-4F30-9CF6-D0834EBC7753}"/>
    <cellStyle name="Percent 16 5 3" xfId="1558" xr:uid="{69C11DE1-ADE5-4D44-937F-34FE6C5535AD}"/>
    <cellStyle name="Percent 16 5 3 2" xfId="2678" xr:uid="{1457AC4D-2A7E-42FA-91B5-1AE3E555C303}"/>
    <cellStyle name="Percent 16 5 4" xfId="1559" xr:uid="{8DF5A426-ECC1-49A1-A199-70F03F09B31D}"/>
    <cellStyle name="Percent 16 5 4 2" xfId="2679" xr:uid="{CEF8A0ED-4FB8-4BC6-9491-B447F6A13394}"/>
    <cellStyle name="Percent 16 5 5" xfId="1560" xr:uid="{32F6CC74-3898-49CD-9733-62568B3A7095}"/>
    <cellStyle name="Percent 16 5 5 2" xfId="2680" xr:uid="{F4FD65C5-5400-41AE-BD6A-D2E4FE5B3C69}"/>
    <cellStyle name="Percent 16 5 6" xfId="1561" xr:uid="{3FC4BFFE-164B-4AD9-8ADD-6E9CDC3CB479}"/>
    <cellStyle name="Percent 16 5 6 2" xfId="2681" xr:uid="{4F153AD6-F1FF-4775-A9EA-CBF0E2671D77}"/>
    <cellStyle name="Percent 16 5 7" xfId="1562" xr:uid="{C8E24426-050A-4B51-A4A4-668C77988355}"/>
    <cellStyle name="Percent 16 5 7 2" xfId="2682" xr:uid="{45AC0CFC-0B5C-4804-9C8C-96F4B5ADE283}"/>
    <cellStyle name="Percent 16 5 8" xfId="1563" xr:uid="{80AED20E-D479-41FA-A7FD-3F2B13E62046}"/>
    <cellStyle name="Percent 16 5 8 2" xfId="2683" xr:uid="{25A21ABB-600C-4EB4-B57E-92CA1945B266}"/>
    <cellStyle name="Percent 16 5 9" xfId="1564" xr:uid="{BB107E22-DE47-43AF-A5E4-B87C0E9BCA9F}"/>
    <cellStyle name="Percent 16 5 9 2" xfId="2684" xr:uid="{BB170D57-4ACC-46D3-8FB8-D88F37D8D495}"/>
    <cellStyle name="Percent 16 6" xfId="1565" xr:uid="{2B74FDF9-22C3-4B3B-8908-BB4F39066DB2}"/>
    <cellStyle name="Percent 16 6 10" xfId="1566" xr:uid="{DEBC1BBA-9936-4789-9072-7453DF6E534D}"/>
    <cellStyle name="Percent 16 6 10 2" xfId="2686" xr:uid="{F2951B37-37CA-4CB3-B03F-5156389FFFE7}"/>
    <cellStyle name="Percent 16 6 11" xfId="1567" xr:uid="{85407146-0B2F-41B9-B896-A56D856C4F36}"/>
    <cellStyle name="Percent 16 6 11 2" xfId="2687" xr:uid="{822AFC66-34B5-408A-991E-74709C410089}"/>
    <cellStyle name="Percent 16 6 12" xfId="1568" xr:uid="{ED04EA5B-98E8-4FAB-BB88-8F7D28B04B09}"/>
    <cellStyle name="Percent 16 6 12 2" xfId="2688" xr:uid="{AA7D2790-7B35-4656-93BC-C7DE30117494}"/>
    <cellStyle name="Percent 16 6 13" xfId="1569" xr:uid="{2611FF6B-9BFB-4A67-9D7A-41229B86CC06}"/>
    <cellStyle name="Percent 16 6 13 2" xfId="2689" xr:uid="{9A55C5CC-CBA9-4B2B-9164-58E7B8915439}"/>
    <cellStyle name="Percent 16 6 14" xfId="1570" xr:uid="{5A4390BA-E0E3-45EA-84B2-FE5FC2C9DBE5}"/>
    <cellStyle name="Percent 16 6 14 2" xfId="2690" xr:uid="{A59C5641-24BE-44A2-9B93-D5F72EE6FCB1}"/>
    <cellStyle name="Percent 16 6 15" xfId="1571" xr:uid="{A6779756-98FA-4FC5-B155-F66586848EE2}"/>
    <cellStyle name="Percent 16 6 15 2" xfId="2691" xr:uid="{9C301E32-EF56-42D8-A702-C44699E66D21}"/>
    <cellStyle name="Percent 16 6 16" xfId="1572" xr:uid="{16301675-A9B6-49CA-9294-A5687DDC6557}"/>
    <cellStyle name="Percent 16 6 16 2" xfId="2692" xr:uid="{05A030B2-1F14-49D2-A4CA-5A4398A4D8DA}"/>
    <cellStyle name="Percent 16 6 17" xfId="1573" xr:uid="{C406BE3A-272D-49D4-A0F2-846320E244FE}"/>
    <cellStyle name="Percent 16 6 17 2" xfId="2693" xr:uid="{43048129-9DAC-483A-9E84-09D216D4CBD9}"/>
    <cellStyle name="Percent 16 6 18" xfId="2685" xr:uid="{37BE1D7B-7B3D-4EDB-BE19-804E358480F5}"/>
    <cellStyle name="Percent 16 6 2" xfId="1574" xr:uid="{A2EFC288-864B-4E2F-BF39-E21D0F9B670A}"/>
    <cellStyle name="Percent 16 6 2 2" xfId="2694" xr:uid="{229CE3CA-8588-4784-81BE-61F1A715D637}"/>
    <cellStyle name="Percent 16 6 3" xfId="1575" xr:uid="{176415E4-BAD1-4550-ADEA-0FB35CCA37DC}"/>
    <cellStyle name="Percent 16 6 3 2" xfId="2695" xr:uid="{7268EA67-8375-40CB-BF9A-2328154750BA}"/>
    <cellStyle name="Percent 16 6 4" xfId="1576" xr:uid="{8D163111-DC81-42EC-A1AC-6A6EC0712362}"/>
    <cellStyle name="Percent 16 6 4 2" xfId="2696" xr:uid="{DC7E801B-A93B-46E6-8122-C21EA086C1BC}"/>
    <cellStyle name="Percent 16 6 5" xfId="1577" xr:uid="{D8024B5B-712D-4AB8-BEDA-28FF8DF8C583}"/>
    <cellStyle name="Percent 16 6 5 2" xfId="2697" xr:uid="{FF47E7FA-C9D3-4A7A-9DDE-9BC0C9750B82}"/>
    <cellStyle name="Percent 16 6 6" xfId="1578" xr:uid="{5E3F0997-032F-4C76-B344-0BB19F54A0F3}"/>
    <cellStyle name="Percent 16 6 6 2" xfId="2698" xr:uid="{9D806999-2D6E-46E0-8E74-FE00619E7222}"/>
    <cellStyle name="Percent 16 6 7" xfId="1579" xr:uid="{5B2A567B-566C-40E0-BB06-717292EAA3BA}"/>
    <cellStyle name="Percent 16 6 7 2" xfId="2699" xr:uid="{E10FE07C-009E-4CB8-BE94-6BBE4B80294C}"/>
    <cellStyle name="Percent 16 6 8" xfId="1580" xr:uid="{3E009B58-CBAB-410C-8FAC-8FACA84F791E}"/>
    <cellStyle name="Percent 16 6 8 2" xfId="2700" xr:uid="{599E9DF1-D618-4013-9454-DE319277F523}"/>
    <cellStyle name="Percent 16 6 9" xfId="1581" xr:uid="{7F21E719-96F4-4E19-A876-B7C7854D36FC}"/>
    <cellStyle name="Percent 16 6 9 2" xfId="2701" xr:uid="{B2AEE42A-988E-41B0-81F7-FDD0134A6D79}"/>
    <cellStyle name="Percent 16 7" xfId="1582" xr:uid="{7E42BA0E-61FB-4727-B8CD-DB94BD6D2028}"/>
    <cellStyle name="Percent 16 7 10" xfId="1583" xr:uid="{E4359469-A557-47A7-95AE-31F65F85AECD}"/>
    <cellStyle name="Percent 16 7 10 2" xfId="2703" xr:uid="{22B302B5-E09D-4B97-941E-506B4BC5C3CC}"/>
    <cellStyle name="Percent 16 7 11" xfId="1584" xr:uid="{865F62D4-E7FF-4554-91F0-AE2438331FD8}"/>
    <cellStyle name="Percent 16 7 11 2" xfId="2704" xr:uid="{A40CCA91-C2C4-4A70-8C8B-DD630315CE79}"/>
    <cellStyle name="Percent 16 7 12" xfId="1585" xr:uid="{70159118-6B27-440D-A1BC-29F9547630C1}"/>
    <cellStyle name="Percent 16 7 12 2" xfId="2705" xr:uid="{5290DB80-D27F-4E74-AA77-941B8F2F8DEC}"/>
    <cellStyle name="Percent 16 7 13" xfId="1586" xr:uid="{075BB44C-5504-4C7F-944D-09D8F63224F0}"/>
    <cellStyle name="Percent 16 7 13 2" xfId="2706" xr:uid="{66A13E87-CA74-47ED-93DF-DFA0D6DC14EF}"/>
    <cellStyle name="Percent 16 7 14" xfId="1587" xr:uid="{69122CB6-93D8-4775-9E70-C017091BD013}"/>
    <cellStyle name="Percent 16 7 14 2" xfId="2707" xr:uid="{1973A234-7293-428E-BB5A-050A04B5C0D0}"/>
    <cellStyle name="Percent 16 7 15" xfId="1588" xr:uid="{67A1EEA6-3746-4016-B67F-11C62145E8FB}"/>
    <cellStyle name="Percent 16 7 15 2" xfId="2708" xr:uid="{36324E54-EC2B-4700-BF6B-6C104935794B}"/>
    <cellStyle name="Percent 16 7 16" xfId="1589" xr:uid="{292590A4-528F-482B-8949-F1FCAA9A6037}"/>
    <cellStyle name="Percent 16 7 16 2" xfId="2709" xr:uid="{DD40CDDC-0C99-4D00-8752-90A6B807C4B3}"/>
    <cellStyle name="Percent 16 7 17" xfId="1590" xr:uid="{0078CA16-EF78-4425-9928-AEF01926F70E}"/>
    <cellStyle name="Percent 16 7 17 2" xfId="2710" xr:uid="{3750D3AF-AF40-4576-B9C6-3BFF506F3511}"/>
    <cellStyle name="Percent 16 7 18" xfId="2702" xr:uid="{ACF017DE-3A5A-44F0-A1DA-9D3A430950AA}"/>
    <cellStyle name="Percent 16 7 2" xfId="1591" xr:uid="{9E16F0F7-92F5-4ABF-9570-A72B79175CD5}"/>
    <cellStyle name="Percent 16 7 2 2" xfId="2711" xr:uid="{1A01A38D-B988-4A34-B897-2502CB30C2B1}"/>
    <cellStyle name="Percent 16 7 3" xfId="1592" xr:uid="{F5C4D416-8B83-475F-AA1A-63D835FC0855}"/>
    <cellStyle name="Percent 16 7 3 2" xfId="2712" xr:uid="{422F2914-DD37-4678-9B47-A62484E7F93C}"/>
    <cellStyle name="Percent 16 7 4" xfId="1593" xr:uid="{295D7B02-DE8D-453C-80B0-5DAE357994C2}"/>
    <cellStyle name="Percent 16 7 4 2" xfId="2713" xr:uid="{D0F1295C-5DA9-4220-B7D7-FF3060E2F9DB}"/>
    <cellStyle name="Percent 16 7 5" xfId="1594" xr:uid="{7F394CB8-C8C0-48E5-AAE5-D5816E04CD84}"/>
    <cellStyle name="Percent 16 7 5 2" xfId="2714" xr:uid="{C58226B1-2618-447F-80B2-814CC19804C6}"/>
    <cellStyle name="Percent 16 7 6" xfId="1595" xr:uid="{A31667E4-A737-4B67-BB12-B40136222854}"/>
    <cellStyle name="Percent 16 7 6 2" xfId="2715" xr:uid="{F59B18FD-C9C7-4670-A19E-92C3368919C5}"/>
    <cellStyle name="Percent 16 7 7" xfId="1596" xr:uid="{69E45000-5235-4EB3-9B82-63C282060C04}"/>
    <cellStyle name="Percent 16 7 7 2" xfId="2716" xr:uid="{214ED2B8-C60D-4E74-B978-0CC7BBDA921B}"/>
    <cellStyle name="Percent 16 7 8" xfId="1597" xr:uid="{37B79E6C-3CC4-462C-BEC5-6C6AEC95ABA8}"/>
    <cellStyle name="Percent 16 7 8 2" xfId="2717" xr:uid="{516DF8D9-6EAB-4E17-A50B-79F10082411B}"/>
    <cellStyle name="Percent 16 7 9" xfId="1598" xr:uid="{63598C77-E5C7-4881-A95F-1739E237EE51}"/>
    <cellStyle name="Percent 16 7 9 2" xfId="2718" xr:uid="{4E942405-0516-4C8F-BEA8-6B38444F7EAE}"/>
    <cellStyle name="Percent 16 8" xfId="1599" xr:uid="{836C2FF0-96E9-4ADE-9BAA-5CC79C9AD892}"/>
    <cellStyle name="Percent 16 8 10" xfId="1600" xr:uid="{3093878E-4A40-4EB9-9B29-450832A87396}"/>
    <cellStyle name="Percent 16 8 10 2" xfId="2720" xr:uid="{D676FD11-9C2E-4CAF-8946-C35F9FF9FB3F}"/>
    <cellStyle name="Percent 16 8 11" xfId="1601" xr:uid="{FF2EC1EA-462A-4C0D-B964-E9CB1F265BFE}"/>
    <cellStyle name="Percent 16 8 11 2" xfId="2721" xr:uid="{DAFDBACC-8234-47ED-8EFE-7A1F05D731ED}"/>
    <cellStyle name="Percent 16 8 12" xfId="1602" xr:uid="{67D40C65-5D63-4724-AA41-0B42F1B2399E}"/>
    <cellStyle name="Percent 16 8 12 2" xfId="2722" xr:uid="{324BA192-51D7-4032-86E5-9795C0171DEF}"/>
    <cellStyle name="Percent 16 8 13" xfId="1603" xr:uid="{CDE1C793-53DD-4465-B423-8B1008903007}"/>
    <cellStyle name="Percent 16 8 13 2" xfId="2723" xr:uid="{2ADC9D96-0BC5-4384-8F8F-9F1B4BC19171}"/>
    <cellStyle name="Percent 16 8 14" xfId="1604" xr:uid="{795E32CA-8921-44E9-9143-5A558CF99726}"/>
    <cellStyle name="Percent 16 8 14 2" xfId="2724" xr:uid="{353ADB61-C02B-4624-B431-E9F41DF2F2A2}"/>
    <cellStyle name="Percent 16 8 15" xfId="1605" xr:uid="{FA5C14D4-5282-49D5-8406-6303C27BE417}"/>
    <cellStyle name="Percent 16 8 15 2" xfId="2725" xr:uid="{E04058DE-5764-4E47-B90D-940E12967610}"/>
    <cellStyle name="Percent 16 8 16" xfId="1606" xr:uid="{860C63ED-4337-46E3-BEE5-D1018E93CE32}"/>
    <cellStyle name="Percent 16 8 16 2" xfId="2726" xr:uid="{B60E2F60-42B6-4FC2-A95F-EBFADD801BC5}"/>
    <cellStyle name="Percent 16 8 17" xfId="1607" xr:uid="{C4B2A193-3F70-486E-A39A-8C57436E530A}"/>
    <cellStyle name="Percent 16 8 17 2" xfId="2727" xr:uid="{BD0B0C4D-D2A6-484B-AF10-2071671E854C}"/>
    <cellStyle name="Percent 16 8 18" xfId="2719" xr:uid="{3A6ACF5A-FBC0-43D7-882E-4BAEB9DAE44D}"/>
    <cellStyle name="Percent 16 8 2" xfId="1608" xr:uid="{F0D2E54B-6454-4B2C-B31E-65CC0CCEF6D8}"/>
    <cellStyle name="Percent 16 8 2 2" xfId="2728" xr:uid="{27D42DA0-7633-4DFF-9CCB-C03D4C8A8706}"/>
    <cellStyle name="Percent 16 8 3" xfId="1609" xr:uid="{E758C389-817A-4CA7-9A52-E304ECCCDD5C}"/>
    <cellStyle name="Percent 16 8 3 2" xfId="2729" xr:uid="{55A4902E-A18C-4B9A-B753-6BC08BC8E0F7}"/>
    <cellStyle name="Percent 16 8 4" xfId="1610" xr:uid="{AF23A3C7-984C-4B17-A91E-AF44942A288D}"/>
    <cellStyle name="Percent 16 8 4 2" xfId="2730" xr:uid="{15CA22C1-A522-447E-AFFE-52BEBF82ED38}"/>
    <cellStyle name="Percent 16 8 5" xfId="1611" xr:uid="{481D23DF-2381-4625-8CC5-F05D591D2F64}"/>
    <cellStyle name="Percent 16 8 5 2" xfId="2731" xr:uid="{4997F2D5-E520-4067-B95D-6A824BDD4FC5}"/>
    <cellStyle name="Percent 16 8 6" xfId="1612" xr:uid="{95A12BC8-1102-4455-B36D-9DD694DB11D7}"/>
    <cellStyle name="Percent 16 8 6 2" xfId="2732" xr:uid="{0AF71575-A4CF-46D5-9864-6D5606B5226F}"/>
    <cellStyle name="Percent 16 8 7" xfId="1613" xr:uid="{96ED70B6-924E-4A00-A4DA-4CDBDEB72C2E}"/>
    <cellStyle name="Percent 16 8 7 2" xfId="2733" xr:uid="{977AFEA1-7CF3-45CB-BD28-21F999F18A6A}"/>
    <cellStyle name="Percent 16 8 8" xfId="1614" xr:uid="{FAF9A57B-8BAA-45BA-8C3A-989ED9469C0E}"/>
    <cellStyle name="Percent 16 8 8 2" xfId="2734" xr:uid="{11B2BE5C-9759-4AEF-AB8A-7F4065DF9EB2}"/>
    <cellStyle name="Percent 16 8 9" xfId="1615" xr:uid="{4669011E-A7A9-4C0A-813A-20582CF33173}"/>
    <cellStyle name="Percent 16 8 9 2" xfId="2735" xr:uid="{3C362839-21A1-4286-96CB-86FA0A09F0DF}"/>
    <cellStyle name="Percent 16 9" xfId="1616" xr:uid="{73C6D9B3-3437-4EA7-86EA-0F0397A13112}"/>
    <cellStyle name="Percent 16 9 10" xfId="1617" xr:uid="{31FA6BA6-0397-401D-A6A5-CEBEAC669607}"/>
    <cellStyle name="Percent 16 9 10 2" xfId="2737" xr:uid="{855B321E-48B4-46C5-9510-A14986AABA36}"/>
    <cellStyle name="Percent 16 9 11" xfId="1618" xr:uid="{82053947-9346-4AF4-8B20-DEAB22D9FB29}"/>
    <cellStyle name="Percent 16 9 11 2" xfId="2738" xr:uid="{BA525D4A-0F9C-4CC4-88BE-CC12B783FBB0}"/>
    <cellStyle name="Percent 16 9 12" xfId="1619" xr:uid="{802E5259-FCAB-4676-96D6-A735B787DF7A}"/>
    <cellStyle name="Percent 16 9 12 2" xfId="2739" xr:uid="{39F9062E-69DA-4979-B198-D122B10B08E6}"/>
    <cellStyle name="Percent 16 9 13" xfId="1620" xr:uid="{7C561D2B-0F9C-4C7B-9F42-781AF44A64AE}"/>
    <cellStyle name="Percent 16 9 13 2" xfId="2740" xr:uid="{253C692D-5E18-481F-B2D2-9E7E340534E2}"/>
    <cellStyle name="Percent 16 9 14" xfId="1621" xr:uid="{F2DACAE1-265B-43B9-A053-113A4E908A8C}"/>
    <cellStyle name="Percent 16 9 14 2" xfId="2741" xr:uid="{1B6C460F-2A6E-4E6D-997E-6FE8C14F38C5}"/>
    <cellStyle name="Percent 16 9 15" xfId="1622" xr:uid="{9EAC37E7-359D-48CE-90BF-944DAB541854}"/>
    <cellStyle name="Percent 16 9 15 2" xfId="2742" xr:uid="{ED379AAA-6494-44B0-9CCD-FF3ABDDD6831}"/>
    <cellStyle name="Percent 16 9 16" xfId="1623" xr:uid="{EC2C0AC7-A1D3-4657-9904-6312CF3F1F66}"/>
    <cellStyle name="Percent 16 9 16 2" xfId="2743" xr:uid="{6559BC79-02F1-4DB2-8C0D-FDA5538F682B}"/>
    <cellStyle name="Percent 16 9 17" xfId="1624" xr:uid="{919457C4-4CF5-4ACC-85C1-4D1BEEAF30BE}"/>
    <cellStyle name="Percent 16 9 17 2" xfId="2744" xr:uid="{C9D5EACD-9A5F-4A8F-BEF7-269392D3DBE4}"/>
    <cellStyle name="Percent 16 9 18" xfId="2736" xr:uid="{514BFB3A-B239-4DCA-B28F-1DB52FE39803}"/>
    <cellStyle name="Percent 16 9 2" xfId="1625" xr:uid="{05D71A22-A752-494A-9E48-E3E6C4955A9B}"/>
    <cellStyle name="Percent 16 9 2 2" xfId="2745" xr:uid="{9FF0155B-570D-4569-AB7F-40C318A89797}"/>
    <cellStyle name="Percent 16 9 3" xfId="1626" xr:uid="{46D95431-7C0E-4FA4-B052-04BFCB9D2F49}"/>
    <cellStyle name="Percent 16 9 3 2" xfId="2746" xr:uid="{D8AFD3E1-FFCF-46A3-B2CA-9A9A8442F3C2}"/>
    <cellStyle name="Percent 16 9 4" xfId="1627" xr:uid="{B4A16344-6B78-4B72-AB63-D386BC722D58}"/>
    <cellStyle name="Percent 16 9 4 2" xfId="2747" xr:uid="{D18DBD8A-BF16-4D58-81DE-E4A5C651D587}"/>
    <cellStyle name="Percent 16 9 5" xfId="1628" xr:uid="{D5065208-5B32-4981-9199-8CC0F7219005}"/>
    <cellStyle name="Percent 16 9 5 2" xfId="2748" xr:uid="{23005990-A4A1-45C9-9E83-D84ADD254A57}"/>
    <cellStyle name="Percent 16 9 6" xfId="1629" xr:uid="{71A2D3FC-C5E5-43EF-9504-CD5F832BB362}"/>
    <cellStyle name="Percent 16 9 6 2" xfId="2749" xr:uid="{6E87B2B6-E646-421F-84FC-38A1CCFA9A38}"/>
    <cellStyle name="Percent 16 9 7" xfId="1630" xr:uid="{D6A594C0-5141-4813-912D-E764E22805BB}"/>
    <cellStyle name="Percent 16 9 7 2" xfId="2750" xr:uid="{8DD837AC-4EA7-445E-B862-19F7F578DFC2}"/>
    <cellStyle name="Percent 16 9 8" xfId="1631" xr:uid="{1D51D440-A725-4205-B999-CC7A0241C1D4}"/>
    <cellStyle name="Percent 16 9 8 2" xfId="2751" xr:uid="{B93B7A77-CA45-4D09-9C26-47911957011A}"/>
    <cellStyle name="Percent 16 9 9" xfId="1632" xr:uid="{E038155B-CC86-4A4A-8425-6A9CF8BC91E9}"/>
    <cellStyle name="Percent 16 9 9 2" xfId="2752" xr:uid="{646E542B-C636-4E28-B5AE-E6CB4FCE4B3C}"/>
    <cellStyle name="Percent 17" xfId="1633" xr:uid="{F2944333-0CCC-4F4D-A44C-8F6FA5C6B10F}"/>
    <cellStyle name="Percent 17 2" xfId="2753" xr:uid="{6D0BE081-6F48-408C-98B2-34CBB3448125}"/>
    <cellStyle name="Percent 2" xfId="146" xr:uid="{F643C6FE-0D3F-4A7D-9B1A-9D596070B80A}"/>
    <cellStyle name="Percent 2 10" xfId="1635" xr:uid="{F0A4F074-27E7-4578-8958-41E2500B0B4E}"/>
    <cellStyle name="Percent 2 10 2" xfId="1636" xr:uid="{B22274E2-098F-4995-96C4-B6AA6F83D635}"/>
    <cellStyle name="Percent 2 10 2 2" xfId="2756" xr:uid="{FB221C9D-8195-45A7-8458-35D09527AC16}"/>
    <cellStyle name="Percent 2 10 3" xfId="1637" xr:uid="{81683893-82DA-4A54-9A97-58319961B2EC}"/>
    <cellStyle name="Percent 2 10 3 2" xfId="2757" xr:uid="{D292DFD2-B738-4B68-AB92-710622E5C6B1}"/>
    <cellStyle name="Percent 2 10 4" xfId="1638" xr:uid="{AA08EF2A-259F-40D2-BD9A-A5E960020925}"/>
    <cellStyle name="Percent 2 10 4 2" xfId="2758" xr:uid="{C57640F4-5311-42DE-A60C-4DFA755828CE}"/>
    <cellStyle name="Percent 2 10 5" xfId="1639" xr:uid="{710A5E8E-EFCF-47A9-898C-8E99083315FF}"/>
    <cellStyle name="Percent 2 10 5 2" xfId="2759" xr:uid="{52F6FAA7-54EE-4041-A67C-C43AB0E62B85}"/>
    <cellStyle name="Percent 2 10 6" xfId="1640" xr:uid="{447C409D-B5F4-468E-B570-DF68404EB0CF}"/>
    <cellStyle name="Percent 2 10 6 2" xfId="2760" xr:uid="{8A89948B-46F9-4565-9BE4-C9F180FB1A43}"/>
    <cellStyle name="Percent 2 10 7" xfId="1641" xr:uid="{AFA559DF-4A3D-4A8A-A2B9-42713F5D7DEC}"/>
    <cellStyle name="Percent 2 10 7 2" xfId="2761" xr:uid="{54845779-2591-4B16-8790-DDE1EBDF6B18}"/>
    <cellStyle name="Percent 2 10 8" xfId="1642" xr:uid="{90D2E071-F908-4CCD-854D-93B48C6B4866}"/>
    <cellStyle name="Percent 2 10 8 2" xfId="2762" xr:uid="{708B83D0-AE27-4D39-8F03-9F87559D16FB}"/>
    <cellStyle name="Percent 2 10 9" xfId="2755" xr:uid="{B39EFF3E-DFFB-4C8C-B47A-39C08A395E70}"/>
    <cellStyle name="Percent 2 11" xfId="1643" xr:uid="{82BD1129-6627-4761-9AB9-320EEBA9CCAC}"/>
    <cellStyle name="Percent 2 11 2" xfId="1644" xr:uid="{39EFD2F5-C65C-4160-BA11-6579AD1D06F8}"/>
    <cellStyle name="Percent 2 11 2 2" xfId="2764" xr:uid="{D755BE36-6E09-4A8F-9695-2AE48E7FD76F}"/>
    <cellStyle name="Percent 2 11 3" xfId="1645" xr:uid="{19B5920D-F491-4FF1-B588-E437B1632289}"/>
    <cellStyle name="Percent 2 11 3 2" xfId="2765" xr:uid="{3B81EFD3-83C4-470C-81F9-3A666B77DFE5}"/>
    <cellStyle name="Percent 2 11 4" xfId="1646" xr:uid="{65DE15FE-DF42-48C5-9968-9B761453B769}"/>
    <cellStyle name="Percent 2 11 4 2" xfId="2766" xr:uid="{DA639036-DAB5-450F-AF60-0B52EB45910E}"/>
    <cellStyle name="Percent 2 11 5" xfId="1647" xr:uid="{E4DB316A-972D-4122-87EA-60A080AD61EF}"/>
    <cellStyle name="Percent 2 11 5 2" xfId="2767" xr:uid="{ABF10F84-BADE-4A3A-B251-AB5DC2CC81DB}"/>
    <cellStyle name="Percent 2 11 6" xfId="1648" xr:uid="{D53B2076-AAE9-4705-A5CD-68DA983994C8}"/>
    <cellStyle name="Percent 2 11 6 2" xfId="2768" xr:uid="{747F03C8-8E52-4D6A-98C7-F55ECDE5B6E4}"/>
    <cellStyle name="Percent 2 11 7" xfId="1649" xr:uid="{1F8ECDB6-EBF4-416F-AEC4-2A3512DE4ACC}"/>
    <cellStyle name="Percent 2 11 7 2" xfId="2769" xr:uid="{DC3D76BD-E091-4C55-A9FF-28DCE703B3ED}"/>
    <cellStyle name="Percent 2 11 8" xfId="1650" xr:uid="{85F5D134-93D8-437F-AC8A-F5A83FA73893}"/>
    <cellStyle name="Percent 2 11 8 2" xfId="2770" xr:uid="{E061DDEB-C960-4375-8D94-A4545A133675}"/>
    <cellStyle name="Percent 2 11 9" xfId="2763" xr:uid="{8377A1FD-DF5B-42C7-9DDF-6535EF96A756}"/>
    <cellStyle name="Percent 2 12" xfId="1651" xr:uid="{4AFF59BB-1792-4A18-B46C-361AC81DD84B}"/>
    <cellStyle name="Percent 2 12 2" xfId="2771" xr:uid="{4456C591-2CFB-4637-B61A-B970906F9529}"/>
    <cellStyle name="Percent 2 13" xfId="1652" xr:uid="{7D01FE61-E44E-4667-9A3E-0AFC3ECA0059}"/>
    <cellStyle name="Percent 2 13 2" xfId="2772" xr:uid="{CA92D46F-B2CE-4D12-B17A-3340A4FABCAE}"/>
    <cellStyle name="Percent 2 14" xfId="1653" xr:uid="{0F4AA5CB-FCAE-44F3-946D-7024897C3F2F}"/>
    <cellStyle name="Percent 2 14 2" xfId="2773" xr:uid="{87BABD8F-E52D-4A64-BFC7-ADB92BD7F4C8}"/>
    <cellStyle name="Percent 2 15" xfId="1654" xr:uid="{A03485F4-8545-409E-B1F1-859FBB12DDDE}"/>
    <cellStyle name="Percent 2 15 2" xfId="2774" xr:uid="{0E0EADE0-2F28-4ADB-87D8-7FBA0D5CA5ED}"/>
    <cellStyle name="Percent 2 16" xfId="1655" xr:uid="{0DD7272B-0CBA-4650-B99D-1A92B62E02FA}"/>
    <cellStyle name="Percent 2 16 2" xfId="2775" xr:uid="{AF0FF6F6-788E-48BC-9842-68A5A6D2152C}"/>
    <cellStyle name="Percent 2 17" xfId="1656" xr:uid="{454229A5-80EB-47EE-AA67-97E4160D3FBA}"/>
    <cellStyle name="Percent 2 17 2" xfId="2776" xr:uid="{2BE9F8EA-CA51-4181-B6C0-B98D20FB4AA1}"/>
    <cellStyle name="Percent 2 18" xfId="1657" xr:uid="{A530ABF1-0B1D-4288-ADF2-D88A67337CCC}"/>
    <cellStyle name="Percent 2 18 2" xfId="2777" xr:uid="{AEC8C071-89D6-49DE-A57E-D70E10283851}"/>
    <cellStyle name="Percent 2 19" xfId="2754" xr:uid="{2FF5FDFF-8D84-4400-BE69-46CCD0EDB90F}"/>
    <cellStyle name="Percent 2 2" xfId="147" xr:uid="{9D9828F8-1E4B-45FC-ABDD-3F9DC0BA453E}"/>
    <cellStyle name="Percent 2 2 10" xfId="1658" xr:uid="{5F7F786C-2321-4375-9B6B-35F5B0A3B86D}"/>
    <cellStyle name="Percent 2 2 2" xfId="148" xr:uid="{484B73E0-601F-4DE0-966C-145CA3A1A927}"/>
    <cellStyle name="Percent 2 2 2 2" xfId="2779" xr:uid="{F64FEF93-DC72-4855-B347-1AD706D9B657}"/>
    <cellStyle name="Percent 2 2 2 3" xfId="1659" xr:uid="{714CEE37-7065-4231-BFCC-7F28C2CD5E79}"/>
    <cellStyle name="Percent 2 2 3" xfId="149" xr:uid="{E8F10614-4C1D-4273-A9C6-ECE82FA43B8D}"/>
    <cellStyle name="Percent 2 2 3 2" xfId="150" xr:uid="{BE06F940-798F-4D3B-86B4-CACA7BD72B73}"/>
    <cellStyle name="Percent 2 2 3 2 2" xfId="2780" xr:uid="{BF8CDADA-6A2C-4998-8102-20CB18445BC4}"/>
    <cellStyle name="Percent 2 2 3 3" xfId="1660" xr:uid="{BFB4FA73-5137-4E7E-B293-F5385FAA467C}"/>
    <cellStyle name="Percent 2 2 4" xfId="1661" xr:uid="{77B55403-0C86-4B0F-885C-6E6C22346E84}"/>
    <cellStyle name="Percent 2 2 4 2" xfId="2781" xr:uid="{D4FB6549-9A7A-4F92-BFD7-C7DA5E3C4ABD}"/>
    <cellStyle name="Percent 2 2 5" xfId="1662" xr:uid="{F45BB853-D56C-4994-A02F-1956C0B87FF3}"/>
    <cellStyle name="Percent 2 2 5 2" xfId="2782" xr:uid="{82FD4102-F648-418D-9A01-CD2FFDB481C6}"/>
    <cellStyle name="Percent 2 2 6" xfId="1663" xr:uid="{591CE09B-EA4C-4E20-9CF0-C59FA546A641}"/>
    <cellStyle name="Percent 2 2 6 2" xfId="2783" xr:uid="{C00BB804-B6C5-4871-A7AD-F66EFC18C9E3}"/>
    <cellStyle name="Percent 2 2 7" xfId="1664" xr:uid="{70EE758D-CBC4-416F-AB86-D70C8EF4C341}"/>
    <cellStyle name="Percent 2 2 7 2" xfId="2784" xr:uid="{F4E171CF-F17E-4530-AC6F-2A1695DE0D83}"/>
    <cellStyle name="Percent 2 2 8" xfId="1665" xr:uid="{92D25462-AB2D-4A73-AD74-DF29DF370A08}"/>
    <cellStyle name="Percent 2 2 8 2" xfId="2785" xr:uid="{4C308285-C5EB-4DEB-96ED-7D4E46B8586B}"/>
    <cellStyle name="Percent 2 2 9" xfId="2778" xr:uid="{3B4B974F-DDCC-414D-BD4A-953707258A44}"/>
    <cellStyle name="Percent 2 20" xfId="1634" xr:uid="{D9641D6C-6577-4D8E-876F-2D8235062AD4}"/>
    <cellStyle name="Percent 2 3" xfId="151" xr:uid="{5FCE666C-C3A5-4D82-A6FE-1A8EB85048D6}"/>
    <cellStyle name="Percent 2 3 10" xfId="1666" xr:uid="{FBFE43F5-9B82-4056-A33B-4FF7730B6421}"/>
    <cellStyle name="Percent 2 3 2" xfId="152" xr:uid="{4E7A4D2E-C7F3-4B8A-87EF-E84A1BDC7A7E}"/>
    <cellStyle name="Percent 2 3 2 2" xfId="2787" xr:uid="{95D216C0-32BC-4C69-83B3-5CF11D9DB5F8}"/>
    <cellStyle name="Percent 2 3 2 3" xfId="1667" xr:uid="{F0C44392-EAC3-49B5-A4C2-615ECD321268}"/>
    <cellStyle name="Percent 2 3 3" xfId="153" xr:uid="{63E43E3E-93CC-406A-A357-647D5F4978C7}"/>
    <cellStyle name="Percent 2 3 3 2" xfId="154" xr:uid="{4EB5A38C-401E-45A1-88C9-61FA0C8DDDE5}"/>
    <cellStyle name="Percent 2 3 3 2 2" xfId="2788" xr:uid="{868CB1E4-8673-4135-B5A2-1B8F5340232E}"/>
    <cellStyle name="Percent 2 3 3 3" xfId="1668" xr:uid="{DFBB7876-A5BA-444E-9745-DA08DA14D38C}"/>
    <cellStyle name="Percent 2 3 4" xfId="1669" xr:uid="{17805A91-7FD5-4110-9C71-4EAAC6991BE4}"/>
    <cellStyle name="Percent 2 3 4 2" xfId="2789" xr:uid="{08880EDE-1FDA-4310-81C4-B5F84812BEDB}"/>
    <cellStyle name="Percent 2 3 5" xfId="1670" xr:uid="{69F6AA13-EFC2-4758-82A3-E826B84050CE}"/>
    <cellStyle name="Percent 2 3 5 2" xfId="2790" xr:uid="{38B00A2F-9995-4EA9-B8B0-374E89386512}"/>
    <cellStyle name="Percent 2 3 6" xfId="1671" xr:uid="{13FE3D52-0251-463B-8F18-6A25CB8736F9}"/>
    <cellStyle name="Percent 2 3 6 2" xfId="2791" xr:uid="{937370A7-BAAA-4635-99D2-B9DDFDD7F104}"/>
    <cellStyle name="Percent 2 3 7" xfId="1672" xr:uid="{7A7711BF-AA04-4FF7-8BC8-78D9F7D6E0C0}"/>
    <cellStyle name="Percent 2 3 7 2" xfId="2792" xr:uid="{DBE44929-EA2B-4D70-B372-159D1442A5E8}"/>
    <cellStyle name="Percent 2 3 8" xfId="1673" xr:uid="{28495762-065E-414B-96C5-C9E203628B20}"/>
    <cellStyle name="Percent 2 3 8 2" xfId="2793" xr:uid="{242F7D86-C85E-48D2-8F71-0A8D44F456C0}"/>
    <cellStyle name="Percent 2 3 9" xfId="2786" xr:uid="{00C30DB9-3AEC-4362-BEC0-141D5799CF0E}"/>
    <cellStyle name="Percent 2 4" xfId="155" xr:uid="{572BE75A-A2D8-48D8-92EC-7985C075BEE5}"/>
    <cellStyle name="Percent 2 4 10" xfId="1674" xr:uid="{7A72CC40-D8C5-410E-8272-5907E08A6095}"/>
    <cellStyle name="Percent 2 4 2" xfId="1675" xr:uid="{F5A6C08D-00B9-4471-8B28-25475B3B0CDF}"/>
    <cellStyle name="Percent 2 4 2 2" xfId="2795" xr:uid="{75B7C97F-50C1-4F33-8625-30B679EDA735}"/>
    <cellStyle name="Percent 2 4 3" xfId="1676" xr:uid="{832F559D-FE60-4480-82D3-F1D24201ECFF}"/>
    <cellStyle name="Percent 2 4 3 2" xfId="2796" xr:uid="{DA0A1C69-1AAF-49FA-8858-9861048FA08B}"/>
    <cellStyle name="Percent 2 4 4" xfId="1677" xr:uid="{1A381BBF-9A7C-418E-B37A-CD73B324DA18}"/>
    <cellStyle name="Percent 2 4 4 2" xfId="2797" xr:uid="{BAB76F78-E382-4444-A4EA-37079B57100A}"/>
    <cellStyle name="Percent 2 4 5" xfId="1678" xr:uid="{CA3DFDBA-03B5-4374-84B8-6AD90108B19B}"/>
    <cellStyle name="Percent 2 4 5 2" xfId="2798" xr:uid="{3EC6C98A-E5E0-4D16-8601-A66FFA25432E}"/>
    <cellStyle name="Percent 2 4 6" xfId="1679" xr:uid="{4635D45E-0E9F-4A21-B302-CEF22C796E16}"/>
    <cellStyle name="Percent 2 4 6 2" xfId="2799" xr:uid="{30B9E2BD-C4F0-430F-8D76-7E50E8983970}"/>
    <cellStyle name="Percent 2 4 7" xfId="1680" xr:uid="{26BFADDD-C10D-4138-99D5-C282599E225E}"/>
    <cellStyle name="Percent 2 4 7 2" xfId="2800" xr:uid="{66978C31-5B77-4612-9FB3-4B573952F344}"/>
    <cellStyle name="Percent 2 4 8" xfId="1681" xr:uid="{45146437-5A91-4312-A968-476D14F0CAFB}"/>
    <cellStyle name="Percent 2 4 8 2" xfId="2801" xr:uid="{0A116E2C-0DCA-4E54-BB15-AB938CBB1C0D}"/>
    <cellStyle name="Percent 2 4 9" xfId="2794" xr:uid="{6D9C41D0-1C83-468D-8DB4-EB9773A4E4EB}"/>
    <cellStyle name="Percent 2 5" xfId="1682" xr:uid="{A89F6BAB-01B5-4632-8A0B-786F1AF5E5A2}"/>
    <cellStyle name="Percent 2 5 2" xfId="1683" xr:uid="{CE1BF9F3-7679-499B-BCF7-7AA261B60D02}"/>
    <cellStyle name="Percent 2 5 2 2" xfId="2803" xr:uid="{EC627A8E-9990-4030-B94A-B27864FC87D8}"/>
    <cellStyle name="Percent 2 5 3" xfId="1684" xr:uid="{FC7ADA29-67D4-40C6-9F75-4FE0F1AE3D6E}"/>
    <cellStyle name="Percent 2 5 3 2" xfId="2804" xr:uid="{EA0E32DC-61FF-4E58-BBFC-70E6A1025C05}"/>
    <cellStyle name="Percent 2 5 4" xfId="1685" xr:uid="{4CCEFAE3-4559-497B-B323-F68D8DBA0711}"/>
    <cellStyle name="Percent 2 5 4 2" xfId="2805" xr:uid="{5801D551-419C-4368-962C-4E08965EC8AE}"/>
    <cellStyle name="Percent 2 5 5" xfId="1686" xr:uid="{0878880B-F99D-411D-9668-67490BBAEE4E}"/>
    <cellStyle name="Percent 2 5 5 2" xfId="2806" xr:uid="{B8A35F21-4A89-4B74-AC4C-324E0030B5A0}"/>
    <cellStyle name="Percent 2 5 6" xfId="1687" xr:uid="{82E4D2AD-AABD-453D-8668-14D696090C99}"/>
    <cellStyle name="Percent 2 5 6 2" xfId="2807" xr:uid="{BFF6E674-85D1-47D7-9B67-3CC4ED10EBBE}"/>
    <cellStyle name="Percent 2 5 7" xfId="1688" xr:uid="{4E4D29A7-9FFB-4AF8-AE8A-9E9A068E3C8B}"/>
    <cellStyle name="Percent 2 5 7 2" xfId="2808" xr:uid="{2492DC48-A5D2-4E65-8322-AC50FE044DC5}"/>
    <cellStyle name="Percent 2 5 8" xfId="1689" xr:uid="{FF4C67B4-B96D-450A-9BD2-3463F5291DC7}"/>
    <cellStyle name="Percent 2 5 8 2" xfId="2809" xr:uid="{D7EED7EC-4F95-4204-9DCE-8D514BF1F9A5}"/>
    <cellStyle name="Percent 2 5 9" xfId="2802" xr:uid="{49D6766A-B111-4BA5-A41F-448EA12AC660}"/>
    <cellStyle name="Percent 2 6" xfId="1690" xr:uid="{042DB040-30CB-4593-82AD-3F8430C25B28}"/>
    <cellStyle name="Percent 2 6 2" xfId="1691" xr:uid="{25B18A23-65BE-4363-8085-5D2687B21299}"/>
    <cellStyle name="Percent 2 6 2 2" xfId="2811" xr:uid="{E30E9D1C-36D5-4A79-8B1B-E71F34A4382F}"/>
    <cellStyle name="Percent 2 6 3" xfId="1692" xr:uid="{9E9CB136-2FC6-4702-AD07-F9F7F430C8ED}"/>
    <cellStyle name="Percent 2 6 3 2" xfId="2812" xr:uid="{DA2D6C4D-E90C-4BC6-9FAE-68455D568BD0}"/>
    <cellStyle name="Percent 2 6 4" xfId="1693" xr:uid="{AA019B64-B482-4CE8-9836-B6CB6F7D6FF3}"/>
    <cellStyle name="Percent 2 6 4 2" xfId="2813" xr:uid="{455A44DE-84AA-4445-944F-34DBC8005B63}"/>
    <cellStyle name="Percent 2 6 5" xfId="1694" xr:uid="{BFE4E3DA-9AF9-45FB-A210-85C3B660739C}"/>
    <cellStyle name="Percent 2 6 5 2" xfId="2814" xr:uid="{0A1B73F3-F40C-4AE4-B098-DFD8E41D70C9}"/>
    <cellStyle name="Percent 2 6 6" xfId="1695" xr:uid="{29011E47-A2F4-42F3-960A-EE561FE5D2AE}"/>
    <cellStyle name="Percent 2 6 6 2" xfId="2815" xr:uid="{4F535041-D7CF-43D4-B01D-0BCAD96FF82C}"/>
    <cellStyle name="Percent 2 6 7" xfId="1696" xr:uid="{EE4BFDAE-3EFE-4DA9-8180-0980F971EB12}"/>
    <cellStyle name="Percent 2 6 7 2" xfId="2816" xr:uid="{548AAF76-CA6C-4E7A-B4E5-FCE34F684206}"/>
    <cellStyle name="Percent 2 6 8" xfId="1697" xr:uid="{F12EAEC5-FFFF-4B43-AC4D-31A06015A6B5}"/>
    <cellStyle name="Percent 2 6 8 2" xfId="2817" xr:uid="{472600C5-00E9-4B1F-A1D3-85C31D08337F}"/>
    <cellStyle name="Percent 2 6 9" xfId="2810" xr:uid="{60AF76A9-457A-4B45-A42A-1E65399BD1D7}"/>
    <cellStyle name="Percent 2 7" xfId="1698" xr:uid="{1A7C7B09-FF2E-47F4-8646-8F78F7E7E16A}"/>
    <cellStyle name="Percent 2 7 2" xfId="1699" xr:uid="{E3074FE2-6921-418E-B740-5BDC87F13121}"/>
    <cellStyle name="Percent 2 7 2 2" xfId="2819" xr:uid="{290781AE-ADD1-40BF-8DBF-8ACF83221D50}"/>
    <cellStyle name="Percent 2 7 3" xfId="1700" xr:uid="{616F91AE-3BCA-49D2-A6E3-6BB2F8F816C1}"/>
    <cellStyle name="Percent 2 7 3 2" xfId="2820" xr:uid="{5C6C489F-EAEA-44CF-AB7C-FDBEEF02C5C5}"/>
    <cellStyle name="Percent 2 7 4" xfId="1701" xr:uid="{17088EA3-67E7-4751-A3F2-AA87C775CD68}"/>
    <cellStyle name="Percent 2 7 4 2" xfId="2821" xr:uid="{708918C1-043E-4ED3-B4AB-105D1D0F2DE4}"/>
    <cellStyle name="Percent 2 7 5" xfId="1702" xr:uid="{42E52476-C807-470F-8BBB-FB0B18AFD7F3}"/>
    <cellStyle name="Percent 2 7 5 2" xfId="2822" xr:uid="{7C2BBBDF-6884-40CB-9F30-80501D22EFA1}"/>
    <cellStyle name="Percent 2 7 6" xfId="1703" xr:uid="{E3A2D679-E737-4960-90DD-1B30FEB6F9E3}"/>
    <cellStyle name="Percent 2 7 6 2" xfId="2823" xr:uid="{682DD141-97BF-4E76-81D9-ED65ADAC7AC4}"/>
    <cellStyle name="Percent 2 7 7" xfId="1704" xr:uid="{EB7719A5-1B82-487F-B4C6-1F58B52EEAA0}"/>
    <cellStyle name="Percent 2 7 7 2" xfId="2824" xr:uid="{CE7830B2-BD8B-471C-B05B-AE41F091E3CE}"/>
    <cellStyle name="Percent 2 7 8" xfId="1705" xr:uid="{191CEB7F-51E5-4BEB-9627-F2BB1B5B328D}"/>
    <cellStyle name="Percent 2 7 8 2" xfId="2825" xr:uid="{B0FB54E2-4BC4-4201-8ED1-BDB2CB0FFC1B}"/>
    <cellStyle name="Percent 2 7 9" xfId="2818" xr:uid="{41437B54-CBA4-43A8-AD70-4E61415FFE71}"/>
    <cellStyle name="Percent 2 8" xfId="1706" xr:uid="{5BB54B69-7585-4F66-A809-3DF89456D8FB}"/>
    <cellStyle name="Percent 2 8 2" xfId="1707" xr:uid="{D6CFFF1A-0115-4A71-8D1D-354721BA2492}"/>
    <cellStyle name="Percent 2 8 2 2" xfId="2827" xr:uid="{930A5981-349C-4192-9B9C-B43B41BBC7BB}"/>
    <cellStyle name="Percent 2 8 3" xfId="1708" xr:uid="{B9C6816A-475E-41CB-8E7D-63CD485217EE}"/>
    <cellStyle name="Percent 2 8 3 2" xfId="2828" xr:uid="{8A1F68EF-436B-4492-A565-4C40C996315F}"/>
    <cellStyle name="Percent 2 8 4" xfId="1709" xr:uid="{FC9FCA2B-6ADC-4715-A2B0-7C80811C477D}"/>
    <cellStyle name="Percent 2 8 4 2" xfId="2829" xr:uid="{7D6CF244-C709-43BE-8E2F-A8E731EE46E1}"/>
    <cellStyle name="Percent 2 8 5" xfId="1710" xr:uid="{73AA15AB-5A88-4328-97A8-48EE9B713382}"/>
    <cellStyle name="Percent 2 8 5 2" xfId="2830" xr:uid="{BDCC71D6-EF1B-473B-8838-69209CAC4C0F}"/>
    <cellStyle name="Percent 2 8 6" xfId="1711" xr:uid="{3E97B9A8-6805-4F30-908E-7C979A9E7783}"/>
    <cellStyle name="Percent 2 8 6 2" xfId="2831" xr:uid="{FE3F8B0B-9282-42FB-BC40-C9FBD49758E3}"/>
    <cellStyle name="Percent 2 8 7" xfId="1712" xr:uid="{78DD9B26-7DC9-471A-9809-ED6F04A92A35}"/>
    <cellStyle name="Percent 2 8 7 2" xfId="2832" xr:uid="{1636552E-36B0-4E7F-8D12-FA4E4B9745A0}"/>
    <cellStyle name="Percent 2 8 8" xfId="1713" xr:uid="{40C00C6A-2046-4587-977B-AA7365219153}"/>
    <cellStyle name="Percent 2 8 8 2" xfId="2833" xr:uid="{88D8086A-1566-4261-BB18-386D4DF932E5}"/>
    <cellStyle name="Percent 2 8 9" xfId="2826" xr:uid="{EAADE690-04E2-41D6-9827-4B53463D294B}"/>
    <cellStyle name="Percent 2 9" xfId="1714" xr:uid="{D458B562-C2D2-4D2E-A528-FFF082D9E0D1}"/>
    <cellStyle name="Percent 2 9 2" xfId="1715" xr:uid="{BC67D866-ECBF-427C-AA48-E6C2118A6AC1}"/>
    <cellStyle name="Percent 2 9 2 2" xfId="2835" xr:uid="{44A753C6-E197-4695-9B93-3DF549B461B2}"/>
    <cellStyle name="Percent 2 9 3" xfId="1716" xr:uid="{4B0AFFB9-D2BC-4399-B083-92426C63FF8F}"/>
    <cellStyle name="Percent 2 9 3 2" xfId="2836" xr:uid="{B00B3E73-EB20-4918-8301-DC1F464F78F0}"/>
    <cellStyle name="Percent 2 9 4" xfId="1717" xr:uid="{87DA1491-44C9-47CF-A960-D4BCBE9BF3C4}"/>
    <cellStyle name="Percent 2 9 4 2" xfId="2837" xr:uid="{5B490B80-CB6A-48F0-B7BF-2386782A3025}"/>
    <cellStyle name="Percent 2 9 5" xfId="1718" xr:uid="{EF6C747D-ECDB-4574-B8BB-26AFBA911D11}"/>
    <cellStyle name="Percent 2 9 5 2" xfId="2838" xr:uid="{EB851AE3-5787-4894-902D-C14D1C74BC14}"/>
    <cellStyle name="Percent 2 9 6" xfId="1719" xr:uid="{CDEE35AC-2A5A-4825-9F02-6756B23064F1}"/>
    <cellStyle name="Percent 2 9 6 2" xfId="2839" xr:uid="{F2304F9D-55D8-4845-8933-5C95CA02BFA9}"/>
    <cellStyle name="Percent 2 9 7" xfId="1720" xr:uid="{22BE827E-262F-4E02-B8B0-6585E77FDCD5}"/>
    <cellStyle name="Percent 2 9 7 2" xfId="2840" xr:uid="{2E5657B7-1A92-4855-8114-AF53D71D7212}"/>
    <cellStyle name="Percent 2 9 8" xfId="1721" xr:uid="{64D02536-2724-41AB-BD53-318F24573C34}"/>
    <cellStyle name="Percent 2 9 8 2" xfId="2841" xr:uid="{5F4FD6F5-6339-4644-9B9A-99D985A663DD}"/>
    <cellStyle name="Percent 2 9 9" xfId="2834" xr:uid="{28BA780A-973B-4687-80C7-A1C320505B66}"/>
    <cellStyle name="Percent 3" xfId="156" xr:uid="{4C37DE2D-F65E-4EC1-965C-28B91308F16B}"/>
    <cellStyle name="Percent 3 10" xfId="1722" xr:uid="{1E89FFAD-1C91-46FC-8332-EE79A68B6D2C}"/>
    <cellStyle name="Percent 3 11" xfId="3049" xr:uid="{ADB40DD8-6C4B-499B-B8B2-0A9E91E027FF}"/>
    <cellStyle name="Percent 3 12" xfId="3275" xr:uid="{B9B2884C-D342-40DF-99F2-250A24E44254}"/>
    <cellStyle name="Percent 3 2" xfId="157" xr:uid="{07923D44-E506-41E5-B70B-332D6A4C057A}"/>
    <cellStyle name="Percent 3 2 2" xfId="158" xr:uid="{8735F1DC-BB9B-4B32-BB91-651CE814D8CF}"/>
    <cellStyle name="Percent 3 2 2 2" xfId="2843" xr:uid="{CF152269-1FE8-40E6-8983-5DB7ABB48DA4}"/>
    <cellStyle name="Percent 3 2 3" xfId="159" xr:uid="{B36F5E77-9F86-4632-9FDD-8E87EDFC6383}"/>
    <cellStyle name="Percent 3 2 4" xfId="1723" xr:uid="{272299CC-8BF1-4BA1-B338-3FAD639952C3}"/>
    <cellStyle name="Percent 3 3" xfId="160" xr:uid="{F1457DF0-F33F-4DEC-8BDC-2F11CC63C545}"/>
    <cellStyle name="Percent 3 3 2" xfId="161" xr:uid="{B6B2D516-4839-421E-983A-8D81195CC5B2}"/>
    <cellStyle name="Percent 3 3 2 2" xfId="2844" xr:uid="{EA113E3A-997A-47E2-9EF3-DAB5FC40AB38}"/>
    <cellStyle name="Percent 3 3 3" xfId="162" xr:uid="{B276C3B9-C6C0-40A5-ACEE-587AE3506C26}"/>
    <cellStyle name="Percent 3 3 3 2" xfId="163" xr:uid="{945AE956-8FBE-4111-9D37-33705918E703}"/>
    <cellStyle name="Percent 3 3 4" xfId="1724" xr:uid="{57E732AA-2223-43EE-B4C9-0B41DCB4E4EC}"/>
    <cellStyle name="Percent 3 4" xfId="164" xr:uid="{5CE26277-DED2-4A4C-B019-675EB1AE82E5}"/>
    <cellStyle name="Percent 3 4 2" xfId="165" xr:uid="{CD24C74E-F2C1-4B10-9AB8-09E8331555D7}"/>
    <cellStyle name="Percent 3 4 2 2" xfId="2845" xr:uid="{1A79952D-C6DA-4112-A453-221969E211FB}"/>
    <cellStyle name="Percent 3 4 3" xfId="1725" xr:uid="{241786DE-FCB1-4E84-82C5-63487A078EC6}"/>
    <cellStyle name="Percent 3 5" xfId="166" xr:uid="{C50C6617-0D88-4FE2-848D-E30F3445B532}"/>
    <cellStyle name="Percent 3 5 2" xfId="2846" xr:uid="{42B69CC0-00D0-42CF-AD90-25057EA84BAC}"/>
    <cellStyle name="Percent 3 5 3" xfId="1726" xr:uid="{5850841A-2178-4AE9-BFFF-99F81FD04232}"/>
    <cellStyle name="Percent 3 6" xfId="1727" xr:uid="{A7BAF620-49A2-4B1F-B435-2A9469B1D862}"/>
    <cellStyle name="Percent 3 6 2" xfId="2847" xr:uid="{D2C92696-1316-4819-B3F3-4608F28BACB1}"/>
    <cellStyle name="Percent 3 7" xfId="1728" xr:uid="{CBC1174E-9E33-447B-91EC-23EA2390ABA1}"/>
    <cellStyle name="Percent 3 7 2" xfId="2848" xr:uid="{1E1F90B4-66E5-41A1-801A-0392C43F29FB}"/>
    <cellStyle name="Percent 3 8" xfId="1729" xr:uid="{6C9B36BF-77E8-4B33-90DB-27748A686A0A}"/>
    <cellStyle name="Percent 3 8 2" xfId="2849" xr:uid="{5169682E-CA64-4242-A45D-70F39023A634}"/>
    <cellStyle name="Percent 3 9" xfId="2842" xr:uid="{26F650DF-A90A-40BB-9247-F3FC721CA5E5}"/>
    <cellStyle name="Percent 3 9 2" xfId="3170" xr:uid="{9F41B298-CA51-422F-A244-4DDB4668EB21}"/>
    <cellStyle name="Percent 3 9 3" xfId="3396" xr:uid="{4443E682-38F4-4C10-99E8-B794EF92EE6B}"/>
    <cellStyle name="Percent 4" xfId="167" xr:uid="{04FF0D57-CA46-4D86-9868-95E911A2D0A0}"/>
    <cellStyle name="Percent 4 10" xfId="1731" xr:uid="{8DD4E4A3-65BC-4F61-B8AB-5F1CFAA38F0B}"/>
    <cellStyle name="Percent 4 10 2" xfId="2851" xr:uid="{AD00AC09-B746-4BE7-89BD-94FDFDBBAD1C}"/>
    <cellStyle name="Percent 4 11" xfId="1732" xr:uid="{340889C8-B476-489B-971F-9B121301B630}"/>
    <cellStyle name="Percent 4 11 2" xfId="2852" xr:uid="{DE805313-F158-47C2-802A-1FE2C3EB4A26}"/>
    <cellStyle name="Percent 4 12" xfId="1733" xr:uid="{632D43A4-4F48-461B-99F8-AE83658B9CAD}"/>
    <cellStyle name="Percent 4 12 2" xfId="2853" xr:uid="{529D6093-321F-45B5-B0B0-34BA06EA750C}"/>
    <cellStyle name="Percent 4 13" xfId="1734" xr:uid="{08047829-E9D1-4D31-86AA-1E4438E3E41F}"/>
    <cellStyle name="Percent 4 13 2" xfId="2854" xr:uid="{FB695400-D296-497E-B6D7-FD657869C480}"/>
    <cellStyle name="Percent 4 14" xfId="2850" xr:uid="{F106A80F-CBDA-4D4E-B1D3-9CC2BED20F94}"/>
    <cellStyle name="Percent 4 15" xfId="1730" xr:uid="{AA31F274-B983-403A-889D-EAC3CE8AA3F5}"/>
    <cellStyle name="Percent 4 2" xfId="168" xr:uid="{101EFA28-D5E9-42EC-8E1D-89194AE78F17}"/>
    <cellStyle name="Percent 4 2 10" xfId="1735" xr:uid="{B3EC0070-DB8D-4474-A086-E11914A733AF}"/>
    <cellStyle name="Percent 4 2 2" xfId="169" xr:uid="{F0AC1D7D-8209-429B-AE6E-2FCBF5DB0B5A}"/>
    <cellStyle name="Percent 4 2 2 2" xfId="2856" xr:uid="{10981ADD-20F0-434A-A28F-7DBBA2FAD83F}"/>
    <cellStyle name="Percent 4 2 2 3" xfId="1736" xr:uid="{78079F02-F20B-4238-B0AA-E5E589429B8D}"/>
    <cellStyle name="Percent 4 2 3" xfId="1737" xr:uid="{F7AF6A87-6428-4D1D-9C1E-CC190B010587}"/>
    <cellStyle name="Percent 4 2 3 2" xfId="2857" xr:uid="{0744038C-B649-415A-90D1-A0D073737A22}"/>
    <cellStyle name="Percent 4 2 4" xfId="1738" xr:uid="{27C1FB49-F3E3-42E2-A927-76E9A24AEF3D}"/>
    <cellStyle name="Percent 4 2 4 2" xfId="2858" xr:uid="{4AF3AF2B-9EA8-42B4-B1C4-77D78A392E18}"/>
    <cellStyle name="Percent 4 2 5" xfId="1739" xr:uid="{D7E046DC-008C-4CAC-8666-5B481C1DB5AE}"/>
    <cellStyle name="Percent 4 2 5 2" xfId="2859" xr:uid="{EE878705-E35C-424F-8CE2-698F4BA19725}"/>
    <cellStyle name="Percent 4 2 6" xfId="1740" xr:uid="{ABEED98A-A4DF-41C8-9AA3-8F4A58537E12}"/>
    <cellStyle name="Percent 4 2 6 2" xfId="2860" xr:uid="{0E0D4BD7-7EE3-4432-A367-E30C0637E31F}"/>
    <cellStyle name="Percent 4 2 7" xfId="1741" xr:uid="{9D9AD13E-B4D2-451E-94A7-2F8B827C215E}"/>
    <cellStyle name="Percent 4 2 7 2" xfId="2861" xr:uid="{1D7A581D-8EF1-46DE-9185-D64FAC3BDD49}"/>
    <cellStyle name="Percent 4 2 8" xfId="1742" xr:uid="{5B466368-3916-4FF9-8576-936A65AD67EB}"/>
    <cellStyle name="Percent 4 2 8 2" xfId="2862" xr:uid="{2E19D497-6459-4E47-A8F3-ECF343D4DA52}"/>
    <cellStyle name="Percent 4 2 9" xfId="2855" xr:uid="{A0A13F89-8C23-41D6-B433-D00F86E110C8}"/>
    <cellStyle name="Percent 4 3" xfId="170" xr:uid="{6DC42150-5EE8-4B1E-8627-E376831DF442}"/>
    <cellStyle name="Percent 4 3 10" xfId="1743" xr:uid="{0934816A-B1DF-4DB3-8E1B-5447BD471C0A}"/>
    <cellStyle name="Percent 4 3 2" xfId="1744" xr:uid="{F63B07F7-7B72-4C1B-9B27-63B495B6C68C}"/>
    <cellStyle name="Percent 4 3 2 2" xfId="2864" xr:uid="{E4DC1568-D98D-400D-8E93-959566DB5BEA}"/>
    <cellStyle name="Percent 4 3 3" xfId="1745" xr:uid="{247353E9-753F-450A-AEA3-16ED41F1758A}"/>
    <cellStyle name="Percent 4 3 3 2" xfId="2865" xr:uid="{0F3CC2F0-DCD2-45E0-AE31-CE591E9BBF4F}"/>
    <cellStyle name="Percent 4 3 4" xfId="1746" xr:uid="{53C96FD9-83BA-4211-9FDE-E92CF32C09CD}"/>
    <cellStyle name="Percent 4 3 4 2" xfId="2866" xr:uid="{4EE34695-1BE8-4EAA-B267-51A7462830F7}"/>
    <cellStyle name="Percent 4 3 5" xfId="1747" xr:uid="{6F43E188-AAD2-48E1-A13B-206F4A82886F}"/>
    <cellStyle name="Percent 4 3 5 2" xfId="2867" xr:uid="{3B65D911-B419-45CE-BCA0-3299015294F7}"/>
    <cellStyle name="Percent 4 3 6" xfId="1748" xr:uid="{4ACE1305-38D5-4C7C-9733-AF74845363C1}"/>
    <cellStyle name="Percent 4 3 6 2" xfId="2868" xr:uid="{CF11D6B3-83CE-4D27-BB2C-F7034E07900D}"/>
    <cellStyle name="Percent 4 3 7" xfId="1749" xr:uid="{53F9CCF8-0E91-4E0F-BE2B-EA96D47B34B4}"/>
    <cellStyle name="Percent 4 3 7 2" xfId="2869" xr:uid="{02231B53-88C5-4C04-B936-55488CFC2EEC}"/>
    <cellStyle name="Percent 4 3 8" xfId="1750" xr:uid="{BEB5B856-B384-4D3D-B4A1-408FB54E2654}"/>
    <cellStyle name="Percent 4 3 8 2" xfId="2870" xr:uid="{3B21E575-4B75-4B17-9C46-1162BC8E6B4D}"/>
    <cellStyle name="Percent 4 3 9" xfId="2863" xr:uid="{FA016D1F-D5C8-4948-9F42-1A8B9248B1B0}"/>
    <cellStyle name="Percent 4 4" xfId="171" xr:uid="{04A42D18-EB90-4452-AABC-468C553114BA}"/>
    <cellStyle name="Percent 4 4 10" xfId="1751" xr:uid="{1B827F03-C038-453B-952F-B83E2DC05A38}"/>
    <cellStyle name="Percent 4 4 2" xfId="1752" xr:uid="{EC15A02F-F80A-4B87-9598-AC5F71C2CD22}"/>
    <cellStyle name="Percent 4 4 2 2" xfId="2872" xr:uid="{633EE4C6-4A23-4D81-BE80-F009E45F91E7}"/>
    <cellStyle name="Percent 4 4 3" xfId="1753" xr:uid="{A019C485-22AE-4739-8215-3C0287211D27}"/>
    <cellStyle name="Percent 4 4 3 2" xfId="2873" xr:uid="{3AE75CC9-24CA-4D04-90DE-49DB20D9B2D7}"/>
    <cellStyle name="Percent 4 4 4" xfId="1754" xr:uid="{7B48CA75-01D6-4E95-BC47-C50D339646E7}"/>
    <cellStyle name="Percent 4 4 4 2" xfId="2874" xr:uid="{4C4846F2-3E07-4276-9BFF-A64D622D4344}"/>
    <cellStyle name="Percent 4 4 5" xfId="1755" xr:uid="{720AFF40-7C2E-40E3-9235-A96F835F4AFE}"/>
    <cellStyle name="Percent 4 4 5 2" xfId="2875" xr:uid="{2FDE0D5D-2E33-4B39-B192-FAE4FF3415A6}"/>
    <cellStyle name="Percent 4 4 6" xfId="1756" xr:uid="{51046F27-E2A4-4732-9423-C5DE00F0202E}"/>
    <cellStyle name="Percent 4 4 6 2" xfId="2876" xr:uid="{026DCB47-8A9F-41DF-986C-F704F1D2A02F}"/>
    <cellStyle name="Percent 4 4 7" xfId="1757" xr:uid="{7B8703E2-764A-4B8D-9C04-AE857505D173}"/>
    <cellStyle name="Percent 4 4 7 2" xfId="2877" xr:uid="{51333836-8EA9-42BB-8803-990C1CEE63CC}"/>
    <cellStyle name="Percent 4 4 8" xfId="1758" xr:uid="{2D4EDB2A-D9B6-43C2-A4B8-9B4FA7DA03CF}"/>
    <cellStyle name="Percent 4 4 8 2" xfId="2878" xr:uid="{94243161-99AC-47B1-BBDF-CA768E0EA996}"/>
    <cellStyle name="Percent 4 4 9" xfId="2871" xr:uid="{CCCBFC88-17DD-494E-90AA-1B2A70047FAA}"/>
    <cellStyle name="Percent 4 5" xfId="1759" xr:uid="{AC8BADF3-AF50-4663-B785-52941B4CCF8A}"/>
    <cellStyle name="Percent 4 5 2" xfId="1760" xr:uid="{9AC10DB5-51C9-4ECF-8872-01D2C4A14B6F}"/>
    <cellStyle name="Percent 4 5 2 2" xfId="2880" xr:uid="{399A45D5-C3DA-4C31-AE27-653A346E85A8}"/>
    <cellStyle name="Percent 4 5 3" xfId="1761" xr:uid="{B5568CD6-9D4A-48A2-9422-1EE95DB2B631}"/>
    <cellStyle name="Percent 4 5 3 2" xfId="2881" xr:uid="{43647ADE-A405-4C48-B876-C9E673C3141F}"/>
    <cellStyle name="Percent 4 5 4" xfId="1762" xr:uid="{21508D51-5878-4573-812B-A1127DCE52FA}"/>
    <cellStyle name="Percent 4 5 4 2" xfId="2882" xr:uid="{9F57CD97-9BB2-4A71-8122-E60BFCD3DC34}"/>
    <cellStyle name="Percent 4 5 5" xfId="1763" xr:uid="{B1A1FB14-A791-4E7E-BA70-0AF03E875BB0}"/>
    <cellStyle name="Percent 4 5 5 2" xfId="2883" xr:uid="{08013681-52C4-4EF7-95B3-96BA8EEC1B63}"/>
    <cellStyle name="Percent 4 5 6" xfId="1764" xr:uid="{2A57895D-E79F-4648-9E8F-898C33DC0E40}"/>
    <cellStyle name="Percent 4 5 6 2" xfId="2884" xr:uid="{3D0B5222-1F01-4B45-BFCB-0E1ECF60F6C3}"/>
    <cellStyle name="Percent 4 5 7" xfId="1765" xr:uid="{4C9E3531-4AC9-4D6D-8906-DC56AC2592D6}"/>
    <cellStyle name="Percent 4 5 7 2" xfId="2885" xr:uid="{BE629F6A-DCB3-4C07-A264-151DCB56DC09}"/>
    <cellStyle name="Percent 4 5 8" xfId="1766" xr:uid="{1AF14CAD-BF69-47BC-B9C2-25283606713E}"/>
    <cellStyle name="Percent 4 5 8 2" xfId="2886" xr:uid="{4086FBE3-085A-4116-800F-852397EB1C9E}"/>
    <cellStyle name="Percent 4 5 9" xfId="2879" xr:uid="{CF809C1E-31EA-4BBB-A0B9-259A9A62DFDC}"/>
    <cellStyle name="Percent 4 6" xfId="1767" xr:uid="{1F9F5287-4857-4FE6-B172-3817E90B23DF}"/>
    <cellStyle name="Percent 4 6 2" xfId="1768" xr:uid="{D4AC335A-1389-4C9D-BCB3-EAF2ABE20327}"/>
    <cellStyle name="Percent 4 6 2 2" xfId="2888" xr:uid="{23B97B9E-3D08-49A3-AAF8-3F6861EE791E}"/>
    <cellStyle name="Percent 4 6 3" xfId="1769" xr:uid="{3F77A430-53C1-4CA7-A49E-8CDA2BD5EB8A}"/>
    <cellStyle name="Percent 4 6 3 2" xfId="2889" xr:uid="{925B1871-4C82-4AA1-979C-DC73FE29680E}"/>
    <cellStyle name="Percent 4 6 4" xfId="1770" xr:uid="{2017EB95-8F0C-4FBC-AB06-2AC74A231954}"/>
    <cellStyle name="Percent 4 6 4 2" xfId="2890" xr:uid="{433309AA-CD31-4399-B7EF-2A5941BEF339}"/>
    <cellStyle name="Percent 4 6 5" xfId="1771" xr:uid="{2F0B78FC-925A-4EDC-BF0A-4CCC7CB83B18}"/>
    <cellStyle name="Percent 4 6 5 2" xfId="2891" xr:uid="{6984186D-6C12-480E-ADDE-74845A008714}"/>
    <cellStyle name="Percent 4 6 6" xfId="1772" xr:uid="{A81EB8ED-7A35-49DD-8665-C1D558882AF9}"/>
    <cellStyle name="Percent 4 6 6 2" xfId="2892" xr:uid="{0936BD2C-402D-469C-B972-D32C4DA7D5E8}"/>
    <cellStyle name="Percent 4 6 7" xfId="1773" xr:uid="{7A8FC23E-9A96-47C1-B724-590898B85611}"/>
    <cellStyle name="Percent 4 6 7 2" xfId="2893" xr:uid="{BCD435CC-E72C-464B-82C9-9637DC6BCFDE}"/>
    <cellStyle name="Percent 4 6 8" xfId="1774" xr:uid="{49436A64-6390-42A1-82F1-9187312C4F90}"/>
    <cellStyle name="Percent 4 6 8 2" xfId="2894" xr:uid="{C8140A73-B2F1-487C-8DD9-576C609B0E76}"/>
    <cellStyle name="Percent 4 6 9" xfId="2887" xr:uid="{04572DF3-9A7D-4C48-9DAA-E86C4D1FCA7A}"/>
    <cellStyle name="Percent 4 7" xfId="1775" xr:uid="{D1F827ED-0C7F-45C5-8801-AB887887C8CB}"/>
    <cellStyle name="Percent 4 7 2" xfId="2895" xr:uid="{26C37B5A-2988-4F7B-9614-E00A80D022D1}"/>
    <cellStyle name="Percent 4 8" xfId="1776" xr:uid="{6233076B-9B84-43D5-963D-D686ED081518}"/>
    <cellStyle name="Percent 4 8 2" xfId="2896" xr:uid="{E9DEB529-FD31-4F94-AC9A-A4D18D1829BD}"/>
    <cellStyle name="Percent 4 9" xfId="1777" xr:uid="{941AFB99-FDA6-41D5-A32F-6A5FB6C6F8FF}"/>
    <cellStyle name="Percent 4 9 2" xfId="2897" xr:uid="{143C2ABF-B5A2-41D1-92CB-0862E550C020}"/>
    <cellStyle name="Percent 5" xfId="172" xr:uid="{AFDE7EBF-44EB-4A23-BA2E-74725A71BF54}"/>
    <cellStyle name="Percent 5 10" xfId="1778" xr:uid="{7F8F6AAD-675F-4907-BB86-22E87ED6AC7B}"/>
    <cellStyle name="Percent 5 2" xfId="173" xr:uid="{2D9960DB-A8E2-4DE8-9830-2561A13D10B9}"/>
    <cellStyle name="Percent 5 2 2" xfId="2899" xr:uid="{E2B5C746-82B3-4827-8762-6E50F457CF4B}"/>
    <cellStyle name="Percent 5 2 3" xfId="1779" xr:uid="{DDF15807-5C0B-4A4E-9AA2-06156853AA60}"/>
    <cellStyle name="Percent 5 3" xfId="1780" xr:uid="{3C9D5BD9-4635-4BB2-A105-1C4EE3DAB62C}"/>
    <cellStyle name="Percent 5 3 2" xfId="2900" xr:uid="{F0E37DC4-A8F3-425C-8D2D-E1D7CEA5211A}"/>
    <cellStyle name="Percent 5 4" xfId="1781" xr:uid="{E9E50D32-AE4D-455E-ADE5-C2B7CD8AC274}"/>
    <cellStyle name="Percent 5 4 2" xfId="2901" xr:uid="{1E6A1656-205D-48B3-8699-3A3A090940BE}"/>
    <cellStyle name="Percent 5 5" xfId="1782" xr:uid="{2E58FE11-B6FD-4298-9D85-891799D58463}"/>
    <cellStyle name="Percent 5 5 2" xfId="2902" xr:uid="{21C4DD7F-6A1F-424E-99A9-2AA955E1E2D3}"/>
    <cellStyle name="Percent 5 6" xfId="1783" xr:uid="{F04168F2-2EC4-496E-800A-6FF0020E670F}"/>
    <cellStyle name="Percent 5 6 2" xfId="2903" xr:uid="{7706FD8F-EBA7-4A2E-9D35-4C72DC9320BA}"/>
    <cellStyle name="Percent 5 7" xfId="1784" xr:uid="{513EA9DF-FE12-4DF0-BF82-982D4C2901EC}"/>
    <cellStyle name="Percent 5 7 2" xfId="2904" xr:uid="{6FCEE06E-44BC-42DA-BBEF-FF9DBECDB555}"/>
    <cellStyle name="Percent 5 8" xfId="1785" xr:uid="{7ED32558-FDC2-42AA-94FC-6D425C8F156C}"/>
    <cellStyle name="Percent 5 8 2" xfId="2905" xr:uid="{2EA0E79A-87D0-45D5-92E6-145866C9CEC7}"/>
    <cellStyle name="Percent 5 9" xfId="2898" xr:uid="{48BC8DE4-ADF6-405C-840A-2F24B48D0880}"/>
    <cellStyle name="Percent 6" xfId="174" xr:uid="{B4417465-E6FA-4B3E-8287-D618C3E0AB37}"/>
    <cellStyle name="Percent 6 10" xfId="1786" xr:uid="{FE89F10F-2061-410F-8162-DD5FBF611F89}"/>
    <cellStyle name="Percent 6 2" xfId="1787" xr:uid="{CDC42AFE-51F0-4B33-8F74-71ABAEC5436F}"/>
    <cellStyle name="Percent 6 2 2" xfId="2907" xr:uid="{33C60457-EC9A-4629-8FD1-8ED83EB6D1D8}"/>
    <cellStyle name="Percent 6 3" xfId="1788" xr:uid="{D143D995-090C-4346-850B-37B810172B64}"/>
    <cellStyle name="Percent 6 3 2" xfId="2908" xr:uid="{1DB98438-CFF2-4681-A336-C8D21E748C6D}"/>
    <cellStyle name="Percent 6 4" xfId="1789" xr:uid="{E4D442B8-5040-4758-8E9F-7168F9315CAB}"/>
    <cellStyle name="Percent 6 4 2" xfId="2909" xr:uid="{ED19EF79-A714-4B95-AEF8-B378E1C2D170}"/>
    <cellStyle name="Percent 6 5" xfId="1790" xr:uid="{E2808418-A234-42E3-9D93-847A8BA9490A}"/>
    <cellStyle name="Percent 6 5 2" xfId="2910" xr:uid="{7077C418-9D49-49F4-BEE7-67BDE154618B}"/>
    <cellStyle name="Percent 6 6" xfId="1791" xr:uid="{9C034439-F801-4C4B-9DAB-A4FAFB012BB6}"/>
    <cellStyle name="Percent 6 6 2" xfId="2911" xr:uid="{116B5905-04DF-4B8C-A3D1-C9DE364A92C6}"/>
    <cellStyle name="Percent 6 7" xfId="1792" xr:uid="{3CFCAC65-5A10-481D-A927-229A025C1CE5}"/>
    <cellStyle name="Percent 6 7 2" xfId="2912" xr:uid="{F41D654A-2DA1-442E-A96E-47EDD0435579}"/>
    <cellStyle name="Percent 6 8" xfId="1793" xr:uid="{C0D003B2-1769-41B8-BFC4-C43094EC137A}"/>
    <cellStyle name="Percent 6 8 2" xfId="2913" xr:uid="{369690DF-94CF-48A3-95D3-11925939CE0F}"/>
    <cellStyle name="Percent 6 9" xfId="2906" xr:uid="{F6310584-2341-43A7-834D-CC26CC6E3A81}"/>
    <cellStyle name="Percent 7" xfId="1794" xr:uid="{6D05F3E1-4FF7-4B7A-BEB2-1F915BF64FE1}"/>
    <cellStyle name="Percent 7 2" xfId="1795" xr:uid="{7FF8275B-6368-4BCF-B5AA-833B9211F2C9}"/>
    <cellStyle name="Percent 7 2 2" xfId="2915" xr:uid="{AB047F55-9919-4293-A7BC-AF1DBC94318D}"/>
    <cellStyle name="Percent 7 3" xfId="1796" xr:uid="{ACE03838-347B-4D86-BA1E-2E6112C661E0}"/>
    <cellStyle name="Percent 7 3 2" xfId="2916" xr:uid="{A572F1BF-9ECE-4A01-AD61-76E255F29FE4}"/>
    <cellStyle name="Percent 7 4" xfId="1797" xr:uid="{AB62B517-B9B0-4F23-8177-38530BD631A2}"/>
    <cellStyle name="Percent 7 4 2" xfId="2917" xr:uid="{8D841312-BFB7-4A51-9DD4-701D85A6E5B8}"/>
    <cellStyle name="Percent 7 5" xfId="1798" xr:uid="{143A1035-E267-4B3C-8261-B3B5A0A71DDC}"/>
    <cellStyle name="Percent 7 5 2" xfId="2918" xr:uid="{1A92FFD5-CD76-4036-9A14-C7B15D9CDE77}"/>
    <cellStyle name="Percent 7 6" xfId="1799" xr:uid="{DB8F2B49-9DEE-4108-BED1-A7120331BE06}"/>
    <cellStyle name="Percent 7 6 2" xfId="2919" xr:uid="{9094FB2B-B9FC-438D-9B91-4B731B60104B}"/>
    <cellStyle name="Percent 7 7" xfId="1800" xr:uid="{D4BC5170-2A30-4D92-A7E6-BF37D22BA3A3}"/>
    <cellStyle name="Percent 7 7 2" xfId="2920" xr:uid="{535FF565-E5D9-499E-ABA6-A07CE7553DCE}"/>
    <cellStyle name="Percent 7 8" xfId="1801" xr:uid="{A71B7C33-CCC4-4665-8E09-6B1EDD11F620}"/>
    <cellStyle name="Percent 7 8 2" xfId="2921" xr:uid="{D042F825-01D4-4E72-8805-584CADD58FFF}"/>
    <cellStyle name="Percent 7 9" xfId="2914" xr:uid="{6A052AFB-44A5-40E6-AAC6-C6D79C318E8C}"/>
    <cellStyle name="Percent 8" xfId="1802" xr:uid="{0C559BCA-6D4D-4808-9701-8960F2ECC283}"/>
    <cellStyle name="Percent 8 2" xfId="1803" xr:uid="{A1A0B522-FD3A-4E71-BB73-94BF0E633617}"/>
    <cellStyle name="Percent 8 2 2" xfId="2923" xr:uid="{86ED100D-AE46-432B-9A86-F7FC18D55C0F}"/>
    <cellStyle name="Percent 8 3" xfId="1804" xr:uid="{BD5E7AB1-8597-4486-9E63-72A18FC717E2}"/>
    <cellStyle name="Percent 8 3 2" xfId="2924" xr:uid="{152B87A4-FD2E-49DF-9B42-D50CD0A18079}"/>
    <cellStyle name="Percent 8 4" xfId="1805" xr:uid="{9EFDD538-E2CB-4ECF-8CA5-B340B8F34A8C}"/>
    <cellStyle name="Percent 8 4 2" xfId="2925" xr:uid="{4DA081AB-6475-4B8B-BF6A-57340C44C3AB}"/>
    <cellStyle name="Percent 8 5" xfId="1806" xr:uid="{3FD65AD7-3E99-4E19-8BE3-15FE44BDF625}"/>
    <cellStyle name="Percent 8 5 2" xfId="2926" xr:uid="{4086D29A-BDA0-4C9E-9620-4687E3900E5D}"/>
    <cellStyle name="Percent 8 6" xfId="1807" xr:uid="{8075D937-1A57-43F8-B76A-D0C0C66309F3}"/>
    <cellStyle name="Percent 8 6 2" xfId="2927" xr:uid="{BDB2A126-B9AF-430E-AD03-207248AAA7AD}"/>
    <cellStyle name="Percent 8 7" xfId="1808" xr:uid="{9716C386-945E-4E00-A230-8C5DCB3749F2}"/>
    <cellStyle name="Percent 8 7 2" xfId="2928" xr:uid="{62E2E9E2-4576-4AF5-A464-01034A2E5103}"/>
    <cellStyle name="Percent 8 8" xfId="1809" xr:uid="{501D7CB6-15E5-4448-A10C-F459CD4A4204}"/>
    <cellStyle name="Percent 8 8 2" xfId="2929" xr:uid="{D9F359F6-E810-45DA-8B8D-58340B2CE66F}"/>
    <cellStyle name="Percent 8 9" xfId="2922" xr:uid="{CB311533-0ED0-40FD-9866-7A09C493811C}"/>
    <cellStyle name="Percent 9" xfId="1810" xr:uid="{F6537F4B-B304-471D-AC9A-E1CC335B50A5}"/>
    <cellStyle name="Percent 9 2" xfId="1811" xr:uid="{E6B12074-9E98-498C-BC6C-B0364D64DE60}"/>
    <cellStyle name="Percent 9 2 2" xfId="2931" xr:uid="{F98055A9-AA47-46AD-A036-9F4DD96F825F}"/>
    <cellStyle name="Percent 9 3" xfId="1812" xr:uid="{F44C86FC-6222-4845-A93F-19BFBD886791}"/>
    <cellStyle name="Percent 9 3 2" xfId="2932" xr:uid="{5D3583D7-113A-453B-8C73-7E4E9D4887B7}"/>
    <cellStyle name="Percent 9 4" xfId="1813" xr:uid="{3C639F78-9435-48E7-B1C2-681D6BD569C7}"/>
    <cellStyle name="Percent 9 4 2" xfId="2933" xr:uid="{5619DB05-3F10-45D8-B02B-50A32684A58E}"/>
    <cellStyle name="Percent 9 5" xfId="1814" xr:uid="{28D0AF8C-EA11-48D7-9989-EE38D5DFBFEC}"/>
    <cellStyle name="Percent 9 5 2" xfId="2934" xr:uid="{F6691E7D-7261-49F0-837F-013F8EB131FF}"/>
    <cellStyle name="Percent 9 6" xfId="1815" xr:uid="{AB18753F-6976-4897-86F3-E21327963737}"/>
    <cellStyle name="Percent 9 6 2" xfId="2935" xr:uid="{42B32505-12DC-43EC-B63A-12B4F314F661}"/>
    <cellStyle name="Percent 9 7" xfId="1816" xr:uid="{578F14EF-9448-4751-BD5F-59254F3AAA89}"/>
    <cellStyle name="Percent 9 7 2" xfId="2936" xr:uid="{4B7183BF-3E06-4028-91BD-1A5E522D961A}"/>
    <cellStyle name="Percent 9 8" xfId="1817" xr:uid="{906F4028-9739-4B67-AFE3-3EA31FF9E895}"/>
    <cellStyle name="Percent 9 8 2" xfId="2937" xr:uid="{A6469313-3A55-4D50-9EB5-40C6908FA4D3}"/>
    <cellStyle name="Percent 9 9" xfId="2930" xr:uid="{0695B441-80F5-4167-94C1-45EB4F4C467F}"/>
    <cellStyle name="Pilkku_Layo9704" xfId="175" xr:uid="{A689874D-1F10-43A8-852F-2EFA711A4FC8}"/>
    <cellStyle name="Pyör. luku_Layo9704" xfId="176" xr:uid="{CDD3A127-51D5-41A5-9227-B3BFD5B6F0F0}"/>
    <cellStyle name="Pyör. valuutta_Layo9704" xfId="177" xr:uid="{66ACEA74-C83A-48AB-9284-C00A58138E09}"/>
    <cellStyle name="source" xfId="1818" xr:uid="{18F173FE-660C-47B9-AB93-C0149A2F8939}"/>
    <cellStyle name="Standard_Sce_D_Extraction" xfId="178" xr:uid="{A751B0C9-C2FE-4D7A-99D1-1D960F268BC5}"/>
    <cellStyle name="Style 21" xfId="179" xr:uid="{1A0A79C3-678F-4584-B9E3-87A3B12F7276}"/>
    <cellStyle name="Style 21 2" xfId="180" xr:uid="{17C2CBF0-6253-4A79-81AA-15F2AF33514A}"/>
    <cellStyle name="Style 22" xfId="181" xr:uid="{87D63580-2D70-480C-9F20-9B611C173FC3}"/>
    <cellStyle name="Style 23" xfId="182" xr:uid="{D9CC09A7-B50E-4A18-B941-DD8123E627E4}"/>
    <cellStyle name="Style 24" xfId="183" xr:uid="{56FD0C9E-9E32-4084-BEFE-5AB144D0D101}"/>
    <cellStyle name="Style 25" xfId="184" xr:uid="{B75DDF48-1CD8-449A-9E03-5E8DFCF5E591}"/>
    <cellStyle name="Style 25 2" xfId="185" xr:uid="{0EFD0669-DE3D-4892-A670-1D1B6FB64D6B}"/>
    <cellStyle name="Style 26" xfId="186" xr:uid="{01CA3FBA-4C37-4335-8938-F9B5DED1EE4C}"/>
    <cellStyle name="Style 29" xfId="1819" xr:uid="{0A58C728-4E8B-40B8-AC33-45DF712687A0}"/>
    <cellStyle name="Style 29 2" xfId="1820" xr:uid="{2A9386AA-A782-4EA6-9A18-19852AFB9C19}"/>
    <cellStyle name="Style 29 2 2" xfId="2939" xr:uid="{2A210B13-2133-4C67-8BC9-47DF6808F3C7}"/>
    <cellStyle name="Style 29 3" xfId="2938" xr:uid="{E5E30BC0-FFDE-485F-9A95-6D29FD56C95C}"/>
    <cellStyle name="Style 35" xfId="1821" xr:uid="{50AAA429-34AD-41AA-AE26-606B453D9F6B}"/>
    <cellStyle name="Style 35 2" xfId="1822" xr:uid="{10D698D3-59E0-4F63-8218-5F7CCF2885E1}"/>
    <cellStyle name="Style 36" xfId="1823" xr:uid="{CFADF2A7-6D1A-46C7-9181-690F29F00A2B}"/>
    <cellStyle name="Style 36 2" xfId="1824" xr:uid="{C34875E6-C184-4E96-A6FB-5DCCEA5CEF1D}"/>
    <cellStyle name="tableau | cellule | normal | decimal 1" xfId="1825" xr:uid="{5FDB71DD-DDD8-48D0-913F-56C206427461}"/>
    <cellStyle name="tableau | cellule | normal | pourcentage | decimal 1" xfId="1826" xr:uid="{AD98C802-1713-4579-9081-4281A9903328}"/>
    <cellStyle name="tableau | cellule | total | decimal 1" xfId="1827" xr:uid="{E410CC08-37FC-4DCF-BAC6-CF6E7EB9AE04}"/>
    <cellStyle name="tableau | coin superieur gauche" xfId="1828" xr:uid="{7E2F0086-2D77-46BC-B3CB-25E3D979E913}"/>
    <cellStyle name="tableau | coin superieur gauche 2" xfId="2940" xr:uid="{8DD732A9-7A14-4C05-BCD9-581C9F7E38BC}"/>
    <cellStyle name="tableau | entete-colonne | series" xfId="1829" xr:uid="{06333091-406A-44DD-A063-9D4E54FCF34A}"/>
    <cellStyle name="tableau | entete-colonne | series 2" xfId="2941" xr:uid="{9E4A4C9A-C62F-4BAF-ABCB-99209FD94B4C}"/>
    <cellStyle name="tableau | entete-ligne | normal" xfId="1830" xr:uid="{9BC6AFB2-0A1C-43E0-A812-5DDBDD9626F1}"/>
    <cellStyle name="tableau | entete-ligne | normal 2" xfId="2942" xr:uid="{B61E1D44-6F54-40D4-A1F6-6181464ED3FD}"/>
    <cellStyle name="tableau | entete-ligne | total" xfId="1831" xr:uid="{5870C4D2-5C2B-4334-A637-58864CDAFE5B}"/>
    <cellStyle name="tableau | ligne-titre | niveau1" xfId="1832" xr:uid="{09641B44-3852-4F50-97B8-7C3E9158B2FF}"/>
    <cellStyle name="tableau | ligne-titre | niveau1 2" xfId="2943" xr:uid="{DBAE9CC3-B390-46EC-9540-5992CF5FF2D7}"/>
    <cellStyle name="tableau | ligne-titre | niveau2" xfId="1833" xr:uid="{F987C099-6657-4035-A74D-1E9773358FDD}"/>
    <cellStyle name="tableau | ligne-titre | niveau2 2" xfId="2944" xr:uid="{823C02C6-8999-4B96-87CC-7A1702E5C219}"/>
    <cellStyle name="Title 2" xfId="187" xr:uid="{89D9F689-98DC-4230-AEC4-4ED79AE7CD4B}"/>
    <cellStyle name="Title 2 10" xfId="1834" xr:uid="{08D70DC9-D5E4-4C02-9824-286BBA20AB00}"/>
    <cellStyle name="Title 2 2" xfId="1835" xr:uid="{6C82BE39-591A-4B4C-A0DE-45628DE4116B}"/>
    <cellStyle name="Title 2 3" xfId="1836" xr:uid="{67D3C526-08E5-404E-8196-5DD5B3E425A2}"/>
    <cellStyle name="Title 2 4" xfId="1837" xr:uid="{286F5917-BCF5-4C89-8014-EFC419A2C033}"/>
    <cellStyle name="Title 2 5" xfId="1838" xr:uid="{8886AB78-4DF6-474E-BB7A-32FDA51E4717}"/>
    <cellStyle name="Title 2 6" xfId="1839" xr:uid="{BAFB2DBC-3447-4CA9-B9A3-69A4EF25E2C9}"/>
    <cellStyle name="Title 2 7" xfId="1840" xr:uid="{84A0E8CC-C947-4E8D-AA2A-21ADC561D618}"/>
    <cellStyle name="Title 2 8" xfId="1841" xr:uid="{DA4B02F1-6CF5-46B6-BB94-93D12CF93CE4}"/>
    <cellStyle name="Title 2 9" xfId="1842" xr:uid="{D029C9D5-733F-4B32-8DB2-943E0C508C34}"/>
    <cellStyle name="Title 3" xfId="188" xr:uid="{0F879DD0-D8BD-4B5E-8750-A0E108C69C9E}"/>
    <cellStyle name="Title 3 2" xfId="1843" xr:uid="{B62E043C-B477-433B-A911-C1969736BA3D}"/>
    <cellStyle name="Total 2" xfId="189" xr:uid="{E1D47940-B942-4AFE-809C-EE3AA02330B5}"/>
    <cellStyle name="Total 2 10" xfId="1844" xr:uid="{19574B1A-B861-4117-8DD4-5DA74D134310}"/>
    <cellStyle name="Total 2 2" xfId="1845" xr:uid="{0A95910E-CB51-4CA7-94F8-C6240502298F}"/>
    <cellStyle name="Total 2 3" xfId="1846" xr:uid="{DFA2FDC5-613D-472C-8299-688F4BBC14D0}"/>
    <cellStyle name="Total 2 4" xfId="1847" xr:uid="{992A2303-FFB9-4322-81B6-E78AD68C85C7}"/>
    <cellStyle name="Total 2 5" xfId="1848" xr:uid="{12FC49F1-D4BC-4653-B0AB-3D49355E6043}"/>
    <cellStyle name="Total 2 6" xfId="1849" xr:uid="{F20995B0-A82B-4636-8ECA-E05B02EC4AA6}"/>
    <cellStyle name="Total 2 7" xfId="1850" xr:uid="{40CB54DC-7485-424C-AF9B-500A48255CA1}"/>
    <cellStyle name="Total 2 8" xfId="1851" xr:uid="{3EF2C9BD-D398-4800-BA58-E4E5F1777B9C}"/>
    <cellStyle name="Total 2 9" xfId="1852" xr:uid="{3E76AFC5-34F1-44BC-AD63-0E07F7499E53}"/>
    <cellStyle name="Total 3" xfId="190" xr:uid="{4FF0B8D2-FEBC-40DF-B166-1A133E1F6E0B}"/>
    <cellStyle name="Total 3 2" xfId="1853" xr:uid="{07B6766A-E1A2-4890-A872-5D178FFB25A7}"/>
    <cellStyle name="Valuutta_Layo9704" xfId="191" xr:uid="{D6E4489F-E90B-4D6E-BC17-BE198969AD18}"/>
    <cellStyle name="Warning Text 2" xfId="192" xr:uid="{8B6999CD-F248-4F80-9E1D-3660ADC8D2E1}"/>
    <cellStyle name="Warning Text 2 10" xfId="1854" xr:uid="{6B347DB2-1360-4A1C-8044-71E7BBCB7331}"/>
    <cellStyle name="Warning Text 2 2" xfId="1855" xr:uid="{4B57DBE2-CD67-41C6-A9AF-638D253BDD82}"/>
    <cellStyle name="Warning Text 2 3" xfId="1856" xr:uid="{3D2C0816-D7A4-4D60-B10B-AB2FEC5F6D7A}"/>
    <cellStyle name="Warning Text 2 4" xfId="1857" xr:uid="{080B3D0D-4B21-4A3F-B8FB-01C7D495A4D9}"/>
    <cellStyle name="Warning Text 2 5" xfId="1858" xr:uid="{F253C8E8-DC29-4B6A-8D2E-AD0F6352F67A}"/>
    <cellStyle name="Warning Text 2 6" xfId="1859" xr:uid="{E25302C7-6DE3-4DA0-8A7E-25D45F1567FA}"/>
    <cellStyle name="Warning Text 2 7" xfId="1860" xr:uid="{9B6E8F1B-ED41-4C85-A2B3-FE413238E0F5}"/>
    <cellStyle name="Warning Text 2 8" xfId="1861" xr:uid="{BBD7E4B3-99CD-4D73-B863-CDDDD3466008}"/>
    <cellStyle name="Warning Text 2 9" xfId="1862" xr:uid="{6D7A8ADF-96C2-4B03-8481-C2EA28F88A78}"/>
    <cellStyle name="Warning Text 3" xfId="193" xr:uid="{C02F5D79-EAA9-41A4-9601-BF7C386843E9}"/>
    <cellStyle name="Обычный_CRF2002 (1)" xfId="208" xr:uid="{DBAC8B21-AEF4-4B9E-9BF4-BC41FFA04FE2}"/>
    <cellStyle name="已访问的超链接" xfId="1863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1</xdr:row>
      <xdr:rowOff>0</xdr:rowOff>
    </xdr:from>
    <xdr:to>
      <xdr:col>23</xdr:col>
      <xdr:colOff>353325</xdr:colOff>
      <xdr:row>6</xdr:row>
      <xdr:rowOff>133502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1A29B-7C31-4530-8E4D-65D7F2FBB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2750" y="180975"/>
          <a:ext cx="6448425" cy="1038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"/>
  <sheetViews>
    <sheetView workbookViewId="0"/>
  </sheetViews>
  <sheetFormatPr defaultRowHeight="15"/>
  <sheetData>
    <row r="1" spans="1:1">
      <c r="A1" t="s">
        <v>284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5"/>
  <cols>
    <col min="2" max="2" width="10.140625" bestFit="1" customWidth="1"/>
    <col min="3" max="3" width="8.85546875" bestFit="1" customWidth="1"/>
    <col min="4" max="4" width="10" bestFit="1" customWidth="1"/>
    <col min="5" max="5" width="9.42578125" customWidth="1"/>
    <col min="6" max="6" width="6.5703125" bestFit="1" customWidth="1"/>
    <col min="7" max="7" width="9.7109375" bestFit="1" customWidth="1"/>
    <col min="8" max="8" width="10.7109375" bestFit="1" customWidth="1"/>
    <col min="9" max="9" width="8.7109375" bestFit="1" customWidth="1"/>
    <col min="10" max="10" width="10.28515625" customWidth="1"/>
    <col min="11" max="11" width="8.42578125" bestFit="1" customWidth="1"/>
    <col min="12" max="12" width="7.5703125" bestFit="1" customWidth="1"/>
    <col min="13" max="13" width="8.5703125" bestFit="1" customWidth="1"/>
    <col min="14" max="14" width="8.7109375" bestFit="1" customWidth="1"/>
    <col min="15" max="16" width="8.42578125" bestFit="1" customWidth="1"/>
    <col min="17" max="17" width="4.5703125" bestFit="1" customWidth="1"/>
    <col min="18" max="18" width="5.140625" bestFit="1" customWidth="1"/>
    <col min="19" max="19" width="5.140625" customWidth="1"/>
    <col min="20" max="20" width="11" bestFit="1" customWidth="1"/>
    <col min="21" max="21" width="9.7109375" bestFit="1" customWidth="1"/>
    <col min="22" max="22" width="15.85546875" customWidth="1"/>
    <col min="24" max="24" width="16.42578125" bestFit="1" customWidth="1"/>
    <col min="25" max="25" width="18.7109375" customWidth="1"/>
    <col min="26" max="26" width="15.85546875" customWidth="1"/>
    <col min="27" max="27" width="11.28515625" customWidth="1"/>
    <col min="28" max="38" width="5.42578125" bestFit="1" customWidth="1"/>
    <col min="39" max="69" width="5.42578125" customWidth="1"/>
    <col min="71" max="71" width="4.42578125" bestFit="1" customWidth="1"/>
    <col min="72" max="72" width="8.8554687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5.7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287</v>
      </c>
      <c r="Y4" t="s">
        <v>277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293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427</v>
      </c>
      <c r="AB6" t="s">
        <v>569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264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570</v>
      </c>
    </row>
    <row r="11" spans="1:30">
      <c r="D11" t="s">
        <v>30</v>
      </c>
      <c r="H11">
        <v>2150</v>
      </c>
      <c r="J11" t="s">
        <v>265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443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295</v>
      </c>
      <c r="M18" t="s">
        <v>297</v>
      </c>
      <c r="O18" t="s">
        <v>473</v>
      </c>
      <c r="T18" t="s">
        <v>29</v>
      </c>
      <c r="U18" t="s">
        <v>58</v>
      </c>
      <c r="V18">
        <v>4</v>
      </c>
      <c r="X18" t="s">
        <v>77</v>
      </c>
      <c r="Y18" t="s">
        <v>472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307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266</v>
      </c>
      <c r="Y21" t="s">
        <v>267</v>
      </c>
      <c r="Z21" s="7" t="s">
        <v>572</v>
      </c>
      <c r="AA21" t="str">
        <f t="shared" ref="AA21:AA26" si="0">X21</f>
        <v>HH2</v>
      </c>
      <c r="AB21" s="7" t="s">
        <v>430</v>
      </c>
      <c r="AC21" t="s">
        <v>60</v>
      </c>
      <c r="AD21" t="s">
        <v>571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431</v>
      </c>
      <c r="T22" t="s">
        <v>29</v>
      </c>
      <c r="U22" t="s">
        <v>58</v>
      </c>
      <c r="V22" s="23">
        <f>V12*1.2</f>
        <v>18.335999999999999</v>
      </c>
      <c r="X22" t="s">
        <v>266</v>
      </c>
      <c r="Y22" t="s">
        <v>268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435</v>
      </c>
      <c r="T23" t="s">
        <v>29</v>
      </c>
      <c r="U23" t="s">
        <v>58</v>
      </c>
      <c r="V23" s="23">
        <f>V13*1.2</f>
        <v>8.3279999999999994</v>
      </c>
      <c r="X23" t="s">
        <v>266</v>
      </c>
      <c r="Y23" t="s">
        <v>434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262</v>
      </c>
      <c r="Y24" t="s">
        <v>421</v>
      </c>
      <c r="AA24" t="str">
        <f t="shared" si="0"/>
        <v>OIL*</v>
      </c>
      <c r="AB24" s="7" t="s">
        <v>394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266</v>
      </c>
      <c r="Y25" t="s">
        <v>421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698</v>
      </c>
      <c r="Y26" t="s">
        <v>421</v>
      </c>
      <c r="AA26" t="str">
        <f t="shared" si="0"/>
        <v>BIODST,BIOGSL</v>
      </c>
      <c r="AB26" s="7" t="s">
        <v>394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294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642</v>
      </c>
      <c r="Y29" s="21" t="s">
        <v>453</v>
      </c>
      <c r="Z29" s="21" t="s">
        <v>454</v>
      </c>
      <c r="AA29" s="21" t="s">
        <v>251</v>
      </c>
      <c r="AB29" s="21" t="s">
        <v>641</v>
      </c>
      <c r="AC29" s="21" t="s">
        <v>235</v>
      </c>
      <c r="AD29" s="21" t="s">
        <v>640</v>
      </c>
      <c r="AE29" s="21" t="s">
        <v>463</v>
      </c>
      <c r="AF29" s="21" t="s">
        <v>468</v>
      </c>
      <c r="AG29" s="21" t="s">
        <v>639</v>
      </c>
      <c r="AH29" s="21" t="s">
        <v>638</v>
      </c>
      <c r="AI29" s="21" t="s">
        <v>637</v>
      </c>
      <c r="AJ29" s="21" t="s">
        <v>236</v>
      </c>
      <c r="AK29" s="21" t="s">
        <v>636</v>
      </c>
      <c r="AL29" s="21" t="s">
        <v>565</v>
      </c>
      <c r="AM29" s="21" t="s">
        <v>237</v>
      </c>
      <c r="AN29" s="21" t="s">
        <v>635</v>
      </c>
      <c r="AO29" s="21" t="s">
        <v>238</v>
      </c>
      <c r="AP29" s="21" t="s">
        <v>465</v>
      </c>
      <c r="AQ29" s="21" t="s">
        <v>634</v>
      </c>
      <c r="AR29" s="21" t="s">
        <v>633</v>
      </c>
      <c r="AS29" s="21" t="s">
        <v>632</v>
      </c>
      <c r="AT29" s="21" t="s">
        <v>631</v>
      </c>
      <c r="AU29" s="21" t="s">
        <v>630</v>
      </c>
      <c r="AV29" s="21" t="s">
        <v>310</v>
      </c>
      <c r="AW29" s="21" t="s">
        <v>629</v>
      </c>
      <c r="AX29" s="21" t="s">
        <v>628</v>
      </c>
      <c r="AY29" s="21" t="s">
        <v>627</v>
      </c>
      <c r="AZ29" s="21" t="s">
        <v>626</v>
      </c>
      <c r="BA29" s="21" t="s">
        <v>625</v>
      </c>
      <c r="BB29" s="21" t="s">
        <v>624</v>
      </c>
      <c r="BC29" s="21" t="s">
        <v>623</v>
      </c>
      <c r="BD29" s="21" t="s">
        <v>622</v>
      </c>
      <c r="BE29" s="21" t="s">
        <v>621</v>
      </c>
      <c r="BF29" s="21" t="s">
        <v>620</v>
      </c>
      <c r="BG29" s="21" t="s">
        <v>239</v>
      </c>
      <c r="BH29" s="21" t="s">
        <v>254</v>
      </c>
      <c r="BI29" s="21" t="s">
        <v>447</v>
      </c>
      <c r="BJ29" s="21" t="s">
        <v>446</v>
      </c>
      <c r="BK29" s="21" t="s">
        <v>619</v>
      </c>
      <c r="BL29" s="21" t="s">
        <v>618</v>
      </c>
      <c r="BM29" s="21" t="s">
        <v>617</v>
      </c>
      <c r="BN29" s="21" t="s">
        <v>616</v>
      </c>
      <c r="BO29" s="21" t="s">
        <v>255</v>
      </c>
      <c r="BP29" s="21" t="s">
        <v>450</v>
      </c>
      <c r="BQ29" s="21" t="s">
        <v>615</v>
      </c>
      <c r="BR29" s="21" t="s">
        <v>614</v>
      </c>
      <c r="BS29" s="21" t="s">
        <v>448</v>
      </c>
      <c r="BT29" s="21" t="s">
        <v>613</v>
      </c>
      <c r="BU29" s="21" t="s">
        <v>612</v>
      </c>
      <c r="BV29" s="21" t="s">
        <v>455</v>
      </c>
      <c r="BW29" s="21" t="s">
        <v>611</v>
      </c>
      <c r="BX29" s="21" t="s">
        <v>610</v>
      </c>
      <c r="BY29" s="21" t="s">
        <v>609</v>
      </c>
      <c r="BZ29" s="21" t="s">
        <v>458</v>
      </c>
      <c r="CA29" s="21" t="s">
        <v>608</v>
      </c>
      <c r="CB29" s="21" t="s">
        <v>240</v>
      </c>
      <c r="CC29" s="21" t="s">
        <v>607</v>
      </c>
      <c r="CD29" s="21" t="s">
        <v>606</v>
      </c>
      <c r="CE29" s="21" t="s">
        <v>605</v>
      </c>
      <c r="CF29" s="21" t="s">
        <v>462</v>
      </c>
      <c r="CG29" s="21" t="s">
        <v>470</v>
      </c>
      <c r="CH29" s="21" t="s">
        <v>604</v>
      </c>
      <c r="CI29" s="21" t="s">
        <v>467</v>
      </c>
      <c r="CJ29" s="21" t="s">
        <v>603</v>
      </c>
      <c r="CK29" s="21" t="s">
        <v>602</v>
      </c>
      <c r="CL29" s="21" t="s">
        <v>449</v>
      </c>
      <c r="CM29" s="21" t="s">
        <v>452</v>
      </c>
      <c r="CN29" s="21" t="s">
        <v>457</v>
      </c>
      <c r="CO29" s="21" t="s">
        <v>601</v>
      </c>
      <c r="CP29" s="21" t="s">
        <v>600</v>
      </c>
      <c r="CQ29" s="21" t="s">
        <v>599</v>
      </c>
      <c r="CR29" s="21" t="s">
        <v>598</v>
      </c>
      <c r="CS29" s="21" t="s">
        <v>597</v>
      </c>
      <c r="CT29" s="21" t="s">
        <v>461</v>
      </c>
      <c r="CU29" s="21" t="s">
        <v>471</v>
      </c>
      <c r="CV29" s="21" t="s">
        <v>596</v>
      </c>
      <c r="CW29" s="21" t="s">
        <v>595</v>
      </c>
      <c r="CX29" s="21" t="s">
        <v>594</v>
      </c>
      <c r="CY29" s="21" t="s">
        <v>451</v>
      </c>
      <c r="CZ29" s="21" t="s">
        <v>593</v>
      </c>
      <c r="DA29" s="21" t="s">
        <v>241</v>
      </c>
      <c r="DB29" s="21" t="s">
        <v>257</v>
      </c>
      <c r="DC29" s="21" t="s">
        <v>592</v>
      </c>
      <c r="DD29" s="21" t="s">
        <v>591</v>
      </c>
      <c r="DE29" s="21" t="s">
        <v>590</v>
      </c>
      <c r="DF29" s="21" t="s">
        <v>589</v>
      </c>
      <c r="DG29" s="21" t="s">
        <v>311</v>
      </c>
      <c r="DH29" s="21" t="s">
        <v>588</v>
      </c>
      <c r="DI29" s="21" t="s">
        <v>587</v>
      </c>
      <c r="DJ29" s="21" t="s">
        <v>586</v>
      </c>
      <c r="DK29" s="21" t="s">
        <v>585</v>
      </c>
      <c r="DL29" s="21" t="s">
        <v>584</v>
      </c>
      <c r="DM29" s="21" t="s">
        <v>583</v>
      </c>
      <c r="DN29" s="21" t="s">
        <v>582</v>
      </c>
      <c r="DO29" s="21" t="s">
        <v>464</v>
      </c>
      <c r="DP29" s="21" t="s">
        <v>466</v>
      </c>
      <c r="DQ29" s="21" t="s">
        <v>581</v>
      </c>
      <c r="DR29" s="21" t="s">
        <v>580</v>
      </c>
      <c r="DS29" s="21" t="s">
        <v>459</v>
      </c>
      <c r="DT29" s="21" t="s">
        <v>564</v>
      </c>
      <c r="DU29" s="21" t="s">
        <v>579</v>
      </c>
      <c r="DV29" s="21" t="s">
        <v>469</v>
      </c>
      <c r="DW29" s="21" t="s">
        <v>41</v>
      </c>
      <c r="DX29" s="21" t="s">
        <v>460</v>
      </c>
      <c r="DY29" s="21" t="s">
        <v>456</v>
      </c>
      <c r="DZ29" s="21" t="s">
        <v>578</v>
      </c>
      <c r="EA29" s="21" t="s">
        <v>566</v>
      </c>
      <c r="EB29" s="21" t="s">
        <v>577</v>
      </c>
      <c r="EC29" s="21" t="s">
        <v>643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306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306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306</v>
      </c>
      <c r="D34" t="s">
        <v>44</v>
      </c>
      <c r="H34" t="s">
        <v>36</v>
      </c>
      <c r="I34" t="str">
        <f t="shared" si="1"/>
        <v>SUP_TREFINER</v>
      </c>
      <c r="K34" t="s">
        <v>474</v>
      </c>
    </row>
    <row r="35" spans="2:26">
      <c r="C35" t="s">
        <v>306</v>
      </c>
      <c r="D35" t="s">
        <v>715</v>
      </c>
      <c r="E35">
        <v>0</v>
      </c>
      <c r="H35">
        <v>3</v>
      </c>
      <c r="I35" t="str">
        <f t="shared" si="1"/>
        <v>SUP_TREFINER</v>
      </c>
      <c r="K35" t="s">
        <v>474</v>
      </c>
    </row>
    <row r="36" spans="2:26">
      <c r="D36" s="31" t="s">
        <v>715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411</v>
      </c>
      <c r="V37" t="s">
        <v>6</v>
      </c>
      <c r="W37" t="s">
        <v>364</v>
      </c>
      <c r="X37" t="s">
        <v>39</v>
      </c>
      <c r="Y37">
        <v>2019</v>
      </c>
      <c r="Z37">
        <v>0</v>
      </c>
    </row>
    <row r="38" spans="2:26">
      <c r="V38" t="s">
        <v>305</v>
      </c>
      <c r="W38" t="s">
        <v>33</v>
      </c>
      <c r="X38" t="s">
        <v>567</v>
      </c>
      <c r="Y38">
        <v>0</v>
      </c>
      <c r="Z38">
        <v>3</v>
      </c>
    </row>
    <row r="39" spans="2:26">
      <c r="J39" t="s">
        <v>437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355</v>
      </c>
      <c r="K41" t="s">
        <v>356</v>
      </c>
      <c r="L41" t="s">
        <v>25</v>
      </c>
      <c r="M41" s="7" t="s">
        <v>357</v>
      </c>
    </row>
    <row r="42" spans="2:26">
      <c r="J42" t="s">
        <v>355</v>
      </c>
      <c r="K42" t="s">
        <v>444</v>
      </c>
      <c r="L42" t="s">
        <v>279</v>
      </c>
      <c r="M42" t="s">
        <v>445</v>
      </c>
    </row>
    <row r="43" spans="2:26">
      <c r="J43" t="s">
        <v>355</v>
      </c>
      <c r="K43" t="s">
        <v>444</v>
      </c>
      <c r="L43" t="s">
        <v>575</v>
      </c>
      <c r="M43" t="s">
        <v>445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274</v>
      </c>
      <c r="F4" t="s">
        <v>277</v>
      </c>
      <c r="H4" t="s">
        <v>300</v>
      </c>
      <c r="J4" t="s">
        <v>480</v>
      </c>
    </row>
    <row r="5" spans="2:10">
      <c r="B5" t="s">
        <v>298</v>
      </c>
      <c r="C5" t="s">
        <v>109</v>
      </c>
      <c r="D5" t="s">
        <v>60</v>
      </c>
      <c r="E5" t="s">
        <v>299</v>
      </c>
      <c r="F5" s="7" t="s">
        <v>691</v>
      </c>
      <c r="H5" t="s">
        <v>301</v>
      </c>
    </row>
    <row r="6" spans="2:10">
      <c r="B6" t="s">
        <v>298</v>
      </c>
      <c r="C6" t="s">
        <v>80</v>
      </c>
      <c r="D6" t="s">
        <v>60</v>
      </c>
      <c r="E6" t="s">
        <v>302</v>
      </c>
      <c r="F6" s="7" t="s">
        <v>691</v>
      </c>
      <c r="H6" t="s">
        <v>301</v>
      </c>
    </row>
    <row r="7" spans="2:10">
      <c r="B7" t="s">
        <v>298</v>
      </c>
      <c r="C7" t="s">
        <v>129</v>
      </c>
      <c r="D7" t="s">
        <v>60</v>
      </c>
      <c r="E7" t="s">
        <v>303</v>
      </c>
      <c r="F7" s="7" t="s">
        <v>691</v>
      </c>
      <c r="H7" t="s">
        <v>301</v>
      </c>
    </row>
    <row r="8" spans="2:10">
      <c r="B8" t="s">
        <v>231</v>
      </c>
    </row>
    <row r="9" spans="2:10">
      <c r="B9" t="s">
        <v>298</v>
      </c>
      <c r="C9" t="s">
        <v>109</v>
      </c>
      <c r="D9" t="s">
        <v>60</v>
      </c>
      <c r="E9" t="s">
        <v>481</v>
      </c>
      <c r="F9" s="7" t="s">
        <v>691</v>
      </c>
      <c r="H9" t="s">
        <v>301</v>
      </c>
    </row>
    <row r="10" spans="2:10">
      <c r="B10" t="s">
        <v>298</v>
      </c>
      <c r="C10" t="s">
        <v>80</v>
      </c>
      <c r="D10" t="s">
        <v>60</v>
      </c>
      <c r="E10" t="s">
        <v>482</v>
      </c>
      <c r="F10" s="7" t="s">
        <v>691</v>
      </c>
      <c r="H10" t="s">
        <v>301</v>
      </c>
    </row>
    <row r="11" spans="2:10">
      <c r="B11" t="s">
        <v>298</v>
      </c>
      <c r="C11" t="s">
        <v>129</v>
      </c>
      <c r="D11" t="s">
        <v>60</v>
      </c>
      <c r="E11" t="s">
        <v>483</v>
      </c>
      <c r="F11" s="7" t="s">
        <v>691</v>
      </c>
      <c r="H11" t="s">
        <v>301</v>
      </c>
    </row>
    <row r="12" spans="2:10">
      <c r="B12" t="s">
        <v>231</v>
      </c>
    </row>
    <row r="13" spans="2:10">
      <c r="B13" t="s">
        <v>484</v>
      </c>
      <c r="C13" t="s">
        <v>68</v>
      </c>
      <c r="D13" t="s">
        <v>60</v>
      </c>
      <c r="E13" t="s">
        <v>485</v>
      </c>
      <c r="H13" t="s">
        <v>486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735</v>
      </c>
      <c r="C19" t="s">
        <v>736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B2:L14"/>
  <sheetViews>
    <sheetView workbookViewId="0"/>
  </sheetViews>
  <sheetFormatPr defaultRowHeight="15"/>
  <cols>
    <col min="10" max="10" width="7" bestFit="1" customWidth="1"/>
    <col min="11" max="11" width="8.28515625" bestFit="1" customWidth="1"/>
    <col min="12" max="12" width="4.140625" bestFit="1" customWidth="1"/>
  </cols>
  <sheetData>
    <row r="2" spans="2:12">
      <c r="B2" t="s">
        <v>229</v>
      </c>
      <c r="I2" t="s">
        <v>8</v>
      </c>
    </row>
    <row r="3" spans="2:12">
      <c r="B3" t="s">
        <v>228</v>
      </c>
      <c r="C3" t="s">
        <v>296</v>
      </c>
      <c r="D3" t="s">
        <v>219</v>
      </c>
      <c r="E3" t="s">
        <v>274</v>
      </c>
      <c r="I3" t="s">
        <v>37</v>
      </c>
      <c r="J3" t="s">
        <v>247</v>
      </c>
      <c r="K3" t="s">
        <v>243</v>
      </c>
      <c r="L3" t="s">
        <v>40</v>
      </c>
    </row>
    <row r="4" spans="2:12">
      <c r="B4" t="s">
        <v>295</v>
      </c>
      <c r="C4" t="s">
        <v>475</v>
      </c>
      <c r="D4" t="s">
        <v>60</v>
      </c>
      <c r="E4" t="s">
        <v>710</v>
      </c>
      <c r="I4" t="s">
        <v>248</v>
      </c>
      <c r="J4" t="s">
        <v>249</v>
      </c>
      <c r="K4">
        <v>15</v>
      </c>
    </row>
    <row r="5" spans="2:12">
      <c r="B5" t="s">
        <v>295</v>
      </c>
      <c r="C5" t="s">
        <v>476</v>
      </c>
      <c r="D5" t="s">
        <v>60</v>
      </c>
      <c r="E5" t="s">
        <v>709</v>
      </c>
      <c r="I5" t="s">
        <v>248</v>
      </c>
      <c r="J5" t="s">
        <v>249</v>
      </c>
      <c r="K5">
        <v>2</v>
      </c>
      <c r="L5">
        <v>0</v>
      </c>
    </row>
    <row r="6" spans="2:12">
      <c r="B6" t="s">
        <v>295</v>
      </c>
      <c r="C6" t="s">
        <v>477</v>
      </c>
      <c r="D6" t="s">
        <v>60</v>
      </c>
      <c r="E6" t="s">
        <v>478</v>
      </c>
      <c r="I6" t="s">
        <v>250</v>
      </c>
      <c r="J6" t="s">
        <v>249</v>
      </c>
      <c r="K6">
        <v>7</v>
      </c>
    </row>
    <row r="7" spans="2:12">
      <c r="C7" t="s">
        <v>143</v>
      </c>
      <c r="D7" t="s">
        <v>60</v>
      </c>
      <c r="E7" t="s">
        <v>568</v>
      </c>
    </row>
    <row r="8" spans="2:12">
      <c r="C8" t="s">
        <v>141</v>
      </c>
      <c r="D8" t="s">
        <v>60</v>
      </c>
      <c r="E8" t="s">
        <v>711</v>
      </c>
    </row>
    <row r="9" spans="2:12">
      <c r="C9" t="s">
        <v>140</v>
      </c>
      <c r="D9" t="s">
        <v>60</v>
      </c>
      <c r="E9" t="s">
        <v>712</v>
      </c>
    </row>
    <row r="12" spans="2:12">
      <c r="B12" t="s">
        <v>8</v>
      </c>
      <c r="F12" s="7"/>
    </row>
    <row r="13" spans="2:12">
      <c r="B13" t="s">
        <v>6</v>
      </c>
      <c r="C13" t="s">
        <v>228</v>
      </c>
      <c r="D13" t="s">
        <v>296</v>
      </c>
      <c r="E13" t="s">
        <v>274</v>
      </c>
      <c r="F13" s="7" t="s">
        <v>219</v>
      </c>
    </row>
    <row r="14" spans="2:12">
      <c r="B14" t="s">
        <v>479</v>
      </c>
      <c r="C14" t="s">
        <v>295</v>
      </c>
      <c r="D14" t="s">
        <v>475</v>
      </c>
      <c r="E14" t="s">
        <v>473</v>
      </c>
      <c r="F14" s="7">
        <v>1.25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40625" defaultRowHeight="12.75"/>
  <cols>
    <col min="1" max="1" width="9.140625" style="32"/>
    <col min="2" max="2" width="30.28515625" style="32" customWidth="1"/>
    <col min="3" max="3" width="9" style="32" bestFit="1" customWidth="1"/>
    <col min="4" max="4" width="5" style="32" bestFit="1" customWidth="1"/>
    <col min="5" max="5" width="10.5703125" style="32" bestFit="1" customWidth="1"/>
    <col min="6" max="6" width="11.5703125" style="32" bestFit="1" customWidth="1"/>
    <col min="7" max="7" width="11.42578125" style="32" bestFit="1" customWidth="1"/>
    <col min="8" max="8" width="11.7109375" style="32" bestFit="1" customWidth="1"/>
    <col min="9" max="9" width="20.140625" style="32" bestFit="1" customWidth="1"/>
    <col min="10" max="10" width="11" style="32" bestFit="1" customWidth="1"/>
    <col min="11" max="11" width="11.85546875" style="32" bestFit="1" customWidth="1"/>
    <col min="12" max="12" width="16.5703125" style="32" bestFit="1" customWidth="1"/>
    <col min="13" max="13" width="12.5703125" style="32" bestFit="1" customWidth="1"/>
    <col min="14" max="14" width="18" style="32" bestFit="1" customWidth="1"/>
    <col min="15" max="16" width="9.140625" style="32"/>
    <col min="17" max="17" width="43.7109375" style="32" customWidth="1"/>
    <col min="18" max="22" width="9.140625" style="32"/>
    <col min="23" max="23" width="9.85546875" style="32" customWidth="1"/>
    <col min="24" max="94" width="9.140625" style="32"/>
    <col min="95" max="121" width="7" style="32" bestFit="1" customWidth="1"/>
    <col min="122" max="122" width="7.85546875" style="32" bestFit="1" customWidth="1"/>
    <col min="123" max="134" width="7" style="32" bestFit="1" customWidth="1"/>
    <col min="135" max="16384" width="9.140625" style="32"/>
  </cols>
  <sheetData>
    <row r="1" spans="1:29" ht="15">
      <c r="B1" s="17" t="e">
        <f>VLOOKUP(P1,$Q$4:$R$33,2,FALSE)</f>
        <v>#N/A</v>
      </c>
    </row>
    <row r="3" spans="1:29">
      <c r="B3" s="32" t="s">
        <v>487</v>
      </c>
      <c r="X3" s="32" t="s">
        <v>517</v>
      </c>
    </row>
    <row r="4" spans="1:29" ht="15">
      <c r="A4" s="32" t="s">
        <v>488</v>
      </c>
      <c r="B4" s="32" t="s">
        <v>489</v>
      </c>
      <c r="C4" s="32" t="s">
        <v>37</v>
      </c>
      <c r="D4" s="32" t="s">
        <v>1</v>
      </c>
      <c r="E4" s="32" t="s">
        <v>644</v>
      </c>
      <c r="F4" s="32" t="s">
        <v>737</v>
      </c>
      <c r="G4" s="32" t="s">
        <v>738</v>
      </c>
      <c r="H4" s="32" t="s">
        <v>739</v>
      </c>
      <c r="I4" s="32" t="s">
        <v>740</v>
      </c>
      <c r="J4" s="32" t="s">
        <v>741</v>
      </c>
      <c r="K4" s="32" t="s">
        <v>742</v>
      </c>
      <c r="L4" s="32" t="s">
        <v>743</v>
      </c>
      <c r="M4" s="32" t="s">
        <v>744</v>
      </c>
      <c r="N4" s="32" t="s">
        <v>745</v>
      </c>
      <c r="Q4" s="16" t="s">
        <v>491</v>
      </c>
      <c r="R4" s="32" t="s">
        <v>492</v>
      </c>
      <c r="X4" s="32" t="s">
        <v>37</v>
      </c>
      <c r="Y4" s="32" t="s">
        <v>300</v>
      </c>
      <c r="Z4" s="32" t="s">
        <v>228</v>
      </c>
      <c r="AA4" s="32" t="s">
        <v>219</v>
      </c>
      <c r="AC4" s="35" t="s">
        <v>522</v>
      </c>
    </row>
    <row r="5" spans="1:29" ht="15">
      <c r="A5" s="32" t="s">
        <v>494</v>
      </c>
      <c r="B5" s="16" t="str">
        <f>VLOOKUP(P5,$Q$4:$R$33,2,FALSE)</f>
        <v>\I: EN_Bioenergy - Cofiring</v>
      </c>
      <c r="C5" s="32" t="s">
        <v>396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491</v>
      </c>
      <c r="Q5" s="16" t="s">
        <v>495</v>
      </c>
      <c r="R5" s="32" t="s">
        <v>495</v>
      </c>
      <c r="X5" s="32" t="s">
        <v>30</v>
      </c>
      <c r="Y5" s="34" t="s">
        <v>520</v>
      </c>
      <c r="Z5" s="32" t="s">
        <v>521</v>
      </c>
      <c r="AA5" s="32">
        <v>2150</v>
      </c>
    </row>
    <row r="6" spans="1:29" ht="15">
      <c r="A6" s="32" t="s">
        <v>494</v>
      </c>
      <c r="B6" s="16" t="str">
        <f>VLOOKUP(P6,$Q$4:$R$33,2,FALSE)</f>
        <v>\I: EN_Bioenergy - Cofiring</v>
      </c>
      <c r="C6" s="32" t="s">
        <v>396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491</v>
      </c>
      <c r="Q6" s="16" t="s">
        <v>497</v>
      </c>
      <c r="R6" s="32" t="s">
        <v>498</v>
      </c>
    </row>
    <row r="7" spans="1:29" ht="15">
      <c r="A7" s="32" t="s">
        <v>494</v>
      </c>
      <c r="B7" s="16" t="str">
        <f t="shared" ref="B7:B70" si="0">VLOOKUP(P7,$Q$4:$R$33,2,FALSE)</f>
        <v>\I: EN_Bioenergy - Cofiring</v>
      </c>
      <c r="C7" s="32" t="s">
        <v>396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491</v>
      </c>
      <c r="Q7" s="16" t="s">
        <v>499</v>
      </c>
      <c r="R7" s="32" t="s">
        <v>499</v>
      </c>
      <c r="Y7" s="48"/>
    </row>
    <row r="8" spans="1:29" ht="15">
      <c r="A8" s="32" t="s">
        <v>494</v>
      </c>
      <c r="B8" s="16" t="str">
        <f t="shared" si="0"/>
        <v>\I: EN_Bioenergy - Cofiring</v>
      </c>
      <c r="C8" s="32" t="s">
        <v>500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491</v>
      </c>
      <c r="Q8" s="16" t="s">
        <v>501</v>
      </c>
      <c r="R8" s="32" t="s">
        <v>501</v>
      </c>
    </row>
    <row r="9" spans="1:29" ht="15">
      <c r="A9" s="32" t="s">
        <v>494</v>
      </c>
      <c r="B9" s="16" t="str">
        <f t="shared" si="0"/>
        <v>\I: EN_Bioenergy - Cofiring</v>
      </c>
      <c r="C9" s="32" t="s">
        <v>500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491</v>
      </c>
      <c r="Q9" s="16" t="s">
        <v>503</v>
      </c>
      <c r="R9" s="32" t="s">
        <v>504</v>
      </c>
    </row>
    <row r="10" spans="1:29" ht="15">
      <c r="A10" s="32" t="s">
        <v>494</v>
      </c>
      <c r="B10" s="16" t="str">
        <f t="shared" si="0"/>
        <v>\I: EN_Bioenergy - Cofiring</v>
      </c>
      <c r="C10" s="32" t="s">
        <v>500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491</v>
      </c>
      <c r="Q10" s="16" t="s">
        <v>505</v>
      </c>
      <c r="R10" s="32" t="s">
        <v>505</v>
      </c>
    </row>
    <row r="11" spans="1:29" ht="15">
      <c r="A11" s="32" t="s">
        <v>494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491</v>
      </c>
      <c r="Q11" s="16" t="s">
        <v>506</v>
      </c>
      <c r="R11" s="32" t="s">
        <v>506</v>
      </c>
    </row>
    <row r="12" spans="1:29" ht="15">
      <c r="A12" s="32" t="s">
        <v>494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491</v>
      </c>
      <c r="Q12" s="16" t="s">
        <v>508</v>
      </c>
      <c r="R12" s="32" t="s">
        <v>509</v>
      </c>
    </row>
    <row r="13" spans="1:29" ht="15">
      <c r="A13" s="32" t="s">
        <v>494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491</v>
      </c>
      <c r="Q13" s="16" t="s">
        <v>510</v>
      </c>
      <c r="R13" s="32" t="s">
        <v>511</v>
      </c>
    </row>
    <row r="14" spans="1:29" ht="15">
      <c r="A14" s="32" t="s">
        <v>494</v>
      </c>
      <c r="B14" s="16" t="str">
        <f t="shared" si="0"/>
        <v>EN_Bioenergy - Large scale unit</v>
      </c>
      <c r="C14" s="32" t="s">
        <v>396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495</v>
      </c>
      <c r="Q14" s="16" t="s">
        <v>512</v>
      </c>
      <c r="R14" s="32" t="s">
        <v>512</v>
      </c>
    </row>
    <row r="15" spans="1:29" ht="15">
      <c r="A15" s="32" t="s">
        <v>494</v>
      </c>
      <c r="B15" s="16" t="str">
        <f t="shared" si="0"/>
        <v>EN_Bioenergy - Large scale unit</v>
      </c>
      <c r="C15" s="32" t="s">
        <v>396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495</v>
      </c>
      <c r="Q15" s="16" t="s">
        <v>513</v>
      </c>
      <c r="R15" s="32" t="s">
        <v>513</v>
      </c>
    </row>
    <row r="16" spans="1:29" ht="15">
      <c r="A16" s="32" t="s">
        <v>494</v>
      </c>
      <c r="B16" s="16" t="str">
        <f t="shared" si="0"/>
        <v>EN_Bioenergy - Large scale unit</v>
      </c>
      <c r="C16" s="32" t="s">
        <v>396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495</v>
      </c>
      <c r="Q16" s="16" t="s">
        <v>514</v>
      </c>
      <c r="R16" s="33" t="s">
        <v>64</v>
      </c>
    </row>
    <row r="17" spans="1:18" ht="15">
      <c r="A17" s="32" t="s">
        <v>494</v>
      </c>
      <c r="B17" s="16" t="str">
        <f t="shared" si="0"/>
        <v>EN_Bioenergy - Large scale unit</v>
      </c>
      <c r="C17" s="32" t="s">
        <v>500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495</v>
      </c>
      <c r="Q17" s="16" t="s">
        <v>515</v>
      </c>
      <c r="R17" s="32" t="s">
        <v>516</v>
      </c>
    </row>
    <row r="18" spans="1:18" ht="15">
      <c r="A18" s="32" t="s">
        <v>494</v>
      </c>
      <c r="B18" s="16" t="str">
        <f t="shared" si="0"/>
        <v>EN_Bioenergy - Large scale unit</v>
      </c>
      <c r="C18" s="32" t="s">
        <v>500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495</v>
      </c>
      <c r="Q18" s="16" t="s">
        <v>518</v>
      </c>
      <c r="R18" s="32" t="s">
        <v>518</v>
      </c>
    </row>
    <row r="19" spans="1:18" ht="15">
      <c r="A19" s="32" t="s">
        <v>494</v>
      </c>
      <c r="B19" s="16" t="str">
        <f t="shared" si="0"/>
        <v>EN_Bioenergy - Large scale unit</v>
      </c>
      <c r="C19" s="32" t="s">
        <v>500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495</v>
      </c>
      <c r="Q19" s="16" t="s">
        <v>519</v>
      </c>
      <c r="R19" s="32" t="s">
        <v>519</v>
      </c>
    </row>
    <row r="20" spans="1:18" ht="15">
      <c r="A20" s="32" t="s">
        <v>494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495</v>
      </c>
      <c r="Q20" s="16" t="s">
        <v>523</v>
      </c>
      <c r="R20" s="32" t="s">
        <v>523</v>
      </c>
    </row>
    <row r="21" spans="1:18" ht="15">
      <c r="A21" s="32" t="s">
        <v>494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495</v>
      </c>
      <c r="Q21" s="16" t="s">
        <v>524</v>
      </c>
      <c r="R21" s="32" t="s">
        <v>524</v>
      </c>
    </row>
    <row r="22" spans="1:18" ht="15">
      <c r="A22" s="32" t="s">
        <v>494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495</v>
      </c>
      <c r="Q22" s="16" t="s">
        <v>525</v>
      </c>
      <c r="R22" s="32" t="s">
        <v>526</v>
      </c>
    </row>
    <row r="23" spans="1:18" ht="15">
      <c r="A23" s="32" t="s">
        <v>494</v>
      </c>
      <c r="B23" s="16" t="str">
        <f t="shared" si="0"/>
        <v>\I: EN_Bioenergy - Medium-scale CHP</v>
      </c>
      <c r="C23" s="32" t="s">
        <v>396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497</v>
      </c>
      <c r="Q23" s="16" t="s">
        <v>527</v>
      </c>
      <c r="R23" s="33" t="s">
        <v>530</v>
      </c>
    </row>
    <row r="24" spans="1:18" ht="15">
      <c r="A24" s="32" t="s">
        <v>494</v>
      </c>
      <c r="B24" s="16" t="str">
        <f t="shared" si="0"/>
        <v>\I: EN_Bioenergy - Medium-scale CHP</v>
      </c>
      <c r="C24" s="32" t="s">
        <v>396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497</v>
      </c>
      <c r="Q24" s="16" t="s">
        <v>528</v>
      </c>
      <c r="R24" s="32" t="s">
        <v>528</v>
      </c>
    </row>
    <row r="25" spans="1:18" ht="15">
      <c r="A25" s="32" t="s">
        <v>494</v>
      </c>
      <c r="B25" s="16" t="str">
        <f t="shared" si="0"/>
        <v>\I: EN_Bioenergy - Medium-scale CHP</v>
      </c>
      <c r="C25" s="32" t="s">
        <v>396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497</v>
      </c>
      <c r="Q25" s="16" t="s">
        <v>529</v>
      </c>
      <c r="R25" s="32" t="s">
        <v>529</v>
      </c>
    </row>
    <row r="26" spans="1:18" ht="15">
      <c r="A26" s="32" t="s">
        <v>494</v>
      </c>
      <c r="B26" s="16" t="str">
        <f t="shared" si="0"/>
        <v>\I: EN_Bioenergy - Medium-scale CHP</v>
      </c>
      <c r="C26" s="32" t="s">
        <v>500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497</v>
      </c>
      <c r="Q26" s="16" t="s">
        <v>531</v>
      </c>
      <c r="R26" s="32" t="s">
        <v>531</v>
      </c>
    </row>
    <row r="27" spans="1:18" ht="15">
      <c r="A27" s="32" t="s">
        <v>494</v>
      </c>
      <c r="B27" s="16" t="str">
        <f t="shared" si="0"/>
        <v>\I: EN_Bioenergy - Medium-scale CHP</v>
      </c>
      <c r="C27" s="32" t="s">
        <v>500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497</v>
      </c>
      <c r="Q27" s="16" t="s">
        <v>532</v>
      </c>
      <c r="R27" s="33" t="s">
        <v>535</v>
      </c>
    </row>
    <row r="28" spans="1:18" ht="15">
      <c r="A28" s="32" t="s">
        <v>494</v>
      </c>
      <c r="B28" s="16" t="str">
        <f t="shared" si="0"/>
        <v>\I: EN_Bioenergy - Medium-scale CHP</v>
      </c>
      <c r="C28" s="32" t="s">
        <v>500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497</v>
      </c>
      <c r="Q28" s="16" t="s">
        <v>533</v>
      </c>
      <c r="R28" s="33" t="s">
        <v>534</v>
      </c>
    </row>
    <row r="29" spans="1:18" ht="15">
      <c r="A29" s="32" t="s">
        <v>494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497</v>
      </c>
      <c r="Q29" s="32" t="s">
        <v>729</v>
      </c>
      <c r="R29" s="32" t="s">
        <v>730</v>
      </c>
    </row>
    <row r="30" spans="1:18" ht="15">
      <c r="A30" s="32" t="s">
        <v>494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497</v>
      </c>
    </row>
    <row r="31" spans="1:18" ht="15">
      <c r="A31" s="32" t="s">
        <v>494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497</v>
      </c>
      <c r="Q31" s="16" t="s">
        <v>496</v>
      </c>
      <c r="R31" s="16" t="s">
        <v>530</v>
      </c>
    </row>
    <row r="32" spans="1:18" ht="15">
      <c r="A32" s="32" t="s">
        <v>494</v>
      </c>
      <c r="B32" s="16" t="str">
        <f t="shared" si="0"/>
        <v>EN_Bioenergy + CCUS</v>
      </c>
      <c r="C32" s="32" t="s">
        <v>396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499</v>
      </c>
      <c r="Q32" s="16" t="s">
        <v>502</v>
      </c>
      <c r="R32" s="16" t="s">
        <v>535</v>
      </c>
    </row>
    <row r="33" spans="1:18" ht="15">
      <c r="A33" s="32" t="s">
        <v>494</v>
      </c>
      <c r="B33" s="16" t="str">
        <f t="shared" si="0"/>
        <v>EN_Bioenergy + CCUS</v>
      </c>
      <c r="C33" s="32" t="s">
        <v>396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499</v>
      </c>
      <c r="Q33" s="16" t="s">
        <v>507</v>
      </c>
      <c r="R33" s="16" t="s">
        <v>534</v>
      </c>
    </row>
    <row r="34" spans="1:18" ht="15">
      <c r="A34" s="32" t="s">
        <v>494</v>
      </c>
      <c r="B34" s="16" t="str">
        <f t="shared" si="0"/>
        <v>EN_Bioenergy + CCUS</v>
      </c>
      <c r="C34" s="32" t="s">
        <v>396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499</v>
      </c>
      <c r="Q34"/>
    </row>
    <row r="35" spans="1:18" ht="15">
      <c r="A35" s="32" t="s">
        <v>494</v>
      </c>
      <c r="B35" s="16" t="str">
        <f t="shared" si="0"/>
        <v>EN_Bioenergy + CCUS</v>
      </c>
      <c r="C35" s="32" t="s">
        <v>500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499</v>
      </c>
      <c r="Q35"/>
    </row>
    <row r="36" spans="1:18" ht="15">
      <c r="A36" s="32" t="s">
        <v>494</v>
      </c>
      <c r="B36" s="16" t="str">
        <f t="shared" si="0"/>
        <v>EN_Bioenergy + CCUS</v>
      </c>
      <c r="C36" s="32" t="s">
        <v>500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499</v>
      </c>
      <c r="Q36"/>
    </row>
    <row r="37" spans="1:18" ht="15">
      <c r="A37" s="32" t="s">
        <v>494</v>
      </c>
      <c r="B37" s="16" t="str">
        <f t="shared" si="0"/>
        <v>EN_Bioenergy + CCUS</v>
      </c>
      <c r="C37" s="32" t="s">
        <v>500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499</v>
      </c>
      <c r="Q37"/>
    </row>
    <row r="38" spans="1:18" ht="15">
      <c r="A38" s="32" t="s">
        <v>494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499</v>
      </c>
      <c r="Q38"/>
    </row>
    <row r="39" spans="1:18" ht="15">
      <c r="A39" s="32" t="s">
        <v>494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499</v>
      </c>
      <c r="Q39"/>
    </row>
    <row r="40" spans="1:18" ht="15">
      <c r="A40" s="32" t="s">
        <v>494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499</v>
      </c>
    </row>
    <row r="41" spans="1:18" ht="15">
      <c r="A41" s="32" t="s">
        <v>494</v>
      </c>
      <c r="B41" s="16" t="str">
        <f t="shared" si="0"/>
        <v>EN_CCGT</v>
      </c>
      <c r="C41" s="32" t="s">
        <v>396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501</v>
      </c>
    </row>
    <row r="42" spans="1:18" ht="15">
      <c r="A42" s="32" t="s">
        <v>494</v>
      </c>
      <c r="B42" s="16" t="str">
        <f t="shared" si="0"/>
        <v>EN_CCGT</v>
      </c>
      <c r="C42" s="32" t="s">
        <v>396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501</v>
      </c>
    </row>
    <row r="43" spans="1:18" ht="15">
      <c r="A43" s="32" t="s">
        <v>494</v>
      </c>
      <c r="B43" s="16" t="str">
        <f t="shared" si="0"/>
        <v>EN_CCGT</v>
      </c>
      <c r="C43" s="32" t="s">
        <v>396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501</v>
      </c>
    </row>
    <row r="44" spans="1:18" ht="15">
      <c r="A44" s="32" t="s">
        <v>494</v>
      </c>
      <c r="B44" s="16" t="str">
        <f t="shared" si="0"/>
        <v>EN_CCGT</v>
      </c>
      <c r="C44" s="32" t="s">
        <v>500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501</v>
      </c>
    </row>
    <row r="45" spans="1:18" ht="15">
      <c r="A45" s="32" t="s">
        <v>494</v>
      </c>
      <c r="B45" s="16" t="str">
        <f t="shared" si="0"/>
        <v>EN_CCGT</v>
      </c>
      <c r="C45" s="32" t="s">
        <v>500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501</v>
      </c>
    </row>
    <row r="46" spans="1:18" ht="15">
      <c r="A46" s="32" t="s">
        <v>494</v>
      </c>
      <c r="B46" s="16" t="str">
        <f t="shared" si="0"/>
        <v>EN_CCGT</v>
      </c>
      <c r="C46" s="32" t="s">
        <v>500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501</v>
      </c>
    </row>
    <row r="47" spans="1:18" ht="15">
      <c r="A47" s="32" t="s">
        <v>494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501</v>
      </c>
    </row>
    <row r="48" spans="1:18" ht="15">
      <c r="A48" s="32" t="s">
        <v>494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501</v>
      </c>
    </row>
    <row r="49" spans="1:18" ht="15">
      <c r="A49" s="32" t="s">
        <v>494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501</v>
      </c>
    </row>
    <row r="50" spans="1:18" ht="15">
      <c r="A50" s="32" t="s">
        <v>494</v>
      </c>
      <c r="B50" s="16" t="str">
        <f t="shared" si="0"/>
        <v>\I: EN_CCGT - CHP</v>
      </c>
      <c r="C50" s="32" t="s">
        <v>396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503</v>
      </c>
    </row>
    <row r="51" spans="1:18" ht="15">
      <c r="A51" s="32" t="s">
        <v>494</v>
      </c>
      <c r="B51" s="16" t="str">
        <f t="shared" si="0"/>
        <v>\I: EN_CCGT - CHP</v>
      </c>
      <c r="C51" s="32" t="s">
        <v>396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503</v>
      </c>
    </row>
    <row r="52" spans="1:18" ht="15">
      <c r="A52" s="32" t="s">
        <v>494</v>
      </c>
      <c r="B52" s="16" t="str">
        <f t="shared" si="0"/>
        <v>\I: EN_CCGT - CHP</v>
      </c>
      <c r="C52" s="32" t="s">
        <v>396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503</v>
      </c>
    </row>
    <row r="53" spans="1:18" ht="15">
      <c r="A53" s="32" t="s">
        <v>494</v>
      </c>
      <c r="B53" s="16" t="str">
        <f t="shared" si="0"/>
        <v>\I: EN_CCGT - CHP</v>
      </c>
      <c r="C53" s="32" t="s">
        <v>500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503</v>
      </c>
    </row>
    <row r="54" spans="1:18" ht="15">
      <c r="A54" s="32" t="s">
        <v>494</v>
      </c>
      <c r="B54" s="16" t="str">
        <f t="shared" si="0"/>
        <v>\I: EN_CCGT - CHP</v>
      </c>
      <c r="C54" s="32" t="s">
        <v>500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503</v>
      </c>
    </row>
    <row r="55" spans="1:18" ht="15">
      <c r="A55" s="32" t="s">
        <v>494</v>
      </c>
      <c r="B55" s="16" t="str">
        <f t="shared" si="0"/>
        <v>\I: EN_CCGT - CHP</v>
      </c>
      <c r="C55" s="32" t="s">
        <v>500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503</v>
      </c>
    </row>
    <row r="56" spans="1:18" ht="15">
      <c r="A56" s="32" t="s">
        <v>494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503</v>
      </c>
    </row>
    <row r="57" spans="1:18" ht="15">
      <c r="A57" s="32" t="s">
        <v>494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503</v>
      </c>
    </row>
    <row r="58" spans="1:18" ht="15">
      <c r="A58" s="32" t="s">
        <v>494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503</v>
      </c>
    </row>
    <row r="59" spans="1:18" ht="15">
      <c r="A59" s="32" t="s">
        <v>494</v>
      </c>
      <c r="B59" s="16" t="str">
        <f t="shared" si="0"/>
        <v>EN_CCGT + CCS</v>
      </c>
      <c r="C59" s="32" t="s">
        <v>396</v>
      </c>
      <c r="D59" s="32">
        <v>2022</v>
      </c>
      <c r="F59" s="32">
        <v>0.5</v>
      </c>
      <c r="G59" s="32" t="s">
        <v>436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505</v>
      </c>
    </row>
    <row r="60" spans="1:18" ht="15">
      <c r="A60" s="32" t="s">
        <v>494</v>
      </c>
      <c r="B60" s="16" t="str">
        <f t="shared" si="0"/>
        <v>EN_CCGT + CCS</v>
      </c>
      <c r="C60" s="32" t="s">
        <v>396</v>
      </c>
      <c r="D60" s="32">
        <v>2030</v>
      </c>
      <c r="F60" s="32">
        <v>0.51</v>
      </c>
      <c r="G60" s="32" t="s">
        <v>436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505</v>
      </c>
    </row>
    <row r="61" spans="1:18" ht="15">
      <c r="A61" s="32" t="s">
        <v>494</v>
      </c>
      <c r="B61" s="16" t="str">
        <f t="shared" si="0"/>
        <v>EN_CCGT + CCS</v>
      </c>
      <c r="C61" s="32" t="s">
        <v>396</v>
      </c>
      <c r="D61" s="32">
        <v>2050</v>
      </c>
      <c r="F61" s="32">
        <v>0.51</v>
      </c>
      <c r="G61" s="32" t="s">
        <v>436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505</v>
      </c>
    </row>
    <row r="62" spans="1:18" ht="15">
      <c r="A62" s="32" t="s">
        <v>494</v>
      </c>
      <c r="B62" s="16" t="str">
        <f t="shared" si="0"/>
        <v>EN_CCGT + CCS</v>
      </c>
      <c r="C62" s="32" t="s">
        <v>500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505</v>
      </c>
    </row>
    <row r="63" spans="1:18" ht="15">
      <c r="A63" s="32" t="s">
        <v>494</v>
      </c>
      <c r="B63" s="16" t="str">
        <f t="shared" si="0"/>
        <v>EN_CCGT + CCS</v>
      </c>
      <c r="C63" s="32" t="s">
        <v>500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505</v>
      </c>
      <c r="R63"/>
    </row>
    <row r="64" spans="1:18" ht="15">
      <c r="A64" s="32" t="s">
        <v>494</v>
      </c>
      <c r="B64" s="16" t="str">
        <f t="shared" si="0"/>
        <v>EN_CCGT + CCS</v>
      </c>
      <c r="C64" s="32" t="s">
        <v>500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505</v>
      </c>
      <c r="R64"/>
    </row>
    <row r="65" spans="1:18" ht="15">
      <c r="A65" s="32" t="s">
        <v>494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505</v>
      </c>
      <c r="R65"/>
    </row>
    <row r="66" spans="1:18" ht="15">
      <c r="A66" s="32" t="s">
        <v>494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505</v>
      </c>
      <c r="R66"/>
    </row>
    <row r="67" spans="1:18" ht="15">
      <c r="A67" s="32" t="s">
        <v>494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505</v>
      </c>
      <c r="R67"/>
    </row>
    <row r="68" spans="1:18" ht="15">
      <c r="A68" s="32" t="s">
        <v>494</v>
      </c>
      <c r="B68" s="16" t="str">
        <f t="shared" si="0"/>
        <v>EN_Coal + CCS</v>
      </c>
      <c r="C68" s="32" t="s">
        <v>396</v>
      </c>
      <c r="D68" s="32">
        <v>2022</v>
      </c>
      <c r="F68" s="32">
        <v>0.32</v>
      </c>
      <c r="G68" s="32" t="s">
        <v>436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436</v>
      </c>
      <c r="M68" s="32">
        <v>0.36</v>
      </c>
      <c r="N68" s="32">
        <v>0.36</v>
      </c>
      <c r="P68" s="32" t="s">
        <v>506</v>
      </c>
      <c r="R68"/>
    </row>
    <row r="69" spans="1:18" ht="15">
      <c r="A69" s="32" t="s">
        <v>494</v>
      </c>
      <c r="B69" s="16" t="str">
        <f t="shared" si="0"/>
        <v>EN_Coal + CCS</v>
      </c>
      <c r="C69" s="32" t="s">
        <v>396</v>
      </c>
      <c r="D69" s="32">
        <v>2030</v>
      </c>
      <c r="F69" s="32">
        <v>0.33</v>
      </c>
      <c r="G69" s="32" t="s">
        <v>436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436</v>
      </c>
      <c r="M69" s="32">
        <v>0.37</v>
      </c>
      <c r="N69" s="32">
        <v>0.37</v>
      </c>
      <c r="P69" s="32" t="s">
        <v>506</v>
      </c>
      <c r="R69"/>
    </row>
    <row r="70" spans="1:18" ht="15">
      <c r="A70" s="32" t="s">
        <v>494</v>
      </c>
      <c r="B70" s="16" t="str">
        <f t="shared" si="0"/>
        <v>EN_Coal + CCS</v>
      </c>
      <c r="C70" s="32" t="s">
        <v>396</v>
      </c>
      <c r="D70" s="32">
        <v>2050</v>
      </c>
      <c r="F70" s="32">
        <v>0.33</v>
      </c>
      <c r="G70" s="32" t="s">
        <v>436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436</v>
      </c>
      <c r="M70" s="32">
        <v>0.37</v>
      </c>
      <c r="N70" s="32">
        <v>0.37</v>
      </c>
      <c r="P70" s="32" t="s">
        <v>506</v>
      </c>
      <c r="R70"/>
    </row>
    <row r="71" spans="1:18" ht="15">
      <c r="A71" s="32" t="s">
        <v>494</v>
      </c>
      <c r="B71" s="16" t="str">
        <f t="shared" ref="B71:B134" si="1">VLOOKUP(P71,$Q$4:$R$33,2,FALSE)</f>
        <v>EN_Coal + CCS</v>
      </c>
      <c r="C71" s="32" t="s">
        <v>500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506</v>
      </c>
      <c r="R71"/>
    </row>
    <row r="72" spans="1:18" ht="15">
      <c r="A72" s="32" t="s">
        <v>494</v>
      </c>
      <c r="B72" s="16" t="str">
        <f t="shared" si="1"/>
        <v>EN_Coal + CCS</v>
      </c>
      <c r="C72" s="32" t="s">
        <v>500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506</v>
      </c>
      <c r="R72"/>
    </row>
    <row r="73" spans="1:18" ht="15">
      <c r="A73" s="32" t="s">
        <v>494</v>
      </c>
      <c r="B73" s="16" t="str">
        <f t="shared" si="1"/>
        <v>EN_Coal + CCS</v>
      </c>
      <c r="C73" s="32" t="s">
        <v>500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506</v>
      </c>
      <c r="R73"/>
    </row>
    <row r="74" spans="1:18" ht="15">
      <c r="A74" s="32" t="s">
        <v>494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506</v>
      </c>
      <c r="R74"/>
    </row>
    <row r="75" spans="1:18" ht="15">
      <c r="A75" s="32" t="s">
        <v>494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506</v>
      </c>
      <c r="R75"/>
    </row>
    <row r="76" spans="1:18" ht="15">
      <c r="A76" s="32" t="s">
        <v>494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506</v>
      </c>
      <c r="R76"/>
    </row>
    <row r="77" spans="1:18" ht="15">
      <c r="A77" s="32" t="s">
        <v>494</v>
      </c>
      <c r="B77" s="16" t="str">
        <f t="shared" si="1"/>
        <v>\I: EN_Concentrating solar power</v>
      </c>
      <c r="C77" s="32" t="s">
        <v>396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436</v>
      </c>
      <c r="L77" s="32">
        <v>0.4</v>
      </c>
      <c r="M77" s="32" t="s">
        <v>436</v>
      </c>
      <c r="N77" s="32">
        <v>0.4</v>
      </c>
      <c r="P77" s="32" t="s">
        <v>508</v>
      </c>
      <c r="R77"/>
    </row>
    <row r="78" spans="1:18" ht="15">
      <c r="A78" s="32" t="s">
        <v>494</v>
      </c>
      <c r="B78" s="16" t="str">
        <f t="shared" si="1"/>
        <v>\I: EN_Concentrating solar power</v>
      </c>
      <c r="C78" s="32" t="s">
        <v>396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436</v>
      </c>
      <c r="L78" s="32">
        <v>0.4</v>
      </c>
      <c r="M78" s="32" t="s">
        <v>436</v>
      </c>
      <c r="N78" s="32">
        <v>0.4</v>
      </c>
      <c r="P78" s="32" t="s">
        <v>508</v>
      </c>
      <c r="R78"/>
    </row>
    <row r="79" spans="1:18" ht="15">
      <c r="A79" s="32" t="s">
        <v>494</v>
      </c>
      <c r="B79" s="16" t="str">
        <f t="shared" si="1"/>
        <v>\I: EN_Concentrating solar power</v>
      </c>
      <c r="C79" s="32" t="s">
        <v>396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436</v>
      </c>
      <c r="L79" s="32">
        <v>0.4</v>
      </c>
      <c r="M79" s="32" t="s">
        <v>436</v>
      </c>
      <c r="N79" s="32">
        <v>0.4</v>
      </c>
      <c r="P79" s="32" t="s">
        <v>508</v>
      </c>
      <c r="R79"/>
    </row>
    <row r="80" spans="1:18" ht="15">
      <c r="A80" s="32" t="s">
        <v>494</v>
      </c>
      <c r="B80" s="16" t="str">
        <f t="shared" si="1"/>
        <v>\I: EN_Concentrating solar power</v>
      </c>
      <c r="C80" s="32" t="s">
        <v>500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436</v>
      </c>
      <c r="L80" s="32">
        <v>210</v>
      </c>
      <c r="M80" s="32" t="s">
        <v>436</v>
      </c>
      <c r="N80" s="32">
        <v>260</v>
      </c>
      <c r="P80" s="32" t="s">
        <v>508</v>
      </c>
      <c r="R80"/>
    </row>
    <row r="81" spans="1:18" ht="15">
      <c r="A81" s="32" t="s">
        <v>494</v>
      </c>
      <c r="B81" s="16" t="str">
        <f t="shared" si="1"/>
        <v>\I: EN_Concentrating solar power</v>
      </c>
      <c r="C81" s="32" t="s">
        <v>500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436</v>
      </c>
      <c r="L81" s="32">
        <v>180</v>
      </c>
      <c r="M81" s="32" t="s">
        <v>436</v>
      </c>
      <c r="N81" s="32">
        <v>230</v>
      </c>
      <c r="P81" s="32" t="s">
        <v>508</v>
      </c>
      <c r="R81"/>
    </row>
    <row r="82" spans="1:18" ht="15">
      <c r="A82" s="32" t="s">
        <v>494</v>
      </c>
      <c r="B82" s="16" t="str">
        <f t="shared" si="1"/>
        <v>\I: EN_Concentrating solar power</v>
      </c>
      <c r="C82" s="32" t="s">
        <v>500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436</v>
      </c>
      <c r="L82" s="32">
        <v>140</v>
      </c>
      <c r="M82" s="32" t="s">
        <v>436</v>
      </c>
      <c r="N82" s="32">
        <v>180</v>
      </c>
      <c r="P82" s="32" t="s">
        <v>508</v>
      </c>
      <c r="R82"/>
    </row>
    <row r="83" spans="1:18" ht="15">
      <c r="A83" s="32" t="s">
        <v>494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436</v>
      </c>
      <c r="L83" s="32">
        <v>5250</v>
      </c>
      <c r="M83" s="32" t="s">
        <v>436</v>
      </c>
      <c r="N83" s="32">
        <v>6500</v>
      </c>
      <c r="P83" s="32" t="s">
        <v>508</v>
      </c>
      <c r="R83"/>
    </row>
    <row r="84" spans="1:18" ht="15">
      <c r="A84" s="32" t="s">
        <v>494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436</v>
      </c>
      <c r="L84" s="32">
        <v>4500</v>
      </c>
      <c r="M84" s="32" t="s">
        <v>436</v>
      </c>
      <c r="N84" s="32">
        <v>5850</v>
      </c>
      <c r="P84" s="32" t="s">
        <v>508</v>
      </c>
      <c r="R84"/>
    </row>
    <row r="85" spans="1:18" ht="15">
      <c r="A85" s="32" t="s">
        <v>494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436</v>
      </c>
      <c r="L85" s="32">
        <v>3400</v>
      </c>
      <c r="M85" s="32" t="s">
        <v>436</v>
      </c>
      <c r="N85" s="32">
        <v>4550</v>
      </c>
      <c r="P85" s="32" t="s">
        <v>508</v>
      </c>
      <c r="R85"/>
    </row>
    <row r="86" spans="1:18" ht="15">
      <c r="A86" s="32" t="s">
        <v>494</v>
      </c>
      <c r="B86" s="16" t="str">
        <f t="shared" si="1"/>
        <v>\I: EN_Fuel cell (distributed electricity generation)</v>
      </c>
      <c r="C86" s="32" t="s">
        <v>396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510</v>
      </c>
      <c r="R86"/>
    </row>
    <row r="87" spans="1:18" ht="15">
      <c r="A87" s="32" t="s">
        <v>494</v>
      </c>
      <c r="B87" s="16" t="str">
        <f t="shared" si="1"/>
        <v>\I: EN_Fuel cell (distributed electricity generation)</v>
      </c>
      <c r="C87" s="32" t="s">
        <v>396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510</v>
      </c>
      <c r="R87"/>
    </row>
    <row r="88" spans="1:18" ht="15">
      <c r="A88" s="32" t="s">
        <v>494</v>
      </c>
      <c r="B88" s="16" t="str">
        <f t="shared" si="1"/>
        <v>\I: EN_Fuel cell (distributed electricity generation)</v>
      </c>
      <c r="C88" s="32" t="s">
        <v>396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510</v>
      </c>
      <c r="R88"/>
    </row>
    <row r="89" spans="1:18" ht="15">
      <c r="A89" s="32" t="s">
        <v>494</v>
      </c>
      <c r="B89" s="16" t="str">
        <f t="shared" si="1"/>
        <v>\I: EN_Fuel cell (distributed electricity generation)</v>
      </c>
      <c r="C89" s="32" t="s">
        <v>500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510</v>
      </c>
      <c r="R89"/>
    </row>
    <row r="90" spans="1:18" ht="15">
      <c r="A90" s="32" t="s">
        <v>494</v>
      </c>
      <c r="B90" s="16" t="str">
        <f t="shared" si="1"/>
        <v>\I: EN_Fuel cell (distributed electricity generation)</v>
      </c>
      <c r="C90" s="32" t="s">
        <v>500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510</v>
      </c>
      <c r="R90"/>
    </row>
    <row r="91" spans="1:18" ht="15">
      <c r="A91" s="32" t="s">
        <v>494</v>
      </c>
      <c r="B91" s="16" t="str">
        <f t="shared" si="1"/>
        <v>\I: EN_Fuel cell (distributed electricity generation)</v>
      </c>
      <c r="C91" s="32" t="s">
        <v>500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510</v>
      </c>
      <c r="R91"/>
    </row>
    <row r="92" spans="1:18" ht="15">
      <c r="A92" s="32" t="s">
        <v>494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510</v>
      </c>
      <c r="R92"/>
    </row>
    <row r="93" spans="1:18" ht="15">
      <c r="A93" s="32" t="s">
        <v>494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510</v>
      </c>
      <c r="R93"/>
    </row>
    <row r="94" spans="1:18" ht="15">
      <c r="A94" s="32" t="s">
        <v>494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510</v>
      </c>
      <c r="R94"/>
    </row>
    <row r="95" spans="1:18" ht="15">
      <c r="A95" s="32" t="s">
        <v>494</v>
      </c>
      <c r="B95" s="16" t="str">
        <f t="shared" si="1"/>
        <v>EN_Gas turbine</v>
      </c>
      <c r="C95" s="32" t="s">
        <v>396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512</v>
      </c>
      <c r="R95"/>
    </row>
    <row r="96" spans="1:18" ht="15">
      <c r="A96" s="32" t="s">
        <v>494</v>
      </c>
      <c r="B96" s="16" t="str">
        <f t="shared" si="1"/>
        <v>EN_Gas turbine</v>
      </c>
      <c r="C96" s="32" t="s">
        <v>396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512</v>
      </c>
      <c r="R96"/>
    </row>
    <row r="97" spans="1:18" ht="15">
      <c r="A97" s="32" t="s">
        <v>494</v>
      </c>
      <c r="B97" s="16" t="str">
        <f t="shared" si="1"/>
        <v>EN_Gas turbine</v>
      </c>
      <c r="C97" s="32" t="s">
        <v>396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512</v>
      </c>
      <c r="R97"/>
    </row>
    <row r="98" spans="1:18" ht="15">
      <c r="A98" s="32" t="s">
        <v>494</v>
      </c>
      <c r="B98" s="16" t="str">
        <f t="shared" si="1"/>
        <v>EN_Gas turbine</v>
      </c>
      <c r="C98" s="32" t="s">
        <v>500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512</v>
      </c>
      <c r="R98"/>
    </row>
    <row r="99" spans="1:18" ht="15">
      <c r="A99" s="32" t="s">
        <v>494</v>
      </c>
      <c r="B99" s="16" t="str">
        <f t="shared" si="1"/>
        <v>EN_Gas turbine</v>
      </c>
      <c r="C99" s="32" t="s">
        <v>500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512</v>
      </c>
      <c r="R99"/>
    </row>
    <row r="100" spans="1:18" ht="15">
      <c r="A100" s="32" t="s">
        <v>494</v>
      </c>
      <c r="B100" s="16" t="str">
        <f t="shared" si="1"/>
        <v>EN_Gas turbine</v>
      </c>
      <c r="C100" s="32" t="s">
        <v>500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512</v>
      </c>
      <c r="R100"/>
    </row>
    <row r="101" spans="1:18" ht="15">
      <c r="A101" s="32" t="s">
        <v>494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512</v>
      </c>
      <c r="R101"/>
    </row>
    <row r="102" spans="1:18" ht="15">
      <c r="A102" s="32" t="s">
        <v>494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512</v>
      </c>
      <c r="R102"/>
    </row>
    <row r="103" spans="1:18" ht="15">
      <c r="A103" s="32" t="s">
        <v>494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512</v>
      </c>
      <c r="R103"/>
    </row>
    <row r="104" spans="1:18" ht="15">
      <c r="A104" s="32" t="s">
        <v>494</v>
      </c>
      <c r="B104" s="16" t="str">
        <f t="shared" si="1"/>
        <v>EN_Geothermal</v>
      </c>
      <c r="C104" s="32" t="s">
        <v>396</v>
      </c>
      <c r="D104" s="32">
        <v>2022</v>
      </c>
      <c r="F104" s="32">
        <v>0.1</v>
      </c>
      <c r="G104" s="32" t="s">
        <v>436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513</v>
      </c>
      <c r="R104"/>
    </row>
    <row r="105" spans="1:18" ht="15">
      <c r="A105" s="32" t="s">
        <v>494</v>
      </c>
      <c r="B105" s="16" t="str">
        <f t="shared" si="1"/>
        <v>EN_Geothermal</v>
      </c>
      <c r="C105" s="32" t="s">
        <v>396</v>
      </c>
      <c r="D105" s="32">
        <v>2030</v>
      </c>
      <c r="F105" s="32">
        <v>0.1</v>
      </c>
      <c r="G105" s="32" t="s">
        <v>436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513</v>
      </c>
      <c r="R105"/>
    </row>
    <row r="106" spans="1:18" ht="15">
      <c r="A106" s="32" t="s">
        <v>494</v>
      </c>
      <c r="B106" s="16" t="str">
        <f t="shared" si="1"/>
        <v>EN_Geothermal</v>
      </c>
      <c r="C106" s="32" t="s">
        <v>396</v>
      </c>
      <c r="D106" s="32">
        <v>2050</v>
      </c>
      <c r="F106" s="32">
        <v>0.1</v>
      </c>
      <c r="G106" s="32" t="s">
        <v>436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513</v>
      </c>
      <c r="R106"/>
    </row>
    <row r="107" spans="1:18" ht="15">
      <c r="A107" s="32" t="s">
        <v>494</v>
      </c>
      <c r="B107" s="16" t="str">
        <f t="shared" si="1"/>
        <v>EN_Geothermal</v>
      </c>
      <c r="C107" s="32" t="s">
        <v>500</v>
      </c>
      <c r="D107" s="32">
        <v>2022</v>
      </c>
      <c r="F107" s="32">
        <v>60</v>
      </c>
      <c r="G107" s="32" t="s">
        <v>436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513</v>
      </c>
      <c r="R107"/>
    </row>
    <row r="108" spans="1:18" ht="15">
      <c r="A108" s="32" t="s">
        <v>494</v>
      </c>
      <c r="B108" s="16" t="str">
        <f t="shared" si="1"/>
        <v>EN_Geothermal</v>
      </c>
      <c r="C108" s="32" t="s">
        <v>500</v>
      </c>
      <c r="D108" s="32">
        <v>2030</v>
      </c>
      <c r="F108" s="32">
        <v>60</v>
      </c>
      <c r="G108" s="32" t="s">
        <v>436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513</v>
      </c>
      <c r="R108"/>
    </row>
    <row r="109" spans="1:18" ht="15">
      <c r="A109" s="32" t="s">
        <v>494</v>
      </c>
      <c r="B109" s="16" t="str">
        <f t="shared" si="1"/>
        <v>EN_Geothermal</v>
      </c>
      <c r="C109" s="32" t="s">
        <v>500</v>
      </c>
      <c r="D109" s="32">
        <v>2050</v>
      </c>
      <c r="F109" s="32">
        <v>55</v>
      </c>
      <c r="G109" s="32" t="s">
        <v>436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513</v>
      </c>
      <c r="R109"/>
    </row>
    <row r="110" spans="1:18" ht="15">
      <c r="A110" s="32" t="s">
        <v>494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436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513</v>
      </c>
      <c r="R110"/>
    </row>
    <row r="111" spans="1:18" ht="15">
      <c r="A111" s="32" t="s">
        <v>494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436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513</v>
      </c>
      <c r="R111"/>
    </row>
    <row r="112" spans="1:18" ht="15">
      <c r="A112" s="32" t="s">
        <v>494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436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513</v>
      </c>
      <c r="R112"/>
    </row>
    <row r="113" spans="1:18" ht="15">
      <c r="A113" s="32" t="s">
        <v>494</v>
      </c>
      <c r="B113" s="16" t="str">
        <f t="shared" si="1"/>
        <v>EN_Hydro*</v>
      </c>
      <c r="C113" s="32" t="s">
        <v>396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514</v>
      </c>
      <c r="R113"/>
    </row>
    <row r="114" spans="1:18" ht="15">
      <c r="A114" s="32" t="s">
        <v>494</v>
      </c>
      <c r="B114" s="16" t="str">
        <f t="shared" si="1"/>
        <v>EN_Hydro*</v>
      </c>
      <c r="C114" s="32" t="s">
        <v>396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514</v>
      </c>
      <c r="R114"/>
    </row>
    <row r="115" spans="1:18" ht="15">
      <c r="A115" s="32" t="s">
        <v>494</v>
      </c>
      <c r="B115" s="16" t="str">
        <f t="shared" si="1"/>
        <v>EN_Hydro*</v>
      </c>
      <c r="C115" s="32" t="s">
        <v>396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514</v>
      </c>
      <c r="R115"/>
    </row>
    <row r="116" spans="1:18" ht="15">
      <c r="A116" s="32" t="s">
        <v>494</v>
      </c>
      <c r="B116" s="16" t="str">
        <f t="shared" si="1"/>
        <v>EN_Hydro*</v>
      </c>
      <c r="C116" s="32" t="s">
        <v>500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514</v>
      </c>
      <c r="R116"/>
    </row>
    <row r="117" spans="1:18" ht="15">
      <c r="A117" s="32" t="s">
        <v>494</v>
      </c>
      <c r="B117" s="16" t="str">
        <f t="shared" si="1"/>
        <v>EN_Hydro*</v>
      </c>
      <c r="C117" s="32" t="s">
        <v>500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514</v>
      </c>
      <c r="R117"/>
    </row>
    <row r="118" spans="1:18" ht="15">
      <c r="A118" s="32" t="s">
        <v>494</v>
      </c>
      <c r="B118" s="16" t="str">
        <f t="shared" si="1"/>
        <v>EN_Hydro*</v>
      </c>
      <c r="C118" s="32" t="s">
        <v>500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514</v>
      </c>
      <c r="R118"/>
    </row>
    <row r="119" spans="1:18" ht="15">
      <c r="A119" s="32" t="s">
        <v>494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514</v>
      </c>
      <c r="R119"/>
    </row>
    <row r="120" spans="1:18" ht="15">
      <c r="A120" s="32" t="s">
        <v>494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514</v>
      </c>
      <c r="R120"/>
    </row>
    <row r="121" spans="1:18" ht="15">
      <c r="A121" s="32" t="s">
        <v>494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514</v>
      </c>
      <c r="R121"/>
    </row>
    <row r="122" spans="1:18" ht="15">
      <c r="A122" s="32" t="s">
        <v>494</v>
      </c>
      <c r="B122" s="16" t="str">
        <f t="shared" si="1"/>
        <v>\I: EN_Hydropower - small-scale unit</v>
      </c>
      <c r="C122" s="32" t="s">
        <v>396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515</v>
      </c>
      <c r="R122"/>
    </row>
    <row r="123" spans="1:18" ht="15">
      <c r="A123" s="32" t="s">
        <v>494</v>
      </c>
      <c r="B123" s="16" t="str">
        <f t="shared" si="1"/>
        <v>\I: EN_Hydropower - small-scale unit</v>
      </c>
      <c r="C123" s="32" t="s">
        <v>396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515</v>
      </c>
      <c r="R123"/>
    </row>
    <row r="124" spans="1:18" ht="15">
      <c r="A124" s="32" t="s">
        <v>494</v>
      </c>
      <c r="B124" s="16" t="str">
        <f t="shared" si="1"/>
        <v>\I: EN_Hydropower - small-scale unit</v>
      </c>
      <c r="C124" s="32" t="s">
        <v>396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515</v>
      </c>
      <c r="R124"/>
    </row>
    <row r="125" spans="1:18" ht="15">
      <c r="A125" s="32" t="s">
        <v>494</v>
      </c>
      <c r="B125" s="16" t="str">
        <f t="shared" si="1"/>
        <v>\I: EN_Hydropower - small-scale unit</v>
      </c>
      <c r="C125" s="32" t="s">
        <v>500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515</v>
      </c>
      <c r="R125"/>
    </row>
    <row r="126" spans="1:18" ht="15">
      <c r="A126" s="32" t="s">
        <v>494</v>
      </c>
      <c r="B126" s="16" t="str">
        <f t="shared" si="1"/>
        <v>\I: EN_Hydropower - small-scale unit</v>
      </c>
      <c r="C126" s="32" t="s">
        <v>500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515</v>
      </c>
      <c r="R126"/>
    </row>
    <row r="127" spans="1:18" ht="15">
      <c r="A127" s="32" t="s">
        <v>494</v>
      </c>
      <c r="B127" s="16" t="str">
        <f t="shared" si="1"/>
        <v>\I: EN_Hydropower - small-scale unit</v>
      </c>
      <c r="C127" s="32" t="s">
        <v>500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515</v>
      </c>
      <c r="R127"/>
    </row>
    <row r="128" spans="1:18" ht="15">
      <c r="A128" s="32" t="s">
        <v>494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515</v>
      </c>
      <c r="R128"/>
    </row>
    <row r="129" spans="1:18" ht="15">
      <c r="A129" s="32" t="s">
        <v>494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515</v>
      </c>
      <c r="R129"/>
    </row>
    <row r="130" spans="1:18" ht="15">
      <c r="A130" s="32" t="s">
        <v>494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515</v>
      </c>
      <c r="R130"/>
    </row>
    <row r="131" spans="1:18" ht="15">
      <c r="A131" s="32" t="s">
        <v>494</v>
      </c>
      <c r="B131" s="16" t="str">
        <f t="shared" si="1"/>
        <v>EN_IGCC</v>
      </c>
      <c r="C131" s="32" t="s">
        <v>396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518</v>
      </c>
      <c r="R131"/>
    </row>
    <row r="132" spans="1:18" ht="15">
      <c r="A132" s="32" t="s">
        <v>494</v>
      </c>
      <c r="B132" s="16" t="str">
        <f t="shared" si="1"/>
        <v>EN_IGCC</v>
      </c>
      <c r="C132" s="32" t="s">
        <v>396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518</v>
      </c>
      <c r="R132"/>
    </row>
    <row r="133" spans="1:18" ht="15">
      <c r="A133" s="32" t="s">
        <v>494</v>
      </c>
      <c r="B133" s="16" t="str">
        <f t="shared" si="1"/>
        <v>EN_IGCC</v>
      </c>
      <c r="C133" s="32" t="s">
        <v>396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518</v>
      </c>
      <c r="R133"/>
    </row>
    <row r="134" spans="1:18" ht="15">
      <c r="A134" s="32" t="s">
        <v>494</v>
      </c>
      <c r="B134" s="16" t="str">
        <f t="shared" si="1"/>
        <v>EN_IGCC</v>
      </c>
      <c r="C134" s="32" t="s">
        <v>500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518</v>
      </c>
      <c r="R134"/>
    </row>
    <row r="135" spans="1:18" ht="15">
      <c r="A135" s="32" t="s">
        <v>494</v>
      </c>
      <c r="B135" s="16" t="str">
        <f t="shared" ref="B135:B198" si="2">VLOOKUP(P135,$Q$4:$R$33,2,FALSE)</f>
        <v>EN_IGCC</v>
      </c>
      <c r="C135" s="32" t="s">
        <v>500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518</v>
      </c>
      <c r="R135"/>
    </row>
    <row r="136" spans="1:18" ht="15">
      <c r="A136" s="32" t="s">
        <v>494</v>
      </c>
      <c r="B136" s="16" t="str">
        <f t="shared" si="2"/>
        <v>EN_IGCC</v>
      </c>
      <c r="C136" s="32" t="s">
        <v>500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518</v>
      </c>
      <c r="R136"/>
    </row>
    <row r="137" spans="1:18" ht="15">
      <c r="A137" s="32" t="s">
        <v>494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518</v>
      </c>
      <c r="R137"/>
    </row>
    <row r="138" spans="1:18" ht="15">
      <c r="A138" s="32" t="s">
        <v>494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518</v>
      </c>
      <c r="R138"/>
    </row>
    <row r="139" spans="1:18" ht="15">
      <c r="A139" s="32" t="s">
        <v>494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518</v>
      </c>
      <c r="R139"/>
    </row>
    <row r="140" spans="1:18" ht="15">
      <c r="A140" s="32" t="s">
        <v>494</v>
      </c>
      <c r="B140" s="16" t="str">
        <f t="shared" si="2"/>
        <v>EN_IGCC + CCS</v>
      </c>
      <c r="C140" s="32" t="s">
        <v>396</v>
      </c>
      <c r="D140" s="32">
        <v>2022</v>
      </c>
      <c r="F140" s="32">
        <v>0.32</v>
      </c>
      <c r="G140" s="32" t="s">
        <v>436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436</v>
      </c>
      <c r="M140" s="32">
        <v>0.35</v>
      </c>
      <c r="N140" s="32">
        <v>0.35</v>
      </c>
      <c r="P140" s="32" t="s">
        <v>519</v>
      </c>
      <c r="R140"/>
    </row>
    <row r="141" spans="1:18" ht="15">
      <c r="A141" s="32" t="s">
        <v>494</v>
      </c>
      <c r="B141" s="16" t="str">
        <f t="shared" si="2"/>
        <v>EN_IGCC + CCS</v>
      </c>
      <c r="C141" s="32" t="s">
        <v>396</v>
      </c>
      <c r="D141" s="32">
        <v>2030</v>
      </c>
      <c r="F141" s="32">
        <v>0.32</v>
      </c>
      <c r="G141" s="32" t="s">
        <v>436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436</v>
      </c>
      <c r="M141" s="32">
        <v>0.36</v>
      </c>
      <c r="N141" s="32">
        <v>0.36</v>
      </c>
      <c r="P141" s="32" t="s">
        <v>519</v>
      </c>
      <c r="R141"/>
    </row>
    <row r="142" spans="1:18" ht="15">
      <c r="A142" s="32" t="s">
        <v>494</v>
      </c>
      <c r="B142" s="16" t="str">
        <f t="shared" si="2"/>
        <v>EN_IGCC + CCS</v>
      </c>
      <c r="C142" s="32" t="s">
        <v>396</v>
      </c>
      <c r="D142" s="32">
        <v>2050</v>
      </c>
      <c r="F142" s="32">
        <v>0.35</v>
      </c>
      <c r="G142" s="32" t="s">
        <v>436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436</v>
      </c>
      <c r="M142" s="32">
        <v>0.39</v>
      </c>
      <c r="N142" s="32">
        <v>0.39</v>
      </c>
      <c r="P142" s="32" t="s">
        <v>519</v>
      </c>
      <c r="R142"/>
    </row>
    <row r="143" spans="1:18" ht="15">
      <c r="A143" s="32" t="s">
        <v>494</v>
      </c>
      <c r="B143" s="16" t="str">
        <f t="shared" si="2"/>
        <v>EN_IGCC + CCS</v>
      </c>
      <c r="C143" s="32" t="s">
        <v>500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519</v>
      </c>
      <c r="R143"/>
    </row>
    <row r="144" spans="1:18" ht="15">
      <c r="A144" s="32" t="s">
        <v>494</v>
      </c>
      <c r="B144" s="16" t="str">
        <f t="shared" si="2"/>
        <v>EN_IGCC + CCS</v>
      </c>
      <c r="C144" s="32" t="s">
        <v>500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519</v>
      </c>
      <c r="R144"/>
    </row>
    <row r="145" spans="1:18" ht="15">
      <c r="A145" s="32" t="s">
        <v>494</v>
      </c>
      <c r="B145" s="16" t="str">
        <f t="shared" si="2"/>
        <v>EN_IGCC + CCS</v>
      </c>
      <c r="C145" s="32" t="s">
        <v>500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519</v>
      </c>
      <c r="R145"/>
    </row>
    <row r="146" spans="1:18" ht="15">
      <c r="A146" s="32" t="s">
        <v>494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519</v>
      </c>
      <c r="R146"/>
    </row>
    <row r="147" spans="1:18" ht="15">
      <c r="A147" s="32" t="s">
        <v>494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519</v>
      </c>
      <c r="R147"/>
    </row>
    <row r="148" spans="1:18" ht="15">
      <c r="A148" s="32" t="s">
        <v>494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519</v>
      </c>
      <c r="R148"/>
    </row>
    <row r="149" spans="1:18" ht="15">
      <c r="A149" s="32" t="s">
        <v>494</v>
      </c>
      <c r="B149" s="16" t="str">
        <f t="shared" si="2"/>
        <v>EN_Marine</v>
      </c>
      <c r="C149" s="32" t="s">
        <v>396</v>
      </c>
      <c r="D149" s="32">
        <v>2022</v>
      </c>
      <c r="F149" s="32">
        <v>1</v>
      </c>
      <c r="G149" s="32" t="s">
        <v>436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523</v>
      </c>
      <c r="R149"/>
    </row>
    <row r="150" spans="1:18" ht="15">
      <c r="A150" s="32" t="s">
        <v>494</v>
      </c>
      <c r="B150" s="16" t="str">
        <f t="shared" si="2"/>
        <v>EN_Marine</v>
      </c>
      <c r="C150" s="32" t="s">
        <v>396</v>
      </c>
      <c r="D150" s="32">
        <v>2030</v>
      </c>
      <c r="F150" s="32">
        <v>1</v>
      </c>
      <c r="G150" s="32" t="s">
        <v>436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523</v>
      </c>
      <c r="R150"/>
    </row>
    <row r="151" spans="1:18" ht="15">
      <c r="A151" s="32" t="s">
        <v>494</v>
      </c>
      <c r="B151" s="16" t="str">
        <f t="shared" si="2"/>
        <v>EN_Marine</v>
      </c>
      <c r="C151" s="32" t="s">
        <v>396</v>
      </c>
      <c r="D151" s="32">
        <v>2050</v>
      </c>
      <c r="F151" s="32">
        <v>1</v>
      </c>
      <c r="G151" s="32" t="s">
        <v>436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523</v>
      </c>
      <c r="R151"/>
    </row>
    <row r="152" spans="1:18" ht="15">
      <c r="A152" s="32" t="s">
        <v>494</v>
      </c>
      <c r="B152" s="16" t="str">
        <f t="shared" si="2"/>
        <v>EN_Marine</v>
      </c>
      <c r="C152" s="32" t="s">
        <v>500</v>
      </c>
      <c r="D152" s="32">
        <v>2022</v>
      </c>
      <c r="F152" s="32">
        <v>200</v>
      </c>
      <c r="G152" s="32" t="s">
        <v>436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523</v>
      </c>
      <c r="R152"/>
    </row>
    <row r="153" spans="1:18" ht="15">
      <c r="A153" s="32" t="s">
        <v>494</v>
      </c>
      <c r="B153" s="16" t="str">
        <f t="shared" si="2"/>
        <v>EN_Marine</v>
      </c>
      <c r="C153" s="32" t="s">
        <v>500</v>
      </c>
      <c r="D153" s="32">
        <v>2030</v>
      </c>
      <c r="F153" s="32">
        <v>160</v>
      </c>
      <c r="G153" s="32" t="s">
        <v>436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523</v>
      </c>
      <c r="R153"/>
    </row>
    <row r="154" spans="1:18" ht="15">
      <c r="A154" s="32" t="s">
        <v>494</v>
      </c>
      <c r="B154" s="16" t="str">
        <f t="shared" si="2"/>
        <v>EN_Marine</v>
      </c>
      <c r="C154" s="32" t="s">
        <v>500</v>
      </c>
      <c r="D154" s="32">
        <v>2050</v>
      </c>
      <c r="F154" s="32">
        <v>90</v>
      </c>
      <c r="G154" s="32" t="s">
        <v>436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523</v>
      </c>
      <c r="R154"/>
    </row>
    <row r="155" spans="1:18" ht="15">
      <c r="A155" s="32" t="s">
        <v>494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436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523</v>
      </c>
      <c r="R155"/>
    </row>
    <row r="156" spans="1:18" ht="15">
      <c r="A156" s="32" t="s">
        <v>494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436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523</v>
      </c>
      <c r="R156"/>
    </row>
    <row r="157" spans="1:18" ht="15">
      <c r="A157" s="32" t="s">
        <v>494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436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523</v>
      </c>
      <c r="R157"/>
    </row>
    <row r="158" spans="1:18" ht="15">
      <c r="A158" s="32" t="s">
        <v>494</v>
      </c>
      <c r="B158" s="16" t="str">
        <f t="shared" si="2"/>
        <v>EN_Nuclear</v>
      </c>
      <c r="C158" s="32" t="s">
        <v>396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524</v>
      </c>
      <c r="R158"/>
    </row>
    <row r="159" spans="1:18" ht="15">
      <c r="A159" s="32" t="s">
        <v>494</v>
      </c>
      <c r="B159" s="16" t="str">
        <f t="shared" si="2"/>
        <v>EN_Nuclear</v>
      </c>
      <c r="C159" s="32" t="s">
        <v>396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524</v>
      </c>
      <c r="R159"/>
    </row>
    <row r="160" spans="1:18" ht="15">
      <c r="A160" s="32" t="s">
        <v>494</v>
      </c>
      <c r="B160" s="16" t="str">
        <f t="shared" si="2"/>
        <v>EN_Nuclear</v>
      </c>
      <c r="C160" s="32" t="s">
        <v>396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524</v>
      </c>
      <c r="R160"/>
    </row>
    <row r="161" spans="1:18" ht="15">
      <c r="A161" s="32" t="s">
        <v>494</v>
      </c>
      <c r="B161" s="16" t="str">
        <f t="shared" si="2"/>
        <v>EN_Nuclear</v>
      </c>
      <c r="C161" s="32" t="s">
        <v>500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524</v>
      </c>
      <c r="R161"/>
    </row>
    <row r="162" spans="1:18" ht="15">
      <c r="A162" s="32" t="s">
        <v>494</v>
      </c>
      <c r="B162" s="16" t="str">
        <f t="shared" si="2"/>
        <v>EN_Nuclear</v>
      </c>
      <c r="C162" s="32" t="s">
        <v>500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524</v>
      </c>
      <c r="R162"/>
    </row>
    <row r="163" spans="1:18" ht="15">
      <c r="A163" s="32" t="s">
        <v>494</v>
      </c>
      <c r="B163" s="16" t="str">
        <f t="shared" si="2"/>
        <v>EN_Nuclear</v>
      </c>
      <c r="C163" s="32" t="s">
        <v>500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524</v>
      </c>
      <c r="R163"/>
    </row>
    <row r="164" spans="1:18" ht="15">
      <c r="A164" s="32" t="s">
        <v>494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524</v>
      </c>
      <c r="R164"/>
    </row>
    <row r="165" spans="1:18" ht="15">
      <c r="A165" s="32" t="s">
        <v>494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524</v>
      </c>
      <c r="R165"/>
    </row>
    <row r="166" spans="1:18" ht="15">
      <c r="A166" s="32" t="s">
        <v>494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524</v>
      </c>
      <c r="R166"/>
    </row>
    <row r="167" spans="1:18" ht="15">
      <c r="A167" s="32" t="s">
        <v>494</v>
      </c>
      <c r="B167" s="16" t="str">
        <f t="shared" si="2"/>
        <v>\I: EN_Oxyfuel + CCS</v>
      </c>
      <c r="C167" s="32" t="s">
        <v>396</v>
      </c>
      <c r="D167" s="32">
        <v>2022</v>
      </c>
      <c r="F167" s="32">
        <v>0.33</v>
      </c>
      <c r="G167" s="32" t="s">
        <v>436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436</v>
      </c>
      <c r="M167" s="32">
        <v>0.36</v>
      </c>
      <c r="N167" s="32">
        <v>0.36</v>
      </c>
      <c r="P167" s="32" t="s">
        <v>729</v>
      </c>
      <c r="R167"/>
    </row>
    <row r="168" spans="1:18" ht="15">
      <c r="A168" s="32" t="s">
        <v>494</v>
      </c>
      <c r="B168" s="16" t="str">
        <f t="shared" si="2"/>
        <v>\I: EN_Oxyfuel + CCS</v>
      </c>
      <c r="C168" s="32" t="s">
        <v>396</v>
      </c>
      <c r="D168" s="32">
        <v>2030</v>
      </c>
      <c r="F168" s="32">
        <v>0.33</v>
      </c>
      <c r="G168" s="32" t="s">
        <v>436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436</v>
      </c>
      <c r="M168" s="32">
        <v>0.37</v>
      </c>
      <c r="N168" s="32">
        <v>0.37</v>
      </c>
      <c r="P168" s="32" t="s">
        <v>729</v>
      </c>
      <c r="R168"/>
    </row>
    <row r="169" spans="1:18" ht="15">
      <c r="A169" s="32" t="s">
        <v>494</v>
      </c>
      <c r="B169" s="16" t="str">
        <f t="shared" si="2"/>
        <v>\I: EN_Oxyfuel + CCS</v>
      </c>
      <c r="C169" s="32" t="s">
        <v>396</v>
      </c>
      <c r="D169" s="32">
        <v>2050</v>
      </c>
      <c r="F169" s="32">
        <v>0.33</v>
      </c>
      <c r="G169" s="32" t="s">
        <v>436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436</v>
      </c>
      <c r="M169" s="32">
        <v>0.37</v>
      </c>
      <c r="N169" s="32">
        <v>0.37</v>
      </c>
      <c r="P169" s="32" t="s">
        <v>729</v>
      </c>
      <c r="R169"/>
    </row>
    <row r="170" spans="1:18" ht="15">
      <c r="A170" s="32" t="s">
        <v>494</v>
      </c>
      <c r="B170" s="16" t="str">
        <f t="shared" si="2"/>
        <v>\I: EN_Oxyfuel + CCS</v>
      </c>
      <c r="C170" s="32" t="s">
        <v>500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729</v>
      </c>
      <c r="R170"/>
    </row>
    <row r="171" spans="1:18" ht="15">
      <c r="A171" s="32" t="s">
        <v>494</v>
      </c>
      <c r="B171" s="16" t="str">
        <f t="shared" si="2"/>
        <v>\I: EN_Oxyfuel + CCS</v>
      </c>
      <c r="C171" s="32" t="s">
        <v>500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729</v>
      </c>
      <c r="R171"/>
    </row>
    <row r="172" spans="1:18" ht="15">
      <c r="A172" s="32" t="s">
        <v>494</v>
      </c>
      <c r="B172" s="16" t="str">
        <f t="shared" si="2"/>
        <v>\I: EN_Oxyfuel + CCS</v>
      </c>
      <c r="C172" s="32" t="s">
        <v>500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729</v>
      </c>
      <c r="R172"/>
    </row>
    <row r="173" spans="1:18" ht="15">
      <c r="A173" s="32" t="s">
        <v>494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729</v>
      </c>
      <c r="R173"/>
    </row>
    <row r="174" spans="1:18" ht="15">
      <c r="A174" s="32" t="s">
        <v>494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729</v>
      </c>
      <c r="R174"/>
    </row>
    <row r="175" spans="1:18" ht="15">
      <c r="A175" s="32" t="s">
        <v>494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729</v>
      </c>
      <c r="R175"/>
    </row>
    <row r="176" spans="1:18" ht="15">
      <c r="A176" s="32" t="s">
        <v>494</v>
      </c>
      <c r="B176" s="16" t="str">
        <f t="shared" si="2"/>
        <v>\I: EN_Solar photovoltaics - Buildings</v>
      </c>
      <c r="C176" s="32" t="s">
        <v>396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525</v>
      </c>
      <c r="R176"/>
    </row>
    <row r="177" spans="1:18" ht="15">
      <c r="A177" s="32" t="s">
        <v>494</v>
      </c>
      <c r="B177" s="16" t="str">
        <f t="shared" si="2"/>
        <v>\I: EN_Solar photovoltaics - Buildings</v>
      </c>
      <c r="C177" s="32" t="s">
        <v>396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525</v>
      </c>
      <c r="R177"/>
    </row>
    <row r="178" spans="1:18" ht="15">
      <c r="A178" s="32" t="s">
        <v>494</v>
      </c>
      <c r="B178" s="16" t="str">
        <f t="shared" si="2"/>
        <v>\I: EN_Solar photovoltaics - Buildings</v>
      </c>
      <c r="C178" s="32" t="s">
        <v>396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525</v>
      </c>
      <c r="R178"/>
    </row>
    <row r="179" spans="1:18" ht="15">
      <c r="A179" s="32" t="s">
        <v>494</v>
      </c>
      <c r="B179" s="16" t="str">
        <f t="shared" si="2"/>
        <v>\I: EN_Solar photovoltaics - Buildings</v>
      </c>
      <c r="C179" s="32" t="s">
        <v>500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525</v>
      </c>
      <c r="R179"/>
    </row>
    <row r="180" spans="1:18" ht="15">
      <c r="A180" s="32" t="s">
        <v>494</v>
      </c>
      <c r="B180" s="16" t="str">
        <f t="shared" si="2"/>
        <v>\I: EN_Solar photovoltaics - Buildings</v>
      </c>
      <c r="C180" s="32" t="s">
        <v>500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525</v>
      </c>
      <c r="R180"/>
    </row>
    <row r="181" spans="1:18" ht="15">
      <c r="A181" s="32" t="s">
        <v>494</v>
      </c>
      <c r="B181" s="16" t="str">
        <f t="shared" si="2"/>
        <v>\I: EN_Solar photovoltaics - Buildings</v>
      </c>
      <c r="C181" s="32" t="s">
        <v>500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525</v>
      </c>
      <c r="R181"/>
    </row>
    <row r="182" spans="1:18" ht="15">
      <c r="A182" s="32" t="s">
        <v>494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525</v>
      </c>
      <c r="R182"/>
    </row>
    <row r="183" spans="1:18" ht="15">
      <c r="A183" s="32" t="s">
        <v>494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525</v>
      </c>
      <c r="R183"/>
    </row>
    <row r="184" spans="1:18" ht="15">
      <c r="A184" s="32" t="s">
        <v>494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525</v>
      </c>
      <c r="R184"/>
    </row>
    <row r="185" spans="1:18" ht="15">
      <c r="A185" s="32" t="s">
        <v>494</v>
      </c>
      <c r="B185" s="16" t="str">
        <f t="shared" si="2"/>
        <v>EN_SPV*</v>
      </c>
      <c r="C185" s="32" t="s">
        <v>396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527</v>
      </c>
      <c r="R185"/>
    </row>
    <row r="186" spans="1:18" ht="15">
      <c r="A186" s="32" t="s">
        <v>494</v>
      </c>
      <c r="B186" s="16" t="str">
        <f t="shared" si="2"/>
        <v>EN_SPV*</v>
      </c>
      <c r="C186" s="32" t="s">
        <v>396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527</v>
      </c>
      <c r="R186"/>
    </row>
    <row r="187" spans="1:18" ht="15">
      <c r="A187" s="32" t="s">
        <v>494</v>
      </c>
      <c r="B187" s="16" t="str">
        <f t="shared" si="2"/>
        <v>EN_SPV*</v>
      </c>
      <c r="C187" s="32" t="s">
        <v>396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527</v>
      </c>
      <c r="R187"/>
    </row>
    <row r="188" spans="1:18" ht="15">
      <c r="A188" s="32" t="s">
        <v>494</v>
      </c>
      <c r="B188" s="16" t="str">
        <f t="shared" si="2"/>
        <v>EN_SPV*</v>
      </c>
      <c r="C188" s="32" t="s">
        <v>500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527</v>
      </c>
      <c r="R188"/>
    </row>
    <row r="189" spans="1:18" ht="15">
      <c r="A189" s="32" t="s">
        <v>494</v>
      </c>
      <c r="B189" s="16" t="str">
        <f t="shared" si="2"/>
        <v>EN_SPV*</v>
      </c>
      <c r="C189" s="32" t="s">
        <v>500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527</v>
      </c>
      <c r="R189"/>
    </row>
    <row r="190" spans="1:18" ht="15">
      <c r="A190" s="32" t="s">
        <v>494</v>
      </c>
      <c r="B190" s="16" t="str">
        <f t="shared" si="2"/>
        <v>EN_SPV*</v>
      </c>
      <c r="C190" s="32" t="s">
        <v>500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527</v>
      </c>
      <c r="R190"/>
    </row>
    <row r="191" spans="1:18" ht="15">
      <c r="A191" s="32" t="s">
        <v>494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527</v>
      </c>
      <c r="R191"/>
    </row>
    <row r="192" spans="1:18" ht="15">
      <c r="A192" s="32" t="s">
        <v>494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527</v>
      </c>
      <c r="R192"/>
    </row>
    <row r="193" spans="1:18" ht="15">
      <c r="A193" s="32" t="s">
        <v>494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527</v>
      </c>
      <c r="R193"/>
    </row>
    <row r="194" spans="1:18" ht="15">
      <c r="A194" s="32" t="s">
        <v>494</v>
      </c>
      <c r="B194" s="16" t="str">
        <f t="shared" si="2"/>
        <v>EN_Steam Coal - SUBCRITICAL</v>
      </c>
      <c r="C194" s="32" t="s">
        <v>396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528</v>
      </c>
      <c r="R194"/>
    </row>
    <row r="195" spans="1:18" ht="15">
      <c r="A195" s="32" t="s">
        <v>494</v>
      </c>
      <c r="B195" s="16" t="str">
        <f t="shared" si="2"/>
        <v>EN_Steam Coal - SUBCRITICAL</v>
      </c>
      <c r="C195" s="32" t="s">
        <v>396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528</v>
      </c>
      <c r="R195"/>
    </row>
    <row r="196" spans="1:18" ht="15">
      <c r="A196" s="32" t="s">
        <v>494</v>
      </c>
      <c r="B196" s="16" t="str">
        <f t="shared" si="2"/>
        <v>EN_Steam Coal - SUBCRITICAL</v>
      </c>
      <c r="C196" s="32" t="s">
        <v>396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528</v>
      </c>
      <c r="R196"/>
    </row>
    <row r="197" spans="1:18" ht="15">
      <c r="A197" s="32" t="s">
        <v>494</v>
      </c>
      <c r="B197" s="16" t="str">
        <f t="shared" si="2"/>
        <v>EN_Steam Coal - SUBCRITICAL</v>
      </c>
      <c r="C197" s="32" t="s">
        <v>500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528</v>
      </c>
      <c r="R197"/>
    </row>
    <row r="198" spans="1:18" ht="15">
      <c r="A198" s="32" t="s">
        <v>494</v>
      </c>
      <c r="B198" s="16" t="str">
        <f t="shared" si="2"/>
        <v>EN_Steam Coal - SUBCRITICAL</v>
      </c>
      <c r="C198" s="32" t="s">
        <v>500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528</v>
      </c>
      <c r="R198"/>
    </row>
    <row r="199" spans="1:18" ht="15">
      <c r="A199" s="32" t="s">
        <v>494</v>
      </c>
      <c r="B199" s="16" t="str">
        <f t="shared" ref="B199:B238" si="3">VLOOKUP(P199,$Q$4:$R$33,2,FALSE)</f>
        <v>EN_Steam Coal - SUBCRITICAL</v>
      </c>
      <c r="C199" s="32" t="s">
        <v>500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528</v>
      </c>
      <c r="R199"/>
    </row>
    <row r="200" spans="1:18" ht="15">
      <c r="A200" s="32" t="s">
        <v>494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528</v>
      </c>
      <c r="R200"/>
    </row>
    <row r="201" spans="1:18" ht="15">
      <c r="A201" s="32" t="s">
        <v>494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528</v>
      </c>
      <c r="R201"/>
    </row>
    <row r="202" spans="1:18" ht="15">
      <c r="A202" s="32" t="s">
        <v>494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528</v>
      </c>
      <c r="R202"/>
    </row>
    <row r="203" spans="1:18" ht="15">
      <c r="A203" s="32" t="s">
        <v>494</v>
      </c>
      <c r="B203" s="16" t="str">
        <f t="shared" si="3"/>
        <v>EN_Steam Coal - SUPERCRITICAL</v>
      </c>
      <c r="C203" s="32" t="s">
        <v>396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529</v>
      </c>
      <c r="R203"/>
    </row>
    <row r="204" spans="1:18" ht="15">
      <c r="A204" s="32" t="s">
        <v>494</v>
      </c>
      <c r="B204" s="16" t="str">
        <f t="shared" si="3"/>
        <v>EN_Steam Coal - SUPERCRITICAL</v>
      </c>
      <c r="C204" s="32" t="s">
        <v>396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529</v>
      </c>
      <c r="R204"/>
    </row>
    <row r="205" spans="1:18" ht="15">
      <c r="A205" s="32" t="s">
        <v>494</v>
      </c>
      <c r="B205" s="16" t="str">
        <f t="shared" si="3"/>
        <v>EN_Steam Coal - SUPERCRITICAL</v>
      </c>
      <c r="C205" s="32" t="s">
        <v>396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529</v>
      </c>
      <c r="R205"/>
    </row>
    <row r="206" spans="1:18" ht="15">
      <c r="A206" s="32" t="s">
        <v>494</v>
      </c>
      <c r="B206" s="16" t="str">
        <f t="shared" si="3"/>
        <v>EN_Steam Coal - SUPERCRITICAL</v>
      </c>
      <c r="C206" s="32" t="s">
        <v>500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529</v>
      </c>
      <c r="R206"/>
    </row>
    <row r="207" spans="1:18" ht="15">
      <c r="A207" s="32" t="s">
        <v>494</v>
      </c>
      <c r="B207" s="16" t="str">
        <f t="shared" si="3"/>
        <v>EN_Steam Coal - SUPERCRITICAL</v>
      </c>
      <c r="C207" s="32" t="s">
        <v>500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529</v>
      </c>
      <c r="R207"/>
    </row>
    <row r="208" spans="1:18" ht="15">
      <c r="A208" s="32" t="s">
        <v>494</v>
      </c>
      <c r="B208" s="16" t="str">
        <f t="shared" si="3"/>
        <v>EN_Steam Coal - SUPERCRITICAL</v>
      </c>
      <c r="C208" s="32" t="s">
        <v>500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529</v>
      </c>
      <c r="R208"/>
    </row>
    <row r="209" spans="1:18" ht="15">
      <c r="A209" s="32" t="s">
        <v>494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529</v>
      </c>
      <c r="R209"/>
    </row>
    <row r="210" spans="1:18" ht="15">
      <c r="A210" s="32" t="s">
        <v>494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529</v>
      </c>
      <c r="R210"/>
    </row>
    <row r="211" spans="1:18" ht="15">
      <c r="A211" s="32" t="s">
        <v>494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529</v>
      </c>
      <c r="R211"/>
    </row>
    <row r="212" spans="1:18" ht="15">
      <c r="A212" s="32" t="s">
        <v>494</v>
      </c>
      <c r="B212" s="16" t="str">
        <f t="shared" si="3"/>
        <v>EN_Steam Coal - ULTRASUPERCRITICAL</v>
      </c>
      <c r="C212" s="32" t="s">
        <v>396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531</v>
      </c>
      <c r="R212"/>
    </row>
    <row r="213" spans="1:18" ht="15">
      <c r="A213" s="32" t="s">
        <v>494</v>
      </c>
      <c r="B213" s="16" t="str">
        <f t="shared" si="3"/>
        <v>EN_Steam Coal - ULTRASUPERCRITICAL</v>
      </c>
      <c r="C213" s="32" t="s">
        <v>396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531</v>
      </c>
      <c r="R213"/>
    </row>
    <row r="214" spans="1:18" ht="15">
      <c r="A214" s="32" t="s">
        <v>494</v>
      </c>
      <c r="B214" s="16" t="str">
        <f t="shared" si="3"/>
        <v>EN_Steam Coal - ULTRASUPERCRITICAL</v>
      </c>
      <c r="C214" s="32" t="s">
        <v>396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531</v>
      </c>
      <c r="R214"/>
    </row>
    <row r="215" spans="1:18" ht="15">
      <c r="A215" s="32" t="s">
        <v>494</v>
      </c>
      <c r="B215" s="16" t="str">
        <f t="shared" si="3"/>
        <v>EN_Steam Coal - ULTRASUPERCRITICAL</v>
      </c>
      <c r="C215" s="32" t="s">
        <v>500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531</v>
      </c>
      <c r="R215"/>
    </row>
    <row r="216" spans="1:18" ht="15">
      <c r="A216" s="32" t="s">
        <v>494</v>
      </c>
      <c r="B216" s="16" t="str">
        <f t="shared" si="3"/>
        <v>EN_Steam Coal - ULTRASUPERCRITICAL</v>
      </c>
      <c r="C216" s="32" t="s">
        <v>500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531</v>
      </c>
      <c r="R216"/>
    </row>
    <row r="217" spans="1:18" ht="15">
      <c r="A217" s="32" t="s">
        <v>494</v>
      </c>
      <c r="B217" s="16" t="str">
        <f t="shared" si="3"/>
        <v>EN_Steam Coal - ULTRASUPERCRITICAL</v>
      </c>
      <c r="C217" s="32" t="s">
        <v>500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531</v>
      </c>
      <c r="R217"/>
    </row>
    <row r="218" spans="1:18" ht="15">
      <c r="A218" s="32" t="s">
        <v>494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531</v>
      </c>
      <c r="R218"/>
    </row>
    <row r="219" spans="1:18" ht="15">
      <c r="A219" s="32" t="s">
        <v>494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531</v>
      </c>
      <c r="R219"/>
    </row>
    <row r="220" spans="1:18" ht="15">
      <c r="A220" s="32" t="s">
        <v>494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531</v>
      </c>
      <c r="R220"/>
    </row>
    <row r="221" spans="1:18" ht="15">
      <c r="A221" s="32" t="s">
        <v>494</v>
      </c>
      <c r="B221" s="16" t="str">
        <f t="shared" si="3"/>
        <v>EN_WOF*</v>
      </c>
      <c r="C221" s="32" t="s">
        <v>396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532</v>
      </c>
      <c r="R221"/>
    </row>
    <row r="222" spans="1:18" ht="15">
      <c r="A222" s="32" t="s">
        <v>494</v>
      </c>
      <c r="B222" s="16" t="str">
        <f t="shared" si="3"/>
        <v>EN_WOF*</v>
      </c>
      <c r="C222" s="32" t="s">
        <v>396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532</v>
      </c>
      <c r="R222"/>
    </row>
    <row r="223" spans="1:18" ht="15">
      <c r="A223" s="32" t="s">
        <v>494</v>
      </c>
      <c r="B223" s="16" t="str">
        <f t="shared" si="3"/>
        <v>EN_WOF*</v>
      </c>
      <c r="C223" s="32" t="s">
        <v>396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532</v>
      </c>
      <c r="R223"/>
    </row>
    <row r="224" spans="1:18" ht="15">
      <c r="A224" s="32" t="s">
        <v>494</v>
      </c>
      <c r="B224" s="16" t="str">
        <f t="shared" si="3"/>
        <v>EN_WOF*</v>
      </c>
      <c r="C224" s="32" t="s">
        <v>500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532</v>
      </c>
      <c r="R224"/>
    </row>
    <row r="225" spans="1:18" ht="15">
      <c r="A225" s="32" t="s">
        <v>494</v>
      </c>
      <c r="B225" s="16" t="str">
        <f t="shared" si="3"/>
        <v>EN_WOF*</v>
      </c>
      <c r="C225" s="32" t="s">
        <v>500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532</v>
      </c>
      <c r="R225"/>
    </row>
    <row r="226" spans="1:18" ht="15">
      <c r="A226" s="32" t="s">
        <v>494</v>
      </c>
      <c r="B226" s="16" t="str">
        <f t="shared" si="3"/>
        <v>EN_WOF*</v>
      </c>
      <c r="C226" s="32" t="s">
        <v>500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532</v>
      </c>
      <c r="R226"/>
    </row>
    <row r="227" spans="1:18" ht="15">
      <c r="A227" s="32" t="s">
        <v>494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532</v>
      </c>
      <c r="R227"/>
    </row>
    <row r="228" spans="1:18" ht="15">
      <c r="A228" s="32" t="s">
        <v>494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532</v>
      </c>
      <c r="R228"/>
    </row>
    <row r="229" spans="1:18" ht="15">
      <c r="A229" s="32" t="s">
        <v>494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532</v>
      </c>
      <c r="R229"/>
    </row>
    <row r="230" spans="1:18" ht="15">
      <c r="A230" s="32" t="s">
        <v>494</v>
      </c>
      <c r="B230" s="16" t="str">
        <f t="shared" si="3"/>
        <v>EN_WON*</v>
      </c>
      <c r="C230" s="32" t="s">
        <v>396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533</v>
      </c>
      <c r="R230"/>
    </row>
    <row r="231" spans="1:18" ht="15">
      <c r="A231" s="32" t="s">
        <v>494</v>
      </c>
      <c r="B231" s="16" t="str">
        <f t="shared" si="3"/>
        <v>EN_WON*</v>
      </c>
      <c r="C231" s="32" t="s">
        <v>396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533</v>
      </c>
      <c r="R231"/>
    </row>
    <row r="232" spans="1:18" ht="15">
      <c r="A232" s="32" t="s">
        <v>494</v>
      </c>
      <c r="B232" s="16" t="str">
        <f t="shared" si="3"/>
        <v>EN_WON*</v>
      </c>
      <c r="C232" s="32" t="s">
        <v>396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533</v>
      </c>
      <c r="R232"/>
    </row>
    <row r="233" spans="1:18" ht="15">
      <c r="A233" s="32" t="s">
        <v>494</v>
      </c>
      <c r="B233" s="16" t="str">
        <f t="shared" si="3"/>
        <v>EN_WON*</v>
      </c>
      <c r="C233" s="32" t="s">
        <v>500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533</v>
      </c>
      <c r="R233"/>
    </row>
    <row r="234" spans="1:18" ht="15">
      <c r="A234" s="32" t="s">
        <v>494</v>
      </c>
      <c r="B234" s="16" t="str">
        <f t="shared" si="3"/>
        <v>EN_WON*</v>
      </c>
      <c r="C234" s="32" t="s">
        <v>500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533</v>
      </c>
      <c r="R234"/>
    </row>
    <row r="235" spans="1:18" ht="15">
      <c r="A235" s="32" t="s">
        <v>494</v>
      </c>
      <c r="B235" s="16" t="str">
        <f t="shared" si="3"/>
        <v>EN_WON*</v>
      </c>
      <c r="C235" s="32" t="s">
        <v>500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533</v>
      </c>
      <c r="R235"/>
    </row>
    <row r="236" spans="1:18" ht="15">
      <c r="A236" s="32" t="s">
        <v>494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533</v>
      </c>
      <c r="R236"/>
    </row>
    <row r="237" spans="1:18" ht="15">
      <c r="A237" s="32" t="s">
        <v>494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533</v>
      </c>
      <c r="R237"/>
    </row>
    <row r="238" spans="1:18" ht="15">
      <c r="A238" s="32" t="s">
        <v>494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533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A2:T61"/>
  <sheetViews>
    <sheetView workbookViewId="0"/>
  </sheetViews>
  <sheetFormatPr defaultRowHeight="15"/>
  <cols>
    <col min="2" max="2" width="24.42578125" bestFit="1" customWidth="1"/>
    <col min="3" max="3" width="19.28515625" bestFit="1" customWidth="1"/>
    <col min="4" max="4" width="15.42578125" bestFit="1" customWidth="1"/>
    <col min="5" max="5" width="20.140625" bestFit="1" customWidth="1"/>
    <col min="6" max="6" width="8.85546875" bestFit="1" customWidth="1"/>
    <col min="7" max="7" width="8.7109375" bestFit="1" customWidth="1"/>
    <col min="8" max="8" width="8.42578125" bestFit="1" customWidth="1"/>
    <col min="9" max="9" width="7.5703125" bestFit="1" customWidth="1"/>
    <col min="10" max="10" width="8.42578125" bestFit="1" customWidth="1"/>
    <col min="12" max="12" width="9.85546875" bestFit="1" customWidth="1"/>
  </cols>
  <sheetData>
    <row r="2" spans="2:17">
      <c r="B2" t="s">
        <v>8</v>
      </c>
    </row>
    <row r="3" spans="2:17">
      <c r="B3" t="s">
        <v>9</v>
      </c>
      <c r="C3" t="s">
        <v>6</v>
      </c>
      <c r="D3" t="s">
        <v>21</v>
      </c>
      <c r="E3" t="s">
        <v>10</v>
      </c>
      <c r="F3" t="s">
        <v>490</v>
      </c>
      <c r="G3" t="s">
        <v>3</v>
      </c>
      <c r="H3" t="s">
        <v>2</v>
      </c>
      <c r="I3" t="s">
        <v>0</v>
      </c>
      <c r="J3" t="s">
        <v>5</v>
      </c>
    </row>
    <row r="4" spans="2:17">
      <c r="C4" t="s">
        <v>16</v>
      </c>
      <c r="D4" t="s">
        <v>286</v>
      </c>
      <c r="E4">
        <v>25</v>
      </c>
      <c r="G4" t="s">
        <v>17</v>
      </c>
      <c r="H4" t="s">
        <v>19</v>
      </c>
    </row>
    <row r="5" spans="2:17">
      <c r="C5" t="s">
        <v>16</v>
      </c>
      <c r="D5" t="s">
        <v>286</v>
      </c>
      <c r="E5" s="8">
        <f>E6*3</f>
        <v>1.5</v>
      </c>
      <c r="G5" t="s">
        <v>17</v>
      </c>
      <c r="H5" t="s">
        <v>19</v>
      </c>
      <c r="I5" t="s">
        <v>285</v>
      </c>
    </row>
    <row r="6" spans="2:17">
      <c r="C6" t="s">
        <v>16</v>
      </c>
      <c r="D6" t="s">
        <v>286</v>
      </c>
      <c r="E6" s="8">
        <f>(0.1+0.9)/2</f>
        <v>0.5</v>
      </c>
      <c r="G6" t="s">
        <v>17</v>
      </c>
      <c r="H6" t="s">
        <v>19</v>
      </c>
      <c r="I6" t="s">
        <v>258</v>
      </c>
      <c r="L6" t="s">
        <v>259</v>
      </c>
    </row>
    <row r="7" spans="2:17">
      <c r="C7" t="s">
        <v>16</v>
      </c>
      <c r="D7" t="s">
        <v>286</v>
      </c>
      <c r="E7" s="8">
        <f>3/1.1/2</f>
        <v>1.3636363636363635</v>
      </c>
      <c r="G7" t="s">
        <v>17</v>
      </c>
      <c r="H7" t="s">
        <v>19</v>
      </c>
      <c r="I7" t="s">
        <v>260</v>
      </c>
      <c r="L7" t="s">
        <v>261</v>
      </c>
    </row>
    <row r="8" spans="2:17">
      <c r="C8" t="s">
        <v>16</v>
      </c>
      <c r="D8" t="s">
        <v>286</v>
      </c>
      <c r="E8" s="8">
        <f>5/5.8/2</f>
        <v>0.43103448275862072</v>
      </c>
      <c r="G8" t="s">
        <v>17</v>
      </c>
      <c r="H8" t="s">
        <v>19</v>
      </c>
      <c r="I8" t="s">
        <v>262</v>
      </c>
      <c r="L8" t="s">
        <v>263</v>
      </c>
    </row>
    <row r="9" spans="2:17">
      <c r="C9" t="s">
        <v>16</v>
      </c>
      <c r="D9" t="s">
        <v>286</v>
      </c>
      <c r="E9" s="8">
        <f>E8</f>
        <v>0.43103448275862072</v>
      </c>
      <c r="G9" t="s">
        <v>17</v>
      </c>
      <c r="H9" t="s">
        <v>19</v>
      </c>
      <c r="I9" t="s">
        <v>536</v>
      </c>
    </row>
    <row r="10" spans="2:17">
      <c r="C10" t="s">
        <v>760</v>
      </c>
      <c r="D10" t="s">
        <v>286</v>
      </c>
      <c r="E10" s="8">
        <f>O11/2</f>
        <v>6.25</v>
      </c>
      <c r="G10" t="s">
        <v>17</v>
      </c>
      <c r="H10" t="s">
        <v>19</v>
      </c>
      <c r="I10" t="s">
        <v>266</v>
      </c>
      <c r="O10">
        <v>1</v>
      </c>
      <c r="P10" t="s">
        <v>428</v>
      </c>
      <c r="Q10" t="s">
        <v>429</v>
      </c>
    </row>
    <row r="11" spans="2:17">
      <c r="C11" t="s">
        <v>16</v>
      </c>
      <c r="D11" t="s">
        <v>286</v>
      </c>
      <c r="E11" s="8">
        <f>E7*0.95</f>
        <v>1.2954545454545452</v>
      </c>
      <c r="G11" t="s">
        <v>17</v>
      </c>
      <c r="H11" t="s">
        <v>537</v>
      </c>
      <c r="O11">
        <f>1/120*1000*1.5</f>
        <v>12.5</v>
      </c>
      <c r="P11" t="s">
        <v>538</v>
      </c>
    </row>
    <row r="12" spans="2:17">
      <c r="C12" t="s">
        <v>16</v>
      </c>
      <c r="D12" t="s">
        <v>286</v>
      </c>
      <c r="E12">
        <f>0.15/2</f>
        <v>7.4999999999999997E-2</v>
      </c>
      <c r="F12">
        <f>E12/2</f>
        <v>3.7499999999999999E-2</v>
      </c>
      <c r="G12" t="s">
        <v>17</v>
      </c>
      <c r="H12" t="s">
        <v>19</v>
      </c>
      <c r="I12" t="s">
        <v>539</v>
      </c>
      <c r="L12" t="s">
        <v>540</v>
      </c>
    </row>
    <row r="13" spans="2:17">
      <c r="C13" t="s">
        <v>16</v>
      </c>
      <c r="D13" t="s">
        <v>286</v>
      </c>
      <c r="E13">
        <f>L13*10/2</f>
        <v>12.5</v>
      </c>
      <c r="G13" t="s">
        <v>17</v>
      </c>
      <c r="H13" t="s">
        <v>19</v>
      </c>
      <c r="I13" t="s">
        <v>701</v>
      </c>
      <c r="L13">
        <v>2.5</v>
      </c>
      <c r="M13" t="s">
        <v>702</v>
      </c>
    </row>
    <row r="15" spans="2:17">
      <c r="B15" t="s">
        <v>645</v>
      </c>
    </row>
    <row r="16" spans="2:17">
      <c r="P16" t="s">
        <v>541</v>
      </c>
    </row>
    <row r="17" spans="1:20">
      <c r="E17" t="s">
        <v>576</v>
      </c>
      <c r="P17" t="s">
        <v>38</v>
      </c>
      <c r="Q17" t="s">
        <v>300</v>
      </c>
      <c r="R17" t="s">
        <v>219</v>
      </c>
    </row>
    <row r="18" spans="1:20">
      <c r="A18" t="s">
        <v>416</v>
      </c>
      <c r="B18" t="s">
        <v>72</v>
      </c>
      <c r="C18" t="s">
        <v>269</v>
      </c>
      <c r="D18" t="s">
        <v>247</v>
      </c>
      <c r="E18" t="s">
        <v>228</v>
      </c>
      <c r="F18" t="s">
        <v>404</v>
      </c>
      <c r="G18" t="s">
        <v>405</v>
      </c>
      <c r="H18">
        <v>2020</v>
      </c>
      <c r="I18">
        <v>0</v>
      </c>
      <c r="J18" t="s">
        <v>39</v>
      </c>
      <c r="K18" t="s">
        <v>48</v>
      </c>
      <c r="L18" t="s">
        <v>411</v>
      </c>
      <c r="P18" t="s">
        <v>542</v>
      </c>
      <c r="Q18" s="7" t="s">
        <v>543</v>
      </c>
      <c r="R18">
        <v>2150</v>
      </c>
      <c r="T18" t="s">
        <v>544</v>
      </c>
    </row>
    <row r="19" spans="1:20">
      <c r="B19" t="s">
        <v>403</v>
      </c>
      <c r="C19" t="s">
        <v>407</v>
      </c>
      <c r="E19" t="s">
        <v>17</v>
      </c>
      <c r="F19">
        <v>1</v>
      </c>
      <c r="H19">
        <v>0</v>
      </c>
      <c r="I19">
        <v>3</v>
      </c>
      <c r="J19" s="7" t="s">
        <v>410</v>
      </c>
      <c r="K19" t="s">
        <v>60</v>
      </c>
    </row>
    <row r="20" spans="1:20">
      <c r="A20">
        <v>-1</v>
      </c>
      <c r="C20" t="s">
        <v>408</v>
      </c>
      <c r="D20" t="s">
        <v>560</v>
      </c>
      <c r="J20" s="7" t="s">
        <v>410</v>
      </c>
      <c r="K20" t="s">
        <v>49</v>
      </c>
    </row>
    <row r="21" spans="1:20">
      <c r="C21" t="str">
        <f>C19</f>
        <v>ALLOILcrd,ALLOILprd</v>
      </c>
      <c r="E21" t="str">
        <f>E19</f>
        <v>IRE</v>
      </c>
      <c r="F21">
        <v>-1</v>
      </c>
      <c r="L21" t="s">
        <v>412</v>
      </c>
    </row>
    <row r="22" spans="1:20">
      <c r="B22" t="s">
        <v>413</v>
      </c>
      <c r="C22" t="s">
        <v>414</v>
      </c>
      <c r="E22" t="s">
        <v>17</v>
      </c>
      <c r="F22">
        <v>1</v>
      </c>
      <c r="H22">
        <v>0</v>
      </c>
      <c r="I22">
        <v>3</v>
      </c>
      <c r="J22" t="s">
        <v>410</v>
      </c>
      <c r="K22" t="s">
        <v>60</v>
      </c>
    </row>
    <row r="23" spans="1:20">
      <c r="C23" t="s">
        <v>415</v>
      </c>
      <c r="D23" t="s">
        <v>409</v>
      </c>
      <c r="E23" t="s">
        <v>17</v>
      </c>
      <c r="G23">
        <v>-1</v>
      </c>
      <c r="J23" t="s">
        <v>410</v>
      </c>
      <c r="K23" t="s">
        <v>49</v>
      </c>
    </row>
    <row r="24" spans="1:20">
      <c r="C24" t="s">
        <v>414</v>
      </c>
      <c r="E24" t="s">
        <v>17</v>
      </c>
      <c r="F24">
        <v>-1</v>
      </c>
      <c r="L24" t="s">
        <v>412</v>
      </c>
    </row>
    <row r="27" spans="1:20"/>
    <row r="28" spans="1:20">
      <c r="E28" t="s">
        <v>406</v>
      </c>
    </row>
    <row r="29" spans="1:20">
      <c r="B29" t="s">
        <v>72</v>
      </c>
      <c r="C29" t="s">
        <v>247</v>
      </c>
      <c r="D29" t="s">
        <v>277</v>
      </c>
      <c r="E29" t="s">
        <v>228</v>
      </c>
      <c r="F29" t="s">
        <v>416</v>
      </c>
      <c r="G29" t="s">
        <v>76</v>
      </c>
      <c r="H29">
        <v>2035</v>
      </c>
      <c r="I29">
        <v>0</v>
      </c>
      <c r="J29" t="s">
        <v>39</v>
      </c>
      <c r="K29" t="s">
        <v>48</v>
      </c>
    </row>
    <row r="30" spans="1:20">
      <c r="B30" t="s">
        <v>417</v>
      </c>
      <c r="D30" t="s">
        <v>418</v>
      </c>
      <c r="F30">
        <v>1</v>
      </c>
      <c r="H30">
        <v>50</v>
      </c>
      <c r="I30">
        <v>5</v>
      </c>
      <c r="J30" t="s">
        <v>419</v>
      </c>
      <c r="K30" t="s">
        <v>60</v>
      </c>
    </row>
    <row r="31" spans="1:20">
      <c r="C31" t="s">
        <v>283</v>
      </c>
      <c r="G31">
        <v>-1</v>
      </c>
    </row>
    <row r="35" spans="2:11">
      <c r="C35" t="s">
        <v>406</v>
      </c>
    </row>
    <row r="36" spans="2:11">
      <c r="B36" t="s">
        <v>72</v>
      </c>
      <c r="C36" t="s">
        <v>247</v>
      </c>
      <c r="D36" t="s">
        <v>424</v>
      </c>
      <c r="E36">
        <v>2035</v>
      </c>
      <c r="F36">
        <v>0</v>
      </c>
    </row>
    <row r="37" spans="2:11">
      <c r="B37" t="s">
        <v>425</v>
      </c>
      <c r="C37" t="s">
        <v>426</v>
      </c>
      <c r="D37">
        <v>1</v>
      </c>
      <c r="E37">
        <v>0</v>
      </c>
      <c r="F37">
        <v>5</v>
      </c>
    </row>
    <row r="38" spans="2:11">
      <c r="C38" t="s">
        <v>545</v>
      </c>
      <c r="D38">
        <v>-1</v>
      </c>
    </row>
    <row r="42" spans="2:11">
      <c r="I42" s="24" t="s">
        <v>546</v>
      </c>
    </row>
    <row r="43" spans="2:11">
      <c r="B43" s="36" t="s">
        <v>547</v>
      </c>
      <c r="C43" s="37"/>
      <c r="D43" s="37"/>
      <c r="E43" s="37"/>
      <c r="F43" s="37"/>
      <c r="G43" s="37"/>
      <c r="H43" s="38"/>
      <c r="I43" s="39"/>
      <c r="J43" s="39"/>
      <c r="K43" s="39"/>
    </row>
    <row r="44" spans="2:11">
      <c r="B44" s="40" t="s">
        <v>489</v>
      </c>
      <c r="C44" s="39">
        <v>2022</v>
      </c>
      <c r="D44" s="39">
        <v>0</v>
      </c>
      <c r="E44" s="39" t="s">
        <v>411</v>
      </c>
      <c r="F44" s="39"/>
      <c r="G44" s="39"/>
      <c r="H44" s="41" t="s">
        <v>548</v>
      </c>
      <c r="I44" s="39"/>
      <c r="J44" s="39"/>
      <c r="K44" s="39"/>
    </row>
    <row r="45" spans="2:11">
      <c r="B45" s="40" t="s">
        <v>549</v>
      </c>
      <c r="C45" s="42">
        <v>0.94736842105263153</v>
      </c>
      <c r="D45" s="39">
        <v>5</v>
      </c>
      <c r="E45" s="39"/>
      <c r="F45" s="39"/>
      <c r="G45" s="39"/>
      <c r="H45" s="41">
        <v>5.2631578947368474E-2</v>
      </c>
      <c r="I45" s="39"/>
      <c r="J45" s="39"/>
      <c r="K45" s="39"/>
    </row>
    <row r="46" spans="2:11">
      <c r="B46" s="40" t="s">
        <v>550</v>
      </c>
      <c r="C46" s="39">
        <v>0</v>
      </c>
      <c r="D46" s="39">
        <v>5</v>
      </c>
      <c r="E46" s="39"/>
      <c r="F46" s="39"/>
      <c r="G46" s="39"/>
      <c r="H46" s="41">
        <v>1</v>
      </c>
      <c r="I46" s="39"/>
      <c r="J46" s="39"/>
      <c r="K46" s="39" t="s">
        <v>551</v>
      </c>
    </row>
    <row r="47" spans="2:11">
      <c r="B47" s="40" t="s">
        <v>552</v>
      </c>
      <c r="C47" s="39">
        <v>0</v>
      </c>
      <c r="D47" s="39">
        <v>3</v>
      </c>
      <c r="E47" s="39" t="s">
        <v>241</v>
      </c>
      <c r="F47" s="39"/>
      <c r="G47" s="39"/>
      <c r="H47" s="41"/>
      <c r="I47" s="39"/>
      <c r="J47" s="39"/>
      <c r="K47" s="39"/>
    </row>
    <row r="48" spans="2:11">
      <c r="B48" s="40" t="s">
        <v>553</v>
      </c>
      <c r="C48" s="42">
        <v>6.4285714285714279E-2</v>
      </c>
      <c r="D48" s="39">
        <v>5</v>
      </c>
      <c r="E48" s="39"/>
      <c r="F48" s="39"/>
      <c r="G48" s="39"/>
      <c r="H48" s="43">
        <v>0.93571428571428572</v>
      </c>
      <c r="I48" s="39"/>
      <c r="J48" s="39"/>
      <c r="K48" s="39" t="s">
        <v>554</v>
      </c>
    </row>
    <row r="49" spans="2:11">
      <c r="B49" s="44" t="s">
        <v>555</v>
      </c>
      <c r="C49" s="45">
        <v>0</v>
      </c>
      <c r="D49" s="46">
        <v>5</v>
      </c>
      <c r="E49" s="46"/>
      <c r="F49" s="46"/>
      <c r="G49" s="46"/>
      <c r="H49" s="47">
        <v>1</v>
      </c>
      <c r="I49" s="39"/>
      <c r="J49" s="39"/>
      <c r="K49" s="39" t="s">
        <v>556</v>
      </c>
    </row>
    <row r="50" spans="2:11">
      <c r="B50" s="39"/>
      <c r="C50" s="39"/>
      <c r="D50" s="39"/>
      <c r="E50" s="39"/>
      <c r="F50" s="39"/>
      <c r="G50" s="39"/>
      <c r="H50" s="39"/>
      <c r="I50" s="39"/>
      <c r="J50" s="39"/>
      <c r="K50" s="39"/>
    </row>
    <row r="51" spans="2:11">
      <c r="B51" s="39"/>
      <c r="C51" s="39"/>
      <c r="D51" s="39"/>
      <c r="E51" s="39"/>
      <c r="F51" s="39"/>
      <c r="G51" s="39"/>
      <c r="H51" s="39"/>
      <c r="I51" s="39"/>
      <c r="J51" s="39"/>
      <c r="K51" s="39"/>
    </row>
    <row r="52" spans="2:11">
      <c r="B52" s="39" t="s">
        <v>547</v>
      </c>
      <c r="C52" s="39"/>
      <c r="D52" s="39"/>
      <c r="E52" s="39"/>
      <c r="F52" s="39"/>
      <c r="G52" s="39"/>
      <c r="H52" s="39"/>
      <c r="I52" s="39"/>
      <c r="J52" s="39"/>
      <c r="K52" s="39"/>
    </row>
    <row r="53" spans="2:11">
      <c r="B53" s="39" t="s">
        <v>489</v>
      </c>
      <c r="C53" s="39">
        <v>2022</v>
      </c>
      <c r="D53" s="39">
        <v>2023</v>
      </c>
      <c r="E53" s="39">
        <v>0</v>
      </c>
      <c r="F53" s="39"/>
      <c r="G53" s="39"/>
      <c r="H53" s="39"/>
      <c r="I53" s="39"/>
      <c r="J53" s="39"/>
      <c r="K53" s="39"/>
    </row>
    <row r="54" spans="2:11">
      <c r="B54" s="39" t="s">
        <v>557</v>
      </c>
      <c r="C54" s="39">
        <v>1</v>
      </c>
      <c r="D54" s="39">
        <v>0</v>
      </c>
      <c r="E54" s="39">
        <v>5</v>
      </c>
      <c r="F54" s="39"/>
      <c r="G54" s="39"/>
      <c r="H54" s="39"/>
      <c r="I54" s="39"/>
      <c r="J54" s="39"/>
      <c r="K54" s="39"/>
    </row>
    <row r="55" spans="2:11">
      <c r="B55" s="39" t="s">
        <v>553</v>
      </c>
      <c r="C55" s="39"/>
      <c r="D55" s="39">
        <v>0</v>
      </c>
      <c r="E55" s="39">
        <v>5</v>
      </c>
      <c r="F55" s="39"/>
      <c r="G55" s="39"/>
      <c r="H55" s="39"/>
      <c r="I55" s="39"/>
      <c r="J55" s="39"/>
      <c r="K55" s="39"/>
    </row>
    <row r="56" spans="2:11">
      <c r="B56" s="39" t="s">
        <v>549</v>
      </c>
      <c r="C56" s="39">
        <v>1</v>
      </c>
      <c r="D56" s="39">
        <v>0.66</v>
      </c>
      <c r="E56" s="39">
        <v>5</v>
      </c>
      <c r="F56" s="39"/>
      <c r="G56" s="39"/>
      <c r="H56" s="39"/>
      <c r="I56" s="39"/>
      <c r="J56" s="39"/>
      <c r="K56" s="39"/>
    </row>
    <row r="57" spans="2:11">
      <c r="B57" s="39"/>
      <c r="C57" s="39"/>
      <c r="D57" s="39"/>
      <c r="E57" s="39"/>
      <c r="F57" s="39"/>
      <c r="G57" s="39"/>
      <c r="H57" s="39"/>
      <c r="I57" s="39"/>
      <c r="J57" s="39"/>
      <c r="K57" s="39"/>
    </row>
    <row r="58" spans="2:11">
      <c r="B58" s="39"/>
      <c r="C58" s="39"/>
      <c r="D58" s="39"/>
      <c r="E58" s="39"/>
      <c r="F58" s="39"/>
      <c r="G58" s="39"/>
      <c r="H58" s="39"/>
      <c r="I58" s="39"/>
      <c r="J58" s="39"/>
      <c r="K58" s="39"/>
    </row>
    <row r="59" spans="2:11">
      <c r="B59" s="39" t="s">
        <v>558</v>
      </c>
      <c r="C59" s="39"/>
      <c r="D59" s="39"/>
      <c r="E59" s="39"/>
      <c r="F59" s="39"/>
      <c r="G59" s="39"/>
      <c r="H59" s="39"/>
      <c r="I59" s="39"/>
      <c r="J59" s="39"/>
      <c r="K59" s="39"/>
    </row>
    <row r="60" spans="2:11">
      <c r="B60" s="39" t="s">
        <v>489</v>
      </c>
      <c r="C60" s="39" t="s">
        <v>30</v>
      </c>
      <c r="D60" s="39"/>
      <c r="E60" s="39"/>
      <c r="F60" s="39"/>
      <c r="G60" s="39"/>
      <c r="H60" s="39"/>
      <c r="I60" s="39"/>
      <c r="J60" s="39"/>
      <c r="K60" s="39"/>
    </row>
    <row r="61" spans="2:11">
      <c r="B61" s="39" t="s">
        <v>559</v>
      </c>
      <c r="C61" s="39">
        <v>2025</v>
      </c>
      <c r="D61" s="39"/>
      <c r="E61" s="39"/>
      <c r="F61" s="39"/>
      <c r="G61" s="39"/>
      <c r="H61" s="39"/>
      <c r="I61" s="39"/>
      <c r="J61" s="39"/>
      <c r="K61" s="39"/>
    </row>
  </sheetData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5546875" defaultRowHeight="15"/>
  <cols>
    <col min="1" max="1" width="14.140625" customWidth="1"/>
    <col min="2" max="2" width="19.85546875" bestFit="1" customWidth="1"/>
    <col min="3" max="3" width="8.140625" bestFit="1" customWidth="1"/>
    <col min="4" max="4" width="10.85546875" bestFit="1" customWidth="1"/>
    <col min="5" max="5" width="7.28515625" bestFit="1" customWidth="1"/>
    <col min="6" max="6" width="9.5703125" customWidth="1"/>
    <col min="7" max="7" width="11" bestFit="1" customWidth="1"/>
    <col min="8" max="8" width="4.7109375" bestFit="1" customWidth="1"/>
    <col min="9" max="9" width="11" bestFit="1" customWidth="1"/>
    <col min="10" max="15" width="10.7109375" customWidth="1"/>
    <col min="16" max="18" width="4.140625" bestFit="1" customWidth="1"/>
    <col min="19" max="20" width="10.7109375" customWidth="1"/>
    <col min="21" max="21" width="8.7109375" bestFit="1" customWidth="1"/>
    <col min="22" max="23" width="8.42578125" bestFit="1" customWidth="1"/>
    <col min="24" max="24" width="7.42578125" bestFit="1" customWidth="1"/>
    <col min="25" max="25" width="8.42578125" bestFit="1" customWidth="1"/>
    <col min="26" max="26" width="8.7109375" bestFit="1" customWidth="1"/>
    <col min="27" max="28" width="8.42578125" bestFit="1" customWidth="1"/>
  </cols>
  <sheetData>
    <row r="3" spans="1:19">
      <c r="A3" t="s">
        <v>71</v>
      </c>
    </row>
    <row r="5" spans="1:19">
      <c r="F5" t="s">
        <v>703</v>
      </c>
    </row>
    <row r="6" spans="1:19">
      <c r="A6" t="s">
        <v>422</v>
      </c>
      <c r="B6" t="s">
        <v>72</v>
      </c>
      <c r="C6" t="s">
        <v>0</v>
      </c>
      <c r="D6" t="s">
        <v>704</v>
      </c>
      <c r="E6" t="s">
        <v>7</v>
      </c>
      <c r="F6">
        <v>2030</v>
      </c>
      <c r="G6">
        <v>2035</v>
      </c>
      <c r="H6" t="s">
        <v>705</v>
      </c>
      <c r="I6" t="s">
        <v>75</v>
      </c>
      <c r="J6" t="s">
        <v>277</v>
      </c>
      <c r="K6" t="s">
        <v>432</v>
      </c>
    </row>
    <row r="7" spans="1:19">
      <c r="A7" t="s">
        <v>706</v>
      </c>
      <c r="B7" t="s">
        <v>707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701</v>
      </c>
      <c r="K7" t="s">
        <v>757</v>
      </c>
    </row>
    <row r="8" spans="1:19">
      <c r="A8" t="s">
        <v>706</v>
      </c>
      <c r="B8" t="s">
        <v>708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701</v>
      </c>
      <c r="K8" t="s">
        <v>758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645</v>
      </c>
    </row>
    <row r="13" spans="1:19">
      <c r="D13" t="s">
        <v>699</v>
      </c>
    </row>
    <row r="14" spans="1:19">
      <c r="A14" t="s">
        <v>422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705</v>
      </c>
      <c r="I14" t="s">
        <v>74</v>
      </c>
      <c r="J14" t="s">
        <v>75</v>
      </c>
      <c r="K14" t="s">
        <v>432</v>
      </c>
    </row>
    <row r="15" spans="1:19">
      <c r="A15" t="s">
        <v>756</v>
      </c>
      <c r="B15" t="str">
        <f>"UC_ELCcap_decay - "&amp;MID(D15,4,3)</f>
        <v>UC_ELCcap_decay - OIL</v>
      </c>
      <c r="C15" t="s">
        <v>73</v>
      </c>
      <c r="D15" t="s">
        <v>433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756</v>
      </c>
      <c r="B16" t="str">
        <f t="shared" ref="B16:B17" si="0">"UC_ELCcap_decay - "&amp;MID(D16,4,3)</f>
        <v>UC_ELCcap_decay - CO?</v>
      </c>
      <c r="C16" t="s">
        <v>73</v>
      </c>
      <c r="D16" t="s">
        <v>759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756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/>
  </sheetViews>
  <sheetFormatPr defaultRowHeight="15"/>
  <cols>
    <col min="2" max="2" width="16.140625" customWidth="1"/>
    <col min="3" max="3" width="11.5703125" bestFit="1" customWidth="1"/>
    <col min="4" max="5" width="5" bestFit="1" customWidth="1"/>
    <col min="6" max="6" width="6.7109375" bestFit="1" customWidth="1"/>
    <col min="7" max="7" width="7.85546875" customWidth="1"/>
    <col min="11" max="11" width="17.5703125" bestFit="1" customWidth="1"/>
    <col min="12" max="12" width="29.28515625" customWidth="1"/>
    <col min="13" max="14" width="10.7109375" bestFit="1" customWidth="1"/>
    <col min="15" max="15" width="10.140625" bestFit="1" customWidth="1"/>
  </cols>
  <sheetData>
    <row r="1" spans="2:15">
      <c r="H1" t="s">
        <v>71</v>
      </c>
    </row>
    <row r="2" spans="2:15">
      <c r="B2" t="s">
        <v>755</v>
      </c>
      <c r="L2" t="s">
        <v>373</v>
      </c>
    </row>
    <row r="3" spans="2:15">
      <c r="B3" t="s">
        <v>37</v>
      </c>
      <c r="C3" t="s">
        <v>269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371</v>
      </c>
      <c r="N3" t="s">
        <v>372</v>
      </c>
      <c r="O3" t="s">
        <v>366</v>
      </c>
    </row>
    <row r="4" spans="2:15">
      <c r="B4" t="s">
        <v>270</v>
      </c>
      <c r="C4" t="s">
        <v>271</v>
      </c>
      <c r="D4">
        <v>-0.3</v>
      </c>
      <c r="K4" t="s">
        <v>367</v>
      </c>
      <c r="L4" t="s">
        <v>369</v>
      </c>
      <c r="M4">
        <v>1</v>
      </c>
      <c r="O4">
        <v>2</v>
      </c>
    </row>
    <row r="5" spans="2:15">
      <c r="B5" t="s">
        <v>272</v>
      </c>
      <c r="C5" t="s">
        <v>271</v>
      </c>
      <c r="D5">
        <v>0</v>
      </c>
      <c r="E5">
        <v>0.3</v>
      </c>
      <c r="F5">
        <v>0.5</v>
      </c>
      <c r="K5" t="s">
        <v>368</v>
      </c>
      <c r="L5" t="s">
        <v>365</v>
      </c>
      <c r="M5">
        <v>1</v>
      </c>
      <c r="O5">
        <v>2</v>
      </c>
    </row>
    <row r="6" spans="2:15">
      <c r="B6" t="s">
        <v>273</v>
      </c>
      <c r="C6" t="s">
        <v>271</v>
      </c>
      <c r="D6">
        <v>10</v>
      </c>
      <c r="K6" t="s">
        <v>370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378</v>
      </c>
      <c r="L8" t="s">
        <v>388</v>
      </c>
      <c r="M8">
        <v>1</v>
      </c>
      <c r="O8">
        <v>2</v>
      </c>
    </row>
    <row r="9" spans="2:15">
      <c r="K9" t="s">
        <v>378</v>
      </c>
      <c r="L9" t="s">
        <v>389</v>
      </c>
      <c r="M9">
        <v>1</v>
      </c>
      <c r="O9">
        <v>2</v>
      </c>
    </row>
    <row r="10" spans="2:15">
      <c r="B10" t="s">
        <v>755</v>
      </c>
      <c r="K10" t="s">
        <v>379</v>
      </c>
      <c r="L10" t="s">
        <v>390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274</v>
      </c>
      <c r="K11" t="s">
        <v>379</v>
      </c>
      <c r="L11" t="s">
        <v>391</v>
      </c>
      <c r="M11">
        <v>1</v>
      </c>
      <c r="O11">
        <v>2</v>
      </c>
    </row>
    <row r="12" spans="2:15">
      <c r="B12" t="s">
        <v>270</v>
      </c>
      <c r="D12">
        <v>-0.3</v>
      </c>
      <c r="G12" t="s">
        <v>754</v>
      </c>
      <c r="K12" t="s">
        <v>380</v>
      </c>
      <c r="L12" t="s">
        <v>392</v>
      </c>
      <c r="M12">
        <v>1</v>
      </c>
      <c r="O12">
        <v>2</v>
      </c>
    </row>
    <row r="13" spans="2:15">
      <c r="B13" t="s">
        <v>272</v>
      </c>
      <c r="D13">
        <v>0</v>
      </c>
      <c r="E13">
        <v>0.3</v>
      </c>
      <c r="F13">
        <v>0.5</v>
      </c>
      <c r="G13" t="s">
        <v>754</v>
      </c>
      <c r="K13" t="s">
        <v>381</v>
      </c>
      <c r="L13" t="s">
        <v>393</v>
      </c>
      <c r="M13">
        <v>1</v>
      </c>
      <c r="O13">
        <v>2</v>
      </c>
    </row>
    <row r="14" spans="2:15">
      <c r="B14" t="s">
        <v>273</v>
      </c>
      <c r="D14">
        <v>10</v>
      </c>
      <c r="G14" t="s">
        <v>754</v>
      </c>
      <c r="K14" t="s">
        <v>231</v>
      </c>
    </row>
    <row r="15" spans="2:15">
      <c r="K15" t="s">
        <v>374</v>
      </c>
      <c r="L15" t="s">
        <v>383</v>
      </c>
      <c r="M15">
        <v>1</v>
      </c>
      <c r="O15">
        <v>2</v>
      </c>
    </row>
    <row r="16" spans="2:15">
      <c r="K16" t="s">
        <v>374</v>
      </c>
      <c r="L16" t="s">
        <v>384</v>
      </c>
      <c r="M16">
        <v>1</v>
      </c>
      <c r="O16">
        <v>2</v>
      </c>
    </row>
    <row r="17" spans="2:15">
      <c r="K17" t="s">
        <v>375</v>
      </c>
      <c r="L17" t="s">
        <v>382</v>
      </c>
      <c r="M17">
        <v>1</v>
      </c>
      <c r="O17">
        <v>2</v>
      </c>
    </row>
    <row r="18" spans="2:15">
      <c r="K18" t="s">
        <v>375</v>
      </c>
      <c r="L18" t="s">
        <v>385</v>
      </c>
      <c r="M18">
        <v>1</v>
      </c>
      <c r="O18">
        <v>2</v>
      </c>
    </row>
    <row r="19" spans="2:15">
      <c r="K19" t="s">
        <v>377</v>
      </c>
      <c r="L19" t="s">
        <v>386</v>
      </c>
      <c r="M19">
        <v>1</v>
      </c>
      <c r="O19">
        <v>2</v>
      </c>
    </row>
    <row r="20" spans="2:15">
      <c r="K20" t="s">
        <v>376</v>
      </c>
      <c r="L20" t="s">
        <v>387</v>
      </c>
      <c r="M20">
        <v>1</v>
      </c>
      <c r="O20">
        <v>2</v>
      </c>
    </row>
    <row r="23" spans="2:15">
      <c r="B23" t="s">
        <v>358</v>
      </c>
      <c r="L23" t="s">
        <v>373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746</v>
      </c>
      <c r="N24" t="s">
        <v>747</v>
      </c>
      <c r="O24" t="s">
        <v>40</v>
      </c>
    </row>
    <row r="25" spans="2:15">
      <c r="B25" t="s">
        <v>359</v>
      </c>
      <c r="C25" t="s">
        <v>360</v>
      </c>
      <c r="D25" t="s">
        <v>361</v>
      </c>
      <c r="K25" t="s">
        <v>753</v>
      </c>
      <c r="N25">
        <v>1</v>
      </c>
    </row>
    <row r="26" spans="2:15">
      <c r="L26" t="s">
        <v>748</v>
      </c>
      <c r="M26">
        <v>1</v>
      </c>
      <c r="O26" t="s">
        <v>749</v>
      </c>
    </row>
    <row r="27" spans="2:15">
      <c r="L27" t="s">
        <v>748</v>
      </c>
      <c r="M27">
        <v>1</v>
      </c>
      <c r="O27" t="s">
        <v>750</v>
      </c>
    </row>
    <row r="28" spans="2:15">
      <c r="B28" t="s">
        <v>363</v>
      </c>
      <c r="L28" t="s">
        <v>748</v>
      </c>
      <c r="M28">
        <v>1</v>
      </c>
      <c r="O28" t="s">
        <v>751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364</v>
      </c>
      <c r="L29" t="s">
        <v>748</v>
      </c>
      <c r="M29">
        <v>1</v>
      </c>
      <c r="O29" t="s">
        <v>752</v>
      </c>
    </row>
    <row r="30" spans="2:15">
      <c r="B30" t="s">
        <v>362</v>
      </c>
      <c r="C30" t="str">
        <f>C25</f>
        <v>repuc_unity</v>
      </c>
      <c r="D30">
        <v>1</v>
      </c>
      <c r="E30">
        <v>3</v>
      </c>
      <c r="F30" t="s">
        <v>306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5"/>
  <cols>
    <col min="1" max="1" width="10.140625" bestFit="1" customWidth="1"/>
    <col min="2" max="2" width="20.5703125" bestFit="1" customWidth="1"/>
    <col min="3" max="3" width="8.140625" bestFit="1" customWidth="1"/>
    <col min="4" max="4" width="10" bestFit="1" customWidth="1"/>
    <col min="5" max="5" width="6.85546875" bestFit="1" customWidth="1"/>
    <col min="6" max="6" width="6.140625" bestFit="1" customWidth="1"/>
    <col min="7" max="85" width="6.140625" customWidth="1"/>
    <col min="86" max="94" width="6.140625" bestFit="1" customWidth="1"/>
    <col min="95" max="95" width="7.28515625" bestFit="1" customWidth="1"/>
    <col min="96" max="99" width="6.140625" bestFit="1" customWidth="1"/>
    <col min="100" max="100" width="7.140625" customWidth="1"/>
    <col min="101" max="114" width="6.140625" customWidth="1"/>
    <col min="115" max="115" width="8" bestFit="1" customWidth="1"/>
    <col min="116" max="116" width="10.2851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109375" bestFit="1" customWidth="1"/>
    <col min="189" max="192" width="4.140625" bestFit="1" customWidth="1"/>
    <col min="193" max="193" width="3.85546875" bestFit="1" customWidth="1"/>
    <col min="194" max="204" width="4.140625" bestFit="1" customWidth="1"/>
    <col min="205" max="205" width="4.42578125" bestFit="1" customWidth="1"/>
    <col min="206" max="206" width="4.140625" bestFit="1" customWidth="1"/>
    <col min="207" max="207" width="3.140625" bestFit="1" customWidth="1"/>
    <col min="208" max="208" width="4.140625" bestFit="1" customWidth="1"/>
    <col min="209" max="209" width="5.85546875" bestFit="1" customWidth="1"/>
    <col min="210" max="212" width="4.140625" bestFit="1" customWidth="1"/>
    <col min="213" max="213" width="5.5703125" bestFit="1" customWidth="1"/>
    <col min="214" max="214" width="4.5703125" bestFit="1" customWidth="1"/>
    <col min="215" max="215" width="4.140625" bestFit="1" customWidth="1"/>
    <col min="216" max="216" width="4.5703125" bestFit="1" customWidth="1"/>
    <col min="217" max="217" width="4.140625" bestFit="1" customWidth="1"/>
    <col min="218" max="218" width="4.28515625" bestFit="1" customWidth="1"/>
    <col min="219" max="219" width="8" bestFit="1" customWidth="1"/>
    <col min="220" max="221" width="4.140625" bestFit="1" customWidth="1"/>
    <col min="222" max="222" width="4.7109375" bestFit="1" customWidth="1"/>
    <col min="223" max="223" width="4.85546875" bestFit="1" customWidth="1"/>
    <col min="224" max="224" width="5.7109375" bestFit="1" customWidth="1"/>
    <col min="225" max="227" width="4.140625" bestFit="1" customWidth="1"/>
    <col min="228" max="228" width="4.28515625" bestFit="1" customWidth="1"/>
    <col min="229" max="231" width="4.140625" bestFit="1" customWidth="1"/>
    <col min="233" max="233" width="8" bestFit="1" customWidth="1"/>
    <col min="234" max="234" width="11.7109375" bestFit="1" customWidth="1"/>
    <col min="235" max="235" width="5" bestFit="1" customWidth="1"/>
  </cols>
  <sheetData>
    <row r="1" spans="1:117" ht="18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645</v>
      </c>
    </row>
    <row r="2" spans="1:117" ht="15.75" thickTop="1"/>
    <row r="3" spans="1:117">
      <c r="F3" s="9" t="s">
        <v>642</v>
      </c>
      <c r="G3" s="9" t="s">
        <v>453</v>
      </c>
      <c r="H3" s="9" t="s">
        <v>454</v>
      </c>
      <c r="I3" s="9" t="s">
        <v>251</v>
      </c>
      <c r="J3" s="9" t="s">
        <v>641</v>
      </c>
      <c r="K3" s="9" t="s">
        <v>235</v>
      </c>
      <c r="L3" s="9" t="s">
        <v>640</v>
      </c>
      <c r="M3" s="9" t="s">
        <v>463</v>
      </c>
      <c r="N3" s="9" t="s">
        <v>468</v>
      </c>
      <c r="O3" s="9" t="s">
        <v>639</v>
      </c>
      <c r="P3" s="9" t="s">
        <v>638</v>
      </c>
      <c r="Q3" s="9" t="s">
        <v>637</v>
      </c>
      <c r="R3" s="9" t="s">
        <v>236</v>
      </c>
      <c r="S3" s="9" t="s">
        <v>636</v>
      </c>
      <c r="T3" s="9" t="s">
        <v>565</v>
      </c>
      <c r="U3" s="9" t="s">
        <v>237</v>
      </c>
      <c r="V3" s="9" t="s">
        <v>635</v>
      </c>
      <c r="W3" s="9" t="s">
        <v>238</v>
      </c>
      <c r="X3" s="9" t="s">
        <v>465</v>
      </c>
      <c r="Y3" s="9" t="s">
        <v>634</v>
      </c>
      <c r="Z3" s="9" t="s">
        <v>633</v>
      </c>
      <c r="AA3" s="9" t="s">
        <v>632</v>
      </c>
      <c r="AB3" s="9" t="s">
        <v>631</v>
      </c>
      <c r="AC3" s="9" t="s">
        <v>630</v>
      </c>
      <c r="AD3" s="9" t="s">
        <v>310</v>
      </c>
      <c r="AE3" s="9" t="s">
        <v>629</v>
      </c>
      <c r="AF3" s="9" t="s">
        <v>628</v>
      </c>
      <c r="AG3" s="9" t="s">
        <v>627</v>
      </c>
      <c r="AH3" s="9" t="s">
        <v>626</v>
      </c>
      <c r="AI3" s="9" t="s">
        <v>625</v>
      </c>
      <c r="AJ3" s="9" t="s">
        <v>624</v>
      </c>
      <c r="AK3" s="9" t="s">
        <v>623</v>
      </c>
      <c r="AL3" s="9" t="s">
        <v>622</v>
      </c>
      <c r="AM3" s="9" t="s">
        <v>621</v>
      </c>
      <c r="AN3" s="9" t="s">
        <v>620</v>
      </c>
      <c r="AO3" s="9" t="s">
        <v>239</v>
      </c>
      <c r="AP3" s="9" t="s">
        <v>254</v>
      </c>
      <c r="AQ3" s="9" t="s">
        <v>447</v>
      </c>
      <c r="AR3" s="9" t="s">
        <v>446</v>
      </c>
      <c r="AS3" s="9" t="s">
        <v>619</v>
      </c>
      <c r="AT3" s="9" t="s">
        <v>618</v>
      </c>
      <c r="AU3" s="9" t="s">
        <v>617</v>
      </c>
      <c r="AV3" s="9" t="s">
        <v>616</v>
      </c>
      <c r="AW3" s="9" t="s">
        <v>255</v>
      </c>
      <c r="AX3" s="9" t="s">
        <v>450</v>
      </c>
      <c r="AY3" s="9" t="s">
        <v>615</v>
      </c>
      <c r="AZ3" s="9" t="s">
        <v>614</v>
      </c>
      <c r="BA3" s="9" t="s">
        <v>448</v>
      </c>
      <c r="BB3" s="9" t="s">
        <v>613</v>
      </c>
      <c r="BC3" s="9" t="s">
        <v>612</v>
      </c>
      <c r="BD3" s="9" t="s">
        <v>455</v>
      </c>
      <c r="BE3" s="9" t="s">
        <v>611</v>
      </c>
      <c r="BF3" s="9" t="s">
        <v>610</v>
      </c>
      <c r="BG3" s="9" t="s">
        <v>609</v>
      </c>
      <c r="BH3" s="9" t="s">
        <v>458</v>
      </c>
      <c r="BI3" s="9" t="s">
        <v>608</v>
      </c>
      <c r="BJ3" s="9" t="s">
        <v>240</v>
      </c>
      <c r="BK3" s="9" t="s">
        <v>607</v>
      </c>
      <c r="BL3" s="9" t="s">
        <v>606</v>
      </c>
      <c r="BM3" s="9" t="s">
        <v>605</v>
      </c>
      <c r="BN3" s="9" t="s">
        <v>462</v>
      </c>
      <c r="BO3" s="9" t="s">
        <v>470</v>
      </c>
      <c r="BP3" s="9" t="s">
        <v>604</v>
      </c>
      <c r="BQ3" s="9" t="s">
        <v>467</v>
      </c>
      <c r="BR3" s="9" t="s">
        <v>603</v>
      </c>
      <c r="BS3" s="9" t="s">
        <v>602</v>
      </c>
      <c r="BT3" s="9" t="s">
        <v>449</v>
      </c>
      <c r="BU3" s="9" t="s">
        <v>452</v>
      </c>
      <c r="BV3" s="9" t="s">
        <v>457</v>
      </c>
      <c r="BW3" s="9" t="s">
        <v>601</v>
      </c>
      <c r="BX3" s="9" t="s">
        <v>600</v>
      </c>
      <c r="BY3" s="9" t="s">
        <v>599</v>
      </c>
      <c r="BZ3" s="9" t="s">
        <v>598</v>
      </c>
      <c r="CA3" s="9" t="s">
        <v>597</v>
      </c>
      <c r="CB3" s="9" t="s">
        <v>461</v>
      </c>
      <c r="CC3" s="9" t="s">
        <v>471</v>
      </c>
      <c r="CD3" s="9" t="s">
        <v>596</v>
      </c>
      <c r="CE3" s="9" t="s">
        <v>595</v>
      </c>
      <c r="CF3" s="9" t="s">
        <v>594</v>
      </c>
      <c r="CG3" s="9" t="s">
        <v>451</v>
      </c>
      <c r="CH3" s="9" t="s">
        <v>593</v>
      </c>
      <c r="CI3" s="9" t="s">
        <v>241</v>
      </c>
      <c r="CJ3" s="9" t="s">
        <v>257</v>
      </c>
      <c r="CK3" s="9" t="s">
        <v>592</v>
      </c>
      <c r="CL3" s="9" t="s">
        <v>591</v>
      </c>
      <c r="CM3" s="9" t="s">
        <v>590</v>
      </c>
      <c r="CN3" s="9" t="s">
        <v>589</v>
      </c>
      <c r="CO3" s="9" t="s">
        <v>311</v>
      </c>
      <c r="CP3" s="9" t="s">
        <v>588</v>
      </c>
      <c r="CQ3" s="9" t="s">
        <v>587</v>
      </c>
      <c r="CR3" s="9" t="s">
        <v>586</v>
      </c>
      <c r="CS3" s="9" t="s">
        <v>585</v>
      </c>
      <c r="CT3" s="9" t="s">
        <v>584</v>
      </c>
      <c r="CU3" s="9" t="s">
        <v>583</v>
      </c>
      <c r="CV3" s="9" t="s">
        <v>582</v>
      </c>
      <c r="CW3" s="9" t="s">
        <v>464</v>
      </c>
      <c r="CX3" s="9" t="s">
        <v>466</v>
      </c>
      <c r="CY3" s="9" t="s">
        <v>581</v>
      </c>
      <c r="CZ3" s="9" t="s">
        <v>580</v>
      </c>
      <c r="DA3" s="9" t="s">
        <v>459</v>
      </c>
      <c r="DB3" s="9" t="s">
        <v>564</v>
      </c>
      <c r="DC3" s="9" t="s">
        <v>579</v>
      </c>
      <c r="DD3" s="9" t="s">
        <v>469</v>
      </c>
      <c r="DE3" s="9" t="s">
        <v>41</v>
      </c>
      <c r="DF3" s="9" t="s">
        <v>460</v>
      </c>
      <c r="DG3" s="9" t="s">
        <v>456</v>
      </c>
      <c r="DH3" s="9" t="s">
        <v>578</v>
      </c>
      <c r="DI3" s="9" t="s">
        <v>566</v>
      </c>
      <c r="DJ3" s="9" t="s">
        <v>577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734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699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277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716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716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716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716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716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716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716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49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699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277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420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716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716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716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716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716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716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716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727</v>
      </c>
    </row>
    <row r="37" spans="1:233">
      <c r="B37" s="9" t="s">
        <v>717</v>
      </c>
      <c r="C37" s="9"/>
      <c r="DS37" t="s">
        <v>718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399</v>
      </c>
      <c r="F38" t="s">
        <v>642</v>
      </c>
      <c r="G38" t="s">
        <v>453</v>
      </c>
      <c r="H38" t="s">
        <v>454</v>
      </c>
      <c r="I38" t="s">
        <v>251</v>
      </c>
      <c r="J38" t="s">
        <v>641</v>
      </c>
      <c r="K38" t="s">
        <v>235</v>
      </c>
      <c r="L38" t="s">
        <v>640</v>
      </c>
      <c r="M38" t="s">
        <v>463</v>
      </c>
      <c r="N38" t="s">
        <v>468</v>
      </c>
      <c r="O38" t="s">
        <v>639</v>
      </c>
      <c r="P38" t="s">
        <v>638</v>
      </c>
      <c r="Q38" t="s">
        <v>637</v>
      </c>
      <c r="R38" t="s">
        <v>236</v>
      </c>
      <c r="S38" t="s">
        <v>636</v>
      </c>
      <c r="T38" t="s">
        <v>565</v>
      </c>
      <c r="U38" t="s">
        <v>237</v>
      </c>
      <c r="V38" t="s">
        <v>635</v>
      </c>
      <c r="W38" t="s">
        <v>238</v>
      </c>
      <c r="X38" t="s">
        <v>465</v>
      </c>
      <c r="Y38" t="s">
        <v>634</v>
      </c>
      <c r="Z38" t="s">
        <v>633</v>
      </c>
      <c r="AA38" t="s">
        <v>632</v>
      </c>
      <c r="AB38" t="s">
        <v>631</v>
      </c>
      <c r="AC38" t="s">
        <v>630</v>
      </c>
      <c r="AD38" t="s">
        <v>310</v>
      </c>
      <c r="AE38" t="s">
        <v>629</v>
      </c>
      <c r="AF38" t="s">
        <v>628</v>
      </c>
      <c r="AG38" t="s">
        <v>627</v>
      </c>
      <c r="AH38" t="s">
        <v>626</v>
      </c>
      <c r="AI38" t="s">
        <v>625</v>
      </c>
      <c r="AJ38" t="s">
        <v>624</v>
      </c>
      <c r="AK38" t="s">
        <v>623</v>
      </c>
      <c r="AL38" t="s">
        <v>622</v>
      </c>
      <c r="AM38" t="s">
        <v>621</v>
      </c>
      <c r="AN38" t="s">
        <v>620</v>
      </c>
      <c r="AO38" t="s">
        <v>239</v>
      </c>
      <c r="AP38" t="s">
        <v>254</v>
      </c>
      <c r="AQ38" t="s">
        <v>447</v>
      </c>
      <c r="AR38" t="s">
        <v>446</v>
      </c>
      <c r="AS38" t="s">
        <v>619</v>
      </c>
      <c r="AT38" t="s">
        <v>618</v>
      </c>
      <c r="AU38" t="s">
        <v>617</v>
      </c>
      <c r="AV38" t="s">
        <v>616</v>
      </c>
      <c r="AW38" t="s">
        <v>255</v>
      </c>
      <c r="AX38" t="s">
        <v>450</v>
      </c>
      <c r="AY38" t="s">
        <v>615</v>
      </c>
      <c r="AZ38" t="s">
        <v>614</v>
      </c>
      <c r="BA38" t="s">
        <v>448</v>
      </c>
      <c r="BB38" t="s">
        <v>613</v>
      </c>
      <c r="BC38" t="s">
        <v>612</v>
      </c>
      <c r="BD38" t="s">
        <v>455</v>
      </c>
      <c r="BE38" t="s">
        <v>611</v>
      </c>
      <c r="BF38" t="s">
        <v>610</v>
      </c>
      <c r="BG38" t="s">
        <v>609</v>
      </c>
      <c r="BH38" t="s">
        <v>458</v>
      </c>
      <c r="BI38" t="s">
        <v>608</v>
      </c>
      <c r="BJ38" t="s">
        <v>240</v>
      </c>
      <c r="BK38" t="s">
        <v>607</v>
      </c>
      <c r="BL38" t="s">
        <v>606</v>
      </c>
      <c r="BM38" t="s">
        <v>605</v>
      </c>
      <c r="BN38" t="s">
        <v>462</v>
      </c>
      <c r="BO38" t="s">
        <v>470</v>
      </c>
      <c r="BP38" t="s">
        <v>604</v>
      </c>
      <c r="BQ38" t="s">
        <v>467</v>
      </c>
      <c r="BR38" t="s">
        <v>603</v>
      </c>
      <c r="BS38" t="s">
        <v>602</v>
      </c>
      <c r="BT38" t="s">
        <v>449</v>
      </c>
      <c r="BU38" t="s">
        <v>452</v>
      </c>
      <c r="BV38" t="s">
        <v>457</v>
      </c>
      <c r="BW38" t="s">
        <v>601</v>
      </c>
      <c r="BX38" t="s">
        <v>600</v>
      </c>
      <c r="BY38" t="s">
        <v>599</v>
      </c>
      <c r="BZ38" t="s">
        <v>598</v>
      </c>
      <c r="CA38" t="s">
        <v>597</v>
      </c>
      <c r="CB38" t="s">
        <v>461</v>
      </c>
      <c r="CC38" t="s">
        <v>471</v>
      </c>
      <c r="CD38" t="s">
        <v>596</v>
      </c>
      <c r="CE38" t="s">
        <v>595</v>
      </c>
      <c r="CF38" t="s">
        <v>594</v>
      </c>
      <c r="CG38" t="s">
        <v>451</v>
      </c>
      <c r="CH38" t="s">
        <v>593</v>
      </c>
      <c r="CI38" t="s">
        <v>241</v>
      </c>
      <c r="CJ38" t="s">
        <v>257</v>
      </c>
      <c r="CK38" t="s">
        <v>592</v>
      </c>
      <c r="CL38" t="s">
        <v>591</v>
      </c>
      <c r="CM38" t="s">
        <v>590</v>
      </c>
      <c r="CN38" t="s">
        <v>589</v>
      </c>
      <c r="CO38" t="s">
        <v>311</v>
      </c>
      <c r="CP38" t="s">
        <v>588</v>
      </c>
      <c r="CQ38" t="s">
        <v>587</v>
      </c>
      <c r="CR38" t="s">
        <v>586</v>
      </c>
      <c r="CS38" t="s">
        <v>585</v>
      </c>
      <c r="CT38" t="s">
        <v>584</v>
      </c>
      <c r="CU38" t="s">
        <v>583</v>
      </c>
      <c r="CV38" t="s">
        <v>582</v>
      </c>
      <c r="CW38" t="s">
        <v>464</v>
      </c>
      <c r="CX38" t="s">
        <v>466</v>
      </c>
      <c r="CY38" t="s">
        <v>581</v>
      </c>
      <c r="CZ38" t="s">
        <v>580</v>
      </c>
      <c r="DA38" t="s">
        <v>459</v>
      </c>
      <c r="DB38" t="s">
        <v>564</v>
      </c>
      <c r="DC38" t="s">
        <v>579</v>
      </c>
      <c r="DD38" t="s">
        <v>469</v>
      </c>
      <c r="DE38" t="s">
        <v>41</v>
      </c>
      <c r="DF38" t="s">
        <v>460</v>
      </c>
      <c r="DG38" t="s">
        <v>456</v>
      </c>
      <c r="DH38" t="s">
        <v>578</v>
      </c>
      <c r="DI38" t="s">
        <v>566</v>
      </c>
      <c r="DJ38" t="s">
        <v>577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720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720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721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721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722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722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723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723</v>
      </c>
    </row>
    <row r="44" spans="1:233">
      <c r="B44" t="s">
        <v>728</v>
      </c>
      <c r="D44" s="16" t="s">
        <v>724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725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51">
        <f>MIN(F44:DJ47)</f>
        <v>0.652565599315862</v>
      </c>
      <c r="D46" s="16" t="s">
        <v>719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726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700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49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700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731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364</v>
      </c>
      <c r="E75">
        <v>2020</v>
      </c>
      <c r="F75">
        <v>0</v>
      </c>
      <c r="G75" t="s">
        <v>300</v>
      </c>
    </row>
    <row r="76" spans="1:235">
      <c r="B76" t="s">
        <v>732</v>
      </c>
      <c r="C76" t="s">
        <v>395</v>
      </c>
      <c r="D76" t="s">
        <v>95</v>
      </c>
      <c r="E76">
        <v>0.4</v>
      </c>
      <c r="F76">
        <v>3</v>
      </c>
    </row>
    <row r="77" spans="1:235">
      <c r="B77" t="s">
        <v>423</v>
      </c>
      <c r="C77" t="s">
        <v>395</v>
      </c>
      <c r="D77" t="s">
        <v>33</v>
      </c>
      <c r="E77">
        <v>0.4</v>
      </c>
      <c r="F77">
        <v>3</v>
      </c>
      <c r="G77" s="7" t="s">
        <v>733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5"/>
  <cols>
    <col min="1" max="1" width="19.28515625" bestFit="1" customWidth="1"/>
    <col min="2" max="2" width="11.85546875" bestFit="1" customWidth="1"/>
    <col min="3" max="3" width="12.28515625" bestFit="1" customWidth="1"/>
    <col min="4" max="4" width="10.28515625" bestFit="1" customWidth="1"/>
    <col min="5" max="5" width="11.85546875" bestFit="1" customWidth="1"/>
    <col min="6" max="6" width="7.85546875" customWidth="1"/>
    <col min="7" max="7" width="12.85546875" bestFit="1" customWidth="1"/>
    <col min="8" max="8" width="19.140625" bestFit="1" customWidth="1"/>
    <col min="9" max="9" width="6.7109375" bestFit="1" customWidth="1"/>
    <col min="10" max="10" width="8.7109375" bestFit="1" customWidth="1"/>
    <col min="11" max="11" width="8.4257812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7031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8" thickBot="1">
      <c r="A1" s="24" t="s">
        <v>312</v>
      </c>
      <c r="AC1" s="12" t="s">
        <v>353</v>
      </c>
    </row>
    <row r="2" spans="1:49" ht="16.5" thickTop="1" thickBot="1">
      <c r="A2" t="s">
        <v>313</v>
      </c>
      <c r="B2" t="s">
        <v>314</v>
      </c>
      <c r="C2" t="s">
        <v>315</v>
      </c>
      <c r="D2" t="s">
        <v>316</v>
      </c>
      <c r="E2" t="s">
        <v>317</v>
      </c>
      <c r="F2" t="s">
        <v>318</v>
      </c>
      <c r="G2" t="s">
        <v>319</v>
      </c>
      <c r="H2" t="s">
        <v>320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321</v>
      </c>
      <c r="B3" t="s">
        <v>322</v>
      </c>
      <c r="C3" t="s">
        <v>323</v>
      </c>
      <c r="D3" t="s">
        <v>323</v>
      </c>
      <c r="E3" t="s">
        <v>324</v>
      </c>
      <c r="F3" s="8">
        <v>39.18</v>
      </c>
      <c r="G3" s="8" t="s">
        <v>325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327</v>
      </c>
      <c r="B4" t="s">
        <v>323</v>
      </c>
      <c r="C4" t="s">
        <v>326</v>
      </c>
      <c r="D4" t="s">
        <v>323</v>
      </c>
      <c r="E4" t="s">
        <v>324</v>
      </c>
      <c r="F4" s="8">
        <v>19.34</v>
      </c>
      <c r="G4" s="8" t="s">
        <v>325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8" thickBot="1">
      <c r="AC6" s="12" t="s">
        <v>353</v>
      </c>
    </row>
    <row r="7" spans="1:49" ht="16.5" thickTop="1" thickBot="1">
      <c r="A7" t="s">
        <v>313</v>
      </c>
      <c r="B7" t="s">
        <v>314</v>
      </c>
      <c r="C7" t="s">
        <v>315</v>
      </c>
      <c r="D7" t="s">
        <v>316</v>
      </c>
      <c r="E7" t="s">
        <v>317</v>
      </c>
      <c r="F7" t="s">
        <v>318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328</v>
      </c>
      <c r="B8" t="s">
        <v>323</v>
      </c>
      <c r="C8" t="s">
        <v>323</v>
      </c>
      <c r="D8" t="s">
        <v>323</v>
      </c>
      <c r="E8" t="s">
        <v>329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330</v>
      </c>
      <c r="B9" t="s">
        <v>323</v>
      </c>
      <c r="C9" t="s">
        <v>323</v>
      </c>
      <c r="D9" t="s">
        <v>323</v>
      </c>
      <c r="E9" t="s">
        <v>329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331</v>
      </c>
    </row>
    <row r="13" spans="1:49">
      <c r="A13" s="18" t="s">
        <v>332</v>
      </c>
      <c r="B13" s="18"/>
      <c r="C13" s="18"/>
    </row>
    <row r="14" spans="1:49">
      <c r="A14" s="18" t="s">
        <v>333</v>
      </c>
      <c r="B14" s="18"/>
      <c r="C14" s="18"/>
    </row>
    <row r="15" spans="1:49">
      <c r="A15" s="18" t="s">
        <v>334</v>
      </c>
      <c r="B15" s="18"/>
      <c r="C15" s="18"/>
    </row>
    <row r="17" spans="1:13">
      <c r="A17" s="18" t="s">
        <v>335</v>
      </c>
      <c r="B17" s="18" t="s">
        <v>336</v>
      </c>
      <c r="C17" s="18" t="s">
        <v>337</v>
      </c>
    </row>
    <row r="18" spans="1:13">
      <c r="A18" s="18" t="s">
        <v>338</v>
      </c>
      <c r="B18" s="18" t="s">
        <v>339</v>
      </c>
      <c r="C18" s="18">
        <v>253</v>
      </c>
    </row>
    <row r="19" spans="1:13">
      <c r="A19" s="18" t="s">
        <v>340</v>
      </c>
      <c r="B19" s="18" t="s">
        <v>339</v>
      </c>
      <c r="C19" s="18">
        <v>203</v>
      </c>
      <c r="G19" t="s">
        <v>62</v>
      </c>
    </row>
    <row r="20" spans="1:13">
      <c r="A20" s="18" t="s">
        <v>341</v>
      </c>
      <c r="B20" s="18" t="s">
        <v>342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343</v>
      </c>
      <c r="B21" s="18" t="s">
        <v>342</v>
      </c>
      <c r="C21" s="18">
        <v>242</v>
      </c>
      <c r="G21" t="s">
        <v>87</v>
      </c>
      <c r="H21" t="s">
        <v>349</v>
      </c>
      <c r="K21" t="s">
        <v>91</v>
      </c>
      <c r="L21">
        <f>AC3</f>
        <v>81</v>
      </c>
      <c r="M21">
        <v>2</v>
      </c>
    </row>
    <row r="22" spans="1:13">
      <c r="A22" s="18" t="s">
        <v>344</v>
      </c>
      <c r="B22" s="18" t="s">
        <v>342</v>
      </c>
      <c r="C22" s="18">
        <v>226</v>
      </c>
      <c r="G22" t="s">
        <v>87</v>
      </c>
      <c r="H22" t="s">
        <v>350</v>
      </c>
      <c r="L22">
        <f>AC4</f>
        <v>82</v>
      </c>
      <c r="M22">
        <v>2</v>
      </c>
    </row>
    <row r="23" spans="1:13">
      <c r="A23" s="18" t="s">
        <v>345</v>
      </c>
      <c r="B23" s="18" t="s">
        <v>339</v>
      </c>
      <c r="C23" s="18">
        <v>174</v>
      </c>
      <c r="G23" t="s">
        <v>87</v>
      </c>
      <c r="H23" t="s">
        <v>351</v>
      </c>
      <c r="L23">
        <f>AC8</f>
        <v>83</v>
      </c>
      <c r="M23">
        <v>2</v>
      </c>
    </row>
    <row r="24" spans="1:13">
      <c r="A24" s="18" t="s">
        <v>346</v>
      </c>
      <c r="B24" s="18" t="s">
        <v>339</v>
      </c>
      <c r="C24" s="18">
        <v>258</v>
      </c>
      <c r="G24" t="s">
        <v>87</v>
      </c>
      <c r="H24" t="s">
        <v>352</v>
      </c>
      <c r="L24">
        <f>AC9</f>
        <v>84</v>
      </c>
      <c r="M24">
        <v>2</v>
      </c>
    </row>
    <row r="25" spans="1:13">
      <c r="A25" s="18" t="s">
        <v>347</v>
      </c>
      <c r="B25" s="18" t="s">
        <v>348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5"/>
  <cols>
    <col min="4" max="4" width="8.42578125" bestFit="1" customWidth="1"/>
    <col min="5" max="5" width="7" bestFit="1" customWidth="1"/>
    <col min="7" max="7" width="40.7109375" customWidth="1"/>
    <col min="18" max="18" width="11" bestFit="1" customWidth="1"/>
    <col min="19" max="19" width="11.42578125" bestFit="1" customWidth="1"/>
    <col min="20" max="20" width="14" bestFit="1" customWidth="1"/>
    <col min="21" max="21" width="7" bestFit="1" customWidth="1"/>
    <col min="24" max="24" width="12" bestFit="1" customWidth="1"/>
    <col min="25" max="25" width="13.85546875" bestFit="1" customWidth="1"/>
    <col min="26" max="26" width="13.1406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563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561</v>
      </c>
      <c r="AG3" t="s">
        <v>60</v>
      </c>
      <c r="AH3" t="s">
        <v>688</v>
      </c>
    </row>
    <row r="4" spans="1:35">
      <c r="A4" t="s">
        <v>102</v>
      </c>
      <c r="B4" t="str">
        <f t="shared" si="0"/>
        <v>LPG</v>
      </c>
      <c r="D4" s="16" t="s">
        <v>304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354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275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277</v>
      </c>
      <c r="Z10" t="s">
        <v>39</v>
      </c>
      <c r="AA10" t="s">
        <v>93</v>
      </c>
      <c r="AB10" t="s">
        <v>219</v>
      </c>
      <c r="AF10" t="s">
        <v>277</v>
      </c>
      <c r="AG10" t="s">
        <v>563</v>
      </c>
      <c r="AH10" t="s">
        <v>39</v>
      </c>
      <c r="AI10" t="s">
        <v>287</v>
      </c>
    </row>
    <row r="11" spans="1:35">
      <c r="A11" t="s">
        <v>109</v>
      </c>
      <c r="B11" t="str">
        <f t="shared" si="0"/>
        <v>NGA</v>
      </c>
      <c r="D11" s="16" t="s">
        <v>282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276</v>
      </c>
      <c r="Y11" t="s">
        <v>278</v>
      </c>
      <c r="Z11" t="str">
        <f>"INDCO2N"&amp;VLOOKUP(MID(AA11,4,7),$D$2:$F$27,3,FALSE)</f>
        <v>INDCO2No</v>
      </c>
      <c r="AA11" t="s">
        <v>279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276</v>
      </c>
      <c r="Y12" t="s">
        <v>278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276</v>
      </c>
      <c r="Y13" t="s">
        <v>278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280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276</v>
      </c>
      <c r="Y14" t="s">
        <v>278</v>
      </c>
      <c r="Z14" t="str">
        <f>"INDCO2N"&amp;VLOOKUP(MID(AA14,1,3),$D$2:$F$27,3,FALSE)</f>
        <v>INDCO2Ng</v>
      </c>
      <c r="AA14" t="s">
        <v>281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287</v>
      </c>
      <c r="Z19" t="s">
        <v>39</v>
      </c>
      <c r="AA19" t="s">
        <v>93</v>
      </c>
      <c r="AB19" t="s">
        <v>219</v>
      </c>
      <c r="AC19" t="s">
        <v>277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276</v>
      </c>
      <c r="Y20" t="s">
        <v>288</v>
      </c>
      <c r="Z20" t="s">
        <v>289</v>
      </c>
      <c r="AA20" t="s">
        <v>288</v>
      </c>
      <c r="AB20">
        <f>VLOOKUP(MID(AA20,1,3),$D$2:$F$27,2,FALSE)</f>
        <v>98.43</v>
      </c>
      <c r="AC20" t="s">
        <v>266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276</v>
      </c>
      <c r="Y21" t="s">
        <v>291</v>
      </c>
      <c r="Z21" t="s">
        <v>290</v>
      </c>
      <c r="AA21" t="s">
        <v>291</v>
      </c>
      <c r="AB21">
        <f>VLOOKUP(MID(AA21,1,3),$D$2:$F$27,2,FALSE)</f>
        <v>98.43</v>
      </c>
      <c r="AC21" t="s">
        <v>266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276</v>
      </c>
      <c r="Y22" t="s">
        <v>77</v>
      </c>
      <c r="Z22" t="s">
        <v>292</v>
      </c>
      <c r="AA22" t="s">
        <v>77</v>
      </c>
      <c r="AB22">
        <f>VLOOKUP(MID(AA22,1,3),$D$2:$F$27,2,FALSE)</f>
        <v>55.99</v>
      </c>
      <c r="AC22" t="s">
        <v>266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50" t="s">
        <v>713</v>
      </c>
      <c r="Y23" t="s">
        <v>674</v>
      </c>
      <c r="Z23" t="s">
        <v>675</v>
      </c>
      <c r="AA23" t="s">
        <v>674</v>
      </c>
      <c r="AB23">
        <v>1</v>
      </c>
      <c r="AC23" t="s">
        <v>676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677</v>
      </c>
      <c r="Z29" t="s">
        <v>678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679</v>
      </c>
      <c r="Z30" t="s">
        <v>678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689</v>
      </c>
      <c r="Z32" t="s">
        <v>680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681</v>
      </c>
      <c r="Z33" t="s">
        <v>680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682</v>
      </c>
      <c r="Z35" t="s">
        <v>683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50" t="s">
        <v>714</v>
      </c>
      <c r="Y36" t="s">
        <v>675</v>
      </c>
      <c r="Z36" t="s">
        <v>683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684</v>
      </c>
      <c r="Z37" t="s">
        <v>683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674</v>
      </c>
      <c r="Z38" t="s">
        <v>683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695</v>
      </c>
      <c r="Z40" t="s">
        <v>685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686</v>
      </c>
      <c r="Z41" t="s">
        <v>687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296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276</v>
      </c>
      <c r="Y47" t="s">
        <v>692</v>
      </c>
      <c r="Z47" t="s">
        <v>67</v>
      </c>
      <c r="AA47" t="s">
        <v>679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276</v>
      </c>
      <c r="Y48" t="s">
        <v>693</v>
      </c>
      <c r="Z48" t="s">
        <v>253</v>
      </c>
      <c r="AA48" t="s">
        <v>679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276</v>
      </c>
      <c r="Y49" t="s">
        <v>694</v>
      </c>
      <c r="Z49" t="s">
        <v>68</v>
      </c>
      <c r="AA49" t="s">
        <v>679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287</v>
      </c>
      <c r="Y53" t="s">
        <v>696</v>
      </c>
      <c r="Z53" t="s">
        <v>247</v>
      </c>
      <c r="AA53" t="s">
        <v>37</v>
      </c>
      <c r="AB53" t="s">
        <v>277</v>
      </c>
      <c r="AC53">
        <v>2020</v>
      </c>
      <c r="AD53">
        <v>2030</v>
      </c>
      <c r="AE53" t="s">
        <v>39</v>
      </c>
    </row>
    <row r="54" spans="1:31">
      <c r="A54" t="s">
        <v>690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292</v>
      </c>
      <c r="Z54" t="s">
        <v>697</v>
      </c>
      <c r="AA54" t="s">
        <v>276</v>
      </c>
      <c r="AB54" t="s">
        <v>266</v>
      </c>
      <c r="AC54">
        <v>0.9</v>
      </c>
      <c r="AD54">
        <v>0.95</v>
      </c>
      <c r="AE54" t="s">
        <v>684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288</v>
      </c>
      <c r="Y55" t="s">
        <v>289</v>
      </c>
      <c r="Z55" t="s">
        <v>697</v>
      </c>
      <c r="AA55" t="s">
        <v>276</v>
      </c>
      <c r="AB55" t="s">
        <v>266</v>
      </c>
      <c r="AC55">
        <v>0.9</v>
      </c>
      <c r="AD55">
        <v>0.95</v>
      </c>
      <c r="AE55" t="s">
        <v>684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workbookViewId="0"/>
  </sheetViews>
  <sheetFormatPr defaultRowHeight="15"/>
  <cols>
    <col min="2" max="2" width="24" bestFit="1" customWidth="1"/>
    <col min="3" max="3" width="12.7109375" bestFit="1" customWidth="1"/>
    <col min="4" max="4" width="11.7109375" bestFit="1" customWidth="1"/>
    <col min="5" max="5" width="6.5703125" bestFit="1" customWidth="1"/>
    <col min="6" max="6" width="7.85546875" bestFit="1" customWidth="1"/>
    <col min="7" max="7" width="5" bestFit="1" customWidth="1"/>
    <col min="8" max="8" width="4.7109375" bestFit="1" customWidth="1"/>
    <col min="9" max="9" width="10.85546875" bestFit="1" customWidth="1"/>
    <col min="10" max="10" width="1.7109375" bestFit="1" customWidth="1"/>
    <col min="11" max="11" width="8.7109375" bestFit="1" customWidth="1"/>
    <col min="13" max="13" width="13.85546875" customWidth="1"/>
    <col min="14" max="14" width="12.28515625" bestFit="1" customWidth="1"/>
    <col min="15" max="15" width="8.85546875" bestFit="1" customWidth="1"/>
    <col min="16" max="16" width="1.7109375" bestFit="1" customWidth="1"/>
    <col min="17" max="21" width="10.85546875" customWidth="1"/>
    <col min="22" max="22" width="1.7109375" bestFit="1" customWidth="1"/>
    <col min="23" max="23" width="9.5703125" bestFit="1" customWidth="1"/>
  </cols>
  <sheetData>
    <row r="1" spans="2:23">
      <c r="M1" t="s">
        <v>646</v>
      </c>
      <c r="S1" t="s">
        <v>646</v>
      </c>
    </row>
    <row r="2" spans="2:23">
      <c r="B2" t="s">
        <v>558</v>
      </c>
      <c r="H2" t="s">
        <v>40</v>
      </c>
      <c r="I2" t="s">
        <v>647</v>
      </c>
      <c r="J2" t="s">
        <v>231</v>
      </c>
      <c r="K2" t="s">
        <v>648</v>
      </c>
      <c r="M2" t="s">
        <v>411</v>
      </c>
      <c r="N2" t="s">
        <v>37</v>
      </c>
      <c r="O2">
        <v>2020</v>
      </c>
      <c r="P2">
        <v>0</v>
      </c>
      <c r="Q2" t="s">
        <v>39</v>
      </c>
      <c r="S2" t="s">
        <v>411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493</v>
      </c>
      <c r="C3" t="s">
        <v>489</v>
      </c>
      <c r="D3" t="s">
        <v>16</v>
      </c>
      <c r="E3" t="s">
        <v>21</v>
      </c>
      <c r="H3">
        <v>2019</v>
      </c>
      <c r="I3" t="s">
        <v>573</v>
      </c>
      <c r="K3" s="15">
        <v>803570.01532614301</v>
      </c>
      <c r="M3" t="str">
        <f>$I3</f>
        <v>Africa_SS</v>
      </c>
      <c r="N3" t="s">
        <v>305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305</v>
      </c>
      <c r="U3" s="8">
        <f>-K3/1000*2/3</f>
        <v>-535.71334355076203</v>
      </c>
      <c r="V3">
        <v>3</v>
      </c>
      <c r="W3" t="s">
        <v>649</v>
      </c>
    </row>
    <row r="4" spans="2:23">
      <c r="B4" t="s">
        <v>577</v>
      </c>
      <c r="C4" t="s">
        <v>561</v>
      </c>
      <c r="D4">
        <v>0.08</v>
      </c>
      <c r="E4" t="s">
        <v>562</v>
      </c>
      <c r="H4">
        <v>2019</v>
      </c>
      <c r="I4" t="s">
        <v>642</v>
      </c>
      <c r="K4" s="15">
        <v>4829.9999237060501</v>
      </c>
      <c r="M4" t="str">
        <f t="shared" ref="M4:M67" si="0">$I4</f>
        <v>Albania</v>
      </c>
      <c r="N4" t="s">
        <v>305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305</v>
      </c>
      <c r="U4" s="8">
        <f t="shared" ref="U4:U46" si="3">-K4/1000*2/3</f>
        <v>-3.219999949137367</v>
      </c>
      <c r="V4">
        <v>3</v>
      </c>
      <c r="W4" t="s">
        <v>649</v>
      </c>
    </row>
    <row r="5" spans="2:23">
      <c r="B5" t="s">
        <v>566</v>
      </c>
      <c r="C5" t="s">
        <v>561</v>
      </c>
      <c r="D5">
        <v>0.01</v>
      </c>
      <c r="E5" t="s">
        <v>562</v>
      </c>
      <c r="H5">
        <v>2019</v>
      </c>
      <c r="I5" t="s">
        <v>453</v>
      </c>
      <c r="K5" s="15">
        <v>171250</v>
      </c>
      <c r="M5" t="str">
        <f t="shared" si="0"/>
        <v>Algeria</v>
      </c>
      <c r="N5" t="s">
        <v>305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305</v>
      </c>
      <c r="U5" s="8">
        <f t="shared" si="3"/>
        <v>-114.16666666666667</v>
      </c>
      <c r="V5">
        <v>3</v>
      </c>
      <c r="W5" t="s">
        <v>649</v>
      </c>
    </row>
    <row r="6" spans="2:23">
      <c r="B6" t="s">
        <v>578</v>
      </c>
      <c r="C6" t="s">
        <v>561</v>
      </c>
      <c r="D6">
        <v>0.05</v>
      </c>
      <c r="E6" t="s">
        <v>562</v>
      </c>
      <c r="H6">
        <v>2019</v>
      </c>
      <c r="I6" t="s">
        <v>454</v>
      </c>
      <c r="K6" s="15">
        <v>25209.9990844727</v>
      </c>
      <c r="M6" t="str">
        <f t="shared" si="0"/>
        <v>Angola</v>
      </c>
      <c r="N6" t="s">
        <v>305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305</v>
      </c>
      <c r="U6" s="8">
        <f t="shared" si="3"/>
        <v>-16.806666056315134</v>
      </c>
      <c r="V6">
        <v>3</v>
      </c>
      <c r="W6" t="s">
        <v>649</v>
      </c>
    </row>
    <row r="7" spans="2:23">
      <c r="B7" t="s">
        <v>456</v>
      </c>
      <c r="C7" t="s">
        <v>561</v>
      </c>
      <c r="D7">
        <v>3.7499999999999999E-2</v>
      </c>
      <c r="E7" t="s">
        <v>562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305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305</v>
      </c>
      <c r="U7" s="8">
        <f t="shared" si="3"/>
        <v>-112.06667073567733</v>
      </c>
      <c r="V7">
        <v>3</v>
      </c>
      <c r="W7" t="s">
        <v>649</v>
      </c>
    </row>
    <row r="8" spans="2:23">
      <c r="B8" t="s">
        <v>460</v>
      </c>
      <c r="C8" t="s">
        <v>561</v>
      </c>
      <c r="D8">
        <v>3.7499999999999999E-2</v>
      </c>
      <c r="E8" t="s">
        <v>562</v>
      </c>
      <c r="H8">
        <v>2019</v>
      </c>
      <c r="I8" t="s">
        <v>641</v>
      </c>
      <c r="K8" s="15">
        <v>6170.0000762939499</v>
      </c>
      <c r="M8" t="str">
        <f t="shared" si="0"/>
        <v>Armenia</v>
      </c>
      <c r="N8" t="s">
        <v>305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305</v>
      </c>
      <c r="U8" s="8">
        <f t="shared" si="3"/>
        <v>-4.1133333841959665</v>
      </c>
      <c r="V8">
        <v>3</v>
      </c>
      <c r="W8" t="s">
        <v>649</v>
      </c>
    </row>
    <row r="9" spans="2:23">
      <c r="B9" t="s">
        <v>41</v>
      </c>
      <c r="C9" t="s">
        <v>561</v>
      </c>
      <c r="D9">
        <v>2.5000000000000001E-2</v>
      </c>
      <c r="E9" t="s">
        <v>562</v>
      </c>
      <c r="H9">
        <v>2019</v>
      </c>
      <c r="I9" t="s">
        <v>308</v>
      </c>
      <c r="K9" s="15">
        <v>2160279.9224853502</v>
      </c>
      <c r="M9" t="str">
        <f t="shared" si="0"/>
        <v>Asia_Dev</v>
      </c>
      <c r="N9" t="s">
        <v>305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305</v>
      </c>
      <c r="U9" s="8">
        <f t="shared" si="3"/>
        <v>-1440.1866149902335</v>
      </c>
      <c r="V9">
        <v>3</v>
      </c>
      <c r="W9" t="s">
        <v>649</v>
      </c>
    </row>
    <row r="10" spans="2:23">
      <c r="B10" t="s">
        <v>469</v>
      </c>
      <c r="C10" t="s">
        <v>561</v>
      </c>
      <c r="D10">
        <v>3.7499999999999999E-2</v>
      </c>
      <c r="E10" t="s">
        <v>562</v>
      </c>
      <c r="H10">
        <v>2019</v>
      </c>
      <c r="I10" t="s">
        <v>309</v>
      </c>
      <c r="K10" s="15">
        <v>2096160.0225772699</v>
      </c>
      <c r="M10" t="str">
        <f t="shared" si="0"/>
        <v>Asia_Em</v>
      </c>
      <c r="N10" t="s">
        <v>305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305</v>
      </c>
      <c r="U10" s="8">
        <f t="shared" si="3"/>
        <v>-1397.4400150515132</v>
      </c>
      <c r="V10">
        <v>3</v>
      </c>
      <c r="W10" t="s">
        <v>649</v>
      </c>
    </row>
    <row r="11" spans="2:23">
      <c r="B11" t="s">
        <v>579</v>
      </c>
      <c r="C11" t="s">
        <v>561</v>
      </c>
      <c r="D11">
        <v>0.08</v>
      </c>
      <c r="E11" t="s">
        <v>562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305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305</v>
      </c>
      <c r="U11" s="8">
        <f t="shared" si="3"/>
        <v>-257.68666585286468</v>
      </c>
      <c r="V11">
        <v>3</v>
      </c>
      <c r="W11" t="s">
        <v>649</v>
      </c>
    </row>
    <row r="12" spans="2:23">
      <c r="B12" t="s">
        <v>564</v>
      </c>
      <c r="C12" t="s">
        <v>561</v>
      </c>
      <c r="D12">
        <v>0.01</v>
      </c>
      <c r="E12" t="s">
        <v>562</v>
      </c>
      <c r="H12">
        <v>2019</v>
      </c>
      <c r="I12" t="s">
        <v>640</v>
      </c>
      <c r="K12" s="15">
        <v>64769.996643066399</v>
      </c>
      <c r="M12" t="str">
        <f t="shared" si="0"/>
        <v>Austria</v>
      </c>
      <c r="N12" t="s">
        <v>305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305</v>
      </c>
      <c r="U12" s="8">
        <f t="shared" si="3"/>
        <v>-43.179997762044259</v>
      </c>
      <c r="V12">
        <v>3</v>
      </c>
      <c r="W12" t="s">
        <v>649</v>
      </c>
    </row>
    <row r="13" spans="2:23">
      <c r="B13" t="s">
        <v>459</v>
      </c>
      <c r="C13" t="s">
        <v>561</v>
      </c>
      <c r="D13">
        <v>3.7499999999999999E-2</v>
      </c>
      <c r="E13" t="s">
        <v>562</v>
      </c>
      <c r="H13">
        <v>2019</v>
      </c>
      <c r="I13" t="s">
        <v>463</v>
      </c>
      <c r="K13" s="15">
        <v>35509.998321533203</v>
      </c>
      <c r="M13" t="str">
        <f t="shared" si="0"/>
        <v>Azerbaijan</v>
      </c>
      <c r="N13" t="s">
        <v>305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305</v>
      </c>
      <c r="U13" s="8">
        <f t="shared" si="3"/>
        <v>-23.673332214355469</v>
      </c>
      <c r="V13">
        <v>3</v>
      </c>
      <c r="W13" t="s">
        <v>649</v>
      </c>
    </row>
    <row r="14" spans="2:23">
      <c r="B14" t="s">
        <v>580</v>
      </c>
      <c r="C14" t="s">
        <v>561</v>
      </c>
      <c r="D14">
        <v>3.7499999999999999E-2</v>
      </c>
      <c r="E14" t="s">
        <v>562</v>
      </c>
      <c r="H14">
        <v>2019</v>
      </c>
      <c r="I14" t="s">
        <v>650</v>
      </c>
      <c r="K14" s="15">
        <v>29480.000019073501</v>
      </c>
      <c r="M14" t="str">
        <f t="shared" si="0"/>
        <v>Baltics</v>
      </c>
      <c r="N14" t="s">
        <v>305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305</v>
      </c>
      <c r="U14" s="8">
        <f t="shared" si="3"/>
        <v>-19.653333346048999</v>
      </c>
      <c r="V14">
        <v>3</v>
      </c>
      <c r="W14" t="s">
        <v>649</v>
      </c>
    </row>
    <row r="15" spans="2:23">
      <c r="B15" t="s">
        <v>581</v>
      </c>
      <c r="C15" t="s">
        <v>561</v>
      </c>
      <c r="D15">
        <v>0.08</v>
      </c>
      <c r="E15" t="s">
        <v>562</v>
      </c>
      <c r="H15">
        <v>2019</v>
      </c>
      <c r="I15" t="s">
        <v>468</v>
      </c>
      <c r="K15" s="15">
        <v>90739.997863769502</v>
      </c>
      <c r="M15" t="str">
        <f t="shared" si="0"/>
        <v>Bangladesh</v>
      </c>
      <c r="N15" t="s">
        <v>305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305</v>
      </c>
      <c r="U15" s="8">
        <f t="shared" si="3"/>
        <v>-60.493331909179666</v>
      </c>
      <c r="V15">
        <v>3</v>
      </c>
      <c r="W15" t="s">
        <v>649</v>
      </c>
    </row>
    <row r="16" spans="2:23">
      <c r="B16" t="s">
        <v>466</v>
      </c>
      <c r="C16" t="s">
        <v>561</v>
      </c>
      <c r="D16">
        <v>0.05</v>
      </c>
      <c r="E16" t="s">
        <v>562</v>
      </c>
      <c r="H16">
        <v>2019</v>
      </c>
      <c r="I16" t="s">
        <v>639</v>
      </c>
      <c r="K16" s="15">
        <v>57669.998168945298</v>
      </c>
      <c r="M16" t="str">
        <f t="shared" si="0"/>
        <v>Belarus</v>
      </c>
      <c r="N16" t="s">
        <v>305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305</v>
      </c>
      <c r="U16" s="8">
        <f t="shared" si="3"/>
        <v>-38.446665445963532</v>
      </c>
      <c r="V16">
        <v>3</v>
      </c>
      <c r="W16" t="s">
        <v>649</v>
      </c>
    </row>
    <row r="17" spans="2:23">
      <c r="B17" t="s">
        <v>464</v>
      </c>
      <c r="C17" t="s">
        <v>561</v>
      </c>
      <c r="D17">
        <v>0.08</v>
      </c>
      <c r="E17" t="s">
        <v>562</v>
      </c>
      <c r="H17">
        <v>2019</v>
      </c>
      <c r="I17" t="s">
        <v>638</v>
      </c>
      <c r="K17" s="15">
        <v>93010.002136230498</v>
      </c>
      <c r="M17" t="str">
        <f t="shared" si="0"/>
        <v>Belgium</v>
      </c>
      <c r="N17" t="s">
        <v>305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305</v>
      </c>
      <c r="U17" s="8">
        <f t="shared" si="3"/>
        <v>-62.006668090820334</v>
      </c>
      <c r="V17">
        <v>3</v>
      </c>
      <c r="W17" t="s">
        <v>649</v>
      </c>
    </row>
    <row r="18" spans="2:23">
      <c r="B18" t="s">
        <v>582</v>
      </c>
      <c r="C18" t="s">
        <v>561</v>
      </c>
      <c r="D18">
        <v>3.7499999999999999E-2</v>
      </c>
      <c r="E18" t="s">
        <v>562</v>
      </c>
      <c r="H18">
        <v>2019</v>
      </c>
      <c r="I18" t="s">
        <v>637</v>
      </c>
      <c r="K18" s="15">
        <v>21069.999694824201</v>
      </c>
      <c r="M18" t="str">
        <f t="shared" si="0"/>
        <v>Bosnia_Herz</v>
      </c>
      <c r="N18" t="s">
        <v>305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305</v>
      </c>
      <c r="U18" s="8">
        <f t="shared" si="3"/>
        <v>-14.046666463216134</v>
      </c>
      <c r="V18">
        <v>3</v>
      </c>
      <c r="W18" t="s">
        <v>649</v>
      </c>
    </row>
    <row r="19" spans="2:23">
      <c r="B19" t="s">
        <v>583</v>
      </c>
      <c r="C19" t="s">
        <v>561</v>
      </c>
      <c r="D19">
        <v>0.1</v>
      </c>
      <c r="E19" t="s">
        <v>562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305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305</v>
      </c>
      <c r="U19" s="8">
        <f t="shared" si="3"/>
        <v>-289.53332519531267</v>
      </c>
      <c r="V19">
        <v>3</v>
      </c>
      <c r="W19" t="s">
        <v>649</v>
      </c>
    </row>
    <row r="20" spans="2:23">
      <c r="B20" t="s">
        <v>584</v>
      </c>
      <c r="C20" t="s">
        <v>561</v>
      </c>
      <c r="D20">
        <v>0.08</v>
      </c>
      <c r="E20" t="s">
        <v>562</v>
      </c>
      <c r="H20">
        <v>2019</v>
      </c>
      <c r="I20" t="s">
        <v>636</v>
      </c>
      <c r="K20" s="15">
        <v>39139.999389648401</v>
      </c>
      <c r="M20" t="str">
        <f t="shared" si="0"/>
        <v>Bulgaria</v>
      </c>
      <c r="N20" t="s">
        <v>305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305</v>
      </c>
      <c r="U20" s="8">
        <f t="shared" si="3"/>
        <v>-26.093332926432268</v>
      </c>
      <c r="V20">
        <v>3</v>
      </c>
      <c r="W20" t="s">
        <v>649</v>
      </c>
    </row>
    <row r="21" spans="2:23">
      <c r="B21" t="s">
        <v>585</v>
      </c>
      <c r="C21" t="s">
        <v>561</v>
      </c>
      <c r="D21">
        <v>0.08</v>
      </c>
      <c r="E21" t="s">
        <v>562</v>
      </c>
      <c r="H21">
        <v>2019</v>
      </c>
      <c r="I21" t="s">
        <v>565</v>
      </c>
      <c r="K21" s="15">
        <v>9430.0003051757794</v>
      </c>
      <c r="M21" t="str">
        <f t="shared" si="0"/>
        <v>Cameroon</v>
      </c>
      <c r="N21" t="s">
        <v>305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305</v>
      </c>
      <c r="U21" s="8">
        <f t="shared" si="3"/>
        <v>-6.2866668701171866</v>
      </c>
      <c r="V21">
        <v>3</v>
      </c>
      <c r="W21" t="s">
        <v>649</v>
      </c>
    </row>
    <row r="22" spans="2:23">
      <c r="B22" t="s">
        <v>586</v>
      </c>
      <c r="C22" t="s">
        <v>561</v>
      </c>
      <c r="D22">
        <v>0.08</v>
      </c>
      <c r="E22" t="s">
        <v>562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305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305</v>
      </c>
      <c r="U22" s="8">
        <f t="shared" si="3"/>
        <v>-386.80668131510402</v>
      </c>
      <c r="V22">
        <v>3</v>
      </c>
      <c r="W22" t="s">
        <v>649</v>
      </c>
    </row>
    <row r="23" spans="2:23">
      <c r="B23" t="s">
        <v>587</v>
      </c>
      <c r="C23" t="s">
        <v>561</v>
      </c>
      <c r="D23">
        <v>0.08</v>
      </c>
      <c r="E23" t="s">
        <v>562</v>
      </c>
      <c r="H23">
        <v>2019</v>
      </c>
      <c r="I23" t="s">
        <v>651</v>
      </c>
      <c r="K23" s="15">
        <v>268789.99939560902</v>
      </c>
      <c r="M23" t="str">
        <f t="shared" si="0"/>
        <v>Central_Europe</v>
      </c>
      <c r="N23" t="s">
        <v>305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305</v>
      </c>
      <c r="U23" s="8">
        <f t="shared" si="3"/>
        <v>-179.193332930406</v>
      </c>
      <c r="V23">
        <v>3</v>
      </c>
      <c r="W23" t="s">
        <v>649</v>
      </c>
    </row>
    <row r="24" spans="2:23">
      <c r="B24" t="s">
        <v>588</v>
      </c>
      <c r="C24" t="s">
        <v>561</v>
      </c>
      <c r="D24">
        <v>0.1</v>
      </c>
      <c r="E24" t="s">
        <v>562</v>
      </c>
      <c r="H24">
        <v>2019</v>
      </c>
      <c r="I24" t="s">
        <v>635</v>
      </c>
      <c r="K24" s="15">
        <v>91370.002746582002</v>
      </c>
      <c r="M24" t="str">
        <f t="shared" si="0"/>
        <v>Chile</v>
      </c>
      <c r="N24" t="s">
        <v>305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305</v>
      </c>
      <c r="U24" s="8">
        <f t="shared" si="3"/>
        <v>-60.913335164388002</v>
      </c>
      <c r="V24">
        <v>3</v>
      </c>
      <c r="W24" t="s">
        <v>649</v>
      </c>
    </row>
    <row r="25" spans="2:23">
      <c r="B25" t="s">
        <v>311</v>
      </c>
      <c r="C25" t="s">
        <v>561</v>
      </c>
      <c r="D25">
        <v>0.08</v>
      </c>
      <c r="E25" t="s">
        <v>562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305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305</v>
      </c>
      <c r="U25" s="8">
        <f t="shared" si="3"/>
        <v>-7138.146484375</v>
      </c>
      <c r="V25">
        <v>3</v>
      </c>
      <c r="W25" t="s">
        <v>649</v>
      </c>
    </row>
    <row r="26" spans="2:23">
      <c r="B26" t="s">
        <v>589</v>
      </c>
      <c r="C26" t="s">
        <v>561</v>
      </c>
      <c r="D26">
        <v>0.08</v>
      </c>
      <c r="E26" t="s">
        <v>562</v>
      </c>
      <c r="H26">
        <v>2019</v>
      </c>
      <c r="I26" t="s">
        <v>652</v>
      </c>
      <c r="K26" s="15">
        <v>10707219.7265625</v>
      </c>
      <c r="M26" t="str">
        <f t="shared" si="0"/>
        <v>China_d</v>
      </c>
      <c r="N26" t="s">
        <v>305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305</v>
      </c>
      <c r="U26" s="8">
        <f t="shared" si="3"/>
        <v>-7138.146484375</v>
      </c>
      <c r="V26">
        <v>3</v>
      </c>
      <c r="W26" t="s">
        <v>649</v>
      </c>
    </row>
    <row r="27" spans="2:23">
      <c r="B27" t="s">
        <v>590</v>
      </c>
      <c r="C27" t="s">
        <v>561</v>
      </c>
      <c r="D27">
        <v>0.08</v>
      </c>
      <c r="E27" t="s">
        <v>562</v>
      </c>
      <c r="H27">
        <v>2019</v>
      </c>
      <c r="I27" t="s">
        <v>465</v>
      </c>
      <c r="K27" s="15">
        <v>81040.0009155273</v>
      </c>
      <c r="M27" t="str">
        <f t="shared" si="0"/>
        <v>Colombia</v>
      </c>
      <c r="N27" t="s">
        <v>305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305</v>
      </c>
      <c r="U27" s="8">
        <f t="shared" si="3"/>
        <v>-54.026667277018198</v>
      </c>
      <c r="V27">
        <v>3</v>
      </c>
      <c r="W27" t="s">
        <v>649</v>
      </c>
    </row>
    <row r="28" spans="2:23">
      <c r="B28" t="s">
        <v>591</v>
      </c>
      <c r="C28" t="s">
        <v>561</v>
      </c>
      <c r="D28">
        <v>0.1</v>
      </c>
      <c r="E28" t="s">
        <v>562</v>
      </c>
      <c r="H28">
        <v>2019</v>
      </c>
      <c r="I28" t="s">
        <v>634</v>
      </c>
      <c r="K28" s="15">
        <v>16520.000457763701</v>
      </c>
      <c r="M28" t="str">
        <f t="shared" si="0"/>
        <v>Croatia</v>
      </c>
      <c r="N28" t="s">
        <v>305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305</v>
      </c>
      <c r="U28" s="8">
        <f t="shared" si="3"/>
        <v>-11.013333638509133</v>
      </c>
      <c r="V28">
        <v>3</v>
      </c>
      <c r="W28" t="s">
        <v>649</v>
      </c>
    </row>
    <row r="29" spans="2:23">
      <c r="B29" t="s">
        <v>592</v>
      </c>
      <c r="C29" t="s">
        <v>561</v>
      </c>
      <c r="D29">
        <v>3.7499999999999999E-2</v>
      </c>
      <c r="E29" t="s">
        <v>562</v>
      </c>
      <c r="H29">
        <v>2019</v>
      </c>
      <c r="I29" t="s">
        <v>633</v>
      </c>
      <c r="K29" s="15">
        <v>7190.0000572204599</v>
      </c>
      <c r="M29" t="str">
        <f t="shared" si="0"/>
        <v>Cyprus</v>
      </c>
      <c r="N29" t="s">
        <v>305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305</v>
      </c>
      <c r="U29" s="8">
        <f t="shared" si="3"/>
        <v>-4.7933333714803066</v>
      </c>
      <c r="V29">
        <v>3</v>
      </c>
      <c r="W29" t="s">
        <v>649</v>
      </c>
    </row>
    <row r="30" spans="2:23">
      <c r="B30" t="s">
        <v>257</v>
      </c>
      <c r="C30" t="s">
        <v>561</v>
      </c>
      <c r="D30">
        <v>0.01</v>
      </c>
      <c r="E30" t="s">
        <v>562</v>
      </c>
      <c r="H30">
        <v>2019</v>
      </c>
      <c r="I30" t="s">
        <v>632</v>
      </c>
      <c r="K30" s="15">
        <v>96290.0009155273</v>
      </c>
      <c r="M30" t="str">
        <f t="shared" si="0"/>
        <v>Czech</v>
      </c>
      <c r="N30" t="s">
        <v>305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305</v>
      </c>
      <c r="U30" s="8">
        <f t="shared" si="3"/>
        <v>-64.193333943684863</v>
      </c>
      <c r="V30">
        <v>3</v>
      </c>
      <c r="W30" t="s">
        <v>649</v>
      </c>
    </row>
    <row r="31" spans="2:23">
      <c r="B31" t="s">
        <v>241</v>
      </c>
      <c r="C31" t="s">
        <v>561</v>
      </c>
      <c r="D31">
        <v>0.05</v>
      </c>
      <c r="E31" t="s">
        <v>562</v>
      </c>
      <c r="H31">
        <v>2019</v>
      </c>
      <c r="I31" t="s">
        <v>631</v>
      </c>
      <c r="K31" s="15">
        <v>29700.0007629395</v>
      </c>
      <c r="M31" t="str">
        <f t="shared" si="0"/>
        <v>Denmark</v>
      </c>
      <c r="N31" t="s">
        <v>305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305</v>
      </c>
      <c r="U31" s="8">
        <f t="shared" si="3"/>
        <v>-19.800000508626333</v>
      </c>
      <c r="V31">
        <v>3</v>
      </c>
      <c r="W31" t="s">
        <v>649</v>
      </c>
    </row>
    <row r="32" spans="2:23">
      <c r="B32" t="s">
        <v>593</v>
      </c>
      <c r="C32" t="s">
        <v>561</v>
      </c>
      <c r="D32">
        <v>0.08</v>
      </c>
      <c r="E32" t="s">
        <v>562</v>
      </c>
      <c r="H32">
        <v>2019</v>
      </c>
      <c r="I32" t="s">
        <v>630</v>
      </c>
      <c r="K32" s="15">
        <v>3210.0000381469699</v>
      </c>
      <c r="M32" t="str">
        <f t="shared" si="0"/>
        <v>DR_Congo</v>
      </c>
      <c r="N32" t="s">
        <v>305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305</v>
      </c>
      <c r="U32" s="8">
        <f t="shared" si="3"/>
        <v>-2.1400000254313132</v>
      </c>
      <c r="V32">
        <v>3</v>
      </c>
      <c r="W32" t="s">
        <v>649</v>
      </c>
    </row>
    <row r="33" spans="2:23">
      <c r="B33" t="s">
        <v>451</v>
      </c>
      <c r="C33" t="s">
        <v>561</v>
      </c>
      <c r="D33">
        <v>0.01</v>
      </c>
      <c r="E33" t="s">
        <v>562</v>
      </c>
      <c r="H33">
        <v>2019</v>
      </c>
      <c r="I33" t="s">
        <v>310</v>
      </c>
      <c r="K33" s="15">
        <v>249369.99511718799</v>
      </c>
      <c r="M33" t="str">
        <f t="shared" si="0"/>
        <v>Egypt</v>
      </c>
      <c r="N33" t="s">
        <v>305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305</v>
      </c>
      <c r="U33" s="8">
        <f t="shared" si="3"/>
        <v>-166.24666341145866</v>
      </c>
      <c r="V33">
        <v>3</v>
      </c>
      <c r="W33" t="s">
        <v>649</v>
      </c>
    </row>
    <row r="34" spans="2:23">
      <c r="B34" t="s">
        <v>594</v>
      </c>
      <c r="C34" t="s">
        <v>561</v>
      </c>
      <c r="D34">
        <v>0.08</v>
      </c>
      <c r="E34" t="s">
        <v>562</v>
      </c>
      <c r="H34">
        <v>2019</v>
      </c>
      <c r="I34" t="s">
        <v>653</v>
      </c>
      <c r="K34" s="15">
        <v>384459.99336242699</v>
      </c>
      <c r="M34" t="str">
        <f t="shared" si="0"/>
        <v>EIJLLPST</v>
      </c>
      <c r="N34" t="s">
        <v>305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305</v>
      </c>
      <c r="U34" s="8">
        <f t="shared" si="3"/>
        <v>-256.30666224161797</v>
      </c>
      <c r="V34">
        <v>3</v>
      </c>
      <c r="W34" t="s">
        <v>649</v>
      </c>
    </row>
    <row r="35" spans="2:23">
      <c r="B35" t="s">
        <v>595</v>
      </c>
      <c r="C35" t="s">
        <v>561</v>
      </c>
      <c r="D35">
        <v>0.08</v>
      </c>
      <c r="E35" t="s">
        <v>562</v>
      </c>
      <c r="H35">
        <v>2019</v>
      </c>
      <c r="I35" t="s">
        <v>629</v>
      </c>
      <c r="K35" s="15">
        <v>10180.000305175799</v>
      </c>
      <c r="M35" t="str">
        <f t="shared" si="0"/>
        <v>Estonia</v>
      </c>
      <c r="N35" t="s">
        <v>305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305</v>
      </c>
      <c r="U35" s="8">
        <f t="shared" si="3"/>
        <v>-6.786666870117199</v>
      </c>
      <c r="V35">
        <v>3</v>
      </c>
      <c r="W35" t="s">
        <v>649</v>
      </c>
    </row>
    <row r="36" spans="2:23">
      <c r="B36" t="s">
        <v>596</v>
      </c>
      <c r="C36" t="s">
        <v>561</v>
      </c>
      <c r="D36">
        <v>0.05</v>
      </c>
      <c r="E36" t="s">
        <v>562</v>
      </c>
      <c r="H36">
        <v>2019</v>
      </c>
      <c r="I36" t="s">
        <v>628</v>
      </c>
      <c r="K36" s="15">
        <v>18360.000610351599</v>
      </c>
      <c r="M36" t="str">
        <f t="shared" si="0"/>
        <v>Ethiopia</v>
      </c>
      <c r="N36" t="s">
        <v>305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305</v>
      </c>
      <c r="U36" s="8">
        <f t="shared" si="3"/>
        <v>-12.240000406901066</v>
      </c>
      <c r="V36">
        <v>3</v>
      </c>
      <c r="W36" t="s">
        <v>649</v>
      </c>
    </row>
    <row r="37" spans="2:23">
      <c r="B37" t="s">
        <v>471</v>
      </c>
      <c r="C37" t="s">
        <v>561</v>
      </c>
      <c r="D37">
        <v>3.7499999999999999E-2</v>
      </c>
      <c r="E37" t="s">
        <v>562</v>
      </c>
      <c r="H37">
        <v>2019</v>
      </c>
      <c r="I37" t="s">
        <v>627</v>
      </c>
      <c r="K37" s="15">
        <v>40709.9990844727</v>
      </c>
      <c r="M37" t="str">
        <f t="shared" si="0"/>
        <v>Finland</v>
      </c>
      <c r="N37" t="s">
        <v>305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305</v>
      </c>
      <c r="U37" s="8">
        <f t="shared" si="3"/>
        <v>-27.139999389648466</v>
      </c>
      <c r="V37">
        <v>3</v>
      </c>
      <c r="W37" t="s">
        <v>649</v>
      </c>
    </row>
    <row r="38" spans="2:23">
      <c r="B38" t="s">
        <v>461</v>
      </c>
      <c r="C38" t="s">
        <v>561</v>
      </c>
      <c r="D38">
        <v>0.05</v>
      </c>
      <c r="E38" t="s">
        <v>562</v>
      </c>
      <c r="H38">
        <v>2019</v>
      </c>
      <c r="I38" t="s">
        <v>626</v>
      </c>
      <c r="K38" s="15">
        <v>300519.98901367199</v>
      </c>
      <c r="M38" t="str">
        <f t="shared" si="0"/>
        <v>France</v>
      </c>
      <c r="N38" t="s">
        <v>305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305</v>
      </c>
      <c r="U38" s="8">
        <f t="shared" si="3"/>
        <v>-200.34665934244799</v>
      </c>
      <c r="V38">
        <v>3</v>
      </c>
      <c r="W38" t="s">
        <v>649</v>
      </c>
    </row>
    <row r="39" spans="2:23">
      <c r="B39" t="s">
        <v>597</v>
      </c>
      <c r="C39" t="s">
        <v>561</v>
      </c>
      <c r="D39">
        <v>0.01</v>
      </c>
      <c r="E39" t="s">
        <v>562</v>
      </c>
      <c r="H39">
        <v>2019</v>
      </c>
      <c r="I39" t="s">
        <v>654</v>
      </c>
      <c r="K39" s="15">
        <v>549359.98725891195</v>
      </c>
      <c r="M39" t="str">
        <f t="shared" si="0"/>
        <v>France_Benelux</v>
      </c>
      <c r="N39" t="s">
        <v>305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305</v>
      </c>
      <c r="U39" s="8">
        <f t="shared" si="3"/>
        <v>-366.2399915059413</v>
      </c>
      <c r="V39">
        <v>3</v>
      </c>
      <c r="W39" t="s">
        <v>649</v>
      </c>
    </row>
    <row r="40" spans="2:23">
      <c r="B40" t="s">
        <v>598</v>
      </c>
      <c r="C40" t="s">
        <v>561</v>
      </c>
      <c r="D40">
        <v>3.7499999999999999E-2</v>
      </c>
      <c r="E40" t="s">
        <v>562</v>
      </c>
      <c r="H40">
        <v>2019</v>
      </c>
      <c r="I40" t="s">
        <v>655</v>
      </c>
      <c r="K40" s="15">
        <v>1017650.03013611</v>
      </c>
      <c r="M40" t="str">
        <f t="shared" si="0"/>
        <v>GCC</v>
      </c>
      <c r="N40" t="s">
        <v>305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305</v>
      </c>
      <c r="U40" s="8">
        <f t="shared" si="3"/>
        <v>-678.43335342407329</v>
      </c>
      <c r="V40">
        <v>3</v>
      </c>
      <c r="W40" t="s">
        <v>649</v>
      </c>
    </row>
    <row r="41" spans="2:23">
      <c r="B41" t="s">
        <v>599</v>
      </c>
      <c r="C41" t="s">
        <v>561</v>
      </c>
      <c r="D41">
        <v>0.08</v>
      </c>
      <c r="E41" t="s">
        <v>562</v>
      </c>
      <c r="H41">
        <v>2019</v>
      </c>
      <c r="I41" t="s">
        <v>625</v>
      </c>
      <c r="K41" s="15">
        <v>10109.999656677201</v>
      </c>
      <c r="M41" t="str">
        <f t="shared" si="0"/>
        <v>Georgia</v>
      </c>
      <c r="N41" t="s">
        <v>305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305</v>
      </c>
      <c r="U41" s="8">
        <f t="shared" si="3"/>
        <v>-6.739999771118133</v>
      </c>
      <c r="V41">
        <v>3</v>
      </c>
      <c r="W41" t="s">
        <v>649</v>
      </c>
    </row>
    <row r="42" spans="2:23">
      <c r="B42" t="s">
        <v>600</v>
      </c>
      <c r="C42" t="s">
        <v>561</v>
      </c>
      <c r="D42">
        <v>0.05</v>
      </c>
      <c r="E42" t="s">
        <v>562</v>
      </c>
      <c r="H42">
        <v>2019</v>
      </c>
      <c r="I42" t="s">
        <v>624</v>
      </c>
      <c r="K42" s="15">
        <v>657400.02441406297</v>
      </c>
      <c r="M42" t="str">
        <f t="shared" si="0"/>
        <v>Germany</v>
      </c>
      <c r="N42" t="s">
        <v>305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305</v>
      </c>
      <c r="U42" s="8">
        <f t="shared" si="3"/>
        <v>-438.26668294270866</v>
      </c>
      <c r="V42">
        <v>3</v>
      </c>
      <c r="W42" t="s">
        <v>649</v>
      </c>
    </row>
    <row r="43" spans="2:23">
      <c r="B43" t="s">
        <v>601</v>
      </c>
      <c r="C43" t="s">
        <v>561</v>
      </c>
      <c r="D43">
        <v>0.08</v>
      </c>
      <c r="E43" t="s">
        <v>562</v>
      </c>
      <c r="H43">
        <v>2019</v>
      </c>
      <c r="I43" t="s">
        <v>656</v>
      </c>
      <c r="K43" s="15">
        <v>687100.02517700195</v>
      </c>
      <c r="M43" t="str">
        <f t="shared" si="0"/>
        <v>Germany_Denmark</v>
      </c>
      <c r="N43" t="s">
        <v>305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305</v>
      </c>
      <c r="U43" s="8">
        <f t="shared" si="3"/>
        <v>-458.06668345133465</v>
      </c>
      <c r="V43">
        <v>3</v>
      </c>
      <c r="W43" t="s">
        <v>649</v>
      </c>
    </row>
    <row r="44" spans="2:23">
      <c r="B44" t="s">
        <v>457</v>
      </c>
      <c r="C44" t="s">
        <v>561</v>
      </c>
      <c r="D44">
        <v>0.01</v>
      </c>
      <c r="E44" t="s">
        <v>562</v>
      </c>
      <c r="H44">
        <v>2019</v>
      </c>
      <c r="I44" t="s">
        <v>623</v>
      </c>
      <c r="K44" s="15">
        <v>20040.0009155273</v>
      </c>
      <c r="M44" t="str">
        <f t="shared" si="0"/>
        <v>Ghana</v>
      </c>
      <c r="N44" t="s">
        <v>305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305</v>
      </c>
      <c r="U44" s="8">
        <f t="shared" si="3"/>
        <v>-13.360000610351534</v>
      </c>
      <c r="V44">
        <v>3</v>
      </c>
      <c r="W44" t="s">
        <v>649</v>
      </c>
    </row>
    <row r="45" spans="2:23">
      <c r="B45" t="s">
        <v>452</v>
      </c>
      <c r="C45" t="s">
        <v>561</v>
      </c>
      <c r="D45">
        <v>0.08</v>
      </c>
      <c r="E45" t="s">
        <v>562</v>
      </c>
      <c r="H45">
        <v>2019</v>
      </c>
      <c r="I45" t="s">
        <v>657</v>
      </c>
      <c r="K45" s="15">
        <v>348920.01342773403</v>
      </c>
      <c r="M45" t="str">
        <f t="shared" si="0"/>
        <v>Great_Britain</v>
      </c>
      <c r="N45" t="s">
        <v>305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305</v>
      </c>
      <c r="U45" s="8">
        <f t="shared" si="3"/>
        <v>-232.61334228515602</v>
      </c>
      <c r="V45">
        <v>3</v>
      </c>
      <c r="W45" t="s">
        <v>649</v>
      </c>
    </row>
    <row r="46" spans="2:23">
      <c r="B46" t="s">
        <v>449</v>
      </c>
      <c r="C46" t="s">
        <v>561</v>
      </c>
      <c r="D46">
        <v>0.08</v>
      </c>
      <c r="E46" t="s">
        <v>562</v>
      </c>
      <c r="H46">
        <v>2019</v>
      </c>
      <c r="I46" t="s">
        <v>622</v>
      </c>
      <c r="K46" s="15">
        <v>60000</v>
      </c>
      <c r="M46" t="str">
        <f t="shared" si="0"/>
        <v>Greece</v>
      </c>
      <c r="N46" t="s">
        <v>305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305</v>
      </c>
      <c r="U46" s="8">
        <f t="shared" si="3"/>
        <v>-40</v>
      </c>
      <c r="V46">
        <v>3</v>
      </c>
      <c r="W46" t="s">
        <v>649</v>
      </c>
    </row>
    <row r="47" spans="2:23">
      <c r="B47" t="s">
        <v>602</v>
      </c>
      <c r="C47" t="s">
        <v>561</v>
      </c>
      <c r="D47">
        <v>0.08</v>
      </c>
      <c r="E47" t="s">
        <v>562</v>
      </c>
      <c r="H47">
        <v>2019</v>
      </c>
      <c r="I47" t="s">
        <v>621</v>
      </c>
      <c r="K47" s="15">
        <v>46380.001068115198</v>
      </c>
      <c r="M47" t="str">
        <f t="shared" si="0"/>
        <v>Hungary</v>
      </c>
      <c r="N47" t="s">
        <v>305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305</v>
      </c>
      <c r="U47" s="8">
        <f t="shared" ref="U47:U109" si="5">-K47/1000*2/3</f>
        <v>-30.920000712076799</v>
      </c>
      <c r="V47">
        <v>3</v>
      </c>
      <c r="W47" t="s">
        <v>649</v>
      </c>
    </row>
    <row r="48" spans="2:23">
      <c r="B48" t="s">
        <v>603</v>
      </c>
      <c r="C48" t="s">
        <v>561</v>
      </c>
      <c r="D48">
        <v>0.1</v>
      </c>
      <c r="E48" t="s">
        <v>562</v>
      </c>
      <c r="H48">
        <v>2019</v>
      </c>
      <c r="I48" t="s">
        <v>658</v>
      </c>
      <c r="K48" s="15">
        <v>285119.99511718698</v>
      </c>
      <c r="M48" t="str">
        <f t="shared" si="0"/>
        <v>Iberia</v>
      </c>
      <c r="N48" t="s">
        <v>305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305</v>
      </c>
      <c r="U48" s="8">
        <f t="shared" si="5"/>
        <v>-190.07999674479132</v>
      </c>
      <c r="V48">
        <v>3</v>
      </c>
      <c r="W48" t="s">
        <v>649</v>
      </c>
    </row>
    <row r="49" spans="2:23">
      <c r="B49" t="s">
        <v>467</v>
      </c>
      <c r="C49" t="s">
        <v>561</v>
      </c>
      <c r="D49">
        <v>0.08</v>
      </c>
      <c r="E49" t="s">
        <v>562</v>
      </c>
      <c r="H49">
        <v>2019</v>
      </c>
      <c r="I49" t="s">
        <v>620</v>
      </c>
      <c r="K49" s="15">
        <v>1639.99998569489</v>
      </c>
      <c r="M49" t="str">
        <f t="shared" si="0"/>
        <v>Iceland</v>
      </c>
      <c r="N49" t="s">
        <v>305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305</v>
      </c>
      <c r="U49" s="8">
        <f t="shared" si="5"/>
        <v>-1.0933333237965934</v>
      </c>
      <c r="V49">
        <v>3</v>
      </c>
      <c r="W49" t="s">
        <v>649</v>
      </c>
    </row>
    <row r="50" spans="2:23">
      <c r="B50" t="s">
        <v>604</v>
      </c>
      <c r="C50" t="s">
        <v>561</v>
      </c>
      <c r="D50">
        <v>0.05</v>
      </c>
      <c r="E50" t="s">
        <v>562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305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305</v>
      </c>
      <c r="U50" s="8">
        <f t="shared" si="5"/>
        <v>-1637.5333658854199</v>
      </c>
      <c r="V50">
        <v>3</v>
      </c>
      <c r="W50" t="s">
        <v>649</v>
      </c>
    </row>
    <row r="51" spans="2:23">
      <c r="B51" t="s">
        <v>470</v>
      </c>
      <c r="C51" t="s">
        <v>561</v>
      </c>
      <c r="D51">
        <v>0.05</v>
      </c>
      <c r="E51" t="s">
        <v>562</v>
      </c>
      <c r="H51">
        <v>2019</v>
      </c>
      <c r="I51" t="s">
        <v>659</v>
      </c>
      <c r="K51" s="15">
        <v>2456300.0488281301</v>
      </c>
      <c r="M51" t="str">
        <f t="shared" si="0"/>
        <v>India_d</v>
      </c>
      <c r="N51" t="s">
        <v>305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305</v>
      </c>
      <c r="U51" s="8">
        <f t="shared" si="5"/>
        <v>-1637.5333658854199</v>
      </c>
      <c r="V51">
        <v>3</v>
      </c>
      <c r="W51" t="s">
        <v>649</v>
      </c>
    </row>
    <row r="52" spans="2:23">
      <c r="B52" t="s">
        <v>462</v>
      </c>
      <c r="C52" t="s">
        <v>561</v>
      </c>
      <c r="D52">
        <v>0.08</v>
      </c>
      <c r="E52" t="s">
        <v>562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305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305</v>
      </c>
      <c r="U52" s="8">
        <f t="shared" si="5"/>
        <v>-413.22668457031267</v>
      </c>
      <c r="V52">
        <v>3</v>
      </c>
      <c r="W52" t="s">
        <v>649</v>
      </c>
    </row>
    <row r="53" spans="2:23">
      <c r="B53" t="s">
        <v>605</v>
      </c>
      <c r="C53" t="s">
        <v>561</v>
      </c>
      <c r="D53">
        <v>0.08</v>
      </c>
      <c r="E53" t="s">
        <v>562</v>
      </c>
      <c r="H53">
        <v>2019</v>
      </c>
      <c r="I53" t="s">
        <v>660</v>
      </c>
      <c r="K53" s="15">
        <v>2178239.9616241399</v>
      </c>
      <c r="M53" t="str">
        <f t="shared" si="0"/>
        <v>IPS_UPS</v>
      </c>
      <c r="N53" t="s">
        <v>305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305</v>
      </c>
      <c r="U53" s="8">
        <f t="shared" si="5"/>
        <v>-1452.1599744160933</v>
      </c>
      <c r="V53">
        <v>3</v>
      </c>
      <c r="W53" t="s">
        <v>649</v>
      </c>
    </row>
    <row r="54" spans="2:23">
      <c r="B54" t="s">
        <v>606</v>
      </c>
      <c r="C54" t="s">
        <v>561</v>
      </c>
      <c r="D54">
        <v>3.7499999999999999E-2</v>
      </c>
      <c r="E54" t="s">
        <v>562</v>
      </c>
      <c r="H54">
        <v>2019</v>
      </c>
      <c r="I54" t="s">
        <v>447</v>
      </c>
      <c r="K54" s="15">
        <v>630010.009765625</v>
      </c>
      <c r="M54" t="str">
        <f t="shared" si="0"/>
        <v>Iran</v>
      </c>
      <c r="N54" t="s">
        <v>305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305</v>
      </c>
      <c r="U54" s="8">
        <f t="shared" si="5"/>
        <v>-420.00667317708331</v>
      </c>
      <c r="V54">
        <v>3</v>
      </c>
      <c r="W54" t="s">
        <v>649</v>
      </c>
    </row>
    <row r="55" spans="2:23">
      <c r="B55" t="s">
        <v>607</v>
      </c>
      <c r="C55" t="s">
        <v>561</v>
      </c>
      <c r="D55">
        <v>3.7499999999999999E-2</v>
      </c>
      <c r="E55" t="s">
        <v>562</v>
      </c>
      <c r="H55">
        <v>2019</v>
      </c>
      <c r="I55" t="s">
        <v>661</v>
      </c>
      <c r="K55" s="15">
        <v>883610.01014709496</v>
      </c>
      <c r="M55" t="str">
        <f t="shared" si="0"/>
        <v>Iran_irq_tkm_arm</v>
      </c>
      <c r="N55" t="s">
        <v>305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305</v>
      </c>
      <c r="U55" s="8">
        <f t="shared" si="5"/>
        <v>-589.07334009806334</v>
      </c>
      <c r="V55">
        <v>3</v>
      </c>
      <c r="W55" t="s">
        <v>649</v>
      </c>
    </row>
    <row r="56" spans="2:23">
      <c r="B56" t="s">
        <v>240</v>
      </c>
      <c r="C56" t="s">
        <v>561</v>
      </c>
      <c r="D56">
        <v>3.5000000000000003E-2</v>
      </c>
      <c r="E56" t="s">
        <v>562</v>
      </c>
      <c r="H56">
        <v>2019</v>
      </c>
      <c r="I56" t="s">
        <v>446</v>
      </c>
      <c r="K56" s="15">
        <v>174559.99755859401</v>
      </c>
      <c r="M56" t="str">
        <f t="shared" si="0"/>
        <v>Iraq</v>
      </c>
      <c r="N56" t="s">
        <v>305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305</v>
      </c>
      <c r="U56" s="8">
        <f t="shared" si="5"/>
        <v>-116.37333170572934</v>
      </c>
      <c r="V56">
        <v>3</v>
      </c>
      <c r="W56" t="s">
        <v>649</v>
      </c>
    </row>
    <row r="57" spans="2:23">
      <c r="B57" t="s">
        <v>608</v>
      </c>
      <c r="C57" t="s">
        <v>561</v>
      </c>
      <c r="D57">
        <v>0.08</v>
      </c>
      <c r="E57" t="s">
        <v>562</v>
      </c>
      <c r="H57">
        <v>2019</v>
      </c>
      <c r="I57" t="s">
        <v>619</v>
      </c>
      <c r="K57" s="15">
        <v>35750</v>
      </c>
      <c r="M57" t="str">
        <f t="shared" si="0"/>
        <v>Ireland</v>
      </c>
      <c r="N57" t="s">
        <v>305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305</v>
      </c>
      <c r="U57" s="8">
        <f t="shared" si="5"/>
        <v>-23.833333333333332</v>
      </c>
      <c r="V57">
        <v>3</v>
      </c>
      <c r="W57" t="s">
        <v>649</v>
      </c>
    </row>
    <row r="58" spans="2:23">
      <c r="B58" t="s">
        <v>458</v>
      </c>
      <c r="C58" t="s">
        <v>561</v>
      </c>
      <c r="D58">
        <v>0.05</v>
      </c>
      <c r="E58" t="s">
        <v>562</v>
      </c>
      <c r="H58">
        <v>2019</v>
      </c>
      <c r="I58" t="s">
        <v>662</v>
      </c>
      <c r="K58" s="15">
        <v>35750</v>
      </c>
      <c r="M58" t="str">
        <f t="shared" si="0"/>
        <v>Ireland_NI</v>
      </c>
      <c r="N58" t="s">
        <v>305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305</v>
      </c>
      <c r="U58" s="8">
        <f t="shared" si="5"/>
        <v>-23.833333333333332</v>
      </c>
      <c r="V58">
        <v>3</v>
      </c>
      <c r="W58" t="s">
        <v>649</v>
      </c>
    </row>
    <row r="59" spans="2:23">
      <c r="B59" t="s">
        <v>609</v>
      </c>
      <c r="C59" t="s">
        <v>561</v>
      </c>
      <c r="D59">
        <v>3.7499999999999999E-2</v>
      </c>
      <c r="E59" t="s">
        <v>562</v>
      </c>
      <c r="H59">
        <v>2019</v>
      </c>
      <c r="I59" t="s">
        <v>618</v>
      </c>
      <c r="K59" s="15">
        <v>62650.001525878899</v>
      </c>
      <c r="M59" t="str">
        <f t="shared" si="0"/>
        <v>Israel</v>
      </c>
      <c r="N59" t="s">
        <v>305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305</v>
      </c>
      <c r="U59" s="8">
        <f t="shared" si="5"/>
        <v>-41.766667683919266</v>
      </c>
      <c r="V59">
        <v>3</v>
      </c>
      <c r="W59" t="s">
        <v>649</v>
      </c>
    </row>
    <row r="60" spans="2:23">
      <c r="B60" t="s">
        <v>610</v>
      </c>
      <c r="C60" t="s">
        <v>561</v>
      </c>
      <c r="D60">
        <v>0.08</v>
      </c>
      <c r="E60" t="s">
        <v>562</v>
      </c>
      <c r="H60">
        <v>2019</v>
      </c>
      <c r="I60" t="s">
        <v>617</v>
      </c>
      <c r="K60" s="15">
        <v>317239.990234375</v>
      </c>
      <c r="M60" t="str">
        <f t="shared" si="0"/>
        <v>Italy</v>
      </c>
      <c r="N60" t="s">
        <v>305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305</v>
      </c>
      <c r="U60" s="8">
        <f t="shared" si="5"/>
        <v>-211.49332682291666</v>
      </c>
      <c r="V60">
        <v>3</v>
      </c>
      <c r="W60" t="s">
        <v>649</v>
      </c>
    </row>
    <row r="61" spans="2:23">
      <c r="B61" t="s">
        <v>611</v>
      </c>
      <c r="C61" t="s">
        <v>561</v>
      </c>
      <c r="D61">
        <v>0.08</v>
      </c>
      <c r="E61" t="s">
        <v>562</v>
      </c>
      <c r="H61">
        <v>2019</v>
      </c>
      <c r="I61" t="s">
        <v>663</v>
      </c>
      <c r="K61" s="15">
        <v>318899.99020099599</v>
      </c>
      <c r="M61" t="str">
        <f t="shared" si="0"/>
        <v>Italy_d</v>
      </c>
      <c r="N61" t="s">
        <v>305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305</v>
      </c>
      <c r="U61" s="8">
        <f t="shared" si="5"/>
        <v>-212.59999346733068</v>
      </c>
      <c r="V61">
        <v>3</v>
      </c>
      <c r="W61" t="s">
        <v>649</v>
      </c>
    </row>
    <row r="62" spans="2:23">
      <c r="B62" t="s">
        <v>455</v>
      </c>
      <c r="C62" t="s">
        <v>561</v>
      </c>
      <c r="D62">
        <v>0.08</v>
      </c>
      <c r="E62" t="s">
        <v>562</v>
      </c>
      <c r="H62">
        <v>2019</v>
      </c>
      <c r="I62" t="s">
        <v>616</v>
      </c>
      <c r="K62" s="15">
        <v>10829.9999237061</v>
      </c>
      <c r="M62" t="str">
        <f t="shared" si="0"/>
        <v>IvoryCoast</v>
      </c>
      <c r="N62" t="s">
        <v>305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305</v>
      </c>
      <c r="U62" s="8">
        <f t="shared" si="5"/>
        <v>-7.2199999491374003</v>
      </c>
      <c r="V62">
        <v>3</v>
      </c>
      <c r="W62" t="s">
        <v>649</v>
      </c>
    </row>
    <row r="63" spans="2:23">
      <c r="B63" t="s">
        <v>612</v>
      </c>
      <c r="C63" t="s">
        <v>561</v>
      </c>
      <c r="D63">
        <v>0.08</v>
      </c>
      <c r="E63" t="s">
        <v>562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305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305</v>
      </c>
      <c r="U63" s="8">
        <f t="shared" si="5"/>
        <v>-721.04663085937329</v>
      </c>
      <c r="V63">
        <v>3</v>
      </c>
      <c r="W63" t="s">
        <v>649</v>
      </c>
    </row>
    <row r="64" spans="2:23">
      <c r="B64" t="s">
        <v>613</v>
      </c>
      <c r="C64" t="s">
        <v>561</v>
      </c>
      <c r="D64">
        <v>3.7499999999999999E-2</v>
      </c>
      <c r="E64" t="s">
        <v>562</v>
      </c>
      <c r="H64">
        <v>2019</v>
      </c>
      <c r="I64" t="s">
        <v>450</v>
      </c>
      <c r="K64" s="15">
        <v>212110.000610352</v>
      </c>
      <c r="M64" t="str">
        <f t="shared" si="0"/>
        <v>Kazakhstan</v>
      </c>
      <c r="N64" t="s">
        <v>305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305</v>
      </c>
      <c r="U64" s="8">
        <f t="shared" si="5"/>
        <v>-141.406667073568</v>
      </c>
      <c r="V64">
        <v>3</v>
      </c>
      <c r="W64" t="s">
        <v>649</v>
      </c>
    </row>
    <row r="65" spans="2:23">
      <c r="B65" t="s">
        <v>448</v>
      </c>
      <c r="C65" t="s">
        <v>561</v>
      </c>
      <c r="D65">
        <v>0.01</v>
      </c>
      <c r="E65" t="s">
        <v>562</v>
      </c>
      <c r="H65">
        <v>2019</v>
      </c>
      <c r="I65" t="s">
        <v>615</v>
      </c>
      <c r="K65" s="15">
        <v>22280.000686645501</v>
      </c>
      <c r="M65" t="str">
        <f t="shared" si="0"/>
        <v>Kenya</v>
      </c>
      <c r="N65" t="s">
        <v>305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305</v>
      </c>
      <c r="U65" s="8">
        <f t="shared" si="5"/>
        <v>-14.853333791097</v>
      </c>
      <c r="V65">
        <v>3</v>
      </c>
      <c r="W65" t="s">
        <v>649</v>
      </c>
    </row>
    <row r="66" spans="2:23">
      <c r="B66" t="s">
        <v>614</v>
      </c>
      <c r="C66" t="s">
        <v>561</v>
      </c>
      <c r="D66">
        <v>3.7499999999999999E-2</v>
      </c>
      <c r="E66" t="s">
        <v>562</v>
      </c>
      <c r="H66">
        <v>2019</v>
      </c>
      <c r="I66" t="s">
        <v>448</v>
      </c>
      <c r="K66" s="15">
        <v>92650.001525878906</v>
      </c>
      <c r="M66" t="str">
        <f t="shared" si="0"/>
        <v>Kuwait</v>
      </c>
      <c r="N66" t="s">
        <v>305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305</v>
      </c>
      <c r="U66" s="8">
        <f t="shared" si="5"/>
        <v>-61.766667683919273</v>
      </c>
      <c r="V66">
        <v>3</v>
      </c>
      <c r="W66" t="s">
        <v>649</v>
      </c>
    </row>
    <row r="67" spans="2:23">
      <c r="B67" t="s">
        <v>615</v>
      </c>
      <c r="C67" t="s">
        <v>561</v>
      </c>
      <c r="D67">
        <v>0.08</v>
      </c>
      <c r="E67" t="s">
        <v>562</v>
      </c>
      <c r="H67">
        <v>2019</v>
      </c>
      <c r="I67" t="s">
        <v>613</v>
      </c>
      <c r="K67" s="15">
        <v>10050.0001907349</v>
      </c>
      <c r="M67" t="str">
        <f t="shared" si="0"/>
        <v>Kyrgyzstan</v>
      </c>
      <c r="N67" t="s">
        <v>305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305</v>
      </c>
      <c r="U67" s="8">
        <f t="shared" si="5"/>
        <v>-6.7000001271565992</v>
      </c>
      <c r="V67">
        <v>3</v>
      </c>
      <c r="W67" t="s">
        <v>649</v>
      </c>
    </row>
    <row r="68" spans="2:23">
      <c r="B68" t="s">
        <v>450</v>
      </c>
      <c r="C68" t="s">
        <v>561</v>
      </c>
      <c r="D68">
        <v>3.7499999999999999E-2</v>
      </c>
      <c r="E68" t="s">
        <v>562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305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305</v>
      </c>
      <c r="U68" s="8">
        <f t="shared" si="5"/>
        <v>-785.81332966685329</v>
      </c>
      <c r="V68">
        <v>3</v>
      </c>
      <c r="W68" t="s">
        <v>649</v>
      </c>
    </row>
    <row r="69" spans="2:23">
      <c r="B69" t="s">
        <v>255</v>
      </c>
      <c r="C69" t="s">
        <v>561</v>
      </c>
      <c r="D69">
        <v>0.1</v>
      </c>
      <c r="E69" t="s">
        <v>562</v>
      </c>
      <c r="H69">
        <v>2019</v>
      </c>
      <c r="I69" t="s">
        <v>612</v>
      </c>
      <c r="K69" s="15">
        <v>7570.0001716613797</v>
      </c>
      <c r="M69" t="str">
        <f t="shared" si="6"/>
        <v>Latvia</v>
      </c>
      <c r="N69" t="s">
        <v>305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305</v>
      </c>
      <c r="U69" s="8">
        <f t="shared" si="5"/>
        <v>-5.0466667811075867</v>
      </c>
      <c r="V69">
        <v>3</v>
      </c>
      <c r="W69" t="s">
        <v>649</v>
      </c>
    </row>
    <row r="70" spans="2:23">
      <c r="B70" t="s">
        <v>616</v>
      </c>
      <c r="C70" t="s">
        <v>561</v>
      </c>
      <c r="D70">
        <v>0.08</v>
      </c>
      <c r="E70" t="s">
        <v>562</v>
      </c>
      <c r="H70">
        <v>2019</v>
      </c>
      <c r="I70" t="s">
        <v>455</v>
      </c>
      <c r="K70" s="15">
        <v>56799.999237060503</v>
      </c>
      <c r="M70" t="str">
        <f t="shared" si="6"/>
        <v>Libya</v>
      </c>
      <c r="N70" t="s">
        <v>305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305</v>
      </c>
      <c r="U70" s="8">
        <f t="shared" si="5"/>
        <v>-37.866666158040339</v>
      </c>
      <c r="V70">
        <v>3</v>
      </c>
      <c r="W70" t="s">
        <v>649</v>
      </c>
    </row>
    <row r="71" spans="2:23">
      <c r="B71" t="s">
        <v>617</v>
      </c>
      <c r="C71" t="s">
        <v>561</v>
      </c>
      <c r="D71">
        <v>0.08</v>
      </c>
      <c r="E71" t="s">
        <v>562</v>
      </c>
      <c r="H71">
        <v>2019</v>
      </c>
      <c r="I71" t="s">
        <v>611</v>
      </c>
      <c r="K71" s="15">
        <v>11729.999542236301</v>
      </c>
      <c r="M71" t="str">
        <f t="shared" si="6"/>
        <v>Lithuania</v>
      </c>
      <c r="N71" t="s">
        <v>305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305</v>
      </c>
      <c r="U71" s="8">
        <f t="shared" si="5"/>
        <v>-7.819999694824201</v>
      </c>
      <c r="V71">
        <v>3</v>
      </c>
      <c r="W71" t="s">
        <v>649</v>
      </c>
    </row>
    <row r="72" spans="2:23">
      <c r="B72" t="s">
        <v>618</v>
      </c>
      <c r="C72" t="s">
        <v>561</v>
      </c>
      <c r="D72">
        <v>0.01</v>
      </c>
      <c r="E72" t="s">
        <v>562</v>
      </c>
      <c r="H72">
        <v>2019</v>
      </c>
      <c r="I72" t="s">
        <v>610</v>
      </c>
      <c r="K72" s="15">
        <v>9489.9997711181604</v>
      </c>
      <c r="M72" t="str">
        <f t="shared" si="6"/>
        <v>Luxembourg</v>
      </c>
      <c r="N72" t="s">
        <v>305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305</v>
      </c>
      <c r="U72" s="8">
        <f t="shared" si="5"/>
        <v>-6.3266665140787737</v>
      </c>
      <c r="V72">
        <v>3</v>
      </c>
      <c r="W72" t="s">
        <v>649</v>
      </c>
    </row>
    <row r="73" spans="2:23">
      <c r="B73" t="s">
        <v>619</v>
      </c>
      <c r="C73" t="s">
        <v>561</v>
      </c>
      <c r="D73">
        <v>0.08</v>
      </c>
      <c r="E73" t="s">
        <v>562</v>
      </c>
      <c r="H73">
        <v>2019</v>
      </c>
      <c r="I73" t="s">
        <v>609</v>
      </c>
      <c r="K73" s="15">
        <v>8300.0001907348596</v>
      </c>
      <c r="M73" t="str">
        <f t="shared" si="6"/>
        <v>Macedonia</v>
      </c>
      <c r="N73" t="s">
        <v>305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305</v>
      </c>
      <c r="U73" s="8">
        <f t="shared" si="5"/>
        <v>-5.5333334604899065</v>
      </c>
      <c r="V73">
        <v>3</v>
      </c>
      <c r="W73" t="s">
        <v>649</v>
      </c>
    </row>
    <row r="74" spans="2:23">
      <c r="B74" t="s">
        <v>446</v>
      </c>
      <c r="C74" t="s">
        <v>561</v>
      </c>
      <c r="D74">
        <v>0.01</v>
      </c>
      <c r="E74" t="s">
        <v>562</v>
      </c>
      <c r="H74">
        <v>2019</v>
      </c>
      <c r="I74" t="s">
        <v>458</v>
      </c>
      <c r="K74" s="15">
        <v>253270.004272461</v>
      </c>
      <c r="M74" t="str">
        <f t="shared" si="6"/>
        <v>Malaysia</v>
      </c>
      <c r="N74" t="s">
        <v>305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305</v>
      </c>
      <c r="U74" s="8">
        <f t="shared" si="5"/>
        <v>-168.846669514974</v>
      </c>
      <c r="V74">
        <v>3</v>
      </c>
      <c r="W74" t="s">
        <v>649</v>
      </c>
    </row>
    <row r="75" spans="2:23">
      <c r="B75" t="s">
        <v>447</v>
      </c>
      <c r="C75" t="s">
        <v>561</v>
      </c>
      <c r="D75">
        <v>0.01</v>
      </c>
      <c r="E75" t="s">
        <v>562</v>
      </c>
      <c r="H75">
        <v>2019</v>
      </c>
      <c r="I75" t="s">
        <v>608</v>
      </c>
      <c r="K75" s="15">
        <v>1659.9999666214001</v>
      </c>
      <c r="M75" t="str">
        <f t="shared" si="6"/>
        <v>Malta</v>
      </c>
      <c r="N75" t="s">
        <v>305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305</v>
      </c>
      <c r="U75" s="8">
        <f t="shared" si="5"/>
        <v>-1.1066666444142668</v>
      </c>
      <c r="V75">
        <v>3</v>
      </c>
      <c r="W75" t="s">
        <v>649</v>
      </c>
    </row>
    <row r="76" spans="2:23">
      <c r="B76" t="s">
        <v>254</v>
      </c>
      <c r="C76" t="s">
        <v>561</v>
      </c>
      <c r="D76">
        <v>0.05</v>
      </c>
      <c r="E76" t="s">
        <v>562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305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305</v>
      </c>
      <c r="U76" s="8">
        <f t="shared" si="5"/>
        <v>-299.51332600911468</v>
      </c>
      <c r="V76">
        <v>3</v>
      </c>
      <c r="W76" t="s">
        <v>649</v>
      </c>
    </row>
    <row r="77" spans="2:23">
      <c r="B77" t="s">
        <v>239</v>
      </c>
      <c r="C77" t="s">
        <v>561</v>
      </c>
      <c r="D77">
        <v>0.08</v>
      </c>
      <c r="E77" t="s">
        <v>562</v>
      </c>
      <c r="H77">
        <v>2019</v>
      </c>
      <c r="I77" t="s">
        <v>490</v>
      </c>
      <c r="K77" s="15">
        <v>20620.000839233398</v>
      </c>
      <c r="M77" t="str">
        <f t="shared" si="6"/>
        <v>MidEast_Naf</v>
      </c>
      <c r="N77" t="s">
        <v>305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305</v>
      </c>
      <c r="U77" s="8">
        <f t="shared" si="5"/>
        <v>-13.7466672261556</v>
      </c>
      <c r="V77">
        <v>3</v>
      </c>
      <c r="W77" t="s">
        <v>649</v>
      </c>
    </row>
    <row r="78" spans="2:23">
      <c r="B78" t="s">
        <v>620</v>
      </c>
      <c r="C78" t="s">
        <v>561</v>
      </c>
      <c r="D78">
        <v>0.08</v>
      </c>
      <c r="E78" t="s">
        <v>562</v>
      </c>
      <c r="H78">
        <v>2019</v>
      </c>
      <c r="I78" t="s">
        <v>607</v>
      </c>
      <c r="K78" s="15">
        <v>8859.9996566772497</v>
      </c>
      <c r="M78" t="str">
        <f t="shared" si="6"/>
        <v>Moldova</v>
      </c>
      <c r="N78" t="s">
        <v>305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305</v>
      </c>
      <c r="U78" s="8">
        <f t="shared" si="5"/>
        <v>-5.9066664377848328</v>
      </c>
      <c r="V78">
        <v>3</v>
      </c>
      <c r="W78" t="s">
        <v>649</v>
      </c>
    </row>
    <row r="79" spans="2:23">
      <c r="B79" t="s">
        <v>621</v>
      </c>
      <c r="C79" t="s">
        <v>561</v>
      </c>
      <c r="D79">
        <v>0.08</v>
      </c>
      <c r="E79" t="s">
        <v>562</v>
      </c>
      <c r="H79">
        <v>2019</v>
      </c>
      <c r="I79" t="s">
        <v>664</v>
      </c>
      <c r="K79" s="15">
        <v>8859.9996566772497</v>
      </c>
      <c r="M79" t="str">
        <f t="shared" si="6"/>
        <v>Moldova_d</v>
      </c>
      <c r="N79" t="s">
        <v>305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305</v>
      </c>
      <c r="U79" s="8">
        <f t="shared" si="5"/>
        <v>-5.9066664377848328</v>
      </c>
      <c r="V79">
        <v>3</v>
      </c>
      <c r="W79" t="s">
        <v>649</v>
      </c>
    </row>
    <row r="80" spans="2:23">
      <c r="B80" t="s">
        <v>622</v>
      </c>
      <c r="C80" t="s">
        <v>561</v>
      </c>
      <c r="D80">
        <v>0.08</v>
      </c>
      <c r="E80" t="s">
        <v>562</v>
      </c>
      <c r="H80">
        <v>2019</v>
      </c>
      <c r="I80" t="s">
        <v>606</v>
      </c>
      <c r="K80" s="15">
        <v>2599.9999046325702</v>
      </c>
      <c r="M80" t="str">
        <f t="shared" si="6"/>
        <v>Montenegro</v>
      </c>
      <c r="N80" t="s">
        <v>305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305</v>
      </c>
      <c r="U80" s="8">
        <f t="shared" si="5"/>
        <v>-1.7333332697550468</v>
      </c>
      <c r="V80">
        <v>3</v>
      </c>
      <c r="W80" t="s">
        <v>649</v>
      </c>
    </row>
    <row r="81" spans="2:23">
      <c r="B81" t="s">
        <v>623</v>
      </c>
      <c r="C81" t="s">
        <v>561</v>
      </c>
      <c r="D81">
        <v>0.08</v>
      </c>
      <c r="E81" t="s">
        <v>562</v>
      </c>
      <c r="H81">
        <v>2019</v>
      </c>
      <c r="I81" t="s">
        <v>605</v>
      </c>
      <c r="K81" s="15">
        <v>71480.003356933594</v>
      </c>
      <c r="M81" t="str">
        <f t="shared" si="6"/>
        <v>Morocco</v>
      </c>
      <c r="N81" t="s">
        <v>305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305</v>
      </c>
      <c r="U81" s="8">
        <f t="shared" si="5"/>
        <v>-47.653335571289063</v>
      </c>
      <c r="V81">
        <v>3</v>
      </c>
      <c r="W81" t="s">
        <v>649</v>
      </c>
    </row>
    <row r="82" spans="2:23">
      <c r="B82" t="s">
        <v>624</v>
      </c>
      <c r="C82" t="s">
        <v>561</v>
      </c>
      <c r="D82">
        <v>0.08</v>
      </c>
      <c r="E82" t="s">
        <v>562</v>
      </c>
      <c r="H82">
        <v>2019</v>
      </c>
      <c r="I82" t="s">
        <v>462</v>
      </c>
      <c r="K82" s="15">
        <v>7500</v>
      </c>
      <c r="M82" t="str">
        <f t="shared" si="6"/>
        <v>Mozambique</v>
      </c>
      <c r="N82" t="s">
        <v>305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305</v>
      </c>
      <c r="U82" s="8">
        <f t="shared" si="5"/>
        <v>-5</v>
      </c>
      <c r="V82">
        <v>3</v>
      </c>
      <c r="W82" t="s">
        <v>649</v>
      </c>
    </row>
    <row r="83" spans="2:23">
      <c r="B83" t="s">
        <v>625</v>
      </c>
      <c r="C83" t="s">
        <v>561</v>
      </c>
      <c r="D83">
        <v>3.7499999999999999E-2</v>
      </c>
      <c r="E83" t="s">
        <v>562</v>
      </c>
      <c r="H83">
        <v>2019</v>
      </c>
      <c r="I83" t="s">
        <v>470</v>
      </c>
      <c r="K83" s="15">
        <v>36720.001220703103</v>
      </c>
      <c r="M83" t="str">
        <f t="shared" si="6"/>
        <v>Myanmar</v>
      </c>
      <c r="N83" t="s">
        <v>305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305</v>
      </c>
      <c r="U83" s="8">
        <f t="shared" si="5"/>
        <v>-24.480000813802068</v>
      </c>
      <c r="V83">
        <v>3</v>
      </c>
      <c r="W83" t="s">
        <v>649</v>
      </c>
    </row>
    <row r="84" spans="2:23">
      <c r="B84" t="s">
        <v>626</v>
      </c>
      <c r="C84" t="s">
        <v>561</v>
      </c>
      <c r="D84">
        <v>0.08</v>
      </c>
      <c r="E84" t="s">
        <v>562</v>
      </c>
      <c r="H84">
        <v>2019</v>
      </c>
      <c r="I84" t="s">
        <v>604</v>
      </c>
      <c r="K84" s="15">
        <v>13449.9998092651</v>
      </c>
      <c r="M84" t="str">
        <f t="shared" si="6"/>
        <v>Nepal</v>
      </c>
      <c r="N84" t="s">
        <v>305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305</v>
      </c>
      <c r="U84" s="8">
        <f t="shared" si="5"/>
        <v>-8.9666665395100669</v>
      </c>
      <c r="V84">
        <v>3</v>
      </c>
      <c r="W84" t="s">
        <v>649</v>
      </c>
    </row>
    <row r="85" spans="2:23">
      <c r="B85" t="s">
        <v>627</v>
      </c>
      <c r="C85" t="s">
        <v>561</v>
      </c>
      <c r="D85">
        <v>0.08</v>
      </c>
      <c r="E85" t="s">
        <v>562</v>
      </c>
      <c r="H85">
        <v>2019</v>
      </c>
      <c r="I85" t="s">
        <v>467</v>
      </c>
      <c r="K85" s="15">
        <v>146339.996337891</v>
      </c>
      <c r="M85" t="str">
        <f t="shared" si="6"/>
        <v>Netherlands</v>
      </c>
      <c r="N85" t="s">
        <v>305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305</v>
      </c>
      <c r="U85" s="8">
        <f t="shared" si="5"/>
        <v>-97.559997558593992</v>
      </c>
      <c r="V85">
        <v>3</v>
      </c>
      <c r="W85" t="s">
        <v>649</v>
      </c>
    </row>
    <row r="86" spans="2:23">
      <c r="B86" t="s">
        <v>628</v>
      </c>
      <c r="C86" t="s">
        <v>561</v>
      </c>
      <c r="D86">
        <v>0.08</v>
      </c>
      <c r="E86" t="s">
        <v>562</v>
      </c>
      <c r="H86">
        <v>2019</v>
      </c>
      <c r="I86" t="s">
        <v>603</v>
      </c>
      <c r="K86" s="15">
        <v>34009.998321533203</v>
      </c>
      <c r="M86" t="str">
        <f t="shared" si="6"/>
        <v>NewZealand</v>
      </c>
      <c r="N86" t="s">
        <v>305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305</v>
      </c>
      <c r="U86" s="8">
        <f t="shared" si="5"/>
        <v>-22.673332214355469</v>
      </c>
      <c r="V86">
        <v>3</v>
      </c>
      <c r="W86" t="s">
        <v>649</v>
      </c>
    </row>
    <row r="87" spans="2:23">
      <c r="B87" t="s">
        <v>629</v>
      </c>
      <c r="C87" t="s">
        <v>561</v>
      </c>
      <c r="D87">
        <v>0.08</v>
      </c>
      <c r="E87" t="s">
        <v>562</v>
      </c>
      <c r="H87">
        <v>2019</v>
      </c>
      <c r="I87" t="s">
        <v>602</v>
      </c>
      <c r="K87" s="15">
        <v>2150.0000953674298</v>
      </c>
      <c r="M87" t="str">
        <f t="shared" si="6"/>
        <v>Niger</v>
      </c>
      <c r="N87" t="s">
        <v>305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305</v>
      </c>
      <c r="U87" s="8">
        <f t="shared" si="5"/>
        <v>-1.43333339691162</v>
      </c>
      <c r="V87">
        <v>3</v>
      </c>
      <c r="W87" t="s">
        <v>649</v>
      </c>
    </row>
    <row r="88" spans="2:23">
      <c r="B88" t="s">
        <v>310</v>
      </c>
      <c r="C88" t="s">
        <v>561</v>
      </c>
      <c r="D88">
        <v>0.08</v>
      </c>
      <c r="E88" t="s">
        <v>562</v>
      </c>
      <c r="H88">
        <v>2019</v>
      </c>
      <c r="I88" t="s">
        <v>449</v>
      </c>
      <c r="K88" s="15">
        <v>115279.99877929701</v>
      </c>
      <c r="M88" t="str">
        <f t="shared" si="6"/>
        <v>Nigeria</v>
      </c>
      <c r="N88" t="s">
        <v>305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305</v>
      </c>
      <c r="U88" s="8">
        <f t="shared" si="5"/>
        <v>-76.853332519531335</v>
      </c>
      <c r="V88">
        <v>3</v>
      </c>
      <c r="W88" t="s">
        <v>649</v>
      </c>
    </row>
    <row r="89" spans="2:23">
      <c r="B89" t="s">
        <v>630</v>
      </c>
      <c r="C89" t="s">
        <v>561</v>
      </c>
      <c r="D89">
        <v>0.08</v>
      </c>
      <c r="E89" t="s">
        <v>562</v>
      </c>
      <c r="H89">
        <v>2019</v>
      </c>
      <c r="I89" t="s">
        <v>574</v>
      </c>
      <c r="K89" s="15">
        <v>5847200.22583008</v>
      </c>
      <c r="M89" t="str">
        <f t="shared" si="6"/>
        <v>NorthAm</v>
      </c>
      <c r="N89" t="s">
        <v>305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305</v>
      </c>
      <c r="U89" s="8">
        <f t="shared" si="5"/>
        <v>-3898.1334838867201</v>
      </c>
      <c r="V89">
        <v>3</v>
      </c>
      <c r="W89" t="s">
        <v>649</v>
      </c>
    </row>
    <row r="90" spans="2:23">
      <c r="B90" t="s">
        <v>631</v>
      </c>
      <c r="C90" t="s">
        <v>561</v>
      </c>
      <c r="D90">
        <v>0.08</v>
      </c>
      <c r="E90" t="s">
        <v>562</v>
      </c>
      <c r="H90">
        <v>2019</v>
      </c>
      <c r="I90" t="s">
        <v>665</v>
      </c>
      <c r="K90" s="15">
        <v>272640.00320434599</v>
      </c>
      <c r="M90" t="str">
        <f t="shared" si="6"/>
        <v>Northwest_Africa</v>
      </c>
      <c r="N90" t="s">
        <v>305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305</v>
      </c>
      <c r="U90" s="8">
        <f t="shared" si="5"/>
        <v>-181.76000213623067</v>
      </c>
      <c r="V90">
        <v>3</v>
      </c>
      <c r="W90" t="s">
        <v>649</v>
      </c>
    </row>
    <row r="91" spans="2:23">
      <c r="B91" t="s">
        <v>632</v>
      </c>
      <c r="C91" t="s">
        <v>561</v>
      </c>
      <c r="D91">
        <v>0.08</v>
      </c>
      <c r="E91" t="s">
        <v>562</v>
      </c>
      <c r="H91">
        <v>2019</v>
      </c>
      <c r="I91" t="s">
        <v>452</v>
      </c>
      <c r="K91" s="15">
        <v>35950.000762939497</v>
      </c>
      <c r="M91" t="str">
        <f t="shared" si="6"/>
        <v>Norway</v>
      </c>
      <c r="N91" t="s">
        <v>305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305</v>
      </c>
      <c r="U91" s="8">
        <f t="shared" si="5"/>
        <v>-23.966667175292997</v>
      </c>
      <c r="V91">
        <v>3</v>
      </c>
      <c r="W91" t="s">
        <v>649</v>
      </c>
    </row>
    <row r="92" spans="2:23">
      <c r="B92" t="s">
        <v>633</v>
      </c>
      <c r="C92" t="s">
        <v>561</v>
      </c>
      <c r="D92">
        <v>0.08</v>
      </c>
      <c r="E92" t="s">
        <v>562</v>
      </c>
      <c r="H92">
        <v>2019</v>
      </c>
      <c r="I92" t="s">
        <v>666</v>
      </c>
      <c r="K92" s="15">
        <v>37590.000748634397</v>
      </c>
      <c r="M92" t="str">
        <f t="shared" si="6"/>
        <v>Norway_Iceland</v>
      </c>
      <c r="N92" t="s">
        <v>305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305</v>
      </c>
      <c r="U92" s="8">
        <f t="shared" si="5"/>
        <v>-25.060000499089597</v>
      </c>
      <c r="V92">
        <v>3</v>
      </c>
      <c r="W92" t="s">
        <v>649</v>
      </c>
    </row>
    <row r="93" spans="2:23">
      <c r="B93" t="s">
        <v>634</v>
      </c>
      <c r="C93" t="s">
        <v>561</v>
      </c>
      <c r="D93">
        <v>0.08</v>
      </c>
      <c r="E93" t="s">
        <v>562</v>
      </c>
      <c r="H93">
        <v>2019</v>
      </c>
      <c r="I93" t="s">
        <v>457</v>
      </c>
      <c r="K93" s="15">
        <v>76029.998779296904</v>
      </c>
      <c r="M93" t="str">
        <f t="shared" si="6"/>
        <v>Oman</v>
      </c>
      <c r="N93" t="s">
        <v>305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305</v>
      </c>
      <c r="U93" s="8">
        <f t="shared" si="5"/>
        <v>-50.6866658528646</v>
      </c>
      <c r="V93">
        <v>3</v>
      </c>
      <c r="W93" t="s">
        <v>649</v>
      </c>
    </row>
    <row r="94" spans="2:23">
      <c r="B94" t="s">
        <v>465</v>
      </c>
      <c r="C94" t="s">
        <v>561</v>
      </c>
      <c r="D94">
        <v>3.7499999999999999E-2</v>
      </c>
      <c r="E94" t="s">
        <v>562</v>
      </c>
      <c r="H94">
        <v>2019</v>
      </c>
      <c r="I94" t="s">
        <v>601</v>
      </c>
      <c r="K94" s="15">
        <v>111010.000243783</v>
      </c>
      <c r="M94" t="str">
        <f t="shared" si="6"/>
        <v>Other_Africa</v>
      </c>
      <c r="N94" t="s">
        <v>305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305</v>
      </c>
      <c r="U94" s="8">
        <f t="shared" si="5"/>
        <v>-74.00666682918866</v>
      </c>
      <c r="V94">
        <v>3</v>
      </c>
      <c r="W94" t="s">
        <v>649</v>
      </c>
    </row>
    <row r="95" spans="2:23">
      <c r="B95" t="s">
        <v>238</v>
      </c>
      <c r="C95" t="s">
        <v>561</v>
      </c>
      <c r="D95">
        <v>0.04</v>
      </c>
      <c r="E95" t="s">
        <v>562</v>
      </c>
      <c r="H95">
        <v>2019</v>
      </c>
      <c r="I95" t="s">
        <v>600</v>
      </c>
      <c r="K95" s="15">
        <v>165020.00018023001</v>
      </c>
      <c r="M95" t="str">
        <f t="shared" si="6"/>
        <v>Other_AsiaEm</v>
      </c>
      <c r="N95" t="s">
        <v>305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305</v>
      </c>
      <c r="U95" s="8">
        <f t="shared" si="5"/>
        <v>-110.01333345348667</v>
      </c>
      <c r="V95">
        <v>3</v>
      </c>
      <c r="W95" t="s">
        <v>649</v>
      </c>
    </row>
    <row r="96" spans="2:23">
      <c r="B96" t="s">
        <v>635</v>
      </c>
      <c r="C96" t="s">
        <v>561</v>
      </c>
      <c r="D96">
        <v>3.7499999999999999E-2</v>
      </c>
      <c r="E96" t="s">
        <v>562</v>
      </c>
      <c r="H96">
        <v>2019</v>
      </c>
      <c r="I96" t="s">
        <v>599</v>
      </c>
      <c r="K96" s="15">
        <v>650.00000596046402</v>
      </c>
      <c r="M96" t="str">
        <f t="shared" si="6"/>
        <v>Other_EurDev</v>
      </c>
      <c r="N96" t="s">
        <v>305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305</v>
      </c>
      <c r="U96" s="8">
        <f t="shared" si="5"/>
        <v>-0.43333333730697604</v>
      </c>
      <c r="V96">
        <v>3</v>
      </c>
      <c r="W96" t="s">
        <v>649</v>
      </c>
    </row>
    <row r="97" spans="2:23">
      <c r="B97" t="s">
        <v>237</v>
      </c>
      <c r="C97" t="s">
        <v>561</v>
      </c>
      <c r="D97">
        <v>3.5000000000000003E-2</v>
      </c>
      <c r="E97" t="s">
        <v>562</v>
      </c>
      <c r="H97">
        <v>2019</v>
      </c>
      <c r="I97" t="s">
        <v>598</v>
      </c>
      <c r="K97" s="15">
        <v>234820.00060379499</v>
      </c>
      <c r="M97" t="str">
        <f t="shared" si="6"/>
        <v>Other_LatAm</v>
      </c>
      <c r="N97" t="s">
        <v>305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305</v>
      </c>
      <c r="U97" s="8">
        <f t="shared" si="5"/>
        <v>-156.54666706919667</v>
      </c>
      <c r="V97">
        <v>3</v>
      </c>
      <c r="W97" t="s">
        <v>649</v>
      </c>
    </row>
    <row r="98" spans="2:23">
      <c r="B98" t="s">
        <v>565</v>
      </c>
      <c r="C98" t="s">
        <v>561</v>
      </c>
      <c r="D98">
        <v>0.08</v>
      </c>
      <c r="E98" t="s">
        <v>562</v>
      </c>
      <c r="H98">
        <v>2019</v>
      </c>
      <c r="I98" t="s">
        <v>597</v>
      </c>
      <c r="K98" s="15">
        <v>111549.997329712</v>
      </c>
      <c r="M98" t="str">
        <f t="shared" si="6"/>
        <v>Other_MidEast</v>
      </c>
      <c r="N98" t="s">
        <v>305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305</v>
      </c>
      <c r="U98" s="8">
        <f t="shared" si="5"/>
        <v>-74.366664886474666</v>
      </c>
      <c r="V98">
        <v>3</v>
      </c>
      <c r="W98" t="s">
        <v>649</v>
      </c>
    </row>
    <row r="99" spans="2:23">
      <c r="B99" t="s">
        <v>636</v>
      </c>
      <c r="C99" t="s">
        <v>561</v>
      </c>
      <c r="D99">
        <v>0.08</v>
      </c>
      <c r="E99" t="s">
        <v>562</v>
      </c>
      <c r="H99">
        <v>2019</v>
      </c>
      <c r="I99" t="s">
        <v>461</v>
      </c>
      <c r="K99" s="15">
        <v>190570.00732421901</v>
      </c>
      <c r="M99" t="str">
        <f t="shared" si="6"/>
        <v>Pakistan</v>
      </c>
      <c r="N99" t="s">
        <v>305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305</v>
      </c>
      <c r="U99" s="8">
        <f t="shared" si="5"/>
        <v>-127.04667154947934</v>
      </c>
      <c r="V99">
        <v>3</v>
      </c>
      <c r="W99" t="s">
        <v>649</v>
      </c>
    </row>
    <row r="100" spans="2:23">
      <c r="B100" t="s">
        <v>236</v>
      </c>
      <c r="C100" t="s">
        <v>561</v>
      </c>
      <c r="D100">
        <v>3.7499999999999999E-2</v>
      </c>
      <c r="E100" t="s">
        <v>562</v>
      </c>
      <c r="H100">
        <v>2019</v>
      </c>
      <c r="I100" t="s">
        <v>471</v>
      </c>
      <c r="K100" s="15">
        <v>56750</v>
      </c>
      <c r="M100" t="str">
        <f t="shared" si="6"/>
        <v>Peru</v>
      </c>
      <c r="N100" t="s">
        <v>305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305</v>
      </c>
      <c r="U100" s="8">
        <f t="shared" si="5"/>
        <v>-37.833333333333336</v>
      </c>
      <c r="V100">
        <v>3</v>
      </c>
      <c r="W100" t="s">
        <v>649</v>
      </c>
    </row>
    <row r="101" spans="2:23">
      <c r="B101" t="s">
        <v>637</v>
      </c>
      <c r="C101" t="s">
        <v>561</v>
      </c>
      <c r="D101">
        <v>3.7499999999999999E-2</v>
      </c>
      <c r="E101" t="s">
        <v>562</v>
      </c>
      <c r="H101">
        <v>2019</v>
      </c>
      <c r="I101" t="s">
        <v>596</v>
      </c>
      <c r="K101" s="15">
        <v>145419.99816894499</v>
      </c>
      <c r="M101" t="str">
        <f t="shared" si="6"/>
        <v>Philippines</v>
      </c>
      <c r="N101" t="s">
        <v>305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305</v>
      </c>
      <c r="U101" s="8">
        <f t="shared" si="5"/>
        <v>-96.946665445963333</v>
      </c>
      <c r="V101">
        <v>3</v>
      </c>
      <c r="W101" t="s">
        <v>649</v>
      </c>
    </row>
    <row r="102" spans="2:23">
      <c r="B102" t="s">
        <v>638</v>
      </c>
      <c r="C102" t="s">
        <v>561</v>
      </c>
      <c r="D102">
        <v>0.08</v>
      </c>
      <c r="E102" t="s">
        <v>562</v>
      </c>
      <c r="H102">
        <v>2019</v>
      </c>
      <c r="I102" t="s">
        <v>595</v>
      </c>
      <c r="K102" s="15">
        <v>295130.00488281302</v>
      </c>
      <c r="M102" t="str">
        <f t="shared" si="6"/>
        <v>Poland</v>
      </c>
      <c r="N102" t="s">
        <v>305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305</v>
      </c>
      <c r="U102" s="8">
        <f t="shared" si="5"/>
        <v>-196.753336588542</v>
      </c>
      <c r="V102">
        <v>3</v>
      </c>
      <c r="W102" t="s">
        <v>649</v>
      </c>
    </row>
    <row r="103" spans="2:23">
      <c r="B103" t="s">
        <v>639</v>
      </c>
      <c r="C103" t="s">
        <v>561</v>
      </c>
      <c r="D103">
        <v>3.7499999999999999E-2</v>
      </c>
      <c r="E103" t="s">
        <v>562</v>
      </c>
      <c r="H103">
        <v>2019</v>
      </c>
      <c r="I103" t="s">
        <v>667</v>
      </c>
      <c r="K103" s="15">
        <v>295130.00488281302</v>
      </c>
      <c r="M103" t="str">
        <f t="shared" si="6"/>
        <v>Poland_d</v>
      </c>
      <c r="N103" t="s">
        <v>305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305</v>
      </c>
      <c r="U103" s="8">
        <f t="shared" si="5"/>
        <v>-196.753336588542</v>
      </c>
      <c r="V103">
        <v>3</v>
      </c>
      <c r="W103" t="s">
        <v>649</v>
      </c>
    </row>
    <row r="104" spans="2:23">
      <c r="B104" t="s">
        <v>468</v>
      </c>
      <c r="C104" t="s">
        <v>561</v>
      </c>
      <c r="D104">
        <v>0.05</v>
      </c>
      <c r="E104" t="s">
        <v>562</v>
      </c>
      <c r="H104">
        <v>2019</v>
      </c>
      <c r="I104" t="s">
        <v>594</v>
      </c>
      <c r="K104" s="15">
        <v>44639.999389648401</v>
      </c>
      <c r="M104" t="str">
        <f t="shared" si="6"/>
        <v>Portugal</v>
      </c>
      <c r="N104" t="s">
        <v>305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305</v>
      </c>
      <c r="U104" s="8">
        <f t="shared" si="5"/>
        <v>-29.759999593098936</v>
      </c>
      <c r="V104">
        <v>3</v>
      </c>
      <c r="W104" t="s">
        <v>649</v>
      </c>
    </row>
    <row r="105" spans="2:23">
      <c r="B105" t="s">
        <v>463</v>
      </c>
      <c r="C105" t="s">
        <v>561</v>
      </c>
      <c r="D105">
        <v>3.7499999999999999E-2</v>
      </c>
      <c r="E105" t="s">
        <v>562</v>
      </c>
      <c r="H105">
        <v>2019</v>
      </c>
      <c r="I105" t="s">
        <v>451</v>
      </c>
      <c r="K105" s="15">
        <v>91970.001220703096</v>
      </c>
      <c r="M105" t="str">
        <f t="shared" si="6"/>
        <v>Qatar</v>
      </c>
      <c r="N105" t="s">
        <v>305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305</v>
      </c>
      <c r="U105" s="8">
        <f t="shared" si="5"/>
        <v>-61.3133341471354</v>
      </c>
      <c r="V105">
        <v>3</v>
      </c>
      <c r="W105" t="s">
        <v>649</v>
      </c>
    </row>
    <row r="106" spans="2:23">
      <c r="B106" t="s">
        <v>640</v>
      </c>
      <c r="C106" t="s">
        <v>561</v>
      </c>
      <c r="D106">
        <v>0.08</v>
      </c>
      <c r="E106" t="s">
        <v>562</v>
      </c>
      <c r="H106">
        <v>2019</v>
      </c>
      <c r="I106" t="s">
        <v>593</v>
      </c>
      <c r="K106" s="15">
        <v>73949.996948242202</v>
      </c>
      <c r="M106" t="str">
        <f t="shared" si="6"/>
        <v>Romania</v>
      </c>
      <c r="N106" t="s">
        <v>305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305</v>
      </c>
      <c r="U106" s="8">
        <f t="shared" si="5"/>
        <v>-49.299997965494804</v>
      </c>
      <c r="V106">
        <v>3</v>
      </c>
      <c r="W106" t="s">
        <v>649</v>
      </c>
    </row>
    <row r="107" spans="2:23">
      <c r="B107" t="s">
        <v>235</v>
      </c>
      <c r="C107" t="s">
        <v>561</v>
      </c>
      <c r="D107">
        <v>0.1</v>
      </c>
      <c r="E107" t="s">
        <v>562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305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305</v>
      </c>
      <c r="U107" s="8">
        <f t="shared" si="5"/>
        <v>-1135.7266438802067</v>
      </c>
      <c r="V107">
        <v>3</v>
      </c>
      <c r="W107" t="s">
        <v>649</v>
      </c>
    </row>
    <row r="108" spans="2:23">
      <c r="B108" t="s">
        <v>641</v>
      </c>
      <c r="C108" t="s">
        <v>561</v>
      </c>
      <c r="D108">
        <v>3.7499999999999999E-2</v>
      </c>
      <c r="E108" t="s">
        <v>562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305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305</v>
      </c>
      <c r="U108" s="8">
        <f t="shared" si="5"/>
        <v>-349.18668619791669</v>
      </c>
      <c r="V108">
        <v>3</v>
      </c>
      <c r="W108" t="s">
        <v>649</v>
      </c>
    </row>
    <row r="109" spans="2:23">
      <c r="B109" t="s">
        <v>251</v>
      </c>
      <c r="C109" t="s">
        <v>561</v>
      </c>
      <c r="D109">
        <v>3.7499999999999999E-2</v>
      </c>
      <c r="E109" t="s">
        <v>562</v>
      </c>
      <c r="H109">
        <v>2019</v>
      </c>
      <c r="I109" t="s">
        <v>592</v>
      </c>
      <c r="K109" s="15">
        <v>45950.000762939497</v>
      </c>
      <c r="M109" t="str">
        <f t="shared" si="6"/>
        <v>Serbia</v>
      </c>
      <c r="N109" t="s">
        <v>305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305</v>
      </c>
      <c r="U109" s="8">
        <f t="shared" si="5"/>
        <v>-30.633333841959665</v>
      </c>
      <c r="V109">
        <v>3</v>
      </c>
      <c r="W109" t="s">
        <v>649</v>
      </c>
    </row>
    <row r="110" spans="2:23">
      <c r="B110" t="s">
        <v>454</v>
      </c>
      <c r="C110" t="s">
        <v>561</v>
      </c>
      <c r="D110">
        <v>0.08</v>
      </c>
      <c r="E110" t="s">
        <v>562</v>
      </c>
      <c r="H110">
        <v>2019</v>
      </c>
      <c r="I110" t="s">
        <v>591</v>
      </c>
      <c r="K110">
        <v>47380.001068115198</v>
      </c>
      <c r="M110" t="str">
        <f t="shared" si="6"/>
        <v>Singapore</v>
      </c>
      <c r="N110" t="s">
        <v>305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305</v>
      </c>
      <c r="U110" s="8">
        <f t="shared" ref="U110:U139" si="9">-K110/1000*2/3</f>
        <v>-31.586667378743467</v>
      </c>
      <c r="V110">
        <v>3</v>
      </c>
      <c r="W110" t="s">
        <v>649</v>
      </c>
    </row>
    <row r="111" spans="2:23">
      <c r="B111" t="s">
        <v>453</v>
      </c>
      <c r="C111" t="s">
        <v>561</v>
      </c>
      <c r="D111">
        <v>0.08</v>
      </c>
      <c r="E111" t="s">
        <v>562</v>
      </c>
      <c r="H111">
        <v>2019</v>
      </c>
      <c r="I111" t="s">
        <v>590</v>
      </c>
      <c r="K111">
        <v>31079.999923706098</v>
      </c>
      <c r="M111" t="str">
        <f t="shared" si="6"/>
        <v>Slovak</v>
      </c>
      <c r="N111" t="s">
        <v>305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305</v>
      </c>
      <c r="U111" s="8">
        <f t="shared" si="9"/>
        <v>-20.719999949137399</v>
      </c>
      <c r="V111">
        <v>3</v>
      </c>
      <c r="W111" t="s">
        <v>649</v>
      </c>
    </row>
    <row r="112" spans="2:23">
      <c r="B112" t="s">
        <v>642</v>
      </c>
      <c r="C112" t="s">
        <v>561</v>
      </c>
      <c r="D112">
        <v>3.7499999999999999E-2</v>
      </c>
      <c r="E112" t="s">
        <v>562</v>
      </c>
      <c r="H112">
        <v>2019</v>
      </c>
      <c r="I112" t="s">
        <v>589</v>
      </c>
      <c r="K112">
        <v>13600.000381469699</v>
      </c>
      <c r="M112" t="str">
        <f t="shared" si="6"/>
        <v>Slovenia</v>
      </c>
      <c r="N112" t="s">
        <v>305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305</v>
      </c>
      <c r="U112" s="8">
        <f t="shared" si="9"/>
        <v>-9.0666669209798005</v>
      </c>
      <c r="V112">
        <v>3</v>
      </c>
      <c r="W112" t="s">
        <v>649</v>
      </c>
    </row>
    <row r="113" spans="2:23">
      <c r="B113" t="s">
        <v>231</v>
      </c>
      <c r="H113">
        <v>2019</v>
      </c>
      <c r="I113" t="s">
        <v>311</v>
      </c>
      <c r="K113">
        <v>439640.01464843802</v>
      </c>
      <c r="M113" t="str">
        <f t="shared" si="6"/>
        <v>SouthAfrica</v>
      </c>
      <c r="N113" t="s">
        <v>305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305</v>
      </c>
      <c r="U113" s="8">
        <f t="shared" si="9"/>
        <v>-293.09334309895866</v>
      </c>
      <c r="V113">
        <v>3</v>
      </c>
      <c r="W113" t="s">
        <v>649</v>
      </c>
    </row>
    <row r="114" spans="2:23">
      <c r="B114" t="s">
        <v>673</v>
      </c>
      <c r="C114" t="s">
        <v>561</v>
      </c>
      <c r="D114">
        <v>3.7499999999999999E-2</v>
      </c>
      <c r="E114" t="s">
        <v>562</v>
      </c>
      <c r="H114">
        <v>2019</v>
      </c>
      <c r="I114" t="s">
        <v>668</v>
      </c>
      <c r="K114">
        <v>242929.99792098999</v>
      </c>
      <c r="M114" t="str">
        <f t="shared" si="6"/>
        <v>Southeast_Europe</v>
      </c>
      <c r="N114" t="s">
        <v>305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305</v>
      </c>
      <c r="U114" s="8">
        <f t="shared" si="9"/>
        <v>-161.95333194732666</v>
      </c>
      <c r="V114">
        <v>3</v>
      </c>
      <c r="W114" t="s">
        <v>649</v>
      </c>
    </row>
    <row r="115" spans="2:23">
      <c r="B115" t="s">
        <v>672</v>
      </c>
      <c r="C115" t="s">
        <v>561</v>
      </c>
      <c r="D115">
        <v>3.7499999999999999E-2</v>
      </c>
      <c r="E115" t="s">
        <v>562</v>
      </c>
      <c r="H115">
        <v>2019</v>
      </c>
      <c r="I115" t="s">
        <v>588</v>
      </c>
      <c r="K115">
        <v>610789.97802734398</v>
      </c>
      <c r="M115" t="str">
        <f t="shared" si="6"/>
        <v>SouthKorea</v>
      </c>
      <c r="N115" t="s">
        <v>305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305</v>
      </c>
      <c r="U115" s="8">
        <f t="shared" si="9"/>
        <v>-407.19331868489598</v>
      </c>
      <c r="V115">
        <v>3</v>
      </c>
      <c r="W115" t="s">
        <v>649</v>
      </c>
    </row>
    <row r="116" spans="2:23">
      <c r="B116" t="s">
        <v>671</v>
      </c>
      <c r="C116" t="s">
        <v>561</v>
      </c>
      <c r="D116">
        <v>3.7499999999999999E-2</v>
      </c>
      <c r="E116" t="s">
        <v>562</v>
      </c>
      <c r="H116">
        <v>2019</v>
      </c>
      <c r="I116" t="s">
        <v>587</v>
      </c>
      <c r="K116">
        <v>239979.995727539</v>
      </c>
      <c r="M116" t="str">
        <f t="shared" si="6"/>
        <v>Spain</v>
      </c>
      <c r="N116" t="s">
        <v>305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305</v>
      </c>
      <c r="U116" s="8">
        <f t="shared" si="9"/>
        <v>-159.98666381835935</v>
      </c>
      <c r="V116">
        <v>3</v>
      </c>
      <c r="W116" t="s">
        <v>649</v>
      </c>
    </row>
    <row r="117" spans="2:23">
      <c r="B117" t="s">
        <v>670</v>
      </c>
      <c r="C117" t="s">
        <v>561</v>
      </c>
      <c r="D117">
        <v>0.08</v>
      </c>
      <c r="E117" t="s">
        <v>562</v>
      </c>
      <c r="H117">
        <v>2019</v>
      </c>
      <c r="I117" t="s">
        <v>586</v>
      </c>
      <c r="K117">
        <v>20620.000839233398</v>
      </c>
      <c r="M117" t="str">
        <f t="shared" si="6"/>
        <v>Sudan</v>
      </c>
      <c r="N117" t="s">
        <v>305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305</v>
      </c>
      <c r="U117" s="8">
        <f t="shared" si="9"/>
        <v>-13.7466672261556</v>
      </c>
      <c r="V117">
        <v>3</v>
      </c>
      <c r="W117" t="s">
        <v>649</v>
      </c>
    </row>
    <row r="118" spans="2:23">
      <c r="B118" t="s">
        <v>669</v>
      </c>
      <c r="C118" t="s">
        <v>561</v>
      </c>
      <c r="D118">
        <v>0.08</v>
      </c>
      <c r="E118" t="s">
        <v>562</v>
      </c>
      <c r="H118">
        <v>2019</v>
      </c>
      <c r="I118" t="s">
        <v>585</v>
      </c>
      <c r="K118">
        <v>35000</v>
      </c>
      <c r="M118" t="str">
        <f t="shared" si="6"/>
        <v>Sweden</v>
      </c>
      <c r="N118" t="s">
        <v>305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305</v>
      </c>
      <c r="U118" s="8">
        <f t="shared" si="9"/>
        <v>-23.333333333333332</v>
      </c>
      <c r="V118">
        <v>3</v>
      </c>
      <c r="W118" t="s">
        <v>649</v>
      </c>
    </row>
    <row r="119" spans="2:23">
      <c r="B119" t="s">
        <v>668</v>
      </c>
      <c r="C119" t="s">
        <v>561</v>
      </c>
      <c r="D119">
        <v>0.08</v>
      </c>
      <c r="E119" t="s">
        <v>562</v>
      </c>
      <c r="H119">
        <v>2019</v>
      </c>
      <c r="I119" t="s">
        <v>669</v>
      </c>
      <c r="K119">
        <v>75709.9990844727</v>
      </c>
      <c r="M119" t="str">
        <f t="shared" si="6"/>
        <v>Sweden_Finland</v>
      </c>
      <c r="N119" t="s">
        <v>305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305</v>
      </c>
      <c r="U119" s="8">
        <f t="shared" si="9"/>
        <v>-50.473332722981802</v>
      </c>
      <c r="V119">
        <v>3</v>
      </c>
      <c r="W119" t="s">
        <v>649</v>
      </c>
    </row>
    <row r="120" spans="2:23">
      <c r="B120" t="s">
        <v>667</v>
      </c>
      <c r="C120" t="s">
        <v>561</v>
      </c>
      <c r="D120">
        <v>0.08</v>
      </c>
      <c r="E120" t="s">
        <v>562</v>
      </c>
      <c r="H120">
        <v>2019</v>
      </c>
      <c r="I120" t="s">
        <v>584</v>
      </c>
      <c r="K120">
        <v>37380.001068115198</v>
      </c>
      <c r="M120" t="str">
        <f t="shared" si="6"/>
        <v>Switzerland</v>
      </c>
      <c r="N120" t="s">
        <v>305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305</v>
      </c>
      <c r="U120" s="8">
        <f t="shared" si="9"/>
        <v>-24.920000712076799</v>
      </c>
      <c r="V120">
        <v>3</v>
      </c>
      <c r="W120" t="s">
        <v>649</v>
      </c>
    </row>
    <row r="121" spans="2:23">
      <c r="B121" t="s">
        <v>666</v>
      </c>
      <c r="C121" t="s">
        <v>561</v>
      </c>
      <c r="D121">
        <v>0.08</v>
      </c>
      <c r="E121" t="s">
        <v>562</v>
      </c>
      <c r="H121">
        <v>2019</v>
      </c>
      <c r="I121" t="s">
        <v>670</v>
      </c>
      <c r="K121">
        <v>37380.001068115198</v>
      </c>
      <c r="M121" t="str">
        <f t="shared" si="6"/>
        <v>Switzerland_d</v>
      </c>
      <c r="N121" t="s">
        <v>305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305</v>
      </c>
      <c r="U121" s="8">
        <f t="shared" si="9"/>
        <v>-24.920000712076799</v>
      </c>
      <c r="V121">
        <v>3</v>
      </c>
      <c r="W121" t="s">
        <v>649</v>
      </c>
    </row>
    <row r="122" spans="2:23">
      <c r="B122" t="s">
        <v>665</v>
      </c>
      <c r="C122" t="s">
        <v>561</v>
      </c>
      <c r="D122">
        <v>0.08</v>
      </c>
      <c r="E122" t="s">
        <v>562</v>
      </c>
      <c r="H122">
        <v>2019</v>
      </c>
      <c r="I122" t="s">
        <v>582</v>
      </c>
      <c r="K122">
        <v>9420.0000762939508</v>
      </c>
      <c r="M122" t="str">
        <f t="shared" si="6"/>
        <v>Tajikistan</v>
      </c>
      <c r="N122" t="s">
        <v>305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305</v>
      </c>
      <c r="U122" s="8">
        <f t="shared" si="9"/>
        <v>-6.2800000508626335</v>
      </c>
      <c r="V122">
        <v>3</v>
      </c>
      <c r="W122" t="s">
        <v>649</v>
      </c>
    </row>
    <row r="123" spans="2:23">
      <c r="B123" t="s">
        <v>574</v>
      </c>
      <c r="C123" t="s">
        <v>561</v>
      </c>
      <c r="D123">
        <v>2.5000000000000001E-2</v>
      </c>
      <c r="E123" t="s">
        <v>562</v>
      </c>
      <c r="H123">
        <v>2019</v>
      </c>
      <c r="I123" t="s">
        <v>464</v>
      </c>
      <c r="K123">
        <v>12449.9998092651</v>
      </c>
      <c r="M123" t="str">
        <f t="shared" si="6"/>
        <v>Tanzania</v>
      </c>
      <c r="N123" t="s">
        <v>305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305</v>
      </c>
      <c r="U123" s="8">
        <f t="shared" si="9"/>
        <v>-8.2999998728434008</v>
      </c>
      <c r="V123">
        <v>3</v>
      </c>
      <c r="W123" t="s">
        <v>649</v>
      </c>
    </row>
    <row r="124" spans="2:23">
      <c r="B124" t="s">
        <v>664</v>
      </c>
      <c r="C124" t="s">
        <v>561</v>
      </c>
      <c r="D124">
        <v>3.7499999999999999E-2</v>
      </c>
      <c r="E124" t="s">
        <v>562</v>
      </c>
      <c r="H124">
        <v>2019</v>
      </c>
      <c r="I124" t="s">
        <v>466</v>
      </c>
      <c r="K124">
        <v>267089.99633789097</v>
      </c>
      <c r="M124" t="str">
        <f t="shared" si="6"/>
        <v>Thailand</v>
      </c>
      <c r="N124" t="s">
        <v>305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305</v>
      </c>
      <c r="U124" s="8">
        <f t="shared" si="9"/>
        <v>-178.05999755859398</v>
      </c>
      <c r="V124">
        <v>3</v>
      </c>
      <c r="W124" t="s">
        <v>649</v>
      </c>
    </row>
    <row r="125" spans="2:23">
      <c r="B125" t="s">
        <v>490</v>
      </c>
      <c r="C125" t="s">
        <v>561</v>
      </c>
      <c r="D125">
        <v>0.08</v>
      </c>
      <c r="E125" t="s">
        <v>562</v>
      </c>
      <c r="H125">
        <v>2019</v>
      </c>
      <c r="I125" t="s">
        <v>581</v>
      </c>
      <c r="K125">
        <v>29909.999847412098</v>
      </c>
      <c r="M125" t="str">
        <f t="shared" si="6"/>
        <v>Tunisia</v>
      </c>
      <c r="N125" t="s">
        <v>305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305</v>
      </c>
      <c r="U125" s="8">
        <f t="shared" si="9"/>
        <v>-19.939999898274731</v>
      </c>
      <c r="V125">
        <v>3</v>
      </c>
      <c r="W125" t="s">
        <v>649</v>
      </c>
    </row>
    <row r="126" spans="2:23">
      <c r="B126" t="s">
        <v>256</v>
      </c>
      <c r="C126" t="s">
        <v>561</v>
      </c>
      <c r="D126">
        <v>3.7499999999999999E-2</v>
      </c>
      <c r="E126" t="s">
        <v>562</v>
      </c>
      <c r="H126">
        <v>2019</v>
      </c>
      <c r="I126" t="s">
        <v>580</v>
      </c>
      <c r="K126">
        <v>396839.99633789097</v>
      </c>
      <c r="M126" t="str">
        <f t="shared" si="6"/>
        <v>Turkey</v>
      </c>
      <c r="N126" t="s">
        <v>305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305</v>
      </c>
      <c r="U126" s="8">
        <f t="shared" si="9"/>
        <v>-264.55999755859398</v>
      </c>
      <c r="V126">
        <v>3</v>
      </c>
      <c r="W126" t="s">
        <v>649</v>
      </c>
    </row>
    <row r="127" spans="2:23">
      <c r="B127" t="s">
        <v>663</v>
      </c>
      <c r="C127" t="s">
        <v>561</v>
      </c>
      <c r="D127">
        <v>0.08</v>
      </c>
      <c r="E127" t="s">
        <v>562</v>
      </c>
      <c r="H127">
        <v>2019</v>
      </c>
      <c r="I127" t="s">
        <v>671</v>
      </c>
      <c r="K127">
        <v>396839.99633789097</v>
      </c>
      <c r="M127" t="str">
        <f t="shared" si="6"/>
        <v>Turkey_d</v>
      </c>
      <c r="N127" t="s">
        <v>305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305</v>
      </c>
      <c r="U127" s="8">
        <f t="shared" si="9"/>
        <v>-264.55999755859398</v>
      </c>
      <c r="V127">
        <v>3</v>
      </c>
      <c r="W127" t="s">
        <v>649</v>
      </c>
    </row>
    <row r="128" spans="2:23">
      <c r="B128" t="s">
        <v>662</v>
      </c>
      <c r="C128" t="s">
        <v>561</v>
      </c>
      <c r="D128">
        <v>0.08</v>
      </c>
      <c r="E128" t="s">
        <v>562</v>
      </c>
      <c r="H128">
        <v>2019</v>
      </c>
      <c r="I128" t="s">
        <v>459</v>
      </c>
      <c r="K128">
        <v>72870.002746582002</v>
      </c>
      <c r="M128" t="str">
        <f t="shared" si="6"/>
        <v>Turkmenistan</v>
      </c>
      <c r="N128" t="s">
        <v>305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305</v>
      </c>
      <c r="U128" s="8">
        <f t="shared" si="9"/>
        <v>-48.580001831054666</v>
      </c>
      <c r="V128">
        <v>3</v>
      </c>
      <c r="W128" t="s">
        <v>649</v>
      </c>
    </row>
    <row r="129" spans="2:23">
      <c r="B129" t="s">
        <v>661</v>
      </c>
      <c r="C129" t="s">
        <v>561</v>
      </c>
      <c r="D129">
        <v>0.01</v>
      </c>
      <c r="E129" t="s">
        <v>562</v>
      </c>
      <c r="H129">
        <v>2019</v>
      </c>
      <c r="I129" t="s">
        <v>564</v>
      </c>
      <c r="K129">
        <v>188860.000610352</v>
      </c>
      <c r="M129" t="str">
        <f t="shared" si="6"/>
        <v>UAE</v>
      </c>
      <c r="N129" t="s">
        <v>305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305</v>
      </c>
      <c r="U129" s="8">
        <f t="shared" si="9"/>
        <v>-125.90666707356799</v>
      </c>
      <c r="V129">
        <v>3</v>
      </c>
      <c r="W129" t="s">
        <v>649</v>
      </c>
    </row>
    <row r="130" spans="2:23">
      <c r="B130" t="s">
        <v>660</v>
      </c>
      <c r="C130" t="s">
        <v>561</v>
      </c>
      <c r="D130">
        <v>0.05</v>
      </c>
      <c r="E130" t="s">
        <v>562</v>
      </c>
      <c r="H130">
        <v>2019</v>
      </c>
      <c r="I130" t="s">
        <v>579</v>
      </c>
      <c r="K130">
        <v>348920.01342773403</v>
      </c>
      <c r="M130" t="str">
        <f t="shared" si="6"/>
        <v>UK</v>
      </c>
      <c r="N130" t="s">
        <v>305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305</v>
      </c>
      <c r="U130" s="8">
        <f t="shared" si="9"/>
        <v>-232.61334228515602</v>
      </c>
      <c r="V130">
        <v>3</v>
      </c>
      <c r="W130" t="s">
        <v>649</v>
      </c>
    </row>
    <row r="131" spans="2:23">
      <c r="B131" t="s">
        <v>659</v>
      </c>
      <c r="C131" t="s">
        <v>561</v>
      </c>
      <c r="D131">
        <v>0.08</v>
      </c>
      <c r="E131" t="s">
        <v>562</v>
      </c>
      <c r="H131">
        <v>2019</v>
      </c>
      <c r="I131" t="s">
        <v>469</v>
      </c>
      <c r="K131">
        <v>174729.995727539</v>
      </c>
      <c r="M131" t="str">
        <f t="shared" si="6"/>
        <v>Ukraine</v>
      </c>
      <c r="N131" t="s">
        <v>305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305</v>
      </c>
      <c r="U131" s="8">
        <f t="shared" si="9"/>
        <v>-116.48666381835933</v>
      </c>
      <c r="V131">
        <v>3</v>
      </c>
      <c r="W131" t="s">
        <v>649</v>
      </c>
    </row>
    <row r="132" spans="2:23">
      <c r="B132" t="s">
        <v>658</v>
      </c>
      <c r="C132" t="s">
        <v>561</v>
      </c>
      <c r="D132">
        <v>0.08</v>
      </c>
      <c r="E132" t="s">
        <v>562</v>
      </c>
      <c r="H132">
        <v>2019</v>
      </c>
      <c r="I132" t="s">
        <v>672</v>
      </c>
      <c r="K132">
        <v>174729.995727539</v>
      </c>
      <c r="M132" t="str">
        <f t="shared" ref="M132:M139" si="10">$I132</f>
        <v>Ukraine_d</v>
      </c>
      <c r="N132" t="s">
        <v>305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305</v>
      </c>
      <c r="U132" s="8">
        <f t="shared" si="9"/>
        <v>-116.48666381835933</v>
      </c>
      <c r="V132">
        <v>3</v>
      </c>
      <c r="W132" t="s">
        <v>649</v>
      </c>
    </row>
    <row r="133" spans="2:23">
      <c r="B133" t="s">
        <v>657</v>
      </c>
      <c r="C133" t="s">
        <v>561</v>
      </c>
      <c r="D133">
        <v>0.08</v>
      </c>
      <c r="E133" t="s">
        <v>562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305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305</v>
      </c>
      <c r="U133" s="8">
        <f t="shared" si="9"/>
        <v>-3211.8134765625</v>
      </c>
      <c r="V133">
        <v>3</v>
      </c>
      <c r="W133" t="s">
        <v>649</v>
      </c>
    </row>
    <row r="134" spans="2:23">
      <c r="B134" t="s">
        <v>656</v>
      </c>
      <c r="C134" t="s">
        <v>561</v>
      </c>
      <c r="D134">
        <v>0.08</v>
      </c>
      <c r="E134" t="s">
        <v>562</v>
      </c>
      <c r="H134">
        <v>2019</v>
      </c>
      <c r="I134" t="s">
        <v>460</v>
      </c>
      <c r="K134">
        <v>116709.99908447301</v>
      </c>
      <c r="M134" t="str">
        <f t="shared" si="10"/>
        <v>Uzbekistan</v>
      </c>
      <c r="N134" t="s">
        <v>305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305</v>
      </c>
      <c r="U134" s="8">
        <f t="shared" si="9"/>
        <v>-77.806666056315336</v>
      </c>
      <c r="V134">
        <v>3</v>
      </c>
      <c r="W134" t="s">
        <v>649</v>
      </c>
    </row>
    <row r="135" spans="2:23">
      <c r="B135" t="s">
        <v>655</v>
      </c>
      <c r="C135" t="s">
        <v>561</v>
      </c>
      <c r="D135">
        <v>0.01</v>
      </c>
      <c r="E135" t="s">
        <v>562</v>
      </c>
      <c r="H135">
        <v>2019</v>
      </c>
      <c r="I135" t="s">
        <v>456</v>
      </c>
      <c r="K135">
        <v>112339.996337891</v>
      </c>
      <c r="M135" t="str">
        <f t="shared" si="10"/>
        <v>Venezuela</v>
      </c>
      <c r="N135" t="s">
        <v>305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305</v>
      </c>
      <c r="U135" s="8">
        <f t="shared" si="9"/>
        <v>-74.893330891927334</v>
      </c>
      <c r="V135">
        <v>3</v>
      </c>
      <c r="W135" t="s">
        <v>649</v>
      </c>
    </row>
    <row r="136" spans="2:23">
      <c r="B136" t="s">
        <v>654</v>
      </c>
      <c r="C136" t="s">
        <v>561</v>
      </c>
      <c r="D136">
        <v>0.08</v>
      </c>
      <c r="E136" t="s">
        <v>562</v>
      </c>
      <c r="H136">
        <v>2019</v>
      </c>
      <c r="I136" t="s">
        <v>578</v>
      </c>
      <c r="K136">
        <v>336489.990234375</v>
      </c>
      <c r="M136" t="str">
        <f t="shared" si="10"/>
        <v>Vietnam</v>
      </c>
      <c r="N136" t="s">
        <v>305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305</v>
      </c>
      <c r="U136" s="8">
        <f t="shared" si="9"/>
        <v>-224.32666015625</v>
      </c>
      <c r="V136">
        <v>3</v>
      </c>
      <c r="W136" t="s">
        <v>649</v>
      </c>
    </row>
    <row r="137" spans="2:23">
      <c r="B137" t="s">
        <v>653</v>
      </c>
      <c r="C137" t="s">
        <v>561</v>
      </c>
      <c r="D137">
        <v>0.08</v>
      </c>
      <c r="E137" t="s">
        <v>562</v>
      </c>
      <c r="H137">
        <v>2019</v>
      </c>
      <c r="I137" t="s">
        <v>673</v>
      </c>
      <c r="K137">
        <v>82750.000476837202</v>
      </c>
      <c r="M137" t="str">
        <f t="shared" si="10"/>
        <v>Western_Balkans</v>
      </c>
      <c r="N137" t="s">
        <v>305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305</v>
      </c>
      <c r="U137" s="8">
        <f t="shared" si="9"/>
        <v>-55.166666984558134</v>
      </c>
      <c r="V137">
        <v>3</v>
      </c>
      <c r="W137" t="s">
        <v>649</v>
      </c>
    </row>
    <row r="138" spans="2:23">
      <c r="B138" t="s">
        <v>652</v>
      </c>
      <c r="C138" t="s">
        <v>561</v>
      </c>
      <c r="D138">
        <v>0.04</v>
      </c>
      <c r="E138" t="s">
        <v>562</v>
      </c>
      <c r="H138">
        <v>2019</v>
      </c>
      <c r="I138" t="s">
        <v>566</v>
      </c>
      <c r="K138">
        <v>11100.000381469699</v>
      </c>
      <c r="M138" t="str">
        <f t="shared" si="10"/>
        <v>Yemen</v>
      </c>
      <c r="N138" t="s">
        <v>305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305</v>
      </c>
      <c r="U138" s="8">
        <f t="shared" si="9"/>
        <v>-7.4000002543131336</v>
      </c>
      <c r="V138">
        <v>3</v>
      </c>
      <c r="W138" t="s">
        <v>649</v>
      </c>
    </row>
    <row r="139" spans="2:23">
      <c r="B139" t="s">
        <v>651</v>
      </c>
      <c r="C139" t="s">
        <v>561</v>
      </c>
      <c r="D139">
        <v>0.08</v>
      </c>
      <c r="E139" t="s">
        <v>562</v>
      </c>
      <c r="H139">
        <v>2019</v>
      </c>
      <c r="I139" t="s">
        <v>577</v>
      </c>
      <c r="K139">
        <v>6800.0001907348596</v>
      </c>
      <c r="M139" t="str">
        <f t="shared" si="10"/>
        <v>Zambia</v>
      </c>
      <c r="N139" t="s">
        <v>305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305</v>
      </c>
      <c r="U139" s="8">
        <f t="shared" si="9"/>
        <v>-4.5333334604899065</v>
      </c>
      <c r="V139">
        <v>3</v>
      </c>
      <c r="W139" t="s">
        <v>649</v>
      </c>
    </row>
    <row r="140" spans="2:23">
      <c r="B140" t="s">
        <v>650</v>
      </c>
      <c r="C140" t="s">
        <v>561</v>
      </c>
      <c r="D140">
        <v>0.08</v>
      </c>
      <c r="E140" t="s">
        <v>562</v>
      </c>
    </row>
    <row r="141" spans="2:23">
      <c r="B141" t="s">
        <v>309</v>
      </c>
      <c r="C141" t="s">
        <v>561</v>
      </c>
      <c r="D141">
        <v>0.05</v>
      </c>
      <c r="E141" t="s">
        <v>562</v>
      </c>
    </row>
    <row r="142" spans="2:23">
      <c r="B142" t="s">
        <v>308</v>
      </c>
      <c r="C142" t="s">
        <v>561</v>
      </c>
      <c r="D142">
        <v>0.1</v>
      </c>
      <c r="E142" t="s">
        <v>562</v>
      </c>
    </row>
    <row r="143" spans="2:23">
      <c r="B143" t="s">
        <v>573</v>
      </c>
      <c r="C143" t="s">
        <v>561</v>
      </c>
      <c r="D143">
        <v>0.08</v>
      </c>
      <c r="E143" t="s">
        <v>562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tabSelected="1" workbookViewId="0">
      <selection activeCell="L19" sqref="L19"/>
    </sheetView>
  </sheetViews>
  <sheetFormatPr defaultRowHeight="15"/>
  <cols>
    <col min="2" max="2" width="24.42578125" bestFit="1" customWidth="1"/>
    <col min="3" max="3" width="19.85546875" bestFit="1" customWidth="1"/>
    <col min="4" max="4" width="7.8554687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s="52" t="s">
        <v>71</v>
      </c>
      <c r="C3" s="52"/>
      <c r="D3" s="52"/>
      <c r="E3" s="52"/>
      <c r="F3" s="52"/>
      <c r="G3" s="52"/>
      <c r="H3" s="52"/>
      <c r="I3" s="52"/>
    </row>
    <row r="5" spans="2:9">
      <c r="B5" s="52"/>
      <c r="C5" s="52" t="s">
        <v>398</v>
      </c>
      <c r="D5" s="52"/>
      <c r="E5" s="52"/>
      <c r="F5" s="52"/>
      <c r="G5" s="52"/>
      <c r="H5" s="52"/>
      <c r="I5" s="52"/>
    </row>
    <row r="6" spans="2:9">
      <c r="B6" s="52" t="s">
        <v>72</v>
      </c>
      <c r="C6" s="52" t="s">
        <v>228</v>
      </c>
      <c r="D6" s="52" t="s">
        <v>277</v>
      </c>
      <c r="E6" s="52" t="s">
        <v>399</v>
      </c>
      <c r="F6" s="52">
        <v>2020</v>
      </c>
      <c r="G6" s="52">
        <v>0</v>
      </c>
      <c r="H6" s="52" t="s">
        <v>287</v>
      </c>
      <c r="I6" s="52" t="s">
        <v>247</v>
      </c>
    </row>
    <row r="7" spans="2:9">
      <c r="B7" s="52" t="s">
        <v>397</v>
      </c>
      <c r="C7" s="52" t="s">
        <v>400</v>
      </c>
      <c r="D7" s="52" t="s">
        <v>401</v>
      </c>
      <c r="E7" s="52">
        <v>10</v>
      </c>
      <c r="F7" s="52">
        <v>0</v>
      </c>
      <c r="G7" s="52">
        <v>3</v>
      </c>
      <c r="H7" s="52"/>
      <c r="I7" s="52" t="s">
        <v>761</v>
      </c>
    </row>
    <row r="8" spans="2:9">
      <c r="B8" s="52"/>
      <c r="C8" s="55" t="s">
        <v>252</v>
      </c>
      <c r="D8" s="54" t="s">
        <v>402</v>
      </c>
      <c r="E8" s="54">
        <v>-60</v>
      </c>
      <c r="F8" s="54"/>
      <c r="G8" s="54"/>
      <c r="H8" s="54" t="s">
        <v>401</v>
      </c>
      <c r="I8" s="53"/>
    </row>
    <row r="9" spans="2:9">
      <c r="B9" s="52"/>
      <c r="C9" s="55" t="s">
        <v>252</v>
      </c>
      <c r="D9" s="54" t="s">
        <v>438</v>
      </c>
      <c r="E9" s="54">
        <v>-180</v>
      </c>
      <c r="F9" s="54"/>
      <c r="G9" s="54"/>
      <c r="H9" s="54" t="s">
        <v>401</v>
      </c>
      <c r="I9" s="52"/>
    </row>
    <row r="10" spans="2:9">
      <c r="B10" s="52"/>
      <c r="C10" s="52" t="s">
        <v>295</v>
      </c>
      <c r="D10" s="52" t="s">
        <v>439</v>
      </c>
      <c r="E10" s="52">
        <v>-600</v>
      </c>
      <c r="F10" s="52"/>
      <c r="G10" s="52"/>
      <c r="H10" s="52" t="s">
        <v>401</v>
      </c>
      <c r="I10" s="52"/>
    </row>
    <row r="11" spans="2:9">
      <c r="B11" s="52"/>
      <c r="C11" s="52" t="s">
        <v>295</v>
      </c>
      <c r="D11" s="52" t="s">
        <v>440</v>
      </c>
      <c r="E11" s="52">
        <v>-600</v>
      </c>
      <c r="F11" s="52"/>
      <c r="G11" s="52"/>
      <c r="H11" s="52" t="s">
        <v>401</v>
      </c>
      <c r="I11" s="52"/>
    </row>
    <row r="12" spans="2:9">
      <c r="B12" s="52"/>
      <c r="C12" s="52" t="s">
        <v>295</v>
      </c>
      <c r="D12" s="52" t="s">
        <v>441</v>
      </c>
      <c r="E12" s="52">
        <v>-14.76923076923077</v>
      </c>
      <c r="F12" s="52"/>
      <c r="G12" s="52"/>
      <c r="H12" s="52" t="s">
        <v>401</v>
      </c>
      <c r="I12" s="52"/>
    </row>
    <row r="13" spans="2:9">
      <c r="B13" s="52"/>
      <c r="C13" s="52" t="s">
        <v>295</v>
      </c>
      <c r="D13" s="52" t="s">
        <v>442</v>
      </c>
      <c r="E13" s="52">
        <v>-16.842105263157894</v>
      </c>
      <c r="F13" s="52"/>
      <c r="G13" s="52"/>
      <c r="H13" s="52" t="s">
        <v>401</v>
      </c>
      <c r="I13" s="52"/>
    </row>
    <row r="17" spans="2:9">
      <c r="B17" s="52"/>
      <c r="C17" s="52" t="s">
        <v>398</v>
      </c>
      <c r="D17" s="52"/>
      <c r="E17" s="52"/>
      <c r="F17" s="52"/>
      <c r="G17" s="52"/>
      <c r="H17" s="52"/>
      <c r="I17" s="52"/>
    </row>
    <row r="18" spans="2:9">
      <c r="B18" s="52" t="s">
        <v>72</v>
      </c>
      <c r="C18" s="52" t="s">
        <v>228</v>
      </c>
      <c r="D18" s="52" t="s">
        <v>277</v>
      </c>
      <c r="E18" s="52" t="s">
        <v>399</v>
      </c>
      <c r="F18" s="52">
        <v>2020</v>
      </c>
      <c r="G18" s="52">
        <v>0</v>
      </c>
      <c r="H18" s="52" t="s">
        <v>287</v>
      </c>
      <c r="I18" s="52" t="s">
        <v>247</v>
      </c>
    </row>
    <row r="19" spans="2:9">
      <c r="B19" s="52" t="s">
        <v>762</v>
      </c>
      <c r="C19" s="52" t="s">
        <v>400</v>
      </c>
      <c r="D19" s="52" t="s">
        <v>401</v>
      </c>
      <c r="E19" s="52">
        <v>1</v>
      </c>
      <c r="F19" s="52">
        <v>0</v>
      </c>
      <c r="G19" s="52">
        <v>3</v>
      </c>
      <c r="H19" s="52"/>
      <c r="I19" s="52" t="s">
        <v>763</v>
      </c>
    </row>
    <row r="20" spans="2:9">
      <c r="B20" s="52"/>
      <c r="C20" s="52" t="s">
        <v>295</v>
      </c>
      <c r="D20" s="52" t="s">
        <v>402</v>
      </c>
      <c r="E20" s="52">
        <v>-60</v>
      </c>
      <c r="F20" s="52"/>
      <c r="G20" s="52"/>
      <c r="H20" s="52" t="s">
        <v>401</v>
      </c>
      <c r="I20" s="53"/>
    </row>
    <row r="21" spans="2:9">
      <c r="B21" s="52"/>
      <c r="C21" s="52" t="s">
        <v>295</v>
      </c>
      <c r="D21" s="52" t="s">
        <v>438</v>
      </c>
      <c r="E21" s="52">
        <v>-180</v>
      </c>
      <c r="F21" s="52"/>
      <c r="G21" s="52"/>
      <c r="H21" s="52" t="s">
        <v>401</v>
      </c>
      <c r="I21" s="5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2025-01-31T11:19:06Z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