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activeTab="1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5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7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8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<sst xmlns="http://schemas.openxmlformats.org/spreadsheetml/2006/main" count="3975" uniqueCount="750">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</sst>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imes New Roman"/>
      <charset val="0"/>
    </font>
    <font>
      <sz val="8"/>
      <name val="Tahoma"/>
      <charset val="134"/>
    </font>
    <font>
      <sz val="9"/>
      <name val="Times New Roman"/>
      <charset val="0"/>
    </font>
    <font>
      <b/>
      <sz val="9"/>
      <name val="Tahoma"/>
      <charset val="134"/>
    </font>
    <font>
      <b/>
      <sz val="8"/>
      <name val="Tahoma"/>
      <charset val="134"/>
    </font>
    <font>
      <sz val="9"/>
      <name val="Tahoma"/>
      <charset val="134"/>
    </font>
    <font>
      <b/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51" borderId="12" applyNumberFormat="0" applyAlignment="0" applyProtection="0"/>
    <xf numFmtId="0" fontId="53" fillId="16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9" fillId="16" borderId="0" applyNumberFormat="0" applyBorder="0" applyAlignment="0" applyProtection="0"/>
    <xf numFmtId="0" fontId="58" fillId="16" borderId="0" applyNumberFormat="0" applyBorder="0" applyAlignment="0" applyProtection="0"/>
    <xf numFmtId="0" fontId="57" fillId="16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0" fontId="0" fillId="15" borderId="0" xfId="0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6" borderId="4" xfId="0" applyFont="1" applyFill="1" applyBorder="1"/>
    <xf numFmtId="0" fontId="15" fillId="17" borderId="4" xfId="0" applyFont="1" applyFill="1" applyBorder="1"/>
    <xf numFmtId="0" fontId="13" fillId="16" borderId="4" xfId="0" applyFont="1" applyFill="1" applyBorder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0" fillId="15" borderId="0" xfId="0" applyFill="1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N22" sqref="N22"/>
    </sheetView>
  </sheetViews>
  <sheetFormatPr defaultColWidth="9" defaultRowHeight="14.5"/>
  <cols>
    <col min="2" max="2" width="18.7272727272727" customWidth="1"/>
    <col min="40" max="40" width="12.6363636363636" customWidth="1"/>
  </cols>
  <sheetData>
    <row r="1" spans="1:41">
      <c r="A1" s="19" t="s">
        <v>0</v>
      </c>
      <c r="M1" t="s">
        <v>1</v>
      </c>
    </row>
    <row r="3" spans="1:41">
      <c r="D3" s="18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tabSelected="1" zoomScale="73" zoomScaleNormal="73" workbookViewId="0">
      <selection activeCell="V33" sqref="V33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1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1:30">
      <c r="B3" s="44" t="s">
        <v>54</v>
      </c>
      <c r="C3" s="44" t="s">
        <v>55</v>
      </c>
      <c r="D3" s="44" t="s">
        <v>56</v>
      </c>
      <c r="E3" s="44" t="s">
        <v>57</v>
      </c>
      <c r="F3" s="44" t="s">
        <v>58</v>
      </c>
      <c r="G3" s="44" t="s">
        <v>59</v>
      </c>
      <c r="H3" s="45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6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6" spans="2:10">
      <c r="B16" s="18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111" zoomScaleNormal="111" topLeftCell="A4" workbookViewId="0">
      <selection activeCell="G23" sqref="G23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287</v>
      </c>
      <c r="E13" s="39" t="s">
        <v>266</v>
      </c>
      <c r="F13" s="53" t="s">
        <v>75</v>
      </c>
      <c r="K13" t="s">
        <v>303</v>
      </c>
    </row>
    <row r="14" spans="2:36">
      <c r="B14" s="39" t="s">
        <v>304</v>
      </c>
      <c r="C14" s="39" t="s">
        <v>112</v>
      </c>
      <c r="D14" s="39" t="s">
        <v>288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40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40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4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63" activePane="bottomRight" state="frozen"/>
      <selection/>
      <selection pane="topRight"/>
      <selection pane="bottomLeft"/>
      <selection pane="bottomRight" activeCell="O25" sqref="O25"/>
    </sheetView>
  </sheetViews>
  <sheetFormatPr defaultColWidth="9" defaultRowHeight="14.5"/>
  <cols>
    <col min="1" max="1" width="10.1363636363636" customWidth="1"/>
    <col min="2" max="2" width="37.5454545454545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404</v>
      </c>
      <c r="D16" t="str">
        <f t="shared" ref="D16:D22" si="3">A4</f>
        <v>???COB</v>
      </c>
      <c r="E16" s="52" t="s">
        <v>468</v>
      </c>
      <c r="F16" s="26">
        <f>-MAX(F4,$DK4)</f>
        <v>-0.426573382682398</v>
      </c>
      <c r="G16" s="26">
        <f t="shared" ref="G16:BR16" si="4">-MAX(G4,$DK4)</f>
        <v>-0.426573382682398</v>
      </c>
      <c r="H16" s="26">
        <f t="shared" si="4"/>
        <v>-0.426573382682398</v>
      </c>
      <c r="I16" s="26">
        <f t="shared" si="4"/>
        <v>-0.426573382682398</v>
      </c>
      <c r="J16" s="26">
        <f t="shared" si="4"/>
        <v>-0.426573382682398</v>
      </c>
      <c r="K16" s="26">
        <f t="shared" si="4"/>
        <v>-0.85</v>
      </c>
      <c r="L16" s="26">
        <f t="shared" si="4"/>
        <v>-0.426573382682398</v>
      </c>
      <c r="M16" s="26">
        <f t="shared" si="4"/>
        <v>-0.426573382682398</v>
      </c>
      <c r="N16" s="26">
        <f t="shared" si="4"/>
        <v>-0.426573382682398</v>
      </c>
      <c r="O16" s="26">
        <f t="shared" si="4"/>
        <v>-0.426573382682398</v>
      </c>
      <c r="P16" s="26">
        <f t="shared" si="4"/>
        <v>-0.426573382682398</v>
      </c>
      <c r="Q16" s="26">
        <f t="shared" si="4"/>
        <v>-0.658989959314695</v>
      </c>
      <c r="R16" s="26">
        <f t="shared" si="4"/>
        <v>-0.426573382682398</v>
      </c>
      <c r="S16" s="26">
        <f t="shared" si="4"/>
        <v>-0.484500100166484</v>
      </c>
      <c r="T16" s="26">
        <f t="shared" si="4"/>
        <v>-0.426573382682398</v>
      </c>
      <c r="U16" s="26">
        <f t="shared" si="4"/>
        <v>-0.85</v>
      </c>
      <c r="V16" s="26">
        <f>-MAX(V4,$DK4)-0.2</f>
        <v>-0.626573382682398</v>
      </c>
      <c r="W16" s="26">
        <f t="shared" si="4"/>
        <v>-0.426573382682398</v>
      </c>
      <c r="X16" s="26">
        <f t="shared" si="4"/>
        <v>-0.426573382682398</v>
      </c>
      <c r="Y16" s="26">
        <f t="shared" si="4"/>
        <v>-0.426573382682398</v>
      </c>
      <c r="Z16" s="26">
        <f t="shared" si="4"/>
        <v>-0.426573382682398</v>
      </c>
      <c r="AA16" s="26">
        <f t="shared" si="4"/>
        <v>-0.569956424552155</v>
      </c>
      <c r="AB16" s="26">
        <f t="shared" si="4"/>
        <v>-0.426573382682398</v>
      </c>
      <c r="AC16" s="26">
        <f t="shared" si="4"/>
        <v>-0.426573382682398</v>
      </c>
      <c r="AD16" s="26">
        <f t="shared" si="4"/>
        <v>-0.426573382682398</v>
      </c>
      <c r="AE16" s="26">
        <f t="shared" si="4"/>
        <v>-0.426573382682398</v>
      </c>
      <c r="AF16" s="26">
        <f t="shared" si="4"/>
        <v>-0.426573382682398</v>
      </c>
      <c r="AG16" s="26">
        <f t="shared" si="4"/>
        <v>-0.426573382682398</v>
      </c>
      <c r="AH16" s="26">
        <f t="shared" si="4"/>
        <v>-0.426573382682398</v>
      </c>
      <c r="AI16" s="26">
        <f t="shared" si="4"/>
        <v>-0.426573382682398</v>
      </c>
      <c r="AJ16" s="26">
        <f t="shared" si="4"/>
        <v>-0.652366805976757</v>
      </c>
      <c r="AK16" s="26">
        <f t="shared" si="4"/>
        <v>-0.426573382682398</v>
      </c>
      <c r="AL16" s="26">
        <f t="shared" si="4"/>
        <v>-0.49836791287862</v>
      </c>
      <c r="AM16" s="26">
        <f t="shared" si="4"/>
        <v>-0.426573382682398</v>
      </c>
      <c r="AN16" s="26">
        <f t="shared" si="4"/>
        <v>-0.426573382682398</v>
      </c>
      <c r="AO16" s="26">
        <f t="shared" si="4"/>
        <v>-0.480141480061005</v>
      </c>
      <c r="AP16" s="26">
        <f t="shared" si="4"/>
        <v>-0.671862808813278</v>
      </c>
      <c r="AQ16" s="26">
        <f t="shared" si="4"/>
        <v>-0.426573382682398</v>
      </c>
      <c r="AR16" s="26">
        <f t="shared" si="4"/>
        <v>-0.426573382682398</v>
      </c>
      <c r="AS16" s="26">
        <f t="shared" si="4"/>
        <v>-0.426573382682398</v>
      </c>
      <c r="AT16" s="26">
        <f t="shared" si="4"/>
        <v>-0.426573382682398</v>
      </c>
      <c r="AU16" s="26">
        <f t="shared" si="4"/>
        <v>-0.426573382682398</v>
      </c>
      <c r="AV16" s="26">
        <f t="shared" si="4"/>
        <v>-0.426573382682398</v>
      </c>
      <c r="AW16" s="26">
        <f>-MAX(AW4,$DK4)-0.1</f>
        <v>-0.526573382682398</v>
      </c>
      <c r="AX16" s="26">
        <f t="shared" si="4"/>
        <v>-0.426573382682398</v>
      </c>
      <c r="AY16" s="26">
        <f t="shared" si="4"/>
        <v>-0.426573382682398</v>
      </c>
      <c r="AZ16" s="26">
        <f t="shared" si="4"/>
        <v>-0.533478331773448</v>
      </c>
      <c r="BA16" s="26">
        <f t="shared" si="4"/>
        <v>-0.426573382682398</v>
      </c>
      <c r="BB16" s="26">
        <f t="shared" si="4"/>
        <v>-0.426573382682398</v>
      </c>
      <c r="BC16" s="26">
        <f t="shared" si="4"/>
        <v>-0.426573382682398</v>
      </c>
      <c r="BD16" s="26">
        <f t="shared" si="4"/>
        <v>-0.426573382682398</v>
      </c>
      <c r="BE16" s="26">
        <f t="shared" si="4"/>
        <v>-0.426573382682398</v>
      </c>
      <c r="BF16" s="26">
        <f t="shared" si="4"/>
        <v>-0.426573382682398</v>
      </c>
      <c r="BG16" s="26">
        <f t="shared" si="4"/>
        <v>-0.572837746029879</v>
      </c>
      <c r="BH16" s="26">
        <f>-MAX(BH4,$DK4)-0.3</f>
        <v>-0.726573382682398</v>
      </c>
      <c r="BI16" s="26">
        <f t="shared" si="4"/>
        <v>-0.426573382682398</v>
      </c>
      <c r="BJ16" s="26">
        <f t="shared" si="4"/>
        <v>-0.426573382682398</v>
      </c>
      <c r="BK16" s="26">
        <f t="shared" si="4"/>
        <v>-0.426573382682398</v>
      </c>
      <c r="BL16" s="26">
        <f t="shared" si="4"/>
        <v>-0.763267376966007</v>
      </c>
      <c r="BM16" s="26">
        <f>-MAX(BM4,$DK4)-0.2</f>
        <v>-0.626573382682398</v>
      </c>
      <c r="BN16" s="26">
        <f t="shared" si="4"/>
        <v>-0.426573382682398</v>
      </c>
      <c r="BO16" s="26">
        <f t="shared" si="4"/>
        <v>-0.426573382682398</v>
      </c>
      <c r="BP16" s="26">
        <f t="shared" si="4"/>
        <v>-0.426573382682398</v>
      </c>
      <c r="BQ16" s="26">
        <f t="shared" si="4"/>
        <v>-0.426573382682398</v>
      </c>
      <c r="BR16" s="26">
        <f t="shared" si="4"/>
        <v>-0.426573382682398</v>
      </c>
      <c r="BS16" s="26">
        <f>-MAX(BS4,$DK4)-0.2</f>
        <v>-0.626573382682398</v>
      </c>
      <c r="BT16" s="26">
        <f t="shared" ref="BT16:DJ16" si="5">-MAX(BT4,$DK4)</f>
        <v>-0.426573382682398</v>
      </c>
      <c r="BU16" s="26">
        <f t="shared" si="5"/>
        <v>-0.426573382682398</v>
      </c>
      <c r="BV16" s="26">
        <f t="shared" si="5"/>
        <v>-0.426573382682398</v>
      </c>
      <c r="BW16" s="26">
        <f t="shared" si="5"/>
        <v>-0.426573382682398</v>
      </c>
      <c r="BX16" s="26">
        <f t="shared" si="5"/>
        <v>-0.447743243788652</v>
      </c>
      <c r="BY16" s="26">
        <f t="shared" si="5"/>
        <v>-0.426573382682398</v>
      </c>
      <c r="BZ16" s="26">
        <f t="shared" si="5"/>
        <v>-0.426573382682398</v>
      </c>
      <c r="CA16" s="26">
        <f t="shared" si="5"/>
        <v>-0.426573382682398</v>
      </c>
      <c r="CB16" s="26">
        <f t="shared" si="5"/>
        <v>-0.426573382682398</v>
      </c>
      <c r="CC16" s="26">
        <f t="shared" si="5"/>
        <v>-0.426573382682398</v>
      </c>
      <c r="CD16" s="26">
        <f t="shared" si="5"/>
        <v>-0.85</v>
      </c>
      <c r="CE16" s="26">
        <f t="shared" si="5"/>
        <v>-0.630401475604938</v>
      </c>
      <c r="CF16" s="26">
        <f t="shared" si="5"/>
        <v>-0.426573382682398</v>
      </c>
      <c r="CG16" s="26">
        <f t="shared" si="5"/>
        <v>-0.426573382682398</v>
      </c>
      <c r="CH16" s="26">
        <f t="shared" si="5"/>
        <v>-0.426573382682398</v>
      </c>
      <c r="CI16" s="26">
        <f t="shared" si="5"/>
        <v>-0.426573382682398</v>
      </c>
      <c r="CJ16" s="26">
        <f t="shared" si="5"/>
        <v>-0.426573382682398</v>
      </c>
      <c r="CK16" s="26">
        <f t="shared" si="5"/>
        <v>-0.683598946325089</v>
      </c>
      <c r="CL16" s="26">
        <f t="shared" si="5"/>
        <v>-0.426573382682398</v>
      </c>
      <c r="CM16" s="26">
        <f t="shared" si="5"/>
        <v>-0.426573382682398</v>
      </c>
      <c r="CN16" s="26">
        <f t="shared" si="5"/>
        <v>-0.84622203196347</v>
      </c>
      <c r="CO16" s="26">
        <f t="shared" si="5"/>
        <v>-0.426573382682398</v>
      </c>
      <c r="CP16" s="26">
        <f t="shared" si="5"/>
        <v>-0.426573382682398</v>
      </c>
      <c r="CQ16" s="26">
        <f t="shared" si="5"/>
        <v>-0.426573382682398</v>
      </c>
      <c r="CR16" s="26">
        <f t="shared" si="5"/>
        <v>-0.426573382682398</v>
      </c>
      <c r="CS16" s="26">
        <f t="shared" si="5"/>
        <v>-0.426573382682398</v>
      </c>
      <c r="CT16" s="26">
        <f t="shared" si="5"/>
        <v>-0.426573382682398</v>
      </c>
      <c r="CU16" s="26">
        <f>-MAX(CU4,$DK4)-0.4</f>
        <v>-0.826573382682398</v>
      </c>
      <c r="CV16" s="26">
        <f t="shared" si="5"/>
        <v>-0.426573382682398</v>
      </c>
      <c r="CW16" s="26">
        <f t="shared" si="5"/>
        <v>-0.426573382682398</v>
      </c>
      <c r="CX16" s="26">
        <f t="shared" si="5"/>
        <v>-0.729314124761345</v>
      </c>
      <c r="CY16" s="26">
        <f t="shared" si="5"/>
        <v>-0.426573382682398</v>
      </c>
      <c r="CZ16" s="26">
        <f t="shared" si="5"/>
        <v>-0.594379419662691</v>
      </c>
      <c r="DA16" s="26">
        <f t="shared" si="5"/>
        <v>-0.426573382682398</v>
      </c>
      <c r="DB16" s="26">
        <f t="shared" si="5"/>
        <v>-0.426573382682398</v>
      </c>
      <c r="DC16" s="26">
        <f t="shared" si="5"/>
        <v>-0.426573382682398</v>
      </c>
      <c r="DD16" s="26">
        <f t="shared" si="5"/>
        <v>-0.426573382682398</v>
      </c>
      <c r="DE16" s="26">
        <f t="shared" si="5"/>
        <v>-0.621798376796139</v>
      </c>
      <c r="DF16" s="26">
        <f t="shared" si="5"/>
        <v>-0.426573382682398</v>
      </c>
      <c r="DG16" s="26">
        <f t="shared" si="5"/>
        <v>-0.426573382682398</v>
      </c>
      <c r="DH16" s="26">
        <f t="shared" si="5"/>
        <v>-0.426573382682398</v>
      </c>
      <c r="DI16" s="26">
        <f t="shared" si="5"/>
        <v>-0.426573382682398</v>
      </c>
      <c r="DJ16" s="26">
        <f t="shared" si="5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ref="B16:B22" si="6">"UCE_utilization_"&amp;RIGHT(A5,3)&amp;"_"&amp;RIGHT(B$14,2)</f>
        <v>UCE_utilization_COA_UP</v>
      </c>
      <c r="C17" t="s">
        <v>404</v>
      </c>
      <c r="D17" t="str">
        <f t="shared" si="3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404</v>
      </c>
      <c r="D18" t="str">
        <f t="shared" si="3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404</v>
      </c>
      <c r="D19" t="str">
        <f t="shared" si="3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404</v>
      </c>
      <c r="D20" t="str">
        <f t="shared" si="3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404</v>
      </c>
      <c r="D21" t="str">
        <f t="shared" si="3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404</v>
      </c>
      <c r="D22" t="str">
        <f t="shared" si="3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2026-04-30T16:49:00Z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