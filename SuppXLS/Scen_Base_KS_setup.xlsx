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<sst xmlns="http://schemas.openxmlformats.org/spreadsheetml/2006/main" count="2021" uniqueCount="655">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</sst>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imes New Roman"/>
      <charset val="134"/>
    </font>
    <font>
      <b/>
      <sz val="8"/>
      <name val="Tahoma"/>
      <charset val="134"/>
    </font>
    <font>
      <sz val="9"/>
      <name val="Tahoma"/>
      <charset val="1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2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6" borderId="1" applyNumberFormat="0" applyAlignment="0" applyProtection="0"/>
    <xf numFmtId="0" fontId="20" fillId="16" borderId="7" applyNumberFormat="0" applyAlignment="0" applyProtection="0">
      <alignment vertical="center"/>
    </xf>
    <xf numFmtId="0" fontId="21" fillId="16" borderId="1" applyNumberFormat="0" applyAlignment="0" applyProtection="0">
      <alignment vertical="center"/>
    </xf>
    <xf numFmtId="0" fontId="22" fillId="17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4" fillId="4" borderId="0" applyNumberFormat="0" applyBorder="0" applyAlignment="0" applyProtection="0"/>
    <xf numFmtId="0" fontId="25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/>
    <xf numFmtId="0" fontId="26" fillId="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4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7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7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9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49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46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6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1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50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50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29" fillId="51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48" borderId="0" applyNumberFormat="0" applyBorder="0" applyAlignment="0" applyProtection="0"/>
    <xf numFmtId="0" fontId="29" fillId="4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43" borderId="0" applyNumberFormat="0" applyBorder="0" applyAlignment="0" applyProtection="0"/>
    <xf numFmtId="0" fontId="29" fillId="52" borderId="0" applyNumberFormat="0" applyBorder="0" applyAlignment="0" applyProtection="0"/>
    <xf numFmtId="0" fontId="29" fillId="4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49" borderId="0" applyNumberFormat="0" applyBorder="0" applyAlignment="0" applyProtection="0"/>
    <xf numFmtId="0" fontId="29" fillId="50" borderId="0" applyNumberFormat="0" applyBorder="0" applyAlignment="0" applyProtection="0"/>
    <xf numFmtId="0" fontId="29" fillId="53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53" borderId="0" applyNumberFormat="0" applyBorder="0" applyAlignment="0" applyProtection="0"/>
    <xf numFmtId="0" fontId="29" fillId="42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5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55" borderId="0" applyNumberFormat="0" applyBorder="0" applyAlignment="0" applyProtection="0"/>
    <xf numFmtId="0" fontId="29" fillId="43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9" borderId="0" applyNumberFormat="0" applyBorder="0" applyAlignment="0" applyProtection="0"/>
    <xf numFmtId="0" fontId="29" fillId="5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4" fontId="30" fillId="47" borderId="11">
      <alignment horizontal="right" vertical="center"/>
    </xf>
    <xf numFmtId="4" fontId="30" fillId="47" borderId="11">
      <alignment horizontal="right" vertical="center"/>
    </xf>
    <xf numFmtId="0" fontId="31" fillId="42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2" borderId="0" applyNumberFormat="0" applyBorder="0" applyAlignment="0" applyProtection="0"/>
    <xf numFmtId="0" fontId="31" fillId="46" borderId="0" applyNumberFormat="0" applyBorder="0" applyAlignment="0" applyProtection="0"/>
    <xf numFmtId="0" fontId="32" fillId="18" borderId="0" applyNumberFormat="0" applyBorder="0" applyAlignment="0" applyProtection="0"/>
    <xf numFmtId="0" fontId="33" fillId="61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3" fillId="61" borderId="12" applyNumberFormat="0" applyAlignment="0" applyProtection="0"/>
    <xf numFmtId="0" fontId="34" fillId="62" borderId="12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49" fontId="13" fillId="48" borderId="14">
      <alignment vertical="top" wrapText="1"/>
    </xf>
    <xf numFmtId="49" fontId="13" fillId="48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6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7" fillId="0" borderId="15">
      <alignment horizontal="left" vertical="center" wrapText="1" indent="2"/>
    </xf>
    <xf numFmtId="181" fontId="38" fillId="0" borderId="0">
      <protection locked="0"/>
    </xf>
    <xf numFmtId="181" fontId="38" fillId="0" borderId="0">
      <protection locked="0"/>
    </xf>
    <xf numFmtId="3" fontId="39" fillId="0" borderId="14">
      <alignment horizontal="right" vertical="top"/>
    </xf>
    <xf numFmtId="0" fontId="12" fillId="54" borderId="11">
      <alignment horizontal="centerContinuous" vertical="top" wrapText="1"/>
    </xf>
    <xf numFmtId="0" fontId="40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7" fontId="38" fillId="0" borderId="0">
      <protection locked="0"/>
    </xf>
    <xf numFmtId="187" fontId="38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" fillId="4" borderId="0" applyNumberFormat="0" applyBorder="0" applyAlignment="0" applyProtection="0"/>
    <xf numFmtId="0" fontId="43" fillId="0" borderId="16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3" fillId="0" borderId="16" applyNumberFormat="0" applyFill="0" applyAlignment="0" applyProtection="0"/>
    <xf numFmtId="0" fontId="44" fillId="0" borderId="17" applyNumberFormat="0" applyFill="0" applyAlignment="0" applyProtection="0"/>
    <xf numFmtId="0" fontId="45" fillId="0" borderId="18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5" fillId="0" borderId="18" applyNumberFormat="0" applyFill="0" applyAlignment="0" applyProtection="0"/>
    <xf numFmtId="0" fontId="46" fillId="0" borderId="19" applyNumberFormat="0" applyFill="0" applyAlignment="0" applyProtection="0"/>
    <xf numFmtId="0" fontId="8" fillId="0" borderId="20" applyNumberFormat="0" applyFill="0" applyAlignment="0" applyProtection="0"/>
    <xf numFmtId="0" fontId="47" fillId="0" borderId="21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7" fillId="0" borderId="21" applyNumberFormat="0" applyFill="0" applyAlignment="0" applyProtection="0"/>
    <xf numFmtId="0" fontId="48" fillId="0" borderId="22" applyNumberFormat="0" applyFill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188" fontId="49" fillId="0" borderId="0">
      <protection locked="0"/>
    </xf>
    <xf numFmtId="188" fontId="49" fillId="0" borderId="0">
      <protection locked="0"/>
    </xf>
    <xf numFmtId="188" fontId="49" fillId="0" borderId="0">
      <protection locked="0"/>
    </xf>
    <xf numFmtId="188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1" fillId="47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10" borderId="12" applyNumberFormat="0" applyAlignment="0" applyProtection="0"/>
    <xf numFmtId="0" fontId="51" fillId="47" borderId="12" applyNumberFormat="0" applyAlignment="0" applyProtection="0"/>
    <xf numFmtId="0" fontId="51" fillId="10" borderId="12" applyNumberFormat="0" applyAlignment="0" applyProtection="0"/>
    <xf numFmtId="0" fontId="6" fillId="6" borderId="1" applyNumberFormat="0" applyAlignment="0" applyProtection="0"/>
    <xf numFmtId="4" fontId="37" fillId="0" borderId="0" applyBorder="0">
      <alignment horizontal="right" vertical="center"/>
    </xf>
    <xf numFmtId="0" fontId="52" fillId="0" borderId="0"/>
    <xf numFmtId="0" fontId="53" fillId="0" borderId="23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3" fillId="0" borderId="23" applyNumberFormat="0" applyFill="0" applyAlignment="0" applyProtection="0"/>
    <xf numFmtId="0" fontId="54" fillId="0" borderId="24" applyNumberFormat="0" applyFill="0" applyAlignment="0" applyProtection="0"/>
    <xf numFmtId="189" fontId="13" fillId="0" borderId="0" applyFont="0" applyFill="0" applyBorder="0" applyAlignment="0" applyProtection="0"/>
    <xf numFmtId="0" fontId="55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57" fillId="10" borderId="0" applyNumberFormat="0" applyBorder="0" applyAlignment="0" applyProtection="0"/>
    <xf numFmtId="0" fontId="56" fillId="10" borderId="0" applyNumberFormat="0" applyBorder="0" applyAlignment="0" applyProtection="0"/>
    <xf numFmtId="0" fontId="55" fillId="10" borderId="0" applyNumberFormat="0" applyBorder="0" applyAlignment="0" applyProtection="0"/>
    <xf numFmtId="0" fontId="3" fillId="3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58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58" fillId="0" borderId="0">
      <alignment vertical="center"/>
    </xf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28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7" fillId="0" borderId="11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60" fillId="0" borderId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192" fontId="61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2" fillId="61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1" borderId="26" applyNumberFormat="0" applyAlignment="0" applyProtection="0"/>
    <xf numFmtId="0" fontId="62" fillId="62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3" fillId="0" borderId="0" applyFont="0" applyFill="0" applyBorder="0" applyAlignment="0" applyProtection="0"/>
    <xf numFmtId="194" fontId="63" fillId="0" borderId="0" applyFont="0" applyFill="0" applyBorder="0" applyAlignment="0" applyProtection="0"/>
    <xf numFmtId="195" fontId="63" fillId="0" borderId="0" applyFont="0" applyFill="0" applyBorder="0" applyAlignment="0" applyProtection="0"/>
    <xf numFmtId="0" fontId="40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2" fillId="64" borderId="11" applyNumberFormat="0" applyProtection="0">
      <alignment horizontal="right"/>
    </xf>
    <xf numFmtId="0" fontId="64" fillId="64" borderId="0" applyNumberFormat="0" applyBorder="0" applyProtection="0">
      <alignment horizontal="left"/>
    </xf>
    <xf numFmtId="0" fontId="12" fillId="64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5" fillId="56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197" fontId="66" fillId="65" borderId="27">
      <alignment vertical="center"/>
    </xf>
    <xf numFmtId="178" fontId="67" fillId="65" borderId="27">
      <alignment vertical="center"/>
    </xf>
    <xf numFmtId="197" fontId="68" fillId="66" borderId="27">
      <alignment vertical="center"/>
    </xf>
    <xf numFmtId="0" fontId="13" fillId="67" borderId="28" applyBorder="0">
      <alignment horizontal="left" vertical="center"/>
    </xf>
    <xf numFmtId="0" fontId="13" fillId="67" borderId="28" applyBorder="0">
      <alignment horizontal="left" vertical="center"/>
    </xf>
    <xf numFmtId="49" fontId="13" fillId="68" borderId="11">
      <alignment vertical="center" wrapText="1"/>
    </xf>
    <xf numFmtId="49" fontId="13" fillId="68" borderId="11">
      <alignment vertical="center" wrapText="1"/>
    </xf>
    <xf numFmtId="0" fontId="13" fillId="69" borderId="29">
      <alignment horizontal="left" vertical="center" wrapText="1"/>
    </xf>
    <xf numFmtId="0" fontId="13" fillId="69" borderId="29">
      <alignment horizontal="left" vertical="center" wrapText="1"/>
    </xf>
    <xf numFmtId="0" fontId="69" fillId="70" borderId="11">
      <alignment horizontal="left" vertical="center" wrapText="1"/>
    </xf>
    <xf numFmtId="0" fontId="13" fillId="55" borderId="11">
      <alignment horizontal="left" vertical="center" wrapText="1"/>
    </xf>
    <xf numFmtId="0" fontId="13" fillId="55" borderId="11">
      <alignment horizontal="left" vertical="center" wrapText="1"/>
    </xf>
    <xf numFmtId="0" fontId="13" fillId="71" borderId="11">
      <alignment horizontal="left" vertical="center" wrapText="1"/>
    </xf>
    <xf numFmtId="0" fontId="13" fillId="71" borderId="11">
      <alignment horizontal="left" vertical="center" wrapText="1"/>
    </xf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30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0" applyNumberFormat="0" applyFill="0" applyAlignment="0" applyProtection="0"/>
    <xf numFmtId="0" fontId="72" fillId="0" borderId="31" applyNumberFormat="0" applyFill="0" applyAlignment="0" applyProtection="0"/>
    <xf numFmtId="198" fontId="63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4" fontId="37" fillId="0" borderId="0"/>
    <xf numFmtId="0" fontId="73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Fill="1"/>
    <xf numFmtId="0" fontId="0" fillId="2" borderId="0" xfId="0" applyFill="1"/>
    <xf numFmtId="0" fontId="1" fillId="0" borderId="0" xfId="0" applyFont="1"/>
    <xf numFmtId="2" fontId="0" fillId="0" borderId="0" xfId="0" applyNumberFormat="1"/>
    <xf numFmtId="0" fontId="2" fillId="3" borderId="0" xfId="24" applyFont="1"/>
    <xf numFmtId="0" fontId="3" fillId="3" borderId="0" xfId="24"/>
    <xf numFmtId="0" fontId="4" fillId="4" borderId="0" xfId="22"/>
    <xf numFmtId="0" fontId="5" fillId="5" borderId="0" xfId="0" applyFont="1" applyFill="1"/>
    <xf numFmtId="199" fontId="5" fillId="5" borderId="0" xfId="0" applyNumberFormat="1" applyFont="1" applyFill="1"/>
    <xf numFmtId="4" fontId="4" fillId="4" borderId="0" xfId="22" applyNumberFormat="1"/>
    <xf numFmtId="0" fontId="6" fillId="6" borderId="1" xfId="16"/>
    <xf numFmtId="0" fontId="0" fillId="5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0" fillId="7" borderId="0" xfId="0" applyFill="1"/>
    <xf numFmtId="9" fontId="0" fillId="0" borderId="0" xfId="3" applyFont="1"/>
    <xf numFmtId="0" fontId="0" fillId="0" borderId="0" xfId="0" applyAlignment="1">
      <alignment wrapText="1"/>
    </xf>
    <xf numFmtId="0" fontId="10" fillId="0" borderId="0" xfId="6" applyAlignment="1"/>
    <xf numFmtId="0" fontId="0" fillId="8" borderId="0" xfId="0" applyFill="1"/>
    <xf numFmtId="0" fontId="0" fillId="9" borderId="0" xfId="0" applyFill="1"/>
    <xf numFmtId="2" fontId="0" fillId="9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1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10" borderId="4" xfId="0" applyFont="1" applyFill="1" applyBorder="1"/>
    <xf numFmtId="0" fontId="12" fillId="11" borderId="4" xfId="0" applyFont="1" applyFill="1" applyBorder="1"/>
    <xf numFmtId="0" fontId="13" fillId="10" borderId="4" xfId="0" applyFont="1" applyFill="1" applyBorder="1"/>
    <xf numFmtId="1" fontId="0" fillId="0" borderId="0" xfId="0" applyNumberFormat="1"/>
    <xf numFmtId="0" fontId="0" fillId="12" borderId="0" xfId="0" applyFill="1"/>
    <xf numFmtId="200" fontId="1" fillId="0" borderId="0" xfId="0" applyNumberFormat="1" applyFont="1"/>
    <xf numFmtId="0" fontId="0" fillId="13" borderId="0" xfId="0" applyFill="1"/>
    <xf numFmtId="0" fontId="9" fillId="13" borderId="0" xfId="15" applyFill="1"/>
    <xf numFmtId="0" fontId="14" fillId="13" borderId="0" xfId="0" applyFont="1" applyFill="1"/>
    <xf numFmtId="0" fontId="0" fillId="14" borderId="0" xfId="0" applyFill="1"/>
    <xf numFmtId="0" fontId="14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8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13" t="s">
        <v>0</v>
      </c>
      <c r="M1" t="s">
        <v>1</v>
      </c>
    </row>
    <row r="3" spans="1:41">
      <c r="D3" s="12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4">
        <v>4.412</v>
      </c>
      <c r="F5" s="4">
        <v>3.12026375782552</v>
      </c>
      <c r="G5" s="4">
        <v>19.819</v>
      </c>
      <c r="H5" s="4" t="s">
        <v>45</v>
      </c>
      <c r="I5" s="4" t="s">
        <v>45</v>
      </c>
      <c r="J5" s="4">
        <v>5.392</v>
      </c>
      <c r="K5" s="4">
        <v>3.04</v>
      </c>
      <c r="L5" s="4">
        <v>1049.77744541795</v>
      </c>
      <c r="M5" s="4">
        <v>0.341</v>
      </c>
      <c r="N5" s="4">
        <v>1.829</v>
      </c>
      <c r="O5" s="4">
        <v>1.784</v>
      </c>
      <c r="P5" s="4">
        <v>20.964</v>
      </c>
      <c r="Q5" s="4" t="s">
        <v>45</v>
      </c>
      <c r="R5" s="4">
        <v>0.631</v>
      </c>
      <c r="S5" s="4" t="s">
        <v>45</v>
      </c>
      <c r="T5" s="4">
        <v>226.585</v>
      </c>
      <c r="U5" s="4">
        <v>1.043</v>
      </c>
      <c r="V5" s="4">
        <v>7.734</v>
      </c>
      <c r="W5" s="4">
        <v>55.883</v>
      </c>
      <c r="X5" s="4">
        <v>8.113</v>
      </c>
      <c r="Y5" s="4">
        <v>5.815</v>
      </c>
      <c r="Z5" s="4">
        <v>208.923</v>
      </c>
      <c r="AA5" s="4">
        <v>0.008</v>
      </c>
      <c r="AB5" s="4">
        <v>21.844</v>
      </c>
      <c r="AC5" s="4">
        <v>1173.40732616814</v>
      </c>
      <c r="AD5" s="4">
        <v>33.27</v>
      </c>
      <c r="AE5" s="4" t="s">
        <v>45</v>
      </c>
      <c r="AF5" s="4">
        <v>45.335</v>
      </c>
      <c r="AG5" s="4">
        <v>1.425</v>
      </c>
      <c r="AH5" s="4">
        <v>6.068</v>
      </c>
      <c r="AI5" s="4" t="s">
        <v>45</v>
      </c>
      <c r="AJ5" s="4">
        <v>8.664</v>
      </c>
      <c r="AK5" s="4">
        <v>5.108</v>
      </c>
      <c r="AL5" s="4">
        <v>25.702</v>
      </c>
      <c r="AM5" s="4">
        <v>0.224</v>
      </c>
      <c r="AN5" s="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4">
        <v>96.795</v>
      </c>
      <c r="F6" s="4">
        <v>25.6351710820699</v>
      </c>
      <c r="G6" s="4">
        <v>16.3663125505745</v>
      </c>
      <c r="H6" s="4">
        <v>4.529</v>
      </c>
      <c r="I6" s="4">
        <v>2.229</v>
      </c>
      <c r="J6" s="4">
        <v>19.908</v>
      </c>
      <c r="K6" s="4">
        <v>12.976</v>
      </c>
      <c r="L6" s="4">
        <v>124.106769526882</v>
      </c>
      <c r="M6" s="4">
        <v>1.35494652675863</v>
      </c>
      <c r="N6" s="4">
        <v>2.955</v>
      </c>
      <c r="O6" s="4">
        <v>8.263</v>
      </c>
      <c r="P6" s="4">
        <v>23.885</v>
      </c>
      <c r="Q6" s="4">
        <v>7.819</v>
      </c>
      <c r="R6" s="4">
        <v>6.279</v>
      </c>
      <c r="S6" s="4" t="s">
        <v>45</v>
      </c>
      <c r="T6" s="4">
        <v>24.629</v>
      </c>
      <c r="U6" s="4">
        <v>4.302</v>
      </c>
      <c r="V6" s="4">
        <v>50.522</v>
      </c>
      <c r="W6" s="4">
        <v>83.7</v>
      </c>
      <c r="X6" s="4">
        <v>56.636</v>
      </c>
      <c r="Y6" s="4">
        <v>215.315</v>
      </c>
      <c r="Z6" s="4">
        <v>555.117</v>
      </c>
      <c r="AA6" s="4">
        <v>0.318</v>
      </c>
      <c r="AB6" s="4">
        <v>3.817</v>
      </c>
      <c r="AC6" s="4">
        <v>377.33885156572</v>
      </c>
      <c r="AD6" s="4">
        <v>126.817</v>
      </c>
      <c r="AE6" s="4">
        <v>54.058</v>
      </c>
      <c r="AF6" s="4">
        <v>0.033</v>
      </c>
      <c r="AG6" s="4">
        <v>31.272</v>
      </c>
      <c r="AH6" s="4">
        <v>5.718</v>
      </c>
      <c r="AI6" s="4">
        <v>0.491</v>
      </c>
      <c r="AJ6" s="4">
        <v>25.944</v>
      </c>
      <c r="AK6" s="4">
        <v>33.529</v>
      </c>
      <c r="AL6" s="4">
        <v>3.113</v>
      </c>
      <c r="AM6" s="4">
        <v>0.951</v>
      </c>
      <c r="AN6" s="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4">
        <v>4.432</v>
      </c>
      <c r="F7" s="4">
        <v>36.8858527599317</v>
      </c>
      <c r="G7" s="4">
        <v>8.44</v>
      </c>
      <c r="H7" s="4">
        <v>14.933</v>
      </c>
      <c r="I7" s="4">
        <v>1.717</v>
      </c>
      <c r="J7" s="4">
        <v>0.198</v>
      </c>
      <c r="K7" s="4">
        <v>109.95</v>
      </c>
      <c r="L7" s="4">
        <v>381.480858686818</v>
      </c>
      <c r="M7" s="4">
        <v>3.63800080835852</v>
      </c>
      <c r="N7" s="4">
        <v>2.731</v>
      </c>
      <c r="O7" s="4">
        <v>24.478</v>
      </c>
      <c r="P7" s="4">
        <v>5.741</v>
      </c>
      <c r="Q7" s="4">
        <v>3.456</v>
      </c>
      <c r="R7" s="4">
        <v>9.206</v>
      </c>
      <c r="S7" s="4">
        <v>2.114</v>
      </c>
      <c r="T7" s="4">
        <v>54.1028396193525</v>
      </c>
      <c r="U7" s="4">
        <v>0.237</v>
      </c>
      <c r="V7" s="4">
        <v>18.942</v>
      </c>
      <c r="W7" s="4">
        <v>28.247</v>
      </c>
      <c r="X7" s="4">
        <v>81.8173772429141</v>
      </c>
      <c r="Y7" s="4">
        <v>15.1858324984039</v>
      </c>
      <c r="Z7" s="4">
        <v>184.391</v>
      </c>
      <c r="AA7" s="4">
        <v>34.41</v>
      </c>
      <c r="AB7" s="4">
        <v>0.986</v>
      </c>
      <c r="AC7" s="4">
        <v>506.242366978746</v>
      </c>
      <c r="AD7" s="4">
        <v>51.535</v>
      </c>
      <c r="AE7" s="4" t="s">
        <v>45</v>
      </c>
      <c r="AF7" s="4">
        <v>0.752</v>
      </c>
      <c r="AG7" s="4">
        <v>25.039</v>
      </c>
      <c r="AH7" s="4">
        <v>19.647</v>
      </c>
      <c r="AI7" s="4">
        <v>15.279</v>
      </c>
      <c r="AJ7" s="4">
        <v>31.935</v>
      </c>
      <c r="AK7" s="4">
        <v>2.252</v>
      </c>
      <c r="AL7" s="4">
        <v>4.887</v>
      </c>
      <c r="AM7" s="4">
        <v>8.80061311366949</v>
      </c>
      <c r="AN7" s="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4" t="s">
        <v>45</v>
      </c>
      <c r="F8" s="4" t="s">
        <v>45</v>
      </c>
      <c r="G8" s="4" t="s">
        <v>45</v>
      </c>
      <c r="H8" s="4" t="s">
        <v>45</v>
      </c>
      <c r="I8" s="4" t="s">
        <v>45</v>
      </c>
      <c r="J8" s="4">
        <v>5.563</v>
      </c>
      <c r="K8" s="4">
        <v>2.062</v>
      </c>
      <c r="L8" s="4">
        <v>70.6297930648943</v>
      </c>
      <c r="M8" s="4">
        <v>0.727</v>
      </c>
      <c r="N8" s="4">
        <v>6.954</v>
      </c>
      <c r="O8" s="4">
        <v>65.792</v>
      </c>
      <c r="P8" s="4">
        <v>4.291</v>
      </c>
      <c r="Q8" s="4" t="s">
        <v>45</v>
      </c>
      <c r="R8" s="4">
        <v>5.45</v>
      </c>
      <c r="S8" s="4" t="s">
        <v>45</v>
      </c>
      <c r="T8" s="4">
        <v>14.4554035848022</v>
      </c>
      <c r="U8" s="4" t="s">
        <v>45</v>
      </c>
      <c r="V8" s="4" t="s">
        <v>45</v>
      </c>
      <c r="W8" s="4">
        <v>34.1194818175494</v>
      </c>
      <c r="X8" s="4">
        <v>1.798</v>
      </c>
      <c r="Y8" s="4">
        <v>7.62</v>
      </c>
      <c r="Z8" s="4">
        <v>115.929</v>
      </c>
      <c r="AA8" s="4" t="s">
        <v>45</v>
      </c>
      <c r="AB8" s="4" t="s">
        <v>45</v>
      </c>
      <c r="AC8" s="4">
        <v>112.973094438467</v>
      </c>
      <c r="AD8" s="4">
        <v>34.297233878302</v>
      </c>
      <c r="AE8" s="4" t="s">
        <v>45</v>
      </c>
      <c r="AF8" s="4">
        <v>1.94</v>
      </c>
      <c r="AG8" s="4">
        <v>7.398</v>
      </c>
      <c r="AH8" s="4">
        <v>11.706</v>
      </c>
      <c r="AI8" s="4">
        <v>3.025</v>
      </c>
      <c r="AJ8" s="4">
        <v>3.54591433260089</v>
      </c>
      <c r="AK8" s="4">
        <v>7.23456144459034</v>
      </c>
      <c r="AL8" s="4">
        <v>13.88</v>
      </c>
      <c r="AM8" s="4" t="s">
        <v>45</v>
      </c>
      <c r="AN8" s="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4">
        <v>3.759</v>
      </c>
      <c r="F9" s="4">
        <v>3.346</v>
      </c>
      <c r="G9" s="4">
        <v>34.218</v>
      </c>
      <c r="H9" s="4">
        <v>6.832</v>
      </c>
      <c r="I9" s="4">
        <v>2.208</v>
      </c>
      <c r="J9" s="4">
        <v>32.886</v>
      </c>
      <c r="K9" s="4">
        <v>40.781</v>
      </c>
      <c r="L9" s="4">
        <v>618.105570429358</v>
      </c>
      <c r="M9" s="4">
        <v>1.496</v>
      </c>
      <c r="N9" s="4">
        <v>3.185</v>
      </c>
      <c r="O9" s="4">
        <v>20.552</v>
      </c>
      <c r="P9" s="4">
        <v>83.039</v>
      </c>
      <c r="Q9" s="4">
        <v>7.637</v>
      </c>
      <c r="R9" s="4">
        <v>10.704</v>
      </c>
      <c r="S9" s="4">
        <v>0.007</v>
      </c>
      <c r="T9" s="4">
        <v>76.309</v>
      </c>
      <c r="U9" s="4">
        <v>0.738</v>
      </c>
      <c r="V9" s="4">
        <v>30.029</v>
      </c>
      <c r="W9" s="4">
        <v>87.173</v>
      </c>
      <c r="X9" s="4">
        <v>15.894</v>
      </c>
      <c r="Y9" s="4">
        <v>17.263</v>
      </c>
      <c r="Z9" s="4">
        <v>158.453</v>
      </c>
      <c r="AA9" s="4">
        <v>0.617</v>
      </c>
      <c r="AB9" s="4">
        <v>15.81</v>
      </c>
      <c r="AC9" s="4">
        <v>690.025</v>
      </c>
      <c r="AD9" s="4">
        <v>2.442</v>
      </c>
      <c r="AE9" s="4">
        <v>2.286</v>
      </c>
      <c r="AF9" s="4">
        <v>6.473</v>
      </c>
      <c r="AG9" s="4">
        <v>35.164</v>
      </c>
      <c r="AH9" s="4">
        <v>7.917</v>
      </c>
      <c r="AI9" s="4">
        <v>5.84</v>
      </c>
      <c r="AJ9" s="4">
        <v>11.292</v>
      </c>
      <c r="AK9" s="4">
        <v>15.657</v>
      </c>
      <c r="AL9" s="4">
        <v>8.15</v>
      </c>
      <c r="AM9" s="4">
        <v>1.025</v>
      </c>
      <c r="AN9" s="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4">
        <v>10.1220661744693</v>
      </c>
      <c r="F10" s="4">
        <v>1.273</v>
      </c>
      <c r="G10" s="4">
        <v>13.161</v>
      </c>
      <c r="H10" s="4">
        <v>3.977</v>
      </c>
      <c r="I10" s="4">
        <v>1.914</v>
      </c>
      <c r="J10" s="4">
        <v>16.492</v>
      </c>
      <c r="K10" s="4">
        <v>29.818</v>
      </c>
      <c r="L10" s="4">
        <v>481.98396376118</v>
      </c>
      <c r="M10" s="4">
        <v>1.146</v>
      </c>
      <c r="N10" s="4">
        <v>0.347</v>
      </c>
      <c r="O10" s="4">
        <v>23.176</v>
      </c>
      <c r="P10" s="4">
        <v>70.263059689023</v>
      </c>
      <c r="Q10" s="4">
        <v>5.379</v>
      </c>
      <c r="R10" s="4">
        <v>4.141</v>
      </c>
      <c r="S10" s="4">
        <v>0.17695741101743</v>
      </c>
      <c r="T10" s="4">
        <v>52.9658823207897</v>
      </c>
      <c r="U10" s="4">
        <v>4.862</v>
      </c>
      <c r="V10" s="4">
        <v>12.391</v>
      </c>
      <c r="W10" s="4">
        <v>5.483</v>
      </c>
      <c r="X10" s="4">
        <v>19.4340173249179</v>
      </c>
      <c r="Y10" s="4">
        <v>1.487</v>
      </c>
      <c r="Z10" s="4">
        <v>174.881458488924</v>
      </c>
      <c r="AA10" s="4">
        <v>5.065</v>
      </c>
      <c r="AB10" s="4">
        <v>9.307</v>
      </c>
      <c r="AC10" s="4">
        <v>466.351347074073</v>
      </c>
      <c r="AD10" s="4">
        <v>2.64</v>
      </c>
      <c r="AE10" s="4">
        <v>0.403</v>
      </c>
      <c r="AF10" s="4">
        <v>3.463</v>
      </c>
      <c r="AG10" s="4">
        <v>36.745</v>
      </c>
      <c r="AH10" s="4">
        <v>31.957</v>
      </c>
      <c r="AI10" s="4">
        <v>0.087</v>
      </c>
      <c r="AJ10" s="4">
        <v>11.749</v>
      </c>
      <c r="AK10" s="4">
        <v>34.5394277256465</v>
      </c>
      <c r="AL10" s="4">
        <v>1.902</v>
      </c>
      <c r="AM10" s="4">
        <v>1.095</v>
      </c>
      <c r="AN10" s="4">
        <v>-1</v>
      </c>
      <c r="AO10" t="s">
        <v>50</v>
      </c>
    </row>
    <row r="11" spans="1:41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 spans="1:41"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 spans="1:41"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</row>
    <row r="14" spans="1:41"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 spans="1:41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 spans="1:41"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26" t="s">
        <v>53</v>
      </c>
      <c r="I2" s="27"/>
      <c r="J2" s="28"/>
      <c r="K2" s="28"/>
      <c r="L2" s="28"/>
      <c r="M2" s="28"/>
      <c r="N2" s="28"/>
      <c r="O2" s="28"/>
      <c r="P2" s="28"/>
    </row>
    <row r="3" ht="15.25" spans="1:30">
      <c r="B3" s="29" t="s">
        <v>54</v>
      </c>
      <c r="C3" s="29" t="s">
        <v>55</v>
      </c>
      <c r="D3" s="29" t="s">
        <v>56</v>
      </c>
      <c r="E3" s="29" t="s">
        <v>57</v>
      </c>
      <c r="F3" s="29" t="s">
        <v>58</v>
      </c>
      <c r="G3" s="29" t="s">
        <v>59</v>
      </c>
      <c r="H3" s="30" t="s">
        <v>60</v>
      </c>
      <c r="I3" s="31" t="s">
        <v>61</v>
      </c>
      <c r="J3" s="31" t="s">
        <v>62</v>
      </c>
      <c r="K3" s="31" t="s">
        <v>63</v>
      </c>
      <c r="L3" s="31" t="s">
        <v>64</v>
      </c>
      <c r="M3" s="31" t="s">
        <v>65</v>
      </c>
      <c r="N3" s="31" t="s">
        <v>66</v>
      </c>
      <c r="O3" s="31" t="s">
        <v>67</v>
      </c>
      <c r="P3" s="31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20" t="s">
        <v>79</v>
      </c>
      <c r="V5" s="20" t="s">
        <v>80</v>
      </c>
      <c r="W5" s="20">
        <v>2150</v>
      </c>
      <c r="X5" s="20"/>
      <c r="Y5" s="2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2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21">
        <v>3.5</v>
      </c>
      <c r="X14" t="s">
        <v>102</v>
      </c>
      <c r="Y14" s="2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32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4">
        <f>V11*1.2</f>
        <v>23.328</v>
      </c>
      <c r="X21" t="s">
        <v>127</v>
      </c>
      <c r="Y21" t="s">
        <v>128</v>
      </c>
      <c r="Z21" s="40" t="s">
        <v>129</v>
      </c>
      <c r="AA21" t="str">
        <f t="shared" ref="AA21:AA26" si="0">X21</f>
        <v>HH2</v>
      </c>
      <c r="AB21" s="4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4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0" t="s">
        <v>141</v>
      </c>
      <c r="AC26" t="s">
        <v>99</v>
      </c>
    </row>
    <row r="27" spans="2:135">
      <c r="D27" t="s">
        <v>143</v>
      </c>
      <c r="E27">
        <v>2050</v>
      </c>
      <c r="H27" s="4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5" t="s">
        <v>73</v>
      </c>
      <c r="X29" s="36" t="s">
        <v>152</v>
      </c>
      <c r="Y29" s="36" t="s">
        <v>153</v>
      </c>
      <c r="Z29" s="36" t="s">
        <v>154</v>
      </c>
      <c r="AA29" s="36" t="s">
        <v>155</v>
      </c>
      <c r="AB29" s="36" t="s">
        <v>156</v>
      </c>
      <c r="AC29" s="36" t="s">
        <v>9</v>
      </c>
      <c r="AD29" s="36" t="s">
        <v>10</v>
      </c>
      <c r="AE29" s="36" t="s">
        <v>157</v>
      </c>
      <c r="AF29" s="36" t="s">
        <v>158</v>
      </c>
      <c r="AG29" s="36" t="s">
        <v>159</v>
      </c>
      <c r="AH29" s="36" t="s">
        <v>160</v>
      </c>
      <c r="AI29" s="36" t="s">
        <v>161</v>
      </c>
      <c r="AJ29" s="36" t="s">
        <v>13</v>
      </c>
      <c r="AK29" s="36" t="s">
        <v>162</v>
      </c>
      <c r="AL29" s="36" t="s">
        <v>163</v>
      </c>
      <c r="AM29" s="36" t="s">
        <v>164</v>
      </c>
      <c r="AN29" s="36" t="s">
        <v>165</v>
      </c>
      <c r="AO29" s="36" t="s">
        <v>14</v>
      </c>
      <c r="AP29" s="36" t="s">
        <v>166</v>
      </c>
      <c r="AQ29" s="36" t="s">
        <v>167</v>
      </c>
      <c r="AR29" s="36" t="s">
        <v>168</v>
      </c>
      <c r="AS29" s="36" t="s">
        <v>169</v>
      </c>
      <c r="AT29" s="36" t="s">
        <v>170</v>
      </c>
      <c r="AU29" s="36" t="s">
        <v>171</v>
      </c>
      <c r="AV29" s="36" t="s">
        <v>172</v>
      </c>
      <c r="AW29" s="36" t="s">
        <v>173</v>
      </c>
      <c r="AX29" s="36" t="s">
        <v>174</v>
      </c>
      <c r="AY29" s="36" t="s">
        <v>175</v>
      </c>
      <c r="AZ29" s="36" t="s">
        <v>17</v>
      </c>
      <c r="BA29" s="36" t="s">
        <v>176</v>
      </c>
      <c r="BB29" s="36" t="s">
        <v>18</v>
      </c>
      <c r="BC29" s="36" t="s">
        <v>177</v>
      </c>
      <c r="BD29" s="36" t="s">
        <v>178</v>
      </c>
      <c r="BE29" s="36" t="s">
        <v>179</v>
      </c>
      <c r="BF29" s="36" t="s">
        <v>21</v>
      </c>
      <c r="BG29" s="36" t="s">
        <v>22</v>
      </c>
      <c r="BH29" s="36" t="s">
        <v>180</v>
      </c>
      <c r="BI29" s="36" t="s">
        <v>181</v>
      </c>
      <c r="BJ29" s="36" t="s">
        <v>182</v>
      </c>
      <c r="BK29" s="36" t="s">
        <v>23</v>
      </c>
      <c r="BL29" s="36" t="s">
        <v>183</v>
      </c>
      <c r="BM29" s="36" t="s">
        <v>184</v>
      </c>
      <c r="BN29" s="36" t="s">
        <v>185</v>
      </c>
      <c r="BO29" s="36" t="s">
        <v>25</v>
      </c>
      <c r="BP29" s="36" t="s">
        <v>186</v>
      </c>
      <c r="BQ29" s="36" t="s">
        <v>187</v>
      </c>
      <c r="BR29" s="36" t="s">
        <v>188</v>
      </c>
      <c r="BS29" s="36" t="s">
        <v>189</v>
      </c>
      <c r="BT29" s="36" t="s">
        <v>190</v>
      </c>
      <c r="BU29" s="36" t="s">
        <v>191</v>
      </c>
      <c r="BV29" s="36" t="s">
        <v>192</v>
      </c>
      <c r="BW29" s="36" t="s">
        <v>193</v>
      </c>
      <c r="BX29" s="36" t="s">
        <v>194</v>
      </c>
      <c r="BY29" s="36" t="s">
        <v>195</v>
      </c>
      <c r="BZ29" s="36" t="s">
        <v>196</v>
      </c>
      <c r="CA29" s="36" t="s">
        <v>197</v>
      </c>
      <c r="CB29" s="36" t="s">
        <v>198</v>
      </c>
      <c r="CC29" s="36" t="s">
        <v>199</v>
      </c>
      <c r="CD29" s="36" t="s">
        <v>200</v>
      </c>
      <c r="CE29" s="36" t="s">
        <v>201</v>
      </c>
      <c r="CF29" s="36" t="s">
        <v>202</v>
      </c>
      <c r="CG29" s="36" t="s">
        <v>203</v>
      </c>
      <c r="CH29" s="36" t="s">
        <v>204</v>
      </c>
      <c r="CI29" s="36" t="s">
        <v>205</v>
      </c>
      <c r="CJ29" s="36" t="s">
        <v>206</v>
      </c>
      <c r="CK29" s="36" t="s">
        <v>207</v>
      </c>
      <c r="CL29" s="36" t="s">
        <v>208</v>
      </c>
      <c r="CM29" s="36" t="s">
        <v>29</v>
      </c>
      <c r="CN29" s="36" t="s">
        <v>209</v>
      </c>
      <c r="CO29" s="36" t="s">
        <v>210</v>
      </c>
      <c r="CP29" s="36" t="s">
        <v>211</v>
      </c>
      <c r="CQ29" s="36" t="s">
        <v>212</v>
      </c>
      <c r="CR29" s="36" t="s">
        <v>213</v>
      </c>
      <c r="CS29" s="36" t="s">
        <v>214</v>
      </c>
      <c r="CT29" s="36" t="s">
        <v>215</v>
      </c>
      <c r="CU29" s="36" t="s">
        <v>216</v>
      </c>
      <c r="CV29" s="36" t="s">
        <v>217</v>
      </c>
      <c r="CW29" s="36" t="s">
        <v>30</v>
      </c>
      <c r="CX29" s="36" t="s">
        <v>218</v>
      </c>
      <c r="CY29" s="36" t="s">
        <v>219</v>
      </c>
      <c r="CZ29" s="36" t="s">
        <v>220</v>
      </c>
      <c r="DA29" s="36" t="s">
        <v>32</v>
      </c>
      <c r="DB29" s="36" t="s">
        <v>33</v>
      </c>
      <c r="DC29" s="36" t="s">
        <v>221</v>
      </c>
      <c r="DD29" s="36" t="s">
        <v>222</v>
      </c>
      <c r="DE29" s="36" t="s">
        <v>223</v>
      </c>
      <c r="DF29" s="36" t="s">
        <v>224</v>
      </c>
      <c r="DG29" s="36" t="s">
        <v>34</v>
      </c>
      <c r="DH29" s="36" t="s">
        <v>225</v>
      </c>
      <c r="DI29" s="36" t="s">
        <v>226</v>
      </c>
      <c r="DJ29" s="36" t="s">
        <v>227</v>
      </c>
      <c r="DK29" s="36" t="s">
        <v>228</v>
      </c>
      <c r="DL29" s="36" t="s">
        <v>37</v>
      </c>
      <c r="DM29" s="36" t="s">
        <v>229</v>
      </c>
      <c r="DN29" s="36" t="s">
        <v>230</v>
      </c>
      <c r="DO29" s="36" t="s">
        <v>231</v>
      </c>
      <c r="DP29" s="36" t="s">
        <v>232</v>
      </c>
      <c r="DQ29" s="36" t="s">
        <v>233</v>
      </c>
      <c r="DR29" s="36" t="s">
        <v>38</v>
      </c>
      <c r="DS29" s="36" t="s">
        <v>234</v>
      </c>
      <c r="DT29" s="36" t="s">
        <v>235</v>
      </c>
      <c r="DU29" s="36" t="s">
        <v>39</v>
      </c>
      <c r="DV29" s="36" t="s">
        <v>40</v>
      </c>
      <c r="DW29" s="36" t="s">
        <v>236</v>
      </c>
      <c r="DX29" s="36" t="s">
        <v>237</v>
      </c>
      <c r="DY29" s="36" t="s">
        <v>238</v>
      </c>
      <c r="DZ29" s="36" t="s">
        <v>239</v>
      </c>
      <c r="EA29" s="36" t="s">
        <v>240</v>
      </c>
      <c r="EB29" s="36" t="s">
        <v>241</v>
      </c>
      <c r="EC29" s="36" t="s">
        <v>242</v>
      </c>
      <c r="ED29" s="36" t="s">
        <v>243</v>
      </c>
      <c r="EE29" s="3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37" t="s">
        <v>245</v>
      </c>
      <c r="X30" s="38">
        <v>0.5</v>
      </c>
      <c r="Y30" s="38">
        <v>0.5</v>
      </c>
      <c r="Z30" s="38">
        <v>0.5</v>
      </c>
      <c r="AA30" s="38">
        <v>0.5</v>
      </c>
      <c r="AB30" s="38">
        <v>0.880330129689671</v>
      </c>
      <c r="AC30" s="38">
        <v>0.5</v>
      </c>
      <c r="AD30" s="38">
        <v>1.43635426584992</v>
      </c>
      <c r="AE30" s="38">
        <v>0.28640020473296</v>
      </c>
      <c r="AF30" s="38">
        <v>0.5</v>
      </c>
      <c r="AG30" s="38">
        <v>1.89681589551844</v>
      </c>
      <c r="AH30" s="38">
        <v>0.529561709177279</v>
      </c>
      <c r="AI30" s="38">
        <v>2.23280493333333</v>
      </c>
      <c r="AJ30" s="38">
        <v>0.5</v>
      </c>
      <c r="AK30" s="38">
        <v>1.537054107788</v>
      </c>
      <c r="AL30" s="38">
        <v>0.5</v>
      </c>
      <c r="AM30" s="38">
        <v>0.517841558664547</v>
      </c>
      <c r="AN30" s="38">
        <v>0.5</v>
      </c>
      <c r="AO30" s="38">
        <v>0.68859433785327</v>
      </c>
      <c r="AP30" s="38">
        <v>0.5</v>
      </c>
      <c r="AQ30" s="38">
        <v>0.909913973797886</v>
      </c>
      <c r="AR30" s="38">
        <v>0.246856388121547</v>
      </c>
      <c r="AS30" s="38">
        <v>1.53715037026844</v>
      </c>
      <c r="AT30" s="38">
        <v>2.00954461975029</v>
      </c>
      <c r="AU30" s="38">
        <v>0.5</v>
      </c>
      <c r="AV30" s="38">
        <v>0.5</v>
      </c>
      <c r="AW30" s="38">
        <v>2.53614386666485</v>
      </c>
      <c r="AX30" s="38">
        <v>0.5</v>
      </c>
      <c r="AY30" s="38">
        <v>1.31959168743754</v>
      </c>
      <c r="AZ30" s="38">
        <v>1.26333562748337</v>
      </c>
      <c r="BA30" s="38">
        <v>0.5</v>
      </c>
      <c r="BB30" s="38">
        <v>0.811463508464399</v>
      </c>
      <c r="BC30" s="38">
        <v>0.5</v>
      </c>
      <c r="BD30" s="38">
        <v>0.070924584645638</v>
      </c>
      <c r="BE30" s="38">
        <v>0.538886154380813</v>
      </c>
      <c r="BF30" s="38">
        <v>0.772108172627653</v>
      </c>
      <c r="BG30" s="38">
        <v>0.5</v>
      </c>
      <c r="BH30" s="38">
        <v>0.5</v>
      </c>
      <c r="BI30" s="38">
        <v>0.5</v>
      </c>
      <c r="BJ30" s="38">
        <v>0.5</v>
      </c>
      <c r="BK30" s="38">
        <v>0.5</v>
      </c>
      <c r="BL30" s="38">
        <v>0.5</v>
      </c>
      <c r="BM30" s="38">
        <v>0.561679665057759</v>
      </c>
      <c r="BN30" s="38">
        <v>0.5</v>
      </c>
      <c r="BO30" s="38">
        <v>0.5</v>
      </c>
      <c r="BP30" s="38">
        <v>1.01202692206269</v>
      </c>
      <c r="BQ30" s="38">
        <v>0.5</v>
      </c>
      <c r="BR30" s="38">
        <v>0.5</v>
      </c>
      <c r="BS30" s="38">
        <v>0.5</v>
      </c>
      <c r="BT30" s="38">
        <v>1.95745180124224</v>
      </c>
      <c r="BU30" s="38">
        <v>0.888576032268769</v>
      </c>
      <c r="BV30" s="38">
        <v>0.5</v>
      </c>
      <c r="BW30" s="38">
        <v>3.52832406934561</v>
      </c>
      <c r="BX30" s="38">
        <v>2.40276262425447</v>
      </c>
      <c r="BY30" s="38">
        <v>0.272378558393112</v>
      </c>
      <c r="BZ30" s="38">
        <v>0.5</v>
      </c>
      <c r="CA30" s="38">
        <v>0.0381549757850336</v>
      </c>
      <c r="CB30" s="38">
        <v>0.5</v>
      </c>
      <c r="CC30" s="38">
        <v>2.14285661050061</v>
      </c>
      <c r="CD30" s="38">
        <v>0.5</v>
      </c>
      <c r="CE30" s="38">
        <v>0.5</v>
      </c>
      <c r="CF30" s="38">
        <v>0.5</v>
      </c>
      <c r="CG30" s="38">
        <v>0.5</v>
      </c>
      <c r="CH30" s="38">
        <v>0.5</v>
      </c>
      <c r="CI30" s="38">
        <v>0.501708699005855</v>
      </c>
      <c r="CJ30" s="38">
        <v>0.140262611393448</v>
      </c>
      <c r="CK30" s="38">
        <v>0.5</v>
      </c>
      <c r="CL30" s="38">
        <v>0.5</v>
      </c>
      <c r="CM30" s="38">
        <v>0.802398418234181</v>
      </c>
      <c r="CN30" s="38">
        <v>0.5</v>
      </c>
      <c r="CO30" s="38">
        <v>0.5</v>
      </c>
      <c r="CP30" s="38">
        <v>2.62476848951937</v>
      </c>
      <c r="CQ30" s="38">
        <v>0.5</v>
      </c>
      <c r="CR30" s="38">
        <v>0.5</v>
      </c>
      <c r="CS30" s="38">
        <v>0.5</v>
      </c>
      <c r="CT30" s="38">
        <v>0.5</v>
      </c>
      <c r="CU30" s="38">
        <v>0.5</v>
      </c>
      <c r="CV30" s="38">
        <v>0.5</v>
      </c>
      <c r="CW30" s="38">
        <v>0.373873615902288</v>
      </c>
      <c r="CX30" s="38">
        <v>0.803610304903818</v>
      </c>
      <c r="CY30" s="38">
        <v>0.5</v>
      </c>
      <c r="CZ30" s="38">
        <v>1.55182037907902</v>
      </c>
      <c r="DA30" s="38">
        <v>1.16378960402365</v>
      </c>
      <c r="DB30" s="38">
        <v>0.5</v>
      </c>
      <c r="DC30" s="38">
        <v>0.561445981739307</v>
      </c>
      <c r="DD30" s="38">
        <v>0.5</v>
      </c>
      <c r="DE30" s="38">
        <v>0.897015103002906</v>
      </c>
      <c r="DF30" s="38">
        <v>1.66556152209298</v>
      </c>
      <c r="DG30" s="38">
        <v>0.5</v>
      </c>
      <c r="DH30" s="38">
        <v>0.885985126939045</v>
      </c>
      <c r="DI30" s="38">
        <v>0.5</v>
      </c>
      <c r="DJ30" s="38">
        <v>0.5</v>
      </c>
      <c r="DK30" s="38">
        <v>2.63778652576313</v>
      </c>
      <c r="DL30" s="38">
        <v>1.49857000783021</v>
      </c>
      <c r="DM30" s="38">
        <v>0.675302561450318</v>
      </c>
      <c r="DN30" s="38">
        <v>0.546933177198058</v>
      </c>
      <c r="DO30" s="38">
        <v>0.5</v>
      </c>
      <c r="DP30" s="38">
        <v>0.5</v>
      </c>
      <c r="DQ30" s="38">
        <v>0.5</v>
      </c>
      <c r="DR30" s="38">
        <v>0.908669382059128</v>
      </c>
      <c r="DS30" s="38">
        <v>0.134099188596824</v>
      </c>
      <c r="DT30" s="38">
        <v>0.5</v>
      </c>
      <c r="DU30" s="38">
        <v>0.5</v>
      </c>
      <c r="DV30" s="38">
        <v>2.62534518744376</v>
      </c>
      <c r="DW30" s="38">
        <v>0.418643251337677</v>
      </c>
      <c r="DX30" s="38">
        <v>0.626320758771659</v>
      </c>
      <c r="DY30" s="38">
        <v>0.5</v>
      </c>
      <c r="DZ30" s="38">
        <v>0.5</v>
      </c>
      <c r="EA30" s="38">
        <v>0.5</v>
      </c>
      <c r="EB30" s="3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3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39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40" t="s">
        <v>75</v>
      </c>
    </row>
    <row r="41" spans="2:26">
      <c r="J41" t="s">
        <v>257</v>
      </c>
      <c r="K41" t="s">
        <v>258</v>
      </c>
      <c r="L41" t="s">
        <v>81</v>
      </c>
      <c r="M41" s="4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24"/>
    <col min="3" max="3" width="8.6" style="24" customWidth="1"/>
    <col min="4" max="4" width="9.06363636363636" style="24" customWidth="1"/>
    <col min="5" max="5" width="7.72727272727273" style="24" customWidth="1"/>
    <col min="6" max="6" width="4.72727272727273" style="24" customWidth="1"/>
    <col min="7" max="7" width="10.3363636363636" style="24" customWidth="1"/>
    <col min="8" max="8" width="10.2" style="24" customWidth="1"/>
    <col min="9" max="9" width="10.0636363636364" style="24" customWidth="1"/>
    <col min="10" max="10" width="9.8" style="24" customWidth="1"/>
    <col min="11" max="11" width="10.2636363636364" style="24" customWidth="1"/>
    <col min="12" max="12" width="10.4636363636364" style="24" customWidth="1"/>
    <col min="13" max="13" width="18.9272727272727" style="24" customWidth="1"/>
    <col min="14" max="14" width="16.6" style="24" customWidth="1"/>
    <col min="15" max="15" width="15.6" style="24" customWidth="1"/>
    <col min="16" max="16384" width="9.06363636363636" style="24"/>
  </cols>
  <sheetData>
    <row r="3" spans="3:21">
      <c r="C3" s="24" t="s">
        <v>264</v>
      </c>
      <c r="R3" s="24" t="s">
        <v>265</v>
      </c>
    </row>
    <row r="4" spans="3:21">
      <c r="C4" s="24" t="s">
        <v>76</v>
      </c>
      <c r="D4" s="24" t="s">
        <v>77</v>
      </c>
      <c r="E4" s="24" t="s">
        <v>73</v>
      </c>
      <c r="F4" s="24" t="s">
        <v>243</v>
      </c>
      <c r="G4" s="24" t="s">
        <v>266</v>
      </c>
      <c r="H4" s="24" t="s">
        <v>267</v>
      </c>
      <c r="I4" s="24" t="s">
        <v>268</v>
      </c>
      <c r="J4" s="24" t="s">
        <v>269</v>
      </c>
      <c r="K4" s="24" t="s">
        <v>270</v>
      </c>
      <c r="L4" s="24" t="s">
        <v>271</v>
      </c>
      <c r="M4" s="24" t="s">
        <v>272</v>
      </c>
      <c r="N4" s="24" t="s">
        <v>273</v>
      </c>
      <c r="O4" s="24" t="s">
        <v>274</v>
      </c>
      <c r="R4" s="24" t="s">
        <v>275</v>
      </c>
      <c r="S4" s="24" t="s">
        <v>276</v>
      </c>
      <c r="T4" s="24" t="s">
        <v>76</v>
      </c>
      <c r="U4" s="24" t="s">
        <v>75</v>
      </c>
    </row>
    <row r="5" spans="3:21">
      <c r="C5" s="24" t="s">
        <v>277</v>
      </c>
      <c r="E5" s="24" t="s">
        <v>278</v>
      </c>
      <c r="F5" s="24">
        <v>2022</v>
      </c>
      <c r="G5" s="24">
        <v>1420</v>
      </c>
      <c r="H5" s="24">
        <v>750</v>
      </c>
      <c r="I5" s="24">
        <v>720</v>
      </c>
      <c r="J5" s="24">
        <v>640</v>
      </c>
      <c r="K5" s="24">
        <v>1910</v>
      </c>
      <c r="L5" s="24">
        <v>1710</v>
      </c>
      <c r="M5" s="24">
        <v>990</v>
      </c>
      <c r="N5" s="24">
        <v>1120</v>
      </c>
      <c r="O5" s="24">
        <v>620</v>
      </c>
      <c r="R5" s="24" t="s">
        <v>279</v>
      </c>
      <c r="S5" s="41" t="s">
        <v>280</v>
      </c>
      <c r="T5" s="24" t="s">
        <v>281</v>
      </c>
      <c r="U5" s="24" t="s">
        <v>133</v>
      </c>
    </row>
    <row r="6" spans="3:21">
      <c r="C6" s="24" t="s">
        <v>277</v>
      </c>
      <c r="E6" s="24" t="s">
        <v>282</v>
      </c>
      <c r="F6" s="24">
        <v>2022</v>
      </c>
      <c r="G6" s="24">
        <v>22</v>
      </c>
      <c r="H6" s="24">
        <v>12</v>
      </c>
      <c r="I6" s="24">
        <v>12</v>
      </c>
      <c r="J6" s="24">
        <v>10</v>
      </c>
      <c r="K6" s="24">
        <v>28</v>
      </c>
      <c r="L6" s="24">
        <v>26</v>
      </c>
      <c r="M6" s="24">
        <v>14</v>
      </c>
      <c r="N6" s="24">
        <v>16</v>
      </c>
      <c r="O6" s="24">
        <v>10</v>
      </c>
    </row>
    <row r="7" spans="3:21">
      <c r="D7" s="24" t="s">
        <v>283</v>
      </c>
      <c r="E7" s="24" t="s">
        <v>278</v>
      </c>
      <c r="F7" s="24">
        <v>2022</v>
      </c>
      <c r="G7" s="24">
        <v>1950</v>
      </c>
      <c r="H7" s="24">
        <v>1050</v>
      </c>
      <c r="I7" s="24">
        <v>1100</v>
      </c>
      <c r="J7" s="24">
        <v>1120</v>
      </c>
      <c r="K7" s="24">
        <v>3520</v>
      </c>
      <c r="L7" s="24">
        <v>1640</v>
      </c>
      <c r="M7" s="24">
        <v>1750</v>
      </c>
      <c r="N7" s="24">
        <v>1220</v>
      </c>
      <c r="O7" s="24">
        <v>1950</v>
      </c>
    </row>
    <row r="8" spans="3:21">
      <c r="D8" s="24" t="s">
        <v>283</v>
      </c>
      <c r="E8" s="24" t="s">
        <v>282</v>
      </c>
      <c r="F8" s="24">
        <v>2022</v>
      </c>
      <c r="G8" s="24">
        <v>48</v>
      </c>
      <c r="H8" s="24">
        <v>26</v>
      </c>
      <c r="I8" s="24">
        <v>28</v>
      </c>
      <c r="J8" s="24">
        <v>28</v>
      </c>
      <c r="K8" s="24">
        <v>88</v>
      </c>
      <c r="L8" s="24">
        <v>40</v>
      </c>
      <c r="M8" s="24">
        <v>46</v>
      </c>
      <c r="N8" s="24">
        <v>30</v>
      </c>
      <c r="O8" s="24">
        <v>48</v>
      </c>
    </row>
    <row r="9" spans="3:21">
      <c r="D9" s="24" t="s">
        <v>284</v>
      </c>
      <c r="E9" s="24" t="s">
        <v>278</v>
      </c>
      <c r="F9" s="24">
        <v>2022</v>
      </c>
      <c r="G9" s="24">
        <v>4260</v>
      </c>
      <c r="H9" s="24">
        <v>4440</v>
      </c>
      <c r="I9" s="24">
        <v>2820</v>
      </c>
      <c r="J9" s="24">
        <v>3060</v>
      </c>
      <c r="K9" s="24">
        <v>6640</v>
      </c>
      <c r="L9" s="24">
        <v>4600</v>
      </c>
      <c r="M9" s="24">
        <v>3420</v>
      </c>
      <c r="N9" s="24">
        <v>4060</v>
      </c>
      <c r="O9" s="24">
        <v>4400</v>
      </c>
    </row>
    <row r="10" spans="3:21">
      <c r="D10" s="24" t="s">
        <v>284</v>
      </c>
      <c r="E10" s="24" t="s">
        <v>282</v>
      </c>
      <c r="F10" s="24">
        <v>2022</v>
      </c>
      <c r="G10" s="24">
        <v>105</v>
      </c>
      <c r="H10" s="24">
        <v>110</v>
      </c>
      <c r="I10" s="24">
        <v>70</v>
      </c>
      <c r="J10" s="24">
        <v>75</v>
      </c>
      <c r="K10" s="24">
        <v>165</v>
      </c>
      <c r="L10" s="24">
        <v>115</v>
      </c>
      <c r="M10" s="24">
        <v>70</v>
      </c>
      <c r="N10" s="24">
        <v>120</v>
      </c>
      <c r="O10" s="24">
        <v>110</v>
      </c>
    </row>
    <row r="11" spans="3:21">
      <c r="C11" s="24" t="s">
        <v>285</v>
      </c>
      <c r="E11" s="24" t="s">
        <v>278</v>
      </c>
      <c r="F11" s="24">
        <v>2022</v>
      </c>
      <c r="G11" s="24">
        <v>3300</v>
      </c>
      <c r="H11" s="24">
        <v>3350</v>
      </c>
      <c r="I11" s="24">
        <v>2000</v>
      </c>
      <c r="J11" s="24">
        <v>3050</v>
      </c>
      <c r="K11" s="24">
        <v>3550</v>
      </c>
      <c r="L11" s="24">
        <v>3500</v>
      </c>
      <c r="M11" s="24">
        <v>3900</v>
      </c>
      <c r="N11" s="24">
        <v>4050</v>
      </c>
      <c r="O11" s="24">
        <v>3400</v>
      </c>
    </row>
    <row r="12" spans="3:21">
      <c r="C12" s="24" t="s">
        <v>285</v>
      </c>
      <c r="E12" s="24" t="s">
        <v>282</v>
      </c>
      <c r="F12" s="24">
        <v>2022</v>
      </c>
      <c r="G12" s="24">
        <v>65</v>
      </c>
      <c r="H12" s="24">
        <v>65</v>
      </c>
      <c r="I12" s="24">
        <v>40</v>
      </c>
      <c r="J12" s="24">
        <v>60</v>
      </c>
      <c r="K12" s="24">
        <v>70</v>
      </c>
      <c r="L12" s="24">
        <v>70</v>
      </c>
      <c r="M12" s="24">
        <v>80</v>
      </c>
      <c r="N12" s="24">
        <v>80</v>
      </c>
      <c r="O12" s="24">
        <v>70</v>
      </c>
    </row>
    <row r="13" spans="3:21">
      <c r="C13" s="24" t="s">
        <v>277</v>
      </c>
      <c r="E13" s="24" t="s">
        <v>278</v>
      </c>
      <c r="F13" s="24">
        <v>2030</v>
      </c>
      <c r="G13" s="24">
        <v>850</v>
      </c>
      <c r="H13" s="24">
        <v>460</v>
      </c>
      <c r="I13" s="24">
        <v>430</v>
      </c>
      <c r="J13" s="24">
        <v>390</v>
      </c>
      <c r="K13" s="24">
        <v>1250</v>
      </c>
      <c r="L13" s="24">
        <v>1090</v>
      </c>
      <c r="M13" s="24">
        <v>620</v>
      </c>
      <c r="N13" s="24">
        <v>690</v>
      </c>
      <c r="O13" s="24">
        <v>360</v>
      </c>
    </row>
    <row r="14" spans="3:21">
      <c r="C14" s="24" t="s">
        <v>277</v>
      </c>
      <c r="E14" s="24" t="s">
        <v>282</v>
      </c>
      <c r="F14" s="24">
        <v>2030</v>
      </c>
      <c r="G14" s="24">
        <v>20</v>
      </c>
      <c r="H14" s="24">
        <v>10</v>
      </c>
      <c r="I14" s="24">
        <v>10</v>
      </c>
      <c r="J14" s="24">
        <v>8</v>
      </c>
      <c r="K14" s="24">
        <v>26</v>
      </c>
      <c r="L14" s="24">
        <v>24</v>
      </c>
      <c r="M14" s="24">
        <v>14</v>
      </c>
      <c r="N14" s="24">
        <v>16</v>
      </c>
      <c r="O14" s="24">
        <v>8</v>
      </c>
    </row>
    <row r="15" spans="3:21">
      <c r="D15" s="24" t="s">
        <v>283</v>
      </c>
      <c r="E15" s="24" t="s">
        <v>278</v>
      </c>
      <c r="F15" s="24">
        <v>2030</v>
      </c>
      <c r="G15" s="24">
        <v>1830</v>
      </c>
      <c r="H15" s="24">
        <v>1000</v>
      </c>
      <c r="I15" s="24">
        <v>1040</v>
      </c>
      <c r="J15" s="24">
        <v>1060</v>
      </c>
      <c r="K15" s="24">
        <v>3320</v>
      </c>
      <c r="L15" s="24">
        <v>1550</v>
      </c>
      <c r="M15" s="24">
        <v>1670</v>
      </c>
      <c r="N15" s="24">
        <v>1160</v>
      </c>
      <c r="O15" s="24">
        <v>1830</v>
      </c>
    </row>
    <row r="16" spans="3:21">
      <c r="D16" s="24" t="s">
        <v>283</v>
      </c>
      <c r="E16" s="24" t="s">
        <v>282</v>
      </c>
      <c r="F16" s="24">
        <v>2030</v>
      </c>
      <c r="G16" s="24">
        <v>46</v>
      </c>
      <c r="H16" s="24">
        <v>26</v>
      </c>
      <c r="I16" s="24">
        <v>26</v>
      </c>
      <c r="J16" s="24">
        <v>26</v>
      </c>
      <c r="K16" s="24">
        <v>84</v>
      </c>
      <c r="L16" s="24">
        <v>40</v>
      </c>
      <c r="M16" s="24">
        <v>42</v>
      </c>
      <c r="N16" s="24">
        <v>30</v>
      </c>
      <c r="O16" s="24">
        <v>46</v>
      </c>
    </row>
    <row r="17" spans="3:15">
      <c r="D17" s="24" t="s">
        <v>284</v>
      </c>
      <c r="E17" s="24" t="s">
        <v>278</v>
      </c>
      <c r="F17" s="24">
        <v>2030</v>
      </c>
      <c r="G17" s="24">
        <v>2880</v>
      </c>
      <c r="H17" s="24">
        <v>3000</v>
      </c>
      <c r="I17" s="24">
        <v>1880</v>
      </c>
      <c r="J17" s="24">
        <v>2060</v>
      </c>
      <c r="K17" s="24">
        <v>4180</v>
      </c>
      <c r="L17" s="24">
        <v>3120</v>
      </c>
      <c r="M17" s="24">
        <v>2280</v>
      </c>
      <c r="N17" s="24">
        <v>2520</v>
      </c>
      <c r="O17" s="24">
        <v>3000</v>
      </c>
    </row>
    <row r="18" spans="3:15">
      <c r="D18" s="24" t="s">
        <v>284</v>
      </c>
      <c r="E18" s="24" t="s">
        <v>282</v>
      </c>
      <c r="F18" s="24">
        <v>2030</v>
      </c>
      <c r="G18" s="24">
        <v>80</v>
      </c>
      <c r="H18" s="24">
        <v>80</v>
      </c>
      <c r="I18" s="24">
        <v>50</v>
      </c>
      <c r="J18" s="24">
        <v>55</v>
      </c>
      <c r="K18" s="24">
        <v>115</v>
      </c>
      <c r="L18" s="24">
        <v>85</v>
      </c>
      <c r="M18" s="24">
        <v>50</v>
      </c>
      <c r="N18" s="24">
        <v>90</v>
      </c>
      <c r="O18" s="24">
        <v>80</v>
      </c>
    </row>
    <row r="19" spans="3:15">
      <c r="C19" s="24" t="s">
        <v>285</v>
      </c>
      <c r="E19" s="24" t="s">
        <v>278</v>
      </c>
      <c r="F19" s="24">
        <v>2030</v>
      </c>
      <c r="G19" s="24">
        <v>3300</v>
      </c>
      <c r="H19" s="24">
        <v>3350</v>
      </c>
      <c r="I19" s="24">
        <v>2000</v>
      </c>
      <c r="J19" s="24">
        <v>3050</v>
      </c>
      <c r="K19" s="24">
        <v>3550</v>
      </c>
      <c r="L19" s="24">
        <v>3500</v>
      </c>
      <c r="M19" s="24">
        <v>3900</v>
      </c>
      <c r="N19" s="24">
        <v>4050</v>
      </c>
      <c r="O19" s="24">
        <v>3400</v>
      </c>
    </row>
    <row r="20" spans="3:15">
      <c r="C20" s="24" t="s">
        <v>285</v>
      </c>
      <c r="E20" s="24" t="s">
        <v>282</v>
      </c>
      <c r="F20" s="24">
        <v>2030</v>
      </c>
      <c r="G20" s="24">
        <v>65</v>
      </c>
      <c r="H20" s="24">
        <v>65</v>
      </c>
      <c r="I20" s="24">
        <v>40</v>
      </c>
      <c r="J20" s="24">
        <v>60</v>
      </c>
      <c r="K20" s="24">
        <v>70</v>
      </c>
      <c r="L20" s="24">
        <v>70</v>
      </c>
      <c r="M20" s="24">
        <v>80</v>
      </c>
      <c r="N20" s="24">
        <v>80</v>
      </c>
      <c r="O20" s="24">
        <v>70</v>
      </c>
    </row>
    <row r="21" spans="3:15">
      <c r="C21" s="24" t="s">
        <v>277</v>
      </c>
      <c r="E21" s="24" t="s">
        <v>278</v>
      </c>
      <c r="F21" s="24">
        <v>2050</v>
      </c>
      <c r="G21" s="24">
        <v>580</v>
      </c>
      <c r="H21" s="24">
        <v>330</v>
      </c>
      <c r="I21" s="24">
        <v>300</v>
      </c>
      <c r="J21" s="24">
        <v>270</v>
      </c>
      <c r="K21" s="24">
        <v>940</v>
      </c>
      <c r="L21" s="24">
        <v>770</v>
      </c>
      <c r="M21" s="24">
        <v>450</v>
      </c>
      <c r="N21" s="24">
        <v>480</v>
      </c>
      <c r="O21" s="24">
        <v>250</v>
      </c>
    </row>
    <row r="22" spans="3:15">
      <c r="C22" s="24" t="s">
        <v>277</v>
      </c>
      <c r="E22" s="24" t="s">
        <v>282</v>
      </c>
      <c r="F22" s="24">
        <v>2050</v>
      </c>
      <c r="G22" s="24">
        <v>18</v>
      </c>
      <c r="H22" s="24">
        <v>10</v>
      </c>
      <c r="I22" s="24">
        <v>10</v>
      </c>
      <c r="J22" s="24">
        <v>8</v>
      </c>
      <c r="K22" s="24">
        <v>24</v>
      </c>
      <c r="L22" s="24">
        <v>22</v>
      </c>
      <c r="M22" s="24">
        <v>12</v>
      </c>
      <c r="N22" s="24">
        <v>16</v>
      </c>
      <c r="O22" s="24">
        <v>8</v>
      </c>
    </row>
    <row r="23" spans="3:15">
      <c r="D23" s="24" t="s">
        <v>283</v>
      </c>
      <c r="E23" s="24" t="s">
        <v>278</v>
      </c>
      <c r="F23" s="24">
        <v>2050</v>
      </c>
      <c r="G23" s="24">
        <v>1740</v>
      </c>
      <c r="H23" s="24">
        <v>950</v>
      </c>
      <c r="I23" s="24">
        <v>1000</v>
      </c>
      <c r="J23" s="24">
        <v>1010</v>
      </c>
      <c r="K23" s="24">
        <v>3170</v>
      </c>
      <c r="L23" s="24">
        <v>1470</v>
      </c>
      <c r="M23" s="24">
        <v>1610</v>
      </c>
      <c r="N23" s="24">
        <v>1110</v>
      </c>
      <c r="O23" s="24">
        <v>1710</v>
      </c>
    </row>
    <row r="24" spans="3:15">
      <c r="D24" s="24" t="s">
        <v>283</v>
      </c>
      <c r="E24" s="24" t="s">
        <v>282</v>
      </c>
      <c r="F24" s="24">
        <v>2050</v>
      </c>
      <c r="G24" s="24">
        <v>44</v>
      </c>
      <c r="H24" s="24">
        <v>24</v>
      </c>
      <c r="I24" s="24">
        <v>26</v>
      </c>
      <c r="J24" s="24">
        <v>26</v>
      </c>
      <c r="K24" s="24">
        <v>82</v>
      </c>
      <c r="L24" s="24">
        <v>38</v>
      </c>
      <c r="M24" s="24">
        <v>42</v>
      </c>
      <c r="N24" s="24">
        <v>30</v>
      </c>
      <c r="O24" s="24">
        <v>44</v>
      </c>
    </row>
    <row r="25" spans="3:15">
      <c r="D25" s="24" t="s">
        <v>284</v>
      </c>
      <c r="E25" s="24" t="s">
        <v>278</v>
      </c>
      <c r="F25" s="24">
        <v>2050</v>
      </c>
      <c r="G25" s="24">
        <v>2080</v>
      </c>
      <c r="H25" s="24">
        <v>2160</v>
      </c>
      <c r="I25" s="24">
        <v>1420</v>
      </c>
      <c r="J25" s="24">
        <v>1500</v>
      </c>
      <c r="K25" s="24">
        <v>3160</v>
      </c>
      <c r="L25" s="24">
        <v>2280</v>
      </c>
      <c r="M25" s="24">
        <v>1740</v>
      </c>
      <c r="N25" s="24">
        <v>1900</v>
      </c>
      <c r="O25" s="24">
        <v>2180</v>
      </c>
    </row>
    <row r="26" spans="3:15">
      <c r="D26" s="24" t="s">
        <v>284</v>
      </c>
      <c r="E26" s="24" t="s">
        <v>282</v>
      </c>
      <c r="F26" s="24">
        <v>2050</v>
      </c>
      <c r="G26" s="24">
        <v>65</v>
      </c>
      <c r="H26" s="24">
        <v>65</v>
      </c>
      <c r="I26" s="24">
        <v>45</v>
      </c>
      <c r="J26" s="24">
        <v>45</v>
      </c>
      <c r="K26" s="24">
        <v>95</v>
      </c>
      <c r="L26" s="24">
        <v>70</v>
      </c>
      <c r="M26" s="24">
        <v>45</v>
      </c>
      <c r="N26" s="24">
        <v>70</v>
      </c>
      <c r="O26" s="24">
        <v>65</v>
      </c>
    </row>
    <row r="27" spans="3:15">
      <c r="C27" s="24" t="s">
        <v>285</v>
      </c>
      <c r="E27" s="24" t="s">
        <v>278</v>
      </c>
      <c r="F27" s="24">
        <v>2050</v>
      </c>
      <c r="G27" s="24">
        <v>3250</v>
      </c>
      <c r="H27" s="24">
        <v>3350</v>
      </c>
      <c r="I27" s="24">
        <v>2000</v>
      </c>
      <c r="J27" s="24">
        <v>3050</v>
      </c>
      <c r="K27" s="24">
        <v>3550</v>
      </c>
      <c r="L27" s="24">
        <v>3500</v>
      </c>
      <c r="M27" s="24">
        <v>3900</v>
      </c>
      <c r="N27" s="24">
        <v>4050</v>
      </c>
      <c r="O27" s="24">
        <v>3400</v>
      </c>
    </row>
    <row r="28" spans="3:15">
      <c r="C28" s="24" t="s">
        <v>285</v>
      </c>
      <c r="E28" s="24" t="s">
        <v>282</v>
      </c>
      <c r="F28" s="24">
        <v>2050</v>
      </c>
      <c r="G28" s="24">
        <v>65</v>
      </c>
      <c r="H28" s="24">
        <v>65</v>
      </c>
      <c r="I28" s="24">
        <v>40</v>
      </c>
      <c r="J28" s="24">
        <v>60</v>
      </c>
      <c r="K28" s="24">
        <v>70</v>
      </c>
      <c r="L28" s="24">
        <v>70</v>
      </c>
      <c r="M28" s="24">
        <v>80</v>
      </c>
      <c r="N28" s="24">
        <v>80</v>
      </c>
      <c r="O28" s="24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40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40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40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40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40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40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12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47" zoomScaleNormal="47" workbookViewId="0">
      <selection activeCell="R43" sqref="R43"/>
    </sheetView>
  </sheetViews>
  <sheetFormatPr defaultColWidth="9" defaultRowHeight="14.5"/>
  <cols>
    <col min="10" max="10" width="7" customWidth="1"/>
    <col min="11" max="11" width="79.2727272727273" customWidth="1"/>
    <col min="12" max="12" width="4.72727272727273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20" t="s">
        <v>53</v>
      </c>
      <c r="C11" s="20"/>
      <c r="D11" s="20"/>
      <c r="E11" s="20"/>
      <c r="F11" s="20"/>
    </row>
    <row r="12" spans="2:36">
      <c r="B12" s="20"/>
      <c r="C12" s="20"/>
      <c r="D12" s="20"/>
      <c r="E12" s="20"/>
      <c r="F12" s="20"/>
    </row>
    <row r="13" spans="2:36">
      <c r="B13" s="20" t="s">
        <v>56</v>
      </c>
      <c r="C13" s="20" t="s">
        <v>5</v>
      </c>
      <c r="D13" s="20" t="s">
        <v>309</v>
      </c>
      <c r="E13" s="20" t="s">
        <v>288</v>
      </c>
      <c r="F13" s="42" t="s">
        <v>75</v>
      </c>
      <c r="K13" t="s">
        <v>325</v>
      </c>
    </row>
    <row r="14" spans="2:36">
      <c r="B14" s="20" t="s">
        <v>326</v>
      </c>
      <c r="C14" s="20" t="s">
        <v>112</v>
      </c>
      <c r="D14" s="20" t="s">
        <v>310</v>
      </c>
      <c r="E14" s="20" t="s">
        <v>114</v>
      </c>
      <c r="F14" s="2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4">
        <f>SUMIFS($D$19:$D$199,$C$19:$C$199,$L15,$B$19:$B$199,M$14)/5</f>
        <v>0.0013436</v>
      </c>
      <c r="N15" s="4">
        <f>SUMIFS($D$19:$D$199,$C$19:$C$199,$L15,$B$19:$B$199,N$14)/5</f>
        <v>0.0016</v>
      </c>
      <c r="O15" s="4">
        <f>SUMIFS($D$19:$D$199,$C$19:$C$199,$L15,$B$19:$B$199,O$14)/5</f>
        <v>0.015</v>
      </c>
      <c r="P15" s="4">
        <f>SUMIFS($D$19:$D$199,$C$19:$C$199,$L15,$B$19:$B$199,P$14)/5</f>
        <v>0.0002</v>
      </c>
      <c r="Q15" s="4">
        <f>SUMIFS($D$19:$D$199,$C$19:$C$199,$L15,$B$19:$B$199,Q$14)/5</f>
        <v>0.222</v>
      </c>
      <c r="R15" s="4">
        <f>SUMIFS($D$19:$D$199,$C$19:$C$199,$L15,$B$19:$B$199,R$14)/5</f>
        <v>0.009</v>
      </c>
      <c r="S15" s="4">
        <f>SUMIFS($D$19:$D$199,$C$19:$C$199,$L15,$B$19:$B$199,S$14)/5</f>
        <v>0.015</v>
      </c>
      <c r="T15" s="4">
        <f>SUMIFS($D$19:$D$199,$C$19:$C$199,$L15,$B$19:$B$199,T$14)/5</f>
        <v>0.0002</v>
      </c>
      <c r="U15" s="4">
        <f>SUMIFS($D$19:$D$199,$C$19:$C$199,$L15,$B$19:$B$199,U$14)/5</f>
        <v>0.0004</v>
      </c>
      <c r="V15" s="4">
        <f>SUMIFS($D$19:$D$199,$C$19:$C$199,$L15,$B$19:$B$199,V$14)/5</f>
        <v>0.000312</v>
      </c>
      <c r="W15" s="4">
        <f>SUMIFS($D$19:$D$199,$C$19:$C$199,$L15,$B$19:$B$199,W$14)/5</f>
        <v>0.0012</v>
      </c>
      <c r="X15" s="4">
        <f>SUMIFS($D$19:$D$199,$C$19:$C$199,$L15,$B$19:$B$199,X$14)/5</f>
        <v>0.0044</v>
      </c>
      <c r="Y15" s="4">
        <f>SUMIFS($D$19:$D$199,$C$19:$C$199,$L15,$B$19:$B$199,Y$14)/5</f>
        <v>1e-5</v>
      </c>
      <c r="Z15" s="4">
        <f>SUMIFS($D$19:$D$199,$C$19:$C$199,$L15,$B$19:$B$199,Z$14)/5</f>
        <v>0.0005</v>
      </c>
      <c r="AA15" s="4">
        <f>SUMIFS($D$19:$D$199,$C$19:$C$199,$L15,$B$19:$B$199,AA$14)/5</f>
        <v>0.07764</v>
      </c>
      <c r="AB15" s="4">
        <f>SUMIFS($D$19:$D$199,$C$19:$C$199,$L15,$B$19:$B$199,AB$14)/5</f>
        <v>0.0120632</v>
      </c>
      <c r="AC15" s="4">
        <f>SUMIFS($D$19:$D$199,$C$19:$C$199,$L15,$B$19:$B$199,AC$14)/5</f>
        <v>0.0004</v>
      </c>
      <c r="AD15" s="4">
        <f>SUMIFS($D$19:$D$199,$C$19:$C$199,$L15,$B$19:$B$199,AD$14)/5</f>
        <v>0.00192</v>
      </c>
      <c r="AE15" s="4">
        <f>SUMIFS($D$19:$D$199,$C$19:$C$199,$L15,$B$19:$B$199,AE$14)/5</f>
        <v>2e-5</v>
      </c>
      <c r="AF15" s="4">
        <f>SUMIFS($D$19:$D$199,$C$19:$C$199,$L15,$B$19:$B$199,AF$14)/5</f>
        <v>0.0017</v>
      </c>
      <c r="AG15" s="4">
        <f>SUMIFS($D$19:$D$199,$C$19:$C$199,$L15,$B$19:$B$199,AG$14)/5</f>
        <v>0.008</v>
      </c>
      <c r="AH15" s="4">
        <f>SUMIFS($D$19:$D$199,$C$19:$C$199,$L15,$B$19:$B$199,AH$14)/5</f>
        <v>0.0017</v>
      </c>
      <c r="AI15" s="4">
        <f>SUMIFS($D$19:$D$199,$C$19:$C$199,$L15,$B$19:$B$199,AI$14)/5</f>
        <v>0.0002</v>
      </c>
      <c r="AJ15" s="4">
        <f>SUMIFS($D$19:$D$199,$C$19:$C$199,$L15,$B$19:$B$199,AJ$14)/5</f>
        <v>0.0076</v>
      </c>
    </row>
    <row r="16" spans="2:36">
      <c r="K16" t="s">
        <v>327</v>
      </c>
      <c r="L16">
        <v>2020</v>
      </c>
      <c r="M16" s="4">
        <f>SUMIFS($D$19:$D$199,$C$19:$C$199,$L16,$B$19:$B$199,M$14)/5</f>
        <v>0.00138</v>
      </c>
      <c r="N16" s="4">
        <f>SUMIFS($D$19:$D$199,$C$19:$C$199,$L16,$B$19:$B$199,N$14)/5</f>
        <v>0.0052</v>
      </c>
      <c r="O16" s="4">
        <f>SUMIFS($D$19:$D$199,$C$19:$C$199,$L16,$B$19:$B$199,O$14)/5</f>
        <v>0.0238</v>
      </c>
      <c r="P16" s="4">
        <f>SUMIFS($D$19:$D$199,$C$19:$C$199,$L16,$B$19:$B$199,P$14)/5</f>
        <v>0.003949</v>
      </c>
      <c r="Q16" s="4">
        <f>SUMIFS($D$19:$D$199,$C$19:$C$199,$L16,$B$19:$B$199,Q$14)/5</f>
        <v>0.266</v>
      </c>
      <c r="R16" s="4">
        <f>SUMIFS($D$19:$D$199,$C$19:$C$199,$L16,$B$19:$B$199,R$14)/5</f>
        <v>0.037</v>
      </c>
      <c r="S16" s="4">
        <f>SUMIFS($D$19:$D$199,$C$19:$C$199,$L16,$B$19:$B$199,S$14)/5</f>
        <v>0.0796</v>
      </c>
      <c r="T16" s="4">
        <f>SUMIFS($D$19:$D$199,$C$19:$C$199,$L16,$B$19:$B$199,T$14)/5</f>
        <v>0.0004</v>
      </c>
      <c r="U16" s="4">
        <f>SUMIFS($D$19:$D$199,$C$19:$C$199,$L16,$B$19:$B$199,U$14)/5</f>
        <v>0.0008</v>
      </c>
      <c r="V16" s="4">
        <f>SUMIFS($D$19:$D$199,$C$19:$C$199,$L16,$B$19:$B$199,V$14)/5</f>
        <v>0.001</v>
      </c>
      <c r="W16" s="4">
        <f>SUMIFS($D$19:$D$199,$C$19:$C$199,$L16,$B$19:$B$199,W$14)/5</f>
        <v>0.0064</v>
      </c>
      <c r="X16" s="4">
        <f>SUMIFS($D$19:$D$199,$C$19:$C$199,$L16,$B$19:$B$199,X$14)/5</f>
        <v>0.0058</v>
      </c>
      <c r="Y16" s="4">
        <f>SUMIFS($D$19:$D$199,$C$19:$C$199,$L16,$B$19:$B$199,Y$14)/5</f>
        <v>2e-5</v>
      </c>
      <c r="Z16" s="4">
        <f>SUMIFS($D$19:$D$199,$C$19:$C$199,$L16,$B$19:$B$199,Z$14)/5</f>
        <v>0.0016</v>
      </c>
      <c r="AA16" s="4">
        <f>SUMIFS($D$19:$D$199,$C$19:$C$199,$L16,$B$19:$B$199,AA$14)/5</f>
        <v>0.076</v>
      </c>
      <c r="AB16" s="4">
        <f>SUMIFS($D$19:$D$199,$C$19:$C$199,$L16,$B$19:$B$199,AB$14)/5</f>
        <v>0.0212</v>
      </c>
      <c r="AC16" s="4">
        <f>SUMIFS($D$19:$D$199,$C$19:$C$199,$L16,$B$19:$B$199,AC$14)/5</f>
        <v>0.0016</v>
      </c>
      <c r="AD16" s="4">
        <f>SUMIFS($D$19:$D$199,$C$19:$C$199,$L16,$B$19:$B$199,AD$14)/5</f>
        <v>0.0066</v>
      </c>
      <c r="AE16" s="4">
        <f>SUMIFS($D$19:$D$199,$C$19:$C$199,$L16,$B$19:$B$199,AE$14)/5</f>
        <v>4e-5</v>
      </c>
      <c r="AF16" s="4">
        <f>SUMIFS($D$19:$D$199,$C$19:$C$199,$L16,$B$19:$B$199,AF$14)/5</f>
        <v>0.0066</v>
      </c>
      <c r="AG16" s="4">
        <f>SUMIFS($D$19:$D$199,$C$19:$C$199,$L16,$B$19:$B$199,AG$14)/5</f>
        <v>0.0244</v>
      </c>
      <c r="AH16" s="4">
        <f>SUMIFS($D$19:$D$199,$C$19:$C$199,$L16,$B$19:$B$199,AH$14)/5</f>
        <v>0.0056</v>
      </c>
      <c r="AI16" s="4">
        <f>SUMIFS($D$19:$D$199,$C$19:$C$199,$L16,$B$19:$B$199,AI$14)/5</f>
        <v>0.0004</v>
      </c>
      <c r="AJ16" s="4">
        <f>SUMIFS($D$19:$D$199,$C$19:$C$199,$L16,$B$19:$B$199,AJ$14)/5</f>
        <v>0.0352</v>
      </c>
    </row>
    <row r="18" spans="1:36">
      <c r="A18" t="s">
        <v>328</v>
      </c>
      <c r="B18" t="s">
        <v>329</v>
      </c>
      <c r="C18" t="s">
        <v>243</v>
      </c>
      <c r="D18" t="s">
        <v>330</v>
      </c>
    </row>
    <row r="19" spans="1:36">
      <c r="A19" t="s">
        <v>331</v>
      </c>
      <c r="B19" t="s">
        <v>9</v>
      </c>
      <c r="C19">
        <v>2019</v>
      </c>
      <c r="D19">
        <v>0.006718</v>
      </c>
    </row>
    <row r="20" spans="1:36">
      <c r="A20" t="s">
        <v>331</v>
      </c>
      <c r="B20" t="s">
        <v>9</v>
      </c>
      <c r="C20">
        <v>2020</v>
      </c>
      <c r="D20">
        <v>0.0069</v>
      </c>
    </row>
    <row r="21" spans="1:36">
      <c r="A21" t="s">
        <v>331</v>
      </c>
      <c r="B21" t="s">
        <v>9</v>
      </c>
      <c r="C21">
        <v>2021</v>
      </c>
      <c r="D21">
        <v>0.021</v>
      </c>
      <c r="K21" s="21" t="s">
        <v>327</v>
      </c>
      <c r="L21" s="21">
        <v>2021</v>
      </c>
      <c r="M21" s="22">
        <f t="shared" ref="M21:V24" si="0">SUMIFS($D$19:$D$199,$C$19:$C$199,$L21,$B$19:$B$199,M$14)/5</f>
        <v>0.0042</v>
      </c>
      <c r="N21" s="22">
        <f t="shared" si="0"/>
        <v>0.0082</v>
      </c>
      <c r="O21" s="22">
        <f t="shared" si="0"/>
        <v>0.0402</v>
      </c>
      <c r="P21" s="22">
        <f t="shared" si="0"/>
        <v>0.0065</v>
      </c>
      <c r="Q21" s="22">
        <f t="shared" si="0"/>
        <v>0.68</v>
      </c>
      <c r="R21" s="22">
        <f t="shared" si="0"/>
        <v>0.063</v>
      </c>
      <c r="S21" s="22">
        <f t="shared" si="0"/>
        <v>0.1362</v>
      </c>
      <c r="T21" s="22">
        <f t="shared" si="0"/>
        <v>0.001</v>
      </c>
      <c r="U21" s="22">
        <f t="shared" si="0"/>
        <v>0.0016</v>
      </c>
      <c r="V21" s="22">
        <f t="shared" si="0"/>
        <v>0.0032</v>
      </c>
      <c r="W21" s="22">
        <f t="shared" ref="W21:AJ24" si="1">SUMIFS($D$19:$D$199,$C$19:$C$199,$L21,$B$19:$B$199,W$14)/5</f>
        <v>0.0134</v>
      </c>
      <c r="X21" s="22">
        <f t="shared" si="1"/>
        <v>0.0088</v>
      </c>
      <c r="Y21" s="22">
        <f t="shared" si="1"/>
        <v>6e-5</v>
      </c>
      <c r="Z21" s="22">
        <f t="shared" si="1"/>
        <v>0.004</v>
      </c>
      <c r="AA21" s="22">
        <f t="shared" si="1"/>
        <v>0.1512</v>
      </c>
      <c r="AB21" s="22">
        <f t="shared" si="1"/>
        <v>0.0278</v>
      </c>
      <c r="AC21" s="22">
        <f t="shared" si="1"/>
        <v>0.0024</v>
      </c>
      <c r="AD21" s="22">
        <f t="shared" si="1"/>
        <v>0.0242</v>
      </c>
      <c r="AE21" s="22">
        <f t="shared" si="1"/>
        <v>8e-5</v>
      </c>
      <c r="AF21" s="22">
        <f t="shared" si="1"/>
        <v>0.0146</v>
      </c>
      <c r="AG21" s="22">
        <f t="shared" si="1"/>
        <v>0.0388</v>
      </c>
      <c r="AH21" s="22">
        <f t="shared" si="1"/>
        <v>0.0096</v>
      </c>
      <c r="AI21" s="22">
        <f t="shared" si="1"/>
        <v>0.001</v>
      </c>
      <c r="AJ21" s="22">
        <f t="shared" si="1"/>
        <v>0.0382</v>
      </c>
    </row>
    <row r="22" spans="1:36">
      <c r="A22" t="s">
        <v>331</v>
      </c>
      <c r="B22" t="s">
        <v>9</v>
      </c>
      <c r="C22">
        <v>2022</v>
      </c>
      <c r="D22">
        <v>0.065</v>
      </c>
      <c r="K22" s="21" t="s">
        <v>327</v>
      </c>
      <c r="L22" s="21">
        <v>2022</v>
      </c>
      <c r="M22" s="22">
        <f t="shared" si="0"/>
        <v>0.013</v>
      </c>
      <c r="N22" s="22">
        <f t="shared" si="0"/>
        <v>0.011</v>
      </c>
      <c r="O22" s="22">
        <f t="shared" si="0"/>
        <v>0.064</v>
      </c>
      <c r="P22" s="22">
        <f t="shared" si="0"/>
        <v>0.01</v>
      </c>
      <c r="Q22" s="22">
        <f t="shared" si="0"/>
        <v>1.24</v>
      </c>
      <c r="R22" s="22">
        <f t="shared" si="0"/>
        <v>0.08</v>
      </c>
      <c r="S22" s="22">
        <f t="shared" si="0"/>
        <v>0.166</v>
      </c>
      <c r="T22" s="22">
        <f t="shared" si="0"/>
        <v>0.0026</v>
      </c>
      <c r="U22" s="22">
        <f t="shared" si="0"/>
        <v>0.0022</v>
      </c>
      <c r="V22" s="22">
        <f t="shared" si="0"/>
        <v>0.0102</v>
      </c>
      <c r="W22" s="22">
        <f t="shared" si="1"/>
        <v>0.022</v>
      </c>
      <c r="X22" s="22">
        <f t="shared" si="1"/>
        <v>0.0184</v>
      </c>
      <c r="Y22" s="22">
        <f t="shared" si="1"/>
        <v>0.00012</v>
      </c>
      <c r="Z22" s="22">
        <f t="shared" si="1"/>
        <v>0.008</v>
      </c>
      <c r="AA22" s="22">
        <f t="shared" si="1"/>
        <v>0.2132</v>
      </c>
      <c r="AB22" s="22">
        <f t="shared" si="1"/>
        <v>0.027</v>
      </c>
      <c r="AC22" s="22">
        <f t="shared" si="1"/>
        <v>0.0048</v>
      </c>
      <c r="AD22" s="22">
        <f t="shared" si="1"/>
        <v>0.0314</v>
      </c>
      <c r="AE22" s="22">
        <f t="shared" si="1"/>
        <v>0.00016</v>
      </c>
      <c r="AF22" s="22">
        <f t="shared" si="1"/>
        <v>0.026</v>
      </c>
      <c r="AG22" s="22">
        <f t="shared" si="1"/>
        <v>0.0524</v>
      </c>
      <c r="AH22" s="22">
        <f t="shared" si="1"/>
        <v>0.0124</v>
      </c>
      <c r="AI22" s="22">
        <f t="shared" si="1"/>
        <v>0.007</v>
      </c>
      <c r="AJ22" s="22">
        <f t="shared" si="1"/>
        <v>0.074</v>
      </c>
    </row>
    <row r="23" spans="1:36">
      <c r="A23" t="s">
        <v>331</v>
      </c>
      <c r="B23" t="s">
        <v>9</v>
      </c>
      <c r="C23">
        <v>2023</v>
      </c>
      <c r="D23">
        <v>0.098</v>
      </c>
      <c r="K23" s="21" t="s">
        <v>327</v>
      </c>
      <c r="L23" s="21">
        <v>2023</v>
      </c>
      <c r="M23" s="22">
        <f t="shared" si="0"/>
        <v>0.0196</v>
      </c>
      <c r="N23" s="22">
        <f t="shared" si="0"/>
        <v>0.013</v>
      </c>
      <c r="O23" s="22">
        <f t="shared" si="0"/>
        <v>0.0806</v>
      </c>
      <c r="P23" s="22">
        <f t="shared" si="0"/>
        <v>0.0104</v>
      </c>
      <c r="Q23" s="22">
        <f t="shared" si="0"/>
        <v>1.62</v>
      </c>
      <c r="R23" s="22">
        <f t="shared" si="0"/>
        <v>0.094</v>
      </c>
      <c r="S23" s="22">
        <f t="shared" si="0"/>
        <v>0.14</v>
      </c>
      <c r="T23" s="22">
        <f t="shared" si="0"/>
        <v>0.0034</v>
      </c>
      <c r="U23" s="22">
        <f t="shared" si="0"/>
        <v>0.00248</v>
      </c>
      <c r="V23" s="22">
        <f t="shared" si="0"/>
        <v>0.016454</v>
      </c>
      <c r="W23" s="22">
        <f t="shared" si="1"/>
        <v>0.0272</v>
      </c>
      <c r="X23" s="22">
        <f t="shared" si="1"/>
        <v>0.02806</v>
      </c>
      <c r="Y23" s="22">
        <f t="shared" si="1"/>
        <v>0.000184</v>
      </c>
      <c r="Z23" s="22">
        <f t="shared" si="1"/>
        <v>0.013</v>
      </c>
      <c r="AA23" s="22">
        <f t="shared" si="1"/>
        <v>0.31524</v>
      </c>
      <c r="AB23" s="22">
        <f t="shared" si="1"/>
        <v>0.022</v>
      </c>
      <c r="AC23" s="22">
        <f t="shared" si="1"/>
        <v>0.00602</v>
      </c>
      <c r="AD23" s="22">
        <f t="shared" si="1"/>
        <v>0.03486</v>
      </c>
      <c r="AE23" s="22">
        <f t="shared" si="1"/>
        <v>0.000216</v>
      </c>
      <c r="AF23" s="22">
        <f t="shared" si="1"/>
        <v>0.037</v>
      </c>
      <c r="AG23" s="22">
        <f t="shared" si="1"/>
        <v>0.0598</v>
      </c>
      <c r="AH23" s="22">
        <f t="shared" si="1"/>
        <v>0.0152</v>
      </c>
      <c r="AI23" s="22">
        <f t="shared" si="1"/>
        <v>0.01374</v>
      </c>
      <c r="AJ23" s="22">
        <f t="shared" si="1"/>
        <v>0.09</v>
      </c>
    </row>
    <row r="24" spans="1:36">
      <c r="A24" t="s">
        <v>331</v>
      </c>
      <c r="B24" t="s">
        <v>9</v>
      </c>
      <c r="C24">
        <v>2024</v>
      </c>
      <c r="D24">
        <v>0.091</v>
      </c>
      <c r="K24" s="21" t="s">
        <v>327</v>
      </c>
      <c r="L24" s="21">
        <v>2024</v>
      </c>
      <c r="M24" s="22">
        <f t="shared" si="0"/>
        <v>0.0182</v>
      </c>
      <c r="N24" s="22">
        <f t="shared" si="0"/>
        <v>0</v>
      </c>
      <c r="O24" s="22">
        <f t="shared" si="0"/>
        <v>0.0264332</v>
      </c>
      <c r="P24" s="22">
        <f t="shared" si="0"/>
        <v>0.025</v>
      </c>
      <c r="Q24" s="22">
        <f t="shared" si="0"/>
        <v>2.24</v>
      </c>
      <c r="R24" s="22">
        <f t="shared" si="0"/>
        <v>0.0582286</v>
      </c>
      <c r="S24" s="22">
        <f t="shared" si="0"/>
        <v>0.0761218</v>
      </c>
      <c r="T24" s="22">
        <f t="shared" si="0"/>
        <v>0</v>
      </c>
      <c r="U24" s="22">
        <f t="shared" si="0"/>
        <v>0</v>
      </c>
      <c r="V24" s="22">
        <f t="shared" si="0"/>
        <v>0</v>
      </c>
      <c r="W24" s="22">
        <f t="shared" si="1"/>
        <v>0.0129966</v>
      </c>
      <c r="X24" s="22">
        <f t="shared" si="1"/>
        <v>0</v>
      </c>
      <c r="Y24" s="22">
        <f t="shared" si="1"/>
        <v>0</v>
      </c>
      <c r="Z24" s="22">
        <f t="shared" si="1"/>
        <v>0</v>
      </c>
      <c r="AA24" s="22">
        <f t="shared" si="1"/>
        <v>0.26</v>
      </c>
      <c r="AB24" s="22">
        <f t="shared" si="1"/>
        <v>0.0228818</v>
      </c>
      <c r="AC24" s="22">
        <f t="shared" si="1"/>
        <v>0</v>
      </c>
      <c r="AD24" s="22">
        <f t="shared" si="1"/>
        <v>0</v>
      </c>
      <c r="AE24" s="22">
        <f t="shared" si="1"/>
        <v>0</v>
      </c>
      <c r="AF24" s="22">
        <f t="shared" si="1"/>
        <v>0</v>
      </c>
      <c r="AG24" s="22">
        <f t="shared" si="1"/>
        <v>0.0188664</v>
      </c>
      <c r="AH24" s="22">
        <f t="shared" si="1"/>
        <v>0</v>
      </c>
      <c r="AI24" s="22">
        <f t="shared" si="1"/>
        <v>0</v>
      </c>
      <c r="AJ24" s="22">
        <f t="shared" si="1"/>
        <v>0.076394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23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23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tabSelected="1"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18" t="s">
        <v>337</v>
      </c>
      <c r="O2" s="18" t="s">
        <v>338</v>
      </c>
    </row>
    <row r="3" ht="58" spans="2:15">
      <c r="M3" t="s">
        <v>339</v>
      </c>
      <c r="N3" s="18" t="s">
        <v>340</v>
      </c>
      <c r="O3" s="19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2020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4">
        <f>F8^15</f>
        <v>0.463291230159753</v>
      </c>
      <c r="Q8" s="4">
        <f>G8^15</f>
        <v>0.205891132094649</v>
      </c>
      <c r="S8" s="17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4">
        <f>E15^10</f>
        <v>0.817072806887547</v>
      </c>
      <c r="P15" s="4">
        <f>F15^10</f>
        <v>0.598736939238379</v>
      </c>
      <c r="Q15" s="4">
        <f>G15^10</f>
        <v>0.1073741824</v>
      </c>
      <c r="R15" s="17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4">
        <f t="shared" ref="O16:O17" si="1">E16^10</f>
        <v>0.817072806887547</v>
      </c>
      <c r="P16" s="4">
        <f t="shared" ref="P16:P17" si="2">F16^10</f>
        <v>0.3486784401</v>
      </c>
      <c r="Q16" s="4">
        <f t="shared" ref="Q16:Q17" si="3">G16^10</f>
        <v>0.1073741824</v>
      </c>
      <c r="R16" s="17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4">
        <f t="shared" si="1"/>
        <v>0.817072806887547</v>
      </c>
      <c r="P17" s="4">
        <f t="shared" si="2"/>
        <v>0.598736939238379</v>
      </c>
      <c r="Q17" s="4">
        <f t="shared" si="3"/>
        <v>0.1073741824</v>
      </c>
      <c r="R17" s="17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16">
        <v>1</v>
      </c>
      <c r="O6">
        <v>2</v>
      </c>
    </row>
    <row r="7" spans="2:15">
      <c r="K7" t="s">
        <v>299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299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K48" sqref="K48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3" t="s">
        <v>418</v>
      </c>
      <c r="AC1" s="14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5" t="s">
        <v>429</v>
      </c>
      <c r="AD2" s="15">
        <f t="shared" ref="AD2:AR3" si="0">J2</f>
        <v>1</v>
      </c>
      <c r="AE2" s="15">
        <f t="shared" si="0"/>
        <v>39</v>
      </c>
      <c r="AF2" s="15">
        <f t="shared" si="0"/>
        <v>40</v>
      </c>
      <c r="AG2" s="15">
        <f t="shared" si="0"/>
        <v>41</v>
      </c>
      <c r="AH2" s="15">
        <f t="shared" si="0"/>
        <v>79</v>
      </c>
      <c r="AI2" s="15">
        <f t="shared" si="0"/>
        <v>80</v>
      </c>
      <c r="AJ2" s="15">
        <f t="shared" si="0"/>
        <v>81</v>
      </c>
      <c r="AK2" s="15">
        <f t="shared" si="0"/>
        <v>119</v>
      </c>
      <c r="AL2" s="15">
        <f t="shared" si="0"/>
        <v>120</v>
      </c>
      <c r="AM2" s="15">
        <f t="shared" si="0"/>
        <v>121</v>
      </c>
      <c r="AN2" s="15">
        <f t="shared" si="0"/>
        <v>159</v>
      </c>
      <c r="AO2" s="15">
        <f t="shared" si="0"/>
        <v>160</v>
      </c>
      <c r="AP2" s="15">
        <f t="shared" si="0"/>
        <v>161</v>
      </c>
      <c r="AQ2" s="15">
        <f t="shared" si="0"/>
        <v>199</v>
      </c>
      <c r="AR2" s="15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4">
        <v>39.18</v>
      </c>
      <c r="G3" s="4" t="s">
        <v>434</v>
      </c>
      <c r="H3" s="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4">
        <v>19.34</v>
      </c>
      <c r="G4" s="4" t="s">
        <v>434</v>
      </c>
      <c r="H4" s="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14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5" t="s">
        <v>429</v>
      </c>
      <c r="AD7" s="15">
        <f t="shared" ref="AD7:AS9" si="2">H7</f>
        <v>1</v>
      </c>
      <c r="AE7" s="15">
        <f t="shared" si="2"/>
        <v>29</v>
      </c>
      <c r="AF7" s="15">
        <f t="shared" si="2"/>
        <v>30</v>
      </c>
      <c r="AG7" s="15">
        <f t="shared" si="2"/>
        <v>31</v>
      </c>
      <c r="AH7" s="15">
        <f t="shared" si="2"/>
        <v>59</v>
      </c>
      <c r="AI7" s="15">
        <f t="shared" si="2"/>
        <v>60</v>
      </c>
      <c r="AJ7" s="15">
        <f t="shared" si="2"/>
        <v>61</v>
      </c>
      <c r="AK7" s="15">
        <f t="shared" si="2"/>
        <v>89</v>
      </c>
      <c r="AL7" s="15">
        <f t="shared" si="2"/>
        <v>90</v>
      </c>
      <c r="AM7" s="15">
        <f t="shared" si="2"/>
        <v>91</v>
      </c>
      <c r="AN7" s="15">
        <f t="shared" si="2"/>
        <v>119</v>
      </c>
      <c r="AO7" s="15">
        <f t="shared" si="2"/>
        <v>120</v>
      </c>
      <c r="AP7" s="15">
        <f t="shared" si="2"/>
        <v>121</v>
      </c>
      <c r="AQ7" s="15">
        <f t="shared" si="2"/>
        <v>149</v>
      </c>
      <c r="AR7" s="15">
        <f t="shared" si="2"/>
        <v>150</v>
      </c>
      <c r="AS7" s="15">
        <f t="shared" si="2"/>
        <v>151</v>
      </c>
      <c r="AT7" s="15">
        <f t="shared" ref="AN7:AW9" si="3">X7</f>
        <v>179</v>
      </c>
      <c r="AU7" s="15">
        <f t="shared" si="3"/>
        <v>180</v>
      </c>
      <c r="AV7" s="15">
        <f t="shared" si="3"/>
        <v>181</v>
      </c>
      <c r="AW7" s="15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3" t="s">
        <v>440</v>
      </c>
    </row>
    <row r="13" spans="1:49">
      <c r="A13" s="7" t="s">
        <v>441</v>
      </c>
      <c r="B13" s="7"/>
      <c r="C13" s="7"/>
    </row>
    <row r="14" spans="1:49">
      <c r="A14" s="7" t="s">
        <v>442</v>
      </c>
      <c r="B14" s="7"/>
      <c r="C14" s="7"/>
    </row>
    <row r="15" spans="1:49">
      <c r="A15" s="7" t="s">
        <v>443</v>
      </c>
      <c r="B15" s="7"/>
      <c r="C15" s="7"/>
    </row>
    <row r="17" spans="1:13">
      <c r="A17" s="7" t="s">
        <v>444</v>
      </c>
      <c r="B17" s="7" t="s">
        <v>445</v>
      </c>
      <c r="C17" s="7" t="s">
        <v>446</v>
      </c>
    </row>
    <row r="18" spans="1:13">
      <c r="A18" s="7" t="s">
        <v>447</v>
      </c>
      <c r="B18" s="7" t="s">
        <v>448</v>
      </c>
      <c r="C18" s="7">
        <v>253</v>
      </c>
    </row>
    <row r="19" spans="1:13">
      <c r="A19" s="7" t="s">
        <v>449</v>
      </c>
      <c r="B19" s="7" t="s">
        <v>448</v>
      </c>
      <c r="C19" s="7">
        <v>203</v>
      </c>
      <c r="G19" t="s">
        <v>89</v>
      </c>
    </row>
    <row r="20" spans="1:13">
      <c r="A20" s="7" t="s">
        <v>450</v>
      </c>
      <c r="B20" s="7" t="s">
        <v>451</v>
      </c>
      <c r="C20" s="7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7" t="s">
        <v>452</v>
      </c>
      <c r="B21" s="7" t="s">
        <v>451</v>
      </c>
      <c r="C21" s="7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7" t="s">
        <v>456</v>
      </c>
      <c r="B22" s="7" t="s">
        <v>451</v>
      </c>
      <c r="C22" s="7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7" t="s">
        <v>458</v>
      </c>
      <c r="B23" s="7" t="s">
        <v>448</v>
      </c>
      <c r="C23" s="7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7" t="s">
        <v>460</v>
      </c>
      <c r="B24" s="7" t="s">
        <v>448</v>
      </c>
      <c r="C24" s="7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7" t="s">
        <v>462</v>
      </c>
      <c r="B25" s="7" t="s">
        <v>463</v>
      </c>
      <c r="C25" s="7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topLeftCell="R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5" t="s">
        <v>467</v>
      </c>
      <c r="E1" s="5" t="s">
        <v>468</v>
      </c>
      <c r="F1" s="5" t="s">
        <v>469</v>
      </c>
      <c r="R1" t="s">
        <v>470</v>
      </c>
      <c r="X1" t="s">
        <v>53</v>
      </c>
      <c r="AF1" t="s">
        <v>286</v>
      </c>
    </row>
    <row r="2" spans="1:35">
      <c r="A2" t="s">
        <v>471</v>
      </c>
      <c r="B2" t="str">
        <f>MID(A2,4,7)</f>
        <v>COA</v>
      </c>
      <c r="D2" s="6" t="s">
        <v>472</v>
      </c>
      <c r="E2" s="6">
        <f>N12</f>
        <v>55.99</v>
      </c>
      <c r="F2" s="6" t="s">
        <v>473</v>
      </c>
      <c r="G2" s="7" t="s">
        <v>474</v>
      </c>
      <c r="H2" s="7"/>
      <c r="I2" s="7"/>
      <c r="J2" s="7"/>
      <c r="K2" s="7"/>
      <c r="L2" s="7"/>
      <c r="M2" s="7"/>
      <c r="N2" s="7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6" t="s">
        <v>477</v>
      </c>
      <c r="E3" s="6">
        <f>E5</f>
        <v>98.43</v>
      </c>
      <c r="F3" s="6" t="s">
        <v>478</v>
      </c>
      <c r="G3" s="7"/>
      <c r="H3" s="7" t="s">
        <v>479</v>
      </c>
      <c r="I3" s="7"/>
      <c r="J3" s="7" t="s">
        <v>480</v>
      </c>
      <c r="K3" s="7"/>
      <c r="L3" s="7" t="s">
        <v>481</v>
      </c>
      <c r="M3" s="7" t="s">
        <v>480</v>
      </c>
      <c r="N3" s="7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3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6" t="s">
        <v>488</v>
      </c>
      <c r="E4" s="6">
        <f>E3</f>
        <v>98.43</v>
      </c>
      <c r="F4" s="6" t="str">
        <f>F3</f>
        <v>b</v>
      </c>
      <c r="G4" s="7" t="s">
        <v>489</v>
      </c>
      <c r="H4" s="7" t="s">
        <v>490</v>
      </c>
      <c r="I4" s="7"/>
      <c r="J4" s="7" t="s">
        <v>490</v>
      </c>
      <c r="K4" s="7"/>
      <c r="L4" s="7" t="s">
        <v>491</v>
      </c>
      <c r="M4" s="7" t="s">
        <v>491</v>
      </c>
      <c r="N4" s="7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6" t="s">
        <v>494</v>
      </c>
      <c r="E5" s="6">
        <f>N30</f>
        <v>98.43</v>
      </c>
      <c r="F5" s="6" t="s">
        <v>473</v>
      </c>
      <c r="G5" s="7" t="s">
        <v>495</v>
      </c>
      <c r="H5" s="7"/>
      <c r="I5" s="7"/>
      <c r="J5" s="7"/>
      <c r="K5" s="7"/>
      <c r="L5" s="7"/>
      <c r="M5" s="7"/>
      <c r="N5" s="7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6" t="s">
        <v>497</v>
      </c>
      <c r="E6" s="6">
        <f>E5</f>
        <v>98.43</v>
      </c>
      <c r="F6" s="6" t="s">
        <v>473</v>
      </c>
      <c r="G6" s="7" t="s">
        <v>498</v>
      </c>
      <c r="H6" s="7">
        <v>12.7</v>
      </c>
      <c r="I6" s="7" t="s">
        <v>499</v>
      </c>
      <c r="J6" s="7">
        <v>5.76</v>
      </c>
      <c r="K6" s="7" t="s">
        <v>499</v>
      </c>
      <c r="L6" s="7">
        <v>139.05</v>
      </c>
      <c r="M6" s="7">
        <v>63.07</v>
      </c>
      <c r="N6" s="7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8" t="s">
        <v>483</v>
      </c>
      <c r="Y6" s="8"/>
      <c r="Z6" s="8" t="s">
        <v>500</v>
      </c>
      <c r="AA6" s="8" t="s">
        <v>382</v>
      </c>
      <c r="AB6" s="9">
        <v>-0.001</v>
      </c>
    </row>
    <row r="7" spans="1:35">
      <c r="A7" t="s">
        <v>501</v>
      </c>
      <c r="B7" t="str">
        <f t="shared" si="0"/>
        <v>COA</v>
      </c>
      <c r="D7" s="6" t="s">
        <v>502</v>
      </c>
      <c r="E7" s="6">
        <f>N32</f>
        <v>103.08</v>
      </c>
      <c r="F7" s="6" t="s">
        <v>473</v>
      </c>
      <c r="G7" s="7" t="s">
        <v>503</v>
      </c>
      <c r="H7" s="7">
        <v>14.8</v>
      </c>
      <c r="I7" s="7" t="s">
        <v>499</v>
      </c>
      <c r="J7" s="7">
        <v>6.71</v>
      </c>
      <c r="K7" s="7" t="s">
        <v>499</v>
      </c>
      <c r="L7" s="7">
        <v>143.2</v>
      </c>
      <c r="M7" s="7">
        <v>64.95</v>
      </c>
      <c r="N7" s="7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6" t="s">
        <v>505</v>
      </c>
      <c r="E8" s="6">
        <f>E2</f>
        <v>55.99</v>
      </c>
      <c r="F8" s="6" t="s">
        <v>473</v>
      </c>
      <c r="G8" s="7" t="s">
        <v>506</v>
      </c>
      <c r="H8" s="7">
        <v>13.7</v>
      </c>
      <c r="I8" s="7" t="s">
        <v>499</v>
      </c>
      <c r="J8" s="7">
        <v>6.21</v>
      </c>
      <c r="K8" s="7" t="s">
        <v>499</v>
      </c>
      <c r="L8" s="7">
        <v>141.12</v>
      </c>
      <c r="M8" s="7">
        <v>64.01</v>
      </c>
      <c r="N8" s="7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6" t="s">
        <v>509</v>
      </c>
      <c r="E9" s="6">
        <f>N33</f>
        <v>120.4</v>
      </c>
      <c r="F9" s="6" t="s">
        <v>473</v>
      </c>
      <c r="G9" s="7" t="s">
        <v>510</v>
      </c>
      <c r="H9" s="7">
        <v>22.4</v>
      </c>
      <c r="I9" s="7" t="s">
        <v>499</v>
      </c>
      <c r="J9" s="7">
        <v>10.16</v>
      </c>
      <c r="K9" s="7" t="s">
        <v>499</v>
      </c>
      <c r="L9" s="7">
        <v>161.3</v>
      </c>
      <c r="M9" s="7">
        <v>73.16</v>
      </c>
      <c r="N9" s="7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511</v>
      </c>
      <c r="B10" t="str">
        <f t="shared" si="0"/>
        <v>LPG</v>
      </c>
      <c r="D10" s="6" t="s">
        <v>512</v>
      </c>
      <c r="E10" s="6">
        <f>N9</f>
        <v>77.19</v>
      </c>
      <c r="F10" s="6" t="s">
        <v>513</v>
      </c>
      <c r="G10" s="7" t="s">
        <v>514</v>
      </c>
      <c r="H10" s="7">
        <v>21.5</v>
      </c>
      <c r="I10" s="7" t="s">
        <v>499</v>
      </c>
      <c r="J10" s="7">
        <v>9.75</v>
      </c>
      <c r="K10" s="7" t="s">
        <v>499</v>
      </c>
      <c r="L10" s="7">
        <v>159.4</v>
      </c>
      <c r="M10" s="7">
        <v>72.3</v>
      </c>
      <c r="N10" s="7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6" t="s">
        <v>515</v>
      </c>
      <c r="E11" s="6">
        <f>N6</f>
        <v>66.54</v>
      </c>
      <c r="F11" s="6" t="s">
        <v>516</v>
      </c>
      <c r="G11" s="7" t="s">
        <v>517</v>
      </c>
      <c r="H11" s="10">
        <v>4631.5</v>
      </c>
      <c r="I11" s="7" t="s">
        <v>518</v>
      </c>
      <c r="J11" s="10">
        <v>2100.82</v>
      </c>
      <c r="K11" s="7" t="s">
        <v>518</v>
      </c>
      <c r="L11" s="7">
        <v>210.2</v>
      </c>
      <c r="M11" s="7">
        <v>95.35</v>
      </c>
      <c r="N11" s="7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6" t="s">
        <v>522</v>
      </c>
      <c r="E12" s="6">
        <f>N12</f>
        <v>55.99</v>
      </c>
      <c r="F12" s="6" t="s">
        <v>516</v>
      </c>
      <c r="G12" s="7" t="s">
        <v>523</v>
      </c>
      <c r="H12" s="7">
        <v>117.1</v>
      </c>
      <c r="I12" s="7" t="s">
        <v>524</v>
      </c>
      <c r="J12" s="7">
        <v>53.12</v>
      </c>
      <c r="K12" s="7" t="s">
        <v>524</v>
      </c>
      <c r="L12" s="7">
        <v>117</v>
      </c>
      <c r="M12" s="7">
        <v>53.07</v>
      </c>
      <c r="N12" s="7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6" t="s">
        <v>526</v>
      </c>
      <c r="E13" s="6">
        <f>N13</f>
        <v>75.22</v>
      </c>
      <c r="F13" s="6" t="s">
        <v>513</v>
      </c>
      <c r="G13" s="7" t="s">
        <v>527</v>
      </c>
      <c r="H13" s="7">
        <v>19.6</v>
      </c>
      <c r="I13" s="7" t="s">
        <v>499</v>
      </c>
      <c r="J13" s="7">
        <v>8.89</v>
      </c>
      <c r="K13" s="7" t="s">
        <v>499</v>
      </c>
      <c r="L13" s="7">
        <v>157.2</v>
      </c>
      <c r="M13" s="7">
        <v>71.3</v>
      </c>
      <c r="N13" s="7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6" t="s">
        <v>529</v>
      </c>
      <c r="E14" s="6">
        <f>N26</f>
        <v>76.81</v>
      </c>
      <c r="F14" s="6" t="s">
        <v>513</v>
      </c>
      <c r="G14" s="7" t="s">
        <v>530</v>
      </c>
      <c r="H14" s="7">
        <v>26</v>
      </c>
      <c r="I14" s="7" t="s">
        <v>499</v>
      </c>
      <c r="J14" s="7">
        <v>11.79</v>
      </c>
      <c r="K14" s="7" t="s">
        <v>499</v>
      </c>
      <c r="L14" s="7">
        <v>173.7</v>
      </c>
      <c r="M14" s="7">
        <v>78.79</v>
      </c>
      <c r="N14" s="7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1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6" t="s">
        <v>533</v>
      </c>
      <c r="E15" s="6">
        <f>N14</f>
        <v>83.12</v>
      </c>
      <c r="F15" s="6" t="s">
        <v>513</v>
      </c>
      <c r="G15" s="7" t="s">
        <v>534</v>
      </c>
      <c r="H15" s="7"/>
      <c r="I15" s="7"/>
      <c r="J15" s="7"/>
      <c r="K15" s="7"/>
      <c r="L15" s="7"/>
      <c r="M15" s="7"/>
      <c r="N15" s="7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6" t="s">
        <v>536</v>
      </c>
      <c r="E16" s="6">
        <f>N16</f>
        <v>74.8</v>
      </c>
      <c r="F16" s="6" t="s">
        <v>513</v>
      </c>
      <c r="G16" s="7" t="s">
        <v>537</v>
      </c>
      <c r="H16" s="7">
        <v>21.1</v>
      </c>
      <c r="I16" s="7" t="s">
        <v>499</v>
      </c>
      <c r="J16" s="7">
        <v>9.57</v>
      </c>
      <c r="K16" s="7" t="s">
        <v>499</v>
      </c>
      <c r="L16" s="7">
        <v>156.3</v>
      </c>
      <c r="M16" s="7">
        <v>70.9</v>
      </c>
      <c r="N16" s="7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6" t="s">
        <v>538</v>
      </c>
      <c r="E17" s="6">
        <f>N10</f>
        <v>76.28</v>
      </c>
      <c r="F17" s="6" t="s">
        <v>513</v>
      </c>
      <c r="G17" s="7" t="s">
        <v>539</v>
      </c>
      <c r="H17" s="7">
        <v>18.4</v>
      </c>
      <c r="I17" s="7" t="s">
        <v>499</v>
      </c>
      <c r="J17" s="7">
        <v>8.35</v>
      </c>
      <c r="K17" s="7" t="s">
        <v>499</v>
      </c>
      <c r="L17" s="7">
        <v>152.6</v>
      </c>
      <c r="M17" s="7">
        <v>69.2</v>
      </c>
      <c r="N17" s="7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6" t="s">
        <v>541</v>
      </c>
      <c r="E18" s="6">
        <f>N8</f>
        <v>67.53</v>
      </c>
      <c r="F18" s="6" t="s">
        <v>513</v>
      </c>
      <c r="G18" s="7" t="s">
        <v>542</v>
      </c>
      <c r="H18" s="7"/>
      <c r="I18" s="7"/>
      <c r="J18" s="7"/>
      <c r="K18" s="7"/>
      <c r="L18" s="7"/>
      <c r="M18" s="7"/>
      <c r="N18" s="7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6" t="s">
        <v>544</v>
      </c>
      <c r="E19" s="6">
        <f>N12</f>
        <v>55.99</v>
      </c>
      <c r="F19" s="6" t="s">
        <v>516</v>
      </c>
      <c r="G19" s="7" t="s">
        <v>545</v>
      </c>
      <c r="H19" s="7">
        <v>120.7</v>
      </c>
      <c r="I19" s="7" t="s">
        <v>524</v>
      </c>
      <c r="J19" s="7">
        <v>54.75</v>
      </c>
      <c r="K19" s="7" t="s">
        <v>524</v>
      </c>
      <c r="L19" s="7">
        <v>120.6</v>
      </c>
      <c r="M19" s="7">
        <v>54.7</v>
      </c>
      <c r="N19" s="7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6" t="s">
        <v>547</v>
      </c>
      <c r="E20" s="6">
        <f>N14</f>
        <v>83.12</v>
      </c>
      <c r="F20" s="6" t="s">
        <v>513</v>
      </c>
      <c r="G20" s="7" t="s">
        <v>548</v>
      </c>
      <c r="H20" s="7">
        <v>32.4</v>
      </c>
      <c r="I20" s="7" t="s">
        <v>499</v>
      </c>
      <c r="J20" s="7">
        <v>14.7</v>
      </c>
      <c r="K20" s="7" t="s">
        <v>499</v>
      </c>
      <c r="L20" s="7">
        <v>225.1</v>
      </c>
      <c r="M20" s="7">
        <v>102.1</v>
      </c>
      <c r="N20" s="7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6" t="s">
        <v>552</v>
      </c>
      <c r="E21" s="6">
        <f>N14</f>
        <v>83.12</v>
      </c>
      <c r="F21" s="6" t="s">
        <v>513</v>
      </c>
      <c r="G21" s="7" t="s">
        <v>553</v>
      </c>
      <c r="H21" s="7">
        <v>22.09</v>
      </c>
      <c r="I21" s="7" t="s">
        <v>499</v>
      </c>
      <c r="J21" s="7">
        <v>10.02</v>
      </c>
      <c r="K21" s="7" t="s">
        <v>499</v>
      </c>
      <c r="L21" s="7">
        <v>160.1</v>
      </c>
      <c r="M21" s="7">
        <v>72.62</v>
      </c>
      <c r="N21" s="7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6" t="s">
        <v>557</v>
      </c>
      <c r="E22" s="6">
        <f>E10</f>
        <v>77.19</v>
      </c>
      <c r="F22" s="6" t="s">
        <v>513</v>
      </c>
      <c r="G22" s="7" t="s">
        <v>558</v>
      </c>
      <c r="H22" s="7"/>
      <c r="I22" s="7"/>
      <c r="J22" s="7"/>
      <c r="K22" s="7"/>
      <c r="L22" s="7"/>
      <c r="M22" s="7"/>
      <c r="N22" s="7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6" t="s">
        <v>561</v>
      </c>
      <c r="E23" s="6">
        <f>N33</f>
        <v>120.4</v>
      </c>
      <c r="F23" s="6" t="s">
        <v>473</v>
      </c>
      <c r="G23" s="7" t="s">
        <v>562</v>
      </c>
      <c r="H23" s="7">
        <v>26.34</v>
      </c>
      <c r="I23" s="7" t="s">
        <v>499</v>
      </c>
      <c r="J23" s="7">
        <v>11.95</v>
      </c>
      <c r="K23" s="7" t="s">
        <v>499</v>
      </c>
      <c r="L23" s="7">
        <v>166.7</v>
      </c>
      <c r="M23" s="7">
        <v>75.61</v>
      </c>
      <c r="N23" s="7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6" t="s">
        <v>568</v>
      </c>
      <c r="E24" s="6">
        <f>N20</f>
        <v>107.72</v>
      </c>
      <c r="F24" s="6" t="s">
        <v>513</v>
      </c>
      <c r="G24" s="7" t="s">
        <v>569</v>
      </c>
      <c r="H24" s="7">
        <v>23.62</v>
      </c>
      <c r="I24" s="7" t="s">
        <v>499</v>
      </c>
      <c r="J24" s="7">
        <v>10.72</v>
      </c>
      <c r="K24" s="7" t="s">
        <v>499</v>
      </c>
      <c r="L24" s="7">
        <v>163.6</v>
      </c>
      <c r="M24" s="7">
        <v>74.21</v>
      </c>
      <c r="N24" s="7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6" t="s">
        <v>571</v>
      </c>
      <c r="E25" s="6">
        <f>E2</f>
        <v>55.99</v>
      </c>
      <c r="F25" s="6" t="s">
        <v>513</v>
      </c>
      <c r="G25" s="7" t="s">
        <v>572</v>
      </c>
      <c r="H25" s="7">
        <v>24.74</v>
      </c>
      <c r="I25" s="7" t="s">
        <v>499</v>
      </c>
      <c r="J25" s="7">
        <v>11.22</v>
      </c>
      <c r="K25" s="7" t="s">
        <v>499</v>
      </c>
      <c r="L25" s="7">
        <v>156.6</v>
      </c>
      <c r="M25" s="7">
        <v>71.03</v>
      </c>
      <c r="N25" s="7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6" t="s">
        <v>574</v>
      </c>
      <c r="E26" s="6">
        <f>N9</f>
        <v>77.19</v>
      </c>
      <c r="F26" s="6" t="s">
        <v>513</v>
      </c>
      <c r="G26" s="7" t="s">
        <v>575</v>
      </c>
      <c r="H26" s="7">
        <v>20.05</v>
      </c>
      <c r="I26" s="7" t="s">
        <v>499</v>
      </c>
      <c r="J26" s="7">
        <v>9.1</v>
      </c>
      <c r="K26" s="7" t="s">
        <v>499</v>
      </c>
      <c r="L26" s="7">
        <v>160.5</v>
      </c>
      <c r="M26" s="7">
        <v>72.8</v>
      </c>
      <c r="N26" s="7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6" t="s">
        <v>577</v>
      </c>
      <c r="E27" s="6">
        <f>N36</f>
        <v>43.98</v>
      </c>
      <c r="F27" s="6" t="s">
        <v>578</v>
      </c>
      <c r="G27" s="7" t="s">
        <v>579</v>
      </c>
      <c r="H27" s="7">
        <v>21.11</v>
      </c>
      <c r="I27" s="7" t="s">
        <v>499</v>
      </c>
      <c r="J27" s="7">
        <v>9.57</v>
      </c>
      <c r="K27" s="7" t="s">
        <v>499</v>
      </c>
      <c r="L27" s="7">
        <v>160.1</v>
      </c>
      <c r="M27" s="7">
        <v>72.62</v>
      </c>
      <c r="N27" s="7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7" t="s">
        <v>581</v>
      </c>
      <c r="H28" s="7"/>
      <c r="I28" s="7"/>
      <c r="J28" s="7"/>
      <c r="K28" s="7"/>
      <c r="L28" s="7"/>
      <c r="M28" s="7"/>
      <c r="N28" s="7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7" t="s">
        <v>582</v>
      </c>
      <c r="H29" s="10">
        <v>5685</v>
      </c>
      <c r="I29" s="7" t="s">
        <v>518</v>
      </c>
      <c r="J29" s="10">
        <v>2578.68</v>
      </c>
      <c r="K29" s="7" t="s">
        <v>518</v>
      </c>
      <c r="L29" s="7">
        <v>228.6</v>
      </c>
      <c r="M29" s="7">
        <v>103.7</v>
      </c>
      <c r="N29" s="7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7" t="s">
        <v>585</v>
      </c>
      <c r="H30" s="10">
        <v>4931.3</v>
      </c>
      <c r="I30" s="7" t="s">
        <v>518</v>
      </c>
      <c r="J30" s="10">
        <v>2236.8</v>
      </c>
      <c r="K30" s="7" t="s">
        <v>518</v>
      </c>
      <c r="L30" s="7">
        <v>205.7</v>
      </c>
      <c r="M30" s="7">
        <v>93.3</v>
      </c>
      <c r="N30" s="7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12" t="s">
        <v>483</v>
      </c>
      <c r="AH30" s="12" t="s">
        <v>586</v>
      </c>
      <c r="AI30" s="12" t="s">
        <v>584</v>
      </c>
      <c r="AJ30" s="12">
        <v>-0.001</v>
      </c>
    </row>
    <row r="31" spans="1:36">
      <c r="A31" t="s">
        <v>587</v>
      </c>
      <c r="B31" t="str">
        <f t="shared" si="0"/>
        <v>OVC</v>
      </c>
      <c r="G31" s="7" t="s">
        <v>588</v>
      </c>
      <c r="H31" s="10">
        <v>3715.9</v>
      </c>
      <c r="I31" s="7" t="s">
        <v>518</v>
      </c>
      <c r="J31" s="10">
        <v>1685.51</v>
      </c>
      <c r="K31" s="7" t="s">
        <v>518</v>
      </c>
      <c r="L31" s="7">
        <v>214.3</v>
      </c>
      <c r="M31" s="7">
        <v>97.2</v>
      </c>
      <c r="N31" s="7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589</v>
      </c>
      <c r="B32" t="str">
        <f t="shared" si="0"/>
        <v>PTC</v>
      </c>
      <c r="G32" s="7" t="s">
        <v>590</v>
      </c>
      <c r="H32" s="10">
        <v>2791.6</v>
      </c>
      <c r="I32" s="7" t="s">
        <v>518</v>
      </c>
      <c r="J32" s="10">
        <v>1266.25</v>
      </c>
      <c r="K32" s="7" t="s">
        <v>518</v>
      </c>
      <c r="L32" s="7">
        <v>215.4</v>
      </c>
      <c r="M32" s="7">
        <v>97.7</v>
      </c>
      <c r="N32" s="7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7" t="s">
        <v>594</v>
      </c>
      <c r="H33" s="10">
        <v>6239.68</v>
      </c>
      <c r="I33" s="7" t="s">
        <v>518</v>
      </c>
      <c r="J33" s="10">
        <v>2830.27</v>
      </c>
      <c r="K33" s="7" t="s">
        <v>518</v>
      </c>
      <c r="L33" s="7">
        <v>251.6</v>
      </c>
      <c r="M33" s="7">
        <v>114.12</v>
      </c>
      <c r="N33" s="7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7" t="s">
        <v>597</v>
      </c>
      <c r="H34" s="7"/>
      <c r="I34" s="7"/>
      <c r="J34" s="7"/>
      <c r="K34" s="7"/>
      <c r="L34" s="7"/>
      <c r="M34" s="7"/>
      <c r="N34" s="7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598</v>
      </c>
      <c r="B35" t="str">
        <f t="shared" si="0"/>
        <v>KER</v>
      </c>
      <c r="G35" s="7" t="s">
        <v>599</v>
      </c>
      <c r="H35" s="7" t="s">
        <v>600</v>
      </c>
      <c r="I35" s="7"/>
      <c r="J35" s="7" t="s">
        <v>600</v>
      </c>
      <c r="K35" s="7"/>
      <c r="L35" s="7">
        <v>16.99</v>
      </c>
      <c r="M35" s="7">
        <v>7.71</v>
      </c>
      <c r="N35" s="7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7" t="s">
        <v>604</v>
      </c>
      <c r="H36" s="10">
        <v>5771</v>
      </c>
      <c r="I36" s="7" t="s">
        <v>518</v>
      </c>
      <c r="J36" s="10">
        <v>2617.68</v>
      </c>
      <c r="K36" s="7" t="s">
        <v>518</v>
      </c>
      <c r="L36" s="7">
        <v>91.9</v>
      </c>
      <c r="M36" s="7">
        <v>41.69</v>
      </c>
      <c r="N36" s="7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" t="s">
        <v>605</v>
      </c>
      <c r="Y36" t="s">
        <v>565</v>
      </c>
      <c r="Z36" t="s">
        <v>602</v>
      </c>
      <c r="AA36">
        <v>0.001</v>
      </c>
    </row>
    <row r="37" spans="1:30">
      <c r="A37" t="s">
        <v>297</v>
      </c>
      <c r="B37" t="str">
        <f t="shared" si="0"/>
        <v>NGA</v>
      </c>
      <c r="G37" s="7" t="s">
        <v>606</v>
      </c>
      <c r="H37" s="10">
        <v>6160</v>
      </c>
      <c r="I37" s="7" t="s">
        <v>518</v>
      </c>
      <c r="J37" s="10">
        <v>2794.13</v>
      </c>
      <c r="K37" s="7" t="s">
        <v>518</v>
      </c>
      <c r="L37" s="7">
        <v>189.54</v>
      </c>
      <c r="M37" s="7">
        <v>85.97</v>
      </c>
      <c r="N37" s="7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7" t="s">
        <v>609</v>
      </c>
      <c r="H38" s="7">
        <v>924</v>
      </c>
      <c r="I38" s="7" t="s">
        <v>610</v>
      </c>
      <c r="J38" s="7">
        <v>419.12</v>
      </c>
      <c r="K38" s="7" t="s">
        <v>610</v>
      </c>
      <c r="L38" s="7">
        <v>210</v>
      </c>
      <c r="M38" s="7">
        <v>95.25</v>
      </c>
      <c r="N38" s="7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7" t="s">
        <v>612</v>
      </c>
      <c r="H39" s="7"/>
      <c r="I39" s="7"/>
      <c r="J39" s="7"/>
      <c r="K39" s="7"/>
      <c r="L39" s="7"/>
      <c r="M39" s="7"/>
      <c r="N39" s="7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613</v>
      </c>
      <c r="B40" t="str">
        <f t="shared" si="0"/>
        <v>BIO</v>
      </c>
      <c r="G40" s="7" t="s">
        <v>614</v>
      </c>
      <c r="H40" s="7"/>
      <c r="I40" s="7"/>
      <c r="J40" s="7"/>
      <c r="K40" s="7"/>
      <c r="L40" s="7"/>
      <c r="M40" s="7"/>
      <c r="N40" s="7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7" t="s">
        <v>618</v>
      </c>
      <c r="H41" s="7"/>
      <c r="I41" s="7"/>
      <c r="J41" s="7"/>
      <c r="K41" s="7"/>
      <c r="L41" s="7"/>
      <c r="M41" s="7"/>
      <c r="N41" s="7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304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4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4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4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4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4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4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4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4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4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4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4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4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4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4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4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4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4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4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4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4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4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4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4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4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4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4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4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4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4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4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4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4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4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4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4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4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4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4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4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4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4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4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4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4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4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4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4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4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4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4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4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4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4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4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4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4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4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4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4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4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4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4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4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4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4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4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4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4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4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4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J25"/>
  <sheetViews>
    <sheetView zoomScale="66" zoomScaleNormal="66" workbookViewId="0">
      <selection activeCell="I34" sqref="I3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" customWidth="1"/>
  </cols>
  <sheetData>
    <row r="3" spans="2:10">
      <c r="B3" t="s">
        <v>1</v>
      </c>
    </row>
    <row r="5" spans="2:10">
      <c r="C5" t="s">
        <v>641</v>
      </c>
    </row>
    <row r="6" spans="2:10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55</v>
      </c>
      <c r="J6" t="s">
        <v>91</v>
      </c>
    </row>
    <row r="7" s="1" customFormat="1" spans="2:10">
      <c r="B7" s="1" t="s">
        <v>642</v>
      </c>
      <c r="C7" s="1" t="s">
        <v>303</v>
      </c>
      <c r="D7" s="1" t="s">
        <v>97</v>
      </c>
      <c r="E7" s="1">
        <f>1/0.05</f>
        <v>20</v>
      </c>
      <c r="F7" s="1">
        <v>0</v>
      </c>
      <c r="G7" s="1">
        <v>3</v>
      </c>
      <c r="H7" s="1" t="s">
        <v>643</v>
      </c>
      <c r="I7" s="1" t="s">
        <v>246</v>
      </c>
      <c r="J7" s="1" t="s">
        <v>644</v>
      </c>
    </row>
    <row r="8" spans="2:10">
      <c r="C8" t="s">
        <v>112</v>
      </c>
      <c r="D8" s="3" t="s">
        <v>645</v>
      </c>
      <c r="E8" s="3">
        <v>-60</v>
      </c>
      <c r="F8" s="3"/>
      <c r="G8" s="3"/>
      <c r="H8" s="3" t="s">
        <v>643</v>
      </c>
      <c r="I8" t="s">
        <v>246</v>
      </c>
    </row>
    <row r="9" spans="2:10">
      <c r="C9" t="s">
        <v>112</v>
      </c>
      <c r="D9" s="3" t="s">
        <v>646</v>
      </c>
      <c r="E9" s="3">
        <v>-180</v>
      </c>
      <c r="F9" s="3"/>
      <c r="G9" s="3"/>
      <c r="H9" s="3" t="s">
        <v>643</v>
      </c>
      <c r="I9" t="s">
        <v>246</v>
      </c>
    </row>
    <row r="10" spans="2:10">
      <c r="C10" t="s">
        <v>112</v>
      </c>
      <c r="D10" t="s">
        <v>647</v>
      </c>
      <c r="E10">
        <v>-600</v>
      </c>
      <c r="H10" t="s">
        <v>643</v>
      </c>
      <c r="I10" t="s">
        <v>246</v>
      </c>
    </row>
    <row r="12" s="2" customFormat="1"/>
    <row r="13" s="2" customFormat="1"/>
    <row r="14" s="2" customFormat="1"/>
    <row r="15" s="2" customFormat="1"/>
    <row r="17" spans="2:10">
      <c r="C17" t="s">
        <v>648</v>
      </c>
    </row>
    <row r="18" spans="2:10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55</v>
      </c>
      <c r="J18" t="s">
        <v>91</v>
      </c>
    </row>
    <row r="19" s="1" customFormat="1" spans="2:10">
      <c r="B19" s="1" t="s">
        <v>649</v>
      </c>
      <c r="C19" s="1" t="s">
        <v>650</v>
      </c>
      <c r="D19" s="1" t="s">
        <v>643</v>
      </c>
      <c r="E19" s="1">
        <v>1</v>
      </c>
      <c r="F19" s="1">
        <v>0</v>
      </c>
      <c r="G19" s="1">
        <v>3</v>
      </c>
      <c r="I19" s="1" t="s">
        <v>246</v>
      </c>
      <c r="J19" s="1" t="s">
        <v>651</v>
      </c>
    </row>
    <row r="20" spans="2:10">
      <c r="C20" t="s">
        <v>112</v>
      </c>
      <c r="D20" t="s">
        <v>645</v>
      </c>
      <c r="E20">
        <v>-60</v>
      </c>
      <c r="H20" t="s">
        <v>643</v>
      </c>
      <c r="I20" t="s">
        <v>246</v>
      </c>
    </row>
    <row r="21" spans="2:10">
      <c r="C21" t="s">
        <v>112</v>
      </c>
      <c r="D21" t="s">
        <v>646</v>
      </c>
      <c r="E21">
        <v>-180</v>
      </c>
      <c r="H21" t="s">
        <v>643</v>
      </c>
      <c r="I21" t="s">
        <v>246</v>
      </c>
    </row>
    <row r="22" spans="2:10">
      <c r="C22" s="2" t="s">
        <v>112</v>
      </c>
      <c r="D22" s="2" t="s">
        <v>652</v>
      </c>
      <c r="E22" s="2">
        <v>-600</v>
      </c>
      <c r="F22" s="2"/>
      <c r="G22" s="2"/>
      <c r="H22" s="2" t="s">
        <v>643</v>
      </c>
      <c r="I22" t="s">
        <v>246</v>
      </c>
    </row>
    <row r="23" spans="2:10">
      <c r="C23" s="2" t="s">
        <v>112</v>
      </c>
      <c r="D23" s="2" t="s">
        <v>653</v>
      </c>
      <c r="E23" s="2">
        <v>-14.7692307692308</v>
      </c>
      <c r="F23" s="2"/>
      <c r="G23" s="2"/>
      <c r="H23" s="2" t="s">
        <v>643</v>
      </c>
      <c r="I23" t="s">
        <v>246</v>
      </c>
    </row>
    <row r="24" spans="2:10">
      <c r="C24" s="2" t="s">
        <v>112</v>
      </c>
      <c r="D24" s="2" t="s">
        <v>654</v>
      </c>
      <c r="E24" s="2">
        <v>-16.8421052631579</v>
      </c>
      <c r="F24" s="2"/>
      <c r="G24" s="2"/>
      <c r="H24" s="2" t="s">
        <v>643</v>
      </c>
      <c r="I24" t="s">
        <v>246</v>
      </c>
    </row>
    <row r="25" spans="2:10">
      <c r="C25" t="s">
        <v>112</v>
      </c>
      <c r="D25" t="s">
        <v>647</v>
      </c>
      <c r="E25">
        <v>-600</v>
      </c>
      <c r="H25" t="s">
        <v>643</v>
      </c>
      <c r="I25" t="s">
        <v>246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2026-08-01T16:58:07Z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