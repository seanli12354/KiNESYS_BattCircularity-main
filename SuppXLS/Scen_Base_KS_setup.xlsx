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1"/>
  </bookViews>
  <sheets>
    <sheet name="temp elec alignment" sheetId="1" state="visible" r:id="rId3"/>
    <sheet name="INS" sheetId="2" state="visible" r:id="rId4"/>
    <sheet name="RE costs" sheetId="3" state="visible" r:id="rId5"/>
    <sheet name="HH2" sheetId="4" state="visible" r:id="rId6"/>
    <sheet name="Transport" sheetId="5" state="visible" r:id="rId7"/>
    <sheet name="Trade costs" sheetId="6" state="visible" r:id="rId8"/>
    <sheet name="Cap decay limits" sheetId="7" state="visible" r:id="rId9"/>
    <sheet name="demelast and reporting" sheetId="8" state="visible" r:id="rId10"/>
    <sheet name="Thermal elec op costs" sheetId="9" state="visible" r:id="rId11"/>
    <sheet name="emissions" sheetId="10" state="visible" r:id="rId12"/>
    <sheet name="CO2 transp and sto" sheetId="11" state="visible" r:id="rId13"/>
    <sheet name="car batteries" sheetId="12" state="visible" r:id="rId14"/>
    <sheet name="2026electrificationrate-REMOVED" sheetId="13" state="visible" r:id="rId15"/>
    <sheet name="growth rate" sheetId="14" state="visible" r:id="rId16"/>
    <sheet name="materials_balance" sheetId="15" state="visible" r:id="rId17"/>
    <sheet name="BND_onGasCar" sheetId="16" state="visible" r:id="rId18"/>
  </sheets>
  <definedNames>
    <definedName function="false" hidden="false" name="BaseYear" vbProcedure="false">2018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xli9:
I removed this constraint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Insert Table</t>
        </r>
      </text>
    </comment>
    <comment ref="D10" authorId="0">
      <text>
        <r>
          <rPr>
            <sz val="10"/>
            <rFont val="Arial"/>
            <family val="2"/>
          </rPr>
          <t xml:space="preserve">Amit Kanudia:
12-11-2021
These should be a part of optimistic H2 scenario
</t>
        </r>
      </text>
    </comment>
    <comment ref="D11" authorId="0">
      <text>
        <r>
          <rPr>
            <sz val="10"/>
            <rFont val="Arial"/>
            <family val="2"/>
          </rPr>
          <t xml:space="preserve">Amit Kanudia:
13-11-2021
doesn't make sense
</t>
        </r>
      </text>
    </comment>
    <comment ref="D23" authorId="0">
      <text>
        <r>
          <rPr>
            <sz val="10"/>
            <rFont val="Arial"/>
            <family val="2"/>
          </rPr>
          <t xml:space="preserve">Amit Kanudia:
28-03-2022
these processes are included only for calibration purpose</t>
        </r>
      </text>
    </comment>
    <comment ref="D35" authorId="0">
      <text>
        <r>
          <rPr>
            <sz val="10"/>
            <rFont val="Arial"/>
            <family val="2"/>
          </rPr>
          <t xml:space="preserve">Amit Kanudia:
27-09-2024
</t>
        </r>
      </text>
    </comment>
    <comment ref="D36" authorId="0">
      <text>
        <r>
          <rPr>
            <sz val="10"/>
            <rFont val="Arial"/>
            <family val="2"/>
          </rPr>
          <t xml:space="preserve">Amit Kanudia:
15-04-2024
This relaxation affects the oil/gas extraction balance.
</t>
        </r>
      </text>
    </comment>
    <comment ref="H16" authorId="0">
      <text>
        <r>
          <rPr>
            <sz val="10"/>
            <rFont val="Arial"/>
            <family val="2"/>
          </rPr>
          <t xml:space="preserve">Amit Kanudia:
23-07-2021
based on a recent 1.2mbpd refinery - $60b
</t>
        </r>
      </text>
    </comment>
    <comment ref="I2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N2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  <comment ref="U5" authorId="0">
      <text>
        <r>
          <rPr>
            <sz val="10"/>
            <rFont val="Arial"/>
            <family val="2"/>
          </rPr>
          <t xml:space="preserve">AMIT:
12-03-2022
Geothermal has been introduced only to respect RE targets
</t>
        </r>
      </text>
    </comment>
    <comment ref="V17" authorId="0">
      <text>
        <r>
          <rPr>
            <sz val="10"/>
            <rFont val="Arial"/>
            <family val="2"/>
          </rPr>
          <t xml:space="preserve">xli9:
original is 4.7 (which does not include Depot compressor cost--4 million $/PJ)</t>
        </r>
      </text>
    </comment>
    <comment ref="W5" authorId="0">
      <text>
        <r>
          <rPr>
            <sz val="10"/>
            <rFont val="Arial"/>
            <family val="2"/>
          </rPr>
          <t xml:space="preserve">xli9:
i revised it from 2025 to 2150, since removing geotherml totally from transition is not normal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xli9:
this invcost duplicate what another table predefines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xli9:
I removed this since all Aviation demand are satisifed by Jet-fuels instead of ELC</t>
        </r>
      </text>
    </comment>
    <comment ref="K16" authorId="0">
      <text>
        <r>
          <rPr>
            <sz val="10"/>
            <rFont val="Arial"/>
            <family val="2"/>
          </rPr>
          <t xml:space="preserve">xli9:
Test if we ad back how wil it be?? bcz now the 2020-2025 too flat but 2025-2030 increase too much, and EOL recycling cannot followup, so....in 2040-2050, some regions need mining very heavy to supply without recycling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6" authorId="0">
      <text>
        <r>
          <rPr>
            <sz val="10"/>
            <rFont val="Arial"/>
            <family val="2"/>
          </rPr>
          <t xml:space="preserve">xli9:
It has already been deducted in NetCO2</t>
        </r>
      </text>
    </comment>
    <comment ref="AB48" authorId="0">
      <text>
        <r>
          <rPr>
            <sz val="10"/>
            <rFont val="Arial"/>
            <family val="2"/>
          </rPr>
          <t xml:space="preserve">xli9:
i revised from 0.8 to 0.9 because 0.8 seems to be outdated</t>
        </r>
      </text>
    </comment>
    <comment ref="AC49" authorId="0">
      <text>
        <r>
          <rPr>
            <sz val="10"/>
            <rFont val="Arial"/>
            <family val="2"/>
          </rPr>
          <t xml:space="preserve">Amit Kanudia:
10-07-2023</t>
        </r>
      </text>
    </comment>
    <comment ref="AD11" authorId="0">
      <text>
        <r>
          <rPr>
            <sz val="10"/>
            <rFont val="Arial"/>
            <family val="2"/>
          </rPr>
          <t xml:space="preserve">Amit Kanudia:
23-02-2022
UKTM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Amit Kanudia:
27-07-2023
from BP data.. Storage costs are quite low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xli9:
Maximum share constraint
👉 This is good and necessary
Represents:
fraction of EVs with V2G hardware
infrastructure limitations</t>
        </r>
      </text>
    </comment>
    <comment ref="E7" authorId="0">
      <text>
        <r>
          <rPr>
            <sz val="10"/>
            <rFont val="Arial"/>
            <family val="2"/>
          </rPr>
          <t xml:space="preserve">xli9:
denominator is “1 GWh EV storage typically supports XX GW V2G capacity (order of magnitude)”.:
Step 1: Power-to-energy ratio
Typical EV:
~60 kWh battery
~5–10 kW discharge power
👉 Ratio:
~0.08 – 0.17 kW per kWh
Step 2: Availability (key constraint)
Not all EVs are usable:
Only 10–30% effectively available
🔢 Final result
Combine both:
👉 Theoretical:
1 GWh → ~0.08–0.17 GW
👉 Realistic (after availability):
1 GWh → ~0.05–0.2 GW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xli9:
Maximum share constraint
👉 This is good and necessary
Represents:
fraction of EVs with V2G hardware
infrastructure limitations</t>
        </r>
      </text>
    </comment>
    <comment ref="E7" authorId="0">
      <text>
        <r>
          <rPr>
            <sz val="10"/>
            <rFont val="Arial"/>
            <family val="2"/>
          </rPr>
          <t xml:space="preserve">xli9:
denominator is “1 GWh EV storage typically supports XX GW V2G capacity (order of magnitude)”.:
Step 1: Power-to-energy ratio
Typical EV:
~60 kWh battery
~5–10 kW discharge power
👉 Ratio:
~0.08 – 0.17 kW per kWh
Step 2: Availability (key constraint)
Not all EVs are usable:
Only 10–30% effectively available
🔢 Final result
Combine both:
👉 Theoretical:
1 GWh → ~0.08–0.17 GW
👉 Realistic (after availability):
1 GWh → ~0.05–0.2 GW</t>
        </r>
      </text>
    </comment>
  </commentList>
</comments>
</file>

<file path=xl/sharedStrings.xml><?xml version="1.0" encoding="utf-8"?>
<sst xmlns="http://schemas.openxmlformats.org/spreadsheetml/2006/main" count="2429" uniqueCount="760">
  <si>
    <t xml:space="preserve">*this is to align the power sector with reality while we work with a reduced structure to explore batteries</t>
  </si>
  <si>
    <t xml:space="preserve">~UC_SETS: R_E: AllRegions</t>
  </si>
  <si>
    <t xml:space="preserve">DeACT UC_T: UC_RHSRT~LO~2025</t>
  </si>
  <si>
    <t xml:space="preserve">*tech</t>
  </si>
  <si>
    <t xml:space="preserve">UC_N</t>
  </si>
  <si>
    <t xml:space="preserve">pset_set</t>
  </si>
  <si>
    <t xml:space="preserve">UC_CAP</t>
  </si>
  <si>
    <t xml:space="preserve">Africa_North</t>
  </si>
  <si>
    <t xml:space="preserve">Africa_Other</t>
  </si>
  <si>
    <t xml:space="preserve">Australia</t>
  </si>
  <si>
    <t xml:space="preserve">Austria</t>
  </si>
  <si>
    <t xml:space="preserve">Baltics</t>
  </si>
  <si>
    <t xml:space="preserve">BeNeLux</t>
  </si>
  <si>
    <t xml:space="preserve">Brazil</t>
  </si>
  <si>
    <t xml:space="preserve">China</t>
  </si>
  <si>
    <t xml:space="preserve">CroSloven</t>
  </si>
  <si>
    <t xml:space="preserve">CzechSlovak</t>
  </si>
  <si>
    <t xml:space="preserve">France</t>
  </si>
  <si>
    <t xml:space="preserve">Germany</t>
  </si>
  <si>
    <t xml:space="preserve">GreeceCyp</t>
  </si>
  <si>
    <t xml:space="preserve">HunRomBul</t>
  </si>
  <si>
    <t xml:space="preserve">Iceland</t>
  </si>
  <si>
    <t xml:space="preserve">India</t>
  </si>
  <si>
    <t xml:space="preserve">Ireland</t>
  </si>
  <si>
    <t xml:space="preserve">ItalyMal</t>
  </si>
  <si>
    <t xml:space="preserve">Japan</t>
  </si>
  <si>
    <t xml:space="preserve">LatAm</t>
  </si>
  <si>
    <t xml:space="preserve">MidEast</t>
  </si>
  <si>
    <t xml:space="preserve">NorthAm</t>
  </si>
  <si>
    <t xml:space="preserve">Norway</t>
  </si>
  <si>
    <t xml:space="preserve">Poland</t>
  </si>
  <si>
    <t xml:space="preserve">ROW</t>
  </si>
  <si>
    <t xml:space="preserve">Russia</t>
  </si>
  <si>
    <t xml:space="preserve">SaudiArabia</t>
  </si>
  <si>
    <t xml:space="preserve">SouthAfrica</t>
  </si>
  <si>
    <t xml:space="preserve">SpainPor</t>
  </si>
  <si>
    <t xml:space="preserve">SweFinDen</t>
  </si>
  <si>
    <t xml:space="preserve">Switzerland</t>
  </si>
  <si>
    <t xml:space="preserve">Turkey</t>
  </si>
  <si>
    <t xml:space="preserve">UK</t>
  </si>
  <si>
    <t xml:space="preserve">Ukraine</t>
  </si>
  <si>
    <t xml:space="preserve">WestBalkans</t>
  </si>
  <si>
    <t xml:space="preserve">UC_RHSRT~0</t>
  </si>
  <si>
    <t xml:space="preserve">limtype</t>
  </si>
  <si>
    <t xml:space="preserve">Coal</t>
  </si>
  <si>
    <t xml:space="preserve">Gas</t>
  </si>
  <si>
    <t xml:space="preserve">Hydro</t>
  </si>
  <si>
    <t xml:space="preserve">Nuclear</t>
  </si>
  <si>
    <t xml:space="preserve">Solar</t>
  </si>
  <si>
    <t xml:space="preserve">UP</t>
  </si>
  <si>
    <t xml:space="preserve">Wind</t>
  </si>
  <si>
    <t xml:space="preserve">Trans - Insert</t>
  </si>
  <si>
    <t xml:space="preserve">~TFM_INS</t>
  </si>
  <si>
    <t xml:space="preserve">TimeSlice</t>
  </si>
  <si>
    <t xml:space="preserve">LimType</t>
  </si>
  <si>
    <t xml:space="preserve">Attribute</t>
  </si>
  <si>
    <t xml:space="preserve">Year</t>
  </si>
  <si>
    <t xml:space="preserve">Curr</t>
  </si>
  <si>
    <t xml:space="preserve">Val_Cond</t>
  </si>
  <si>
    <t xml:space="preserve">AllRegions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</si>
  <si>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</si>
  <si>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</si>
  <si>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</si>
  <si>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</si>
  <si>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</si>
  <si>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</si>
  <si>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</si>
  <si>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Cset_CD</t>
  </si>
  <si>
    <t xml:space="preserve">FLO_COST</t>
  </si>
  <si>
    <t xml:space="preserve">USD15</t>
  </si>
  <si>
    <t xml:space="preserve">*REFINE*</t>
  </si>
  <si>
    <t xml:space="preserve">OILDST</t>
  </si>
  <si>
    <t xml:space="preserve">attribute</t>
  </si>
  <si>
    <t xml:space="preserve">process</t>
  </si>
  <si>
    <t xml:space="preserve">value</t>
  </si>
  <si>
    <t xml:space="preserve">pset_ci</t>
  </si>
  <si>
    <t xml:space="preserve">pset_co</t>
  </si>
  <si>
    <t xml:space="preserve">OILGSL</t>
  </si>
  <si>
    <t xml:space="preserve">END</t>
  </si>
  <si>
    <t xml:space="preserve">EN_GeoThermal*</t>
  </si>
  <si>
    <t xml:space="preserve">OILHFO</t>
  </si>
  <si>
    <t xml:space="preserve">START</t>
  </si>
  <si>
    <t xml:space="preserve">*NGA</t>
  </si>
  <si>
    <t xml:space="preserve">CSC,RSC</t>
  </si>
  <si>
    <t xml:space="preserve">`</t>
  </si>
  <si>
    <t xml:space="preserve">OILJTK</t>
  </si>
  <si>
    <t xml:space="preserve">OILKER</t>
  </si>
  <si>
    <t xml:space="preserve">OILLPG</t>
  </si>
  <si>
    <t xml:space="preserve">~TFM_INS-TS</t>
  </si>
  <si>
    <t xml:space="preserve">Trd*GH2_10</t>
  </si>
  <si>
    <t xml:space="preserve">pset_pn</t>
  </si>
  <si>
    <t xml:space="preserve">PSET_SET</t>
  </si>
  <si>
    <t xml:space="preserve">Top_Check</t>
  </si>
  <si>
    <t xml:space="preserve">t_neg_and_or</t>
  </si>
  <si>
    <t xml:space="preserve">Trd_Hdt_gsl_01</t>
  </si>
  <si>
    <t xml:space="preserve">DELIV</t>
  </si>
  <si>
    <t xml:space="preserve">ELC</t>
  </si>
  <si>
    <t xml:space="preserve">___ELC</t>
  </si>
  <si>
    <t xml:space="preserve">IN</t>
  </si>
  <si>
    <t xml:space="preserve">COMELC</t>
  </si>
  <si>
    <t xml:space="preserve">INDELC</t>
  </si>
  <si>
    <t xml:space="preserve">GASNGA</t>
  </si>
  <si>
    <t xml:space="preserve">___NGA,ELCNGA</t>
  </si>
  <si>
    <t xml:space="preserve">PRE</t>
  </si>
  <si>
    <t xml:space="preserve">I*GEO*</t>
  </si>
  <si>
    <t xml:space="preserve">INDNGA</t>
  </si>
  <si>
    <t xml:space="preserve">INVCOST</t>
  </si>
  <si>
    <t xml:space="preserve">SUP_TREFINER</t>
  </si>
  <si>
    <t xml:space="preserve">RESNGA,COMNGA</t>
  </si>
  <si>
    <t xml:space="preserve">LIFE</t>
  </si>
  <si>
    <t xml:space="preserve">TRANGA</t>
  </si>
  <si>
    <t xml:space="preserve">DMD</t>
  </si>
  <si>
    <t xml:space="preserve">TAD,TAI</t>
  </si>
  <si>
    <t xml:space="preserve">TRAELC</t>
  </si>
  <si>
    <t xml:space="preserve">GASLNG</t>
  </si>
  <si>
    <t xml:space="preserve">*LPG</t>
  </si>
  <si>
    <t xml:space="preserve">RESLPG,COMLPG</t>
  </si>
  <si>
    <t xml:space="preserve">~TFM_MIG</t>
  </si>
  <si>
    <t xml:space="preserve">*HFO,*KER,*DST</t>
  </si>
  <si>
    <t xml:space="preserve">COMHFO,COMDST,COMKER,RESHFO,RESDST,RESKER</t>
  </si>
  <si>
    <t xml:space="preserve">LimType2</t>
  </si>
  <si>
    <t xml:space="preserve">Year2</t>
  </si>
  <si>
    <t xml:space="preserve">attribute2</t>
  </si>
  <si>
    <t xml:space="preserve">CSET_SET</t>
  </si>
  <si>
    <t xml:space="preserve">CSET_CN</t>
  </si>
  <si>
    <t xml:space="preserve">top_check</t>
  </si>
  <si>
    <t xml:space="preserve">HH2</t>
  </si>
  <si>
    <t xml:space="preserve">*H2</t>
  </si>
  <si>
    <t xml:space="preserve">-*conv_liquid*</t>
  </si>
  <si>
    <t xml:space="preserve">-IRE,-STG</t>
  </si>
  <si>
    <t xml:space="preserve">OR</t>
  </si>
  <si>
    <t xml:space="preserve">ACT_BND</t>
  </si>
  <si>
    <t xml:space="preserve">*1</t>
  </si>
  <si>
    <t xml:space="preserve">SUP_TRANSFER,SUP_TCOALLIQ,SUP_TGTL,SUP_TNONSPEC,SUP_TBLENDGAS</t>
  </si>
  <si>
    <t xml:space="preserve">COM*</t>
  </si>
  <si>
    <t xml:space="preserve">SUP_TCOALLIQ,SUP_TGTL,SUP_TNONSPEC,SUP_TBLENDGAS</t>
  </si>
  <si>
    <t xml:space="preserve">IND*,ELC*</t>
  </si>
  <si>
    <t xml:space="preserve">SUP_TGASWKS</t>
  </si>
  <si>
    <t xml:space="preserve">OIL*</t>
  </si>
  <si>
    <t xml:space="preserve">TRA*</t>
  </si>
  <si>
    <t xml:space="preserve">-IRE</t>
  </si>
  <si>
    <t xml:space="preserve">*2</t>
  </si>
  <si>
    <t xml:space="preserve">FLO_SHAR</t>
  </si>
  <si>
    <t xml:space="preserve">+.25</t>
  </si>
  <si>
    <t xml:space="preserve">NRG</t>
  </si>
  <si>
    <t xml:space="preserve">OUT</t>
  </si>
  <si>
    <t xml:space="preserve">BIODST,BIOGSL</t>
  </si>
  <si>
    <t xml:space="preserve">+.5</t>
  </si>
  <si>
    <t xml:space="preserve">OILCRD</t>
  </si>
  <si>
    <t xml:space="preserve">~TFM_INS: limtype=FX; PSET_SET=CHP</t>
  </si>
  <si>
    <t xml:space="preserve">LO</t>
  </si>
  <si>
    <t xml:space="preserve">Albania</t>
  </si>
  <si>
    <t xml:space="preserve">Algeria</t>
  </si>
  <si>
    <t xml:space="preserve">Angola</t>
  </si>
  <si>
    <t xml:space="preserve">Argentina</t>
  </si>
  <si>
    <t xml:space="preserve">Armenia</t>
  </si>
  <si>
    <t xml:space="preserve">Azerbaijan</t>
  </si>
  <si>
    <t xml:space="preserve">Bangladesh</t>
  </si>
  <si>
    <t xml:space="preserve">Belarus</t>
  </si>
  <si>
    <t xml:space="preserve">Belgium</t>
  </si>
  <si>
    <t xml:space="preserve">Bosnia_Herz</t>
  </si>
  <si>
    <t xml:space="preserve">Bulgaria</t>
  </si>
  <si>
    <t xml:space="preserve">Cameroon</t>
  </si>
  <si>
    <t xml:space="preserve">Canada</t>
  </si>
  <si>
    <t xml:space="preserve">Chile</t>
  </si>
  <si>
    <t xml:space="preserve">Colombia</t>
  </si>
  <si>
    <t xml:space="preserve">Croatia</t>
  </si>
  <si>
    <t xml:space="preserve">Cyprus</t>
  </si>
  <si>
    <t xml:space="preserve">Czech</t>
  </si>
  <si>
    <t xml:space="preserve">Denmark</t>
  </si>
  <si>
    <t xml:space="preserve">DR_Congo</t>
  </si>
  <si>
    <t xml:space="preserve">Egypt</t>
  </si>
  <si>
    <t xml:space="preserve">Estonia</t>
  </si>
  <si>
    <t xml:space="preserve">Ethiopia</t>
  </si>
  <si>
    <t xml:space="preserve">Finland</t>
  </si>
  <si>
    <t xml:space="preserve">Georgia</t>
  </si>
  <si>
    <t xml:space="preserve">Ghana</t>
  </si>
  <si>
    <t xml:space="preserve">Greece</t>
  </si>
  <si>
    <t xml:space="preserve">Hungary</t>
  </si>
  <si>
    <t xml:space="preserve">Indonesia</t>
  </si>
  <si>
    <t xml:space="preserve">Iran</t>
  </si>
  <si>
    <t xml:space="preserve">Iraq</t>
  </si>
  <si>
    <t xml:space="preserve">Israel</t>
  </si>
  <si>
    <t xml:space="preserve">Italy</t>
  </si>
  <si>
    <t xml:space="preserve">IvoryCoast</t>
  </si>
  <si>
    <t xml:space="preserve">Kazakhstan</t>
  </si>
  <si>
    <t xml:space="preserve">Kenya</t>
  </si>
  <si>
    <t xml:space="preserve">Kosovo</t>
  </si>
  <si>
    <t xml:space="preserve">Kuwait</t>
  </si>
  <si>
    <t xml:space="preserve">Kyrgyzstan</t>
  </si>
  <si>
    <t xml:space="preserve">Latvia</t>
  </si>
  <si>
    <t xml:space="preserve">Libya</t>
  </si>
  <si>
    <t xml:space="preserve">Lithuania</t>
  </si>
  <si>
    <t xml:space="preserve">Luxembourg</t>
  </si>
  <si>
    <t xml:space="preserve">Macedonia</t>
  </si>
  <si>
    <t xml:space="preserve">Malaysia</t>
  </si>
  <si>
    <t xml:space="preserve">Malta</t>
  </si>
  <si>
    <t xml:space="preserve">Mexico</t>
  </si>
  <si>
    <t xml:space="preserve">Moldova</t>
  </si>
  <si>
    <t xml:space="preserve">Montenegro</t>
  </si>
  <si>
    <t xml:space="preserve">Morocco</t>
  </si>
  <si>
    <t xml:space="preserve">Mozambique</t>
  </si>
  <si>
    <t xml:space="preserve">Myanmar</t>
  </si>
  <si>
    <t xml:space="preserve">Nepal</t>
  </si>
  <si>
    <t xml:space="preserve">Netherlands</t>
  </si>
  <si>
    <t xml:space="preserve">NewZealand</t>
  </si>
  <si>
    <t xml:space="preserve">Niger</t>
  </si>
  <si>
    <t xml:space="preserve">Nigeria</t>
  </si>
  <si>
    <t xml:space="preserve">Oman</t>
  </si>
  <si>
    <t xml:space="preserve">Other_Africa</t>
  </si>
  <si>
    <t xml:space="preserve">Other_AsiaEm</t>
  </si>
  <si>
    <t xml:space="preserve">Other_EurDev</t>
  </si>
  <si>
    <t xml:space="preserve">Other_LatAm</t>
  </si>
  <si>
    <t xml:space="preserve">Other_MidEast</t>
  </si>
  <si>
    <t xml:space="preserve">Pakistan</t>
  </si>
  <si>
    <t xml:space="preserve">Peru</t>
  </si>
  <si>
    <t xml:space="preserve">Philippines</t>
  </si>
  <si>
    <t xml:space="preserve">Portugal</t>
  </si>
  <si>
    <t xml:space="preserve">Qatar</t>
  </si>
  <si>
    <t xml:space="preserve">Romania</t>
  </si>
  <si>
    <t xml:space="preserve">Serbia</t>
  </si>
  <si>
    <t xml:space="preserve">Singapore</t>
  </si>
  <si>
    <t xml:space="preserve">Slovak</t>
  </si>
  <si>
    <t xml:space="preserve">Slovenia</t>
  </si>
  <si>
    <t xml:space="preserve">SouthKorea</t>
  </si>
  <si>
    <t xml:space="preserve">Spain</t>
  </si>
  <si>
    <t xml:space="preserve">Sudan</t>
  </si>
  <si>
    <t xml:space="preserve">Sweden</t>
  </si>
  <si>
    <t xml:space="preserve">Taiwan</t>
  </si>
  <si>
    <t xml:space="preserve">Tajikistan</t>
  </si>
  <si>
    <t xml:space="preserve">Tanzania</t>
  </si>
  <si>
    <t xml:space="preserve">Thailand</t>
  </si>
  <si>
    <t xml:space="preserve">Tunisia</t>
  </si>
  <si>
    <t xml:space="preserve">Turkmenistan</t>
  </si>
  <si>
    <t xml:space="preserve">UAE</t>
  </si>
  <si>
    <t xml:space="preserve">USA</t>
  </si>
  <si>
    <t xml:space="preserve">Uzbekistan</t>
  </si>
  <si>
    <t xml:space="preserve">Venezuela</t>
  </si>
  <si>
    <t xml:space="preserve">Vietnam</t>
  </si>
  <si>
    <t xml:space="preserve">Yemen</t>
  </si>
  <si>
    <t xml:space="preserve">Zambia</t>
  </si>
  <si>
    <t xml:space="preserve">*WORLD</t>
  </si>
  <si>
    <t xml:space="preserve">year</t>
  </si>
  <si>
    <t xml:space="preserve">allregions</t>
  </si>
  <si>
    <t xml:space="preserve">CHPR</t>
  </si>
  <si>
    <t xml:space="preserve">FX</t>
  </si>
  <si>
    <t xml:space="preserve">PASTI</t>
  </si>
  <si>
    <t xml:space="preserve">*.5</t>
  </si>
  <si>
    <t xml:space="preserve">GASRFG</t>
  </si>
  <si>
    <t xml:space="preserve">*FLO_SHAR</t>
  </si>
  <si>
    <t xml:space="preserve">OILNGL</t>
  </si>
  <si>
    <t xml:space="preserve">region</t>
  </si>
  <si>
    <t xml:space="preserve">commodity</t>
  </si>
  <si>
    <t xml:space="preserve">COM_BNDNET</t>
  </si>
  <si>
    <t xml:space="preserve">OIL[_]???,GAS[_]???</t>
  </si>
  <si>
    <t xml:space="preserve">~TFM_UPD: sourcescen=BASE</t>
  </si>
  <si>
    <t xml:space="preserve">share</t>
  </si>
  <si>
    <t xml:space="preserve">FT_INDOIL,FT_ELCOIL</t>
  </si>
  <si>
    <t xml:space="preserve">+.03</t>
  </si>
  <si>
    <t xml:space="preserve">SUP_TREF*</t>
  </si>
  <si>
    <t xml:space="preserve">OILNAP</t>
  </si>
  <si>
    <t xml:space="preserve">+.05</t>
  </si>
  <si>
    <t xml:space="preserve">OILHFO,OILGSL,OILPTC,OILLPG</t>
  </si>
  <si>
    <t xml:space="preserve">~TFM_INS: Curr=USD21_alt</t>
  </si>
  <si>
    <t xml:space="preserve">*~TFM_MIG: attribute=NCAP_COST</t>
  </si>
  <si>
    <t xml:space="preserve">ieapg_africa</t>
  </si>
  <si>
    <t xml:space="preserve">ieapg_brazil</t>
  </si>
  <si>
    <t xml:space="preserve">ieapg_china</t>
  </si>
  <si>
    <t xml:space="preserve">ieapg_india</t>
  </si>
  <si>
    <t xml:space="preserve">ieapg_japan</t>
  </si>
  <si>
    <t xml:space="preserve">ieapg_russia</t>
  </si>
  <si>
    <t xml:space="preserve">ieapg_european_union</t>
  </si>
  <si>
    <t xml:space="preserve">ieapg_united_states</t>
  </si>
  <si>
    <t xml:space="preserve">ieapg_middle_east</t>
  </si>
  <si>
    <t xml:space="preserve">currency</t>
  </si>
  <si>
    <t xml:space="preserve">year2</t>
  </si>
  <si>
    <t xml:space="preserve">elcspv</t>
  </si>
  <si>
    <t xml:space="preserve">invcost</t>
  </si>
  <si>
    <t xml:space="preserve">USD21_alt</t>
  </si>
  <si>
    <t xml:space="preserve">*0.93</t>
  </si>
  <si>
    <t xml:space="preserve">fixom</t>
  </si>
  <si>
    <t xml:space="preserve">*0.7</t>
  </si>
  <si>
    <t xml:space="preserve">elc_won_*</t>
  </si>
  <si>
    <t xml:space="preserve">*0.5</t>
  </si>
  <si>
    <t xml:space="preserve">*0.45</t>
  </si>
  <si>
    <t xml:space="preserve">elc_wof_*</t>
  </si>
  <si>
    <t xml:space="preserve">elcwin</t>
  </si>
  <si>
    <t xml:space="preserve">*0.85</t>
  </si>
  <si>
    <t xml:space="preserve">\I:elchyd</t>
  </si>
  <si>
    <t xml:space="preserve">*0.75</t>
  </si>
  <si>
    <t xml:space="preserve">elchyd</t>
  </si>
  <si>
    <t xml:space="preserve">*0.97</t>
  </si>
  <si>
    <t xml:space="preserve">*0.92</t>
  </si>
  <si>
    <t xml:space="preserve">*~TFM_MIG: attribute=NCAP_FOM</t>
  </si>
  <si>
    <t xml:space="preserve">~TFM_TOPINS</t>
  </si>
  <si>
    <t xml:space="preserve">PSET_CI</t>
  </si>
  <si>
    <t xml:space="preserve">cset_cn</t>
  </si>
  <si>
    <t xml:space="preserve">attrib_cond</t>
  </si>
  <si>
    <t xml:space="preserve">not supported!!</t>
  </si>
  <si>
    <t xml:space="preserve">DMD,PRE</t>
  </si>
  <si>
    <t xml:space="preserve">COMNGA</t>
  </si>
  <si>
    <t xml:space="preserve">COMHH2</t>
  </si>
  <si>
    <t xml:space="preserve">-mis_*</t>
  </si>
  <si>
    <t xml:space="preserve">-FLO_SHAR</t>
  </si>
  <si>
    <t xml:space="preserve">INDHH2</t>
  </si>
  <si>
    <t xml:space="preserve">RESNGA</t>
  </si>
  <si>
    <t xml:space="preserve">RESHH2</t>
  </si>
  <si>
    <t xml:space="preserve">*</t>
  </si>
  <si>
    <t xml:space="preserve">COMSNG</t>
  </si>
  <si>
    <t xml:space="preserve">INDSNG</t>
  </si>
  <si>
    <t xml:space="preserve">RESSNG</t>
  </si>
  <si>
    <t xml:space="preserve">ELE</t>
  </si>
  <si>
    <t xml:space="preserve">ELCNGA</t>
  </si>
  <si>
    <t xml:space="preserve">ELCHH2</t>
  </si>
  <si>
    <t xml:space="preserve">-PASTI</t>
  </si>
  <si>
    <t xml:space="preserve">NCAP_BND</t>
  </si>
  <si>
    <t xml:space="preserve">H2Prd*</t>
  </si>
  <si>
    <t xml:space="preserve">PSET_CO</t>
  </si>
  <si>
    <t xml:space="preserve">TAD</t>
  </si>
  <si>
    <t xml:space="preserve">TRAELC,TRABJT</t>
  </si>
  <si>
    <t xml:space="preserve">NCAP_CPX</t>
  </si>
  <si>
    <t xml:space="preserve">Trd[_]*</t>
  </si>
  <si>
    <t xml:space="preserve">TAI</t>
  </si>
  <si>
    <t xml:space="preserve">TRABJT</t>
  </si>
  <si>
    <t xml:space="preserve">TW?</t>
  </si>
  <si>
    <t xml:space="preserve">TRAGH2</t>
  </si>
  <si>
    <t xml:space="preserve">ELIFE</t>
  </si>
  <si>
    <t xml:space="preserve">TRAJTK</t>
  </si>
  <si>
    <t xml:space="preserve">OILJTKs</t>
  </si>
  <si>
    <t xml:space="preserve">Trd[_]*elc[_]*, *elc150*, *elc50*, *elc500*, -Trd_car_elc_120, -Trd_car_elc_160, -Trd_car_elc_200, -Trd_car_elc_250, -Trd_car_elc_300</t>
  </si>
  <si>
    <t xml:space="preserve">TRAGSL</t>
  </si>
  <si>
    <t xml:space="preserve">OILGSLs</t>
  </si>
  <si>
    <t xml:space="preserve">TRADST</t>
  </si>
  <si>
    <t xml:space="preserve">OILDSTs</t>
  </si>
  <si>
    <t xml:space="preserve">~TFM_INS: attribute=PASTI</t>
  </si>
  <si>
    <t xml:space="preserve">CEFF</t>
  </si>
  <si>
    <t xml:space="preserve">Trd_car_elc_120,Trd_car_elc_160,Trd_car_elc_200,Trd_car_elc_250,Trd_car_elc_300</t>
  </si>
  <si>
    <t xml:space="preserve">metric</t>
  </si>
  <si>
    <t xml:space="preserve">KiNESYS_CEA</t>
  </si>
  <si>
    <t xml:space="preserve">million</t>
  </si>
  <si>
    <t xml:space="preserve">Sales</t>
  </si>
  <si>
    <t xml:space="preserve">Stock</t>
  </si>
  <si>
    <t xml:space="preserve">Range (million USD/ktonne)</t>
  </si>
  <si>
    <t xml:space="preserve">Description</t>
  </si>
  <si>
    <t xml:space="preserve">Source</t>
  </si>
  <si>
    <t xml:space="preserve">0.02 (0.01-0.03)</t>
  </si>
  <si>
    <t xml:space="preserve">Daily operating costs of large dry bulk carriers (≈80,000–160,000 dwt) range from roughly €30,000–37,000 per day, implying maritime transport costs on the order of $10–30 per tonne for intercontinental shipments.</t>
  </si>
  <si>
    <t xml:space="preserve">Assessing the Link between Vessel Size and Maritime Supply
Chain Sustainable Performance</t>
  </si>
  <si>
    <t xml:space="preserve">0.02 (0.02-0.03)</t>
  </si>
  <si>
    <t xml:space="preserve">Bulk maritime shipping costs for dry commodities are typically on the order of $20–30 per tonne
 for intercontinental routes, corresponding to approximately $2–3 per tonne per 1,000 miles, consistent with industry estimates.</t>
  </si>
  <si>
    <t xml:space="preserve">https://thundersaidenergy.com/downloads/bulk-shipping-cost-breakdown/</t>
  </si>
  <si>
    <t xml:space="preserve">MidEast_Naf</t>
  </si>
  <si>
    <t xml:space="preserve">ACT_COST</t>
  </si>
  <si>
    <t xml:space="preserve">USD18</t>
  </si>
  <si>
    <t xml:space="preserve">IRE</t>
  </si>
  <si>
    <t xml:space="preserve">Glb*, -Glb*recy*</t>
  </si>
  <si>
    <t xml:space="preserve">m_*</t>
  </si>
  <si>
    <t xml:space="preserve">Glb*recy*</t>
  </si>
  <si>
    <t xml:space="preserve">Now it's same bcz hard to defend</t>
  </si>
  <si>
    <t xml:space="preserve">End-of-life battery transport costs were assumed to be twice those of conventional material transport, reflecting additional dangerous-goods handling and packaging requirements; multipliers of 1–3 were evaluated in sensitivity analysis.</t>
  </si>
  <si>
    <t xml:space="preserve">~UC_T: UC_FLO~2020</t>
  </si>
  <si>
    <t xml:space="preserve">UC_ATTR</t>
  </si>
  <si>
    <t xml:space="preserve">Cset_cn</t>
  </si>
  <si>
    <t xml:space="preserve">RHS</t>
  </si>
  <si>
    <t xml:space="preserve">UC_Desc</t>
  </si>
  <si>
    <t xml:space="preserve">FLO,GROWTH</t>
  </si>
  <si>
    <t xml:space="preserve">UC_mis_growth - oil</t>
  </si>
  <si>
    <t xml:space="preserve">INDOIL</t>
  </si>
  <si>
    <t xml:space="preserve">mis_*</t>
  </si>
  <si>
    <t xml:space="preserve">Max growth in oil consumption not to exceed 5% pa - steel</t>
  </si>
  <si>
    <t xml:space="preserve">UC_mis_decay - oil</t>
  </si>
  <si>
    <t xml:space="preserve">Max decay in oil consumption not to exceed 5% pa - steel</t>
  </si>
  <si>
    <t xml:space="preserve">~UC_SETS: R_E: Albania,Algeria,Angola,Argentina,Armenia,Australia,Austria,Azerbaijan,Bangladesh,Belarus,Belgium,Bosnia_Herz,Brazil,Bulgaria,Cameroon,Canada,Chile,China,Colombia,Croatia,Cyprus,Czech,Denmark,DR_Congo,Egypt,Estonia,Ethiopia,Finland,France,Georgia,Germany,Ghana,Greece,Hungary,Iceland,India,Indonesia,Iran,Iraq,Ireland,Israel,Italy,IvoryCoast,Japan,Kazakhstan,Kenya,Kosovo,Kuwait,Kyrgyzstan,Latvia,Libya,Lithuania,Luxembourg,Macedonia,Malaysia,Malta,Mexico,Moldova,Montenegro,Morocco,Mozambique,Myanmar,Nepal,Netherlands,NewZealand,Niger,Nigeria,Norway,Oman,Other_Africa,Other_AsiaEm,Other_EurDev,Other_LatAm,Other_MidEast,Pakistan,Peru,Philippines,Poland,Portugal,Qatar,Romania,Russia,SaudiArabia,Serbia,Singapore,Slovak,Slovenia,SouthAfrica,SouthKorea,Spain,Sudan,Sweden,Switzerland,Taiwan,Tajikistan,Tanzania,Thailand,Tunisia,Turkey,Turkmenistan,UAE,UK,Ukraine,USA,Uzbekistan,Venezuela,Vietnam,Yemen,Zambia</t>
  </si>
  <si>
    <t xml:space="preserve">~UC_T: UC_CAP~UP</t>
  </si>
  <si>
    <t xml:space="preserve">UC_RHSRT</t>
  </si>
  <si>
    <t xml:space="preserve">CAP,GROWTH</t>
  </si>
  <si>
    <t xml:space="preserve">ELE,CHP</t>
  </si>
  <si>
    <t xml:space="preserve">ELCOIL*</t>
  </si>
  <si>
    <t xml:space="preserve">ELCCO?</t>
  </si>
  <si>
    <t xml:space="preserve">~tfm_ins-ts: limtype=LO</t>
  </si>
  <si>
    <t xml:space="preserve">~UC_T: N</t>
  </si>
  <si>
    <t xml:space="preserve">cset_set</t>
  </si>
  <si>
    <t xml:space="preserve">uc_comprd</t>
  </si>
  <si>
    <t xml:space="preserve">uc_comnet</t>
  </si>
  <si>
    <t xml:space="preserve">uc_rhsrt~0</t>
  </si>
  <si>
    <t xml:space="preserve">COM_ELAST</t>
  </si>
  <si>
    <t xml:space="preserve">DEM</t>
  </si>
  <si>
    <t xml:space="preserve">rep_tra_road_pass</t>
  </si>
  <si>
    <t xml:space="preserve">Trd_Car,Trd_2w,Trd_3w,Trd_bus</t>
  </si>
  <si>
    <t xml:space="preserve">COM_VOC</t>
  </si>
  <si>
    <t xml:space="preserve">rep_tra_road_frt</t>
  </si>
  <si>
    <t xml:space="preserve">Trd_Hdt,Trd_Lcv</t>
  </si>
  <si>
    <t xml:space="preserve">COM_STEP</t>
  </si>
  <si>
    <t xml:space="preserve">rep_totco2</t>
  </si>
  <si>
    <t xml:space="preserve">TOTCO2</t>
  </si>
  <si>
    <t xml:space="preserve">rep_com_cookhw</t>
  </si>
  <si>
    <t xml:space="preserve">CCK</t>
  </si>
  <si>
    <t xml:space="preserve">CHW</t>
  </si>
  <si>
    <t xml:space="preserve">rep_com_lightappl</t>
  </si>
  <si>
    <t xml:space="preserve">CLA</t>
  </si>
  <si>
    <t xml:space="preserve">COE,COT,CRF</t>
  </si>
  <si>
    <t xml:space="preserve">mis_steel_crude</t>
  </si>
  <si>
    <t xml:space="preserve">rep_com_spcool</t>
  </si>
  <si>
    <t xml:space="preserve">CSC</t>
  </si>
  <si>
    <t xml:space="preserve">rep_com_spht</t>
  </si>
  <si>
    <t xml:space="preserve">CSH</t>
  </si>
  <si>
    <t xml:space="preserve">rep_res_cookhw</t>
  </si>
  <si>
    <t xml:space="preserve">RCK</t>
  </si>
  <si>
    <t xml:space="preserve">RHW</t>
  </si>
  <si>
    <t xml:space="preserve">rep_res_lightappl</t>
  </si>
  <si>
    <t xml:space="preserve">RCD,RCW,RDW,REA,ROT,RRF</t>
  </si>
  <si>
    <t xml:space="preserve">RLI</t>
  </si>
  <si>
    <t xml:space="preserve">rep_res_spcool</t>
  </si>
  <si>
    <t xml:space="preserve">RSC</t>
  </si>
  <si>
    <t xml:space="preserve">rep_res_spht</t>
  </si>
  <si>
    <t xml:space="preserve">RSH</t>
  </si>
  <si>
    <t xml:space="preserve">~tfm_topins</t>
  </si>
  <si>
    <t xml:space="preserve">uc_cumact</t>
  </si>
  <si>
    <t xml:space="preserve">uc_dynbnd</t>
  </si>
  <si>
    <t xml:space="preserve">agr000</t>
  </si>
  <si>
    <t xml:space="preserve">repuc_unity</t>
  </si>
  <si>
    <t xml:space="preserve">out</t>
  </si>
  <si>
    <t xml:space="preserve">rep_CumFlows</t>
  </si>
  <si>
    <t xml:space="preserve">mingas_rs*,minoil_rs*</t>
  </si>
  <si>
    <t xml:space="preserve">2019-2030</t>
  </si>
  <si>
    <t xml:space="preserve">2019-2035</t>
  </si>
  <si>
    <t xml:space="preserve">~tfm_ins-ts</t>
  </si>
  <si>
    <t xml:space="preserve">2019-2040</t>
  </si>
  <si>
    <t xml:space="preserve">2019-2045</t>
  </si>
  <si>
    <t xml:space="preserve">com_bndnet</t>
  </si>
  <si>
    <t xml:space="preserve">Fixom and Varom computation for NEEDS units.sql</t>
  </si>
  <si>
    <t xml:space="preserve">~TFM_INS-TS: attribute=SHAPE</t>
  </si>
  <si>
    <t xml:space="preserve">Plant Type</t>
  </si>
  <si>
    <t xml:space="preserve">SO2  Control</t>
  </si>
  <si>
    <t xml:space="preserve">NOx  Control</t>
  </si>
  <si>
    <t xml:space="preserve">Hg Control</t>
  </si>
  <si>
    <t xml:space="preserve">Age of Unit</t>
  </si>
  <si>
    <t xml:space="preserve">FOM (2019$ /kW-Yr)</t>
  </si>
  <si>
    <t xml:space="preserve">Age2</t>
  </si>
  <si>
    <t xml:space="preserve">FOM2</t>
  </si>
  <si>
    <t xml:space="preserve">SHAPE</t>
  </si>
  <si>
    <t xml:space="preserve">other_indexes</t>
  </si>
  <si>
    <t xml:space="preserve">Coal Steam</t>
  </si>
  <si>
    <t xml:space="preserve">Dry FGD</t>
  </si>
  <si>
    <t xml:space="preserve">None</t>
  </si>
  <si>
    <t xml:space="preserve">0 to 40 Years</t>
  </si>
  <si>
    <t xml:space="preserve">40 to 50 Years</t>
  </si>
  <si>
    <t xml:space="preserve">O/G Steam</t>
  </si>
  <si>
    <t xml:space="preserve">SCR</t>
  </si>
  <si>
    <t xml:space="preserve">Combined Cycle</t>
  </si>
  <si>
    <t xml:space="preserve">All Years</t>
  </si>
  <si>
    <t xml:space="preserve">Combustion Turbine</t>
  </si>
  <si>
    <t xml:space="preserve">IPM Table 4-10 Life Extension Cost Assumptions Used in v6</t>
  </si>
  <si>
    <t xml:space="preserve">The life extension costs were added once the unit reaches its assumed lifespan. </t>
  </si>
  <si>
    <t xml:space="preserve">However, if the unit reaches its lifespan before the first run year, then the life extension cost was applied when the unit reaches twice its lifespan age. </t>
  </si>
  <si>
    <t xml:space="preserve">The assumption implies if the unit has reached its lifespan before the first run year, it has already incurred the necessary life extension related investment costs and is considered sunk. </t>
  </si>
  <si>
    <t xml:space="preserve">Type, Lifespan</t>
  </si>
  <si>
    <t xml:space="preserve">Lifespan</t>
  </si>
  <si>
    <t xml:space="preserve">Life Extension Cost (2019$/kW) </t>
  </si>
  <si>
    <t xml:space="preserve">Biomass 40 </t>
  </si>
  <si>
    <t xml:space="preserve">40 </t>
  </si>
  <si>
    <t xml:space="preserve">Coal Steam 40 </t>
  </si>
  <si>
    <t xml:space="preserve">Combined Cycle 30 </t>
  </si>
  <si>
    <t xml:space="preserve">30 </t>
  </si>
  <si>
    <t xml:space="preserve">Combustion Turbine 30 </t>
  </si>
  <si>
    <t xml:space="preserve">NCAP_FOMX</t>
  </si>
  <si>
    <t xml:space="preserve">E_Coal,DMD_AUTOP</t>
  </si>
  <si>
    <t xml:space="preserve">*CO?</t>
  </si>
  <si>
    <t xml:space="preserve">IC Engine 30 </t>
  </si>
  <si>
    <t xml:space="preserve">E_Gas-ST</t>
  </si>
  <si>
    <t xml:space="preserve">Oil/Gas Steam 40 </t>
  </si>
  <si>
    <t xml:space="preserve">E_Gas-CC</t>
  </si>
  <si>
    <t xml:space="preserve">IGCC 40 </t>
  </si>
  <si>
    <t xml:space="preserve">E_Gas-CT</t>
  </si>
  <si>
    <t xml:space="preserve">Landfill Gas 20 </t>
  </si>
  <si>
    <t xml:space="preserve">20 </t>
  </si>
  <si>
    <t xml:space="preserve">Other_Indexes</t>
  </si>
  <si>
    <t xml:space="preserve">coal var</t>
  </si>
  <si>
    <t xml:space="preserve">gas var</t>
  </si>
  <si>
    <t xml:space="preserve">fuel</t>
  </si>
  <si>
    <t xml:space="preserve">kg/GJ</t>
  </si>
  <si>
    <t xml:space="preserve">source</t>
  </si>
  <si>
    <t xml:space="preserve">~TFM_DINS</t>
  </si>
  <si>
    <t xml:space="preserve">AGRCOA</t>
  </si>
  <si>
    <t xml:space="preserve">BFG</t>
  </si>
  <si>
    <t xml:space="preserve">c</t>
  </si>
  <si>
    <t xml:space="preserve">Carbon Dioxide Emissions Coefficients by Fuel</t>
  </si>
  <si>
    <t xml:space="preserve">io</t>
  </si>
  <si>
    <t xml:space="preserve">AGRKER</t>
  </si>
  <si>
    <t xml:space="preserve">BIO</t>
  </si>
  <si>
    <t xml:space="preserve">b</t>
  </si>
  <si>
    <t xml:space="preserve">Pounds CO2 </t>
  </si>
  <si>
    <t xml:space="preserve">Kilograms CO2</t>
  </si>
  <si>
    <t xml:space="preserve">Pounds CO2</t>
  </si>
  <si>
    <t xml:space="preserve">VDA_EMCB</t>
  </si>
  <si>
    <t xml:space="preserve">COM_AGG</t>
  </si>
  <si>
    <t xml:space="preserve">NetCO2*</t>
  </si>
  <si>
    <t xml:space="preserve">Pipeline-CO2</t>
  </si>
  <si>
    <t xml:space="preserve">CO2Captured[_]*</t>
  </si>
  <si>
    <t xml:space="preserve">AGRLPG</t>
  </si>
  <si>
    <t xml:space="preserve">BSL</t>
  </si>
  <si>
    <t xml:space="preserve">Carbon Dioxide (CO2) Factors: </t>
  </si>
  <si>
    <t xml:space="preserve">Per Unit of Volume or Mass</t>
  </si>
  <si>
    <t xml:space="preserve">Per Million Btu</t>
  </si>
  <si>
    <t xml:space="preserve">Per GJ</t>
  </si>
  <si>
    <t xml:space="preserve">AGRNGA</t>
  </si>
  <si>
    <t xml:space="preserve">COA</t>
  </si>
  <si>
    <t xml:space="preserve">For homes and businesses</t>
  </si>
  <si>
    <t xml:space="preserve">AGROIL</t>
  </si>
  <si>
    <t xml:space="preserve">CoaG</t>
  </si>
  <si>
    <t xml:space="preserve">Propane</t>
  </si>
  <si>
    <t xml:space="preserve">gallon</t>
  </si>
  <si>
    <t xml:space="preserve">CO2Captured*,CO2_DAC</t>
  </si>
  <si>
    <t xml:space="preserve">COMCOA</t>
  </si>
  <si>
    <t xml:space="preserve">COB</t>
  </si>
  <si>
    <t xml:space="preserve">Butane</t>
  </si>
  <si>
    <t xml:space="preserve">COMHFO</t>
  </si>
  <si>
    <t xml:space="preserve">COG</t>
  </si>
  <si>
    <t xml:space="preserve">Butane/Propane Mix</t>
  </si>
  <si>
    <t xml:space="preserve">main non-energy use emissions</t>
  </si>
  <si>
    <t xml:space="preserve">COMKER</t>
  </si>
  <si>
    <t xml:space="preserve">COK</t>
  </si>
  <si>
    <t xml:space="preserve">Home Heating and Diesel Fuel (Distillate)</t>
  </si>
  <si>
    <t xml:space="preserve">COMLPG</t>
  </si>
  <si>
    <t xml:space="preserve">DST</t>
  </si>
  <si>
    <t xml:space="preserve">o</t>
  </si>
  <si>
    <t xml:space="preserve">Kerosene</t>
  </si>
  <si>
    <t xml:space="preserve">ETH</t>
  </si>
  <si>
    <t xml:space="preserve">g</t>
  </si>
  <si>
    <t xml:space="preserve">Coal (All types)</t>
  </si>
  <si>
    <t xml:space="preserve">short ton</t>
  </si>
  <si>
    <t xml:space="preserve">FLO_EMIS</t>
  </si>
  <si>
    <t xml:space="preserve">ICH_feedstock</t>
  </si>
  <si>
    <t xml:space="preserve">COMOIL</t>
  </si>
  <si>
    <t xml:space="preserve">GAS</t>
  </si>
  <si>
    <t xml:space="preserve">Natural Gas</t>
  </si>
  <si>
    <t xml:space="preserve">thousand cubic feet</t>
  </si>
  <si>
    <t xml:space="preserve">ELCCOA</t>
  </si>
  <si>
    <t xml:space="preserve">GSL</t>
  </si>
  <si>
    <t xml:space="preserve">Gasoline</t>
  </si>
  <si>
    <t xml:space="preserve">ELCCoaG</t>
  </si>
  <si>
    <t xml:space="preserve">NAP</t>
  </si>
  <si>
    <t xml:space="preserve">Residual Heating Fuel (Businesses only)</t>
  </si>
  <si>
    <t xml:space="preserve">GASETH</t>
  </si>
  <si>
    <t xml:space="preserve">ELCCOB</t>
  </si>
  <si>
    <t xml:space="preserve">HFO</t>
  </si>
  <si>
    <t xml:space="preserve">Other transportation fuels </t>
  </si>
  <si>
    <t xml:space="preserve">ELCGAS</t>
  </si>
  <si>
    <t xml:space="preserve">JTK</t>
  </si>
  <si>
    <t xml:space="preserve">Jet Fuel</t>
  </si>
  <si>
    <t xml:space="preserve">KER</t>
  </si>
  <si>
    <t xml:space="preserve">Aviation Gas</t>
  </si>
  <si>
    <t xml:space="preserve">ELCOIL</t>
  </si>
  <si>
    <t xml:space="preserve">LPG</t>
  </si>
  <si>
    <t xml:space="preserve">Industrial fuels and others not listed above</t>
  </si>
  <si>
    <t xml:space="preserve">ELCOIL_CRD</t>
  </si>
  <si>
    <t xml:space="preserve">NGA</t>
  </si>
  <si>
    <t xml:space="preserve">Flared natural gas</t>
  </si>
  <si>
    <t xml:space="preserve">ELCOIL_DST</t>
  </si>
  <si>
    <t xml:space="preserve">OIL</t>
  </si>
  <si>
    <t xml:space="preserve">Petroleum coke</t>
  </si>
  <si>
    <t xml:space="preserve">BIOBSL</t>
  </si>
  <si>
    <t xml:space="preserve">HH2CO2Nb</t>
  </si>
  <si>
    <t xml:space="preserve">ELCWAS</t>
  </si>
  <si>
    <t xml:space="preserve">OIL_CRD</t>
  </si>
  <si>
    <t xml:space="preserve">Other petroleum &amp; miscellaneous</t>
  </si>
  <si>
    <t xml:space="preserve">COAHCO</t>
  </si>
  <si>
    <t xml:space="preserve">HH2CO2Nc</t>
  </si>
  <si>
    <t xml:space="preserve">INDBFG</t>
  </si>
  <si>
    <t xml:space="preserve">OIL_DST</t>
  </si>
  <si>
    <t xml:space="preserve">Nonfuel uses</t>
  </si>
  <si>
    <t xml:space="preserve">HH2CO2Ng</t>
  </si>
  <si>
    <t xml:space="preserve">ELCBSL</t>
  </si>
  <si>
    <t xml:space="preserve">OVC</t>
  </si>
  <si>
    <t xml:space="preserve">Asphalt and Road Oil</t>
  </si>
  <si>
    <t xml:space="preserve">*FLO_EMIS</t>
  </si>
  <si>
    <t xml:space="preserve">CO2Captured_ccu</t>
  </si>
  <si>
    <t xml:space="preserve">CO2Used_ccu</t>
  </si>
  <si>
    <t xml:space="preserve">OIL*s</t>
  </si>
  <si>
    <t xml:space="preserve">INDCOA</t>
  </si>
  <si>
    <t xml:space="preserve">PTC</t>
  </si>
  <si>
    <t xml:space="preserve">Lubricants</t>
  </si>
  <si>
    <t xml:space="preserve">INDCOG</t>
  </si>
  <si>
    <t xml:space="preserve">RFG</t>
  </si>
  <si>
    <t xml:space="preserve">Petrochemical Feedstocks</t>
  </si>
  <si>
    <t xml:space="preserve">INDCOK</t>
  </si>
  <si>
    <t xml:space="preserve">RPP</t>
  </si>
  <si>
    <t xml:space="preserve">Special Naphthas (solvents)</t>
  </si>
  <si>
    <t xml:space="preserve">INDHFO</t>
  </si>
  <si>
    <t xml:space="preserve">WAS</t>
  </si>
  <si>
    <t xml:space="preserve">w</t>
  </si>
  <si>
    <t xml:space="preserve">Waxes </t>
  </si>
  <si>
    <t xml:space="preserve">INDLPG</t>
  </si>
  <si>
    <t xml:space="preserve">Coals by type</t>
  </si>
  <si>
    <t xml:space="preserve">Anthractie</t>
  </si>
  <si>
    <t xml:space="preserve">ELCCO2N*,-ELCCO2Nb</t>
  </si>
  <si>
    <t xml:space="preserve">NetCO2_ELC</t>
  </si>
  <si>
    <t xml:space="preserve">Bituminous</t>
  </si>
  <si>
    <t xml:space="preserve">CO2Captured_elc</t>
  </si>
  <si>
    <t xml:space="preserve">INDOVC</t>
  </si>
  <si>
    <t xml:space="preserve">Subbituminous</t>
  </si>
  <si>
    <t xml:space="preserve">INDPTC</t>
  </si>
  <si>
    <t xml:space="preserve">Lignite</t>
  </si>
  <si>
    <t xml:space="preserve">INDCO2??,AGRCO2??,-*b</t>
  </si>
  <si>
    <t xml:space="preserve">NetCO2_IND</t>
  </si>
  <si>
    <t xml:space="preserve">RESCOA</t>
  </si>
  <si>
    <t xml:space="preserve">Coke</t>
  </si>
  <si>
    <t xml:space="preserve">CO2Captured_ind</t>
  </si>
  <si>
    <t xml:space="preserve">RESHFO</t>
  </si>
  <si>
    <t xml:space="preserve">Other fuels</t>
  </si>
  <si>
    <t xml:space="preserve">RESKER</t>
  </si>
  <si>
    <t xml:space="preserve">Geothermal (average all generation)</t>
  </si>
  <si>
    <t xml:space="preserve">NA</t>
  </si>
  <si>
    <t xml:space="preserve">SUPCO2??,HH2CO2??,-*b</t>
  </si>
  <si>
    <t xml:space="preserve">NetCO2_SUP</t>
  </si>
  <si>
    <t xml:space="preserve">RESLPG</t>
  </si>
  <si>
    <t xml:space="preserve">Municiple Solid Waste</t>
  </si>
  <si>
    <t xml:space="preserve">*COM_AGG</t>
  </si>
  <si>
    <t xml:space="preserve">Tire-derived fuel</t>
  </si>
  <si>
    <t xml:space="preserve">CO2Captured_sup</t>
  </si>
  <si>
    <t xml:space="preserve">RESOIL</t>
  </si>
  <si>
    <t xml:space="preserve">Waste oil</t>
  </si>
  <si>
    <t xml:space="preserve">barrel</t>
  </si>
  <si>
    <t xml:space="preserve">SUPBFG</t>
  </si>
  <si>
    <t xml:space="preserve">Source: U.S. Energy Information Administration estimates.</t>
  </si>
  <si>
    <t xml:space="preserve">SUPBIO</t>
  </si>
  <si>
    <t xml:space="preserve">Note: To convert to carbon equivalents multiply by 12/44.</t>
  </si>
  <si>
    <t xml:space="preserve">COMCO2N?,RESCO2N?,-*b</t>
  </si>
  <si>
    <t xml:space="preserve">NetCO2_Bldg</t>
  </si>
  <si>
    <t xml:space="preserve">SUPCOA</t>
  </si>
  <si>
    <t xml:space="preserve">Coefficients may vary slightly with estimation method and across time.</t>
  </si>
  <si>
    <t xml:space="preserve">TRACO2N?</t>
  </si>
  <si>
    <t xml:space="preserve">NetCO2_TRA</t>
  </si>
  <si>
    <t xml:space="preserve">SUPCOG</t>
  </si>
  <si>
    <t xml:space="preserve">SUPNGA</t>
  </si>
  <si>
    <t xml:space="preserve">SUPOIL</t>
  </si>
  <si>
    <t xml:space="preserve">SUPRFG</t>
  </si>
  <si>
    <t xml:space="preserve">SUPRPP</t>
  </si>
  <si>
    <t xml:space="preserve">TRACOA</t>
  </si>
  <si>
    <t xml:space="preserve">ELCCO2Nc</t>
  </si>
  <si>
    <t xml:space="preserve">ELCCO2Nb</t>
  </si>
  <si>
    <t xml:space="preserve">ELCCO2Ng</t>
  </si>
  <si>
    <t xml:space="preserve">TRAHFO</t>
  </si>
  <si>
    <t xml:space="preserve">TRALPG</t>
  </si>
  <si>
    <t xml:space="preserve">oth_ind</t>
  </si>
  <si>
    <t xml:space="preserve">INDBIO</t>
  </si>
  <si>
    <t xml:space="preserve">*CCS*</t>
  </si>
  <si>
    <t xml:space="preserve">~TFM_INS-AT</t>
  </si>
  <si>
    <t xml:space="preserve">~TFM_INS-TS: limtype=LO;cset_set=ENV</t>
  </si>
  <si>
    <t xml:space="preserve">Region</t>
  </si>
  <si>
    <t xml:space="preserve">Process</t>
  </si>
  <si>
    <t xml:space="preserve">kt CO2</t>
  </si>
  <si>
    <t xml:space="preserve">USD20</t>
  </si>
  <si>
    <t xml:space="preserve">系数</t>
  </si>
  <si>
    <r>
      <rPr>
        <b val="true"/>
        <sz val="11"/>
        <color theme="1"/>
        <rFont val="WenQuanYi Zen Hei"/>
        <family val="2"/>
      </rPr>
      <t xml:space="preserve">电池 </t>
    </r>
    <r>
      <rPr>
        <b val="true"/>
        <sz val="11"/>
        <color theme="1"/>
        <rFont val="Calibri"/>
        <family val="0"/>
        <charset val="134"/>
      </rPr>
      <t xml:space="preserve">kWh</t>
    </r>
  </si>
  <si>
    <t xml:space="preserve">Trd_car_elc_120</t>
  </si>
  <si>
    <t xml:space="preserve">Trd_bus_elc_120</t>
  </si>
  <si>
    <t xml:space="preserve">Trd_car_elc_160</t>
  </si>
  <si>
    <t xml:space="preserve">Trd_bus_elc_134</t>
  </si>
  <si>
    <t xml:space="preserve">Trd_car_elc_200</t>
  </si>
  <si>
    <t xml:space="preserve">Trd_bus_elc_149</t>
  </si>
  <si>
    <t xml:space="preserve">~UC_T: UC_RHSRT~UP</t>
  </si>
  <si>
    <t xml:space="preserve">~UC_T: UC_RHSRT~FX</t>
  </si>
  <si>
    <t xml:space="preserve">Trd_car_elc_250</t>
  </si>
  <si>
    <t xml:space="preserve">Trd_bus_elc_163</t>
  </si>
  <si>
    <t xml:space="preserve">Trd_car_elc_300</t>
  </si>
  <si>
    <t xml:space="preserve">Trd_bus_elc_177</t>
  </si>
  <si>
    <t xml:space="preserve">UCT_car batteries cap</t>
  </si>
  <si>
    <t xml:space="preserve">TRDELC</t>
  </si>
  <si>
    <t xml:space="preserve">Tra_BEV_Batt_VtoG</t>
  </si>
  <si>
    <t xml:space="preserve">UCT_car batteries cap - car</t>
  </si>
  <si>
    <t xml:space="preserve">STG</t>
  </si>
  <si>
    <t xml:space="preserve">Tra_EV*virgin_pack, Tra_EV*fromrecy, Tra_EV_Batt-Sodium_virgin_pack</t>
  </si>
  <si>
    <t xml:space="preserve">Trd_car_elc_350</t>
  </si>
  <si>
    <t xml:space="preserve">Trd_bus_elc_191</t>
  </si>
  <si>
    <t xml:space="preserve">Trd_car_elc_400</t>
  </si>
  <si>
    <t xml:space="preserve">Trd_bus_elc_206</t>
  </si>
  <si>
    <t xml:space="preserve">Trd_car_elc_500</t>
  </si>
  <si>
    <t xml:space="preserve">Trd_bus_elc_220</t>
  </si>
  <si>
    <t xml:space="preserve">Trd_lcv_elc_120</t>
  </si>
  <si>
    <t xml:space="preserve">Trd_lcv_elc_160</t>
  </si>
  <si>
    <t xml:space="preserve">Trd_lcv_elc_200</t>
  </si>
  <si>
    <t xml:space="preserve">Trd_lcv_elc_250</t>
  </si>
  <si>
    <t xml:space="preserve">Trd_lcv_elc_300</t>
  </si>
  <si>
    <t xml:space="preserve">Trd_lcv_elc_350</t>
  </si>
  <si>
    <t xml:space="preserve">Trd_lcv_elc_400</t>
  </si>
  <si>
    <t xml:space="preserve">Trd_lcv_elc_500</t>
  </si>
  <si>
    <t xml:space="preserve">Trd_hdt_elc_150</t>
  </si>
  <si>
    <t xml:space="preserve">Trd_hdt_elc_179</t>
  </si>
  <si>
    <t xml:space="preserve">Trd_hdt_elc_207</t>
  </si>
  <si>
    <t xml:space="preserve">Trd_hdt_elc_236</t>
  </si>
  <si>
    <t xml:space="preserve">Trd_hdt_elc_264</t>
  </si>
  <si>
    <t xml:space="preserve">Trd_hdt_elc_350</t>
  </si>
  <si>
    <t xml:space="preserve">Trd_hdt_elc_500</t>
  </si>
  <si>
    <t xml:space="preserve">Trd_hdt_elc_600</t>
  </si>
  <si>
    <t xml:space="preserve">Trd_3w_elc_120</t>
  </si>
  <si>
    <t xml:space="preserve">Trd_3w_elc_131</t>
  </si>
  <si>
    <t xml:space="preserve">Trd_3w_elc_143</t>
  </si>
  <si>
    <t xml:space="preserve">Trd_3w_elc_154</t>
  </si>
  <si>
    <t xml:space="preserve">Trd_3w_elc_166</t>
  </si>
  <si>
    <t xml:space="preserve">Trd_3w_elc_177</t>
  </si>
  <si>
    <t xml:space="preserve">Trd_3w_elc_189</t>
  </si>
  <si>
    <t xml:space="preserve">Trd_3w_elc_200</t>
  </si>
  <si>
    <t xml:space="preserve">Trd_2w_elc50_100</t>
  </si>
  <si>
    <t xml:space="preserve">Trd_2w_elc50_109</t>
  </si>
  <si>
    <t xml:space="preserve">Trd_2w_elc50_117</t>
  </si>
  <si>
    <t xml:space="preserve">Trd_2w_elc50_126</t>
  </si>
  <si>
    <t xml:space="preserve">Trd_2w_elc50_134</t>
  </si>
  <si>
    <t xml:space="preserve">Trd_2w_elc50_143</t>
  </si>
  <si>
    <t xml:space="preserve">Trd_2w_elc50_151</t>
  </si>
  <si>
    <t xml:space="preserve">Trd_2w_elc50_160</t>
  </si>
  <si>
    <t xml:space="preserve">Trd_2w_elc150_120</t>
  </si>
  <si>
    <t xml:space="preserve">Trd_2w_elc150_131</t>
  </si>
  <si>
    <t xml:space="preserve">Trd_2w_elc150_143</t>
  </si>
  <si>
    <t xml:space="preserve">Trd_2w_elc150_154</t>
  </si>
  <si>
    <t xml:space="preserve">Trd_2w_elc150_166</t>
  </si>
  <si>
    <t xml:space="preserve">Trd_2w_elc150_177</t>
  </si>
  <si>
    <t xml:space="preserve">Trd_2w_elc150_189</t>
  </si>
  <si>
    <t xml:space="preserve">Trd_2w_elc150_200</t>
  </si>
  <si>
    <t xml:space="preserve">Trd_2w_elc500_120</t>
  </si>
  <si>
    <t xml:space="preserve">Trd_2w_elc500_131</t>
  </si>
  <si>
    <t xml:space="preserve">Trd_2w_elc500_143</t>
  </si>
  <si>
    <t xml:space="preserve">Trd_2w_elc500_154</t>
  </si>
  <si>
    <t xml:space="preserve">Trd_2w_elc500_166</t>
  </si>
  <si>
    <t xml:space="preserve">Trd_2w_elc500_177</t>
  </si>
  <si>
    <t xml:space="preserve">Trd_2w_elc500_189</t>
  </si>
  <si>
    <t xml:space="preserve">Trd_2w_elc500_200</t>
  </si>
  <si>
    <t xml:space="preserve">Trd_car_gsl-pih_71</t>
  </si>
  <si>
    <t xml:space="preserve">Trd_car_gsl-pih_72</t>
  </si>
  <si>
    <t xml:space="preserve">Trd_car_gsl-pih_73</t>
  </si>
  <si>
    <t xml:space="preserve">Trd_car_gsl-pih_74</t>
  </si>
  <si>
    <t xml:space="preserve">Trd_car_gsl-pih_75</t>
  </si>
  <si>
    <t xml:space="preserve">Trd_car_gsl-pih_80</t>
  </si>
  <si>
    <t xml:space="preserve">Trd_car_gsl-pih_81</t>
  </si>
  <si>
    <t xml:space="preserve">Trd_car_gsl-pih_82</t>
  </si>
  <si>
    <t xml:space="preserve">Trd_car_dsl-pih_70</t>
  </si>
  <si>
    <t xml:space="preserve">Trd_car_dsl-pih_71</t>
  </si>
  <si>
    <t xml:space="preserve">Trd_car_dsl-pih_72</t>
  </si>
  <si>
    <t xml:space="preserve">Trd_car_dsl-pih_73</t>
  </si>
  <si>
    <t xml:space="preserve">Trd_car_dsl-pih_74</t>
  </si>
  <si>
    <t xml:space="preserve">Trd_car_dsl-pih_78</t>
  </si>
  <si>
    <t xml:space="preserve">Trd_lcv_gsl-pih_83</t>
  </si>
  <si>
    <t xml:space="preserve">Trd_lcv_gsl-pih_84</t>
  </si>
  <si>
    <t xml:space="preserve">Trd_lcv_gsl-pih_85</t>
  </si>
  <si>
    <t xml:space="preserve">Trd_lcv_gsl-pih_86</t>
  </si>
  <si>
    <t xml:space="preserve">Trd_lcv_gsl-pih_87</t>
  </si>
  <si>
    <t xml:space="preserve">Trd_lcv_gsl-pih_92</t>
  </si>
  <si>
    <t xml:space="preserve">Trd_lcv_gsl-pih_93</t>
  </si>
  <si>
    <t xml:space="preserve">Trd_lcv_dsl-pih_85</t>
  </si>
  <si>
    <t xml:space="preserve">Trd_lcv_dsl-pih_86</t>
  </si>
  <si>
    <t xml:space="preserve">Trd_lcv_dsl-pih_87</t>
  </si>
  <si>
    <t xml:space="preserve">Trd_lcv_dsl-pih_88</t>
  </si>
  <si>
    <t xml:space="preserve">Trd_lcv_dsl-pih_89</t>
  </si>
  <si>
    <t xml:space="preserve">Trd_lcv_dsl-pih_93</t>
  </si>
  <si>
    <t xml:space="preserve">~UC_Sets: R_E: allregions</t>
  </si>
  <si>
    <t xml:space="preserve">~UC_T:UC_RHSRT</t>
  </si>
  <si>
    <t xml:space="preserve">UC_COMNET</t>
  </si>
  <si>
    <t xml:space="preserve">UCT_COMNET_materials</t>
  </si>
  <si>
    <t xml:space="preserve">recy*</t>
  </si>
  <si>
    <t xml:space="preserve">Trd[_]*cng[_]*, Trd[_]*lng[_]*</t>
  </si>
</sst>
</file>

<file path=xl/styles.xml><?xml version="1.0" encoding="utf-8"?>
<styleSheet xmlns="http://schemas.openxmlformats.org/spreadsheetml/2006/main">
  <numFmts count="35">
    <numFmt numFmtId="164" formatCode="General"/>
    <numFmt numFmtId="165" formatCode="#,##0.00"/>
    <numFmt numFmtId="166" formatCode="@"/>
    <numFmt numFmtId="167" formatCode="_(* #,##0.00_);_(* \(#,##0.00\);_(* \-??_);_(@_)"/>
    <numFmt numFmtId="168" formatCode="0.0%"/>
    <numFmt numFmtId="169" formatCode="_ * #,##0.00_ ;_ * \-#,##0.00_ ;_ * \-??_ ;_ @_ "/>
    <numFmt numFmtId="170" formatCode="#,##0.00_);[RED]\(#,##0.00\)"/>
    <numFmt numFmtId="171" formatCode="_(* #,##0_);_(* \(#,##0\);_(* \-_);_(@_)"/>
    <numFmt numFmtId="172" formatCode="_-\$* #,##0.00_-;&quot;-$&quot;* #,##0.00_-;_-\$* \-??_-;_-@_-"/>
    <numFmt numFmtId="173" formatCode="m&quot;ont&quot;h\ d&quot;, &quot;yyyy"/>
    <numFmt numFmtId="174" formatCode="#,##0"/>
    <numFmt numFmtId="175" formatCode="_([$€]* #,##0.00_);_([$€]* \(#,##0.00\);_([$€]* \-??_);_(@_)"/>
    <numFmt numFmtId="176" formatCode="_([$€-2]* #,##0.00_);_([$€-2]* \(#,##0.00\);_([$€-2]* \-??_)"/>
    <numFmt numFmtId="177" formatCode="_-[$€-2]\ * #,##0.00_-;\-[$€-2]\ * #,##0.00_-;_-[$€-2]\ * \-??_-"/>
    <numFmt numFmtId="178" formatCode="_-[$€]* #,##0.00_-;\-[$€]* #,##0.00_-;_-[$€]* \-??_-;_-@_-"/>
    <numFmt numFmtId="179" formatCode="_-&quot;€ &quot;* #,##0.00_-;&quot;-€ &quot;* #,##0.00_-;_-&quot;€ &quot;* \-??_-;_-@_-"/>
    <numFmt numFmtId="180" formatCode="#.00"/>
    <numFmt numFmtId="181" formatCode="0.00E+00"/>
    <numFmt numFmtId="182" formatCode="#."/>
    <numFmt numFmtId="183" formatCode="_-* #,##0.00\ _€_-;\-* #,##0.00\ _€_-;_-* \-??\ _€_-;_-@_-"/>
    <numFmt numFmtId="184" formatCode="\$#,##0_);&quot;($&quot;#,##0\)"/>
    <numFmt numFmtId="185" formatCode="General_)"/>
    <numFmt numFmtId="186" formatCode="\(##\);\(##\)"/>
    <numFmt numFmtId="187" formatCode="#,##0;&quot;- &quot;#,##0;_-&quot; - &quot;"/>
    <numFmt numFmtId="188" formatCode="0%"/>
    <numFmt numFmtId="189" formatCode="_ * #,##0_ ;_ * \-#,##0_ ;_ * \-_ ;_ @_ "/>
    <numFmt numFmtId="190" formatCode="_ &quot;kr &quot;* #,##0_ ;_ &quot;kr &quot;* \-#,##0_ ;_ &quot;kr &quot;* \-_ ;_ @_ "/>
    <numFmt numFmtId="191" formatCode="yyyy"/>
    <numFmt numFmtId="192" formatCode="#,##0.0"/>
    <numFmt numFmtId="193" formatCode="_ &quot;kr &quot;* #,##0.00_ ;_ &quot;kr &quot;* \-#,##0.00_ ;_ &quot;kr &quot;* \-??_ ;_ @_ "/>
    <numFmt numFmtId="194" formatCode="0.00"/>
    <numFmt numFmtId="195" formatCode="0"/>
    <numFmt numFmtId="196" formatCode="General"/>
    <numFmt numFmtId="197" formatCode="0.0"/>
    <numFmt numFmtId="198" formatCode="0.00_);[RED]\(0.00\)"/>
  </numFmts>
  <fonts count="6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34"/>
    </font>
    <font>
      <sz val="10"/>
      <name val="Arial"/>
      <family val="0"/>
      <charset val="134"/>
    </font>
    <font>
      <sz val="11"/>
      <color rgb="FFFFFFFF"/>
      <name val="Calibri"/>
      <family val="0"/>
      <charset val="134"/>
    </font>
    <font>
      <sz val="9"/>
      <color rgb="FF000000"/>
      <name val="Times New Roman"/>
      <family val="0"/>
      <charset val="134"/>
    </font>
    <font>
      <sz val="11"/>
      <color rgb="FF800080"/>
      <name val="Calibri"/>
      <family val="0"/>
      <charset val="134"/>
    </font>
    <font>
      <sz val="11"/>
      <color rgb="FF9C0006"/>
      <name val="Calibri"/>
      <family val="0"/>
      <charset val="134"/>
    </font>
    <font>
      <b val="true"/>
      <sz val="11"/>
      <color rgb="FFFF9900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FFFFFF"/>
      <name val="Calibri"/>
      <family val="0"/>
      <charset val="134"/>
    </font>
    <font>
      <sz val="10"/>
      <name val="MS Sans Serif"/>
      <family val="0"/>
      <charset val="134"/>
    </font>
    <font>
      <sz val="9"/>
      <name val="Times New Roman"/>
      <family val="0"/>
      <charset val="134"/>
    </font>
    <font>
      <sz val="1"/>
      <color rgb="FF000000"/>
      <name val="Courier New"/>
      <family val="0"/>
      <charset val="134"/>
    </font>
    <font>
      <sz val="10"/>
      <color rgb="FF003366"/>
      <name val="Arial"/>
      <family val="0"/>
      <charset val="134"/>
    </font>
    <font>
      <b val="true"/>
      <sz val="10"/>
      <name val="Arial"/>
      <family val="0"/>
      <charset val="134"/>
    </font>
    <font>
      <i val="true"/>
      <sz val="8"/>
      <color rgb="FF008080"/>
      <name val="Arial"/>
      <family val="0"/>
      <charset val="134"/>
    </font>
    <font>
      <i val="true"/>
      <sz val="11"/>
      <color rgb="FF808080"/>
      <name val="Calibri"/>
      <family val="0"/>
      <charset val="134"/>
    </font>
    <font>
      <sz val="11"/>
      <color rgb="FF008000"/>
      <name val="Calibri"/>
      <family val="0"/>
      <charset val="134"/>
    </font>
    <font>
      <sz val="11"/>
      <color rgb="FF006100"/>
      <name val="Calibri"/>
      <family val="0"/>
      <charset val="134"/>
    </font>
    <font>
      <b val="true"/>
      <sz val="15"/>
      <color rgb="FF003366"/>
      <name val="Calibri"/>
      <family val="0"/>
      <charset val="134"/>
    </font>
    <font>
      <b val="true"/>
      <sz val="15"/>
      <color rgb="FF333399"/>
      <name val="Calibri"/>
      <family val="0"/>
      <charset val="134"/>
    </font>
    <font>
      <b val="true"/>
      <sz val="13"/>
      <color rgb="FF003366"/>
      <name val="Calibri"/>
      <family val="0"/>
      <charset val="134"/>
    </font>
    <font>
      <b val="true"/>
      <sz val="13"/>
      <color rgb="FF333399"/>
      <name val="Calibri"/>
      <family val="0"/>
      <charset val="134"/>
    </font>
    <font>
      <b val="true"/>
      <sz val="13"/>
      <color theme="3"/>
      <name val="Calibri"/>
      <family val="0"/>
      <charset val="134"/>
    </font>
    <font>
      <b val="true"/>
      <sz val="11"/>
      <color rgb="FF003366"/>
      <name val="Calibri"/>
      <family val="0"/>
      <charset val="134"/>
    </font>
    <font>
      <b val="true"/>
      <sz val="11"/>
      <color rgb="FF333399"/>
      <name val="Calibri"/>
      <family val="0"/>
      <charset val="134"/>
    </font>
    <font>
      <b val="true"/>
      <sz val="1"/>
      <color rgb="FF000000"/>
      <name val="Courier New"/>
      <family val="0"/>
      <charset val="134"/>
    </font>
    <font>
      <u val="single"/>
      <sz val="10"/>
      <color rgb="FF0000FF"/>
      <name val="Arial"/>
      <family val="0"/>
      <charset val="134"/>
    </font>
    <font>
      <sz val="11"/>
      <color rgb="FF333399"/>
      <name val="Calibri"/>
      <family val="0"/>
      <charset val="134"/>
    </font>
    <font>
      <sz val="11"/>
      <color rgb="FF3F3F76"/>
      <name val="Calibri"/>
      <family val="0"/>
      <charset val="134"/>
    </font>
    <font>
      <b val="true"/>
      <sz val="12"/>
      <name val="Times New Roman"/>
      <family val="0"/>
      <charset val="134"/>
    </font>
    <font>
      <sz val="11"/>
      <color rgb="FFFF9900"/>
      <name val="Calibri"/>
      <family val="0"/>
      <charset val="134"/>
    </font>
    <font>
      <sz val="11"/>
      <color rgb="FFFF0000"/>
      <name val="Calibri"/>
      <family val="0"/>
      <charset val="134"/>
    </font>
    <font>
      <sz val="11"/>
      <color rgb="FF993300"/>
      <name val="Calibri"/>
      <family val="0"/>
      <charset val="134"/>
    </font>
    <font>
      <sz val="11"/>
      <color rgb="FF808000"/>
      <name val="Calibri"/>
      <family val="0"/>
      <charset val="134"/>
    </font>
    <font>
      <sz val="11"/>
      <color rgb="FF993300"/>
      <name val="Calibri"/>
      <family val="0"/>
      <charset val="161"/>
    </font>
    <font>
      <sz val="11"/>
      <color rgb="FF9C5700"/>
      <name val="Calibri"/>
      <family val="0"/>
      <charset val="134"/>
    </font>
    <font>
      <sz val="8"/>
      <name val="Arial"/>
      <family val="0"/>
      <charset val="134"/>
    </font>
    <font>
      <b val="true"/>
      <sz val="9"/>
      <name val="Times New Roman"/>
      <family val="0"/>
      <charset val="134"/>
    </font>
    <font>
      <sz val="10"/>
      <name val="Courier New"/>
      <family val="0"/>
      <charset val="134"/>
    </font>
    <font>
      <b val="true"/>
      <sz val="12"/>
      <color rgb="FF666699"/>
      <name val="Arial"/>
      <family val="0"/>
      <charset val="134"/>
    </font>
    <font>
      <b val="true"/>
      <sz val="11"/>
      <color rgb="FF333333"/>
      <name val="Calibri"/>
      <family val="0"/>
      <charset val="134"/>
    </font>
    <font>
      <b val="true"/>
      <sz val="12"/>
      <name val="Arial"/>
      <family val="0"/>
      <charset val="134"/>
    </font>
    <font>
      <sz val="8"/>
      <color rgb="FFFFFFFF"/>
      <name val="Arial"/>
      <family val="0"/>
      <charset val="134"/>
    </font>
    <font>
      <sz val="9"/>
      <name val="Verdana"/>
      <family val="0"/>
      <charset val="134"/>
    </font>
    <font>
      <i val="true"/>
      <sz val="9"/>
      <color rgb="FF993300"/>
      <name val="Verdana"/>
      <family val="0"/>
      <charset val="134"/>
    </font>
    <font>
      <b val="true"/>
      <sz val="9"/>
      <name val="Verdana"/>
      <family val="0"/>
      <charset val="134"/>
    </font>
    <font>
      <b val="true"/>
      <sz val="9"/>
      <name val="Arial"/>
      <family val="0"/>
      <charset val="134"/>
    </font>
    <font>
      <b val="true"/>
      <sz val="18"/>
      <color rgb="FF003366"/>
      <name val="Cambria"/>
      <family val="0"/>
      <charset val="134"/>
    </font>
    <font>
      <b val="true"/>
      <sz val="18"/>
      <color rgb="FF333399"/>
      <name val="Cambria"/>
      <family val="0"/>
      <charset val="134"/>
    </font>
    <font>
      <b val="true"/>
      <sz val="11"/>
      <color rgb="FF000000"/>
      <name val="Calibri"/>
      <family val="0"/>
      <charset val="134"/>
    </font>
    <font>
      <u val="single"/>
      <sz val="12"/>
      <color rgb="FF800080"/>
      <name val="宋体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0"/>
      <name val="Arial"/>
      <family val="2"/>
    </font>
    <font>
      <b val="true"/>
      <sz val="10"/>
      <color rgb="FF0000FF"/>
      <name val="Arial"/>
      <family val="0"/>
      <charset val="134"/>
    </font>
    <font>
      <b val="true"/>
      <sz val="11"/>
      <color theme="3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u val="single"/>
      <sz val="11"/>
      <color rgb="FF0000FF"/>
      <name val="Calibri"/>
      <family val="0"/>
      <charset val="134"/>
    </font>
    <font>
      <b val="true"/>
      <sz val="11"/>
      <color rgb="FF9C5700"/>
      <name val="Calibri"/>
      <family val="0"/>
      <charset val="134"/>
    </font>
    <font>
      <i val="true"/>
      <sz val="11"/>
      <color theme="1"/>
      <name val="Calibri"/>
      <family val="0"/>
      <charset val="134"/>
    </font>
    <font>
      <b val="true"/>
      <sz val="11"/>
      <color theme="1"/>
      <name val="WenQuanYi Zen Hei"/>
      <family val="2"/>
    </font>
    <font>
      <sz val="10.2"/>
      <color rgb="FF212529"/>
      <name val="Segoe UI"/>
      <family val="0"/>
      <charset val="134"/>
    </font>
    <font>
      <sz val="8"/>
      <color rgb="FF3974D2"/>
      <name val="Segoe UI"/>
      <family val="0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CCCFF"/>
        <bgColor rgb="FFC6C6E0"/>
      </patternFill>
    </fill>
    <fill>
      <patternFill patternType="solid">
        <fgColor rgb="FF99CCFF"/>
        <bgColor rgb="FFACC6E0"/>
      </patternFill>
    </fill>
    <fill>
      <patternFill patternType="solid">
        <fgColor rgb="FFFF99CC"/>
        <bgColor rgb="FFFFBFBF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6EFCE"/>
      </patternFill>
    </fill>
    <fill>
      <patternFill patternType="solid">
        <fgColor rgb="FFFFFFCC"/>
        <bgColor rgb="FFFFFFFF"/>
      </patternFill>
    </fill>
    <fill>
      <patternFill patternType="solid">
        <fgColor rgb="FFCC99FF"/>
        <bgColor rgb="FF9999FF"/>
      </patternFill>
    </fill>
    <fill>
      <patternFill patternType="solid">
        <fgColor rgb="FFFFCC99"/>
        <bgColor rgb="FFFFCC7F"/>
      </patternFill>
    </fill>
    <fill>
      <patternFill patternType="solid">
        <fgColor rgb="FFCCFFFF"/>
        <bgColor rgb="FFCCFFCC"/>
      </patternFill>
    </fill>
    <fill>
      <patternFill patternType="solid">
        <fgColor rgb="FF00FF00"/>
        <bgColor rgb="FF33CCCC"/>
      </patternFill>
    </fill>
    <fill>
      <patternFill patternType="solid">
        <fgColor rgb="FFFFFF99"/>
        <bgColor rgb="FFFFEB9C"/>
      </patternFill>
    </fill>
    <fill>
      <patternFill patternType="solid">
        <fgColor rgb="FFFFCC00"/>
        <bgColor rgb="FFFFC000"/>
      </patternFill>
    </fill>
    <fill>
      <patternFill patternType="solid">
        <fgColor rgb="FF0069C7"/>
        <bgColor rgb="FF3974D2"/>
      </patternFill>
    </fill>
    <fill>
      <patternFill patternType="solid">
        <fgColor rgb="FFFF6600"/>
        <bgColor rgb="FFFF9900"/>
      </patternFill>
    </fill>
    <fill>
      <patternFill patternType="solid">
        <fgColor rgb="FF800080"/>
        <bgColor rgb="FF9C0006"/>
      </patternFill>
    </fill>
    <fill>
      <patternFill patternType="solid">
        <fgColor rgb="FF33CCCC"/>
        <bgColor rgb="FF339966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3F3F76"/>
      </patternFill>
    </fill>
    <fill>
      <patternFill patternType="solid">
        <fgColor rgb="FF003366"/>
        <bgColor rgb="FF1F497D"/>
      </patternFill>
    </fill>
    <fill>
      <patternFill patternType="solid">
        <fgColor rgb="FFFF0000"/>
        <bgColor rgb="FF9C0006"/>
      </patternFill>
    </fill>
    <fill>
      <patternFill patternType="solid">
        <fgColor rgb="FF339966"/>
        <bgColor rgb="FF4F81BD"/>
      </patternFill>
    </fill>
    <fill>
      <patternFill patternType="solid">
        <fgColor rgb="FF666699"/>
        <bgColor rgb="FF7F7F7F"/>
      </patternFill>
    </fill>
    <fill>
      <patternFill patternType="solid">
        <fgColor rgb="FFFFC7CE"/>
        <bgColor rgb="FFFFBFBF"/>
      </patternFill>
    </fill>
    <fill>
      <patternFill patternType="solid">
        <fgColor rgb="FFC0C0C0"/>
        <bgColor rgb="FFC6C6E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CCFFCC"/>
      </patternFill>
    </fill>
    <fill>
      <patternFill patternType="solid">
        <fgColor rgb="FFFFEB9C"/>
        <bgColor rgb="FFFFFF99"/>
      </patternFill>
    </fill>
    <fill>
      <patternFill patternType="solid">
        <fgColor theme="0" tint="-0.35"/>
        <bgColor rgb="FF969696"/>
      </patternFill>
    </fill>
    <fill>
      <patternFill patternType="solid">
        <fgColor theme="0" tint="-0.5"/>
        <bgColor rgb="FF7F7F7F"/>
      </patternFill>
    </fill>
    <fill>
      <patternFill patternType="solid">
        <fgColor theme="5"/>
        <bgColor rgb="FF9C5700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theme="4"/>
        <bgColor rgb="FF3974D2"/>
      </patternFill>
    </fill>
    <fill>
      <patternFill patternType="solid">
        <fgColor theme="0" tint="-0.15"/>
        <bgColor rgb="FFE5E5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0069C7"/>
      </left>
      <right style="thin">
        <color rgb="FF0069C7"/>
      </right>
      <top style="thin">
        <color rgb="FF0069C7"/>
      </top>
      <bottom style="thin">
        <color rgb="FF0069C7"/>
      </bottom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003366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thick">
        <color rgb="FFCCFFFF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rgb="FF0069C7"/>
      </bottom>
      <diagonal/>
    </border>
    <border diagonalUp="false" diagonalDown="false">
      <left/>
      <right/>
      <top/>
      <bottom style="medium">
        <color rgb="FFCCFFF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double">
        <color rgb="FFFF0000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>
        <color theme="4" tint="0.3999"/>
      </bottom>
      <diagonal/>
    </border>
  </borders>
  <cellStyleXfs count="15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5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5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5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5" shrinkToFit="false"/>
      <protection locked="true" hidden="false"/>
    </xf>
    <xf numFmtId="164" fontId="6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9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9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5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5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10" borderId="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73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16" fillId="0" borderId="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7" fillId="17" borderId="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0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2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2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2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31" fillId="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3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1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62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96" fontId="0" fillId="3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340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1"/>
    <cellStyle name="20% - Accent1 2 10" xfId="22"/>
    <cellStyle name="20% - Accent1 2 11" xfId="23"/>
    <cellStyle name="20% - Accent1 2 12" xfId="24"/>
    <cellStyle name="20% - Accent1 2 13" xfId="25"/>
    <cellStyle name="20% - Accent1 2 14" xfId="26"/>
    <cellStyle name="20% - Accent1 2 15" xfId="27"/>
    <cellStyle name="20% - Accent1 2 2" xfId="28"/>
    <cellStyle name="20% - Accent1 2 3" xfId="29"/>
    <cellStyle name="20% - Accent1 2 4" xfId="30"/>
    <cellStyle name="20% - Accent1 2 5" xfId="31"/>
    <cellStyle name="20% - Accent1 2 6" xfId="32"/>
    <cellStyle name="20% - Accent1 2 7" xfId="33"/>
    <cellStyle name="20% - Accent1 2 8" xfId="34"/>
    <cellStyle name="20% - Accent1 2 9" xfId="35"/>
    <cellStyle name="20% - Accent1 3" xfId="36"/>
    <cellStyle name="20% - Accent1 3 2" xfId="37"/>
    <cellStyle name="20% - Accent1 4" xfId="38"/>
    <cellStyle name="20% - Accent1 5" xfId="39"/>
    <cellStyle name="20% - Accent1 6" xfId="40"/>
    <cellStyle name="20% - Accent1 7" xfId="41"/>
    <cellStyle name="20% - Accent1 8" xfId="42"/>
    <cellStyle name="20% - Accent2 2" xfId="43"/>
    <cellStyle name="20% - Accent2 2 10" xfId="44"/>
    <cellStyle name="20% - Accent2 2 11" xfId="45"/>
    <cellStyle name="20% - Accent2 2 12" xfId="46"/>
    <cellStyle name="20% - Accent2 2 13" xfId="47"/>
    <cellStyle name="20% - Accent2 2 14" xfId="48"/>
    <cellStyle name="20% - Accent2 2 15" xfId="49"/>
    <cellStyle name="20% - Accent2 2 2" xfId="50"/>
    <cellStyle name="20% - Accent2 2 3" xfId="51"/>
    <cellStyle name="20% - Accent2 2 4" xfId="52"/>
    <cellStyle name="20% - Accent2 2 5" xfId="53"/>
    <cellStyle name="20% - Accent2 2 6" xfId="54"/>
    <cellStyle name="20% - Accent2 2 7" xfId="55"/>
    <cellStyle name="20% - Accent2 2 8" xfId="56"/>
    <cellStyle name="20% - Accent2 2 9" xfId="57"/>
    <cellStyle name="20% - Accent2 3" xfId="58"/>
    <cellStyle name="20% - Accent2 3 2" xfId="59"/>
    <cellStyle name="20% - Accent2 4" xfId="60"/>
    <cellStyle name="20% - Accent2 5" xfId="61"/>
    <cellStyle name="20% - Accent2 6" xfId="62"/>
    <cellStyle name="20% - Accent2 7" xfId="63"/>
    <cellStyle name="20% - Accent2 8" xfId="64"/>
    <cellStyle name="20% - Accent3 2" xfId="65"/>
    <cellStyle name="20% - Accent3 2 10" xfId="66"/>
    <cellStyle name="20% - Accent3 2 11" xfId="67"/>
    <cellStyle name="20% - Accent3 2 12" xfId="68"/>
    <cellStyle name="20% - Accent3 2 13" xfId="69"/>
    <cellStyle name="20% - Accent3 2 14" xfId="70"/>
    <cellStyle name="20% - Accent3 2 15" xfId="71"/>
    <cellStyle name="20% - Accent3 2 2" xfId="72"/>
    <cellStyle name="20% - Accent3 2 3" xfId="73"/>
    <cellStyle name="20% - Accent3 2 4" xfId="74"/>
    <cellStyle name="20% - Accent3 2 5" xfId="75"/>
    <cellStyle name="20% - Accent3 2 6" xfId="76"/>
    <cellStyle name="20% - Accent3 2 7" xfId="77"/>
    <cellStyle name="20% - Accent3 2 8" xfId="78"/>
    <cellStyle name="20% - Accent3 2 9" xfId="79"/>
    <cellStyle name="20% - Accent3 3" xfId="80"/>
    <cellStyle name="20% - Accent3 3 2" xfId="81"/>
    <cellStyle name="20% - Accent3 4" xfId="82"/>
    <cellStyle name="20% - Accent3 5" xfId="83"/>
    <cellStyle name="20% - Accent3 6" xfId="84"/>
    <cellStyle name="20% - Accent3 7" xfId="85"/>
    <cellStyle name="20% - Accent3 8" xfId="86"/>
    <cellStyle name="20% - Accent4 2" xfId="87"/>
    <cellStyle name="20% - Accent4 2 10" xfId="88"/>
    <cellStyle name="20% - Accent4 2 11" xfId="89"/>
    <cellStyle name="20% - Accent4 2 12" xfId="90"/>
    <cellStyle name="20% - Accent4 2 13" xfId="91"/>
    <cellStyle name="20% - Accent4 2 14" xfId="92"/>
    <cellStyle name="20% - Accent4 2 15" xfId="93"/>
    <cellStyle name="20% - Accent4 2 2" xfId="94"/>
    <cellStyle name="20% - Accent4 2 3" xfId="95"/>
    <cellStyle name="20% - Accent4 2 4" xfId="96"/>
    <cellStyle name="20% - Accent4 2 5" xfId="97"/>
    <cellStyle name="20% - Accent4 2 6" xfId="98"/>
    <cellStyle name="20% - Accent4 2 7" xfId="99"/>
    <cellStyle name="20% - Accent4 2 8" xfId="100"/>
    <cellStyle name="20% - Accent4 2 9" xfId="101"/>
    <cellStyle name="20% - Accent4 3" xfId="102"/>
    <cellStyle name="20% - Accent4 3 2" xfId="103"/>
    <cellStyle name="20% - Accent4 4" xfId="104"/>
    <cellStyle name="20% - Accent4 5" xfId="105"/>
    <cellStyle name="20% - Accent4 6" xfId="106"/>
    <cellStyle name="20% - Accent4 7" xfId="107"/>
    <cellStyle name="20% - Accent4 8" xfId="108"/>
    <cellStyle name="20% - Accent5 2" xfId="109"/>
    <cellStyle name="20% - Accent5 2 10" xfId="110"/>
    <cellStyle name="20% - Accent5 2 11" xfId="111"/>
    <cellStyle name="20% - Accent5 2 12" xfId="112"/>
    <cellStyle name="20% - Accent5 2 13" xfId="113"/>
    <cellStyle name="20% - Accent5 2 14" xfId="114"/>
    <cellStyle name="20% - Accent5 2 15" xfId="115"/>
    <cellStyle name="20% - Accent5 2 2" xfId="116"/>
    <cellStyle name="20% - Accent5 2 3" xfId="117"/>
    <cellStyle name="20% - Accent5 2 4" xfId="118"/>
    <cellStyle name="20% - Accent5 2 5" xfId="119"/>
    <cellStyle name="20% - Accent5 2 6" xfId="120"/>
    <cellStyle name="20% - Accent5 2 7" xfId="121"/>
    <cellStyle name="20% - Accent5 2 8" xfId="122"/>
    <cellStyle name="20% - Accent5 2 9" xfId="123"/>
    <cellStyle name="20% - Accent5 3" xfId="124"/>
    <cellStyle name="20% - Accent5 4" xfId="125"/>
    <cellStyle name="20% - Accent5 5" xfId="126"/>
    <cellStyle name="20% - Accent5 6" xfId="127"/>
    <cellStyle name="20% - Accent5 7" xfId="128"/>
    <cellStyle name="20% - Accent5 8" xfId="129"/>
    <cellStyle name="20% - Accent6 2" xfId="130"/>
    <cellStyle name="20% - Accent6 2 10" xfId="131"/>
    <cellStyle name="20% - Accent6 2 11" xfId="132"/>
    <cellStyle name="20% - Accent6 2 12" xfId="133"/>
    <cellStyle name="20% - Accent6 2 13" xfId="134"/>
    <cellStyle name="20% - Accent6 2 14" xfId="135"/>
    <cellStyle name="20% - Accent6 2 15" xfId="136"/>
    <cellStyle name="20% - Accent6 2 2" xfId="137"/>
    <cellStyle name="20% - Accent6 2 3" xfId="138"/>
    <cellStyle name="20% - Accent6 2 4" xfId="139"/>
    <cellStyle name="20% - Accent6 2 5" xfId="140"/>
    <cellStyle name="20% - Accent6 2 6" xfId="141"/>
    <cellStyle name="20% - Accent6 2 7" xfId="142"/>
    <cellStyle name="20% - Accent6 2 8" xfId="143"/>
    <cellStyle name="20% - Accent6 2 9" xfId="144"/>
    <cellStyle name="20% - Accent6 3" xfId="145"/>
    <cellStyle name="20% - Accent6 3 2" xfId="146"/>
    <cellStyle name="20% - Accent6 4" xfId="147"/>
    <cellStyle name="20% - Accent6 5" xfId="148"/>
    <cellStyle name="20% - Accent6 6" xfId="149"/>
    <cellStyle name="20% - Accent6 7" xfId="150"/>
    <cellStyle name="20% - Accent6 8" xfId="151"/>
    <cellStyle name="40% - Accent1 2" xfId="152"/>
    <cellStyle name="40% - Accent1 2 10" xfId="153"/>
    <cellStyle name="40% - Accent1 2 11" xfId="154"/>
    <cellStyle name="40% - Accent1 2 12" xfId="155"/>
    <cellStyle name="40% - Accent1 2 13" xfId="156"/>
    <cellStyle name="40% - Accent1 2 14" xfId="157"/>
    <cellStyle name="40% - Accent1 2 15" xfId="158"/>
    <cellStyle name="40% - Accent1 2 2" xfId="159"/>
    <cellStyle name="40% - Accent1 2 3" xfId="160"/>
    <cellStyle name="40% - Accent1 2 4" xfId="161"/>
    <cellStyle name="40% - Accent1 2 5" xfId="162"/>
    <cellStyle name="40% - Accent1 2 6" xfId="163"/>
    <cellStyle name="40% - Accent1 2 7" xfId="164"/>
    <cellStyle name="40% - Accent1 2 8" xfId="165"/>
    <cellStyle name="40% - Accent1 2 9" xfId="166"/>
    <cellStyle name="40% - Accent1 3" xfId="167"/>
    <cellStyle name="40% - Accent1 3 2" xfId="168"/>
    <cellStyle name="40% - Accent1 4" xfId="169"/>
    <cellStyle name="40% - Accent1 5" xfId="170"/>
    <cellStyle name="40% - Accent1 6" xfId="171"/>
    <cellStyle name="40% - Accent1 7" xfId="172"/>
    <cellStyle name="40% - Accent1 8" xfId="173"/>
    <cellStyle name="40% - Accent2 2" xfId="174"/>
    <cellStyle name="40% - Accent2 2 10" xfId="175"/>
    <cellStyle name="40% - Accent2 2 11" xfId="176"/>
    <cellStyle name="40% - Accent2 2 12" xfId="177"/>
    <cellStyle name="40% - Accent2 2 13" xfId="178"/>
    <cellStyle name="40% - Accent2 2 14" xfId="179"/>
    <cellStyle name="40% - Accent2 2 15" xfId="180"/>
    <cellStyle name="40% - Accent2 2 2" xfId="181"/>
    <cellStyle name="40% - Accent2 2 3" xfId="182"/>
    <cellStyle name="40% - Accent2 2 4" xfId="183"/>
    <cellStyle name="40% - Accent2 2 5" xfId="184"/>
    <cellStyle name="40% - Accent2 2 6" xfId="185"/>
    <cellStyle name="40% - Accent2 2 7" xfId="186"/>
    <cellStyle name="40% - Accent2 2 8" xfId="187"/>
    <cellStyle name="40% - Accent2 2 9" xfId="188"/>
    <cellStyle name="40% - Accent2 3" xfId="189"/>
    <cellStyle name="40% - Accent2 4" xfId="190"/>
    <cellStyle name="40% - Accent2 5" xfId="191"/>
    <cellStyle name="40% - Accent2 6" xfId="192"/>
    <cellStyle name="40% - Accent2 7" xfId="193"/>
    <cellStyle name="40% - Accent2 8" xfId="194"/>
    <cellStyle name="40% - Accent3 2" xfId="195"/>
    <cellStyle name="40% - Accent3 2 10" xfId="196"/>
    <cellStyle name="40% - Accent3 2 11" xfId="197"/>
    <cellStyle name="40% - Accent3 2 12" xfId="198"/>
    <cellStyle name="40% - Accent3 2 13" xfId="199"/>
    <cellStyle name="40% - Accent3 2 14" xfId="200"/>
    <cellStyle name="40% - Accent3 2 15" xfId="201"/>
    <cellStyle name="40% - Accent3 2 2" xfId="202"/>
    <cellStyle name="40% - Accent3 2 3" xfId="203"/>
    <cellStyle name="40% - Accent3 2 4" xfId="204"/>
    <cellStyle name="40% - Accent3 2 5" xfId="205"/>
    <cellStyle name="40% - Accent3 2 6" xfId="206"/>
    <cellStyle name="40% - Accent3 2 7" xfId="207"/>
    <cellStyle name="40% - Accent3 2 8" xfId="208"/>
    <cellStyle name="40% - Accent3 2 9" xfId="209"/>
    <cellStyle name="40% - Accent3 3" xfId="210"/>
    <cellStyle name="40% - Accent3 3 2" xfId="211"/>
    <cellStyle name="40% - Accent3 4" xfId="212"/>
    <cellStyle name="40% - Accent3 5" xfId="213"/>
    <cellStyle name="40% - Accent3 6" xfId="214"/>
    <cellStyle name="40% - Accent3 7" xfId="215"/>
    <cellStyle name="40% - Accent3 8" xfId="216"/>
    <cellStyle name="40% - Accent4 2" xfId="217"/>
    <cellStyle name="40% - Accent4 2 10" xfId="218"/>
    <cellStyle name="40% - Accent4 2 11" xfId="219"/>
    <cellStyle name="40% - Accent4 2 12" xfId="220"/>
    <cellStyle name="40% - Accent4 2 13" xfId="221"/>
    <cellStyle name="40% - Accent4 2 14" xfId="222"/>
    <cellStyle name="40% - Accent4 2 15" xfId="223"/>
    <cellStyle name="40% - Accent4 2 2" xfId="224"/>
    <cellStyle name="40% - Accent4 2 3" xfId="225"/>
    <cellStyle name="40% - Accent4 2 4" xfId="226"/>
    <cellStyle name="40% - Accent4 2 5" xfId="227"/>
    <cellStyle name="40% - Accent4 2 6" xfId="228"/>
    <cellStyle name="40% - Accent4 2 7" xfId="229"/>
    <cellStyle name="40% - Accent4 2 8" xfId="230"/>
    <cellStyle name="40% - Accent4 2 9" xfId="231"/>
    <cellStyle name="40% - Accent4 3" xfId="232"/>
    <cellStyle name="40% - Accent4 3 2" xfId="233"/>
    <cellStyle name="40% - Accent4 4" xfId="234"/>
    <cellStyle name="40% - Accent4 5" xfId="235"/>
    <cellStyle name="40% - Accent4 6" xfId="236"/>
    <cellStyle name="40% - Accent4 7" xfId="237"/>
    <cellStyle name="40% - Accent4 8" xfId="238"/>
    <cellStyle name="40% - Accent5 2" xfId="239"/>
    <cellStyle name="40% - Accent5 2 10" xfId="240"/>
    <cellStyle name="40% - Accent5 2 11" xfId="241"/>
    <cellStyle name="40% - Accent5 2 12" xfId="242"/>
    <cellStyle name="40% - Accent5 2 13" xfId="243"/>
    <cellStyle name="40% - Accent5 2 14" xfId="244"/>
    <cellStyle name="40% - Accent5 2 15" xfId="245"/>
    <cellStyle name="40% - Accent5 2 2" xfId="246"/>
    <cellStyle name="40% - Accent5 2 3" xfId="247"/>
    <cellStyle name="40% - Accent5 2 4" xfId="248"/>
    <cellStyle name="40% - Accent5 2 5" xfId="249"/>
    <cellStyle name="40% - Accent5 2 6" xfId="250"/>
    <cellStyle name="40% - Accent5 2 7" xfId="251"/>
    <cellStyle name="40% - Accent5 2 8" xfId="252"/>
    <cellStyle name="40% - Accent5 2 9" xfId="253"/>
    <cellStyle name="40% - Accent5 3" xfId="254"/>
    <cellStyle name="40% - Accent5 3 2" xfId="255"/>
    <cellStyle name="40% - Accent5 4" xfId="256"/>
    <cellStyle name="40% - Accent5 5" xfId="257"/>
    <cellStyle name="40% - Accent5 6" xfId="258"/>
    <cellStyle name="40% - Accent5 7" xfId="259"/>
    <cellStyle name="40% - Accent5 8" xfId="260"/>
    <cellStyle name="40% - Accent6 2" xfId="261"/>
    <cellStyle name="40% - Accent6 2 10" xfId="262"/>
    <cellStyle name="40% - Accent6 2 11" xfId="263"/>
    <cellStyle name="40% - Accent6 2 12" xfId="264"/>
    <cellStyle name="40% - Accent6 2 13" xfId="265"/>
    <cellStyle name="40% - Accent6 2 14" xfId="266"/>
    <cellStyle name="40% - Accent6 2 15" xfId="267"/>
    <cellStyle name="40% - Accent6 2 2" xfId="268"/>
    <cellStyle name="40% - Accent6 2 3" xfId="269"/>
    <cellStyle name="40% - Accent6 2 4" xfId="270"/>
    <cellStyle name="40% - Accent6 2 5" xfId="271"/>
    <cellStyle name="40% - Accent6 2 6" xfId="272"/>
    <cellStyle name="40% - Accent6 2 7" xfId="273"/>
    <cellStyle name="40% - Accent6 2 8" xfId="274"/>
    <cellStyle name="40% - Accent6 2 9" xfId="275"/>
    <cellStyle name="40% - Accent6 3" xfId="276"/>
    <cellStyle name="40% - Accent6 3 2" xfId="277"/>
    <cellStyle name="40% - Accent6 4" xfId="278"/>
    <cellStyle name="40% - Accent6 5" xfId="279"/>
    <cellStyle name="40% - Accent6 6" xfId="280"/>
    <cellStyle name="40% - Accent6 7" xfId="281"/>
    <cellStyle name="40% - Accent6 8" xfId="282"/>
    <cellStyle name="5x indented GHG Textfiels" xfId="283"/>
    <cellStyle name="5x indented GHG Textfiels 2" xfId="284"/>
    <cellStyle name="5x indented GHG Textfiels 2 2" xfId="285"/>
    <cellStyle name="5x indented GHG Textfiels 3" xfId="286"/>
    <cellStyle name="60% - Accent1 2" xfId="287"/>
    <cellStyle name="60% - Accent1 2 10" xfId="288"/>
    <cellStyle name="60% - Accent1 2 2" xfId="289"/>
    <cellStyle name="60% - Accent1 2 3" xfId="290"/>
    <cellStyle name="60% - Accent1 2 4" xfId="291"/>
    <cellStyle name="60% - Accent1 2 5" xfId="292"/>
    <cellStyle name="60% - Accent1 2 6" xfId="293"/>
    <cellStyle name="60% - Accent1 2 7" xfId="294"/>
    <cellStyle name="60% - Accent1 2 8" xfId="295"/>
    <cellStyle name="60% - Accent1 2 9" xfId="296"/>
    <cellStyle name="60% - Accent1 3" xfId="297"/>
    <cellStyle name="60% - Accent1 3 2" xfId="298"/>
    <cellStyle name="60% - Accent2 2" xfId="299"/>
    <cellStyle name="60% - Accent2 2 10" xfId="300"/>
    <cellStyle name="60% - Accent2 2 2" xfId="301"/>
    <cellStyle name="60% - Accent2 2 3" xfId="302"/>
    <cellStyle name="60% - Accent2 2 4" xfId="303"/>
    <cellStyle name="60% - Accent2 2 5" xfId="304"/>
    <cellStyle name="60% - Accent2 2 6" xfId="305"/>
    <cellStyle name="60% - Accent2 2 7" xfId="306"/>
    <cellStyle name="60% - Accent2 2 8" xfId="307"/>
    <cellStyle name="60% - Accent2 2 9" xfId="308"/>
    <cellStyle name="60% - Accent2 3" xfId="309"/>
    <cellStyle name="60% - Accent2 3 2" xfId="310"/>
    <cellStyle name="60% - Accent3 2" xfId="311"/>
    <cellStyle name="60% - Accent3 2 10" xfId="312"/>
    <cellStyle name="60% - Accent3 2 2" xfId="313"/>
    <cellStyle name="60% - Accent3 2 3" xfId="314"/>
    <cellStyle name="60% - Accent3 2 4" xfId="315"/>
    <cellStyle name="60% - Accent3 2 5" xfId="316"/>
    <cellStyle name="60% - Accent3 2 6" xfId="317"/>
    <cellStyle name="60% - Accent3 2 7" xfId="318"/>
    <cellStyle name="60% - Accent3 2 8" xfId="319"/>
    <cellStyle name="60% - Accent3 2 9" xfId="320"/>
    <cellStyle name="60% - Accent3 3" xfId="321"/>
    <cellStyle name="60% - Accent3 3 2" xfId="322"/>
    <cellStyle name="60% - Accent4 2" xfId="323"/>
    <cellStyle name="60% - Accent4 2 10" xfId="324"/>
    <cellStyle name="60% - Accent4 2 2" xfId="325"/>
    <cellStyle name="60% - Accent4 2 3" xfId="326"/>
    <cellStyle name="60% - Accent4 2 4" xfId="327"/>
    <cellStyle name="60% - Accent4 2 5" xfId="328"/>
    <cellStyle name="60% - Accent4 2 6" xfId="329"/>
    <cellStyle name="60% - Accent4 2 7" xfId="330"/>
    <cellStyle name="60% - Accent4 2 8" xfId="331"/>
    <cellStyle name="60% - Accent4 2 9" xfId="332"/>
    <cellStyle name="60% - Accent4 3" xfId="333"/>
    <cellStyle name="60% - Accent4 3 2" xfId="334"/>
    <cellStyle name="60% - Accent5 2" xfId="335"/>
    <cellStyle name="60% - Accent5 2 10" xfId="336"/>
    <cellStyle name="60% - Accent5 2 2" xfId="337"/>
    <cellStyle name="60% - Accent5 2 3" xfId="338"/>
    <cellStyle name="60% - Accent5 2 4" xfId="339"/>
    <cellStyle name="60% - Accent5 2 5" xfId="340"/>
    <cellStyle name="60% - Accent5 2 6" xfId="341"/>
    <cellStyle name="60% - Accent5 2 7" xfId="342"/>
    <cellStyle name="60% - Accent5 2 8" xfId="343"/>
    <cellStyle name="60% - Accent5 2 9" xfId="344"/>
    <cellStyle name="60% - Accent5 3" xfId="345"/>
    <cellStyle name="60% - Accent5 3 2" xfId="346"/>
    <cellStyle name="60% - Accent6 2" xfId="347"/>
    <cellStyle name="60% - Accent6 2 10" xfId="348"/>
    <cellStyle name="60% - Accent6 2 2" xfId="349"/>
    <cellStyle name="60% - Accent6 2 3" xfId="350"/>
    <cellStyle name="60% - Accent6 2 4" xfId="351"/>
    <cellStyle name="60% - Accent6 2 5" xfId="352"/>
    <cellStyle name="60% - Accent6 2 6" xfId="353"/>
    <cellStyle name="60% - Accent6 2 7" xfId="354"/>
    <cellStyle name="60% - Accent6 2 8" xfId="355"/>
    <cellStyle name="60% - Accent6 2 9" xfId="356"/>
    <cellStyle name="60% - Accent6 3" xfId="357"/>
    <cellStyle name="60% - Accent6 3 2" xfId="358"/>
    <cellStyle name="Accent1 2" xfId="359"/>
    <cellStyle name="Accent1 2 10" xfId="360"/>
    <cellStyle name="Accent1 2 2" xfId="361"/>
    <cellStyle name="Accent1 2 3" xfId="362"/>
    <cellStyle name="Accent1 2 4" xfId="363"/>
    <cellStyle name="Accent1 2 5" xfId="364"/>
    <cellStyle name="Accent1 2 6" xfId="365"/>
    <cellStyle name="Accent1 2 7" xfId="366"/>
    <cellStyle name="Accent1 2 8" xfId="367"/>
    <cellStyle name="Accent1 2 9" xfId="368"/>
    <cellStyle name="Accent1 3" xfId="369"/>
    <cellStyle name="Accent1 3 2" xfId="370"/>
    <cellStyle name="Accent2 2" xfId="371"/>
    <cellStyle name="Accent2 2 10" xfId="372"/>
    <cellStyle name="Accent2 2 2" xfId="373"/>
    <cellStyle name="Accent2 2 3" xfId="374"/>
    <cellStyle name="Accent2 2 4" xfId="375"/>
    <cellStyle name="Accent2 2 5" xfId="376"/>
    <cellStyle name="Accent2 2 6" xfId="377"/>
    <cellStyle name="Accent2 2 7" xfId="378"/>
    <cellStyle name="Accent2 2 8" xfId="379"/>
    <cellStyle name="Accent2 2 9" xfId="380"/>
    <cellStyle name="Accent2 3" xfId="381"/>
    <cellStyle name="Accent2 3 2" xfId="382"/>
    <cellStyle name="Accent3 2" xfId="383"/>
    <cellStyle name="Accent3 2 10" xfId="384"/>
    <cellStyle name="Accent3 2 2" xfId="385"/>
    <cellStyle name="Accent3 2 3" xfId="386"/>
    <cellStyle name="Accent3 2 4" xfId="387"/>
    <cellStyle name="Accent3 2 5" xfId="388"/>
    <cellStyle name="Accent3 2 6" xfId="389"/>
    <cellStyle name="Accent3 2 7" xfId="390"/>
    <cellStyle name="Accent3 2 8" xfId="391"/>
    <cellStyle name="Accent3 2 9" xfId="392"/>
    <cellStyle name="Accent3 3" xfId="393"/>
    <cellStyle name="Accent3 3 2" xfId="394"/>
    <cellStyle name="Accent4 2" xfId="395"/>
    <cellStyle name="Accent4 2 10" xfId="396"/>
    <cellStyle name="Accent4 2 2" xfId="397"/>
    <cellStyle name="Accent4 2 3" xfId="398"/>
    <cellStyle name="Accent4 2 4" xfId="399"/>
    <cellStyle name="Accent4 2 5" xfId="400"/>
    <cellStyle name="Accent4 2 6" xfId="401"/>
    <cellStyle name="Accent4 2 7" xfId="402"/>
    <cellStyle name="Accent4 2 8" xfId="403"/>
    <cellStyle name="Accent4 2 9" xfId="404"/>
    <cellStyle name="Accent4 3" xfId="405"/>
    <cellStyle name="Accent4 3 2" xfId="406"/>
    <cellStyle name="Accent5 2" xfId="407"/>
    <cellStyle name="Accent5 2 10" xfId="408"/>
    <cellStyle name="Accent5 2 2" xfId="409"/>
    <cellStyle name="Accent5 2 3" xfId="410"/>
    <cellStyle name="Accent5 2 4" xfId="411"/>
    <cellStyle name="Accent5 2 5" xfId="412"/>
    <cellStyle name="Accent5 2 6" xfId="413"/>
    <cellStyle name="Accent5 2 7" xfId="414"/>
    <cellStyle name="Accent5 2 8" xfId="415"/>
    <cellStyle name="Accent5 2 9" xfId="416"/>
    <cellStyle name="Accent5 3" xfId="417"/>
    <cellStyle name="Accent6 2" xfId="418"/>
    <cellStyle name="Accent6 2 10" xfId="419"/>
    <cellStyle name="Accent6 2 2" xfId="420"/>
    <cellStyle name="Accent6 2 3" xfId="421"/>
    <cellStyle name="Accent6 2 4" xfId="422"/>
    <cellStyle name="Accent6 2 5" xfId="423"/>
    <cellStyle name="Accent6 2 6" xfId="424"/>
    <cellStyle name="Accent6 2 7" xfId="425"/>
    <cellStyle name="Accent6 2 8" xfId="426"/>
    <cellStyle name="Accent6 2 9" xfId="427"/>
    <cellStyle name="Accent6 3" xfId="428"/>
    <cellStyle name="Accent6 3 2" xfId="429"/>
    <cellStyle name="AggOrange9_CRFReport-template" xfId="430"/>
    <cellStyle name="AggOrange_CRFReport-template" xfId="431"/>
    <cellStyle name="Bad 2" xfId="432"/>
    <cellStyle name="Bad 2 10" xfId="433"/>
    <cellStyle name="Bad 2 2" xfId="434"/>
    <cellStyle name="Bad 2 3" xfId="435"/>
    <cellStyle name="Bad 2 4" xfId="436"/>
    <cellStyle name="Bad 2 5" xfId="437"/>
    <cellStyle name="Bad 2 6" xfId="438"/>
    <cellStyle name="Bad 2 7" xfId="439"/>
    <cellStyle name="Bad 2 8" xfId="440"/>
    <cellStyle name="Bad 2 9" xfId="441"/>
    <cellStyle name="Bad 3" xfId="442"/>
    <cellStyle name="Bad 3 2" xfId="443"/>
    <cellStyle name="Bad 4" xfId="444"/>
    <cellStyle name="Calculation 2" xfId="445"/>
    <cellStyle name="Calculation 2 10" xfId="446"/>
    <cellStyle name="Calculation 2 2" xfId="447"/>
    <cellStyle name="Calculation 2 3" xfId="448"/>
    <cellStyle name="Calculation 2 4" xfId="449"/>
    <cellStyle name="Calculation 2 5" xfId="450"/>
    <cellStyle name="Calculation 2 6" xfId="451"/>
    <cellStyle name="Calculation 2 7" xfId="452"/>
    <cellStyle name="Calculation 2 8" xfId="453"/>
    <cellStyle name="Calculation 2 9" xfId="454"/>
    <cellStyle name="Calculation 3" xfId="455"/>
    <cellStyle name="Calculation 3 2" xfId="456"/>
    <cellStyle name="Check Cell 2" xfId="457"/>
    <cellStyle name="Check Cell 2 10" xfId="458"/>
    <cellStyle name="Check Cell 2 2" xfId="459"/>
    <cellStyle name="Check Cell 2 3" xfId="460"/>
    <cellStyle name="Check Cell 2 4" xfId="461"/>
    <cellStyle name="Check Cell 2 5" xfId="462"/>
    <cellStyle name="Check Cell 2 6" xfId="463"/>
    <cellStyle name="Check Cell 2 7" xfId="464"/>
    <cellStyle name="Check Cell 2 8" xfId="465"/>
    <cellStyle name="Check Cell 2 9" xfId="466"/>
    <cellStyle name="Check Cell 3" xfId="467"/>
    <cellStyle name="coin" xfId="468"/>
    <cellStyle name="coin 2" xfId="469"/>
    <cellStyle name="Comma 10 2" xfId="470"/>
    <cellStyle name="Comma 10 2 10" xfId="471"/>
    <cellStyle name="Comma 10 2 10 2" xfId="472"/>
    <cellStyle name="Comma 10 2 11" xfId="473"/>
    <cellStyle name="Comma 10 2 11 2" xfId="474"/>
    <cellStyle name="Comma 10 2 12" xfId="475"/>
    <cellStyle name="Comma 10 2 12 2" xfId="476"/>
    <cellStyle name="Comma 10 2 13" xfId="477"/>
    <cellStyle name="Comma 10 2 13 2" xfId="478"/>
    <cellStyle name="Comma 10 2 14" xfId="479"/>
    <cellStyle name="Comma 10 2 14 2" xfId="480"/>
    <cellStyle name="Comma 10 2 15" xfId="481"/>
    <cellStyle name="Comma 10 2 15 2" xfId="482"/>
    <cellStyle name="Comma 10 2 16" xfId="483"/>
    <cellStyle name="Comma 10 2 16 2" xfId="484"/>
    <cellStyle name="Comma 10 2 17" xfId="485"/>
    <cellStyle name="Comma 10 2 17 2" xfId="486"/>
    <cellStyle name="Comma 10 2 18" xfId="487"/>
    <cellStyle name="Comma 10 2 2" xfId="488"/>
    <cellStyle name="Comma 10 2 2 2" xfId="489"/>
    <cellStyle name="Comma 10 2 3" xfId="490"/>
    <cellStyle name="Comma 10 2 3 2" xfId="491"/>
    <cellStyle name="Comma 10 2 4" xfId="492"/>
    <cellStyle name="Comma 10 2 4 2" xfId="493"/>
    <cellStyle name="Comma 10 2 5" xfId="494"/>
    <cellStyle name="Comma 10 2 5 2" xfId="495"/>
    <cellStyle name="Comma 10 2 6" xfId="496"/>
    <cellStyle name="Comma 10 2 6 2" xfId="497"/>
    <cellStyle name="Comma 10 2 7" xfId="498"/>
    <cellStyle name="Comma 10 2 7 2" xfId="499"/>
    <cellStyle name="Comma 10 2 8" xfId="500"/>
    <cellStyle name="Comma 10 2 8 2" xfId="501"/>
    <cellStyle name="Comma 10 2 9" xfId="502"/>
    <cellStyle name="Comma 10 2 9 2" xfId="503"/>
    <cellStyle name="Comma 10 3" xfId="504"/>
    <cellStyle name="Comma 10 3 10" xfId="505"/>
    <cellStyle name="Comma 10 3 10 2" xfId="506"/>
    <cellStyle name="Comma 10 3 11" xfId="507"/>
    <cellStyle name="Comma 10 3 11 2" xfId="508"/>
    <cellStyle name="Comma 10 3 12" xfId="509"/>
    <cellStyle name="Comma 10 3 12 2" xfId="510"/>
    <cellStyle name="Comma 10 3 13" xfId="511"/>
    <cellStyle name="Comma 10 3 13 2" xfId="512"/>
    <cellStyle name="Comma 10 3 14" xfId="513"/>
    <cellStyle name="Comma 10 3 14 2" xfId="514"/>
    <cellStyle name="Comma 10 3 15" xfId="515"/>
    <cellStyle name="Comma 10 3 15 2" xfId="516"/>
    <cellStyle name="Comma 10 3 16" xfId="517"/>
    <cellStyle name="Comma 10 3 16 2" xfId="518"/>
    <cellStyle name="Comma 10 3 17" xfId="519"/>
    <cellStyle name="Comma 10 3 17 2" xfId="520"/>
    <cellStyle name="Comma 10 3 18" xfId="521"/>
    <cellStyle name="Comma 10 3 2" xfId="522"/>
    <cellStyle name="Comma 10 3 2 2" xfId="523"/>
    <cellStyle name="Comma 10 3 3" xfId="524"/>
    <cellStyle name="Comma 10 3 3 2" xfId="525"/>
    <cellStyle name="Comma 10 3 4" xfId="526"/>
    <cellStyle name="Comma 10 3 4 2" xfId="527"/>
    <cellStyle name="Comma 10 3 5" xfId="528"/>
    <cellStyle name="Comma 10 3 5 2" xfId="529"/>
    <cellStyle name="Comma 10 3 6" xfId="530"/>
    <cellStyle name="Comma 10 3 6 2" xfId="531"/>
    <cellStyle name="Comma 10 3 7" xfId="532"/>
    <cellStyle name="Comma 10 3 7 2" xfId="533"/>
    <cellStyle name="Comma 10 3 8" xfId="534"/>
    <cellStyle name="Comma 10 3 8 2" xfId="535"/>
    <cellStyle name="Comma 10 3 9" xfId="536"/>
    <cellStyle name="Comma 10 3 9 2" xfId="537"/>
    <cellStyle name="Comma 10 4" xfId="538"/>
    <cellStyle name="Comma 10 4 10" xfId="539"/>
    <cellStyle name="Comma 10 4 10 2" xfId="540"/>
    <cellStyle name="Comma 10 4 11" xfId="541"/>
    <cellStyle name="Comma 10 4 11 2" xfId="542"/>
    <cellStyle name="Comma 10 4 12" xfId="543"/>
    <cellStyle name="Comma 10 4 12 2" xfId="544"/>
    <cellStyle name="Comma 10 4 13" xfId="545"/>
    <cellStyle name="Comma 10 4 13 2" xfId="546"/>
    <cellStyle name="Comma 10 4 14" xfId="547"/>
    <cellStyle name="Comma 10 4 14 2" xfId="548"/>
    <cellStyle name="Comma 10 4 15" xfId="549"/>
    <cellStyle name="Comma 10 4 15 2" xfId="550"/>
    <cellStyle name="Comma 10 4 16" xfId="551"/>
    <cellStyle name="Comma 10 4 16 2" xfId="552"/>
    <cellStyle name="Comma 10 4 17" xfId="553"/>
    <cellStyle name="Comma 10 4 17 2" xfId="554"/>
    <cellStyle name="Comma 10 4 18" xfId="555"/>
    <cellStyle name="Comma 10 4 2" xfId="556"/>
    <cellStyle name="Comma 10 4 2 2" xfId="557"/>
    <cellStyle name="Comma 10 4 3" xfId="558"/>
    <cellStyle name="Comma 10 4 3 2" xfId="559"/>
    <cellStyle name="Comma 10 4 4" xfId="560"/>
    <cellStyle name="Comma 10 4 4 2" xfId="561"/>
    <cellStyle name="Comma 10 4 5" xfId="562"/>
    <cellStyle name="Comma 10 4 5 2" xfId="563"/>
    <cellStyle name="Comma 10 4 6" xfId="564"/>
    <cellStyle name="Comma 10 4 6 2" xfId="565"/>
    <cellStyle name="Comma 10 4 7" xfId="566"/>
    <cellStyle name="Comma 10 4 7 2" xfId="567"/>
    <cellStyle name="Comma 10 4 8" xfId="568"/>
    <cellStyle name="Comma 10 4 8 2" xfId="569"/>
    <cellStyle name="Comma 10 4 9" xfId="570"/>
    <cellStyle name="Comma 10 4 9 2" xfId="571"/>
    <cellStyle name="Comma 10 5" xfId="572"/>
    <cellStyle name="Comma 10 5 10" xfId="573"/>
    <cellStyle name="Comma 10 5 10 2" xfId="574"/>
    <cellStyle name="Comma 10 5 11" xfId="575"/>
    <cellStyle name="Comma 10 5 11 2" xfId="576"/>
    <cellStyle name="Comma 10 5 12" xfId="577"/>
    <cellStyle name="Comma 10 5 12 2" xfId="578"/>
    <cellStyle name="Comma 10 5 13" xfId="579"/>
    <cellStyle name="Comma 10 5 13 2" xfId="580"/>
    <cellStyle name="Comma 10 5 14" xfId="581"/>
    <cellStyle name="Comma 10 5 14 2" xfId="582"/>
    <cellStyle name="Comma 10 5 15" xfId="583"/>
    <cellStyle name="Comma 10 5 15 2" xfId="584"/>
    <cellStyle name="Comma 10 5 16" xfId="585"/>
    <cellStyle name="Comma 10 5 16 2" xfId="586"/>
    <cellStyle name="Comma 10 5 17" xfId="587"/>
    <cellStyle name="Comma 10 5 17 2" xfId="588"/>
    <cellStyle name="Comma 10 5 18" xfId="589"/>
    <cellStyle name="Comma 10 5 2" xfId="590"/>
    <cellStyle name="Comma 10 5 2 2" xfId="591"/>
    <cellStyle name="Comma 10 5 3" xfId="592"/>
    <cellStyle name="Comma 10 5 3 2" xfId="593"/>
    <cellStyle name="Comma 10 5 4" xfId="594"/>
    <cellStyle name="Comma 10 5 4 2" xfId="595"/>
    <cellStyle name="Comma 10 5 5" xfId="596"/>
    <cellStyle name="Comma 10 5 5 2" xfId="597"/>
    <cellStyle name="Comma 10 5 6" xfId="598"/>
    <cellStyle name="Comma 10 5 6 2" xfId="599"/>
    <cellStyle name="Comma 10 5 7" xfId="600"/>
    <cellStyle name="Comma 10 5 7 2" xfId="601"/>
    <cellStyle name="Comma 10 5 8" xfId="602"/>
    <cellStyle name="Comma 10 5 8 2" xfId="603"/>
    <cellStyle name="Comma 10 5 9" xfId="604"/>
    <cellStyle name="Comma 10 5 9 2" xfId="605"/>
    <cellStyle name="Comma 10 6" xfId="606"/>
    <cellStyle name="Comma 10 6 10" xfId="607"/>
    <cellStyle name="Comma 10 6 10 2" xfId="608"/>
    <cellStyle name="Comma 10 6 11" xfId="609"/>
    <cellStyle name="Comma 10 6 11 2" xfId="610"/>
    <cellStyle name="Comma 10 6 12" xfId="611"/>
    <cellStyle name="Comma 10 6 12 2" xfId="612"/>
    <cellStyle name="Comma 10 6 13" xfId="613"/>
    <cellStyle name="Comma 10 6 13 2" xfId="614"/>
    <cellStyle name="Comma 10 6 14" xfId="615"/>
    <cellStyle name="Comma 10 6 14 2" xfId="616"/>
    <cellStyle name="Comma 10 6 15" xfId="617"/>
    <cellStyle name="Comma 10 6 15 2" xfId="618"/>
    <cellStyle name="Comma 10 6 16" xfId="619"/>
    <cellStyle name="Comma 10 6 16 2" xfId="620"/>
    <cellStyle name="Comma 10 6 17" xfId="621"/>
    <cellStyle name="Comma 10 6 17 2" xfId="622"/>
    <cellStyle name="Comma 10 6 18" xfId="623"/>
    <cellStyle name="Comma 10 6 2" xfId="624"/>
    <cellStyle name="Comma 10 6 2 2" xfId="625"/>
    <cellStyle name="Comma 10 6 3" xfId="626"/>
    <cellStyle name="Comma 10 6 3 2" xfId="627"/>
    <cellStyle name="Comma 10 6 4" xfId="628"/>
    <cellStyle name="Comma 10 6 4 2" xfId="629"/>
    <cellStyle name="Comma 10 6 5" xfId="630"/>
    <cellStyle name="Comma 10 6 5 2" xfId="631"/>
    <cellStyle name="Comma 10 6 6" xfId="632"/>
    <cellStyle name="Comma 10 6 6 2" xfId="633"/>
    <cellStyle name="Comma 10 6 7" xfId="634"/>
    <cellStyle name="Comma 10 6 7 2" xfId="635"/>
    <cellStyle name="Comma 10 6 8" xfId="636"/>
    <cellStyle name="Comma 10 6 8 2" xfId="637"/>
    <cellStyle name="Comma 10 6 9" xfId="638"/>
    <cellStyle name="Comma 10 6 9 2" xfId="639"/>
    <cellStyle name="Comma 10 7" xfId="640"/>
    <cellStyle name="Comma 10 7 10" xfId="641"/>
    <cellStyle name="Comma 10 7 10 2" xfId="642"/>
    <cellStyle name="Comma 10 7 11" xfId="643"/>
    <cellStyle name="Comma 10 7 11 2" xfId="644"/>
    <cellStyle name="Comma 10 7 12" xfId="645"/>
    <cellStyle name="Comma 10 7 12 2" xfId="646"/>
    <cellStyle name="Comma 10 7 13" xfId="647"/>
    <cellStyle name="Comma 10 7 13 2" xfId="648"/>
    <cellStyle name="Comma 10 7 14" xfId="649"/>
    <cellStyle name="Comma 10 7 14 2" xfId="650"/>
    <cellStyle name="Comma 10 7 15" xfId="651"/>
    <cellStyle name="Comma 10 7 15 2" xfId="652"/>
    <cellStyle name="Comma 10 7 16" xfId="653"/>
    <cellStyle name="Comma 10 7 16 2" xfId="654"/>
    <cellStyle name="Comma 10 7 17" xfId="655"/>
    <cellStyle name="Comma 10 7 17 2" xfId="656"/>
    <cellStyle name="Comma 10 7 18" xfId="657"/>
    <cellStyle name="Comma 10 7 2" xfId="658"/>
    <cellStyle name="Comma 10 7 2 2" xfId="659"/>
    <cellStyle name="Comma 10 7 3" xfId="660"/>
    <cellStyle name="Comma 10 7 3 2" xfId="661"/>
    <cellStyle name="Comma 10 7 4" xfId="662"/>
    <cellStyle name="Comma 10 7 4 2" xfId="663"/>
    <cellStyle name="Comma 10 7 5" xfId="664"/>
    <cellStyle name="Comma 10 7 5 2" xfId="665"/>
    <cellStyle name="Comma 10 7 6" xfId="666"/>
    <cellStyle name="Comma 10 7 6 2" xfId="667"/>
    <cellStyle name="Comma 10 7 7" xfId="668"/>
    <cellStyle name="Comma 10 7 7 2" xfId="669"/>
    <cellStyle name="Comma 10 7 8" xfId="670"/>
    <cellStyle name="Comma 10 7 8 2" xfId="671"/>
    <cellStyle name="Comma 10 7 9" xfId="672"/>
    <cellStyle name="Comma 10 7 9 2" xfId="673"/>
    <cellStyle name="Comma 10 8" xfId="674"/>
    <cellStyle name="Comma 10 8 10" xfId="675"/>
    <cellStyle name="Comma 10 8 10 2" xfId="676"/>
    <cellStyle name="Comma 10 8 11" xfId="677"/>
    <cellStyle name="Comma 10 8 11 2" xfId="678"/>
    <cellStyle name="Comma 10 8 12" xfId="679"/>
    <cellStyle name="Comma 10 8 12 2" xfId="680"/>
    <cellStyle name="Comma 10 8 13" xfId="681"/>
    <cellStyle name="Comma 10 8 13 2" xfId="682"/>
    <cellStyle name="Comma 10 8 14" xfId="683"/>
    <cellStyle name="Comma 10 8 14 2" xfId="684"/>
    <cellStyle name="Comma 10 8 15" xfId="685"/>
    <cellStyle name="Comma 10 8 15 2" xfId="686"/>
    <cellStyle name="Comma 10 8 16" xfId="687"/>
    <cellStyle name="Comma 10 8 16 2" xfId="688"/>
    <cellStyle name="Comma 10 8 17" xfId="689"/>
    <cellStyle name="Comma 10 8 17 2" xfId="690"/>
    <cellStyle name="Comma 10 8 18" xfId="691"/>
    <cellStyle name="Comma 10 8 2" xfId="692"/>
    <cellStyle name="Comma 10 8 2 2" xfId="693"/>
    <cellStyle name="Comma 10 8 3" xfId="694"/>
    <cellStyle name="Comma 10 8 3 2" xfId="695"/>
    <cellStyle name="Comma 10 8 4" xfId="696"/>
    <cellStyle name="Comma 10 8 4 2" xfId="697"/>
    <cellStyle name="Comma 10 8 5" xfId="698"/>
    <cellStyle name="Comma 10 8 5 2" xfId="699"/>
    <cellStyle name="Comma 10 8 6" xfId="700"/>
    <cellStyle name="Comma 10 8 6 2" xfId="701"/>
    <cellStyle name="Comma 10 8 7" xfId="702"/>
    <cellStyle name="Comma 10 8 7 2" xfId="703"/>
    <cellStyle name="Comma 10 8 8" xfId="704"/>
    <cellStyle name="Comma 10 8 8 2" xfId="705"/>
    <cellStyle name="Comma 10 8 9" xfId="706"/>
    <cellStyle name="Comma 10 8 9 2" xfId="707"/>
    <cellStyle name="Comma 2" xfId="708"/>
    <cellStyle name="Comma 2 10" xfId="709"/>
    <cellStyle name="Comma 2 10 2" xfId="710"/>
    <cellStyle name="Comma 2 11" xfId="711"/>
    <cellStyle name="Comma 2 11 2" xfId="712"/>
    <cellStyle name="Comma 2 12" xfId="713"/>
    <cellStyle name="Comma 2 12 2" xfId="714"/>
    <cellStyle name="Comma 2 13" xfId="715"/>
    <cellStyle name="Comma 2 13 2" xfId="716"/>
    <cellStyle name="Comma 2 14" xfId="717"/>
    <cellStyle name="Comma 2 14 2" xfId="718"/>
    <cellStyle name="Comma 2 15" xfId="719"/>
    <cellStyle name="Comma 2 15 2" xfId="720"/>
    <cellStyle name="Comma 2 16" xfId="721"/>
    <cellStyle name="Comma 2 16 2" xfId="722"/>
    <cellStyle name="Comma 2 17" xfId="723"/>
    <cellStyle name="Comma 2 17 2" xfId="724"/>
    <cellStyle name="Comma 2 17 3" xfId="725"/>
    <cellStyle name="Comma 2 18" xfId="726"/>
    <cellStyle name="Comma 2 2" xfId="727"/>
    <cellStyle name="Comma 2 2 2" xfId="728"/>
    <cellStyle name="Comma 2 2 3" xfId="729"/>
    <cellStyle name="Comma 2 3" xfId="730"/>
    <cellStyle name="Comma 2 3 2" xfId="731"/>
    <cellStyle name="Comma 2 4" xfId="732"/>
    <cellStyle name="Comma 2 4 2" xfId="733"/>
    <cellStyle name="Comma 2 5" xfId="734"/>
    <cellStyle name="Comma 2 5 2" xfId="735"/>
    <cellStyle name="Comma 2 6" xfId="736"/>
    <cellStyle name="Comma 2 6 2" xfId="737"/>
    <cellStyle name="Comma 2 7" xfId="738"/>
    <cellStyle name="Comma 2 7 2" xfId="739"/>
    <cellStyle name="Comma 2 8" xfId="740"/>
    <cellStyle name="Comma 2 8 2" xfId="741"/>
    <cellStyle name="Comma 2 9" xfId="742"/>
    <cellStyle name="Comma 2 9 2" xfId="743"/>
    <cellStyle name="Comma 3" xfId="744"/>
    <cellStyle name="Comma 3 2" xfId="745"/>
    <cellStyle name="Comma 3 2 2" xfId="746"/>
    <cellStyle name="Comma 3 3" xfId="747"/>
    <cellStyle name="Comma 3 3 2" xfId="748"/>
    <cellStyle name="Comma 3 4" xfId="749"/>
    <cellStyle name="Comma 3 4 2" xfId="750"/>
    <cellStyle name="Comma 3 5" xfId="751"/>
    <cellStyle name="Comma 3 5 2" xfId="752"/>
    <cellStyle name="Comma 3 6" xfId="753"/>
    <cellStyle name="Comma 3 6 2" xfId="754"/>
    <cellStyle name="Comma 3 7" xfId="755"/>
    <cellStyle name="Comma 3 7 2" xfId="756"/>
    <cellStyle name="Comma 3 8" xfId="757"/>
    <cellStyle name="Comma 3 8 2" xfId="758"/>
    <cellStyle name="Comma 3 9" xfId="759"/>
    <cellStyle name="Comma 4" xfId="760"/>
    <cellStyle name="Comma 4 2" xfId="761"/>
    <cellStyle name="Comma 4 2 2" xfId="762"/>
    <cellStyle name="Comma 4 3" xfId="763"/>
    <cellStyle name="Comma 4 3 2" xfId="764"/>
    <cellStyle name="Comma 4 4" xfId="765"/>
    <cellStyle name="Comma 4 4 2" xfId="766"/>
    <cellStyle name="Comma 4 5" xfId="767"/>
    <cellStyle name="Comma 4 5 2" xfId="768"/>
    <cellStyle name="Comma 4 6" xfId="769"/>
    <cellStyle name="Comma 4 6 2" xfId="770"/>
    <cellStyle name="Comma 4 7" xfId="771"/>
    <cellStyle name="Comma 4 7 2" xfId="772"/>
    <cellStyle name="Comma 4 8" xfId="773"/>
    <cellStyle name="Comma 4 8 2" xfId="774"/>
    <cellStyle name="Comma 4 9" xfId="775"/>
    <cellStyle name="Comma 5" xfId="776"/>
    <cellStyle name="Comma 5 2" xfId="777"/>
    <cellStyle name="Comma 5 2 2" xfId="778"/>
    <cellStyle name="Comma 5 3" xfId="779"/>
    <cellStyle name="Comma 5 3 2" xfId="780"/>
    <cellStyle name="Comma 5 4" xfId="781"/>
    <cellStyle name="Comma 5 4 2" xfId="782"/>
    <cellStyle name="Comma 5 5" xfId="783"/>
    <cellStyle name="Comma 5 5 2" xfId="784"/>
    <cellStyle name="Comma 5 6" xfId="785"/>
    <cellStyle name="Comma 5 6 2" xfId="786"/>
    <cellStyle name="Comma 5 7" xfId="787"/>
    <cellStyle name="Comma 5 7 2" xfId="788"/>
    <cellStyle name="Comma 5 8" xfId="789"/>
    <cellStyle name="Comma 5 8 2" xfId="790"/>
    <cellStyle name="Comma 5 9" xfId="791"/>
    <cellStyle name="Comma 6" xfId="792"/>
    <cellStyle name="Comma 6 2" xfId="793"/>
    <cellStyle name="Comma 6 2 2" xfId="794"/>
    <cellStyle name="Comma 6 3" xfId="795"/>
    <cellStyle name="Comma 6 3 2" xfId="796"/>
    <cellStyle name="Comma 6 4" xfId="797"/>
    <cellStyle name="Comma 6 4 2" xfId="798"/>
    <cellStyle name="Comma 6 5" xfId="799"/>
    <cellStyle name="Comma 6 5 2" xfId="800"/>
    <cellStyle name="Comma 6 6" xfId="801"/>
    <cellStyle name="Comma 6 6 2" xfId="802"/>
    <cellStyle name="Comma 6 7" xfId="803"/>
    <cellStyle name="Comma 6 7 2" xfId="804"/>
    <cellStyle name="Comma 6 8" xfId="805"/>
    <cellStyle name="Comma 6 8 2" xfId="806"/>
    <cellStyle name="Comma 6 9" xfId="807"/>
    <cellStyle name="Comma 7" xfId="808"/>
    <cellStyle name="Comma 7 10" xfId="809"/>
    <cellStyle name="Comma 7 10 2" xfId="810"/>
    <cellStyle name="Comma 7 11" xfId="811"/>
    <cellStyle name="Comma 7 11 2" xfId="812"/>
    <cellStyle name="Comma 7 11 2 2" xfId="813"/>
    <cellStyle name="Comma 7 11 2 3" xfId="814"/>
    <cellStyle name="Comma 7 12" xfId="815"/>
    <cellStyle name="Comma 7 12 2" xfId="816"/>
    <cellStyle name="Comma 7 13" xfId="817"/>
    <cellStyle name="Comma 7 13 2" xfId="818"/>
    <cellStyle name="Comma 7 14" xfId="819"/>
    <cellStyle name="Comma 7 14 2" xfId="820"/>
    <cellStyle name="Comma 7 15" xfId="821"/>
    <cellStyle name="Comma 7 15 2" xfId="822"/>
    <cellStyle name="Comma 7 16" xfId="823"/>
    <cellStyle name="Comma 7 16 2" xfId="824"/>
    <cellStyle name="Comma 7 16 2 2" xfId="825"/>
    <cellStyle name="Comma 7 16 2 3" xfId="826"/>
    <cellStyle name="Comma 7 17" xfId="827"/>
    <cellStyle name="Comma 7 17 2" xfId="828"/>
    <cellStyle name="Comma 7 17 2 2" xfId="829"/>
    <cellStyle name="Comma 7 17 2 3" xfId="830"/>
    <cellStyle name="Comma 7 18" xfId="831"/>
    <cellStyle name="Comma 7 18 2" xfId="832"/>
    <cellStyle name="Comma 7 18 2 2" xfId="833"/>
    <cellStyle name="Comma 7 18 2 3" xfId="834"/>
    <cellStyle name="Comma 7 19" xfId="835"/>
    <cellStyle name="Comma 7 19 2" xfId="836"/>
    <cellStyle name="Comma 7 19 2 2" xfId="837"/>
    <cellStyle name="Comma 7 19 2 3" xfId="838"/>
    <cellStyle name="Comma 7 2" xfId="839"/>
    <cellStyle name="Comma 7 2 2" xfId="840"/>
    <cellStyle name="Comma 7 20" xfId="841"/>
    <cellStyle name="Comma 7 20 2" xfId="842"/>
    <cellStyle name="Comma 7 20 2 2" xfId="843"/>
    <cellStyle name="Comma 7 20 2 3" xfId="844"/>
    <cellStyle name="Comma 7 21" xfId="845"/>
    <cellStyle name="Comma 7 21 2" xfId="846"/>
    <cellStyle name="Comma 7 21 2 2" xfId="847"/>
    <cellStyle name="Comma 7 21 2 3" xfId="848"/>
    <cellStyle name="Comma 7 3" xfId="849"/>
    <cellStyle name="Comma 7 3 10" xfId="850"/>
    <cellStyle name="Comma 7 3 10 2" xfId="851"/>
    <cellStyle name="Comma 7 3 11" xfId="852"/>
    <cellStyle name="Comma 7 3 11 2" xfId="853"/>
    <cellStyle name="Comma 7 3 12" xfId="854"/>
    <cellStyle name="Comma 7 3 12 2" xfId="855"/>
    <cellStyle name="Comma 7 3 13" xfId="856"/>
    <cellStyle name="Comma 7 3 13 2" xfId="857"/>
    <cellStyle name="Comma 7 3 14" xfId="858"/>
    <cellStyle name="Comma 7 3 14 2" xfId="859"/>
    <cellStyle name="Comma 7 3 15" xfId="860"/>
    <cellStyle name="Comma 7 3 15 2" xfId="861"/>
    <cellStyle name="Comma 7 3 16" xfId="862"/>
    <cellStyle name="Comma 7 3 16 2" xfId="863"/>
    <cellStyle name="Comma 7 3 16 3" xfId="864"/>
    <cellStyle name="Comma 7 3 2" xfId="865"/>
    <cellStyle name="Comma 7 3 2 2" xfId="866"/>
    <cellStyle name="Comma 7 3 3" xfId="867"/>
    <cellStyle name="Comma 7 3 3 2" xfId="868"/>
    <cellStyle name="Comma 7 3 4" xfId="869"/>
    <cellStyle name="Comma 7 3 4 2" xfId="870"/>
    <cellStyle name="Comma 7 3 5" xfId="871"/>
    <cellStyle name="Comma 7 3 5 2" xfId="872"/>
    <cellStyle name="Comma 7 3 6" xfId="873"/>
    <cellStyle name="Comma 7 3 6 2" xfId="874"/>
    <cellStyle name="Comma 7 3 7" xfId="875"/>
    <cellStyle name="Comma 7 3 7 2" xfId="876"/>
    <cellStyle name="Comma 7 3 8" xfId="877"/>
    <cellStyle name="Comma 7 3 8 2" xfId="878"/>
    <cellStyle name="Comma 7 3 9" xfId="879"/>
    <cellStyle name="Comma 7 3 9 2" xfId="880"/>
    <cellStyle name="Comma 7 4" xfId="881"/>
    <cellStyle name="Comma 7 4 2" xfId="882"/>
    <cellStyle name="Comma 7 5" xfId="883"/>
    <cellStyle name="Comma 7 5 2" xfId="884"/>
    <cellStyle name="Comma 7 6" xfId="885"/>
    <cellStyle name="Comma 7 6 2" xfId="886"/>
    <cellStyle name="Comma 7 7" xfId="887"/>
    <cellStyle name="Comma 7 7 2" xfId="888"/>
    <cellStyle name="Comma 7 8" xfId="889"/>
    <cellStyle name="Comma 7 8 2" xfId="890"/>
    <cellStyle name="Comma 7 9" xfId="891"/>
    <cellStyle name="Comma 7 9 2" xfId="892"/>
    <cellStyle name="Comma 8" xfId="893"/>
    <cellStyle name="Comma 8 2" xfId="894"/>
    <cellStyle name="Comma 8 2 2" xfId="895"/>
    <cellStyle name="Comma 8 2 2 2" xfId="896"/>
    <cellStyle name="Comma 8 2 2 3" xfId="897"/>
    <cellStyle name="Comma 8 3" xfId="898"/>
    <cellStyle name="Comma 8 3 2" xfId="899"/>
    <cellStyle name="Comma 8 3 2 2" xfId="900"/>
    <cellStyle name="Comma 8 3 2 3" xfId="901"/>
    <cellStyle name="Comma 8 4" xfId="902"/>
    <cellStyle name="Comma 8 4 2" xfId="903"/>
    <cellStyle name="Comma 8 4 2 2" xfId="904"/>
    <cellStyle name="Comma 8 4 2 3" xfId="905"/>
    <cellStyle name="Comma 8 5" xfId="906"/>
    <cellStyle name="Comma 8 5 2" xfId="907"/>
    <cellStyle name="Comma 8 5 2 2" xfId="908"/>
    <cellStyle name="Comma 8 5 2 3" xfId="909"/>
    <cellStyle name="Comma 8 6" xfId="910"/>
    <cellStyle name="Comma 8 6 2" xfId="911"/>
    <cellStyle name="Comma 8 6 2 2" xfId="912"/>
    <cellStyle name="Comma 8 6 2 3" xfId="913"/>
    <cellStyle name="Comma 8 7" xfId="914"/>
    <cellStyle name="Comma 8 7 2" xfId="915"/>
    <cellStyle name="Comma 8 7 2 2" xfId="916"/>
    <cellStyle name="Comma 8 7 2 3" xfId="917"/>
    <cellStyle name="Comma 8 8" xfId="918"/>
    <cellStyle name="Comma 8 8 2" xfId="919"/>
    <cellStyle name="Comma 8 8 2 2" xfId="920"/>
    <cellStyle name="Comma 8 8 2 3" xfId="921"/>
    <cellStyle name="Comma 9" xfId="922"/>
    <cellStyle name="Comma 9 2" xfId="923"/>
    <cellStyle name="Comma 9 2 2" xfId="924"/>
    <cellStyle name="Comma 9 3" xfId="925"/>
    <cellStyle name="Comma 9 4" xfId="926"/>
    <cellStyle name="Comma 9 5" xfId="927"/>
    <cellStyle name="Comma 9 6" xfId="928"/>
    <cellStyle name="Comma 9 7" xfId="929"/>
    <cellStyle name="Comma 9 8" xfId="930"/>
    <cellStyle name="Comma 9 9" xfId="931"/>
    <cellStyle name="Comma [0] 2 10" xfId="932"/>
    <cellStyle name="Comma [0] 2 10 2" xfId="933"/>
    <cellStyle name="Comma [0] 2 2" xfId="934"/>
    <cellStyle name="Comma [0] 2 2 2" xfId="935"/>
    <cellStyle name="Comma [0] 2 3" xfId="936"/>
    <cellStyle name="Comma [0] 2 3 2" xfId="937"/>
    <cellStyle name="Comma [0] 2 4" xfId="938"/>
    <cellStyle name="Comma [0] 2 4 2" xfId="939"/>
    <cellStyle name="Comma [0] 2 5" xfId="940"/>
    <cellStyle name="Comma [0] 2 5 2" xfId="941"/>
    <cellStyle name="Comma [0] 2 6" xfId="942"/>
    <cellStyle name="Comma [0] 2 6 2" xfId="943"/>
    <cellStyle name="Comma [0] 2 7" xfId="944"/>
    <cellStyle name="Comma [0] 2 7 2" xfId="945"/>
    <cellStyle name="Comma [0] 2 8" xfId="946"/>
    <cellStyle name="Comma [0] 2 8 2" xfId="947"/>
    <cellStyle name="Comma [0] 2 9" xfId="948"/>
    <cellStyle name="Comma [0] 2 9 2" xfId="949"/>
    <cellStyle name="Currency 2 2" xfId="950"/>
    <cellStyle name="Currency 2 2 2" xfId="951"/>
    <cellStyle name="CustomizationCells" xfId="952"/>
    <cellStyle name="Date" xfId="953"/>
    <cellStyle name="Date 2" xfId="954"/>
    <cellStyle name="donn_normal" xfId="955"/>
    <cellStyle name="ent_col_ser" xfId="956"/>
    <cellStyle name="entete_source" xfId="957"/>
    <cellStyle name="Euro" xfId="958"/>
    <cellStyle name="Euro 2" xfId="959"/>
    <cellStyle name="Euro 2 2" xfId="960"/>
    <cellStyle name="Euro 2 2 2" xfId="961"/>
    <cellStyle name="Euro 2 2 2 2" xfId="962"/>
    <cellStyle name="Euro 2 2 2 3" xfId="963"/>
    <cellStyle name="Euro 2 2 3" xfId="964"/>
    <cellStyle name="Euro 2 2 4" xfId="965"/>
    <cellStyle name="Euro 2 3" xfId="966"/>
    <cellStyle name="Euro 2 3 2" xfId="967"/>
    <cellStyle name="Euro 2 4" xfId="968"/>
    <cellStyle name="Euro 2 5" xfId="969"/>
    <cellStyle name="Euro 3" xfId="970"/>
    <cellStyle name="Euro 3 2" xfId="971"/>
    <cellStyle name="Euro 3 3" xfId="972"/>
    <cellStyle name="Euro 4" xfId="973"/>
    <cellStyle name="Euro 4 2" xfId="974"/>
    <cellStyle name="Euro 4 3" xfId="975"/>
    <cellStyle name="Euro 5" xfId="976"/>
    <cellStyle name="Explanatory Text 2" xfId="977"/>
    <cellStyle name="Explanatory Text 2 10" xfId="978"/>
    <cellStyle name="Explanatory Text 2 2" xfId="979"/>
    <cellStyle name="Explanatory Text 2 3" xfId="980"/>
    <cellStyle name="Explanatory Text 2 4" xfId="981"/>
    <cellStyle name="Explanatory Text 2 5" xfId="982"/>
    <cellStyle name="Explanatory Text 2 6" xfId="983"/>
    <cellStyle name="Explanatory Text 2 7" xfId="984"/>
    <cellStyle name="Explanatory Text 2 8" xfId="985"/>
    <cellStyle name="Explanatory Text 2 9" xfId="986"/>
    <cellStyle name="Explanatory Text 3" xfId="987"/>
    <cellStyle name="Fixed" xfId="988"/>
    <cellStyle name="Fixed 2" xfId="989"/>
    <cellStyle name="Float" xfId="990"/>
    <cellStyle name="Float 2" xfId="991"/>
    <cellStyle name="Good 2" xfId="992"/>
    <cellStyle name="Good 2 10" xfId="993"/>
    <cellStyle name="Good 2 2" xfId="994"/>
    <cellStyle name="Good 2 3" xfId="995"/>
    <cellStyle name="Good 2 4" xfId="996"/>
    <cellStyle name="Good 2 5" xfId="997"/>
    <cellStyle name="Good 2 6" xfId="998"/>
    <cellStyle name="Good 2 7" xfId="999"/>
    <cellStyle name="Good 2 8" xfId="1000"/>
    <cellStyle name="Good 2 9" xfId="1001"/>
    <cellStyle name="Good 3" xfId="1002"/>
    <cellStyle name="Good 3 2" xfId="1003"/>
    <cellStyle name="Good 4" xfId="1004"/>
    <cellStyle name="Heading 1 2" xfId="1005"/>
    <cellStyle name="Heading 1 2 10" xfId="1006"/>
    <cellStyle name="Heading 1 2 2" xfId="1007"/>
    <cellStyle name="Heading 1 2 3" xfId="1008"/>
    <cellStyle name="Heading 1 2 4" xfId="1009"/>
    <cellStyle name="Heading 1 2 5" xfId="1010"/>
    <cellStyle name="Heading 1 2 6" xfId="1011"/>
    <cellStyle name="Heading 1 2 7" xfId="1012"/>
    <cellStyle name="Heading 1 2 8" xfId="1013"/>
    <cellStyle name="Heading 1 2 9" xfId="1014"/>
    <cellStyle name="Heading 1 3" xfId="1015"/>
    <cellStyle name="Heading 1 3 2" xfId="1016"/>
    <cellStyle name="Heading 2 2" xfId="1017"/>
    <cellStyle name="Heading 2 2 10" xfId="1018"/>
    <cellStyle name="Heading 2 2 2" xfId="1019"/>
    <cellStyle name="Heading 2 2 3" xfId="1020"/>
    <cellStyle name="Heading 2 2 4" xfId="1021"/>
    <cellStyle name="Heading 2 2 5" xfId="1022"/>
    <cellStyle name="Heading 2 2 6" xfId="1023"/>
    <cellStyle name="Heading 2 2 7" xfId="1024"/>
    <cellStyle name="Heading 2 2 8" xfId="1025"/>
    <cellStyle name="Heading 2 2 9" xfId="1026"/>
    <cellStyle name="Heading 2 3" xfId="1027"/>
    <cellStyle name="Heading 2 3 2" xfId="1028"/>
    <cellStyle name="Heading 2 4" xfId="1029"/>
    <cellStyle name="Heading 3 2" xfId="1030"/>
    <cellStyle name="Heading 3 2 10" xfId="1031"/>
    <cellStyle name="Heading 3 2 2" xfId="1032"/>
    <cellStyle name="Heading 3 2 3" xfId="1033"/>
    <cellStyle name="Heading 3 2 4" xfId="1034"/>
    <cellStyle name="Heading 3 2 5" xfId="1035"/>
    <cellStyle name="Heading 3 2 6" xfId="1036"/>
    <cellStyle name="Heading 3 2 7" xfId="1037"/>
    <cellStyle name="Heading 3 2 8" xfId="1038"/>
    <cellStyle name="Heading 3 2 9" xfId="1039"/>
    <cellStyle name="Heading 3 3" xfId="1040"/>
    <cellStyle name="Heading 3 3 2" xfId="1041"/>
    <cellStyle name="Heading 4 2" xfId="1042"/>
    <cellStyle name="Heading 4 2 10" xfId="1043"/>
    <cellStyle name="Heading 4 2 2" xfId="1044"/>
    <cellStyle name="Heading 4 2 3" xfId="1045"/>
    <cellStyle name="Heading 4 2 4" xfId="1046"/>
    <cellStyle name="Heading 4 2 5" xfId="1047"/>
    <cellStyle name="Heading 4 2 6" xfId="1048"/>
    <cellStyle name="Heading 4 2 7" xfId="1049"/>
    <cellStyle name="Heading 4 2 8" xfId="1050"/>
    <cellStyle name="Heading 4 2 9" xfId="1051"/>
    <cellStyle name="Heading 4 3" xfId="1052"/>
    <cellStyle name="Heading 4 3 2" xfId="1053"/>
    <cellStyle name="Heading 1" xfId="1054"/>
    <cellStyle name="Heading1 2" xfId="1055"/>
    <cellStyle name="Heading2" xfId="1056"/>
    <cellStyle name="Heading2 2" xfId="1057"/>
    <cellStyle name="Hyperlink 2" xfId="1058"/>
    <cellStyle name="Input 2" xfId="1059"/>
    <cellStyle name="Input 2 10" xfId="1060"/>
    <cellStyle name="Input 2 2" xfId="1061"/>
    <cellStyle name="Input 2 3" xfId="1062"/>
    <cellStyle name="Input 2 4" xfId="1063"/>
    <cellStyle name="Input 2 5" xfId="1064"/>
    <cellStyle name="Input 2 6" xfId="1065"/>
    <cellStyle name="Input 2 7" xfId="1066"/>
    <cellStyle name="Input 2 8" xfId="1067"/>
    <cellStyle name="Input 2 9" xfId="1068"/>
    <cellStyle name="Input 3" xfId="1069"/>
    <cellStyle name="Input 3 2" xfId="1070"/>
    <cellStyle name="Input 4" xfId="1071"/>
    <cellStyle name="InputCells" xfId="1072"/>
    <cellStyle name="ligne_titre_0" xfId="1073"/>
    <cellStyle name="Linked Cell 2" xfId="1074"/>
    <cellStyle name="Linked Cell 2 10" xfId="1075"/>
    <cellStyle name="Linked Cell 2 2" xfId="1076"/>
    <cellStyle name="Linked Cell 2 3" xfId="1077"/>
    <cellStyle name="Linked Cell 2 4" xfId="1078"/>
    <cellStyle name="Linked Cell 2 5" xfId="1079"/>
    <cellStyle name="Linked Cell 2 6" xfId="1080"/>
    <cellStyle name="Linked Cell 2 7" xfId="1081"/>
    <cellStyle name="Linked Cell 2 8" xfId="1082"/>
    <cellStyle name="Linked Cell 2 9" xfId="1083"/>
    <cellStyle name="Linked Cell 3" xfId="1084"/>
    <cellStyle name="Linked Cell 3 2" xfId="1085"/>
    <cellStyle name="Migliaia_Oil&amp;Gas IFE ARC POLITO" xfId="1086"/>
    <cellStyle name="Neutral 2" xfId="1087"/>
    <cellStyle name="Neutral 2 10" xfId="1088"/>
    <cellStyle name="Neutral 2 2" xfId="1089"/>
    <cellStyle name="Neutral 2 3" xfId="1090"/>
    <cellStyle name="Neutral 2 4" xfId="1091"/>
    <cellStyle name="Neutral 2 5" xfId="1092"/>
    <cellStyle name="Neutral 2 6" xfId="1093"/>
    <cellStyle name="Neutral 2 7" xfId="1094"/>
    <cellStyle name="Neutral 2 8" xfId="1095"/>
    <cellStyle name="Neutral 2 9" xfId="1096"/>
    <cellStyle name="Neutral 3" xfId="1097"/>
    <cellStyle name="Neutral 3 2" xfId="1098"/>
    <cellStyle name="Neutral 3 3" xfId="1099"/>
    <cellStyle name="Neutral 4" xfId="1100"/>
    <cellStyle name="Normal 10" xfId="1101"/>
    <cellStyle name="Normal 10 2" xfId="1102"/>
    <cellStyle name="Normal 10 2 2" xfId="1103"/>
    <cellStyle name="Normal 10 3" xfId="1104"/>
    <cellStyle name="Normal 10 3 2" xfId="1105"/>
    <cellStyle name="Normal 10 4" xfId="1106"/>
    <cellStyle name="Normal 10 4 2" xfId="1107"/>
    <cellStyle name="Normal 10 5" xfId="1108"/>
    <cellStyle name="Normal 10 5 2" xfId="1109"/>
    <cellStyle name="Normal 10 6" xfId="1110"/>
    <cellStyle name="Normal 10 6 2" xfId="1111"/>
    <cellStyle name="Normal 10 7" xfId="1112"/>
    <cellStyle name="Normal 10 7 2" xfId="1113"/>
    <cellStyle name="Normal 10 8" xfId="1114"/>
    <cellStyle name="Normal 10 8 2" xfId="1115"/>
    <cellStyle name="Normal 10 9" xfId="1116"/>
    <cellStyle name="Normal 11" xfId="1117"/>
    <cellStyle name="Normal 11 10" xfId="1118"/>
    <cellStyle name="Normal 11 2" xfId="1119"/>
    <cellStyle name="Normal 11 2 2" xfId="1120"/>
    <cellStyle name="Normal 11 3" xfId="1121"/>
    <cellStyle name="Normal 11 3 2" xfId="1122"/>
    <cellStyle name="Normal 11 4" xfId="1123"/>
    <cellStyle name="Normal 11 4 2" xfId="1124"/>
    <cellStyle name="Normal 11 5" xfId="1125"/>
    <cellStyle name="Normal 11 5 2" xfId="1126"/>
    <cellStyle name="Normal 11 6" xfId="1127"/>
    <cellStyle name="Normal 11 6 2" xfId="1128"/>
    <cellStyle name="Normal 11 7" xfId="1129"/>
    <cellStyle name="Normal 11 7 2" xfId="1130"/>
    <cellStyle name="Normal 11 8" xfId="1131"/>
    <cellStyle name="Normal 11 8 2" xfId="1132"/>
    <cellStyle name="Normal 11 9" xfId="1133"/>
    <cellStyle name="Normal 12" xfId="1134"/>
    <cellStyle name="Normal 12 10" xfId="1135"/>
    <cellStyle name="Normal 12 2" xfId="1136"/>
    <cellStyle name="Normal 12 2 2" xfId="1137"/>
    <cellStyle name="Normal 12 3" xfId="1138"/>
    <cellStyle name="Normal 12 3 2" xfId="1139"/>
    <cellStyle name="Normal 12 4" xfId="1140"/>
    <cellStyle name="Normal 12 4 2" xfId="1141"/>
    <cellStyle name="Normal 12 5" xfId="1142"/>
    <cellStyle name="Normal 12 5 2" xfId="1143"/>
    <cellStyle name="Normal 12 6" xfId="1144"/>
    <cellStyle name="Normal 12 6 2" xfId="1145"/>
    <cellStyle name="Normal 12 7" xfId="1146"/>
    <cellStyle name="Normal 12 7 2" xfId="1147"/>
    <cellStyle name="Normal 12 8" xfId="1148"/>
    <cellStyle name="Normal 12 8 2" xfId="1149"/>
    <cellStyle name="Normal 12 9" xfId="1150"/>
    <cellStyle name="Normal 13" xfId="1151"/>
    <cellStyle name="Normal 13 10" xfId="1152"/>
    <cellStyle name="Normal 13 10 2" xfId="1153"/>
    <cellStyle name="Normal 13 10 2 2" xfId="1154"/>
    <cellStyle name="Normal 13 10 2 3" xfId="1155"/>
    <cellStyle name="Normal 13 10 3" xfId="1156"/>
    <cellStyle name="Normal 13 10 4" xfId="1157"/>
    <cellStyle name="Normal 13 11" xfId="1158"/>
    <cellStyle name="Normal 13 11 2" xfId="1159"/>
    <cellStyle name="Normal 13 11 2 2" xfId="1160"/>
    <cellStyle name="Normal 13 11 2 3" xfId="1161"/>
    <cellStyle name="Normal 13 11 3" xfId="1162"/>
    <cellStyle name="Normal 13 11 4" xfId="1163"/>
    <cellStyle name="Normal 13 12" xfId="1164"/>
    <cellStyle name="Normal 13 13" xfId="1165"/>
    <cellStyle name="Normal 13 13 2" xfId="1166"/>
    <cellStyle name="Normal 13 13 2 2" xfId="1167"/>
    <cellStyle name="Normal 13 13 2 3" xfId="1168"/>
    <cellStyle name="Normal 13 13 3" xfId="1169"/>
    <cellStyle name="Normal 13 13 4" xfId="1170"/>
    <cellStyle name="Normal 13 14" xfId="1171"/>
    <cellStyle name="Normal 13 14 2" xfId="1172"/>
    <cellStyle name="Normal 13 14 2 2" xfId="1173"/>
    <cellStyle name="Normal 13 14 2 3" xfId="1174"/>
    <cellStyle name="Normal 13 14 3" xfId="1175"/>
    <cellStyle name="Normal 13 14 4" xfId="1176"/>
    <cellStyle name="Normal 13 15" xfId="1177"/>
    <cellStyle name="Normal 13 15 2" xfId="1178"/>
    <cellStyle name="Normal 13 15 2 2" xfId="1179"/>
    <cellStyle name="Normal 13 15 2 3" xfId="1180"/>
    <cellStyle name="Normal 13 15 3" xfId="1181"/>
    <cellStyle name="Normal 13 15 4" xfId="1182"/>
    <cellStyle name="Normal 13 16" xfId="1183"/>
    <cellStyle name="Normal 13 16 2" xfId="1184"/>
    <cellStyle name="Normal 13 16 2 2" xfId="1185"/>
    <cellStyle name="Normal 13 16 2 3" xfId="1186"/>
    <cellStyle name="Normal 13 16 3" xfId="1187"/>
    <cellStyle name="Normal 13 16 4" xfId="1188"/>
    <cellStyle name="Normal 13 17" xfId="1189"/>
    <cellStyle name="Normal 13 18" xfId="1190"/>
    <cellStyle name="Normal 13 19" xfId="1191"/>
    <cellStyle name="Normal 13 2" xfId="1192"/>
    <cellStyle name="Normal 13 2 2" xfId="1193"/>
    <cellStyle name="Normal 13 2 2 2" xfId="1194"/>
    <cellStyle name="Normal 13 2 2 2 2" xfId="1195"/>
    <cellStyle name="Normal 13 2 2 2 3" xfId="1196"/>
    <cellStyle name="Normal 13 2 2 3" xfId="1197"/>
    <cellStyle name="Normal 13 2 2 4" xfId="1198"/>
    <cellStyle name="Normal 13 2 3" xfId="1199"/>
    <cellStyle name="Normal 13 2 3 2" xfId="1200"/>
    <cellStyle name="Normal 13 2 3 2 2" xfId="1201"/>
    <cellStyle name="Normal 13 2 3 2 3" xfId="1202"/>
    <cellStyle name="Normal 13 2 3 3" xfId="1203"/>
    <cellStyle name="Normal 13 2 3 4" xfId="1204"/>
    <cellStyle name="Normal 13 2 4" xfId="1205"/>
    <cellStyle name="Normal 13 2 4 2" xfId="1206"/>
    <cellStyle name="Normal 13 2 4 2 2" xfId="1207"/>
    <cellStyle name="Normal 13 2 4 2 3" xfId="1208"/>
    <cellStyle name="Normal 13 2 4 3" xfId="1209"/>
    <cellStyle name="Normal 13 2 4 4" xfId="1210"/>
    <cellStyle name="Normal 13 2 5" xfId="1211"/>
    <cellStyle name="Normal 13 2 5 2" xfId="1212"/>
    <cellStyle name="Normal 13 2 5 2 2" xfId="1213"/>
    <cellStyle name="Normal 13 2 5 2 3" xfId="1214"/>
    <cellStyle name="Normal 13 2 5 3" xfId="1215"/>
    <cellStyle name="Normal 13 2 5 4" xfId="1216"/>
    <cellStyle name="Normal 13 2 6" xfId="1217"/>
    <cellStyle name="Normal 13 2 6 2" xfId="1218"/>
    <cellStyle name="Normal 13 2 6 2 2" xfId="1219"/>
    <cellStyle name="Normal 13 2 6 2 3" xfId="1220"/>
    <cellStyle name="Normal 13 2 6 3" xfId="1221"/>
    <cellStyle name="Normal 13 2 6 4" xfId="1222"/>
    <cellStyle name="Normal 13 2 7" xfId="1223"/>
    <cellStyle name="Normal 13 2 7 2" xfId="1224"/>
    <cellStyle name="Normal 13 2 7 2 2" xfId="1225"/>
    <cellStyle name="Normal 13 2 7 2 3" xfId="1226"/>
    <cellStyle name="Normal 13 2 7 3" xfId="1227"/>
    <cellStyle name="Normal 13 2 7 4" xfId="1228"/>
    <cellStyle name="Normal 13 2 8" xfId="1229"/>
    <cellStyle name="Normal 13 2 8 2" xfId="1230"/>
    <cellStyle name="Normal 13 2 8 2 2" xfId="1231"/>
    <cellStyle name="Normal 13 2 8 2 3" xfId="1232"/>
    <cellStyle name="Normal 13 2 8 3" xfId="1233"/>
    <cellStyle name="Normal 13 2 8 4" xfId="1234"/>
    <cellStyle name="Normal 13 20" xfId="1235"/>
    <cellStyle name="Normal 13 21" xfId="1236"/>
    <cellStyle name="Normal 13 22" xfId="1237"/>
    <cellStyle name="Normal 13 23" xfId="1238"/>
    <cellStyle name="Normal 13 23 2" xfId="1239"/>
    <cellStyle name="Normal 13 24" xfId="1240"/>
    <cellStyle name="Normal 13 24 2" xfId="1241"/>
    <cellStyle name="Normal 13 25" xfId="1242"/>
    <cellStyle name="Normal 13 25 2" xfId="1243"/>
    <cellStyle name="Normal 13 26" xfId="1244"/>
    <cellStyle name="Normal 13 26 2" xfId="1245"/>
    <cellStyle name="Normal 13 27" xfId="1246"/>
    <cellStyle name="Normal 13 27 2" xfId="1247"/>
    <cellStyle name="Normal 13 28" xfId="1248"/>
    <cellStyle name="Normal 13 28 2" xfId="1249"/>
    <cellStyle name="Normal 13 29" xfId="1250"/>
    <cellStyle name="Normal 13 29 2" xfId="1251"/>
    <cellStyle name="Normal 13 3" xfId="1252"/>
    <cellStyle name="Normal 13 3 2" xfId="1253"/>
    <cellStyle name="Normal 13 3 2 2" xfId="1254"/>
    <cellStyle name="Normal 13 3 2 3" xfId="1255"/>
    <cellStyle name="Normal 13 3 3" xfId="1256"/>
    <cellStyle name="Normal 13 3 4" xfId="1257"/>
    <cellStyle name="Normal 13 30" xfId="1258"/>
    <cellStyle name="Normal 13 30 2" xfId="1259"/>
    <cellStyle name="Normal 13 31" xfId="1260"/>
    <cellStyle name="Normal 13 31 2" xfId="1261"/>
    <cellStyle name="Normal 13 32" xfId="1262"/>
    <cellStyle name="Normal 13 32 2" xfId="1263"/>
    <cellStyle name="Normal 13 33" xfId="1264"/>
    <cellStyle name="Normal 13 33 2" xfId="1265"/>
    <cellStyle name="Normal 13 34" xfId="1266"/>
    <cellStyle name="Normal 13 34 2" xfId="1267"/>
    <cellStyle name="Normal 13 35" xfId="1268"/>
    <cellStyle name="Normal 13 35 2" xfId="1269"/>
    <cellStyle name="Normal 13 36" xfId="1270"/>
    <cellStyle name="Normal 13 36 2" xfId="1271"/>
    <cellStyle name="Normal 13 37" xfId="1272"/>
    <cellStyle name="Normal 13 37 2" xfId="1273"/>
    <cellStyle name="Normal 13 38" xfId="1274"/>
    <cellStyle name="Normal 13 38 2" xfId="1275"/>
    <cellStyle name="Normal 13 39" xfId="1276"/>
    <cellStyle name="Normal 13 4" xfId="1277"/>
    <cellStyle name="Normal 13 4 2" xfId="1278"/>
    <cellStyle name="Normal 13 4 2 2" xfId="1279"/>
    <cellStyle name="Normal 13 4 2 3" xfId="1280"/>
    <cellStyle name="Normal 13 4 3" xfId="1281"/>
    <cellStyle name="Normal 13 4 4" xfId="1282"/>
    <cellStyle name="Normal 13 5" xfId="1283"/>
    <cellStyle name="Normal 13 6" xfId="1284"/>
    <cellStyle name="Normal 13 7" xfId="1285"/>
    <cellStyle name="Normal 13 8" xfId="1286"/>
    <cellStyle name="Normal 13 9" xfId="1287"/>
    <cellStyle name="Normal 13 9 2" xfId="1288"/>
    <cellStyle name="Normal 13 9 2 2" xfId="1289"/>
    <cellStyle name="Normal 13 9 2 3" xfId="1290"/>
    <cellStyle name="Normal 13 9 3" xfId="1291"/>
    <cellStyle name="Normal 13 9 4" xfId="1292"/>
    <cellStyle name="Normal 14" xfId="1293"/>
    <cellStyle name="Normal 14 10" xfId="1294"/>
    <cellStyle name="Normal 14 10 2" xfId="1295"/>
    <cellStyle name="Normal 14 10 2 2" xfId="1296"/>
    <cellStyle name="Normal 14 10 2 3" xfId="1297"/>
    <cellStyle name="Normal 14 10 3" xfId="1298"/>
    <cellStyle name="Normal 14 10 4" xfId="1299"/>
    <cellStyle name="Normal 14 11" xfId="1300"/>
    <cellStyle name="Normal 14 11 2" xfId="1301"/>
    <cellStyle name="Normal 14 11 2 2" xfId="1302"/>
    <cellStyle name="Normal 14 11 2 3" xfId="1303"/>
    <cellStyle name="Normal 14 11 3" xfId="1304"/>
    <cellStyle name="Normal 14 11 4" xfId="1305"/>
    <cellStyle name="Normal 14 12" xfId="1306"/>
    <cellStyle name="Normal 14 12 2" xfId="1307"/>
    <cellStyle name="Normal 14 12 2 2" xfId="1308"/>
    <cellStyle name="Normal 14 12 2 3" xfId="1309"/>
    <cellStyle name="Normal 14 12 3" xfId="1310"/>
    <cellStyle name="Normal 14 12 4" xfId="1311"/>
    <cellStyle name="Normal 14 13" xfId="1312"/>
    <cellStyle name="Normal 14 13 2" xfId="1313"/>
    <cellStyle name="Normal 14 13 2 2" xfId="1314"/>
    <cellStyle name="Normal 14 13 2 3" xfId="1315"/>
    <cellStyle name="Normal 14 13 3" xfId="1316"/>
    <cellStyle name="Normal 14 13 4" xfId="1317"/>
    <cellStyle name="Normal 14 14" xfId="1318"/>
    <cellStyle name="Normal 14 14 2" xfId="1319"/>
    <cellStyle name="Normal 14 14 2 2" xfId="1320"/>
    <cellStyle name="Normal 14 14 2 3" xfId="1321"/>
    <cellStyle name="Normal 14 14 3" xfId="1322"/>
    <cellStyle name="Normal 14 14 4" xfId="1323"/>
    <cellStyle name="Normal 14 15" xfId="1324"/>
    <cellStyle name="Normal 14 15 2" xfId="1325"/>
    <cellStyle name="Normal 14 15 2 2" xfId="1326"/>
    <cellStyle name="Normal 14 15 2 3" xfId="1327"/>
    <cellStyle name="Normal 14 15 3" xfId="1328"/>
    <cellStyle name="Normal 14 15 4" xfId="1329"/>
    <cellStyle name="Normal 14 2" xfId="1330"/>
    <cellStyle name="Normal 14 2 10" xfId="1331"/>
    <cellStyle name="Normal 14 2 2" xfId="1332"/>
    <cellStyle name="Normal 14 2 2 2" xfId="1333"/>
    <cellStyle name="Normal 14 2 3" xfId="1334"/>
    <cellStyle name="Normal 14 2 3 2" xfId="1335"/>
    <cellStyle name="Normal 14 2 4" xfId="1336"/>
    <cellStyle name="Normal 14 2 4 2" xfId="1337"/>
    <cellStyle name="Normal 14 2 5" xfId="1338"/>
    <cellStyle name="Normal 14 2 5 2" xfId="1339"/>
    <cellStyle name="Normal 14 2 6" xfId="1340"/>
    <cellStyle name="Normal 14 2 6 2" xfId="1341"/>
    <cellStyle name="Normal 14 2 7" xfId="1342"/>
    <cellStyle name="Normal 14 2 7 2" xfId="1343"/>
    <cellStyle name="Normal 14 2 8" xfId="1344"/>
    <cellStyle name="Normal 14 2 8 2" xfId="1345"/>
    <cellStyle name="Normal 14 2 8 3" xfId="1346"/>
    <cellStyle name="Normal 14 2 9" xfId="1347"/>
    <cellStyle name="Normal 14 3" xfId="1348"/>
    <cellStyle name="Normal 14 3 2" xfId="1349"/>
    <cellStyle name="Normal 14 4" xfId="1350"/>
    <cellStyle name="Normal 14 4 2" xfId="1351"/>
    <cellStyle name="Normal 14 4 2 2" xfId="1352"/>
    <cellStyle name="Normal 14 4 2 3" xfId="1353"/>
    <cellStyle name="Normal 14 4 3" xfId="1354"/>
    <cellStyle name="Normal 14 4 4" xfId="1355"/>
    <cellStyle name="Normal 14 5" xfId="1356"/>
    <cellStyle name="Normal 14 5 2" xfId="1357"/>
    <cellStyle name="Normal 14 5 2 2" xfId="1358"/>
    <cellStyle name="Normal 14 5 2 3" xfId="1359"/>
    <cellStyle name="Normal 14 5 3" xfId="1360"/>
    <cellStyle name="Normal 14 5 4" xfId="1361"/>
    <cellStyle name="Normal 14 6" xfId="1362"/>
    <cellStyle name="Normal 14 6 2" xfId="1363"/>
    <cellStyle name="Normal 14 7" xfId="1364"/>
    <cellStyle name="Normal 14 7 2" xfId="1365"/>
    <cellStyle name="Normal 14 8" xfId="1366"/>
    <cellStyle name="Normal 14 8 2" xfId="1367"/>
    <cellStyle name="Normal 14 9" xfId="1368"/>
    <cellStyle name="Normal 14 9 2" xfId="1369"/>
    <cellStyle name="Normal 15" xfId="1370"/>
    <cellStyle name="Normal 15 2" xfId="1371"/>
    <cellStyle name="Normal 15 2 2" xfId="1372"/>
    <cellStyle name="Normal 15 3" xfId="1373"/>
    <cellStyle name="Normal 15 3 2" xfId="1374"/>
    <cellStyle name="Normal 15 4" xfId="1375"/>
    <cellStyle name="Normal 15 4 2" xfId="1376"/>
    <cellStyle name="Normal 15 5" xfId="1377"/>
    <cellStyle name="Normal 15 5 2" xfId="1378"/>
    <cellStyle name="Normal 15 6" xfId="1379"/>
    <cellStyle name="Normal 15 6 2" xfId="1380"/>
    <cellStyle name="Normal 16" xfId="1381"/>
    <cellStyle name="Normal 16 2" xfId="1382"/>
    <cellStyle name="Normal 16 2 2" xfId="1383"/>
    <cellStyle name="Normal 16 3" xfId="1384"/>
    <cellStyle name="Normal 16 3 2" xfId="1385"/>
    <cellStyle name="Normal 16 4" xfId="1386"/>
    <cellStyle name="Normal 16 4 2" xfId="1387"/>
    <cellStyle name="Normal 16 5" xfId="1388"/>
    <cellStyle name="Normal 16 5 2" xfId="1389"/>
    <cellStyle name="Normal 16 6" xfId="1390"/>
    <cellStyle name="Normal 16 6 2" xfId="1391"/>
    <cellStyle name="Normal 16 7" xfId="1392"/>
    <cellStyle name="Normal 16 7 2" xfId="1393"/>
    <cellStyle name="Normal 16 7 3" xfId="1394"/>
    <cellStyle name="Normal 16 8" xfId="1395"/>
    <cellStyle name="Normal 16 9" xfId="1396"/>
    <cellStyle name="Normal 17" xfId="1397"/>
    <cellStyle name="Normal 17 10" xfId="1398"/>
    <cellStyle name="Normal 17 10 2" xfId="1399"/>
    <cellStyle name="Normal 17 11" xfId="1400"/>
    <cellStyle name="Normal 17 11 2" xfId="1401"/>
    <cellStyle name="Normal 17 12" xfId="1402"/>
    <cellStyle name="Normal 17 12 2" xfId="1403"/>
    <cellStyle name="Normal 17 13" xfId="1404"/>
    <cellStyle name="Normal 17 13 2" xfId="1405"/>
    <cellStyle name="Normal 17 14" xfId="1406"/>
    <cellStyle name="Normal 17 14 2" xfId="1407"/>
    <cellStyle name="Normal 17 14 3" xfId="1408"/>
    <cellStyle name="Normal 17 15" xfId="1409"/>
    <cellStyle name="Normal 17 16" xfId="1410"/>
    <cellStyle name="Normal 17 2" xfId="1411"/>
    <cellStyle name="Normal 17 2 2" xfId="1412"/>
    <cellStyle name="Normal 17 3" xfId="1413"/>
    <cellStyle name="Normal 17 3 2" xfId="1414"/>
    <cellStyle name="Normal 17 4" xfId="1415"/>
    <cellStyle name="Normal 17 4 2" xfId="1416"/>
    <cellStyle name="Normal 17 5" xfId="1417"/>
    <cellStyle name="Normal 17 5 2" xfId="1418"/>
    <cellStyle name="Normal 17 6" xfId="1419"/>
    <cellStyle name="Normal 17 6 2" xfId="1420"/>
    <cellStyle name="Normal 17 7" xfId="1421"/>
    <cellStyle name="Normal 17 7 2" xfId="1422"/>
    <cellStyle name="Normal 17 8" xfId="1423"/>
    <cellStyle name="Normal 17 8 2" xfId="1424"/>
    <cellStyle name="Normal 17 9" xfId="1425"/>
    <cellStyle name="Normal 17 9 2" xfId="1426"/>
    <cellStyle name="Normal 18" xfId="1427"/>
    <cellStyle name="Normal 18 2" xfId="1428"/>
    <cellStyle name="Normal 18 2 2" xfId="1429"/>
    <cellStyle name="Normal 18 2 3" xfId="1430"/>
    <cellStyle name="Normal 18 3" xfId="1431"/>
    <cellStyle name="Normal 18 4" xfId="1432"/>
    <cellStyle name="Normal 19" xfId="1433"/>
    <cellStyle name="Normal 2" xfId="1434"/>
    <cellStyle name="Normal 2 10" xfId="1435"/>
    <cellStyle name="Normal 2 10 2" xfId="1436"/>
    <cellStyle name="Normal 2 11" xfId="1437"/>
    <cellStyle name="Normal 2 11 2" xfId="1438"/>
    <cellStyle name="Normal 2 12" xfId="1439"/>
    <cellStyle name="Normal 2 12 2" xfId="1440"/>
    <cellStyle name="Normal 2 13" xfId="1441"/>
    <cellStyle name="Normal 2 13 2" xfId="1442"/>
    <cellStyle name="Normal 2 14" xfId="1443"/>
    <cellStyle name="Normal 2 14 2" xfId="1444"/>
    <cellStyle name="Normal 2 15" xfId="1445"/>
    <cellStyle name="Normal 2 15 2" xfId="1446"/>
    <cellStyle name="Normal 2 16" xfId="1447"/>
    <cellStyle name="Normal 2 16 2" xfId="1448"/>
    <cellStyle name="Normal 2 17" xfId="1449"/>
    <cellStyle name="Normal 2 17 2" xfId="1450"/>
    <cellStyle name="Normal 2 18" xfId="1451"/>
    <cellStyle name="Normal 2 18 2" xfId="1452"/>
    <cellStyle name="Normal 2 18 3" xfId="1453"/>
    <cellStyle name="Normal 2 19" xfId="1454"/>
    <cellStyle name="Normal 2 2" xfId="1455"/>
    <cellStyle name="Normal 2 2 10" xfId="1456"/>
    <cellStyle name="Normal 2 2 10 2" xfId="1457"/>
    <cellStyle name="Normal 2 2 10 2 2" xfId="1458"/>
    <cellStyle name="Normal 2 2 10 2 3" xfId="1459"/>
    <cellStyle name="Normal 2 2 10 3" xfId="1460"/>
    <cellStyle name="Normal 2 2 10 4" xfId="1461"/>
    <cellStyle name="Normal 2 2 11" xfId="1462"/>
    <cellStyle name="Normal 2 2 11 2" xfId="1463"/>
    <cellStyle name="Normal 2 2 11 2 2" xfId="1464"/>
    <cellStyle name="Normal 2 2 11 2 3" xfId="1465"/>
    <cellStyle name="Normal 2 2 11 3" xfId="1466"/>
    <cellStyle name="Normal 2 2 11 4" xfId="1467"/>
    <cellStyle name="Normal 2 2 12" xfId="1468"/>
    <cellStyle name="Normal 2 2 12 2" xfId="1469"/>
    <cellStyle name="Normal 2 2 12 2 2" xfId="1470"/>
    <cellStyle name="Normal 2 2 12 2 3" xfId="1471"/>
    <cellStyle name="Normal 2 2 12 3" xfId="1472"/>
    <cellStyle name="Normal 2 2 12 4" xfId="1473"/>
    <cellStyle name="Normal 2 2 13" xfId="1474"/>
    <cellStyle name="Normal 2 2 13 2" xfId="1475"/>
    <cellStyle name="Normal 2 2 13 2 2" xfId="1476"/>
    <cellStyle name="Normal 2 2 13 2 3" xfId="1477"/>
    <cellStyle name="Normal 2 2 13 3" xfId="1478"/>
    <cellStyle name="Normal 2 2 13 4" xfId="1479"/>
    <cellStyle name="Normal 2 2 14" xfId="1480"/>
    <cellStyle name="Normal 2 2 14 2" xfId="1481"/>
    <cellStyle name="Normal 2 2 15" xfId="1482"/>
    <cellStyle name="Normal 2 2 16" xfId="1483"/>
    <cellStyle name="Normal 2 2 2" xfId="1484"/>
    <cellStyle name="Normal 2 2 2 2" xfId="1485"/>
    <cellStyle name="Normal 2 2 2 2 2" xfId="1486"/>
    <cellStyle name="Normal 2 2 2 2 3" xfId="1487"/>
    <cellStyle name="Normal 2 2 2 3" xfId="1488"/>
    <cellStyle name="Normal 2 2 2 4" xfId="1489"/>
    <cellStyle name="Normal 2 2 2 5" xfId="1490"/>
    <cellStyle name="Normal 2 2 3" xfId="1491"/>
    <cellStyle name="Normal 2 2 3 2" xfId="1492"/>
    <cellStyle name="Normal 2 2 3 2 2" xfId="1493"/>
    <cellStyle name="Normal 2 2 3 2 3" xfId="1494"/>
    <cellStyle name="Normal 2 2 3 3" xfId="1495"/>
    <cellStyle name="Normal 2 2 3 4" xfId="1496"/>
    <cellStyle name="Normal 2 2 3 5" xfId="1497"/>
    <cellStyle name="Normal 2 2 4" xfId="1498"/>
    <cellStyle name="Normal 2 2 4 2" xfId="1499"/>
    <cellStyle name="Normal 2 2 4 2 2" xfId="1500"/>
    <cellStyle name="Normal 2 2 4 2 3" xfId="1501"/>
    <cellStyle name="Normal 2 2 4 3" xfId="1502"/>
    <cellStyle name="Normal 2 2 4 4" xfId="1503"/>
    <cellStyle name="Normal 2 2 5" xfId="1504"/>
    <cellStyle name="Normal 2 2 5 2" xfId="1505"/>
    <cellStyle name="Normal 2 2 5 2 2" xfId="1506"/>
    <cellStyle name="Normal 2 2 5 2 3" xfId="1507"/>
    <cellStyle name="Normal 2 2 5 3" xfId="1508"/>
    <cellStyle name="Normal 2 2 5 4" xfId="1509"/>
    <cellStyle name="Normal 2 2 6" xfId="1510"/>
    <cellStyle name="Normal 2 2 6 2" xfId="1511"/>
    <cellStyle name="Normal 2 2 6 2 2" xfId="1512"/>
    <cellStyle name="Normal 2 2 6 2 3" xfId="1513"/>
    <cellStyle name="Normal 2 2 6 3" xfId="1514"/>
    <cellStyle name="Normal 2 2 6 4" xfId="1515"/>
    <cellStyle name="Normal 2 2 7" xfId="1516"/>
    <cellStyle name="Normal 2 2 7 2" xfId="1517"/>
    <cellStyle name="Normal 2 2 7 2 2" xfId="1518"/>
    <cellStyle name="Normal 2 2 7 2 3" xfId="1519"/>
    <cellStyle name="Normal 2 2 7 3" xfId="1520"/>
    <cellStyle name="Normal 2 2 7 4" xfId="1521"/>
    <cellStyle name="Normal 2 2 8" xfId="1522"/>
    <cellStyle name="Normal 2 2 8 2" xfId="1523"/>
    <cellStyle name="Normal 2 2 8 2 2" xfId="1524"/>
    <cellStyle name="Normal 2 2 8 2 3" xfId="1525"/>
    <cellStyle name="Normal 2 2 8 3" xfId="1526"/>
    <cellStyle name="Normal 2 2 8 4" xfId="1527"/>
    <cellStyle name="Normal 2 2 9" xfId="1528"/>
    <cellStyle name="Normal 2 2 9 2" xfId="1529"/>
    <cellStyle name="Normal 2 2 9 2 2" xfId="1530"/>
    <cellStyle name="Normal 2 2 9 2 3" xfId="1531"/>
    <cellStyle name="Normal 2 2 9 3" xfId="1532"/>
    <cellStyle name="Normal 2 2 9 4" xfId="1533"/>
    <cellStyle name="Normal 2 20" xfId="1534"/>
    <cellStyle name="Normal 2 21" xfId="1535"/>
    <cellStyle name="Normal 2 22" xfId="1536"/>
    <cellStyle name="Normal 2 23" xfId="1537"/>
    <cellStyle name="Normal 2 3" xfId="1538"/>
    <cellStyle name="Normal 2 3 10" xfId="1539"/>
    <cellStyle name="Normal 2 3 10 2" xfId="1540"/>
    <cellStyle name="Normal 2 3 10 2 2" xfId="1541"/>
    <cellStyle name="Normal 2 3 10 2 3" xfId="1542"/>
    <cellStyle name="Normal 2 3 10 3" xfId="1543"/>
    <cellStyle name="Normal 2 3 10 4" xfId="1544"/>
    <cellStyle name="Normal 2 3 11" xfId="1545"/>
    <cellStyle name="Normal 2 3 11 2" xfId="1546"/>
    <cellStyle name="Normal 2 3 11 2 2" xfId="1547"/>
    <cellStyle name="Normal 2 3 11 2 3" xfId="1548"/>
    <cellStyle name="Normal 2 3 11 3" xfId="1549"/>
    <cellStyle name="Normal 2 3 11 4" xfId="1550"/>
    <cellStyle name="Normal 2 3 12" xfId="1551"/>
    <cellStyle name="Normal 2 3 12 2" xfId="1552"/>
    <cellStyle name="Normal 2 3 12 2 2" xfId="1553"/>
    <cellStyle name="Normal 2 3 12 2 3" xfId="1554"/>
    <cellStyle name="Normal 2 3 12 3" xfId="1555"/>
    <cellStyle name="Normal 2 3 12 4" xfId="1556"/>
    <cellStyle name="Normal 2 3 13" xfId="0"/>
    <cellStyle name="Normal 2 3 13 2" xfId="0"/>
    <cellStyle name="Normal 2 3 13 2 2" xfId="0"/>
    <cellStyle name="Normal 2 3 13 2 3" xfId="0"/>
    <cellStyle name="Normal 2 3 13 3" xfId="0"/>
    <cellStyle name="Normal 2 3 13 4" xfId="0"/>
    <cellStyle name="Normal 2 3 14" xfId="0"/>
    <cellStyle name="Normal 2 3 15" xfId="0"/>
    <cellStyle name="Normal 2 3 16" xfId="0"/>
    <cellStyle name="Normal 2 3 2" xfId="0"/>
    <cellStyle name="Normal 2 3 2 2" xfId="0"/>
    <cellStyle name="Normal 2 3 2 2 2" xfId="0"/>
    <cellStyle name="Normal 2 3 2 2 3" xfId="0"/>
    <cellStyle name="Normal 2 3 2 3" xfId="0"/>
    <cellStyle name="Normal 2 3 2 4" xfId="0"/>
    <cellStyle name="Normal 2 3 2 5" xfId="0"/>
    <cellStyle name="Normal 2 3 3" xfId="0"/>
    <cellStyle name="Normal 2 3 3 2" xfId="0"/>
    <cellStyle name="Normal 2 3 3 2 2" xfId="0"/>
    <cellStyle name="Normal 2 3 3 2 3" xfId="0"/>
    <cellStyle name="Normal 2 3 3 3" xfId="0"/>
    <cellStyle name="Normal 2 3 3 4" xfId="0"/>
    <cellStyle name="Normal 2 3 3 5" xfId="0"/>
    <cellStyle name="Normal 2 3 4" xfId="0"/>
    <cellStyle name="Normal 2 3 4 2" xfId="0"/>
    <cellStyle name="Normal 2 3 4 2 2" xfId="0"/>
    <cellStyle name="Normal 2 3 4 2 3" xfId="0"/>
    <cellStyle name="Normal 2 3 4 3" xfId="0"/>
    <cellStyle name="Normal 2 3 4 4" xfId="0"/>
    <cellStyle name="Normal 2 3 5" xfId="0"/>
    <cellStyle name="Normal 2 3 5 2" xfId="0"/>
    <cellStyle name="Normal 2 3 5 2 2" xfId="0"/>
    <cellStyle name="Normal 2 3 5 2 3" xfId="0"/>
    <cellStyle name="Normal 2 3 5 3" xfId="0"/>
    <cellStyle name="Normal 2 3 5 4" xfId="0"/>
    <cellStyle name="Normal 2 3 6" xfId="0"/>
    <cellStyle name="Normal 2 3 6 2" xfId="0"/>
    <cellStyle name="Normal 2 3 6 2 2" xfId="0"/>
    <cellStyle name="Normal 2 3 6 2 3" xfId="0"/>
    <cellStyle name="Normal 2 3 6 3" xfId="0"/>
    <cellStyle name="Normal 2 3 6 4" xfId="0"/>
    <cellStyle name="Normal 2 3 7" xfId="0"/>
    <cellStyle name="Normal 2 3 7 2" xfId="0"/>
    <cellStyle name="Normal 2 3 7 2 2" xfId="0"/>
    <cellStyle name="Normal 2 3 7 2 3" xfId="0"/>
    <cellStyle name="Normal 2 3 7 3" xfId="0"/>
    <cellStyle name="Normal 2 3 7 4" xfId="0"/>
    <cellStyle name="Normal 2 3 8" xfId="0"/>
    <cellStyle name="Normal 2 3 8 2" xfId="0"/>
    <cellStyle name="Normal 2 3 8 2 2" xfId="0"/>
    <cellStyle name="Normal 2 3 8 2 3" xfId="0"/>
    <cellStyle name="Normal 2 3 8 3" xfId="0"/>
    <cellStyle name="Normal 2 3 8 4" xfId="0"/>
    <cellStyle name="Normal 2 3 9" xfId="0"/>
    <cellStyle name="Normal 2 3 9 2" xfId="0"/>
    <cellStyle name="Normal 2 3 9 2 2" xfId="0"/>
    <cellStyle name="Normal 2 3 9 2 3" xfId="0"/>
    <cellStyle name="Normal 2 3 9 3" xfId="0"/>
    <cellStyle name="Normal 2 3 9 4" xfId="0"/>
    <cellStyle name="Normal 2 4" xfId="0"/>
    <cellStyle name="Normal 2 4 10" xfId="0"/>
    <cellStyle name="Normal 2 4 10 2" xfId="0"/>
    <cellStyle name="Normal 2 4 10 2 2" xfId="0"/>
    <cellStyle name="Normal 2 4 10 2 3" xfId="0"/>
    <cellStyle name="Normal 2 4 10 3" xfId="0"/>
    <cellStyle name="Normal 2 4 10 4" xfId="0"/>
    <cellStyle name="Normal 2 4 11" xfId="0"/>
    <cellStyle name="Normal 2 4 11 2" xfId="0"/>
    <cellStyle name="Normal 2 4 11 2 2" xfId="0"/>
    <cellStyle name="Normal 2 4 11 2 3" xfId="0"/>
    <cellStyle name="Normal 2 4 11 3" xfId="0"/>
    <cellStyle name="Normal 2 4 11 4" xfId="0"/>
    <cellStyle name="Normal 2 4 12" xfId="0"/>
    <cellStyle name="Normal 2 4 12 2" xfId="0"/>
    <cellStyle name="Normal 2 4 12 2 2" xfId="0"/>
    <cellStyle name="Normal 2 4 12 2 3" xfId="0"/>
    <cellStyle name="Normal 2 4 12 3" xfId="0"/>
    <cellStyle name="Normal 2 4 12 4" xfId="0"/>
    <cellStyle name="Normal 2 4 13" xfId="0"/>
    <cellStyle name="Normal 2 4 13 2" xfId="0"/>
    <cellStyle name="Normal 2 4 13 2 2" xfId="0"/>
    <cellStyle name="Normal 2 4 13 2 3" xfId="0"/>
    <cellStyle name="Normal 2 4 13 3" xfId="0"/>
    <cellStyle name="Normal 2 4 13 4" xfId="0"/>
    <cellStyle name="Normal 2 4 14" xfId="0"/>
    <cellStyle name="Normal 2 4 15" xfId="0"/>
    <cellStyle name="Normal 2 4 2" xfId="0"/>
    <cellStyle name="Normal 2 4 2 2" xfId="0"/>
    <cellStyle name="Normal 2 4 2 2 2" xfId="0"/>
    <cellStyle name="Normal 2 4 2 2 3" xfId="0"/>
    <cellStyle name="Normal 2 4 2 3" xfId="0"/>
    <cellStyle name="Normal 2 4 2 4" xfId="0"/>
    <cellStyle name="Normal 2 4 3" xfId="0"/>
    <cellStyle name="Normal 2 4 3 2" xfId="0"/>
    <cellStyle name="Normal 2 4 3 2 2" xfId="0"/>
    <cellStyle name="Normal 2 4 3 2 3" xfId="0"/>
    <cellStyle name="Normal 2 4 3 3" xfId="0"/>
    <cellStyle name="Normal 2 4 3 4" xfId="0"/>
    <cellStyle name="Normal 2 4 4" xfId="0"/>
    <cellStyle name="Normal 2 4 4 2" xfId="0"/>
    <cellStyle name="Normal 2 4 4 2 2" xfId="0"/>
    <cellStyle name="Normal 2 4 4 2 3" xfId="0"/>
    <cellStyle name="Normal 2 4 4 3" xfId="0"/>
    <cellStyle name="Normal 2 4 4 4" xfId="0"/>
    <cellStyle name="Normal 2 4 5" xfId="0"/>
    <cellStyle name="Normal 2 4 5 2" xfId="0"/>
    <cellStyle name="Normal 2 4 5 2 2" xfId="0"/>
    <cellStyle name="Normal 2 4 5 2 3" xfId="0"/>
    <cellStyle name="Normal 2 4 5 3" xfId="0"/>
    <cellStyle name="Normal 2 4 5 4" xfId="0"/>
    <cellStyle name="Normal 2 4 6" xfId="0"/>
    <cellStyle name="Normal 2 4 6 2" xfId="0"/>
    <cellStyle name="Normal 2 4 6 2 2" xfId="0"/>
    <cellStyle name="Normal 2 4 6 2 3" xfId="0"/>
    <cellStyle name="Normal 2 4 6 3" xfId="0"/>
    <cellStyle name="Normal 2 4 6 4" xfId="0"/>
    <cellStyle name="Normal 2 4 7" xfId="0"/>
    <cellStyle name="Normal 2 4 7 2" xfId="0"/>
    <cellStyle name="Normal 2 4 7 2 2" xfId="0"/>
    <cellStyle name="Normal 2 4 7 2 3" xfId="0"/>
    <cellStyle name="Normal 2 4 7 3" xfId="0"/>
    <cellStyle name="Normal 2 4 7 4" xfId="0"/>
    <cellStyle name="Normal 2 4 8" xfId="0"/>
    <cellStyle name="Normal 2 4 8 2" xfId="0"/>
    <cellStyle name="Normal 2 4 8 2 2" xfId="0"/>
    <cellStyle name="Normal 2 4 8 2 3" xfId="0"/>
    <cellStyle name="Normal 2 4 8 3" xfId="0"/>
    <cellStyle name="Normal 2 4 8 4" xfId="0"/>
    <cellStyle name="Normal 2 4 9" xfId="0"/>
    <cellStyle name="Normal 2 4 9 2" xfId="0"/>
    <cellStyle name="Normal 2 4 9 2 2" xfId="0"/>
    <cellStyle name="Normal 2 4 9 2 3" xfId="0"/>
    <cellStyle name="Normal 2 4 9 3" xfId="0"/>
    <cellStyle name="Normal 2 4 9 4" xfId="0"/>
    <cellStyle name="Normal 2 5" xfId="0"/>
    <cellStyle name="Normal 2 5 2" xfId="0"/>
    <cellStyle name="Normal 2 5 3" xfId="0"/>
    <cellStyle name="Normal 2 6" xfId="0"/>
    <cellStyle name="Normal 2 6 2" xfId="0"/>
    <cellStyle name="Normal 2 6 3" xfId="0"/>
    <cellStyle name="Normal 2 7" xfId="0"/>
    <cellStyle name="Normal 2 7 2" xfId="0"/>
    <cellStyle name="Normal 2 7 3" xfId="0"/>
    <cellStyle name="Normal 2 8" xfId="0"/>
    <cellStyle name="Normal 2 8 2" xfId="0"/>
    <cellStyle name="Normal 2 8 3" xfId="0"/>
    <cellStyle name="Normal 2 9" xfId="0"/>
    <cellStyle name="Normal 2 9 2" xfId="0"/>
    <cellStyle name="Normal 20" xfId="0"/>
    <cellStyle name="Normal 21" xfId="0"/>
    <cellStyle name="Normal 21 2" xfId="0"/>
    <cellStyle name="Normal 22" xfId="0"/>
    <cellStyle name="Normal 26" xfId="0"/>
    <cellStyle name="Normal 26 2" xfId="0"/>
    <cellStyle name="Normal 2_OTHsectors" xfId="0"/>
    <cellStyle name="Normal 3" xfId="0"/>
    <cellStyle name="Normal 3 10" xfId="0"/>
    <cellStyle name="Normal 3 10 2" xfId="0"/>
    <cellStyle name="Normal 3 11" xfId="0"/>
    <cellStyle name="Normal 3 11 2" xfId="0"/>
    <cellStyle name="Normal 3 12" xfId="0"/>
    <cellStyle name="Normal 3 12 2" xfId="0"/>
    <cellStyle name="Normal 3 13" xfId="0"/>
    <cellStyle name="Normal 3 13 2" xfId="0"/>
    <cellStyle name="Normal 3 14" xfId="0"/>
    <cellStyle name="Normal 3 14 2" xfId="0"/>
    <cellStyle name="Normal 3 14 3" xfId="0"/>
    <cellStyle name="Normal 3 15" xfId="0"/>
    <cellStyle name="Normal 3 16" xfId="0"/>
    <cellStyle name="Normal 3 17" xfId="0"/>
    <cellStyle name="Normal 3 18" xfId="0"/>
    <cellStyle name="Normal 3 2" xfId="0"/>
    <cellStyle name="Normal 3 2 10" xfId="0"/>
    <cellStyle name="Normal 3 2 11" xfId="0"/>
    <cellStyle name="Normal 3 2 2" xfId="0"/>
    <cellStyle name="Normal 3 2 2 2" xfId="0"/>
    <cellStyle name="Normal 3 2 2 3" xfId="0"/>
    <cellStyle name="Normal 3 2 3" xfId="0"/>
    <cellStyle name="Normal 3 2 3 2" xfId="0"/>
    <cellStyle name="Normal 3 2 4" xfId="0"/>
    <cellStyle name="Normal 3 2 4 2" xfId="0"/>
    <cellStyle name="Normal 3 2 5" xfId="0"/>
    <cellStyle name="Normal 3 2 5 2" xfId="0"/>
    <cellStyle name="Normal 3 2 6" xfId="0"/>
    <cellStyle name="Normal 3 2 6 2" xfId="0"/>
    <cellStyle name="Normal 3 2 7" xfId="0"/>
    <cellStyle name="Normal 3 2 7 2" xfId="0"/>
    <cellStyle name="Normal 3 2 8" xfId="0"/>
    <cellStyle name="Normal 3 2 8 2" xfId="0"/>
    <cellStyle name="Normal 3 2 9" xfId="0"/>
    <cellStyle name="Normal 3 3" xfId="0"/>
    <cellStyle name="Normal 3 3 10" xfId="0"/>
    <cellStyle name="Normal 3 3 2" xfId="0"/>
    <cellStyle name="Normal 3 3 2 2" xfId="0"/>
    <cellStyle name="Normal 3 3 3" xfId="0"/>
    <cellStyle name="Normal 3 3 3 2" xfId="0"/>
    <cellStyle name="Normal 3 3 4" xfId="0"/>
    <cellStyle name="Normal 3 3 4 2" xfId="0"/>
    <cellStyle name="Normal 3 3 5" xfId="0"/>
    <cellStyle name="Normal 3 3 5 2" xfId="0"/>
    <cellStyle name="Normal 3 3 6" xfId="0"/>
    <cellStyle name="Normal 3 3 6 2" xfId="0"/>
    <cellStyle name="Normal 3 3 7" xfId="0"/>
    <cellStyle name="Normal 3 3 7 2" xfId="0"/>
    <cellStyle name="Normal 3 3 8" xfId="0"/>
    <cellStyle name="Normal 3 3 8 2" xfId="0"/>
    <cellStyle name="Normal 3 3 9" xfId="0"/>
    <cellStyle name="Normal 3 4" xfId="0"/>
    <cellStyle name="Normal 3 4 10" xfId="0"/>
    <cellStyle name="Normal 3 4 2" xfId="0"/>
    <cellStyle name="Normal 3 4 2 2" xfId="0"/>
    <cellStyle name="Normal 3 4 2 3" xfId="0"/>
    <cellStyle name="Normal 3 4 3" xfId="0"/>
    <cellStyle name="Normal 3 4 3 2" xfId="0"/>
    <cellStyle name="Normal 3 4 4" xfId="0"/>
    <cellStyle name="Normal 3 4 4 2" xfId="0"/>
    <cellStyle name="Normal 3 4 5" xfId="0"/>
    <cellStyle name="Normal 3 4 5 2" xfId="0"/>
    <cellStyle name="Normal 3 4 6" xfId="0"/>
    <cellStyle name="Normal 3 4 6 2" xfId="0"/>
    <cellStyle name="Normal 3 4 7" xfId="0"/>
    <cellStyle name="Normal 3 4 7 2" xfId="0"/>
    <cellStyle name="Normal 3 4 8" xfId="0"/>
    <cellStyle name="Normal 3 4 8 2" xfId="0"/>
    <cellStyle name="Normal 3 4 9" xfId="0"/>
    <cellStyle name="Normal 3 5" xfId="0"/>
    <cellStyle name="Normal 3 5 10" xfId="0"/>
    <cellStyle name="Normal 3 5 2" xfId="0"/>
    <cellStyle name="Normal 3 5 2 2" xfId="0"/>
    <cellStyle name="Normal 3 5 3" xfId="0"/>
    <cellStyle name="Normal 3 5 3 2" xfId="0"/>
    <cellStyle name="Normal 3 5 4" xfId="0"/>
    <cellStyle name="Normal 3 5 4 2" xfId="0"/>
    <cellStyle name="Normal 3 5 5" xfId="0"/>
    <cellStyle name="Normal 3 5 5 2" xfId="0"/>
    <cellStyle name="Normal 3 5 6" xfId="0"/>
    <cellStyle name="Normal 3 5 6 2" xfId="0"/>
    <cellStyle name="Normal 3 5 7" xfId="0"/>
    <cellStyle name="Normal 3 5 7 2" xfId="0"/>
    <cellStyle name="Normal 3 5 8" xfId="0"/>
    <cellStyle name="Normal 3 5 8 2" xfId="0"/>
    <cellStyle name="Normal 3 5 9" xfId="0"/>
    <cellStyle name="Normal 3 6" xfId="0"/>
    <cellStyle name="Normal 3 6 2" xfId="0"/>
    <cellStyle name="Normal 3 6 3" xfId="0"/>
    <cellStyle name="Normal 3 7" xfId="0"/>
    <cellStyle name="Normal 3 7 2" xfId="0"/>
    <cellStyle name="Normal 3 8" xfId="0"/>
    <cellStyle name="Normal 3 8 2" xfId="0"/>
    <cellStyle name="Normal 3 9" xfId="0"/>
    <cellStyle name="Normal 3 9 2" xfId="0"/>
    <cellStyle name="Normal 4" xfId="0"/>
    <cellStyle name="Normal 4 10" xfId="0"/>
    <cellStyle name="Normal 4 10 2" xfId="0"/>
    <cellStyle name="Normal 4 11" xfId="0"/>
    <cellStyle name="Normal 4 11 2" xfId="0"/>
    <cellStyle name="Normal 4 12" xfId="0"/>
    <cellStyle name="Normal 4 12 2" xfId="0"/>
    <cellStyle name="Normal 4 13" xfId="0"/>
    <cellStyle name="Normal 4 14" xfId="0"/>
    <cellStyle name="Normal 4 15" xfId="0"/>
    <cellStyle name="Normal 4 2" xfId="0"/>
    <cellStyle name="Normal 4 2 10" xfId="0"/>
    <cellStyle name="Normal 4 2 2" xfId="0"/>
    <cellStyle name="Normal 4 2 2 10" xfId="0"/>
    <cellStyle name="Normal 4 2 2 10 2" xfId="0"/>
    <cellStyle name="Normal 4 2 2 10 2 2" xfId="0"/>
    <cellStyle name="Normal 4 2 2 10 2 3" xfId="0"/>
    <cellStyle name="Normal 4 2 2 10 3" xfId="0"/>
    <cellStyle name="Normal 4 2 2 10 4" xfId="0"/>
    <cellStyle name="Normal 4 2 2 11" xfId="0"/>
    <cellStyle name="Normal 4 2 2 11 2" xfId="0"/>
    <cellStyle name="Normal 4 2 2 11 2 2" xfId="0"/>
    <cellStyle name="Normal 4 2 2 11 2 3" xfId="0"/>
    <cellStyle name="Normal 4 2 2 11 3" xfId="0"/>
    <cellStyle name="Normal 4 2 2 11 4" xfId="0"/>
    <cellStyle name="Normal 4 2 2 12" xfId="0"/>
    <cellStyle name="Normal 4 2 2 12 2" xfId="0"/>
    <cellStyle name="Normal 4 2 2 12 2 2" xfId="0"/>
    <cellStyle name="Normal 4 2 2 12 2 3" xfId="0"/>
    <cellStyle name="Normal 4 2 2 12 3" xfId="0"/>
    <cellStyle name="Normal 4 2 2 12 4" xfId="0"/>
    <cellStyle name="Normal 4 2 2 13" xfId="0"/>
    <cellStyle name="Normal 4 2 2 13 2" xfId="0"/>
    <cellStyle name="Normal 4 2 2 13 2 2" xfId="0"/>
    <cellStyle name="Normal 4 2 2 13 2 3" xfId="0"/>
    <cellStyle name="Normal 4 2 2 13 3" xfId="0"/>
    <cellStyle name="Normal 4 2 2 13 4" xfId="0"/>
    <cellStyle name="Normal 4 2 2 14" xfId="0"/>
    <cellStyle name="Normal 4 2 2 2" xfId="0"/>
    <cellStyle name="Normal 4 2 2 2 10" xfId="0"/>
    <cellStyle name="Normal 4 2 2 2 10 2" xfId="0"/>
    <cellStyle name="Normal 4 2 2 2 11" xfId="0"/>
    <cellStyle name="Normal 4 2 2 2 11 2" xfId="0"/>
    <cellStyle name="Normal 4 2 2 2 12" xfId="0"/>
    <cellStyle name="Normal 4 2 2 2 12 2" xfId="0"/>
    <cellStyle name="Normal 4 2 2 2 13" xfId="0"/>
    <cellStyle name="Normal 4 2 2 2 13 2" xfId="0"/>
    <cellStyle name="Normal 4 2 2 2 14" xfId="0"/>
    <cellStyle name="Normal 4 2 2 2 14 2" xfId="0"/>
    <cellStyle name="Normal 4 2 2 2 14 3" xfId="0"/>
    <cellStyle name="Normal 4 2 2 2 15" xfId="0"/>
    <cellStyle name="Normal 4 2 2 2 16" xfId="0"/>
    <cellStyle name="Normal 4 2 2 2 2" xfId="0"/>
    <cellStyle name="Normal 4 2 2 2 2 2" xfId="0"/>
    <cellStyle name="Normal 4 2 2 2 3" xfId="0"/>
    <cellStyle name="Normal 4 2 2 2 3 2" xfId="0"/>
    <cellStyle name="Normal 4 2 2 2 4" xfId="0"/>
    <cellStyle name="Normal 4 2 2 2 4 2" xfId="0"/>
    <cellStyle name="Normal 4 2 2 2 5" xfId="0"/>
    <cellStyle name="Normal 4 2 2 2 5 2" xfId="0"/>
    <cellStyle name="Normal 4 2 2 2 6" xfId="0"/>
    <cellStyle name="Normal 4 2 2 2 6 2" xfId="0"/>
    <cellStyle name="Normal 4 2 2 2 7" xfId="0"/>
    <cellStyle name="Normal 4 2 2 2 7 2" xfId="0"/>
    <cellStyle name="Normal 4 2 2 2 8" xfId="0"/>
    <cellStyle name="Normal 4 2 2 2 8 2" xfId="0"/>
    <cellStyle name="Normal 4 2 2 2 9" xfId="0"/>
    <cellStyle name="Normal 4 2 2 2 9 2" xfId="0"/>
    <cellStyle name="Normal 4 2 2 3" xfId="0"/>
    <cellStyle name="Normal 4 2 2 3 2" xfId="0"/>
    <cellStyle name="Normal 4 2 2 3 2 2" xfId="0"/>
    <cellStyle name="Normal 4 2 2 3 2 3" xfId="0"/>
    <cellStyle name="Normal 4 2 2 3 3" xfId="0"/>
    <cellStyle name="Normal 4 2 2 3 4" xfId="0"/>
    <cellStyle name="Normal 4 2 2 4" xfId="0"/>
    <cellStyle name="Normal 4 2 2 4 2" xfId="0"/>
    <cellStyle name="Normal 4 2 2 4 2 2" xfId="0"/>
    <cellStyle name="Normal 4 2 2 4 2 3" xfId="0"/>
    <cellStyle name="Normal 4 2 2 4 3" xfId="0"/>
    <cellStyle name="Normal 4 2 2 4 4" xfId="0"/>
    <cellStyle name="Normal 4 2 2 5" xfId="0"/>
    <cellStyle name="Normal 4 2 2 5 2" xfId="0"/>
    <cellStyle name="Normal 4 2 2 5 2 2" xfId="0"/>
    <cellStyle name="Normal 4 2 2 5 2 3" xfId="0"/>
    <cellStyle name="Normal 4 2 2 5 3" xfId="0"/>
    <cellStyle name="Normal 4 2 2 5 4" xfId="0"/>
    <cellStyle name="Normal 4 2 2 6" xfId="0"/>
    <cellStyle name="Normal 4 2 2 6 2" xfId="0"/>
    <cellStyle name="Normal 4 2 2 6 2 2" xfId="0"/>
    <cellStyle name="Normal 4 2 2 6 2 3" xfId="0"/>
    <cellStyle name="Normal 4 2 2 6 3" xfId="0"/>
    <cellStyle name="Normal 4 2 2 6 4" xfId="0"/>
    <cellStyle name="Normal 4 2 2 7" xfId="0"/>
    <cellStyle name="Normal 4 2 2 7 2" xfId="0"/>
    <cellStyle name="Normal 4 2 2 7 2 2" xfId="0"/>
    <cellStyle name="Normal 4 2 2 7 2 3" xfId="0"/>
    <cellStyle name="Normal 4 2 2 7 3" xfId="0"/>
    <cellStyle name="Normal 4 2 2 7 4" xfId="0"/>
    <cellStyle name="Normal 4 2 2 8" xfId="0"/>
    <cellStyle name="Normal 4 2 2 8 2" xfId="0"/>
    <cellStyle name="Normal 4 2 2 8 2 2" xfId="0"/>
    <cellStyle name="Normal 4 2 2 8 2 3" xfId="0"/>
    <cellStyle name="Normal 4 2 2 8 3" xfId="0"/>
    <cellStyle name="Normal 4 2 2 8 4" xfId="0"/>
    <cellStyle name="Normal 4 2 2 9" xfId="0"/>
    <cellStyle name="Normal 4 2 2 9 2" xfId="0"/>
    <cellStyle name="Normal 4 2 2 9 2 2" xfId="0"/>
    <cellStyle name="Normal 4 2 2 9 2 3" xfId="0"/>
    <cellStyle name="Normal 4 2 2 9 3" xfId="0"/>
    <cellStyle name="Normal 4 2 2 9 4" xfId="0"/>
    <cellStyle name="Normal 4 2 3" xfId="0"/>
    <cellStyle name="Normal 4 2 3 2" xfId="0"/>
    <cellStyle name="Normal 4 2 4" xfId="0"/>
    <cellStyle name="Normal 4 2 4 2" xfId="0"/>
    <cellStyle name="Normal 4 2 5" xfId="0"/>
    <cellStyle name="Normal 4 2 5 2" xfId="0"/>
    <cellStyle name="Normal 4 2 6" xfId="0"/>
    <cellStyle name="Normal 4 2 6 2" xfId="0"/>
    <cellStyle name="Normal 4 2 7" xfId="0"/>
    <cellStyle name="Normal 4 2 7 2" xfId="0"/>
    <cellStyle name="Normal 4 2 8" xfId="0"/>
    <cellStyle name="Normal 4 2 8 2" xfId="0"/>
    <cellStyle name="Normal 4 2 9" xfId="0"/>
    <cellStyle name="Normal 4 3" xfId="0"/>
    <cellStyle name="Normal 4 3 10" xfId="0"/>
    <cellStyle name="Normal 4 3 2" xfId="0"/>
    <cellStyle name="Normal 4 3 2 2" xfId="0"/>
    <cellStyle name="Normal 4 3 3" xfId="0"/>
    <cellStyle name="Normal 4 3 3 2" xfId="0"/>
    <cellStyle name="Normal 4 3 4" xfId="0"/>
    <cellStyle name="Normal 4 3 4 2" xfId="0"/>
    <cellStyle name="Normal 4 3 5" xfId="0"/>
    <cellStyle name="Normal 4 3 5 2" xfId="0"/>
    <cellStyle name="Normal 4 3 6" xfId="0"/>
    <cellStyle name="Normal 4 3 6 2" xfId="0"/>
    <cellStyle name="Normal 4 3 7" xfId="0"/>
    <cellStyle name="Normal 4 3 7 2" xfId="0"/>
    <cellStyle name="Normal 4 3 8" xfId="0"/>
    <cellStyle name="Normal 4 3 8 2" xfId="0"/>
    <cellStyle name="Normal 4 3 9" xfId="0"/>
    <cellStyle name="Normal 4 4" xfId="0"/>
    <cellStyle name="Normal 4 4 10" xfId="0"/>
    <cellStyle name="Normal 4 4 2" xfId="0"/>
    <cellStyle name="Normal 4 4 2 2" xfId="0"/>
    <cellStyle name="Normal 4 4 3" xfId="0"/>
    <cellStyle name="Normal 4 4 3 2" xfId="0"/>
    <cellStyle name="Normal 4 4 4" xfId="0"/>
    <cellStyle name="Normal 4 4 4 2" xfId="0"/>
    <cellStyle name="Normal 4 4 5" xfId="0"/>
    <cellStyle name="Normal 4 4 5 2" xfId="0"/>
    <cellStyle name="Normal 4 4 6" xfId="0"/>
    <cellStyle name="Normal 4 4 6 2" xfId="0"/>
    <cellStyle name="Normal 4 4 7" xfId="0"/>
    <cellStyle name="Normal 4 4 7 2" xfId="0"/>
    <cellStyle name="Normal 4 4 8" xfId="0"/>
    <cellStyle name="Normal 4 4 8 2" xfId="0"/>
    <cellStyle name="Normal 4 4 9" xfId="0"/>
    <cellStyle name="Normal 4 5" xfId="0"/>
    <cellStyle name="Normal 4 5 2" xfId="0"/>
    <cellStyle name="Normal 4 5 2 2" xfId="0"/>
    <cellStyle name="Normal 4 5 3" xfId="0"/>
    <cellStyle name="Normal 4 5 3 2" xfId="0"/>
    <cellStyle name="Normal 4 5 4" xfId="0"/>
    <cellStyle name="Normal 4 5 4 2" xfId="0"/>
    <cellStyle name="Normal 4 5 5" xfId="0"/>
    <cellStyle name="Normal 4 5 5 2" xfId="0"/>
    <cellStyle name="Normal 4 5 6" xfId="0"/>
    <cellStyle name="Normal 4 5 6 2" xfId="0"/>
    <cellStyle name="Normal 4 5 7" xfId="0"/>
    <cellStyle name="Normal 4 5 7 2" xfId="0"/>
    <cellStyle name="Normal 4 5 8" xfId="0"/>
    <cellStyle name="Normal 4 5 8 2" xfId="0"/>
    <cellStyle name="Normal 4 5 9" xfId="0"/>
    <cellStyle name="Normal 4 6" xfId="0"/>
    <cellStyle name="Normal 4 6 2" xfId="0"/>
    <cellStyle name="Normal 4 7" xfId="0"/>
    <cellStyle name="Normal 4 7 2" xfId="0"/>
    <cellStyle name="Normal 4 8" xfId="0"/>
    <cellStyle name="Normal 4 8 2" xfId="0"/>
    <cellStyle name="Normal 4 9" xfId="0"/>
    <cellStyle name="Normal 4 9 2" xfId="0"/>
    <cellStyle name="Normal 5" xfId="0"/>
    <cellStyle name="Normal 5 10" xfId="0"/>
    <cellStyle name="Normal 5 10 2" xfId="0"/>
    <cellStyle name="Normal 5 11" xfId="0"/>
    <cellStyle name="Normal 5 11 2" xfId="0"/>
    <cellStyle name="Normal 5 12" xfId="0"/>
    <cellStyle name="Normal 5 12 2" xfId="0"/>
    <cellStyle name="Normal 5 13" xfId="0"/>
    <cellStyle name="Normal 5 13 2" xfId="0"/>
    <cellStyle name="Normal 5 14" xfId="0"/>
    <cellStyle name="Normal 5 14 2" xfId="0"/>
    <cellStyle name="Normal 5 14 3" xfId="0"/>
    <cellStyle name="Normal 5 15" xfId="0"/>
    <cellStyle name="Normal 5 16" xfId="0"/>
    <cellStyle name="Normal 5 17" xfId="0"/>
    <cellStyle name="Normal 5 18" xfId="0"/>
    <cellStyle name="Normal 5 2" xfId="0"/>
    <cellStyle name="Normal 5 2 10" xfId="0"/>
    <cellStyle name="Normal 5 2 10 2" xfId="0"/>
    <cellStyle name="Normal 5 2 10 3" xfId="0"/>
    <cellStyle name="Normal 5 2 11" xfId="0"/>
    <cellStyle name="Normal 5 2 12" xfId="0"/>
    <cellStyle name="Normal 5 2 13" xfId="0"/>
    <cellStyle name="Normal 5 2 14" xfId="0"/>
    <cellStyle name="Normal 5 2 2" xfId="0"/>
    <cellStyle name="Normal 5 2 2 10" xfId="0"/>
    <cellStyle name="Normal 5 2 2 10 2" xfId="0"/>
    <cellStyle name="Normal 5 2 2 10 2 2" xfId="0"/>
    <cellStyle name="Normal 5 2 2 10 2 3" xfId="0"/>
    <cellStyle name="Normal 5 2 2 10 3" xfId="0"/>
    <cellStyle name="Normal 5 2 2 10 4" xfId="0"/>
    <cellStyle name="Normal 5 2 2 11" xfId="0"/>
    <cellStyle name="Normal 5 2 2 11 2" xfId="0"/>
    <cellStyle name="Normal 5 2 2 11 2 2" xfId="0"/>
    <cellStyle name="Normal 5 2 2 11 2 3" xfId="0"/>
    <cellStyle name="Normal 5 2 2 11 3" xfId="0"/>
    <cellStyle name="Normal 5 2 2 11 4" xfId="0"/>
    <cellStyle name="Normal 5 2 2 12" xfId="0"/>
    <cellStyle name="Normal 5 2 2 12 2" xfId="0"/>
    <cellStyle name="Normal 5 2 2 12 2 2" xfId="0"/>
    <cellStyle name="Normal 5 2 2 12 2 3" xfId="0"/>
    <cellStyle name="Normal 5 2 2 12 3" xfId="0"/>
    <cellStyle name="Normal 5 2 2 12 4" xfId="0"/>
    <cellStyle name="Normal 5 2 2 13" xfId="0"/>
    <cellStyle name="Normal 5 2 2 13 2" xfId="0"/>
    <cellStyle name="Normal 5 2 2 13 2 2" xfId="0"/>
    <cellStyle name="Normal 5 2 2 13 2 3" xfId="0"/>
    <cellStyle name="Normal 5 2 2 13 3" xfId="0"/>
    <cellStyle name="Normal 5 2 2 13 4" xfId="0"/>
    <cellStyle name="Normal 5 2 2 14" xfId="0"/>
    <cellStyle name="Normal 5 2 2 2" xfId="0"/>
    <cellStyle name="Normal 5 2 2 2 10" xfId="0"/>
    <cellStyle name="Normal 5 2 2 2 10 2" xfId="0"/>
    <cellStyle name="Normal 5 2 2 2 11" xfId="0"/>
    <cellStyle name="Normal 5 2 2 2 11 2" xfId="0"/>
    <cellStyle name="Normal 5 2 2 2 12" xfId="0"/>
    <cellStyle name="Normal 5 2 2 2 12 2" xfId="0"/>
    <cellStyle name="Normal 5 2 2 2 13" xfId="0"/>
    <cellStyle name="Normal 5 2 2 2 13 2" xfId="0"/>
    <cellStyle name="Normal 5 2 2 2 14" xfId="0"/>
    <cellStyle name="Normal 5 2 2 2 14 2" xfId="0"/>
    <cellStyle name="Normal 5 2 2 2 14 3" xfId="0"/>
    <cellStyle name="Normal 5 2 2 2 15" xfId="0"/>
    <cellStyle name="Normal 5 2 2 2 16" xfId="0"/>
    <cellStyle name="Normal 5 2 2 2 2" xfId="0"/>
    <cellStyle name="Normal 5 2 2 2 2 2" xfId="0"/>
    <cellStyle name="Normal 5 2 2 2 3" xfId="0"/>
    <cellStyle name="Normal 5 2 2 2 3 2" xfId="0"/>
    <cellStyle name="Normal 5 2 2 2 4" xfId="0"/>
    <cellStyle name="Normal 5 2 2 2 4 2" xfId="0"/>
    <cellStyle name="Normal 5 2 2 2 5" xfId="0"/>
    <cellStyle name="Normal 5 2 2 2 5 2" xfId="0"/>
    <cellStyle name="Normal 5 2 2 2 6" xfId="0"/>
    <cellStyle name="Normal 5 2 2 2 6 2" xfId="0"/>
    <cellStyle name="Normal 5 2 2 2 7" xfId="0"/>
    <cellStyle name="Normal 5 2 2 2 7 2" xfId="0"/>
    <cellStyle name="Normal 5 2 2 2 8" xfId="0"/>
    <cellStyle name="Normal 5 2 2 2 8 2" xfId="0"/>
    <cellStyle name="Normal 5 2 2 2 9" xfId="0"/>
    <cellStyle name="Normal 5 2 2 2 9 2" xfId="0"/>
    <cellStyle name="Normal 5 2 2 3" xfId="0"/>
    <cellStyle name="Normal 5 2 2 3 2" xfId="0"/>
    <cellStyle name="Normal 5 2 2 3 2 2" xfId="0"/>
    <cellStyle name="Normal 5 2 2 3 2 3" xfId="0"/>
    <cellStyle name="Normal 5 2 2 3 3" xfId="0"/>
    <cellStyle name="Normal 5 2 2 3 4" xfId="0"/>
    <cellStyle name="Normal 5 2 2 4" xfId="0"/>
    <cellStyle name="Normal 5 2 2 4 2" xfId="0"/>
    <cellStyle name="Normal 5 2 2 4 2 2" xfId="0"/>
    <cellStyle name="Normal 5 2 2 4 2 3" xfId="0"/>
    <cellStyle name="Normal 5 2 2 4 3" xfId="0"/>
    <cellStyle name="Normal 5 2 2 4 4" xfId="0"/>
    <cellStyle name="Normal 5 2 2 5" xfId="0"/>
    <cellStyle name="Normal 5 2 2 5 2" xfId="0"/>
    <cellStyle name="Normal 5 2 2 5 2 2" xfId="0"/>
    <cellStyle name="Normal 5 2 2 5 2 3" xfId="0"/>
    <cellStyle name="Normal 5 2 2 5 3" xfId="0"/>
    <cellStyle name="Normal 5 2 2 5 4" xfId="0"/>
    <cellStyle name="Normal 5 2 2 6" xfId="0"/>
    <cellStyle name="Normal 5 2 2 6 2" xfId="0"/>
    <cellStyle name="Normal 5 2 2 6 2 2" xfId="0"/>
    <cellStyle name="Normal 5 2 2 6 2 3" xfId="0"/>
    <cellStyle name="Normal 5 2 2 6 3" xfId="0"/>
    <cellStyle name="Normal 5 2 2 6 4" xfId="0"/>
    <cellStyle name="Normal 5 2 2 7" xfId="0"/>
    <cellStyle name="Normal 5 2 2 7 2" xfId="0"/>
    <cellStyle name="Normal 5 2 2 7 2 2" xfId="0"/>
    <cellStyle name="Normal 5 2 2 7 2 3" xfId="0"/>
    <cellStyle name="Normal 5 2 2 7 3" xfId="0"/>
    <cellStyle name="Normal 5 2 2 7 4" xfId="0"/>
    <cellStyle name="Normal 5 2 2 8" xfId="0"/>
    <cellStyle name="Normal 5 2 2 8 2" xfId="0"/>
    <cellStyle name="Normal 5 2 2 8 2 2" xfId="0"/>
    <cellStyle name="Normal 5 2 2 8 2 3" xfId="0"/>
    <cellStyle name="Normal 5 2 2 8 3" xfId="0"/>
    <cellStyle name="Normal 5 2 2 8 4" xfId="0"/>
    <cellStyle name="Normal 5 2 2 9" xfId="0"/>
    <cellStyle name="Normal 5 2 2 9 2" xfId="0"/>
    <cellStyle name="Normal 5 2 2 9 2 2" xfId="0"/>
    <cellStyle name="Normal 5 2 2 9 2 3" xfId="0"/>
    <cellStyle name="Normal 5 2 2 9 3" xfId="0"/>
    <cellStyle name="Normal 5 2 2 9 4" xfId="0"/>
    <cellStyle name="Normal 5 2 3" xfId="0"/>
    <cellStyle name="Normal 5 2 3 2" xfId="0"/>
    <cellStyle name="Normal 5 2 4" xfId="0"/>
    <cellStyle name="Normal 5 2 4 2" xfId="0"/>
    <cellStyle name="Normal 5 2 5" xfId="0"/>
    <cellStyle name="Normal 5 2 5 2" xfId="0"/>
    <cellStyle name="Normal 5 2 6" xfId="0"/>
    <cellStyle name="Normal 5 2 6 2" xfId="0"/>
    <cellStyle name="Normal 5 2 7" xfId="0"/>
    <cellStyle name="Normal 5 2 7 2" xfId="0"/>
    <cellStyle name="Normal 5 2 8" xfId="0"/>
    <cellStyle name="Normal 5 2 8 2" xfId="0"/>
    <cellStyle name="Normal 5 2 9" xfId="0"/>
    <cellStyle name="Normal 5 2 9 2" xfId="0"/>
    <cellStyle name="Normal 5 3" xfId="0"/>
    <cellStyle name="Normal 5 3 10" xfId="0"/>
    <cellStyle name="Normal 5 3 2" xfId="0"/>
    <cellStyle name="Normal 5 3 2 2" xfId="0"/>
    <cellStyle name="Normal 5 3 3" xfId="0"/>
    <cellStyle name="Normal 5 3 3 2" xfId="0"/>
    <cellStyle name="Normal 5 3 4" xfId="0"/>
    <cellStyle name="Normal 5 3 4 2" xfId="0"/>
    <cellStyle name="Normal 5 3 5" xfId="0"/>
    <cellStyle name="Normal 5 3 5 2" xfId="0"/>
    <cellStyle name="Normal 5 3 6" xfId="0"/>
    <cellStyle name="Normal 5 3 6 2" xfId="0"/>
    <cellStyle name="Normal 5 3 7" xfId="0"/>
    <cellStyle name="Normal 5 3 7 2" xfId="0"/>
    <cellStyle name="Normal 5 3 8" xfId="0"/>
    <cellStyle name="Normal 5 3 8 2" xfId="0"/>
    <cellStyle name="Normal 5 3 9" xfId="0"/>
    <cellStyle name="Normal 5 4" xfId="0"/>
    <cellStyle name="Normal 5 4 10" xfId="0"/>
    <cellStyle name="Normal 5 4 2" xfId="0"/>
    <cellStyle name="Normal 5 4 2 2" xfId="0"/>
    <cellStyle name="Normal 5 4 3" xfId="0"/>
    <cellStyle name="Normal 5 4 3 2" xfId="0"/>
    <cellStyle name="Normal 5 4 4" xfId="0"/>
    <cellStyle name="Normal 5 4 4 2" xfId="0"/>
    <cellStyle name="Normal 5 4 5" xfId="0"/>
    <cellStyle name="Normal 5 4 5 2" xfId="0"/>
    <cellStyle name="Normal 5 4 6" xfId="0"/>
    <cellStyle name="Normal 5 4 6 2" xfId="0"/>
    <cellStyle name="Normal 5 4 7" xfId="0"/>
    <cellStyle name="Normal 5 4 7 2" xfId="0"/>
    <cellStyle name="Normal 5 4 8" xfId="0"/>
    <cellStyle name="Normal 5 4 8 2" xfId="0"/>
    <cellStyle name="Normal 5 4 9" xfId="0"/>
    <cellStyle name="Normal 5 5" xfId="0"/>
    <cellStyle name="Normal 5 5 2" xfId="0"/>
    <cellStyle name="Normal 5 5 2 2" xfId="0"/>
    <cellStyle name="Normal 5 5 3" xfId="0"/>
    <cellStyle name="Normal 5 5 3 2" xfId="0"/>
    <cellStyle name="Normal 5 5 4" xfId="0"/>
    <cellStyle name="Normal 5 5 4 2" xfId="0"/>
    <cellStyle name="Normal 5 5 5" xfId="0"/>
    <cellStyle name="Normal 5 5 5 2" xfId="0"/>
    <cellStyle name="Normal 5 5 6" xfId="0"/>
    <cellStyle name="Normal 5 5 6 2" xfId="0"/>
    <cellStyle name="Normal 5 5 7" xfId="0"/>
    <cellStyle name="Normal 5 5 7 2" xfId="0"/>
    <cellStyle name="Normal 5 5 8" xfId="0"/>
    <cellStyle name="Normal 5 5 8 2" xfId="0"/>
    <cellStyle name="Normal 5 5 9" xfId="0"/>
    <cellStyle name="Normal 5 6" xfId="0"/>
    <cellStyle name="Normal 5 6 2" xfId="0"/>
    <cellStyle name="Normal 5 7" xfId="0"/>
    <cellStyle name="Normal 5 7 2" xfId="0"/>
    <cellStyle name="Normal 5 8" xfId="0"/>
    <cellStyle name="Normal 5 8 2" xfId="0"/>
    <cellStyle name="Normal 5 9" xfId="0"/>
    <cellStyle name="Normal 5 9 2" xfId="0"/>
    <cellStyle name="Normal 6" xfId="0"/>
    <cellStyle name="Normal 6 10" xfId="0"/>
    <cellStyle name="Normal 6 10 2" xfId="0"/>
    <cellStyle name="Normal 6 11" xfId="0"/>
    <cellStyle name="Normal 6 11 2" xfId="0"/>
    <cellStyle name="Normal 6 12" xfId="0"/>
    <cellStyle name="Normal 6 12 2" xfId="0"/>
    <cellStyle name="Normal 6 13" xfId="0"/>
    <cellStyle name="Normal 6 13 2" xfId="0"/>
    <cellStyle name="Normal 6 14" xfId="0"/>
    <cellStyle name="Normal 6 15" xfId="0"/>
    <cellStyle name="Normal 6 2" xfId="0"/>
    <cellStyle name="Normal 6 2 10" xfId="0"/>
    <cellStyle name="Normal 6 2 2" xfId="0"/>
    <cellStyle name="Normal 6 2 2 10" xfId="0"/>
    <cellStyle name="Normal 6 2 2 10 2" xfId="0"/>
    <cellStyle name="Normal 6 2 2 10 2 2" xfId="0"/>
    <cellStyle name="Normal 6 2 2 10 2 3" xfId="0"/>
    <cellStyle name="Normal 6 2 2 10 3" xfId="0"/>
    <cellStyle name="Normal 6 2 2 10 4" xfId="0"/>
    <cellStyle name="Normal 6 2 2 11" xfId="0"/>
    <cellStyle name="Normal 6 2 2 11 2" xfId="0"/>
    <cellStyle name="Normal 6 2 2 11 2 2" xfId="0"/>
    <cellStyle name="Normal 6 2 2 11 2 3" xfId="0"/>
    <cellStyle name="Normal 6 2 2 11 3" xfId="0"/>
    <cellStyle name="Normal 6 2 2 11 4" xfId="0"/>
    <cellStyle name="Normal 6 2 2 12" xfId="0"/>
    <cellStyle name="Normal 6 2 2 12 2" xfId="0"/>
    <cellStyle name="Normal 6 2 2 12 2 2" xfId="0"/>
    <cellStyle name="Normal 6 2 2 12 2 3" xfId="0"/>
    <cellStyle name="Normal 6 2 2 12 3" xfId="0"/>
    <cellStyle name="Normal 6 2 2 12 4" xfId="0"/>
    <cellStyle name="Normal 6 2 2 13" xfId="0"/>
    <cellStyle name="Normal 6 2 2 13 2" xfId="0"/>
    <cellStyle name="Normal 6 2 2 13 2 2" xfId="0"/>
    <cellStyle name="Normal 6 2 2 13 2 3" xfId="0"/>
    <cellStyle name="Normal 6 2 2 13 3" xfId="0"/>
    <cellStyle name="Normal 6 2 2 13 4" xfId="0"/>
    <cellStyle name="Normal 6 2 2 14" xfId="0"/>
    <cellStyle name="Normal 6 2 2 15" xfId="0"/>
    <cellStyle name="Normal 6 2 2 2" xfId="0"/>
    <cellStyle name="Normal 6 2 2 2 2" xfId="0"/>
    <cellStyle name="Normal 6 2 2 2 2 2" xfId="0"/>
    <cellStyle name="Normal 6 2 2 2 2 3" xfId="0"/>
    <cellStyle name="Normal 6 2 2 2 3" xfId="0"/>
    <cellStyle name="Normal 6 2 2 2 4" xfId="0"/>
    <cellStyle name="Normal 6 2 2 3" xfId="0"/>
    <cellStyle name="Normal 6 2 2 3 2" xfId="0"/>
    <cellStyle name="Normal 6 2 2 3 2 2" xfId="0"/>
    <cellStyle name="Normal 6 2 2 3 2 3" xfId="0"/>
    <cellStyle name="Normal 6 2 2 3 3" xfId="0"/>
    <cellStyle name="Normal 6 2 2 3 4" xfId="0"/>
    <cellStyle name="Normal 6 2 2 4" xfId="0"/>
    <cellStyle name="Normal 6 2 2 4 2" xfId="0"/>
    <cellStyle name="Normal 6 2 2 4 2 2" xfId="0"/>
    <cellStyle name="Normal 6 2 2 4 2 3" xfId="0"/>
    <cellStyle name="Normal 6 2 2 4 3" xfId="0"/>
    <cellStyle name="Normal 6 2 2 4 4" xfId="0"/>
    <cellStyle name="Normal 6 2 2 5" xfId="0"/>
    <cellStyle name="Normal 6 2 2 5 2" xfId="0"/>
    <cellStyle name="Normal 6 2 2 5 2 2" xfId="0"/>
    <cellStyle name="Normal 6 2 2 5 2 3" xfId="0"/>
    <cellStyle name="Normal 6 2 2 5 3" xfId="0"/>
    <cellStyle name="Normal 6 2 2 5 4" xfId="0"/>
    <cellStyle name="Normal 6 2 2 6" xfId="0"/>
    <cellStyle name="Normal 6 2 2 6 2" xfId="0"/>
    <cellStyle name="Normal 6 2 2 6 2 2" xfId="0"/>
    <cellStyle name="Normal 6 2 2 6 2 3" xfId="0"/>
    <cellStyle name="Normal 6 2 2 6 3" xfId="0"/>
    <cellStyle name="Normal 6 2 2 6 4" xfId="0"/>
    <cellStyle name="Normal 6 2 2 7" xfId="0"/>
    <cellStyle name="Normal 6 2 2 7 2" xfId="0"/>
    <cellStyle name="Normal 6 2 2 7 2 2" xfId="0"/>
    <cellStyle name="Normal 6 2 2 7 2 3" xfId="0"/>
    <cellStyle name="Normal 6 2 2 7 3" xfId="0"/>
    <cellStyle name="Normal 6 2 2 7 4" xfId="0"/>
    <cellStyle name="Normal 6 2 2 8" xfId="0"/>
    <cellStyle name="Normal 6 2 2 8 2" xfId="0"/>
    <cellStyle name="Normal 6 2 2 8 2 2" xfId="0"/>
    <cellStyle name="Normal 6 2 2 8 2 3" xfId="0"/>
    <cellStyle name="Normal 6 2 2 8 3" xfId="0"/>
    <cellStyle name="Normal 6 2 2 8 4" xfId="0"/>
    <cellStyle name="Normal 6 2 2 9" xfId="0"/>
    <cellStyle name="Normal 6 2 2 9 2" xfId="0"/>
    <cellStyle name="Normal 6 2 2 9 2 2" xfId="0"/>
    <cellStyle name="Normal 6 2 2 9 2 3" xfId="0"/>
    <cellStyle name="Normal 6 2 2 9 3" xfId="0"/>
    <cellStyle name="Normal 6 2 2 9 4" xfId="0"/>
    <cellStyle name="Normal 6 2 3" xfId="0"/>
    <cellStyle name="Normal 6 2 3 2" xfId="0"/>
    <cellStyle name="Normal 6 2 4" xfId="0"/>
    <cellStyle name="Normal 6 2 4 2" xfId="0"/>
    <cellStyle name="Normal 6 2 5" xfId="0"/>
    <cellStyle name="Normal 6 2 5 2" xfId="0"/>
    <cellStyle name="Normal 6 2 6" xfId="0"/>
    <cellStyle name="Normal 6 2 6 2" xfId="0"/>
    <cellStyle name="Normal 6 2 7" xfId="0"/>
    <cellStyle name="Normal 6 2 7 2" xfId="0"/>
    <cellStyle name="Normal 6 2 8" xfId="0"/>
    <cellStyle name="Normal 6 2 8 2" xfId="0"/>
    <cellStyle name="Normal 6 2 9" xfId="0"/>
    <cellStyle name="Normal 6 3" xfId="0"/>
    <cellStyle name="Normal 6 3 10" xfId="0"/>
    <cellStyle name="Normal 6 3 2" xfId="0"/>
    <cellStyle name="Normal 6 3 2 2" xfId="0"/>
    <cellStyle name="Normal 6 3 3" xfId="0"/>
    <cellStyle name="Normal 6 3 3 2" xfId="0"/>
    <cellStyle name="Normal 6 3 4" xfId="0"/>
    <cellStyle name="Normal 6 3 4 2" xfId="0"/>
    <cellStyle name="Normal 6 3 5" xfId="0"/>
    <cellStyle name="Normal 6 3 5 2" xfId="0"/>
    <cellStyle name="Normal 6 3 6" xfId="0"/>
    <cellStyle name="Normal 6 3 6 2" xfId="0"/>
    <cellStyle name="Normal 6 3 7" xfId="0"/>
    <cellStyle name="Normal 6 3 7 2" xfId="0"/>
    <cellStyle name="Normal 6 3 8" xfId="0"/>
    <cellStyle name="Normal 6 3 8 2" xfId="0"/>
    <cellStyle name="Normal 6 3 9" xfId="0"/>
    <cellStyle name="Normal 6 4" xfId="0"/>
    <cellStyle name="Normal 6 4 10" xfId="0"/>
    <cellStyle name="Normal 6 4 2" xfId="0"/>
    <cellStyle name="Normal 6 4 2 2" xfId="0"/>
    <cellStyle name="Normal 6 4 3" xfId="0"/>
    <cellStyle name="Normal 6 4 3 2" xfId="0"/>
    <cellStyle name="Normal 6 4 4" xfId="0"/>
    <cellStyle name="Normal 6 4 4 2" xfId="0"/>
    <cellStyle name="Normal 6 4 5" xfId="0"/>
    <cellStyle name="Normal 6 4 5 2" xfId="0"/>
    <cellStyle name="Normal 6 4 6" xfId="0"/>
    <cellStyle name="Normal 6 4 6 2" xfId="0"/>
    <cellStyle name="Normal 6 4 7" xfId="0"/>
    <cellStyle name="Normal 6 4 7 2" xfId="0"/>
    <cellStyle name="Normal 6 4 8" xfId="0"/>
    <cellStyle name="Normal 6 4 8 2" xfId="0"/>
    <cellStyle name="Normal 6 4 9" xfId="0"/>
    <cellStyle name="Normal 6 5" xfId="0"/>
    <cellStyle name="Normal 6 5 2" xfId="0"/>
    <cellStyle name="Normal 6 5 2 2" xfId="0"/>
    <cellStyle name="Normal 6 5 3" xfId="0"/>
    <cellStyle name="Normal 6 5 3 2" xfId="0"/>
    <cellStyle name="Normal 6 5 4" xfId="0"/>
    <cellStyle name="Normal 6 5 4 2" xfId="0"/>
    <cellStyle name="Normal 6 5 5" xfId="0"/>
    <cellStyle name="Normal 6 5 5 2" xfId="0"/>
    <cellStyle name="Normal 6 5 6" xfId="0"/>
    <cellStyle name="Normal 6 5 6 2" xfId="0"/>
    <cellStyle name="Normal 6 5 7" xfId="0"/>
    <cellStyle name="Normal 6 5 7 2" xfId="0"/>
    <cellStyle name="Normal 6 5 8" xfId="0"/>
    <cellStyle name="Normal 6 5 8 2" xfId="0"/>
    <cellStyle name="Normal 6 5 9" xfId="0"/>
    <cellStyle name="Normal 6 6" xfId="0"/>
    <cellStyle name="Normal 6 6 2" xfId="0"/>
    <cellStyle name="Normal 6 7" xfId="0"/>
    <cellStyle name="Normal 6 7 2" xfId="0"/>
    <cellStyle name="Normal 6 8" xfId="0"/>
    <cellStyle name="Normal 6 8 2" xfId="0"/>
    <cellStyle name="Normal 6 9" xfId="0"/>
    <cellStyle name="Normal 6 9 2" xfId="0"/>
    <cellStyle name="Normal 7" xfId="0"/>
    <cellStyle name="Normal 7 10" xfId="0"/>
    <cellStyle name="Normal 7 10 2" xfId="0"/>
    <cellStyle name="Normal 7 11" xfId="0"/>
    <cellStyle name="Normal 7 11 2" xfId="0"/>
    <cellStyle name="Normal 7 12" xfId="0"/>
    <cellStyle name="Normal 7 12 2" xfId="0"/>
    <cellStyle name="Normal 7 13" xfId="0"/>
    <cellStyle name="Normal 7 14" xfId="0"/>
    <cellStyle name="Normal 7 2" xfId="0"/>
    <cellStyle name="Normal 7 2 10" xfId="0"/>
    <cellStyle name="Normal 7 2 2" xfId="0"/>
    <cellStyle name="Normal 7 2 2 2" xfId="0"/>
    <cellStyle name="Normal 7 2 3" xfId="0"/>
    <cellStyle name="Normal 7 2 3 2" xfId="0"/>
    <cellStyle name="Normal 7 2 4" xfId="0"/>
    <cellStyle name="Normal 7 2 4 2" xfId="0"/>
    <cellStyle name="Normal 7 2 5" xfId="0"/>
    <cellStyle name="Normal 7 2 5 2" xfId="0"/>
    <cellStyle name="Normal 7 2 6" xfId="0"/>
    <cellStyle name="Normal 7 2 6 2" xfId="0"/>
    <cellStyle name="Normal 7 2 7" xfId="0"/>
    <cellStyle name="Normal 7 2 7 2" xfId="0"/>
    <cellStyle name="Normal 7 2 8" xfId="0"/>
    <cellStyle name="Normal 7 2 8 2" xfId="0"/>
    <cellStyle name="Normal 7 2 9" xfId="0"/>
    <cellStyle name="Normal 7 3" xfId="0"/>
    <cellStyle name="Normal 7 3 2" xfId="0"/>
    <cellStyle name="Normal 7 3 2 2" xfId="0"/>
    <cellStyle name="Normal 7 3 3" xfId="0"/>
    <cellStyle name="Normal 7 3 3 2" xfId="0"/>
    <cellStyle name="Normal 7 3 4" xfId="0"/>
    <cellStyle name="Normal 7 3 4 2" xfId="0"/>
    <cellStyle name="Normal 7 3 5" xfId="0"/>
    <cellStyle name="Normal 7 3 5 2" xfId="0"/>
    <cellStyle name="Normal 7 3 6" xfId="0"/>
    <cellStyle name="Normal 7 3 6 2" xfId="0"/>
    <cellStyle name="Normal 7 3 7" xfId="0"/>
    <cellStyle name="Normal 7 3 7 2" xfId="0"/>
    <cellStyle name="Normal 7 3 8" xfId="0"/>
    <cellStyle name="Normal 7 3 8 2" xfId="0"/>
    <cellStyle name="Normal 7 3 9" xfId="0"/>
    <cellStyle name="Normal 7 4" xfId="0"/>
    <cellStyle name="Normal 7 4 2" xfId="0"/>
    <cellStyle name="Normal 7 4 2 2" xfId="0"/>
    <cellStyle name="Normal 7 4 3" xfId="0"/>
    <cellStyle name="Normal 7 4 3 2" xfId="0"/>
    <cellStyle name="Normal 7 4 4" xfId="0"/>
    <cellStyle name="Normal 7 4 4 2" xfId="0"/>
    <cellStyle name="Normal 7 4 5" xfId="0"/>
    <cellStyle name="Normal 7 4 5 2" xfId="0"/>
    <cellStyle name="Normal 7 4 6" xfId="0"/>
    <cellStyle name="Normal 7 4 6 2" xfId="0"/>
    <cellStyle name="Normal 7 4 7" xfId="0"/>
    <cellStyle name="Normal 7 4 7 2" xfId="0"/>
    <cellStyle name="Normal 7 4 8" xfId="0"/>
    <cellStyle name="Normal 7 4 8 2" xfId="0"/>
    <cellStyle name="Normal 7 4 9" xfId="0"/>
    <cellStyle name="Normal 7 5" xfId="0"/>
    <cellStyle name="Normal 7 5 2" xfId="0"/>
    <cellStyle name="Normal 7 5 2 2" xfId="0"/>
    <cellStyle name="Normal 7 5 3" xfId="0"/>
    <cellStyle name="Normal 7 5 3 2" xfId="0"/>
    <cellStyle name="Normal 7 5 4" xfId="0"/>
    <cellStyle name="Normal 7 5 4 2" xfId="0"/>
    <cellStyle name="Normal 7 5 5" xfId="0"/>
    <cellStyle name="Normal 7 5 5 2" xfId="0"/>
    <cellStyle name="Normal 7 5 6" xfId="0"/>
    <cellStyle name="Normal 7 5 6 2" xfId="0"/>
    <cellStyle name="Normal 7 5 7" xfId="0"/>
    <cellStyle name="Normal 7 5 7 2" xfId="0"/>
    <cellStyle name="Normal 7 5 8" xfId="0"/>
    <cellStyle name="Normal 7 5 8 2" xfId="0"/>
    <cellStyle name="Normal 7 5 9" xfId="0"/>
    <cellStyle name="Normal 7 6" xfId="0"/>
    <cellStyle name="Normal 7 6 2" xfId="0"/>
    <cellStyle name="Normal 7 7" xfId="0"/>
    <cellStyle name="Normal 7 7 2" xfId="0"/>
    <cellStyle name="Normal 7 8" xfId="0"/>
    <cellStyle name="Normal 7 8 2" xfId="0"/>
    <cellStyle name="Normal 7 9" xfId="0"/>
    <cellStyle name="Normal 7 9 2" xfId="0"/>
    <cellStyle name="Normal 8" xfId="0"/>
    <cellStyle name="Normal 8 10" xfId="0"/>
    <cellStyle name="Normal 8 10 2" xfId="0"/>
    <cellStyle name="Normal 8 11" xfId="0"/>
    <cellStyle name="Normal 8 11 2" xfId="0"/>
    <cellStyle name="Normal 8 12" xfId="0"/>
    <cellStyle name="Normal 8 12 2" xfId="0"/>
    <cellStyle name="Normal 8 13" xfId="0"/>
    <cellStyle name="Normal 8 14" xfId="0"/>
    <cellStyle name="Normal 8 2" xfId="0"/>
    <cellStyle name="Normal 8 2 10" xfId="0"/>
    <cellStyle name="Normal 8 2 2" xfId="0"/>
    <cellStyle name="Normal 8 2 2 2" xfId="0"/>
    <cellStyle name="Normal 8 2 3" xfId="0"/>
    <cellStyle name="Normal 8 2 3 2" xfId="0"/>
    <cellStyle name="Normal 8 2 4" xfId="0"/>
    <cellStyle name="Normal 8 2 4 2" xfId="0"/>
    <cellStyle name="Normal 8 2 5" xfId="0"/>
    <cellStyle name="Normal 8 2 5 2" xfId="0"/>
    <cellStyle name="Normal 8 2 6" xfId="0"/>
    <cellStyle name="Normal 8 2 6 2" xfId="0"/>
    <cellStyle name="Normal 8 2 7" xfId="0"/>
    <cellStyle name="Normal 8 2 7 2" xfId="0"/>
    <cellStyle name="Normal 8 2 8" xfId="0"/>
    <cellStyle name="Normal 8 2 8 2" xfId="0"/>
    <cellStyle name="Normal 8 2 9" xfId="0"/>
    <cellStyle name="Normal 8 3" xfId="0"/>
    <cellStyle name="Normal 8 3 2" xfId="0"/>
    <cellStyle name="Normal 8 3 2 2" xfId="0"/>
    <cellStyle name="Normal 8 3 3" xfId="0"/>
    <cellStyle name="Normal 8 3 3 2" xfId="0"/>
    <cellStyle name="Normal 8 3 4" xfId="0"/>
    <cellStyle name="Normal 8 3 4 2" xfId="0"/>
    <cellStyle name="Normal 8 3 5" xfId="0"/>
    <cellStyle name="Normal 8 3 5 2" xfId="0"/>
    <cellStyle name="Normal 8 3 6" xfId="0"/>
    <cellStyle name="Normal 8 3 6 2" xfId="0"/>
    <cellStyle name="Normal 8 3 7" xfId="0"/>
    <cellStyle name="Normal 8 3 7 2" xfId="0"/>
    <cellStyle name="Normal 8 3 8" xfId="0"/>
    <cellStyle name="Normal 8 3 8 2" xfId="0"/>
    <cellStyle name="Normal 8 3 9" xfId="0"/>
    <cellStyle name="Normal 8 4" xfId="0"/>
    <cellStyle name="Normal 8 4 2" xfId="0"/>
    <cellStyle name="Normal 8 4 2 2" xfId="0"/>
    <cellStyle name="Normal 8 4 3" xfId="0"/>
    <cellStyle name="Normal 8 4 3 2" xfId="0"/>
    <cellStyle name="Normal 8 4 4" xfId="0"/>
    <cellStyle name="Normal 8 4 4 2" xfId="0"/>
    <cellStyle name="Normal 8 4 5" xfId="0"/>
    <cellStyle name="Normal 8 4 5 2" xfId="0"/>
    <cellStyle name="Normal 8 4 6" xfId="0"/>
    <cellStyle name="Normal 8 4 6 2" xfId="0"/>
    <cellStyle name="Normal 8 4 7" xfId="0"/>
    <cellStyle name="Normal 8 4 7 2" xfId="0"/>
    <cellStyle name="Normal 8 4 8" xfId="0"/>
    <cellStyle name="Normal 8 4 8 2" xfId="0"/>
    <cellStyle name="Normal 8 4 9" xfId="0"/>
    <cellStyle name="Normal 8 5" xfId="0"/>
    <cellStyle name="Normal 8 5 2" xfId="0"/>
    <cellStyle name="Normal 8 5 2 2" xfId="0"/>
    <cellStyle name="Normal 8 5 3" xfId="0"/>
    <cellStyle name="Normal 8 5 3 2" xfId="0"/>
    <cellStyle name="Normal 8 5 4" xfId="0"/>
    <cellStyle name="Normal 8 5 4 2" xfId="0"/>
    <cellStyle name="Normal 8 5 5" xfId="0"/>
    <cellStyle name="Normal 8 5 5 2" xfId="0"/>
    <cellStyle name="Normal 8 5 6" xfId="0"/>
    <cellStyle name="Normal 8 5 6 2" xfId="0"/>
    <cellStyle name="Normal 8 5 7" xfId="0"/>
    <cellStyle name="Normal 8 5 7 2" xfId="0"/>
    <cellStyle name="Normal 8 5 8" xfId="0"/>
    <cellStyle name="Normal 8 5 8 2" xfId="0"/>
    <cellStyle name="Normal 8 5 9" xfId="0"/>
    <cellStyle name="Normal 8 6" xfId="0"/>
    <cellStyle name="Normal 8 6 2" xfId="0"/>
    <cellStyle name="Normal 8 7" xfId="0"/>
    <cellStyle name="Normal 8 7 2" xfId="0"/>
    <cellStyle name="Normal 8 8" xfId="0"/>
    <cellStyle name="Normal 8 8 2" xfId="0"/>
    <cellStyle name="Normal 8 9" xfId="0"/>
    <cellStyle name="Normal 8 9 2" xfId="0"/>
    <cellStyle name="Normal 9" xfId="0"/>
    <cellStyle name="Normal 9 10" xfId="0"/>
    <cellStyle name="Normal 9 2" xfId="0"/>
    <cellStyle name="Normal 9 2 2" xfId="0"/>
    <cellStyle name="Normal 9 3" xfId="0"/>
    <cellStyle name="Normal 9 3 2" xfId="0"/>
    <cellStyle name="Normal 9 4" xfId="0"/>
    <cellStyle name="Normal 9 4 2" xfId="0"/>
    <cellStyle name="Normal 9 5" xfId="0"/>
    <cellStyle name="Normal 9 5 2" xfId="0"/>
    <cellStyle name="Normal 9 6" xfId="0"/>
    <cellStyle name="Normal 9 6 2" xfId="0"/>
    <cellStyle name="Normal 9 7" xfId="0"/>
    <cellStyle name="Normal 9 7 2" xfId="0"/>
    <cellStyle name="Normal 9 8" xfId="0"/>
    <cellStyle name="Normal 9 8 2" xfId="0"/>
    <cellStyle name="Normal 9 9" xfId="0"/>
    <cellStyle name="Normal GHG Numbers (0.00)" xfId="0"/>
    <cellStyle name="Normal GHG Textfiels Bold" xfId="0"/>
    <cellStyle name="Normal GHG-Shade" xfId="0"/>
    <cellStyle name="Normal GHG-Shade 2" xfId="0"/>
    <cellStyle name="Normal GHG-Shade 2 2" xfId="0"/>
    <cellStyle name="Normal GHG-Shade 3" xfId="0"/>
    <cellStyle name="Normale_B2020" xfId="0"/>
    <cellStyle name="Note 2" xfId="0"/>
    <cellStyle name="Note 2 10" xfId="0"/>
    <cellStyle name="Note 2 10 2" xfId="0"/>
    <cellStyle name="Note 2 11" xfId="0"/>
    <cellStyle name="Note 2 11 2" xfId="0"/>
    <cellStyle name="Note 2 12" xfId="0"/>
    <cellStyle name="Note 2 12 2" xfId="0"/>
    <cellStyle name="Note 2 13" xfId="0"/>
    <cellStyle name="Note 2 13 2" xfId="0"/>
    <cellStyle name="Note 2 14" xfId="0"/>
    <cellStyle name="Note 2 14 2" xfId="0"/>
    <cellStyle name="Note 2 15" xfId="0"/>
    <cellStyle name="Note 2 15 2" xfId="0"/>
    <cellStyle name="Note 2 16" xfId="0"/>
    <cellStyle name="Note 2 17" xfId="0"/>
    <cellStyle name="Note 2 2" xfId="0"/>
    <cellStyle name="Note 2 2 2" xfId="0"/>
    <cellStyle name="Note 2 2 2 2" xfId="0"/>
    <cellStyle name="Note 2 3" xfId="0"/>
    <cellStyle name="Note 2 3 2" xfId="0"/>
    <cellStyle name="Note 2 4" xfId="0"/>
    <cellStyle name="Note 2 4 2" xfId="0"/>
    <cellStyle name="Note 2 5" xfId="0"/>
    <cellStyle name="Note 2 5 2" xfId="0"/>
    <cellStyle name="Note 2 6" xfId="0"/>
    <cellStyle name="Note 2 6 2" xfId="0"/>
    <cellStyle name="Note 2 7" xfId="0"/>
    <cellStyle name="Note 2 7 2" xfId="0"/>
    <cellStyle name="Note 2 8" xfId="0"/>
    <cellStyle name="Note 2 8 2" xfId="0"/>
    <cellStyle name="Note 2 9" xfId="0"/>
    <cellStyle name="Note 2 9 2" xfId="0"/>
    <cellStyle name="Note 3" xfId="0"/>
    <cellStyle name="Note 3 2" xfId="0"/>
    <cellStyle name="Note 3 2 2" xfId="0"/>
    <cellStyle name="Note 3 2 3" xfId="0"/>
    <cellStyle name="Note 3 3" xfId="0"/>
    <cellStyle name="Note 4" xfId="0"/>
    <cellStyle name="Note 4 2" xfId="0"/>
    <cellStyle name="Note 5" xfId="0"/>
    <cellStyle name="Note 5 2" xfId="0"/>
    <cellStyle name="Note 6" xfId="0"/>
    <cellStyle name="Note 6 2" xfId="0"/>
    <cellStyle name="Note 7" xfId="0"/>
    <cellStyle name="Note 7 2" xfId="0"/>
    <cellStyle name="Note 8" xfId="0"/>
    <cellStyle name="Note 8 2" xfId="0"/>
    <cellStyle name="num_note" xfId="0"/>
    <cellStyle name="Nuovo" xfId="0"/>
    <cellStyle name="Nuovo 2" xfId="0"/>
    <cellStyle name="Output 2" xfId="0"/>
    <cellStyle name="Output 2 10" xfId="0"/>
    <cellStyle name="Output 2 2" xfId="0"/>
    <cellStyle name="Output 2 3" xfId="0"/>
    <cellStyle name="Output 2 4" xfId="0"/>
    <cellStyle name="Output 2 5" xfId="0"/>
    <cellStyle name="Output 2 6" xfId="0"/>
    <cellStyle name="Output 2 7" xfId="0"/>
    <cellStyle name="Output 2 8" xfId="0"/>
    <cellStyle name="Output 2 9" xfId="0"/>
    <cellStyle name="Output 3" xfId="0"/>
    <cellStyle name="Output 3 2" xfId="0"/>
    <cellStyle name="Percent 10" xfId="0"/>
    <cellStyle name="Percent 10 2" xfId="0"/>
    <cellStyle name="Percent 10 2 2" xfId="0"/>
    <cellStyle name="Percent 10 3" xfId="0"/>
    <cellStyle name="Percent 10 3 2" xfId="0"/>
    <cellStyle name="Percent 10 4" xfId="0"/>
    <cellStyle name="Percent 10 4 2" xfId="0"/>
    <cellStyle name="Percent 10 5" xfId="0"/>
    <cellStyle name="Percent 10 5 2" xfId="0"/>
    <cellStyle name="Percent 10 6" xfId="0"/>
    <cellStyle name="Percent 10 6 2" xfId="0"/>
    <cellStyle name="Percent 10 7" xfId="0"/>
    <cellStyle name="Percent 10 7 2" xfId="0"/>
    <cellStyle name="Percent 10 8" xfId="0"/>
    <cellStyle name="Percent 10 8 2" xfId="0"/>
    <cellStyle name="Percent 10 9" xfId="0"/>
    <cellStyle name="Percent 11" xfId="0"/>
    <cellStyle name="Percent 11 2" xfId="0"/>
    <cellStyle name="Percent 11 2 2" xfId="0"/>
    <cellStyle name="Percent 11 3" xfId="0"/>
    <cellStyle name="Percent 11 3 2" xfId="0"/>
    <cellStyle name="Percent 11 4" xfId="0"/>
    <cellStyle name="Percent 11 4 2" xfId="0"/>
    <cellStyle name="Percent 11 5" xfId="0"/>
    <cellStyle name="Percent 11 5 2" xfId="0"/>
    <cellStyle name="Percent 11 6" xfId="0"/>
    <cellStyle name="Percent 11 6 2" xfId="0"/>
    <cellStyle name="Percent 11 7" xfId="0"/>
    <cellStyle name="Percent 11 7 2" xfId="0"/>
    <cellStyle name="Percent 11 8" xfId="0"/>
    <cellStyle name="Percent 11 8 2" xfId="0"/>
    <cellStyle name="Percent 11 9" xfId="0"/>
    <cellStyle name="Percent 12" xfId="0"/>
    <cellStyle name="Percent 12 2" xfId="0"/>
    <cellStyle name="Percent 12 2 2" xfId="0"/>
    <cellStyle name="Percent 12 3" xfId="0"/>
    <cellStyle name="Percent 12 3 2" xfId="0"/>
    <cellStyle name="Percent 12 4" xfId="0"/>
    <cellStyle name="Percent 12 4 2" xfId="0"/>
    <cellStyle name="Percent 12 5" xfId="0"/>
    <cellStyle name="Percent 12 5 2" xfId="0"/>
    <cellStyle name="Percent 12 6" xfId="0"/>
    <cellStyle name="Percent 12 6 2" xfId="0"/>
    <cellStyle name="Percent 12 7" xfId="0"/>
    <cellStyle name="Percent 12 7 2" xfId="0"/>
    <cellStyle name="Percent 12 8" xfId="0"/>
    <cellStyle name="Percent 12 8 2" xfId="0"/>
    <cellStyle name="Percent 12 9" xfId="0"/>
    <cellStyle name="Percent 13" xfId="0"/>
    <cellStyle name="Percent 13 2" xfId="0"/>
    <cellStyle name="Percent 13 2 2" xfId="0"/>
    <cellStyle name="Percent 13 3" xfId="0"/>
    <cellStyle name="Percent 13 3 2" xfId="0"/>
    <cellStyle name="Percent 13 4" xfId="0"/>
    <cellStyle name="Percent 13 4 2" xfId="0"/>
    <cellStyle name="Percent 13 5" xfId="0"/>
    <cellStyle name="Percent 13 5 2" xfId="0"/>
    <cellStyle name="Percent 13 6" xfId="0"/>
    <cellStyle name="Percent 13 6 2" xfId="0"/>
    <cellStyle name="Percent 13 7" xfId="0"/>
    <cellStyle name="Percent 13 7 2" xfId="0"/>
    <cellStyle name="Percent 13 8" xfId="0"/>
    <cellStyle name="Percent 13 8 2" xfId="0"/>
    <cellStyle name="Percent 13 9" xfId="0"/>
    <cellStyle name="Percent 14" xfId="0"/>
    <cellStyle name="Percent 14 2" xfId="0"/>
    <cellStyle name="Percent 14 2 2" xfId="0"/>
    <cellStyle name="Percent 14 3" xfId="0"/>
    <cellStyle name="Percent 14 3 2" xfId="0"/>
    <cellStyle name="Percent 14 4" xfId="0"/>
    <cellStyle name="Percent 14 4 2" xfId="0"/>
    <cellStyle name="Percent 14 5" xfId="0"/>
    <cellStyle name="Percent 14 5 2" xfId="0"/>
    <cellStyle name="Percent 14 6" xfId="0"/>
    <cellStyle name="Percent 14 6 2" xfId="0"/>
    <cellStyle name="Percent 14 7" xfId="0"/>
    <cellStyle name="Percent 14 7 2" xfId="0"/>
    <cellStyle name="Percent 14 8" xfId="0"/>
    <cellStyle name="Percent 14 8 2" xfId="0"/>
    <cellStyle name="Percent 14 9" xfId="0"/>
    <cellStyle name="Percent 15" xfId="0"/>
    <cellStyle name="Percent 15 10" xfId="0"/>
    <cellStyle name="Percent 15 10 2" xfId="0"/>
    <cellStyle name="Percent 15 11" xfId="0"/>
    <cellStyle name="Percent 15 11 2" xfId="0"/>
    <cellStyle name="Percent 15 12" xfId="0"/>
    <cellStyle name="Percent 15 12 2" xfId="0"/>
    <cellStyle name="Percent 15 13" xfId="0"/>
    <cellStyle name="Percent 15 13 2" xfId="0"/>
    <cellStyle name="Percent 15 14" xfId="0"/>
    <cellStyle name="Percent 15 14 2" xfId="0"/>
    <cellStyle name="Percent 15 2" xfId="0"/>
    <cellStyle name="Percent 15 2 2" xfId="0"/>
    <cellStyle name="Percent 15 2 3" xfId="0"/>
    <cellStyle name="Percent 15 2 4" xfId="0"/>
    <cellStyle name="Percent 15 2 5" xfId="0"/>
    <cellStyle name="Percent 15 2 6" xfId="0"/>
    <cellStyle name="Percent 15 2 7" xfId="0"/>
    <cellStyle name="Percent 15 2 8" xfId="0"/>
    <cellStyle name="Percent 15 3" xfId="0"/>
    <cellStyle name="Percent 15 4" xfId="0"/>
    <cellStyle name="Percent 15 4 2" xfId="0"/>
    <cellStyle name="Percent 15 5" xfId="0"/>
    <cellStyle name="Percent 15 6" xfId="0"/>
    <cellStyle name="Percent 15 7" xfId="0"/>
    <cellStyle name="Percent 15 8" xfId="0"/>
    <cellStyle name="Percent 15 9" xfId="0"/>
    <cellStyle name="Percent 15 9 2" xfId="0"/>
    <cellStyle name="Percent 16 2" xfId="0"/>
    <cellStyle name="Percent 16 3" xfId="0"/>
    <cellStyle name="Percent 16 3 10" xfId="0"/>
    <cellStyle name="Percent 16 3 10 2" xfId="0"/>
    <cellStyle name="Percent 16 3 11" xfId="0"/>
    <cellStyle name="Percent 16 3 11 2" xfId="0"/>
    <cellStyle name="Percent 16 3 12" xfId="0"/>
    <cellStyle name="Percent 16 3 12 2" xfId="0"/>
    <cellStyle name="Percent 16 3 13" xfId="0"/>
    <cellStyle name="Percent 16 3 13 2" xfId="0"/>
    <cellStyle name="Percent 16 3 14" xfId="0"/>
    <cellStyle name="Percent 16 3 14 2" xfId="0"/>
    <cellStyle name="Percent 16 3 15" xfId="0"/>
    <cellStyle name="Percent 16 3 15 2" xfId="0"/>
    <cellStyle name="Percent 16 3 16" xfId="0"/>
    <cellStyle name="Percent 16 3 16 2" xfId="0"/>
    <cellStyle name="Percent 16 3 17" xfId="0"/>
    <cellStyle name="Percent 16 3 17 2" xfId="0"/>
    <cellStyle name="Percent 16 3 18" xfId="0"/>
    <cellStyle name="Percent 16 3 2" xfId="0"/>
    <cellStyle name="Percent 16 3 2 2" xfId="0"/>
    <cellStyle name="Percent 16 3 3" xfId="0"/>
    <cellStyle name="Percent 16 3 3 2" xfId="0"/>
    <cellStyle name="Percent 16 3 4" xfId="0"/>
    <cellStyle name="Percent 16 3 4 2" xfId="0"/>
    <cellStyle name="Percent 16 3 5" xfId="0"/>
    <cellStyle name="Percent 16 3 5 2" xfId="0"/>
    <cellStyle name="Percent 16 3 6" xfId="0"/>
    <cellStyle name="Percent 16 3 6 2" xfId="0"/>
    <cellStyle name="Percent 16 3 7" xfId="0"/>
    <cellStyle name="Percent 16 3 7 2" xfId="0"/>
    <cellStyle name="Percent 16 3 8" xfId="0"/>
    <cellStyle name="Percent 16 3 8 2" xfId="0"/>
    <cellStyle name="Percent 16 3 9" xfId="0"/>
    <cellStyle name="Percent 16 3 9 2" xfId="0"/>
    <cellStyle name="Percent 16 4" xfId="0"/>
    <cellStyle name="Percent 16 4 10" xfId="0"/>
    <cellStyle name="Percent 16 4 10 2" xfId="0"/>
    <cellStyle name="Percent 16 4 11" xfId="0"/>
    <cellStyle name="Percent 16 4 11 2" xfId="0"/>
    <cellStyle name="Percent 16 4 12" xfId="0"/>
    <cellStyle name="Percent 16 4 12 2" xfId="0"/>
    <cellStyle name="Percent 16 4 13" xfId="0"/>
    <cellStyle name="Percent 16 4 13 2" xfId="0"/>
    <cellStyle name="Percent 16 4 14" xfId="0"/>
    <cellStyle name="Percent 16 4 14 2" xfId="0"/>
    <cellStyle name="Percent 16 4 15" xfId="0"/>
    <cellStyle name="Percent 16 4 15 2" xfId="0"/>
    <cellStyle name="Percent 16 4 16" xfId="0"/>
    <cellStyle name="Percent 16 4 16 2" xfId="0"/>
    <cellStyle name="Percent 16 4 17" xfId="0"/>
    <cellStyle name="Percent 16 4 17 2" xfId="0"/>
    <cellStyle name="Percent 16 4 18" xfId="0"/>
    <cellStyle name="Percent 16 4 2" xfId="0"/>
    <cellStyle name="Percent 16 4 2 2" xfId="0"/>
    <cellStyle name="Percent 16 4 3" xfId="0"/>
    <cellStyle name="Percent 16 4 3 2" xfId="0"/>
    <cellStyle name="Percent 16 4 4" xfId="0"/>
    <cellStyle name="Percent 16 4 4 2" xfId="0"/>
    <cellStyle name="Percent 16 4 5" xfId="0"/>
    <cellStyle name="Percent 16 4 5 2" xfId="0"/>
    <cellStyle name="Percent 16 4 6" xfId="0"/>
    <cellStyle name="Percent 16 4 6 2" xfId="0"/>
    <cellStyle name="Percent 16 4 7" xfId="0"/>
    <cellStyle name="Percent 16 4 7 2" xfId="0"/>
    <cellStyle name="Percent 16 4 8" xfId="0"/>
    <cellStyle name="Percent 16 4 8 2" xfId="0"/>
    <cellStyle name="Percent 16 4 9" xfId="0"/>
    <cellStyle name="Percent 16 4 9 2" xfId="0"/>
    <cellStyle name="Percent 16 5" xfId="0"/>
    <cellStyle name="Percent 16 5 10" xfId="0"/>
    <cellStyle name="Percent 16 5 10 2" xfId="0"/>
    <cellStyle name="Percent 16 5 11" xfId="0"/>
    <cellStyle name="Percent 16 5 11 2" xfId="0"/>
    <cellStyle name="Percent 16 5 12" xfId="0"/>
    <cellStyle name="Percent 16 5 12 2" xfId="0"/>
    <cellStyle name="Percent 16 5 13" xfId="0"/>
    <cellStyle name="Percent 16 5 13 2" xfId="0"/>
    <cellStyle name="Percent 16 5 14" xfId="0"/>
    <cellStyle name="Percent 16 5 14 2" xfId="0"/>
    <cellStyle name="Percent 16 5 15" xfId="0"/>
    <cellStyle name="Percent 16 5 15 2" xfId="0"/>
    <cellStyle name="Percent 16 5 16" xfId="0"/>
    <cellStyle name="Percent 16 5 16 2" xfId="0"/>
    <cellStyle name="Percent 16 5 17" xfId="0"/>
    <cellStyle name="Percent 16 5 17 2" xfId="0"/>
    <cellStyle name="Percent 16 5 18" xfId="0"/>
    <cellStyle name="Percent 16 5 2" xfId="0"/>
    <cellStyle name="Percent 16 5 2 2" xfId="0"/>
    <cellStyle name="Percent 16 5 3" xfId="0"/>
    <cellStyle name="Percent 16 5 3 2" xfId="0"/>
    <cellStyle name="Percent 16 5 4" xfId="0"/>
    <cellStyle name="Percent 16 5 4 2" xfId="0"/>
    <cellStyle name="Percent 16 5 5" xfId="0"/>
    <cellStyle name="Percent 16 5 5 2" xfId="0"/>
    <cellStyle name="Percent 16 5 6" xfId="0"/>
    <cellStyle name="Percent 16 5 6 2" xfId="0"/>
    <cellStyle name="Percent 16 5 7" xfId="0"/>
    <cellStyle name="Percent 16 5 7 2" xfId="0"/>
    <cellStyle name="Percent 16 5 8" xfId="0"/>
    <cellStyle name="Percent 16 5 8 2" xfId="0"/>
    <cellStyle name="Percent 16 5 9" xfId="0"/>
    <cellStyle name="Percent 16 5 9 2" xfId="0"/>
    <cellStyle name="Percent 16 6" xfId="0"/>
    <cellStyle name="Percent 16 6 10" xfId="0"/>
    <cellStyle name="Percent 16 6 10 2" xfId="0"/>
    <cellStyle name="Percent 16 6 11" xfId="0"/>
    <cellStyle name="Percent 16 6 11 2" xfId="0"/>
    <cellStyle name="Percent 16 6 12" xfId="0"/>
    <cellStyle name="Percent 16 6 12 2" xfId="0"/>
    <cellStyle name="Percent 16 6 13" xfId="0"/>
    <cellStyle name="Percent 16 6 13 2" xfId="0"/>
    <cellStyle name="Percent 16 6 14" xfId="0"/>
    <cellStyle name="Percent 16 6 14 2" xfId="0"/>
    <cellStyle name="Percent 16 6 15" xfId="0"/>
    <cellStyle name="Percent 16 6 15 2" xfId="0"/>
    <cellStyle name="Percent 16 6 16" xfId="0"/>
    <cellStyle name="Percent 16 6 16 2" xfId="0"/>
    <cellStyle name="Percent 16 6 17" xfId="0"/>
    <cellStyle name="Percent 16 6 17 2" xfId="0"/>
    <cellStyle name="Percent 16 6 18" xfId="0"/>
    <cellStyle name="Percent 16 6 2" xfId="0"/>
    <cellStyle name="Percent 16 6 2 2" xfId="0"/>
    <cellStyle name="Percent 16 6 3" xfId="0"/>
    <cellStyle name="Percent 16 6 3 2" xfId="0"/>
    <cellStyle name="Percent 16 6 4" xfId="0"/>
    <cellStyle name="Percent 16 6 4 2" xfId="0"/>
    <cellStyle name="Percent 16 6 5" xfId="0"/>
    <cellStyle name="Percent 16 6 5 2" xfId="0"/>
    <cellStyle name="Percent 16 6 6" xfId="0"/>
    <cellStyle name="Percent 16 6 6 2" xfId="0"/>
    <cellStyle name="Percent 16 6 7" xfId="0"/>
    <cellStyle name="Percent 16 6 7 2" xfId="0"/>
    <cellStyle name="Percent 16 6 8" xfId="0"/>
    <cellStyle name="Percent 16 6 8 2" xfId="0"/>
    <cellStyle name="Percent 16 6 9" xfId="0"/>
    <cellStyle name="Percent 16 6 9 2" xfId="0"/>
    <cellStyle name="Percent 16 7" xfId="0"/>
    <cellStyle name="Percent 16 7 10" xfId="0"/>
    <cellStyle name="Percent 16 7 10 2" xfId="0"/>
    <cellStyle name="Percent 16 7 11" xfId="0"/>
    <cellStyle name="Percent 16 7 11 2" xfId="0"/>
    <cellStyle name="Percent 16 7 12" xfId="0"/>
    <cellStyle name="Percent 16 7 12 2" xfId="0"/>
    <cellStyle name="Percent 16 7 13" xfId="0"/>
    <cellStyle name="Percent 16 7 13 2" xfId="0"/>
    <cellStyle name="Percent 16 7 14" xfId="0"/>
    <cellStyle name="Percent 16 7 14 2" xfId="0"/>
    <cellStyle name="Percent 16 7 15" xfId="0"/>
    <cellStyle name="Percent 16 7 15 2" xfId="0"/>
    <cellStyle name="Percent 16 7 16" xfId="0"/>
    <cellStyle name="Percent 16 7 16 2" xfId="0"/>
    <cellStyle name="Percent 16 7 17" xfId="0"/>
    <cellStyle name="Percent 16 7 17 2" xfId="0"/>
    <cellStyle name="Percent 16 7 18" xfId="0"/>
    <cellStyle name="Percent 16 7 2" xfId="0"/>
    <cellStyle name="Percent 16 7 2 2" xfId="0"/>
    <cellStyle name="Percent 16 7 3" xfId="0"/>
    <cellStyle name="Percent 16 7 3 2" xfId="0"/>
    <cellStyle name="Percent 16 7 4" xfId="0"/>
    <cellStyle name="Percent 16 7 4 2" xfId="0"/>
    <cellStyle name="Percent 16 7 5" xfId="0"/>
    <cellStyle name="Percent 16 7 5 2" xfId="0"/>
    <cellStyle name="Percent 16 7 6" xfId="0"/>
    <cellStyle name="Percent 16 7 6 2" xfId="0"/>
    <cellStyle name="Percent 16 7 7" xfId="0"/>
    <cellStyle name="Percent 16 7 7 2" xfId="0"/>
    <cellStyle name="Percent 16 7 8" xfId="0"/>
    <cellStyle name="Percent 16 7 8 2" xfId="0"/>
    <cellStyle name="Percent 16 7 9" xfId="0"/>
    <cellStyle name="Percent 16 7 9 2" xfId="0"/>
    <cellStyle name="Percent 16 8" xfId="0"/>
    <cellStyle name="Percent 16 8 10" xfId="0"/>
    <cellStyle name="Percent 16 8 10 2" xfId="0"/>
    <cellStyle name="Percent 16 8 11" xfId="0"/>
    <cellStyle name="Percent 16 8 11 2" xfId="0"/>
    <cellStyle name="Percent 16 8 12" xfId="0"/>
    <cellStyle name="Percent 16 8 12 2" xfId="0"/>
    <cellStyle name="Percent 16 8 13" xfId="0"/>
    <cellStyle name="Percent 16 8 13 2" xfId="0"/>
    <cellStyle name="Percent 16 8 14" xfId="0"/>
    <cellStyle name="Percent 16 8 14 2" xfId="0"/>
    <cellStyle name="Percent 16 8 15" xfId="0"/>
    <cellStyle name="Percent 16 8 15 2" xfId="0"/>
    <cellStyle name="Percent 16 8 16" xfId="0"/>
    <cellStyle name="Percent 16 8 16 2" xfId="0"/>
    <cellStyle name="Percent 16 8 17" xfId="0"/>
    <cellStyle name="Percent 16 8 17 2" xfId="0"/>
    <cellStyle name="Percent 16 8 18" xfId="0"/>
    <cellStyle name="Percent 16 8 2" xfId="0"/>
    <cellStyle name="Percent 16 8 2 2" xfId="0"/>
    <cellStyle name="Percent 16 8 3" xfId="0"/>
    <cellStyle name="Percent 16 8 3 2" xfId="0"/>
    <cellStyle name="Percent 16 8 4" xfId="0"/>
    <cellStyle name="Percent 16 8 4 2" xfId="0"/>
    <cellStyle name="Percent 16 8 5" xfId="0"/>
    <cellStyle name="Percent 16 8 5 2" xfId="0"/>
    <cellStyle name="Percent 16 8 6" xfId="0"/>
    <cellStyle name="Percent 16 8 6 2" xfId="0"/>
    <cellStyle name="Percent 16 8 7" xfId="0"/>
    <cellStyle name="Percent 16 8 7 2" xfId="0"/>
    <cellStyle name="Percent 16 8 8" xfId="0"/>
    <cellStyle name="Percent 16 8 8 2" xfId="0"/>
    <cellStyle name="Percent 16 8 9" xfId="0"/>
    <cellStyle name="Percent 16 8 9 2" xfId="0"/>
    <cellStyle name="Percent 16 9" xfId="0"/>
    <cellStyle name="Percent 16 9 10" xfId="0"/>
    <cellStyle name="Percent 16 9 10 2" xfId="0"/>
    <cellStyle name="Percent 16 9 11" xfId="0"/>
    <cellStyle name="Percent 16 9 11 2" xfId="0"/>
    <cellStyle name="Percent 16 9 12" xfId="0"/>
    <cellStyle name="Percent 16 9 12 2" xfId="0"/>
    <cellStyle name="Percent 16 9 13" xfId="0"/>
    <cellStyle name="Percent 16 9 13 2" xfId="0"/>
    <cellStyle name="Percent 16 9 14" xfId="0"/>
    <cellStyle name="Percent 16 9 14 2" xfId="0"/>
    <cellStyle name="Percent 16 9 15" xfId="0"/>
    <cellStyle name="Percent 16 9 15 2" xfId="0"/>
    <cellStyle name="Percent 16 9 16" xfId="0"/>
    <cellStyle name="Percent 16 9 16 2" xfId="0"/>
    <cellStyle name="Percent 16 9 17" xfId="0"/>
    <cellStyle name="Percent 16 9 17 2" xfId="0"/>
    <cellStyle name="Percent 16 9 18" xfId="0"/>
    <cellStyle name="Percent 16 9 2" xfId="0"/>
    <cellStyle name="Percent 16 9 2 2" xfId="0"/>
    <cellStyle name="Percent 16 9 3" xfId="0"/>
    <cellStyle name="Percent 16 9 3 2" xfId="0"/>
    <cellStyle name="Percent 16 9 4" xfId="0"/>
    <cellStyle name="Percent 16 9 4 2" xfId="0"/>
    <cellStyle name="Percent 16 9 5" xfId="0"/>
    <cellStyle name="Percent 16 9 5 2" xfId="0"/>
    <cellStyle name="Percent 16 9 6" xfId="0"/>
    <cellStyle name="Percent 16 9 6 2" xfId="0"/>
    <cellStyle name="Percent 16 9 7" xfId="0"/>
    <cellStyle name="Percent 16 9 7 2" xfId="0"/>
    <cellStyle name="Percent 16 9 8" xfId="0"/>
    <cellStyle name="Percent 16 9 8 2" xfId="0"/>
    <cellStyle name="Percent 16 9 9" xfId="0"/>
    <cellStyle name="Percent 16 9 9 2" xfId="0"/>
    <cellStyle name="Percent 17" xfId="0"/>
    <cellStyle name="Percent 17 2" xfId="0"/>
    <cellStyle name="Percent 2" xfId="0"/>
    <cellStyle name="Percent 2 10" xfId="0"/>
    <cellStyle name="Percent 2 10 2" xfId="0"/>
    <cellStyle name="Percent 2 10 2 2" xfId="0"/>
    <cellStyle name="Percent 2 10 3" xfId="0"/>
    <cellStyle name="Percent 2 10 3 2" xfId="0"/>
    <cellStyle name="Percent 2 10 4" xfId="0"/>
    <cellStyle name="Percent 2 10 4 2" xfId="0"/>
    <cellStyle name="Percent 2 10 5" xfId="0"/>
    <cellStyle name="Percent 2 10 5 2" xfId="0"/>
    <cellStyle name="Percent 2 10 6" xfId="0"/>
    <cellStyle name="Percent 2 10 6 2" xfId="0"/>
    <cellStyle name="Percent 2 10 7" xfId="0"/>
    <cellStyle name="Percent 2 10 7 2" xfId="0"/>
    <cellStyle name="Percent 2 10 8" xfId="0"/>
    <cellStyle name="Percent 2 10 8 2" xfId="0"/>
    <cellStyle name="Percent 2 10 9" xfId="0"/>
    <cellStyle name="Percent 2 11" xfId="0"/>
    <cellStyle name="Percent 2 11 2" xfId="0"/>
    <cellStyle name="Percent 2 11 2 2" xfId="0"/>
    <cellStyle name="Percent 2 11 3" xfId="0"/>
    <cellStyle name="Percent 2 11 3 2" xfId="0"/>
    <cellStyle name="Percent 2 11 4" xfId="0"/>
    <cellStyle name="Percent 2 11 4 2" xfId="0"/>
    <cellStyle name="Percent 2 11 5" xfId="0"/>
    <cellStyle name="Percent 2 11 5 2" xfId="0"/>
    <cellStyle name="Percent 2 11 6" xfId="0"/>
    <cellStyle name="Percent 2 11 6 2" xfId="0"/>
    <cellStyle name="Percent 2 11 7" xfId="0"/>
    <cellStyle name="Percent 2 11 7 2" xfId="0"/>
    <cellStyle name="Percent 2 11 8" xfId="0"/>
    <cellStyle name="Percent 2 11 8 2" xfId="0"/>
    <cellStyle name="Percent 2 11 9" xfId="0"/>
    <cellStyle name="Percent 2 12" xfId="0"/>
    <cellStyle name="Percent 2 12 2" xfId="0"/>
    <cellStyle name="Percent 2 13" xfId="0"/>
    <cellStyle name="Percent 2 13 2" xfId="0"/>
    <cellStyle name="Percent 2 14" xfId="0"/>
    <cellStyle name="Percent 2 14 2" xfId="0"/>
    <cellStyle name="Percent 2 15" xfId="0"/>
    <cellStyle name="Percent 2 15 2" xfId="0"/>
    <cellStyle name="Percent 2 16" xfId="0"/>
    <cellStyle name="Percent 2 16 2" xfId="0"/>
    <cellStyle name="Percent 2 17" xfId="0"/>
    <cellStyle name="Percent 2 17 2" xfId="0"/>
    <cellStyle name="Percent 2 18" xfId="0"/>
    <cellStyle name="Percent 2 18 2" xfId="0"/>
    <cellStyle name="Percent 2 19" xfId="0"/>
    <cellStyle name="Percent 2 2" xfId="0"/>
    <cellStyle name="Percent 2 2 10" xfId="0"/>
    <cellStyle name="Percent 2 2 2" xfId="0"/>
    <cellStyle name="Percent 2 2 2 2" xfId="0"/>
    <cellStyle name="Percent 2 2 2 3" xfId="0"/>
    <cellStyle name="Percent 2 2 3" xfId="0"/>
    <cellStyle name="Percent 2 2 3 2" xfId="0"/>
    <cellStyle name="Percent 2 2 3 2 2" xfId="0"/>
    <cellStyle name="Percent 2 2 3 3" xfId="0"/>
    <cellStyle name="Percent 2 2 4" xfId="0"/>
    <cellStyle name="Percent 2 2 4 2" xfId="0"/>
    <cellStyle name="Percent 2 2 5" xfId="0"/>
    <cellStyle name="Percent 2 2 5 2" xfId="0"/>
    <cellStyle name="Percent 2 2 6" xfId="0"/>
    <cellStyle name="Percent 2 2 6 2" xfId="0"/>
    <cellStyle name="Percent 2 2 7" xfId="0"/>
    <cellStyle name="Percent 2 2 7 2" xfId="0"/>
    <cellStyle name="Percent 2 2 8" xfId="0"/>
    <cellStyle name="Percent 2 2 8 2" xfId="0"/>
    <cellStyle name="Percent 2 2 9" xfId="0"/>
    <cellStyle name="Percent 2 20" xfId="0"/>
    <cellStyle name="Percent 2 3" xfId="0"/>
    <cellStyle name="Percent 2 3 10" xfId="0"/>
    <cellStyle name="Percent 2 3 2" xfId="0"/>
    <cellStyle name="Percent 2 3 2 2" xfId="0"/>
    <cellStyle name="Percent 2 3 2 3" xfId="0"/>
    <cellStyle name="Percent 2 3 3" xfId="0"/>
    <cellStyle name="Percent 2 3 3 2" xfId="0"/>
    <cellStyle name="Percent 2 3 3 2 2" xfId="0"/>
    <cellStyle name="Percent 2 3 3 3" xfId="0"/>
    <cellStyle name="Percent 2 3 4" xfId="0"/>
    <cellStyle name="Percent 2 3 4 2" xfId="0"/>
    <cellStyle name="Percent 2 3 5" xfId="0"/>
    <cellStyle name="Percent 2 3 5 2" xfId="0"/>
    <cellStyle name="Percent 2 3 6" xfId="0"/>
    <cellStyle name="Percent 2 3 6 2" xfId="0"/>
    <cellStyle name="Percent 2 3 7" xfId="0"/>
    <cellStyle name="Percent 2 3 7 2" xfId="0"/>
    <cellStyle name="Percent 2 3 8" xfId="0"/>
    <cellStyle name="Percent 2 3 8 2" xfId="0"/>
    <cellStyle name="Percent 2 3 9" xfId="0"/>
    <cellStyle name="Percent 2 4" xfId="0"/>
    <cellStyle name="Percent 2 4 10" xfId="0"/>
    <cellStyle name="Percent 2 4 2" xfId="0"/>
    <cellStyle name="Percent 2 4 2 2" xfId="0"/>
    <cellStyle name="Percent 2 4 3" xfId="0"/>
    <cellStyle name="Percent 2 4 3 2" xfId="0"/>
    <cellStyle name="Percent 2 4 4" xfId="0"/>
    <cellStyle name="Percent 2 4 4 2" xfId="0"/>
    <cellStyle name="Percent 2 4 5" xfId="0"/>
    <cellStyle name="Percent 2 4 5 2" xfId="0"/>
    <cellStyle name="Percent 2 4 6" xfId="0"/>
    <cellStyle name="Percent 2 4 6 2" xfId="0"/>
    <cellStyle name="Percent 2 4 7" xfId="0"/>
    <cellStyle name="Percent 2 4 7 2" xfId="0"/>
    <cellStyle name="Percent 2 4 8" xfId="0"/>
    <cellStyle name="Percent 2 4 8 2" xfId="0"/>
    <cellStyle name="Percent 2 4 9" xfId="0"/>
    <cellStyle name="Percent 2 5" xfId="0"/>
    <cellStyle name="Percent 2 5 2" xfId="0"/>
    <cellStyle name="Percent 2 5 2 2" xfId="0"/>
    <cellStyle name="Percent 2 5 3" xfId="0"/>
    <cellStyle name="Percent 2 5 3 2" xfId="0"/>
    <cellStyle name="Percent 2 5 4" xfId="0"/>
    <cellStyle name="Percent 2 5 4 2" xfId="0"/>
    <cellStyle name="Percent 2 5 5" xfId="0"/>
    <cellStyle name="Percent 2 5 5 2" xfId="0"/>
    <cellStyle name="Percent 2 5 6" xfId="0"/>
    <cellStyle name="Percent 2 5 6 2" xfId="0"/>
    <cellStyle name="Percent 2 5 7" xfId="0"/>
    <cellStyle name="Percent 2 5 7 2" xfId="0"/>
    <cellStyle name="Percent 2 5 8" xfId="0"/>
    <cellStyle name="Percent 2 5 8 2" xfId="0"/>
    <cellStyle name="Percent 2 5 9" xfId="0"/>
    <cellStyle name="Percent 2 6" xfId="0"/>
    <cellStyle name="Percent 2 6 2" xfId="0"/>
    <cellStyle name="Percent 2 6 2 2" xfId="0"/>
    <cellStyle name="Percent 2 6 3" xfId="0"/>
    <cellStyle name="Percent 2 6 3 2" xfId="0"/>
    <cellStyle name="Percent 2 6 4" xfId="0"/>
    <cellStyle name="Percent 2 6 4 2" xfId="0"/>
    <cellStyle name="Percent 2 6 5" xfId="0"/>
    <cellStyle name="Percent 2 6 5 2" xfId="0"/>
    <cellStyle name="Percent 2 6 6" xfId="0"/>
    <cellStyle name="Percent 2 6 6 2" xfId="0"/>
    <cellStyle name="Percent 2 6 7" xfId="0"/>
    <cellStyle name="Percent 2 6 7 2" xfId="0"/>
    <cellStyle name="Percent 2 6 8" xfId="0"/>
    <cellStyle name="Percent 2 6 8 2" xfId="0"/>
    <cellStyle name="Percent 2 6 9" xfId="0"/>
    <cellStyle name="Percent 2 7" xfId="0"/>
    <cellStyle name="Percent 2 7 2" xfId="0"/>
    <cellStyle name="Percent 2 7 2 2" xfId="0"/>
    <cellStyle name="Percent 2 7 3" xfId="0"/>
    <cellStyle name="Percent 2 7 3 2" xfId="0"/>
    <cellStyle name="Percent 2 7 4" xfId="0"/>
    <cellStyle name="Percent 2 7 4 2" xfId="0"/>
    <cellStyle name="Percent 2 7 5" xfId="0"/>
    <cellStyle name="Percent 2 7 5 2" xfId="0"/>
    <cellStyle name="Percent 2 7 6" xfId="0"/>
    <cellStyle name="Percent 2 7 6 2" xfId="0"/>
    <cellStyle name="Percent 2 7 7" xfId="0"/>
    <cellStyle name="Percent 2 7 7 2" xfId="0"/>
    <cellStyle name="Percent 2 7 8" xfId="0"/>
    <cellStyle name="Percent 2 7 8 2" xfId="0"/>
    <cellStyle name="Percent 2 7 9" xfId="0"/>
    <cellStyle name="Percent 2 8" xfId="0"/>
    <cellStyle name="Percent 2 8 2" xfId="0"/>
    <cellStyle name="Percent 2 8 2 2" xfId="0"/>
    <cellStyle name="Percent 2 8 3" xfId="0"/>
    <cellStyle name="Percent 2 8 3 2" xfId="0"/>
    <cellStyle name="Percent 2 8 4" xfId="0"/>
    <cellStyle name="Percent 2 8 4 2" xfId="0"/>
    <cellStyle name="Percent 2 8 5" xfId="0"/>
    <cellStyle name="Percent 2 8 5 2" xfId="0"/>
    <cellStyle name="Percent 2 8 6" xfId="0"/>
    <cellStyle name="Percent 2 8 6 2" xfId="0"/>
    <cellStyle name="Percent 2 8 7" xfId="0"/>
    <cellStyle name="Percent 2 8 7 2" xfId="0"/>
    <cellStyle name="Percent 2 8 8" xfId="0"/>
    <cellStyle name="Percent 2 8 8 2" xfId="0"/>
    <cellStyle name="Percent 2 8 9" xfId="0"/>
    <cellStyle name="Percent 2 9" xfId="0"/>
    <cellStyle name="Percent 2 9 2" xfId="0"/>
    <cellStyle name="Percent 2 9 2 2" xfId="0"/>
    <cellStyle name="Percent 2 9 3" xfId="0"/>
    <cellStyle name="Percent 2 9 3 2" xfId="0"/>
    <cellStyle name="Percent 2 9 4" xfId="0"/>
    <cellStyle name="Percent 2 9 4 2" xfId="0"/>
    <cellStyle name="Percent 2 9 5" xfId="0"/>
    <cellStyle name="Percent 2 9 5 2" xfId="0"/>
    <cellStyle name="Percent 2 9 6" xfId="0"/>
    <cellStyle name="Percent 2 9 6 2" xfId="0"/>
    <cellStyle name="Percent 2 9 7" xfId="0"/>
    <cellStyle name="Percent 2 9 7 2" xfId="0"/>
    <cellStyle name="Percent 2 9 8" xfId="0"/>
    <cellStyle name="Percent 2 9 8 2" xfId="0"/>
    <cellStyle name="Percent 2 9 9" xfId="0"/>
    <cellStyle name="Percent 3" xfId="0"/>
    <cellStyle name="Percent 3 10" xfId="0"/>
    <cellStyle name="Percent 3 11" xfId="0"/>
    <cellStyle name="Percent 3 12" xfId="0"/>
    <cellStyle name="Percent 3 2" xfId="0"/>
    <cellStyle name="Percent 3 2 2" xfId="0"/>
    <cellStyle name="Percent 3 2 2 2" xfId="0"/>
    <cellStyle name="Percent 3 2 3" xfId="0"/>
    <cellStyle name="Percent 3 2 4" xfId="0"/>
    <cellStyle name="Percent 3 3" xfId="0"/>
    <cellStyle name="Percent 3 3 2" xfId="0"/>
    <cellStyle name="Percent 3 3 2 2" xfId="0"/>
    <cellStyle name="Percent 3 3 3" xfId="0"/>
    <cellStyle name="Percent 3 3 3 2" xfId="0"/>
    <cellStyle name="Percent 3 3 4" xfId="0"/>
    <cellStyle name="Percent 3 4" xfId="0"/>
    <cellStyle name="Percent 3 4 2" xfId="0"/>
    <cellStyle name="Percent 3 4 2 2" xfId="0"/>
    <cellStyle name="Percent 3 4 3" xfId="0"/>
    <cellStyle name="Percent 3 5" xfId="0"/>
    <cellStyle name="Percent 3 5 2" xfId="0"/>
    <cellStyle name="Percent 3 5 3" xfId="0"/>
    <cellStyle name="Percent 3 6" xfId="0"/>
    <cellStyle name="Percent 3 6 2" xfId="0"/>
    <cellStyle name="Percent 3 7" xfId="0"/>
    <cellStyle name="Percent 3 7 2" xfId="0"/>
    <cellStyle name="Percent 3 8" xfId="0"/>
    <cellStyle name="Percent 3 8 2" xfId="0"/>
    <cellStyle name="Percent 3 9" xfId="0"/>
    <cellStyle name="Percent 3 9 2" xfId="0"/>
    <cellStyle name="Percent 3 9 3" xfId="0"/>
    <cellStyle name="Percent 4" xfId="0"/>
    <cellStyle name="Percent 4 10" xfId="0"/>
    <cellStyle name="Percent 4 10 2" xfId="0"/>
    <cellStyle name="Percent 4 11" xfId="0"/>
    <cellStyle name="Percent 4 11 2" xfId="0"/>
    <cellStyle name="Percent 4 12" xfId="0"/>
    <cellStyle name="Percent 4 12 2" xfId="0"/>
    <cellStyle name="Percent 4 13" xfId="0"/>
    <cellStyle name="Percent 4 13 2" xfId="0"/>
    <cellStyle name="Percent 4 14" xfId="0"/>
    <cellStyle name="Percent 4 15" xfId="0"/>
    <cellStyle name="Percent 4 2" xfId="0"/>
    <cellStyle name="Percent 4 2 10" xfId="0"/>
    <cellStyle name="Percent 4 2 2" xfId="0"/>
    <cellStyle name="Percent 4 2 2 2" xfId="0"/>
    <cellStyle name="Percent 4 2 2 3" xfId="0"/>
    <cellStyle name="Percent 4 2 3" xfId="0"/>
    <cellStyle name="Percent 4 2 3 2" xfId="0"/>
    <cellStyle name="Percent 4 2 4" xfId="0"/>
    <cellStyle name="Percent 4 2 4 2" xfId="0"/>
    <cellStyle name="Percent 4 2 5" xfId="0"/>
    <cellStyle name="Percent 4 2 5 2" xfId="0"/>
    <cellStyle name="Percent 4 2 6" xfId="0"/>
    <cellStyle name="Percent 4 2 6 2" xfId="0"/>
    <cellStyle name="Percent 4 2 7" xfId="0"/>
    <cellStyle name="Percent 4 2 7 2" xfId="0"/>
    <cellStyle name="Percent 4 2 8" xfId="0"/>
    <cellStyle name="Percent 4 2 8 2" xfId="0"/>
    <cellStyle name="Percent 4 2 9" xfId="0"/>
    <cellStyle name="Percent 4 3" xfId="0"/>
    <cellStyle name="Percent 4 3 10" xfId="0"/>
    <cellStyle name="Percent 4 3 2" xfId="0"/>
    <cellStyle name="Percent 4 3 2 2" xfId="0"/>
    <cellStyle name="Percent 4 3 3" xfId="0"/>
    <cellStyle name="Percent 4 3 3 2" xfId="0"/>
    <cellStyle name="Percent 4 3 4" xfId="0"/>
    <cellStyle name="Percent 4 3 4 2" xfId="0"/>
    <cellStyle name="Percent 4 3 5" xfId="0"/>
    <cellStyle name="Percent 4 3 5 2" xfId="0"/>
    <cellStyle name="Percent 4 3 6" xfId="0"/>
    <cellStyle name="Percent 4 3 6 2" xfId="0"/>
    <cellStyle name="Percent 4 3 7" xfId="0"/>
    <cellStyle name="Percent 4 3 7 2" xfId="0"/>
    <cellStyle name="Percent 4 3 8" xfId="0"/>
    <cellStyle name="Percent 4 3 8 2" xfId="0"/>
    <cellStyle name="Percent 4 3 9" xfId="0"/>
    <cellStyle name="Percent 4 4" xfId="0"/>
    <cellStyle name="Percent 4 4 10" xfId="0"/>
    <cellStyle name="Percent 4 4 2" xfId="0"/>
    <cellStyle name="Percent 4 4 2 2" xfId="0"/>
    <cellStyle name="Percent 4 4 3" xfId="0"/>
    <cellStyle name="Percent 4 4 3 2" xfId="0"/>
    <cellStyle name="Percent 4 4 4" xfId="0"/>
    <cellStyle name="Percent 4 4 4 2" xfId="0"/>
    <cellStyle name="Percent 4 4 5" xfId="0"/>
    <cellStyle name="Percent 4 4 5 2" xfId="0"/>
    <cellStyle name="Percent 4 4 6" xfId="0"/>
    <cellStyle name="Percent 4 4 6 2" xfId="0"/>
    <cellStyle name="Percent 4 4 7" xfId="0"/>
    <cellStyle name="Percent 4 4 7 2" xfId="0"/>
    <cellStyle name="Percent 4 4 8" xfId="0"/>
    <cellStyle name="Percent 4 4 8 2" xfId="0"/>
    <cellStyle name="Percent 4 4 9" xfId="0"/>
    <cellStyle name="Percent 4 5" xfId="0"/>
    <cellStyle name="Percent 4 5 2" xfId="0"/>
    <cellStyle name="Percent 4 5 2 2" xfId="0"/>
    <cellStyle name="Percent 4 5 3" xfId="0"/>
    <cellStyle name="Percent 4 5 3 2" xfId="0"/>
    <cellStyle name="Percent 4 5 4" xfId="0"/>
    <cellStyle name="Percent 4 5 4 2" xfId="0"/>
    <cellStyle name="Percent 4 5 5" xfId="0"/>
    <cellStyle name="Percent 4 5 5 2" xfId="0"/>
    <cellStyle name="Percent 4 5 6" xfId="0"/>
    <cellStyle name="Percent 4 5 6 2" xfId="0"/>
    <cellStyle name="Percent 4 5 7" xfId="0"/>
    <cellStyle name="Percent 4 5 7 2" xfId="0"/>
    <cellStyle name="Percent 4 5 8" xfId="0"/>
    <cellStyle name="Percent 4 5 8 2" xfId="0"/>
    <cellStyle name="Percent 4 5 9" xfId="0"/>
    <cellStyle name="Percent 4 6" xfId="0"/>
    <cellStyle name="Percent 4 6 2" xfId="0"/>
    <cellStyle name="Percent 4 6 2 2" xfId="0"/>
    <cellStyle name="Percent 4 6 3" xfId="0"/>
    <cellStyle name="Percent 4 6 3 2" xfId="0"/>
    <cellStyle name="Percent 4 6 4" xfId="0"/>
    <cellStyle name="Percent 4 6 4 2" xfId="0"/>
    <cellStyle name="Percent 4 6 5" xfId="0"/>
    <cellStyle name="Percent 4 6 5 2" xfId="0"/>
    <cellStyle name="Percent 4 6 6" xfId="0"/>
    <cellStyle name="Percent 4 6 6 2" xfId="0"/>
    <cellStyle name="Percent 4 6 7" xfId="0"/>
    <cellStyle name="Percent 4 6 7 2" xfId="0"/>
    <cellStyle name="Percent 4 6 8" xfId="0"/>
    <cellStyle name="Percent 4 6 8 2" xfId="0"/>
    <cellStyle name="Percent 4 6 9" xfId="0"/>
    <cellStyle name="Percent 4 7" xfId="0"/>
    <cellStyle name="Percent 4 7 2" xfId="0"/>
    <cellStyle name="Percent 4 8" xfId="0"/>
    <cellStyle name="Percent 4 8 2" xfId="0"/>
    <cellStyle name="Percent 4 9" xfId="0"/>
    <cellStyle name="Percent 4 9 2" xfId="0"/>
    <cellStyle name="Percent 5" xfId="0"/>
    <cellStyle name="Percent 5 10" xfId="0"/>
    <cellStyle name="Percent 5 2" xfId="0"/>
    <cellStyle name="Percent 5 2 2" xfId="0"/>
    <cellStyle name="Percent 5 2 3" xfId="0"/>
    <cellStyle name="Percent 5 3" xfId="0"/>
    <cellStyle name="Percent 5 3 2" xfId="0"/>
    <cellStyle name="Percent 5 4" xfId="0"/>
    <cellStyle name="Percent 5 4 2" xfId="0"/>
    <cellStyle name="Percent 5 5" xfId="0"/>
    <cellStyle name="Percent 5 5 2" xfId="0"/>
    <cellStyle name="Percent 5 6" xfId="0"/>
    <cellStyle name="Percent 5 6 2" xfId="0"/>
    <cellStyle name="Percent 5 7" xfId="0"/>
    <cellStyle name="Percent 5 7 2" xfId="0"/>
    <cellStyle name="Percent 5 8" xfId="0"/>
    <cellStyle name="Percent 5 8 2" xfId="0"/>
    <cellStyle name="Percent 5 9" xfId="0"/>
    <cellStyle name="Percent 6" xfId="0"/>
    <cellStyle name="Percent 6 10" xfId="0"/>
    <cellStyle name="Percent 6 2" xfId="0"/>
    <cellStyle name="Percent 6 2 2" xfId="0"/>
    <cellStyle name="Percent 6 3" xfId="0"/>
    <cellStyle name="Percent 6 3 2" xfId="0"/>
    <cellStyle name="Percent 6 4" xfId="0"/>
    <cellStyle name="Percent 6 4 2" xfId="0"/>
    <cellStyle name="Percent 6 5" xfId="0"/>
    <cellStyle name="Percent 6 5 2" xfId="0"/>
    <cellStyle name="Percent 6 6" xfId="0"/>
    <cellStyle name="Percent 6 6 2" xfId="0"/>
    <cellStyle name="Percent 6 7" xfId="0"/>
    <cellStyle name="Percent 6 7 2" xfId="0"/>
    <cellStyle name="Percent 6 8" xfId="0"/>
    <cellStyle name="Percent 6 8 2" xfId="0"/>
    <cellStyle name="Percent 6 9" xfId="0"/>
    <cellStyle name="Percent 7" xfId="0"/>
    <cellStyle name="Percent 7 2" xfId="0"/>
    <cellStyle name="Percent 7 2 2" xfId="0"/>
    <cellStyle name="Percent 7 3" xfId="0"/>
    <cellStyle name="Percent 7 3 2" xfId="0"/>
    <cellStyle name="Percent 7 4" xfId="0"/>
    <cellStyle name="Percent 7 4 2" xfId="0"/>
    <cellStyle name="Percent 7 5" xfId="0"/>
    <cellStyle name="Percent 7 5 2" xfId="0"/>
    <cellStyle name="Percent 7 6" xfId="0"/>
    <cellStyle name="Percent 7 6 2" xfId="0"/>
    <cellStyle name="Percent 7 7" xfId="0"/>
    <cellStyle name="Percent 7 7 2" xfId="0"/>
    <cellStyle name="Percent 7 8" xfId="0"/>
    <cellStyle name="Percent 7 8 2" xfId="0"/>
    <cellStyle name="Percent 7 9" xfId="0"/>
    <cellStyle name="Percent 8" xfId="0"/>
    <cellStyle name="Percent 8 2" xfId="0"/>
    <cellStyle name="Percent 8 2 2" xfId="0"/>
    <cellStyle name="Percent 8 3" xfId="0"/>
    <cellStyle name="Percent 8 3 2" xfId="0"/>
    <cellStyle name="Percent 8 4" xfId="0"/>
    <cellStyle name="Percent 8 4 2" xfId="0"/>
    <cellStyle name="Percent 8 5" xfId="0"/>
    <cellStyle name="Percent 8 5 2" xfId="0"/>
    <cellStyle name="Percent 8 6" xfId="0"/>
    <cellStyle name="Percent 8 6 2" xfId="0"/>
    <cellStyle name="Percent 8 7" xfId="0"/>
    <cellStyle name="Percent 8 7 2" xfId="0"/>
    <cellStyle name="Percent 8 8" xfId="0"/>
    <cellStyle name="Percent 8 8 2" xfId="0"/>
    <cellStyle name="Percent 8 9" xfId="0"/>
    <cellStyle name="Percent 9" xfId="0"/>
    <cellStyle name="Percent 9 2" xfId="0"/>
    <cellStyle name="Percent 9 2 2" xfId="0"/>
    <cellStyle name="Percent 9 3" xfId="0"/>
    <cellStyle name="Percent 9 3 2" xfId="0"/>
    <cellStyle name="Percent 9 4" xfId="0"/>
    <cellStyle name="Percent 9 4 2" xfId="0"/>
    <cellStyle name="Percent 9 5" xfId="0"/>
    <cellStyle name="Percent 9 5 2" xfId="0"/>
    <cellStyle name="Percent 9 6" xfId="0"/>
    <cellStyle name="Percent 9 6 2" xfId="0"/>
    <cellStyle name="Percent 9 7" xfId="0"/>
    <cellStyle name="Percent 9 7 2" xfId="0"/>
    <cellStyle name="Percent 9 8" xfId="0"/>
    <cellStyle name="Percent 9 8 2" xfId="0"/>
    <cellStyle name="Percent 9 9" xfId="0"/>
    <cellStyle name="Pilkku_Layo9704" xfId="0"/>
    <cellStyle name="Pyör. luku_Layo9704" xfId="0"/>
    <cellStyle name="Pyör. valuutta_Layo9704" xfId="0"/>
    <cellStyle name="source" xfId="0"/>
    <cellStyle name="Standard_Sce_D_Extraction" xfId="0"/>
    <cellStyle name="Style 21" xfId="0"/>
    <cellStyle name="Style 21 2" xfId="0"/>
    <cellStyle name="Style 22" xfId="0"/>
    <cellStyle name="Style 23" xfId="0"/>
    <cellStyle name="Style 24" xfId="0"/>
    <cellStyle name="Style 25" xfId="0"/>
    <cellStyle name="Style 25 2" xfId="0"/>
    <cellStyle name="Style 26" xfId="0"/>
    <cellStyle name="Style 29" xfId="0"/>
    <cellStyle name="Style 29 2" xfId="0"/>
    <cellStyle name="Style 29 2 2" xfId="0"/>
    <cellStyle name="Style 29 3" xfId="0"/>
    <cellStyle name="Style 35" xfId="0"/>
    <cellStyle name="Style 35 2" xfId="0"/>
    <cellStyle name="Style 36" xfId="0"/>
    <cellStyle name="Style 36 2" xfId="0"/>
    <cellStyle name="tableau | cellule | normal | decimal 1" xfId="0"/>
    <cellStyle name="tableau | cellule | normal | pourcentage | decimal 1" xfId="0"/>
    <cellStyle name="tableau | cellule | total | decimal 1" xfId="0"/>
    <cellStyle name="tableau | coin superieur gauche" xfId="0"/>
    <cellStyle name="tableau | coin superieur gauche 2" xfId="0"/>
    <cellStyle name="tableau | entete-colonne | series" xfId="0"/>
    <cellStyle name="tableau | entete-colonne | series 2" xfId="0"/>
    <cellStyle name="tableau | entete-ligne | normal" xfId="0"/>
    <cellStyle name="tableau | entete-ligne | normal 2" xfId="0"/>
    <cellStyle name="tableau | entete-ligne | total" xfId="0"/>
    <cellStyle name="tableau | ligne-titre | niveau1" xfId="0"/>
    <cellStyle name="tableau | ligne-titre | niveau1 2" xfId="0"/>
    <cellStyle name="tableau | ligne-titre | niveau2" xfId="0"/>
    <cellStyle name="tableau | ligne-titre | niveau2 2" xfId="0"/>
    <cellStyle name="Title 2" xfId="0"/>
    <cellStyle name="Title 2 10" xfId="0"/>
    <cellStyle name="Title 2 2" xfId="0"/>
    <cellStyle name="Title 2 3" xfId="0"/>
    <cellStyle name="Title 2 4" xfId="0"/>
    <cellStyle name="Title 2 5" xfId="0"/>
    <cellStyle name="Title 2 6" xfId="0"/>
    <cellStyle name="Title 2 7" xfId="0"/>
    <cellStyle name="Title 2 8" xfId="0"/>
    <cellStyle name="Title 2 9" xfId="0"/>
    <cellStyle name="Title 3" xfId="0"/>
    <cellStyle name="Title 3 2" xfId="0"/>
    <cellStyle name="Total 2" xfId="0"/>
    <cellStyle name="Total 2 10" xfId="0"/>
    <cellStyle name="Total 2 2" xfId="0"/>
    <cellStyle name="Total 2 3" xfId="0"/>
    <cellStyle name="Total 2 4" xfId="0"/>
    <cellStyle name="Total 2 5" xfId="0"/>
    <cellStyle name="Total 2 6" xfId="0"/>
    <cellStyle name="Total 2 7" xfId="0"/>
    <cellStyle name="Total 2 8" xfId="0"/>
    <cellStyle name="Total 2 9" xfId="0"/>
    <cellStyle name="Total 3" xfId="0"/>
    <cellStyle name="Total 3 2" xfId="0"/>
    <cellStyle name="Valuutta_Layo9704" xfId="0"/>
    <cellStyle name="Warning Text 2" xfId="0"/>
    <cellStyle name="Warning Text 2 10" xfId="0"/>
    <cellStyle name="Warning Text 2 2" xfId="0"/>
    <cellStyle name="Warning Text 2 3" xfId="0"/>
    <cellStyle name="Warning Text 2 4" xfId="0"/>
    <cellStyle name="Warning Text 2 5" xfId="0"/>
    <cellStyle name="Warning Text 2 6" xfId="0"/>
    <cellStyle name="Warning Text 2 7" xfId="0"/>
    <cellStyle name="Warning Text 2 8" xfId="0"/>
    <cellStyle name="Warning Text 2 9" xfId="0"/>
    <cellStyle name="Warning Text 3" xfId="0"/>
    <cellStyle name="Обычный_CRF2002 (1)" xfId="0"/>
    <cellStyle name="已访问的超链接" xfId="0"/>
    <cellStyle name="Excel Built-in Heading 4" xfId="0"/>
    <cellStyle name="*unknown*" xfId="20" builtinId="8"/>
    <cellStyle name="Excel Built-in Heading 2" xfId="0"/>
    <cellStyle name="Excel Built-in Heading 3" xfId="0"/>
    <cellStyle name="Excel Built-in Good" xfId="0"/>
    <cellStyle name="Excel Built-in Neutral" xfId="0"/>
    <cellStyle name="Excel Built-in Input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BFBF"/>
      <rgbColor rgb="FFACC6E0"/>
      <rgbColor rgb="FF9C0006"/>
      <rgbColor rgb="FF007100"/>
      <rgbColor rgb="FFE5E5FF"/>
      <rgbColor rgb="FF808000"/>
      <rgbColor rgb="FF800080"/>
      <rgbColor rgb="FF1F497D"/>
      <rgbColor rgb="FFC0C0C0"/>
      <rgbColor rgb="FF808080"/>
      <rgbColor rgb="FF9999FF"/>
      <rgbColor rgb="FFC0504D"/>
      <rgbColor rgb="FFFFFFCC"/>
      <rgbColor rgb="FFCCFFFF"/>
      <rgbColor rgb="FFC6C6E0"/>
      <rgbColor rgb="FFFF8080"/>
      <rgbColor rgb="FF0069C7"/>
      <rgbColor rgb="FFCCCCFF"/>
      <rgbColor rgb="FFFFEB9C"/>
      <rgbColor rgb="FFFFC7CE"/>
      <rgbColor rgb="FFFFC000"/>
      <rgbColor rgb="FFC6EFCE"/>
      <rgbColor rgb="FF7F7F7F"/>
      <rgbColor rgb="FFFFCC7F"/>
      <rgbColor rgb="FF4F81BD"/>
      <rgbColor rgb="FFD9D9D9"/>
      <rgbColor rgb="FFA0BDDD"/>
      <rgbColor rgb="FFCCE5FF"/>
      <rgbColor rgb="FFCCFFCC"/>
      <rgbColor rgb="FFFFFF99"/>
      <rgbColor rgb="FF99CCFF"/>
      <rgbColor rgb="FFFF99CC"/>
      <rgbColor rgb="FFCC99FF"/>
      <rgbColor rgb="FFFFCC99"/>
      <rgbColor rgb="FF3974D2"/>
      <rgbColor rgb="FF33CCCC"/>
      <rgbColor rgb="FFA6A6A6"/>
      <rgbColor rgb="FFFFCC00"/>
      <rgbColor rgb="FFFF9900"/>
      <rgbColor rgb="FFFF6600"/>
      <rgbColor rgb="FF666699"/>
      <rgbColor rgb="FF969696"/>
      <rgbColor rgb="FF003366"/>
      <rgbColor rgb="FF339966"/>
      <rgbColor rgb="FF3F3F76"/>
      <rgbColor rgb="FF212529"/>
      <rgbColor rgb="FF993300"/>
      <rgbColor rgb="FF9C570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hundersaidenergy.com/downloads/bulk-shipping-cost-breakdown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H17" activeCellId="0" sqref="H17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8.73"/>
    <col collapsed="false" customWidth="true" hidden="false" outlineLevel="0" max="40" min="40" style="0" width="12.61"/>
  </cols>
  <sheetData>
    <row r="1" customFormat="false" ht="14.25" hidden="false" customHeight="false" outlineLevel="0" collapsed="false">
      <c r="A1" s="1" t="s">
        <v>0</v>
      </c>
      <c r="M1" s="2" t="s">
        <v>1</v>
      </c>
    </row>
    <row r="3" customFormat="false" ht="14.25" hidden="false" customHeight="false" outlineLevel="0" collapsed="false">
      <c r="D3" s="3" t="s">
        <v>2</v>
      </c>
    </row>
    <row r="4" customFormat="false" ht="14.25" hidden="false" customHeight="false" outlineLevel="0" collapsed="false">
      <c r="A4" s="0" t="s">
        <v>3</v>
      </c>
      <c r="B4" s="0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0" t="s">
        <v>42</v>
      </c>
      <c r="AO4" s="2" t="s">
        <v>43</v>
      </c>
    </row>
    <row r="5" customFormat="false" ht="14.25" hidden="false" customHeight="false" outlineLevel="0" collapsed="false">
      <c r="A5" s="0" t="s">
        <v>44</v>
      </c>
      <c r="B5" s="0" t="str">
        <f aca="false">"uce_cap25_"&amp;A5</f>
        <v>uce_cap25_Coal</v>
      </c>
      <c r="C5" s="0" t="str">
        <f aca="false">"E_"&amp;A5</f>
        <v>E_Coal</v>
      </c>
      <c r="D5" s="0" t="n">
        <v>1</v>
      </c>
      <c r="E5" s="4" t="n">
        <v>4.412</v>
      </c>
      <c r="F5" s="4" t="n">
        <v>3.12026375782552</v>
      </c>
      <c r="G5" s="4" t="n">
        <v>19.819</v>
      </c>
      <c r="H5" s="4"/>
      <c r="I5" s="4"/>
      <c r="J5" s="4" t="n">
        <v>5.392</v>
      </c>
      <c r="K5" s="4" t="n">
        <v>3.04</v>
      </c>
      <c r="L5" s="4" t="n">
        <v>1049.77744541795</v>
      </c>
      <c r="M5" s="4" t="n">
        <v>0.341</v>
      </c>
      <c r="N5" s="4" t="n">
        <v>1.829</v>
      </c>
      <c r="O5" s="4" t="n">
        <v>1.784</v>
      </c>
      <c r="P5" s="4" t="n">
        <v>20.964</v>
      </c>
      <c r="Q5" s="4"/>
      <c r="R5" s="4" t="n">
        <v>0.631</v>
      </c>
      <c r="S5" s="4"/>
      <c r="T5" s="4" t="n">
        <v>226.585</v>
      </c>
      <c r="U5" s="4" t="n">
        <v>1.043</v>
      </c>
      <c r="V5" s="4" t="n">
        <v>7.734</v>
      </c>
      <c r="W5" s="4" t="n">
        <v>55.883</v>
      </c>
      <c r="X5" s="4" t="n">
        <v>8.113</v>
      </c>
      <c r="Y5" s="4" t="n">
        <v>5.815</v>
      </c>
      <c r="Z5" s="4" t="n">
        <v>208.923</v>
      </c>
      <c r="AA5" s="4" t="n">
        <v>0.008</v>
      </c>
      <c r="AB5" s="4" t="n">
        <v>21.844</v>
      </c>
      <c r="AC5" s="4" t="n">
        <v>1173.40732616814</v>
      </c>
      <c r="AD5" s="4" t="n">
        <v>33.27</v>
      </c>
      <c r="AE5" s="4"/>
      <c r="AF5" s="4" t="n">
        <v>45.335</v>
      </c>
      <c r="AG5" s="4" t="n">
        <v>1.425</v>
      </c>
      <c r="AH5" s="4" t="n">
        <v>6.068</v>
      </c>
      <c r="AI5" s="4"/>
      <c r="AJ5" s="4" t="n">
        <v>8.664</v>
      </c>
      <c r="AK5" s="4" t="n">
        <v>5.108</v>
      </c>
      <c r="AL5" s="4" t="n">
        <v>25.702</v>
      </c>
      <c r="AM5" s="4" t="n">
        <v>0.224</v>
      </c>
      <c r="AN5" s="4" t="n">
        <v>-1</v>
      </c>
    </row>
    <row r="6" customFormat="false" ht="14.25" hidden="false" customHeight="false" outlineLevel="0" collapsed="false">
      <c r="A6" s="0" t="s">
        <v>45</v>
      </c>
      <c r="B6" s="0" t="str">
        <f aca="false">"uce_cap25_"&amp;A6</f>
        <v>uce_cap25_Gas</v>
      </c>
      <c r="C6" s="0" t="str">
        <f aca="false">"E_"&amp;A6</f>
        <v>E_Gas</v>
      </c>
      <c r="D6" s="0" t="n">
        <v>1</v>
      </c>
      <c r="E6" s="4" t="n">
        <v>96.795</v>
      </c>
      <c r="F6" s="4" t="n">
        <v>25.6351710820699</v>
      </c>
      <c r="G6" s="4" t="n">
        <v>16.3663125505745</v>
      </c>
      <c r="H6" s="4" t="n">
        <v>4.529</v>
      </c>
      <c r="I6" s="4" t="n">
        <v>2.229</v>
      </c>
      <c r="J6" s="4" t="n">
        <v>19.908</v>
      </c>
      <c r="K6" s="4" t="n">
        <v>12.976</v>
      </c>
      <c r="L6" s="4" t="n">
        <v>124.106769526882</v>
      </c>
      <c r="M6" s="4" t="n">
        <v>1.35494652675863</v>
      </c>
      <c r="N6" s="4" t="n">
        <v>2.955</v>
      </c>
      <c r="O6" s="4" t="n">
        <v>8.263</v>
      </c>
      <c r="P6" s="4" t="n">
        <v>23.885</v>
      </c>
      <c r="Q6" s="4" t="n">
        <v>7.819</v>
      </c>
      <c r="R6" s="4" t="n">
        <v>6.279</v>
      </c>
      <c r="S6" s="4"/>
      <c r="T6" s="4" t="n">
        <v>24.629</v>
      </c>
      <c r="U6" s="4" t="n">
        <v>4.302</v>
      </c>
      <c r="V6" s="4" t="n">
        <v>50.522</v>
      </c>
      <c r="W6" s="4" t="n">
        <v>83.7</v>
      </c>
      <c r="X6" s="4" t="n">
        <v>56.636</v>
      </c>
      <c r="Y6" s="4" t="n">
        <v>215.315</v>
      </c>
      <c r="Z6" s="4" t="n">
        <v>555.117</v>
      </c>
      <c r="AA6" s="4" t="n">
        <v>0.318</v>
      </c>
      <c r="AB6" s="4" t="n">
        <v>3.817</v>
      </c>
      <c r="AC6" s="4" t="n">
        <v>377.33885156572</v>
      </c>
      <c r="AD6" s="4" t="n">
        <v>126.817</v>
      </c>
      <c r="AE6" s="4" t="n">
        <v>54.058</v>
      </c>
      <c r="AF6" s="4" t="n">
        <v>0.033</v>
      </c>
      <c r="AG6" s="4" t="n">
        <v>31.272</v>
      </c>
      <c r="AH6" s="4" t="n">
        <v>5.718</v>
      </c>
      <c r="AI6" s="4" t="n">
        <v>0.491</v>
      </c>
      <c r="AJ6" s="4" t="n">
        <v>25.944</v>
      </c>
      <c r="AK6" s="4" t="n">
        <v>33.529</v>
      </c>
      <c r="AL6" s="4" t="n">
        <v>3.113</v>
      </c>
      <c r="AM6" s="4" t="n">
        <v>0.951</v>
      </c>
      <c r="AN6" s="4" t="n">
        <v>-1</v>
      </c>
    </row>
    <row r="7" customFormat="false" ht="14.25" hidden="false" customHeight="false" outlineLevel="0" collapsed="false">
      <c r="A7" s="0" t="s">
        <v>46</v>
      </c>
      <c r="B7" s="0" t="str">
        <f aca="false">"uce_cap25_"&amp;A7</f>
        <v>uce_cap25_Hydro</v>
      </c>
      <c r="C7" s="0" t="str">
        <f aca="false">"E_"&amp;A7</f>
        <v>E_Hydro</v>
      </c>
      <c r="D7" s="0" t="n">
        <v>1</v>
      </c>
      <c r="E7" s="4" t="n">
        <v>4.432</v>
      </c>
      <c r="F7" s="4" t="n">
        <v>36.8858527599317</v>
      </c>
      <c r="G7" s="4" t="n">
        <v>8.44</v>
      </c>
      <c r="H7" s="4" t="n">
        <v>14.933</v>
      </c>
      <c r="I7" s="4" t="n">
        <v>1.717</v>
      </c>
      <c r="J7" s="4" t="n">
        <v>0.198</v>
      </c>
      <c r="K7" s="4" t="n">
        <v>109.95</v>
      </c>
      <c r="L7" s="4" t="n">
        <v>381.480858686818</v>
      </c>
      <c r="M7" s="4" t="n">
        <v>3.63800080835852</v>
      </c>
      <c r="N7" s="4" t="n">
        <v>2.731</v>
      </c>
      <c r="O7" s="4" t="n">
        <v>24.478</v>
      </c>
      <c r="P7" s="4" t="n">
        <v>5.741</v>
      </c>
      <c r="Q7" s="4" t="n">
        <v>3.456</v>
      </c>
      <c r="R7" s="4" t="n">
        <v>9.206</v>
      </c>
      <c r="S7" s="4" t="n">
        <v>2.114</v>
      </c>
      <c r="T7" s="4" t="n">
        <v>54.1028396193525</v>
      </c>
      <c r="U7" s="4" t="n">
        <v>0.237</v>
      </c>
      <c r="V7" s="4" t="n">
        <v>18.942</v>
      </c>
      <c r="W7" s="4" t="n">
        <v>28.247</v>
      </c>
      <c r="X7" s="4" t="n">
        <v>81.8173772429141</v>
      </c>
      <c r="Y7" s="4" t="n">
        <v>15.1858324984039</v>
      </c>
      <c r="Z7" s="4" t="n">
        <v>184.391</v>
      </c>
      <c r="AA7" s="4" t="n">
        <v>34.41</v>
      </c>
      <c r="AB7" s="4" t="n">
        <v>0.986</v>
      </c>
      <c r="AC7" s="4" t="n">
        <v>506.242366978746</v>
      </c>
      <c r="AD7" s="4" t="n">
        <v>51.535</v>
      </c>
      <c r="AE7" s="4"/>
      <c r="AF7" s="4" t="n">
        <v>0.752</v>
      </c>
      <c r="AG7" s="4" t="n">
        <v>25.039</v>
      </c>
      <c r="AH7" s="4" t="n">
        <v>19.647</v>
      </c>
      <c r="AI7" s="4" t="n">
        <v>15.279</v>
      </c>
      <c r="AJ7" s="4" t="n">
        <v>31.935</v>
      </c>
      <c r="AK7" s="4" t="n">
        <v>2.252</v>
      </c>
      <c r="AL7" s="4" t="n">
        <v>4.887</v>
      </c>
      <c r="AM7" s="4" t="n">
        <v>8.80061311366949</v>
      </c>
      <c r="AN7" s="4" t="n">
        <v>-1</v>
      </c>
    </row>
    <row r="8" customFormat="false" ht="14.25" hidden="false" customHeight="false" outlineLevel="0" collapsed="false">
      <c r="A8" s="0" t="s">
        <v>47</v>
      </c>
      <c r="B8" s="0" t="str">
        <f aca="false">"uce_cap25_"&amp;A8</f>
        <v>uce_cap25_Nuclear</v>
      </c>
      <c r="C8" s="0" t="str">
        <f aca="false">"E_"&amp;A8</f>
        <v>E_Nuclear</v>
      </c>
      <c r="D8" s="0" t="n">
        <v>1</v>
      </c>
      <c r="E8" s="4"/>
      <c r="F8" s="4"/>
      <c r="G8" s="4"/>
      <c r="H8" s="4"/>
      <c r="I8" s="4"/>
      <c r="J8" s="4" t="n">
        <v>5.563</v>
      </c>
      <c r="K8" s="4" t="n">
        <v>2.062</v>
      </c>
      <c r="L8" s="4" t="n">
        <v>70.6297930648943</v>
      </c>
      <c r="M8" s="4" t="n">
        <v>0.727</v>
      </c>
      <c r="N8" s="4" t="n">
        <v>6.954</v>
      </c>
      <c r="O8" s="4" t="n">
        <v>65.792</v>
      </c>
      <c r="P8" s="4" t="n">
        <v>4.291</v>
      </c>
      <c r="Q8" s="4"/>
      <c r="R8" s="4" t="n">
        <v>5.45</v>
      </c>
      <c r="S8" s="4"/>
      <c r="T8" s="4" t="n">
        <v>14.4554035848022</v>
      </c>
      <c r="U8" s="4"/>
      <c r="V8" s="4"/>
      <c r="W8" s="4" t="n">
        <v>34.1194818175494</v>
      </c>
      <c r="X8" s="4" t="n">
        <v>1.798</v>
      </c>
      <c r="Y8" s="4" t="n">
        <v>7.62</v>
      </c>
      <c r="Z8" s="4" t="n">
        <v>115.929</v>
      </c>
      <c r="AA8" s="4"/>
      <c r="AB8" s="4"/>
      <c r="AC8" s="4" t="n">
        <v>112.973094438467</v>
      </c>
      <c r="AD8" s="4" t="n">
        <v>34.297233878302</v>
      </c>
      <c r="AE8" s="4"/>
      <c r="AF8" s="4" t="n">
        <v>1.94</v>
      </c>
      <c r="AG8" s="4" t="n">
        <v>7.398</v>
      </c>
      <c r="AH8" s="4" t="n">
        <v>11.706</v>
      </c>
      <c r="AI8" s="4" t="n">
        <v>3.025</v>
      </c>
      <c r="AJ8" s="4" t="n">
        <v>3.54591433260089</v>
      </c>
      <c r="AK8" s="4" t="n">
        <v>7.23456144459034</v>
      </c>
      <c r="AL8" s="4" t="n">
        <v>13.88</v>
      </c>
      <c r="AM8" s="4"/>
      <c r="AN8" s="4" t="n">
        <v>-1</v>
      </c>
    </row>
    <row r="9" customFormat="false" ht="14.25" hidden="false" customHeight="false" outlineLevel="0" collapsed="false">
      <c r="A9" s="0" t="s">
        <v>48</v>
      </c>
      <c r="B9" s="0" t="str">
        <f aca="false">"uce_cap25_"&amp;A9</f>
        <v>uce_cap25_Solar</v>
      </c>
      <c r="C9" s="0" t="str">
        <f aca="false">"E_"&amp;A9</f>
        <v>E_Solar</v>
      </c>
      <c r="D9" s="0" t="n">
        <v>1</v>
      </c>
      <c r="E9" s="4" t="n">
        <v>3.759</v>
      </c>
      <c r="F9" s="4" t="n">
        <v>3.346</v>
      </c>
      <c r="G9" s="4" t="n">
        <v>34.218</v>
      </c>
      <c r="H9" s="4" t="n">
        <v>6.832</v>
      </c>
      <c r="I9" s="4" t="n">
        <v>2.208</v>
      </c>
      <c r="J9" s="4" t="n">
        <v>32.886</v>
      </c>
      <c r="K9" s="4" t="n">
        <v>40.781</v>
      </c>
      <c r="L9" s="4" t="n">
        <v>618.105570429358</v>
      </c>
      <c r="M9" s="4" t="n">
        <v>1.496</v>
      </c>
      <c r="N9" s="4" t="n">
        <v>3.185</v>
      </c>
      <c r="O9" s="4" t="n">
        <v>20.552</v>
      </c>
      <c r="P9" s="4" t="n">
        <v>83.039</v>
      </c>
      <c r="Q9" s="4" t="n">
        <v>7.637</v>
      </c>
      <c r="R9" s="4" t="n">
        <v>10.704</v>
      </c>
      <c r="S9" s="4" t="n">
        <v>0.007</v>
      </c>
      <c r="T9" s="4" t="n">
        <v>76.309</v>
      </c>
      <c r="U9" s="4" t="n">
        <v>0.738</v>
      </c>
      <c r="V9" s="4" t="n">
        <v>30.029</v>
      </c>
      <c r="W9" s="4" t="n">
        <v>87.173</v>
      </c>
      <c r="X9" s="4" t="n">
        <v>15.894</v>
      </c>
      <c r="Y9" s="4" t="n">
        <v>17.263</v>
      </c>
      <c r="Z9" s="4" t="n">
        <v>158.453</v>
      </c>
      <c r="AA9" s="4" t="n">
        <v>0.617</v>
      </c>
      <c r="AB9" s="4" t="n">
        <v>15.81</v>
      </c>
      <c r="AC9" s="4" t="n">
        <v>690.025</v>
      </c>
      <c r="AD9" s="4" t="n">
        <v>2.442</v>
      </c>
      <c r="AE9" s="4" t="n">
        <v>2.286</v>
      </c>
      <c r="AF9" s="4" t="n">
        <v>6.473</v>
      </c>
      <c r="AG9" s="4" t="n">
        <v>35.164</v>
      </c>
      <c r="AH9" s="4" t="n">
        <v>7.917</v>
      </c>
      <c r="AI9" s="4" t="n">
        <v>5.84</v>
      </c>
      <c r="AJ9" s="4" t="n">
        <v>11.292</v>
      </c>
      <c r="AK9" s="4" t="n">
        <v>15.657</v>
      </c>
      <c r="AL9" s="4" t="n">
        <v>8.15</v>
      </c>
      <c r="AM9" s="4" t="n">
        <v>1.025</v>
      </c>
      <c r="AN9" s="4" t="n">
        <v>-1</v>
      </c>
      <c r="AO9" s="2" t="s">
        <v>49</v>
      </c>
    </row>
    <row r="10" customFormat="false" ht="14.25" hidden="false" customHeight="false" outlineLevel="0" collapsed="false">
      <c r="A10" s="0" t="s">
        <v>50</v>
      </c>
      <c r="B10" s="0" t="str">
        <f aca="false">"uce_cap25_"&amp;A10</f>
        <v>uce_cap25_Wind</v>
      </c>
      <c r="C10" s="0" t="str">
        <f aca="false">"E_"&amp;A10</f>
        <v>E_Wind</v>
      </c>
      <c r="D10" s="0" t="n">
        <v>1</v>
      </c>
      <c r="E10" s="4" t="n">
        <v>10.1220661744693</v>
      </c>
      <c r="F10" s="4" t="n">
        <v>1.273</v>
      </c>
      <c r="G10" s="4" t="n">
        <v>13.161</v>
      </c>
      <c r="H10" s="4" t="n">
        <v>3.977</v>
      </c>
      <c r="I10" s="4" t="n">
        <v>1.914</v>
      </c>
      <c r="J10" s="4" t="n">
        <v>16.492</v>
      </c>
      <c r="K10" s="4" t="n">
        <v>29.818</v>
      </c>
      <c r="L10" s="4" t="n">
        <v>481.98396376118</v>
      </c>
      <c r="M10" s="4" t="n">
        <v>1.146</v>
      </c>
      <c r="N10" s="4" t="n">
        <v>0.347</v>
      </c>
      <c r="O10" s="4" t="n">
        <v>23.176</v>
      </c>
      <c r="P10" s="4" t="n">
        <v>70.263059689023</v>
      </c>
      <c r="Q10" s="4" t="n">
        <v>5.379</v>
      </c>
      <c r="R10" s="4" t="n">
        <v>4.141</v>
      </c>
      <c r="S10" s="4" t="n">
        <v>0.17695741101743</v>
      </c>
      <c r="T10" s="4" t="n">
        <v>52.9658823207897</v>
      </c>
      <c r="U10" s="4" t="n">
        <v>4.862</v>
      </c>
      <c r="V10" s="4" t="n">
        <v>12.391</v>
      </c>
      <c r="W10" s="4" t="n">
        <v>5.483</v>
      </c>
      <c r="X10" s="4" t="n">
        <v>19.4340173249179</v>
      </c>
      <c r="Y10" s="4" t="n">
        <v>1.487</v>
      </c>
      <c r="Z10" s="4" t="n">
        <v>174.881458488924</v>
      </c>
      <c r="AA10" s="4" t="n">
        <v>5.065</v>
      </c>
      <c r="AB10" s="4" t="n">
        <v>9.307</v>
      </c>
      <c r="AC10" s="4" t="n">
        <v>466.351347074073</v>
      </c>
      <c r="AD10" s="4" t="n">
        <v>2.64</v>
      </c>
      <c r="AE10" s="4" t="n">
        <v>0.403</v>
      </c>
      <c r="AF10" s="4" t="n">
        <v>3.463</v>
      </c>
      <c r="AG10" s="4" t="n">
        <v>36.745</v>
      </c>
      <c r="AH10" s="4" t="n">
        <v>31.957</v>
      </c>
      <c r="AI10" s="4" t="n">
        <v>0.087</v>
      </c>
      <c r="AJ10" s="4" t="n">
        <v>11.749</v>
      </c>
      <c r="AK10" s="4" t="n">
        <v>34.5394277256465</v>
      </c>
      <c r="AL10" s="4" t="n">
        <v>1.902</v>
      </c>
      <c r="AM10" s="4" t="n">
        <v>1.095</v>
      </c>
      <c r="AN10" s="4" t="n">
        <v>-1</v>
      </c>
      <c r="AO10" s="2" t="s">
        <v>49</v>
      </c>
    </row>
    <row r="11" customFormat="false" ht="14.25" hidden="false" customHeight="false" outlineLevel="0" collapsed="false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false" ht="14.25" hidden="false" customHeight="false" outlineLevel="0" collapsed="false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false" ht="14.25" hidden="false" customHeight="false" outlineLevel="0" collapsed="false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false" ht="14.25" hidden="false" customHeight="false" outlineLevel="0" collapsed="false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14.25" hidden="false" customHeight="false" outlineLevel="0" collapsed="false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false" ht="14.25" hidden="false" customHeight="false" outlineLevel="0" collapsed="false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43"/>
  <sheetViews>
    <sheetView showFormulas="false" showGridLines="true" showRowColHeaders="true" showZeros="true" rightToLeft="false" tabSelected="false" showOutlineSymbols="true" defaultGridColor="true" view="normal" topLeftCell="H10" colorId="64" zoomScale="73" zoomScaleNormal="73" zoomScalePageLayoutView="100" workbookViewId="0">
      <selection pane="topLeft" activeCell="O28" activeCellId="0" sqref="O28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0.13"/>
    <col collapsed="false" customWidth="true" hidden="false" outlineLevel="0" max="3" min="3" style="0" width="8.87"/>
    <col collapsed="false" customWidth="true" hidden="false" outlineLevel="0" max="4" min="4" style="0" width="10"/>
    <col collapsed="false" customWidth="true" hidden="false" outlineLevel="0" max="5" min="5" style="0" width="9.4"/>
    <col collapsed="false" customWidth="true" hidden="false" outlineLevel="0" max="6" min="6" style="0" width="6.6"/>
    <col collapsed="false" customWidth="true" hidden="false" outlineLevel="0" max="7" min="7" style="0" width="9.73"/>
    <col collapsed="false" customWidth="true" hidden="false" outlineLevel="0" max="8" min="8" style="0" width="10.73"/>
    <col collapsed="false" customWidth="true" hidden="false" outlineLevel="0" max="9" min="9" style="0" width="8.73"/>
    <col collapsed="false" customWidth="true" hidden="false" outlineLevel="0" max="10" min="10" style="0" width="10.26"/>
    <col collapsed="false" customWidth="true" hidden="false" outlineLevel="0" max="11" min="11" style="0" width="8.4"/>
    <col collapsed="false" customWidth="true" hidden="false" outlineLevel="0" max="12" min="12" style="0" width="7.61"/>
    <col collapsed="false" customWidth="true" hidden="false" outlineLevel="0" max="13" min="13" style="0" width="8.61"/>
    <col collapsed="false" customWidth="true" hidden="false" outlineLevel="0" max="14" min="14" style="0" width="8.73"/>
    <col collapsed="false" customWidth="true" hidden="false" outlineLevel="0" max="16" min="15" style="0" width="8.4"/>
    <col collapsed="false" customWidth="true" hidden="false" outlineLevel="0" max="17" min="17" style="0" width="4.6"/>
    <col collapsed="false" customWidth="true" hidden="false" outlineLevel="0" max="19" min="18" style="0" width="5.13"/>
    <col collapsed="false" customWidth="true" hidden="false" outlineLevel="0" max="20" min="20" style="0" width="11"/>
    <col collapsed="false" customWidth="true" hidden="false" outlineLevel="0" max="21" min="21" style="0" width="9.73"/>
    <col collapsed="false" customWidth="true" hidden="false" outlineLevel="0" max="22" min="22" style="0" width="15.86"/>
    <col collapsed="false" customWidth="true" hidden="false" outlineLevel="0" max="24" min="24" style="0" width="16.39"/>
    <col collapsed="false" customWidth="true" hidden="false" outlineLevel="0" max="25" min="25" style="0" width="18.73"/>
    <col collapsed="false" customWidth="true" hidden="false" outlineLevel="0" max="26" min="26" style="0" width="15.86"/>
    <col collapsed="false" customWidth="true" hidden="false" outlineLevel="0" max="27" min="27" style="0" width="11.26"/>
    <col collapsed="false" customWidth="true" hidden="false" outlineLevel="0" max="69" min="28" style="0" width="5.4"/>
    <col collapsed="false" customWidth="true" hidden="false" outlineLevel="0" max="71" min="71" style="0" width="4.4"/>
    <col collapsed="false" customWidth="true" hidden="false" outlineLevel="0" max="72" min="72" style="0" width="8.87"/>
  </cols>
  <sheetData>
    <row r="1" customFormat="false" ht="14.25" hidden="false" customHeight="false" outlineLevel="0" collapsed="false">
      <c r="A1" s="0" t="s">
        <v>51</v>
      </c>
    </row>
    <row r="2" customFormat="false" ht="14.25" hidden="false" customHeight="false" outlineLevel="0" collapsed="false">
      <c r="B2" s="5" t="s">
        <v>52</v>
      </c>
      <c r="I2" s="6"/>
      <c r="J2" s="7"/>
      <c r="K2" s="7"/>
      <c r="L2" s="7"/>
      <c r="M2" s="7"/>
      <c r="N2" s="7"/>
      <c r="O2" s="7"/>
      <c r="P2" s="7"/>
    </row>
    <row r="3" customFormat="false" ht="15" hidden="false" customHeight="true" outlineLevel="0" collapsed="false">
      <c r="B3" s="8" t="s">
        <v>53</v>
      </c>
      <c r="C3" s="8" t="s">
        <v>54</v>
      </c>
      <c r="D3" s="8" t="s">
        <v>55</v>
      </c>
      <c r="E3" s="8" t="s">
        <v>56</v>
      </c>
      <c r="F3" s="8" t="s">
        <v>57</v>
      </c>
      <c r="G3" s="8" t="s">
        <v>58</v>
      </c>
      <c r="H3" s="9" t="s">
        <v>59</v>
      </c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  <c r="N3" s="10" t="s">
        <v>65</v>
      </c>
      <c r="O3" s="10" t="s">
        <v>66</v>
      </c>
      <c r="P3" s="10" t="s">
        <v>67</v>
      </c>
      <c r="U3" s="0" t="s">
        <v>52</v>
      </c>
    </row>
    <row r="4" customFormat="false" ht="14.25" hidden="false" customHeight="false" outlineLevel="0" collapsed="false">
      <c r="D4" s="0" t="s">
        <v>68</v>
      </c>
      <c r="F4" s="0" t="s">
        <v>69</v>
      </c>
      <c r="H4" s="0" t="n">
        <v>2.7</v>
      </c>
      <c r="J4" s="0" t="s">
        <v>70</v>
      </c>
      <c r="O4" s="0" t="s">
        <v>71</v>
      </c>
      <c r="U4" s="0" t="s">
        <v>72</v>
      </c>
      <c r="V4" s="0" t="s">
        <v>73</v>
      </c>
      <c r="W4" s="2" t="s">
        <v>74</v>
      </c>
      <c r="X4" s="0" t="s">
        <v>75</v>
      </c>
      <c r="Y4" s="0" t="s">
        <v>76</v>
      </c>
    </row>
    <row r="5" customFormat="false" ht="14.25" hidden="false" customHeight="false" outlineLevel="0" collapsed="false">
      <c r="D5" s="0" t="s">
        <v>68</v>
      </c>
      <c r="F5" s="0" t="s">
        <v>69</v>
      </c>
      <c r="H5" s="0" t="n">
        <v>1.83</v>
      </c>
      <c r="J5" s="0" t="s">
        <v>70</v>
      </c>
      <c r="O5" s="0" t="s">
        <v>77</v>
      </c>
      <c r="U5" s="11" t="s">
        <v>78</v>
      </c>
      <c r="V5" s="11" t="s">
        <v>79</v>
      </c>
      <c r="W5" s="11" t="n">
        <v>2150</v>
      </c>
      <c r="X5" s="11"/>
      <c r="Y5" s="11"/>
    </row>
    <row r="6" customFormat="false" ht="14.25" hidden="false" customHeight="false" outlineLevel="0" collapsed="false">
      <c r="D6" s="0" t="s">
        <v>68</v>
      </c>
      <c r="F6" s="0" t="s">
        <v>69</v>
      </c>
      <c r="H6" s="0" t="n">
        <v>-2.35</v>
      </c>
      <c r="J6" s="0" t="s">
        <v>70</v>
      </c>
      <c r="O6" s="0" t="s">
        <v>80</v>
      </c>
      <c r="U6" s="0" t="s">
        <v>81</v>
      </c>
      <c r="W6" s="0" t="n">
        <v>2150</v>
      </c>
      <c r="X6" s="0" t="s">
        <v>82</v>
      </c>
      <c r="Y6" s="0" t="s">
        <v>83</v>
      </c>
      <c r="AB6" s="0" t="s">
        <v>84</v>
      </c>
    </row>
    <row r="7" customFormat="false" ht="14.25" hidden="false" customHeight="false" outlineLevel="0" collapsed="false">
      <c r="D7" s="0" t="s">
        <v>68</v>
      </c>
      <c r="F7" s="0" t="s">
        <v>69</v>
      </c>
      <c r="H7" s="0" t="n">
        <v>2.66</v>
      </c>
      <c r="J7" s="0" t="s">
        <v>70</v>
      </c>
      <c r="O7" s="0" t="s">
        <v>85</v>
      </c>
    </row>
    <row r="8" customFormat="false" ht="14.25" hidden="false" customHeight="false" outlineLevel="0" collapsed="false">
      <c r="D8" s="0" t="s">
        <v>68</v>
      </c>
      <c r="F8" s="0" t="s">
        <v>69</v>
      </c>
      <c r="H8" s="0" t="n">
        <v>-1.35</v>
      </c>
      <c r="J8" s="0" t="s">
        <v>70</v>
      </c>
      <c r="O8" s="0" t="s">
        <v>86</v>
      </c>
    </row>
    <row r="9" customFormat="false" ht="14.25" hidden="false" customHeight="false" outlineLevel="0" collapsed="false">
      <c r="D9" s="0" t="s">
        <v>68</v>
      </c>
      <c r="F9" s="0" t="s">
        <v>69</v>
      </c>
      <c r="H9" s="0" t="n">
        <f aca="false">H6</f>
        <v>-2.35</v>
      </c>
      <c r="J9" s="0" t="s">
        <v>70</v>
      </c>
      <c r="O9" s="0" t="s">
        <v>87</v>
      </c>
      <c r="T9" s="0" t="s">
        <v>88</v>
      </c>
    </row>
    <row r="10" customFormat="false" ht="14.25" hidden="false" customHeight="false" outlineLevel="0" collapsed="false">
      <c r="D10" s="0" t="s">
        <v>81</v>
      </c>
      <c r="H10" s="0" t="n">
        <v>2150</v>
      </c>
      <c r="J10" s="0" t="s">
        <v>89</v>
      </c>
      <c r="T10" s="0" t="s">
        <v>57</v>
      </c>
      <c r="U10" s="0" t="s">
        <v>55</v>
      </c>
      <c r="V10" s="0" t="n">
        <v>2019</v>
      </c>
      <c r="W10" s="0" t="n">
        <v>2040</v>
      </c>
      <c r="X10" s="0" t="s">
        <v>63</v>
      </c>
      <c r="Y10" s="0" t="s">
        <v>64</v>
      </c>
      <c r="Z10" s="0" t="s">
        <v>90</v>
      </c>
      <c r="AA10" s="0" t="s">
        <v>66</v>
      </c>
      <c r="AB10" s="0" t="s">
        <v>91</v>
      </c>
      <c r="AC10" s="0" t="s">
        <v>92</v>
      </c>
      <c r="AD10" s="0" t="s">
        <v>93</v>
      </c>
    </row>
    <row r="11" customFormat="false" ht="14.25" hidden="false" customHeight="false" outlineLevel="0" collapsed="false">
      <c r="D11" s="0" t="s">
        <v>81</v>
      </c>
      <c r="H11" s="0" t="n">
        <v>2150</v>
      </c>
      <c r="J11" s="0" t="s">
        <v>94</v>
      </c>
      <c r="T11" s="0" t="s">
        <v>69</v>
      </c>
      <c r="U11" s="0" t="s">
        <v>95</v>
      </c>
      <c r="V11" s="12" t="n">
        <v>19.44</v>
      </c>
      <c r="X11" s="0" t="s">
        <v>96</v>
      </c>
      <c r="Y11" s="0" t="s">
        <v>97</v>
      </c>
      <c r="AA11" s="0" t="str">
        <f aca="false">X11</f>
        <v>ELC</v>
      </c>
      <c r="AC11" s="0" t="s">
        <v>98</v>
      </c>
    </row>
    <row r="12" customFormat="false" ht="14.25" hidden="false" customHeight="false" outlineLevel="0" collapsed="false">
      <c r="T12" s="0" t="s">
        <v>69</v>
      </c>
      <c r="U12" s="0" t="s">
        <v>95</v>
      </c>
      <c r="V12" s="0" t="n">
        <v>15.28</v>
      </c>
      <c r="X12" s="0" t="s">
        <v>96</v>
      </c>
      <c r="Y12" s="0" t="s">
        <v>99</v>
      </c>
      <c r="AA12" s="0" t="str">
        <f aca="false">X12</f>
        <v>ELC</v>
      </c>
      <c r="AC12" s="0" t="s">
        <v>98</v>
      </c>
    </row>
    <row r="13" customFormat="false" ht="14.25" hidden="false" customHeight="false" outlineLevel="0" collapsed="false">
      <c r="B13" s="0" t="s">
        <v>52</v>
      </c>
      <c r="T13" s="0" t="s">
        <v>69</v>
      </c>
      <c r="U13" s="0" t="s">
        <v>95</v>
      </c>
      <c r="V13" s="0" t="n">
        <v>6.94</v>
      </c>
      <c r="X13" s="0" t="s">
        <v>96</v>
      </c>
      <c r="Y13" s="0" t="s">
        <v>100</v>
      </c>
      <c r="AA13" s="0" t="str">
        <f aca="false">X13</f>
        <v>ELC</v>
      </c>
      <c r="AC13" s="0" t="s">
        <v>98</v>
      </c>
    </row>
    <row r="14" customFormat="false" ht="14.25" hidden="false" customHeight="false" outlineLevel="0" collapsed="false">
      <c r="B14" s="0" t="s">
        <v>53</v>
      </c>
      <c r="C14" s="0" t="s">
        <v>54</v>
      </c>
      <c r="D14" s="0" t="s">
        <v>55</v>
      </c>
      <c r="E14" s="0" t="s">
        <v>56</v>
      </c>
      <c r="F14" s="0" t="s">
        <v>57</v>
      </c>
      <c r="G14" s="0" t="s">
        <v>58</v>
      </c>
      <c r="H14" s="0" t="s">
        <v>59</v>
      </c>
      <c r="I14" s="0" t="s">
        <v>60</v>
      </c>
      <c r="J14" s="0" t="s">
        <v>61</v>
      </c>
      <c r="K14" s="0" t="s">
        <v>62</v>
      </c>
      <c r="L14" s="0" t="s">
        <v>63</v>
      </c>
      <c r="M14" s="0" t="s">
        <v>64</v>
      </c>
      <c r="N14" s="0" t="s">
        <v>65</v>
      </c>
      <c r="O14" s="0" t="s">
        <v>66</v>
      </c>
      <c r="T14" s="0" t="s">
        <v>69</v>
      </c>
      <c r="U14" s="0" t="s">
        <v>95</v>
      </c>
      <c r="V14" s="12" t="n">
        <v>3.5</v>
      </c>
      <c r="X14" s="0" t="s">
        <v>101</v>
      </c>
      <c r="Y14" s="12" t="s">
        <v>102</v>
      </c>
      <c r="AA14" s="0" t="s">
        <v>101</v>
      </c>
      <c r="AB14" s="0" t="s">
        <v>103</v>
      </c>
      <c r="AC14" s="0" t="s">
        <v>98</v>
      </c>
    </row>
    <row r="15" customFormat="false" ht="14.25" hidden="false" customHeight="false" outlineLevel="0" collapsed="false">
      <c r="D15" s="0" t="s">
        <v>81</v>
      </c>
      <c r="H15" s="0" t="n">
        <v>2120</v>
      </c>
      <c r="J15" s="0" t="s">
        <v>104</v>
      </c>
      <c r="T15" s="0" t="s">
        <v>69</v>
      </c>
      <c r="U15" s="0" t="s">
        <v>95</v>
      </c>
      <c r="V15" s="0" t="n">
        <v>0.8</v>
      </c>
      <c r="X15" s="0" t="s">
        <v>101</v>
      </c>
      <c r="Y15" s="0" t="s">
        <v>105</v>
      </c>
      <c r="AA15" s="0" t="s">
        <v>101</v>
      </c>
      <c r="AB15" s="0" t="s">
        <v>103</v>
      </c>
      <c r="AC15" s="0" t="s">
        <v>98</v>
      </c>
    </row>
    <row r="16" customFormat="false" ht="14.25" hidden="false" customHeight="false" outlineLevel="0" collapsed="false">
      <c r="D16" s="0" t="s">
        <v>106</v>
      </c>
      <c r="H16" s="13" t="n">
        <v>25</v>
      </c>
      <c r="J16" s="0" t="s">
        <v>107</v>
      </c>
      <c r="T16" s="0" t="s">
        <v>69</v>
      </c>
      <c r="U16" s="0" t="s">
        <v>95</v>
      </c>
      <c r="V16" s="0" t="n">
        <v>3.6</v>
      </c>
      <c r="X16" s="0" t="s">
        <v>101</v>
      </c>
      <c r="Y16" s="0" t="s">
        <v>108</v>
      </c>
      <c r="AA16" s="0" t="s">
        <v>101</v>
      </c>
      <c r="AC16" s="0" t="s">
        <v>98</v>
      </c>
    </row>
    <row r="17" customFormat="false" ht="14.25" hidden="false" customHeight="false" outlineLevel="0" collapsed="false">
      <c r="D17" s="0" t="s">
        <v>109</v>
      </c>
      <c r="H17" s="0" t="n">
        <v>65</v>
      </c>
      <c r="J17" s="0" t="s">
        <v>107</v>
      </c>
      <c r="T17" s="0" t="s">
        <v>69</v>
      </c>
      <c r="U17" s="0" t="s">
        <v>95</v>
      </c>
      <c r="V17" s="14" t="n">
        <f aca="false">4.7+4</f>
        <v>8.7</v>
      </c>
      <c r="X17" s="0" t="s">
        <v>101</v>
      </c>
      <c r="Y17" s="0" t="s">
        <v>110</v>
      </c>
      <c r="AA17" s="0" t="s">
        <v>101</v>
      </c>
      <c r="AC17" s="0" t="s">
        <v>98</v>
      </c>
    </row>
    <row r="18" customFormat="false" ht="14.25" hidden="false" customHeight="false" outlineLevel="0" collapsed="false">
      <c r="D18" s="0" t="s">
        <v>95</v>
      </c>
      <c r="H18" s="0" t="n">
        <v>10</v>
      </c>
      <c r="I18" s="0" t="s">
        <v>111</v>
      </c>
      <c r="M18" s="0" t="s">
        <v>112</v>
      </c>
      <c r="O18" s="0" t="s">
        <v>113</v>
      </c>
      <c r="T18" s="0" t="s">
        <v>69</v>
      </c>
      <c r="U18" s="0" t="s">
        <v>95</v>
      </c>
      <c r="V18" s="0" t="n">
        <v>4</v>
      </c>
      <c r="X18" s="0" t="s">
        <v>101</v>
      </c>
      <c r="Y18" s="0" t="s">
        <v>114</v>
      </c>
      <c r="AA18" s="0" t="s">
        <v>101</v>
      </c>
      <c r="AB18" s="0" t="s">
        <v>103</v>
      </c>
      <c r="AC18" s="0" t="s">
        <v>98</v>
      </c>
    </row>
    <row r="19" customFormat="false" ht="14.25" hidden="false" customHeight="false" outlineLevel="0" collapsed="false">
      <c r="T19" s="0" t="s">
        <v>69</v>
      </c>
      <c r="U19" s="0" t="s">
        <v>95</v>
      </c>
      <c r="V19" s="0" t="n">
        <v>3.04</v>
      </c>
      <c r="X19" s="0" t="s">
        <v>115</v>
      </c>
      <c r="Y19" s="0" t="s">
        <v>116</v>
      </c>
      <c r="AA19" s="0" t="s">
        <v>115</v>
      </c>
      <c r="AC19" s="0" t="s">
        <v>98</v>
      </c>
    </row>
    <row r="20" customFormat="false" ht="14.25" hidden="false" customHeight="false" outlineLevel="0" collapsed="false">
      <c r="B20" s="0" t="s">
        <v>117</v>
      </c>
      <c r="T20" s="0" t="s">
        <v>69</v>
      </c>
      <c r="U20" s="0" t="s">
        <v>95</v>
      </c>
      <c r="V20" s="0" t="n">
        <v>1.52</v>
      </c>
      <c r="X20" s="0" t="s">
        <v>118</v>
      </c>
      <c r="Y20" s="0" t="s">
        <v>119</v>
      </c>
      <c r="AA20" s="0" t="s">
        <v>118</v>
      </c>
      <c r="AC20" s="0" t="s">
        <v>98</v>
      </c>
    </row>
    <row r="21" customFormat="false" ht="14.25" hidden="false" customHeight="false" outlineLevel="0" collapsed="false">
      <c r="B21" s="0" t="s">
        <v>54</v>
      </c>
      <c r="C21" s="0" t="s">
        <v>120</v>
      </c>
      <c r="D21" s="0" t="s">
        <v>55</v>
      </c>
      <c r="E21" s="0" t="s">
        <v>121</v>
      </c>
      <c r="F21" s="0" t="s">
        <v>122</v>
      </c>
      <c r="G21" s="0" t="s">
        <v>58</v>
      </c>
      <c r="H21" s="0" t="s">
        <v>59</v>
      </c>
      <c r="I21" s="0" t="s">
        <v>61</v>
      </c>
      <c r="J21" s="0" t="s">
        <v>123</v>
      </c>
      <c r="K21" s="0" t="s">
        <v>124</v>
      </c>
      <c r="L21" s="0" t="s">
        <v>125</v>
      </c>
      <c r="T21" s="0" t="s">
        <v>69</v>
      </c>
      <c r="U21" s="0" t="s">
        <v>95</v>
      </c>
      <c r="V21" s="15" t="n">
        <f aca="false">V11*1.2</f>
        <v>23.328</v>
      </c>
      <c r="X21" s="0" t="s">
        <v>126</v>
      </c>
      <c r="Y21" s="0" t="s">
        <v>127</v>
      </c>
      <c r="Z21" s="0" t="s">
        <v>128</v>
      </c>
      <c r="AA21" s="0" t="str">
        <f aca="false">X21</f>
        <v>HH2</v>
      </c>
      <c r="AB21" s="0" t="s">
        <v>129</v>
      </c>
      <c r="AC21" s="0" t="s">
        <v>98</v>
      </c>
      <c r="AD21" s="0" t="s">
        <v>130</v>
      </c>
    </row>
    <row r="22" customFormat="false" ht="14.25" hidden="false" customHeight="false" outlineLevel="0" collapsed="false">
      <c r="C22" s="0" t="s">
        <v>49</v>
      </c>
      <c r="D22" s="0" t="s">
        <v>131</v>
      </c>
      <c r="E22" s="0" t="n">
        <v>2019</v>
      </c>
      <c r="H22" s="0" t="s">
        <v>132</v>
      </c>
      <c r="I22" s="0" t="s">
        <v>133</v>
      </c>
      <c r="T22" s="0" t="s">
        <v>69</v>
      </c>
      <c r="U22" s="0" t="s">
        <v>95</v>
      </c>
      <c r="V22" s="15" t="n">
        <f aca="false">V12*1.2</f>
        <v>18.336</v>
      </c>
      <c r="X22" s="0" t="s">
        <v>126</v>
      </c>
      <c r="Y22" s="0" t="s">
        <v>134</v>
      </c>
      <c r="AA22" s="0" t="str">
        <f aca="false">X22</f>
        <v>HH2</v>
      </c>
      <c r="AC22" s="0" t="s">
        <v>98</v>
      </c>
    </row>
    <row r="23" customFormat="false" ht="14.25" hidden="false" customHeight="false" outlineLevel="0" collapsed="false">
      <c r="C23" s="0" t="s">
        <v>49</v>
      </c>
      <c r="D23" s="0" t="s">
        <v>131</v>
      </c>
      <c r="E23" s="0" t="n">
        <v>2030</v>
      </c>
      <c r="H23" s="0" t="n">
        <v>0</v>
      </c>
      <c r="I23" s="0" t="s">
        <v>135</v>
      </c>
      <c r="T23" s="0" t="s">
        <v>69</v>
      </c>
      <c r="U23" s="0" t="s">
        <v>95</v>
      </c>
      <c r="V23" s="15" t="n">
        <f aca="false">V13*1.2</f>
        <v>8.328</v>
      </c>
      <c r="X23" s="0" t="s">
        <v>126</v>
      </c>
      <c r="Y23" s="0" t="s">
        <v>136</v>
      </c>
      <c r="AA23" s="0" t="str">
        <f aca="false">X23</f>
        <v>HH2</v>
      </c>
      <c r="AC23" s="0" t="s">
        <v>98</v>
      </c>
    </row>
    <row r="24" customFormat="false" ht="14.25" hidden="false" customHeight="false" outlineLevel="0" collapsed="false">
      <c r="C24" s="0" t="s">
        <v>49</v>
      </c>
      <c r="D24" s="0" t="s">
        <v>131</v>
      </c>
      <c r="E24" s="0" t="n">
        <v>2019</v>
      </c>
      <c r="H24" s="0" t="s">
        <v>132</v>
      </c>
      <c r="I24" s="0" t="s">
        <v>137</v>
      </c>
      <c r="T24" s="0" t="s">
        <v>69</v>
      </c>
      <c r="U24" s="0" t="s">
        <v>95</v>
      </c>
      <c r="V24" s="0" t="n">
        <v>5</v>
      </c>
      <c r="X24" s="0" t="s">
        <v>138</v>
      </c>
      <c r="Y24" s="0" t="s">
        <v>139</v>
      </c>
      <c r="AA24" s="0" t="str">
        <f aca="false">X24</f>
        <v>OIL*</v>
      </c>
      <c r="AB24" s="0" t="s">
        <v>140</v>
      </c>
      <c r="AC24" s="0" t="s">
        <v>98</v>
      </c>
    </row>
    <row r="25" customFormat="false" ht="14.25" hidden="false" customHeight="false" outlineLevel="0" collapsed="false">
      <c r="C25" s="0" t="s">
        <v>49</v>
      </c>
      <c r="D25" s="0" t="s">
        <v>131</v>
      </c>
      <c r="E25" s="0" t="n">
        <v>2050</v>
      </c>
      <c r="H25" s="0" t="s">
        <v>141</v>
      </c>
      <c r="I25" s="0" t="s">
        <v>137</v>
      </c>
      <c r="T25" s="0" t="s">
        <v>69</v>
      </c>
      <c r="U25" s="0" t="s">
        <v>95</v>
      </c>
      <c r="V25" s="15" t="n">
        <f aca="false">V22</f>
        <v>18.336</v>
      </c>
      <c r="X25" s="0" t="s">
        <v>126</v>
      </c>
      <c r="Y25" s="0" t="s">
        <v>139</v>
      </c>
      <c r="AA25" s="0" t="str">
        <f aca="false">X25</f>
        <v>HH2</v>
      </c>
      <c r="AC25" s="0" t="s">
        <v>98</v>
      </c>
    </row>
    <row r="26" customFormat="false" ht="14.25" hidden="false" customHeight="false" outlineLevel="0" collapsed="false">
      <c r="D26" s="0" t="s">
        <v>142</v>
      </c>
      <c r="E26" s="0" t="n">
        <v>2019</v>
      </c>
      <c r="H26" s="0" t="s">
        <v>143</v>
      </c>
      <c r="I26" s="0" t="s">
        <v>70</v>
      </c>
      <c r="J26" s="0" t="s">
        <v>144</v>
      </c>
      <c r="L26" s="0" t="s">
        <v>145</v>
      </c>
      <c r="T26" s="0" t="s">
        <v>69</v>
      </c>
      <c r="U26" s="0" t="s">
        <v>95</v>
      </c>
      <c r="V26" s="0" t="n">
        <v>5</v>
      </c>
      <c r="X26" s="0" t="s">
        <v>146</v>
      </c>
      <c r="Y26" s="0" t="s">
        <v>139</v>
      </c>
      <c r="AA26" s="0" t="str">
        <f aca="false">X26</f>
        <v>BIODST,BIOGSL</v>
      </c>
      <c r="AB26" s="0" t="s">
        <v>140</v>
      </c>
      <c r="AC26" s="0" t="s">
        <v>98</v>
      </c>
    </row>
    <row r="27" customFormat="false" ht="14.25" hidden="false" customHeight="false" outlineLevel="0" collapsed="false">
      <c r="D27" s="0" t="s">
        <v>142</v>
      </c>
      <c r="E27" s="0" t="n">
        <v>2050</v>
      </c>
      <c r="H27" s="0" t="s">
        <v>147</v>
      </c>
      <c r="I27" s="0" t="s">
        <v>70</v>
      </c>
      <c r="J27" s="0" t="s">
        <v>144</v>
      </c>
      <c r="L27" s="0" t="s">
        <v>145</v>
      </c>
    </row>
    <row r="28" customFormat="false" ht="14.25" hidden="false" customHeight="false" outlineLevel="0" collapsed="false">
      <c r="D28" s="0" t="s">
        <v>142</v>
      </c>
      <c r="E28" s="0" t="n">
        <v>2019</v>
      </c>
      <c r="H28" s="0" t="n">
        <v>1</v>
      </c>
      <c r="I28" s="0" t="s">
        <v>70</v>
      </c>
      <c r="J28" s="0" t="s">
        <v>144</v>
      </c>
      <c r="K28" s="0" t="s">
        <v>148</v>
      </c>
      <c r="W28" s="2" t="s">
        <v>149</v>
      </c>
    </row>
    <row r="29" customFormat="false" ht="14.25" hidden="false" customHeight="false" outlineLevel="0" collapsed="false">
      <c r="C29" s="0" t="s">
        <v>150</v>
      </c>
      <c r="D29" s="0" t="s">
        <v>131</v>
      </c>
      <c r="E29" s="0" t="n">
        <v>2019</v>
      </c>
      <c r="H29" s="0" t="s">
        <v>132</v>
      </c>
      <c r="I29" s="0" t="s">
        <v>107</v>
      </c>
      <c r="W29" s="16" t="s">
        <v>72</v>
      </c>
      <c r="X29" s="17" t="s">
        <v>151</v>
      </c>
      <c r="Y29" s="17" t="s">
        <v>152</v>
      </c>
      <c r="Z29" s="17" t="s">
        <v>153</v>
      </c>
      <c r="AA29" s="17" t="s">
        <v>154</v>
      </c>
      <c r="AB29" s="17" t="s">
        <v>155</v>
      </c>
      <c r="AC29" s="17" t="s">
        <v>9</v>
      </c>
      <c r="AD29" s="17" t="s">
        <v>10</v>
      </c>
      <c r="AE29" s="17" t="s">
        <v>156</v>
      </c>
      <c r="AF29" s="17" t="s">
        <v>157</v>
      </c>
      <c r="AG29" s="17" t="s">
        <v>158</v>
      </c>
      <c r="AH29" s="17" t="s">
        <v>159</v>
      </c>
      <c r="AI29" s="17" t="s">
        <v>160</v>
      </c>
      <c r="AJ29" s="17" t="s">
        <v>13</v>
      </c>
      <c r="AK29" s="17" t="s">
        <v>161</v>
      </c>
      <c r="AL29" s="17" t="s">
        <v>162</v>
      </c>
      <c r="AM29" s="17" t="s">
        <v>163</v>
      </c>
      <c r="AN29" s="17" t="s">
        <v>164</v>
      </c>
      <c r="AO29" s="17" t="s">
        <v>14</v>
      </c>
      <c r="AP29" s="17" t="s">
        <v>165</v>
      </c>
      <c r="AQ29" s="17" t="s">
        <v>166</v>
      </c>
      <c r="AR29" s="17" t="s">
        <v>167</v>
      </c>
      <c r="AS29" s="17" t="s">
        <v>168</v>
      </c>
      <c r="AT29" s="17" t="s">
        <v>169</v>
      </c>
      <c r="AU29" s="17" t="s">
        <v>170</v>
      </c>
      <c r="AV29" s="17" t="s">
        <v>171</v>
      </c>
      <c r="AW29" s="17" t="s">
        <v>172</v>
      </c>
      <c r="AX29" s="17" t="s">
        <v>173</v>
      </c>
      <c r="AY29" s="17" t="s">
        <v>174</v>
      </c>
      <c r="AZ29" s="17" t="s">
        <v>17</v>
      </c>
      <c r="BA29" s="17" t="s">
        <v>175</v>
      </c>
      <c r="BB29" s="17" t="s">
        <v>18</v>
      </c>
      <c r="BC29" s="17" t="s">
        <v>176</v>
      </c>
      <c r="BD29" s="17" t="s">
        <v>177</v>
      </c>
      <c r="BE29" s="17" t="s">
        <v>178</v>
      </c>
      <c r="BF29" s="17" t="s">
        <v>21</v>
      </c>
      <c r="BG29" s="17" t="s">
        <v>22</v>
      </c>
      <c r="BH29" s="17" t="s">
        <v>179</v>
      </c>
      <c r="BI29" s="17" t="s">
        <v>180</v>
      </c>
      <c r="BJ29" s="17" t="s">
        <v>181</v>
      </c>
      <c r="BK29" s="17" t="s">
        <v>23</v>
      </c>
      <c r="BL29" s="17" t="s">
        <v>182</v>
      </c>
      <c r="BM29" s="17" t="s">
        <v>183</v>
      </c>
      <c r="BN29" s="17" t="s">
        <v>184</v>
      </c>
      <c r="BO29" s="17" t="s">
        <v>25</v>
      </c>
      <c r="BP29" s="17" t="s">
        <v>185</v>
      </c>
      <c r="BQ29" s="17" t="s">
        <v>186</v>
      </c>
      <c r="BR29" s="17" t="s">
        <v>187</v>
      </c>
      <c r="BS29" s="17" t="s">
        <v>188</v>
      </c>
      <c r="BT29" s="17" t="s">
        <v>189</v>
      </c>
      <c r="BU29" s="17" t="s">
        <v>190</v>
      </c>
      <c r="BV29" s="17" t="s">
        <v>191</v>
      </c>
      <c r="BW29" s="17" t="s">
        <v>192</v>
      </c>
      <c r="BX29" s="17" t="s">
        <v>193</v>
      </c>
      <c r="BY29" s="17" t="s">
        <v>194</v>
      </c>
      <c r="BZ29" s="17" t="s">
        <v>195</v>
      </c>
      <c r="CA29" s="17" t="s">
        <v>196</v>
      </c>
      <c r="CB29" s="17" t="s">
        <v>197</v>
      </c>
      <c r="CC29" s="17" t="s">
        <v>198</v>
      </c>
      <c r="CD29" s="17" t="s">
        <v>199</v>
      </c>
      <c r="CE29" s="17" t="s">
        <v>200</v>
      </c>
      <c r="CF29" s="17" t="s">
        <v>201</v>
      </c>
      <c r="CG29" s="17" t="s">
        <v>202</v>
      </c>
      <c r="CH29" s="17" t="s">
        <v>203</v>
      </c>
      <c r="CI29" s="17" t="s">
        <v>204</v>
      </c>
      <c r="CJ29" s="17" t="s">
        <v>205</v>
      </c>
      <c r="CK29" s="17" t="s">
        <v>206</v>
      </c>
      <c r="CL29" s="17" t="s">
        <v>207</v>
      </c>
      <c r="CM29" s="17" t="s">
        <v>29</v>
      </c>
      <c r="CN29" s="17" t="s">
        <v>208</v>
      </c>
      <c r="CO29" s="17" t="s">
        <v>209</v>
      </c>
      <c r="CP29" s="17" t="s">
        <v>210</v>
      </c>
      <c r="CQ29" s="17" t="s">
        <v>211</v>
      </c>
      <c r="CR29" s="17" t="s">
        <v>212</v>
      </c>
      <c r="CS29" s="17" t="s">
        <v>213</v>
      </c>
      <c r="CT29" s="17" t="s">
        <v>214</v>
      </c>
      <c r="CU29" s="17" t="s">
        <v>215</v>
      </c>
      <c r="CV29" s="17" t="s">
        <v>216</v>
      </c>
      <c r="CW29" s="17" t="s">
        <v>30</v>
      </c>
      <c r="CX29" s="17" t="s">
        <v>217</v>
      </c>
      <c r="CY29" s="17" t="s">
        <v>218</v>
      </c>
      <c r="CZ29" s="17" t="s">
        <v>219</v>
      </c>
      <c r="DA29" s="17" t="s">
        <v>32</v>
      </c>
      <c r="DB29" s="17" t="s">
        <v>33</v>
      </c>
      <c r="DC29" s="17" t="s">
        <v>220</v>
      </c>
      <c r="DD29" s="17" t="s">
        <v>221</v>
      </c>
      <c r="DE29" s="17" t="s">
        <v>222</v>
      </c>
      <c r="DF29" s="17" t="s">
        <v>223</v>
      </c>
      <c r="DG29" s="17" t="s">
        <v>34</v>
      </c>
      <c r="DH29" s="17" t="s">
        <v>224</v>
      </c>
      <c r="DI29" s="17" t="s">
        <v>225</v>
      </c>
      <c r="DJ29" s="17" t="s">
        <v>226</v>
      </c>
      <c r="DK29" s="17" t="s">
        <v>227</v>
      </c>
      <c r="DL29" s="17" t="s">
        <v>37</v>
      </c>
      <c r="DM29" s="17" t="s">
        <v>228</v>
      </c>
      <c r="DN29" s="17" t="s">
        <v>229</v>
      </c>
      <c r="DO29" s="17" t="s">
        <v>230</v>
      </c>
      <c r="DP29" s="17" t="s">
        <v>231</v>
      </c>
      <c r="DQ29" s="17" t="s">
        <v>232</v>
      </c>
      <c r="DR29" s="17" t="s">
        <v>38</v>
      </c>
      <c r="DS29" s="17" t="s">
        <v>233</v>
      </c>
      <c r="DT29" s="17" t="s">
        <v>234</v>
      </c>
      <c r="DU29" s="17" t="s">
        <v>39</v>
      </c>
      <c r="DV29" s="17" t="s">
        <v>40</v>
      </c>
      <c r="DW29" s="17" t="s">
        <v>235</v>
      </c>
      <c r="DX29" s="17" t="s">
        <v>236</v>
      </c>
      <c r="DY29" s="17" t="s">
        <v>237</v>
      </c>
      <c r="DZ29" s="17" t="s">
        <v>238</v>
      </c>
      <c r="EA29" s="17" t="s">
        <v>239</v>
      </c>
      <c r="EB29" s="17" t="s">
        <v>240</v>
      </c>
      <c r="EC29" s="17" t="s">
        <v>241</v>
      </c>
      <c r="ED29" s="17" t="s">
        <v>242</v>
      </c>
      <c r="EE29" s="17" t="s">
        <v>243</v>
      </c>
    </row>
    <row r="30" customFormat="false" ht="14.25" hidden="false" customHeight="false" outlineLevel="0" collapsed="false">
      <c r="C30" s="0" t="s">
        <v>150</v>
      </c>
      <c r="D30" s="0" t="s">
        <v>131</v>
      </c>
      <c r="E30" s="0" t="n">
        <v>2040</v>
      </c>
      <c r="H30" s="0" t="n">
        <v>0</v>
      </c>
      <c r="I30" s="0" t="str">
        <f aca="false">I29</f>
        <v>SUP_TREFINER</v>
      </c>
      <c r="W30" s="18" t="s">
        <v>244</v>
      </c>
      <c r="X30" s="19" t="n">
        <v>0.5</v>
      </c>
      <c r="Y30" s="19" t="n">
        <v>0.5</v>
      </c>
      <c r="Z30" s="19" t="n">
        <v>0.5</v>
      </c>
      <c r="AA30" s="19" t="n">
        <v>0.5</v>
      </c>
      <c r="AB30" s="19" t="n">
        <v>0.880330129689671</v>
      </c>
      <c r="AC30" s="19" t="n">
        <v>0.5</v>
      </c>
      <c r="AD30" s="19" t="n">
        <v>1.43635426584992</v>
      </c>
      <c r="AE30" s="19" t="n">
        <v>0.28640020473296</v>
      </c>
      <c r="AF30" s="19" t="n">
        <v>0.5</v>
      </c>
      <c r="AG30" s="19" t="n">
        <v>1.89681589551844</v>
      </c>
      <c r="AH30" s="19" t="n">
        <v>0.529561709177279</v>
      </c>
      <c r="AI30" s="19" t="n">
        <v>2.23280493333333</v>
      </c>
      <c r="AJ30" s="19" t="n">
        <v>0.5</v>
      </c>
      <c r="AK30" s="19" t="n">
        <v>1.537054107788</v>
      </c>
      <c r="AL30" s="19" t="n">
        <v>0.5</v>
      </c>
      <c r="AM30" s="19" t="n">
        <v>0.517841558664547</v>
      </c>
      <c r="AN30" s="19" t="n">
        <v>0.5</v>
      </c>
      <c r="AO30" s="19" t="n">
        <v>0.68859433785327</v>
      </c>
      <c r="AP30" s="19" t="n">
        <v>0.5</v>
      </c>
      <c r="AQ30" s="19" t="n">
        <v>0.909913973797886</v>
      </c>
      <c r="AR30" s="19" t="n">
        <v>0.246856388121547</v>
      </c>
      <c r="AS30" s="19" t="n">
        <v>1.53715037026844</v>
      </c>
      <c r="AT30" s="19" t="n">
        <v>2.00954461975029</v>
      </c>
      <c r="AU30" s="19" t="n">
        <v>0.5</v>
      </c>
      <c r="AV30" s="19" t="n">
        <v>0.5</v>
      </c>
      <c r="AW30" s="19" t="n">
        <v>2.53614386666485</v>
      </c>
      <c r="AX30" s="19" t="n">
        <v>0.5</v>
      </c>
      <c r="AY30" s="19" t="n">
        <v>1.31959168743754</v>
      </c>
      <c r="AZ30" s="19" t="n">
        <v>1.26333562748337</v>
      </c>
      <c r="BA30" s="19" t="n">
        <v>0.5</v>
      </c>
      <c r="BB30" s="19" t="n">
        <v>0.811463508464399</v>
      </c>
      <c r="BC30" s="19" t="n">
        <v>0.5</v>
      </c>
      <c r="BD30" s="19" t="n">
        <v>0.070924584645638</v>
      </c>
      <c r="BE30" s="19" t="n">
        <v>0.538886154380813</v>
      </c>
      <c r="BF30" s="19" t="n">
        <v>0.772108172627653</v>
      </c>
      <c r="BG30" s="19" t="n">
        <v>0.5</v>
      </c>
      <c r="BH30" s="19" t="n">
        <v>0.5</v>
      </c>
      <c r="BI30" s="19" t="n">
        <v>0.5</v>
      </c>
      <c r="BJ30" s="19" t="n">
        <v>0.5</v>
      </c>
      <c r="BK30" s="19" t="n">
        <v>0.5</v>
      </c>
      <c r="BL30" s="19" t="n">
        <v>0.5</v>
      </c>
      <c r="BM30" s="19" t="n">
        <v>0.561679665057759</v>
      </c>
      <c r="BN30" s="19" t="n">
        <v>0.5</v>
      </c>
      <c r="BO30" s="19" t="n">
        <v>0.5</v>
      </c>
      <c r="BP30" s="19" t="n">
        <v>1.01202692206269</v>
      </c>
      <c r="BQ30" s="19" t="n">
        <v>0.5</v>
      </c>
      <c r="BR30" s="19" t="n">
        <v>0.5</v>
      </c>
      <c r="BS30" s="19" t="n">
        <v>0.5</v>
      </c>
      <c r="BT30" s="19" t="n">
        <v>1.95745180124224</v>
      </c>
      <c r="BU30" s="19" t="n">
        <v>0.888576032268769</v>
      </c>
      <c r="BV30" s="19" t="n">
        <v>0.5</v>
      </c>
      <c r="BW30" s="19" t="n">
        <v>3.52832406934561</v>
      </c>
      <c r="BX30" s="19" t="n">
        <v>2.40276262425447</v>
      </c>
      <c r="BY30" s="19" t="n">
        <v>0.272378558393112</v>
      </c>
      <c r="BZ30" s="19" t="n">
        <v>0.5</v>
      </c>
      <c r="CA30" s="19" t="n">
        <v>0.0381549757850336</v>
      </c>
      <c r="CB30" s="19" t="n">
        <v>0.5</v>
      </c>
      <c r="CC30" s="19" t="n">
        <v>2.14285661050061</v>
      </c>
      <c r="CD30" s="19" t="n">
        <v>0.5</v>
      </c>
      <c r="CE30" s="19" t="n">
        <v>0.5</v>
      </c>
      <c r="CF30" s="19" t="n">
        <v>0.5</v>
      </c>
      <c r="CG30" s="19" t="n">
        <v>0.5</v>
      </c>
      <c r="CH30" s="19" t="n">
        <v>0.5</v>
      </c>
      <c r="CI30" s="19" t="n">
        <v>0.501708699005855</v>
      </c>
      <c r="CJ30" s="19" t="n">
        <v>0.140262611393448</v>
      </c>
      <c r="CK30" s="19" t="n">
        <v>0.5</v>
      </c>
      <c r="CL30" s="19" t="n">
        <v>0.5</v>
      </c>
      <c r="CM30" s="19" t="n">
        <v>0.802398418234181</v>
      </c>
      <c r="CN30" s="19" t="n">
        <v>0.5</v>
      </c>
      <c r="CO30" s="19" t="n">
        <v>0.5</v>
      </c>
      <c r="CP30" s="19" t="n">
        <v>2.62476848951937</v>
      </c>
      <c r="CQ30" s="19" t="n">
        <v>0.5</v>
      </c>
      <c r="CR30" s="19" t="n">
        <v>0.5</v>
      </c>
      <c r="CS30" s="19" t="n">
        <v>0.5</v>
      </c>
      <c r="CT30" s="19" t="n">
        <v>0.5</v>
      </c>
      <c r="CU30" s="19" t="n">
        <v>0.5</v>
      </c>
      <c r="CV30" s="19" t="n">
        <v>0.5</v>
      </c>
      <c r="CW30" s="19" t="n">
        <v>0.373873615902288</v>
      </c>
      <c r="CX30" s="19" t="n">
        <v>0.803610304903818</v>
      </c>
      <c r="CY30" s="19" t="n">
        <v>0.5</v>
      </c>
      <c r="CZ30" s="19" t="n">
        <v>1.55182037907902</v>
      </c>
      <c r="DA30" s="19" t="n">
        <v>1.16378960402365</v>
      </c>
      <c r="DB30" s="19" t="n">
        <v>0.5</v>
      </c>
      <c r="DC30" s="19" t="n">
        <v>0.561445981739307</v>
      </c>
      <c r="DD30" s="19" t="n">
        <v>0.5</v>
      </c>
      <c r="DE30" s="19" t="n">
        <v>0.897015103002906</v>
      </c>
      <c r="DF30" s="19" t="n">
        <v>1.66556152209298</v>
      </c>
      <c r="DG30" s="19" t="n">
        <v>0.5</v>
      </c>
      <c r="DH30" s="19" t="n">
        <v>0.885985126939045</v>
      </c>
      <c r="DI30" s="19" t="n">
        <v>0.5</v>
      </c>
      <c r="DJ30" s="19" t="n">
        <v>0.5</v>
      </c>
      <c r="DK30" s="19" t="n">
        <v>2.63778652576313</v>
      </c>
      <c r="DL30" s="19" t="n">
        <v>1.49857000783021</v>
      </c>
      <c r="DM30" s="19" t="n">
        <v>0.675302561450318</v>
      </c>
      <c r="DN30" s="19" t="n">
        <v>0.546933177198058</v>
      </c>
      <c r="DO30" s="19" t="n">
        <v>0.5</v>
      </c>
      <c r="DP30" s="19" t="n">
        <v>0.5</v>
      </c>
      <c r="DQ30" s="19" t="n">
        <v>0.5</v>
      </c>
      <c r="DR30" s="19" t="n">
        <v>0.908669382059128</v>
      </c>
      <c r="DS30" s="19" t="n">
        <v>0.134099188596824</v>
      </c>
      <c r="DT30" s="19" t="n">
        <v>0.5</v>
      </c>
      <c r="DU30" s="19" t="n">
        <v>0.5</v>
      </c>
      <c r="DV30" s="19" t="n">
        <v>2.62534518744376</v>
      </c>
      <c r="DW30" s="19" t="n">
        <v>0.418643251337677</v>
      </c>
      <c r="DX30" s="19" t="n">
        <v>0.626320758771659</v>
      </c>
      <c r="DY30" s="19" t="n">
        <v>0.5</v>
      </c>
      <c r="DZ30" s="19" t="n">
        <v>0.5</v>
      </c>
      <c r="EA30" s="19" t="n">
        <v>0.5</v>
      </c>
      <c r="EB30" s="19" t="n">
        <v>0.5</v>
      </c>
      <c r="EC30" s="0" t="n">
        <v>0.749796700156402</v>
      </c>
    </row>
    <row r="31" customFormat="false" ht="14.25" hidden="false" customHeight="false" outlineLevel="0" collapsed="false">
      <c r="C31" s="0" t="s">
        <v>150</v>
      </c>
      <c r="D31" s="0" t="s">
        <v>131</v>
      </c>
      <c r="E31" s="0" t="n">
        <v>0</v>
      </c>
      <c r="H31" s="0" t="n">
        <v>1</v>
      </c>
      <c r="I31" s="0" t="str">
        <f aca="false">I30</f>
        <v>SUP_TREFINER</v>
      </c>
      <c r="W31" s="18" t="s">
        <v>244</v>
      </c>
      <c r="ED31" s="0" t="n">
        <v>0</v>
      </c>
      <c r="EE31" s="0" t="n">
        <v>3</v>
      </c>
    </row>
    <row r="32" customFormat="false" ht="14.25" hidden="false" customHeight="false" outlineLevel="0" collapsed="false">
      <c r="B32" s="0" t="s">
        <v>245</v>
      </c>
      <c r="D32" s="0" t="s">
        <v>131</v>
      </c>
      <c r="E32" s="0" t="n">
        <v>2000</v>
      </c>
      <c r="F32" s="0" t="s">
        <v>246</v>
      </c>
      <c r="H32" s="0" t="s">
        <v>247</v>
      </c>
      <c r="I32" s="0" t="str">
        <f aca="false">I31</f>
        <v>SUP_TREFINER</v>
      </c>
    </row>
    <row r="33" customFormat="false" ht="14.25" hidden="false" customHeight="false" outlineLevel="0" collapsed="false">
      <c r="B33" s="0" t="s">
        <v>245</v>
      </c>
      <c r="D33" s="0" t="s">
        <v>131</v>
      </c>
      <c r="E33" s="0" t="n">
        <v>2010</v>
      </c>
      <c r="F33" s="0" t="s">
        <v>246</v>
      </c>
      <c r="H33" s="0" t="s">
        <v>247</v>
      </c>
      <c r="I33" s="0" t="str">
        <f aca="false">I32</f>
        <v>SUP_TREFINER</v>
      </c>
    </row>
    <row r="34" customFormat="false" ht="14.25" hidden="false" customHeight="false" outlineLevel="0" collapsed="false">
      <c r="C34" s="0" t="s">
        <v>245</v>
      </c>
      <c r="D34" s="0" t="s">
        <v>142</v>
      </c>
      <c r="H34" s="0" t="s">
        <v>132</v>
      </c>
      <c r="I34" s="0" t="str">
        <f aca="false">I33</f>
        <v>SUP_TREFINER</v>
      </c>
      <c r="K34" s="0" t="s">
        <v>248</v>
      </c>
    </row>
    <row r="35" customFormat="false" ht="14.25" hidden="false" customHeight="false" outlineLevel="0" collapsed="false">
      <c r="C35" s="0" t="s">
        <v>245</v>
      </c>
      <c r="D35" s="0" t="s">
        <v>249</v>
      </c>
      <c r="E35" s="0" t="n">
        <v>0</v>
      </c>
      <c r="H35" s="0" t="n">
        <v>3</v>
      </c>
      <c r="I35" s="0" t="str">
        <f aca="false">I34</f>
        <v>SUP_TREFINER</v>
      </c>
      <c r="K35" s="0" t="s">
        <v>248</v>
      </c>
    </row>
    <row r="36" customFormat="false" ht="14.25" hidden="false" customHeight="false" outlineLevel="0" collapsed="false">
      <c r="D36" s="20" t="s">
        <v>249</v>
      </c>
      <c r="E36" s="0" t="n">
        <v>2019</v>
      </c>
      <c r="H36" s="0" t="s">
        <v>143</v>
      </c>
      <c r="I36" s="0" t="s">
        <v>70</v>
      </c>
      <c r="J36" s="0" t="s">
        <v>144</v>
      </c>
      <c r="K36" s="0" t="s">
        <v>250</v>
      </c>
      <c r="U36" s="0" t="s">
        <v>88</v>
      </c>
    </row>
    <row r="37" customFormat="false" ht="14.25" hidden="false" customHeight="false" outlineLevel="0" collapsed="false">
      <c r="U37" s="0" t="s">
        <v>251</v>
      </c>
      <c r="V37" s="0" t="s">
        <v>55</v>
      </c>
      <c r="W37" s="2" t="s">
        <v>43</v>
      </c>
      <c r="X37" s="0" t="s">
        <v>252</v>
      </c>
      <c r="Y37" s="0" t="n">
        <v>2019</v>
      </c>
      <c r="Z37" s="0" t="n">
        <v>0</v>
      </c>
    </row>
    <row r="38" customFormat="false" ht="14.25" hidden="false" customHeight="false" outlineLevel="0" collapsed="false">
      <c r="V38" s="0" t="s">
        <v>253</v>
      </c>
      <c r="W38" s="2" t="s">
        <v>49</v>
      </c>
      <c r="X38" s="0" t="s">
        <v>254</v>
      </c>
      <c r="Y38" s="0" t="n">
        <v>0</v>
      </c>
      <c r="Z38" s="0" t="n">
        <v>3</v>
      </c>
    </row>
    <row r="39" customFormat="false" ht="14.25" hidden="false" customHeight="false" outlineLevel="0" collapsed="false">
      <c r="J39" s="0" t="s">
        <v>255</v>
      </c>
    </row>
    <row r="40" customFormat="false" ht="14.25" hidden="false" customHeight="false" outlineLevel="0" collapsed="false">
      <c r="J40" s="0" t="s">
        <v>72</v>
      </c>
      <c r="K40" s="0" t="s">
        <v>73</v>
      </c>
      <c r="L40" s="0" t="s">
        <v>252</v>
      </c>
      <c r="M40" s="0" t="s">
        <v>74</v>
      </c>
    </row>
    <row r="41" customFormat="false" ht="14.25" hidden="false" customHeight="false" outlineLevel="0" collapsed="false">
      <c r="J41" s="0" t="s">
        <v>256</v>
      </c>
      <c r="K41" s="0" t="s">
        <v>257</v>
      </c>
      <c r="L41" s="0" t="s">
        <v>80</v>
      </c>
      <c r="M41" s="0" t="s">
        <v>258</v>
      </c>
    </row>
    <row r="42" customFormat="false" ht="14.25" hidden="false" customHeight="false" outlineLevel="0" collapsed="false">
      <c r="J42" s="0" t="s">
        <v>256</v>
      </c>
      <c r="K42" s="0" t="s">
        <v>259</v>
      </c>
      <c r="L42" s="0" t="s">
        <v>260</v>
      </c>
      <c r="M42" s="0" t="s">
        <v>261</v>
      </c>
    </row>
    <row r="43" customFormat="false" ht="14.25" hidden="false" customHeight="false" outlineLevel="0" collapsed="false">
      <c r="J43" s="0" t="s">
        <v>256</v>
      </c>
      <c r="K43" s="0" t="s">
        <v>259</v>
      </c>
      <c r="L43" s="0" t="s">
        <v>262</v>
      </c>
      <c r="M43" s="0" t="s">
        <v>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U33"/>
  <sheetViews>
    <sheetView showFormulas="false" showGridLines="true" showRowColHeaders="true" showZeros="true" rightToLeft="false" tabSelected="false" showOutlineSymbols="true" defaultGridColor="true" view="normal" topLeftCell="I1" colorId="64" zoomScale="74" zoomScaleNormal="74" zoomScalePageLayoutView="100" workbookViewId="0">
      <selection pane="topLeft" activeCell="R18" activeCellId="0" sqref="R18"/>
    </sheetView>
  </sheetViews>
  <sheetFormatPr defaultColWidth="9.06640625" defaultRowHeight="14.25" zeroHeight="false" outlineLevelRow="0" outlineLevelCol="0"/>
  <cols>
    <col collapsed="false" customWidth="false" hidden="false" outlineLevel="0" max="2" min="1" style="21" width="9.06"/>
    <col collapsed="false" customWidth="true" hidden="false" outlineLevel="0" max="3" min="3" style="21" width="8.61"/>
    <col collapsed="false" customWidth="false" hidden="false" outlineLevel="0" max="4" min="4" style="21" width="9.06"/>
    <col collapsed="false" customWidth="true" hidden="false" outlineLevel="0" max="5" min="5" style="21" width="7.73"/>
    <col collapsed="false" customWidth="true" hidden="false" outlineLevel="0" max="6" min="6" style="21" width="5.55"/>
    <col collapsed="false" customWidth="true" hidden="false" outlineLevel="0" max="7" min="7" style="21" width="10.33"/>
    <col collapsed="false" customWidth="true" hidden="false" outlineLevel="0" max="8" min="8" style="21" width="11.82"/>
    <col collapsed="false" customWidth="true" hidden="false" outlineLevel="0" max="9" min="9" style="21" width="10.06"/>
    <col collapsed="false" customWidth="true" hidden="false" outlineLevel="0" max="10" min="10" style="21" width="9.8"/>
    <col collapsed="false" customWidth="true" hidden="false" outlineLevel="0" max="11" min="11" style="21" width="11.91"/>
    <col collapsed="false" customWidth="true" hidden="false" outlineLevel="0" max="12" min="12" style="21" width="10.46"/>
    <col collapsed="false" customWidth="true" hidden="false" outlineLevel="0" max="13" min="13" style="21" width="22.27"/>
    <col collapsed="false" customWidth="true" hidden="false" outlineLevel="0" max="14" min="14" style="21" width="19.36"/>
    <col collapsed="false" customWidth="true" hidden="false" outlineLevel="0" max="15" min="15" style="21" width="15.6"/>
    <col collapsed="false" customWidth="false" hidden="false" outlineLevel="0" max="17" min="16" style="21" width="9.06"/>
    <col collapsed="false" customWidth="true" hidden="false" outlineLevel="0" max="18" min="18" style="21" width="32.45"/>
    <col collapsed="false" customWidth="true" hidden="false" outlineLevel="0" max="19" min="19" style="21" width="15.09"/>
    <col collapsed="false" customWidth="true" hidden="false" outlineLevel="0" max="20" min="20" style="21" width="19.27"/>
    <col collapsed="false" customWidth="false" hidden="false" outlineLevel="0" max="16384" min="21" style="21" width="9.06"/>
  </cols>
  <sheetData>
    <row r="3" customFormat="false" ht="14.25" hidden="false" customHeight="false" outlineLevel="0" collapsed="false">
      <c r="C3" s="21" t="s">
        <v>263</v>
      </c>
      <c r="R3" s="21" t="s">
        <v>264</v>
      </c>
    </row>
    <row r="4" customFormat="false" ht="14.25" hidden="false" customHeight="false" outlineLevel="0" collapsed="false">
      <c r="C4" s="22" t="s">
        <v>75</v>
      </c>
      <c r="D4" s="22" t="s">
        <v>76</v>
      </c>
      <c r="E4" s="22" t="s">
        <v>72</v>
      </c>
      <c r="F4" s="22" t="s">
        <v>242</v>
      </c>
      <c r="G4" s="22" t="s">
        <v>265</v>
      </c>
      <c r="H4" s="22" t="s">
        <v>266</v>
      </c>
      <c r="I4" s="22" t="s">
        <v>267</v>
      </c>
      <c r="J4" s="22" t="s">
        <v>268</v>
      </c>
      <c r="K4" s="22" t="s">
        <v>269</v>
      </c>
      <c r="L4" s="22" t="s">
        <v>270</v>
      </c>
      <c r="M4" s="22" t="s">
        <v>271</v>
      </c>
      <c r="N4" s="22" t="s">
        <v>272</v>
      </c>
      <c r="O4" s="22" t="s">
        <v>273</v>
      </c>
      <c r="R4" s="21" t="s">
        <v>274</v>
      </c>
      <c r="S4" s="21" t="s">
        <v>275</v>
      </c>
      <c r="T4" s="21" t="s">
        <v>75</v>
      </c>
      <c r="U4" s="21" t="s">
        <v>74</v>
      </c>
    </row>
    <row r="5" customFormat="false" ht="14.25" hidden="false" customHeight="false" outlineLevel="0" collapsed="false">
      <c r="C5" s="22" t="s">
        <v>276</v>
      </c>
      <c r="D5" s="22"/>
      <c r="E5" s="22" t="s">
        <v>277</v>
      </c>
      <c r="F5" s="22" t="n">
        <v>2022</v>
      </c>
      <c r="G5" s="22" t="n">
        <v>1420</v>
      </c>
      <c r="H5" s="22" t="n">
        <v>750</v>
      </c>
      <c r="I5" s="22" t="n">
        <v>720</v>
      </c>
      <c r="J5" s="22" t="n">
        <v>640</v>
      </c>
      <c r="K5" s="22" t="n">
        <v>1910</v>
      </c>
      <c r="L5" s="22" t="n">
        <v>1710</v>
      </c>
      <c r="M5" s="22" t="n">
        <v>990</v>
      </c>
      <c r="N5" s="22" t="n">
        <v>1120</v>
      </c>
      <c r="O5" s="22" t="n">
        <v>620</v>
      </c>
      <c r="R5" s="21" t="s">
        <v>278</v>
      </c>
      <c r="S5" s="21" t="n">
        <v>2022</v>
      </c>
      <c r="T5" s="21" t="s">
        <v>276</v>
      </c>
      <c r="U5" s="21" t="s">
        <v>279</v>
      </c>
    </row>
    <row r="6" customFormat="false" ht="14.25" hidden="false" customHeight="false" outlineLevel="0" collapsed="false">
      <c r="C6" s="22" t="s">
        <v>276</v>
      </c>
      <c r="D6" s="22"/>
      <c r="E6" s="22" t="s">
        <v>280</v>
      </c>
      <c r="F6" s="22" t="n">
        <v>2022</v>
      </c>
      <c r="G6" s="22" t="n">
        <v>22</v>
      </c>
      <c r="H6" s="22" t="n">
        <v>12</v>
      </c>
      <c r="I6" s="22" t="n">
        <v>12</v>
      </c>
      <c r="J6" s="22" t="n">
        <v>10</v>
      </c>
      <c r="K6" s="22" t="n">
        <v>28</v>
      </c>
      <c r="L6" s="22" t="n">
        <v>26</v>
      </c>
      <c r="M6" s="22" t="n">
        <v>14</v>
      </c>
      <c r="N6" s="22" t="n">
        <v>16</v>
      </c>
      <c r="O6" s="22" t="n">
        <v>10</v>
      </c>
      <c r="S6" s="21" t="n">
        <v>2030</v>
      </c>
      <c r="T6" s="21" t="s">
        <v>276</v>
      </c>
      <c r="U6" s="21" t="s">
        <v>281</v>
      </c>
    </row>
    <row r="7" customFormat="false" ht="14.25" hidden="false" customHeight="false" outlineLevel="0" collapsed="false">
      <c r="C7" s="22"/>
      <c r="D7" s="22" t="s">
        <v>282</v>
      </c>
      <c r="E7" s="22" t="s">
        <v>277</v>
      </c>
      <c r="F7" s="22" t="n">
        <v>2022</v>
      </c>
      <c r="G7" s="22" t="n">
        <v>1950</v>
      </c>
      <c r="H7" s="22" t="n">
        <v>1050</v>
      </c>
      <c r="I7" s="22" t="n">
        <v>1100</v>
      </c>
      <c r="J7" s="22" t="n">
        <v>1120</v>
      </c>
      <c r="K7" s="22" t="n">
        <v>3520</v>
      </c>
      <c r="L7" s="22" t="n">
        <v>1640</v>
      </c>
      <c r="M7" s="22" t="n">
        <v>1750</v>
      </c>
      <c r="N7" s="22" t="n">
        <v>1220</v>
      </c>
      <c r="O7" s="22" t="n">
        <v>1950</v>
      </c>
      <c r="S7" s="21" t="n">
        <v>2050</v>
      </c>
      <c r="T7" s="21" t="s">
        <v>276</v>
      </c>
      <c r="U7" s="21" t="s">
        <v>283</v>
      </c>
    </row>
    <row r="8" customFormat="false" ht="14.25" hidden="false" customHeight="false" outlineLevel="0" collapsed="false">
      <c r="C8" s="22"/>
      <c r="D8" s="22" t="s">
        <v>282</v>
      </c>
      <c r="E8" s="22" t="s">
        <v>280</v>
      </c>
      <c r="F8" s="22" t="n">
        <v>2022</v>
      </c>
      <c r="G8" s="22" t="n">
        <v>48</v>
      </c>
      <c r="H8" s="22" t="n">
        <v>26</v>
      </c>
      <c r="I8" s="22" t="n">
        <v>28</v>
      </c>
      <c r="J8" s="22" t="n">
        <v>28</v>
      </c>
      <c r="K8" s="22" t="n">
        <v>88</v>
      </c>
      <c r="L8" s="22" t="n">
        <v>40</v>
      </c>
      <c r="M8" s="22" t="n">
        <v>46</v>
      </c>
      <c r="N8" s="22" t="n">
        <v>30</v>
      </c>
      <c r="O8" s="22" t="n">
        <v>48</v>
      </c>
      <c r="S8" s="21" t="n">
        <v>2070</v>
      </c>
      <c r="T8" s="21" t="s">
        <v>276</v>
      </c>
      <c r="U8" s="21" t="s">
        <v>284</v>
      </c>
    </row>
    <row r="9" customFormat="false" ht="14.25" hidden="false" customHeight="false" outlineLevel="0" collapsed="false">
      <c r="C9" s="22"/>
      <c r="D9" s="22" t="s">
        <v>285</v>
      </c>
      <c r="E9" s="22" t="s">
        <v>277</v>
      </c>
      <c r="F9" s="22" t="n">
        <v>2022</v>
      </c>
      <c r="G9" s="22" t="n">
        <v>4260</v>
      </c>
      <c r="H9" s="22" t="n">
        <v>4440</v>
      </c>
      <c r="I9" s="22" t="n">
        <v>2820</v>
      </c>
      <c r="J9" s="22" t="n">
        <v>3060</v>
      </c>
      <c r="K9" s="22" t="n">
        <v>6640</v>
      </c>
      <c r="L9" s="22" t="n">
        <v>4600</v>
      </c>
      <c r="M9" s="22" t="n">
        <v>3420</v>
      </c>
      <c r="N9" s="22" t="n">
        <v>4060</v>
      </c>
      <c r="O9" s="22" t="n">
        <v>4400</v>
      </c>
      <c r="S9" s="21" t="n">
        <v>2022</v>
      </c>
      <c r="T9" s="21" t="s">
        <v>286</v>
      </c>
      <c r="U9" s="21" t="s">
        <v>279</v>
      </c>
    </row>
    <row r="10" customFormat="false" ht="14.25" hidden="false" customHeight="false" outlineLevel="0" collapsed="false">
      <c r="C10" s="22"/>
      <c r="D10" s="22" t="s">
        <v>285</v>
      </c>
      <c r="E10" s="22" t="s">
        <v>280</v>
      </c>
      <c r="F10" s="22" t="n">
        <v>2022</v>
      </c>
      <c r="G10" s="22" t="n">
        <v>105</v>
      </c>
      <c r="H10" s="22" t="n">
        <v>110</v>
      </c>
      <c r="I10" s="22" t="n">
        <v>70</v>
      </c>
      <c r="J10" s="22" t="n">
        <v>75</v>
      </c>
      <c r="K10" s="22" t="n">
        <v>165</v>
      </c>
      <c r="L10" s="22" t="n">
        <v>115</v>
      </c>
      <c r="M10" s="22" t="n">
        <v>70</v>
      </c>
      <c r="N10" s="22" t="n">
        <v>120</v>
      </c>
      <c r="O10" s="22" t="n">
        <v>110</v>
      </c>
      <c r="S10" s="21" t="n">
        <v>2030</v>
      </c>
      <c r="T10" s="21" t="s">
        <v>286</v>
      </c>
      <c r="U10" s="21" t="s">
        <v>287</v>
      </c>
    </row>
    <row r="11" customFormat="false" ht="14.25" hidden="false" customHeight="false" outlineLevel="0" collapsed="false">
      <c r="C11" s="22" t="s">
        <v>288</v>
      </c>
      <c r="D11" s="22"/>
      <c r="E11" s="22" t="s">
        <v>277</v>
      </c>
      <c r="F11" s="22" t="n">
        <v>2022</v>
      </c>
      <c r="G11" s="22" t="n">
        <v>3300</v>
      </c>
      <c r="H11" s="22" t="n">
        <v>3350</v>
      </c>
      <c r="I11" s="22" t="n">
        <v>2000</v>
      </c>
      <c r="J11" s="22" t="n">
        <v>3050</v>
      </c>
      <c r="K11" s="22" t="n">
        <v>3550</v>
      </c>
      <c r="L11" s="22" t="n">
        <v>3500</v>
      </c>
      <c r="M11" s="22" t="n">
        <v>3900</v>
      </c>
      <c r="N11" s="22" t="n">
        <v>4050</v>
      </c>
      <c r="O11" s="22" t="n">
        <v>3400</v>
      </c>
      <c r="S11" s="21" t="n">
        <v>2050</v>
      </c>
      <c r="T11" s="21" t="s">
        <v>286</v>
      </c>
      <c r="U11" s="21" t="s">
        <v>289</v>
      </c>
    </row>
    <row r="12" customFormat="false" ht="14.25" hidden="false" customHeight="false" outlineLevel="0" collapsed="false">
      <c r="C12" s="22" t="s">
        <v>288</v>
      </c>
      <c r="D12" s="22"/>
      <c r="E12" s="22" t="s">
        <v>280</v>
      </c>
      <c r="F12" s="22" t="n">
        <v>2022</v>
      </c>
      <c r="G12" s="22" t="n">
        <v>65</v>
      </c>
      <c r="H12" s="22" t="n">
        <v>65</v>
      </c>
      <c r="I12" s="22" t="n">
        <v>40</v>
      </c>
      <c r="J12" s="22" t="n">
        <v>60</v>
      </c>
      <c r="K12" s="22" t="n">
        <v>70</v>
      </c>
      <c r="L12" s="22" t="n">
        <v>70</v>
      </c>
      <c r="M12" s="22" t="n">
        <v>80</v>
      </c>
      <c r="N12" s="22" t="n">
        <v>80</v>
      </c>
      <c r="O12" s="22" t="n">
        <v>70</v>
      </c>
      <c r="S12" s="21" t="n">
        <v>2070</v>
      </c>
      <c r="T12" s="21" t="s">
        <v>286</v>
      </c>
      <c r="U12" s="21" t="s">
        <v>281</v>
      </c>
    </row>
    <row r="13" customFormat="false" ht="14.25" hidden="false" customHeight="false" outlineLevel="0" collapsed="false">
      <c r="C13" s="22" t="s">
        <v>276</v>
      </c>
      <c r="D13" s="22"/>
      <c r="E13" s="22" t="s">
        <v>277</v>
      </c>
      <c r="F13" s="22" t="n">
        <v>2030</v>
      </c>
      <c r="G13" s="22" t="n">
        <v>850</v>
      </c>
      <c r="H13" s="22" t="n">
        <v>460</v>
      </c>
      <c r="I13" s="22" t="n">
        <v>430</v>
      </c>
      <c r="J13" s="22" t="n">
        <v>390</v>
      </c>
      <c r="K13" s="22" t="n">
        <v>1250</v>
      </c>
      <c r="L13" s="22" t="n">
        <v>1090</v>
      </c>
      <c r="M13" s="22" t="n">
        <v>620</v>
      </c>
      <c r="N13" s="22" t="n">
        <v>690</v>
      </c>
      <c r="O13" s="22" t="n">
        <v>360</v>
      </c>
      <c r="S13" s="21" t="n">
        <v>2022</v>
      </c>
      <c r="T13" s="21" t="s">
        <v>290</v>
      </c>
      <c r="U13" s="21" t="s">
        <v>132</v>
      </c>
    </row>
    <row r="14" customFormat="false" ht="14.25" hidden="false" customHeight="false" outlineLevel="0" collapsed="false">
      <c r="C14" s="22" t="s">
        <v>276</v>
      </c>
      <c r="D14" s="22"/>
      <c r="E14" s="22" t="s">
        <v>280</v>
      </c>
      <c r="F14" s="22" t="n">
        <v>2030</v>
      </c>
      <c r="G14" s="22" t="n">
        <v>20</v>
      </c>
      <c r="H14" s="22" t="n">
        <v>10</v>
      </c>
      <c r="I14" s="22" t="n">
        <v>10</v>
      </c>
      <c r="J14" s="22" t="n">
        <v>8</v>
      </c>
      <c r="K14" s="22" t="n">
        <v>26</v>
      </c>
      <c r="L14" s="22" t="n">
        <v>24</v>
      </c>
      <c r="M14" s="22" t="n">
        <v>14</v>
      </c>
      <c r="N14" s="22" t="n">
        <v>16</v>
      </c>
      <c r="O14" s="22" t="n">
        <v>8</v>
      </c>
      <c r="S14" s="21" t="n">
        <v>2030</v>
      </c>
      <c r="T14" s="21" t="s">
        <v>290</v>
      </c>
      <c r="U14" s="21" t="s">
        <v>291</v>
      </c>
    </row>
    <row r="15" customFormat="false" ht="14.25" hidden="false" customHeight="false" outlineLevel="0" collapsed="false">
      <c r="C15" s="22"/>
      <c r="D15" s="22" t="s">
        <v>282</v>
      </c>
      <c r="E15" s="22" t="s">
        <v>277</v>
      </c>
      <c r="F15" s="22" t="n">
        <v>2030</v>
      </c>
      <c r="G15" s="22" t="n">
        <v>1830</v>
      </c>
      <c r="H15" s="22" t="n">
        <v>1000</v>
      </c>
      <c r="I15" s="22" t="n">
        <v>1040</v>
      </c>
      <c r="J15" s="22" t="n">
        <v>1060</v>
      </c>
      <c r="K15" s="22" t="n">
        <v>3320</v>
      </c>
      <c r="L15" s="22" t="n">
        <v>1550</v>
      </c>
      <c r="M15" s="22" t="n">
        <v>1670</v>
      </c>
      <c r="N15" s="22" t="n">
        <v>1160</v>
      </c>
      <c r="O15" s="22" t="n">
        <v>1830</v>
      </c>
      <c r="S15" s="21" t="n">
        <v>2050</v>
      </c>
      <c r="T15" s="21" t="s">
        <v>290</v>
      </c>
      <c r="U15" s="21" t="s">
        <v>292</v>
      </c>
    </row>
    <row r="16" customFormat="false" ht="14.25" hidden="false" customHeight="false" outlineLevel="0" collapsed="false">
      <c r="C16" s="22"/>
      <c r="D16" s="22" t="s">
        <v>282</v>
      </c>
      <c r="E16" s="22" t="s">
        <v>280</v>
      </c>
      <c r="F16" s="22" t="n">
        <v>2030</v>
      </c>
      <c r="G16" s="22" t="n">
        <v>46</v>
      </c>
      <c r="H16" s="22" t="n">
        <v>26</v>
      </c>
      <c r="I16" s="22" t="n">
        <v>26</v>
      </c>
      <c r="J16" s="22" t="n">
        <v>26</v>
      </c>
      <c r="K16" s="22" t="n">
        <v>84</v>
      </c>
      <c r="L16" s="22" t="n">
        <v>40</v>
      </c>
      <c r="M16" s="22" t="n">
        <v>42</v>
      </c>
      <c r="N16" s="22" t="n">
        <v>30</v>
      </c>
      <c r="O16" s="22" t="n">
        <v>46</v>
      </c>
      <c r="S16" s="21" t="n">
        <v>2070</v>
      </c>
      <c r="T16" s="21" t="s">
        <v>290</v>
      </c>
      <c r="U16" s="21" t="s">
        <v>292</v>
      </c>
    </row>
    <row r="17" customFormat="false" ht="14.25" hidden="false" customHeight="false" outlineLevel="0" collapsed="false">
      <c r="C17" s="22"/>
      <c r="D17" s="22" t="s">
        <v>285</v>
      </c>
      <c r="E17" s="22" t="s">
        <v>277</v>
      </c>
      <c r="F17" s="22" t="n">
        <v>2030</v>
      </c>
      <c r="G17" s="22" t="n">
        <v>2880</v>
      </c>
      <c r="H17" s="22" t="n">
        <v>3000</v>
      </c>
      <c r="I17" s="22" t="n">
        <v>1880</v>
      </c>
      <c r="J17" s="22" t="n">
        <v>2060</v>
      </c>
      <c r="K17" s="22" t="n">
        <v>4180</v>
      </c>
      <c r="L17" s="22" t="n">
        <v>3120</v>
      </c>
      <c r="M17" s="22" t="n">
        <v>2280</v>
      </c>
      <c r="N17" s="22" t="n">
        <v>2520</v>
      </c>
      <c r="O17" s="22" t="n">
        <v>3000</v>
      </c>
    </row>
    <row r="18" customFormat="false" ht="14.25" hidden="false" customHeight="false" outlineLevel="0" collapsed="false">
      <c r="C18" s="22"/>
      <c r="D18" s="22" t="s">
        <v>285</v>
      </c>
      <c r="E18" s="22" t="s">
        <v>280</v>
      </c>
      <c r="F18" s="22" t="n">
        <v>2030</v>
      </c>
      <c r="G18" s="22" t="n">
        <v>80</v>
      </c>
      <c r="H18" s="22" t="n">
        <v>80</v>
      </c>
      <c r="I18" s="22" t="n">
        <v>50</v>
      </c>
      <c r="J18" s="22" t="n">
        <v>55</v>
      </c>
      <c r="K18" s="22" t="n">
        <v>115</v>
      </c>
      <c r="L18" s="22" t="n">
        <v>85</v>
      </c>
      <c r="M18" s="22" t="n">
        <v>50</v>
      </c>
      <c r="N18" s="22" t="n">
        <v>90</v>
      </c>
      <c r="O18" s="22" t="n">
        <v>80</v>
      </c>
    </row>
    <row r="19" customFormat="false" ht="14.25" hidden="false" customHeight="false" outlineLevel="0" collapsed="false">
      <c r="C19" s="22" t="s">
        <v>288</v>
      </c>
      <c r="D19" s="22"/>
      <c r="E19" s="22" t="s">
        <v>277</v>
      </c>
      <c r="F19" s="22" t="n">
        <v>2030</v>
      </c>
      <c r="G19" s="22" t="n">
        <v>3300</v>
      </c>
      <c r="H19" s="22" t="n">
        <v>3350</v>
      </c>
      <c r="I19" s="22" t="n">
        <v>2000</v>
      </c>
      <c r="J19" s="22" t="n">
        <v>3050</v>
      </c>
      <c r="K19" s="22" t="n">
        <v>3550</v>
      </c>
      <c r="L19" s="22" t="n">
        <v>3500</v>
      </c>
      <c r="M19" s="22" t="n">
        <v>3900</v>
      </c>
      <c r="N19" s="22" t="n">
        <v>4050</v>
      </c>
      <c r="O19" s="22" t="n">
        <v>3400</v>
      </c>
    </row>
    <row r="20" customFormat="false" ht="14.25" hidden="false" customHeight="false" outlineLevel="0" collapsed="false">
      <c r="C20" s="22" t="s">
        <v>288</v>
      </c>
      <c r="D20" s="22"/>
      <c r="E20" s="22" t="s">
        <v>280</v>
      </c>
      <c r="F20" s="22" t="n">
        <v>2030</v>
      </c>
      <c r="G20" s="22" t="n">
        <v>65</v>
      </c>
      <c r="H20" s="22" t="n">
        <v>65</v>
      </c>
      <c r="I20" s="22" t="n">
        <v>40</v>
      </c>
      <c r="J20" s="22" t="n">
        <v>60</v>
      </c>
      <c r="K20" s="22" t="n">
        <v>70</v>
      </c>
      <c r="L20" s="22" t="n">
        <v>70</v>
      </c>
      <c r="M20" s="22" t="n">
        <v>80</v>
      </c>
      <c r="N20" s="22" t="n">
        <v>80</v>
      </c>
      <c r="O20" s="22" t="n">
        <v>70</v>
      </c>
      <c r="R20" s="21" t="s">
        <v>293</v>
      </c>
    </row>
    <row r="21" customFormat="false" ht="14.25" hidden="false" customHeight="false" outlineLevel="0" collapsed="false">
      <c r="C21" s="22" t="s">
        <v>276</v>
      </c>
      <c r="D21" s="22"/>
      <c r="E21" s="22" t="s">
        <v>277</v>
      </c>
      <c r="F21" s="22" t="n">
        <v>2050</v>
      </c>
      <c r="G21" s="22" t="n">
        <v>580</v>
      </c>
      <c r="H21" s="22" t="n">
        <v>330</v>
      </c>
      <c r="I21" s="22" t="n">
        <v>300</v>
      </c>
      <c r="J21" s="22" t="n">
        <v>270</v>
      </c>
      <c r="K21" s="22" t="n">
        <v>940</v>
      </c>
      <c r="L21" s="22" t="n">
        <v>770</v>
      </c>
      <c r="M21" s="22" t="n">
        <v>450</v>
      </c>
      <c r="N21" s="22" t="n">
        <v>480</v>
      </c>
      <c r="O21" s="22" t="n">
        <v>250</v>
      </c>
      <c r="R21" s="21" t="s">
        <v>274</v>
      </c>
      <c r="S21" s="21" t="s">
        <v>275</v>
      </c>
      <c r="T21" s="21" t="s">
        <v>75</v>
      </c>
      <c r="U21" s="21" t="s">
        <v>74</v>
      </c>
    </row>
    <row r="22" customFormat="false" ht="14.25" hidden="false" customHeight="false" outlineLevel="0" collapsed="false">
      <c r="C22" s="22" t="s">
        <v>276</v>
      </c>
      <c r="D22" s="22"/>
      <c r="E22" s="22" t="s">
        <v>280</v>
      </c>
      <c r="F22" s="22" t="n">
        <v>2050</v>
      </c>
      <c r="G22" s="22" t="n">
        <v>18</v>
      </c>
      <c r="H22" s="22" t="n">
        <v>10</v>
      </c>
      <c r="I22" s="22" t="n">
        <v>10</v>
      </c>
      <c r="J22" s="22" t="n">
        <v>8</v>
      </c>
      <c r="K22" s="22" t="n">
        <v>24</v>
      </c>
      <c r="L22" s="22" t="n">
        <v>22</v>
      </c>
      <c r="M22" s="22" t="n">
        <v>12</v>
      </c>
      <c r="N22" s="22" t="n">
        <v>16</v>
      </c>
      <c r="O22" s="22" t="n">
        <v>8</v>
      </c>
      <c r="R22" s="21" t="s">
        <v>278</v>
      </c>
      <c r="S22" s="21" t="n">
        <v>2022</v>
      </c>
      <c r="T22" s="21" t="s">
        <v>276</v>
      </c>
      <c r="U22" s="21" t="s">
        <v>279</v>
      </c>
    </row>
    <row r="23" customFormat="false" ht="14.25" hidden="false" customHeight="false" outlineLevel="0" collapsed="false">
      <c r="C23" s="22"/>
      <c r="D23" s="22" t="s">
        <v>282</v>
      </c>
      <c r="E23" s="22" t="s">
        <v>277</v>
      </c>
      <c r="F23" s="22" t="n">
        <v>2050</v>
      </c>
      <c r="G23" s="22" t="n">
        <v>1740</v>
      </c>
      <c r="H23" s="22" t="n">
        <v>950</v>
      </c>
      <c r="I23" s="22" t="n">
        <v>1000</v>
      </c>
      <c r="J23" s="22" t="n">
        <v>1010</v>
      </c>
      <c r="K23" s="22" t="n">
        <v>3170</v>
      </c>
      <c r="L23" s="22" t="n">
        <v>1470</v>
      </c>
      <c r="M23" s="22" t="n">
        <v>1610</v>
      </c>
      <c r="N23" s="22" t="n">
        <v>1110</v>
      </c>
      <c r="O23" s="22" t="n">
        <v>1710</v>
      </c>
      <c r="S23" s="21" t="n">
        <v>2030</v>
      </c>
      <c r="T23" s="21" t="s">
        <v>276</v>
      </c>
      <c r="U23" s="21" t="s">
        <v>281</v>
      </c>
    </row>
    <row r="24" customFormat="false" ht="14.25" hidden="false" customHeight="false" outlineLevel="0" collapsed="false">
      <c r="C24" s="22"/>
      <c r="D24" s="22" t="s">
        <v>282</v>
      </c>
      <c r="E24" s="22" t="s">
        <v>280</v>
      </c>
      <c r="F24" s="22" t="n">
        <v>2050</v>
      </c>
      <c r="G24" s="22" t="n">
        <v>44</v>
      </c>
      <c r="H24" s="22" t="n">
        <v>24</v>
      </c>
      <c r="I24" s="22" t="n">
        <v>26</v>
      </c>
      <c r="J24" s="22" t="n">
        <v>26</v>
      </c>
      <c r="K24" s="22" t="n">
        <v>82</v>
      </c>
      <c r="L24" s="22" t="n">
        <v>38</v>
      </c>
      <c r="M24" s="22" t="n">
        <v>42</v>
      </c>
      <c r="N24" s="22" t="n">
        <v>30</v>
      </c>
      <c r="O24" s="22" t="n">
        <v>44</v>
      </c>
      <c r="S24" s="21" t="n">
        <v>2050</v>
      </c>
      <c r="T24" s="21" t="s">
        <v>276</v>
      </c>
      <c r="U24" s="21" t="s">
        <v>283</v>
      </c>
    </row>
    <row r="25" customFormat="false" ht="14.25" hidden="false" customHeight="false" outlineLevel="0" collapsed="false">
      <c r="C25" s="22"/>
      <c r="D25" s="22" t="s">
        <v>285</v>
      </c>
      <c r="E25" s="22" t="s">
        <v>277</v>
      </c>
      <c r="F25" s="22" t="n">
        <v>2050</v>
      </c>
      <c r="G25" s="22" t="n">
        <v>2080</v>
      </c>
      <c r="H25" s="22" t="n">
        <v>2160</v>
      </c>
      <c r="I25" s="22" t="n">
        <v>1420</v>
      </c>
      <c r="J25" s="22" t="n">
        <v>1500</v>
      </c>
      <c r="K25" s="22" t="n">
        <v>3160</v>
      </c>
      <c r="L25" s="22" t="n">
        <v>2280</v>
      </c>
      <c r="M25" s="22" t="n">
        <v>1740</v>
      </c>
      <c r="N25" s="22" t="n">
        <v>1900</v>
      </c>
      <c r="O25" s="22" t="n">
        <v>2180</v>
      </c>
      <c r="S25" s="21" t="n">
        <v>2070</v>
      </c>
      <c r="T25" s="21" t="s">
        <v>276</v>
      </c>
      <c r="U25" s="21" t="s">
        <v>284</v>
      </c>
    </row>
    <row r="26" customFormat="false" ht="14.25" hidden="false" customHeight="false" outlineLevel="0" collapsed="false">
      <c r="C26" s="22"/>
      <c r="D26" s="22" t="s">
        <v>285</v>
      </c>
      <c r="E26" s="22" t="s">
        <v>280</v>
      </c>
      <c r="F26" s="22" t="n">
        <v>2050</v>
      </c>
      <c r="G26" s="22" t="n">
        <v>65</v>
      </c>
      <c r="H26" s="22" t="n">
        <v>65</v>
      </c>
      <c r="I26" s="22" t="n">
        <v>45</v>
      </c>
      <c r="J26" s="22" t="n">
        <v>45</v>
      </c>
      <c r="K26" s="22" t="n">
        <v>95</v>
      </c>
      <c r="L26" s="22" t="n">
        <v>70</v>
      </c>
      <c r="M26" s="22" t="n">
        <v>45</v>
      </c>
      <c r="N26" s="22" t="n">
        <v>70</v>
      </c>
      <c r="O26" s="22" t="n">
        <v>65</v>
      </c>
      <c r="S26" s="21" t="n">
        <v>2022</v>
      </c>
      <c r="T26" s="21" t="s">
        <v>286</v>
      </c>
      <c r="U26" s="21" t="s">
        <v>279</v>
      </c>
    </row>
    <row r="27" customFormat="false" ht="14.25" hidden="false" customHeight="false" outlineLevel="0" collapsed="false">
      <c r="C27" s="22" t="s">
        <v>288</v>
      </c>
      <c r="D27" s="22"/>
      <c r="E27" s="22" t="s">
        <v>277</v>
      </c>
      <c r="F27" s="22" t="n">
        <v>2050</v>
      </c>
      <c r="G27" s="22" t="n">
        <v>3250</v>
      </c>
      <c r="H27" s="22" t="n">
        <v>3350</v>
      </c>
      <c r="I27" s="22" t="n">
        <v>2000</v>
      </c>
      <c r="J27" s="22" t="n">
        <v>3050</v>
      </c>
      <c r="K27" s="22" t="n">
        <v>3550</v>
      </c>
      <c r="L27" s="22" t="n">
        <v>3500</v>
      </c>
      <c r="M27" s="22" t="n">
        <v>3900</v>
      </c>
      <c r="N27" s="22" t="n">
        <v>4050</v>
      </c>
      <c r="O27" s="22" t="n">
        <v>3400</v>
      </c>
      <c r="S27" s="21" t="n">
        <v>2030</v>
      </c>
      <c r="T27" s="21" t="s">
        <v>286</v>
      </c>
      <c r="U27" s="21" t="s">
        <v>287</v>
      </c>
    </row>
    <row r="28" customFormat="false" ht="14.25" hidden="false" customHeight="false" outlineLevel="0" collapsed="false">
      <c r="C28" s="22" t="s">
        <v>288</v>
      </c>
      <c r="D28" s="22"/>
      <c r="E28" s="22" t="s">
        <v>280</v>
      </c>
      <c r="F28" s="22" t="n">
        <v>2050</v>
      </c>
      <c r="G28" s="22" t="n">
        <v>65</v>
      </c>
      <c r="H28" s="22" t="n">
        <v>65</v>
      </c>
      <c r="I28" s="22" t="n">
        <v>40</v>
      </c>
      <c r="J28" s="22" t="n">
        <v>60</v>
      </c>
      <c r="K28" s="22" t="n">
        <v>70</v>
      </c>
      <c r="L28" s="22" t="n">
        <v>70</v>
      </c>
      <c r="M28" s="22" t="n">
        <v>80</v>
      </c>
      <c r="N28" s="22" t="n">
        <v>80</v>
      </c>
      <c r="O28" s="22" t="n">
        <v>70</v>
      </c>
      <c r="S28" s="21" t="n">
        <v>2050</v>
      </c>
      <c r="T28" s="21" t="s">
        <v>286</v>
      </c>
      <c r="U28" s="21" t="s">
        <v>289</v>
      </c>
    </row>
    <row r="29" customFormat="false" ht="14.25" hidden="false" customHeight="false" outlineLevel="0" collapsed="false">
      <c r="S29" s="21" t="n">
        <v>2070</v>
      </c>
      <c r="T29" s="21" t="s">
        <v>286</v>
      </c>
      <c r="U29" s="21" t="s">
        <v>281</v>
      </c>
    </row>
    <row r="30" customFormat="false" ht="14.25" hidden="false" customHeight="false" outlineLevel="0" collapsed="false">
      <c r="S30" s="21" t="n">
        <v>2022</v>
      </c>
      <c r="T30" s="21" t="s">
        <v>290</v>
      </c>
      <c r="U30" s="21" t="s">
        <v>132</v>
      </c>
    </row>
    <row r="31" customFormat="false" ht="14.25" hidden="false" customHeight="false" outlineLevel="0" collapsed="false">
      <c r="S31" s="21" t="n">
        <v>2030</v>
      </c>
      <c r="T31" s="21" t="s">
        <v>290</v>
      </c>
      <c r="U31" s="21" t="s">
        <v>291</v>
      </c>
    </row>
    <row r="32" customFormat="false" ht="14.25" hidden="false" customHeight="false" outlineLevel="0" collapsed="false">
      <c r="S32" s="21" t="n">
        <v>2050</v>
      </c>
      <c r="T32" s="21" t="s">
        <v>290</v>
      </c>
      <c r="U32" s="21" t="s">
        <v>292</v>
      </c>
    </row>
    <row r="33" customFormat="false" ht="14.25" hidden="false" customHeight="false" outlineLevel="0" collapsed="false">
      <c r="S33" s="21" t="n">
        <v>2070</v>
      </c>
      <c r="T33" s="21" t="s">
        <v>290</v>
      </c>
      <c r="U33" s="21" t="s">
        <v>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1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J25" activeCellId="0" sqref="J25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3.73"/>
  </cols>
  <sheetData>
    <row r="3" customFormat="false" ht="14.25" hidden="false" customHeight="false" outlineLevel="0" collapsed="false">
      <c r="B3" s="0" t="s">
        <v>294</v>
      </c>
    </row>
    <row r="4" customFormat="false" ht="14.25" hidden="false" customHeight="false" outlineLevel="0" collapsed="false">
      <c r="B4" s="0" t="s">
        <v>5</v>
      </c>
      <c r="C4" s="2" t="s">
        <v>295</v>
      </c>
      <c r="D4" s="2" t="s">
        <v>74</v>
      </c>
      <c r="E4" s="2" t="s">
        <v>296</v>
      </c>
      <c r="F4" s="2" t="s">
        <v>76</v>
      </c>
      <c r="H4" s="2" t="s">
        <v>297</v>
      </c>
      <c r="J4" s="2" t="s">
        <v>298</v>
      </c>
    </row>
    <row r="5" customFormat="false" ht="14.25" hidden="false" customHeight="false" outlineLevel="0" collapsed="false">
      <c r="B5" s="0" t="s">
        <v>299</v>
      </c>
      <c r="C5" s="2" t="s">
        <v>300</v>
      </c>
      <c r="D5" s="2" t="s">
        <v>98</v>
      </c>
      <c r="E5" s="2" t="s">
        <v>301</v>
      </c>
      <c r="F5" s="0" t="s">
        <v>302</v>
      </c>
      <c r="H5" s="2" t="s">
        <v>303</v>
      </c>
    </row>
    <row r="6" customFormat="false" ht="14.25" hidden="false" customHeight="false" outlineLevel="0" collapsed="false">
      <c r="B6" s="0" t="s">
        <v>299</v>
      </c>
      <c r="C6" s="2" t="s">
        <v>105</v>
      </c>
      <c r="D6" s="2" t="s">
        <v>98</v>
      </c>
      <c r="E6" s="2" t="s">
        <v>304</v>
      </c>
      <c r="F6" s="0" t="s">
        <v>302</v>
      </c>
      <c r="H6" s="2" t="s">
        <v>303</v>
      </c>
    </row>
    <row r="7" customFormat="false" ht="14.25" hidden="false" customHeight="false" outlineLevel="0" collapsed="false">
      <c r="B7" s="0" t="s">
        <v>299</v>
      </c>
      <c r="C7" s="2" t="s">
        <v>305</v>
      </c>
      <c r="D7" s="2" t="s">
        <v>98</v>
      </c>
      <c r="E7" s="2" t="s">
        <v>306</v>
      </c>
      <c r="F7" s="0" t="s">
        <v>302</v>
      </c>
      <c r="H7" s="2" t="s">
        <v>303</v>
      </c>
    </row>
    <row r="8" customFormat="false" ht="14.25" hidden="false" customHeight="false" outlineLevel="0" collapsed="false">
      <c r="B8" s="0" t="s">
        <v>307</v>
      </c>
    </row>
    <row r="9" customFormat="false" ht="14.25" hidden="false" customHeight="false" outlineLevel="0" collapsed="false">
      <c r="B9" s="0" t="s">
        <v>299</v>
      </c>
      <c r="C9" s="2" t="s">
        <v>300</v>
      </c>
      <c r="D9" s="2" t="s">
        <v>98</v>
      </c>
      <c r="E9" s="2" t="s">
        <v>308</v>
      </c>
      <c r="F9" s="0" t="s">
        <v>302</v>
      </c>
      <c r="H9" s="2" t="s">
        <v>303</v>
      </c>
    </row>
    <row r="10" customFormat="false" ht="14.25" hidden="false" customHeight="false" outlineLevel="0" collapsed="false">
      <c r="B10" s="0" t="s">
        <v>299</v>
      </c>
      <c r="C10" s="2" t="s">
        <v>105</v>
      </c>
      <c r="D10" s="2" t="s">
        <v>98</v>
      </c>
      <c r="E10" s="2" t="s">
        <v>309</v>
      </c>
      <c r="F10" s="0" t="s">
        <v>302</v>
      </c>
      <c r="H10" s="2" t="s">
        <v>303</v>
      </c>
    </row>
    <row r="11" customFormat="false" ht="14.25" hidden="false" customHeight="false" outlineLevel="0" collapsed="false">
      <c r="B11" s="0" t="s">
        <v>299</v>
      </c>
      <c r="C11" s="2" t="s">
        <v>305</v>
      </c>
      <c r="D11" s="2" t="s">
        <v>98</v>
      </c>
      <c r="E11" s="2" t="s">
        <v>310</v>
      </c>
      <c r="F11" s="0" t="s">
        <v>302</v>
      </c>
      <c r="H11" s="2" t="s">
        <v>303</v>
      </c>
    </row>
    <row r="12" customFormat="false" ht="14.25" hidden="false" customHeight="false" outlineLevel="0" collapsed="false">
      <c r="B12" s="0" t="s">
        <v>307</v>
      </c>
    </row>
    <row r="13" customFormat="false" ht="14.25" hidden="false" customHeight="false" outlineLevel="0" collapsed="false">
      <c r="B13" s="0" t="s">
        <v>311</v>
      </c>
      <c r="C13" s="2" t="s">
        <v>312</v>
      </c>
      <c r="D13" s="2" t="s">
        <v>98</v>
      </c>
      <c r="E13" s="2" t="s">
        <v>313</v>
      </c>
      <c r="H13" s="2" t="s">
        <v>314</v>
      </c>
    </row>
    <row r="16" customFormat="false" ht="14.25" hidden="false" customHeight="false" outlineLevel="0" collapsed="false">
      <c r="B16" s="3" t="s">
        <v>88</v>
      </c>
    </row>
    <row r="18" customFormat="false" ht="14.25" hidden="false" customHeight="false" outlineLevel="0" collapsed="false">
      <c r="B18" s="0" t="s">
        <v>72</v>
      </c>
      <c r="C18" s="2" t="s">
        <v>90</v>
      </c>
      <c r="D18" s="0" t="n">
        <v>2023</v>
      </c>
      <c r="E18" s="0" t="n">
        <v>0</v>
      </c>
    </row>
    <row r="19" customFormat="false" ht="14.25" hidden="false" customHeight="false" outlineLevel="0" collapsed="false">
      <c r="B19" s="0" t="s">
        <v>315</v>
      </c>
      <c r="C19" s="2" t="s">
        <v>316</v>
      </c>
      <c r="D19" s="0" t="n">
        <v>0</v>
      </c>
      <c r="E19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J173"/>
  <sheetViews>
    <sheetView showFormulas="false" showGridLines="true" showRowColHeaders="true" showZeros="true" rightToLeft="false" tabSelected="false" showOutlineSymbols="true" defaultGridColor="true" view="normal" topLeftCell="J1" colorId="64" zoomScale="84" zoomScaleNormal="84" zoomScalePageLayoutView="100" workbookViewId="0">
      <selection pane="topLeft" activeCell="J29" activeCellId="0" sqref="J29"/>
    </sheetView>
  </sheetViews>
  <sheetFormatPr defaultColWidth="9.00390625" defaultRowHeight="14.25" zeroHeight="false" outlineLevelRow="0" outlineLevelCol="0"/>
  <cols>
    <col collapsed="false" customWidth="true" hidden="false" outlineLevel="0" max="9" min="9" style="0" width="10.27"/>
    <col collapsed="false" customWidth="true" hidden="false" outlineLevel="0" max="10" min="10" style="0" width="125.55"/>
    <col collapsed="false" customWidth="true" hidden="false" outlineLevel="0" max="11" min="11" style="0" width="79.27"/>
    <col collapsed="false" customWidth="true" hidden="false" outlineLevel="0" max="12" min="12" style="0" width="5.55"/>
  </cols>
  <sheetData>
    <row r="2" customFormat="false" ht="14.25" hidden="false" customHeight="false" outlineLevel="0" collapsed="false">
      <c r="B2" s="0" t="s">
        <v>294</v>
      </c>
      <c r="I2" s="0" t="s">
        <v>52</v>
      </c>
    </row>
    <row r="3" customFormat="false" ht="14.25" hidden="false" customHeight="false" outlineLevel="0" collapsed="false">
      <c r="B3" s="0" t="s">
        <v>5</v>
      </c>
      <c r="C3" s="0" t="s">
        <v>317</v>
      </c>
      <c r="D3" s="0" t="s">
        <v>74</v>
      </c>
      <c r="E3" s="0" t="s">
        <v>296</v>
      </c>
      <c r="I3" s="0" t="s">
        <v>72</v>
      </c>
      <c r="J3" s="0" t="s">
        <v>90</v>
      </c>
      <c r="K3" s="0" t="s">
        <v>243</v>
      </c>
      <c r="L3" s="0" t="s">
        <v>242</v>
      </c>
    </row>
    <row r="4" customFormat="false" ht="14.25" hidden="false" customHeight="false" outlineLevel="0" collapsed="false">
      <c r="B4" s="0" t="s">
        <v>111</v>
      </c>
      <c r="C4" s="0" t="s">
        <v>318</v>
      </c>
      <c r="D4" s="0" t="s">
        <v>98</v>
      </c>
      <c r="E4" s="0" t="s">
        <v>319</v>
      </c>
      <c r="I4" s="0" t="s">
        <v>320</v>
      </c>
      <c r="J4" s="0" t="s">
        <v>321</v>
      </c>
      <c r="K4" s="0" t="n">
        <v>15</v>
      </c>
    </row>
    <row r="5" customFormat="false" ht="14.25" hidden="false" customHeight="false" outlineLevel="0" collapsed="false">
      <c r="B5" s="0" t="s">
        <v>111</v>
      </c>
      <c r="C5" s="0" t="s">
        <v>322</v>
      </c>
      <c r="D5" s="0" t="s">
        <v>98</v>
      </c>
      <c r="E5" s="0" t="s">
        <v>323</v>
      </c>
      <c r="I5" s="0" t="s">
        <v>320</v>
      </c>
      <c r="J5" s="0" t="s">
        <v>321</v>
      </c>
      <c r="K5" s="0" t="n">
        <v>2</v>
      </c>
      <c r="L5" s="0" t="n">
        <v>0</v>
      </c>
    </row>
    <row r="6" customFormat="false" ht="14.25" hidden="false" customHeight="false" outlineLevel="0" collapsed="false">
      <c r="B6" s="0" t="s">
        <v>111</v>
      </c>
      <c r="C6" s="0" t="s">
        <v>324</v>
      </c>
      <c r="D6" s="0" t="s">
        <v>98</v>
      </c>
      <c r="E6" s="0" t="s">
        <v>325</v>
      </c>
      <c r="I6" s="0" t="s">
        <v>326</v>
      </c>
      <c r="J6" s="0" t="s">
        <v>321</v>
      </c>
      <c r="K6" s="0" t="n">
        <v>7</v>
      </c>
    </row>
    <row r="7" customFormat="false" ht="14.25" hidden="false" customHeight="false" outlineLevel="0" collapsed="false">
      <c r="C7" s="0" t="s">
        <v>327</v>
      </c>
      <c r="D7" s="0" t="s">
        <v>98</v>
      </c>
      <c r="E7" s="0" t="s">
        <v>328</v>
      </c>
      <c r="I7" s="23" t="s">
        <v>81</v>
      </c>
      <c r="J7" s="23" t="s">
        <v>329</v>
      </c>
      <c r="K7" s="23" t="n">
        <v>2020</v>
      </c>
    </row>
    <row r="8" customFormat="false" ht="14.25" hidden="false" customHeight="false" outlineLevel="0" collapsed="false">
      <c r="C8" s="0" t="s">
        <v>330</v>
      </c>
      <c r="D8" s="0" t="s">
        <v>98</v>
      </c>
      <c r="E8" s="0" t="s">
        <v>331</v>
      </c>
    </row>
    <row r="9" customFormat="false" ht="14.25" hidden="false" customHeight="false" outlineLevel="0" collapsed="false">
      <c r="C9" s="0" t="s">
        <v>332</v>
      </c>
      <c r="D9" s="0" t="s">
        <v>98</v>
      </c>
      <c r="E9" s="0" t="s">
        <v>333</v>
      </c>
    </row>
    <row r="11" customFormat="false" ht="14.25" hidden="false" customHeight="false" outlineLevel="0" collapsed="false">
      <c r="B11" s="11" t="s">
        <v>52</v>
      </c>
      <c r="C11" s="11"/>
      <c r="D11" s="11"/>
      <c r="E11" s="11"/>
      <c r="F11" s="11"/>
    </row>
    <row r="12" customFormat="false" ht="14.25" hidden="false" customHeight="false" outlineLevel="0" collapsed="false">
      <c r="B12" s="11"/>
      <c r="C12" s="11"/>
      <c r="D12" s="11"/>
      <c r="E12" s="11"/>
      <c r="F12" s="11"/>
    </row>
    <row r="13" customFormat="false" ht="14.25" hidden="false" customHeight="false" outlineLevel="0" collapsed="false">
      <c r="B13" s="11" t="s">
        <v>55</v>
      </c>
      <c r="C13" s="11" t="s">
        <v>5</v>
      </c>
      <c r="D13" s="11" t="s">
        <v>317</v>
      </c>
      <c r="E13" s="11" t="s">
        <v>296</v>
      </c>
      <c r="F13" s="11" t="s">
        <v>74</v>
      </c>
      <c r="K13" s="0" t="s">
        <v>334</v>
      </c>
    </row>
    <row r="14" customFormat="false" ht="14.25" hidden="false" customHeight="false" outlineLevel="0" collapsed="false">
      <c r="B14" s="11" t="s">
        <v>335</v>
      </c>
      <c r="C14" s="11" t="s">
        <v>111</v>
      </c>
      <c r="D14" s="11" t="s">
        <v>318</v>
      </c>
      <c r="E14" s="11" t="s">
        <v>113</v>
      </c>
      <c r="F14" s="11" t="n">
        <v>1.25</v>
      </c>
      <c r="K14" s="0" t="s">
        <v>73</v>
      </c>
      <c r="L14" s="0" t="s">
        <v>242</v>
      </c>
      <c r="M14" s="2" t="s">
        <v>9</v>
      </c>
      <c r="N14" s="2" t="s">
        <v>10</v>
      </c>
      <c r="O14" s="2" t="s">
        <v>12</v>
      </c>
      <c r="P14" s="2" t="s">
        <v>13</v>
      </c>
      <c r="Q14" s="2" t="s">
        <v>14</v>
      </c>
      <c r="R14" s="2" t="s">
        <v>17</v>
      </c>
      <c r="S14" s="2" t="s">
        <v>18</v>
      </c>
      <c r="T14" s="2" t="s">
        <v>19</v>
      </c>
      <c r="U14" s="2" t="s">
        <v>21</v>
      </c>
      <c r="V14" s="2" t="s">
        <v>22</v>
      </c>
      <c r="W14" s="2" t="s">
        <v>24</v>
      </c>
      <c r="X14" s="2" t="s">
        <v>25</v>
      </c>
      <c r="Y14" s="2" t="s">
        <v>26</v>
      </c>
      <c r="Z14" s="2" t="s">
        <v>27</v>
      </c>
      <c r="AA14" s="2" t="s">
        <v>28</v>
      </c>
      <c r="AB14" s="2" t="s">
        <v>29</v>
      </c>
      <c r="AC14" s="2" t="s">
        <v>30</v>
      </c>
      <c r="AD14" s="2" t="s">
        <v>31</v>
      </c>
      <c r="AE14" s="2" t="s">
        <v>34</v>
      </c>
      <c r="AF14" s="2" t="s">
        <v>35</v>
      </c>
      <c r="AG14" s="2" t="s">
        <v>36</v>
      </c>
      <c r="AH14" s="2" t="s">
        <v>37</v>
      </c>
      <c r="AI14" s="2" t="s">
        <v>38</v>
      </c>
      <c r="AJ14" s="2" t="s">
        <v>39</v>
      </c>
    </row>
    <row r="15" customFormat="false" ht="14.25" hidden="false" customHeight="false" outlineLevel="0" collapsed="false">
      <c r="K15" s="0" t="s">
        <v>336</v>
      </c>
      <c r="L15" s="0" t="n">
        <v>2019</v>
      </c>
      <c r="M15" s="4" t="n">
        <f aca="false">SUMIFS($D$19:$D$199,$C$19:$C$199,$L15,$B$19:$B$199,M$14)/5</f>
        <v>0.0013436</v>
      </c>
      <c r="N15" s="4" t="n">
        <f aca="false">SUMIFS($D$19:$D$199,$C$19:$C$199,$L15,$B$19:$B$199,N$14)/5</f>
        <v>0.0016</v>
      </c>
      <c r="O15" s="4" t="n">
        <f aca="false">SUMIFS($D$19:$D$199,$C$19:$C$199,$L15,$B$19:$B$199,O$14)/5</f>
        <v>0.015</v>
      </c>
      <c r="P15" s="4" t="n">
        <f aca="false">SUMIFS($D$19:$D$199,$C$19:$C$199,$L15,$B$19:$B$199,P$14)/5</f>
        <v>0.0002</v>
      </c>
      <c r="Q15" s="4" t="n">
        <f aca="false">SUMIFS($D$19:$D$199,$C$19:$C$199,$L15,$B$19:$B$199,Q$14)/5</f>
        <v>0.222</v>
      </c>
      <c r="R15" s="4" t="n">
        <f aca="false">SUMIFS($D$19:$D$199,$C$19:$C$199,$L15,$B$19:$B$199,R$14)/5</f>
        <v>0.009</v>
      </c>
      <c r="S15" s="4" t="n">
        <f aca="false">SUMIFS($D$19:$D$199,$C$19:$C$199,$L15,$B$19:$B$199,S$14)/5</f>
        <v>0.015</v>
      </c>
      <c r="T15" s="4" t="n">
        <f aca="false">SUMIFS($D$19:$D$199,$C$19:$C$199,$L15,$B$19:$B$199,T$14)/5</f>
        <v>0.0002</v>
      </c>
      <c r="U15" s="4" t="n">
        <f aca="false">SUMIFS($D$19:$D$199,$C$19:$C$199,$L15,$B$19:$B$199,U$14)/5</f>
        <v>0.0004</v>
      </c>
      <c r="V15" s="4" t="n">
        <f aca="false">SUMIFS($D$19:$D$199,$C$19:$C$199,$L15,$B$19:$B$199,V$14)/5</f>
        <v>0.000312</v>
      </c>
      <c r="W15" s="4" t="n">
        <f aca="false">SUMIFS($D$19:$D$199,$C$19:$C$199,$L15,$B$19:$B$199,W$14)/5</f>
        <v>0.0012</v>
      </c>
      <c r="X15" s="4" t="n">
        <f aca="false">SUMIFS($D$19:$D$199,$C$19:$C$199,$L15,$B$19:$B$199,X$14)/5</f>
        <v>0.0044</v>
      </c>
      <c r="Y15" s="4" t="n">
        <f aca="false">SUMIFS($D$19:$D$199,$C$19:$C$199,$L15,$B$19:$B$199,Y$14)/5</f>
        <v>1E-005</v>
      </c>
      <c r="Z15" s="4" t="n">
        <f aca="false">SUMIFS($D$19:$D$199,$C$19:$C$199,$L15,$B$19:$B$199,Z$14)/5</f>
        <v>0.0005</v>
      </c>
      <c r="AA15" s="4" t="n">
        <f aca="false">SUMIFS($D$19:$D$199,$C$19:$C$199,$L15,$B$19:$B$199,AA$14)/5</f>
        <v>0.07764</v>
      </c>
      <c r="AB15" s="4" t="n">
        <f aca="false">SUMIFS($D$19:$D$199,$C$19:$C$199,$L15,$B$19:$B$199,AB$14)/5</f>
        <v>0.0120632</v>
      </c>
      <c r="AC15" s="4" t="n">
        <f aca="false">SUMIFS($D$19:$D$199,$C$19:$C$199,$L15,$B$19:$B$199,AC$14)/5</f>
        <v>0.0004</v>
      </c>
      <c r="AD15" s="4" t="n">
        <f aca="false">SUMIFS($D$19:$D$199,$C$19:$C$199,$L15,$B$19:$B$199,AD$14)/5</f>
        <v>0.00192</v>
      </c>
      <c r="AE15" s="4" t="n">
        <f aca="false">SUMIFS($D$19:$D$199,$C$19:$C$199,$L15,$B$19:$B$199,AE$14)/5</f>
        <v>2E-005</v>
      </c>
      <c r="AF15" s="4" t="n">
        <f aca="false">SUMIFS($D$19:$D$199,$C$19:$C$199,$L15,$B$19:$B$199,AF$14)/5</f>
        <v>0.0017</v>
      </c>
      <c r="AG15" s="4" t="n">
        <f aca="false">SUMIFS($D$19:$D$199,$C$19:$C$199,$L15,$B$19:$B$199,AG$14)/5</f>
        <v>0.008</v>
      </c>
      <c r="AH15" s="4" t="n">
        <f aca="false">SUMIFS($D$19:$D$199,$C$19:$C$199,$L15,$B$19:$B$199,AH$14)/5</f>
        <v>0.0017</v>
      </c>
      <c r="AI15" s="4" t="n">
        <f aca="false">SUMIFS($D$19:$D$199,$C$19:$C$199,$L15,$B$19:$B$199,AI$14)/5</f>
        <v>0.0002</v>
      </c>
      <c r="AJ15" s="4" t="n">
        <f aca="false">SUMIFS($D$19:$D$199,$C$19:$C$199,$L15,$B$19:$B$199,AJ$14)/5</f>
        <v>0.0076</v>
      </c>
    </row>
    <row r="16" customFormat="false" ht="14.25" hidden="false" customHeight="false" outlineLevel="0" collapsed="false">
      <c r="K16" s="12" t="s">
        <v>336</v>
      </c>
      <c r="L16" s="12" t="n">
        <v>2020</v>
      </c>
      <c r="M16" s="24" t="n">
        <f aca="false">SUMIFS($D$19:$D$199,$C$19:$C$199,$L16,$B$19:$B$199,M$14)/5</f>
        <v>0.00138</v>
      </c>
      <c r="N16" s="24" t="n">
        <f aca="false">SUMIFS($D$19:$D$199,$C$19:$C$199,$L16,$B$19:$B$199,N$14)/5</f>
        <v>0.0052</v>
      </c>
      <c r="O16" s="24" t="n">
        <f aca="false">SUMIFS($D$19:$D$199,$C$19:$C$199,$L16,$B$19:$B$199,O$14)/5</f>
        <v>0.0238</v>
      </c>
      <c r="P16" s="24" t="n">
        <f aca="false">SUMIFS($D$19:$D$199,$C$19:$C$199,$L16,$B$19:$B$199,P$14)/5</f>
        <v>0.003949</v>
      </c>
      <c r="Q16" s="24" t="n">
        <f aca="false">SUMIFS($D$19:$D$199,$C$19:$C$199,$L16,$B$19:$B$199,Q$14)/5</f>
        <v>0.266</v>
      </c>
      <c r="R16" s="24" t="n">
        <f aca="false">SUMIFS($D$19:$D$199,$C$19:$C$199,$L16,$B$19:$B$199,R$14)/5</f>
        <v>0.037</v>
      </c>
      <c r="S16" s="24" t="n">
        <f aca="false">SUMIFS($D$19:$D$199,$C$19:$C$199,$L16,$B$19:$B$199,S$14)/5</f>
        <v>0.0796</v>
      </c>
      <c r="T16" s="24" t="n">
        <f aca="false">SUMIFS($D$19:$D$199,$C$19:$C$199,$L16,$B$19:$B$199,T$14)/5</f>
        <v>0.0004</v>
      </c>
      <c r="U16" s="24" t="n">
        <f aca="false">SUMIFS($D$19:$D$199,$C$19:$C$199,$L16,$B$19:$B$199,U$14)/5</f>
        <v>0.0008</v>
      </c>
      <c r="V16" s="24" t="n">
        <f aca="false">SUMIFS($D$19:$D$199,$C$19:$C$199,$L16,$B$19:$B$199,V$14)/5</f>
        <v>0.001</v>
      </c>
      <c r="W16" s="24" t="n">
        <f aca="false">SUMIFS($D$19:$D$199,$C$19:$C$199,$L16,$B$19:$B$199,W$14)/5</f>
        <v>0.0064</v>
      </c>
      <c r="X16" s="24" t="n">
        <f aca="false">SUMIFS($D$19:$D$199,$C$19:$C$199,$L16,$B$19:$B$199,X$14)/5</f>
        <v>0.0058</v>
      </c>
      <c r="Y16" s="24" t="n">
        <f aca="false">SUMIFS($D$19:$D$199,$C$19:$C$199,$L16,$B$19:$B$199,Y$14)/5</f>
        <v>2E-005</v>
      </c>
      <c r="Z16" s="24" t="n">
        <f aca="false">SUMIFS($D$19:$D$199,$C$19:$C$199,$L16,$B$19:$B$199,Z$14)/5</f>
        <v>0.0016</v>
      </c>
      <c r="AA16" s="24" t="n">
        <f aca="false">SUMIFS($D$19:$D$199,$C$19:$C$199,$L16,$B$19:$B$199,AA$14)/5</f>
        <v>0.076</v>
      </c>
      <c r="AB16" s="24" t="n">
        <f aca="false">SUMIFS($D$19:$D$199,$C$19:$C$199,$L16,$B$19:$B$199,AB$14)/5</f>
        <v>0.0212</v>
      </c>
      <c r="AC16" s="24" t="n">
        <f aca="false">SUMIFS($D$19:$D$199,$C$19:$C$199,$L16,$B$19:$B$199,AC$14)/5</f>
        <v>0.0016</v>
      </c>
      <c r="AD16" s="24" t="n">
        <f aca="false">SUMIFS($D$19:$D$199,$C$19:$C$199,$L16,$B$19:$B$199,AD$14)/5</f>
        <v>0.0066</v>
      </c>
      <c r="AE16" s="24" t="n">
        <f aca="false">SUMIFS($D$19:$D$199,$C$19:$C$199,$L16,$B$19:$B$199,AE$14)/5</f>
        <v>4E-005</v>
      </c>
      <c r="AF16" s="24" t="n">
        <f aca="false">SUMIFS($D$19:$D$199,$C$19:$C$199,$L16,$B$19:$B$199,AF$14)/5</f>
        <v>0.0066</v>
      </c>
      <c r="AG16" s="24" t="n">
        <f aca="false">SUMIFS($D$19:$D$199,$C$19:$C$199,$L16,$B$19:$B$199,AG$14)/5</f>
        <v>0.0244</v>
      </c>
      <c r="AH16" s="24" t="n">
        <f aca="false">SUMIFS($D$19:$D$199,$C$19:$C$199,$L16,$B$19:$B$199,AH$14)/5</f>
        <v>0.0056</v>
      </c>
      <c r="AI16" s="24" t="n">
        <f aca="false">SUMIFS($D$19:$D$199,$C$19:$C$199,$L16,$B$19:$B$199,AI$14)/5</f>
        <v>0.0004</v>
      </c>
      <c r="AJ16" s="24" t="n">
        <f aca="false">SUMIFS($D$19:$D$199,$C$19:$C$199,$L16,$B$19:$B$199,AJ$14)/5</f>
        <v>0.0352</v>
      </c>
    </row>
    <row r="17" customFormat="false" ht="14.25" hidden="false" customHeight="false" outlineLevel="0" collapsed="false">
      <c r="K17" s="12" t="s">
        <v>336</v>
      </c>
      <c r="L17" s="12" t="n">
        <v>2021</v>
      </c>
      <c r="M17" s="24" t="n">
        <f aca="false">SUMIFS($D$19:$D$199,$C$19:$C$199,$L17,$B$19:$B$199,M$14)/5</f>
        <v>0.0042</v>
      </c>
      <c r="N17" s="24" t="n">
        <f aca="false">SUMIFS($D$19:$D$199,$C$19:$C$199,$L17,$B$19:$B$199,N$14)/5</f>
        <v>0.0082</v>
      </c>
      <c r="O17" s="24" t="n">
        <f aca="false">SUMIFS($D$19:$D$199,$C$19:$C$199,$L17,$B$19:$B$199,O$14)/5</f>
        <v>0.0402</v>
      </c>
      <c r="P17" s="24" t="n">
        <f aca="false">SUMIFS($D$19:$D$199,$C$19:$C$199,$L17,$B$19:$B$199,P$14)/5</f>
        <v>0.0065</v>
      </c>
      <c r="Q17" s="24" t="n">
        <f aca="false">SUMIFS($D$19:$D$199,$C$19:$C$199,$L17,$B$19:$B$199,Q$14)/5</f>
        <v>0.68</v>
      </c>
      <c r="R17" s="24" t="n">
        <f aca="false">SUMIFS($D$19:$D$199,$C$19:$C$199,$L17,$B$19:$B$199,R$14)/5</f>
        <v>0.063</v>
      </c>
      <c r="S17" s="24" t="n">
        <f aca="false">SUMIFS($D$19:$D$199,$C$19:$C$199,$L17,$B$19:$B$199,S$14)/5</f>
        <v>0.1362</v>
      </c>
      <c r="T17" s="24" t="n">
        <f aca="false">SUMIFS($D$19:$D$199,$C$19:$C$199,$L17,$B$19:$B$199,T$14)/5</f>
        <v>0.001</v>
      </c>
      <c r="U17" s="24" t="n">
        <f aca="false">SUMIFS($D$19:$D$199,$C$19:$C$199,$L17,$B$19:$B$199,U$14)/5</f>
        <v>0.0016</v>
      </c>
      <c r="V17" s="24" t="n">
        <f aca="false">SUMIFS($D$19:$D$199,$C$19:$C$199,$L17,$B$19:$B$199,V$14)/5</f>
        <v>0.0032</v>
      </c>
      <c r="W17" s="24" t="n">
        <f aca="false">SUMIFS($D$19:$D$199,$C$19:$C$199,$L17,$B$19:$B$199,W$14)/5</f>
        <v>0.0134</v>
      </c>
      <c r="X17" s="24" t="n">
        <f aca="false">SUMIFS($D$19:$D$199,$C$19:$C$199,$L17,$B$19:$B$199,X$14)/5</f>
        <v>0.0088</v>
      </c>
      <c r="Y17" s="24" t="n">
        <f aca="false">SUMIFS($D$19:$D$199,$C$19:$C$199,$L17,$B$19:$B$199,Y$14)/5</f>
        <v>6E-005</v>
      </c>
      <c r="Z17" s="24" t="n">
        <f aca="false">SUMIFS($D$19:$D$199,$C$19:$C$199,$L17,$B$19:$B$199,Z$14)/5</f>
        <v>0.004</v>
      </c>
      <c r="AA17" s="24" t="n">
        <f aca="false">SUMIFS($D$19:$D$199,$C$19:$C$199,$L17,$B$19:$B$199,AA$14)/5</f>
        <v>0.1512</v>
      </c>
      <c r="AB17" s="24" t="n">
        <f aca="false">SUMIFS($D$19:$D$199,$C$19:$C$199,$L17,$B$19:$B$199,AB$14)/5</f>
        <v>0.0278</v>
      </c>
      <c r="AC17" s="24" t="n">
        <f aca="false">SUMIFS($D$19:$D$199,$C$19:$C$199,$L17,$B$19:$B$199,AC$14)/5</f>
        <v>0.0024</v>
      </c>
      <c r="AD17" s="24" t="n">
        <f aca="false">SUMIFS($D$19:$D$199,$C$19:$C$199,$L17,$B$19:$B$199,AD$14)/5</f>
        <v>0.0242</v>
      </c>
      <c r="AE17" s="24" t="n">
        <f aca="false">SUMIFS($D$19:$D$199,$C$19:$C$199,$L17,$B$19:$B$199,AE$14)/5</f>
        <v>8E-005</v>
      </c>
      <c r="AF17" s="24" t="n">
        <f aca="false">SUMIFS($D$19:$D$199,$C$19:$C$199,$L17,$B$19:$B$199,AF$14)/5</f>
        <v>0.0146</v>
      </c>
      <c r="AG17" s="24" t="n">
        <f aca="false">SUMIFS($D$19:$D$199,$C$19:$C$199,$L17,$B$19:$B$199,AG$14)/5</f>
        <v>0.0388</v>
      </c>
      <c r="AH17" s="24" t="n">
        <f aca="false">SUMIFS($D$19:$D$199,$C$19:$C$199,$L17,$B$19:$B$199,AH$14)/5</f>
        <v>0.0096</v>
      </c>
      <c r="AI17" s="24" t="n">
        <f aca="false">SUMIFS($D$19:$D$199,$C$19:$C$199,$L17,$B$19:$B$199,AI$14)/5</f>
        <v>0.001</v>
      </c>
      <c r="AJ17" s="24" t="n">
        <f aca="false">SUMIFS($D$19:$D$199,$C$19:$C$199,$L17,$B$19:$B$199,AJ$14)/5</f>
        <v>0.0382</v>
      </c>
    </row>
    <row r="18" customFormat="false" ht="14.25" hidden="false" customHeight="false" outlineLevel="0" collapsed="false">
      <c r="A18" s="0" t="s">
        <v>337</v>
      </c>
      <c r="B18" s="0" t="s">
        <v>338</v>
      </c>
      <c r="C18" s="0" t="s">
        <v>242</v>
      </c>
      <c r="D18" s="0" t="s">
        <v>339</v>
      </c>
      <c r="K18" s="12" t="s">
        <v>336</v>
      </c>
      <c r="L18" s="12" t="n">
        <v>2022</v>
      </c>
      <c r="M18" s="24" t="n">
        <f aca="false">SUMIFS($D$19:$D$199,$C$19:$C$199,$L18,$B$19:$B$199,M$14)/5</f>
        <v>0.013</v>
      </c>
      <c r="N18" s="24" t="n">
        <f aca="false">SUMIFS($D$19:$D$199,$C$19:$C$199,$L18,$B$19:$B$199,N$14)/5</f>
        <v>0.011</v>
      </c>
      <c r="O18" s="24" t="n">
        <f aca="false">SUMIFS($D$19:$D$199,$C$19:$C$199,$L18,$B$19:$B$199,O$14)/5</f>
        <v>0.064</v>
      </c>
      <c r="P18" s="24" t="n">
        <f aca="false">SUMIFS($D$19:$D$199,$C$19:$C$199,$L18,$B$19:$B$199,P$14)/5</f>
        <v>0.01</v>
      </c>
      <c r="Q18" s="24" t="n">
        <f aca="false">SUMIFS($D$19:$D$199,$C$19:$C$199,$L18,$B$19:$B$199,Q$14)/5</f>
        <v>1.24</v>
      </c>
      <c r="R18" s="24" t="n">
        <f aca="false">SUMIFS($D$19:$D$199,$C$19:$C$199,$L18,$B$19:$B$199,R$14)/5</f>
        <v>0.08</v>
      </c>
      <c r="S18" s="24" t="n">
        <f aca="false">SUMIFS($D$19:$D$199,$C$19:$C$199,$L18,$B$19:$B$199,S$14)/5</f>
        <v>0.166</v>
      </c>
      <c r="T18" s="24" t="n">
        <f aca="false">SUMIFS($D$19:$D$199,$C$19:$C$199,$L18,$B$19:$B$199,T$14)/5</f>
        <v>0.0026</v>
      </c>
      <c r="U18" s="24" t="n">
        <f aca="false">SUMIFS($D$19:$D$199,$C$19:$C$199,$L18,$B$19:$B$199,U$14)/5</f>
        <v>0.0022</v>
      </c>
      <c r="V18" s="24" t="n">
        <f aca="false">SUMIFS($D$19:$D$199,$C$19:$C$199,$L18,$B$19:$B$199,V$14)/5</f>
        <v>0.0102</v>
      </c>
      <c r="W18" s="24" t="n">
        <f aca="false">SUMIFS($D$19:$D$199,$C$19:$C$199,$L18,$B$19:$B$199,W$14)/5</f>
        <v>0.022</v>
      </c>
      <c r="X18" s="24" t="n">
        <f aca="false">SUMIFS($D$19:$D$199,$C$19:$C$199,$L18,$B$19:$B$199,X$14)/5</f>
        <v>0.0184</v>
      </c>
      <c r="Y18" s="24" t="n">
        <f aca="false">SUMIFS($D$19:$D$199,$C$19:$C$199,$L18,$B$19:$B$199,Y$14)/5</f>
        <v>0.00012</v>
      </c>
      <c r="Z18" s="24" t="n">
        <f aca="false">SUMIFS($D$19:$D$199,$C$19:$C$199,$L18,$B$19:$B$199,Z$14)/5</f>
        <v>0.008</v>
      </c>
      <c r="AA18" s="24" t="n">
        <f aca="false">SUMIFS($D$19:$D$199,$C$19:$C$199,$L18,$B$19:$B$199,AA$14)/5</f>
        <v>0.2132</v>
      </c>
      <c r="AB18" s="24" t="n">
        <f aca="false">SUMIFS($D$19:$D$199,$C$19:$C$199,$L18,$B$19:$B$199,AB$14)/5</f>
        <v>0.027</v>
      </c>
      <c r="AC18" s="24" t="n">
        <f aca="false">SUMIFS($D$19:$D$199,$C$19:$C$199,$L18,$B$19:$B$199,AC$14)/5</f>
        <v>0.0048</v>
      </c>
      <c r="AD18" s="24" t="n">
        <f aca="false">SUMIFS($D$19:$D$199,$C$19:$C$199,$L18,$B$19:$B$199,AD$14)/5</f>
        <v>0.0314</v>
      </c>
      <c r="AE18" s="24" t="n">
        <f aca="false">SUMIFS($D$19:$D$199,$C$19:$C$199,$L18,$B$19:$B$199,AE$14)/5</f>
        <v>0.00016</v>
      </c>
      <c r="AF18" s="24" t="n">
        <f aca="false">SUMIFS($D$19:$D$199,$C$19:$C$199,$L18,$B$19:$B$199,AF$14)/5</f>
        <v>0.026</v>
      </c>
      <c r="AG18" s="24" t="n">
        <f aca="false">SUMIFS($D$19:$D$199,$C$19:$C$199,$L18,$B$19:$B$199,AG$14)/5</f>
        <v>0.0524</v>
      </c>
      <c r="AH18" s="24" t="n">
        <f aca="false">SUMIFS($D$19:$D$199,$C$19:$C$199,$L18,$B$19:$B$199,AH$14)/5</f>
        <v>0.0124</v>
      </c>
      <c r="AI18" s="24" t="n">
        <f aca="false">SUMIFS($D$19:$D$199,$C$19:$C$199,$L18,$B$19:$B$199,AI$14)/5</f>
        <v>0.007</v>
      </c>
      <c r="AJ18" s="24" t="n">
        <f aca="false">SUMIFS($D$19:$D$199,$C$19:$C$199,$L18,$B$19:$B$199,AJ$14)/5</f>
        <v>0.074</v>
      </c>
    </row>
    <row r="19" customFormat="false" ht="14.25" hidden="false" customHeight="false" outlineLevel="0" collapsed="false">
      <c r="A19" s="0" t="s">
        <v>340</v>
      </c>
      <c r="B19" s="0" t="s">
        <v>9</v>
      </c>
      <c r="C19" s="0" t="n">
        <v>2019</v>
      </c>
      <c r="D19" s="0" t="n">
        <v>0.006718</v>
      </c>
      <c r="K19" s="12" t="s">
        <v>336</v>
      </c>
      <c r="L19" s="12" t="n">
        <v>2023</v>
      </c>
      <c r="M19" s="24" t="n">
        <f aca="false">SUMIFS($D$19:$D$199,$C$19:$C$199,$L19,$B$19:$B$199,M$14)/5</f>
        <v>0.0196</v>
      </c>
      <c r="N19" s="24" t="n">
        <f aca="false">SUMIFS($D$19:$D$199,$C$19:$C$199,$L19,$B$19:$B$199,N$14)/5</f>
        <v>0.013</v>
      </c>
      <c r="O19" s="24" t="n">
        <f aca="false">SUMIFS($D$19:$D$199,$C$19:$C$199,$L19,$B$19:$B$199,O$14)/5</f>
        <v>0.0806</v>
      </c>
      <c r="P19" s="24" t="n">
        <f aca="false">SUMIFS($D$19:$D$199,$C$19:$C$199,$L19,$B$19:$B$199,P$14)/5</f>
        <v>0.0104</v>
      </c>
      <c r="Q19" s="24" t="n">
        <f aca="false">SUMIFS($D$19:$D$199,$C$19:$C$199,$L19,$B$19:$B$199,Q$14)/5</f>
        <v>1.62</v>
      </c>
      <c r="R19" s="24" t="n">
        <f aca="false">SUMIFS($D$19:$D$199,$C$19:$C$199,$L19,$B$19:$B$199,R$14)/5</f>
        <v>0.094</v>
      </c>
      <c r="S19" s="24" t="n">
        <f aca="false">SUMIFS($D$19:$D$199,$C$19:$C$199,$L19,$B$19:$B$199,S$14)/5</f>
        <v>0.14</v>
      </c>
      <c r="T19" s="24" t="n">
        <f aca="false">SUMIFS($D$19:$D$199,$C$19:$C$199,$L19,$B$19:$B$199,T$14)/5</f>
        <v>0.0034</v>
      </c>
      <c r="U19" s="24" t="n">
        <f aca="false">SUMIFS($D$19:$D$199,$C$19:$C$199,$L19,$B$19:$B$199,U$14)/5</f>
        <v>0.00248</v>
      </c>
      <c r="V19" s="24" t="n">
        <f aca="false">SUMIFS($D$19:$D$199,$C$19:$C$199,$L19,$B$19:$B$199,V$14)/5</f>
        <v>0.016454</v>
      </c>
      <c r="W19" s="24" t="n">
        <f aca="false">SUMIFS($D$19:$D$199,$C$19:$C$199,$L19,$B$19:$B$199,W$14)/5</f>
        <v>0.0272</v>
      </c>
      <c r="X19" s="24" t="n">
        <f aca="false">SUMIFS($D$19:$D$199,$C$19:$C$199,$L19,$B$19:$B$199,X$14)/5</f>
        <v>0.02806</v>
      </c>
      <c r="Y19" s="24" t="n">
        <f aca="false">SUMIFS($D$19:$D$199,$C$19:$C$199,$L19,$B$19:$B$199,Y$14)/5</f>
        <v>0.000184</v>
      </c>
      <c r="Z19" s="24" t="n">
        <f aca="false">SUMIFS($D$19:$D$199,$C$19:$C$199,$L19,$B$19:$B$199,Z$14)/5</f>
        <v>0.013</v>
      </c>
      <c r="AA19" s="24" t="n">
        <f aca="false">SUMIFS($D$19:$D$199,$C$19:$C$199,$L19,$B$19:$B$199,AA$14)/5</f>
        <v>0.31524</v>
      </c>
      <c r="AB19" s="24" t="n">
        <f aca="false">SUMIFS($D$19:$D$199,$C$19:$C$199,$L19,$B$19:$B$199,AB$14)/5</f>
        <v>0.022</v>
      </c>
      <c r="AC19" s="24" t="n">
        <f aca="false">SUMIFS($D$19:$D$199,$C$19:$C$199,$L19,$B$19:$B$199,AC$14)/5</f>
        <v>0.00602</v>
      </c>
      <c r="AD19" s="24" t="n">
        <f aca="false">SUMIFS($D$19:$D$199,$C$19:$C$199,$L19,$B$19:$B$199,AD$14)/5</f>
        <v>0.03486</v>
      </c>
      <c r="AE19" s="24" t="n">
        <f aca="false">SUMIFS($D$19:$D$199,$C$19:$C$199,$L19,$B$19:$B$199,AE$14)/5</f>
        <v>0.000216</v>
      </c>
      <c r="AF19" s="24" t="n">
        <f aca="false">SUMIFS($D$19:$D$199,$C$19:$C$199,$L19,$B$19:$B$199,AF$14)/5</f>
        <v>0.037</v>
      </c>
      <c r="AG19" s="24" t="n">
        <f aca="false">SUMIFS($D$19:$D$199,$C$19:$C$199,$L19,$B$19:$B$199,AG$14)/5</f>
        <v>0.0598</v>
      </c>
      <c r="AH19" s="24" t="n">
        <f aca="false">SUMIFS($D$19:$D$199,$C$19:$C$199,$L19,$B$19:$B$199,AH$14)/5</f>
        <v>0.0152</v>
      </c>
      <c r="AI19" s="24" t="n">
        <f aca="false">SUMIFS($D$19:$D$199,$C$19:$C$199,$L19,$B$19:$B$199,AI$14)/5</f>
        <v>0.01374</v>
      </c>
      <c r="AJ19" s="24" t="n">
        <f aca="false">SUMIFS($D$19:$D$199,$C$19:$C$199,$L19,$B$19:$B$199,AJ$14)/5</f>
        <v>0.09</v>
      </c>
    </row>
    <row r="20" customFormat="false" ht="14.25" hidden="false" customHeight="false" outlineLevel="0" collapsed="false">
      <c r="A20" s="0" t="s">
        <v>340</v>
      </c>
      <c r="B20" s="0" t="s">
        <v>9</v>
      </c>
      <c r="C20" s="0" t="n">
        <v>2020</v>
      </c>
      <c r="D20" s="0" t="n">
        <v>0.0069</v>
      </c>
      <c r="K20" s="12" t="s">
        <v>336</v>
      </c>
      <c r="L20" s="12" t="n">
        <v>2024</v>
      </c>
      <c r="M20" s="24" t="n">
        <f aca="false">SUMIFS($D$19:$D$199,$C$19:$C$199,$L20,$B$19:$B$199,M$14)/5</f>
        <v>0.0182</v>
      </c>
      <c r="N20" s="24" t="n">
        <f aca="false">SUMIFS($D$19:$D$199,$C$19:$C$199,$L20,$B$19:$B$199,N$14)/5</f>
        <v>0</v>
      </c>
      <c r="O20" s="24" t="n">
        <f aca="false">SUMIFS($D$19:$D$199,$C$19:$C$199,$L20,$B$19:$B$199,O$14)/5</f>
        <v>0.0264332</v>
      </c>
      <c r="P20" s="24" t="n">
        <f aca="false">SUMIFS($D$19:$D$199,$C$19:$C$199,$L20,$B$19:$B$199,P$14)/5</f>
        <v>0.025</v>
      </c>
      <c r="Q20" s="24" t="n">
        <f aca="false">SUMIFS($D$19:$D$199,$C$19:$C$199,$L20,$B$19:$B$199,Q$14)/5</f>
        <v>2.24</v>
      </c>
      <c r="R20" s="24" t="n">
        <f aca="false">SUMIFS($D$19:$D$199,$C$19:$C$199,$L20,$B$19:$B$199,R$14)/5</f>
        <v>0.0582286</v>
      </c>
      <c r="S20" s="24" t="n">
        <f aca="false">SUMIFS($D$19:$D$199,$C$19:$C$199,$L20,$B$19:$B$199,S$14)/5</f>
        <v>0.0761218</v>
      </c>
      <c r="T20" s="24" t="n">
        <f aca="false">SUMIFS($D$19:$D$199,$C$19:$C$199,$L20,$B$19:$B$199,T$14)/5</f>
        <v>0</v>
      </c>
      <c r="U20" s="24" t="n">
        <f aca="false">SUMIFS($D$19:$D$199,$C$19:$C$199,$L20,$B$19:$B$199,U$14)/5</f>
        <v>0</v>
      </c>
      <c r="V20" s="24" t="n">
        <f aca="false">SUMIFS($D$19:$D$199,$C$19:$C$199,$L20,$B$19:$B$199,V$14)/5</f>
        <v>0</v>
      </c>
      <c r="W20" s="24" t="n">
        <f aca="false">SUMIFS($D$19:$D$199,$C$19:$C$199,$L20,$B$19:$B$199,W$14)/5</f>
        <v>0.0129966</v>
      </c>
      <c r="X20" s="24" t="n">
        <f aca="false">SUMIFS($D$19:$D$199,$C$19:$C$199,$L20,$B$19:$B$199,X$14)/5</f>
        <v>0</v>
      </c>
      <c r="Y20" s="24" t="n">
        <f aca="false">SUMIFS($D$19:$D$199,$C$19:$C$199,$L20,$B$19:$B$199,Y$14)/5</f>
        <v>0</v>
      </c>
      <c r="Z20" s="24" t="n">
        <f aca="false">SUMIFS($D$19:$D$199,$C$19:$C$199,$L20,$B$19:$B$199,Z$14)/5</f>
        <v>0</v>
      </c>
      <c r="AA20" s="24" t="n">
        <f aca="false">SUMIFS($D$19:$D$199,$C$19:$C$199,$L20,$B$19:$B$199,AA$14)/5</f>
        <v>0.26</v>
      </c>
      <c r="AB20" s="24" t="n">
        <f aca="false">SUMIFS($D$19:$D$199,$C$19:$C$199,$L20,$B$19:$B$199,AB$14)/5</f>
        <v>0.0228818</v>
      </c>
      <c r="AC20" s="24" t="n">
        <f aca="false">SUMIFS($D$19:$D$199,$C$19:$C$199,$L20,$B$19:$B$199,AC$14)/5</f>
        <v>0</v>
      </c>
      <c r="AD20" s="24" t="n">
        <f aca="false">SUMIFS($D$19:$D$199,$C$19:$C$199,$L20,$B$19:$B$199,AD$14)/5</f>
        <v>0</v>
      </c>
      <c r="AE20" s="24" t="n">
        <f aca="false">SUMIFS($D$19:$D$199,$C$19:$C$199,$L20,$B$19:$B$199,AE$14)/5</f>
        <v>0</v>
      </c>
      <c r="AF20" s="24" t="n">
        <f aca="false">SUMIFS($D$19:$D$199,$C$19:$C$199,$L20,$B$19:$B$199,AF$14)/5</f>
        <v>0</v>
      </c>
      <c r="AG20" s="24" t="n">
        <f aca="false">SUMIFS($D$19:$D$199,$C$19:$C$199,$L20,$B$19:$B$199,AG$14)/5</f>
        <v>0.0188664</v>
      </c>
      <c r="AH20" s="24" t="n">
        <f aca="false">SUMIFS($D$19:$D$199,$C$19:$C$199,$L20,$B$19:$B$199,AH$14)/5</f>
        <v>0</v>
      </c>
      <c r="AI20" s="24" t="n">
        <f aca="false">SUMIFS($D$19:$D$199,$C$19:$C$199,$L20,$B$19:$B$199,AI$14)/5</f>
        <v>0</v>
      </c>
      <c r="AJ20" s="24" t="n">
        <f aca="false">SUMIFS($D$19:$D$199,$C$19:$C$199,$L20,$B$19:$B$199,AJ$14)/5</f>
        <v>0.076394</v>
      </c>
    </row>
    <row r="21" customFormat="false" ht="14.25" hidden="false" customHeight="false" outlineLevel="0" collapsed="false">
      <c r="A21" s="0" t="s">
        <v>340</v>
      </c>
      <c r="B21" s="0" t="s">
        <v>9</v>
      </c>
      <c r="C21" s="0" t="n">
        <v>2021</v>
      </c>
      <c r="D21" s="0" t="n">
        <v>0.021</v>
      </c>
    </row>
    <row r="22" customFormat="false" ht="14.25" hidden="false" customHeight="false" outlineLevel="0" collapsed="false">
      <c r="A22" s="0" t="s">
        <v>340</v>
      </c>
      <c r="B22" s="0" t="s">
        <v>9</v>
      </c>
      <c r="C22" s="0" t="n">
        <v>2022</v>
      </c>
      <c r="D22" s="0" t="n">
        <v>0.065</v>
      </c>
    </row>
    <row r="23" customFormat="false" ht="14.25" hidden="false" customHeight="false" outlineLevel="0" collapsed="false">
      <c r="A23" s="0" t="s">
        <v>340</v>
      </c>
      <c r="B23" s="0" t="s">
        <v>9</v>
      </c>
      <c r="C23" s="0" t="n">
        <v>2023</v>
      </c>
      <c r="D23" s="0" t="n">
        <v>0.098</v>
      </c>
    </row>
    <row r="24" customFormat="false" ht="14.25" hidden="false" customHeight="false" outlineLevel="0" collapsed="false">
      <c r="A24" s="0" t="s">
        <v>340</v>
      </c>
      <c r="B24" s="0" t="s">
        <v>9</v>
      </c>
      <c r="C24" s="0" t="n">
        <v>2024</v>
      </c>
      <c r="D24" s="0" t="n">
        <v>0.091</v>
      </c>
    </row>
    <row r="25" customFormat="false" ht="14.25" hidden="false" customHeight="false" outlineLevel="0" collapsed="false">
      <c r="A25" s="0" t="s">
        <v>340</v>
      </c>
      <c r="B25" s="0" t="s">
        <v>10</v>
      </c>
      <c r="C25" s="0" t="n">
        <v>2019</v>
      </c>
      <c r="D25" s="0" t="n">
        <v>0.008</v>
      </c>
    </row>
    <row r="26" customFormat="false" ht="14.25" hidden="false" customHeight="false" outlineLevel="0" collapsed="false">
      <c r="A26" s="0" t="s">
        <v>340</v>
      </c>
      <c r="B26" s="0" t="s">
        <v>10</v>
      </c>
      <c r="C26" s="0" t="n">
        <v>2020</v>
      </c>
      <c r="D26" s="0" t="n">
        <v>0.026</v>
      </c>
    </row>
    <row r="27" customFormat="false" ht="14.25" hidden="false" customHeight="false" outlineLevel="0" collapsed="false">
      <c r="A27" s="0" t="s">
        <v>340</v>
      </c>
      <c r="B27" s="0" t="s">
        <v>10</v>
      </c>
      <c r="C27" s="0" t="n">
        <v>2021</v>
      </c>
      <c r="D27" s="0" t="n">
        <v>0.041</v>
      </c>
    </row>
    <row r="28" customFormat="false" ht="14.25" hidden="false" customHeight="false" outlineLevel="0" collapsed="false">
      <c r="A28" s="0" t="s">
        <v>340</v>
      </c>
      <c r="B28" s="0" t="s">
        <v>10</v>
      </c>
      <c r="C28" s="0" t="n">
        <v>2022</v>
      </c>
      <c r="D28" s="0" t="n">
        <v>0.055</v>
      </c>
    </row>
    <row r="29" customFormat="false" ht="14.25" hidden="false" customHeight="false" outlineLevel="0" collapsed="false">
      <c r="A29" s="0" t="s">
        <v>340</v>
      </c>
      <c r="B29" s="0" t="s">
        <v>10</v>
      </c>
      <c r="C29" s="0" t="n">
        <v>2023</v>
      </c>
      <c r="D29" s="0" t="n">
        <v>0.065</v>
      </c>
    </row>
    <row r="30" customFormat="false" ht="14.25" hidden="false" customHeight="false" outlineLevel="0" collapsed="false">
      <c r="A30" s="0" t="s">
        <v>340</v>
      </c>
      <c r="B30" s="0" t="s">
        <v>12</v>
      </c>
      <c r="C30" s="0" t="n">
        <v>2019</v>
      </c>
      <c r="D30" s="0" t="n">
        <v>0.075</v>
      </c>
    </row>
    <row r="31" customFormat="false" ht="14.25" hidden="false" customHeight="false" outlineLevel="0" collapsed="false">
      <c r="A31" s="0" t="s">
        <v>340</v>
      </c>
      <c r="B31" s="0" t="s">
        <v>12</v>
      </c>
      <c r="C31" s="0" t="n">
        <v>2020</v>
      </c>
      <c r="D31" s="0" t="n">
        <v>0.119</v>
      </c>
    </row>
    <row r="32" customFormat="false" ht="14.25" hidden="false" customHeight="false" outlineLevel="0" collapsed="false">
      <c r="A32" s="0" t="s">
        <v>340</v>
      </c>
      <c r="B32" s="0" t="s">
        <v>12</v>
      </c>
      <c r="C32" s="0" t="n">
        <v>2021</v>
      </c>
      <c r="D32" s="0" t="n">
        <v>0.201</v>
      </c>
    </row>
    <row r="33" customFormat="false" ht="14.25" hidden="false" customHeight="false" outlineLevel="0" collapsed="false">
      <c r="A33" s="0" t="s">
        <v>340</v>
      </c>
      <c r="B33" s="0" t="s">
        <v>12</v>
      </c>
      <c r="C33" s="0" t="n">
        <v>2022</v>
      </c>
      <c r="D33" s="0" t="n">
        <v>0.32</v>
      </c>
    </row>
    <row r="34" customFormat="false" ht="14.25" hidden="false" customHeight="false" outlineLevel="0" collapsed="false">
      <c r="A34" s="0" t="s">
        <v>340</v>
      </c>
      <c r="B34" s="0" t="s">
        <v>12</v>
      </c>
      <c r="C34" s="0" t="n">
        <v>2023</v>
      </c>
      <c r="D34" s="0" t="n">
        <v>0.403</v>
      </c>
    </row>
    <row r="35" customFormat="false" ht="14.25" hidden="false" customHeight="false" outlineLevel="0" collapsed="false">
      <c r="A35" s="0" t="s">
        <v>340</v>
      </c>
      <c r="B35" s="0" t="s">
        <v>12</v>
      </c>
      <c r="C35" s="0" t="n">
        <v>2024</v>
      </c>
      <c r="D35" s="0" t="n">
        <v>0.132166</v>
      </c>
    </row>
    <row r="36" customFormat="false" ht="14.25" hidden="false" customHeight="false" outlineLevel="0" collapsed="false">
      <c r="A36" s="0" t="s">
        <v>340</v>
      </c>
      <c r="B36" s="0" t="s">
        <v>13</v>
      </c>
      <c r="C36" s="0" t="n">
        <v>2019</v>
      </c>
      <c r="D36" s="0" t="n">
        <v>0.001</v>
      </c>
    </row>
    <row r="37" customFormat="false" ht="14.25" hidden="false" customHeight="false" outlineLevel="0" collapsed="false">
      <c r="A37" s="0" t="s">
        <v>340</v>
      </c>
      <c r="B37" s="0" t="s">
        <v>13</v>
      </c>
      <c r="C37" s="0" t="n">
        <v>2020</v>
      </c>
      <c r="D37" s="0" t="n">
        <v>0.019745</v>
      </c>
    </row>
    <row r="38" customFormat="false" ht="14.25" hidden="false" customHeight="false" outlineLevel="0" collapsed="false">
      <c r="A38" s="0" t="s">
        <v>340</v>
      </c>
      <c r="B38" s="0" t="s">
        <v>13</v>
      </c>
      <c r="C38" s="0" t="n">
        <v>2021</v>
      </c>
      <c r="D38" s="0" t="n">
        <v>0.0325</v>
      </c>
    </row>
    <row r="39" customFormat="false" ht="14.25" hidden="false" customHeight="false" outlineLevel="0" collapsed="false">
      <c r="A39" s="0" t="s">
        <v>340</v>
      </c>
      <c r="B39" s="0" t="s">
        <v>13</v>
      </c>
      <c r="C39" s="0" t="n">
        <v>2022</v>
      </c>
      <c r="D39" s="0" t="n">
        <v>0.05</v>
      </c>
    </row>
    <row r="40" customFormat="false" ht="14.25" hidden="false" customHeight="false" outlineLevel="0" collapsed="false">
      <c r="A40" s="0" t="s">
        <v>340</v>
      </c>
      <c r="B40" s="0" t="s">
        <v>13</v>
      </c>
      <c r="C40" s="0" t="n">
        <v>2023</v>
      </c>
      <c r="D40" s="0" t="n">
        <v>0.052</v>
      </c>
    </row>
    <row r="41" customFormat="false" ht="14.25" hidden="false" customHeight="false" outlineLevel="0" collapsed="false">
      <c r="A41" s="0" t="s">
        <v>340</v>
      </c>
      <c r="B41" s="0" t="s">
        <v>13</v>
      </c>
      <c r="C41" s="0" t="n">
        <v>2024</v>
      </c>
      <c r="D41" s="0" t="n">
        <v>0.125</v>
      </c>
    </row>
    <row r="42" customFormat="false" ht="14.25" hidden="false" customHeight="false" outlineLevel="0" collapsed="false">
      <c r="A42" s="0" t="s">
        <v>340</v>
      </c>
      <c r="B42" s="0" t="s">
        <v>14</v>
      </c>
      <c r="C42" s="0" t="n">
        <v>2019</v>
      </c>
      <c r="D42" s="0" t="n">
        <v>1.11</v>
      </c>
    </row>
    <row r="43" customFormat="false" ht="14.25" hidden="false" customHeight="false" outlineLevel="0" collapsed="false">
      <c r="A43" s="0" t="s">
        <v>340</v>
      </c>
      <c r="B43" s="0" t="s">
        <v>14</v>
      </c>
      <c r="C43" s="0" t="n">
        <v>2020</v>
      </c>
      <c r="D43" s="0" t="n">
        <v>1.33</v>
      </c>
    </row>
    <row r="44" customFormat="false" ht="14.25" hidden="false" customHeight="false" outlineLevel="0" collapsed="false">
      <c r="A44" s="0" t="s">
        <v>340</v>
      </c>
      <c r="B44" s="0" t="s">
        <v>14</v>
      </c>
      <c r="C44" s="0" t="n">
        <v>2021</v>
      </c>
      <c r="D44" s="0" t="n">
        <v>3.4</v>
      </c>
    </row>
    <row r="45" customFormat="false" ht="14.25" hidden="false" customHeight="false" outlineLevel="0" collapsed="false">
      <c r="A45" s="0" t="s">
        <v>340</v>
      </c>
      <c r="B45" s="0" t="s">
        <v>14</v>
      </c>
      <c r="C45" s="0" t="n">
        <v>2022</v>
      </c>
      <c r="D45" s="0" t="n">
        <v>6.2</v>
      </c>
    </row>
    <row r="46" customFormat="false" ht="14.25" hidden="false" customHeight="false" outlineLevel="0" collapsed="false">
      <c r="A46" s="0" t="s">
        <v>340</v>
      </c>
      <c r="B46" s="0" t="s">
        <v>14</v>
      </c>
      <c r="C46" s="0" t="n">
        <v>2023</v>
      </c>
      <c r="D46" s="0" t="n">
        <v>8.1</v>
      </c>
    </row>
    <row r="47" customFormat="false" ht="14.25" hidden="false" customHeight="false" outlineLevel="0" collapsed="false">
      <c r="A47" s="0" t="s">
        <v>340</v>
      </c>
      <c r="B47" s="0" t="s">
        <v>14</v>
      </c>
      <c r="C47" s="0" t="n">
        <v>2024</v>
      </c>
      <c r="D47" s="0" t="n">
        <v>11.2</v>
      </c>
    </row>
    <row r="48" customFormat="false" ht="14.25" hidden="false" customHeight="false" outlineLevel="0" collapsed="false">
      <c r="A48" s="0" t="s">
        <v>340</v>
      </c>
      <c r="B48" s="0" t="s">
        <v>17</v>
      </c>
      <c r="C48" s="0" t="n">
        <v>2019</v>
      </c>
      <c r="D48" s="0" t="n">
        <v>0.045</v>
      </c>
    </row>
    <row r="49" customFormat="false" ht="14.25" hidden="false" customHeight="false" outlineLevel="0" collapsed="false">
      <c r="A49" s="0" t="s">
        <v>340</v>
      </c>
      <c r="B49" s="0" t="s">
        <v>17</v>
      </c>
      <c r="C49" s="0" t="n">
        <v>2020</v>
      </c>
      <c r="D49" s="0" t="n">
        <v>0.185</v>
      </c>
    </row>
    <row r="50" customFormat="false" ht="14.25" hidden="false" customHeight="false" outlineLevel="0" collapsed="false">
      <c r="A50" s="0" t="s">
        <v>340</v>
      </c>
      <c r="B50" s="0" t="s">
        <v>17</v>
      </c>
      <c r="C50" s="0" t="n">
        <v>2021</v>
      </c>
      <c r="D50" s="0" t="n">
        <v>0.315</v>
      </c>
    </row>
    <row r="51" customFormat="false" ht="14.25" hidden="false" customHeight="false" outlineLevel="0" collapsed="false">
      <c r="A51" s="0" t="s">
        <v>340</v>
      </c>
      <c r="B51" s="0" t="s">
        <v>17</v>
      </c>
      <c r="C51" s="0" t="n">
        <v>2022</v>
      </c>
      <c r="D51" s="0" t="n">
        <v>0.4</v>
      </c>
    </row>
    <row r="52" customFormat="false" ht="14.25" hidden="false" customHeight="false" outlineLevel="0" collapsed="false">
      <c r="A52" s="0" t="s">
        <v>340</v>
      </c>
      <c r="B52" s="0" t="s">
        <v>17</v>
      </c>
      <c r="C52" s="0" t="n">
        <v>2023</v>
      </c>
      <c r="D52" s="0" t="n">
        <v>0.47</v>
      </c>
    </row>
    <row r="53" customFormat="false" ht="14.25" hidden="false" customHeight="false" outlineLevel="0" collapsed="false">
      <c r="A53" s="0" t="s">
        <v>340</v>
      </c>
      <c r="B53" s="0" t="s">
        <v>17</v>
      </c>
      <c r="C53" s="0" t="n">
        <v>2024</v>
      </c>
      <c r="D53" s="0" t="n">
        <v>0.291143</v>
      </c>
    </row>
    <row r="54" customFormat="false" ht="14.25" hidden="false" customHeight="false" outlineLevel="0" collapsed="false">
      <c r="A54" s="0" t="s">
        <v>340</v>
      </c>
      <c r="B54" s="0" t="s">
        <v>18</v>
      </c>
      <c r="C54" s="0" t="n">
        <v>2019</v>
      </c>
      <c r="D54" s="0" t="n">
        <v>0.075</v>
      </c>
    </row>
    <row r="55" customFormat="false" ht="14.25" hidden="false" customHeight="false" outlineLevel="0" collapsed="false">
      <c r="A55" s="0" t="s">
        <v>340</v>
      </c>
      <c r="B55" s="0" t="s">
        <v>18</v>
      </c>
      <c r="C55" s="0" t="n">
        <v>2020</v>
      </c>
      <c r="D55" s="0" t="n">
        <v>0.398</v>
      </c>
    </row>
    <row r="56" customFormat="false" ht="14.25" hidden="false" customHeight="false" outlineLevel="0" collapsed="false">
      <c r="A56" s="0" t="s">
        <v>340</v>
      </c>
      <c r="B56" s="0" t="s">
        <v>18</v>
      </c>
      <c r="C56" s="0" t="n">
        <v>2021</v>
      </c>
      <c r="D56" s="0" t="n">
        <v>0.681</v>
      </c>
    </row>
    <row r="57" customFormat="false" ht="14.25" hidden="false" customHeight="false" outlineLevel="0" collapsed="false">
      <c r="A57" s="0" t="s">
        <v>340</v>
      </c>
      <c r="B57" s="0" t="s">
        <v>18</v>
      </c>
      <c r="C57" s="0" t="n">
        <v>2022</v>
      </c>
      <c r="D57" s="0" t="n">
        <v>0.83</v>
      </c>
    </row>
    <row r="58" customFormat="false" ht="14.25" hidden="false" customHeight="false" outlineLevel="0" collapsed="false">
      <c r="A58" s="0" t="s">
        <v>340</v>
      </c>
      <c r="B58" s="0" t="s">
        <v>18</v>
      </c>
      <c r="C58" s="0" t="n">
        <v>2023</v>
      </c>
      <c r="D58" s="0" t="n">
        <v>0.7</v>
      </c>
    </row>
    <row r="59" customFormat="false" ht="14.25" hidden="false" customHeight="false" outlineLevel="0" collapsed="false">
      <c r="A59" s="0" t="s">
        <v>340</v>
      </c>
      <c r="B59" s="0" t="s">
        <v>18</v>
      </c>
      <c r="C59" s="0" t="n">
        <v>2024</v>
      </c>
      <c r="D59" s="0" t="n">
        <v>0.380609</v>
      </c>
    </row>
    <row r="60" customFormat="false" ht="14.25" hidden="false" customHeight="false" outlineLevel="0" collapsed="false">
      <c r="A60" s="0" t="s">
        <v>340</v>
      </c>
      <c r="B60" s="0" t="s">
        <v>19</v>
      </c>
      <c r="C60" s="0" t="n">
        <v>2019</v>
      </c>
      <c r="D60" s="0" t="n">
        <v>0.001</v>
      </c>
    </row>
    <row r="61" customFormat="false" ht="14.25" hidden="false" customHeight="false" outlineLevel="0" collapsed="false">
      <c r="A61" s="0" t="s">
        <v>340</v>
      </c>
      <c r="B61" s="0" t="s">
        <v>19</v>
      </c>
      <c r="C61" s="0" t="n">
        <v>2020</v>
      </c>
      <c r="D61" s="0" t="n">
        <v>0.002</v>
      </c>
    </row>
    <row r="62" customFormat="false" ht="14.25" hidden="false" customHeight="false" outlineLevel="0" collapsed="false">
      <c r="A62" s="0" t="s">
        <v>340</v>
      </c>
      <c r="B62" s="0" t="s">
        <v>19</v>
      </c>
      <c r="C62" s="0" t="n">
        <v>2021</v>
      </c>
      <c r="D62" s="0" t="n">
        <v>0.005</v>
      </c>
    </row>
    <row r="63" customFormat="false" ht="14.25" hidden="false" customHeight="false" outlineLevel="0" collapsed="false">
      <c r="A63" s="0" t="s">
        <v>340</v>
      </c>
      <c r="B63" s="0" t="s">
        <v>19</v>
      </c>
      <c r="C63" s="0" t="n">
        <v>2022</v>
      </c>
      <c r="D63" s="0" t="n">
        <v>0.013</v>
      </c>
    </row>
    <row r="64" customFormat="false" ht="14.25" hidden="false" customHeight="false" outlineLevel="0" collapsed="false">
      <c r="A64" s="0" t="s">
        <v>340</v>
      </c>
      <c r="B64" s="0" t="s">
        <v>19</v>
      </c>
      <c r="C64" s="0" t="n">
        <v>2023</v>
      </c>
      <c r="D64" s="0" t="n">
        <v>0.017</v>
      </c>
    </row>
    <row r="65" customFormat="false" ht="14.25" hidden="false" customHeight="false" outlineLevel="0" collapsed="false">
      <c r="A65" s="0" t="s">
        <v>340</v>
      </c>
      <c r="B65" s="0" t="s">
        <v>21</v>
      </c>
      <c r="C65" s="0" t="n">
        <v>2019</v>
      </c>
      <c r="D65" s="0" t="n">
        <v>0.002</v>
      </c>
    </row>
    <row r="66" customFormat="false" ht="14.25" hidden="false" customHeight="false" outlineLevel="0" collapsed="false">
      <c r="A66" s="0" t="s">
        <v>340</v>
      </c>
      <c r="B66" s="0" t="s">
        <v>21</v>
      </c>
      <c r="C66" s="0" t="n">
        <v>2020</v>
      </c>
      <c r="D66" s="0" t="n">
        <v>0.004</v>
      </c>
    </row>
    <row r="67" customFormat="false" ht="14.25" hidden="false" customHeight="false" outlineLevel="0" collapsed="false">
      <c r="A67" s="0" t="s">
        <v>340</v>
      </c>
      <c r="B67" s="0" t="s">
        <v>21</v>
      </c>
      <c r="C67" s="0" t="n">
        <v>2021</v>
      </c>
      <c r="D67" s="0" t="n">
        <v>0.008</v>
      </c>
    </row>
    <row r="68" customFormat="false" ht="14.25" hidden="false" customHeight="false" outlineLevel="0" collapsed="false">
      <c r="A68" s="0" t="s">
        <v>340</v>
      </c>
      <c r="B68" s="0" t="s">
        <v>21</v>
      </c>
      <c r="C68" s="0" t="n">
        <v>2022</v>
      </c>
      <c r="D68" s="0" t="n">
        <v>0.011</v>
      </c>
    </row>
    <row r="69" customFormat="false" ht="14.25" hidden="false" customHeight="false" outlineLevel="0" collapsed="false">
      <c r="A69" s="0" t="s">
        <v>340</v>
      </c>
      <c r="B69" s="0" t="s">
        <v>21</v>
      </c>
      <c r="C69" s="0" t="n">
        <v>2023</v>
      </c>
      <c r="D69" s="0" t="n">
        <v>0.0124</v>
      </c>
    </row>
    <row r="70" customFormat="false" ht="14.25" hidden="false" customHeight="false" outlineLevel="0" collapsed="false">
      <c r="A70" s="0" t="s">
        <v>340</v>
      </c>
      <c r="B70" s="0" t="s">
        <v>22</v>
      </c>
      <c r="C70" s="0" t="n">
        <v>2019</v>
      </c>
      <c r="D70" s="0" t="n">
        <v>0.00156</v>
      </c>
    </row>
    <row r="71" customFormat="false" ht="14.25" hidden="false" customHeight="false" outlineLevel="0" collapsed="false">
      <c r="A71" s="0" t="s">
        <v>340</v>
      </c>
      <c r="B71" s="0" t="s">
        <v>22</v>
      </c>
      <c r="C71" s="0" t="n">
        <v>2020</v>
      </c>
      <c r="D71" s="0" t="n">
        <v>0.005</v>
      </c>
    </row>
    <row r="72" customFormat="false" ht="14.25" hidden="false" customHeight="false" outlineLevel="0" collapsed="false">
      <c r="A72" s="0" t="s">
        <v>340</v>
      </c>
      <c r="B72" s="0" t="s">
        <v>22</v>
      </c>
      <c r="C72" s="0" t="n">
        <v>2021</v>
      </c>
      <c r="D72" s="0" t="n">
        <v>0.016</v>
      </c>
    </row>
    <row r="73" customFormat="false" ht="14.25" hidden="false" customHeight="false" outlineLevel="0" collapsed="false">
      <c r="A73" s="0" t="s">
        <v>340</v>
      </c>
      <c r="B73" s="0" t="s">
        <v>22</v>
      </c>
      <c r="C73" s="0" t="n">
        <v>2022</v>
      </c>
      <c r="D73" s="0" t="n">
        <v>0.051</v>
      </c>
    </row>
    <row r="74" customFormat="false" ht="14.25" hidden="false" customHeight="false" outlineLevel="0" collapsed="false">
      <c r="A74" s="0" t="s">
        <v>340</v>
      </c>
      <c r="B74" s="0" t="s">
        <v>22</v>
      </c>
      <c r="C74" s="0" t="n">
        <v>2023</v>
      </c>
      <c r="D74" s="0" t="n">
        <v>0.08227</v>
      </c>
    </row>
    <row r="75" customFormat="false" ht="14.25" hidden="false" customHeight="false" outlineLevel="0" collapsed="false">
      <c r="A75" s="0" t="s">
        <v>340</v>
      </c>
      <c r="B75" s="0" t="s">
        <v>24</v>
      </c>
      <c r="C75" s="0" t="n">
        <v>2019</v>
      </c>
      <c r="D75" s="0" t="n">
        <v>0.006</v>
      </c>
    </row>
    <row r="76" customFormat="false" ht="14.25" hidden="false" customHeight="false" outlineLevel="0" collapsed="false">
      <c r="A76" s="0" t="s">
        <v>340</v>
      </c>
      <c r="B76" s="0" t="s">
        <v>24</v>
      </c>
      <c r="C76" s="0" t="n">
        <v>2020</v>
      </c>
      <c r="D76" s="0" t="n">
        <v>0.032</v>
      </c>
    </row>
    <row r="77" customFormat="false" ht="14.25" hidden="false" customHeight="false" outlineLevel="0" collapsed="false">
      <c r="A77" s="0" t="s">
        <v>340</v>
      </c>
      <c r="B77" s="0" t="s">
        <v>24</v>
      </c>
      <c r="C77" s="0" t="n">
        <v>2021</v>
      </c>
      <c r="D77" s="0" t="n">
        <v>0.067</v>
      </c>
    </row>
    <row r="78" customFormat="false" ht="14.25" hidden="false" customHeight="false" outlineLevel="0" collapsed="false">
      <c r="A78" s="0" t="s">
        <v>340</v>
      </c>
      <c r="B78" s="0" t="s">
        <v>24</v>
      </c>
      <c r="C78" s="0" t="n">
        <v>2022</v>
      </c>
      <c r="D78" s="0" t="n">
        <v>0.11</v>
      </c>
    </row>
    <row r="79" customFormat="false" ht="14.25" hidden="false" customHeight="false" outlineLevel="0" collapsed="false">
      <c r="A79" s="0" t="s">
        <v>340</v>
      </c>
      <c r="B79" s="0" t="s">
        <v>24</v>
      </c>
      <c r="C79" s="0" t="n">
        <v>2023</v>
      </c>
      <c r="D79" s="25" t="n">
        <v>0.136</v>
      </c>
    </row>
    <row r="80" customFormat="false" ht="14.25" hidden="false" customHeight="false" outlineLevel="0" collapsed="false">
      <c r="A80" s="0" t="s">
        <v>340</v>
      </c>
      <c r="B80" s="0" t="s">
        <v>24</v>
      </c>
      <c r="C80" s="0" t="n">
        <v>2024</v>
      </c>
      <c r="D80" s="0" t="n">
        <v>0.064983</v>
      </c>
    </row>
    <row r="81" customFormat="false" ht="14.25" hidden="false" customHeight="false" outlineLevel="0" collapsed="false">
      <c r="A81" s="0" t="s">
        <v>340</v>
      </c>
      <c r="B81" s="0" t="s">
        <v>25</v>
      </c>
      <c r="C81" s="0" t="n">
        <v>2019</v>
      </c>
      <c r="D81" s="0" t="n">
        <v>0.022</v>
      </c>
    </row>
    <row r="82" customFormat="false" ht="14.25" hidden="false" customHeight="false" outlineLevel="0" collapsed="false">
      <c r="A82" s="0" t="s">
        <v>340</v>
      </c>
      <c r="B82" s="0" t="s">
        <v>25</v>
      </c>
      <c r="C82" s="0" t="n">
        <v>2020</v>
      </c>
      <c r="D82" s="0" t="n">
        <v>0.029</v>
      </c>
    </row>
    <row r="83" customFormat="false" ht="14.25" hidden="false" customHeight="false" outlineLevel="0" collapsed="false">
      <c r="A83" s="0" t="s">
        <v>340</v>
      </c>
      <c r="B83" s="0" t="s">
        <v>25</v>
      </c>
      <c r="C83" s="0" t="n">
        <v>2021</v>
      </c>
      <c r="D83" s="0" t="n">
        <v>0.044</v>
      </c>
    </row>
    <row r="84" customFormat="false" ht="14.25" hidden="false" customHeight="false" outlineLevel="0" collapsed="false">
      <c r="A84" s="0" t="s">
        <v>340</v>
      </c>
      <c r="B84" s="0" t="s">
        <v>25</v>
      </c>
      <c r="C84" s="0" t="n">
        <v>2022</v>
      </c>
      <c r="D84" s="0" t="n">
        <v>0.092</v>
      </c>
    </row>
    <row r="85" customFormat="false" ht="14.25" hidden="false" customHeight="false" outlineLevel="0" collapsed="false">
      <c r="A85" s="0" t="s">
        <v>340</v>
      </c>
      <c r="B85" s="0" t="s">
        <v>25</v>
      </c>
      <c r="C85" s="0" t="n">
        <v>2023</v>
      </c>
      <c r="D85" s="0" t="n">
        <v>0.1403</v>
      </c>
    </row>
    <row r="86" customFormat="false" ht="14.25" hidden="false" customHeight="false" outlineLevel="0" collapsed="false">
      <c r="A86" s="0" t="s">
        <v>340</v>
      </c>
      <c r="B86" s="0" t="s">
        <v>26</v>
      </c>
      <c r="C86" s="0" t="n">
        <v>2019</v>
      </c>
      <c r="D86" s="25" t="n">
        <v>5E-005</v>
      </c>
    </row>
    <row r="87" customFormat="false" ht="14.25" hidden="false" customHeight="false" outlineLevel="0" collapsed="false">
      <c r="A87" s="0" t="s">
        <v>340</v>
      </c>
      <c r="B87" s="0" t="s">
        <v>26</v>
      </c>
      <c r="C87" s="0" t="n">
        <v>2020</v>
      </c>
      <c r="D87" s="0" t="n">
        <v>0.0001</v>
      </c>
    </row>
    <row r="88" customFormat="false" ht="14.25" hidden="false" customHeight="false" outlineLevel="0" collapsed="false">
      <c r="A88" s="0" t="s">
        <v>340</v>
      </c>
      <c r="B88" s="0" t="s">
        <v>26</v>
      </c>
      <c r="C88" s="0" t="n">
        <v>2021</v>
      </c>
      <c r="D88" s="0" t="n">
        <v>0.0003</v>
      </c>
    </row>
    <row r="89" customFormat="false" ht="14.25" hidden="false" customHeight="false" outlineLevel="0" collapsed="false">
      <c r="A89" s="0" t="s">
        <v>340</v>
      </c>
      <c r="B89" s="0" t="s">
        <v>26</v>
      </c>
      <c r="C89" s="0" t="n">
        <v>2022</v>
      </c>
      <c r="D89" s="0" t="n">
        <v>0.0006</v>
      </c>
    </row>
    <row r="90" customFormat="false" ht="14.25" hidden="false" customHeight="false" outlineLevel="0" collapsed="false">
      <c r="A90" s="0" t="s">
        <v>340</v>
      </c>
      <c r="B90" s="0" t="s">
        <v>26</v>
      </c>
      <c r="C90" s="0" t="n">
        <v>2023</v>
      </c>
      <c r="D90" s="0" t="n">
        <v>0.00092</v>
      </c>
    </row>
    <row r="91" customFormat="false" ht="14.25" hidden="false" customHeight="false" outlineLevel="0" collapsed="false">
      <c r="A91" s="0" t="s">
        <v>340</v>
      </c>
      <c r="B91" s="0" t="s">
        <v>27</v>
      </c>
      <c r="C91" s="0" t="n">
        <v>2019</v>
      </c>
      <c r="D91" s="0" t="n">
        <v>0.0025</v>
      </c>
    </row>
    <row r="92" customFormat="false" ht="14.25" hidden="false" customHeight="false" outlineLevel="0" collapsed="false">
      <c r="A92" s="0" t="s">
        <v>340</v>
      </c>
      <c r="B92" s="0" t="s">
        <v>27</v>
      </c>
      <c r="C92" s="0" t="n">
        <v>2020</v>
      </c>
      <c r="D92" s="0" t="n">
        <v>0.008</v>
      </c>
    </row>
    <row r="93" customFormat="false" ht="14.25" hidden="false" customHeight="false" outlineLevel="0" collapsed="false">
      <c r="A93" s="0" t="s">
        <v>340</v>
      </c>
      <c r="B93" s="0" t="s">
        <v>27</v>
      </c>
      <c r="C93" s="0" t="n">
        <v>2021</v>
      </c>
      <c r="D93" s="0" t="n">
        <v>0.02</v>
      </c>
    </row>
    <row r="94" customFormat="false" ht="14.25" hidden="false" customHeight="false" outlineLevel="0" collapsed="false">
      <c r="A94" s="0" t="s">
        <v>340</v>
      </c>
      <c r="B94" s="0" t="s">
        <v>27</v>
      </c>
      <c r="C94" s="0" t="n">
        <v>2022</v>
      </c>
      <c r="D94" s="0" t="n">
        <v>0.04</v>
      </c>
    </row>
    <row r="95" customFormat="false" ht="14.25" hidden="false" customHeight="false" outlineLevel="0" collapsed="false">
      <c r="A95" s="0" t="s">
        <v>340</v>
      </c>
      <c r="B95" s="0" t="s">
        <v>27</v>
      </c>
      <c r="C95" s="0" t="n">
        <v>2023</v>
      </c>
      <c r="D95" s="0" t="n">
        <v>0.065</v>
      </c>
    </row>
    <row r="96" customFormat="false" ht="14.25" hidden="false" customHeight="false" outlineLevel="0" collapsed="false">
      <c r="A96" s="0" t="s">
        <v>340</v>
      </c>
      <c r="B96" s="0" t="s">
        <v>28</v>
      </c>
      <c r="C96" s="0" t="n">
        <v>2019</v>
      </c>
      <c r="D96" s="0" t="n">
        <v>0.3882</v>
      </c>
    </row>
    <row r="97" customFormat="false" ht="14.25" hidden="false" customHeight="false" outlineLevel="0" collapsed="false">
      <c r="A97" s="0" t="s">
        <v>340</v>
      </c>
      <c r="B97" s="0" t="s">
        <v>28</v>
      </c>
      <c r="C97" s="0" t="n">
        <v>2020</v>
      </c>
      <c r="D97" s="0" t="n">
        <v>0.38</v>
      </c>
    </row>
    <row r="98" customFormat="false" ht="14.25" hidden="false" customHeight="false" outlineLevel="0" collapsed="false">
      <c r="A98" s="0" t="s">
        <v>340</v>
      </c>
      <c r="B98" s="0" t="s">
        <v>28</v>
      </c>
      <c r="C98" s="0" t="n">
        <v>2021</v>
      </c>
      <c r="D98" s="0" t="n">
        <v>0.756</v>
      </c>
    </row>
    <row r="99" customFormat="false" ht="14.25" hidden="false" customHeight="false" outlineLevel="0" collapsed="false">
      <c r="A99" s="0" t="s">
        <v>340</v>
      </c>
      <c r="B99" s="0" t="s">
        <v>28</v>
      </c>
      <c r="C99" s="0" t="n">
        <v>2022</v>
      </c>
      <c r="D99" s="0" t="n">
        <v>1.066</v>
      </c>
    </row>
    <row r="100" customFormat="false" ht="14.25" hidden="false" customHeight="false" outlineLevel="0" collapsed="false">
      <c r="A100" s="0" t="s">
        <v>340</v>
      </c>
      <c r="B100" s="0" t="s">
        <v>28</v>
      </c>
      <c r="C100" s="0" t="n">
        <v>2023</v>
      </c>
      <c r="D100" s="0" t="n">
        <v>1.5762</v>
      </c>
    </row>
    <row r="101" customFormat="false" ht="14.25" hidden="false" customHeight="false" outlineLevel="0" collapsed="false">
      <c r="A101" s="0" t="s">
        <v>340</v>
      </c>
      <c r="B101" s="0" t="s">
        <v>28</v>
      </c>
      <c r="C101" s="0" t="n">
        <v>2024</v>
      </c>
      <c r="D101" s="0" t="n">
        <v>1.3</v>
      </c>
    </row>
    <row r="102" customFormat="false" ht="14.25" hidden="false" customHeight="false" outlineLevel="0" collapsed="false">
      <c r="A102" s="0" t="s">
        <v>340</v>
      </c>
      <c r="B102" s="0" t="s">
        <v>29</v>
      </c>
      <c r="C102" s="0" t="n">
        <v>2019</v>
      </c>
      <c r="D102" s="0" t="n">
        <v>0.060316</v>
      </c>
    </row>
    <row r="103" customFormat="false" ht="14.25" hidden="false" customHeight="false" outlineLevel="0" collapsed="false">
      <c r="A103" s="0" t="s">
        <v>340</v>
      </c>
      <c r="B103" s="0" t="s">
        <v>29</v>
      </c>
      <c r="C103" s="0" t="n">
        <v>2020</v>
      </c>
      <c r="D103" s="0" t="n">
        <v>0.106</v>
      </c>
    </row>
    <row r="104" customFormat="false" ht="14.25" hidden="false" customHeight="false" outlineLevel="0" collapsed="false">
      <c r="A104" s="0" t="s">
        <v>340</v>
      </c>
      <c r="B104" s="0" t="s">
        <v>29</v>
      </c>
      <c r="C104" s="0" t="n">
        <v>2021</v>
      </c>
      <c r="D104" s="0" t="n">
        <v>0.139</v>
      </c>
    </row>
    <row r="105" customFormat="false" ht="14.25" hidden="false" customHeight="false" outlineLevel="0" collapsed="false">
      <c r="A105" s="0" t="s">
        <v>340</v>
      </c>
      <c r="B105" s="0" t="s">
        <v>29</v>
      </c>
      <c r="C105" s="0" t="n">
        <v>2022</v>
      </c>
      <c r="D105" s="0" t="n">
        <v>0.135</v>
      </c>
    </row>
    <row r="106" customFormat="false" ht="14.25" hidden="false" customHeight="false" outlineLevel="0" collapsed="false">
      <c r="A106" s="0" t="s">
        <v>340</v>
      </c>
      <c r="B106" s="0" t="s">
        <v>29</v>
      </c>
      <c r="C106" s="0" t="n">
        <v>2023</v>
      </c>
      <c r="D106" s="0" t="n">
        <v>0.11</v>
      </c>
    </row>
    <row r="107" customFormat="false" ht="14.25" hidden="false" customHeight="false" outlineLevel="0" collapsed="false">
      <c r="A107" s="0" t="s">
        <v>340</v>
      </c>
      <c r="B107" s="0" t="s">
        <v>29</v>
      </c>
      <c r="C107" s="0" t="n">
        <v>2024</v>
      </c>
      <c r="D107" s="0" t="n">
        <v>0.114409</v>
      </c>
    </row>
    <row r="108" customFormat="false" ht="14.25" hidden="false" customHeight="false" outlineLevel="0" collapsed="false">
      <c r="A108" s="0" t="s">
        <v>340</v>
      </c>
      <c r="B108" s="0" t="s">
        <v>30</v>
      </c>
      <c r="C108" s="0" t="n">
        <v>2019</v>
      </c>
      <c r="D108" s="0" t="n">
        <v>0.002</v>
      </c>
    </row>
    <row r="109" customFormat="false" ht="14.25" hidden="false" customHeight="false" outlineLevel="0" collapsed="false">
      <c r="A109" s="0" t="s">
        <v>340</v>
      </c>
      <c r="B109" s="0" t="s">
        <v>30</v>
      </c>
      <c r="C109" s="0" t="n">
        <v>2020</v>
      </c>
      <c r="D109" s="0" t="n">
        <v>0.008</v>
      </c>
    </row>
    <row r="110" customFormat="false" ht="14.25" hidden="false" customHeight="false" outlineLevel="0" collapsed="false">
      <c r="A110" s="0" t="s">
        <v>340</v>
      </c>
      <c r="B110" s="0" t="s">
        <v>30</v>
      </c>
      <c r="C110" s="0" t="n">
        <v>2021</v>
      </c>
      <c r="D110" s="0" t="n">
        <v>0.012</v>
      </c>
    </row>
    <row r="111" customFormat="false" ht="14.25" hidden="false" customHeight="false" outlineLevel="0" collapsed="false">
      <c r="A111" s="0" t="s">
        <v>340</v>
      </c>
      <c r="B111" s="0" t="s">
        <v>30</v>
      </c>
      <c r="C111" s="0" t="n">
        <v>2022</v>
      </c>
      <c r="D111" s="0" t="n">
        <v>0.024</v>
      </c>
    </row>
    <row r="112" customFormat="false" ht="14.25" hidden="false" customHeight="false" outlineLevel="0" collapsed="false">
      <c r="A112" s="0" t="s">
        <v>340</v>
      </c>
      <c r="B112" s="0" t="s">
        <v>30</v>
      </c>
      <c r="C112" s="0" t="n">
        <v>2023</v>
      </c>
      <c r="D112" s="0" t="n">
        <v>0.0301</v>
      </c>
    </row>
    <row r="113" customFormat="false" ht="14.25" hidden="false" customHeight="false" outlineLevel="0" collapsed="false">
      <c r="A113" s="0" t="s">
        <v>340</v>
      </c>
      <c r="B113" s="0" t="s">
        <v>31</v>
      </c>
      <c r="C113" s="0" t="n">
        <v>2019</v>
      </c>
      <c r="D113" s="0" t="n">
        <v>0.0096</v>
      </c>
    </row>
    <row r="114" customFormat="false" ht="14.25" hidden="false" customHeight="false" outlineLevel="0" collapsed="false">
      <c r="A114" s="0" t="s">
        <v>340</v>
      </c>
      <c r="B114" s="0" t="s">
        <v>31</v>
      </c>
      <c r="C114" s="0" t="n">
        <v>2020</v>
      </c>
      <c r="D114" s="0" t="n">
        <v>0.033</v>
      </c>
    </row>
    <row r="115" customFormat="false" ht="14.25" hidden="false" customHeight="false" outlineLevel="0" collapsed="false">
      <c r="A115" s="0" t="s">
        <v>340</v>
      </c>
      <c r="B115" s="0" t="s">
        <v>31</v>
      </c>
      <c r="C115" s="0" t="n">
        <v>2021</v>
      </c>
      <c r="D115" s="0" t="n">
        <v>0.121</v>
      </c>
    </row>
    <row r="116" customFormat="false" ht="14.25" hidden="false" customHeight="false" outlineLevel="0" collapsed="false">
      <c r="A116" s="0" t="s">
        <v>340</v>
      </c>
      <c r="B116" s="0" t="s">
        <v>31</v>
      </c>
      <c r="C116" s="0" t="n">
        <v>2022</v>
      </c>
      <c r="D116" s="0" t="n">
        <v>0.157</v>
      </c>
    </row>
    <row r="117" customFormat="false" ht="14.25" hidden="false" customHeight="false" outlineLevel="0" collapsed="false">
      <c r="A117" s="0" t="s">
        <v>340</v>
      </c>
      <c r="B117" s="0" t="s">
        <v>31</v>
      </c>
      <c r="C117" s="0" t="n">
        <v>2023</v>
      </c>
      <c r="D117" s="0" t="n">
        <v>0.1743</v>
      </c>
    </row>
    <row r="118" customFormat="false" ht="14.25" hidden="false" customHeight="false" outlineLevel="0" collapsed="false">
      <c r="A118" s="0" t="s">
        <v>340</v>
      </c>
      <c r="B118" s="0" t="s">
        <v>34</v>
      </c>
      <c r="C118" s="0" t="n">
        <v>2019</v>
      </c>
      <c r="D118" s="0" t="n">
        <v>0.0001</v>
      </c>
    </row>
    <row r="119" customFormat="false" ht="14.25" hidden="false" customHeight="false" outlineLevel="0" collapsed="false">
      <c r="A119" s="0" t="s">
        <v>340</v>
      </c>
      <c r="B119" s="0" t="s">
        <v>34</v>
      </c>
      <c r="C119" s="0" t="n">
        <v>2020</v>
      </c>
      <c r="D119" s="0" t="n">
        <v>0.0002</v>
      </c>
    </row>
    <row r="120" customFormat="false" ht="14.25" hidden="false" customHeight="false" outlineLevel="0" collapsed="false">
      <c r="A120" s="0" t="s">
        <v>340</v>
      </c>
      <c r="B120" s="0" t="s">
        <v>34</v>
      </c>
      <c r="C120" s="0" t="n">
        <v>2021</v>
      </c>
      <c r="D120" s="0" t="n">
        <v>0.0004</v>
      </c>
    </row>
    <row r="121" customFormat="false" ht="14.25" hidden="false" customHeight="false" outlineLevel="0" collapsed="false">
      <c r="A121" s="0" t="s">
        <v>340</v>
      </c>
      <c r="B121" s="0" t="s">
        <v>34</v>
      </c>
      <c r="C121" s="0" t="n">
        <v>2022</v>
      </c>
      <c r="D121" s="0" t="n">
        <v>0.0008</v>
      </c>
    </row>
    <row r="122" customFormat="false" ht="14.25" hidden="false" customHeight="false" outlineLevel="0" collapsed="false">
      <c r="A122" s="0" t="s">
        <v>340</v>
      </c>
      <c r="B122" s="0" t="s">
        <v>34</v>
      </c>
      <c r="C122" s="0" t="n">
        <v>2023</v>
      </c>
      <c r="D122" s="0" t="n">
        <v>0.00108</v>
      </c>
    </row>
    <row r="123" customFormat="false" ht="14.25" hidden="false" customHeight="false" outlineLevel="0" collapsed="false">
      <c r="A123" s="0" t="s">
        <v>340</v>
      </c>
      <c r="B123" s="0" t="s">
        <v>35</v>
      </c>
      <c r="C123" s="0" t="n">
        <v>2019</v>
      </c>
      <c r="D123" s="0" t="n">
        <v>0.0085</v>
      </c>
    </row>
    <row r="124" customFormat="false" ht="14.25" hidden="false" customHeight="false" outlineLevel="0" collapsed="false">
      <c r="A124" s="0" t="s">
        <v>340</v>
      </c>
      <c r="B124" s="0" t="s">
        <v>35</v>
      </c>
      <c r="C124" s="0" t="n">
        <v>2020</v>
      </c>
      <c r="D124" s="0" t="n">
        <v>0.033</v>
      </c>
    </row>
    <row r="125" customFormat="false" ht="14.25" hidden="false" customHeight="false" outlineLevel="0" collapsed="false">
      <c r="A125" s="0" t="s">
        <v>340</v>
      </c>
      <c r="B125" s="0" t="s">
        <v>35</v>
      </c>
      <c r="C125" s="0" t="n">
        <v>2021</v>
      </c>
      <c r="D125" s="0" t="n">
        <v>0.073</v>
      </c>
    </row>
    <row r="126" customFormat="false" ht="14.25" hidden="false" customHeight="false" outlineLevel="0" collapsed="false">
      <c r="A126" s="0" t="s">
        <v>340</v>
      </c>
      <c r="B126" s="0" t="s">
        <v>35</v>
      </c>
      <c r="C126" s="0" t="n">
        <v>2022</v>
      </c>
      <c r="D126" s="0" t="n">
        <v>0.13</v>
      </c>
    </row>
    <row r="127" customFormat="false" ht="14.25" hidden="false" customHeight="false" outlineLevel="0" collapsed="false">
      <c r="A127" s="0" t="s">
        <v>340</v>
      </c>
      <c r="B127" s="0" t="s">
        <v>35</v>
      </c>
      <c r="C127" s="0" t="n">
        <v>2023</v>
      </c>
      <c r="D127" s="0" t="n">
        <v>0.185</v>
      </c>
    </row>
    <row r="128" customFormat="false" ht="14.25" hidden="false" customHeight="false" outlineLevel="0" collapsed="false">
      <c r="A128" s="0" t="s">
        <v>340</v>
      </c>
      <c r="B128" s="0" t="s">
        <v>36</v>
      </c>
      <c r="C128" s="0" t="n">
        <v>2019</v>
      </c>
      <c r="D128" s="0" t="n">
        <v>0.04</v>
      </c>
    </row>
    <row r="129" customFormat="false" ht="14.25" hidden="false" customHeight="false" outlineLevel="0" collapsed="false">
      <c r="A129" s="0" t="s">
        <v>340</v>
      </c>
      <c r="B129" s="0" t="s">
        <v>36</v>
      </c>
      <c r="C129" s="0" t="n">
        <v>2020</v>
      </c>
      <c r="D129" s="0" t="n">
        <v>0.122</v>
      </c>
    </row>
    <row r="130" customFormat="false" ht="14.25" hidden="false" customHeight="false" outlineLevel="0" collapsed="false">
      <c r="A130" s="0" t="s">
        <v>340</v>
      </c>
      <c r="B130" s="0" t="s">
        <v>36</v>
      </c>
      <c r="C130" s="0" t="n">
        <v>2021</v>
      </c>
      <c r="D130" s="0" t="n">
        <v>0.194</v>
      </c>
    </row>
    <row r="131" customFormat="false" ht="14.25" hidden="false" customHeight="false" outlineLevel="0" collapsed="false">
      <c r="A131" s="0" t="s">
        <v>340</v>
      </c>
      <c r="B131" s="0" t="s">
        <v>36</v>
      </c>
      <c r="C131" s="0" t="n">
        <v>2022</v>
      </c>
      <c r="D131" s="0" t="n">
        <v>0.262</v>
      </c>
    </row>
    <row r="132" customFormat="false" ht="14.25" hidden="false" customHeight="false" outlineLevel="0" collapsed="false">
      <c r="A132" s="0" t="s">
        <v>340</v>
      </c>
      <c r="B132" s="0" t="s">
        <v>36</v>
      </c>
      <c r="C132" s="0" t="n">
        <v>2023</v>
      </c>
      <c r="D132" s="0" t="n">
        <v>0.299</v>
      </c>
    </row>
    <row r="133" customFormat="false" ht="14.25" hidden="false" customHeight="false" outlineLevel="0" collapsed="false">
      <c r="A133" s="0" t="s">
        <v>340</v>
      </c>
      <c r="B133" s="0" t="s">
        <v>36</v>
      </c>
      <c r="C133" s="0" t="n">
        <v>2024</v>
      </c>
      <c r="D133" s="0" t="n">
        <v>0.094332</v>
      </c>
    </row>
    <row r="134" customFormat="false" ht="14.25" hidden="false" customHeight="false" outlineLevel="0" collapsed="false">
      <c r="A134" s="0" t="s">
        <v>340</v>
      </c>
      <c r="B134" s="0" t="s">
        <v>37</v>
      </c>
      <c r="C134" s="0" t="n">
        <v>2019</v>
      </c>
      <c r="D134" s="0" t="n">
        <v>0.0085</v>
      </c>
    </row>
    <row r="135" customFormat="false" ht="14.25" hidden="false" customHeight="false" outlineLevel="0" collapsed="false">
      <c r="A135" s="0" t="s">
        <v>340</v>
      </c>
      <c r="B135" s="0" t="s">
        <v>37</v>
      </c>
      <c r="C135" s="0" t="n">
        <v>2020</v>
      </c>
      <c r="D135" s="0" t="n">
        <v>0.028</v>
      </c>
    </row>
    <row r="136" customFormat="false" ht="14.25" hidden="false" customHeight="false" outlineLevel="0" collapsed="false">
      <c r="A136" s="0" t="s">
        <v>340</v>
      </c>
      <c r="B136" s="0" t="s">
        <v>37</v>
      </c>
      <c r="C136" s="0" t="n">
        <v>2021</v>
      </c>
      <c r="D136" s="0" t="n">
        <v>0.048</v>
      </c>
    </row>
    <row r="137" customFormat="false" ht="14.25" hidden="false" customHeight="false" outlineLevel="0" collapsed="false">
      <c r="A137" s="0" t="s">
        <v>340</v>
      </c>
      <c r="B137" s="0" t="s">
        <v>37</v>
      </c>
      <c r="C137" s="0" t="n">
        <v>2022</v>
      </c>
      <c r="D137" s="0" t="n">
        <v>0.062</v>
      </c>
    </row>
    <row r="138" customFormat="false" ht="14.25" hidden="false" customHeight="false" outlineLevel="0" collapsed="false">
      <c r="A138" s="0" t="s">
        <v>340</v>
      </c>
      <c r="B138" s="0" t="s">
        <v>37</v>
      </c>
      <c r="C138" s="0" t="n">
        <v>2023</v>
      </c>
      <c r="D138" s="0" t="n">
        <v>0.076</v>
      </c>
    </row>
    <row r="139" customFormat="false" ht="14.25" hidden="false" customHeight="false" outlineLevel="0" collapsed="false">
      <c r="A139" s="0" t="s">
        <v>340</v>
      </c>
      <c r="B139" s="0" t="s">
        <v>38</v>
      </c>
      <c r="C139" s="0" t="n">
        <v>2019</v>
      </c>
      <c r="D139" s="0" t="n">
        <v>0.001</v>
      </c>
    </row>
    <row r="140" customFormat="false" ht="14.25" hidden="false" customHeight="false" outlineLevel="0" collapsed="false">
      <c r="A140" s="0" t="s">
        <v>340</v>
      </c>
      <c r="B140" s="0" t="s">
        <v>38</v>
      </c>
      <c r="C140" s="0" t="n">
        <v>2020</v>
      </c>
      <c r="D140" s="0" t="n">
        <v>0.002</v>
      </c>
    </row>
    <row r="141" customFormat="false" ht="14.25" hidden="false" customHeight="false" outlineLevel="0" collapsed="false">
      <c r="A141" s="0" t="s">
        <v>340</v>
      </c>
      <c r="B141" s="0" t="s">
        <v>38</v>
      </c>
      <c r="C141" s="0" t="n">
        <v>2021</v>
      </c>
      <c r="D141" s="0" t="n">
        <v>0.005</v>
      </c>
    </row>
    <row r="142" customFormat="false" ht="14.25" hidden="false" customHeight="false" outlineLevel="0" collapsed="false">
      <c r="A142" s="0" t="s">
        <v>340</v>
      </c>
      <c r="B142" s="0" t="s">
        <v>38</v>
      </c>
      <c r="C142" s="0" t="n">
        <v>2022</v>
      </c>
      <c r="D142" s="0" t="n">
        <v>0.035</v>
      </c>
    </row>
    <row r="143" customFormat="false" ht="14.25" hidden="false" customHeight="false" outlineLevel="0" collapsed="false">
      <c r="A143" s="0" t="s">
        <v>340</v>
      </c>
      <c r="B143" s="0" t="s">
        <v>38</v>
      </c>
      <c r="C143" s="0" t="n">
        <v>2023</v>
      </c>
      <c r="D143" s="0" t="n">
        <v>0.0687</v>
      </c>
    </row>
    <row r="144" customFormat="false" ht="14.25" hidden="false" customHeight="false" outlineLevel="0" collapsed="false">
      <c r="A144" s="0" t="s">
        <v>340</v>
      </c>
      <c r="B144" s="0" t="s">
        <v>39</v>
      </c>
      <c r="C144" s="0" t="n">
        <v>2019</v>
      </c>
      <c r="D144" s="0" t="n">
        <v>0.038</v>
      </c>
    </row>
    <row r="145" customFormat="false" ht="14.25" hidden="false" customHeight="false" outlineLevel="0" collapsed="false">
      <c r="A145" s="0" t="s">
        <v>340</v>
      </c>
      <c r="B145" s="0" t="s">
        <v>39</v>
      </c>
      <c r="C145" s="0" t="n">
        <v>2020</v>
      </c>
      <c r="D145" s="0" t="n">
        <v>0.176</v>
      </c>
    </row>
    <row r="146" customFormat="false" ht="14.25" hidden="false" customHeight="false" outlineLevel="0" collapsed="false">
      <c r="A146" s="0" t="s">
        <v>340</v>
      </c>
      <c r="B146" s="0" t="s">
        <v>39</v>
      </c>
      <c r="C146" s="0" t="n">
        <v>2021</v>
      </c>
      <c r="D146" s="0" t="n">
        <v>0.191</v>
      </c>
    </row>
    <row r="147" customFormat="false" ht="14.25" hidden="false" customHeight="false" outlineLevel="0" collapsed="false">
      <c r="A147" s="0" t="s">
        <v>340</v>
      </c>
      <c r="B147" s="0" t="s">
        <v>39</v>
      </c>
      <c r="C147" s="0" t="n">
        <v>2022</v>
      </c>
      <c r="D147" s="0" t="n">
        <v>0.37</v>
      </c>
    </row>
    <row r="148" customFormat="false" ht="14.25" hidden="false" customHeight="false" outlineLevel="0" collapsed="false">
      <c r="A148" s="0" t="s">
        <v>340</v>
      </c>
      <c r="B148" s="0" t="s">
        <v>39</v>
      </c>
      <c r="C148" s="0" t="n">
        <v>2023</v>
      </c>
      <c r="D148" s="0" t="n">
        <v>0.45</v>
      </c>
    </row>
    <row r="149" customFormat="false" ht="14.25" hidden="false" customHeight="false" outlineLevel="0" collapsed="false">
      <c r="A149" s="0" t="s">
        <v>340</v>
      </c>
      <c r="B149" s="0" t="s">
        <v>39</v>
      </c>
      <c r="C149" s="0" t="n">
        <v>2024</v>
      </c>
      <c r="D149" s="0" t="n">
        <v>0.38197</v>
      </c>
    </row>
    <row r="150" customFormat="false" ht="14.25" hidden="false" customHeight="false" outlineLevel="0" collapsed="false">
      <c r="A150" s="0" t="s">
        <v>341</v>
      </c>
      <c r="B150" s="0" t="s">
        <v>9</v>
      </c>
      <c r="C150" s="0" t="n">
        <v>2018</v>
      </c>
      <c r="D150" s="0" t="n">
        <v>0.015</v>
      </c>
    </row>
    <row r="151" customFormat="false" ht="14.25" hidden="false" customHeight="false" outlineLevel="0" collapsed="false">
      <c r="A151" s="0" t="s">
        <v>341</v>
      </c>
      <c r="B151" s="0" t="s">
        <v>10</v>
      </c>
      <c r="C151" s="0" t="n">
        <v>2018</v>
      </c>
      <c r="D151" s="0" t="n">
        <v>0.03</v>
      </c>
    </row>
    <row r="152" customFormat="false" ht="14.25" hidden="false" customHeight="false" outlineLevel="0" collapsed="false">
      <c r="A152" s="0" t="s">
        <v>341</v>
      </c>
      <c r="B152" s="0" t="s">
        <v>12</v>
      </c>
      <c r="C152" s="0" t="n">
        <v>2018</v>
      </c>
      <c r="D152" s="0" t="n">
        <v>0.16</v>
      </c>
    </row>
    <row r="153" customFormat="false" ht="14.25" hidden="false" customHeight="false" outlineLevel="0" collapsed="false">
      <c r="A153" s="0" t="s">
        <v>341</v>
      </c>
      <c r="B153" s="0" t="s">
        <v>13</v>
      </c>
      <c r="C153" s="0" t="n">
        <v>2018</v>
      </c>
      <c r="D153" s="0" t="n">
        <v>0.008</v>
      </c>
    </row>
    <row r="154" customFormat="false" ht="14.25" hidden="false" customHeight="false" outlineLevel="0" collapsed="false">
      <c r="A154" s="0" t="s">
        <v>341</v>
      </c>
      <c r="B154" s="0" t="s">
        <v>14</v>
      </c>
      <c r="C154" s="0" t="n">
        <v>2018</v>
      </c>
      <c r="D154" s="0" t="n">
        <v>2.6</v>
      </c>
    </row>
    <row r="155" customFormat="false" ht="14.25" hidden="false" customHeight="false" outlineLevel="0" collapsed="false">
      <c r="A155" s="0" t="s">
        <v>341</v>
      </c>
      <c r="B155" s="0" t="s">
        <v>17</v>
      </c>
      <c r="C155" s="0" t="n">
        <v>2018</v>
      </c>
      <c r="D155" s="0" t="n">
        <v>0.15</v>
      </c>
    </row>
    <row r="156" customFormat="false" ht="14.25" hidden="false" customHeight="false" outlineLevel="0" collapsed="false">
      <c r="A156" s="0" t="s">
        <v>341</v>
      </c>
      <c r="B156" s="0" t="s">
        <v>18</v>
      </c>
      <c r="C156" s="0" t="n">
        <v>2018</v>
      </c>
      <c r="D156" s="0" t="n">
        <v>0.2</v>
      </c>
    </row>
    <row r="157" customFormat="false" ht="14.25" hidden="false" customHeight="false" outlineLevel="0" collapsed="false">
      <c r="A157" s="0" t="s">
        <v>341</v>
      </c>
      <c r="B157" s="0" t="s">
        <v>19</v>
      </c>
      <c r="C157" s="0" t="n">
        <v>2018</v>
      </c>
      <c r="D157" s="0" t="n">
        <v>0.003</v>
      </c>
    </row>
    <row r="158" customFormat="false" ht="14.25" hidden="false" customHeight="false" outlineLevel="0" collapsed="false">
      <c r="A158" s="0" t="s">
        <v>341</v>
      </c>
      <c r="B158" s="0" t="s">
        <v>21</v>
      </c>
      <c r="C158" s="0" t="n">
        <v>2018</v>
      </c>
      <c r="D158" s="0" t="n">
        <v>0.008</v>
      </c>
    </row>
    <row r="159" customFormat="false" ht="14.25" hidden="false" customHeight="false" outlineLevel="0" collapsed="false">
      <c r="A159" s="0" t="s">
        <v>341</v>
      </c>
      <c r="B159" s="0" t="s">
        <v>22</v>
      </c>
      <c r="C159" s="0" t="n">
        <v>2018</v>
      </c>
      <c r="D159" s="0" t="n">
        <v>0.008</v>
      </c>
    </row>
    <row r="160" customFormat="false" ht="14.25" hidden="false" customHeight="false" outlineLevel="0" collapsed="false">
      <c r="A160" s="0" t="s">
        <v>341</v>
      </c>
      <c r="B160" s="0" t="s">
        <v>24</v>
      </c>
      <c r="C160" s="0" t="n">
        <v>2018</v>
      </c>
      <c r="D160" s="0" t="n">
        <v>0.025</v>
      </c>
    </row>
    <row r="161" customFormat="false" ht="14.25" hidden="false" customHeight="false" outlineLevel="0" collapsed="false">
      <c r="A161" s="0" t="s">
        <v>341</v>
      </c>
      <c r="B161" s="0" t="s">
        <v>25</v>
      </c>
      <c r="C161" s="0" t="n">
        <v>2018</v>
      </c>
      <c r="D161" s="0" t="n">
        <v>0.06</v>
      </c>
    </row>
    <row r="162" customFormat="false" ht="14.25" hidden="false" customHeight="false" outlineLevel="0" collapsed="false">
      <c r="A162" s="0" t="s">
        <v>341</v>
      </c>
      <c r="B162" s="0" t="s">
        <v>26</v>
      </c>
      <c r="C162" s="0" t="n">
        <v>2018</v>
      </c>
      <c r="D162" s="0" t="n">
        <v>0.0003</v>
      </c>
    </row>
    <row r="163" customFormat="false" ht="14.25" hidden="false" customHeight="false" outlineLevel="0" collapsed="false">
      <c r="A163" s="0" t="s">
        <v>341</v>
      </c>
      <c r="B163" s="0" t="s">
        <v>27</v>
      </c>
      <c r="C163" s="0" t="n">
        <v>2018</v>
      </c>
      <c r="D163" s="0" t="n">
        <v>0.008</v>
      </c>
    </row>
    <row r="164" customFormat="false" ht="14.25" hidden="false" customHeight="false" outlineLevel="0" collapsed="false">
      <c r="A164" s="0" t="s">
        <v>341</v>
      </c>
      <c r="B164" s="0" t="s">
        <v>28</v>
      </c>
      <c r="C164" s="0" t="n">
        <v>2018</v>
      </c>
      <c r="D164" s="0" t="n">
        <v>1.0715</v>
      </c>
    </row>
    <row r="165" customFormat="false" ht="14.25" hidden="false" customHeight="false" outlineLevel="0" collapsed="false">
      <c r="A165" s="0" t="s">
        <v>341</v>
      </c>
      <c r="B165" s="0" t="s">
        <v>29</v>
      </c>
      <c r="C165" s="0" t="n">
        <v>2018</v>
      </c>
      <c r="D165" s="0" t="n">
        <v>0.2</v>
      </c>
    </row>
    <row r="166" customFormat="false" ht="14.25" hidden="false" customHeight="false" outlineLevel="0" collapsed="false">
      <c r="A166" s="0" t="s">
        <v>341</v>
      </c>
      <c r="B166" s="0" t="s">
        <v>30</v>
      </c>
      <c r="C166" s="0" t="n">
        <v>2018</v>
      </c>
      <c r="D166" s="0" t="n">
        <v>0.008</v>
      </c>
    </row>
    <row r="167" customFormat="false" ht="14.25" hidden="false" customHeight="false" outlineLevel="0" collapsed="false">
      <c r="A167" s="0" t="s">
        <v>341</v>
      </c>
      <c r="B167" s="0" t="s">
        <v>31</v>
      </c>
      <c r="C167" s="0" t="n">
        <v>2018</v>
      </c>
      <c r="D167" s="0" t="n">
        <v>0.058</v>
      </c>
    </row>
    <row r="168" customFormat="false" ht="14.25" hidden="false" customHeight="false" outlineLevel="0" collapsed="false">
      <c r="A168" s="0" t="s">
        <v>341</v>
      </c>
      <c r="B168" s="0" t="s">
        <v>34</v>
      </c>
      <c r="C168" s="0" t="n">
        <v>2018</v>
      </c>
      <c r="D168" s="0" t="n">
        <v>0.0005</v>
      </c>
    </row>
    <row r="169" customFormat="false" ht="14.25" hidden="false" customHeight="false" outlineLevel="0" collapsed="false">
      <c r="A169" s="0" t="s">
        <v>341</v>
      </c>
      <c r="B169" s="0" t="s">
        <v>35</v>
      </c>
      <c r="C169" s="0" t="n">
        <v>2018</v>
      </c>
      <c r="D169" s="0" t="n">
        <v>0.035</v>
      </c>
    </row>
    <row r="170" customFormat="false" ht="14.25" hidden="false" customHeight="false" outlineLevel="0" collapsed="false">
      <c r="A170" s="0" t="s">
        <v>341</v>
      </c>
      <c r="B170" s="0" t="s">
        <v>36</v>
      </c>
      <c r="C170" s="0" t="n">
        <v>2018</v>
      </c>
      <c r="D170" s="0" t="n">
        <v>0.117</v>
      </c>
    </row>
    <row r="171" customFormat="false" ht="14.25" hidden="false" customHeight="false" outlineLevel="0" collapsed="false">
      <c r="A171" s="0" t="s">
        <v>341</v>
      </c>
      <c r="B171" s="0" t="s">
        <v>37</v>
      </c>
      <c r="C171" s="0" t="n">
        <v>2018</v>
      </c>
      <c r="D171" s="0" t="n">
        <v>0.035</v>
      </c>
    </row>
    <row r="172" customFormat="false" ht="14.25" hidden="false" customHeight="false" outlineLevel="0" collapsed="false">
      <c r="A172" s="0" t="s">
        <v>341</v>
      </c>
      <c r="B172" s="0" t="s">
        <v>38</v>
      </c>
      <c r="C172" s="0" t="n">
        <v>2018</v>
      </c>
      <c r="D172" s="0" t="n">
        <v>0.003</v>
      </c>
    </row>
    <row r="173" customFormat="false" ht="14.25" hidden="false" customHeight="false" outlineLevel="0" collapsed="false">
      <c r="A173" s="0" t="s">
        <v>341</v>
      </c>
      <c r="B173" s="0" t="s">
        <v>39</v>
      </c>
      <c r="C173" s="0" t="n">
        <v>2018</v>
      </c>
      <c r="D173" s="0" t="n">
        <v>0.13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B1:O23"/>
  <sheetViews>
    <sheetView showFormulas="false" showGridLines="true" showRowColHeaders="true" showZeros="true" rightToLeft="false" tabSelected="false" showOutlineSymbols="true" defaultGridColor="true" view="normal" topLeftCell="A6" colorId="64" zoomScale="85" zoomScaleNormal="85" zoomScalePageLayoutView="100" workbookViewId="0">
      <selection pane="topLeft" activeCell="E19" activeCellId="0" sqref="E19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4.4"/>
    <col collapsed="false" customWidth="true" hidden="false" outlineLevel="0" max="3" min="3" style="0" width="19.26"/>
    <col collapsed="false" customWidth="true" hidden="false" outlineLevel="0" max="4" min="4" style="0" width="15.39"/>
    <col collapsed="false" customWidth="true" hidden="false" outlineLevel="0" max="5" min="5" style="0" width="20.13"/>
    <col collapsed="false" customWidth="true" hidden="false" outlineLevel="0" max="6" min="6" style="0" width="12.46"/>
    <col collapsed="false" customWidth="true" hidden="false" outlineLevel="0" max="7" min="7" style="0" width="8.73"/>
    <col collapsed="false" customWidth="true" hidden="false" outlineLevel="0" max="8" min="8" style="0" width="15.91"/>
    <col collapsed="false" customWidth="true" hidden="false" outlineLevel="0" max="9" min="9" style="0" width="7.61"/>
    <col collapsed="false" customWidth="true" hidden="false" outlineLevel="0" max="10" min="10" style="0" width="8.4"/>
    <col collapsed="false" customWidth="true" hidden="false" outlineLevel="0" max="12" min="12" style="0" width="16.26"/>
    <col collapsed="false" customWidth="true" hidden="false" outlineLevel="0" max="13" min="13" style="0" width="43.93"/>
    <col collapsed="false" customWidth="true" hidden="false" outlineLevel="0" max="14" min="14" style="0" width="60.8"/>
  </cols>
  <sheetData>
    <row r="1" customFormat="false" ht="14.25" hidden="false" customHeight="false" outlineLevel="0" collapsed="false">
      <c r="M1" s="0" t="s">
        <v>342</v>
      </c>
      <c r="N1" s="0" t="s">
        <v>343</v>
      </c>
      <c r="O1" s="2" t="s">
        <v>344</v>
      </c>
    </row>
    <row r="2" customFormat="false" ht="33.75" hidden="false" customHeight="true" outlineLevel="0" collapsed="false">
      <c r="M2" s="0" t="s">
        <v>345</v>
      </c>
      <c r="N2" s="26" t="s">
        <v>346</v>
      </c>
      <c r="O2" s="26" t="s">
        <v>347</v>
      </c>
    </row>
    <row r="3" customFormat="false" ht="57.75" hidden="false" customHeight="true" outlineLevel="0" collapsed="false">
      <c r="M3" s="0" t="s">
        <v>348</v>
      </c>
      <c r="N3" s="26" t="s">
        <v>349</v>
      </c>
      <c r="O3" s="27" t="s">
        <v>350</v>
      </c>
    </row>
    <row r="11" customFormat="false" ht="14.25" hidden="false" customHeight="false" outlineLevel="0" collapsed="false">
      <c r="B11" s="0" t="s">
        <v>52</v>
      </c>
    </row>
    <row r="12" customFormat="false" ht="14.25" hidden="false" customHeight="false" outlineLevel="0" collapsed="false">
      <c r="B12" s="0" t="s">
        <v>53</v>
      </c>
      <c r="C12" s="0" t="s">
        <v>55</v>
      </c>
      <c r="D12" s="0" t="s">
        <v>57</v>
      </c>
      <c r="E12" s="0" t="s">
        <v>59</v>
      </c>
      <c r="F12" s="0" t="s">
        <v>351</v>
      </c>
      <c r="G12" s="0" t="s">
        <v>60</v>
      </c>
      <c r="H12" s="0" t="s">
        <v>61</v>
      </c>
      <c r="I12" s="0" t="s">
        <v>63</v>
      </c>
      <c r="J12" s="0" t="s">
        <v>64</v>
      </c>
      <c r="K12" s="2" t="s">
        <v>242</v>
      </c>
    </row>
    <row r="13" customFormat="false" ht="14.25" hidden="false" customHeight="false" outlineLevel="0" collapsed="false">
      <c r="C13" s="0" t="s">
        <v>352</v>
      </c>
      <c r="D13" s="0" t="s">
        <v>353</v>
      </c>
      <c r="E13" s="0" t="n">
        <v>0.02</v>
      </c>
      <c r="G13" s="0" t="s">
        <v>354</v>
      </c>
      <c r="H13" s="0" t="s">
        <v>355</v>
      </c>
      <c r="I13" s="0" t="s">
        <v>356</v>
      </c>
      <c r="K13" s="0" t="n">
        <v>2019</v>
      </c>
    </row>
    <row r="14" customFormat="false" ht="14.25" hidden="false" customHeight="false" outlineLevel="0" collapsed="false">
      <c r="C14" s="0" t="s">
        <v>352</v>
      </c>
      <c r="D14" s="0" t="str">
        <f aca="false">D13</f>
        <v>USD18</v>
      </c>
      <c r="E14" s="0" t="n">
        <v>3</v>
      </c>
      <c r="G14" s="0" t="str">
        <f aca="false">G13</f>
        <v>IRE</v>
      </c>
      <c r="H14" s="0" t="str">
        <f aca="false">H13</f>
        <v>Glb*, -Glb*recy*</v>
      </c>
      <c r="I14" s="0" t="str">
        <f aca="false">I13</f>
        <v>m_*</v>
      </c>
      <c r="K14" s="0" t="n">
        <v>0</v>
      </c>
    </row>
    <row r="15" customFormat="false" ht="14.25" hidden="false" customHeight="false" outlineLevel="0" collapsed="false">
      <c r="C15" s="0" t="s">
        <v>352</v>
      </c>
      <c r="D15" s="0" t="s">
        <v>353</v>
      </c>
      <c r="E15" s="14" t="n">
        <v>2</v>
      </c>
      <c r="G15" s="0" t="s">
        <v>354</v>
      </c>
      <c r="H15" s="0" t="s">
        <v>357</v>
      </c>
      <c r="I15" s="0" t="s">
        <v>356</v>
      </c>
      <c r="K15" s="0" t="n">
        <v>2019</v>
      </c>
    </row>
    <row r="16" customFormat="false" ht="14.25" hidden="false" customHeight="false" outlineLevel="0" collapsed="false">
      <c r="C16" s="0" t="s">
        <v>352</v>
      </c>
      <c r="D16" s="0" t="s">
        <v>353</v>
      </c>
      <c r="E16" s="0" t="n">
        <v>3</v>
      </c>
      <c r="G16" s="0" t="s">
        <v>354</v>
      </c>
      <c r="H16" s="0" t="s">
        <v>357</v>
      </c>
      <c r="I16" s="0" t="s">
        <v>356</v>
      </c>
      <c r="K16" s="0" t="n">
        <v>0</v>
      </c>
    </row>
    <row r="21" customFormat="false" ht="14.25" hidden="false" customHeight="false" outlineLevel="0" collapsed="false">
      <c r="E21" s="0" t="s">
        <v>358</v>
      </c>
    </row>
    <row r="23" customFormat="false" ht="14.25" hidden="false" customHeight="false" outlineLevel="0" collapsed="false">
      <c r="E23" s="19" t="s">
        <v>359</v>
      </c>
    </row>
  </sheetData>
  <hyperlinks>
    <hyperlink ref="O3" r:id="rId1" display="https://thundersaidenergy.com/downloads/bulk-shipping-cost-breakdow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S17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T34" activeCellId="0" sqref="T34"/>
    </sheetView>
  </sheetViews>
  <sheetFormatPr defaultColWidth="8.8671875" defaultRowHeight="14.2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9.86"/>
    <col collapsed="false" customWidth="true" hidden="false" outlineLevel="0" max="3" min="3" style="0" width="8.14"/>
    <col collapsed="false" customWidth="true" hidden="false" outlineLevel="0" max="4" min="4" style="0" width="10.86"/>
    <col collapsed="false" customWidth="true" hidden="false" outlineLevel="0" max="5" min="5" style="0" width="7.26"/>
    <col collapsed="false" customWidth="true" hidden="false" outlineLevel="0" max="6" min="6" style="0" width="9.6"/>
    <col collapsed="false" customWidth="true" hidden="false" outlineLevel="0" max="7" min="7" style="0" width="11"/>
    <col collapsed="false" customWidth="true" hidden="false" outlineLevel="0" max="8" min="8" style="0" width="4.73"/>
    <col collapsed="false" customWidth="true" hidden="false" outlineLevel="0" max="9" min="9" style="0" width="11"/>
    <col collapsed="false" customWidth="true" hidden="false" outlineLevel="0" max="15" min="10" style="0" width="10.73"/>
    <col collapsed="false" customWidth="true" hidden="false" outlineLevel="0" max="18" min="16" style="0" width="4.14"/>
    <col collapsed="false" customWidth="true" hidden="false" outlineLevel="0" max="20" min="19" style="0" width="10.73"/>
    <col collapsed="false" customWidth="true" hidden="false" outlineLevel="0" max="21" min="21" style="0" width="8.73"/>
    <col collapsed="false" customWidth="true" hidden="false" outlineLevel="0" max="23" min="22" style="0" width="8.4"/>
    <col collapsed="false" customWidth="true" hidden="false" outlineLevel="0" max="24" min="24" style="0" width="7.4"/>
    <col collapsed="false" customWidth="true" hidden="false" outlineLevel="0" max="25" min="25" style="0" width="8.4"/>
    <col collapsed="false" customWidth="true" hidden="false" outlineLevel="0" max="26" min="26" style="0" width="8.73"/>
    <col collapsed="false" customWidth="true" hidden="false" outlineLevel="0" max="28" min="27" style="0" width="8.4"/>
  </cols>
  <sheetData>
    <row r="3" customFormat="false" ht="14.25" hidden="false" customHeight="false" outlineLevel="0" collapsed="false">
      <c r="A3" s="0" t="s">
        <v>1</v>
      </c>
    </row>
    <row r="5" customFormat="false" ht="14.25" hidden="false" customHeight="false" outlineLevel="0" collapsed="false">
      <c r="F5" s="0" t="s">
        <v>360</v>
      </c>
    </row>
    <row r="6" customFormat="false" ht="14.25" hidden="false" customHeight="false" outlineLevel="0" collapsed="false">
      <c r="A6" s="0" t="s">
        <v>361</v>
      </c>
      <c r="B6" s="0" t="s">
        <v>4</v>
      </c>
      <c r="C6" s="0" t="s">
        <v>63</v>
      </c>
      <c r="D6" s="0" t="s">
        <v>362</v>
      </c>
      <c r="E6" s="0" t="s">
        <v>54</v>
      </c>
      <c r="F6" s="0" t="n">
        <v>2030</v>
      </c>
      <c r="G6" s="0" t="n">
        <v>2035</v>
      </c>
      <c r="H6" s="0" t="s">
        <v>363</v>
      </c>
      <c r="I6" s="0" t="s">
        <v>42</v>
      </c>
      <c r="J6" s="0" t="s">
        <v>76</v>
      </c>
      <c r="K6" s="0" t="s">
        <v>364</v>
      </c>
    </row>
    <row r="7" customFormat="false" ht="14.25" hidden="false" customHeight="false" outlineLevel="0" collapsed="false">
      <c r="A7" s="0" t="s">
        <v>365</v>
      </c>
      <c r="B7" s="0" t="s">
        <v>366</v>
      </c>
      <c r="C7" s="0" t="s">
        <v>367</v>
      </c>
      <c r="D7" s="0" t="s">
        <v>367</v>
      </c>
      <c r="E7" s="0" t="s">
        <v>150</v>
      </c>
      <c r="F7" s="0" t="n">
        <v>1.05</v>
      </c>
      <c r="H7" s="0" t="n">
        <v>1</v>
      </c>
      <c r="I7" s="0" t="n">
        <v>2</v>
      </c>
      <c r="J7" s="0" t="s">
        <v>368</v>
      </c>
      <c r="K7" s="0" t="s">
        <v>369</v>
      </c>
    </row>
    <row r="8" customFormat="false" ht="14.25" hidden="false" customHeight="false" outlineLevel="0" collapsed="false">
      <c r="A8" s="0" t="s">
        <v>365</v>
      </c>
      <c r="B8" s="0" t="s">
        <v>370</v>
      </c>
      <c r="C8" s="0" t="s">
        <v>367</v>
      </c>
      <c r="D8" s="0" t="s">
        <v>367</v>
      </c>
      <c r="E8" s="0" t="s">
        <v>49</v>
      </c>
      <c r="F8" s="0" t="n">
        <v>0.95</v>
      </c>
      <c r="G8" s="0" t="n">
        <v>0.9</v>
      </c>
      <c r="H8" s="0" t="n">
        <v>1</v>
      </c>
      <c r="I8" s="0" t="n">
        <v>2</v>
      </c>
      <c r="J8" s="0" t="s">
        <v>368</v>
      </c>
      <c r="K8" s="0" t="s">
        <v>371</v>
      </c>
      <c r="P8" s="4" t="n">
        <f aca="false">F8^15</f>
        <v>0.463291230159753</v>
      </c>
      <c r="Q8" s="4" t="n">
        <f aca="false">G8^15</f>
        <v>0.205891132094649</v>
      </c>
      <c r="S8" s="28" t="n">
        <f aca="false">PRODUCT(P8:R8)</f>
        <v>0.0953875558671142</v>
      </c>
    </row>
    <row r="11" customFormat="false" ht="14.25" hidden="false" customHeight="false" outlineLevel="0" collapsed="false">
      <c r="A11" s="0" t="s">
        <v>372</v>
      </c>
    </row>
    <row r="13" customFormat="false" ht="14.25" hidden="false" customHeight="false" outlineLevel="0" collapsed="false">
      <c r="D13" s="0" t="s">
        <v>373</v>
      </c>
    </row>
    <row r="14" customFormat="false" ht="14.25" hidden="false" customHeight="false" outlineLevel="0" collapsed="false">
      <c r="A14" s="0" t="s">
        <v>361</v>
      </c>
      <c r="B14" s="0" t="s">
        <v>4</v>
      </c>
      <c r="C14" s="0" t="s">
        <v>91</v>
      </c>
      <c r="D14" s="0" t="s">
        <v>295</v>
      </c>
      <c r="E14" s="0" t="n">
        <v>2030</v>
      </c>
      <c r="F14" s="0" t="n">
        <v>2040</v>
      </c>
      <c r="G14" s="0" t="n">
        <v>2050</v>
      </c>
      <c r="H14" s="0" t="s">
        <v>363</v>
      </c>
      <c r="I14" s="0" t="s">
        <v>374</v>
      </c>
      <c r="J14" s="0" t="s">
        <v>42</v>
      </c>
      <c r="K14" s="0" t="s">
        <v>364</v>
      </c>
    </row>
    <row r="15" customFormat="false" ht="14.25" hidden="false" customHeight="false" outlineLevel="0" collapsed="false">
      <c r="A15" s="0" t="s">
        <v>375</v>
      </c>
      <c r="B15" s="0" t="str">
        <f aca="false">"UC_ELCcap_decay - "&amp;MID(D15,4,3)</f>
        <v>UC_ELCcap_decay - OIL</v>
      </c>
      <c r="C15" s="0" t="s">
        <v>376</v>
      </c>
      <c r="D15" s="0" t="s">
        <v>377</v>
      </c>
      <c r="E15" s="0" t="n">
        <v>0.98</v>
      </c>
      <c r="F15" s="0" t="n">
        <v>0.95</v>
      </c>
      <c r="G15" s="0" t="n">
        <v>0.8</v>
      </c>
      <c r="H15" s="0" t="n">
        <v>1</v>
      </c>
      <c r="I15" s="0" t="n">
        <v>5</v>
      </c>
      <c r="J15" s="0" t="n">
        <v>3</v>
      </c>
      <c r="K15" s="0" t="str">
        <f aca="false">"Max decay in power capacity - "&amp;MID(D15,4,3)</f>
        <v>Max decay in power capacity - OIL</v>
      </c>
      <c r="O15" s="4" t="n">
        <f aca="false">E15^10</f>
        <v>0.817072806887547</v>
      </c>
      <c r="P15" s="4" t="n">
        <f aca="false">F15^10</f>
        <v>0.598736939238379</v>
      </c>
      <c r="Q15" s="4" t="n">
        <f aca="false">G15^10</f>
        <v>0.1073741824</v>
      </c>
      <c r="R15" s="28" t="n">
        <f aca="false">PRODUCT(O15:Q15)</f>
        <v>0.0525287032511528</v>
      </c>
    </row>
    <row r="16" customFormat="false" ht="14.25" hidden="false" customHeight="false" outlineLevel="0" collapsed="false">
      <c r="A16" s="0" t="s">
        <v>375</v>
      </c>
      <c r="B16" s="0" t="str">
        <f aca="false">"UC_ELCcap_decay - "&amp;MID(D16,4,3)</f>
        <v>UC_ELCcap_decay - CO?</v>
      </c>
      <c r="C16" s="0" t="s">
        <v>376</v>
      </c>
      <c r="D16" s="0" t="s">
        <v>378</v>
      </c>
      <c r="E16" s="0" t="n">
        <v>0.98</v>
      </c>
      <c r="F16" s="0" t="n">
        <v>0.9</v>
      </c>
      <c r="G16" s="0" t="n">
        <v>0.8</v>
      </c>
      <c r="H16" s="0" t="n">
        <v>1</v>
      </c>
      <c r="I16" s="0" t="n">
        <v>5</v>
      </c>
      <c r="J16" s="0" t="n">
        <v>3</v>
      </c>
      <c r="K16" s="0" t="str">
        <f aca="false">"Max decay in power capacity - "&amp;MID(D16,4,3)</f>
        <v>Max decay in power capacity - CO?</v>
      </c>
      <c r="O16" s="4" t="n">
        <f aca="false">E16^10</f>
        <v>0.817072806887547</v>
      </c>
      <c r="P16" s="4" t="n">
        <f aca="false">F16^10</f>
        <v>0.3486784401</v>
      </c>
      <c r="Q16" s="4" t="n">
        <f aca="false">G16^10</f>
        <v>0.1073741824</v>
      </c>
      <c r="R16" s="28" t="n">
        <f aca="false">PRODUCT(O16:Q16)</f>
        <v>0.03059043982385</v>
      </c>
    </row>
    <row r="17" customFormat="false" ht="14.25" hidden="false" customHeight="false" outlineLevel="0" collapsed="false">
      <c r="A17" s="0" t="s">
        <v>375</v>
      </c>
      <c r="B17" s="0" t="str">
        <f aca="false">"UC_ELCcap_decay - "&amp;MID(D17,4,3)</f>
        <v>UC_ELCcap_decay - NGA</v>
      </c>
      <c r="C17" s="0" t="s">
        <v>376</v>
      </c>
      <c r="D17" s="0" t="s">
        <v>312</v>
      </c>
      <c r="E17" s="0" t="n">
        <v>0.98</v>
      </c>
      <c r="F17" s="0" t="n">
        <v>0.95</v>
      </c>
      <c r="G17" s="0" t="n">
        <v>0.8</v>
      </c>
      <c r="H17" s="0" t="n">
        <v>1</v>
      </c>
      <c r="I17" s="0" t="n">
        <v>5</v>
      </c>
      <c r="J17" s="0" t="n">
        <v>3</v>
      </c>
      <c r="K17" s="0" t="str">
        <f aca="false">"Max decay in power capacity - "&amp;MID(D17,4,3)</f>
        <v>Max decay in power capacity - NGA</v>
      </c>
      <c r="O17" s="4" t="n">
        <f aca="false">E17^10</f>
        <v>0.817072806887547</v>
      </c>
      <c r="P17" s="4" t="n">
        <f aca="false">F17^10</f>
        <v>0.598736939238379</v>
      </c>
      <c r="Q17" s="4" t="n">
        <f aca="false">G17^10</f>
        <v>0.1073741824</v>
      </c>
      <c r="R17" s="28" t="n">
        <f aca="false">PRODUCT(O17:Q17)</f>
        <v>0.0525287032511528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0"/>
  <sheetViews>
    <sheetView showFormulas="false" showGridLines="true" showRowColHeaders="true" showZeros="true" rightToLeft="false" tabSelected="false" showOutlineSymbols="true" defaultGridColor="true" view="normal" topLeftCell="A1" colorId="64" zoomScale="43" zoomScaleNormal="43" zoomScalePageLayoutView="100" workbookViewId="0">
      <selection pane="topLeft" activeCell="K42" activeCellId="0" sqref="K42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6.13"/>
    <col collapsed="false" customWidth="true" hidden="false" outlineLevel="0" max="3" min="3" style="0" width="11.6"/>
    <col collapsed="false" customWidth="true" hidden="false" outlineLevel="0" max="5" min="4" style="0" width="5"/>
    <col collapsed="false" customWidth="true" hidden="false" outlineLevel="0" max="6" min="6" style="0" width="6.73"/>
    <col collapsed="false" customWidth="true" hidden="false" outlineLevel="0" max="7" min="7" style="0" width="7.87"/>
    <col collapsed="false" customWidth="true" hidden="false" outlineLevel="0" max="11" min="11" style="0" width="17.61"/>
    <col collapsed="false" customWidth="true" hidden="false" outlineLevel="0" max="12" min="12" style="0" width="29.26"/>
    <col collapsed="false" customWidth="true" hidden="false" outlineLevel="0" max="14" min="13" style="0" width="10.73"/>
    <col collapsed="false" customWidth="true" hidden="false" outlineLevel="0" max="15" min="15" style="0" width="10.13"/>
  </cols>
  <sheetData>
    <row r="1" customFormat="false" ht="14.25" hidden="false" customHeight="false" outlineLevel="0" collapsed="false">
      <c r="H1" s="2" t="s">
        <v>1</v>
      </c>
    </row>
    <row r="2" customFormat="false" ht="14.25" hidden="false" customHeight="false" outlineLevel="0" collapsed="false">
      <c r="B2" s="0" t="s">
        <v>379</v>
      </c>
      <c r="L2" s="0" t="s">
        <v>380</v>
      </c>
    </row>
    <row r="3" customFormat="false" ht="14.25" hidden="false" customHeight="false" outlineLevel="0" collapsed="false">
      <c r="B3" s="0" t="s">
        <v>72</v>
      </c>
      <c r="C3" s="0" t="s">
        <v>381</v>
      </c>
      <c r="D3" s="0" t="n">
        <v>2025</v>
      </c>
      <c r="E3" s="0" t="n">
        <v>2035</v>
      </c>
      <c r="F3" s="0" t="n">
        <v>2050</v>
      </c>
      <c r="G3" s="0" t="n">
        <v>2100</v>
      </c>
      <c r="H3" s="0" t="n">
        <v>2150</v>
      </c>
      <c r="K3" s="0" t="s">
        <v>4</v>
      </c>
      <c r="L3" s="0" t="s">
        <v>252</v>
      </c>
      <c r="M3" s="0" t="s">
        <v>382</v>
      </c>
      <c r="N3" s="0" t="s">
        <v>383</v>
      </c>
      <c r="O3" s="0" t="s">
        <v>384</v>
      </c>
    </row>
    <row r="4" customFormat="false" ht="14.25" hidden="false" customHeight="false" outlineLevel="0" collapsed="false">
      <c r="B4" s="0" t="s">
        <v>385</v>
      </c>
      <c r="C4" s="0" t="s">
        <v>386</v>
      </c>
      <c r="D4" s="0" t="n">
        <v>-0.3</v>
      </c>
      <c r="K4" s="0" t="s">
        <v>387</v>
      </c>
      <c r="L4" s="0" t="s">
        <v>388</v>
      </c>
      <c r="M4" s="0" t="n">
        <v>1</v>
      </c>
      <c r="O4" s="0" t="n">
        <v>2</v>
      </c>
    </row>
    <row r="5" customFormat="false" ht="14.25" hidden="false" customHeight="false" outlineLevel="0" collapsed="false">
      <c r="B5" s="0" t="s">
        <v>389</v>
      </c>
      <c r="C5" s="0" t="s">
        <v>386</v>
      </c>
      <c r="D5" s="0" t="n">
        <v>0</v>
      </c>
      <c r="E5" s="0" t="n">
        <v>0.3</v>
      </c>
      <c r="F5" s="0" t="n">
        <v>0.5</v>
      </c>
      <c r="G5" s="0" t="n">
        <v>0.5</v>
      </c>
      <c r="H5" s="0" t="n">
        <v>0.5</v>
      </c>
      <c r="K5" s="0" t="s">
        <v>390</v>
      </c>
      <c r="L5" s="0" t="s">
        <v>391</v>
      </c>
      <c r="M5" s="0" t="n">
        <v>1</v>
      </c>
      <c r="O5" s="0" t="n">
        <v>2</v>
      </c>
    </row>
    <row r="6" customFormat="false" ht="14.25" hidden="false" customHeight="false" outlineLevel="0" collapsed="false">
      <c r="B6" s="0" t="s">
        <v>392</v>
      </c>
      <c r="C6" s="0" t="s">
        <v>386</v>
      </c>
      <c r="D6" s="0" t="n">
        <v>10</v>
      </c>
      <c r="K6" s="0" t="s">
        <v>393</v>
      </c>
      <c r="L6" s="0" t="s">
        <v>394</v>
      </c>
      <c r="N6" s="23" t="n">
        <v>1</v>
      </c>
      <c r="O6" s="0" t="n">
        <v>2</v>
      </c>
    </row>
    <row r="7" customFormat="false" ht="14.25" hidden="false" customHeight="false" outlineLevel="0" collapsed="false">
      <c r="K7" s="0" t="s">
        <v>307</v>
      </c>
    </row>
    <row r="8" customFormat="false" ht="14.25" hidden="false" customHeight="false" outlineLevel="0" collapsed="false">
      <c r="K8" s="0" t="s">
        <v>395</v>
      </c>
      <c r="L8" s="0" t="s">
        <v>396</v>
      </c>
      <c r="M8" s="0" t="n">
        <v>1</v>
      </c>
      <c r="O8" s="0" t="n">
        <v>2</v>
      </c>
    </row>
    <row r="9" customFormat="false" ht="14.25" hidden="false" customHeight="false" outlineLevel="0" collapsed="false">
      <c r="K9" s="0" t="s">
        <v>395</v>
      </c>
      <c r="L9" s="0" t="s">
        <v>397</v>
      </c>
      <c r="M9" s="0" t="n">
        <v>1</v>
      </c>
      <c r="O9" s="0" t="n">
        <v>2</v>
      </c>
    </row>
    <row r="10" customFormat="false" ht="14.25" hidden="false" customHeight="false" outlineLevel="0" collapsed="false">
      <c r="B10" s="0" t="s">
        <v>379</v>
      </c>
      <c r="K10" s="0" t="s">
        <v>398</v>
      </c>
      <c r="L10" s="0" t="s">
        <v>399</v>
      </c>
      <c r="M10" s="0" t="n">
        <v>1</v>
      </c>
      <c r="O10" s="0" t="n">
        <v>2</v>
      </c>
    </row>
    <row r="11" customFormat="false" ht="14.25" hidden="false" customHeight="false" outlineLevel="0" collapsed="false">
      <c r="B11" s="0" t="s">
        <v>72</v>
      </c>
      <c r="C11" s="0" t="s">
        <v>307</v>
      </c>
      <c r="D11" s="0" t="n">
        <v>2025</v>
      </c>
      <c r="E11" s="0" t="n">
        <v>2035</v>
      </c>
      <c r="F11" s="0" t="n">
        <v>2050</v>
      </c>
      <c r="G11" s="0" t="s">
        <v>296</v>
      </c>
      <c r="K11" s="0" t="s">
        <v>398</v>
      </c>
      <c r="L11" s="0" t="s">
        <v>400</v>
      </c>
      <c r="M11" s="0" t="n">
        <v>1</v>
      </c>
      <c r="O11" s="0" t="n">
        <v>2</v>
      </c>
    </row>
    <row r="12" customFormat="false" ht="14.25" hidden="false" customHeight="false" outlineLevel="0" collapsed="false">
      <c r="B12" s="0" t="s">
        <v>385</v>
      </c>
      <c r="D12" s="0" t="n">
        <v>-0.3</v>
      </c>
      <c r="G12" s="0" t="s">
        <v>401</v>
      </c>
      <c r="K12" s="0" t="s">
        <v>402</v>
      </c>
      <c r="L12" s="0" t="s">
        <v>403</v>
      </c>
      <c r="M12" s="0" t="n">
        <v>1</v>
      </c>
      <c r="O12" s="0" t="n">
        <v>2</v>
      </c>
    </row>
    <row r="13" customFormat="false" ht="14.25" hidden="false" customHeight="false" outlineLevel="0" collapsed="false">
      <c r="B13" s="0" t="s">
        <v>389</v>
      </c>
      <c r="D13" s="0" t="n">
        <v>0</v>
      </c>
      <c r="E13" s="0" t="n">
        <v>0.3</v>
      </c>
      <c r="F13" s="0" t="n">
        <v>0.5</v>
      </c>
      <c r="G13" s="0" t="s">
        <v>401</v>
      </c>
      <c r="K13" s="0" t="s">
        <v>404</v>
      </c>
      <c r="L13" s="0" t="s">
        <v>405</v>
      </c>
      <c r="M13" s="0" t="n">
        <v>1</v>
      </c>
      <c r="O13" s="0" t="n">
        <v>2</v>
      </c>
    </row>
    <row r="14" customFormat="false" ht="14.25" hidden="false" customHeight="false" outlineLevel="0" collapsed="false">
      <c r="B14" s="0" t="s">
        <v>392</v>
      </c>
      <c r="D14" s="0" t="n">
        <v>10</v>
      </c>
      <c r="G14" s="0" t="s">
        <v>401</v>
      </c>
      <c r="K14" s="0" t="s">
        <v>307</v>
      </c>
    </row>
    <row r="15" customFormat="false" ht="14.25" hidden="false" customHeight="false" outlineLevel="0" collapsed="false">
      <c r="K15" s="0" t="s">
        <v>406</v>
      </c>
      <c r="L15" s="0" t="s">
        <v>407</v>
      </c>
      <c r="M15" s="0" t="n">
        <v>1</v>
      </c>
      <c r="O15" s="0" t="n">
        <v>2</v>
      </c>
    </row>
    <row r="16" customFormat="false" ht="14.25" hidden="false" customHeight="false" outlineLevel="0" collapsed="false">
      <c r="K16" s="0" t="s">
        <v>406</v>
      </c>
      <c r="L16" s="0" t="s">
        <v>408</v>
      </c>
      <c r="M16" s="0" t="n">
        <v>1</v>
      </c>
      <c r="O16" s="0" t="n">
        <v>2</v>
      </c>
    </row>
    <row r="17" customFormat="false" ht="14.25" hidden="false" customHeight="false" outlineLevel="0" collapsed="false">
      <c r="K17" s="0" t="s">
        <v>409</v>
      </c>
      <c r="L17" s="0" t="s">
        <v>410</v>
      </c>
      <c r="M17" s="0" t="n">
        <v>1</v>
      </c>
      <c r="O17" s="0" t="n">
        <v>2</v>
      </c>
    </row>
    <row r="18" customFormat="false" ht="14.25" hidden="false" customHeight="false" outlineLevel="0" collapsed="false">
      <c r="K18" s="0" t="s">
        <v>409</v>
      </c>
      <c r="L18" s="0" t="s">
        <v>411</v>
      </c>
      <c r="M18" s="0" t="n">
        <v>1</v>
      </c>
      <c r="O18" s="0" t="n">
        <v>2</v>
      </c>
    </row>
    <row r="19" customFormat="false" ht="14.25" hidden="false" customHeight="false" outlineLevel="0" collapsed="false">
      <c r="K19" s="0" t="s">
        <v>412</v>
      </c>
      <c r="L19" s="0" t="s">
        <v>413</v>
      </c>
      <c r="M19" s="0" t="n">
        <v>1</v>
      </c>
      <c r="O19" s="0" t="n">
        <v>2</v>
      </c>
    </row>
    <row r="20" customFormat="false" ht="14.25" hidden="false" customHeight="false" outlineLevel="0" collapsed="false">
      <c r="K20" s="0" t="s">
        <v>414</v>
      </c>
      <c r="L20" s="0" t="s">
        <v>415</v>
      </c>
      <c r="M20" s="0" t="n">
        <v>1</v>
      </c>
      <c r="O20" s="0" t="n">
        <v>2</v>
      </c>
    </row>
    <row r="23" customFormat="false" ht="14.25" hidden="false" customHeight="false" outlineLevel="0" collapsed="false">
      <c r="B23" s="0" t="s">
        <v>416</v>
      </c>
      <c r="L23" s="0" t="s">
        <v>380</v>
      </c>
    </row>
    <row r="24" customFormat="false" ht="14.25" hidden="false" customHeight="false" outlineLevel="0" collapsed="false">
      <c r="B24" s="0" t="s">
        <v>73</v>
      </c>
      <c r="C24" s="0" t="s">
        <v>252</v>
      </c>
      <c r="D24" s="0" t="s">
        <v>74</v>
      </c>
      <c r="K24" s="0" t="s">
        <v>4</v>
      </c>
      <c r="L24" s="0" t="s">
        <v>73</v>
      </c>
      <c r="M24" s="0" t="s">
        <v>417</v>
      </c>
      <c r="N24" s="0" t="s">
        <v>418</v>
      </c>
      <c r="O24" s="0" t="s">
        <v>242</v>
      </c>
    </row>
    <row r="25" customFormat="false" ht="14.25" hidden="false" customHeight="false" outlineLevel="0" collapsed="false">
      <c r="B25" s="0" t="s">
        <v>419</v>
      </c>
      <c r="C25" s="0" t="s">
        <v>420</v>
      </c>
      <c r="D25" s="0" t="s">
        <v>421</v>
      </c>
      <c r="K25" s="0" t="s">
        <v>422</v>
      </c>
      <c r="N25" s="0" t="n">
        <v>1</v>
      </c>
    </row>
    <row r="26" customFormat="false" ht="14.25" hidden="false" customHeight="false" outlineLevel="0" collapsed="false">
      <c r="L26" s="0" t="s">
        <v>423</v>
      </c>
      <c r="M26" s="0" t="n">
        <v>1</v>
      </c>
      <c r="O26" s="0" t="s">
        <v>424</v>
      </c>
    </row>
    <row r="27" customFormat="false" ht="14.25" hidden="false" customHeight="false" outlineLevel="0" collapsed="false">
      <c r="L27" s="0" t="s">
        <v>423</v>
      </c>
      <c r="M27" s="0" t="n">
        <v>1</v>
      </c>
      <c r="O27" s="0" t="s">
        <v>425</v>
      </c>
    </row>
    <row r="28" customFormat="false" ht="14.25" hidden="false" customHeight="false" outlineLevel="0" collapsed="false">
      <c r="B28" s="0" t="s">
        <v>426</v>
      </c>
      <c r="L28" s="0" t="s">
        <v>423</v>
      </c>
      <c r="M28" s="0" t="n">
        <v>1</v>
      </c>
      <c r="O28" s="0" t="s">
        <v>427</v>
      </c>
    </row>
    <row r="29" customFormat="false" ht="14.25" hidden="false" customHeight="false" outlineLevel="0" collapsed="false">
      <c r="B29" s="0" t="s">
        <v>72</v>
      </c>
      <c r="C29" s="0" t="s">
        <v>252</v>
      </c>
      <c r="D29" s="0" t="n">
        <v>2020</v>
      </c>
      <c r="E29" s="0" t="n">
        <v>0</v>
      </c>
      <c r="F29" s="0" t="s">
        <v>43</v>
      </c>
      <c r="L29" s="0" t="s">
        <v>423</v>
      </c>
      <c r="M29" s="0" t="n">
        <v>1</v>
      </c>
      <c r="O29" s="0" t="s">
        <v>428</v>
      </c>
    </row>
    <row r="30" customFormat="false" ht="14.25" hidden="false" customHeight="false" outlineLevel="0" collapsed="false">
      <c r="B30" s="0" t="s">
        <v>429</v>
      </c>
      <c r="C30" s="0" t="str">
        <f aca="false">C25</f>
        <v>repuc_unity</v>
      </c>
      <c r="D30" s="0" t="n">
        <v>1</v>
      </c>
      <c r="E30" s="0" t="n">
        <v>3</v>
      </c>
      <c r="F30" s="0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S37" activeCellId="0" sqref="S37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.26"/>
    <col collapsed="false" customWidth="true" hidden="false" outlineLevel="0" max="2" min="2" style="0" width="11.86"/>
    <col collapsed="false" customWidth="true" hidden="false" outlineLevel="0" max="3" min="3" style="0" width="12.26"/>
    <col collapsed="false" customWidth="true" hidden="false" outlineLevel="0" max="4" min="4" style="0" width="10.26"/>
    <col collapsed="false" customWidth="true" hidden="false" outlineLevel="0" max="5" min="5" style="0" width="11.86"/>
    <col collapsed="false" customWidth="true" hidden="false" outlineLevel="0" max="6" min="6" style="0" width="7.87"/>
    <col collapsed="false" customWidth="true" hidden="false" outlineLevel="0" max="7" min="7" style="0" width="12.87"/>
    <col collapsed="false" customWidth="true" hidden="false" outlineLevel="0" max="8" min="8" style="0" width="19.14"/>
    <col collapsed="false" customWidth="true" hidden="false" outlineLevel="0" max="9" min="9" style="0" width="6.73"/>
    <col collapsed="false" customWidth="true" hidden="false" outlineLevel="0" max="10" min="10" style="0" width="8.73"/>
    <col collapsed="false" customWidth="true" hidden="false" outlineLevel="0" max="11" min="11" style="0" width="8.4"/>
    <col collapsed="false" customWidth="true" hidden="false" outlineLevel="0" max="13" min="12" style="0" width="6"/>
    <col collapsed="false" customWidth="true" hidden="false" outlineLevel="0" max="14" min="14" style="0" width="5"/>
    <col collapsed="false" customWidth="true" hidden="false" outlineLevel="0" max="16" min="15" style="0" width="6"/>
    <col collapsed="false" customWidth="true" hidden="false" outlineLevel="0" max="17" min="17" style="0" width="5"/>
    <col collapsed="false" customWidth="true" hidden="false" outlineLevel="0" max="19" min="18" style="0" width="6"/>
    <col collapsed="false" customWidth="true" hidden="false" outlineLevel="0" max="20" min="20" style="0" width="5"/>
    <col collapsed="false" customWidth="true" hidden="false" outlineLevel="0" max="22" min="21" style="0" width="6"/>
    <col collapsed="false" customWidth="true" hidden="false" outlineLevel="0" max="23" min="23" style="0" width="5"/>
    <col collapsed="false" customWidth="true" hidden="false" outlineLevel="0" max="25" min="24" style="0" width="6"/>
    <col collapsed="false" customWidth="true" hidden="false" outlineLevel="0" max="27" min="26" style="0" width="4"/>
    <col collapsed="false" customWidth="true" hidden="false" outlineLevel="0" max="29" min="29" style="0" width="14.6"/>
    <col collapsed="false" customWidth="true" hidden="false" outlineLevel="0" max="30" min="30" style="0" width="2"/>
    <col collapsed="false" customWidth="true" hidden="false" outlineLevel="0" max="31" min="31" style="0" width="5"/>
    <col collapsed="false" customWidth="true" hidden="false" outlineLevel="0" max="32" min="32" style="0" width="6"/>
    <col collapsed="false" customWidth="true" hidden="false" outlineLevel="0" max="33" min="33" style="0" width="3"/>
    <col collapsed="false" customWidth="true" hidden="false" outlineLevel="0" max="34" min="34" style="0" width="5"/>
    <col collapsed="false" customWidth="true" hidden="false" outlineLevel="0" max="35" min="35" style="0" width="6"/>
    <col collapsed="false" customWidth="true" hidden="false" outlineLevel="0" max="36" min="36" style="0" width="3"/>
    <col collapsed="false" customWidth="true" hidden="false" outlineLevel="0" max="37" min="37" style="0" width="5"/>
    <col collapsed="false" customWidth="true" hidden="false" outlineLevel="0" max="38" min="38" style="0" width="6"/>
    <col collapsed="false" customWidth="true" hidden="false" outlineLevel="0" max="39" min="39" style="0" width="4"/>
    <col collapsed="false" customWidth="true" hidden="false" outlineLevel="0" max="40" min="40" style="0" width="5"/>
    <col collapsed="false" customWidth="true" hidden="false" outlineLevel="0" max="41" min="41" style="0" width="6"/>
    <col collapsed="false" customWidth="true" hidden="false" outlineLevel="0" max="42" min="42" style="0" width="4"/>
    <col collapsed="false" customWidth="true" hidden="false" outlineLevel="0" max="43" min="43" style="0" width="5"/>
    <col collapsed="false" customWidth="true" hidden="false" outlineLevel="0" max="44" min="44" style="0" width="6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</cols>
  <sheetData>
    <row r="1" customFormat="false" ht="17.25" hidden="false" customHeight="true" outlineLevel="0" collapsed="false">
      <c r="A1" s="1" t="s">
        <v>430</v>
      </c>
      <c r="AC1" s="29" t="s">
        <v>431</v>
      </c>
    </row>
    <row r="2" customFormat="false" ht="15.75" hidden="false" customHeight="true" outlineLevel="0" collapsed="false">
      <c r="A2" s="0" t="s">
        <v>432</v>
      </c>
      <c r="B2" s="0" t="s">
        <v>433</v>
      </c>
      <c r="C2" s="0" t="s">
        <v>434</v>
      </c>
      <c r="D2" s="0" t="s">
        <v>435</v>
      </c>
      <c r="E2" s="0" t="s">
        <v>436</v>
      </c>
      <c r="F2" s="0" t="s">
        <v>437</v>
      </c>
      <c r="G2" s="0" t="s">
        <v>438</v>
      </c>
      <c r="H2" s="0" t="s">
        <v>439</v>
      </c>
      <c r="I2" s="0" t="s">
        <v>440</v>
      </c>
      <c r="J2" s="0" t="n">
        <v>1</v>
      </c>
      <c r="K2" s="0" t="n">
        <v>39</v>
      </c>
      <c r="L2" s="0" t="n">
        <v>40</v>
      </c>
      <c r="M2" s="0" t="n">
        <v>41</v>
      </c>
      <c r="N2" s="0" t="n">
        <v>79</v>
      </c>
      <c r="O2" s="0" t="n">
        <v>80</v>
      </c>
      <c r="P2" s="0" t="n">
        <v>81</v>
      </c>
      <c r="Q2" s="0" t="n">
        <v>119</v>
      </c>
      <c r="R2" s="0" t="n">
        <v>120</v>
      </c>
      <c r="S2" s="0" t="n">
        <v>121</v>
      </c>
      <c r="T2" s="0" t="n">
        <v>159</v>
      </c>
      <c r="U2" s="0" t="n">
        <v>160</v>
      </c>
      <c r="V2" s="0" t="n">
        <v>161</v>
      </c>
      <c r="W2" s="0" t="n">
        <v>199</v>
      </c>
      <c r="X2" s="0" t="n">
        <v>200</v>
      </c>
      <c r="AC2" s="30" t="s">
        <v>441</v>
      </c>
      <c r="AD2" s="30" t="n">
        <f aca="false">J2</f>
        <v>1</v>
      </c>
      <c r="AE2" s="30" t="n">
        <f aca="false">K2</f>
        <v>39</v>
      </c>
      <c r="AF2" s="30" t="n">
        <f aca="false">L2</f>
        <v>40</v>
      </c>
      <c r="AG2" s="30" t="n">
        <f aca="false">M2</f>
        <v>41</v>
      </c>
      <c r="AH2" s="30" t="n">
        <f aca="false">N2</f>
        <v>79</v>
      </c>
      <c r="AI2" s="30" t="n">
        <f aca="false">O2</f>
        <v>80</v>
      </c>
      <c r="AJ2" s="30" t="n">
        <f aca="false">P2</f>
        <v>81</v>
      </c>
      <c r="AK2" s="30" t="n">
        <f aca="false">Q2</f>
        <v>119</v>
      </c>
      <c r="AL2" s="30" t="n">
        <f aca="false">R2</f>
        <v>120</v>
      </c>
      <c r="AM2" s="30" t="n">
        <f aca="false">S2</f>
        <v>121</v>
      </c>
      <c r="AN2" s="30" t="n">
        <f aca="false">T2</f>
        <v>159</v>
      </c>
      <c r="AO2" s="30" t="n">
        <f aca="false">U2</f>
        <v>160</v>
      </c>
      <c r="AP2" s="30" t="n">
        <f aca="false">V2</f>
        <v>161</v>
      </c>
      <c r="AQ2" s="30" t="n">
        <f aca="false">W2</f>
        <v>199</v>
      </c>
      <c r="AR2" s="30" t="n">
        <f aca="false">X2</f>
        <v>200</v>
      </c>
    </row>
    <row r="3" customFormat="false" ht="14.25" hidden="false" customHeight="false" outlineLevel="0" collapsed="false">
      <c r="A3" s="0" t="s">
        <v>442</v>
      </c>
      <c r="B3" s="0" t="s">
        <v>443</v>
      </c>
      <c r="C3" s="0" t="s">
        <v>444</v>
      </c>
      <c r="D3" s="0" t="s">
        <v>444</v>
      </c>
      <c r="E3" s="0" t="s">
        <v>445</v>
      </c>
      <c r="F3" s="4" t="n">
        <v>39.18</v>
      </c>
      <c r="G3" s="4" t="s">
        <v>446</v>
      </c>
      <c r="H3" s="4" t="n">
        <v>43.5</v>
      </c>
      <c r="I3" s="0" t="n">
        <v>81</v>
      </c>
      <c r="J3" s="0" t="n">
        <v>1</v>
      </c>
      <c r="K3" s="0" t="n">
        <v>1.11</v>
      </c>
      <c r="L3" s="0" t="n">
        <v>6.18</v>
      </c>
      <c r="M3" s="0" t="n">
        <v>1</v>
      </c>
      <c r="N3" s="0" t="n">
        <v>1.11</v>
      </c>
      <c r="O3" s="0" t="n">
        <v>6.18</v>
      </c>
      <c r="P3" s="0" t="n">
        <v>1</v>
      </c>
      <c r="Q3" s="0" t="n">
        <v>1.11</v>
      </c>
      <c r="R3" s="0" t="n">
        <v>6.18</v>
      </c>
      <c r="S3" s="0" t="n">
        <v>1</v>
      </c>
      <c r="T3" s="0" t="n">
        <v>1.11</v>
      </c>
      <c r="U3" s="0" t="n">
        <v>6.18</v>
      </c>
      <c r="V3" s="0" t="n">
        <v>1</v>
      </c>
      <c r="W3" s="0" t="n">
        <v>1.11</v>
      </c>
      <c r="X3" s="0" t="n">
        <v>6.18</v>
      </c>
      <c r="AC3" s="0" t="n">
        <f aca="false">I3</f>
        <v>81</v>
      </c>
      <c r="AD3" s="0" t="n">
        <f aca="false">J3</f>
        <v>1</v>
      </c>
      <c r="AE3" s="0" t="n">
        <f aca="false">K3</f>
        <v>1.11</v>
      </c>
      <c r="AF3" s="0" t="n">
        <f aca="false">L3</f>
        <v>6.18</v>
      </c>
      <c r="AG3" s="0" t="n">
        <f aca="false">M3</f>
        <v>1</v>
      </c>
      <c r="AH3" s="0" t="n">
        <f aca="false">N3</f>
        <v>1.11</v>
      </c>
      <c r="AI3" s="0" t="n">
        <f aca="false">O3</f>
        <v>6.18</v>
      </c>
      <c r="AJ3" s="0" t="n">
        <f aca="false">P3</f>
        <v>1</v>
      </c>
      <c r="AK3" s="0" t="n">
        <f aca="false">Q3</f>
        <v>1.11</v>
      </c>
      <c r="AL3" s="0" t="n">
        <f aca="false">R3</f>
        <v>6.18</v>
      </c>
      <c r="AM3" s="0" t="n">
        <f aca="false">S3</f>
        <v>1</v>
      </c>
      <c r="AN3" s="0" t="n">
        <f aca="false">T3</f>
        <v>1.11</v>
      </c>
      <c r="AO3" s="0" t="n">
        <f aca="false">U3</f>
        <v>6.18</v>
      </c>
      <c r="AP3" s="0" t="n">
        <f aca="false">V3</f>
        <v>1</v>
      </c>
      <c r="AQ3" s="0" t="n">
        <f aca="false">W3</f>
        <v>1.11</v>
      </c>
      <c r="AR3" s="0" t="n">
        <f aca="false">X3</f>
        <v>6.18</v>
      </c>
    </row>
    <row r="4" customFormat="false" ht="14.25" hidden="false" customHeight="false" outlineLevel="0" collapsed="false">
      <c r="A4" s="0" t="s">
        <v>447</v>
      </c>
      <c r="B4" s="0" t="s">
        <v>444</v>
      </c>
      <c r="C4" s="0" t="s">
        <v>448</v>
      </c>
      <c r="D4" s="0" t="s">
        <v>444</v>
      </c>
      <c r="E4" s="0" t="s">
        <v>445</v>
      </c>
      <c r="F4" s="4" t="n">
        <v>19.34</v>
      </c>
      <c r="G4" s="4" t="s">
        <v>446</v>
      </c>
      <c r="H4" s="4" t="n">
        <v>28.67</v>
      </c>
      <c r="I4" s="0" t="n">
        <v>82</v>
      </c>
      <c r="J4" s="0" t="n">
        <v>1</v>
      </c>
      <c r="K4" s="0" t="n">
        <v>1.48</v>
      </c>
      <c r="L4" s="0" t="n">
        <v>10</v>
      </c>
      <c r="M4" s="0" t="n">
        <v>1</v>
      </c>
      <c r="N4" s="0" t="n">
        <v>1.48</v>
      </c>
      <c r="O4" s="0" t="n">
        <v>10</v>
      </c>
      <c r="P4" s="0" t="n">
        <v>1</v>
      </c>
      <c r="Q4" s="0" t="n">
        <v>1.48</v>
      </c>
      <c r="R4" s="0" t="n">
        <v>10</v>
      </c>
      <c r="S4" s="0" t="n">
        <v>1</v>
      </c>
      <c r="T4" s="0" t="n">
        <v>1.48</v>
      </c>
      <c r="U4" s="0" t="n">
        <v>10</v>
      </c>
      <c r="V4" s="0" t="n">
        <v>1</v>
      </c>
      <c r="W4" s="0" t="n">
        <v>1.48</v>
      </c>
      <c r="X4" s="0" t="n">
        <v>10</v>
      </c>
      <c r="AC4" s="0" t="n">
        <f aca="false">I4</f>
        <v>82</v>
      </c>
      <c r="AD4" s="0" t="n">
        <f aca="false">J4</f>
        <v>1</v>
      </c>
      <c r="AE4" s="0" t="n">
        <f aca="false">K4</f>
        <v>1.48</v>
      </c>
      <c r="AF4" s="0" t="n">
        <f aca="false">L4</f>
        <v>10</v>
      </c>
      <c r="AG4" s="0" t="n">
        <f aca="false">M4</f>
        <v>1</v>
      </c>
      <c r="AH4" s="0" t="n">
        <f aca="false">N4</f>
        <v>1.48</v>
      </c>
      <c r="AI4" s="0" t="n">
        <f aca="false">O4</f>
        <v>10</v>
      </c>
      <c r="AJ4" s="0" t="n">
        <f aca="false">P4</f>
        <v>1</v>
      </c>
      <c r="AK4" s="0" t="n">
        <f aca="false">Q4</f>
        <v>1.48</v>
      </c>
      <c r="AL4" s="0" t="n">
        <f aca="false">R4</f>
        <v>10</v>
      </c>
      <c r="AM4" s="0" t="n">
        <f aca="false">S4</f>
        <v>1</v>
      </c>
      <c r="AN4" s="0" t="n">
        <f aca="false">T4</f>
        <v>1.48</v>
      </c>
      <c r="AO4" s="0" t="n">
        <f aca="false">U4</f>
        <v>10</v>
      </c>
      <c r="AP4" s="0" t="n">
        <f aca="false">V4</f>
        <v>1</v>
      </c>
      <c r="AQ4" s="0" t="n">
        <f aca="false">W4</f>
        <v>1.48</v>
      </c>
      <c r="AR4" s="0" t="n">
        <f aca="false">X4</f>
        <v>10</v>
      </c>
    </row>
    <row r="6" customFormat="false" ht="17.25" hidden="false" customHeight="true" outlineLevel="0" collapsed="false">
      <c r="AC6" s="29" t="s">
        <v>431</v>
      </c>
    </row>
    <row r="7" customFormat="false" ht="15.75" hidden="false" customHeight="true" outlineLevel="0" collapsed="false">
      <c r="A7" s="0" t="s">
        <v>432</v>
      </c>
      <c r="B7" s="0" t="s">
        <v>433</v>
      </c>
      <c r="C7" s="0" t="s">
        <v>434</v>
      </c>
      <c r="D7" s="0" t="s">
        <v>435</v>
      </c>
      <c r="E7" s="0" t="s">
        <v>436</v>
      </c>
      <c r="F7" s="0" t="s">
        <v>437</v>
      </c>
      <c r="G7" s="0" t="s">
        <v>440</v>
      </c>
      <c r="H7" s="0" t="n">
        <v>1</v>
      </c>
      <c r="I7" s="0" t="n">
        <v>29</v>
      </c>
      <c r="J7" s="0" t="n">
        <v>30</v>
      </c>
      <c r="K7" s="0" t="n">
        <v>31</v>
      </c>
      <c r="L7" s="0" t="n">
        <v>59</v>
      </c>
      <c r="M7" s="0" t="n">
        <v>60</v>
      </c>
      <c r="N7" s="0" t="n">
        <v>61</v>
      </c>
      <c r="O7" s="0" t="n">
        <v>89</v>
      </c>
      <c r="P7" s="0" t="n">
        <v>90</v>
      </c>
      <c r="Q7" s="0" t="n">
        <v>91</v>
      </c>
      <c r="R7" s="0" t="n">
        <v>119</v>
      </c>
      <c r="S7" s="0" t="n">
        <v>120</v>
      </c>
      <c r="T7" s="0" t="n">
        <v>121</v>
      </c>
      <c r="U7" s="0" t="n">
        <v>149</v>
      </c>
      <c r="V7" s="0" t="n">
        <v>150</v>
      </c>
      <c r="W7" s="0" t="n">
        <v>151</v>
      </c>
      <c r="X7" s="0" t="n">
        <v>179</v>
      </c>
      <c r="Y7" s="0" t="n">
        <v>180</v>
      </c>
      <c r="Z7" s="0" t="n">
        <v>181</v>
      </c>
      <c r="AA7" s="0" t="n">
        <v>200</v>
      </c>
      <c r="AC7" s="30" t="s">
        <v>441</v>
      </c>
      <c r="AD7" s="30" t="n">
        <f aca="false">H7</f>
        <v>1</v>
      </c>
      <c r="AE7" s="30" t="n">
        <f aca="false">I7</f>
        <v>29</v>
      </c>
      <c r="AF7" s="30" t="n">
        <f aca="false">J7</f>
        <v>30</v>
      </c>
      <c r="AG7" s="30" t="n">
        <f aca="false">K7</f>
        <v>31</v>
      </c>
      <c r="AH7" s="30" t="n">
        <f aca="false">L7</f>
        <v>59</v>
      </c>
      <c r="AI7" s="30" t="n">
        <f aca="false">M7</f>
        <v>60</v>
      </c>
      <c r="AJ7" s="30" t="n">
        <f aca="false">N7</f>
        <v>61</v>
      </c>
      <c r="AK7" s="30" t="n">
        <f aca="false">O7</f>
        <v>89</v>
      </c>
      <c r="AL7" s="30" t="n">
        <f aca="false">P7</f>
        <v>90</v>
      </c>
      <c r="AM7" s="30" t="n">
        <f aca="false">Q7</f>
        <v>91</v>
      </c>
      <c r="AN7" s="30" t="n">
        <f aca="false">R7</f>
        <v>119</v>
      </c>
      <c r="AO7" s="30" t="n">
        <f aca="false">S7</f>
        <v>120</v>
      </c>
      <c r="AP7" s="30" t="n">
        <f aca="false">T7</f>
        <v>121</v>
      </c>
      <c r="AQ7" s="30" t="n">
        <f aca="false">U7</f>
        <v>149</v>
      </c>
      <c r="AR7" s="30" t="n">
        <f aca="false">V7</f>
        <v>150</v>
      </c>
      <c r="AS7" s="30" t="n">
        <f aca="false">W7</f>
        <v>151</v>
      </c>
      <c r="AT7" s="30" t="n">
        <f aca="false">X7</f>
        <v>179</v>
      </c>
      <c r="AU7" s="30" t="n">
        <f aca="false">Y7</f>
        <v>180</v>
      </c>
      <c r="AV7" s="30" t="n">
        <f aca="false">Z7</f>
        <v>181</v>
      </c>
      <c r="AW7" s="30" t="n">
        <f aca="false">AA7</f>
        <v>200</v>
      </c>
    </row>
    <row r="8" customFormat="false" ht="14.25" hidden="false" customHeight="false" outlineLevel="0" collapsed="false">
      <c r="A8" s="0" t="s">
        <v>449</v>
      </c>
      <c r="B8" s="0" t="s">
        <v>444</v>
      </c>
      <c r="C8" s="0" t="s">
        <v>444</v>
      </c>
      <c r="D8" s="0" t="s">
        <v>444</v>
      </c>
      <c r="E8" s="0" t="s">
        <v>450</v>
      </c>
      <c r="F8" s="4" t="n">
        <v>30.18</v>
      </c>
      <c r="G8" s="0" t="n">
        <v>83</v>
      </c>
      <c r="H8" s="0" t="n">
        <v>1</v>
      </c>
      <c r="I8" s="0" t="n">
        <v>1</v>
      </c>
      <c r="J8" s="0" t="n">
        <v>3.72</v>
      </c>
      <c r="K8" s="0" t="n">
        <v>1</v>
      </c>
      <c r="L8" s="0" t="n">
        <v>1</v>
      </c>
      <c r="M8" s="0" t="n">
        <v>3.72</v>
      </c>
      <c r="N8" s="0" t="n">
        <v>1</v>
      </c>
      <c r="O8" s="0" t="n">
        <v>1</v>
      </c>
      <c r="P8" s="0" t="n">
        <v>3.72</v>
      </c>
      <c r="Q8" s="0" t="n">
        <v>1</v>
      </c>
      <c r="R8" s="0" t="n">
        <v>1</v>
      </c>
      <c r="S8" s="0" t="n">
        <v>3.72</v>
      </c>
      <c r="T8" s="0" t="n">
        <v>1</v>
      </c>
      <c r="U8" s="0" t="n">
        <v>1</v>
      </c>
      <c r="V8" s="0" t="n">
        <v>3.72</v>
      </c>
      <c r="W8" s="0" t="n">
        <v>1</v>
      </c>
      <c r="X8" s="0" t="n">
        <v>1</v>
      </c>
      <c r="Y8" s="0" t="n">
        <v>3.72</v>
      </c>
      <c r="Z8" s="0" t="n">
        <v>1</v>
      </c>
      <c r="AA8" s="0" t="n">
        <v>3.72</v>
      </c>
      <c r="AC8" s="0" t="n">
        <f aca="false">G8</f>
        <v>83</v>
      </c>
      <c r="AD8" s="0" t="n">
        <f aca="false">H8</f>
        <v>1</v>
      </c>
      <c r="AE8" s="0" t="n">
        <f aca="false">I8</f>
        <v>1</v>
      </c>
      <c r="AF8" s="0" t="n">
        <f aca="false">J8</f>
        <v>3.72</v>
      </c>
      <c r="AG8" s="0" t="n">
        <f aca="false">K8</f>
        <v>1</v>
      </c>
      <c r="AH8" s="0" t="n">
        <f aca="false">L8</f>
        <v>1</v>
      </c>
      <c r="AI8" s="0" t="n">
        <f aca="false">M8</f>
        <v>3.72</v>
      </c>
      <c r="AJ8" s="0" t="n">
        <f aca="false">N8</f>
        <v>1</v>
      </c>
      <c r="AK8" s="0" t="n">
        <f aca="false">O8</f>
        <v>1</v>
      </c>
      <c r="AL8" s="0" t="n">
        <f aca="false">P8</f>
        <v>3.72</v>
      </c>
      <c r="AM8" s="0" t="n">
        <f aca="false">Q8</f>
        <v>1</v>
      </c>
      <c r="AN8" s="0" t="n">
        <f aca="false">R8</f>
        <v>1</v>
      </c>
      <c r="AO8" s="0" t="n">
        <f aca="false">S8</f>
        <v>3.72</v>
      </c>
      <c r="AP8" s="0" t="n">
        <f aca="false">T8</f>
        <v>1</v>
      </c>
      <c r="AQ8" s="0" t="n">
        <f aca="false">U8</f>
        <v>1</v>
      </c>
      <c r="AR8" s="0" t="n">
        <f aca="false">V8</f>
        <v>3.72</v>
      </c>
      <c r="AS8" s="0" t="n">
        <f aca="false">W8</f>
        <v>1</v>
      </c>
      <c r="AT8" s="0" t="n">
        <f aca="false">X8</f>
        <v>1</v>
      </c>
      <c r="AU8" s="0" t="n">
        <f aca="false">Y8</f>
        <v>3.72</v>
      </c>
      <c r="AV8" s="0" t="n">
        <f aca="false">Z8</f>
        <v>1</v>
      </c>
      <c r="AW8" s="0" t="n">
        <f aca="false">AA8</f>
        <v>3.72</v>
      </c>
    </row>
    <row r="9" customFormat="false" ht="14.25" hidden="false" customHeight="false" outlineLevel="0" collapsed="false">
      <c r="A9" s="0" t="s">
        <v>451</v>
      </c>
      <c r="B9" s="0" t="s">
        <v>444</v>
      </c>
      <c r="C9" s="0" t="s">
        <v>444</v>
      </c>
      <c r="D9" s="0" t="s">
        <v>444</v>
      </c>
      <c r="E9" s="0" t="s">
        <v>450</v>
      </c>
      <c r="F9" s="4" t="n">
        <v>19.73</v>
      </c>
      <c r="G9" s="0" t="n">
        <v>84</v>
      </c>
      <c r="H9" s="0" t="n">
        <v>1</v>
      </c>
      <c r="I9" s="0" t="n">
        <v>1</v>
      </c>
      <c r="J9" s="0" t="n">
        <v>13.27</v>
      </c>
      <c r="K9" s="0" t="n">
        <v>1</v>
      </c>
      <c r="L9" s="0" t="n">
        <v>1</v>
      </c>
      <c r="M9" s="0" t="n">
        <v>13.27</v>
      </c>
      <c r="N9" s="0" t="n">
        <v>1</v>
      </c>
      <c r="O9" s="0" t="n">
        <v>1</v>
      </c>
      <c r="P9" s="0" t="n">
        <v>13.27</v>
      </c>
      <c r="Q9" s="0" t="n">
        <v>1</v>
      </c>
      <c r="R9" s="0" t="n">
        <v>1</v>
      </c>
      <c r="S9" s="0" t="n">
        <v>13.27</v>
      </c>
      <c r="T9" s="0" t="n">
        <v>1</v>
      </c>
      <c r="U9" s="0" t="n">
        <v>1</v>
      </c>
      <c r="V9" s="0" t="n">
        <v>13.27</v>
      </c>
      <c r="W9" s="0" t="n">
        <v>1</v>
      </c>
      <c r="X9" s="0" t="n">
        <v>1</v>
      </c>
      <c r="Y9" s="0" t="n">
        <v>13.27</v>
      </c>
      <c r="Z9" s="0" t="n">
        <v>1</v>
      </c>
      <c r="AA9" s="0" t="n">
        <v>13.27</v>
      </c>
      <c r="AC9" s="0" t="n">
        <f aca="false">G9</f>
        <v>84</v>
      </c>
      <c r="AD9" s="0" t="n">
        <f aca="false">H9</f>
        <v>1</v>
      </c>
      <c r="AE9" s="0" t="n">
        <f aca="false">I9</f>
        <v>1</v>
      </c>
      <c r="AF9" s="0" t="n">
        <f aca="false">J9</f>
        <v>13.27</v>
      </c>
      <c r="AG9" s="0" t="n">
        <f aca="false">K9</f>
        <v>1</v>
      </c>
      <c r="AH9" s="0" t="n">
        <f aca="false">L9</f>
        <v>1</v>
      </c>
      <c r="AI9" s="0" t="n">
        <f aca="false">M9</f>
        <v>13.27</v>
      </c>
      <c r="AJ9" s="0" t="n">
        <f aca="false">N9</f>
        <v>1</v>
      </c>
      <c r="AK9" s="0" t="n">
        <f aca="false">O9</f>
        <v>1</v>
      </c>
      <c r="AL9" s="0" t="n">
        <f aca="false">P9</f>
        <v>13.27</v>
      </c>
      <c r="AM9" s="0" t="n">
        <f aca="false">Q9</f>
        <v>1</v>
      </c>
      <c r="AN9" s="0" t="n">
        <f aca="false">R9</f>
        <v>1</v>
      </c>
      <c r="AO9" s="0" t="n">
        <f aca="false">S9</f>
        <v>13.27</v>
      </c>
      <c r="AP9" s="0" t="n">
        <f aca="false">T9</f>
        <v>1</v>
      </c>
      <c r="AQ9" s="0" t="n">
        <f aca="false">U9</f>
        <v>1</v>
      </c>
      <c r="AR9" s="0" t="n">
        <f aca="false">V9</f>
        <v>13.27</v>
      </c>
      <c r="AS9" s="0" t="n">
        <f aca="false">W9</f>
        <v>1</v>
      </c>
      <c r="AT9" s="0" t="n">
        <f aca="false">X9</f>
        <v>1</v>
      </c>
      <c r="AU9" s="0" t="n">
        <f aca="false">Y9</f>
        <v>13.27</v>
      </c>
      <c r="AV9" s="0" t="n">
        <f aca="false">Z9</f>
        <v>1</v>
      </c>
      <c r="AW9" s="0" t="n">
        <f aca="false">AA9</f>
        <v>13.27</v>
      </c>
    </row>
    <row r="12" customFormat="false" ht="14.25" hidden="false" customHeight="false" outlineLevel="0" collapsed="false">
      <c r="A12" s="1" t="s">
        <v>452</v>
      </c>
    </row>
    <row r="13" customFormat="false" ht="14.25" hidden="false" customHeight="false" outlineLevel="0" collapsed="false">
      <c r="A13" s="31" t="s">
        <v>453</v>
      </c>
      <c r="B13" s="31"/>
      <c r="C13" s="31"/>
    </row>
    <row r="14" customFormat="false" ht="14.25" hidden="false" customHeight="false" outlineLevel="0" collapsed="false">
      <c r="A14" s="31" t="s">
        <v>454</v>
      </c>
      <c r="B14" s="31"/>
      <c r="C14" s="31"/>
    </row>
    <row r="15" customFormat="false" ht="14.25" hidden="false" customHeight="false" outlineLevel="0" collapsed="false">
      <c r="A15" s="31" t="s">
        <v>455</v>
      </c>
      <c r="B15" s="31"/>
      <c r="C15" s="31"/>
    </row>
    <row r="17" customFormat="false" ht="14.25" hidden="false" customHeight="false" outlineLevel="0" collapsed="false">
      <c r="A17" s="31" t="s">
        <v>456</v>
      </c>
      <c r="B17" s="31" t="s">
        <v>457</v>
      </c>
      <c r="C17" s="31" t="s">
        <v>458</v>
      </c>
    </row>
    <row r="18" customFormat="false" ht="14.25" hidden="false" customHeight="false" outlineLevel="0" collapsed="false">
      <c r="A18" s="31" t="s">
        <v>459</v>
      </c>
      <c r="B18" s="31" t="s">
        <v>460</v>
      </c>
      <c r="C18" s="31" t="n">
        <v>253</v>
      </c>
    </row>
    <row r="19" customFormat="false" ht="14.25" hidden="false" customHeight="false" outlineLevel="0" collapsed="false">
      <c r="A19" s="31" t="s">
        <v>461</v>
      </c>
      <c r="B19" s="31" t="s">
        <v>460</v>
      </c>
      <c r="C19" s="31" t="n">
        <v>203</v>
      </c>
      <c r="G19" s="0" t="s">
        <v>88</v>
      </c>
    </row>
    <row r="20" customFormat="false" ht="14.25" hidden="false" customHeight="false" outlineLevel="0" collapsed="false">
      <c r="A20" s="31" t="s">
        <v>462</v>
      </c>
      <c r="B20" s="31" t="s">
        <v>463</v>
      </c>
      <c r="C20" s="31" t="n">
        <v>82</v>
      </c>
      <c r="G20" s="0" t="s">
        <v>72</v>
      </c>
      <c r="H20" s="0" t="s">
        <v>91</v>
      </c>
      <c r="I20" s="0" t="s">
        <v>441</v>
      </c>
      <c r="J20" s="0" t="s">
        <v>124</v>
      </c>
      <c r="K20" s="0" t="s">
        <v>295</v>
      </c>
      <c r="L20" s="0" t="n">
        <v>2019</v>
      </c>
      <c r="M20" s="0" t="n">
        <v>0</v>
      </c>
    </row>
    <row r="21" customFormat="false" ht="14.25" hidden="false" customHeight="false" outlineLevel="0" collapsed="false">
      <c r="A21" s="31" t="s">
        <v>464</v>
      </c>
      <c r="B21" s="31" t="s">
        <v>463</v>
      </c>
      <c r="C21" s="31" t="n">
        <v>242</v>
      </c>
      <c r="G21" s="0" t="s">
        <v>465</v>
      </c>
      <c r="H21" s="0" t="s">
        <v>466</v>
      </c>
      <c r="K21" s="0" t="s">
        <v>467</v>
      </c>
      <c r="L21" s="0" t="n">
        <f aca="false">AC3</f>
        <v>81</v>
      </c>
      <c r="M21" s="0" t="n">
        <v>2</v>
      </c>
    </row>
    <row r="22" customFormat="false" ht="14.25" hidden="false" customHeight="false" outlineLevel="0" collapsed="false">
      <c r="A22" s="31" t="s">
        <v>468</v>
      </c>
      <c r="B22" s="31" t="s">
        <v>463</v>
      </c>
      <c r="C22" s="31" t="n">
        <v>226</v>
      </c>
      <c r="G22" s="0" t="s">
        <v>465</v>
      </c>
      <c r="H22" s="0" t="s">
        <v>469</v>
      </c>
      <c r="L22" s="0" t="n">
        <f aca="false">AC4</f>
        <v>82</v>
      </c>
      <c r="M22" s="0" t="n">
        <v>2</v>
      </c>
    </row>
    <row r="23" customFormat="false" ht="14.25" hidden="false" customHeight="false" outlineLevel="0" collapsed="false">
      <c r="A23" s="31" t="s">
        <v>470</v>
      </c>
      <c r="B23" s="31" t="s">
        <v>460</v>
      </c>
      <c r="C23" s="31" t="n">
        <v>174</v>
      </c>
      <c r="G23" s="0" t="s">
        <v>465</v>
      </c>
      <c r="H23" s="0" t="s">
        <v>471</v>
      </c>
      <c r="L23" s="0" t="n">
        <f aca="false">AC8</f>
        <v>83</v>
      </c>
      <c r="M23" s="0" t="n">
        <v>2</v>
      </c>
    </row>
    <row r="24" customFormat="false" ht="14.25" hidden="false" customHeight="false" outlineLevel="0" collapsed="false">
      <c r="A24" s="31" t="s">
        <v>472</v>
      </c>
      <c r="B24" s="31" t="s">
        <v>460</v>
      </c>
      <c r="C24" s="31" t="n">
        <v>258</v>
      </c>
      <c r="G24" s="0" t="s">
        <v>465</v>
      </c>
      <c r="H24" s="0" t="s">
        <v>473</v>
      </c>
      <c r="L24" s="0" t="n">
        <f aca="false">AC9</f>
        <v>84</v>
      </c>
      <c r="M24" s="0" t="n">
        <v>2</v>
      </c>
    </row>
    <row r="25" customFormat="false" ht="14.25" hidden="false" customHeight="false" outlineLevel="0" collapsed="false">
      <c r="A25" s="31" t="s">
        <v>474</v>
      </c>
      <c r="B25" s="31" t="s">
        <v>475</v>
      </c>
      <c r="C25" s="31" t="n">
        <v>135</v>
      </c>
    </row>
    <row r="30" customFormat="false" ht="14.25" hidden="false" customHeight="false" outlineLevel="0" collapsed="false">
      <c r="A30" s="0" t="s">
        <v>52</v>
      </c>
    </row>
    <row r="31" customFormat="false" ht="14.25" hidden="false" customHeight="false" outlineLevel="0" collapsed="false">
      <c r="A31" s="0" t="s">
        <v>55</v>
      </c>
      <c r="B31" s="0" t="s">
        <v>476</v>
      </c>
      <c r="C31" s="0" t="s">
        <v>56</v>
      </c>
      <c r="D31" s="0" t="s">
        <v>59</v>
      </c>
    </row>
    <row r="32" customFormat="false" ht="14.25" hidden="false" customHeight="false" outlineLevel="0" collapsed="false">
      <c r="A32" s="0" t="s">
        <v>440</v>
      </c>
      <c r="B32" s="0" t="n">
        <v>85</v>
      </c>
      <c r="C32" s="0" t="n">
        <v>1</v>
      </c>
      <c r="D32" s="0" t="n">
        <v>1</v>
      </c>
      <c r="F32" s="0" t="s">
        <v>477</v>
      </c>
    </row>
    <row r="33" customFormat="false" ht="14.25" hidden="false" customHeight="false" outlineLevel="0" collapsed="false">
      <c r="A33" s="0" t="s">
        <v>440</v>
      </c>
      <c r="B33" s="0" t="n">
        <f aca="false">B32</f>
        <v>85</v>
      </c>
      <c r="C33" s="0" t="n">
        <v>100</v>
      </c>
      <c r="D33" s="0" t="n">
        <v>1.5</v>
      </c>
    </row>
    <row r="34" customFormat="false" ht="14.25" hidden="false" customHeight="false" outlineLevel="0" collapsed="false">
      <c r="A34" s="0" t="s">
        <v>440</v>
      </c>
      <c r="B34" s="0" t="n">
        <v>86</v>
      </c>
      <c r="C34" s="0" t="n">
        <v>1</v>
      </c>
      <c r="D34" s="0" t="n">
        <v>1</v>
      </c>
      <c r="F34" s="0" t="s">
        <v>478</v>
      </c>
    </row>
    <row r="35" customFormat="false" ht="14.25" hidden="false" customHeight="false" outlineLevel="0" collapsed="false">
      <c r="A35" s="0" t="s">
        <v>440</v>
      </c>
      <c r="B35" s="0" t="n">
        <f aca="false">B34</f>
        <v>86</v>
      </c>
      <c r="C35" s="0" t="n">
        <v>100</v>
      </c>
      <c r="D35" s="0" t="n">
        <v>1.25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5"/>
  <sheetViews>
    <sheetView showFormulas="false" showGridLines="true" showRowColHeaders="true" showZeros="true" rightToLeft="false" tabSelected="false" showOutlineSymbols="true" defaultGridColor="true" view="normal" topLeftCell="W18" colorId="64" zoomScale="88" zoomScaleNormal="88" zoomScalePageLayoutView="100" workbookViewId="0">
      <selection pane="topLeft" activeCell="AC37" activeCellId="0" sqref="AC37"/>
    </sheetView>
  </sheetViews>
  <sheetFormatPr defaultColWidth="9.00390625" defaultRowHeight="14.25" zeroHeight="false" outlineLevelRow="0" outlineLevelCol="0"/>
  <cols>
    <col collapsed="false" customWidth="true" hidden="false" outlineLevel="0" max="4" min="4" style="0" width="8.4"/>
    <col collapsed="false" customWidth="true" hidden="false" outlineLevel="0" max="5" min="5" style="0" width="7"/>
    <col collapsed="false" customWidth="true" hidden="false" outlineLevel="0" max="7" min="7" style="0" width="40.73"/>
    <col collapsed="false" customWidth="true" hidden="false" outlineLevel="0" max="18" min="18" style="0" width="11"/>
    <col collapsed="false" customWidth="true" hidden="false" outlineLevel="0" max="19" min="19" style="0" width="11.39"/>
    <col collapsed="false" customWidth="true" hidden="false" outlineLevel="0" max="20" min="20" style="0" width="14"/>
    <col collapsed="false" customWidth="true" hidden="false" outlineLevel="0" max="21" min="21" style="0" width="7"/>
    <col collapsed="false" customWidth="true" hidden="false" outlineLevel="0" max="24" min="24" style="0" width="12"/>
    <col collapsed="false" customWidth="true" hidden="false" outlineLevel="0" max="25" min="25" style="0" width="25.33"/>
    <col collapsed="false" customWidth="true" hidden="false" outlineLevel="0" max="26" min="26" style="0" width="23.73"/>
    <col collapsed="false" customWidth="true" hidden="false" outlineLevel="0" max="27" min="27" style="0" width="17.26"/>
    <col collapsed="false" customWidth="true" hidden="false" outlineLevel="0" max="28" min="28" style="0" width="7"/>
    <col collapsed="false" customWidth="true" hidden="false" outlineLevel="0" max="32" min="32" style="0" width="13.93"/>
  </cols>
  <sheetData>
    <row r="1" customFormat="false" ht="14.25" hidden="false" customHeight="false" outlineLevel="0" collapsed="false">
      <c r="D1" s="32" t="s">
        <v>479</v>
      </c>
      <c r="E1" s="32" t="s">
        <v>480</v>
      </c>
      <c r="F1" s="32" t="s">
        <v>481</v>
      </c>
      <c r="R1" s="0" t="s">
        <v>482</v>
      </c>
      <c r="X1" s="0" t="s">
        <v>52</v>
      </c>
      <c r="AF1" s="0" t="s">
        <v>294</v>
      </c>
    </row>
    <row r="2" customFormat="false" ht="14.25" hidden="false" customHeight="false" outlineLevel="0" collapsed="false">
      <c r="A2" s="0" t="s">
        <v>483</v>
      </c>
      <c r="B2" s="0" t="str">
        <f aca="false">MID(A2,4,7)</f>
        <v>COA</v>
      </c>
      <c r="D2" s="33" t="s">
        <v>484</v>
      </c>
      <c r="E2" s="33" t="n">
        <f aca="false">N12</f>
        <v>55.99</v>
      </c>
      <c r="F2" s="33" t="s">
        <v>485</v>
      </c>
      <c r="G2" s="31" t="s">
        <v>486</v>
      </c>
      <c r="H2" s="31"/>
      <c r="I2" s="31"/>
      <c r="J2" s="31"/>
      <c r="K2" s="31"/>
      <c r="L2" s="31"/>
      <c r="M2" s="31"/>
      <c r="N2" s="31"/>
      <c r="R2" s="0" t="s">
        <v>72</v>
      </c>
      <c r="S2" s="0" t="s">
        <v>252</v>
      </c>
      <c r="T2" s="0" t="s">
        <v>441</v>
      </c>
      <c r="U2" s="0" t="s">
        <v>74</v>
      </c>
      <c r="X2" s="0" t="s">
        <v>72</v>
      </c>
      <c r="Y2" s="0" t="s">
        <v>5</v>
      </c>
      <c r="Z2" s="0" t="s">
        <v>252</v>
      </c>
      <c r="AA2" s="0" t="s">
        <v>441</v>
      </c>
      <c r="AB2" s="0" t="s">
        <v>74</v>
      </c>
      <c r="AF2" s="0" t="s">
        <v>73</v>
      </c>
      <c r="AG2" s="2" t="s">
        <v>487</v>
      </c>
      <c r="AH2" s="2" t="s">
        <v>252</v>
      </c>
    </row>
    <row r="3" customFormat="false" ht="14.25" hidden="false" customHeight="false" outlineLevel="0" collapsed="false">
      <c r="A3" s="0" t="s">
        <v>488</v>
      </c>
      <c r="B3" s="0" t="str">
        <f aca="false">MID(A3,4,7)</f>
        <v>KER</v>
      </c>
      <c r="D3" s="33" t="s">
        <v>489</v>
      </c>
      <c r="E3" s="33" t="n">
        <f aca="false">E5</f>
        <v>98.43</v>
      </c>
      <c r="F3" s="33" t="s">
        <v>490</v>
      </c>
      <c r="G3" s="31"/>
      <c r="H3" s="31" t="s">
        <v>491</v>
      </c>
      <c r="I3" s="31"/>
      <c r="J3" s="31" t="s">
        <v>492</v>
      </c>
      <c r="K3" s="31"/>
      <c r="L3" s="31" t="s">
        <v>493</v>
      </c>
      <c r="M3" s="31" t="s">
        <v>492</v>
      </c>
      <c r="N3" s="31" t="s">
        <v>492</v>
      </c>
      <c r="R3" s="0" t="s">
        <v>494</v>
      </c>
      <c r="S3" s="0" t="str">
        <f aca="false">A2</f>
        <v>AGRCOA</v>
      </c>
      <c r="T3" s="0" t="str">
        <f aca="false">LEFT(S3,3)&amp;"CO2N"&amp;VLOOKUP(MID(S3,4,7),$D$2:$F$27,3,FALSE())</f>
        <v>AGRCO2Nc</v>
      </c>
      <c r="U3" s="0" t="n">
        <f aca="false">VLOOKUP(MID(S3,4,7),$D$2:$F$27,2,FALSE())</f>
        <v>98.43</v>
      </c>
      <c r="X3" s="0" t="s">
        <v>495</v>
      </c>
      <c r="Z3" s="34" t="s">
        <v>496</v>
      </c>
      <c r="AA3" s="0" t="s">
        <v>394</v>
      </c>
      <c r="AB3" s="0" t="n">
        <v>1</v>
      </c>
      <c r="AF3" s="0" t="s">
        <v>497</v>
      </c>
      <c r="AG3" s="2" t="s">
        <v>98</v>
      </c>
      <c r="AH3" s="2" t="s">
        <v>498</v>
      </c>
    </row>
    <row r="4" customFormat="false" ht="14.25" hidden="false" customHeight="false" outlineLevel="0" collapsed="false">
      <c r="A4" s="0" t="s">
        <v>499</v>
      </c>
      <c r="B4" s="0" t="str">
        <f aca="false">MID(A4,4,7)</f>
        <v>LPG</v>
      </c>
      <c r="D4" s="33" t="s">
        <v>500</v>
      </c>
      <c r="E4" s="33" t="n">
        <f aca="false">E3</f>
        <v>98.43</v>
      </c>
      <c r="F4" s="33" t="str">
        <f aca="false">F3</f>
        <v>b</v>
      </c>
      <c r="G4" s="31" t="s">
        <v>501</v>
      </c>
      <c r="H4" s="31" t="s">
        <v>502</v>
      </c>
      <c r="I4" s="31"/>
      <c r="J4" s="31" t="s">
        <v>502</v>
      </c>
      <c r="K4" s="31"/>
      <c r="L4" s="31" t="s">
        <v>503</v>
      </c>
      <c r="M4" s="31" t="s">
        <v>503</v>
      </c>
      <c r="N4" s="31" t="s">
        <v>504</v>
      </c>
      <c r="R4" s="0" t="s">
        <v>494</v>
      </c>
      <c r="S4" s="0" t="str">
        <f aca="false">A3</f>
        <v>AGRKER</v>
      </c>
      <c r="T4" s="0" t="str">
        <f aca="false">LEFT(S4,3)&amp;"CO2N"&amp;VLOOKUP(MID(S4,4,7),$D$2:$F$27,3,FALSE())</f>
        <v>AGRCO2No</v>
      </c>
      <c r="U4" s="0" t="n">
        <f aca="false">VLOOKUP(MID(S4,4,7),$D$2:$F$27,2,FALSE())</f>
        <v>76.28</v>
      </c>
    </row>
    <row r="5" customFormat="false" ht="14.25" hidden="false" customHeight="false" outlineLevel="0" collapsed="false">
      <c r="A5" s="0" t="s">
        <v>505</v>
      </c>
      <c r="B5" s="0" t="str">
        <f aca="false">MID(A5,4,7)</f>
        <v>NGA</v>
      </c>
      <c r="D5" s="33" t="s">
        <v>506</v>
      </c>
      <c r="E5" s="33" t="n">
        <f aca="false">N30</f>
        <v>98.43</v>
      </c>
      <c r="F5" s="33" t="s">
        <v>485</v>
      </c>
      <c r="G5" s="31" t="s">
        <v>507</v>
      </c>
      <c r="H5" s="31"/>
      <c r="I5" s="31"/>
      <c r="J5" s="31"/>
      <c r="K5" s="31"/>
      <c r="L5" s="31"/>
      <c r="M5" s="31"/>
      <c r="N5" s="31"/>
      <c r="R5" s="0" t="s">
        <v>494</v>
      </c>
      <c r="S5" s="0" t="str">
        <f aca="false">A4</f>
        <v>AGRLPG</v>
      </c>
      <c r="T5" s="0" t="str">
        <f aca="false">LEFT(S5,3)&amp;"CO2N"&amp;VLOOKUP(MID(S5,4,7),$D$2:$F$27,3,FALSE())</f>
        <v>AGRCO2No</v>
      </c>
      <c r="U5" s="0" t="n">
        <f aca="false">VLOOKUP(MID(S5,4,7),$D$2:$F$27,2,FALSE())</f>
        <v>67.53</v>
      </c>
    </row>
    <row r="6" customFormat="false" ht="14.25" hidden="false" customHeight="false" outlineLevel="0" collapsed="false">
      <c r="A6" s="0" t="s">
        <v>508</v>
      </c>
      <c r="B6" s="0" t="str">
        <f aca="false">MID(A6,4,7)</f>
        <v>OIL</v>
      </c>
      <c r="D6" s="33" t="s">
        <v>509</v>
      </c>
      <c r="E6" s="33" t="n">
        <f aca="false">E5</f>
        <v>98.43</v>
      </c>
      <c r="F6" s="33" t="s">
        <v>485</v>
      </c>
      <c r="G6" s="31" t="s">
        <v>510</v>
      </c>
      <c r="H6" s="31" t="n">
        <v>12.7</v>
      </c>
      <c r="I6" s="31" t="s">
        <v>511</v>
      </c>
      <c r="J6" s="31" t="n">
        <v>5.76</v>
      </c>
      <c r="K6" s="31" t="s">
        <v>511</v>
      </c>
      <c r="L6" s="31" t="n">
        <v>139.05</v>
      </c>
      <c r="M6" s="31" t="n">
        <v>63.07</v>
      </c>
      <c r="N6" s="31" t="n">
        <v>66.54</v>
      </c>
      <c r="R6" s="0" t="s">
        <v>494</v>
      </c>
      <c r="S6" s="0" t="str">
        <f aca="false">A5</f>
        <v>AGRNGA</v>
      </c>
      <c r="T6" s="0" t="str">
        <f aca="false">LEFT(S6,3)&amp;"CO2N"&amp;VLOOKUP(MID(S6,4,7),$D$2:$F$27,3,FALSE())</f>
        <v>AGRCO2Ng</v>
      </c>
      <c r="U6" s="0" t="n">
        <f aca="false">VLOOKUP(MID(S6,4,7),$D$2:$F$27,2,FALSE())</f>
        <v>55.99</v>
      </c>
      <c r="X6" s="35" t="s">
        <v>495</v>
      </c>
      <c r="Y6" s="35"/>
      <c r="Z6" s="35" t="s">
        <v>512</v>
      </c>
      <c r="AA6" s="35" t="s">
        <v>394</v>
      </c>
      <c r="AB6" s="36" t="n">
        <v>-0.001</v>
      </c>
    </row>
    <row r="7" customFormat="false" ht="14.25" hidden="false" customHeight="false" outlineLevel="0" collapsed="false">
      <c r="A7" s="0" t="s">
        <v>513</v>
      </c>
      <c r="B7" s="0" t="str">
        <f aca="false">MID(A7,4,7)</f>
        <v>COA</v>
      </c>
      <c r="D7" s="33" t="s">
        <v>514</v>
      </c>
      <c r="E7" s="33" t="n">
        <f aca="false">N32</f>
        <v>103.08</v>
      </c>
      <c r="F7" s="33" t="s">
        <v>485</v>
      </c>
      <c r="G7" s="31" t="s">
        <v>515</v>
      </c>
      <c r="H7" s="31" t="n">
        <v>14.8</v>
      </c>
      <c r="I7" s="31" t="s">
        <v>511</v>
      </c>
      <c r="J7" s="31" t="n">
        <v>6.71</v>
      </c>
      <c r="K7" s="31" t="s">
        <v>511</v>
      </c>
      <c r="L7" s="31" t="n">
        <v>143.2</v>
      </c>
      <c r="M7" s="31" t="n">
        <v>64.95</v>
      </c>
      <c r="N7" s="31" t="n">
        <v>68.53</v>
      </c>
      <c r="R7" s="0" t="s">
        <v>494</v>
      </c>
      <c r="S7" s="0" t="str">
        <f aca="false">A6</f>
        <v>AGROIL</v>
      </c>
      <c r="T7" s="0" t="str">
        <f aca="false">LEFT(S7,3)&amp;"CO2N"&amp;VLOOKUP(MID(S7,4,7),$D$2:$F$27,3,FALSE())</f>
        <v>AGRCO2No</v>
      </c>
      <c r="U7" s="0" t="n">
        <f aca="false">VLOOKUP(MID(S7,4,7),$D$2:$F$27,2,FALSE())</f>
        <v>83.12</v>
      </c>
    </row>
    <row r="8" customFormat="false" ht="14.25" hidden="false" customHeight="false" outlineLevel="0" collapsed="false">
      <c r="A8" s="0" t="s">
        <v>516</v>
      </c>
      <c r="B8" s="0" t="str">
        <f aca="false">MID(A8,4,7)</f>
        <v>HFO</v>
      </c>
      <c r="D8" s="33" t="s">
        <v>517</v>
      </c>
      <c r="E8" s="33" t="n">
        <f aca="false">E2</f>
        <v>55.99</v>
      </c>
      <c r="F8" s="33" t="s">
        <v>485</v>
      </c>
      <c r="G8" s="31" t="s">
        <v>518</v>
      </c>
      <c r="H8" s="31" t="n">
        <v>13.7</v>
      </c>
      <c r="I8" s="31" t="s">
        <v>511</v>
      </c>
      <c r="J8" s="31" t="n">
        <v>6.21</v>
      </c>
      <c r="K8" s="31" t="s">
        <v>511</v>
      </c>
      <c r="L8" s="31" t="n">
        <v>141.12</v>
      </c>
      <c r="M8" s="31" t="n">
        <v>64.01</v>
      </c>
      <c r="N8" s="31" t="n">
        <v>67.53</v>
      </c>
      <c r="R8" s="0" t="s">
        <v>494</v>
      </c>
      <c r="S8" s="0" t="str">
        <f aca="false">A7</f>
        <v>COMCOA</v>
      </c>
      <c r="T8" s="0" t="str">
        <f aca="false">LEFT(S8,3)&amp;"CO2N"&amp;VLOOKUP(MID(S8,4,7),$D$2:$F$27,3,FALSE())</f>
        <v>COMCO2Nc</v>
      </c>
      <c r="U8" s="0" t="n">
        <f aca="false">VLOOKUP(MID(S8,4,7),$D$2:$F$27,2,FALSE())</f>
        <v>98.43</v>
      </c>
      <c r="AD8" s="2" t="s">
        <v>519</v>
      </c>
    </row>
    <row r="9" customFormat="false" ht="14.25" hidden="false" customHeight="false" outlineLevel="0" collapsed="false">
      <c r="A9" s="0" t="s">
        <v>520</v>
      </c>
      <c r="B9" s="0" t="str">
        <f aca="false">MID(A9,4,7)</f>
        <v>KER</v>
      </c>
      <c r="D9" s="33" t="s">
        <v>521</v>
      </c>
      <c r="E9" s="33" t="n">
        <f aca="false">N33</f>
        <v>120.4</v>
      </c>
      <c r="F9" s="33" t="s">
        <v>485</v>
      </c>
      <c r="G9" s="31" t="s">
        <v>522</v>
      </c>
      <c r="H9" s="31" t="n">
        <v>22.4</v>
      </c>
      <c r="I9" s="31" t="s">
        <v>511</v>
      </c>
      <c r="J9" s="31" t="n">
        <v>10.16</v>
      </c>
      <c r="K9" s="31" t="s">
        <v>511</v>
      </c>
      <c r="L9" s="31" t="n">
        <v>161.3</v>
      </c>
      <c r="M9" s="31" t="n">
        <v>73.16</v>
      </c>
      <c r="N9" s="31" t="n">
        <v>77.19</v>
      </c>
      <c r="R9" s="0" t="s">
        <v>494</v>
      </c>
      <c r="S9" s="0" t="str">
        <f aca="false">A8</f>
        <v>COMHFO</v>
      </c>
      <c r="T9" s="0" t="str">
        <f aca="false">LEFT(S9,3)&amp;"CO2N"&amp;VLOOKUP(MID(S9,4,7),$D$2:$F$27,3,FALSE())</f>
        <v>COMCO2No</v>
      </c>
      <c r="U9" s="0" t="n">
        <f aca="false">VLOOKUP(MID(S9,4,7),$D$2:$F$27,2,FALSE())</f>
        <v>83.12</v>
      </c>
      <c r="X9" s="0" t="s">
        <v>52</v>
      </c>
      <c r="AF9" s="0" t="s">
        <v>294</v>
      </c>
    </row>
    <row r="10" customFormat="false" ht="14.25" hidden="false" customHeight="false" outlineLevel="0" collapsed="false">
      <c r="A10" s="0" t="s">
        <v>523</v>
      </c>
      <c r="B10" s="0" t="str">
        <f aca="false">MID(A10,4,7)</f>
        <v>LPG</v>
      </c>
      <c r="D10" s="33" t="s">
        <v>524</v>
      </c>
      <c r="E10" s="33" t="n">
        <f aca="false">N9</f>
        <v>77.19</v>
      </c>
      <c r="F10" s="33" t="s">
        <v>525</v>
      </c>
      <c r="G10" s="31" t="s">
        <v>526</v>
      </c>
      <c r="H10" s="31" t="n">
        <v>21.5</v>
      </c>
      <c r="I10" s="31" t="s">
        <v>511</v>
      </c>
      <c r="J10" s="31" t="n">
        <v>9.75</v>
      </c>
      <c r="K10" s="31" t="s">
        <v>511</v>
      </c>
      <c r="L10" s="31" t="n">
        <v>159.4</v>
      </c>
      <c r="M10" s="31" t="n">
        <v>72.3</v>
      </c>
      <c r="N10" s="31" t="n">
        <v>76.28</v>
      </c>
      <c r="R10" s="0" t="s">
        <v>494</v>
      </c>
      <c r="S10" s="0" t="str">
        <f aca="false">A9</f>
        <v>COMKER</v>
      </c>
      <c r="T10" s="0" t="str">
        <f aca="false">LEFT(S10,3)&amp;"CO2N"&amp;VLOOKUP(MID(S10,4,7),$D$2:$F$27,3,FALSE())</f>
        <v>COMCO2No</v>
      </c>
      <c r="U10" s="0" t="n">
        <f aca="false">VLOOKUP(MID(S10,4,7),$D$2:$F$27,2,FALSE())</f>
        <v>76.28</v>
      </c>
      <c r="X10" s="0" t="s">
        <v>72</v>
      </c>
      <c r="Y10" s="0" t="s">
        <v>76</v>
      </c>
      <c r="Z10" s="0" t="s">
        <v>252</v>
      </c>
      <c r="AA10" s="0" t="s">
        <v>441</v>
      </c>
      <c r="AB10" s="0" t="s">
        <v>74</v>
      </c>
      <c r="AF10" s="0" t="s">
        <v>76</v>
      </c>
      <c r="AG10" s="2" t="s">
        <v>487</v>
      </c>
      <c r="AH10" s="2" t="s">
        <v>252</v>
      </c>
      <c r="AI10" s="2" t="s">
        <v>75</v>
      </c>
    </row>
    <row r="11" customFormat="false" ht="14.25" hidden="false" customHeight="false" outlineLevel="0" collapsed="false">
      <c r="A11" s="0" t="s">
        <v>300</v>
      </c>
      <c r="B11" s="0" t="str">
        <f aca="false">MID(A11,4,7)</f>
        <v>NGA</v>
      </c>
      <c r="D11" s="33" t="s">
        <v>527</v>
      </c>
      <c r="E11" s="33" t="n">
        <f aca="false">N6</f>
        <v>66.54</v>
      </c>
      <c r="F11" s="33" t="s">
        <v>528</v>
      </c>
      <c r="G11" s="31" t="s">
        <v>529</v>
      </c>
      <c r="H11" s="37" t="n">
        <v>4631.5</v>
      </c>
      <c r="I11" s="31" t="s">
        <v>530</v>
      </c>
      <c r="J11" s="37" t="n">
        <v>2100.82</v>
      </c>
      <c r="K11" s="31" t="s">
        <v>530</v>
      </c>
      <c r="L11" s="31" t="n">
        <v>210.2</v>
      </c>
      <c r="M11" s="31" t="n">
        <v>95.35</v>
      </c>
      <c r="N11" s="31" t="n">
        <v>100.59</v>
      </c>
      <c r="R11" s="0" t="s">
        <v>494</v>
      </c>
      <c r="S11" s="0" t="str">
        <f aca="false">A10</f>
        <v>COMLPG</v>
      </c>
      <c r="T11" s="0" t="str">
        <f aca="false">LEFT(S11,3)&amp;"CO2N"&amp;VLOOKUP(MID(S11,4,7),$D$2:$F$27,3,FALSE())</f>
        <v>COMCO2No</v>
      </c>
      <c r="U11" s="0" t="n">
        <f aca="false">VLOOKUP(MID(S11,4,7),$D$2:$F$27,2,FALSE())</f>
        <v>67.53</v>
      </c>
      <c r="X11" s="0" t="s">
        <v>531</v>
      </c>
      <c r="Y11" s="0" t="s">
        <v>532</v>
      </c>
      <c r="Z11" s="0" t="str">
        <f aca="false">"INDCO2N"&amp;VLOOKUP(MID(AA11,4,7),$D$2:$F$27,3,FALSE())</f>
        <v>INDCO2No</v>
      </c>
      <c r="AA11" s="0" t="s">
        <v>260</v>
      </c>
      <c r="AB11" s="0" t="n">
        <f aca="false">VLOOKUP(MID(AA11,4,7),$D$2:$F$27,2,FALSE())*AD11</f>
        <v>15.362</v>
      </c>
      <c r="AD11" s="38" t="n">
        <v>0.2</v>
      </c>
      <c r="AF11" s="0" t="str">
        <f aca="false">Y11</f>
        <v>ICH_feedstock</v>
      </c>
      <c r="AG11" s="2" t="s">
        <v>145</v>
      </c>
      <c r="AH11" s="0" t="str">
        <f aca="false">Z11</f>
        <v>INDCO2No</v>
      </c>
      <c r="AI11" s="0" t="str">
        <f aca="false">AA11</f>
        <v>OILNAP</v>
      </c>
    </row>
    <row r="12" customFormat="false" ht="14.25" hidden="false" customHeight="false" outlineLevel="0" collapsed="false">
      <c r="A12" s="0" t="s">
        <v>533</v>
      </c>
      <c r="B12" s="0" t="str">
        <f aca="false">MID(A12,4,7)</f>
        <v>OIL</v>
      </c>
      <c r="D12" s="33" t="s">
        <v>534</v>
      </c>
      <c r="E12" s="33" t="n">
        <f aca="false">N12</f>
        <v>55.99</v>
      </c>
      <c r="F12" s="33" t="s">
        <v>528</v>
      </c>
      <c r="G12" s="31" t="s">
        <v>535</v>
      </c>
      <c r="H12" s="31" t="n">
        <v>117.1</v>
      </c>
      <c r="I12" s="31" t="s">
        <v>536</v>
      </c>
      <c r="J12" s="31" t="n">
        <v>53.12</v>
      </c>
      <c r="K12" s="31" t="s">
        <v>536</v>
      </c>
      <c r="L12" s="31" t="n">
        <v>117</v>
      </c>
      <c r="M12" s="31" t="n">
        <v>53.07</v>
      </c>
      <c r="N12" s="31" t="n">
        <v>55.99</v>
      </c>
      <c r="R12" s="0" t="s">
        <v>494</v>
      </c>
      <c r="S12" s="0" t="str">
        <f aca="false">A11</f>
        <v>COMNGA</v>
      </c>
      <c r="T12" s="0" t="str">
        <f aca="false">LEFT(S12,3)&amp;"CO2N"&amp;VLOOKUP(MID(S12,4,7),$D$2:$F$27,3,FALSE())</f>
        <v>COMCO2Ng</v>
      </c>
      <c r="U12" s="0" t="n">
        <f aca="false">VLOOKUP(MID(S12,4,7),$D$2:$F$27,2,FALSE())</f>
        <v>55.99</v>
      </c>
      <c r="X12" s="0" t="s">
        <v>531</v>
      </c>
      <c r="Y12" s="0" t="s">
        <v>532</v>
      </c>
      <c r="Z12" s="0" t="str">
        <f aca="false">"INDCO2N"&amp;VLOOKUP(MID(AA12,4,7),$D$2:$F$27,3,FALSE())</f>
        <v>INDCO2No</v>
      </c>
      <c r="AA12" s="0" t="s">
        <v>87</v>
      </c>
      <c r="AB12" s="0" t="n">
        <f aca="false">VLOOKUP(MID(AA12,4,7),$D$2:$F$27,2,FALSE())*AD12</f>
        <v>13.506</v>
      </c>
      <c r="AD12" s="38" t="n">
        <v>0.2</v>
      </c>
      <c r="AF12" s="0" t="str">
        <f aca="false">Y12</f>
        <v>ICH_feedstock</v>
      </c>
      <c r="AG12" s="2" t="s">
        <v>145</v>
      </c>
      <c r="AH12" s="0" t="str">
        <f aca="false">Z12</f>
        <v>INDCO2No</v>
      </c>
      <c r="AI12" s="0" t="str">
        <f aca="false">AA12</f>
        <v>OILLPG</v>
      </c>
    </row>
    <row r="13" customFormat="false" ht="14.25" hidden="false" customHeight="false" outlineLevel="0" collapsed="false">
      <c r="A13" s="0" t="s">
        <v>537</v>
      </c>
      <c r="B13" s="0" t="str">
        <f aca="false">MID(A13,4,7)</f>
        <v>COA</v>
      </c>
      <c r="D13" s="33" t="s">
        <v>538</v>
      </c>
      <c r="E13" s="33" t="n">
        <f aca="false">N13</f>
        <v>75.22</v>
      </c>
      <c r="F13" s="33" t="s">
        <v>525</v>
      </c>
      <c r="G13" s="31" t="s">
        <v>539</v>
      </c>
      <c r="H13" s="31" t="n">
        <v>19.6</v>
      </c>
      <c r="I13" s="31" t="s">
        <v>511</v>
      </c>
      <c r="J13" s="31" t="n">
        <v>8.89</v>
      </c>
      <c r="K13" s="31" t="s">
        <v>511</v>
      </c>
      <c r="L13" s="31" t="n">
        <v>157.2</v>
      </c>
      <c r="M13" s="31" t="n">
        <v>71.3</v>
      </c>
      <c r="N13" s="31" t="n">
        <v>75.22</v>
      </c>
      <c r="R13" s="0" t="s">
        <v>494</v>
      </c>
      <c r="S13" s="0" t="str">
        <f aca="false">A12</f>
        <v>COMOIL</v>
      </c>
      <c r="T13" s="0" t="str">
        <f aca="false">LEFT(S13,3)&amp;"CO2N"&amp;VLOOKUP(MID(S13,4,7),$D$2:$F$27,3,FALSE())</f>
        <v>COMCO2No</v>
      </c>
      <c r="U13" s="0" t="n">
        <f aca="false">VLOOKUP(MID(S13,4,7),$D$2:$F$27,2,FALSE())</f>
        <v>83.12</v>
      </c>
      <c r="X13" s="0" t="s">
        <v>531</v>
      </c>
      <c r="Y13" s="0" t="s">
        <v>532</v>
      </c>
      <c r="Z13" s="0" t="str">
        <f aca="false">"INDCO2N"&amp;VLOOKUP(MID(AA13,1,3),$D$2:$F$27,3,FALSE())</f>
        <v>INDCO2Ng</v>
      </c>
      <c r="AA13" s="0" t="s">
        <v>101</v>
      </c>
      <c r="AB13" s="0" t="n">
        <f aca="false">VLOOKUP(MID(AA13,4,7),$D$2:$F$27,2,FALSE())*AD13</f>
        <v>4.4792</v>
      </c>
      <c r="AD13" s="38" t="n">
        <v>0.08</v>
      </c>
      <c r="AF13" s="0" t="str">
        <f aca="false">Y13</f>
        <v>ICH_feedstock</v>
      </c>
      <c r="AG13" s="2" t="s">
        <v>145</v>
      </c>
      <c r="AH13" s="0" t="str">
        <f aca="false">Z13</f>
        <v>INDCO2Ng</v>
      </c>
      <c r="AI13" s="0" t="str">
        <f aca="false">AA13</f>
        <v>GASNGA</v>
      </c>
    </row>
    <row r="14" customFormat="false" ht="14.25" hidden="false" customHeight="false" outlineLevel="0" collapsed="false">
      <c r="A14" s="0" t="s">
        <v>540</v>
      </c>
      <c r="B14" s="0" t="str">
        <f aca="false">MID(A14,4,7)</f>
        <v>CoaG</v>
      </c>
      <c r="D14" s="33" t="s">
        <v>541</v>
      </c>
      <c r="E14" s="33" t="n">
        <f aca="false">N26</f>
        <v>76.81</v>
      </c>
      <c r="F14" s="33" t="s">
        <v>525</v>
      </c>
      <c r="G14" s="31" t="s">
        <v>542</v>
      </c>
      <c r="H14" s="31" t="n">
        <v>26</v>
      </c>
      <c r="I14" s="31" t="s">
        <v>511</v>
      </c>
      <c r="J14" s="31" t="n">
        <v>11.79</v>
      </c>
      <c r="K14" s="31" t="s">
        <v>511</v>
      </c>
      <c r="L14" s="31" t="n">
        <v>173.7</v>
      </c>
      <c r="M14" s="31" t="n">
        <v>78.79</v>
      </c>
      <c r="N14" s="31" t="n">
        <v>83.12</v>
      </c>
      <c r="R14" s="0" t="s">
        <v>494</v>
      </c>
      <c r="S14" s="0" t="str">
        <f aca="false">A13</f>
        <v>ELCCOA</v>
      </c>
      <c r="T14" s="0" t="str">
        <f aca="false">LEFT(S14,3)&amp;"CO2N"&amp;VLOOKUP(MID(S14,4,7),$D$2:$F$27,3,FALSE())</f>
        <v>ELCCO2Nc</v>
      </c>
      <c r="U14" s="0" t="n">
        <f aca="false">VLOOKUP(MID(S14,4,7),$D$2:$F$27,2,FALSE())</f>
        <v>98.43</v>
      </c>
      <c r="X14" s="0" t="s">
        <v>531</v>
      </c>
      <c r="Y14" s="0" t="s">
        <v>532</v>
      </c>
      <c r="Z14" s="0" t="str">
        <f aca="false">"INDCO2N"&amp;VLOOKUP(MID(AA14,1,3),$D$2:$F$27,3,FALSE())</f>
        <v>INDCO2Ng</v>
      </c>
      <c r="AA14" s="0" t="s">
        <v>543</v>
      </c>
      <c r="AB14" s="0" t="n">
        <f aca="false">VLOOKUP(MID(AA14,4,7),$D$2:$F$27,2,FALSE())*AD14</f>
        <v>5.3232</v>
      </c>
      <c r="AD14" s="38" t="n">
        <v>0.08</v>
      </c>
      <c r="AF14" s="0" t="str">
        <f aca="false">Y14</f>
        <v>ICH_feedstock</v>
      </c>
      <c r="AG14" s="2" t="s">
        <v>145</v>
      </c>
      <c r="AH14" s="0" t="str">
        <f aca="false">Z14</f>
        <v>INDCO2Ng</v>
      </c>
      <c r="AI14" s="0" t="str">
        <f aca="false">AA14</f>
        <v>GASETH</v>
      </c>
    </row>
    <row r="15" customFormat="false" ht="14.25" hidden="false" customHeight="false" outlineLevel="0" collapsed="false">
      <c r="A15" s="0" t="s">
        <v>544</v>
      </c>
      <c r="B15" s="0" t="str">
        <f aca="false">MID(A15,4,7)</f>
        <v>COB</v>
      </c>
      <c r="D15" s="33" t="s">
        <v>545</v>
      </c>
      <c r="E15" s="33" t="n">
        <f aca="false">N14</f>
        <v>83.12</v>
      </c>
      <c r="F15" s="33" t="s">
        <v>525</v>
      </c>
      <c r="G15" s="31" t="s">
        <v>546</v>
      </c>
      <c r="H15" s="31"/>
      <c r="I15" s="31"/>
      <c r="J15" s="31"/>
      <c r="K15" s="31"/>
      <c r="L15" s="31"/>
      <c r="M15" s="31"/>
      <c r="N15" s="31" t="n">
        <v>0</v>
      </c>
      <c r="R15" s="0" t="s">
        <v>494</v>
      </c>
      <c r="S15" s="0" t="str">
        <f aca="false">A14</f>
        <v>ELCCoaG</v>
      </c>
      <c r="T15" s="0" t="str">
        <f aca="false">LEFT(S15,3)&amp;"CO2N"&amp;VLOOKUP(MID(S15,4,7),$D$2:$F$27,3,FALSE())</f>
        <v>ELCCO2Nc</v>
      </c>
      <c r="U15" s="0" t="n">
        <f aca="false">VLOOKUP(MID(S15,4,7),$D$2:$F$27,2,FALSE())</f>
        <v>98.43</v>
      </c>
    </row>
    <row r="16" customFormat="false" ht="14.25" hidden="false" customHeight="false" outlineLevel="0" collapsed="false">
      <c r="A16" s="0" t="s">
        <v>547</v>
      </c>
      <c r="B16" s="0" t="str">
        <f aca="false">MID(A16,4,7)</f>
        <v>GAS</v>
      </c>
      <c r="D16" s="33" t="s">
        <v>548</v>
      </c>
      <c r="E16" s="33" t="n">
        <f aca="false">N16</f>
        <v>74.8</v>
      </c>
      <c r="F16" s="33" t="s">
        <v>525</v>
      </c>
      <c r="G16" s="31" t="s">
        <v>549</v>
      </c>
      <c r="H16" s="31" t="n">
        <v>21.1</v>
      </c>
      <c r="I16" s="31" t="s">
        <v>511</v>
      </c>
      <c r="J16" s="31" t="n">
        <v>9.57</v>
      </c>
      <c r="K16" s="31" t="s">
        <v>511</v>
      </c>
      <c r="L16" s="31" t="n">
        <v>156.3</v>
      </c>
      <c r="M16" s="31" t="n">
        <v>70.9</v>
      </c>
      <c r="N16" s="31" t="n">
        <v>74.8</v>
      </c>
      <c r="R16" s="0" t="s">
        <v>494</v>
      </c>
      <c r="S16" s="0" t="str">
        <f aca="false">A15</f>
        <v>ELCCOB</v>
      </c>
      <c r="T16" s="0" t="str">
        <f aca="false">LEFT(S16,3)&amp;"CO2N"&amp;VLOOKUP(MID(S16,4,7),$D$2:$F$27,3,FALSE())</f>
        <v>ELCCO2Nc</v>
      </c>
      <c r="U16" s="0" t="n">
        <f aca="false">VLOOKUP(MID(S16,4,7),$D$2:$F$27,2,FALSE())</f>
        <v>103.08</v>
      </c>
    </row>
    <row r="17" customFormat="false" ht="14.25" hidden="false" customHeight="false" outlineLevel="0" collapsed="false">
      <c r="A17" s="0" t="s">
        <v>312</v>
      </c>
      <c r="B17" s="0" t="str">
        <f aca="false">MID(A17,4,7)</f>
        <v>NGA</v>
      </c>
      <c r="D17" s="33" t="s">
        <v>550</v>
      </c>
      <c r="E17" s="33" t="n">
        <f aca="false">N10</f>
        <v>76.28</v>
      </c>
      <c r="F17" s="33" t="s">
        <v>525</v>
      </c>
      <c r="G17" s="31" t="s">
        <v>551</v>
      </c>
      <c r="H17" s="31" t="n">
        <v>18.4</v>
      </c>
      <c r="I17" s="31" t="s">
        <v>511</v>
      </c>
      <c r="J17" s="31" t="n">
        <v>8.35</v>
      </c>
      <c r="K17" s="31" t="s">
        <v>511</v>
      </c>
      <c r="L17" s="31" t="n">
        <v>152.6</v>
      </c>
      <c r="M17" s="31" t="n">
        <v>69.2</v>
      </c>
      <c r="N17" s="31" t="n">
        <v>73.01</v>
      </c>
      <c r="R17" s="0" t="s">
        <v>494</v>
      </c>
      <c r="S17" s="0" t="str">
        <f aca="false">A16</f>
        <v>ELCGAS</v>
      </c>
      <c r="T17" s="0" t="str">
        <f aca="false">LEFT(S17,3)&amp;"CO2N"&amp;VLOOKUP(MID(S17,4,7),$D$2:$F$27,3,FALSE())</f>
        <v>ELCCO2Ng</v>
      </c>
      <c r="U17" s="0" t="n">
        <f aca="false">VLOOKUP(MID(S17,4,7),$D$2:$F$27,2,FALSE())</f>
        <v>55.99</v>
      </c>
    </row>
    <row r="18" customFormat="false" ht="14.25" hidden="false" customHeight="false" outlineLevel="0" collapsed="false">
      <c r="A18" s="0" t="s">
        <v>552</v>
      </c>
      <c r="B18" s="0" t="str">
        <f aca="false">MID(A18,4,7)</f>
        <v>OIL</v>
      </c>
      <c r="D18" s="33" t="s">
        <v>553</v>
      </c>
      <c r="E18" s="33" t="n">
        <f aca="false">N8</f>
        <v>67.53</v>
      </c>
      <c r="F18" s="33" t="s">
        <v>525</v>
      </c>
      <c r="G18" s="31" t="s">
        <v>554</v>
      </c>
      <c r="H18" s="31"/>
      <c r="I18" s="31"/>
      <c r="J18" s="31"/>
      <c r="K18" s="31"/>
      <c r="L18" s="31"/>
      <c r="M18" s="31"/>
      <c r="N18" s="31" t="n">
        <v>0</v>
      </c>
      <c r="R18" s="0" t="s">
        <v>494</v>
      </c>
      <c r="S18" s="0" t="str">
        <f aca="false">A17</f>
        <v>ELCNGA</v>
      </c>
      <c r="T18" s="0" t="str">
        <f aca="false">LEFT(S18,3)&amp;"CO2N"&amp;VLOOKUP(MID(S18,4,7),$D$2:$F$27,3,FALSE())</f>
        <v>ELCCO2Ng</v>
      </c>
      <c r="U18" s="0" t="n">
        <f aca="false">VLOOKUP(MID(S18,4,7),$D$2:$F$27,2,FALSE())</f>
        <v>55.99</v>
      </c>
      <c r="X18" s="0" t="s">
        <v>52</v>
      </c>
    </row>
    <row r="19" customFormat="false" ht="14.25" hidden="false" customHeight="false" outlineLevel="0" collapsed="false">
      <c r="A19" s="0" t="s">
        <v>555</v>
      </c>
      <c r="B19" s="0" t="str">
        <f aca="false">MID(A19,4,7)</f>
        <v>OIL_CRD</v>
      </c>
      <c r="D19" s="33" t="s">
        <v>556</v>
      </c>
      <c r="E19" s="33" t="n">
        <f aca="false">N12</f>
        <v>55.99</v>
      </c>
      <c r="F19" s="33" t="s">
        <v>528</v>
      </c>
      <c r="G19" s="31" t="s">
        <v>557</v>
      </c>
      <c r="H19" s="31" t="n">
        <v>120.7</v>
      </c>
      <c r="I19" s="31" t="s">
        <v>536</v>
      </c>
      <c r="J19" s="31" t="n">
        <v>54.75</v>
      </c>
      <c r="K19" s="31" t="s">
        <v>536</v>
      </c>
      <c r="L19" s="31" t="n">
        <v>120.6</v>
      </c>
      <c r="M19" s="31" t="n">
        <v>54.7</v>
      </c>
      <c r="N19" s="31" t="n">
        <v>57.71</v>
      </c>
      <c r="R19" s="0" t="s">
        <v>494</v>
      </c>
      <c r="S19" s="0" t="str">
        <f aca="false">A18</f>
        <v>ELCOIL</v>
      </c>
      <c r="T19" s="0" t="str">
        <f aca="false">LEFT(S19,3)&amp;"CO2N"&amp;VLOOKUP(MID(S19,4,7),$D$2:$F$27,3,FALSE())</f>
        <v>ELCCO2No</v>
      </c>
      <c r="U19" s="0" t="n">
        <f aca="false">VLOOKUP(MID(S19,4,7),$D$2:$F$27,2,FALSE())</f>
        <v>83.12</v>
      </c>
      <c r="X19" s="0" t="s">
        <v>72</v>
      </c>
      <c r="Y19" s="0" t="s">
        <v>75</v>
      </c>
      <c r="Z19" s="0" t="s">
        <v>252</v>
      </c>
      <c r="AA19" s="0" t="s">
        <v>441</v>
      </c>
      <c r="AB19" s="0" t="s">
        <v>74</v>
      </c>
      <c r="AC19" s="2" t="s">
        <v>76</v>
      </c>
    </row>
    <row r="20" customFormat="false" ht="14.25" hidden="false" customHeight="false" outlineLevel="0" collapsed="false">
      <c r="A20" s="0" t="s">
        <v>558</v>
      </c>
      <c r="B20" s="0" t="str">
        <f aca="false">MID(A20,4,7)</f>
        <v>OIL_DST</v>
      </c>
      <c r="D20" s="33" t="s">
        <v>559</v>
      </c>
      <c r="E20" s="33" t="n">
        <f aca="false">N14</f>
        <v>83.12</v>
      </c>
      <c r="F20" s="33" t="s">
        <v>525</v>
      </c>
      <c r="G20" s="31" t="s">
        <v>560</v>
      </c>
      <c r="H20" s="31" t="n">
        <v>32.4</v>
      </c>
      <c r="I20" s="31" t="s">
        <v>511</v>
      </c>
      <c r="J20" s="31" t="n">
        <v>14.7</v>
      </c>
      <c r="K20" s="31" t="s">
        <v>511</v>
      </c>
      <c r="L20" s="31" t="n">
        <v>225.1</v>
      </c>
      <c r="M20" s="31" t="n">
        <v>102.1</v>
      </c>
      <c r="N20" s="31" t="n">
        <v>107.72</v>
      </c>
      <c r="R20" s="0" t="s">
        <v>494</v>
      </c>
      <c r="S20" s="0" t="str">
        <f aca="false">A19</f>
        <v>ELCOIL_CRD</v>
      </c>
      <c r="T20" s="0" t="str">
        <f aca="false">LEFT(S20,3)&amp;"CO2N"&amp;VLOOKUP(MID(S20,4,7),$D$2:$F$27,3,FALSE())</f>
        <v>ELCCO2No</v>
      </c>
      <c r="U20" s="0" t="n">
        <f aca="false">VLOOKUP(MID(S20,4,7),$D$2:$F$27,2,FALSE())</f>
        <v>83.12</v>
      </c>
      <c r="X20" s="0" t="s">
        <v>531</v>
      </c>
      <c r="Y20" s="0" t="s">
        <v>561</v>
      </c>
      <c r="Z20" s="0" t="s">
        <v>562</v>
      </c>
      <c r="AA20" s="0" t="s">
        <v>561</v>
      </c>
      <c r="AB20" s="0" t="n">
        <f aca="false">VLOOKUP(MID(AA20,1,3),$D$2:$F$27,2,FALSE())</f>
        <v>98.43</v>
      </c>
      <c r="AC20" s="2" t="s">
        <v>126</v>
      </c>
    </row>
    <row r="21" customFormat="false" ht="14.25" hidden="false" customHeight="false" outlineLevel="0" collapsed="false">
      <c r="A21" s="0" t="s">
        <v>563</v>
      </c>
      <c r="B21" s="0" t="str">
        <f aca="false">MID(A21,4,7)</f>
        <v>WAS</v>
      </c>
      <c r="D21" s="33" t="s">
        <v>564</v>
      </c>
      <c r="E21" s="33" t="n">
        <f aca="false">N14</f>
        <v>83.12</v>
      </c>
      <c r="F21" s="33" t="s">
        <v>525</v>
      </c>
      <c r="G21" s="31" t="s">
        <v>565</v>
      </c>
      <c r="H21" s="31" t="n">
        <v>22.09</v>
      </c>
      <c r="I21" s="31" t="s">
        <v>511</v>
      </c>
      <c r="J21" s="31" t="n">
        <v>10.02</v>
      </c>
      <c r="K21" s="31" t="s">
        <v>511</v>
      </c>
      <c r="L21" s="31" t="n">
        <v>160.1</v>
      </c>
      <c r="M21" s="31" t="n">
        <v>72.62</v>
      </c>
      <c r="N21" s="31" t="n">
        <v>76.61</v>
      </c>
      <c r="R21" s="0" t="s">
        <v>494</v>
      </c>
      <c r="S21" s="0" t="str">
        <f aca="false">A20</f>
        <v>ELCOIL_DST</v>
      </c>
      <c r="T21" s="0" t="str">
        <f aca="false">LEFT(S21,3)&amp;"CO2N"&amp;VLOOKUP(MID(S21,4,7),$D$2:$F$27,3,FALSE())</f>
        <v>ELCCO2No</v>
      </c>
      <c r="U21" s="0" t="n">
        <f aca="false">VLOOKUP(MID(S21,4,7),$D$2:$F$27,2,FALSE())</f>
        <v>77.19</v>
      </c>
      <c r="X21" s="0" t="s">
        <v>531</v>
      </c>
      <c r="Y21" s="0" t="s">
        <v>566</v>
      </c>
      <c r="Z21" s="0" t="s">
        <v>567</v>
      </c>
      <c r="AA21" s="0" t="s">
        <v>566</v>
      </c>
      <c r="AB21" s="0" t="n">
        <f aca="false">VLOOKUP(MID(AA21,1,3),$D$2:$F$27,2,FALSE())</f>
        <v>98.43</v>
      </c>
      <c r="AC21" s="2" t="s">
        <v>126</v>
      </c>
    </row>
    <row r="22" customFormat="false" ht="14.25" hidden="false" customHeight="false" outlineLevel="0" collapsed="false">
      <c r="A22" s="0" t="s">
        <v>568</v>
      </c>
      <c r="B22" s="0" t="str">
        <f aca="false">MID(A22,4,7)</f>
        <v>BFG</v>
      </c>
      <c r="D22" s="33" t="s">
        <v>569</v>
      </c>
      <c r="E22" s="33" t="n">
        <f aca="false">E10</f>
        <v>77.19</v>
      </c>
      <c r="F22" s="33" t="s">
        <v>525</v>
      </c>
      <c r="G22" s="31" t="s">
        <v>570</v>
      </c>
      <c r="H22" s="31"/>
      <c r="I22" s="31"/>
      <c r="J22" s="31"/>
      <c r="K22" s="31"/>
      <c r="L22" s="31"/>
      <c r="M22" s="31"/>
      <c r="N22" s="31" t="n">
        <v>0</v>
      </c>
      <c r="R22" s="0" t="s">
        <v>494</v>
      </c>
      <c r="S22" s="0" t="str">
        <f aca="false">A21</f>
        <v>ELCWAS</v>
      </c>
      <c r="T22" s="0" t="str">
        <f aca="false">LEFT(S22,3)&amp;"CO2N"&amp;VLOOKUP(MID(S22,4,7),$D$2:$F$27,3,FALSE())</f>
        <v>ELCCO2Nw</v>
      </c>
      <c r="U22" s="0" t="n">
        <f aca="false">VLOOKUP(MID(S22,4,7),$D$2:$F$27,2,FALSE())</f>
        <v>43.98</v>
      </c>
      <c r="X22" s="0" t="s">
        <v>531</v>
      </c>
      <c r="Y22" s="0" t="s">
        <v>101</v>
      </c>
      <c r="Z22" s="0" t="s">
        <v>571</v>
      </c>
      <c r="AA22" s="0" t="s">
        <v>101</v>
      </c>
      <c r="AB22" s="0" t="n">
        <f aca="false">VLOOKUP(MID(AA22,1,3),$D$2:$F$27,2,FALSE())</f>
        <v>55.99</v>
      </c>
      <c r="AC22" s="2" t="s">
        <v>126</v>
      </c>
    </row>
    <row r="23" customFormat="false" ht="14.25" hidden="false" customHeight="false" outlineLevel="0" collapsed="false">
      <c r="A23" s="0" t="s">
        <v>572</v>
      </c>
      <c r="B23" s="0" t="str">
        <f aca="false">MID(A23,4,7)</f>
        <v>BSL</v>
      </c>
      <c r="D23" s="33" t="s">
        <v>573</v>
      </c>
      <c r="E23" s="33" t="n">
        <f aca="false">N33</f>
        <v>120.4</v>
      </c>
      <c r="F23" s="33" t="s">
        <v>485</v>
      </c>
      <c r="G23" s="31" t="s">
        <v>574</v>
      </c>
      <c r="H23" s="31" t="n">
        <v>26.34</v>
      </c>
      <c r="I23" s="31" t="s">
        <v>511</v>
      </c>
      <c r="J23" s="31" t="n">
        <v>11.95</v>
      </c>
      <c r="K23" s="31" t="s">
        <v>511</v>
      </c>
      <c r="L23" s="31" t="n">
        <v>166.7</v>
      </c>
      <c r="M23" s="31" t="n">
        <v>75.61</v>
      </c>
      <c r="N23" s="31" t="n">
        <v>79.77</v>
      </c>
      <c r="R23" s="0" t="s">
        <v>494</v>
      </c>
      <c r="S23" s="0" t="str">
        <f aca="false">A22</f>
        <v>INDBFG</v>
      </c>
      <c r="T23" s="0" t="str">
        <f aca="false">LEFT(S23,3)&amp;"CO2N"&amp;VLOOKUP(MID(S23,4,7),$D$2:$F$27,3,FALSE())</f>
        <v>INDCO2Nc</v>
      </c>
      <c r="U23" s="0" t="n">
        <f aca="false">VLOOKUP(MID(S23,4,7),$D$2:$F$27,2,FALSE())</f>
        <v>55.99</v>
      </c>
      <c r="X23" s="34" t="s">
        <v>575</v>
      </c>
      <c r="Y23" s="0" t="s">
        <v>576</v>
      </c>
      <c r="Z23" s="0" t="s">
        <v>577</v>
      </c>
      <c r="AA23" s="0" t="s">
        <v>576</v>
      </c>
      <c r="AB23" s="0" t="n">
        <v>1</v>
      </c>
      <c r="AC23" s="2" t="s">
        <v>578</v>
      </c>
    </row>
    <row r="24" customFormat="false" ht="14.25" hidden="false" customHeight="false" outlineLevel="0" collapsed="false">
      <c r="A24" s="0" t="s">
        <v>579</v>
      </c>
      <c r="B24" s="0" t="str">
        <f aca="false">MID(A24,4,7)</f>
        <v>COA</v>
      </c>
      <c r="D24" s="33" t="s">
        <v>580</v>
      </c>
      <c r="E24" s="33" t="n">
        <f aca="false">N20</f>
        <v>107.72</v>
      </c>
      <c r="F24" s="33" t="s">
        <v>525</v>
      </c>
      <c r="G24" s="31" t="s">
        <v>581</v>
      </c>
      <c r="H24" s="31" t="n">
        <v>23.62</v>
      </c>
      <c r="I24" s="31" t="s">
        <v>511</v>
      </c>
      <c r="J24" s="31" t="n">
        <v>10.72</v>
      </c>
      <c r="K24" s="31" t="s">
        <v>511</v>
      </c>
      <c r="L24" s="31" t="n">
        <v>163.6</v>
      </c>
      <c r="M24" s="31" t="n">
        <v>74.21</v>
      </c>
      <c r="N24" s="31" t="n">
        <v>78.29</v>
      </c>
      <c r="R24" s="0" t="s">
        <v>494</v>
      </c>
      <c r="S24" s="0" t="str">
        <f aca="false">A23</f>
        <v>ELCBSL</v>
      </c>
      <c r="T24" s="0" t="str">
        <f aca="false">LEFT(S24,3)&amp;"CO2N"&amp;VLOOKUP(MID(S24,4,7),$D$2:$F$27,3,FALSE())</f>
        <v>ELCCO2Nb</v>
      </c>
      <c r="U24" s="0" t="n">
        <f aca="false">VLOOKUP(MID(S24,4,7),$D$2:$F$27,2,FALSE())</f>
        <v>98.43</v>
      </c>
    </row>
    <row r="25" customFormat="false" ht="14.25" hidden="false" customHeight="false" outlineLevel="0" collapsed="false">
      <c r="A25" s="0" t="s">
        <v>582</v>
      </c>
      <c r="B25" s="0" t="str">
        <f aca="false">MID(A25,4,7)</f>
        <v>COG</v>
      </c>
      <c r="D25" s="33" t="s">
        <v>583</v>
      </c>
      <c r="E25" s="33" t="n">
        <f aca="false">E2</f>
        <v>55.99</v>
      </c>
      <c r="F25" s="33" t="s">
        <v>525</v>
      </c>
      <c r="G25" s="31" t="s">
        <v>584</v>
      </c>
      <c r="H25" s="31" t="n">
        <v>24.74</v>
      </c>
      <c r="I25" s="31" t="s">
        <v>511</v>
      </c>
      <c r="J25" s="31" t="n">
        <v>11.22</v>
      </c>
      <c r="K25" s="31" t="s">
        <v>511</v>
      </c>
      <c r="L25" s="31" t="n">
        <v>156.6</v>
      </c>
      <c r="M25" s="31" t="n">
        <v>71.03</v>
      </c>
      <c r="N25" s="31" t="n">
        <v>74.94</v>
      </c>
      <c r="R25" s="0" t="s">
        <v>494</v>
      </c>
      <c r="S25" s="0" t="str">
        <f aca="false">A24</f>
        <v>INDCOA</v>
      </c>
      <c r="T25" s="0" t="str">
        <f aca="false">LEFT(S25,3)&amp;"CO2N"&amp;VLOOKUP(MID(S25,4,7),$D$2:$F$27,3,FALSE())</f>
        <v>INDCO2Nc</v>
      </c>
      <c r="U25" s="0" t="n">
        <f aca="false">VLOOKUP(MID(S25,4,7),$D$2:$F$27,2,FALSE())</f>
        <v>98.43</v>
      </c>
    </row>
    <row r="26" customFormat="false" ht="14.25" hidden="false" customHeight="false" outlineLevel="0" collapsed="false">
      <c r="A26" s="0" t="s">
        <v>585</v>
      </c>
      <c r="B26" s="0" t="str">
        <f aca="false">MID(A26,4,7)</f>
        <v>COK</v>
      </c>
      <c r="D26" s="33" t="s">
        <v>586</v>
      </c>
      <c r="E26" s="33" t="n">
        <f aca="false">N9</f>
        <v>77.19</v>
      </c>
      <c r="F26" s="33" t="s">
        <v>525</v>
      </c>
      <c r="G26" s="31" t="s">
        <v>587</v>
      </c>
      <c r="H26" s="31" t="n">
        <v>20.05</v>
      </c>
      <c r="I26" s="31" t="s">
        <v>511</v>
      </c>
      <c r="J26" s="31" t="n">
        <v>9.1</v>
      </c>
      <c r="K26" s="31" t="s">
        <v>511</v>
      </c>
      <c r="L26" s="31" t="n">
        <v>160.5</v>
      </c>
      <c r="M26" s="31" t="n">
        <v>72.8</v>
      </c>
      <c r="N26" s="31" t="n">
        <v>76.81</v>
      </c>
      <c r="R26" s="0" t="s">
        <v>494</v>
      </c>
      <c r="S26" s="0" t="str">
        <f aca="false">A25</f>
        <v>INDCOG</v>
      </c>
      <c r="T26" s="0" t="str">
        <f aca="false">LEFT(S26,3)&amp;"CO2N"&amp;VLOOKUP(MID(S26,4,7),$D$2:$F$27,3,FALSE())</f>
        <v>INDCO2Nc</v>
      </c>
      <c r="U26" s="0" t="n">
        <f aca="false">VLOOKUP(MID(S26,4,7),$D$2:$F$27,2,FALSE())</f>
        <v>55.99</v>
      </c>
    </row>
    <row r="27" customFormat="false" ht="14.25" hidden="false" customHeight="false" outlineLevel="0" collapsed="false">
      <c r="A27" s="0" t="s">
        <v>588</v>
      </c>
      <c r="B27" s="0" t="str">
        <f aca="false">MID(A27,4,7)</f>
        <v>HFO</v>
      </c>
      <c r="D27" s="33" t="s">
        <v>589</v>
      </c>
      <c r="E27" s="33" t="n">
        <f aca="false">N36</f>
        <v>43.98</v>
      </c>
      <c r="F27" s="33" t="s">
        <v>590</v>
      </c>
      <c r="G27" s="31" t="s">
        <v>591</v>
      </c>
      <c r="H27" s="31" t="n">
        <v>21.11</v>
      </c>
      <c r="I27" s="31" t="s">
        <v>511</v>
      </c>
      <c r="J27" s="31" t="n">
        <v>9.57</v>
      </c>
      <c r="K27" s="31" t="s">
        <v>511</v>
      </c>
      <c r="L27" s="31" t="n">
        <v>160.1</v>
      </c>
      <c r="M27" s="31" t="n">
        <v>72.62</v>
      </c>
      <c r="N27" s="31" t="n">
        <v>76.61</v>
      </c>
      <c r="R27" s="0" t="s">
        <v>494</v>
      </c>
      <c r="S27" s="0" t="str">
        <f aca="false">A26</f>
        <v>INDCOK</v>
      </c>
      <c r="T27" s="0" t="str">
        <f aca="false">LEFT(S27,3)&amp;"CO2N"&amp;VLOOKUP(MID(S27,4,7),$D$2:$F$27,3,FALSE())</f>
        <v>INDCO2Nc</v>
      </c>
      <c r="U27" s="0" t="n">
        <f aca="false">VLOOKUP(MID(S27,4,7),$D$2:$F$27,2,FALSE())</f>
        <v>120.4</v>
      </c>
      <c r="X27" s="0" t="s">
        <v>52</v>
      </c>
    </row>
    <row r="28" customFormat="false" ht="14.25" hidden="false" customHeight="false" outlineLevel="0" collapsed="false">
      <c r="A28" s="0" t="s">
        <v>592</v>
      </c>
      <c r="B28" s="0" t="str">
        <f aca="false">MID(A28,4,7)</f>
        <v>LPG</v>
      </c>
      <c r="G28" s="31" t="s">
        <v>593</v>
      </c>
      <c r="H28" s="31"/>
      <c r="I28" s="31"/>
      <c r="J28" s="31"/>
      <c r="K28" s="31"/>
      <c r="L28" s="31"/>
      <c r="M28" s="31"/>
      <c r="N28" s="31"/>
      <c r="R28" s="0" t="s">
        <v>494</v>
      </c>
      <c r="S28" s="0" t="str">
        <f aca="false">A27</f>
        <v>INDHFO</v>
      </c>
      <c r="T28" s="0" t="str">
        <f aca="false">LEFT(S28,3)&amp;"CO2N"&amp;VLOOKUP(MID(S28,4,7),$D$2:$F$27,3,FALSE())</f>
        <v>INDCO2No</v>
      </c>
      <c r="U28" s="0" t="n">
        <f aca="false">VLOOKUP(MID(S28,4,7),$D$2:$F$27,2,FALSE())</f>
        <v>83.12</v>
      </c>
      <c r="X28" s="0" t="s">
        <v>72</v>
      </c>
      <c r="Y28" s="0" t="s">
        <v>252</v>
      </c>
      <c r="Z28" s="0" t="s">
        <v>441</v>
      </c>
      <c r="AA28" s="0" t="s">
        <v>74</v>
      </c>
    </row>
    <row r="29" customFormat="false" ht="14.25" hidden="false" customHeight="false" outlineLevel="0" collapsed="false">
      <c r="A29" s="0" t="s">
        <v>105</v>
      </c>
      <c r="B29" s="0" t="str">
        <f aca="false">MID(A29,4,7)</f>
        <v>NGA</v>
      </c>
      <c r="G29" s="31" t="s">
        <v>594</v>
      </c>
      <c r="H29" s="37" t="n">
        <v>5685</v>
      </c>
      <c r="I29" s="31" t="s">
        <v>530</v>
      </c>
      <c r="J29" s="37" t="n">
        <v>2578.68</v>
      </c>
      <c r="K29" s="31" t="s">
        <v>530</v>
      </c>
      <c r="L29" s="31" t="n">
        <v>228.6</v>
      </c>
      <c r="M29" s="31" t="n">
        <v>103.7</v>
      </c>
      <c r="N29" s="31" t="n">
        <v>109.4</v>
      </c>
      <c r="R29" s="0" t="s">
        <v>494</v>
      </c>
      <c r="S29" s="0" t="str">
        <f aca="false">A28</f>
        <v>INDLPG</v>
      </c>
      <c r="T29" s="0" t="str">
        <f aca="false">LEFT(S29,3)&amp;"CO2N"&amp;VLOOKUP(MID(S29,4,7),$D$2:$F$27,3,FALSE())</f>
        <v>INDCO2No</v>
      </c>
      <c r="U29" s="0" t="n">
        <f aca="false">VLOOKUP(MID(S29,4,7),$D$2:$F$27,2,FALSE())</f>
        <v>67.53</v>
      </c>
      <c r="X29" s="0" t="s">
        <v>495</v>
      </c>
      <c r="Y29" s="14" t="s">
        <v>595</v>
      </c>
      <c r="Z29" s="0" t="s">
        <v>596</v>
      </c>
      <c r="AA29" s="0" t="n">
        <v>0.001</v>
      </c>
    </row>
    <row r="30" customFormat="false" ht="14.25" hidden="false" customHeight="false" outlineLevel="0" collapsed="false">
      <c r="A30" s="0" t="s">
        <v>367</v>
      </c>
      <c r="B30" s="0" t="str">
        <f aca="false">MID(A30,4,7)</f>
        <v>OIL</v>
      </c>
      <c r="G30" s="31" t="s">
        <v>597</v>
      </c>
      <c r="H30" s="37" t="n">
        <v>4931.3</v>
      </c>
      <c r="I30" s="31" t="s">
        <v>530</v>
      </c>
      <c r="J30" s="37" t="n">
        <v>2236.8</v>
      </c>
      <c r="K30" s="31" t="s">
        <v>530</v>
      </c>
      <c r="L30" s="31" t="n">
        <v>205.7</v>
      </c>
      <c r="M30" s="31" t="n">
        <v>93.3</v>
      </c>
      <c r="N30" s="31" t="n">
        <v>98.43</v>
      </c>
      <c r="R30" s="0" t="s">
        <v>494</v>
      </c>
      <c r="S30" s="0" t="str">
        <f aca="false">A29</f>
        <v>INDNGA</v>
      </c>
      <c r="T30" s="0" t="str">
        <f aca="false">LEFT(S30,3)&amp;"CO2N"&amp;VLOOKUP(MID(S30,4,7),$D$2:$F$27,3,FALSE())</f>
        <v>INDCO2Ng</v>
      </c>
      <c r="U30" s="0" t="n">
        <f aca="false">VLOOKUP(MID(S30,4,7),$D$2:$F$27,2,FALSE())</f>
        <v>55.99</v>
      </c>
      <c r="X30" s="0" t="s">
        <v>495</v>
      </c>
      <c r="Y30" s="0" t="s">
        <v>598</v>
      </c>
      <c r="Z30" s="0" t="s">
        <v>596</v>
      </c>
      <c r="AA30" s="0" t="n">
        <v>-0.001</v>
      </c>
      <c r="AG30" s="3" t="s">
        <v>495</v>
      </c>
      <c r="AH30" s="3" t="s">
        <v>598</v>
      </c>
      <c r="AI30" s="3" t="s">
        <v>596</v>
      </c>
      <c r="AJ30" s="3" t="n">
        <v>-0.001</v>
      </c>
    </row>
    <row r="31" customFormat="false" ht="14.25" hidden="false" customHeight="false" outlineLevel="0" collapsed="false">
      <c r="A31" s="0" t="s">
        <v>599</v>
      </c>
      <c r="B31" s="0" t="str">
        <f aca="false">MID(A31,4,7)</f>
        <v>OVC</v>
      </c>
      <c r="G31" s="31" t="s">
        <v>600</v>
      </c>
      <c r="H31" s="37" t="n">
        <v>3715.9</v>
      </c>
      <c r="I31" s="31" t="s">
        <v>530</v>
      </c>
      <c r="J31" s="37" t="n">
        <v>1685.51</v>
      </c>
      <c r="K31" s="31" t="s">
        <v>530</v>
      </c>
      <c r="L31" s="31" t="n">
        <v>214.3</v>
      </c>
      <c r="M31" s="31" t="n">
        <v>97.2</v>
      </c>
      <c r="N31" s="31" t="n">
        <v>102.55</v>
      </c>
      <c r="R31" s="0" t="s">
        <v>494</v>
      </c>
      <c r="S31" s="0" t="str">
        <f aca="false">A30</f>
        <v>INDOIL</v>
      </c>
      <c r="T31" s="0" t="str">
        <f aca="false">LEFT(S31,3)&amp;"CO2N"&amp;VLOOKUP(MID(S31,4,7),$D$2:$F$27,3,FALSE())</f>
        <v>INDCO2No</v>
      </c>
      <c r="U31" s="0" t="n">
        <f aca="false">VLOOKUP(MID(S31,4,7),$D$2:$F$27,2,FALSE())</f>
        <v>83.12</v>
      </c>
      <c r="X31" s="0" t="s">
        <v>307</v>
      </c>
    </row>
    <row r="32" customFormat="false" ht="14.25" hidden="false" customHeight="false" outlineLevel="0" collapsed="false">
      <c r="A32" s="0" t="s">
        <v>601</v>
      </c>
      <c r="B32" s="0" t="str">
        <f aca="false">MID(A32,4,7)</f>
        <v>PTC</v>
      </c>
      <c r="G32" s="31" t="s">
        <v>602</v>
      </c>
      <c r="H32" s="37" t="n">
        <v>2791.6</v>
      </c>
      <c r="I32" s="31" t="s">
        <v>530</v>
      </c>
      <c r="J32" s="37" t="n">
        <v>1266.25</v>
      </c>
      <c r="K32" s="31" t="s">
        <v>530</v>
      </c>
      <c r="L32" s="31" t="n">
        <v>215.4</v>
      </c>
      <c r="M32" s="31" t="n">
        <v>97.7</v>
      </c>
      <c r="N32" s="31" t="n">
        <v>103.08</v>
      </c>
      <c r="R32" s="0" t="s">
        <v>494</v>
      </c>
      <c r="S32" s="0" t="str">
        <f aca="false">A31</f>
        <v>INDOVC</v>
      </c>
      <c r="T32" s="0" t="str">
        <f aca="false">LEFT(S32,3)&amp;"CO2N"&amp;VLOOKUP(MID(S32,4,7),$D$2:$F$27,3,FALSE())</f>
        <v>INDCO2Nc</v>
      </c>
      <c r="U32" s="0" t="n">
        <f aca="false">VLOOKUP(MID(S32,4,7),$D$2:$F$27,2,FALSE())</f>
        <v>120.4</v>
      </c>
      <c r="X32" s="0" t="s">
        <v>495</v>
      </c>
      <c r="Y32" s="0" t="s">
        <v>603</v>
      </c>
      <c r="Z32" s="0" t="s">
        <v>604</v>
      </c>
      <c r="AA32" s="0" t="n">
        <v>0.001</v>
      </c>
    </row>
    <row r="33" customFormat="false" ht="14.25" hidden="false" customHeight="false" outlineLevel="0" collapsed="false">
      <c r="A33" s="0" t="s">
        <v>605</v>
      </c>
      <c r="B33" s="0" t="str">
        <f aca="false">MID(A33,4,7)</f>
        <v>COA</v>
      </c>
      <c r="G33" s="31" t="s">
        <v>606</v>
      </c>
      <c r="H33" s="37" t="n">
        <v>6239.68</v>
      </c>
      <c r="I33" s="31" t="s">
        <v>530</v>
      </c>
      <c r="J33" s="37" t="n">
        <v>2830.27</v>
      </c>
      <c r="K33" s="31" t="s">
        <v>530</v>
      </c>
      <c r="L33" s="31" t="n">
        <v>251.6</v>
      </c>
      <c r="M33" s="31" t="n">
        <v>114.12</v>
      </c>
      <c r="N33" s="31" t="n">
        <v>120.4</v>
      </c>
      <c r="R33" s="0" t="s">
        <v>494</v>
      </c>
      <c r="S33" s="0" t="str">
        <f aca="false">A32</f>
        <v>INDPTC</v>
      </c>
      <c r="T33" s="0" t="str">
        <f aca="false">LEFT(S33,3)&amp;"CO2N"&amp;VLOOKUP(MID(S33,4,7),$D$2:$F$27,3,FALSE())</f>
        <v>INDCO2No</v>
      </c>
      <c r="U33" s="0" t="n">
        <f aca="false">VLOOKUP(MID(S33,4,7),$D$2:$F$27,2,FALSE())</f>
        <v>107.72</v>
      </c>
      <c r="X33" s="0" t="s">
        <v>495</v>
      </c>
      <c r="Y33" s="0" t="s">
        <v>607</v>
      </c>
      <c r="Z33" s="0" t="s">
        <v>604</v>
      </c>
      <c r="AA33" s="0" t="n">
        <v>-0.001</v>
      </c>
    </row>
    <row r="34" customFormat="false" ht="14.25" hidden="false" customHeight="false" outlineLevel="0" collapsed="false">
      <c r="A34" s="0" t="s">
        <v>608</v>
      </c>
      <c r="B34" s="0" t="str">
        <f aca="false">MID(A34,4,7)</f>
        <v>HFO</v>
      </c>
      <c r="G34" s="31" t="s">
        <v>609</v>
      </c>
      <c r="H34" s="31"/>
      <c r="I34" s="31"/>
      <c r="J34" s="31"/>
      <c r="K34" s="31"/>
      <c r="L34" s="31"/>
      <c r="M34" s="31"/>
      <c r="N34" s="31"/>
      <c r="R34" s="0" t="s">
        <v>494</v>
      </c>
      <c r="S34" s="0" t="str">
        <f aca="false">A33</f>
        <v>RESCOA</v>
      </c>
      <c r="T34" s="0" t="str">
        <f aca="false">LEFT(S34,3)&amp;"CO2N"&amp;VLOOKUP(MID(S34,4,7),$D$2:$F$27,3,FALSE())</f>
        <v>RESCO2Nc</v>
      </c>
      <c r="U34" s="0" t="n">
        <f aca="false">VLOOKUP(MID(S34,4,7),$D$2:$F$27,2,FALSE())</f>
        <v>98.43</v>
      </c>
      <c r="X34" s="0" t="s">
        <v>307</v>
      </c>
    </row>
    <row r="35" customFormat="false" ht="14.25" hidden="false" customHeight="false" outlineLevel="0" collapsed="false">
      <c r="A35" s="0" t="s">
        <v>610</v>
      </c>
      <c r="B35" s="0" t="str">
        <f aca="false">MID(A35,4,7)</f>
        <v>KER</v>
      </c>
      <c r="G35" s="31" t="s">
        <v>611</v>
      </c>
      <c r="H35" s="31" t="s">
        <v>612</v>
      </c>
      <c r="I35" s="31"/>
      <c r="J35" s="31" t="s">
        <v>612</v>
      </c>
      <c r="K35" s="31"/>
      <c r="L35" s="31" t="n">
        <v>16.99</v>
      </c>
      <c r="M35" s="31" t="n">
        <v>7.71</v>
      </c>
      <c r="N35" s="31" t="n">
        <v>8.13</v>
      </c>
      <c r="R35" s="0" t="s">
        <v>494</v>
      </c>
      <c r="S35" s="0" t="str">
        <f aca="false">A34</f>
        <v>RESHFO</v>
      </c>
      <c r="T35" s="0" t="str">
        <f aca="false">LEFT(S35,3)&amp;"CO2N"&amp;VLOOKUP(MID(S35,4,7),$D$2:$F$27,3,FALSE())</f>
        <v>RESCO2No</v>
      </c>
      <c r="U35" s="0" t="n">
        <f aca="false">VLOOKUP(MID(S35,4,7),$D$2:$F$27,2,FALSE())</f>
        <v>83.12</v>
      </c>
      <c r="X35" s="0" t="s">
        <v>495</v>
      </c>
      <c r="Y35" s="0" t="s">
        <v>613</v>
      </c>
      <c r="Z35" s="0" t="s">
        <v>614</v>
      </c>
      <c r="AA35" s="0" t="n">
        <v>0.001</v>
      </c>
    </row>
    <row r="36" customFormat="false" ht="14.25" hidden="false" customHeight="false" outlineLevel="0" collapsed="false">
      <c r="A36" s="0" t="s">
        <v>615</v>
      </c>
      <c r="B36" s="0" t="str">
        <f aca="false">MID(A36,4,7)</f>
        <v>LPG</v>
      </c>
      <c r="G36" s="31" t="s">
        <v>616</v>
      </c>
      <c r="H36" s="37" t="n">
        <v>5771</v>
      </c>
      <c r="I36" s="31" t="s">
        <v>530</v>
      </c>
      <c r="J36" s="37" t="n">
        <v>2617.68</v>
      </c>
      <c r="K36" s="31" t="s">
        <v>530</v>
      </c>
      <c r="L36" s="31" t="n">
        <v>91.9</v>
      </c>
      <c r="M36" s="31" t="n">
        <v>41.69</v>
      </c>
      <c r="N36" s="31" t="n">
        <v>43.98</v>
      </c>
      <c r="R36" s="0" t="s">
        <v>494</v>
      </c>
      <c r="S36" s="0" t="str">
        <f aca="false">A35</f>
        <v>RESKER</v>
      </c>
      <c r="T36" s="0" t="str">
        <f aca="false">LEFT(S36,3)&amp;"CO2N"&amp;VLOOKUP(MID(S36,4,7),$D$2:$F$27,3,FALSE())</f>
        <v>RESCO2No</v>
      </c>
      <c r="U36" s="0" t="n">
        <f aca="false">VLOOKUP(MID(S36,4,7),$D$2:$F$27,2,FALSE())</f>
        <v>76.28</v>
      </c>
      <c r="X36" s="34" t="s">
        <v>617</v>
      </c>
      <c r="Y36" s="0" t="s">
        <v>577</v>
      </c>
      <c r="Z36" s="0" t="s">
        <v>614</v>
      </c>
      <c r="AA36" s="0" t="n">
        <v>0.001</v>
      </c>
    </row>
    <row r="37" customFormat="false" ht="14.25" hidden="false" customHeight="false" outlineLevel="0" collapsed="false">
      <c r="A37" s="0" t="s">
        <v>305</v>
      </c>
      <c r="B37" s="0" t="str">
        <f aca="false">MID(A37,4,7)</f>
        <v>NGA</v>
      </c>
      <c r="G37" s="31" t="s">
        <v>618</v>
      </c>
      <c r="H37" s="37" t="n">
        <v>6160</v>
      </c>
      <c r="I37" s="31" t="s">
        <v>530</v>
      </c>
      <c r="J37" s="37" t="n">
        <v>2794.13</v>
      </c>
      <c r="K37" s="31" t="s">
        <v>530</v>
      </c>
      <c r="L37" s="31" t="n">
        <v>189.54</v>
      </c>
      <c r="M37" s="31" t="n">
        <v>85.97</v>
      </c>
      <c r="N37" s="31" t="n">
        <v>90.7</v>
      </c>
      <c r="R37" s="0" t="s">
        <v>494</v>
      </c>
      <c r="S37" s="0" t="str">
        <f aca="false">A36</f>
        <v>RESLPG</v>
      </c>
      <c r="T37" s="0" t="str">
        <f aca="false">LEFT(S37,3)&amp;"CO2N"&amp;VLOOKUP(MID(S37,4,7),$D$2:$F$27,3,FALSE())</f>
        <v>RESCO2No</v>
      </c>
      <c r="U37" s="0" t="n">
        <f aca="false">VLOOKUP(MID(S37,4,7),$D$2:$F$27,2,FALSE())</f>
        <v>67.53</v>
      </c>
      <c r="X37" s="0" t="s">
        <v>495</v>
      </c>
      <c r="Y37" s="0" t="s">
        <v>619</v>
      </c>
      <c r="Z37" s="0" t="s">
        <v>614</v>
      </c>
      <c r="AA37" s="0" t="n">
        <v>-0.001</v>
      </c>
    </row>
    <row r="38" customFormat="false" ht="14.25" hidden="false" customHeight="false" outlineLevel="0" collapsed="false">
      <c r="A38" s="0" t="s">
        <v>620</v>
      </c>
      <c r="B38" s="0" t="str">
        <f aca="false">MID(A38,4,7)</f>
        <v>OIL</v>
      </c>
      <c r="G38" s="31" t="s">
        <v>621</v>
      </c>
      <c r="H38" s="31" t="n">
        <v>924</v>
      </c>
      <c r="I38" s="31" t="s">
        <v>622</v>
      </c>
      <c r="J38" s="31" t="n">
        <v>419.12</v>
      </c>
      <c r="K38" s="31" t="s">
        <v>622</v>
      </c>
      <c r="L38" s="31" t="n">
        <v>210</v>
      </c>
      <c r="M38" s="31" t="n">
        <v>95.25</v>
      </c>
      <c r="N38" s="31" t="n">
        <v>100.49</v>
      </c>
      <c r="R38" s="0" t="s">
        <v>494</v>
      </c>
      <c r="S38" s="0" t="str">
        <f aca="false">A37</f>
        <v>RESNGA</v>
      </c>
      <c r="T38" s="0" t="str">
        <f aca="false">LEFT(S38,3)&amp;"CO2N"&amp;VLOOKUP(MID(S38,4,7),$D$2:$F$27,3,FALSE())</f>
        <v>RESCO2Ng</v>
      </c>
      <c r="U38" s="0" t="n">
        <f aca="false">VLOOKUP(MID(S38,4,7),$D$2:$F$27,2,FALSE())</f>
        <v>55.99</v>
      </c>
      <c r="X38" s="0" t="s">
        <v>495</v>
      </c>
      <c r="Y38" s="0" t="s">
        <v>576</v>
      </c>
      <c r="Z38" s="0" t="s">
        <v>614</v>
      </c>
      <c r="AA38" s="0" t="n">
        <v>-0.001</v>
      </c>
    </row>
    <row r="39" customFormat="false" ht="14.25" hidden="false" customHeight="false" outlineLevel="0" collapsed="false">
      <c r="A39" s="0" t="s">
        <v>623</v>
      </c>
      <c r="B39" s="0" t="str">
        <f aca="false">MID(A39,4,7)</f>
        <v>BFG</v>
      </c>
      <c r="G39" s="31" t="s">
        <v>624</v>
      </c>
      <c r="H39" s="31"/>
      <c r="I39" s="31"/>
      <c r="J39" s="31"/>
      <c r="K39" s="31"/>
      <c r="L39" s="31"/>
      <c r="M39" s="31"/>
      <c r="N39" s="31"/>
      <c r="R39" s="0" t="s">
        <v>494</v>
      </c>
      <c r="S39" s="0" t="str">
        <f aca="false">A38</f>
        <v>RESOIL</v>
      </c>
      <c r="T39" s="0" t="str">
        <f aca="false">LEFT(S39,3)&amp;"CO2N"&amp;VLOOKUP(MID(S39,4,7),$D$2:$F$27,3,FALSE())</f>
        <v>RESCO2No</v>
      </c>
      <c r="U39" s="0" t="n">
        <f aca="false">VLOOKUP(MID(S39,4,7),$D$2:$F$27,2,FALSE())</f>
        <v>83.12</v>
      </c>
      <c r="X39" s="0" t="s">
        <v>307</v>
      </c>
    </row>
    <row r="40" customFormat="false" ht="14.25" hidden="false" customHeight="false" outlineLevel="0" collapsed="false">
      <c r="A40" s="0" t="s">
        <v>625</v>
      </c>
      <c r="B40" s="0" t="str">
        <f aca="false">MID(A40,4,7)</f>
        <v>BIO</v>
      </c>
      <c r="G40" s="31" t="s">
        <v>626</v>
      </c>
      <c r="H40" s="31"/>
      <c r="I40" s="31"/>
      <c r="J40" s="31"/>
      <c r="K40" s="31"/>
      <c r="L40" s="31"/>
      <c r="M40" s="31"/>
      <c r="N40" s="31"/>
      <c r="R40" s="0" t="s">
        <v>494</v>
      </c>
      <c r="S40" s="0" t="str">
        <f aca="false">A39</f>
        <v>SUPBFG</v>
      </c>
      <c r="T40" s="0" t="str">
        <f aca="false">LEFT(S40,3)&amp;"CO2N"&amp;VLOOKUP(MID(S40,4,7),$D$2:$F$27,3,FALSE())</f>
        <v>SUPCO2Nc</v>
      </c>
      <c r="U40" s="0" t="n">
        <f aca="false">VLOOKUP(MID(S40,4,7),$D$2:$F$27,2,FALSE())</f>
        <v>55.99</v>
      </c>
      <c r="X40" s="0" t="s">
        <v>495</v>
      </c>
      <c r="Y40" s="0" t="s">
        <v>627</v>
      </c>
      <c r="Z40" s="0" t="s">
        <v>628</v>
      </c>
      <c r="AA40" s="0" t="n">
        <v>0.001</v>
      </c>
    </row>
    <row r="41" customFormat="false" ht="14.25" hidden="false" customHeight="false" outlineLevel="0" collapsed="false">
      <c r="A41" s="0" t="s">
        <v>629</v>
      </c>
      <c r="B41" s="0" t="str">
        <f aca="false">MID(A41,4,7)</f>
        <v>COA</v>
      </c>
      <c r="G41" s="31" t="s">
        <v>630</v>
      </c>
      <c r="H41" s="31"/>
      <c r="I41" s="31"/>
      <c r="J41" s="31"/>
      <c r="K41" s="31"/>
      <c r="L41" s="31"/>
      <c r="M41" s="31"/>
      <c r="N41" s="31"/>
      <c r="R41" s="0" t="s">
        <v>494</v>
      </c>
      <c r="S41" s="0" t="str">
        <f aca="false">A40</f>
        <v>SUPBIO</v>
      </c>
      <c r="T41" s="0" t="str">
        <f aca="false">LEFT(S41,3)&amp;"CO2N"&amp;VLOOKUP(MID(S41,4,7),$D$2:$F$27,3,FALSE())</f>
        <v>SUPCO2Nb</v>
      </c>
      <c r="U41" s="0" t="n">
        <f aca="false">VLOOKUP(MID(S41,4,7),$D$2:$F$27,2,FALSE())</f>
        <v>98.43</v>
      </c>
      <c r="X41" s="0" t="s">
        <v>495</v>
      </c>
      <c r="Y41" s="0" t="s">
        <v>631</v>
      </c>
      <c r="Z41" s="0" t="s">
        <v>632</v>
      </c>
      <c r="AA41" s="0" t="n">
        <v>0.001</v>
      </c>
    </row>
    <row r="42" customFormat="false" ht="14.25" hidden="false" customHeight="false" outlineLevel="0" collapsed="false">
      <c r="A42" s="0" t="s">
        <v>633</v>
      </c>
      <c r="B42" s="0" t="str">
        <f aca="false">MID(A42,4,7)</f>
        <v>COG</v>
      </c>
      <c r="R42" s="0" t="s">
        <v>494</v>
      </c>
      <c r="S42" s="0" t="str">
        <f aca="false">A41</f>
        <v>SUPCOA</v>
      </c>
      <c r="T42" s="0" t="str">
        <f aca="false">LEFT(S42,3)&amp;"CO2N"&amp;VLOOKUP(MID(S42,4,7),$D$2:$F$27,3,FALSE())</f>
        <v>SUPCO2Nc</v>
      </c>
      <c r="U42" s="0" t="n">
        <f aca="false">VLOOKUP(MID(S42,4,7),$D$2:$F$27,2,FALSE())</f>
        <v>98.43</v>
      </c>
    </row>
    <row r="43" customFormat="false" ht="14.25" hidden="false" customHeight="false" outlineLevel="0" collapsed="false">
      <c r="A43" s="0" t="s">
        <v>634</v>
      </c>
      <c r="B43" s="0" t="str">
        <f aca="false">MID(A43,4,7)</f>
        <v>NGA</v>
      </c>
      <c r="R43" s="0" t="s">
        <v>494</v>
      </c>
      <c r="S43" s="0" t="str">
        <f aca="false">A42</f>
        <v>SUPCOG</v>
      </c>
      <c r="T43" s="0" t="str">
        <f aca="false">LEFT(S43,3)&amp;"CO2N"&amp;VLOOKUP(MID(S43,4,7),$D$2:$F$27,3,FALSE())</f>
        <v>SUPCO2Nc</v>
      </c>
      <c r="U43" s="0" t="n">
        <f aca="false">VLOOKUP(MID(S43,4,7),$D$2:$F$27,2,FALSE())</f>
        <v>55.99</v>
      </c>
    </row>
    <row r="44" customFormat="false" ht="14.25" hidden="false" customHeight="false" outlineLevel="0" collapsed="false">
      <c r="A44" s="0" t="s">
        <v>635</v>
      </c>
      <c r="B44" s="0" t="str">
        <f aca="false">MID(A44,4,7)</f>
        <v>OIL</v>
      </c>
      <c r="R44" s="0" t="s">
        <v>494</v>
      </c>
      <c r="S44" s="0" t="str">
        <f aca="false">A43</f>
        <v>SUPNGA</v>
      </c>
      <c r="T44" s="0" t="str">
        <f aca="false">LEFT(S44,3)&amp;"CO2N"&amp;VLOOKUP(MID(S44,4,7),$D$2:$F$27,3,FALSE())</f>
        <v>SUPCO2Ng</v>
      </c>
      <c r="U44" s="0" t="n">
        <f aca="false">VLOOKUP(MID(S44,4,7),$D$2:$F$27,2,FALSE())</f>
        <v>55.99</v>
      </c>
    </row>
    <row r="45" customFormat="false" ht="14.25" hidden="false" customHeight="false" outlineLevel="0" collapsed="false">
      <c r="A45" s="0" t="s">
        <v>636</v>
      </c>
      <c r="B45" s="0" t="str">
        <f aca="false">MID(A45,4,7)</f>
        <v>RFG</v>
      </c>
      <c r="R45" s="0" t="s">
        <v>494</v>
      </c>
      <c r="S45" s="0" t="str">
        <f aca="false">A44</f>
        <v>SUPOIL</v>
      </c>
      <c r="T45" s="0" t="str">
        <f aca="false">LEFT(S45,3)&amp;"CO2N"&amp;VLOOKUP(MID(S45,4,7),$D$2:$F$27,3,FALSE())</f>
        <v>SUPCO2No</v>
      </c>
      <c r="U45" s="0" t="n">
        <f aca="false">VLOOKUP(MID(S45,4,7),$D$2:$F$27,2,FALSE())</f>
        <v>83.12</v>
      </c>
      <c r="X45" s="0" t="s">
        <v>88</v>
      </c>
    </row>
    <row r="46" customFormat="false" ht="14.25" hidden="false" customHeight="false" outlineLevel="0" collapsed="false">
      <c r="A46" s="0" t="s">
        <v>637</v>
      </c>
      <c r="B46" s="0" t="str">
        <f aca="false">MID(A46,4,7)</f>
        <v>RPP</v>
      </c>
      <c r="R46" s="0" t="s">
        <v>494</v>
      </c>
      <c r="S46" s="0" t="str">
        <f aca="false">A45</f>
        <v>SUPRFG</v>
      </c>
      <c r="T46" s="0" t="str">
        <f aca="false">LEFT(S46,3)&amp;"CO2N"&amp;VLOOKUP(MID(S46,4,7),$D$2:$F$27,3,FALSE())</f>
        <v>SUPCO2No</v>
      </c>
      <c r="U46" s="0" t="n">
        <f aca="false">VLOOKUP(MID(S46,4,7),$D$2:$F$27,2,FALSE())</f>
        <v>55.99</v>
      </c>
      <c r="X46" s="0" t="s">
        <v>55</v>
      </c>
      <c r="Y46" s="0" t="s">
        <v>476</v>
      </c>
      <c r="Z46" s="0" t="s">
        <v>295</v>
      </c>
      <c r="AA46" s="0" t="s">
        <v>124</v>
      </c>
      <c r="AB46" s="0" t="n">
        <v>2019</v>
      </c>
      <c r="AC46" s="0" t="n">
        <v>2050</v>
      </c>
      <c r="AD46" s="2" t="s">
        <v>317</v>
      </c>
    </row>
    <row r="47" customFormat="false" ht="14.25" hidden="false" customHeight="false" outlineLevel="0" collapsed="false">
      <c r="A47" s="0" t="s">
        <v>638</v>
      </c>
      <c r="B47" s="0" t="str">
        <f aca="false">MID(A47,4,7)</f>
        <v>COA</v>
      </c>
      <c r="R47" s="0" t="s">
        <v>494</v>
      </c>
      <c r="S47" s="0" t="str">
        <f aca="false">A46</f>
        <v>SUPRPP</v>
      </c>
      <c r="T47" s="0" t="str">
        <f aca="false">LEFT(S47,3)&amp;"CO2N"&amp;VLOOKUP(MID(S47,4,7),$D$2:$F$27,3,FALSE())</f>
        <v>SUPCO2No</v>
      </c>
      <c r="U47" s="0" t="n">
        <f aca="false">VLOOKUP(MID(S47,4,7),$D$2:$F$27,2,FALSE())</f>
        <v>77.19</v>
      </c>
      <c r="X47" s="0" t="s">
        <v>531</v>
      </c>
      <c r="Y47" s="0" t="s">
        <v>639</v>
      </c>
      <c r="Z47" s="0" t="s">
        <v>537</v>
      </c>
      <c r="AA47" s="0" t="s">
        <v>598</v>
      </c>
      <c r="AB47" s="0" t="n">
        <v>0.9</v>
      </c>
      <c r="AD47" s="0" t="str">
        <f aca="false">AA47</f>
        <v>CO2Captured_elc</v>
      </c>
    </row>
    <row r="48" customFormat="false" ht="14.25" hidden="false" customHeight="false" outlineLevel="0" collapsed="false">
      <c r="A48" s="0" t="s">
        <v>332</v>
      </c>
      <c r="B48" s="0" t="str">
        <f aca="false">MID(A48,4,7)</f>
        <v>DST</v>
      </c>
      <c r="R48" s="0" t="s">
        <v>494</v>
      </c>
      <c r="S48" s="0" t="str">
        <f aca="false">A47</f>
        <v>TRACOA</v>
      </c>
      <c r="T48" s="0" t="str">
        <f aca="false">LEFT(S48,3)&amp;"CO2N"&amp;VLOOKUP(MID(S48,4,7),$D$2:$F$27,3,FALSE())</f>
        <v>TRACO2Nc</v>
      </c>
      <c r="U48" s="0" t="n">
        <f aca="false">VLOOKUP(MID(S48,4,7),$D$2:$F$27,2,FALSE())</f>
        <v>98.43</v>
      </c>
      <c r="X48" s="0" t="s">
        <v>531</v>
      </c>
      <c r="Y48" s="0" t="s">
        <v>640</v>
      </c>
      <c r="Z48" s="0" t="s">
        <v>572</v>
      </c>
      <c r="AA48" s="0" t="s">
        <v>598</v>
      </c>
      <c r="AB48" s="14" t="n">
        <v>0.9</v>
      </c>
      <c r="AD48" s="0" t="str">
        <f aca="false">AA48</f>
        <v>CO2Captured_elc</v>
      </c>
    </row>
    <row r="49" customFormat="false" ht="14.25" hidden="false" customHeight="false" outlineLevel="0" collapsed="false">
      <c r="A49" s="0" t="s">
        <v>330</v>
      </c>
      <c r="B49" s="0" t="str">
        <f aca="false">MID(A49,4,7)</f>
        <v>GSL</v>
      </c>
      <c r="R49" s="0" t="s">
        <v>494</v>
      </c>
      <c r="S49" s="0" t="str">
        <f aca="false">A48</f>
        <v>TRADST</v>
      </c>
      <c r="T49" s="0" t="str">
        <f aca="false">LEFT(S49,3)&amp;"CO2N"&amp;VLOOKUP(MID(S49,4,7),$D$2:$F$27,3,FALSE())</f>
        <v>TRACO2No</v>
      </c>
      <c r="U49" s="0" t="n">
        <f aca="false">VLOOKUP(MID(S49,4,7),$D$2:$F$27,2,FALSE())</f>
        <v>77.19</v>
      </c>
      <c r="X49" s="0" t="s">
        <v>531</v>
      </c>
      <c r="Y49" s="0" t="s">
        <v>641</v>
      </c>
      <c r="Z49" s="0" t="s">
        <v>312</v>
      </c>
      <c r="AA49" s="0" t="s">
        <v>598</v>
      </c>
      <c r="AB49" s="0" t="n">
        <v>0.9</v>
      </c>
      <c r="AC49" s="14"/>
      <c r="AD49" s="0" t="str">
        <f aca="false">AA49</f>
        <v>CO2Captured_elc</v>
      </c>
    </row>
    <row r="50" customFormat="false" ht="14.25" hidden="false" customHeight="false" outlineLevel="0" collapsed="false">
      <c r="A50" s="0" t="s">
        <v>642</v>
      </c>
      <c r="B50" s="0" t="str">
        <f aca="false">MID(A50,4,7)</f>
        <v>HFO</v>
      </c>
      <c r="R50" s="0" t="s">
        <v>494</v>
      </c>
      <c r="S50" s="0" t="str">
        <f aca="false">A49</f>
        <v>TRAGSL</v>
      </c>
      <c r="T50" s="0" t="str">
        <f aca="false">LEFT(S50,3)&amp;"CO2N"&amp;VLOOKUP(MID(S50,4,7),$D$2:$F$27,3,FALSE())</f>
        <v>TRACO2No</v>
      </c>
      <c r="U50" s="0" t="n">
        <f aca="false">VLOOKUP(MID(S50,4,7),$D$2:$F$27,2,FALSE())</f>
        <v>75.22</v>
      </c>
    </row>
    <row r="51" customFormat="false" ht="14.25" hidden="false" customHeight="false" outlineLevel="0" collapsed="false">
      <c r="A51" s="0" t="s">
        <v>327</v>
      </c>
      <c r="B51" s="0" t="str">
        <f aca="false">MID(A51,4,7)</f>
        <v>JTK</v>
      </c>
      <c r="R51" s="0" t="s">
        <v>494</v>
      </c>
      <c r="S51" s="0" t="str">
        <f aca="false">A50</f>
        <v>TRAHFO</v>
      </c>
      <c r="T51" s="0" t="str">
        <f aca="false">LEFT(S51,3)&amp;"CO2N"&amp;VLOOKUP(MID(S51,4,7),$D$2:$F$27,3,FALSE())</f>
        <v>TRACO2No</v>
      </c>
      <c r="U51" s="0" t="n">
        <f aca="false">VLOOKUP(MID(S51,4,7),$D$2:$F$27,2,FALSE())</f>
        <v>83.12</v>
      </c>
    </row>
    <row r="52" customFormat="false" ht="14.25" hidden="false" customHeight="false" outlineLevel="0" collapsed="false">
      <c r="A52" s="0" t="s">
        <v>643</v>
      </c>
      <c r="B52" s="0" t="str">
        <f aca="false">MID(A52,4,7)</f>
        <v>LPG</v>
      </c>
      <c r="R52" s="0" t="s">
        <v>494</v>
      </c>
      <c r="S52" s="0" t="str">
        <f aca="false">A51</f>
        <v>TRAJTK</v>
      </c>
      <c r="T52" s="0" t="str">
        <f aca="false">LEFT(S52,3)&amp;"CO2N"&amp;VLOOKUP(MID(S52,4,7),$D$2:$F$27,3,FALSE())</f>
        <v>TRACO2No</v>
      </c>
      <c r="U52" s="0" t="n">
        <f aca="false">VLOOKUP(MID(S52,4,7),$D$2:$F$27,2,FALSE())</f>
        <v>74.8</v>
      </c>
      <c r="X52" s="0" t="s">
        <v>88</v>
      </c>
    </row>
    <row r="53" customFormat="false" ht="14.25" hidden="false" customHeight="false" outlineLevel="0" collapsed="false">
      <c r="A53" s="0" t="s">
        <v>110</v>
      </c>
      <c r="B53" s="0" t="str">
        <f aca="false">MID(A53,4,7)</f>
        <v>NGA</v>
      </c>
      <c r="R53" s="0" t="s">
        <v>494</v>
      </c>
      <c r="S53" s="0" t="str">
        <f aca="false">A52</f>
        <v>TRALPG</v>
      </c>
      <c r="T53" s="0" t="str">
        <f aca="false">LEFT(S53,3)&amp;"CO2N"&amp;VLOOKUP(MID(S53,4,7),$D$2:$F$27,3,FALSE())</f>
        <v>TRACO2No</v>
      </c>
      <c r="U53" s="0" t="n">
        <f aca="false">VLOOKUP(MID(S53,4,7),$D$2:$F$27,2,FALSE())</f>
        <v>67.53</v>
      </c>
      <c r="X53" s="0" t="s">
        <v>75</v>
      </c>
      <c r="Y53" s="0" t="s">
        <v>644</v>
      </c>
      <c r="Z53" s="0" t="s">
        <v>90</v>
      </c>
      <c r="AA53" s="0" t="s">
        <v>72</v>
      </c>
      <c r="AB53" s="0" t="s">
        <v>76</v>
      </c>
      <c r="AC53" s="0" t="n">
        <v>2019</v>
      </c>
      <c r="AD53" s="0" t="n">
        <v>2030</v>
      </c>
      <c r="AE53" s="2" t="s">
        <v>252</v>
      </c>
    </row>
    <row r="54" customFormat="false" ht="14.25" hidden="false" customHeight="false" outlineLevel="0" collapsed="false">
      <c r="A54" s="0" t="s">
        <v>645</v>
      </c>
      <c r="B54" s="0" t="str">
        <f aca="false">MID(A54,4,7)</f>
        <v>BIO</v>
      </c>
      <c r="R54" s="0" t="s">
        <v>494</v>
      </c>
      <c r="S54" s="0" t="str">
        <f aca="false">A53</f>
        <v>TRANGA</v>
      </c>
      <c r="T54" s="0" t="str">
        <f aca="false">LEFT(S54,3)&amp;"CO2N"&amp;VLOOKUP(MID(S54,4,7),$D$2:$F$27,3,FALSE())</f>
        <v>TRACO2Ng</v>
      </c>
      <c r="U54" s="0" t="n">
        <f aca="false">VLOOKUP(MID(S54,4,7),$D$2:$F$27,2,FALSE())</f>
        <v>55.99</v>
      </c>
      <c r="X54" s="0" t="s">
        <v>101</v>
      </c>
      <c r="Y54" s="0" t="s">
        <v>571</v>
      </c>
      <c r="Z54" s="0" t="s">
        <v>646</v>
      </c>
      <c r="AA54" s="0" t="s">
        <v>531</v>
      </c>
      <c r="AB54" s="0" t="s">
        <v>126</v>
      </c>
      <c r="AC54" s="0" t="n">
        <v>0.9</v>
      </c>
      <c r="AD54" s="0" t="n">
        <v>0.95</v>
      </c>
      <c r="AE54" s="2" t="s">
        <v>619</v>
      </c>
    </row>
    <row r="55" customFormat="false" ht="14.25" hidden="false" customHeight="false" outlineLevel="0" collapsed="false">
      <c r="R55" s="0" t="s">
        <v>494</v>
      </c>
      <c r="S55" s="0" t="str">
        <f aca="false">A54</f>
        <v>INDBIO</v>
      </c>
      <c r="T55" s="0" t="str">
        <f aca="false">LEFT(S55,3)&amp;"CO2N"&amp;VLOOKUP(MID(S55,4,7),$D$2:$F$27,3,FALSE())</f>
        <v>INDCO2Nb</v>
      </c>
      <c r="U55" s="0" t="n">
        <f aca="false">VLOOKUP(MID(S55,4,7),$D$2:$F$27,2,FALSE())</f>
        <v>98.43</v>
      </c>
      <c r="X55" s="0" t="s">
        <v>561</v>
      </c>
      <c r="Y55" s="0" t="s">
        <v>562</v>
      </c>
      <c r="Z55" s="0" t="s">
        <v>646</v>
      </c>
      <c r="AA55" s="0" t="s">
        <v>531</v>
      </c>
      <c r="AB55" s="0" t="s">
        <v>126</v>
      </c>
      <c r="AC55" s="0" t="n">
        <v>0.9</v>
      </c>
      <c r="AD55" s="0" t="n">
        <v>0.95</v>
      </c>
      <c r="AE55" s="2" t="s">
        <v>619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V38"/>
  <sheetViews>
    <sheetView showFormulas="false" showGridLines="true" showRowColHeaders="true" showZeros="true" rightToLeft="false" tabSelected="false" showOutlineSymbols="true" defaultGridColor="true" view="normal" topLeftCell="N1" colorId="64" zoomScale="90" zoomScaleNormal="90" zoomScalePageLayoutView="100" workbookViewId="0">
      <selection pane="topLeft" activeCell="Q21" activeCellId="0" sqref="Q21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2.73"/>
    <col collapsed="false" customWidth="true" hidden="false" outlineLevel="0" max="4" min="4" style="0" width="11.73"/>
    <col collapsed="false" customWidth="true" hidden="false" outlineLevel="0" max="5" min="5" style="0" width="6.6"/>
    <col collapsed="false" customWidth="true" hidden="false" outlineLevel="0" max="6" min="6" style="0" width="7.87"/>
    <col collapsed="false" customWidth="true" hidden="false" outlineLevel="0" max="7" min="7" style="0" width="5"/>
    <col collapsed="false" customWidth="true" hidden="false" outlineLevel="0" max="8" min="8" style="0" width="5.53"/>
    <col collapsed="false" customWidth="true" hidden="false" outlineLevel="0" max="9" min="9" style="0" width="10.86"/>
    <col collapsed="false" customWidth="true" hidden="false" outlineLevel="0" max="10" min="10" style="0" width="10.73"/>
    <col collapsed="false" customWidth="true" hidden="false" outlineLevel="0" max="12" min="12" style="0" width="13.87"/>
    <col collapsed="false" customWidth="true" hidden="false" outlineLevel="0" max="13" min="13" style="0" width="14.06"/>
    <col collapsed="false" customWidth="true" hidden="false" outlineLevel="0" max="14" min="14" style="0" width="9.73"/>
    <col collapsed="false" customWidth="true" hidden="false" outlineLevel="0" max="15" min="15" style="0" width="1.73"/>
    <col collapsed="false" customWidth="true" hidden="false" outlineLevel="0" max="18" min="16" style="0" width="10.86"/>
    <col collapsed="false" customWidth="true" hidden="false" outlineLevel="0" max="19" min="19" style="0" width="14.06"/>
    <col collapsed="false" customWidth="true" hidden="false" outlineLevel="0" max="20" min="20" style="0" width="10.86"/>
    <col collapsed="false" customWidth="true" hidden="false" outlineLevel="0" max="21" min="21" style="0" width="1.73"/>
    <col collapsed="false" customWidth="true" hidden="false" outlineLevel="0" max="22" min="22" style="0" width="9.6"/>
  </cols>
  <sheetData>
    <row r="2" customFormat="false" ht="14.25" hidden="false" customHeight="false" outlineLevel="0" collapsed="false">
      <c r="B2" s="0" t="s">
        <v>647</v>
      </c>
      <c r="L2" s="0" t="s">
        <v>648</v>
      </c>
      <c r="R2" s="0" t="s">
        <v>648</v>
      </c>
    </row>
    <row r="3" customFormat="false" ht="14.25" hidden="false" customHeight="false" outlineLevel="0" collapsed="false">
      <c r="B3" s="0" t="s">
        <v>649</v>
      </c>
      <c r="C3" s="0" t="s">
        <v>650</v>
      </c>
      <c r="D3" s="0" t="s">
        <v>352</v>
      </c>
      <c r="E3" s="0" t="s">
        <v>57</v>
      </c>
      <c r="H3" s="0" t="s">
        <v>56</v>
      </c>
      <c r="I3" s="0" t="s">
        <v>649</v>
      </c>
      <c r="J3" s="0" t="s">
        <v>651</v>
      </c>
      <c r="L3" s="0" t="s">
        <v>251</v>
      </c>
      <c r="M3" s="0" t="s">
        <v>72</v>
      </c>
      <c r="N3" s="0" t="n">
        <v>2020</v>
      </c>
      <c r="O3" s="0" t="n">
        <v>0</v>
      </c>
      <c r="P3" s="0" t="s">
        <v>252</v>
      </c>
      <c r="R3" s="0" t="s">
        <v>251</v>
      </c>
      <c r="S3" s="0" t="s">
        <v>72</v>
      </c>
      <c r="T3" s="0" t="n">
        <v>2020</v>
      </c>
      <c r="U3" s="0" t="n">
        <v>0</v>
      </c>
      <c r="V3" s="0" t="s">
        <v>252</v>
      </c>
    </row>
    <row r="4" customFormat="false" ht="14.25" hidden="false" customHeight="false" outlineLevel="0" collapsed="false">
      <c r="B4" s="0" t="s">
        <v>7</v>
      </c>
      <c r="C4" s="0" t="s">
        <v>497</v>
      </c>
      <c r="D4" s="0" t="n">
        <v>0.08</v>
      </c>
      <c r="E4" s="0" t="s">
        <v>652</v>
      </c>
      <c r="H4" s="0" t="n">
        <v>2019</v>
      </c>
      <c r="I4" s="0" t="s">
        <v>7</v>
      </c>
      <c r="J4" s="0" t="n">
        <v>578305.3</v>
      </c>
      <c r="L4" s="0" t="str">
        <f aca="false">$I4</f>
        <v>Africa_North</v>
      </c>
      <c r="M4" s="0" t="s">
        <v>253</v>
      </c>
      <c r="N4" s="4" t="n">
        <f aca="false">-J4/1000/3</f>
        <v>-192.768433333333</v>
      </c>
      <c r="O4" s="0" t="n">
        <v>3</v>
      </c>
      <c r="P4" s="0" t="s">
        <v>394</v>
      </c>
      <c r="R4" s="0" t="str">
        <f aca="false">$I4</f>
        <v>Africa_North</v>
      </c>
      <c r="S4" s="0" t="s">
        <v>253</v>
      </c>
      <c r="T4" s="4" t="n">
        <f aca="false">-J4/1000/3</f>
        <v>-192.768433333333</v>
      </c>
      <c r="U4" s="0" t="n">
        <v>3</v>
      </c>
      <c r="V4" s="0" t="s">
        <v>596</v>
      </c>
    </row>
    <row r="5" customFormat="false" ht="14.25" hidden="false" customHeight="false" outlineLevel="0" collapsed="false">
      <c r="B5" s="0" t="s">
        <v>8</v>
      </c>
      <c r="C5" s="0" t="s">
        <v>497</v>
      </c>
      <c r="D5" s="0" t="n">
        <v>0.08</v>
      </c>
      <c r="E5" s="0" t="s">
        <v>652</v>
      </c>
      <c r="H5" s="0" t="n">
        <v>2019</v>
      </c>
      <c r="I5" s="0" t="s">
        <v>8</v>
      </c>
      <c r="J5" s="0" t="n">
        <v>417790.1</v>
      </c>
      <c r="L5" s="0" t="str">
        <f aca="false">$I5</f>
        <v>Africa_Other</v>
      </c>
      <c r="M5" s="0" t="s">
        <v>253</v>
      </c>
      <c r="N5" s="4" t="n">
        <f aca="false">-J5/1000/3</f>
        <v>-139.263366666667</v>
      </c>
      <c r="O5" s="0" t="n">
        <v>3</v>
      </c>
      <c r="P5" s="0" t="s">
        <v>394</v>
      </c>
      <c r="R5" s="0" t="str">
        <f aca="false">$I5</f>
        <v>Africa_Other</v>
      </c>
      <c r="S5" s="0" t="s">
        <v>253</v>
      </c>
      <c r="T5" s="4" t="n">
        <f aca="false">-J5/1000/3</f>
        <v>-139.263366666667</v>
      </c>
      <c r="U5" s="0" t="n">
        <v>3</v>
      </c>
      <c r="V5" s="0" t="s">
        <v>596</v>
      </c>
    </row>
    <row r="6" customFormat="false" ht="14.25" hidden="false" customHeight="false" outlineLevel="0" collapsed="false">
      <c r="B6" s="0" t="s">
        <v>9</v>
      </c>
      <c r="C6" s="0" t="s">
        <v>497</v>
      </c>
      <c r="D6" s="0" t="n">
        <v>0.1</v>
      </c>
      <c r="E6" s="0" t="s">
        <v>652</v>
      </c>
      <c r="H6" s="0" t="n">
        <v>2019</v>
      </c>
      <c r="I6" s="0" t="s">
        <v>9</v>
      </c>
      <c r="J6" s="0" t="n">
        <v>407908.6</v>
      </c>
      <c r="L6" s="0" t="str">
        <f aca="false">$I6</f>
        <v>Australia</v>
      </c>
      <c r="M6" s="0" t="s">
        <v>253</v>
      </c>
      <c r="N6" s="4" t="n">
        <f aca="false">-J6/1000/3</f>
        <v>-135.969533333333</v>
      </c>
      <c r="O6" s="0" t="n">
        <v>3</v>
      </c>
      <c r="P6" s="0" t="s">
        <v>394</v>
      </c>
      <c r="R6" s="0" t="str">
        <f aca="false">$I6</f>
        <v>Australia</v>
      </c>
      <c r="S6" s="0" t="s">
        <v>253</v>
      </c>
      <c r="T6" s="4" t="n">
        <f aca="false">-J6/1000/3</f>
        <v>-135.969533333333</v>
      </c>
      <c r="U6" s="0" t="n">
        <v>3</v>
      </c>
      <c r="V6" s="0" t="s">
        <v>596</v>
      </c>
    </row>
    <row r="7" customFormat="false" ht="14.25" hidden="false" customHeight="false" outlineLevel="0" collapsed="false">
      <c r="B7" s="0" t="s">
        <v>10</v>
      </c>
      <c r="C7" s="0" t="s">
        <v>497</v>
      </c>
      <c r="D7" s="0" t="n">
        <v>0.08</v>
      </c>
      <c r="E7" s="0" t="s">
        <v>652</v>
      </c>
      <c r="H7" s="0" t="n">
        <v>2019</v>
      </c>
      <c r="I7" s="0" t="s">
        <v>10</v>
      </c>
      <c r="J7" s="0" t="n">
        <v>68776.7</v>
      </c>
      <c r="L7" s="0" t="str">
        <f aca="false">$I7</f>
        <v>Austria</v>
      </c>
      <c r="M7" s="0" t="s">
        <v>253</v>
      </c>
      <c r="N7" s="4" t="n">
        <f aca="false">-J7/1000/3</f>
        <v>-22.9255666666667</v>
      </c>
      <c r="O7" s="0" t="n">
        <v>3</v>
      </c>
      <c r="P7" s="0" t="s">
        <v>394</v>
      </c>
      <c r="R7" s="0" t="str">
        <f aca="false">$I7</f>
        <v>Austria</v>
      </c>
      <c r="S7" s="0" t="s">
        <v>253</v>
      </c>
      <c r="T7" s="4" t="n">
        <f aca="false">-J7/1000/3</f>
        <v>-22.9255666666667</v>
      </c>
      <c r="U7" s="0" t="n">
        <v>3</v>
      </c>
      <c r="V7" s="0" t="s">
        <v>596</v>
      </c>
    </row>
    <row r="8" customFormat="false" ht="14.25" hidden="false" customHeight="false" outlineLevel="0" collapsed="false">
      <c r="B8" s="0" t="s">
        <v>11</v>
      </c>
      <c r="C8" s="0" t="s">
        <v>497</v>
      </c>
      <c r="D8" s="0" t="n">
        <v>0.08</v>
      </c>
      <c r="E8" s="0" t="s">
        <v>652</v>
      </c>
      <c r="H8" s="0" t="n">
        <v>2019</v>
      </c>
      <c r="I8" s="0" t="s">
        <v>11</v>
      </c>
      <c r="J8" s="0" t="n">
        <v>37667.2</v>
      </c>
      <c r="L8" s="0" t="str">
        <f aca="false">$I8</f>
        <v>Baltics</v>
      </c>
      <c r="M8" s="0" t="s">
        <v>253</v>
      </c>
      <c r="N8" s="4" t="n">
        <f aca="false">-J8/1000/3</f>
        <v>-12.5557333333333</v>
      </c>
      <c r="O8" s="0" t="n">
        <v>3</v>
      </c>
      <c r="P8" s="0" t="s">
        <v>394</v>
      </c>
      <c r="R8" s="0" t="str">
        <f aca="false">$I8</f>
        <v>Baltics</v>
      </c>
      <c r="S8" s="0" t="s">
        <v>253</v>
      </c>
      <c r="T8" s="4" t="n">
        <f aca="false">-J8/1000/3</f>
        <v>-12.5557333333333</v>
      </c>
      <c r="U8" s="0" t="n">
        <v>3</v>
      </c>
      <c r="V8" s="0" t="s">
        <v>596</v>
      </c>
    </row>
    <row r="9" customFormat="false" ht="14.25" hidden="false" customHeight="false" outlineLevel="0" collapsed="false">
      <c r="B9" s="0" t="s">
        <v>12</v>
      </c>
      <c r="C9" s="0" t="s">
        <v>497</v>
      </c>
      <c r="D9" s="0" t="n">
        <v>0.08</v>
      </c>
      <c r="E9" s="0" t="s">
        <v>652</v>
      </c>
      <c r="H9" s="0" t="n">
        <v>2019</v>
      </c>
      <c r="I9" s="0" t="s">
        <v>12</v>
      </c>
      <c r="J9" s="0" t="n">
        <v>267979.6</v>
      </c>
      <c r="L9" s="0" t="str">
        <f aca="false">$I9</f>
        <v>BeNeLux</v>
      </c>
      <c r="M9" s="0" t="s">
        <v>253</v>
      </c>
      <c r="N9" s="4" t="n">
        <f aca="false">-J9/1000/3</f>
        <v>-89.3265333333333</v>
      </c>
      <c r="O9" s="0" t="n">
        <v>3</v>
      </c>
      <c r="P9" s="0" t="s">
        <v>394</v>
      </c>
      <c r="R9" s="0" t="str">
        <f aca="false">$I9</f>
        <v>BeNeLux</v>
      </c>
      <c r="S9" s="0" t="s">
        <v>253</v>
      </c>
      <c r="T9" s="4" t="n">
        <f aca="false">-J9/1000/3</f>
        <v>-89.3265333333333</v>
      </c>
      <c r="U9" s="0" t="n">
        <v>3</v>
      </c>
      <c r="V9" s="0" t="s">
        <v>596</v>
      </c>
    </row>
    <row r="10" customFormat="false" ht="14.25" hidden="false" customHeight="false" outlineLevel="0" collapsed="false">
      <c r="B10" s="0" t="s">
        <v>13</v>
      </c>
      <c r="C10" s="0" t="s">
        <v>497</v>
      </c>
      <c r="D10" s="0" t="n">
        <v>0.0375</v>
      </c>
      <c r="E10" s="0" t="s">
        <v>652</v>
      </c>
      <c r="H10" s="0" t="n">
        <v>2019</v>
      </c>
      <c r="I10" s="0" t="s">
        <v>13</v>
      </c>
      <c r="J10" s="0" t="n">
        <v>468579.4</v>
      </c>
      <c r="L10" s="0" t="str">
        <f aca="false">$I10</f>
        <v>Brazil</v>
      </c>
      <c r="M10" s="0" t="s">
        <v>253</v>
      </c>
      <c r="N10" s="4" t="n">
        <f aca="false">-J10/1000/3</f>
        <v>-156.193133333333</v>
      </c>
      <c r="O10" s="0" t="n">
        <v>3</v>
      </c>
      <c r="P10" s="0" t="s">
        <v>394</v>
      </c>
      <c r="R10" s="0" t="str">
        <f aca="false">$I10</f>
        <v>Brazil</v>
      </c>
      <c r="S10" s="0" t="s">
        <v>253</v>
      </c>
      <c r="T10" s="4" t="n">
        <f aca="false">-J10/1000/3</f>
        <v>-156.193133333333</v>
      </c>
      <c r="U10" s="0" t="n">
        <v>3</v>
      </c>
      <c r="V10" s="0" t="s">
        <v>596</v>
      </c>
    </row>
    <row r="11" customFormat="false" ht="14.25" hidden="false" customHeight="false" outlineLevel="0" collapsed="false">
      <c r="B11" s="0" t="s">
        <v>14</v>
      </c>
      <c r="C11" s="0" t="s">
        <v>497</v>
      </c>
      <c r="D11" s="0" t="n">
        <v>0.04</v>
      </c>
      <c r="E11" s="0" t="s">
        <v>652</v>
      </c>
      <c r="H11" s="0" t="n">
        <v>2019</v>
      </c>
      <c r="I11" s="0" t="s">
        <v>14</v>
      </c>
      <c r="J11" s="0" t="n">
        <v>11813058.2</v>
      </c>
      <c r="L11" s="0" t="str">
        <f aca="false">$I11</f>
        <v>China</v>
      </c>
      <c r="M11" s="0" t="s">
        <v>253</v>
      </c>
      <c r="N11" s="4" t="n">
        <f aca="false">-J11/1000/3</f>
        <v>-3937.68606666667</v>
      </c>
      <c r="O11" s="0" t="n">
        <v>3</v>
      </c>
      <c r="P11" s="0" t="s">
        <v>394</v>
      </c>
      <c r="R11" s="0" t="str">
        <f aca="false">$I11</f>
        <v>China</v>
      </c>
      <c r="S11" s="0" t="s">
        <v>253</v>
      </c>
      <c r="T11" s="4" t="n">
        <f aca="false">-J11/1000/3</f>
        <v>-3937.68606666667</v>
      </c>
      <c r="U11" s="0" t="n">
        <v>3</v>
      </c>
      <c r="V11" s="0" t="s">
        <v>596</v>
      </c>
    </row>
    <row r="12" customFormat="false" ht="14.25" hidden="false" customHeight="false" outlineLevel="0" collapsed="false">
      <c r="B12" s="0" t="s">
        <v>15</v>
      </c>
      <c r="C12" s="0" t="s">
        <v>497</v>
      </c>
      <c r="D12" s="0" t="n">
        <v>0.08</v>
      </c>
      <c r="E12" s="0" t="s">
        <v>652</v>
      </c>
      <c r="H12" s="0" t="n">
        <v>2019</v>
      </c>
      <c r="I12" s="0" t="s">
        <v>15</v>
      </c>
      <c r="J12" s="0" t="n">
        <v>32798.3</v>
      </c>
      <c r="L12" s="0" t="str">
        <f aca="false">$I12</f>
        <v>CroSloven</v>
      </c>
      <c r="M12" s="0" t="s">
        <v>253</v>
      </c>
      <c r="N12" s="4" t="n">
        <f aca="false">-J12/1000/3</f>
        <v>-10.9327666666667</v>
      </c>
      <c r="O12" s="0" t="n">
        <v>3</v>
      </c>
      <c r="P12" s="0" t="s">
        <v>394</v>
      </c>
      <c r="R12" s="0" t="str">
        <f aca="false">$I12</f>
        <v>CroSloven</v>
      </c>
      <c r="S12" s="0" t="s">
        <v>253</v>
      </c>
      <c r="T12" s="4" t="n">
        <f aca="false">-J12/1000/3</f>
        <v>-10.9327666666667</v>
      </c>
      <c r="U12" s="0" t="n">
        <v>3</v>
      </c>
      <c r="V12" s="0" t="s">
        <v>596</v>
      </c>
    </row>
    <row r="13" customFormat="false" ht="14.25" hidden="false" customHeight="false" outlineLevel="0" collapsed="false">
      <c r="B13" s="0" t="s">
        <v>16</v>
      </c>
      <c r="C13" s="0" t="s">
        <v>497</v>
      </c>
      <c r="D13" s="0" t="n">
        <v>0.08</v>
      </c>
      <c r="E13" s="0" t="s">
        <v>652</v>
      </c>
      <c r="H13" s="0" t="n">
        <v>2019</v>
      </c>
      <c r="I13" s="0" t="s">
        <v>16</v>
      </c>
      <c r="J13" s="0" t="n">
        <v>138586.7</v>
      </c>
      <c r="L13" s="0" t="str">
        <f aca="false">$I13</f>
        <v>CzechSlovak</v>
      </c>
      <c r="M13" s="0" t="s">
        <v>253</v>
      </c>
      <c r="N13" s="4" t="n">
        <f aca="false">-J13/1000/3</f>
        <v>-46.1955666666667</v>
      </c>
      <c r="O13" s="0" t="n">
        <v>3</v>
      </c>
      <c r="P13" s="0" t="s">
        <v>394</v>
      </c>
      <c r="R13" s="0" t="str">
        <f aca="false">$I13</f>
        <v>CzechSlovak</v>
      </c>
      <c r="S13" s="0" t="s">
        <v>253</v>
      </c>
      <c r="T13" s="4" t="n">
        <f aca="false">-J13/1000/3</f>
        <v>-46.1955666666667</v>
      </c>
      <c r="U13" s="0" t="n">
        <v>3</v>
      </c>
      <c r="V13" s="0" t="s">
        <v>596</v>
      </c>
    </row>
    <row r="14" customFormat="false" ht="14.25" hidden="false" customHeight="false" outlineLevel="0" collapsed="false">
      <c r="B14" s="0" t="s">
        <v>17</v>
      </c>
      <c r="C14" s="0" t="s">
        <v>497</v>
      </c>
      <c r="D14" s="0" t="n">
        <v>0.08</v>
      </c>
      <c r="E14" s="0" t="s">
        <v>652</v>
      </c>
      <c r="H14" s="0" t="n">
        <v>2019</v>
      </c>
      <c r="I14" s="0" t="s">
        <v>17</v>
      </c>
      <c r="J14" s="0" t="n">
        <v>322904.3</v>
      </c>
      <c r="L14" s="0" t="str">
        <f aca="false">$I14</f>
        <v>France</v>
      </c>
      <c r="M14" s="0" t="s">
        <v>253</v>
      </c>
      <c r="N14" s="4" t="n">
        <f aca="false">-J14/1000/3</f>
        <v>-107.634766666667</v>
      </c>
      <c r="O14" s="0" t="n">
        <v>3</v>
      </c>
      <c r="P14" s="0" t="s">
        <v>394</v>
      </c>
      <c r="R14" s="0" t="str">
        <f aca="false">$I14</f>
        <v>France</v>
      </c>
      <c r="S14" s="0" t="s">
        <v>253</v>
      </c>
      <c r="T14" s="4" t="n">
        <f aca="false">-J14/1000/3</f>
        <v>-107.634766666667</v>
      </c>
      <c r="U14" s="0" t="n">
        <v>3</v>
      </c>
      <c r="V14" s="0" t="s">
        <v>596</v>
      </c>
    </row>
    <row r="15" customFormat="false" ht="14.25" hidden="false" customHeight="false" outlineLevel="0" collapsed="false">
      <c r="B15" s="0" t="s">
        <v>18</v>
      </c>
      <c r="C15" s="0" t="s">
        <v>497</v>
      </c>
      <c r="D15" s="0" t="n">
        <v>0.08</v>
      </c>
      <c r="E15" s="0" t="s">
        <v>652</v>
      </c>
      <c r="H15" s="0" t="n">
        <v>2019</v>
      </c>
      <c r="I15" s="0" t="s">
        <v>18</v>
      </c>
      <c r="J15" s="0" t="n">
        <v>696500.2</v>
      </c>
      <c r="L15" s="0" t="str">
        <f aca="false">$I15</f>
        <v>Germany</v>
      </c>
      <c r="M15" s="0" t="s">
        <v>253</v>
      </c>
      <c r="N15" s="4" t="n">
        <f aca="false">-J15/1000/3</f>
        <v>-232.166733333333</v>
      </c>
      <c r="O15" s="0" t="n">
        <v>3</v>
      </c>
      <c r="P15" s="0" t="s">
        <v>394</v>
      </c>
      <c r="R15" s="0" t="str">
        <f aca="false">$I15</f>
        <v>Germany</v>
      </c>
      <c r="S15" s="0" t="s">
        <v>253</v>
      </c>
      <c r="T15" s="4" t="n">
        <f aca="false">-J15/1000/3</f>
        <v>-232.166733333333</v>
      </c>
      <c r="U15" s="0" t="n">
        <v>3</v>
      </c>
      <c r="V15" s="0" t="s">
        <v>596</v>
      </c>
    </row>
    <row r="16" customFormat="false" ht="14.25" hidden="false" customHeight="false" outlineLevel="0" collapsed="false">
      <c r="B16" s="0" t="s">
        <v>19</v>
      </c>
      <c r="C16" s="0" t="s">
        <v>497</v>
      </c>
      <c r="D16" s="0" t="n">
        <v>0.08</v>
      </c>
      <c r="E16" s="0" t="s">
        <v>652</v>
      </c>
      <c r="H16" s="0" t="n">
        <v>2019</v>
      </c>
      <c r="I16" s="0" t="s">
        <v>19</v>
      </c>
      <c r="J16" s="0" t="n">
        <v>68709.5</v>
      </c>
      <c r="L16" s="0" t="str">
        <f aca="false">$I16</f>
        <v>GreeceCyp</v>
      </c>
      <c r="M16" s="0" t="s">
        <v>253</v>
      </c>
      <c r="N16" s="4" t="n">
        <f aca="false">-J16/1000/3</f>
        <v>-22.9031666666667</v>
      </c>
      <c r="O16" s="0" t="n">
        <v>3</v>
      </c>
      <c r="P16" s="0" t="s">
        <v>394</v>
      </c>
      <c r="R16" s="0" t="str">
        <f aca="false">$I16</f>
        <v>GreeceCyp</v>
      </c>
      <c r="S16" s="0" t="s">
        <v>253</v>
      </c>
      <c r="T16" s="4" t="n">
        <f aca="false">-J16/1000/3</f>
        <v>-22.9031666666667</v>
      </c>
      <c r="U16" s="0" t="n">
        <v>3</v>
      </c>
      <c r="V16" s="0" t="s">
        <v>596</v>
      </c>
    </row>
    <row r="17" customFormat="false" ht="14.25" hidden="false" customHeight="false" outlineLevel="0" collapsed="false">
      <c r="B17" s="0" t="s">
        <v>20</v>
      </c>
      <c r="C17" s="0" t="s">
        <v>497</v>
      </c>
      <c r="D17" s="0" t="n">
        <v>0.08</v>
      </c>
      <c r="E17" s="0" t="s">
        <v>652</v>
      </c>
      <c r="H17" s="0" t="n">
        <v>2019</v>
      </c>
      <c r="I17" s="0" t="s">
        <v>20</v>
      </c>
      <c r="J17" s="0" t="n">
        <v>177290.8</v>
      </c>
      <c r="L17" s="0" t="str">
        <f aca="false">$I17</f>
        <v>HunRomBul</v>
      </c>
      <c r="M17" s="0" t="s">
        <v>253</v>
      </c>
      <c r="N17" s="4" t="n">
        <f aca="false">-J17/1000/3</f>
        <v>-59.0969333333333</v>
      </c>
      <c r="O17" s="0" t="n">
        <v>3</v>
      </c>
      <c r="P17" s="0" t="s">
        <v>394</v>
      </c>
      <c r="R17" s="0" t="str">
        <f aca="false">$I17</f>
        <v>HunRomBul</v>
      </c>
      <c r="S17" s="0" t="s">
        <v>253</v>
      </c>
      <c r="T17" s="4" t="n">
        <f aca="false">-J17/1000/3</f>
        <v>-59.0969333333333</v>
      </c>
      <c r="U17" s="0" t="n">
        <v>3</v>
      </c>
      <c r="V17" s="0" t="s">
        <v>596</v>
      </c>
    </row>
    <row r="18" customFormat="false" ht="14.25" hidden="false" customHeight="false" outlineLevel="0" collapsed="false">
      <c r="B18" s="0" t="s">
        <v>21</v>
      </c>
      <c r="C18" s="0" t="s">
        <v>497</v>
      </c>
      <c r="D18" s="0" t="n">
        <v>0.08</v>
      </c>
      <c r="E18" s="0" t="s">
        <v>652</v>
      </c>
      <c r="H18" s="0" t="n">
        <v>2019</v>
      </c>
      <c r="I18" s="0" t="s">
        <v>21</v>
      </c>
      <c r="J18" s="0" t="n">
        <v>3176.8</v>
      </c>
      <c r="L18" s="0" t="str">
        <f aca="false">$I18</f>
        <v>Iceland</v>
      </c>
      <c r="M18" s="0" t="s">
        <v>253</v>
      </c>
      <c r="N18" s="4" t="n">
        <f aca="false">-J18/1000/3</f>
        <v>-1.05893333333333</v>
      </c>
      <c r="O18" s="0" t="n">
        <v>3</v>
      </c>
      <c r="P18" s="0" t="s">
        <v>394</v>
      </c>
      <c r="R18" s="0" t="str">
        <f aca="false">$I18</f>
        <v>Iceland</v>
      </c>
      <c r="S18" s="0" t="s">
        <v>253</v>
      </c>
      <c r="T18" s="4" t="n">
        <f aca="false">-J18/1000/3</f>
        <v>-1.05893333333333</v>
      </c>
      <c r="U18" s="0" t="n">
        <v>3</v>
      </c>
      <c r="V18" s="0" t="s">
        <v>596</v>
      </c>
    </row>
    <row r="19" customFormat="false" ht="14.25" hidden="false" customHeight="false" outlineLevel="0" collapsed="false">
      <c r="B19" s="0" t="s">
        <v>22</v>
      </c>
      <c r="C19" s="0" t="s">
        <v>497</v>
      </c>
      <c r="D19" s="0" t="n">
        <v>0.08</v>
      </c>
      <c r="E19" s="0" t="s">
        <v>652</v>
      </c>
      <c r="H19" s="0" t="n">
        <v>2019</v>
      </c>
      <c r="I19" s="0" t="s">
        <v>22</v>
      </c>
      <c r="J19" s="0" t="n">
        <v>2551485.1</v>
      </c>
      <c r="L19" s="0" t="str">
        <f aca="false">$I19</f>
        <v>India</v>
      </c>
      <c r="M19" s="0" t="s">
        <v>253</v>
      </c>
      <c r="N19" s="4" t="n">
        <f aca="false">-J19/1000/3</f>
        <v>-850.495033333333</v>
      </c>
      <c r="O19" s="0" t="n">
        <v>3</v>
      </c>
      <c r="P19" s="0" t="s">
        <v>394</v>
      </c>
      <c r="R19" s="0" t="str">
        <f aca="false">$I19</f>
        <v>India</v>
      </c>
      <c r="S19" s="0" t="s">
        <v>253</v>
      </c>
      <c r="T19" s="4" t="n">
        <f aca="false">-J19/1000/3</f>
        <v>-850.495033333333</v>
      </c>
      <c r="U19" s="0" t="n">
        <v>3</v>
      </c>
      <c r="V19" s="0" t="s">
        <v>596</v>
      </c>
    </row>
    <row r="20" customFormat="false" ht="14.25" hidden="false" customHeight="false" outlineLevel="0" collapsed="false">
      <c r="B20" s="0" t="s">
        <v>23</v>
      </c>
      <c r="C20" s="0" t="s">
        <v>497</v>
      </c>
      <c r="D20" s="0" t="n">
        <v>0.08</v>
      </c>
      <c r="E20" s="0" t="s">
        <v>652</v>
      </c>
      <c r="H20" s="0" t="n">
        <v>2019</v>
      </c>
      <c r="I20" s="0" t="s">
        <v>23</v>
      </c>
      <c r="J20" s="0" t="n">
        <v>36369</v>
      </c>
      <c r="L20" s="0" t="str">
        <f aca="false">$I20</f>
        <v>Ireland</v>
      </c>
      <c r="M20" s="0" t="s">
        <v>253</v>
      </c>
      <c r="N20" s="4" t="n">
        <f aca="false">-J20/1000/3</f>
        <v>-12.123</v>
      </c>
      <c r="O20" s="0" t="n">
        <v>3</v>
      </c>
      <c r="P20" s="0" t="s">
        <v>394</v>
      </c>
      <c r="R20" s="0" t="str">
        <f aca="false">$I20</f>
        <v>Ireland</v>
      </c>
      <c r="S20" s="0" t="s">
        <v>253</v>
      </c>
      <c r="T20" s="4" t="n">
        <f aca="false">-J20/1000/3</f>
        <v>-12.123</v>
      </c>
      <c r="U20" s="0" t="n">
        <v>3</v>
      </c>
      <c r="V20" s="0" t="s">
        <v>596</v>
      </c>
    </row>
    <row r="21" customFormat="false" ht="14.25" hidden="false" customHeight="false" outlineLevel="0" collapsed="false">
      <c r="B21" s="0" t="s">
        <v>24</v>
      </c>
      <c r="C21" s="0" t="s">
        <v>497</v>
      </c>
      <c r="D21" s="0" t="n">
        <v>0.08</v>
      </c>
      <c r="E21" s="0" t="s">
        <v>652</v>
      </c>
      <c r="H21" s="0" t="n">
        <v>2019</v>
      </c>
      <c r="I21" s="0" t="s">
        <v>24</v>
      </c>
      <c r="J21" s="0" t="n">
        <v>334235</v>
      </c>
      <c r="L21" s="0" t="str">
        <f aca="false">$I21</f>
        <v>ItalyMal</v>
      </c>
      <c r="M21" s="0" t="s">
        <v>253</v>
      </c>
      <c r="N21" s="4" t="n">
        <f aca="false">-J21/1000/3</f>
        <v>-111.411666666667</v>
      </c>
      <c r="O21" s="0" t="n">
        <v>3</v>
      </c>
      <c r="P21" s="0" t="s">
        <v>394</v>
      </c>
      <c r="R21" s="0" t="str">
        <f aca="false">$I21</f>
        <v>ItalyMal</v>
      </c>
      <c r="S21" s="0" t="s">
        <v>253</v>
      </c>
      <c r="T21" s="4" t="n">
        <f aca="false">-J21/1000/3</f>
        <v>-111.411666666667</v>
      </c>
      <c r="U21" s="0" t="n">
        <v>3</v>
      </c>
      <c r="V21" s="0" t="s">
        <v>596</v>
      </c>
    </row>
    <row r="22" customFormat="false" ht="14.25" hidden="false" customHeight="false" outlineLevel="0" collapsed="false">
      <c r="B22" s="0" t="s">
        <v>25</v>
      </c>
      <c r="C22" s="0" t="s">
        <v>497</v>
      </c>
      <c r="D22" s="0" t="n">
        <v>0.1</v>
      </c>
      <c r="E22" s="0" t="s">
        <v>652</v>
      </c>
      <c r="H22" s="0" t="n">
        <v>2019</v>
      </c>
      <c r="I22" s="0" t="s">
        <v>25</v>
      </c>
      <c r="J22" s="0" t="n">
        <v>1123813</v>
      </c>
      <c r="L22" s="0" t="str">
        <f aca="false">$I22</f>
        <v>Japan</v>
      </c>
      <c r="M22" s="0" t="s">
        <v>253</v>
      </c>
      <c r="N22" s="4" t="n">
        <f aca="false">-J22/1000/3</f>
        <v>-374.604333333333</v>
      </c>
      <c r="O22" s="0" t="n">
        <v>3</v>
      </c>
      <c r="P22" s="0" t="s">
        <v>394</v>
      </c>
      <c r="R22" s="0" t="str">
        <f aca="false">$I22</f>
        <v>Japan</v>
      </c>
      <c r="S22" s="0" t="s">
        <v>253</v>
      </c>
      <c r="T22" s="4" t="n">
        <f aca="false">-J22/1000/3</f>
        <v>-374.604333333333</v>
      </c>
      <c r="U22" s="0" t="n">
        <v>3</v>
      </c>
      <c r="V22" s="0" t="s">
        <v>596</v>
      </c>
    </row>
    <row r="23" customFormat="false" ht="14.25" hidden="false" customHeight="false" outlineLevel="0" collapsed="false">
      <c r="B23" s="0" t="s">
        <v>26</v>
      </c>
      <c r="C23" s="0" t="s">
        <v>497</v>
      </c>
      <c r="D23" s="0" t="n">
        <v>0.0375</v>
      </c>
      <c r="E23" s="0" t="s">
        <v>652</v>
      </c>
      <c r="H23" s="0" t="n">
        <v>2019</v>
      </c>
      <c r="I23" s="0" t="s">
        <v>26</v>
      </c>
      <c r="J23" s="0" t="n">
        <v>806801.1</v>
      </c>
      <c r="L23" s="0" t="str">
        <f aca="false">$I23</f>
        <v>LatAm</v>
      </c>
      <c r="M23" s="0" t="s">
        <v>253</v>
      </c>
      <c r="N23" s="4" t="n">
        <f aca="false">-J23/1000/3</f>
        <v>-268.9337</v>
      </c>
      <c r="O23" s="0" t="n">
        <v>3</v>
      </c>
      <c r="P23" s="0" t="s">
        <v>394</v>
      </c>
      <c r="R23" s="0" t="str">
        <f aca="false">$I23</f>
        <v>LatAm</v>
      </c>
      <c r="S23" s="0" t="s">
        <v>253</v>
      </c>
      <c r="T23" s="4" t="n">
        <f aca="false">-J23/1000/3</f>
        <v>-268.9337</v>
      </c>
      <c r="U23" s="0" t="n">
        <v>3</v>
      </c>
      <c r="V23" s="0" t="s">
        <v>596</v>
      </c>
    </row>
    <row r="24" customFormat="false" ht="14.25" hidden="false" customHeight="false" outlineLevel="0" collapsed="false">
      <c r="B24" s="0" t="s">
        <v>27</v>
      </c>
      <c r="C24" s="0" t="s">
        <v>497</v>
      </c>
      <c r="D24" s="0" t="n">
        <v>0.01</v>
      </c>
      <c r="E24" s="0" t="s">
        <v>652</v>
      </c>
      <c r="H24" s="0" t="n">
        <v>2019</v>
      </c>
      <c r="I24" s="0" t="s">
        <v>27</v>
      </c>
      <c r="J24" s="0" t="n">
        <v>1602111.4</v>
      </c>
      <c r="L24" s="0" t="str">
        <f aca="false">$I24</f>
        <v>MidEast</v>
      </c>
      <c r="M24" s="0" t="s">
        <v>253</v>
      </c>
      <c r="N24" s="4" t="n">
        <f aca="false">-J24/1000/3</f>
        <v>-534.037133333333</v>
      </c>
      <c r="O24" s="0" t="n">
        <v>3</v>
      </c>
      <c r="P24" s="0" t="s">
        <v>394</v>
      </c>
      <c r="R24" s="0" t="str">
        <f aca="false">$I24</f>
        <v>MidEast</v>
      </c>
      <c r="S24" s="0" t="s">
        <v>253</v>
      </c>
      <c r="T24" s="4" t="n">
        <f aca="false">-J24/1000/3</f>
        <v>-534.037133333333</v>
      </c>
      <c r="U24" s="0" t="n">
        <v>3</v>
      </c>
      <c r="V24" s="0" t="s">
        <v>596</v>
      </c>
    </row>
    <row r="25" customFormat="false" ht="14.25" hidden="false" customHeight="false" outlineLevel="0" collapsed="false">
      <c r="B25" s="0" t="s">
        <v>28</v>
      </c>
      <c r="C25" s="0" t="s">
        <v>497</v>
      </c>
      <c r="D25" s="0" t="n">
        <v>0.025</v>
      </c>
      <c r="E25" s="0" t="s">
        <v>652</v>
      </c>
      <c r="H25" s="0" t="n">
        <v>2019</v>
      </c>
      <c r="I25" s="0" t="s">
        <v>28</v>
      </c>
      <c r="J25" s="0" t="n">
        <v>6070661</v>
      </c>
      <c r="L25" s="0" t="str">
        <f aca="false">$I25</f>
        <v>NorthAm</v>
      </c>
      <c r="M25" s="0" t="s">
        <v>253</v>
      </c>
      <c r="N25" s="4" t="n">
        <f aca="false">-J25/1000/3</f>
        <v>-2023.55366666667</v>
      </c>
      <c r="O25" s="0" t="n">
        <v>3</v>
      </c>
      <c r="P25" s="0" t="s">
        <v>394</v>
      </c>
      <c r="R25" s="0" t="str">
        <f aca="false">$I25</f>
        <v>NorthAm</v>
      </c>
      <c r="S25" s="0" t="s">
        <v>253</v>
      </c>
      <c r="T25" s="4" t="n">
        <f aca="false">-J25/1000/3</f>
        <v>-2023.55366666667</v>
      </c>
      <c r="U25" s="0" t="n">
        <v>3</v>
      </c>
      <c r="V25" s="0" t="s">
        <v>596</v>
      </c>
    </row>
    <row r="26" customFormat="false" ht="14.25" hidden="false" customHeight="false" outlineLevel="0" collapsed="false">
      <c r="B26" s="0" t="s">
        <v>29</v>
      </c>
      <c r="C26" s="0" t="s">
        <v>497</v>
      </c>
      <c r="D26" s="0" t="n">
        <v>0.08</v>
      </c>
      <c r="E26" s="0" t="s">
        <v>652</v>
      </c>
      <c r="H26" s="0" t="n">
        <v>2019</v>
      </c>
      <c r="I26" s="0" t="s">
        <v>29</v>
      </c>
      <c r="J26" s="0" t="n">
        <v>45346.6</v>
      </c>
      <c r="L26" s="0" t="str">
        <f aca="false">$I26</f>
        <v>Norway</v>
      </c>
      <c r="M26" s="0" t="s">
        <v>253</v>
      </c>
      <c r="N26" s="4" t="n">
        <f aca="false">-J26/1000/3</f>
        <v>-15.1155333333333</v>
      </c>
      <c r="O26" s="0" t="n">
        <v>3</v>
      </c>
      <c r="P26" s="0" t="s">
        <v>394</v>
      </c>
      <c r="R26" s="0" t="str">
        <f aca="false">$I26</f>
        <v>Norway</v>
      </c>
      <c r="S26" s="0" t="s">
        <v>253</v>
      </c>
      <c r="T26" s="4" t="n">
        <f aca="false">-J26/1000/3</f>
        <v>-15.1155333333333</v>
      </c>
      <c r="U26" s="0" t="n">
        <v>3</v>
      </c>
      <c r="V26" s="0" t="s">
        <v>596</v>
      </c>
    </row>
    <row r="27" customFormat="false" ht="14.25" hidden="false" customHeight="false" outlineLevel="0" collapsed="false">
      <c r="B27" s="0" t="s">
        <v>30</v>
      </c>
      <c r="C27" s="0" t="s">
        <v>497</v>
      </c>
      <c r="D27" s="0" t="n">
        <v>0.08</v>
      </c>
      <c r="E27" s="0" t="s">
        <v>652</v>
      </c>
      <c r="H27" s="0" t="n">
        <v>2019</v>
      </c>
      <c r="I27" s="0" t="s">
        <v>30</v>
      </c>
      <c r="J27" s="0" t="n">
        <v>312070.7</v>
      </c>
      <c r="L27" s="0" t="str">
        <f aca="false">$I27</f>
        <v>Poland</v>
      </c>
      <c r="M27" s="0" t="s">
        <v>253</v>
      </c>
      <c r="N27" s="4" t="n">
        <f aca="false">-J27/1000/3</f>
        <v>-104.023566666667</v>
      </c>
      <c r="O27" s="0" t="n">
        <v>3</v>
      </c>
      <c r="P27" s="0" t="s">
        <v>394</v>
      </c>
      <c r="R27" s="0" t="str">
        <f aca="false">$I27</f>
        <v>Poland</v>
      </c>
      <c r="S27" s="0" t="s">
        <v>253</v>
      </c>
      <c r="T27" s="4" t="n">
        <f aca="false">-J27/1000/3</f>
        <v>-104.023566666667</v>
      </c>
      <c r="U27" s="0" t="n">
        <v>3</v>
      </c>
      <c r="V27" s="0" t="s">
        <v>596</v>
      </c>
    </row>
    <row r="28" customFormat="false" ht="14.25" hidden="false" customHeight="false" outlineLevel="0" collapsed="false">
      <c r="B28" s="0" t="s">
        <v>31</v>
      </c>
      <c r="C28" s="0" t="s">
        <v>497</v>
      </c>
      <c r="D28" s="0" t="n">
        <v>0.05</v>
      </c>
      <c r="E28" s="0" t="s">
        <v>652</v>
      </c>
      <c r="H28" s="0" t="n">
        <v>2019</v>
      </c>
      <c r="I28" s="0" t="s">
        <v>31</v>
      </c>
      <c r="J28" s="0" t="n">
        <v>3491433.3</v>
      </c>
      <c r="L28" s="0" t="str">
        <f aca="false">$I28</f>
        <v>ROW</v>
      </c>
      <c r="M28" s="0" t="s">
        <v>253</v>
      </c>
      <c r="N28" s="4" t="n">
        <f aca="false">-J28/1000/3</f>
        <v>-1163.8111</v>
      </c>
      <c r="O28" s="0" t="n">
        <v>3</v>
      </c>
      <c r="P28" s="0" t="s">
        <v>394</v>
      </c>
      <c r="R28" s="0" t="str">
        <f aca="false">$I28</f>
        <v>ROW</v>
      </c>
      <c r="S28" s="0" t="s">
        <v>253</v>
      </c>
      <c r="T28" s="4" t="n">
        <f aca="false">-J28/1000/3</f>
        <v>-1163.8111</v>
      </c>
      <c r="U28" s="0" t="n">
        <v>3</v>
      </c>
      <c r="V28" s="0" t="s">
        <v>596</v>
      </c>
    </row>
    <row r="29" customFormat="false" ht="14.25" hidden="false" customHeight="false" outlineLevel="0" collapsed="false">
      <c r="B29" s="0" t="s">
        <v>32</v>
      </c>
      <c r="C29" s="0" t="s">
        <v>497</v>
      </c>
      <c r="D29" s="0" t="n">
        <v>0.05</v>
      </c>
      <c r="E29" s="0" t="s">
        <v>652</v>
      </c>
      <c r="H29" s="0" t="n">
        <v>2019</v>
      </c>
      <c r="I29" s="0" t="s">
        <v>32</v>
      </c>
      <c r="J29" s="0" t="n">
        <v>1919249.5</v>
      </c>
      <c r="L29" s="0" t="str">
        <f aca="false">$I29</f>
        <v>Russia</v>
      </c>
      <c r="M29" s="0" t="s">
        <v>253</v>
      </c>
      <c r="N29" s="4" t="n">
        <f aca="false">-J29/1000/3</f>
        <v>-639.749833333333</v>
      </c>
      <c r="O29" s="0" t="n">
        <v>3</v>
      </c>
      <c r="P29" s="0" t="s">
        <v>394</v>
      </c>
      <c r="R29" s="0" t="str">
        <f aca="false">$I29</f>
        <v>Russia</v>
      </c>
      <c r="S29" s="0" t="s">
        <v>253</v>
      </c>
      <c r="T29" s="4" t="n">
        <f aca="false">-J29/1000/3</f>
        <v>-639.749833333333</v>
      </c>
      <c r="U29" s="0" t="n">
        <v>3</v>
      </c>
      <c r="V29" s="0" t="s">
        <v>596</v>
      </c>
    </row>
    <row r="30" customFormat="false" ht="14.25" hidden="false" customHeight="false" outlineLevel="0" collapsed="false">
      <c r="B30" s="0" t="s">
        <v>33</v>
      </c>
      <c r="C30" s="0" t="s">
        <v>497</v>
      </c>
      <c r="D30" s="0" t="n">
        <v>0.01</v>
      </c>
      <c r="E30" s="0" t="s">
        <v>652</v>
      </c>
      <c r="H30" s="0" t="n">
        <v>2019</v>
      </c>
      <c r="I30" s="0" t="s">
        <v>33</v>
      </c>
      <c r="J30" s="0" t="n">
        <v>579808.8</v>
      </c>
      <c r="L30" s="0" t="str">
        <f aca="false">$I30</f>
        <v>SaudiArabia</v>
      </c>
      <c r="M30" s="0" t="s">
        <v>253</v>
      </c>
      <c r="N30" s="4" t="n">
        <f aca="false">-J30/1000/3</f>
        <v>-193.2696</v>
      </c>
      <c r="O30" s="0" t="n">
        <v>3</v>
      </c>
      <c r="P30" s="0" t="s">
        <v>394</v>
      </c>
      <c r="R30" s="0" t="str">
        <f aca="false">$I30</f>
        <v>SaudiArabia</v>
      </c>
      <c r="S30" s="0" t="s">
        <v>253</v>
      </c>
      <c r="T30" s="4" t="n">
        <f aca="false">-J30/1000/3</f>
        <v>-193.2696</v>
      </c>
      <c r="U30" s="0" t="n">
        <v>3</v>
      </c>
      <c r="V30" s="0" t="s">
        <v>596</v>
      </c>
    </row>
    <row r="31" customFormat="false" ht="14.25" hidden="false" customHeight="false" outlineLevel="0" collapsed="false">
      <c r="B31" s="0" t="s">
        <v>34</v>
      </c>
      <c r="C31" s="0" t="s">
        <v>497</v>
      </c>
      <c r="D31" s="0" t="n">
        <v>0.08</v>
      </c>
      <c r="E31" s="0" t="s">
        <v>652</v>
      </c>
      <c r="H31" s="0" t="n">
        <v>2019</v>
      </c>
      <c r="I31" s="0" t="s">
        <v>34</v>
      </c>
      <c r="J31" s="0" t="n">
        <v>477544.6</v>
      </c>
      <c r="L31" s="0" t="str">
        <f aca="false">$I31</f>
        <v>SouthAfrica</v>
      </c>
      <c r="M31" s="0" t="s">
        <v>253</v>
      </c>
      <c r="N31" s="4" t="n">
        <f aca="false">-J31/1000/3</f>
        <v>-159.181533333333</v>
      </c>
      <c r="O31" s="0" t="n">
        <v>3</v>
      </c>
      <c r="P31" s="0" t="s">
        <v>394</v>
      </c>
      <c r="R31" s="0" t="str">
        <f aca="false">$I31</f>
        <v>SouthAfrica</v>
      </c>
      <c r="S31" s="0" t="s">
        <v>253</v>
      </c>
      <c r="T31" s="4" t="n">
        <f aca="false">-J31/1000/3</f>
        <v>-159.181533333333</v>
      </c>
      <c r="U31" s="0" t="n">
        <v>3</v>
      </c>
      <c r="V31" s="0" t="s">
        <v>596</v>
      </c>
    </row>
    <row r="32" customFormat="false" ht="14.25" hidden="false" customHeight="false" outlineLevel="0" collapsed="false">
      <c r="B32" s="0" t="s">
        <v>35</v>
      </c>
      <c r="C32" s="0" t="s">
        <v>497</v>
      </c>
      <c r="D32" s="0" t="n">
        <v>0.08</v>
      </c>
      <c r="E32" s="0" t="s">
        <v>652</v>
      </c>
      <c r="H32" s="0" t="n">
        <v>2019</v>
      </c>
      <c r="I32" s="0" t="s">
        <v>35</v>
      </c>
      <c r="J32" s="0" t="n">
        <v>300779.3</v>
      </c>
      <c r="L32" s="0" t="str">
        <f aca="false">$I32</f>
        <v>SpainPor</v>
      </c>
      <c r="M32" s="0" t="s">
        <v>253</v>
      </c>
      <c r="N32" s="4" t="n">
        <f aca="false">-J32/1000/3</f>
        <v>-100.259766666667</v>
      </c>
      <c r="O32" s="0" t="n">
        <v>3</v>
      </c>
      <c r="P32" s="0" t="s">
        <v>394</v>
      </c>
      <c r="R32" s="0" t="str">
        <f aca="false">$I32</f>
        <v>SpainPor</v>
      </c>
      <c r="S32" s="0" t="s">
        <v>253</v>
      </c>
      <c r="T32" s="4" t="n">
        <f aca="false">-J32/1000/3</f>
        <v>-100.259766666667</v>
      </c>
      <c r="U32" s="0" t="n">
        <v>3</v>
      </c>
      <c r="V32" s="0" t="s">
        <v>596</v>
      </c>
    </row>
    <row r="33" customFormat="false" ht="14.25" hidden="false" customHeight="false" outlineLevel="0" collapsed="false">
      <c r="B33" s="0" t="s">
        <v>36</v>
      </c>
      <c r="C33" s="0" t="s">
        <v>497</v>
      </c>
      <c r="D33" s="0" t="n">
        <v>0.08</v>
      </c>
      <c r="E33" s="0" t="s">
        <v>652</v>
      </c>
      <c r="H33" s="0" t="n">
        <v>2019</v>
      </c>
      <c r="I33" s="0" t="s">
        <v>36</v>
      </c>
      <c r="J33" s="0" t="n">
        <v>113715.7</v>
      </c>
      <c r="L33" s="0" t="str">
        <f aca="false">$I33</f>
        <v>SweFinDen</v>
      </c>
      <c r="M33" s="0" t="s">
        <v>253</v>
      </c>
      <c r="N33" s="4" t="n">
        <f aca="false">-J33/1000/3</f>
        <v>-37.9052333333333</v>
      </c>
      <c r="O33" s="0" t="n">
        <v>3</v>
      </c>
      <c r="P33" s="0" t="s">
        <v>394</v>
      </c>
      <c r="R33" s="0" t="str">
        <f aca="false">$I33</f>
        <v>SweFinDen</v>
      </c>
      <c r="S33" s="0" t="s">
        <v>253</v>
      </c>
      <c r="T33" s="4" t="n">
        <f aca="false">-J33/1000/3</f>
        <v>-37.9052333333333</v>
      </c>
      <c r="U33" s="0" t="n">
        <v>3</v>
      </c>
      <c r="V33" s="0" t="s">
        <v>596</v>
      </c>
    </row>
    <row r="34" customFormat="false" ht="14.25" hidden="false" customHeight="false" outlineLevel="0" collapsed="false">
      <c r="B34" s="0" t="s">
        <v>37</v>
      </c>
      <c r="C34" s="0" t="s">
        <v>497</v>
      </c>
      <c r="D34" s="0" t="n">
        <v>0.08</v>
      </c>
      <c r="E34" s="0" t="s">
        <v>652</v>
      </c>
      <c r="H34" s="0" t="n">
        <v>2019</v>
      </c>
      <c r="I34" s="0" t="s">
        <v>37</v>
      </c>
      <c r="J34" s="0" t="n">
        <v>38395.4</v>
      </c>
      <c r="L34" s="0" t="str">
        <f aca="false">$I34</f>
        <v>Switzerland</v>
      </c>
      <c r="M34" s="0" t="s">
        <v>253</v>
      </c>
      <c r="N34" s="4" t="n">
        <f aca="false">-J34/1000/3</f>
        <v>-12.7984666666667</v>
      </c>
      <c r="O34" s="0" t="n">
        <v>3</v>
      </c>
      <c r="P34" s="0" t="s">
        <v>394</v>
      </c>
      <c r="R34" s="0" t="str">
        <f aca="false">$I34</f>
        <v>Switzerland</v>
      </c>
      <c r="S34" s="0" t="s">
        <v>253</v>
      </c>
      <c r="T34" s="4" t="n">
        <f aca="false">-J34/1000/3</f>
        <v>-12.7984666666667</v>
      </c>
      <c r="U34" s="0" t="n">
        <v>3</v>
      </c>
      <c r="V34" s="0" t="s">
        <v>596</v>
      </c>
    </row>
    <row r="35" customFormat="false" ht="14.25" hidden="false" customHeight="false" outlineLevel="0" collapsed="false">
      <c r="B35" s="0" t="s">
        <v>38</v>
      </c>
      <c r="C35" s="0" t="s">
        <v>497</v>
      </c>
      <c r="D35" s="0" t="n">
        <v>0.0375</v>
      </c>
      <c r="E35" s="0" t="s">
        <v>652</v>
      </c>
      <c r="H35" s="0" t="n">
        <v>2019</v>
      </c>
      <c r="I35" s="0" t="s">
        <v>38</v>
      </c>
      <c r="J35" s="0" t="n">
        <v>414477.5</v>
      </c>
      <c r="L35" s="0" t="str">
        <f aca="false">$I35</f>
        <v>Turkey</v>
      </c>
      <c r="M35" s="0" t="s">
        <v>253</v>
      </c>
      <c r="N35" s="4" t="n">
        <f aca="false">-J35/1000/3</f>
        <v>-138.159166666667</v>
      </c>
      <c r="O35" s="0" t="n">
        <v>3</v>
      </c>
      <c r="P35" s="0" t="s">
        <v>394</v>
      </c>
      <c r="R35" s="0" t="str">
        <f aca="false">$I35</f>
        <v>Turkey</v>
      </c>
      <c r="S35" s="0" t="s">
        <v>253</v>
      </c>
      <c r="T35" s="4" t="n">
        <f aca="false">-J35/1000/3</f>
        <v>-138.159166666667</v>
      </c>
      <c r="U35" s="0" t="n">
        <v>3</v>
      </c>
      <c r="V35" s="0" t="s">
        <v>596</v>
      </c>
    </row>
    <row r="36" customFormat="false" ht="14.25" hidden="false" customHeight="false" outlineLevel="0" collapsed="false">
      <c r="B36" s="0" t="s">
        <v>39</v>
      </c>
      <c r="C36" s="0" t="s">
        <v>497</v>
      </c>
      <c r="D36" s="0" t="n">
        <v>0.08</v>
      </c>
      <c r="E36" s="0" t="s">
        <v>652</v>
      </c>
      <c r="H36" s="0" t="n">
        <v>2019</v>
      </c>
      <c r="I36" s="0" t="s">
        <v>39</v>
      </c>
      <c r="J36" s="0" t="n">
        <v>359013.1</v>
      </c>
      <c r="L36" s="0" t="str">
        <f aca="false">$I36</f>
        <v>UK</v>
      </c>
      <c r="M36" s="0" t="s">
        <v>253</v>
      </c>
      <c r="N36" s="4" t="n">
        <f aca="false">-J36/1000/3</f>
        <v>-119.671033333333</v>
      </c>
      <c r="O36" s="0" t="n">
        <v>3</v>
      </c>
      <c r="P36" s="0" t="s">
        <v>394</v>
      </c>
      <c r="R36" s="0" t="str">
        <f aca="false">$I36</f>
        <v>UK</v>
      </c>
      <c r="S36" s="0" t="s">
        <v>253</v>
      </c>
      <c r="T36" s="4" t="n">
        <f aca="false">-J36/1000/3</f>
        <v>-119.671033333333</v>
      </c>
      <c r="U36" s="0" t="n">
        <v>3</v>
      </c>
      <c r="V36" s="0" t="s">
        <v>596</v>
      </c>
    </row>
    <row r="37" customFormat="false" ht="14.25" hidden="false" customHeight="false" outlineLevel="0" collapsed="false">
      <c r="B37" s="0" t="s">
        <v>40</v>
      </c>
      <c r="C37" s="0" t="s">
        <v>497</v>
      </c>
      <c r="D37" s="0" t="n">
        <v>0.0375</v>
      </c>
      <c r="E37" s="0" t="s">
        <v>652</v>
      </c>
      <c r="H37" s="0" t="n">
        <v>2019</v>
      </c>
      <c r="I37" s="0" t="s">
        <v>40</v>
      </c>
      <c r="J37" s="0" t="n">
        <v>217019.8</v>
      </c>
      <c r="L37" s="0" t="str">
        <f aca="false">$I37</f>
        <v>Ukraine</v>
      </c>
      <c r="M37" s="0" t="s">
        <v>253</v>
      </c>
      <c r="N37" s="4" t="n">
        <f aca="false">-J37/1000/3</f>
        <v>-72.3399333333333</v>
      </c>
      <c r="O37" s="0" t="n">
        <v>3</v>
      </c>
      <c r="P37" s="0" t="s">
        <v>394</v>
      </c>
      <c r="R37" s="0" t="str">
        <f aca="false">$I37</f>
        <v>Ukraine</v>
      </c>
      <c r="S37" s="0" t="s">
        <v>253</v>
      </c>
      <c r="T37" s="4" t="n">
        <f aca="false">-J37/1000/3</f>
        <v>-72.3399333333333</v>
      </c>
      <c r="U37" s="0" t="n">
        <v>3</v>
      </c>
      <c r="V37" s="0" t="s">
        <v>596</v>
      </c>
    </row>
    <row r="38" customFormat="false" ht="14.25" hidden="false" customHeight="false" outlineLevel="0" collapsed="false">
      <c r="B38" s="0" t="s">
        <v>41</v>
      </c>
      <c r="C38" s="0" t="s">
        <v>497</v>
      </c>
      <c r="D38" s="0" t="n">
        <v>0.0375</v>
      </c>
      <c r="E38" s="0" t="s">
        <v>652</v>
      </c>
      <c r="H38" s="0" t="n">
        <v>2019</v>
      </c>
      <c r="I38" s="0" t="s">
        <v>41</v>
      </c>
      <c r="J38" s="0" t="n">
        <v>27581.5</v>
      </c>
      <c r="L38" s="0" t="str">
        <f aca="false">$I38</f>
        <v>WestBalkans</v>
      </c>
      <c r="M38" s="0" t="s">
        <v>253</v>
      </c>
      <c r="N38" s="4" t="n">
        <f aca="false">-J38/1000/3</f>
        <v>-9.19383333333333</v>
      </c>
      <c r="O38" s="0" t="n">
        <v>3</v>
      </c>
      <c r="P38" s="0" t="s">
        <v>394</v>
      </c>
      <c r="R38" s="0" t="str">
        <f aca="false">$I38</f>
        <v>WestBalkans</v>
      </c>
      <c r="S38" s="0" t="s">
        <v>253</v>
      </c>
      <c r="T38" s="4" t="n">
        <f aca="false">-J38/1000/3</f>
        <v>-9.19383333333333</v>
      </c>
      <c r="U38" s="0" t="n">
        <v>3</v>
      </c>
      <c r="V38" s="0" t="s">
        <v>596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8"/>
  <sheetViews>
    <sheetView showFormulas="false" showGridLines="true" showRowColHeaders="true" showZeros="true" rightToLeft="false" tabSelected="true" showOutlineSymbols="true" defaultGridColor="true" view="normal" topLeftCell="B1" colorId="64" zoomScale="79" zoomScaleNormal="79" zoomScalePageLayoutView="100" workbookViewId="0">
      <selection pane="topLeft" activeCell="J13" activeCellId="0" sqref="J13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4.4"/>
    <col collapsed="false" customWidth="true" hidden="false" outlineLevel="0" max="3" min="3" style="0" width="19.86"/>
    <col collapsed="false" customWidth="true" hidden="false" outlineLevel="0" max="4" min="4" style="0" width="7.87"/>
    <col collapsed="false" customWidth="true" hidden="false" outlineLevel="0" max="5" min="5" style="0" width="8"/>
    <col collapsed="false" customWidth="true" hidden="false" outlineLevel="0" max="6" min="6" style="0" width="5.55"/>
    <col collapsed="false" customWidth="true" hidden="false" outlineLevel="0" max="7" min="7" style="0" width="2.55"/>
    <col collapsed="false" customWidth="true" hidden="false" outlineLevel="0" max="9" min="9" style="0" width="18.91"/>
    <col collapsed="false" customWidth="true" hidden="false" outlineLevel="0" max="13" min="13" style="0" width="25.45"/>
    <col collapsed="false" customWidth="true" hidden="false" outlineLevel="0" max="16" min="15" style="0" width="14"/>
    <col collapsed="false" customWidth="true" hidden="false" outlineLevel="0" max="20" min="20" style="0" width="67.82"/>
    <col collapsed="false" customWidth="true" hidden="false" outlineLevel="0" max="26" min="26" style="0" width="21.25"/>
    <col collapsed="false" customWidth="true" hidden="false" outlineLevel="0" max="33" min="33" style="0" width="15.14"/>
  </cols>
  <sheetData>
    <row r="1" customFormat="false" ht="14.25" hidden="false" customHeight="false" outlineLevel="0" collapsed="false">
      <c r="Z1" s="39" t="s">
        <v>650</v>
      </c>
      <c r="AA1" s="40" t="s">
        <v>653</v>
      </c>
      <c r="AF1" s="39" t="s">
        <v>650</v>
      </c>
      <c r="AG1" s="40" t="s">
        <v>654</v>
      </c>
      <c r="AH1" s="39"/>
    </row>
    <row r="2" customFormat="false" ht="28.5" hidden="false" customHeight="true" outlineLevel="0" collapsed="false">
      <c r="Z2" s="26" t="s">
        <v>655</v>
      </c>
      <c r="AA2" s="26" t="n">
        <v>21.6</v>
      </c>
      <c r="AB2" s="2" t="n">
        <f aca="false">-AA2</f>
        <v>-21.6</v>
      </c>
      <c r="AF2" s="26" t="s">
        <v>656</v>
      </c>
      <c r="AG2" s="26" t="n">
        <v>120</v>
      </c>
      <c r="AH2" s="26" t="n">
        <f aca="false">-AG2</f>
        <v>-120</v>
      </c>
    </row>
    <row r="3" customFormat="false" ht="28.5" hidden="false" customHeight="true" outlineLevel="0" collapsed="false">
      <c r="B3" s="0" t="s">
        <v>1</v>
      </c>
      <c r="Z3" s="26" t="s">
        <v>657</v>
      </c>
      <c r="AA3" s="26" t="n">
        <v>28.8</v>
      </c>
      <c r="AB3" s="2" t="n">
        <f aca="false">-AA3</f>
        <v>-28.8</v>
      </c>
      <c r="AF3" s="26" t="s">
        <v>658</v>
      </c>
      <c r="AG3" s="26" t="n">
        <v>134</v>
      </c>
      <c r="AH3" s="26" t="n">
        <f aca="false">-AG3</f>
        <v>-134</v>
      </c>
    </row>
    <row r="4" customFormat="false" ht="28.5" hidden="false" customHeight="true" outlineLevel="0" collapsed="false">
      <c r="A4" s="41"/>
      <c r="B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2" t="s">
        <v>659</v>
      </c>
      <c r="AA4" s="26" t="n">
        <v>36</v>
      </c>
      <c r="AB4" s="2" t="n">
        <f aca="false">-AA4</f>
        <v>-36</v>
      </c>
      <c r="AF4" s="26" t="s">
        <v>660</v>
      </c>
      <c r="AG4" s="26" t="n">
        <v>149</v>
      </c>
      <c r="AH4" s="26" t="n">
        <f aca="false">-AG4</f>
        <v>-149</v>
      </c>
    </row>
    <row r="5" customFormat="false" ht="28.5" hidden="false" customHeight="true" outlineLevel="0" collapsed="false">
      <c r="A5" s="41"/>
      <c r="B5" s="43"/>
      <c r="C5" s="43" t="s">
        <v>661</v>
      </c>
      <c r="D5" s="43"/>
      <c r="E5" s="43"/>
      <c r="F5" s="43"/>
      <c r="G5" s="43"/>
      <c r="H5" s="43"/>
      <c r="I5" s="43"/>
      <c r="J5" s="41"/>
      <c r="K5" s="41"/>
      <c r="L5" s="41"/>
      <c r="M5" s="43"/>
      <c r="N5" s="43" t="s">
        <v>662</v>
      </c>
      <c r="O5" s="43"/>
      <c r="P5" s="43"/>
      <c r="Q5" s="43"/>
      <c r="R5" s="43"/>
      <c r="S5" s="43"/>
      <c r="T5" s="43"/>
      <c r="U5" s="41"/>
      <c r="V5" s="41"/>
      <c r="W5" s="41"/>
      <c r="X5" s="41"/>
      <c r="Y5" s="41"/>
      <c r="Z5" s="42" t="s">
        <v>663</v>
      </c>
      <c r="AA5" s="26" t="n">
        <v>45</v>
      </c>
      <c r="AB5" s="2" t="n">
        <f aca="false">-AA5</f>
        <v>-45</v>
      </c>
      <c r="AF5" s="26" t="s">
        <v>664</v>
      </c>
      <c r="AG5" s="26" t="n">
        <v>163</v>
      </c>
      <c r="AH5" s="26" t="n">
        <f aca="false">-AG5</f>
        <v>-163</v>
      </c>
    </row>
    <row r="6" customFormat="false" ht="28.5" hidden="false" customHeight="true" outlineLevel="0" collapsed="false">
      <c r="A6" s="41"/>
      <c r="B6" s="43" t="s">
        <v>4</v>
      </c>
      <c r="C6" s="43" t="s">
        <v>5</v>
      </c>
      <c r="D6" s="43" t="s">
        <v>76</v>
      </c>
      <c r="E6" s="43" t="s">
        <v>6</v>
      </c>
      <c r="F6" s="43" t="n">
        <v>2019</v>
      </c>
      <c r="G6" s="43" t="n">
        <v>0</v>
      </c>
      <c r="H6" s="43" t="s">
        <v>75</v>
      </c>
      <c r="I6" s="43" t="s">
        <v>90</v>
      </c>
      <c r="J6" s="41"/>
      <c r="K6" s="41"/>
      <c r="L6" s="41"/>
      <c r="M6" s="43" t="s">
        <v>4</v>
      </c>
      <c r="N6" s="43" t="s">
        <v>5</v>
      </c>
      <c r="O6" s="43" t="s">
        <v>76</v>
      </c>
      <c r="P6" s="43" t="s">
        <v>6</v>
      </c>
      <c r="Q6" s="43" t="n">
        <v>2019</v>
      </c>
      <c r="R6" s="43" t="n">
        <v>0</v>
      </c>
      <c r="S6" s="43" t="s">
        <v>75</v>
      </c>
      <c r="T6" s="43" t="s">
        <v>90</v>
      </c>
      <c r="U6" s="41"/>
      <c r="V6" s="41"/>
      <c r="W6" s="41"/>
      <c r="X6" s="41"/>
      <c r="Y6" s="41"/>
      <c r="Z6" s="42" t="s">
        <v>665</v>
      </c>
      <c r="AA6" s="26" t="n">
        <v>54</v>
      </c>
      <c r="AB6" s="2" t="n">
        <f aca="false">-AA6</f>
        <v>-54</v>
      </c>
      <c r="AF6" s="26" t="s">
        <v>666</v>
      </c>
      <c r="AG6" s="26" t="n">
        <v>177</v>
      </c>
      <c r="AH6" s="26" t="n">
        <f aca="false">-AG6</f>
        <v>-177</v>
      </c>
    </row>
    <row r="7" customFormat="false" ht="28.5" hidden="false" customHeight="true" outlineLevel="0" collapsed="false">
      <c r="A7" s="41"/>
      <c r="B7" s="43" t="s">
        <v>667</v>
      </c>
      <c r="C7" s="43" t="s">
        <v>311</v>
      </c>
      <c r="D7" s="43" t="s">
        <v>96</v>
      </c>
      <c r="E7" s="43" t="n">
        <f aca="false">1/0.05</f>
        <v>20</v>
      </c>
      <c r="F7" s="43" t="n">
        <v>0</v>
      </c>
      <c r="G7" s="43" t="n">
        <v>3</v>
      </c>
      <c r="H7" s="43" t="s">
        <v>668</v>
      </c>
      <c r="I7" s="43" t="s">
        <v>669</v>
      </c>
      <c r="J7" s="41"/>
      <c r="K7" s="41"/>
      <c r="L7" s="41"/>
      <c r="M7" s="43" t="s">
        <v>670</v>
      </c>
      <c r="N7" s="43" t="s">
        <v>671</v>
      </c>
      <c r="O7" s="43" t="s">
        <v>668</v>
      </c>
      <c r="P7" s="44" t="n">
        <v>1</v>
      </c>
      <c r="Q7" s="43" t="n">
        <v>0</v>
      </c>
      <c r="R7" s="43" t="n">
        <v>3</v>
      </c>
      <c r="S7" s="43"/>
      <c r="T7" s="43" t="s">
        <v>672</v>
      </c>
      <c r="U7" s="41"/>
      <c r="V7" s="41"/>
      <c r="W7" s="41"/>
      <c r="X7" s="41"/>
      <c r="Y7" s="41"/>
      <c r="Z7" s="42" t="s">
        <v>673</v>
      </c>
      <c r="AA7" s="26" t="n">
        <v>63</v>
      </c>
      <c r="AB7" s="2" t="n">
        <f aca="false">-AA7</f>
        <v>-63</v>
      </c>
      <c r="AF7" s="26" t="s">
        <v>674</v>
      </c>
      <c r="AG7" s="26" t="n">
        <v>191</v>
      </c>
      <c r="AH7" s="26" t="n">
        <f aca="false">-AG7</f>
        <v>-191</v>
      </c>
    </row>
    <row r="8" customFormat="false" ht="28.5" hidden="false" customHeight="true" outlineLevel="0" collapsed="false">
      <c r="A8" s="41"/>
      <c r="B8" s="43"/>
      <c r="C8" s="43" t="s">
        <v>111</v>
      </c>
      <c r="D8" s="45"/>
      <c r="E8" s="46" t="n">
        <v>-120</v>
      </c>
      <c r="F8" s="45"/>
      <c r="G8" s="45"/>
      <c r="H8" s="45"/>
      <c r="I8" s="46" t="s">
        <v>656</v>
      </c>
      <c r="J8" s="41"/>
      <c r="K8" s="41"/>
      <c r="L8" s="41"/>
      <c r="M8" s="43"/>
      <c r="N8" s="43" t="s">
        <v>111</v>
      </c>
      <c r="O8" s="43"/>
      <c r="P8" s="46" t="n">
        <v>-21.6</v>
      </c>
      <c r="Q8" s="43"/>
      <c r="R8" s="43"/>
      <c r="S8" s="43"/>
      <c r="T8" s="46" t="s">
        <v>655</v>
      </c>
      <c r="U8" s="41"/>
      <c r="V8" s="41"/>
      <c r="W8" s="41"/>
      <c r="X8" s="41"/>
      <c r="Y8" s="41"/>
      <c r="Z8" s="42" t="s">
        <v>675</v>
      </c>
      <c r="AA8" s="26" t="n">
        <v>72</v>
      </c>
      <c r="AB8" s="2" t="n">
        <f aca="false">-AA8</f>
        <v>-72</v>
      </c>
      <c r="AF8" s="26" t="s">
        <v>676</v>
      </c>
      <c r="AG8" s="26" t="n">
        <v>206</v>
      </c>
      <c r="AH8" s="26" t="n">
        <f aca="false">-AG8</f>
        <v>-206</v>
      </c>
    </row>
    <row r="9" customFormat="false" ht="28.5" hidden="false" customHeight="true" outlineLevel="0" collapsed="false">
      <c r="A9" s="41"/>
      <c r="B9" s="43"/>
      <c r="C9" s="43" t="s">
        <v>111</v>
      </c>
      <c r="D9" s="45"/>
      <c r="E9" s="46" t="n">
        <v>-134</v>
      </c>
      <c r="F9" s="45"/>
      <c r="G9" s="45"/>
      <c r="H9" s="45"/>
      <c r="I9" s="46" t="s">
        <v>658</v>
      </c>
      <c r="J9" s="41"/>
      <c r="K9" s="41"/>
      <c r="L9" s="41"/>
      <c r="M9" s="43"/>
      <c r="N9" s="43" t="s">
        <v>111</v>
      </c>
      <c r="O9" s="43"/>
      <c r="P9" s="46" t="n">
        <v>-28.8</v>
      </c>
      <c r="Q9" s="43"/>
      <c r="R9" s="43"/>
      <c r="S9" s="43"/>
      <c r="T9" s="46" t="s">
        <v>657</v>
      </c>
      <c r="U9" s="41"/>
      <c r="V9" s="41"/>
      <c r="W9" s="41"/>
      <c r="X9" s="41"/>
      <c r="Y9" s="41"/>
      <c r="Z9" s="42" t="s">
        <v>677</v>
      </c>
      <c r="AA9" s="26" t="n">
        <v>90</v>
      </c>
      <c r="AB9" s="2" t="n">
        <f aca="false">-AA9</f>
        <v>-90</v>
      </c>
      <c r="AF9" s="26" t="s">
        <v>678</v>
      </c>
      <c r="AG9" s="26" t="n">
        <v>220</v>
      </c>
      <c r="AH9" s="26" t="n">
        <f aca="false">-AG9</f>
        <v>-220</v>
      </c>
    </row>
    <row r="10" customFormat="false" ht="28.5" hidden="false" customHeight="true" outlineLevel="0" collapsed="false">
      <c r="A10" s="41"/>
      <c r="B10" s="43"/>
      <c r="C10" s="43" t="s">
        <v>111</v>
      </c>
      <c r="D10" s="43"/>
      <c r="E10" s="46" t="n">
        <v>-149</v>
      </c>
      <c r="F10" s="43"/>
      <c r="G10" s="43"/>
      <c r="H10" s="43"/>
      <c r="I10" s="46" t="s">
        <v>660</v>
      </c>
      <c r="J10" s="41"/>
      <c r="K10" s="41"/>
      <c r="L10" s="41"/>
      <c r="M10" s="43"/>
      <c r="N10" s="43" t="s">
        <v>111</v>
      </c>
      <c r="O10" s="43"/>
      <c r="P10" s="46" t="n">
        <v>-36</v>
      </c>
      <c r="Q10" s="43"/>
      <c r="R10" s="43"/>
      <c r="S10" s="43"/>
      <c r="T10" s="46" t="s">
        <v>659</v>
      </c>
      <c r="U10" s="41"/>
      <c r="V10" s="41"/>
      <c r="W10" s="41"/>
      <c r="X10" s="41"/>
      <c r="Y10" s="41"/>
      <c r="Z10" s="42" t="s">
        <v>679</v>
      </c>
      <c r="AA10" s="26" t="n">
        <v>36</v>
      </c>
      <c r="AB10" s="2" t="n">
        <f aca="false">-AA10</f>
        <v>-36</v>
      </c>
      <c r="AF10" s="26" t="s">
        <v>663</v>
      </c>
      <c r="AG10" s="26" t="n">
        <v>45</v>
      </c>
      <c r="AH10" s="26" t="n">
        <f aca="false">-AG10</f>
        <v>-45</v>
      </c>
    </row>
    <row r="11" customFormat="false" ht="28.5" hidden="false" customHeight="true" outlineLevel="0" collapsed="false">
      <c r="A11" s="41"/>
      <c r="B11" s="43"/>
      <c r="C11" s="43" t="s">
        <v>111</v>
      </c>
      <c r="D11" s="43"/>
      <c r="E11" s="46" t="n">
        <v>-163</v>
      </c>
      <c r="F11" s="43"/>
      <c r="G11" s="43"/>
      <c r="H11" s="43"/>
      <c r="I11" s="46" t="s">
        <v>664</v>
      </c>
      <c r="J11" s="41"/>
      <c r="K11" s="41"/>
      <c r="L11" s="41"/>
      <c r="M11" s="43"/>
      <c r="N11" s="43" t="s">
        <v>111</v>
      </c>
      <c r="O11" s="43"/>
      <c r="P11" s="46" t="n">
        <v>-45</v>
      </c>
      <c r="Q11" s="43"/>
      <c r="R11" s="43"/>
      <c r="S11" s="43"/>
      <c r="T11" s="46" t="s">
        <v>663</v>
      </c>
      <c r="U11" s="41"/>
      <c r="V11" s="41"/>
      <c r="W11" s="41"/>
      <c r="X11" s="41"/>
      <c r="Y11" s="41"/>
      <c r="Z11" s="42" t="s">
        <v>680</v>
      </c>
      <c r="AA11" s="26" t="n">
        <v>48</v>
      </c>
      <c r="AB11" s="2" t="n">
        <f aca="false">-AA11</f>
        <v>-48</v>
      </c>
      <c r="AF11" s="26" t="s">
        <v>665</v>
      </c>
      <c r="AG11" s="26" t="n">
        <v>54</v>
      </c>
      <c r="AH11" s="26" t="n">
        <f aca="false">-AG11</f>
        <v>-54</v>
      </c>
    </row>
    <row r="12" s="47" customFormat="true" ht="28.5" hidden="false" customHeight="true" outlineLevel="0" collapsed="false">
      <c r="A12" s="41"/>
      <c r="B12" s="43"/>
      <c r="C12" s="43" t="s">
        <v>111</v>
      </c>
      <c r="D12" s="43"/>
      <c r="E12" s="46" t="n">
        <v>-177</v>
      </c>
      <c r="F12" s="43"/>
      <c r="G12" s="43"/>
      <c r="H12" s="43"/>
      <c r="I12" s="46" t="s">
        <v>666</v>
      </c>
      <c r="J12" s="41"/>
      <c r="K12" s="41"/>
      <c r="L12" s="41"/>
      <c r="M12" s="43"/>
      <c r="N12" s="43" t="s">
        <v>111</v>
      </c>
      <c r="O12" s="43"/>
      <c r="P12" s="46" t="n">
        <v>-54</v>
      </c>
      <c r="Q12" s="43"/>
      <c r="R12" s="43"/>
      <c r="S12" s="43"/>
      <c r="T12" s="46" t="s">
        <v>665</v>
      </c>
      <c r="U12" s="41"/>
      <c r="V12" s="41"/>
      <c r="W12" s="41"/>
      <c r="X12" s="41"/>
      <c r="Y12" s="41"/>
      <c r="Z12" s="42" t="s">
        <v>681</v>
      </c>
      <c r="AA12" s="26" t="n">
        <v>60</v>
      </c>
      <c r="AB12" s="47" t="n">
        <f aca="false">-AA12</f>
        <v>-60</v>
      </c>
      <c r="AF12" s="26" t="s">
        <v>673</v>
      </c>
      <c r="AG12" s="26" t="n">
        <v>63</v>
      </c>
      <c r="AH12" s="26" t="n">
        <f aca="false">-AG12</f>
        <v>-63</v>
      </c>
    </row>
    <row r="13" s="47" customFormat="true" ht="28.5" hidden="false" customHeight="true" outlineLevel="0" collapsed="false">
      <c r="A13" s="41"/>
      <c r="B13" s="43"/>
      <c r="C13" s="43" t="s">
        <v>111</v>
      </c>
      <c r="D13" s="43"/>
      <c r="E13" s="46" t="n">
        <v>-191</v>
      </c>
      <c r="F13" s="43"/>
      <c r="G13" s="43"/>
      <c r="H13" s="43"/>
      <c r="I13" s="46" t="s">
        <v>674</v>
      </c>
      <c r="J13" s="41"/>
      <c r="K13" s="41"/>
      <c r="L13" s="41"/>
      <c r="M13" s="43"/>
      <c r="N13" s="43" t="s">
        <v>111</v>
      </c>
      <c r="O13" s="43"/>
      <c r="P13" s="46" t="n">
        <v>-63</v>
      </c>
      <c r="Q13" s="43"/>
      <c r="R13" s="43"/>
      <c r="S13" s="43"/>
      <c r="T13" s="46" t="s">
        <v>673</v>
      </c>
      <c r="U13" s="41"/>
      <c r="V13" s="41"/>
      <c r="W13" s="41"/>
      <c r="X13" s="41"/>
      <c r="Y13" s="41"/>
      <c r="Z13" s="42" t="s">
        <v>682</v>
      </c>
      <c r="AA13" s="26" t="n">
        <v>75</v>
      </c>
      <c r="AB13" s="47" t="n">
        <f aca="false">-AA13</f>
        <v>-75</v>
      </c>
      <c r="AF13" s="26" t="s">
        <v>675</v>
      </c>
      <c r="AG13" s="26" t="n">
        <v>72</v>
      </c>
      <c r="AH13" s="26" t="n">
        <f aca="false">-AG13</f>
        <v>-72</v>
      </c>
    </row>
    <row r="14" s="47" customFormat="true" ht="28.5" hidden="false" customHeight="true" outlineLevel="0" collapsed="false">
      <c r="A14" s="41"/>
      <c r="B14" s="43"/>
      <c r="C14" s="43" t="s">
        <v>111</v>
      </c>
      <c r="D14" s="43"/>
      <c r="E14" s="46" t="n">
        <v>-206</v>
      </c>
      <c r="F14" s="43"/>
      <c r="G14" s="43"/>
      <c r="H14" s="43"/>
      <c r="I14" s="46" t="s">
        <v>676</v>
      </c>
      <c r="J14" s="41"/>
      <c r="K14" s="41"/>
      <c r="L14" s="41"/>
      <c r="M14" s="43"/>
      <c r="N14" s="43" t="s">
        <v>111</v>
      </c>
      <c r="O14" s="43"/>
      <c r="P14" s="46" t="n">
        <v>-72</v>
      </c>
      <c r="Q14" s="43"/>
      <c r="R14" s="43"/>
      <c r="S14" s="43"/>
      <c r="T14" s="46" t="s">
        <v>675</v>
      </c>
      <c r="U14" s="41"/>
      <c r="V14" s="41"/>
      <c r="W14" s="41"/>
      <c r="X14" s="41"/>
      <c r="Y14" s="41"/>
      <c r="Z14" s="42" t="s">
        <v>683</v>
      </c>
      <c r="AA14" s="26" t="n">
        <v>90</v>
      </c>
      <c r="AB14" s="47" t="n">
        <f aca="false">-AA14</f>
        <v>-90</v>
      </c>
      <c r="AF14" s="26" t="s">
        <v>677</v>
      </c>
      <c r="AG14" s="26" t="n">
        <v>90</v>
      </c>
      <c r="AH14" s="26" t="n">
        <f aca="false">-AG14</f>
        <v>-90</v>
      </c>
    </row>
    <row r="15" s="47" customFormat="true" ht="28.5" hidden="false" customHeight="true" outlineLevel="0" collapsed="false">
      <c r="A15" s="41"/>
      <c r="B15" s="43"/>
      <c r="C15" s="43" t="s">
        <v>111</v>
      </c>
      <c r="D15" s="43"/>
      <c r="E15" s="46" t="n">
        <v>-220</v>
      </c>
      <c r="F15" s="43"/>
      <c r="G15" s="43"/>
      <c r="H15" s="43"/>
      <c r="I15" s="46" t="s">
        <v>678</v>
      </c>
      <c r="J15" s="41"/>
      <c r="K15" s="41"/>
      <c r="L15" s="41"/>
      <c r="M15" s="43"/>
      <c r="N15" s="43" t="s">
        <v>111</v>
      </c>
      <c r="O15" s="43"/>
      <c r="P15" s="46" t="n">
        <v>-90</v>
      </c>
      <c r="Q15" s="43"/>
      <c r="R15" s="43"/>
      <c r="S15" s="43"/>
      <c r="T15" s="46" t="s">
        <v>677</v>
      </c>
      <c r="U15" s="41"/>
      <c r="V15" s="41"/>
      <c r="W15" s="41"/>
      <c r="X15" s="41"/>
      <c r="Y15" s="41"/>
      <c r="Z15" s="42" t="s">
        <v>684</v>
      </c>
      <c r="AA15" s="26" t="n">
        <v>105</v>
      </c>
      <c r="AB15" s="47" t="n">
        <f aca="false">-AA15</f>
        <v>-105</v>
      </c>
      <c r="AF15" s="26" t="s">
        <v>682</v>
      </c>
      <c r="AG15" s="26" t="n">
        <v>75</v>
      </c>
      <c r="AH15" s="26" t="n">
        <f aca="false">-AG15</f>
        <v>-75</v>
      </c>
    </row>
    <row r="16" customFormat="false" ht="28.5" hidden="false" customHeight="true" outlineLevel="0" collapsed="false">
      <c r="A16" s="41"/>
      <c r="B16" s="43"/>
      <c r="C16" s="43" t="s">
        <v>111</v>
      </c>
      <c r="D16" s="43"/>
      <c r="E16" s="46" t="n">
        <v>-45</v>
      </c>
      <c r="F16" s="43"/>
      <c r="G16" s="43"/>
      <c r="H16" s="43"/>
      <c r="I16" s="46" t="s">
        <v>663</v>
      </c>
      <c r="J16" s="41"/>
      <c r="K16" s="41"/>
      <c r="L16" s="41"/>
      <c r="M16" s="43"/>
      <c r="N16" s="43" t="s">
        <v>111</v>
      </c>
      <c r="O16" s="43"/>
      <c r="P16" s="46" t="n">
        <v>-36</v>
      </c>
      <c r="Q16" s="43"/>
      <c r="R16" s="43"/>
      <c r="S16" s="43"/>
      <c r="T16" s="46" t="s">
        <v>679</v>
      </c>
      <c r="U16" s="41"/>
      <c r="V16" s="41"/>
      <c r="W16" s="41"/>
      <c r="X16" s="41"/>
      <c r="Y16" s="41"/>
      <c r="Z16" s="42" t="s">
        <v>685</v>
      </c>
      <c r="AA16" s="26" t="n">
        <v>120</v>
      </c>
      <c r="AB16" s="2" t="n">
        <f aca="false">-AA16</f>
        <v>-120</v>
      </c>
      <c r="AF16" s="26" t="s">
        <v>683</v>
      </c>
      <c r="AG16" s="26" t="n">
        <v>90</v>
      </c>
      <c r="AH16" s="26" t="n">
        <f aca="false">-AG16</f>
        <v>-90</v>
      </c>
    </row>
    <row r="17" customFormat="false" ht="28.5" hidden="false" customHeight="true" outlineLevel="0" collapsed="false">
      <c r="A17" s="41"/>
      <c r="B17" s="43"/>
      <c r="C17" s="43" t="s">
        <v>111</v>
      </c>
      <c r="D17" s="43"/>
      <c r="E17" s="46" t="n">
        <v>-54</v>
      </c>
      <c r="F17" s="43"/>
      <c r="G17" s="43"/>
      <c r="H17" s="43"/>
      <c r="I17" s="46" t="s">
        <v>665</v>
      </c>
      <c r="J17" s="41"/>
      <c r="K17" s="41"/>
      <c r="L17" s="41"/>
      <c r="M17" s="43"/>
      <c r="N17" s="43" t="s">
        <v>111</v>
      </c>
      <c r="O17" s="43"/>
      <c r="P17" s="46" t="n">
        <v>-48</v>
      </c>
      <c r="Q17" s="43"/>
      <c r="R17" s="43"/>
      <c r="S17" s="43"/>
      <c r="T17" s="46" t="s">
        <v>680</v>
      </c>
      <c r="U17" s="41"/>
      <c r="V17" s="41"/>
      <c r="W17" s="41"/>
      <c r="X17" s="41"/>
      <c r="Y17" s="41"/>
      <c r="Z17" s="42" t="s">
        <v>686</v>
      </c>
      <c r="AA17" s="26" t="n">
        <v>150</v>
      </c>
      <c r="AB17" s="2" t="n">
        <f aca="false">-AA17</f>
        <v>-150</v>
      </c>
      <c r="AF17" s="26" t="s">
        <v>684</v>
      </c>
      <c r="AG17" s="26" t="n">
        <v>105</v>
      </c>
      <c r="AH17" s="26" t="n">
        <f aca="false">-AG17</f>
        <v>-105</v>
      </c>
    </row>
    <row r="18" customFormat="false" ht="28.5" hidden="false" customHeight="true" outlineLevel="0" collapsed="false">
      <c r="A18" s="41"/>
      <c r="B18" s="43"/>
      <c r="C18" s="43" t="s">
        <v>111</v>
      </c>
      <c r="D18" s="43"/>
      <c r="E18" s="46" t="n">
        <v>-63</v>
      </c>
      <c r="F18" s="43"/>
      <c r="G18" s="43"/>
      <c r="H18" s="43"/>
      <c r="I18" s="46" t="s">
        <v>673</v>
      </c>
      <c r="J18" s="41"/>
      <c r="K18" s="41"/>
      <c r="L18" s="41"/>
      <c r="M18" s="43"/>
      <c r="N18" s="43" t="s">
        <v>111</v>
      </c>
      <c r="O18" s="43"/>
      <c r="P18" s="46" t="n">
        <v>-60</v>
      </c>
      <c r="Q18" s="43"/>
      <c r="R18" s="43"/>
      <c r="S18" s="43"/>
      <c r="T18" s="46" t="s">
        <v>681</v>
      </c>
      <c r="U18" s="41"/>
      <c r="V18" s="41"/>
      <c r="W18" s="41"/>
      <c r="X18" s="41"/>
      <c r="Y18" s="41"/>
      <c r="Z18" s="42" t="s">
        <v>687</v>
      </c>
      <c r="AA18" s="26" t="n">
        <v>180</v>
      </c>
      <c r="AB18" s="2" t="n">
        <f aca="false">-AA18</f>
        <v>-180</v>
      </c>
      <c r="AF18" s="26" t="s">
        <v>685</v>
      </c>
      <c r="AG18" s="26" t="n">
        <v>120</v>
      </c>
      <c r="AH18" s="26" t="n">
        <f aca="false">-AG18</f>
        <v>-120</v>
      </c>
    </row>
    <row r="19" customFormat="false" ht="28.5" hidden="false" customHeight="true" outlineLevel="0" collapsed="false">
      <c r="A19" s="41"/>
      <c r="B19" s="43"/>
      <c r="C19" s="43" t="s">
        <v>111</v>
      </c>
      <c r="D19" s="43"/>
      <c r="E19" s="46" t="n">
        <v>-72</v>
      </c>
      <c r="F19" s="43"/>
      <c r="G19" s="43"/>
      <c r="H19" s="43"/>
      <c r="I19" s="46" t="s">
        <v>675</v>
      </c>
      <c r="J19" s="41"/>
      <c r="K19" s="41"/>
      <c r="L19" s="41"/>
      <c r="M19" s="43"/>
      <c r="N19" s="43" t="s">
        <v>111</v>
      </c>
      <c r="O19" s="43"/>
      <c r="P19" s="46" t="n">
        <v>-75</v>
      </c>
      <c r="Q19" s="43"/>
      <c r="R19" s="43"/>
      <c r="S19" s="43"/>
      <c r="T19" s="46" t="s">
        <v>682</v>
      </c>
      <c r="U19" s="41"/>
      <c r="V19" s="41"/>
      <c r="W19" s="41"/>
      <c r="X19" s="41"/>
      <c r="Y19" s="41"/>
      <c r="Z19" s="42" t="s">
        <v>688</v>
      </c>
      <c r="AA19" s="26" t="n">
        <v>214.8</v>
      </c>
      <c r="AB19" s="2" t="n">
        <f aca="false">-AA19</f>
        <v>-214.8</v>
      </c>
      <c r="AF19" s="26" t="s">
        <v>686</v>
      </c>
      <c r="AG19" s="26" t="n">
        <v>150</v>
      </c>
      <c r="AH19" s="26" t="n">
        <f aca="false">-AG19</f>
        <v>-150</v>
      </c>
    </row>
    <row r="20" customFormat="false" ht="14.25" hidden="false" customHeight="false" outlineLevel="0" collapsed="false">
      <c r="A20" s="41"/>
      <c r="B20" s="43"/>
      <c r="C20" s="43" t="s">
        <v>111</v>
      </c>
      <c r="D20" s="43"/>
      <c r="E20" s="46" t="n">
        <v>-90</v>
      </c>
      <c r="F20" s="43"/>
      <c r="G20" s="43"/>
      <c r="H20" s="43"/>
      <c r="I20" s="46" t="s">
        <v>677</v>
      </c>
      <c r="J20" s="41"/>
      <c r="K20" s="41"/>
      <c r="L20" s="41"/>
      <c r="M20" s="43"/>
      <c r="N20" s="43" t="s">
        <v>111</v>
      </c>
      <c r="O20" s="43"/>
      <c r="P20" s="46" t="n">
        <v>-90</v>
      </c>
      <c r="Q20" s="43"/>
      <c r="R20" s="43"/>
      <c r="S20" s="43"/>
      <c r="T20" s="46" t="s">
        <v>683</v>
      </c>
      <c r="U20" s="41"/>
      <c r="V20" s="41"/>
      <c r="W20" s="41"/>
      <c r="X20" s="41"/>
      <c r="Y20" s="41"/>
      <c r="Z20" s="42" t="s">
        <v>689</v>
      </c>
      <c r="AA20" s="26" t="n">
        <v>248.4</v>
      </c>
      <c r="AB20" s="2" t="n">
        <f aca="false">-AA20</f>
        <v>-248.4</v>
      </c>
    </row>
    <row r="21" customFormat="false" ht="14.25" hidden="false" customHeight="false" outlineLevel="0" collapsed="false">
      <c r="A21" s="41"/>
      <c r="B21" s="43"/>
      <c r="C21" s="43" t="s">
        <v>111</v>
      </c>
      <c r="D21" s="43"/>
      <c r="E21" s="46" t="n">
        <v>-75</v>
      </c>
      <c r="F21" s="43"/>
      <c r="G21" s="43"/>
      <c r="H21" s="43"/>
      <c r="I21" s="46" t="s">
        <v>682</v>
      </c>
      <c r="J21" s="41"/>
      <c r="K21" s="41"/>
      <c r="L21" s="41"/>
      <c r="M21" s="43"/>
      <c r="N21" s="43" t="s">
        <v>111</v>
      </c>
      <c r="O21" s="43"/>
      <c r="P21" s="46" t="n">
        <v>-105</v>
      </c>
      <c r="Q21" s="43"/>
      <c r="R21" s="43"/>
      <c r="S21" s="43"/>
      <c r="T21" s="46" t="s">
        <v>684</v>
      </c>
      <c r="U21" s="41"/>
      <c r="V21" s="41"/>
      <c r="W21" s="41"/>
      <c r="X21" s="41"/>
      <c r="Y21" s="41"/>
      <c r="Z21" s="42" t="s">
        <v>690</v>
      </c>
      <c r="AA21" s="26" t="n">
        <v>283.2</v>
      </c>
      <c r="AB21" s="2" t="n">
        <f aca="false">-AA21</f>
        <v>-283.2</v>
      </c>
    </row>
    <row r="22" customFormat="false" ht="14.25" hidden="false" customHeight="false" outlineLevel="0" collapsed="false">
      <c r="A22" s="41"/>
      <c r="B22" s="43"/>
      <c r="C22" s="43" t="s">
        <v>111</v>
      </c>
      <c r="D22" s="43"/>
      <c r="E22" s="46" t="n">
        <v>-90</v>
      </c>
      <c r="F22" s="43"/>
      <c r="G22" s="43"/>
      <c r="H22" s="43"/>
      <c r="I22" s="46" t="s">
        <v>683</v>
      </c>
      <c r="J22" s="41"/>
      <c r="K22" s="41"/>
      <c r="L22" s="41"/>
      <c r="M22" s="43"/>
      <c r="N22" s="43" t="s">
        <v>111</v>
      </c>
      <c r="O22" s="43"/>
      <c r="P22" s="46" t="n">
        <v>-120</v>
      </c>
      <c r="Q22" s="43"/>
      <c r="R22" s="43"/>
      <c r="S22" s="43"/>
      <c r="T22" s="46" t="s">
        <v>685</v>
      </c>
      <c r="U22" s="41"/>
      <c r="V22" s="41"/>
      <c r="W22" s="41"/>
      <c r="X22" s="41"/>
      <c r="Y22" s="41"/>
      <c r="Z22" s="42" t="s">
        <v>691</v>
      </c>
      <c r="AA22" s="26" t="n">
        <v>316.8</v>
      </c>
      <c r="AB22" s="2" t="n">
        <f aca="false">-AA22</f>
        <v>-316.8</v>
      </c>
    </row>
    <row r="23" customFormat="false" ht="14.25" hidden="false" customHeight="false" outlineLevel="0" collapsed="false">
      <c r="A23" s="41"/>
      <c r="B23" s="43"/>
      <c r="C23" s="43" t="s">
        <v>111</v>
      </c>
      <c r="D23" s="43"/>
      <c r="E23" s="46" t="n">
        <v>-105</v>
      </c>
      <c r="F23" s="43"/>
      <c r="G23" s="43"/>
      <c r="H23" s="43"/>
      <c r="I23" s="46" t="s">
        <v>684</v>
      </c>
      <c r="J23" s="41"/>
      <c r="K23" s="41"/>
      <c r="L23" s="41"/>
      <c r="M23" s="43"/>
      <c r="N23" s="43" t="s">
        <v>111</v>
      </c>
      <c r="O23" s="43"/>
      <c r="P23" s="46" t="n">
        <v>-150</v>
      </c>
      <c r="Q23" s="43"/>
      <c r="R23" s="43"/>
      <c r="S23" s="43"/>
      <c r="T23" s="46" t="s">
        <v>686</v>
      </c>
      <c r="U23" s="41"/>
      <c r="V23" s="41"/>
      <c r="W23" s="41"/>
      <c r="X23" s="41"/>
      <c r="Y23" s="41"/>
      <c r="Z23" s="42" t="s">
        <v>692</v>
      </c>
      <c r="AA23" s="26" t="n">
        <v>420</v>
      </c>
      <c r="AB23" s="2" t="n">
        <f aca="false">-AA23</f>
        <v>-420</v>
      </c>
    </row>
    <row r="24" customFormat="false" ht="14.25" hidden="false" customHeight="false" outlineLevel="0" collapsed="false">
      <c r="A24" s="41"/>
      <c r="B24" s="43"/>
      <c r="C24" s="43" t="s">
        <v>111</v>
      </c>
      <c r="D24" s="43"/>
      <c r="E24" s="46" t="n">
        <v>-120</v>
      </c>
      <c r="F24" s="43"/>
      <c r="G24" s="43"/>
      <c r="H24" s="43"/>
      <c r="I24" s="46" t="s">
        <v>685</v>
      </c>
      <c r="J24" s="41"/>
      <c r="K24" s="41"/>
      <c r="L24" s="41"/>
      <c r="M24" s="43"/>
      <c r="N24" s="43" t="s">
        <v>111</v>
      </c>
      <c r="O24" s="43"/>
      <c r="P24" s="48" t="n">
        <v>-180</v>
      </c>
      <c r="Q24" s="43"/>
      <c r="R24" s="43"/>
      <c r="S24" s="43"/>
      <c r="T24" s="46" t="s">
        <v>687</v>
      </c>
      <c r="U24" s="41"/>
      <c r="V24" s="41"/>
      <c r="W24" s="41"/>
      <c r="X24" s="41"/>
      <c r="Y24" s="41"/>
      <c r="Z24" s="42" t="s">
        <v>693</v>
      </c>
      <c r="AA24" s="26" t="n">
        <v>600</v>
      </c>
      <c r="AB24" s="2" t="n">
        <f aca="false">-AA24</f>
        <v>-600</v>
      </c>
    </row>
    <row r="25" customFormat="false" ht="14.25" hidden="false" customHeight="false" outlineLevel="0" collapsed="false">
      <c r="A25" s="41"/>
      <c r="B25" s="43"/>
      <c r="C25" s="43" t="s">
        <v>111</v>
      </c>
      <c r="D25" s="43"/>
      <c r="E25" s="46" t="n">
        <v>-150</v>
      </c>
      <c r="F25" s="43"/>
      <c r="G25" s="43"/>
      <c r="H25" s="43"/>
      <c r="I25" s="46" t="s">
        <v>686</v>
      </c>
      <c r="J25" s="41"/>
      <c r="K25" s="41"/>
      <c r="L25" s="41"/>
      <c r="M25" s="43"/>
      <c r="N25" s="43" t="s">
        <v>111</v>
      </c>
      <c r="O25" s="43"/>
      <c r="P25" s="46" t="n">
        <v>-214.8</v>
      </c>
      <c r="Q25" s="43"/>
      <c r="R25" s="43"/>
      <c r="S25" s="43"/>
      <c r="T25" s="46" t="s">
        <v>688</v>
      </c>
      <c r="U25" s="41"/>
      <c r="V25" s="41"/>
      <c r="W25" s="41"/>
      <c r="X25" s="41"/>
      <c r="Y25" s="41"/>
      <c r="Z25" s="42" t="s">
        <v>694</v>
      </c>
      <c r="AA25" s="26" t="n">
        <v>720</v>
      </c>
      <c r="AB25" s="2" t="n">
        <f aca="false">-AA25</f>
        <v>-720</v>
      </c>
    </row>
    <row r="26" customFormat="false" ht="14.25" hidden="false" customHeight="fals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3"/>
      <c r="N26" s="43" t="s">
        <v>111</v>
      </c>
      <c r="O26" s="43"/>
      <c r="P26" s="46" t="n">
        <v>-248.4</v>
      </c>
      <c r="Q26" s="43"/>
      <c r="R26" s="43"/>
      <c r="S26" s="43"/>
      <c r="T26" s="46" t="s">
        <v>689</v>
      </c>
      <c r="U26" s="41"/>
      <c r="V26" s="41"/>
      <c r="W26" s="41"/>
      <c r="X26" s="41"/>
      <c r="Y26" s="41"/>
      <c r="Z26" s="42" t="s">
        <v>656</v>
      </c>
      <c r="AA26" s="26" t="n">
        <v>120</v>
      </c>
      <c r="AB26" s="2" t="n">
        <f aca="false">-AA26</f>
        <v>-120</v>
      </c>
    </row>
    <row r="27" customFormat="false" ht="14.25" hidden="false" customHeight="false" outlineLevel="0" collapsed="false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3"/>
      <c r="N27" s="43" t="s">
        <v>111</v>
      </c>
      <c r="O27" s="43"/>
      <c r="P27" s="46" t="n">
        <v>-283.2</v>
      </c>
      <c r="Q27" s="43"/>
      <c r="R27" s="43"/>
      <c r="S27" s="43"/>
      <c r="T27" s="46" t="s">
        <v>690</v>
      </c>
      <c r="U27" s="41"/>
      <c r="V27" s="41"/>
      <c r="W27" s="41"/>
      <c r="X27" s="41"/>
      <c r="Y27" s="41"/>
      <c r="Z27" s="42" t="s">
        <v>658</v>
      </c>
      <c r="AA27" s="26" t="n">
        <v>134</v>
      </c>
      <c r="AB27" s="2" t="n">
        <f aca="false">-AA27</f>
        <v>-134</v>
      </c>
    </row>
    <row r="28" customFormat="false" ht="14.25" hidden="false" customHeight="fals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3"/>
      <c r="N28" s="43" t="s">
        <v>111</v>
      </c>
      <c r="O28" s="43"/>
      <c r="P28" s="46" t="n">
        <v>-316.8</v>
      </c>
      <c r="Q28" s="43"/>
      <c r="R28" s="43"/>
      <c r="S28" s="43"/>
      <c r="T28" s="46" t="s">
        <v>691</v>
      </c>
      <c r="U28" s="41"/>
      <c r="V28" s="41"/>
      <c r="W28" s="41"/>
      <c r="X28" s="41"/>
      <c r="Y28" s="41"/>
      <c r="Z28" s="42" t="s">
        <v>660</v>
      </c>
      <c r="AA28" s="26" t="n">
        <v>149</v>
      </c>
      <c r="AB28" s="2" t="n">
        <f aca="false">-AA28</f>
        <v>-149</v>
      </c>
    </row>
    <row r="29" customFormat="false" ht="14.25" hidden="false" customHeight="false" outlineLevel="0" collapsed="false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3"/>
      <c r="N29" s="43" t="s">
        <v>111</v>
      </c>
      <c r="O29" s="43"/>
      <c r="P29" s="46" t="n">
        <v>-420</v>
      </c>
      <c r="Q29" s="43"/>
      <c r="R29" s="43"/>
      <c r="S29" s="43"/>
      <c r="T29" s="46" t="s">
        <v>692</v>
      </c>
      <c r="U29" s="41"/>
      <c r="V29" s="41"/>
      <c r="W29" s="41"/>
      <c r="X29" s="41"/>
      <c r="Y29" s="41"/>
      <c r="Z29" s="42" t="s">
        <v>664</v>
      </c>
      <c r="AA29" s="26" t="n">
        <v>163</v>
      </c>
      <c r="AB29" s="2" t="n">
        <f aca="false">-AA29</f>
        <v>-163</v>
      </c>
    </row>
    <row r="30" customFormat="false" ht="14.25" hidden="false" customHeight="false" outlineLevel="0" collapsed="false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3"/>
      <c r="N30" s="43" t="s">
        <v>111</v>
      </c>
      <c r="O30" s="43"/>
      <c r="P30" s="46" t="n">
        <v>-600</v>
      </c>
      <c r="Q30" s="43"/>
      <c r="R30" s="43"/>
      <c r="S30" s="43"/>
      <c r="T30" s="46" t="s">
        <v>693</v>
      </c>
      <c r="U30" s="41"/>
      <c r="V30" s="41"/>
      <c r="W30" s="41"/>
      <c r="X30" s="41"/>
      <c r="Y30" s="41"/>
      <c r="Z30" s="42" t="s">
        <v>666</v>
      </c>
      <c r="AA30" s="26" t="n">
        <v>177</v>
      </c>
      <c r="AB30" s="2" t="n">
        <f aca="false">-AA30</f>
        <v>-177</v>
      </c>
    </row>
    <row r="31" customFormat="false" ht="14.25" hidden="false" customHeight="false" outlineLevel="0" collapsed="false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3"/>
      <c r="N31" s="43" t="s">
        <v>111</v>
      </c>
      <c r="O31" s="43"/>
      <c r="P31" s="46" t="n">
        <v>-720</v>
      </c>
      <c r="Q31" s="43"/>
      <c r="R31" s="43"/>
      <c r="S31" s="43"/>
      <c r="T31" s="46" t="s">
        <v>694</v>
      </c>
      <c r="U31" s="41"/>
      <c r="V31" s="41"/>
      <c r="W31" s="41"/>
      <c r="X31" s="41"/>
      <c r="Y31" s="41"/>
      <c r="Z31" s="42" t="s">
        <v>674</v>
      </c>
      <c r="AA31" s="26" t="n">
        <v>191</v>
      </c>
      <c r="AB31" s="2" t="n">
        <f aca="false">-AA31</f>
        <v>-191</v>
      </c>
    </row>
    <row r="32" customFormat="false" ht="14.25" hidden="false" customHeight="false" outlineLevel="0" collapsed="false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3"/>
      <c r="N32" s="43" t="s">
        <v>111</v>
      </c>
      <c r="O32" s="43"/>
      <c r="P32" s="46" t="n">
        <v>-120</v>
      </c>
      <c r="Q32" s="43"/>
      <c r="R32" s="43"/>
      <c r="S32" s="43"/>
      <c r="T32" s="46" t="s">
        <v>656</v>
      </c>
      <c r="U32" s="41"/>
      <c r="V32" s="41"/>
      <c r="W32" s="41"/>
      <c r="X32" s="41"/>
      <c r="Y32" s="41"/>
      <c r="Z32" s="42" t="s">
        <v>676</v>
      </c>
      <c r="AA32" s="26" t="n">
        <v>206</v>
      </c>
      <c r="AB32" s="2" t="n">
        <f aca="false">-AA32</f>
        <v>-206</v>
      </c>
    </row>
    <row r="33" customFormat="false" ht="14.25" hidden="false" customHeight="false" outlineLevel="0" collapsed="false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3"/>
      <c r="N33" s="43" t="s">
        <v>111</v>
      </c>
      <c r="O33" s="43"/>
      <c r="P33" s="46" t="n">
        <v>-134</v>
      </c>
      <c r="Q33" s="43"/>
      <c r="R33" s="43"/>
      <c r="S33" s="43"/>
      <c r="T33" s="46" t="s">
        <v>658</v>
      </c>
      <c r="U33" s="41"/>
      <c r="V33" s="41"/>
      <c r="W33" s="41"/>
      <c r="X33" s="41"/>
      <c r="Y33" s="41"/>
      <c r="Z33" s="42" t="s">
        <v>678</v>
      </c>
      <c r="AA33" s="26" t="n">
        <v>220</v>
      </c>
      <c r="AB33" s="2" t="n">
        <f aca="false">-AA33</f>
        <v>-220</v>
      </c>
    </row>
    <row r="34" customFormat="false" ht="14.25" hidden="false" customHeight="false" outlineLevel="0" collapsed="false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3"/>
      <c r="N34" s="43" t="s">
        <v>111</v>
      </c>
      <c r="O34" s="43"/>
      <c r="P34" s="46" t="n">
        <v>-149</v>
      </c>
      <c r="Q34" s="43"/>
      <c r="R34" s="43"/>
      <c r="S34" s="43"/>
      <c r="T34" s="46" t="s">
        <v>660</v>
      </c>
      <c r="U34" s="41"/>
      <c r="V34" s="41"/>
      <c r="W34" s="41"/>
      <c r="X34" s="41"/>
      <c r="Y34" s="41"/>
      <c r="Z34" s="42" t="s">
        <v>695</v>
      </c>
      <c r="AA34" s="26" t="n">
        <v>6</v>
      </c>
      <c r="AB34" s="2" t="n">
        <f aca="false">-AA34</f>
        <v>-6</v>
      </c>
    </row>
    <row r="35" customFormat="false" ht="14.25" hidden="false" customHeight="false" outlineLevel="0" collapsed="false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3"/>
      <c r="N35" s="43" t="s">
        <v>111</v>
      </c>
      <c r="O35" s="43"/>
      <c r="P35" s="46" t="n">
        <v>-163</v>
      </c>
      <c r="Q35" s="43"/>
      <c r="R35" s="43"/>
      <c r="S35" s="43"/>
      <c r="T35" s="46" t="s">
        <v>664</v>
      </c>
      <c r="U35" s="41"/>
      <c r="V35" s="41"/>
      <c r="W35" s="41"/>
      <c r="X35" s="41"/>
      <c r="Y35" s="41"/>
      <c r="Z35" s="42" t="s">
        <v>696</v>
      </c>
      <c r="AA35" s="26" t="n">
        <v>6.55</v>
      </c>
      <c r="AB35" s="2" t="n">
        <f aca="false">-AA35</f>
        <v>-6.55</v>
      </c>
    </row>
    <row r="36" customFormat="false" ht="14.25" hidden="false" customHeight="false" outlineLevel="0" collapsed="false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3"/>
      <c r="N36" s="43" t="s">
        <v>111</v>
      </c>
      <c r="O36" s="43"/>
      <c r="P36" s="46" t="n">
        <v>-177</v>
      </c>
      <c r="Q36" s="43"/>
      <c r="R36" s="43"/>
      <c r="S36" s="43"/>
      <c r="T36" s="46" t="s">
        <v>666</v>
      </c>
      <c r="U36" s="41"/>
      <c r="V36" s="41"/>
      <c r="W36" s="41"/>
      <c r="X36" s="41"/>
      <c r="Y36" s="41"/>
      <c r="Z36" s="42" t="s">
        <v>697</v>
      </c>
      <c r="AA36" s="26" t="n">
        <v>7.15</v>
      </c>
      <c r="AB36" s="2" t="n">
        <f aca="false">-AA36</f>
        <v>-7.15</v>
      </c>
    </row>
    <row r="37" customFormat="false" ht="14.25" hidden="false" customHeight="false" outlineLevel="0" collapsed="false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3"/>
      <c r="N37" s="43" t="s">
        <v>111</v>
      </c>
      <c r="O37" s="43"/>
      <c r="P37" s="46" t="n">
        <v>-191</v>
      </c>
      <c r="Q37" s="43"/>
      <c r="R37" s="43"/>
      <c r="S37" s="43"/>
      <c r="T37" s="46" t="s">
        <v>674</v>
      </c>
      <c r="U37" s="41"/>
      <c r="V37" s="41"/>
      <c r="W37" s="41"/>
      <c r="X37" s="41"/>
      <c r="Y37" s="41"/>
      <c r="Z37" s="42" t="s">
        <v>698</v>
      </c>
      <c r="AA37" s="26" t="n">
        <v>7.7</v>
      </c>
      <c r="AB37" s="2" t="n">
        <f aca="false">-AA37</f>
        <v>-7.7</v>
      </c>
    </row>
    <row r="38" customFormat="false" ht="14.25" hidden="false" customHeight="false" outlineLevel="0" collapsed="false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3"/>
      <c r="N38" s="43" t="s">
        <v>111</v>
      </c>
      <c r="O38" s="43"/>
      <c r="P38" s="46" t="n">
        <v>-206</v>
      </c>
      <c r="Q38" s="43"/>
      <c r="R38" s="43"/>
      <c r="S38" s="43"/>
      <c r="T38" s="46" t="s">
        <v>676</v>
      </c>
      <c r="U38" s="41"/>
      <c r="V38" s="41"/>
      <c r="W38" s="41"/>
      <c r="X38" s="41"/>
      <c r="Y38" s="41"/>
      <c r="Z38" s="42" t="s">
        <v>699</v>
      </c>
      <c r="AA38" s="26" t="n">
        <v>8.3</v>
      </c>
      <c r="AB38" s="2" t="n">
        <f aca="false">-AA38</f>
        <v>-8.3</v>
      </c>
    </row>
    <row r="39" customFormat="false" ht="14.25" hidden="false" customHeight="false" outlineLevel="0" collapsed="false">
      <c r="M39" s="49"/>
      <c r="N39" s="49" t="s">
        <v>111</v>
      </c>
      <c r="O39" s="49"/>
      <c r="P39" s="48" t="n">
        <v>-220</v>
      </c>
      <c r="Q39" s="49"/>
      <c r="R39" s="49"/>
      <c r="S39" s="49"/>
      <c r="T39" s="48" t="s">
        <v>678</v>
      </c>
      <c r="Z39" s="26" t="s">
        <v>700</v>
      </c>
      <c r="AA39" s="26" t="n">
        <v>8.85</v>
      </c>
      <c r="AB39" s="2" t="n">
        <f aca="false">-AA39</f>
        <v>-8.85</v>
      </c>
    </row>
    <row r="40" customFormat="false" ht="14.25" hidden="false" customHeight="false" outlineLevel="0" collapsed="false">
      <c r="M40" s="49"/>
      <c r="N40" s="50" t="s">
        <v>111</v>
      </c>
      <c r="O40" s="49"/>
      <c r="P40" s="48" t="n">
        <v>-6</v>
      </c>
      <c r="Q40" s="49"/>
      <c r="R40" s="49"/>
      <c r="S40" s="49"/>
      <c r="T40" s="48" t="s">
        <v>695</v>
      </c>
      <c r="Z40" s="26" t="s">
        <v>701</v>
      </c>
      <c r="AA40" s="26" t="n">
        <v>9.45</v>
      </c>
      <c r="AB40" s="2" t="n">
        <f aca="false">-AA40</f>
        <v>-9.45</v>
      </c>
    </row>
    <row r="41" customFormat="false" ht="14.25" hidden="false" customHeight="false" outlineLevel="0" collapsed="false">
      <c r="M41" s="49"/>
      <c r="N41" s="49" t="s">
        <v>111</v>
      </c>
      <c r="O41" s="49"/>
      <c r="P41" s="48" t="n">
        <v>-6.55</v>
      </c>
      <c r="Q41" s="49"/>
      <c r="R41" s="49"/>
      <c r="S41" s="49"/>
      <c r="T41" s="48" t="s">
        <v>696</v>
      </c>
      <c r="Z41" s="26" t="s">
        <v>702</v>
      </c>
      <c r="AA41" s="26" t="n">
        <v>10</v>
      </c>
      <c r="AB41" s="2" t="n">
        <f aca="false">-AA41</f>
        <v>-10</v>
      </c>
    </row>
    <row r="42" customFormat="false" ht="14.25" hidden="false" customHeight="false" outlineLevel="0" collapsed="false">
      <c r="M42" s="49"/>
      <c r="N42" s="49" t="s">
        <v>111</v>
      </c>
      <c r="O42" s="49"/>
      <c r="P42" s="48" t="n">
        <v>-7.15</v>
      </c>
      <c r="Q42" s="49"/>
      <c r="R42" s="49"/>
      <c r="S42" s="49"/>
      <c r="T42" s="48" t="s">
        <v>697</v>
      </c>
      <c r="Z42" s="26" t="s">
        <v>703</v>
      </c>
      <c r="AA42" s="26" t="n">
        <v>2</v>
      </c>
      <c r="AB42" s="2" t="n">
        <f aca="false">-AA42</f>
        <v>-2</v>
      </c>
    </row>
    <row r="43" customFormat="false" ht="14.25" hidden="false" customHeight="false" outlineLevel="0" collapsed="false">
      <c r="M43" s="49"/>
      <c r="N43" s="49" t="s">
        <v>111</v>
      </c>
      <c r="O43" s="49"/>
      <c r="P43" s="48" t="n">
        <v>-7.7</v>
      </c>
      <c r="Q43" s="49"/>
      <c r="R43" s="49"/>
      <c r="S43" s="49"/>
      <c r="T43" s="48" t="s">
        <v>698</v>
      </c>
      <c r="Z43" s="26" t="s">
        <v>704</v>
      </c>
      <c r="AA43" s="26" t="n">
        <v>2.18</v>
      </c>
      <c r="AB43" s="2" t="n">
        <f aca="false">-AA43</f>
        <v>-2.18</v>
      </c>
    </row>
    <row r="44" customFormat="false" ht="14.25" hidden="false" customHeight="false" outlineLevel="0" collapsed="false">
      <c r="M44" s="49"/>
      <c r="N44" s="49" t="s">
        <v>111</v>
      </c>
      <c r="O44" s="49"/>
      <c r="P44" s="48" t="n">
        <v>-8.3</v>
      </c>
      <c r="Q44" s="49"/>
      <c r="R44" s="49"/>
      <c r="S44" s="49"/>
      <c r="T44" s="48" t="s">
        <v>699</v>
      </c>
      <c r="Z44" s="26" t="s">
        <v>705</v>
      </c>
      <c r="AA44" s="26" t="n">
        <v>2.34</v>
      </c>
      <c r="AB44" s="2" t="n">
        <f aca="false">-AA44</f>
        <v>-2.34</v>
      </c>
    </row>
    <row r="45" customFormat="false" ht="14.25" hidden="false" customHeight="false" outlineLevel="0" collapsed="false">
      <c r="M45" s="49"/>
      <c r="N45" s="49" t="s">
        <v>111</v>
      </c>
      <c r="O45" s="49"/>
      <c r="P45" s="48" t="n">
        <v>-8.85</v>
      </c>
      <c r="Q45" s="49"/>
      <c r="R45" s="49"/>
      <c r="S45" s="49"/>
      <c r="T45" s="48" t="s">
        <v>700</v>
      </c>
      <c r="Z45" s="26" t="s">
        <v>706</v>
      </c>
      <c r="AA45" s="26" t="n">
        <v>2.52</v>
      </c>
      <c r="AB45" s="2" t="n">
        <f aca="false">-AA45</f>
        <v>-2.52</v>
      </c>
    </row>
    <row r="46" customFormat="false" ht="14.25" hidden="false" customHeight="false" outlineLevel="0" collapsed="false">
      <c r="M46" s="49"/>
      <c r="N46" s="49" t="s">
        <v>111</v>
      </c>
      <c r="O46" s="49"/>
      <c r="P46" s="48" t="n">
        <v>-9.45</v>
      </c>
      <c r="Q46" s="49"/>
      <c r="R46" s="49"/>
      <c r="S46" s="49"/>
      <c r="T46" s="48" t="s">
        <v>701</v>
      </c>
      <c r="Z46" s="26" t="s">
        <v>707</v>
      </c>
      <c r="AA46" s="26" t="n">
        <v>2.68</v>
      </c>
      <c r="AB46" s="2" t="n">
        <f aca="false">-AA46</f>
        <v>-2.68</v>
      </c>
    </row>
    <row r="47" customFormat="false" ht="14.25" hidden="false" customHeight="false" outlineLevel="0" collapsed="false">
      <c r="M47" s="49"/>
      <c r="N47" s="49" t="s">
        <v>111</v>
      </c>
      <c r="O47" s="49"/>
      <c r="P47" s="48" t="n">
        <v>-10</v>
      </c>
      <c r="Q47" s="49"/>
      <c r="R47" s="49"/>
      <c r="S47" s="49"/>
      <c r="T47" s="48" t="s">
        <v>702</v>
      </c>
      <c r="Z47" s="26" t="s">
        <v>708</v>
      </c>
      <c r="AA47" s="26" t="n">
        <v>2.86</v>
      </c>
      <c r="AB47" s="2" t="n">
        <f aca="false">-AA47</f>
        <v>-2.86</v>
      </c>
    </row>
    <row r="48" customFormat="false" ht="14.25" hidden="false" customHeight="false" outlineLevel="0" collapsed="false">
      <c r="M48" s="49"/>
      <c r="N48" s="49" t="s">
        <v>111</v>
      </c>
      <c r="O48" s="49"/>
      <c r="P48" s="48" t="n">
        <v>-2</v>
      </c>
      <c r="Q48" s="49"/>
      <c r="R48" s="49"/>
      <c r="S48" s="49"/>
      <c r="T48" s="48" t="s">
        <v>703</v>
      </c>
      <c r="Z48" s="26" t="s">
        <v>709</v>
      </c>
      <c r="AA48" s="26" t="n">
        <v>3.02</v>
      </c>
      <c r="AB48" s="2" t="n">
        <f aca="false">-AA48</f>
        <v>-3.02</v>
      </c>
    </row>
    <row r="49" customFormat="false" ht="14.25" hidden="false" customHeight="false" outlineLevel="0" collapsed="false">
      <c r="M49" s="49"/>
      <c r="N49" s="49" t="s">
        <v>111</v>
      </c>
      <c r="O49" s="49"/>
      <c r="P49" s="48" t="n">
        <v>-2.18</v>
      </c>
      <c r="Q49" s="49"/>
      <c r="R49" s="49"/>
      <c r="S49" s="49"/>
      <c r="T49" s="48" t="s">
        <v>704</v>
      </c>
      <c r="Z49" s="26" t="s">
        <v>710</v>
      </c>
      <c r="AA49" s="26" t="n">
        <v>3.2</v>
      </c>
      <c r="AB49" s="2" t="n">
        <f aca="false">-AA49</f>
        <v>-3.2</v>
      </c>
    </row>
    <row r="50" customFormat="false" ht="14.25" hidden="false" customHeight="false" outlineLevel="0" collapsed="false">
      <c r="M50" s="49"/>
      <c r="N50" s="49" t="s">
        <v>111</v>
      </c>
      <c r="O50" s="49"/>
      <c r="P50" s="48" t="n">
        <v>-2.34</v>
      </c>
      <c r="Q50" s="49"/>
      <c r="R50" s="49"/>
      <c r="S50" s="49"/>
      <c r="T50" s="48" t="s">
        <v>705</v>
      </c>
      <c r="Z50" s="26" t="s">
        <v>711</v>
      </c>
      <c r="AA50" s="26" t="n">
        <v>3.6</v>
      </c>
      <c r="AB50" s="2" t="n">
        <f aca="false">-AA50</f>
        <v>-3.6</v>
      </c>
    </row>
    <row r="51" customFormat="false" ht="14.25" hidden="false" customHeight="false" outlineLevel="0" collapsed="false">
      <c r="M51" s="49"/>
      <c r="N51" s="49" t="s">
        <v>111</v>
      </c>
      <c r="O51" s="49"/>
      <c r="P51" s="48" t="n">
        <v>-2.52</v>
      </c>
      <c r="Q51" s="49"/>
      <c r="R51" s="49"/>
      <c r="S51" s="49"/>
      <c r="T51" s="48" t="s">
        <v>706</v>
      </c>
      <c r="Z51" s="26" t="s">
        <v>712</v>
      </c>
      <c r="AA51" s="26" t="n">
        <v>3.93</v>
      </c>
      <c r="AB51" s="2" t="n">
        <f aca="false">-AA51</f>
        <v>-3.93</v>
      </c>
    </row>
    <row r="52" customFormat="false" ht="14.25" hidden="false" customHeight="false" outlineLevel="0" collapsed="false">
      <c r="M52" s="49"/>
      <c r="N52" s="49" t="s">
        <v>111</v>
      </c>
      <c r="O52" s="49"/>
      <c r="P52" s="48" t="n">
        <v>-2.68</v>
      </c>
      <c r="Q52" s="49"/>
      <c r="R52" s="49"/>
      <c r="S52" s="49"/>
      <c r="T52" s="48" t="s">
        <v>707</v>
      </c>
      <c r="Z52" s="26" t="s">
        <v>713</v>
      </c>
      <c r="AA52" s="26" t="n">
        <v>4.29</v>
      </c>
      <c r="AB52" s="2" t="n">
        <f aca="false">-AA52</f>
        <v>-4.29</v>
      </c>
    </row>
    <row r="53" customFormat="false" ht="14.25" hidden="false" customHeight="false" outlineLevel="0" collapsed="false">
      <c r="M53" s="49"/>
      <c r="N53" s="49" t="s">
        <v>111</v>
      </c>
      <c r="O53" s="49"/>
      <c r="P53" s="48" t="n">
        <v>-2.86</v>
      </c>
      <c r="Q53" s="49"/>
      <c r="R53" s="49"/>
      <c r="S53" s="49"/>
      <c r="T53" s="48" t="s">
        <v>708</v>
      </c>
      <c r="Z53" s="26" t="s">
        <v>714</v>
      </c>
      <c r="AA53" s="26" t="n">
        <v>4.62</v>
      </c>
      <c r="AB53" s="2" t="n">
        <f aca="false">-AA53</f>
        <v>-4.62</v>
      </c>
    </row>
    <row r="54" customFormat="false" ht="14.25" hidden="false" customHeight="false" outlineLevel="0" collapsed="false">
      <c r="M54" s="49"/>
      <c r="N54" s="49" t="s">
        <v>111</v>
      </c>
      <c r="O54" s="49"/>
      <c r="P54" s="48" t="n">
        <v>-3.02</v>
      </c>
      <c r="Q54" s="49"/>
      <c r="R54" s="49"/>
      <c r="S54" s="49"/>
      <c r="T54" s="48" t="s">
        <v>709</v>
      </c>
      <c r="Z54" s="26" t="s">
        <v>715</v>
      </c>
      <c r="AA54" s="26" t="n">
        <v>4.98</v>
      </c>
      <c r="AB54" s="2" t="n">
        <f aca="false">-AA54</f>
        <v>-4.98</v>
      </c>
    </row>
    <row r="55" customFormat="false" ht="14.25" hidden="false" customHeight="false" outlineLevel="0" collapsed="false">
      <c r="M55" s="49"/>
      <c r="N55" s="49" t="s">
        <v>111</v>
      </c>
      <c r="O55" s="49"/>
      <c r="P55" s="48" t="n">
        <v>-3.2</v>
      </c>
      <c r="Q55" s="49"/>
      <c r="R55" s="49"/>
      <c r="S55" s="49"/>
      <c r="T55" s="48" t="s">
        <v>710</v>
      </c>
      <c r="Z55" s="26" t="s">
        <v>716</v>
      </c>
      <c r="AA55" s="26" t="n">
        <v>5.31</v>
      </c>
      <c r="AB55" s="2" t="n">
        <f aca="false">-AA55</f>
        <v>-5.31</v>
      </c>
    </row>
    <row r="56" customFormat="false" ht="14.25" hidden="false" customHeight="false" outlineLevel="0" collapsed="false">
      <c r="M56" s="49"/>
      <c r="N56" s="49" t="s">
        <v>111</v>
      </c>
      <c r="O56" s="49"/>
      <c r="P56" s="48" t="n">
        <v>-3.6</v>
      </c>
      <c r="Q56" s="49"/>
      <c r="R56" s="49"/>
      <c r="S56" s="49"/>
      <c r="T56" s="48" t="s">
        <v>711</v>
      </c>
      <c r="Z56" s="26" t="s">
        <v>717</v>
      </c>
      <c r="AA56" s="26" t="n">
        <v>5.67</v>
      </c>
      <c r="AB56" s="2" t="n">
        <f aca="false">-AA56</f>
        <v>-5.67</v>
      </c>
    </row>
    <row r="57" customFormat="false" ht="14.25" hidden="false" customHeight="false" outlineLevel="0" collapsed="false">
      <c r="M57" s="49"/>
      <c r="N57" s="49" t="s">
        <v>111</v>
      </c>
      <c r="O57" s="49"/>
      <c r="P57" s="48" t="n">
        <v>-3.93</v>
      </c>
      <c r="Q57" s="49"/>
      <c r="R57" s="49"/>
      <c r="S57" s="49"/>
      <c r="T57" s="48" t="s">
        <v>712</v>
      </c>
      <c r="Z57" s="26" t="s">
        <v>718</v>
      </c>
      <c r="AA57" s="26" t="n">
        <v>6</v>
      </c>
      <c r="AB57" s="2" t="n">
        <f aca="false">-AA57</f>
        <v>-6</v>
      </c>
    </row>
    <row r="58" customFormat="false" ht="14.25" hidden="false" customHeight="false" outlineLevel="0" collapsed="false">
      <c r="M58" s="49"/>
      <c r="N58" s="49" t="s">
        <v>111</v>
      </c>
      <c r="O58" s="49"/>
      <c r="P58" s="48" t="n">
        <v>-4.29</v>
      </c>
      <c r="Q58" s="49"/>
      <c r="R58" s="49"/>
      <c r="S58" s="49"/>
      <c r="T58" s="48" t="s">
        <v>713</v>
      </c>
      <c r="Z58" s="26" t="s">
        <v>719</v>
      </c>
      <c r="AA58" s="26" t="n">
        <v>4.8</v>
      </c>
      <c r="AB58" s="2" t="n">
        <f aca="false">-AA58</f>
        <v>-4.8</v>
      </c>
    </row>
    <row r="59" customFormat="false" ht="14.25" hidden="false" customHeight="false" outlineLevel="0" collapsed="false">
      <c r="M59" s="49"/>
      <c r="N59" s="49" t="s">
        <v>111</v>
      </c>
      <c r="O59" s="49"/>
      <c r="P59" s="48" t="n">
        <v>-4.62</v>
      </c>
      <c r="Q59" s="49"/>
      <c r="R59" s="49"/>
      <c r="S59" s="49"/>
      <c r="T59" s="48" t="s">
        <v>714</v>
      </c>
      <c r="Z59" s="26" t="s">
        <v>720</v>
      </c>
      <c r="AA59" s="26" t="n">
        <v>5.24</v>
      </c>
      <c r="AB59" s="2" t="n">
        <f aca="false">-AA59</f>
        <v>-5.24</v>
      </c>
    </row>
    <row r="60" customFormat="false" ht="14.25" hidden="false" customHeight="false" outlineLevel="0" collapsed="false">
      <c r="M60" s="49"/>
      <c r="N60" s="49" t="s">
        <v>111</v>
      </c>
      <c r="O60" s="49"/>
      <c r="P60" s="48" t="n">
        <v>-4.98</v>
      </c>
      <c r="Q60" s="49"/>
      <c r="R60" s="49"/>
      <c r="S60" s="49"/>
      <c r="T60" s="48" t="s">
        <v>715</v>
      </c>
      <c r="Z60" s="26" t="s">
        <v>721</v>
      </c>
      <c r="AA60" s="26" t="n">
        <v>5.72</v>
      </c>
      <c r="AB60" s="2" t="n">
        <f aca="false">-AA60</f>
        <v>-5.72</v>
      </c>
    </row>
    <row r="61" customFormat="false" ht="14.25" hidden="false" customHeight="false" outlineLevel="0" collapsed="false">
      <c r="M61" s="49"/>
      <c r="N61" s="49" t="s">
        <v>111</v>
      </c>
      <c r="O61" s="49"/>
      <c r="P61" s="48" t="n">
        <v>-5.31</v>
      </c>
      <c r="Q61" s="49"/>
      <c r="R61" s="49"/>
      <c r="S61" s="49"/>
      <c r="T61" s="48" t="s">
        <v>716</v>
      </c>
      <c r="Z61" s="26" t="s">
        <v>722</v>
      </c>
      <c r="AA61" s="26" t="n">
        <v>6.16</v>
      </c>
      <c r="AB61" s="2" t="n">
        <f aca="false">-AA61</f>
        <v>-6.16</v>
      </c>
    </row>
    <row r="62" customFormat="false" ht="14.25" hidden="false" customHeight="false" outlineLevel="0" collapsed="false">
      <c r="M62" s="49"/>
      <c r="N62" s="49" t="s">
        <v>111</v>
      </c>
      <c r="O62" s="49"/>
      <c r="P62" s="48" t="n">
        <v>-5.67</v>
      </c>
      <c r="Q62" s="49"/>
      <c r="R62" s="49"/>
      <c r="S62" s="49"/>
      <c r="T62" s="48" t="s">
        <v>717</v>
      </c>
      <c r="Z62" s="26" t="s">
        <v>723</v>
      </c>
      <c r="AA62" s="26" t="n">
        <v>6.64</v>
      </c>
      <c r="AB62" s="2" t="n">
        <f aca="false">-AA62</f>
        <v>-6.64</v>
      </c>
    </row>
    <row r="63" customFormat="false" ht="14.25" hidden="false" customHeight="false" outlineLevel="0" collapsed="false">
      <c r="M63" s="49"/>
      <c r="N63" s="49" t="s">
        <v>111</v>
      </c>
      <c r="O63" s="49"/>
      <c r="P63" s="48" t="n">
        <v>-6</v>
      </c>
      <c r="Q63" s="49"/>
      <c r="R63" s="49"/>
      <c r="S63" s="49"/>
      <c r="T63" s="48" t="s">
        <v>718</v>
      </c>
      <c r="Z63" s="26" t="s">
        <v>724</v>
      </c>
      <c r="AA63" s="26" t="n">
        <v>7.08</v>
      </c>
      <c r="AB63" s="2" t="n">
        <f aca="false">-AA63</f>
        <v>-7.08</v>
      </c>
    </row>
    <row r="64" customFormat="false" ht="14.25" hidden="false" customHeight="false" outlineLevel="0" collapsed="false">
      <c r="M64" s="49"/>
      <c r="N64" s="49" t="s">
        <v>111</v>
      </c>
      <c r="O64" s="49"/>
      <c r="P64" s="48" t="n">
        <v>-4.8</v>
      </c>
      <c r="Q64" s="49"/>
      <c r="R64" s="49"/>
      <c r="S64" s="49"/>
      <c r="T64" s="48" t="s">
        <v>719</v>
      </c>
      <c r="Z64" s="26" t="s">
        <v>725</v>
      </c>
      <c r="AA64" s="26" t="n">
        <v>7.56</v>
      </c>
      <c r="AB64" s="2" t="n">
        <f aca="false">-AA64</f>
        <v>-7.56</v>
      </c>
    </row>
    <row r="65" customFormat="false" ht="14.25" hidden="false" customHeight="false" outlineLevel="0" collapsed="false">
      <c r="M65" s="49"/>
      <c r="N65" s="49" t="s">
        <v>111</v>
      </c>
      <c r="O65" s="49"/>
      <c r="P65" s="48" t="n">
        <v>-5.24</v>
      </c>
      <c r="Q65" s="49"/>
      <c r="R65" s="49"/>
      <c r="S65" s="49"/>
      <c r="T65" s="48" t="s">
        <v>720</v>
      </c>
      <c r="Z65" s="26" t="s">
        <v>726</v>
      </c>
      <c r="AA65" s="26" t="n">
        <v>8</v>
      </c>
      <c r="AB65" s="2" t="n">
        <f aca="false">-AA65</f>
        <v>-8</v>
      </c>
    </row>
    <row r="66" customFormat="false" ht="14.25" hidden="false" customHeight="false" outlineLevel="0" collapsed="false">
      <c r="M66" s="49"/>
      <c r="N66" s="49" t="s">
        <v>111</v>
      </c>
      <c r="O66" s="49"/>
      <c r="P66" s="48" t="n">
        <v>-5.72</v>
      </c>
      <c r="Q66" s="49"/>
      <c r="R66" s="49"/>
      <c r="S66" s="49"/>
      <c r="T66" s="48" t="s">
        <v>721</v>
      </c>
      <c r="Z66" s="26" t="s">
        <v>727</v>
      </c>
      <c r="AA66" s="26" t="n">
        <v>11</v>
      </c>
      <c r="AB66" s="2" t="n">
        <f aca="false">-AA66</f>
        <v>-11</v>
      </c>
    </row>
    <row r="67" customFormat="false" ht="14.25" hidden="false" customHeight="false" outlineLevel="0" collapsed="false">
      <c r="M67" s="49"/>
      <c r="N67" s="49" t="s">
        <v>111</v>
      </c>
      <c r="O67" s="49"/>
      <c r="P67" s="48" t="n">
        <v>-6.16</v>
      </c>
      <c r="Q67" s="49"/>
      <c r="R67" s="49"/>
      <c r="S67" s="49"/>
      <c r="T67" s="48" t="s">
        <v>722</v>
      </c>
      <c r="Z67" s="26" t="s">
        <v>728</v>
      </c>
      <c r="AA67" s="26" t="n">
        <v>11</v>
      </c>
      <c r="AB67" s="2" t="n">
        <f aca="false">-AA67</f>
        <v>-11</v>
      </c>
    </row>
    <row r="68" customFormat="false" ht="14.25" hidden="false" customHeight="false" outlineLevel="0" collapsed="false">
      <c r="M68" s="49"/>
      <c r="N68" s="49" t="s">
        <v>111</v>
      </c>
      <c r="O68" s="49"/>
      <c r="P68" s="48" t="n">
        <v>-6.64</v>
      </c>
      <c r="Q68" s="49"/>
      <c r="R68" s="49"/>
      <c r="S68" s="49"/>
      <c r="T68" s="48" t="s">
        <v>723</v>
      </c>
      <c r="Z68" s="26" t="s">
        <v>729</v>
      </c>
      <c r="AA68" s="26" t="n">
        <v>11</v>
      </c>
      <c r="AB68" s="2" t="n">
        <f aca="false">-AA68</f>
        <v>-11</v>
      </c>
    </row>
    <row r="69" customFormat="false" ht="14.25" hidden="false" customHeight="false" outlineLevel="0" collapsed="false">
      <c r="M69" s="49"/>
      <c r="N69" s="49" t="s">
        <v>111</v>
      </c>
      <c r="O69" s="49"/>
      <c r="P69" s="48" t="n">
        <v>-7.08</v>
      </c>
      <c r="Q69" s="49"/>
      <c r="R69" s="49"/>
      <c r="S69" s="49"/>
      <c r="T69" s="48" t="s">
        <v>724</v>
      </c>
      <c r="Z69" s="26" t="s">
        <v>730</v>
      </c>
      <c r="AA69" s="26" t="n">
        <v>11</v>
      </c>
      <c r="AB69" s="2" t="n">
        <f aca="false">-AA69</f>
        <v>-11</v>
      </c>
    </row>
    <row r="70" customFormat="false" ht="14.25" hidden="false" customHeight="false" outlineLevel="0" collapsed="false">
      <c r="M70" s="49"/>
      <c r="N70" s="49" t="s">
        <v>111</v>
      </c>
      <c r="O70" s="49"/>
      <c r="P70" s="48" t="n">
        <v>-7.56</v>
      </c>
      <c r="Q70" s="49"/>
      <c r="R70" s="49"/>
      <c r="S70" s="49"/>
      <c r="T70" s="48" t="s">
        <v>725</v>
      </c>
      <c r="Z70" s="26" t="s">
        <v>731</v>
      </c>
      <c r="AA70" s="26" t="n">
        <v>11</v>
      </c>
      <c r="AB70" s="2" t="n">
        <f aca="false">-AA70</f>
        <v>-11</v>
      </c>
    </row>
    <row r="71" customFormat="false" ht="14.25" hidden="false" customHeight="false" outlineLevel="0" collapsed="false">
      <c r="M71" s="49"/>
      <c r="N71" s="49" t="s">
        <v>111</v>
      </c>
      <c r="O71" s="49"/>
      <c r="P71" s="48" t="n">
        <v>-8</v>
      </c>
      <c r="Q71" s="49"/>
      <c r="R71" s="49"/>
      <c r="S71" s="49"/>
      <c r="T71" s="48" t="s">
        <v>726</v>
      </c>
      <c r="Z71" s="26" t="s">
        <v>732</v>
      </c>
      <c r="AA71" s="26" t="n">
        <v>11</v>
      </c>
      <c r="AB71" s="2" t="n">
        <f aca="false">-AA71</f>
        <v>-11</v>
      </c>
    </row>
    <row r="72" customFormat="false" ht="14.25" hidden="false" customHeight="false" outlineLevel="0" collapsed="false">
      <c r="M72" s="49"/>
      <c r="N72" s="49" t="s">
        <v>111</v>
      </c>
      <c r="O72" s="49"/>
      <c r="P72" s="48" t="n">
        <v>-11</v>
      </c>
      <c r="Q72" s="49"/>
      <c r="R72" s="49"/>
      <c r="S72" s="49"/>
      <c r="T72" s="48" t="s">
        <v>727</v>
      </c>
      <c r="Z72" s="26" t="s">
        <v>733</v>
      </c>
      <c r="AA72" s="26" t="n">
        <v>11</v>
      </c>
      <c r="AB72" s="2" t="n">
        <f aca="false">-AA72</f>
        <v>-11</v>
      </c>
    </row>
    <row r="73" customFormat="false" ht="14.25" hidden="false" customHeight="false" outlineLevel="0" collapsed="false">
      <c r="M73" s="49"/>
      <c r="N73" s="49" t="s">
        <v>111</v>
      </c>
      <c r="O73" s="49"/>
      <c r="P73" s="48" t="n">
        <v>-11</v>
      </c>
      <c r="Q73" s="49"/>
      <c r="R73" s="49"/>
      <c r="S73" s="49"/>
      <c r="T73" s="48" t="s">
        <v>728</v>
      </c>
      <c r="Z73" s="26" t="s">
        <v>734</v>
      </c>
      <c r="AA73" s="26" t="n">
        <v>11</v>
      </c>
      <c r="AB73" s="2" t="n">
        <f aca="false">-AA73</f>
        <v>-11</v>
      </c>
    </row>
    <row r="74" customFormat="false" ht="14.25" hidden="false" customHeight="false" outlineLevel="0" collapsed="false">
      <c r="M74" s="49"/>
      <c r="N74" s="49" t="s">
        <v>111</v>
      </c>
      <c r="O74" s="49"/>
      <c r="P74" s="48" t="n">
        <v>-11</v>
      </c>
      <c r="Q74" s="49"/>
      <c r="R74" s="49"/>
      <c r="S74" s="49"/>
      <c r="T74" s="48" t="s">
        <v>729</v>
      </c>
      <c r="Z74" s="26" t="s">
        <v>735</v>
      </c>
      <c r="AA74" s="26" t="n">
        <v>11</v>
      </c>
      <c r="AB74" s="2" t="n">
        <f aca="false">-AA74</f>
        <v>-11</v>
      </c>
    </row>
    <row r="75" customFormat="false" ht="14.25" hidden="false" customHeight="false" outlineLevel="0" collapsed="false">
      <c r="M75" s="49"/>
      <c r="N75" s="49" t="s">
        <v>111</v>
      </c>
      <c r="O75" s="49"/>
      <c r="P75" s="48" t="n">
        <v>-11</v>
      </c>
      <c r="Q75" s="49"/>
      <c r="R75" s="49"/>
      <c r="S75" s="49"/>
      <c r="T75" s="48" t="s">
        <v>730</v>
      </c>
      <c r="Z75" s="26" t="s">
        <v>736</v>
      </c>
      <c r="AA75" s="26" t="n">
        <v>11</v>
      </c>
      <c r="AB75" s="2" t="n">
        <f aca="false">-AA75</f>
        <v>-11</v>
      </c>
    </row>
    <row r="76" customFormat="false" ht="14.25" hidden="false" customHeight="false" outlineLevel="0" collapsed="false">
      <c r="M76" s="49"/>
      <c r="N76" s="49" t="s">
        <v>111</v>
      </c>
      <c r="O76" s="49"/>
      <c r="P76" s="48" t="n">
        <v>-11</v>
      </c>
      <c r="Q76" s="49"/>
      <c r="R76" s="49"/>
      <c r="S76" s="49"/>
      <c r="T76" s="48" t="s">
        <v>731</v>
      </c>
      <c r="Z76" s="26" t="s">
        <v>737</v>
      </c>
      <c r="AA76" s="26" t="n">
        <v>11</v>
      </c>
      <c r="AB76" s="2" t="n">
        <f aca="false">-AA76</f>
        <v>-11</v>
      </c>
    </row>
    <row r="77" customFormat="false" ht="14.25" hidden="false" customHeight="false" outlineLevel="0" collapsed="false">
      <c r="M77" s="49"/>
      <c r="N77" s="49" t="s">
        <v>111</v>
      </c>
      <c r="O77" s="49"/>
      <c r="P77" s="48" t="n">
        <v>-11</v>
      </c>
      <c r="Q77" s="49"/>
      <c r="R77" s="49"/>
      <c r="S77" s="49"/>
      <c r="T77" s="48" t="s">
        <v>732</v>
      </c>
      <c r="Z77" s="26" t="s">
        <v>738</v>
      </c>
      <c r="AA77" s="26" t="n">
        <v>11</v>
      </c>
      <c r="AB77" s="2" t="n">
        <f aca="false">-AA77</f>
        <v>-11</v>
      </c>
    </row>
    <row r="78" customFormat="false" ht="14.25" hidden="false" customHeight="false" outlineLevel="0" collapsed="false">
      <c r="M78" s="49"/>
      <c r="N78" s="49" t="s">
        <v>111</v>
      </c>
      <c r="O78" s="49"/>
      <c r="P78" s="48" t="n">
        <v>-11</v>
      </c>
      <c r="Q78" s="49"/>
      <c r="R78" s="49"/>
      <c r="S78" s="49"/>
      <c r="T78" s="48" t="s">
        <v>733</v>
      </c>
      <c r="Z78" s="26" t="s">
        <v>739</v>
      </c>
      <c r="AA78" s="26" t="n">
        <v>11</v>
      </c>
      <c r="AB78" s="2" t="n">
        <f aca="false">-AA78</f>
        <v>-11</v>
      </c>
    </row>
    <row r="79" customFormat="false" ht="14.25" hidden="false" customHeight="false" outlineLevel="0" collapsed="false">
      <c r="M79" s="49"/>
      <c r="N79" s="49" t="s">
        <v>111</v>
      </c>
      <c r="O79" s="49"/>
      <c r="P79" s="48" t="n">
        <v>-11</v>
      </c>
      <c r="Q79" s="49"/>
      <c r="R79" s="49"/>
      <c r="S79" s="49"/>
      <c r="T79" s="48" t="s">
        <v>734</v>
      </c>
      <c r="Z79" s="26" t="s">
        <v>740</v>
      </c>
      <c r="AA79" s="26" t="n">
        <v>11</v>
      </c>
      <c r="AB79" s="2" t="n">
        <f aca="false">-AA79</f>
        <v>-11</v>
      </c>
    </row>
    <row r="80" customFormat="false" ht="14.25" hidden="false" customHeight="false" outlineLevel="0" collapsed="false">
      <c r="M80" s="49"/>
      <c r="N80" s="49" t="s">
        <v>111</v>
      </c>
      <c r="O80" s="49"/>
      <c r="P80" s="48" t="n">
        <v>-11</v>
      </c>
      <c r="Q80" s="49"/>
      <c r="R80" s="49"/>
      <c r="S80" s="49"/>
      <c r="T80" s="48" t="s">
        <v>735</v>
      </c>
      <c r="Z80" s="26" t="s">
        <v>741</v>
      </c>
      <c r="AA80" s="26" t="n">
        <v>18</v>
      </c>
      <c r="AB80" s="2" t="n">
        <f aca="false">-AA80</f>
        <v>-18</v>
      </c>
    </row>
    <row r="81" customFormat="false" ht="14.25" hidden="false" customHeight="false" outlineLevel="0" collapsed="false">
      <c r="M81" s="49"/>
      <c r="N81" s="49" t="s">
        <v>111</v>
      </c>
      <c r="O81" s="49"/>
      <c r="P81" s="48" t="n">
        <v>-11</v>
      </c>
      <c r="Q81" s="49"/>
      <c r="R81" s="49"/>
      <c r="S81" s="49"/>
      <c r="T81" s="48" t="s">
        <v>736</v>
      </c>
      <c r="Z81" s="26" t="s">
        <v>742</v>
      </c>
      <c r="AA81" s="26" t="n">
        <v>18</v>
      </c>
      <c r="AB81" s="2" t="n">
        <f aca="false">-AA81</f>
        <v>-18</v>
      </c>
    </row>
    <row r="82" customFormat="false" ht="14.25" hidden="false" customHeight="false" outlineLevel="0" collapsed="false">
      <c r="M82" s="49"/>
      <c r="N82" s="49" t="s">
        <v>111</v>
      </c>
      <c r="O82" s="49"/>
      <c r="P82" s="48" t="n">
        <v>-11</v>
      </c>
      <c r="Q82" s="49"/>
      <c r="R82" s="49"/>
      <c r="S82" s="49"/>
      <c r="T82" s="48" t="s">
        <v>737</v>
      </c>
      <c r="Z82" s="26" t="s">
        <v>743</v>
      </c>
      <c r="AA82" s="26" t="n">
        <v>18</v>
      </c>
      <c r="AB82" s="2" t="n">
        <f aca="false">-AA82</f>
        <v>-18</v>
      </c>
    </row>
    <row r="83" customFormat="false" ht="14.25" hidden="false" customHeight="false" outlineLevel="0" collapsed="false">
      <c r="M83" s="49"/>
      <c r="N83" s="49" t="s">
        <v>111</v>
      </c>
      <c r="O83" s="49"/>
      <c r="P83" s="48" t="n">
        <v>-11</v>
      </c>
      <c r="Q83" s="49"/>
      <c r="R83" s="49"/>
      <c r="S83" s="49"/>
      <c r="T83" s="48" t="s">
        <v>738</v>
      </c>
      <c r="Z83" s="26" t="s">
        <v>744</v>
      </c>
      <c r="AA83" s="26" t="n">
        <v>18</v>
      </c>
      <c r="AB83" s="2" t="n">
        <f aca="false">-AA83</f>
        <v>-18</v>
      </c>
    </row>
    <row r="84" customFormat="false" ht="14.25" hidden="false" customHeight="false" outlineLevel="0" collapsed="false">
      <c r="M84" s="49"/>
      <c r="N84" s="49" t="s">
        <v>111</v>
      </c>
      <c r="O84" s="49"/>
      <c r="P84" s="48" t="n">
        <v>-11</v>
      </c>
      <c r="Q84" s="49"/>
      <c r="R84" s="49"/>
      <c r="S84" s="49"/>
      <c r="T84" s="48" t="s">
        <v>739</v>
      </c>
      <c r="Z84" s="26" t="s">
        <v>745</v>
      </c>
      <c r="AA84" s="26" t="n">
        <v>18</v>
      </c>
      <c r="AB84" s="2" t="n">
        <f aca="false">-AA84</f>
        <v>-18</v>
      </c>
    </row>
    <row r="85" customFormat="false" ht="14.25" hidden="false" customHeight="false" outlineLevel="0" collapsed="false">
      <c r="M85" s="49"/>
      <c r="N85" s="49" t="s">
        <v>111</v>
      </c>
      <c r="O85" s="49"/>
      <c r="P85" s="48" t="n">
        <v>-11</v>
      </c>
      <c r="Q85" s="49"/>
      <c r="R85" s="49"/>
      <c r="S85" s="49"/>
      <c r="T85" s="48" t="s">
        <v>740</v>
      </c>
      <c r="Z85" s="26" t="s">
        <v>746</v>
      </c>
      <c r="AA85" s="26" t="n">
        <v>18</v>
      </c>
      <c r="AB85" s="2" t="n">
        <f aca="false">-AA85</f>
        <v>-18</v>
      </c>
    </row>
    <row r="86" customFormat="false" ht="14.25" hidden="false" customHeight="false" outlineLevel="0" collapsed="false">
      <c r="M86" s="49"/>
      <c r="N86" s="49" t="s">
        <v>111</v>
      </c>
      <c r="O86" s="49"/>
      <c r="P86" s="48" t="n">
        <v>-18</v>
      </c>
      <c r="Q86" s="49"/>
      <c r="R86" s="49"/>
      <c r="S86" s="49"/>
      <c r="T86" s="48" t="s">
        <v>741</v>
      </c>
      <c r="Z86" s="26" t="s">
        <v>747</v>
      </c>
      <c r="AA86" s="26" t="n">
        <v>18</v>
      </c>
      <c r="AB86" s="2" t="n">
        <f aca="false">-AA86</f>
        <v>-18</v>
      </c>
    </row>
    <row r="87" customFormat="false" ht="14.25" hidden="false" customHeight="false" outlineLevel="0" collapsed="false">
      <c r="M87" s="49"/>
      <c r="N87" s="49" t="s">
        <v>111</v>
      </c>
      <c r="O87" s="49"/>
      <c r="P87" s="48" t="n">
        <v>-18</v>
      </c>
      <c r="Q87" s="49"/>
      <c r="R87" s="49"/>
      <c r="S87" s="49"/>
      <c r="T87" s="48" t="s">
        <v>742</v>
      </c>
      <c r="Z87" s="26" t="s">
        <v>748</v>
      </c>
      <c r="AA87" s="26" t="n">
        <v>18</v>
      </c>
      <c r="AB87" s="2" t="n">
        <f aca="false">-AA87</f>
        <v>-18</v>
      </c>
    </row>
    <row r="88" customFormat="false" ht="14.25" hidden="false" customHeight="false" outlineLevel="0" collapsed="false">
      <c r="M88" s="49"/>
      <c r="N88" s="49" t="s">
        <v>111</v>
      </c>
      <c r="O88" s="49"/>
      <c r="P88" s="48" t="n">
        <v>-18</v>
      </c>
      <c r="Q88" s="49"/>
      <c r="R88" s="49"/>
      <c r="S88" s="49"/>
      <c r="T88" s="48" t="s">
        <v>743</v>
      </c>
      <c r="Z88" s="26" t="s">
        <v>749</v>
      </c>
      <c r="AA88" s="26" t="n">
        <v>18</v>
      </c>
      <c r="AB88" s="2" t="n">
        <f aca="false">-AA88</f>
        <v>-18</v>
      </c>
    </row>
    <row r="89" customFormat="false" ht="14.25" hidden="false" customHeight="false" outlineLevel="0" collapsed="false">
      <c r="M89" s="49"/>
      <c r="N89" s="49" t="s">
        <v>111</v>
      </c>
      <c r="O89" s="49"/>
      <c r="P89" s="48" t="n">
        <v>-18</v>
      </c>
      <c r="Q89" s="49"/>
      <c r="R89" s="49"/>
      <c r="S89" s="49"/>
      <c r="T89" s="48" t="s">
        <v>744</v>
      </c>
      <c r="Z89" s="26" t="s">
        <v>750</v>
      </c>
      <c r="AA89" s="26" t="n">
        <v>18</v>
      </c>
      <c r="AB89" s="2" t="n">
        <f aca="false">-AA89</f>
        <v>-18</v>
      </c>
    </row>
    <row r="90" customFormat="false" ht="14.25" hidden="false" customHeight="false" outlineLevel="0" collapsed="false">
      <c r="M90" s="49"/>
      <c r="N90" s="49" t="s">
        <v>111</v>
      </c>
      <c r="O90" s="49"/>
      <c r="P90" s="48" t="n">
        <v>-18</v>
      </c>
      <c r="Q90" s="49"/>
      <c r="R90" s="49"/>
      <c r="S90" s="49"/>
      <c r="T90" s="48" t="s">
        <v>745</v>
      </c>
      <c r="Z90" s="26" t="s">
        <v>751</v>
      </c>
      <c r="AA90" s="26" t="n">
        <v>18</v>
      </c>
      <c r="AB90" s="2" t="n">
        <f aca="false">-AA90</f>
        <v>-18</v>
      </c>
    </row>
    <row r="91" customFormat="false" ht="14.25" hidden="false" customHeight="false" outlineLevel="0" collapsed="false">
      <c r="M91" s="49"/>
      <c r="N91" s="49" t="s">
        <v>111</v>
      </c>
      <c r="O91" s="49"/>
      <c r="P91" s="48" t="n">
        <v>-18</v>
      </c>
      <c r="Q91" s="49"/>
      <c r="R91" s="49"/>
      <c r="S91" s="49"/>
      <c r="T91" s="48" t="s">
        <v>746</v>
      </c>
      <c r="Z91" s="26" t="s">
        <v>752</v>
      </c>
      <c r="AA91" s="26" t="n">
        <v>18</v>
      </c>
      <c r="AB91" s="2" t="n">
        <f aca="false">-AA91</f>
        <v>-18</v>
      </c>
    </row>
    <row r="92" customFormat="false" ht="14.25" hidden="false" customHeight="false" outlineLevel="0" collapsed="false">
      <c r="M92" s="49"/>
      <c r="N92" s="49" t="s">
        <v>111</v>
      </c>
      <c r="O92" s="49"/>
      <c r="P92" s="48" t="n">
        <v>-18</v>
      </c>
      <c r="Q92" s="49"/>
      <c r="R92" s="49"/>
      <c r="S92" s="49"/>
      <c r="T92" s="48" t="s">
        <v>747</v>
      </c>
      <c r="Z92" s="26" t="s">
        <v>753</v>
      </c>
      <c r="AA92" s="26" t="n">
        <v>18</v>
      </c>
      <c r="AB92" s="2" t="n">
        <f aca="false">-AA92</f>
        <v>-18</v>
      </c>
    </row>
    <row r="93" customFormat="false" ht="14.25" hidden="false" customHeight="false" outlineLevel="0" collapsed="false">
      <c r="M93" s="49"/>
      <c r="N93" s="49" t="s">
        <v>111</v>
      </c>
      <c r="O93" s="49"/>
      <c r="P93" s="48" t="n">
        <v>-18</v>
      </c>
      <c r="Q93" s="49"/>
      <c r="R93" s="49"/>
      <c r="S93" s="49"/>
      <c r="T93" s="48" t="s">
        <v>748</v>
      </c>
    </row>
    <row r="94" customFormat="false" ht="14.25" hidden="false" customHeight="false" outlineLevel="0" collapsed="false">
      <c r="M94" s="49"/>
      <c r="N94" s="49" t="s">
        <v>111</v>
      </c>
      <c r="O94" s="49"/>
      <c r="P94" s="48" t="n">
        <v>-18</v>
      </c>
      <c r="Q94" s="49"/>
      <c r="R94" s="49"/>
      <c r="S94" s="49"/>
      <c r="T94" s="48" t="s">
        <v>749</v>
      </c>
    </row>
    <row r="95" customFormat="false" ht="14.25" hidden="false" customHeight="false" outlineLevel="0" collapsed="false">
      <c r="M95" s="49"/>
      <c r="N95" s="49" t="s">
        <v>111</v>
      </c>
      <c r="O95" s="49"/>
      <c r="P95" s="48" t="n">
        <v>-18</v>
      </c>
      <c r="Q95" s="49"/>
      <c r="R95" s="49"/>
      <c r="S95" s="49"/>
      <c r="T95" s="48" t="s">
        <v>750</v>
      </c>
    </row>
    <row r="96" customFormat="false" ht="14.25" hidden="false" customHeight="false" outlineLevel="0" collapsed="false">
      <c r="M96" s="49"/>
      <c r="N96" s="49" t="s">
        <v>111</v>
      </c>
      <c r="O96" s="49"/>
      <c r="P96" s="48" t="n">
        <v>-18</v>
      </c>
      <c r="Q96" s="49"/>
      <c r="R96" s="49"/>
      <c r="S96" s="49"/>
      <c r="T96" s="48" t="s">
        <v>751</v>
      </c>
    </row>
    <row r="97" customFormat="false" ht="14.25" hidden="false" customHeight="false" outlineLevel="0" collapsed="false">
      <c r="M97" s="49"/>
      <c r="N97" s="49" t="s">
        <v>111</v>
      </c>
      <c r="O97" s="49"/>
      <c r="P97" s="48" t="n">
        <v>-18</v>
      </c>
      <c r="Q97" s="49"/>
      <c r="R97" s="49"/>
      <c r="S97" s="49"/>
      <c r="T97" s="48" t="s">
        <v>752</v>
      </c>
    </row>
    <row r="98" customFormat="false" ht="14.25" hidden="false" customHeight="false" outlineLevel="0" collapsed="false">
      <c r="M98" s="49"/>
      <c r="N98" s="49" t="s">
        <v>111</v>
      </c>
      <c r="O98" s="49"/>
      <c r="P98" s="48" t="n">
        <v>-18</v>
      </c>
      <c r="Q98" s="49"/>
      <c r="R98" s="49"/>
      <c r="S98" s="49"/>
      <c r="T98" s="48" t="s">
        <v>753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H33" activeCellId="0" sqref="H33"/>
    </sheetView>
  </sheetViews>
  <sheetFormatPr defaultColWidth="8.73046875" defaultRowHeight="14.25" zeroHeight="false" outlineLevelRow="0" outlineLevelCol="0"/>
  <cols>
    <col collapsed="false" customWidth="false" hidden="false" outlineLevel="0" max="1" min="1" style="51" width="8.73"/>
    <col collapsed="false" customWidth="true" hidden="false" outlineLevel="0" max="2" min="2" style="0" width="24.4"/>
    <col collapsed="false" customWidth="true" hidden="false" outlineLevel="0" max="3" min="3" style="0" width="19.86"/>
    <col collapsed="false" customWidth="true" hidden="false" outlineLevel="0" max="4" min="4" style="0" width="7.87"/>
    <col collapsed="false" customWidth="true" hidden="false" outlineLevel="0" max="5" min="5" style="0" width="8"/>
    <col collapsed="false" customWidth="true" hidden="false" outlineLevel="0" max="6" min="6" style="0" width="5.55"/>
    <col collapsed="false" customWidth="true" hidden="false" outlineLevel="0" max="7" min="7" style="0" width="2.55"/>
    <col collapsed="false" customWidth="true" hidden="false" outlineLevel="0" max="8" min="8" style="0" width="9"/>
    <col collapsed="false" customWidth="true" hidden="false" outlineLevel="0" max="9" min="9" style="0" width="18.91"/>
    <col collapsed="false" customWidth="true" hidden="false" outlineLevel="0" max="10" min="10" style="51" width="12.73"/>
    <col collapsed="false" customWidth="true" hidden="false" outlineLevel="0" max="11" min="11" style="51" width="10.18"/>
    <col collapsed="false" customWidth="false" hidden="false" outlineLevel="0" max="14" min="12" style="51" width="8.73"/>
  </cols>
  <sheetData>
    <row r="2" customFormat="false" ht="14.25" hidden="false" customHeight="false" outlineLevel="0" collapsed="false">
      <c r="B2" s="0" t="s">
        <v>1</v>
      </c>
    </row>
    <row r="3" customFormat="false" ht="14.25" hidden="false" customHeight="false" outlineLevel="0" collapsed="false">
      <c r="B3" s="41"/>
      <c r="C3" s="43" t="s">
        <v>661</v>
      </c>
    </row>
    <row r="4" customFormat="false" ht="14.25" hidden="false" customHeight="false" outlineLevel="0" collapsed="false">
      <c r="D4" s="41"/>
      <c r="E4" s="41"/>
      <c r="F4" s="41"/>
      <c r="G4" s="41"/>
      <c r="H4" s="41"/>
      <c r="I4" s="41"/>
    </row>
    <row r="5" customFormat="false" ht="14.25" hidden="false" customHeight="false" outlineLevel="0" collapsed="false">
      <c r="B5" s="43"/>
      <c r="D5" s="43"/>
      <c r="E5" s="43"/>
      <c r="F5" s="43"/>
      <c r="G5" s="43"/>
      <c r="H5" s="43"/>
      <c r="I5" s="43"/>
    </row>
    <row r="6" customFormat="false" ht="15.75" hidden="false" customHeight="true" outlineLevel="0" collapsed="false">
      <c r="B6" s="43" t="s">
        <v>4</v>
      </c>
      <c r="C6" s="43" t="s">
        <v>5</v>
      </c>
      <c r="D6" s="43" t="s">
        <v>76</v>
      </c>
      <c r="E6" s="43" t="s">
        <v>6</v>
      </c>
      <c r="F6" s="43" t="n">
        <v>2020</v>
      </c>
      <c r="G6" s="43" t="n">
        <v>0</v>
      </c>
      <c r="H6" s="43" t="s">
        <v>75</v>
      </c>
      <c r="I6" s="43" t="s">
        <v>90</v>
      </c>
      <c r="K6" s="52"/>
    </row>
    <row r="7" customFormat="false" ht="14.25" hidden="false" customHeight="false" outlineLevel="0" collapsed="false">
      <c r="B7" s="43" t="s">
        <v>667</v>
      </c>
      <c r="C7" s="43" t="s">
        <v>311</v>
      </c>
      <c r="D7" s="43" t="s">
        <v>96</v>
      </c>
      <c r="E7" s="43" t="n">
        <f aca="false">1/0.05</f>
        <v>20</v>
      </c>
      <c r="F7" s="43" t="n">
        <v>0</v>
      </c>
      <c r="G7" s="43" t="n">
        <v>3</v>
      </c>
      <c r="H7" s="43" t="s">
        <v>668</v>
      </c>
      <c r="I7" s="43" t="s">
        <v>669</v>
      </c>
    </row>
    <row r="8" customFormat="false" ht="14.25" hidden="false" customHeight="false" outlineLevel="0" collapsed="false">
      <c r="B8" s="43"/>
      <c r="C8" s="43" t="s">
        <v>111</v>
      </c>
      <c r="D8" s="45"/>
      <c r="E8" s="46" t="n">
        <v>-120</v>
      </c>
      <c r="F8" s="45"/>
      <c r="G8" s="45"/>
      <c r="H8" s="45"/>
      <c r="I8" s="46" t="s">
        <v>656</v>
      </c>
    </row>
    <row r="9" customFormat="false" ht="14.25" hidden="false" customHeight="false" outlineLevel="0" collapsed="false">
      <c r="B9" s="43"/>
      <c r="C9" s="43" t="s">
        <v>111</v>
      </c>
      <c r="D9" s="45"/>
      <c r="E9" s="46" t="n">
        <v>-134</v>
      </c>
      <c r="F9" s="45"/>
      <c r="G9" s="45"/>
      <c r="H9" s="45"/>
      <c r="I9" s="46" t="s">
        <v>658</v>
      </c>
    </row>
    <row r="10" customFormat="false" ht="14.25" hidden="false" customHeight="false" outlineLevel="0" collapsed="false">
      <c r="B10" s="43"/>
      <c r="C10" s="43" t="s">
        <v>111</v>
      </c>
      <c r="D10" s="43"/>
      <c r="E10" s="46" t="n">
        <v>-149</v>
      </c>
      <c r="F10" s="43"/>
      <c r="G10" s="43"/>
      <c r="H10" s="43"/>
      <c r="I10" s="46" t="s">
        <v>660</v>
      </c>
    </row>
    <row r="11" customFormat="false" ht="14.25" hidden="false" customHeight="false" outlineLevel="0" collapsed="false">
      <c r="B11" s="43"/>
      <c r="C11" s="43" t="s">
        <v>111</v>
      </c>
      <c r="D11" s="43"/>
      <c r="E11" s="46" t="n">
        <v>-163</v>
      </c>
      <c r="F11" s="43"/>
      <c r="G11" s="43"/>
      <c r="H11" s="43"/>
      <c r="I11" s="46" t="s">
        <v>664</v>
      </c>
    </row>
    <row r="12" customFormat="false" ht="14.25" hidden="false" customHeight="false" outlineLevel="0" collapsed="false">
      <c r="B12" s="43"/>
      <c r="C12" s="43" t="s">
        <v>111</v>
      </c>
      <c r="D12" s="43"/>
      <c r="E12" s="46" t="n">
        <v>-177</v>
      </c>
      <c r="F12" s="43"/>
      <c r="G12" s="43"/>
      <c r="H12" s="43"/>
      <c r="I12" s="46" t="s">
        <v>666</v>
      </c>
    </row>
    <row r="13" customFormat="false" ht="14.25" hidden="false" customHeight="false" outlineLevel="0" collapsed="false">
      <c r="B13" s="43"/>
      <c r="C13" s="43" t="s">
        <v>111</v>
      </c>
      <c r="D13" s="43"/>
      <c r="E13" s="46" t="n">
        <v>-191</v>
      </c>
      <c r="F13" s="43"/>
      <c r="G13" s="43"/>
      <c r="H13" s="43"/>
      <c r="I13" s="46" t="s">
        <v>674</v>
      </c>
    </row>
    <row r="14" customFormat="false" ht="14.25" hidden="false" customHeight="false" outlineLevel="0" collapsed="false">
      <c r="B14" s="43"/>
      <c r="C14" s="43" t="s">
        <v>111</v>
      </c>
      <c r="D14" s="43"/>
      <c r="E14" s="46" t="n">
        <v>-206</v>
      </c>
      <c r="F14" s="43"/>
      <c r="G14" s="43"/>
      <c r="H14" s="43"/>
      <c r="I14" s="46" t="s">
        <v>676</v>
      </c>
    </row>
    <row r="15" customFormat="false" ht="14.25" hidden="false" customHeight="false" outlineLevel="0" collapsed="false">
      <c r="B15" s="43"/>
      <c r="C15" s="43" t="s">
        <v>111</v>
      </c>
      <c r="D15" s="43"/>
      <c r="E15" s="46" t="n">
        <v>-220</v>
      </c>
      <c r="F15" s="43"/>
      <c r="G15" s="43"/>
      <c r="H15" s="43"/>
      <c r="I15" s="46" t="s">
        <v>678</v>
      </c>
    </row>
    <row r="16" customFormat="false" ht="14.25" hidden="false" customHeight="false" outlineLevel="0" collapsed="false">
      <c r="B16" s="43"/>
      <c r="C16" s="43" t="s">
        <v>111</v>
      </c>
      <c r="D16" s="43"/>
      <c r="E16" s="46" t="n">
        <v>-45</v>
      </c>
      <c r="F16" s="43"/>
      <c r="G16" s="43"/>
      <c r="H16" s="43"/>
      <c r="I16" s="46" t="s">
        <v>663</v>
      </c>
    </row>
    <row r="17" customFormat="false" ht="14.25" hidden="false" customHeight="false" outlineLevel="0" collapsed="false">
      <c r="B17" s="43"/>
      <c r="C17" s="43" t="s">
        <v>111</v>
      </c>
      <c r="D17" s="43"/>
      <c r="E17" s="46" t="n">
        <v>-54</v>
      </c>
      <c r="F17" s="43"/>
      <c r="G17" s="43"/>
      <c r="H17" s="43"/>
      <c r="I17" s="46" t="s">
        <v>665</v>
      </c>
    </row>
    <row r="18" customFormat="false" ht="14.25" hidden="false" customHeight="false" outlineLevel="0" collapsed="false">
      <c r="B18" s="43"/>
      <c r="C18" s="43" t="s">
        <v>111</v>
      </c>
      <c r="D18" s="43"/>
      <c r="E18" s="46" t="n">
        <v>-63</v>
      </c>
      <c r="F18" s="43"/>
      <c r="G18" s="43"/>
      <c r="H18" s="43"/>
      <c r="I18" s="46" t="s">
        <v>673</v>
      </c>
    </row>
    <row r="19" customFormat="false" ht="14.25" hidden="false" customHeight="false" outlineLevel="0" collapsed="false">
      <c r="B19" s="43"/>
      <c r="C19" s="43" t="s">
        <v>111</v>
      </c>
      <c r="D19" s="43"/>
      <c r="E19" s="46" t="n">
        <v>-72</v>
      </c>
      <c r="F19" s="43"/>
      <c r="G19" s="43"/>
      <c r="H19" s="43"/>
      <c r="I19" s="46" t="s">
        <v>675</v>
      </c>
    </row>
    <row r="20" customFormat="false" ht="14.25" hidden="false" customHeight="false" outlineLevel="0" collapsed="false">
      <c r="B20" s="43"/>
      <c r="C20" s="43" t="s">
        <v>111</v>
      </c>
      <c r="D20" s="43"/>
      <c r="E20" s="46" t="n">
        <v>-90</v>
      </c>
      <c r="F20" s="43"/>
      <c r="G20" s="43"/>
      <c r="H20" s="43"/>
      <c r="I20" s="46" t="s">
        <v>677</v>
      </c>
    </row>
    <row r="21" customFormat="false" ht="14.25" hidden="false" customHeight="false" outlineLevel="0" collapsed="false">
      <c r="B21" s="43"/>
      <c r="C21" s="43" t="s">
        <v>111</v>
      </c>
      <c r="D21" s="43"/>
      <c r="E21" s="46" t="n">
        <v>-75</v>
      </c>
      <c r="F21" s="43"/>
      <c r="G21" s="43"/>
      <c r="H21" s="43"/>
      <c r="I21" s="46" t="s">
        <v>682</v>
      </c>
    </row>
    <row r="22" customFormat="false" ht="14.25" hidden="false" customHeight="false" outlineLevel="0" collapsed="false">
      <c r="B22" s="43"/>
      <c r="C22" s="43" t="s">
        <v>111</v>
      </c>
      <c r="D22" s="43"/>
      <c r="E22" s="46" t="n">
        <v>-90</v>
      </c>
      <c r="F22" s="43"/>
      <c r="G22" s="43"/>
      <c r="H22" s="43"/>
      <c r="I22" s="46" t="s">
        <v>683</v>
      </c>
    </row>
    <row r="23" customFormat="false" ht="14.25" hidden="false" customHeight="false" outlineLevel="0" collapsed="false">
      <c r="B23" s="43"/>
      <c r="C23" s="43" t="s">
        <v>111</v>
      </c>
      <c r="D23" s="43"/>
      <c r="E23" s="46" t="n">
        <v>-105</v>
      </c>
      <c r="F23" s="43"/>
      <c r="G23" s="43"/>
      <c r="H23" s="43"/>
      <c r="I23" s="46" t="s">
        <v>684</v>
      </c>
    </row>
    <row r="24" customFormat="false" ht="14.25" hidden="false" customHeight="false" outlineLevel="0" collapsed="false">
      <c r="B24" s="43"/>
      <c r="C24" s="43" t="s">
        <v>111</v>
      </c>
      <c r="D24" s="43"/>
      <c r="E24" s="46" t="n">
        <v>-120</v>
      </c>
      <c r="F24" s="43"/>
      <c r="G24" s="43"/>
      <c r="H24" s="43"/>
      <c r="I24" s="46" t="s">
        <v>685</v>
      </c>
    </row>
    <row r="25" customFormat="false" ht="14.25" hidden="false" customHeight="false" outlineLevel="0" collapsed="false">
      <c r="B25" s="43"/>
      <c r="C25" s="43" t="s">
        <v>111</v>
      </c>
      <c r="D25" s="43"/>
      <c r="E25" s="46" t="n">
        <v>-150</v>
      </c>
      <c r="F25" s="43"/>
      <c r="G25" s="43"/>
      <c r="H25" s="43"/>
      <c r="I25" s="46" t="s">
        <v>686</v>
      </c>
    </row>
    <row r="26" customFormat="false" ht="14.25" hidden="false" customHeight="false" outlineLevel="0" collapsed="false">
      <c r="B26" s="41"/>
      <c r="C26" s="41"/>
      <c r="D26" s="41"/>
      <c r="E26" s="41"/>
      <c r="F26" s="41"/>
      <c r="G26" s="41"/>
      <c r="H26" s="41"/>
      <c r="I26" s="41"/>
    </row>
    <row r="27" customFormat="false" ht="14.25" hidden="false" customHeight="false" outlineLevel="0" collapsed="false">
      <c r="B27" s="41"/>
      <c r="C27" s="41"/>
      <c r="D27" s="41"/>
      <c r="E27" s="41"/>
      <c r="F27" s="41"/>
      <c r="G27" s="41"/>
      <c r="H27" s="41"/>
      <c r="I27" s="41"/>
    </row>
    <row r="28" customFormat="false" ht="14.25" hidden="false" customHeight="false" outlineLevel="0" collapsed="false">
      <c r="B28" s="41"/>
      <c r="C28" s="41"/>
      <c r="D28" s="41"/>
      <c r="E28" s="41"/>
      <c r="F28" s="41"/>
      <c r="G28" s="41"/>
      <c r="H28" s="41"/>
      <c r="I28" s="41"/>
    </row>
    <row r="29" customFormat="false" ht="14.25" hidden="false" customHeight="false" outlineLevel="0" collapsed="false">
      <c r="B29" s="41"/>
      <c r="C29" s="41"/>
      <c r="D29" s="41"/>
      <c r="E29" s="41"/>
      <c r="F29" s="41"/>
      <c r="G29" s="41"/>
      <c r="H29" s="41"/>
      <c r="I29" s="41"/>
    </row>
    <row r="30" customFormat="false" ht="14.25" hidden="false" customHeight="false" outlineLevel="0" collapsed="false">
      <c r="B30" s="41"/>
      <c r="C30" s="41"/>
      <c r="D30" s="41"/>
      <c r="E30" s="41"/>
      <c r="F30" s="41"/>
      <c r="G30" s="41"/>
      <c r="H30" s="41"/>
      <c r="I30" s="41"/>
    </row>
    <row r="31" customFormat="false" ht="14.25" hidden="false" customHeight="false" outlineLevel="0" collapsed="false">
      <c r="B31" s="41"/>
      <c r="C31" s="41"/>
      <c r="D31" s="41"/>
      <c r="E31" s="41"/>
      <c r="F31" s="41"/>
      <c r="G31" s="41"/>
      <c r="H31" s="41"/>
      <c r="I31" s="41"/>
    </row>
    <row r="32" customFormat="false" ht="14.25" hidden="false" customHeight="false" outlineLevel="0" collapsed="false">
      <c r="B32" s="41"/>
      <c r="C32" s="41"/>
      <c r="D32" s="41"/>
      <c r="E32" s="41"/>
      <c r="F32" s="41"/>
      <c r="G32" s="41"/>
      <c r="H32" s="41"/>
      <c r="I32" s="41"/>
    </row>
    <row r="33" customFormat="false" ht="14.25" hidden="false" customHeight="false" outlineLevel="0" collapsed="false">
      <c r="B33" s="41"/>
      <c r="C33" s="41"/>
      <c r="D33" s="41"/>
      <c r="E33" s="41"/>
      <c r="F33" s="41"/>
      <c r="G33" s="41"/>
      <c r="H33" s="41"/>
      <c r="I33" s="41"/>
    </row>
    <row r="34" customFormat="false" ht="14.25" hidden="false" customHeight="false" outlineLevel="0" collapsed="false">
      <c r="B34" s="41"/>
      <c r="C34" s="41"/>
      <c r="D34" s="41"/>
      <c r="E34" s="41"/>
      <c r="F34" s="41"/>
      <c r="G34" s="41"/>
      <c r="H34" s="41"/>
      <c r="I34" s="41"/>
    </row>
    <row r="35" customFormat="false" ht="14.25" hidden="false" customHeight="false" outlineLevel="0" collapsed="false">
      <c r="B35" s="41"/>
      <c r="C35" s="41"/>
      <c r="D35" s="41"/>
      <c r="E35" s="41"/>
      <c r="F35" s="41"/>
      <c r="G35" s="41"/>
      <c r="H35" s="41"/>
      <c r="I35" s="41"/>
    </row>
    <row r="36" customFormat="false" ht="14.25" hidden="false" customHeight="false" outlineLevel="0" collapsed="false">
      <c r="B36" s="41"/>
      <c r="C36" s="41"/>
      <c r="D36" s="41"/>
      <c r="E36" s="41"/>
      <c r="F36" s="41"/>
      <c r="G36" s="41"/>
      <c r="H36" s="41"/>
      <c r="I36" s="41"/>
    </row>
    <row r="37" customFormat="false" ht="14.25" hidden="false" customHeight="false" outlineLevel="0" collapsed="false">
      <c r="B37" s="41"/>
      <c r="C37" s="41"/>
      <c r="D37" s="41"/>
      <c r="E37" s="41"/>
      <c r="F37" s="41"/>
      <c r="G37" s="41"/>
      <c r="H37" s="41"/>
      <c r="I37" s="41"/>
    </row>
    <row r="38" customFormat="false" ht="14.25" hidden="false" customHeight="false" outlineLevel="0" collapsed="false">
      <c r="B38" s="41"/>
      <c r="C38" s="41"/>
      <c r="D38" s="41"/>
      <c r="E38" s="41"/>
      <c r="F38" s="41"/>
      <c r="G38" s="41"/>
      <c r="H38" s="41"/>
      <c r="I38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7" zoomScaleNormal="47" zoomScalePageLayoutView="100" workbookViewId="0">
      <selection pane="topLeft" activeCell="T31" activeCellId="0" sqref="T31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27.16"/>
    <col collapsed="false" customWidth="true" hidden="false" outlineLevel="0" max="6" min="6" style="0" width="31.91"/>
    <col collapsed="false" customWidth="true" hidden="false" outlineLevel="0" max="7" min="7" style="0" width="19.53"/>
    <col collapsed="false" customWidth="true" hidden="false" outlineLevel="0" max="8" min="8" style="0" width="16.76"/>
    <col collapsed="false" customWidth="true" hidden="false" outlineLevel="0" max="11" min="11" style="0" width="12.82"/>
    <col collapsed="false" customWidth="true" hidden="false" outlineLevel="0" max="12" min="12" style="0" width="10.18"/>
    <col collapsed="false" customWidth="true" hidden="false" outlineLevel="0" max="13" min="13" style="0" width="12.36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6:S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19" activeCellId="0" sqref="M19"/>
    </sheetView>
  </sheetViews>
  <sheetFormatPr defaultColWidth="8.73046875" defaultRowHeight="14.25" zeroHeight="false" outlineLevelRow="0" outlineLevelCol="0"/>
  <sheetData>
    <row r="6" customFormat="false" ht="14.25" hidden="false" customHeight="false" outlineLevel="0" collapsed="false">
      <c r="F6" s="0" t="s">
        <v>754</v>
      </c>
    </row>
    <row r="7" customFormat="false" ht="14.25" hidden="false" customHeight="false" outlineLevel="0" collapsed="false">
      <c r="L7" s="0" t="s">
        <v>755</v>
      </c>
    </row>
    <row r="8" customFormat="false" ht="14.25" hidden="false" customHeight="false" outlineLevel="0" collapsed="false">
      <c r="I8" s="0" t="s">
        <v>4</v>
      </c>
      <c r="J8" s="0" t="s">
        <v>60</v>
      </c>
      <c r="K8" s="0" t="s">
        <v>61</v>
      </c>
      <c r="L8" s="0" t="s">
        <v>63</v>
      </c>
      <c r="M8" s="0" t="s">
        <v>64</v>
      </c>
      <c r="N8" s="0" t="s">
        <v>65</v>
      </c>
      <c r="O8" s="0" t="s">
        <v>66</v>
      </c>
      <c r="P8" s="0" t="s">
        <v>56</v>
      </c>
      <c r="Q8" s="0" t="s">
        <v>756</v>
      </c>
      <c r="R8" s="0" t="s">
        <v>59</v>
      </c>
      <c r="S8" s="0" t="s">
        <v>54</v>
      </c>
    </row>
    <row r="9" customFormat="false" ht="14.25" hidden="false" customHeight="false" outlineLevel="0" collapsed="false">
      <c r="I9" s="0" t="s">
        <v>757</v>
      </c>
      <c r="O9" s="0" t="s">
        <v>758</v>
      </c>
      <c r="P9" s="0" t="n">
        <v>2020</v>
      </c>
      <c r="Q9" s="0" t="n">
        <v>1</v>
      </c>
      <c r="R9" s="0" t="n">
        <v>0</v>
      </c>
      <c r="S9" s="0" t="s">
        <v>245</v>
      </c>
    </row>
    <row r="10" customFormat="false" ht="14.25" hidden="false" customHeight="false" outlineLevel="0" collapsed="false">
      <c r="P10" s="0" t="n">
        <v>0</v>
      </c>
      <c r="R10" s="0" t="n">
        <v>3</v>
      </c>
      <c r="S10" s="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0:K20"/>
  <sheetViews>
    <sheetView showFormulas="false" showGridLines="true" showRowColHeaders="true" showZeros="true" rightToLeft="false" tabSelected="false" showOutlineSymbols="true" defaultGridColor="true" view="normal" topLeftCell="C6" colorId="64" zoomScale="100" zoomScaleNormal="100" zoomScalePageLayoutView="100" workbookViewId="0">
      <selection pane="topLeft" activeCell="H18" activeCellId="0" sqref="H18"/>
    </sheetView>
  </sheetViews>
  <sheetFormatPr defaultColWidth="8.73046875" defaultRowHeight="14.25" zeroHeight="false" outlineLevelRow="0" outlineLevelCol="0"/>
  <cols>
    <col collapsed="false" customWidth="true" hidden="false" outlineLevel="0" max="8" min="8" style="0" width="12.82"/>
    <col collapsed="false" customWidth="true" hidden="false" outlineLevel="0" max="9" min="9" style="0" width="28.55"/>
    <col collapsed="false" customWidth="true" hidden="false" outlineLevel="0" max="10" min="10" style="0" width="13.91"/>
    <col collapsed="false" customWidth="true" hidden="false" outlineLevel="0" max="14" min="14" style="0" width="27.91"/>
  </cols>
  <sheetData>
    <row r="10" customFormat="false" ht="14.25" hidden="false" customHeight="false" outlineLevel="0" collapsed="false">
      <c r="H10" s="0" t="s">
        <v>52</v>
      </c>
    </row>
    <row r="11" customFormat="false" ht="14.25" hidden="false" customHeight="false" outlineLevel="0" collapsed="false">
      <c r="H11" s="0" t="s">
        <v>72</v>
      </c>
      <c r="I11" s="0" t="s">
        <v>90</v>
      </c>
      <c r="J11" s="0" t="s">
        <v>243</v>
      </c>
      <c r="K11" s="2" t="s">
        <v>242</v>
      </c>
    </row>
    <row r="12" customFormat="false" ht="14.25" hidden="false" customHeight="false" outlineLevel="0" collapsed="false">
      <c r="H12" s="23" t="s">
        <v>81</v>
      </c>
      <c r="I12" s="0" t="s">
        <v>759</v>
      </c>
      <c r="J12" s="0" t="n">
        <v>2150</v>
      </c>
    </row>
    <row r="20" customFormat="false" ht="14.25" hidden="false" customHeight="false" outlineLevel="0" collapsed="false">
      <c r="H20" s="5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2009-05-27T15:40:00Z</dcterms:created>
  <dc:creator>Amit Kanudia</dc:creator>
  <dc:description/>
  <dc:language>en-US</dc:language>
  <cp:lastModifiedBy>李潇</cp:lastModifiedBy>
  <dcterms:modified xsi:type="dcterms:W3CDTF">2026-10-27T14:07:58Z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E34D16D1FAA0403A82D5146E5E24AD7B_12</vt:lpwstr>
  </property>
  <property fmtid="{D5CDD505-2E9C-101B-9397-08002B2CF9AE}" pid="4" name="KSOProductBuildVer">
    <vt:lpwstr>1033-12.1.0.28485</vt:lpwstr>
  </property>
  <property fmtid="{D5CDD505-2E9C-101B-9397-08002B2CF9AE}" pid="5" name="SaveCode">
    <vt:r8>719005778182144</vt:r8>
  </property>
  <property fmtid="{D5CDD505-2E9C-101B-9397-08002B2CF9AE}" pid="6" name="{A44787D4-0540-4523-9961-78E4036D8C6D}">
    <vt:lpwstr>{C5BFA0EE-865B-4DB5-A9A9-320E07621DC8}</vt:lpwstr>
  </property>
</Properties>
</file>