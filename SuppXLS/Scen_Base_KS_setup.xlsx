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8" activeTab="11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growth_rate" sheetId="35" r:id="rId13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good but i have to make the predefined timeline consistent with traditional cars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E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DELETE BCZ IT CAN MAKE TRANSPORT RATE ABNORMAL</t>
        </r>
      </text>
    </comment>
  </commentList>
</comments>
</file>

<file path=xl/sharedStrings.xml><?xml version="1.0" encoding="utf-8"?>
<sst xmlns="http://schemas.openxmlformats.org/spreadsheetml/2006/main" count="2376" uniqueCount="760">
  <si>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</si>
  <si>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</si>
  <si>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</si>
  <si>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</si>
  <si>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</si>
  <si>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</si>
  <si>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</si>
  <si>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</si>
  <si>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</si>
  <si>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</si>
  <si>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</si>
  <si>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</si>
  <si>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</si>
  <si>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</si>
  <si>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</si>
  <si>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</si>
  <si>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</si>
  <si>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</si>
  <si>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</si>
  <si>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</si>
  <si>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</si>
  <si>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</si>
  <si>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</si>
  <si>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</si>
  <si>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</si>
  <si>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</si>
  <si>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</si>
  <si>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</si>
  <si>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</si>
  <si>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</si>
  <si>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</si>
  <si>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</si>
  <si>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</si>
  <si>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</si>
  <si>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</si>
  <si>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</si>
  <si>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</si>
  <si>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</si>
  <si>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</si>
  <si>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</si>
  <si>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</si>
  <si>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</si>
  <si>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</si>
  <si>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</si>
  <si>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</si>
  <si>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</si>
  <si>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</si>
  <si>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</si>
  <si>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</si>
  <si>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</si>
  <si>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</si>
  <si>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</si>
  <si>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</si>
  <si>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</si>
  <si>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</si>
  <si>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</si>
  <si>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</si>
  <si>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</si>
  <si>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</si>
  <si>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</si>
  <si>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</si>
  <si>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</si>
  <si>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</si>
  <si>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</si>
  <si>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</si>
  <si>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</si>
  <si>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</si>
  <si>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</si>
  <si>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</si>
  <si>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</si>
  <si>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</si>
  <si>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</si>
  <si>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</si>
  <si>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</si>
  <si>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</si>
  <si>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</si>
  <si>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</si>
  <si>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</si>
  <si>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</si>
  <si>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</si>
  <si>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</si>
  <si>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</si>
  <si>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</si>
  <si>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</si>
  <si>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</si>
  <si>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</si>
  <si>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</si>
  <si>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</si>
  <si>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</si>
  <si>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</si>
  <si>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</si>
  <si>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</si>
  <si>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</si>
  <si>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</si>
  <si>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</si>
  <si>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</si>
  <si>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</si>
  <si>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</si>
  <si>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</si>
  <si>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</si>
  <si>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</si>
  <si>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</si>
  <si>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</si>
  <si>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</si>
  <si>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</si>
  <si>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</si>
  <si>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</si>
  <si>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</si>
  <si>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</si>
  <si>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</si>
  <si>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</si>
  <si>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</si>
  <si>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</si>
  <si>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</si>
  <si>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</si>
  <si>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</si>
  <si>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</si>
  <si>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</si>
  <si>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</si>
  <si>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</si>
  <si>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</si>
  <si>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</si>
  <si>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</si>
  <si>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</si>
  <si>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</si>
  <si>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</si>
  <si>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</si>
  <si>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</si>
  <si>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</si>
  <si>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</si>
  <si>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</si>
  <si>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</si>
  <si>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</si>
  <si>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</si>
  <si>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</si>
  <si>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</si>
  <si>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</si>
  <si>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</si>
  <si>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</si>
  <si>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</si>
  <si>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</si>
  <si>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</si>
  <si>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</si>
  <si>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</si>
  <si>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</si>
  <si>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</si>
  <si>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</si>
  <si>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</si>
  <si>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</si>
  <si>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</si>
  <si>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</si>
  <si>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</si>
  <si>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</si>
  <si>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</si>
  <si>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</si>
  <si>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</si>
  <si>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</si>
  <si>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</si>
  <si>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</si>
  <si>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</si>
  <si>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</si>
  <si>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</si>
  <si>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</si>
  <si>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</si>
  <si>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</si>
  <si>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</si>
  <si>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</si>
  <si>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</si>
  <si>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</si>
  <si>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</si>
  <si>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</si>
  <si>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</si>
  <si>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</si>
  <si>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</si>
  <si>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</si>
  <si>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</si>
  <si>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</si>
  <si>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</si>
  <si>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</si>
  <si>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</si>
  <si>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</si>
  <si>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</si>
  <si>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</si>
  <si>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</si>
  <si>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</si>
  <si>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</si>
  <si>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</si>
  <si>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</si>
  <si>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</si>
  <si>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</si>
  <si>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</si>
  <si>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</si>
  <si>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</si>
  <si>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</si>
  <si>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</si>
  <si>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</si>
  <si>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</si>
  <si>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</si>
  <si>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</si>
  <si>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</si>
  <si>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</si>
  <si>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</si>
  <si>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</si>
  <si>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</si>
  <si>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</si>
  <si>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</si>
  <si>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</si>
  <si>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</si>
  <si>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</si>
  <si>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</si>
  <si>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</si>
  <si>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</si>
  <si>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</si>
  <si>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</si>
  <si>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</si>
  <si>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</si>
  <si>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</si>
  <si>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</si>
  <si>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</si>
  <si>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</si>
  <si>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</si>
  <si>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</si>
  <si>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</si>
  <si>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</si>
  <si>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</si>
  <si>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</si>
  <si>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</si>
  <si>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</si>
  <si>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</si>
  <si>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</si>
  <si>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</si>
  <si>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</si>
  <si>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</si>
  <si>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</si>
  <si>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</si>
  <si>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</si>
  <si>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</si>
  <si>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</si>
  <si>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</si>
  <si>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</si>
  <si>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</si>
  <si>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</si>
  <si>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</si>
  <si>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</si>
  <si>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</si>
  <si>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</si>
  <si>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</si>
  <si>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</si>
  <si>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</si>
  <si>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</si>
  <si>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</si>
  <si>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</si>
  <si>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</si>
  <si>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</si>
  <si>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</si>
  <si>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</si>
  <si>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</si>
  <si>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</si>
  <si>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</si>
  <si>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</si>
  <si>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</si>
  <si>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</si>
  <si>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</si>
  <si>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</si>
  <si>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</si>
  <si>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</si>
  <si>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</si>
  <si>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</si>
  <si>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</si>
  <si>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</si>
  <si>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</si>
  <si>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</si>
  <si>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</si>
  <si>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</si>
  <si>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</si>
  <si>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</si>
  <si>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</si>
  <si>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</si>
  <si>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</si>
  <si>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</si>
  <si>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</si>
  <si>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</si>
  <si>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</si>
  <si>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</si>
  <si>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</si>
  <si>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</si>
  <si>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</si>
  <si>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</si>
  <si>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</si>
  <si>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</si>
  <si>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</si>
  <si>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</si>
  <si>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</si>
  <si>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</si>
  <si>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</si>
  <si>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</si>
  <si>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</si>
  <si>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</si>
  <si>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</si>
  <si>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</si>
  <si>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</si>
  <si>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</si>
  <si>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</si>
  <si>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</si>
  <si>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</si>
  <si>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</si>
  <si>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</si>
  <si>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</si>
  <si>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</si>
  <si>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</si>
  <si>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</si>
  <si>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</si>
  <si>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</si>
  <si>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</si>
  <si>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</si>
  <si>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</si>
  <si>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</si>
  <si>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</si>
  <si>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</si>
  <si>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</si>
  <si>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</si>
  <si>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</si>
  <si>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</si>
  <si>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</si>
  <si>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</si>
  <si>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</si>
  <si>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</si>
  <si>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</si>
  <si>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</si>
  <si>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</si>
  <si>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</si>
  <si>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</si>
  <si>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</si>
  <si>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</si>
  <si>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</si>
  <si>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</si>
  <si>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</si>
  <si>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</si>
  <si>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</si>
  <si>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</si>
  <si>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</si>
  <si>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</si>
  <si>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</si>
  <si>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</si>
  <si>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</si>
  <si>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</si>
  <si>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</si>
  <si>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</si>
  <si>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</si>
  <si>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</si>
  <si>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</si>
  <si>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</si>
  <si>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</si>
  <si>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</si>
  <si>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</si>
  <si>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</si>
  <si>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</si>
  <si>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</si>
  <si>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</si>
  <si>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</si>
  <si>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</si>
  <si>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</si>
  <si>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</si>
  <si>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</si>
  <si>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</si>
  <si>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</si>
  <si>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</si>
  <si>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</si>
  <si>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</si>
  <si>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</si>
  <si>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</si>
  <si>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</si>
  <si>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</si>
  <si>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</si>
  <si>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</si>
  <si>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</si>
  <si>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</si>
  <si>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</si>
  <si>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</si>
  <si>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</si>
  <si>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</si>
  <si>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</si>
  <si>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</si>
  <si>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</si>
  <si>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</si>
  <si>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</si>
  <si>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</si>
  <si>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</si>
  <si>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</si>
  <si>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</si>
  <si>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</si>
  <si>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</si>
  <si>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</si>
  <si>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</si>
  <si>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</si>
  <si>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</si>
  <si>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</si>
  <si>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</si>
  <si>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</si>
  <si>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</si>
  <si>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</si>
  <si>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</si>
  <si>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</si>
  <si>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</si>
  <si>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</si>
  <si>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</si>
  <si>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</si>
  <si>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</si>
  <si>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</si>
  <si>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</si>
  <si>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</si>
  <si>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</si>
  <si>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</si>
  <si>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</si>
  <si>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</si>
  <si>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</si>
  <si>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</si>
  <si>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</si>
  <si>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</si>
  <si>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</si>
  <si>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</si>
  <si>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</si>
  <si>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</si>
  <si>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</si>
  <si>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</si>
  <si>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</si>
  <si>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</si>
  <si>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</si>
  <si>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</si>
  <si>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</si>
  <si>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</si>
  <si>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</si>
  <si>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</si>
  <si>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</si>
  <si>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</si>
  <si>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</si>
  <si>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</si>
  <si>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</si>
  <si>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</si>
  <si>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</si>
  <si>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</si>
  <si>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</si>
  <si>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</si>
  <si>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</si>
  <si>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</si>
  <si>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</si>
  <si>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</si>
  <si>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</si>
  <si>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</si>
  <si>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</si>
  <si>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</si>
  <si>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</si>
  <si>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</si>
  <si>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</si>
  <si>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</si>
  <si>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</si>
  <si>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</si>
  <si>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</si>
  <si>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</si>
  <si>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</si>
  <si>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</si>
  <si>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</si>
  <si>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</si>
  <si>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</si>
  <si>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</si>
  <si>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</si>
  <si>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</si>
  <si>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</si>
  <si>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</si>
  <si>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</si>
  <si>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</si>
  <si>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</si>
  <si>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</si>
  <si>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</si>
  <si>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</si>
  <si>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</si>
  <si>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</si>
  <si>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</si>
  <si>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</si>
  <si>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</si>
  <si>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</si>
  <si>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</si>
  <si>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</si>
  <si>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</si>
  <si>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</si>
  <si>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</si>
  <si>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</si>
  <si>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</si>
  <si>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</si>
  <si>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</si>
  <si>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</si>
  <si>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</si>
  <si>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</si>
  <si>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</si>
  <si>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</si>
  <si>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</si>
  <si>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</si>
  <si>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</si>
  <si>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</si>
  <si>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</si>
  <si>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</si>
  <si>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</si>
  <si>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</si>
  <si>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</si>
  <si>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</si>
  <si>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</si>
  <si>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</si>
  <si>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</si>
  <si>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</si>
  <si>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</si>
  <si>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</si>
  <si>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</si>
  <si>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</si>
  <si>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</si>
  <si>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</si>
  <si>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</si>
  <si>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</si>
  <si>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</si>
  <si>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</si>
  <si>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</si>
  <si>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</si>
  <si>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</si>
  <si>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</si>
  <si>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</si>
  <si>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</si>
  <si>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</si>
  <si>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</si>
  <si>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</si>
  <si>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</si>
  <si>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</si>
  <si>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</si>
  <si>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</si>
  <si>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</si>
  <si>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</si>
  <si>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</si>
  <si>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</si>
  <si>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</si>
  <si>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</si>
  <si>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</si>
  <si>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</si>
  <si>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</si>
  <si>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</si>
  <si>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</si>
  <si>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</si>
  <si>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</si>
  <si>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</si>
  <si>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</si>
  <si>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</si>
  <si>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</si>
  <si>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</si>
  <si>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</si>
  <si>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</si>
  <si>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</si>
  <si>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</si>
  <si>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</si>
  <si>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</si>
  <si>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</si>
  <si>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</si>
  <si>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</si>
  <si>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</si>
  <si>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</si>
  <si>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</si>
  <si>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</si>
  <si>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</si>
  <si>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</si>
  <si>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</si>
  <si>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</si>
  <si>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</si>
  <si>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</si>
  <si>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</si>
  <si>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</si>
  <si>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</si>
  <si>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</si>
  <si>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</si>
  <si>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</si>
  <si>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</si>
  <si>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</si>
  <si>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</si>
  <si>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</si>
  <si>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</si>
  <si>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</si>
  <si>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</si>
  <si>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</si>
  <si>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</si>
  <si>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</si>
  <si>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</si>
  <si>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</si>
  <si>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</si>
  <si>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</si>
  <si>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</si>
  <si>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</si>
  <si>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</si>
  <si>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</si>
  <si>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</si>
  <si>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</si>
  <si>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</si>
  <si>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</si>
  <si>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</si>
  <si>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</si>
  <si>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</si>
  <si>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</si>
  <si>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</si>
  <si>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</si>
  <si>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</si>
  <si>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</si>
  <si>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</si>
  <si>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</si>
  <si>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</si>
  <si>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</si>
  <si>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</si>
  <si>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</si>
  <si>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</si>
  <si>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</si>
  <si>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</si>
  <si>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</si>
  <si>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</si>
  <si>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</si>
  <si>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</si>
  <si>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</si>
  <si>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</si>
  <si>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</si>
  <si>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</si>
  <si>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</si>
  <si>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</si>
  <si>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</si>
  <si>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</si>
  <si>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</si>
  <si>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</si>
  <si>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</si>
  <si>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</si>
  <si>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</si>
  <si>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</si>
  <si>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</si>
  <si>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</si>
  <si>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</si>
  <si>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</si>
  <si>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</si>
  <si>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</si>
  <si>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</si>
  <si>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</si>
  <si>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</si>
  <si>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</si>
  <si>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</si>
  <si>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</si>
  <si>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</si>
  <si>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</si>
  <si>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</si>
  <si>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</si>
  <si>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</si>
  <si>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</si>
  <si>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</si>
  <si>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</si>
  <si>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</si>
  <si>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</si>
  <si>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</si>
  <si>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</si>
  <si>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</si>
  <si>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</si>
  <si>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</si>
  <si>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</si>
  <si>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</si>
  <si>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</si>
  <si>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</si>
  <si>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</si>
  <si>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</si>
  <si>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</si>
  <si>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</si>
  <si>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</si>
  <si>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</si>
  <si>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</si>
  <si>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</si>
  <si>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</si>
  <si>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</si>
  <si>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</si>
  <si>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</si>
  <si>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</si>
  <si>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</si>
  <si>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</si>
  <si>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</si>
  <si>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</si>
  <si>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</si>
  <si>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</si>
  <si>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</si>
  <si>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</si>
  <si>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</si>
  <si>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</si>
  <si>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</si>
  <si>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</si>
  <si>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</si>
  <si>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</si>
  <si>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</si>
  <si>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</si>
  <si>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</si>
  <si>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</si>
  <si>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</si>
  <si>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</si>
  <si>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</si>
  <si>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</si>
  <si>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</si>
  <si>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</si>
  <si>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</si>
  <si>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</si>
  <si>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</si>
  <si>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</si>
  <si>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</si>
  <si>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</si>
  <si>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</si>
  <si>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</si>
  <si>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</si>
  <si>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</si>
  <si>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</si>
  <si>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</si>
  <si>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</si>
  <si>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</si>
  <si>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</si>
  <si>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</si>
  <si>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</si>
  <si>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</si>
  <si>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</si>
  <si>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</si>
  <si>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</si>
  <si>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</si>
  <si>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</si>
  <si>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</si>
  <si>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</si>
  <si>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</si>
  <si>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</si>
  <si>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</si>
  <si>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</si>
  <si>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</si>
  <si>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</si>
  <si>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</si>
  <si>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</si>
  <si>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</si>
  <si>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</si>
  <si>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</si>
  <si>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</si>
  <si>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</si>
  <si>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</si>
  <si>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</si>
  <si>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</si>
  <si>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</si>
  <si>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R_E: allregions</t>
  </si>
  <si>
    <t>Cap*0.1-expansion&gt;0</t>
  </si>
  <si>
    <t>~UC_T:UC_RHSRT</t>
  </si>
  <si>
    <t>UC_NCAP</t>
  </si>
  <si>
    <t>UCT_Min_CapExpansionGrowth_AL</t>
  </si>
  <si>
    <t>MINBatMaterials_AL</t>
  </si>
  <si>
    <t>UCT_Min_CapExpansionGrowth_COB</t>
  </si>
  <si>
    <t>MINBatMaterials_COB</t>
  </si>
  <si>
    <t>UCT_Min_CapExpansionGrowth_COP</t>
  </si>
  <si>
    <t>MINBatMaterials_COP</t>
  </si>
  <si>
    <t>UCT_Min_CapExpansionGrowth_GR</t>
  </si>
  <si>
    <t>MINBatMaterials_GR</t>
  </si>
  <si>
    <t>UCT_Min_CapExpansionGrowth_LI</t>
  </si>
  <si>
    <t>MINBatMaterials_LI</t>
  </si>
  <si>
    <t>UCT_Min_CapExpansionGrowth_MN</t>
  </si>
  <si>
    <t>MINBatMaterials_MN</t>
  </si>
  <si>
    <t>UCT_Min_CapExpansionGrowth_NI</t>
  </si>
  <si>
    <t>MINBatMaterials_NI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</si>
</sst>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5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134"/>
    </font>
    <font>
      <sz val="9"/>
      <name val="Times New Roman"/>
      <charset val="134"/>
    </font>
    <font>
      <b/>
      <sz val="9"/>
      <name val="Tahoma"/>
      <charset val="1"/>
    </font>
    <font>
      <sz val="8"/>
      <name val="Tahoma"/>
      <charset val="134"/>
    </font>
    <font>
      <b/>
      <sz val="8"/>
      <name val="Tahoma"/>
      <charset val="134"/>
    </font>
    <font>
      <b/>
      <sz val="9"/>
      <name val="Tahoma"/>
      <charset val="134"/>
    </font>
    <font>
      <sz val="9"/>
      <name val="Tahoma"/>
      <charset val="134"/>
    </font>
    <font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/>
    <xf numFmtId="0" fontId="9" fillId="9" borderId="2" applyNumberFormat="0" applyAlignment="0" applyProtection="0"/>
    <xf numFmtId="0" fontId="21" fillId="17" borderId="8" applyNumberFormat="0" applyAlignment="0" applyProtection="0">
      <alignment vertical="center"/>
    </xf>
    <xf numFmtId="0" fontId="22" fillId="17" borderId="2" applyNumberFormat="0" applyAlignment="0" applyProtection="0">
      <alignment vertical="center"/>
    </xf>
    <xf numFmtId="0" fontId="23" fillId="18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7" fillId="7" borderId="0" applyNumberFormat="0" applyBorder="0" applyAlignment="0" applyProtection="0"/>
    <xf numFmtId="0" fontId="26" fillId="19" borderId="0" applyNumberFormat="0" applyBorder="0" applyAlignment="0" applyProtection="0">
      <alignment vertical="center"/>
    </xf>
    <xf numFmtId="0" fontId="6" fillId="6" borderId="0" applyNumberFormat="0" applyBorder="0" applyAlignment="0" applyProtection="0"/>
    <xf numFmtId="0" fontId="27" fillId="5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42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13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3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50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50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13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3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1" fillId="0" borderId="0" applyNumberFormat="0" applyFont="0" applyFill="0" applyBorder="0" applyProtection="0">
      <alignment horizontal="left" vertical="center" indent="5"/>
    </xf>
    <xf numFmtId="0" fontId="1" fillId="0" borderId="0" applyNumberFormat="0" applyFont="0" applyFill="0" applyBorder="0" applyProtection="0">
      <alignment horizontal="left" vertical="center" indent="5"/>
    </xf>
    <xf numFmtId="0" fontId="1" fillId="0" borderId="0" applyNumberFormat="0" applyFont="0" applyFill="0" applyBorder="0" applyProtection="0">
      <alignment horizontal="left" vertical="center" indent="5"/>
    </xf>
    <xf numFmtId="0" fontId="1" fillId="0" borderId="0" applyNumberFormat="0" applyFont="0" applyFill="0" applyBorder="0" applyProtection="0">
      <alignment horizontal="left" vertical="center" indent="5"/>
    </xf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4" fontId="31" fillId="48" borderId="1">
      <alignment horizontal="right" vertical="center"/>
    </xf>
    <xf numFmtId="4" fontId="31" fillId="48" borderId="1">
      <alignment horizontal="right" vertical="center"/>
    </xf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3" fillId="19" borderId="0" applyNumberFormat="0" applyBorder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49" fontId="1" fillId="49" borderId="14">
      <alignment vertical="top" wrapText="1"/>
    </xf>
    <xf numFmtId="49" fontId="1" fillId="49" borderId="14">
      <alignment vertical="top" wrapText="1"/>
    </xf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0" fontId="3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0" fontId="37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0" fontId="38" fillId="0" borderId="15">
      <alignment horizontal="left" vertical="center" wrapText="1" indent="2"/>
    </xf>
    <xf numFmtId="181" fontId="39" fillId="0" borderId="0">
      <protection locked="0"/>
    </xf>
    <xf numFmtId="181" fontId="39" fillId="0" borderId="0">
      <protection locked="0"/>
    </xf>
    <xf numFmtId="3" fontId="40" fillId="0" borderId="14">
      <alignment horizontal="right" vertical="top"/>
    </xf>
    <xf numFmtId="0" fontId="15" fillId="55" borderId="1">
      <alignment horizontal="centerContinuous" vertical="top" wrapText="1"/>
    </xf>
    <xf numFmtId="0" fontId="41" fillId="0" borderId="0">
      <alignment vertical="top" wrapText="1"/>
    </xf>
    <xf numFmtId="182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185" fontId="1" fillId="0" borderId="0" applyFont="0" applyFill="0" applyBorder="0" applyAlignment="0" applyProtection="0"/>
    <xf numFmtId="186" fontId="1" fillId="0" borderId="0" applyFont="0" applyFill="0" applyBorder="0" applyAlignment="0" applyProtection="0"/>
    <xf numFmtId="186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87" fontId="39" fillId="0" borderId="0">
      <protection locked="0"/>
    </xf>
    <xf numFmtId="187" fontId="39" fillId="0" borderId="0">
      <protection locked="0"/>
    </xf>
    <xf numFmtId="11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7" fillId="7" borderId="0" applyNumberFormat="0" applyBorder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11" fillId="0" borderId="20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52" fillId="48" borderId="12" applyNumberFormat="0" applyAlignment="0" applyProtection="0"/>
    <xf numFmtId="0" fontId="52" fillId="12" borderId="12" applyNumberFormat="0" applyAlignment="0" applyProtection="0"/>
    <xf numFmtId="0" fontId="52" fillId="12" borderId="12" applyNumberFormat="0" applyAlignment="0" applyProtection="0"/>
    <xf numFmtId="0" fontId="52" fillId="12" borderId="12" applyNumberFormat="0" applyAlignment="0" applyProtection="0"/>
    <xf numFmtId="0" fontId="52" fillId="12" borderId="12" applyNumberFormat="0" applyAlignment="0" applyProtection="0"/>
    <xf numFmtId="0" fontId="52" fillId="12" borderId="12" applyNumberFormat="0" applyAlignment="0" applyProtection="0"/>
    <xf numFmtId="0" fontId="52" fillId="12" borderId="12" applyNumberFormat="0" applyAlignment="0" applyProtection="0"/>
    <xf numFmtId="0" fontId="52" fillId="12" borderId="12" applyNumberFormat="0" applyAlignment="0" applyProtection="0"/>
    <xf numFmtId="0" fontId="52" fillId="12" borderId="12" applyNumberFormat="0" applyAlignment="0" applyProtection="0"/>
    <xf numFmtId="0" fontId="52" fillId="12" borderId="12" applyNumberFormat="0" applyAlignment="0" applyProtection="0"/>
    <xf numFmtId="0" fontId="52" fillId="48" borderId="12" applyNumberFormat="0" applyAlignment="0" applyProtection="0"/>
    <xf numFmtId="0" fontId="52" fillId="12" borderId="12" applyNumberFormat="0" applyAlignment="0" applyProtection="0"/>
    <xf numFmtId="0" fontId="9" fillId="9" borderId="2" applyNumberFormat="0" applyAlignment="0" applyProtection="0"/>
    <xf numFmtId="4" fontId="38" fillId="0" borderId="0" applyBorder="0">
      <alignment horizontal="right" vertical="center"/>
    </xf>
    <xf numFmtId="0" fontId="53" fillId="0" borderId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189" fontId="1" fillId="0" borderId="0" applyFont="0" applyFill="0" applyBorder="0" applyAlignment="0" applyProtection="0"/>
    <xf numFmtId="0" fontId="56" fillId="12" borderId="0" applyNumberFormat="0" applyBorder="0" applyAlignment="0" applyProtection="0"/>
    <xf numFmtId="0" fontId="57" fillId="12" borderId="0" applyNumberFormat="0" applyBorder="0" applyAlignment="0" applyProtection="0"/>
    <xf numFmtId="0" fontId="57" fillId="12" borderId="0" applyNumberFormat="0" applyBorder="0" applyAlignment="0" applyProtection="0"/>
    <xf numFmtId="0" fontId="57" fillId="12" borderId="0" applyNumberFormat="0" applyBorder="0" applyAlignment="0" applyProtection="0"/>
    <xf numFmtId="0" fontId="57" fillId="12" borderId="0" applyNumberFormat="0" applyBorder="0" applyAlignment="0" applyProtection="0"/>
    <xf numFmtId="0" fontId="57" fillId="12" borderId="0" applyNumberFormat="0" applyBorder="0" applyAlignment="0" applyProtection="0"/>
    <xf numFmtId="0" fontId="57" fillId="12" borderId="0" applyNumberFormat="0" applyBorder="0" applyAlignment="0" applyProtection="0"/>
    <xf numFmtId="0" fontId="57" fillId="12" borderId="0" applyNumberFormat="0" applyBorder="0" applyAlignment="0" applyProtection="0"/>
    <xf numFmtId="0" fontId="57" fillId="12" borderId="0" applyNumberFormat="0" applyBorder="0" applyAlignment="0" applyProtection="0"/>
    <xf numFmtId="0" fontId="57" fillId="12" borderId="0" applyNumberFormat="0" applyBorder="0" applyAlignment="0" applyProtection="0"/>
    <xf numFmtId="0" fontId="58" fillId="12" borderId="0" applyNumberFormat="0" applyBorder="0" applyAlignment="0" applyProtection="0"/>
    <xf numFmtId="0" fontId="57" fillId="12" borderId="0" applyNumberFormat="0" applyBorder="0" applyAlignment="0" applyProtection="0"/>
    <xf numFmtId="0" fontId="56" fillId="12" borderId="0" applyNumberFormat="0" applyBorder="0" applyAlignment="0" applyProtection="0"/>
    <xf numFmtId="0" fontId="6" fillId="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8" fontId="59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91" fontId="59" fillId="0" borderId="0">
      <alignment vertical="center"/>
    </xf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29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" fontId="38" fillId="0" borderId="1" applyFill="0" applyBorder="0" applyProtection="0">
      <alignment horizontal="right" vertical="center"/>
    </xf>
    <xf numFmtId="0" fontId="60" fillId="0" borderId="0" applyNumberFormat="0" applyFill="0" applyBorder="0" applyProtection="0">
      <alignment horizontal="left" vertical="center"/>
    </xf>
    <xf numFmtId="0" fontId="1" fillId="64" borderId="0" applyNumberFormat="0" applyFont="0" applyBorder="0" applyAlignment="0" applyProtection="0"/>
    <xf numFmtId="0" fontId="1" fillId="64" borderId="0" applyNumberFormat="0" applyFont="0" applyBorder="0" applyAlignment="0" applyProtection="0"/>
    <xf numFmtId="0" fontId="1" fillId="64" borderId="0" applyNumberFormat="0" applyFont="0" applyBorder="0" applyAlignment="0" applyProtection="0"/>
    <xf numFmtId="0" fontId="1" fillId="64" borderId="0" applyNumberFormat="0" applyFont="0" applyBorder="0" applyAlignment="0" applyProtection="0"/>
    <xf numFmtId="0" fontId="61" fillId="0" borderId="0"/>
    <xf numFmtId="0" fontId="29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29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29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192" fontId="62" fillId="0" borderId="0">
      <alignment horizontal="right"/>
    </xf>
    <xf numFmtId="193" fontId="1" fillId="0" borderId="0" applyFont="0" applyFill="0" applyBorder="0" applyAlignment="0" applyProtection="0"/>
    <xf numFmtId="193" fontId="1" fillId="0" borderId="0" applyFont="0" applyFill="0" applyBorder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79" fontId="64" fillId="0" borderId="0" applyFont="0" applyFill="0" applyBorder="0" applyAlignment="0" applyProtection="0"/>
    <xf numFmtId="194" fontId="64" fillId="0" borderId="0" applyFont="0" applyFill="0" applyBorder="0" applyAlignment="0" applyProtection="0"/>
    <xf numFmtId="195" fontId="64" fillId="0" borderId="0" applyFont="0" applyFill="0" applyBorder="0" applyAlignment="0" applyProtection="0"/>
    <xf numFmtId="0" fontId="41" fillId="0" borderId="0">
      <alignment vertical="top" wrapText="1"/>
    </xf>
    <xf numFmtId="0" fontId="1" fillId="0" borderId="0"/>
    <xf numFmtId="0" fontId="1" fillId="0" borderId="1" applyNumberFormat="0" applyFill="0" applyProtection="0">
      <alignment horizontal="right"/>
    </xf>
    <xf numFmtId="0" fontId="1" fillId="0" borderId="1" applyNumberFormat="0" applyFill="0" applyProtection="0">
      <alignment horizontal="right"/>
    </xf>
    <xf numFmtId="0" fontId="15" fillId="65" borderId="1" applyNumberFormat="0" applyProtection="0">
      <alignment horizontal="right"/>
    </xf>
    <xf numFmtId="0" fontId="65" fillId="65" borderId="0" applyNumberFormat="0" applyBorder="0" applyProtection="0">
      <alignment horizontal="left"/>
    </xf>
    <xf numFmtId="0" fontId="15" fillId="65" borderId="1" applyNumberFormat="0" applyProtection="0">
      <alignment horizontal="left"/>
    </xf>
    <xf numFmtId="0" fontId="1" fillId="0" borderId="1" applyNumberFormat="0" applyFill="0" applyProtection="0">
      <alignment horizontal="right"/>
    </xf>
    <xf numFmtId="0" fontId="1" fillId="0" borderId="1" applyNumberFormat="0" applyFill="0" applyProtection="0">
      <alignment horizontal="right"/>
    </xf>
    <xf numFmtId="0" fontId="66" fillId="57" borderId="0" applyNumberFormat="0" applyBorder="0" applyProtection="0">
      <alignment horizontal="left"/>
    </xf>
    <xf numFmtId="196" fontId="1" fillId="0" borderId="0" applyFill="0" applyBorder="0" applyAlignment="0" applyProtection="0">
      <alignment wrapText="1"/>
    </xf>
    <xf numFmtId="196" fontId="1" fillId="0" borderId="0" applyFill="0" applyBorder="0" applyAlignment="0" applyProtection="0">
      <alignment wrapText="1"/>
    </xf>
    <xf numFmtId="196" fontId="1" fillId="0" borderId="0" applyFill="0" applyBorder="0" applyAlignment="0" applyProtection="0">
      <alignment wrapText="1"/>
    </xf>
    <xf numFmtId="196" fontId="1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7" fillId="66" borderId="27">
      <alignment vertical="center"/>
    </xf>
    <xf numFmtId="178" fontId="68" fillId="66" borderId="27">
      <alignment vertical="center"/>
    </xf>
    <xf numFmtId="197" fontId="69" fillId="67" borderId="27">
      <alignment vertical="center"/>
    </xf>
    <xf numFmtId="0" fontId="1" fillId="68" borderId="28" applyBorder="0">
      <alignment horizontal="left" vertical="center"/>
    </xf>
    <xf numFmtId="0" fontId="1" fillId="68" borderId="28" applyBorder="0">
      <alignment horizontal="left" vertical="center"/>
    </xf>
    <xf numFmtId="49" fontId="1" fillId="69" borderId="1">
      <alignment vertical="center" wrapText="1"/>
    </xf>
    <xf numFmtId="49" fontId="1" fillId="69" borderId="1">
      <alignment vertical="center" wrapText="1"/>
    </xf>
    <xf numFmtId="0" fontId="1" fillId="70" borderId="29">
      <alignment horizontal="left" vertical="center" wrapText="1"/>
    </xf>
    <xf numFmtId="0" fontId="1" fillId="70" borderId="29">
      <alignment horizontal="left" vertical="center" wrapText="1"/>
    </xf>
    <xf numFmtId="0" fontId="70" fillId="71" borderId="1">
      <alignment horizontal="left" vertical="center" wrapText="1"/>
    </xf>
    <xf numFmtId="0" fontId="1" fillId="56" borderId="1">
      <alignment horizontal="left" vertical="center" wrapText="1"/>
    </xf>
    <xf numFmtId="0" fontId="1" fillId="56" borderId="1">
      <alignment horizontal="left" vertical="center" wrapText="1"/>
    </xf>
    <xf numFmtId="0" fontId="1" fillId="72" borderId="1">
      <alignment horizontal="left" vertical="center" wrapText="1"/>
    </xf>
    <xf numFmtId="0" fontId="1" fillId="72" borderId="1">
      <alignment horizontal="left" vertical="center" wrapText="1"/>
    </xf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198" fontId="64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4" fontId="38" fillId="0" borderId="0"/>
    <xf numFmtId="0" fontId="74" fillId="0" borderId="0" applyNumberFormat="0" applyFill="0" applyBorder="0" applyAlignment="0" applyProtection="0">
      <alignment vertical="center"/>
    </xf>
  </cellStyleXfs>
  <cellXfs count="58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0" fillId="2" borderId="0" xfId="0" applyFont="1" applyFill="1" applyAlignment="1"/>
    <xf numFmtId="0" fontId="2" fillId="0" borderId="0" xfId="0" applyFont="1" applyFill="1" applyAlignment="1"/>
    <xf numFmtId="0" fontId="0" fillId="0" borderId="0" xfId="0" applyFill="1"/>
    <xf numFmtId="0" fontId="0" fillId="3" borderId="0" xfId="0" applyFill="1"/>
    <xf numFmtId="0" fontId="0" fillId="0" borderId="0" xfId="0" applyBorder="1"/>
    <xf numFmtId="0" fontId="3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4" borderId="0" xfId="0" applyFill="1"/>
    <xf numFmtId="0" fontId="0" fillId="4" borderId="0" xfId="0" applyFill="1" applyBorder="1"/>
    <xf numFmtId="0" fontId="0" fillId="4" borderId="0" xfId="0" applyFill="1" applyAlignment="1">
      <alignment wrapText="1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4" fillId="4" borderId="1" xfId="0" applyFont="1" applyFill="1" applyBorder="1"/>
    <xf numFmtId="0" fontId="0" fillId="4" borderId="1" xfId="0" applyFill="1" applyBorder="1" applyAlignment="1">
      <alignment wrapText="1"/>
    </xf>
    <xf numFmtId="0" fontId="0" fillId="4" borderId="1" xfId="0" applyNumberForma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5" borderId="1" xfId="0" applyFill="1" applyBorder="1"/>
    <xf numFmtId="2" fontId="0" fillId="0" borderId="0" xfId="0" applyNumberFormat="1"/>
    <xf numFmtId="0" fontId="5" fillId="6" borderId="0" xfId="24" applyFont="1"/>
    <xf numFmtId="0" fontId="6" fillId="6" borderId="0" xfId="24"/>
    <xf numFmtId="0" fontId="7" fillId="7" borderId="0" xfId="22"/>
    <xf numFmtId="0" fontId="4" fillId="0" borderId="0" xfId="0" applyFont="1"/>
    <xf numFmtId="0" fontId="8" fillId="8" borderId="0" xfId="0" applyFont="1" applyFill="1"/>
    <xf numFmtId="199" fontId="8" fillId="8" borderId="0" xfId="0" applyNumberFormat="1" applyFont="1" applyFill="1"/>
    <xf numFmtId="4" fontId="7" fillId="7" borderId="0" xfId="22" applyNumberFormat="1"/>
    <xf numFmtId="0" fontId="9" fillId="9" borderId="2" xfId="16"/>
    <xf numFmtId="0" fontId="0" fillId="8" borderId="0" xfId="0" applyFill="1"/>
    <xf numFmtId="0" fontId="10" fillId="0" borderId="0" xfId="0" applyFont="1"/>
    <xf numFmtId="0" fontId="11" fillId="0" borderId="3" xfId="13"/>
    <xf numFmtId="0" fontId="12" fillId="0" borderId="4" xfId="14"/>
    <xf numFmtId="0" fontId="0" fillId="5" borderId="0" xfId="0" applyFill="1"/>
    <xf numFmtId="9" fontId="0" fillId="0" borderId="0" xfId="3" applyFont="1"/>
    <xf numFmtId="0" fontId="13" fillId="0" borderId="0" xfId="6" applyAlignment="1"/>
    <xf numFmtId="0" fontId="0" fillId="10" borderId="0" xfId="0" applyFill="1"/>
    <xf numFmtId="0" fontId="0" fillId="11" borderId="0" xfId="0" applyFill="1"/>
    <xf numFmtId="2" fontId="0" fillId="11" borderId="0" xfId="0" applyNumberFormat="1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4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2" borderId="5" xfId="0" applyFont="1" applyFill="1" applyBorder="1"/>
    <xf numFmtId="0" fontId="15" fillId="13" borderId="5" xfId="0" applyFont="1" applyFill="1" applyBorder="1"/>
    <xf numFmtId="0" fontId="1" fillId="12" borderId="5" xfId="0" applyFont="1" applyFill="1" applyBorder="1"/>
    <xf numFmtId="1" fontId="0" fillId="0" borderId="0" xfId="0" applyNumberFormat="1"/>
    <xf numFmtId="0" fontId="0" fillId="14" borderId="0" xfId="0" applyFill="1"/>
    <xf numFmtId="200" fontId="4" fillId="0" borderId="0" xfId="0" applyNumberFormat="1" applyFont="1"/>
    <xf numFmtId="0" fontId="0" fillId="15" borderId="0" xfId="0" applyFill="1"/>
    <xf numFmtId="0" fontId="12" fillId="15" borderId="0" xfId="15" applyFill="1"/>
    <xf numFmtId="0" fontId="3" fillId="15" borderId="0" xfId="0" applyFont="1" applyFill="1"/>
    <xf numFmtId="0" fontId="0" fillId="2" borderId="0" xfId="0" applyFill="1"/>
    <xf numFmtId="0" fontId="3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10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D4" sqref="D4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2" t="s">
        <v>0</v>
      </c>
      <c r="M1" t="s">
        <v>1</v>
      </c>
    </row>
    <row r="3" spans="1:41">
      <c r="D3" s="31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2">
        <v>4.412</v>
      </c>
      <c r="F5" s="22">
        <v>3.12026375782552</v>
      </c>
      <c r="G5" s="22">
        <v>19.819</v>
      </c>
      <c r="H5" s="22" t="s">
        <v>45</v>
      </c>
      <c r="I5" s="22" t="s">
        <v>45</v>
      </c>
      <c r="J5" s="22">
        <v>5.392</v>
      </c>
      <c r="K5" s="22">
        <v>3.04</v>
      </c>
      <c r="L5" s="22">
        <v>1049.77744541795</v>
      </c>
      <c r="M5" s="22">
        <v>0.341</v>
      </c>
      <c r="N5" s="22">
        <v>1.829</v>
      </c>
      <c r="O5" s="22">
        <v>1.784</v>
      </c>
      <c r="P5" s="22">
        <v>20.964</v>
      </c>
      <c r="Q5" s="22" t="s">
        <v>45</v>
      </c>
      <c r="R5" s="22">
        <v>0.631</v>
      </c>
      <c r="S5" s="22" t="s">
        <v>45</v>
      </c>
      <c r="T5" s="22">
        <v>226.585</v>
      </c>
      <c r="U5" s="22">
        <v>1.043</v>
      </c>
      <c r="V5" s="22">
        <v>7.734</v>
      </c>
      <c r="W5" s="22">
        <v>55.883</v>
      </c>
      <c r="X5" s="22">
        <v>8.113</v>
      </c>
      <c r="Y5" s="22">
        <v>5.815</v>
      </c>
      <c r="Z5" s="22">
        <v>208.923</v>
      </c>
      <c r="AA5" s="22">
        <v>0.008</v>
      </c>
      <c r="AB5" s="22">
        <v>21.844</v>
      </c>
      <c r="AC5" s="22">
        <v>1173.40732616814</v>
      </c>
      <c r="AD5" s="22">
        <v>33.27</v>
      </c>
      <c r="AE5" s="22" t="s">
        <v>45</v>
      </c>
      <c r="AF5" s="22">
        <v>45.335</v>
      </c>
      <c r="AG5" s="22">
        <v>1.425</v>
      </c>
      <c r="AH5" s="22">
        <v>6.068</v>
      </c>
      <c r="AI5" s="22" t="s">
        <v>45</v>
      </c>
      <c r="AJ5" s="22">
        <v>8.664</v>
      </c>
      <c r="AK5" s="22">
        <v>5.108</v>
      </c>
      <c r="AL5" s="22">
        <v>25.702</v>
      </c>
      <c r="AM5" s="22">
        <v>0.224</v>
      </c>
      <c r="AN5" s="22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2">
        <v>96.795</v>
      </c>
      <c r="F6" s="22">
        <v>25.6351710820699</v>
      </c>
      <c r="G6" s="22">
        <v>16.3663125505745</v>
      </c>
      <c r="H6" s="22">
        <v>4.529</v>
      </c>
      <c r="I6" s="22">
        <v>2.229</v>
      </c>
      <c r="J6" s="22">
        <v>19.908</v>
      </c>
      <c r="K6" s="22">
        <v>12.976</v>
      </c>
      <c r="L6" s="22">
        <v>124.106769526882</v>
      </c>
      <c r="M6" s="22">
        <v>1.35494652675863</v>
      </c>
      <c r="N6" s="22">
        <v>2.955</v>
      </c>
      <c r="O6" s="22">
        <v>8.263</v>
      </c>
      <c r="P6" s="22">
        <v>23.885</v>
      </c>
      <c r="Q6" s="22">
        <v>7.819</v>
      </c>
      <c r="R6" s="22">
        <v>6.279</v>
      </c>
      <c r="S6" s="22" t="s">
        <v>45</v>
      </c>
      <c r="T6" s="22">
        <v>24.629</v>
      </c>
      <c r="U6" s="22">
        <v>4.302</v>
      </c>
      <c r="V6" s="22">
        <v>50.522</v>
      </c>
      <c r="W6" s="22">
        <v>83.7</v>
      </c>
      <c r="X6" s="22">
        <v>56.636</v>
      </c>
      <c r="Y6" s="22">
        <v>215.315</v>
      </c>
      <c r="Z6" s="22">
        <v>555.117</v>
      </c>
      <c r="AA6" s="22">
        <v>0.318</v>
      </c>
      <c r="AB6" s="22">
        <v>3.817</v>
      </c>
      <c r="AC6" s="22">
        <v>377.33885156572</v>
      </c>
      <c r="AD6" s="22">
        <v>126.817</v>
      </c>
      <c r="AE6" s="22">
        <v>54.058</v>
      </c>
      <c r="AF6" s="22">
        <v>0.033</v>
      </c>
      <c r="AG6" s="22">
        <v>31.272</v>
      </c>
      <c r="AH6" s="22">
        <v>5.718</v>
      </c>
      <c r="AI6" s="22">
        <v>0.491</v>
      </c>
      <c r="AJ6" s="22">
        <v>25.944</v>
      </c>
      <c r="AK6" s="22">
        <v>33.529</v>
      </c>
      <c r="AL6" s="22">
        <v>3.113</v>
      </c>
      <c r="AM6" s="22">
        <v>0.951</v>
      </c>
      <c r="AN6" s="22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2">
        <v>4.432</v>
      </c>
      <c r="F7" s="22">
        <v>36.8858527599317</v>
      </c>
      <c r="G7" s="22">
        <v>8.44</v>
      </c>
      <c r="H7" s="22">
        <v>14.933</v>
      </c>
      <c r="I7" s="22">
        <v>1.717</v>
      </c>
      <c r="J7" s="22">
        <v>0.198</v>
      </c>
      <c r="K7" s="22">
        <v>109.95</v>
      </c>
      <c r="L7" s="22">
        <v>381.480858686818</v>
      </c>
      <c r="M7" s="22">
        <v>3.63800080835852</v>
      </c>
      <c r="N7" s="22">
        <v>2.731</v>
      </c>
      <c r="O7" s="22">
        <v>24.478</v>
      </c>
      <c r="P7" s="22">
        <v>5.741</v>
      </c>
      <c r="Q7" s="22">
        <v>3.456</v>
      </c>
      <c r="R7" s="22">
        <v>9.206</v>
      </c>
      <c r="S7" s="22">
        <v>2.114</v>
      </c>
      <c r="T7" s="22">
        <v>54.1028396193525</v>
      </c>
      <c r="U7" s="22">
        <v>0.237</v>
      </c>
      <c r="V7" s="22">
        <v>18.942</v>
      </c>
      <c r="W7" s="22">
        <v>28.247</v>
      </c>
      <c r="X7" s="22">
        <v>81.8173772429141</v>
      </c>
      <c r="Y7" s="22">
        <v>15.1858324984039</v>
      </c>
      <c r="Z7" s="22">
        <v>184.391</v>
      </c>
      <c r="AA7" s="22">
        <v>34.41</v>
      </c>
      <c r="AB7" s="22">
        <v>0.986</v>
      </c>
      <c r="AC7" s="22">
        <v>506.242366978746</v>
      </c>
      <c r="AD7" s="22">
        <v>51.535</v>
      </c>
      <c r="AE7" s="22" t="s">
        <v>45</v>
      </c>
      <c r="AF7" s="22">
        <v>0.752</v>
      </c>
      <c r="AG7" s="22">
        <v>25.039</v>
      </c>
      <c r="AH7" s="22">
        <v>19.647</v>
      </c>
      <c r="AI7" s="22">
        <v>15.279</v>
      </c>
      <c r="AJ7" s="22">
        <v>31.935</v>
      </c>
      <c r="AK7" s="22">
        <v>2.252</v>
      </c>
      <c r="AL7" s="22">
        <v>4.887</v>
      </c>
      <c r="AM7" s="22">
        <v>8.80061311366949</v>
      </c>
      <c r="AN7" s="22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2" t="s">
        <v>45</v>
      </c>
      <c r="F8" s="22" t="s">
        <v>45</v>
      </c>
      <c r="G8" s="22" t="s">
        <v>45</v>
      </c>
      <c r="H8" s="22" t="s">
        <v>45</v>
      </c>
      <c r="I8" s="22" t="s">
        <v>45</v>
      </c>
      <c r="J8" s="22">
        <v>5.563</v>
      </c>
      <c r="K8" s="22">
        <v>2.062</v>
      </c>
      <c r="L8" s="22">
        <v>70.6297930648943</v>
      </c>
      <c r="M8" s="22">
        <v>0.727</v>
      </c>
      <c r="N8" s="22">
        <v>6.954</v>
      </c>
      <c r="O8" s="22">
        <v>65.792</v>
      </c>
      <c r="P8" s="22">
        <v>4.291</v>
      </c>
      <c r="Q8" s="22" t="s">
        <v>45</v>
      </c>
      <c r="R8" s="22">
        <v>5.45</v>
      </c>
      <c r="S8" s="22" t="s">
        <v>45</v>
      </c>
      <c r="T8" s="22">
        <v>14.4554035848022</v>
      </c>
      <c r="U8" s="22" t="s">
        <v>45</v>
      </c>
      <c r="V8" s="22" t="s">
        <v>45</v>
      </c>
      <c r="W8" s="22">
        <v>34.1194818175494</v>
      </c>
      <c r="X8" s="22">
        <v>1.798</v>
      </c>
      <c r="Y8" s="22">
        <v>7.62</v>
      </c>
      <c r="Z8" s="22">
        <v>115.929</v>
      </c>
      <c r="AA8" s="22" t="s">
        <v>45</v>
      </c>
      <c r="AB8" s="22" t="s">
        <v>45</v>
      </c>
      <c r="AC8" s="22">
        <v>112.973094438467</v>
      </c>
      <c r="AD8" s="22">
        <v>34.297233878302</v>
      </c>
      <c r="AE8" s="22" t="s">
        <v>45</v>
      </c>
      <c r="AF8" s="22">
        <v>1.94</v>
      </c>
      <c r="AG8" s="22">
        <v>7.398</v>
      </c>
      <c r="AH8" s="22">
        <v>11.706</v>
      </c>
      <c r="AI8" s="22">
        <v>3.025</v>
      </c>
      <c r="AJ8" s="22">
        <v>3.54591433260089</v>
      </c>
      <c r="AK8" s="22">
        <v>7.23456144459034</v>
      </c>
      <c r="AL8" s="22">
        <v>13.88</v>
      </c>
      <c r="AM8" s="22" t="s">
        <v>45</v>
      </c>
      <c r="AN8" s="22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2">
        <v>3.759</v>
      </c>
      <c r="F9" s="22">
        <v>3.346</v>
      </c>
      <c r="G9" s="22">
        <v>34.218</v>
      </c>
      <c r="H9" s="22">
        <v>6.832</v>
      </c>
      <c r="I9" s="22">
        <v>2.208</v>
      </c>
      <c r="J9" s="22">
        <v>32.886</v>
      </c>
      <c r="K9" s="22">
        <v>40.781</v>
      </c>
      <c r="L9" s="22">
        <v>618.105570429358</v>
      </c>
      <c r="M9" s="22">
        <v>1.496</v>
      </c>
      <c r="N9" s="22">
        <v>3.185</v>
      </c>
      <c r="O9" s="22">
        <v>20.552</v>
      </c>
      <c r="P9" s="22">
        <v>83.039</v>
      </c>
      <c r="Q9" s="22">
        <v>7.637</v>
      </c>
      <c r="R9" s="22">
        <v>10.704</v>
      </c>
      <c r="S9" s="22">
        <v>0.007</v>
      </c>
      <c r="T9" s="22">
        <v>76.309</v>
      </c>
      <c r="U9" s="22">
        <v>0.738</v>
      </c>
      <c r="V9" s="22">
        <v>30.029</v>
      </c>
      <c r="W9" s="22">
        <v>87.173</v>
      </c>
      <c r="X9" s="22">
        <v>15.894</v>
      </c>
      <c r="Y9" s="22">
        <v>17.263</v>
      </c>
      <c r="Z9" s="22">
        <v>158.453</v>
      </c>
      <c r="AA9" s="22">
        <v>0.617</v>
      </c>
      <c r="AB9" s="22">
        <v>15.81</v>
      </c>
      <c r="AC9" s="22">
        <v>690.025</v>
      </c>
      <c r="AD9" s="22">
        <v>2.442</v>
      </c>
      <c r="AE9" s="22">
        <v>2.286</v>
      </c>
      <c r="AF9" s="22">
        <v>6.473</v>
      </c>
      <c r="AG9" s="22">
        <v>35.164</v>
      </c>
      <c r="AH9" s="22">
        <v>7.917</v>
      </c>
      <c r="AI9" s="22">
        <v>5.84</v>
      </c>
      <c r="AJ9" s="22">
        <v>11.292</v>
      </c>
      <c r="AK9" s="22">
        <v>15.657</v>
      </c>
      <c r="AL9" s="22">
        <v>8.15</v>
      </c>
      <c r="AM9" s="22">
        <v>1.025</v>
      </c>
      <c r="AN9" s="22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2">
        <v>10.1220661744693</v>
      </c>
      <c r="F10" s="22">
        <v>1.273</v>
      </c>
      <c r="G10" s="22">
        <v>13.161</v>
      </c>
      <c r="H10" s="22">
        <v>3.977</v>
      </c>
      <c r="I10" s="22">
        <v>1.914</v>
      </c>
      <c r="J10" s="22">
        <v>16.492</v>
      </c>
      <c r="K10" s="22">
        <v>29.818</v>
      </c>
      <c r="L10" s="22">
        <v>481.98396376118</v>
      </c>
      <c r="M10" s="22">
        <v>1.146</v>
      </c>
      <c r="N10" s="22">
        <v>0.347</v>
      </c>
      <c r="O10" s="22">
        <v>23.176</v>
      </c>
      <c r="P10" s="22">
        <v>70.263059689023</v>
      </c>
      <c r="Q10" s="22">
        <v>5.379</v>
      </c>
      <c r="R10" s="22">
        <v>4.141</v>
      </c>
      <c r="S10" s="22">
        <v>0.17695741101743</v>
      </c>
      <c r="T10" s="22">
        <v>52.9658823207897</v>
      </c>
      <c r="U10" s="22">
        <v>4.862</v>
      </c>
      <c r="V10" s="22">
        <v>12.391</v>
      </c>
      <c r="W10" s="22">
        <v>5.483</v>
      </c>
      <c r="X10" s="22">
        <v>19.4340173249179</v>
      </c>
      <c r="Y10" s="22">
        <v>1.487</v>
      </c>
      <c r="Z10" s="22">
        <v>174.881458488924</v>
      </c>
      <c r="AA10" s="22">
        <v>5.065</v>
      </c>
      <c r="AB10" s="22">
        <v>9.307</v>
      </c>
      <c r="AC10" s="22">
        <v>466.351347074073</v>
      </c>
      <c r="AD10" s="22">
        <v>2.64</v>
      </c>
      <c r="AE10" s="22">
        <v>0.403</v>
      </c>
      <c r="AF10" s="22">
        <v>3.463</v>
      </c>
      <c r="AG10" s="22">
        <v>36.745</v>
      </c>
      <c r="AH10" s="22">
        <v>31.957</v>
      </c>
      <c r="AI10" s="22">
        <v>0.087</v>
      </c>
      <c r="AJ10" s="22">
        <v>11.749</v>
      </c>
      <c r="AK10" s="22">
        <v>34.5394277256465</v>
      </c>
      <c r="AL10" s="22">
        <v>1.902</v>
      </c>
      <c r="AM10" s="22">
        <v>1.095</v>
      </c>
      <c r="AN10" s="22">
        <v>-1</v>
      </c>
      <c r="AO10" t="s">
        <v>50</v>
      </c>
    </row>
    <row r="11" spans="1:41"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</row>
    <row r="12" spans="1:41"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</row>
    <row r="13" spans="1:41"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</row>
    <row r="14" spans="1:41"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</row>
    <row r="15" spans="1:41"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</row>
    <row r="16" spans="1:41"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workbookViewId="0">
      <selection activeCell="L20" sqref="$A20:$XFD20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4" t="s">
        <v>53</v>
      </c>
      <c r="I2" s="45"/>
      <c r="J2" s="46"/>
      <c r="K2" s="46"/>
      <c r="L2" s="46"/>
      <c r="M2" s="46"/>
      <c r="N2" s="46"/>
      <c r="O2" s="46"/>
      <c r="P2" s="46"/>
    </row>
    <row r="3" ht="15.25" spans="1:30">
      <c r="B3" s="47" t="s">
        <v>54</v>
      </c>
      <c r="C3" s="47" t="s">
        <v>55</v>
      </c>
      <c r="D3" s="47" t="s">
        <v>56</v>
      </c>
      <c r="E3" s="47" t="s">
        <v>57</v>
      </c>
      <c r="F3" s="47" t="s">
        <v>58</v>
      </c>
      <c r="G3" s="47" t="s">
        <v>59</v>
      </c>
      <c r="H3" s="48" t="s">
        <v>60</v>
      </c>
      <c r="I3" s="49" t="s">
        <v>61</v>
      </c>
      <c r="J3" s="49" t="s">
        <v>62</v>
      </c>
      <c r="K3" s="49" t="s">
        <v>63</v>
      </c>
      <c r="L3" s="49" t="s">
        <v>64</v>
      </c>
      <c r="M3" s="49" t="s">
        <v>65</v>
      </c>
      <c r="N3" s="49" t="s">
        <v>66</v>
      </c>
      <c r="O3" s="49" t="s">
        <v>67</v>
      </c>
      <c r="P3" s="49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38" t="s">
        <v>79</v>
      </c>
      <c r="V5" s="38" t="s">
        <v>80</v>
      </c>
      <c r="W5" s="38">
        <v>2150</v>
      </c>
      <c r="X5" s="38"/>
      <c r="Y5" s="38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39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39">
        <v>3.5</v>
      </c>
      <c r="X14" t="s">
        <v>102</v>
      </c>
      <c r="Y14" s="39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50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51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2">
        <f>V11*1.2</f>
        <v>23.328</v>
      </c>
      <c r="X21" t="s">
        <v>127</v>
      </c>
      <c r="Y21" t="s">
        <v>128</v>
      </c>
      <c r="Z21" s="58" t="s">
        <v>129</v>
      </c>
      <c r="AA21" t="str">
        <f t="shared" ref="AA21:AA26" si="0">X21</f>
        <v>HH2</v>
      </c>
      <c r="AB21" s="58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52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2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8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2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2020</v>
      </c>
      <c r="H26" s="58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8" t="s">
        <v>141</v>
      </c>
      <c r="AC26" t="s">
        <v>99</v>
      </c>
    </row>
    <row r="27" spans="2:135">
      <c r="D27" t="s">
        <v>143</v>
      </c>
      <c r="E27">
        <v>2050</v>
      </c>
      <c r="H27" s="58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53" t="s">
        <v>73</v>
      </c>
      <c r="X29" s="54" t="s">
        <v>152</v>
      </c>
      <c r="Y29" s="54" t="s">
        <v>153</v>
      </c>
      <c r="Z29" s="54" t="s">
        <v>154</v>
      </c>
      <c r="AA29" s="54" t="s">
        <v>155</v>
      </c>
      <c r="AB29" s="54" t="s">
        <v>156</v>
      </c>
      <c r="AC29" s="54" t="s">
        <v>9</v>
      </c>
      <c r="AD29" s="54" t="s">
        <v>10</v>
      </c>
      <c r="AE29" s="54" t="s">
        <v>157</v>
      </c>
      <c r="AF29" s="54" t="s">
        <v>158</v>
      </c>
      <c r="AG29" s="54" t="s">
        <v>159</v>
      </c>
      <c r="AH29" s="54" t="s">
        <v>160</v>
      </c>
      <c r="AI29" s="54" t="s">
        <v>161</v>
      </c>
      <c r="AJ29" s="54" t="s">
        <v>13</v>
      </c>
      <c r="AK29" s="54" t="s">
        <v>162</v>
      </c>
      <c r="AL29" s="54" t="s">
        <v>163</v>
      </c>
      <c r="AM29" s="54" t="s">
        <v>164</v>
      </c>
      <c r="AN29" s="54" t="s">
        <v>165</v>
      </c>
      <c r="AO29" s="54" t="s">
        <v>14</v>
      </c>
      <c r="AP29" s="54" t="s">
        <v>166</v>
      </c>
      <c r="AQ29" s="54" t="s">
        <v>167</v>
      </c>
      <c r="AR29" s="54" t="s">
        <v>168</v>
      </c>
      <c r="AS29" s="54" t="s">
        <v>169</v>
      </c>
      <c r="AT29" s="54" t="s">
        <v>170</v>
      </c>
      <c r="AU29" s="54" t="s">
        <v>171</v>
      </c>
      <c r="AV29" s="54" t="s">
        <v>172</v>
      </c>
      <c r="AW29" s="54" t="s">
        <v>173</v>
      </c>
      <c r="AX29" s="54" t="s">
        <v>174</v>
      </c>
      <c r="AY29" s="54" t="s">
        <v>175</v>
      </c>
      <c r="AZ29" s="54" t="s">
        <v>17</v>
      </c>
      <c r="BA29" s="54" t="s">
        <v>176</v>
      </c>
      <c r="BB29" s="54" t="s">
        <v>18</v>
      </c>
      <c r="BC29" s="54" t="s">
        <v>177</v>
      </c>
      <c r="BD29" s="54" t="s">
        <v>178</v>
      </c>
      <c r="BE29" s="54" t="s">
        <v>179</v>
      </c>
      <c r="BF29" s="54" t="s">
        <v>21</v>
      </c>
      <c r="BG29" s="54" t="s">
        <v>22</v>
      </c>
      <c r="BH29" s="54" t="s">
        <v>180</v>
      </c>
      <c r="BI29" s="54" t="s">
        <v>181</v>
      </c>
      <c r="BJ29" s="54" t="s">
        <v>182</v>
      </c>
      <c r="BK29" s="54" t="s">
        <v>23</v>
      </c>
      <c r="BL29" s="54" t="s">
        <v>183</v>
      </c>
      <c r="BM29" s="54" t="s">
        <v>184</v>
      </c>
      <c r="BN29" s="54" t="s">
        <v>185</v>
      </c>
      <c r="BO29" s="54" t="s">
        <v>25</v>
      </c>
      <c r="BP29" s="54" t="s">
        <v>186</v>
      </c>
      <c r="BQ29" s="54" t="s">
        <v>187</v>
      </c>
      <c r="BR29" s="54" t="s">
        <v>188</v>
      </c>
      <c r="BS29" s="54" t="s">
        <v>189</v>
      </c>
      <c r="BT29" s="54" t="s">
        <v>190</v>
      </c>
      <c r="BU29" s="54" t="s">
        <v>191</v>
      </c>
      <c r="BV29" s="54" t="s">
        <v>192</v>
      </c>
      <c r="BW29" s="54" t="s">
        <v>193</v>
      </c>
      <c r="BX29" s="54" t="s">
        <v>194</v>
      </c>
      <c r="BY29" s="54" t="s">
        <v>195</v>
      </c>
      <c r="BZ29" s="54" t="s">
        <v>196</v>
      </c>
      <c r="CA29" s="54" t="s">
        <v>197</v>
      </c>
      <c r="CB29" s="54" t="s">
        <v>198</v>
      </c>
      <c r="CC29" s="54" t="s">
        <v>199</v>
      </c>
      <c r="CD29" s="54" t="s">
        <v>200</v>
      </c>
      <c r="CE29" s="54" t="s">
        <v>201</v>
      </c>
      <c r="CF29" s="54" t="s">
        <v>202</v>
      </c>
      <c r="CG29" s="54" t="s">
        <v>203</v>
      </c>
      <c r="CH29" s="54" t="s">
        <v>204</v>
      </c>
      <c r="CI29" s="54" t="s">
        <v>205</v>
      </c>
      <c r="CJ29" s="54" t="s">
        <v>206</v>
      </c>
      <c r="CK29" s="54" t="s">
        <v>207</v>
      </c>
      <c r="CL29" s="54" t="s">
        <v>208</v>
      </c>
      <c r="CM29" s="54" t="s">
        <v>29</v>
      </c>
      <c r="CN29" s="54" t="s">
        <v>209</v>
      </c>
      <c r="CO29" s="54" t="s">
        <v>210</v>
      </c>
      <c r="CP29" s="54" t="s">
        <v>211</v>
      </c>
      <c r="CQ29" s="54" t="s">
        <v>212</v>
      </c>
      <c r="CR29" s="54" t="s">
        <v>213</v>
      </c>
      <c r="CS29" s="54" t="s">
        <v>214</v>
      </c>
      <c r="CT29" s="54" t="s">
        <v>215</v>
      </c>
      <c r="CU29" s="54" t="s">
        <v>216</v>
      </c>
      <c r="CV29" s="54" t="s">
        <v>217</v>
      </c>
      <c r="CW29" s="54" t="s">
        <v>30</v>
      </c>
      <c r="CX29" s="54" t="s">
        <v>218</v>
      </c>
      <c r="CY29" s="54" t="s">
        <v>219</v>
      </c>
      <c r="CZ29" s="54" t="s">
        <v>220</v>
      </c>
      <c r="DA29" s="54" t="s">
        <v>32</v>
      </c>
      <c r="DB29" s="54" t="s">
        <v>33</v>
      </c>
      <c r="DC29" s="54" t="s">
        <v>221</v>
      </c>
      <c r="DD29" s="54" t="s">
        <v>222</v>
      </c>
      <c r="DE29" s="54" t="s">
        <v>223</v>
      </c>
      <c r="DF29" s="54" t="s">
        <v>224</v>
      </c>
      <c r="DG29" s="54" t="s">
        <v>34</v>
      </c>
      <c r="DH29" s="54" t="s">
        <v>225</v>
      </c>
      <c r="DI29" s="54" t="s">
        <v>226</v>
      </c>
      <c r="DJ29" s="54" t="s">
        <v>227</v>
      </c>
      <c r="DK29" s="54" t="s">
        <v>228</v>
      </c>
      <c r="DL29" s="54" t="s">
        <v>37</v>
      </c>
      <c r="DM29" s="54" t="s">
        <v>229</v>
      </c>
      <c r="DN29" s="54" t="s">
        <v>230</v>
      </c>
      <c r="DO29" s="54" t="s">
        <v>231</v>
      </c>
      <c r="DP29" s="54" t="s">
        <v>232</v>
      </c>
      <c r="DQ29" s="54" t="s">
        <v>233</v>
      </c>
      <c r="DR29" s="54" t="s">
        <v>38</v>
      </c>
      <c r="DS29" s="54" t="s">
        <v>234</v>
      </c>
      <c r="DT29" s="54" t="s">
        <v>235</v>
      </c>
      <c r="DU29" s="54" t="s">
        <v>39</v>
      </c>
      <c r="DV29" s="54" t="s">
        <v>40</v>
      </c>
      <c r="DW29" s="54" t="s">
        <v>236</v>
      </c>
      <c r="DX29" s="54" t="s">
        <v>237</v>
      </c>
      <c r="DY29" s="54" t="s">
        <v>238</v>
      </c>
      <c r="DZ29" s="54" t="s">
        <v>239</v>
      </c>
      <c r="EA29" s="54" t="s">
        <v>240</v>
      </c>
      <c r="EB29" s="54" t="s">
        <v>241</v>
      </c>
      <c r="EC29" s="54" t="s">
        <v>242</v>
      </c>
      <c r="ED29" s="54" t="s">
        <v>243</v>
      </c>
      <c r="EE29" s="54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5" t="s">
        <v>245</v>
      </c>
      <c r="X30" s="56">
        <v>0.5</v>
      </c>
      <c r="Y30" s="56">
        <v>0.5</v>
      </c>
      <c r="Z30" s="56">
        <v>0.5</v>
      </c>
      <c r="AA30" s="56">
        <v>0.5</v>
      </c>
      <c r="AB30" s="56">
        <v>0.880330129689671</v>
      </c>
      <c r="AC30" s="56">
        <v>0.5</v>
      </c>
      <c r="AD30" s="56">
        <v>1.43635426584992</v>
      </c>
      <c r="AE30" s="56">
        <v>0.28640020473296</v>
      </c>
      <c r="AF30" s="56">
        <v>0.5</v>
      </c>
      <c r="AG30" s="56">
        <v>1.89681589551844</v>
      </c>
      <c r="AH30" s="56">
        <v>0.529561709177279</v>
      </c>
      <c r="AI30" s="56">
        <v>2.23280493333333</v>
      </c>
      <c r="AJ30" s="56">
        <v>0.5</v>
      </c>
      <c r="AK30" s="56">
        <v>1.537054107788</v>
      </c>
      <c r="AL30" s="56">
        <v>0.5</v>
      </c>
      <c r="AM30" s="56">
        <v>0.517841558664547</v>
      </c>
      <c r="AN30" s="56">
        <v>0.5</v>
      </c>
      <c r="AO30" s="56">
        <v>0.68859433785327</v>
      </c>
      <c r="AP30" s="56">
        <v>0.5</v>
      </c>
      <c r="AQ30" s="56">
        <v>0.909913973797886</v>
      </c>
      <c r="AR30" s="56">
        <v>0.246856388121547</v>
      </c>
      <c r="AS30" s="56">
        <v>1.53715037026844</v>
      </c>
      <c r="AT30" s="56">
        <v>2.00954461975029</v>
      </c>
      <c r="AU30" s="56">
        <v>0.5</v>
      </c>
      <c r="AV30" s="56">
        <v>0.5</v>
      </c>
      <c r="AW30" s="56">
        <v>2.53614386666485</v>
      </c>
      <c r="AX30" s="56">
        <v>0.5</v>
      </c>
      <c r="AY30" s="56">
        <v>1.31959168743754</v>
      </c>
      <c r="AZ30" s="56">
        <v>1.26333562748337</v>
      </c>
      <c r="BA30" s="56">
        <v>0.5</v>
      </c>
      <c r="BB30" s="56">
        <v>0.811463508464399</v>
      </c>
      <c r="BC30" s="56">
        <v>0.5</v>
      </c>
      <c r="BD30" s="56">
        <v>0.070924584645638</v>
      </c>
      <c r="BE30" s="56">
        <v>0.538886154380813</v>
      </c>
      <c r="BF30" s="56">
        <v>0.772108172627653</v>
      </c>
      <c r="BG30" s="56">
        <v>0.5</v>
      </c>
      <c r="BH30" s="56">
        <v>0.5</v>
      </c>
      <c r="BI30" s="56">
        <v>0.5</v>
      </c>
      <c r="BJ30" s="56">
        <v>0.5</v>
      </c>
      <c r="BK30" s="56">
        <v>0.5</v>
      </c>
      <c r="BL30" s="56">
        <v>0.5</v>
      </c>
      <c r="BM30" s="56">
        <v>0.561679665057759</v>
      </c>
      <c r="BN30" s="56">
        <v>0.5</v>
      </c>
      <c r="BO30" s="56">
        <v>0.5</v>
      </c>
      <c r="BP30" s="56">
        <v>1.01202692206269</v>
      </c>
      <c r="BQ30" s="56">
        <v>0.5</v>
      </c>
      <c r="BR30" s="56">
        <v>0.5</v>
      </c>
      <c r="BS30" s="56">
        <v>0.5</v>
      </c>
      <c r="BT30" s="56">
        <v>1.95745180124224</v>
      </c>
      <c r="BU30" s="56">
        <v>0.888576032268769</v>
      </c>
      <c r="BV30" s="56">
        <v>0.5</v>
      </c>
      <c r="BW30" s="56">
        <v>3.52832406934561</v>
      </c>
      <c r="BX30" s="56">
        <v>2.40276262425447</v>
      </c>
      <c r="BY30" s="56">
        <v>0.272378558393112</v>
      </c>
      <c r="BZ30" s="56">
        <v>0.5</v>
      </c>
      <c r="CA30" s="56">
        <v>0.0381549757850336</v>
      </c>
      <c r="CB30" s="56">
        <v>0.5</v>
      </c>
      <c r="CC30" s="56">
        <v>2.14285661050061</v>
      </c>
      <c r="CD30" s="56">
        <v>0.5</v>
      </c>
      <c r="CE30" s="56">
        <v>0.5</v>
      </c>
      <c r="CF30" s="56">
        <v>0.5</v>
      </c>
      <c r="CG30" s="56">
        <v>0.5</v>
      </c>
      <c r="CH30" s="56">
        <v>0.5</v>
      </c>
      <c r="CI30" s="56">
        <v>0.501708699005855</v>
      </c>
      <c r="CJ30" s="56">
        <v>0.140262611393448</v>
      </c>
      <c r="CK30" s="56">
        <v>0.5</v>
      </c>
      <c r="CL30" s="56">
        <v>0.5</v>
      </c>
      <c r="CM30" s="56">
        <v>0.802398418234181</v>
      </c>
      <c r="CN30" s="56">
        <v>0.5</v>
      </c>
      <c r="CO30" s="56">
        <v>0.5</v>
      </c>
      <c r="CP30" s="56">
        <v>2.62476848951937</v>
      </c>
      <c r="CQ30" s="56">
        <v>0.5</v>
      </c>
      <c r="CR30" s="56">
        <v>0.5</v>
      </c>
      <c r="CS30" s="56">
        <v>0.5</v>
      </c>
      <c r="CT30" s="56">
        <v>0.5</v>
      </c>
      <c r="CU30" s="56">
        <v>0.5</v>
      </c>
      <c r="CV30" s="56">
        <v>0.5</v>
      </c>
      <c r="CW30" s="56">
        <v>0.373873615902288</v>
      </c>
      <c r="CX30" s="56">
        <v>0.803610304903818</v>
      </c>
      <c r="CY30" s="56">
        <v>0.5</v>
      </c>
      <c r="CZ30" s="56">
        <v>1.55182037907902</v>
      </c>
      <c r="DA30" s="56">
        <v>1.16378960402365</v>
      </c>
      <c r="DB30" s="56">
        <v>0.5</v>
      </c>
      <c r="DC30" s="56">
        <v>0.561445981739307</v>
      </c>
      <c r="DD30" s="56">
        <v>0.5</v>
      </c>
      <c r="DE30" s="56">
        <v>0.897015103002906</v>
      </c>
      <c r="DF30" s="56">
        <v>1.66556152209298</v>
      </c>
      <c r="DG30" s="56">
        <v>0.5</v>
      </c>
      <c r="DH30" s="56">
        <v>0.885985126939045</v>
      </c>
      <c r="DI30" s="56">
        <v>0.5</v>
      </c>
      <c r="DJ30" s="56">
        <v>0.5</v>
      </c>
      <c r="DK30" s="56">
        <v>2.63778652576313</v>
      </c>
      <c r="DL30" s="56">
        <v>1.49857000783021</v>
      </c>
      <c r="DM30" s="56">
        <v>0.675302561450318</v>
      </c>
      <c r="DN30" s="56">
        <v>0.546933177198058</v>
      </c>
      <c r="DO30" s="56">
        <v>0.5</v>
      </c>
      <c r="DP30" s="56">
        <v>0.5</v>
      </c>
      <c r="DQ30" s="56">
        <v>0.5</v>
      </c>
      <c r="DR30" s="56">
        <v>0.908669382059128</v>
      </c>
      <c r="DS30" s="56">
        <v>0.134099188596824</v>
      </c>
      <c r="DT30" s="56">
        <v>0.5</v>
      </c>
      <c r="DU30" s="56">
        <v>0.5</v>
      </c>
      <c r="DV30" s="56">
        <v>2.62534518744376</v>
      </c>
      <c r="DW30" s="56">
        <v>0.418643251337677</v>
      </c>
      <c r="DX30" s="56">
        <v>0.626320758771659</v>
      </c>
      <c r="DY30" s="56">
        <v>0.5</v>
      </c>
      <c r="DZ30" s="56">
        <v>0.5</v>
      </c>
      <c r="EA30" s="56">
        <v>0.5</v>
      </c>
      <c r="EB30" s="56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5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7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8" t="s">
        <v>75</v>
      </c>
    </row>
    <row r="41" spans="2:26">
      <c r="J41" t="s">
        <v>257</v>
      </c>
      <c r="K41" t="s">
        <v>258</v>
      </c>
      <c r="L41" t="s">
        <v>81</v>
      </c>
      <c r="M41" s="58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workbookViewId="0">
      <selection activeCell="M24" sqref="M24"/>
    </sheetView>
  </sheetViews>
  <sheetFormatPr defaultColWidth="9" defaultRowHeight="14.5"/>
  <cols>
    <col min="1" max="2" width="9.06363636363636" style="42"/>
    <col min="3" max="3" width="8.6" style="42" customWidth="1"/>
    <col min="4" max="4" width="9.06363636363636" style="42" customWidth="1"/>
    <col min="5" max="5" width="7.72727272727273" style="42" customWidth="1"/>
    <col min="6" max="6" width="4.72727272727273" style="42" customWidth="1"/>
    <col min="7" max="7" width="10.3363636363636" style="42" customWidth="1"/>
    <col min="8" max="8" width="10.2" style="42" customWidth="1"/>
    <col min="9" max="9" width="10.0636363636364" style="42" customWidth="1"/>
    <col min="10" max="10" width="9.8" style="42" customWidth="1"/>
    <col min="11" max="11" width="10.2636363636364" style="42" customWidth="1"/>
    <col min="12" max="12" width="10.4636363636364" style="42" customWidth="1"/>
    <col min="13" max="13" width="18.9272727272727" style="42" customWidth="1"/>
    <col min="14" max="14" width="16.6" style="42" customWidth="1"/>
    <col min="15" max="15" width="15.6" style="42" customWidth="1"/>
    <col min="16" max="16384" width="9.06363636363636" style="42"/>
  </cols>
  <sheetData>
    <row r="3" spans="3:21">
      <c r="C3" s="42" t="s">
        <v>264</v>
      </c>
      <c r="R3" s="42" t="s">
        <v>265</v>
      </c>
    </row>
    <row r="4" spans="3:21">
      <c r="C4" s="42" t="s">
        <v>76</v>
      </c>
      <c r="D4" s="42" t="s">
        <v>77</v>
      </c>
      <c r="E4" s="42" t="s">
        <v>73</v>
      </c>
      <c r="F4" s="42" t="s">
        <v>243</v>
      </c>
      <c r="G4" s="42" t="s">
        <v>266</v>
      </c>
      <c r="H4" s="42" t="s">
        <v>267</v>
      </c>
      <c r="I4" s="42" t="s">
        <v>268</v>
      </c>
      <c r="J4" s="42" t="s">
        <v>269</v>
      </c>
      <c r="K4" s="42" t="s">
        <v>270</v>
      </c>
      <c r="L4" s="42" t="s">
        <v>271</v>
      </c>
      <c r="M4" s="42" t="s">
        <v>272</v>
      </c>
      <c r="N4" s="42" t="s">
        <v>273</v>
      </c>
      <c r="O4" s="42" t="s">
        <v>274</v>
      </c>
      <c r="R4" s="42" t="s">
        <v>275</v>
      </c>
      <c r="S4" s="42" t="s">
        <v>276</v>
      </c>
      <c r="T4" s="42" t="s">
        <v>76</v>
      </c>
      <c r="U4" s="42" t="s">
        <v>75</v>
      </c>
    </row>
    <row r="5" spans="3:21">
      <c r="C5" s="42" t="s">
        <v>277</v>
      </c>
      <c r="E5" s="42" t="s">
        <v>278</v>
      </c>
      <c r="F5" s="42">
        <v>2022</v>
      </c>
      <c r="G5" s="42">
        <v>1420</v>
      </c>
      <c r="H5" s="42">
        <v>750</v>
      </c>
      <c r="I5" s="42">
        <v>720</v>
      </c>
      <c r="J5" s="42">
        <v>640</v>
      </c>
      <c r="K5" s="42">
        <v>1910</v>
      </c>
      <c r="L5" s="42">
        <v>1710</v>
      </c>
      <c r="M5" s="42">
        <v>990</v>
      </c>
      <c r="N5" s="42">
        <v>1120</v>
      </c>
      <c r="O5" s="42">
        <v>620</v>
      </c>
      <c r="R5" s="42" t="s">
        <v>279</v>
      </c>
      <c r="S5" s="59" t="s">
        <v>280</v>
      </c>
      <c r="T5" s="42" t="s">
        <v>281</v>
      </c>
      <c r="U5" s="42" t="s">
        <v>133</v>
      </c>
    </row>
    <row r="6" spans="3:21">
      <c r="C6" s="42" t="s">
        <v>277</v>
      </c>
      <c r="E6" s="42" t="s">
        <v>282</v>
      </c>
      <c r="F6" s="42">
        <v>2022</v>
      </c>
      <c r="G6" s="42">
        <v>22</v>
      </c>
      <c r="H6" s="42">
        <v>12</v>
      </c>
      <c r="I6" s="42">
        <v>12</v>
      </c>
      <c r="J6" s="42">
        <v>10</v>
      </c>
      <c r="K6" s="42">
        <v>28</v>
      </c>
      <c r="L6" s="42">
        <v>26</v>
      </c>
      <c r="M6" s="42">
        <v>14</v>
      </c>
      <c r="N6" s="42">
        <v>16</v>
      </c>
      <c r="O6" s="42">
        <v>10</v>
      </c>
    </row>
    <row r="7" spans="3:21">
      <c r="D7" s="42" t="s">
        <v>283</v>
      </c>
      <c r="E7" s="42" t="s">
        <v>278</v>
      </c>
      <c r="F7" s="42">
        <v>2022</v>
      </c>
      <c r="G7" s="42">
        <v>1950</v>
      </c>
      <c r="H7" s="42">
        <v>1050</v>
      </c>
      <c r="I7" s="42">
        <v>1100</v>
      </c>
      <c r="J7" s="42">
        <v>1120</v>
      </c>
      <c r="K7" s="42">
        <v>3520</v>
      </c>
      <c r="L7" s="42">
        <v>1640</v>
      </c>
      <c r="M7" s="42">
        <v>1750</v>
      </c>
      <c r="N7" s="42">
        <v>1220</v>
      </c>
      <c r="O7" s="42">
        <v>1950</v>
      </c>
    </row>
    <row r="8" spans="3:21">
      <c r="D8" s="42" t="s">
        <v>283</v>
      </c>
      <c r="E8" s="42" t="s">
        <v>282</v>
      </c>
      <c r="F8" s="42">
        <v>2022</v>
      </c>
      <c r="G8" s="42">
        <v>48</v>
      </c>
      <c r="H8" s="42">
        <v>26</v>
      </c>
      <c r="I8" s="42">
        <v>28</v>
      </c>
      <c r="J8" s="42">
        <v>28</v>
      </c>
      <c r="K8" s="42">
        <v>88</v>
      </c>
      <c r="L8" s="42">
        <v>40</v>
      </c>
      <c r="M8" s="42">
        <v>46</v>
      </c>
      <c r="N8" s="42">
        <v>30</v>
      </c>
      <c r="O8" s="42">
        <v>48</v>
      </c>
    </row>
    <row r="9" spans="3:21">
      <c r="D9" s="42" t="s">
        <v>284</v>
      </c>
      <c r="E9" s="42" t="s">
        <v>278</v>
      </c>
      <c r="F9" s="42">
        <v>2022</v>
      </c>
      <c r="G9" s="42">
        <v>4260</v>
      </c>
      <c r="H9" s="42">
        <v>4440</v>
      </c>
      <c r="I9" s="42">
        <v>2820</v>
      </c>
      <c r="J9" s="42">
        <v>3060</v>
      </c>
      <c r="K9" s="42">
        <v>6640</v>
      </c>
      <c r="L9" s="42">
        <v>4600</v>
      </c>
      <c r="M9" s="42">
        <v>3420</v>
      </c>
      <c r="N9" s="42">
        <v>4060</v>
      </c>
      <c r="O9" s="42">
        <v>4400</v>
      </c>
    </row>
    <row r="10" spans="3:21">
      <c r="D10" s="42" t="s">
        <v>284</v>
      </c>
      <c r="E10" s="42" t="s">
        <v>282</v>
      </c>
      <c r="F10" s="42">
        <v>2022</v>
      </c>
      <c r="G10" s="42">
        <v>105</v>
      </c>
      <c r="H10" s="42">
        <v>110</v>
      </c>
      <c r="I10" s="42">
        <v>70</v>
      </c>
      <c r="J10" s="42">
        <v>75</v>
      </c>
      <c r="K10" s="42">
        <v>165</v>
      </c>
      <c r="L10" s="42">
        <v>115</v>
      </c>
      <c r="M10" s="42">
        <v>70</v>
      </c>
      <c r="N10" s="42">
        <v>120</v>
      </c>
      <c r="O10" s="42">
        <v>110</v>
      </c>
    </row>
    <row r="11" spans="3:21">
      <c r="C11" s="42" t="s">
        <v>285</v>
      </c>
      <c r="E11" s="42" t="s">
        <v>278</v>
      </c>
      <c r="F11" s="42">
        <v>2022</v>
      </c>
      <c r="G11" s="42">
        <v>3300</v>
      </c>
      <c r="H11" s="42">
        <v>3350</v>
      </c>
      <c r="I11" s="42">
        <v>2000</v>
      </c>
      <c r="J11" s="42">
        <v>3050</v>
      </c>
      <c r="K11" s="42">
        <v>3550</v>
      </c>
      <c r="L11" s="42">
        <v>3500</v>
      </c>
      <c r="M11" s="42">
        <v>3900</v>
      </c>
      <c r="N11" s="42">
        <v>4050</v>
      </c>
      <c r="O11" s="42">
        <v>3400</v>
      </c>
    </row>
    <row r="12" spans="3:21">
      <c r="C12" s="42" t="s">
        <v>285</v>
      </c>
      <c r="E12" s="42" t="s">
        <v>282</v>
      </c>
      <c r="F12" s="42">
        <v>2022</v>
      </c>
      <c r="G12" s="42">
        <v>65</v>
      </c>
      <c r="H12" s="42">
        <v>65</v>
      </c>
      <c r="I12" s="42">
        <v>40</v>
      </c>
      <c r="J12" s="42">
        <v>60</v>
      </c>
      <c r="K12" s="42">
        <v>70</v>
      </c>
      <c r="L12" s="42">
        <v>70</v>
      </c>
      <c r="M12" s="42">
        <v>80</v>
      </c>
      <c r="N12" s="42">
        <v>80</v>
      </c>
      <c r="O12" s="42">
        <v>70</v>
      </c>
    </row>
    <row r="13" spans="3:21">
      <c r="C13" s="42" t="s">
        <v>277</v>
      </c>
      <c r="E13" s="42" t="s">
        <v>278</v>
      </c>
      <c r="F13" s="42">
        <v>2030</v>
      </c>
      <c r="G13" s="42">
        <v>850</v>
      </c>
      <c r="H13" s="42">
        <v>460</v>
      </c>
      <c r="I13" s="42">
        <v>430</v>
      </c>
      <c r="J13" s="42">
        <v>390</v>
      </c>
      <c r="K13" s="42">
        <v>1250</v>
      </c>
      <c r="L13" s="42">
        <v>1090</v>
      </c>
      <c r="M13" s="42">
        <v>620</v>
      </c>
      <c r="N13" s="42">
        <v>690</v>
      </c>
      <c r="O13" s="42">
        <v>360</v>
      </c>
    </row>
    <row r="14" spans="3:21">
      <c r="C14" s="42" t="s">
        <v>277</v>
      </c>
      <c r="E14" s="42" t="s">
        <v>282</v>
      </c>
      <c r="F14" s="42">
        <v>2030</v>
      </c>
      <c r="G14" s="42">
        <v>20</v>
      </c>
      <c r="H14" s="42">
        <v>10</v>
      </c>
      <c r="I14" s="42">
        <v>10</v>
      </c>
      <c r="J14" s="42">
        <v>8</v>
      </c>
      <c r="K14" s="42">
        <v>26</v>
      </c>
      <c r="L14" s="42">
        <v>24</v>
      </c>
      <c r="M14" s="42">
        <v>14</v>
      </c>
      <c r="N14" s="42">
        <v>16</v>
      </c>
      <c r="O14" s="42">
        <v>8</v>
      </c>
    </row>
    <row r="15" spans="3:21">
      <c r="D15" s="42" t="s">
        <v>283</v>
      </c>
      <c r="E15" s="42" t="s">
        <v>278</v>
      </c>
      <c r="F15" s="42">
        <v>2030</v>
      </c>
      <c r="G15" s="42">
        <v>1830</v>
      </c>
      <c r="H15" s="42">
        <v>1000</v>
      </c>
      <c r="I15" s="42">
        <v>1040</v>
      </c>
      <c r="J15" s="42">
        <v>1060</v>
      </c>
      <c r="K15" s="42">
        <v>3320</v>
      </c>
      <c r="L15" s="42">
        <v>1550</v>
      </c>
      <c r="M15" s="42">
        <v>1670</v>
      </c>
      <c r="N15" s="42">
        <v>1160</v>
      </c>
      <c r="O15" s="42">
        <v>1830</v>
      </c>
    </row>
    <row r="16" spans="3:21">
      <c r="D16" s="42" t="s">
        <v>283</v>
      </c>
      <c r="E16" s="42" t="s">
        <v>282</v>
      </c>
      <c r="F16" s="42">
        <v>2030</v>
      </c>
      <c r="G16" s="42">
        <v>46</v>
      </c>
      <c r="H16" s="42">
        <v>26</v>
      </c>
      <c r="I16" s="42">
        <v>26</v>
      </c>
      <c r="J16" s="42">
        <v>26</v>
      </c>
      <c r="K16" s="42">
        <v>84</v>
      </c>
      <c r="L16" s="42">
        <v>40</v>
      </c>
      <c r="M16" s="42">
        <v>42</v>
      </c>
      <c r="N16" s="42">
        <v>30</v>
      </c>
      <c r="O16" s="42">
        <v>46</v>
      </c>
    </row>
    <row r="17" spans="3:15">
      <c r="D17" s="42" t="s">
        <v>284</v>
      </c>
      <c r="E17" s="42" t="s">
        <v>278</v>
      </c>
      <c r="F17" s="42">
        <v>2030</v>
      </c>
      <c r="G17" s="42">
        <v>2880</v>
      </c>
      <c r="H17" s="42">
        <v>3000</v>
      </c>
      <c r="I17" s="42">
        <v>1880</v>
      </c>
      <c r="J17" s="42">
        <v>2060</v>
      </c>
      <c r="K17" s="42">
        <v>4180</v>
      </c>
      <c r="L17" s="42">
        <v>3120</v>
      </c>
      <c r="M17" s="42">
        <v>2280</v>
      </c>
      <c r="N17" s="42">
        <v>2520</v>
      </c>
      <c r="O17" s="42">
        <v>3000</v>
      </c>
    </row>
    <row r="18" spans="3:15">
      <c r="D18" s="42" t="s">
        <v>284</v>
      </c>
      <c r="E18" s="42" t="s">
        <v>282</v>
      </c>
      <c r="F18" s="42">
        <v>2030</v>
      </c>
      <c r="G18" s="42">
        <v>80</v>
      </c>
      <c r="H18" s="42">
        <v>80</v>
      </c>
      <c r="I18" s="42">
        <v>50</v>
      </c>
      <c r="J18" s="42">
        <v>55</v>
      </c>
      <c r="K18" s="42">
        <v>115</v>
      </c>
      <c r="L18" s="42">
        <v>85</v>
      </c>
      <c r="M18" s="42">
        <v>50</v>
      </c>
      <c r="N18" s="42">
        <v>90</v>
      </c>
      <c r="O18" s="42">
        <v>80</v>
      </c>
    </row>
    <row r="19" spans="3:15">
      <c r="C19" s="42" t="s">
        <v>285</v>
      </c>
      <c r="E19" s="42" t="s">
        <v>278</v>
      </c>
      <c r="F19" s="42">
        <v>2030</v>
      </c>
      <c r="G19" s="42">
        <v>3300</v>
      </c>
      <c r="H19" s="42">
        <v>3350</v>
      </c>
      <c r="I19" s="42">
        <v>2000</v>
      </c>
      <c r="J19" s="42">
        <v>3050</v>
      </c>
      <c r="K19" s="42">
        <v>3550</v>
      </c>
      <c r="L19" s="42">
        <v>3500</v>
      </c>
      <c r="M19" s="42">
        <v>3900</v>
      </c>
      <c r="N19" s="42">
        <v>4050</v>
      </c>
      <c r="O19" s="42">
        <v>3400</v>
      </c>
    </row>
    <row r="20" spans="3:15">
      <c r="C20" s="42" t="s">
        <v>285</v>
      </c>
      <c r="E20" s="42" t="s">
        <v>282</v>
      </c>
      <c r="F20" s="42">
        <v>2030</v>
      </c>
      <c r="G20" s="42">
        <v>65</v>
      </c>
      <c r="H20" s="42">
        <v>65</v>
      </c>
      <c r="I20" s="42">
        <v>40</v>
      </c>
      <c r="J20" s="42">
        <v>60</v>
      </c>
      <c r="K20" s="42">
        <v>70</v>
      </c>
      <c r="L20" s="42">
        <v>70</v>
      </c>
      <c r="M20" s="42">
        <v>80</v>
      </c>
      <c r="N20" s="42">
        <v>80</v>
      </c>
      <c r="O20" s="42">
        <v>70</v>
      </c>
    </row>
    <row r="21" spans="3:15">
      <c r="C21" s="42" t="s">
        <v>277</v>
      </c>
      <c r="E21" s="42" t="s">
        <v>278</v>
      </c>
      <c r="F21" s="42">
        <v>2050</v>
      </c>
      <c r="G21" s="42">
        <v>580</v>
      </c>
      <c r="H21" s="42">
        <v>330</v>
      </c>
      <c r="I21" s="42">
        <v>300</v>
      </c>
      <c r="J21" s="42">
        <v>270</v>
      </c>
      <c r="K21" s="42">
        <v>940</v>
      </c>
      <c r="L21" s="42">
        <v>770</v>
      </c>
      <c r="M21" s="42">
        <v>450</v>
      </c>
      <c r="N21" s="42">
        <v>480</v>
      </c>
      <c r="O21" s="42">
        <v>250</v>
      </c>
    </row>
    <row r="22" spans="3:15">
      <c r="C22" s="42" t="s">
        <v>277</v>
      </c>
      <c r="E22" s="42" t="s">
        <v>282</v>
      </c>
      <c r="F22" s="42">
        <v>2050</v>
      </c>
      <c r="G22" s="42">
        <v>18</v>
      </c>
      <c r="H22" s="42">
        <v>10</v>
      </c>
      <c r="I22" s="42">
        <v>10</v>
      </c>
      <c r="J22" s="42">
        <v>8</v>
      </c>
      <c r="K22" s="42">
        <v>24</v>
      </c>
      <c r="L22" s="42">
        <v>22</v>
      </c>
      <c r="M22" s="42">
        <v>12</v>
      </c>
      <c r="N22" s="42">
        <v>16</v>
      </c>
      <c r="O22" s="42">
        <v>8</v>
      </c>
    </row>
    <row r="23" spans="3:15">
      <c r="D23" s="42" t="s">
        <v>283</v>
      </c>
      <c r="E23" s="42" t="s">
        <v>278</v>
      </c>
      <c r="F23" s="42">
        <v>2050</v>
      </c>
      <c r="G23" s="42">
        <v>1740</v>
      </c>
      <c r="H23" s="42">
        <v>950</v>
      </c>
      <c r="I23" s="42">
        <v>1000</v>
      </c>
      <c r="J23" s="42">
        <v>1010</v>
      </c>
      <c r="K23" s="42">
        <v>3170</v>
      </c>
      <c r="L23" s="42">
        <v>1470</v>
      </c>
      <c r="M23" s="42">
        <v>1610</v>
      </c>
      <c r="N23" s="42">
        <v>1110</v>
      </c>
      <c r="O23" s="42">
        <v>1710</v>
      </c>
    </row>
    <row r="24" spans="3:15">
      <c r="D24" s="42" t="s">
        <v>283</v>
      </c>
      <c r="E24" s="42" t="s">
        <v>282</v>
      </c>
      <c r="F24" s="42">
        <v>2050</v>
      </c>
      <c r="G24" s="42">
        <v>44</v>
      </c>
      <c r="H24" s="42">
        <v>24</v>
      </c>
      <c r="I24" s="42">
        <v>26</v>
      </c>
      <c r="J24" s="42">
        <v>26</v>
      </c>
      <c r="K24" s="42">
        <v>82</v>
      </c>
      <c r="L24" s="42">
        <v>38</v>
      </c>
      <c r="M24" s="42">
        <v>42</v>
      </c>
      <c r="N24" s="42">
        <v>30</v>
      </c>
      <c r="O24" s="42">
        <v>44</v>
      </c>
    </row>
    <row r="25" spans="3:15">
      <c r="D25" s="42" t="s">
        <v>284</v>
      </c>
      <c r="E25" s="42" t="s">
        <v>278</v>
      </c>
      <c r="F25" s="42">
        <v>2050</v>
      </c>
      <c r="G25" s="42">
        <v>2080</v>
      </c>
      <c r="H25" s="42">
        <v>2160</v>
      </c>
      <c r="I25" s="42">
        <v>1420</v>
      </c>
      <c r="J25" s="42">
        <v>1500</v>
      </c>
      <c r="K25" s="42">
        <v>3160</v>
      </c>
      <c r="L25" s="42">
        <v>2280</v>
      </c>
      <c r="M25" s="42">
        <v>1740</v>
      </c>
      <c r="N25" s="42">
        <v>1900</v>
      </c>
      <c r="O25" s="42">
        <v>2180</v>
      </c>
    </row>
    <row r="26" spans="3:15">
      <c r="D26" s="42" t="s">
        <v>284</v>
      </c>
      <c r="E26" s="42" t="s">
        <v>282</v>
      </c>
      <c r="F26" s="42">
        <v>2050</v>
      </c>
      <c r="G26" s="42">
        <v>65</v>
      </c>
      <c r="H26" s="42">
        <v>65</v>
      </c>
      <c r="I26" s="42">
        <v>45</v>
      </c>
      <c r="J26" s="42">
        <v>45</v>
      </c>
      <c r="K26" s="42">
        <v>95</v>
      </c>
      <c r="L26" s="42">
        <v>70</v>
      </c>
      <c r="M26" s="42">
        <v>45</v>
      </c>
      <c r="N26" s="42">
        <v>70</v>
      </c>
      <c r="O26" s="42">
        <v>65</v>
      </c>
    </row>
    <row r="27" spans="3:15">
      <c r="C27" s="42" t="s">
        <v>285</v>
      </c>
      <c r="E27" s="42" t="s">
        <v>278</v>
      </c>
      <c r="F27" s="42">
        <v>2050</v>
      </c>
      <c r="G27" s="42">
        <v>3250</v>
      </c>
      <c r="H27" s="42">
        <v>3350</v>
      </c>
      <c r="I27" s="42">
        <v>2000</v>
      </c>
      <c r="J27" s="42">
        <v>3050</v>
      </c>
      <c r="K27" s="42">
        <v>3550</v>
      </c>
      <c r="L27" s="42">
        <v>3500</v>
      </c>
      <c r="M27" s="42">
        <v>3900</v>
      </c>
      <c r="N27" s="42">
        <v>4050</v>
      </c>
      <c r="O27" s="42">
        <v>3400</v>
      </c>
    </row>
    <row r="28" spans="3:15">
      <c r="C28" s="42" t="s">
        <v>285</v>
      </c>
      <c r="E28" s="42" t="s">
        <v>282</v>
      </c>
      <c r="F28" s="42">
        <v>2050</v>
      </c>
      <c r="G28" s="42">
        <v>65</v>
      </c>
      <c r="H28" s="42">
        <v>65</v>
      </c>
      <c r="I28" s="42">
        <v>40</v>
      </c>
      <c r="J28" s="42">
        <v>60</v>
      </c>
      <c r="K28" s="42">
        <v>70</v>
      </c>
      <c r="L28" s="42">
        <v>70</v>
      </c>
      <c r="M28" s="42">
        <v>80</v>
      </c>
      <c r="N28" s="42">
        <v>80</v>
      </c>
      <c r="O28" s="42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58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58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58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58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58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58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31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3" zoomScaleNormal="63" topLeftCell="A5" workbookViewId="0">
      <selection activeCell="K38" sqref="K38"/>
    </sheetView>
  </sheetViews>
  <sheetFormatPr defaultColWidth="9" defaultRowHeight="14.5"/>
  <cols>
    <col min="10" max="10" width="7" customWidth="1"/>
    <col min="11" max="11" width="79.2727272727273" customWidth="1"/>
    <col min="12" max="12" width="4.72727272727273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</row>
    <row r="8" spans="2:36">
      <c r="C8" t="s">
        <v>321</v>
      </c>
      <c r="D8" t="s">
        <v>99</v>
      </c>
      <c r="E8" t="s">
        <v>322</v>
      </c>
    </row>
    <row r="9" spans="2:36">
      <c r="C9" t="s">
        <v>323</v>
      </c>
      <c r="D9" t="s">
        <v>99</v>
      </c>
      <c r="E9" t="s">
        <v>324</v>
      </c>
    </row>
    <row r="11" spans="2:36">
      <c r="B11" s="38" t="s">
        <v>53</v>
      </c>
      <c r="C11" s="38"/>
      <c r="D11" s="38"/>
      <c r="E11" s="38"/>
      <c r="F11" s="38"/>
    </row>
    <row r="12" spans="2:36">
      <c r="B12" s="38"/>
      <c r="C12" s="38"/>
      <c r="D12" s="38"/>
      <c r="E12" s="38"/>
      <c r="F12" s="38"/>
    </row>
    <row r="13" spans="2:36">
      <c r="B13" s="38" t="s">
        <v>56</v>
      </c>
      <c r="C13" s="38" t="s">
        <v>5</v>
      </c>
      <c r="D13" s="38" t="s">
        <v>309</v>
      </c>
      <c r="E13" s="38" t="s">
        <v>288</v>
      </c>
      <c r="F13" s="60" t="s">
        <v>75</v>
      </c>
      <c r="K13" t="s">
        <v>325</v>
      </c>
    </row>
    <row r="14" spans="2:36">
      <c r="B14" s="38" t="s">
        <v>326</v>
      </c>
      <c r="C14" s="38" t="s">
        <v>112</v>
      </c>
      <c r="D14" s="38" t="s">
        <v>310</v>
      </c>
      <c r="E14" s="38" t="s">
        <v>114</v>
      </c>
      <c r="F14" s="38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327</v>
      </c>
      <c r="L15">
        <v>2019</v>
      </c>
      <c r="M15" s="22">
        <f t="shared" ref="M15:AJ15" si="0">SUMIFS($D$19:$D$199,$C$19:$C$199,$L15,$B$19:$B$199,M$14)/5</f>
        <v>0.0013436</v>
      </c>
      <c r="N15" s="22">
        <f t="shared" si="0"/>
        <v>0.0016</v>
      </c>
      <c r="O15" s="22">
        <f t="shared" si="0"/>
        <v>0.015</v>
      </c>
      <c r="P15" s="22">
        <f t="shared" si="0"/>
        <v>0.0002</v>
      </c>
      <c r="Q15" s="22">
        <f t="shared" si="0"/>
        <v>0.222</v>
      </c>
      <c r="R15" s="22">
        <f t="shared" si="0"/>
        <v>0.009</v>
      </c>
      <c r="S15" s="22">
        <f t="shared" si="0"/>
        <v>0.015</v>
      </c>
      <c r="T15" s="22">
        <f t="shared" si="0"/>
        <v>0.0002</v>
      </c>
      <c r="U15" s="22">
        <f t="shared" si="0"/>
        <v>0.0004</v>
      </c>
      <c r="V15" s="22">
        <f t="shared" si="0"/>
        <v>0.000312</v>
      </c>
      <c r="W15" s="22">
        <f t="shared" si="0"/>
        <v>0.0012</v>
      </c>
      <c r="X15" s="22">
        <f t="shared" si="0"/>
        <v>0.0044</v>
      </c>
      <c r="Y15" s="22">
        <f t="shared" si="0"/>
        <v>1e-5</v>
      </c>
      <c r="Z15" s="22">
        <f t="shared" si="0"/>
        <v>0.0005</v>
      </c>
      <c r="AA15" s="22">
        <f t="shared" si="0"/>
        <v>0.07764</v>
      </c>
      <c r="AB15" s="22">
        <f t="shared" si="0"/>
        <v>0.0120632</v>
      </c>
      <c r="AC15" s="22">
        <f t="shared" si="0"/>
        <v>0.0004</v>
      </c>
      <c r="AD15" s="22">
        <f t="shared" si="0"/>
        <v>0.00192</v>
      </c>
      <c r="AE15" s="22">
        <f t="shared" si="0"/>
        <v>2e-5</v>
      </c>
      <c r="AF15" s="22">
        <f t="shared" si="0"/>
        <v>0.0017</v>
      </c>
      <c r="AG15" s="22">
        <f t="shared" si="0"/>
        <v>0.008</v>
      </c>
      <c r="AH15" s="22">
        <f t="shared" si="0"/>
        <v>0.0017</v>
      </c>
      <c r="AI15" s="22">
        <f t="shared" si="0"/>
        <v>0.0002</v>
      </c>
      <c r="AJ15" s="22">
        <f t="shared" si="0"/>
        <v>0.0076</v>
      </c>
    </row>
    <row r="16" spans="2:36">
      <c r="K16" t="s">
        <v>327</v>
      </c>
      <c r="L16">
        <v>2020</v>
      </c>
      <c r="M16" s="22">
        <f t="shared" ref="M16:AJ16" si="1">SUMIFS($D$19:$D$199,$C$19:$C$199,$L16,$B$19:$B$199,M$14)/5</f>
        <v>0.00138</v>
      </c>
      <c r="N16" s="22">
        <f t="shared" si="1"/>
        <v>0.0052</v>
      </c>
      <c r="O16" s="22">
        <f t="shared" si="1"/>
        <v>0.0238</v>
      </c>
      <c r="P16" s="22">
        <f t="shared" si="1"/>
        <v>0.003949</v>
      </c>
      <c r="Q16" s="22">
        <f t="shared" si="1"/>
        <v>0.266</v>
      </c>
      <c r="R16" s="22">
        <f t="shared" si="1"/>
        <v>0.037</v>
      </c>
      <c r="S16" s="22">
        <f t="shared" si="1"/>
        <v>0.0796</v>
      </c>
      <c r="T16" s="22">
        <f t="shared" si="1"/>
        <v>0.0004</v>
      </c>
      <c r="U16" s="22">
        <f t="shared" si="1"/>
        <v>0.0008</v>
      </c>
      <c r="V16" s="22">
        <f t="shared" si="1"/>
        <v>0.001</v>
      </c>
      <c r="W16" s="22">
        <f t="shared" si="1"/>
        <v>0.0064</v>
      </c>
      <c r="X16" s="22">
        <f t="shared" si="1"/>
        <v>0.0058</v>
      </c>
      <c r="Y16" s="22">
        <f t="shared" si="1"/>
        <v>2e-5</v>
      </c>
      <c r="Z16" s="22">
        <f t="shared" si="1"/>
        <v>0.0016</v>
      </c>
      <c r="AA16" s="22">
        <f t="shared" si="1"/>
        <v>0.076</v>
      </c>
      <c r="AB16" s="22">
        <f t="shared" si="1"/>
        <v>0.0212</v>
      </c>
      <c r="AC16" s="22">
        <f t="shared" si="1"/>
        <v>0.0016</v>
      </c>
      <c r="AD16" s="22">
        <f t="shared" si="1"/>
        <v>0.0066</v>
      </c>
      <c r="AE16" s="22">
        <f t="shared" si="1"/>
        <v>4e-5</v>
      </c>
      <c r="AF16" s="22">
        <f t="shared" si="1"/>
        <v>0.0066</v>
      </c>
      <c r="AG16" s="22">
        <f t="shared" si="1"/>
        <v>0.0244</v>
      </c>
      <c r="AH16" s="22">
        <f t="shared" si="1"/>
        <v>0.0056</v>
      </c>
      <c r="AI16" s="22">
        <f t="shared" si="1"/>
        <v>0.0004</v>
      </c>
      <c r="AJ16" s="22">
        <f t="shared" si="1"/>
        <v>0.0352</v>
      </c>
    </row>
    <row r="18" spans="1:36">
      <c r="A18" t="s">
        <v>328</v>
      </c>
      <c r="B18" t="s">
        <v>329</v>
      </c>
      <c r="C18" t="s">
        <v>243</v>
      </c>
      <c r="D18" t="s">
        <v>330</v>
      </c>
    </row>
    <row r="19" spans="1:36">
      <c r="A19" t="s">
        <v>331</v>
      </c>
      <c r="B19" t="s">
        <v>9</v>
      </c>
      <c r="C19">
        <v>2019</v>
      </c>
      <c r="D19">
        <v>0.006718</v>
      </c>
    </row>
    <row r="20" spans="1:36">
      <c r="A20" t="s">
        <v>331</v>
      </c>
      <c r="B20" t="s">
        <v>9</v>
      </c>
      <c r="C20">
        <v>2020</v>
      </c>
      <c r="D20">
        <v>0.0069</v>
      </c>
    </row>
    <row r="21" spans="1:36">
      <c r="A21" t="s">
        <v>331</v>
      </c>
      <c r="B21" t="s">
        <v>9</v>
      </c>
      <c r="C21">
        <v>2021</v>
      </c>
      <c r="D21">
        <v>0.021</v>
      </c>
      <c r="K21" s="39" t="s">
        <v>327</v>
      </c>
      <c r="L21" s="39">
        <v>2021</v>
      </c>
      <c r="M21" s="40">
        <f t="shared" ref="M21:V24" si="2">SUMIFS($D$19:$D$199,$C$19:$C$199,$L21,$B$19:$B$199,M$14)/5</f>
        <v>0.0042</v>
      </c>
      <c r="N21" s="40">
        <f t="shared" si="2"/>
        <v>0.0082</v>
      </c>
      <c r="O21" s="40">
        <f t="shared" si="2"/>
        <v>0.0402</v>
      </c>
      <c r="P21" s="40">
        <f t="shared" si="2"/>
        <v>0.0065</v>
      </c>
      <c r="Q21" s="40">
        <f t="shared" si="2"/>
        <v>0.68</v>
      </c>
      <c r="R21" s="40">
        <f t="shared" si="2"/>
        <v>0.063</v>
      </c>
      <c r="S21" s="40">
        <f t="shared" si="2"/>
        <v>0.1362</v>
      </c>
      <c r="T21" s="40">
        <f t="shared" si="2"/>
        <v>0.001</v>
      </c>
      <c r="U21" s="40">
        <f t="shared" si="2"/>
        <v>0.0016</v>
      </c>
      <c r="V21" s="40">
        <f t="shared" si="2"/>
        <v>0.0032</v>
      </c>
      <c r="W21" s="40">
        <f t="shared" ref="W21:AJ24" si="3">SUMIFS($D$19:$D$199,$C$19:$C$199,$L21,$B$19:$B$199,W$14)/5</f>
        <v>0.0134</v>
      </c>
      <c r="X21" s="40">
        <f t="shared" si="3"/>
        <v>0.0088</v>
      </c>
      <c r="Y21" s="40">
        <f t="shared" si="3"/>
        <v>6e-5</v>
      </c>
      <c r="Z21" s="40">
        <f t="shared" si="3"/>
        <v>0.004</v>
      </c>
      <c r="AA21" s="40">
        <f t="shared" si="3"/>
        <v>0.1512</v>
      </c>
      <c r="AB21" s="40">
        <f t="shared" si="3"/>
        <v>0.0278</v>
      </c>
      <c r="AC21" s="40">
        <f t="shared" si="3"/>
        <v>0.0024</v>
      </c>
      <c r="AD21" s="40">
        <f t="shared" si="3"/>
        <v>0.0242</v>
      </c>
      <c r="AE21" s="40">
        <f t="shared" si="3"/>
        <v>8e-5</v>
      </c>
      <c r="AF21" s="40">
        <f t="shared" si="3"/>
        <v>0.0146</v>
      </c>
      <c r="AG21" s="40">
        <f t="shared" si="3"/>
        <v>0.0388</v>
      </c>
      <c r="AH21" s="40">
        <f t="shared" si="3"/>
        <v>0.0096</v>
      </c>
      <c r="AI21" s="40">
        <f t="shared" si="3"/>
        <v>0.001</v>
      </c>
      <c r="AJ21" s="40">
        <f t="shared" si="3"/>
        <v>0.0382</v>
      </c>
    </row>
    <row r="22" spans="1:36">
      <c r="A22" t="s">
        <v>331</v>
      </c>
      <c r="B22" t="s">
        <v>9</v>
      </c>
      <c r="C22">
        <v>2022</v>
      </c>
      <c r="D22">
        <v>0.065</v>
      </c>
      <c r="K22" s="39" t="s">
        <v>327</v>
      </c>
      <c r="L22" s="39">
        <v>2022</v>
      </c>
      <c r="M22" s="40">
        <f t="shared" si="2"/>
        <v>0.013</v>
      </c>
      <c r="N22" s="40">
        <f t="shared" si="2"/>
        <v>0.011</v>
      </c>
      <c r="O22" s="40">
        <f t="shared" si="2"/>
        <v>0.064</v>
      </c>
      <c r="P22" s="40">
        <f t="shared" si="2"/>
        <v>0.01</v>
      </c>
      <c r="Q22" s="40">
        <f t="shared" si="2"/>
        <v>1.24</v>
      </c>
      <c r="R22" s="40">
        <f t="shared" si="2"/>
        <v>0.08</v>
      </c>
      <c r="S22" s="40">
        <f t="shared" si="2"/>
        <v>0.166</v>
      </c>
      <c r="T22" s="40">
        <f t="shared" si="2"/>
        <v>0.0026</v>
      </c>
      <c r="U22" s="40">
        <f t="shared" si="2"/>
        <v>0.0022</v>
      </c>
      <c r="V22" s="40">
        <f t="shared" si="2"/>
        <v>0.0102</v>
      </c>
      <c r="W22" s="40">
        <f t="shared" si="3"/>
        <v>0.022</v>
      </c>
      <c r="X22" s="40">
        <f t="shared" si="3"/>
        <v>0.0184</v>
      </c>
      <c r="Y22" s="40">
        <f t="shared" si="3"/>
        <v>0.00012</v>
      </c>
      <c r="Z22" s="40">
        <f t="shared" si="3"/>
        <v>0.008</v>
      </c>
      <c r="AA22" s="40">
        <f t="shared" si="3"/>
        <v>0.2132</v>
      </c>
      <c r="AB22" s="40">
        <f t="shared" si="3"/>
        <v>0.027</v>
      </c>
      <c r="AC22" s="40">
        <f t="shared" si="3"/>
        <v>0.0048</v>
      </c>
      <c r="AD22" s="40">
        <f t="shared" si="3"/>
        <v>0.0314</v>
      </c>
      <c r="AE22" s="40">
        <f t="shared" si="3"/>
        <v>0.00016</v>
      </c>
      <c r="AF22" s="40">
        <f t="shared" si="3"/>
        <v>0.026</v>
      </c>
      <c r="AG22" s="40">
        <f t="shared" si="3"/>
        <v>0.0524</v>
      </c>
      <c r="AH22" s="40">
        <f t="shared" si="3"/>
        <v>0.0124</v>
      </c>
      <c r="AI22" s="40">
        <f t="shared" si="3"/>
        <v>0.007</v>
      </c>
      <c r="AJ22" s="40">
        <f t="shared" si="3"/>
        <v>0.074</v>
      </c>
    </row>
    <row r="23" spans="1:36">
      <c r="A23" t="s">
        <v>331</v>
      </c>
      <c r="B23" t="s">
        <v>9</v>
      </c>
      <c r="C23">
        <v>2023</v>
      </c>
      <c r="D23">
        <v>0.098</v>
      </c>
      <c r="K23" s="39" t="s">
        <v>327</v>
      </c>
      <c r="L23" s="39">
        <v>2023</v>
      </c>
      <c r="M23" s="40">
        <f t="shared" si="2"/>
        <v>0.0196</v>
      </c>
      <c r="N23" s="40">
        <f t="shared" si="2"/>
        <v>0.013</v>
      </c>
      <c r="O23" s="40">
        <f t="shared" si="2"/>
        <v>0.0806</v>
      </c>
      <c r="P23" s="40">
        <f t="shared" si="2"/>
        <v>0.0104</v>
      </c>
      <c r="Q23" s="40">
        <f t="shared" si="2"/>
        <v>1.62</v>
      </c>
      <c r="R23" s="40">
        <f t="shared" si="2"/>
        <v>0.094</v>
      </c>
      <c r="S23" s="40">
        <f t="shared" si="2"/>
        <v>0.14</v>
      </c>
      <c r="T23" s="40">
        <f t="shared" si="2"/>
        <v>0.0034</v>
      </c>
      <c r="U23" s="40">
        <f t="shared" si="2"/>
        <v>0.00248</v>
      </c>
      <c r="V23" s="40">
        <f t="shared" si="2"/>
        <v>0.016454</v>
      </c>
      <c r="W23" s="40">
        <f t="shared" si="3"/>
        <v>0.0272</v>
      </c>
      <c r="X23" s="40">
        <f t="shared" si="3"/>
        <v>0.02806</v>
      </c>
      <c r="Y23" s="40">
        <f t="shared" si="3"/>
        <v>0.000184</v>
      </c>
      <c r="Z23" s="40">
        <f t="shared" si="3"/>
        <v>0.013</v>
      </c>
      <c r="AA23" s="40">
        <f t="shared" si="3"/>
        <v>0.31524</v>
      </c>
      <c r="AB23" s="40">
        <f t="shared" si="3"/>
        <v>0.022</v>
      </c>
      <c r="AC23" s="40">
        <f t="shared" si="3"/>
        <v>0.00602</v>
      </c>
      <c r="AD23" s="40">
        <f t="shared" si="3"/>
        <v>0.03486</v>
      </c>
      <c r="AE23" s="40">
        <f t="shared" si="3"/>
        <v>0.000216</v>
      </c>
      <c r="AF23" s="40">
        <f t="shared" si="3"/>
        <v>0.037</v>
      </c>
      <c r="AG23" s="40">
        <f t="shared" si="3"/>
        <v>0.0598</v>
      </c>
      <c r="AH23" s="40">
        <f t="shared" si="3"/>
        <v>0.0152</v>
      </c>
      <c r="AI23" s="40">
        <f t="shared" si="3"/>
        <v>0.01374</v>
      </c>
      <c r="AJ23" s="40">
        <f t="shared" si="3"/>
        <v>0.09</v>
      </c>
    </row>
    <row r="24" spans="1:36">
      <c r="A24" t="s">
        <v>331</v>
      </c>
      <c r="B24" t="s">
        <v>9</v>
      </c>
      <c r="C24">
        <v>2024</v>
      </c>
      <c r="D24">
        <v>0.091</v>
      </c>
      <c r="K24" s="39" t="s">
        <v>327</v>
      </c>
      <c r="L24" s="39">
        <v>2024</v>
      </c>
      <c r="M24" s="40">
        <f t="shared" si="2"/>
        <v>0.0182</v>
      </c>
      <c r="N24" s="40">
        <f t="shared" si="2"/>
        <v>0</v>
      </c>
      <c r="O24" s="40">
        <f t="shared" si="2"/>
        <v>0.0264332</v>
      </c>
      <c r="P24" s="40">
        <f t="shared" si="2"/>
        <v>0.025</v>
      </c>
      <c r="Q24" s="40">
        <f t="shared" si="2"/>
        <v>2.24</v>
      </c>
      <c r="R24" s="40">
        <f t="shared" si="2"/>
        <v>0.0582286</v>
      </c>
      <c r="S24" s="40">
        <f t="shared" si="2"/>
        <v>0.0761218</v>
      </c>
      <c r="T24" s="40">
        <f t="shared" si="2"/>
        <v>0</v>
      </c>
      <c r="U24" s="40">
        <f t="shared" si="2"/>
        <v>0</v>
      </c>
      <c r="V24" s="40">
        <f t="shared" si="2"/>
        <v>0</v>
      </c>
      <c r="W24" s="40">
        <f t="shared" si="3"/>
        <v>0.0129966</v>
      </c>
      <c r="X24" s="40">
        <f t="shared" si="3"/>
        <v>0</v>
      </c>
      <c r="Y24" s="40">
        <f t="shared" si="3"/>
        <v>0</v>
      </c>
      <c r="Z24" s="40">
        <f t="shared" si="3"/>
        <v>0</v>
      </c>
      <c r="AA24" s="40">
        <f t="shared" si="3"/>
        <v>0.26</v>
      </c>
      <c r="AB24" s="40">
        <f t="shared" si="3"/>
        <v>0.0228818</v>
      </c>
      <c r="AC24" s="40">
        <f t="shared" si="3"/>
        <v>0</v>
      </c>
      <c r="AD24" s="40">
        <f t="shared" si="3"/>
        <v>0</v>
      </c>
      <c r="AE24" s="40">
        <f t="shared" si="3"/>
        <v>0</v>
      </c>
      <c r="AF24" s="40">
        <f t="shared" si="3"/>
        <v>0</v>
      </c>
      <c r="AG24" s="40">
        <f t="shared" si="3"/>
        <v>0.0188664</v>
      </c>
      <c r="AH24" s="40">
        <f t="shared" si="3"/>
        <v>0</v>
      </c>
      <c r="AI24" s="40">
        <f t="shared" si="3"/>
        <v>0</v>
      </c>
      <c r="AJ24" s="40">
        <f t="shared" si="3"/>
        <v>0.076394</v>
      </c>
    </row>
    <row r="25" spans="1:36">
      <c r="A25" t="s">
        <v>331</v>
      </c>
      <c r="B25" t="s">
        <v>10</v>
      </c>
      <c r="C25">
        <v>2019</v>
      </c>
      <c r="D25">
        <v>0.008</v>
      </c>
    </row>
    <row r="26" spans="1:36">
      <c r="A26" t="s">
        <v>331</v>
      </c>
      <c r="B26" t="s">
        <v>10</v>
      </c>
      <c r="C26">
        <v>2020</v>
      </c>
      <c r="D26">
        <v>0.026</v>
      </c>
    </row>
    <row r="27" spans="1:36">
      <c r="A27" t="s">
        <v>331</v>
      </c>
      <c r="B27" t="s">
        <v>10</v>
      </c>
      <c r="C27">
        <v>2021</v>
      </c>
      <c r="D27">
        <v>0.041</v>
      </c>
    </row>
    <row r="28" spans="1:36">
      <c r="A28" t="s">
        <v>331</v>
      </c>
      <c r="B28" t="s">
        <v>10</v>
      </c>
      <c r="C28">
        <v>2022</v>
      </c>
      <c r="D28">
        <v>0.055</v>
      </c>
    </row>
    <row r="29" spans="1:36">
      <c r="A29" t="s">
        <v>331</v>
      </c>
      <c r="B29" t="s">
        <v>10</v>
      </c>
      <c r="C29">
        <v>2023</v>
      </c>
      <c r="D29">
        <v>0.065</v>
      </c>
    </row>
    <row r="30" spans="1:36">
      <c r="A30" t="s">
        <v>331</v>
      </c>
      <c r="B30" t="s">
        <v>12</v>
      </c>
      <c r="C30">
        <v>2019</v>
      </c>
      <c r="D30">
        <v>0.075</v>
      </c>
    </row>
    <row r="31" spans="1:36">
      <c r="A31" t="s">
        <v>331</v>
      </c>
      <c r="B31" t="s">
        <v>12</v>
      </c>
      <c r="C31">
        <v>2020</v>
      </c>
      <c r="D31">
        <v>0.119</v>
      </c>
    </row>
    <row r="32" spans="1:36">
      <c r="A32" t="s">
        <v>331</v>
      </c>
      <c r="B32" t="s">
        <v>12</v>
      </c>
      <c r="C32">
        <v>2021</v>
      </c>
      <c r="D32">
        <v>0.201</v>
      </c>
    </row>
    <row r="33" spans="1:4">
      <c r="A33" t="s">
        <v>331</v>
      </c>
      <c r="B33" t="s">
        <v>12</v>
      </c>
      <c r="C33">
        <v>2022</v>
      </c>
      <c r="D33">
        <v>0.32</v>
      </c>
    </row>
    <row r="34" spans="1:4">
      <c r="A34" t="s">
        <v>331</v>
      </c>
      <c r="B34" t="s">
        <v>12</v>
      </c>
      <c r="C34">
        <v>2023</v>
      </c>
      <c r="D34">
        <v>0.403</v>
      </c>
    </row>
    <row r="35" spans="1:4">
      <c r="A35" t="s">
        <v>331</v>
      </c>
      <c r="B35" t="s">
        <v>12</v>
      </c>
      <c r="C35">
        <v>2024</v>
      </c>
      <c r="D35">
        <v>0.132166</v>
      </c>
    </row>
    <row r="36" spans="1:4">
      <c r="A36" t="s">
        <v>331</v>
      </c>
      <c r="B36" t="s">
        <v>13</v>
      </c>
      <c r="C36">
        <v>2019</v>
      </c>
      <c r="D36">
        <v>0.001</v>
      </c>
    </row>
    <row r="37" spans="1:4">
      <c r="A37" t="s">
        <v>331</v>
      </c>
      <c r="B37" t="s">
        <v>13</v>
      </c>
      <c r="C37">
        <v>2020</v>
      </c>
      <c r="D37">
        <v>0.019745</v>
      </c>
    </row>
    <row r="38" spans="1:4">
      <c r="A38" t="s">
        <v>331</v>
      </c>
      <c r="B38" t="s">
        <v>13</v>
      </c>
      <c r="C38">
        <v>2021</v>
      </c>
      <c r="D38">
        <v>0.0325</v>
      </c>
    </row>
    <row r="39" spans="1:4">
      <c r="A39" t="s">
        <v>331</v>
      </c>
      <c r="B39" t="s">
        <v>13</v>
      </c>
      <c r="C39">
        <v>2022</v>
      </c>
      <c r="D39">
        <v>0.05</v>
      </c>
    </row>
    <row r="40" spans="1:4">
      <c r="A40" t="s">
        <v>331</v>
      </c>
      <c r="B40" t="s">
        <v>13</v>
      </c>
      <c r="C40">
        <v>2023</v>
      </c>
      <c r="D40">
        <v>0.052</v>
      </c>
    </row>
    <row r="41" spans="1:4">
      <c r="A41" t="s">
        <v>331</v>
      </c>
      <c r="B41" t="s">
        <v>13</v>
      </c>
      <c r="C41">
        <v>2024</v>
      </c>
      <c r="D41">
        <v>0.125</v>
      </c>
    </row>
    <row r="42" spans="1:4">
      <c r="A42" t="s">
        <v>331</v>
      </c>
      <c r="B42" t="s">
        <v>14</v>
      </c>
      <c r="C42">
        <v>2019</v>
      </c>
      <c r="D42">
        <v>1.11</v>
      </c>
    </row>
    <row r="43" spans="1:4">
      <c r="A43" t="s">
        <v>331</v>
      </c>
      <c r="B43" t="s">
        <v>14</v>
      </c>
      <c r="C43">
        <v>2020</v>
      </c>
      <c r="D43">
        <v>1.33</v>
      </c>
    </row>
    <row r="44" spans="1:4">
      <c r="A44" t="s">
        <v>331</v>
      </c>
      <c r="B44" t="s">
        <v>14</v>
      </c>
      <c r="C44">
        <v>2021</v>
      </c>
      <c r="D44">
        <v>3.4</v>
      </c>
    </row>
    <row r="45" spans="1:4">
      <c r="A45" t="s">
        <v>331</v>
      </c>
      <c r="B45" t="s">
        <v>14</v>
      </c>
      <c r="C45">
        <v>2022</v>
      </c>
      <c r="D45">
        <v>6.2</v>
      </c>
    </row>
    <row r="46" spans="1:4">
      <c r="A46" t="s">
        <v>331</v>
      </c>
      <c r="B46" t="s">
        <v>14</v>
      </c>
      <c r="C46">
        <v>2023</v>
      </c>
      <c r="D46">
        <v>8.1</v>
      </c>
    </row>
    <row r="47" spans="1:4">
      <c r="A47" t="s">
        <v>331</v>
      </c>
      <c r="B47" t="s">
        <v>14</v>
      </c>
      <c r="C47">
        <v>2024</v>
      </c>
      <c r="D47">
        <v>11.2</v>
      </c>
    </row>
    <row r="48" spans="1:4">
      <c r="A48" t="s">
        <v>331</v>
      </c>
      <c r="B48" t="s">
        <v>17</v>
      </c>
      <c r="C48">
        <v>2019</v>
      </c>
      <c r="D48">
        <v>0.045</v>
      </c>
    </row>
    <row r="49" spans="1:4">
      <c r="A49" t="s">
        <v>331</v>
      </c>
      <c r="B49" t="s">
        <v>17</v>
      </c>
      <c r="C49">
        <v>2020</v>
      </c>
      <c r="D49">
        <v>0.185</v>
      </c>
    </row>
    <row r="50" spans="1:4">
      <c r="A50" t="s">
        <v>331</v>
      </c>
      <c r="B50" t="s">
        <v>17</v>
      </c>
      <c r="C50">
        <v>2021</v>
      </c>
      <c r="D50">
        <v>0.315</v>
      </c>
    </row>
    <row r="51" spans="1:4">
      <c r="A51" t="s">
        <v>331</v>
      </c>
      <c r="B51" t="s">
        <v>17</v>
      </c>
      <c r="C51">
        <v>2022</v>
      </c>
      <c r="D51">
        <v>0.4</v>
      </c>
    </row>
    <row r="52" spans="1:4">
      <c r="A52" t="s">
        <v>331</v>
      </c>
      <c r="B52" t="s">
        <v>17</v>
      </c>
      <c r="C52">
        <v>2023</v>
      </c>
      <c r="D52">
        <v>0.47</v>
      </c>
    </row>
    <row r="53" spans="1:4">
      <c r="A53" t="s">
        <v>331</v>
      </c>
      <c r="B53" t="s">
        <v>17</v>
      </c>
      <c r="C53">
        <v>2024</v>
      </c>
      <c r="D53">
        <v>0.291143</v>
      </c>
    </row>
    <row r="54" spans="1:4">
      <c r="A54" t="s">
        <v>331</v>
      </c>
      <c r="B54" t="s">
        <v>18</v>
      </c>
      <c r="C54">
        <v>2019</v>
      </c>
      <c r="D54">
        <v>0.075</v>
      </c>
    </row>
    <row r="55" spans="1:4">
      <c r="A55" t="s">
        <v>331</v>
      </c>
      <c r="B55" t="s">
        <v>18</v>
      </c>
      <c r="C55">
        <v>2020</v>
      </c>
      <c r="D55">
        <v>0.398</v>
      </c>
    </row>
    <row r="56" spans="1:4">
      <c r="A56" t="s">
        <v>331</v>
      </c>
      <c r="B56" t="s">
        <v>18</v>
      </c>
      <c r="C56">
        <v>2021</v>
      </c>
      <c r="D56">
        <v>0.681</v>
      </c>
    </row>
    <row r="57" spans="1:4">
      <c r="A57" t="s">
        <v>331</v>
      </c>
      <c r="B57" t="s">
        <v>18</v>
      </c>
      <c r="C57">
        <v>2022</v>
      </c>
      <c r="D57">
        <v>0.83</v>
      </c>
    </row>
    <row r="58" spans="1:4">
      <c r="A58" t="s">
        <v>331</v>
      </c>
      <c r="B58" t="s">
        <v>18</v>
      </c>
      <c r="C58">
        <v>2023</v>
      </c>
      <c r="D58">
        <v>0.7</v>
      </c>
    </row>
    <row r="59" spans="1:4">
      <c r="A59" t="s">
        <v>331</v>
      </c>
      <c r="B59" t="s">
        <v>18</v>
      </c>
      <c r="C59">
        <v>2024</v>
      </c>
      <c r="D59">
        <v>0.380609</v>
      </c>
    </row>
    <row r="60" spans="1:4">
      <c r="A60" t="s">
        <v>331</v>
      </c>
      <c r="B60" t="s">
        <v>19</v>
      </c>
      <c r="C60">
        <v>2019</v>
      </c>
      <c r="D60">
        <v>0.001</v>
      </c>
    </row>
    <row r="61" spans="1:4">
      <c r="A61" t="s">
        <v>331</v>
      </c>
      <c r="B61" t="s">
        <v>19</v>
      </c>
      <c r="C61">
        <v>2020</v>
      </c>
      <c r="D61">
        <v>0.002</v>
      </c>
    </row>
    <row r="62" spans="1:4">
      <c r="A62" t="s">
        <v>331</v>
      </c>
      <c r="B62" t="s">
        <v>19</v>
      </c>
      <c r="C62">
        <v>2021</v>
      </c>
      <c r="D62">
        <v>0.005</v>
      </c>
    </row>
    <row r="63" spans="1:4">
      <c r="A63" t="s">
        <v>331</v>
      </c>
      <c r="B63" t="s">
        <v>19</v>
      </c>
      <c r="C63">
        <v>2022</v>
      </c>
      <c r="D63">
        <v>0.013</v>
      </c>
    </row>
    <row r="64" spans="1:4">
      <c r="A64" t="s">
        <v>331</v>
      </c>
      <c r="B64" t="s">
        <v>19</v>
      </c>
      <c r="C64">
        <v>2023</v>
      </c>
      <c r="D64">
        <v>0.017</v>
      </c>
    </row>
    <row r="65" spans="1:4">
      <c r="A65" t="s">
        <v>331</v>
      </c>
      <c r="B65" t="s">
        <v>21</v>
      </c>
      <c r="C65">
        <v>2019</v>
      </c>
      <c r="D65">
        <v>0.002</v>
      </c>
    </row>
    <row r="66" spans="1:4">
      <c r="A66" t="s">
        <v>331</v>
      </c>
      <c r="B66" t="s">
        <v>21</v>
      </c>
      <c r="C66">
        <v>2020</v>
      </c>
      <c r="D66">
        <v>0.004</v>
      </c>
    </row>
    <row r="67" spans="1:4">
      <c r="A67" t="s">
        <v>331</v>
      </c>
      <c r="B67" t="s">
        <v>21</v>
      </c>
      <c r="C67">
        <v>2021</v>
      </c>
      <c r="D67">
        <v>0.008</v>
      </c>
    </row>
    <row r="68" spans="1:4">
      <c r="A68" t="s">
        <v>331</v>
      </c>
      <c r="B68" t="s">
        <v>21</v>
      </c>
      <c r="C68">
        <v>2022</v>
      </c>
      <c r="D68">
        <v>0.011</v>
      </c>
    </row>
    <row r="69" spans="1:4">
      <c r="A69" t="s">
        <v>331</v>
      </c>
      <c r="B69" t="s">
        <v>21</v>
      </c>
      <c r="C69">
        <v>2023</v>
      </c>
      <c r="D69">
        <v>0.0124</v>
      </c>
    </row>
    <row r="70" spans="1:4">
      <c r="A70" t="s">
        <v>331</v>
      </c>
      <c r="B70" t="s">
        <v>22</v>
      </c>
      <c r="C70">
        <v>2019</v>
      </c>
      <c r="D70">
        <v>0.00156</v>
      </c>
    </row>
    <row r="71" spans="1:4">
      <c r="A71" t="s">
        <v>331</v>
      </c>
      <c r="B71" t="s">
        <v>22</v>
      </c>
      <c r="C71">
        <v>2020</v>
      </c>
      <c r="D71">
        <v>0.005</v>
      </c>
    </row>
    <row r="72" spans="1:4">
      <c r="A72" t="s">
        <v>331</v>
      </c>
      <c r="B72" t="s">
        <v>22</v>
      </c>
      <c r="C72">
        <v>2021</v>
      </c>
      <c r="D72">
        <v>0.016</v>
      </c>
    </row>
    <row r="73" spans="1:4">
      <c r="A73" t="s">
        <v>331</v>
      </c>
      <c r="B73" t="s">
        <v>22</v>
      </c>
      <c r="C73">
        <v>2022</v>
      </c>
      <c r="D73">
        <v>0.051</v>
      </c>
    </row>
    <row r="74" spans="1:4">
      <c r="A74" t="s">
        <v>331</v>
      </c>
      <c r="B74" t="s">
        <v>22</v>
      </c>
      <c r="C74">
        <v>2023</v>
      </c>
      <c r="D74">
        <v>0.08227</v>
      </c>
    </row>
    <row r="75" spans="1:4">
      <c r="A75" t="s">
        <v>331</v>
      </c>
      <c r="B75" t="s">
        <v>24</v>
      </c>
      <c r="C75">
        <v>2019</v>
      </c>
      <c r="D75">
        <v>0.006</v>
      </c>
    </row>
    <row r="76" spans="1:4">
      <c r="A76" t="s">
        <v>331</v>
      </c>
      <c r="B76" t="s">
        <v>24</v>
      </c>
      <c r="C76">
        <v>2020</v>
      </c>
      <c r="D76">
        <v>0.032</v>
      </c>
    </row>
    <row r="77" spans="1:4">
      <c r="A77" t="s">
        <v>331</v>
      </c>
      <c r="B77" t="s">
        <v>24</v>
      </c>
      <c r="C77">
        <v>2021</v>
      </c>
      <c r="D77">
        <v>0.067</v>
      </c>
    </row>
    <row r="78" spans="1:4">
      <c r="A78" t="s">
        <v>331</v>
      </c>
      <c r="B78" t="s">
        <v>24</v>
      </c>
      <c r="C78">
        <v>2022</v>
      </c>
      <c r="D78">
        <v>0.11</v>
      </c>
    </row>
    <row r="79" spans="1:4">
      <c r="A79" t="s">
        <v>331</v>
      </c>
      <c r="B79" t="s">
        <v>24</v>
      </c>
      <c r="C79">
        <v>2023</v>
      </c>
      <c r="D79" s="41">
        <v>0.136</v>
      </c>
    </row>
    <row r="80" spans="1:4">
      <c r="A80" t="s">
        <v>331</v>
      </c>
      <c r="B80" t="s">
        <v>24</v>
      </c>
      <c r="C80">
        <v>2024</v>
      </c>
      <c r="D80">
        <v>0.064983</v>
      </c>
    </row>
    <row r="81" spans="1:4">
      <c r="A81" t="s">
        <v>331</v>
      </c>
      <c r="B81" t="s">
        <v>25</v>
      </c>
      <c r="C81">
        <v>2019</v>
      </c>
      <c r="D81">
        <v>0.022</v>
      </c>
    </row>
    <row r="82" spans="1:4">
      <c r="A82" t="s">
        <v>331</v>
      </c>
      <c r="B82" t="s">
        <v>25</v>
      </c>
      <c r="C82">
        <v>2020</v>
      </c>
      <c r="D82">
        <v>0.029</v>
      </c>
    </row>
    <row r="83" spans="1:4">
      <c r="A83" t="s">
        <v>331</v>
      </c>
      <c r="B83" t="s">
        <v>25</v>
      </c>
      <c r="C83">
        <v>2021</v>
      </c>
      <c r="D83">
        <v>0.044</v>
      </c>
    </row>
    <row r="84" spans="1:4">
      <c r="A84" t="s">
        <v>331</v>
      </c>
      <c r="B84" t="s">
        <v>25</v>
      </c>
      <c r="C84">
        <v>2022</v>
      </c>
      <c r="D84">
        <v>0.092</v>
      </c>
    </row>
    <row r="85" spans="1:4">
      <c r="A85" t="s">
        <v>331</v>
      </c>
      <c r="B85" t="s">
        <v>25</v>
      </c>
      <c r="C85">
        <v>2023</v>
      </c>
      <c r="D85">
        <v>0.1403</v>
      </c>
    </row>
    <row r="86" spans="1:4">
      <c r="A86" t="s">
        <v>331</v>
      </c>
      <c r="B86" t="s">
        <v>26</v>
      </c>
      <c r="C86">
        <v>2019</v>
      </c>
      <c r="D86" s="41">
        <v>5e-5</v>
      </c>
    </row>
    <row r="87" spans="1:4">
      <c r="A87" t="s">
        <v>331</v>
      </c>
      <c r="B87" t="s">
        <v>26</v>
      </c>
      <c r="C87">
        <v>2020</v>
      </c>
      <c r="D87">
        <v>0.0001</v>
      </c>
    </row>
    <row r="88" spans="1:4">
      <c r="A88" t="s">
        <v>331</v>
      </c>
      <c r="B88" t="s">
        <v>26</v>
      </c>
      <c r="C88">
        <v>2021</v>
      </c>
      <c r="D88">
        <v>0.0003</v>
      </c>
    </row>
    <row r="89" spans="1:4">
      <c r="A89" t="s">
        <v>331</v>
      </c>
      <c r="B89" t="s">
        <v>26</v>
      </c>
      <c r="C89">
        <v>2022</v>
      </c>
      <c r="D89">
        <v>0.0006</v>
      </c>
    </row>
    <row r="90" spans="1:4">
      <c r="A90" t="s">
        <v>331</v>
      </c>
      <c r="B90" t="s">
        <v>26</v>
      </c>
      <c r="C90">
        <v>2023</v>
      </c>
      <c r="D90">
        <v>0.00092</v>
      </c>
    </row>
    <row r="91" spans="1:4">
      <c r="A91" t="s">
        <v>331</v>
      </c>
      <c r="B91" t="s">
        <v>27</v>
      </c>
      <c r="C91">
        <v>2019</v>
      </c>
      <c r="D91">
        <v>0.0025</v>
      </c>
    </row>
    <row r="92" spans="1:4">
      <c r="A92" t="s">
        <v>331</v>
      </c>
      <c r="B92" t="s">
        <v>27</v>
      </c>
      <c r="C92">
        <v>2020</v>
      </c>
      <c r="D92">
        <v>0.008</v>
      </c>
    </row>
    <row r="93" spans="1:4">
      <c r="A93" t="s">
        <v>331</v>
      </c>
      <c r="B93" t="s">
        <v>27</v>
      </c>
      <c r="C93">
        <v>2021</v>
      </c>
      <c r="D93">
        <v>0.02</v>
      </c>
    </row>
    <row r="94" spans="1:4">
      <c r="A94" t="s">
        <v>331</v>
      </c>
      <c r="B94" t="s">
        <v>27</v>
      </c>
      <c r="C94">
        <v>2022</v>
      </c>
      <c r="D94">
        <v>0.04</v>
      </c>
    </row>
    <row r="95" spans="1:4">
      <c r="A95" t="s">
        <v>331</v>
      </c>
      <c r="B95" t="s">
        <v>27</v>
      </c>
      <c r="C95">
        <v>2023</v>
      </c>
      <c r="D95">
        <v>0.065</v>
      </c>
    </row>
    <row r="96" spans="1:4">
      <c r="A96" t="s">
        <v>331</v>
      </c>
      <c r="B96" t="s">
        <v>28</v>
      </c>
      <c r="C96">
        <v>2019</v>
      </c>
      <c r="D96">
        <v>0.3882</v>
      </c>
    </row>
    <row r="97" spans="1:4">
      <c r="A97" t="s">
        <v>331</v>
      </c>
      <c r="B97" t="s">
        <v>28</v>
      </c>
      <c r="C97">
        <v>2020</v>
      </c>
      <c r="D97">
        <v>0.38</v>
      </c>
    </row>
    <row r="98" spans="1:4">
      <c r="A98" t="s">
        <v>331</v>
      </c>
      <c r="B98" t="s">
        <v>28</v>
      </c>
      <c r="C98">
        <v>2021</v>
      </c>
      <c r="D98">
        <v>0.756</v>
      </c>
    </row>
    <row r="99" spans="1:4">
      <c r="A99" t="s">
        <v>331</v>
      </c>
      <c r="B99" t="s">
        <v>28</v>
      </c>
      <c r="C99">
        <v>2022</v>
      </c>
      <c r="D99">
        <v>1.066</v>
      </c>
    </row>
    <row r="100" spans="1:4">
      <c r="A100" t="s">
        <v>331</v>
      </c>
      <c r="B100" t="s">
        <v>28</v>
      </c>
      <c r="C100">
        <v>2023</v>
      </c>
      <c r="D100">
        <v>1.5762</v>
      </c>
    </row>
    <row r="101" spans="1:4">
      <c r="A101" t="s">
        <v>331</v>
      </c>
      <c r="B101" t="s">
        <v>28</v>
      </c>
      <c r="C101">
        <v>2024</v>
      </c>
      <c r="D101">
        <v>1.3</v>
      </c>
    </row>
    <row r="102" spans="1:4">
      <c r="A102" t="s">
        <v>331</v>
      </c>
      <c r="B102" t="s">
        <v>29</v>
      </c>
      <c r="C102">
        <v>2019</v>
      </c>
      <c r="D102">
        <v>0.060316</v>
      </c>
    </row>
    <row r="103" spans="1:4">
      <c r="A103" t="s">
        <v>331</v>
      </c>
      <c r="B103" t="s">
        <v>29</v>
      </c>
      <c r="C103">
        <v>2020</v>
      </c>
      <c r="D103">
        <v>0.106</v>
      </c>
    </row>
    <row r="104" spans="1:4">
      <c r="A104" t="s">
        <v>331</v>
      </c>
      <c r="B104" t="s">
        <v>29</v>
      </c>
      <c r="C104">
        <v>2021</v>
      </c>
      <c r="D104">
        <v>0.139</v>
      </c>
    </row>
    <row r="105" spans="1:4">
      <c r="A105" t="s">
        <v>331</v>
      </c>
      <c r="B105" t="s">
        <v>29</v>
      </c>
      <c r="C105">
        <v>2022</v>
      </c>
      <c r="D105">
        <v>0.135</v>
      </c>
    </row>
    <row r="106" spans="1:4">
      <c r="A106" t="s">
        <v>331</v>
      </c>
      <c r="B106" t="s">
        <v>29</v>
      </c>
      <c r="C106">
        <v>2023</v>
      </c>
      <c r="D106">
        <v>0.11</v>
      </c>
    </row>
    <row r="107" spans="1:4">
      <c r="A107" t="s">
        <v>331</v>
      </c>
      <c r="B107" t="s">
        <v>29</v>
      </c>
      <c r="C107">
        <v>2024</v>
      </c>
      <c r="D107">
        <v>0.114409</v>
      </c>
    </row>
    <row r="108" spans="1:4">
      <c r="A108" t="s">
        <v>331</v>
      </c>
      <c r="B108" t="s">
        <v>30</v>
      </c>
      <c r="C108">
        <v>2019</v>
      </c>
      <c r="D108">
        <v>0.002</v>
      </c>
    </row>
    <row r="109" spans="1:4">
      <c r="A109" t="s">
        <v>331</v>
      </c>
      <c r="B109" t="s">
        <v>30</v>
      </c>
      <c r="C109">
        <v>2020</v>
      </c>
      <c r="D109">
        <v>0.008</v>
      </c>
    </row>
    <row r="110" spans="1:4">
      <c r="A110" t="s">
        <v>331</v>
      </c>
      <c r="B110" t="s">
        <v>30</v>
      </c>
      <c r="C110">
        <v>2021</v>
      </c>
      <c r="D110">
        <v>0.012</v>
      </c>
    </row>
    <row r="111" spans="1:4">
      <c r="A111" t="s">
        <v>331</v>
      </c>
      <c r="B111" t="s">
        <v>30</v>
      </c>
      <c r="C111">
        <v>2022</v>
      </c>
      <c r="D111">
        <v>0.024</v>
      </c>
    </row>
    <row r="112" spans="1:4">
      <c r="A112" t="s">
        <v>331</v>
      </c>
      <c r="B112" t="s">
        <v>30</v>
      </c>
      <c r="C112">
        <v>2023</v>
      </c>
      <c r="D112">
        <v>0.0301</v>
      </c>
    </row>
    <row r="113" spans="1:4">
      <c r="A113" t="s">
        <v>331</v>
      </c>
      <c r="B113" t="s">
        <v>31</v>
      </c>
      <c r="C113">
        <v>2019</v>
      </c>
      <c r="D113">
        <v>0.0096</v>
      </c>
    </row>
    <row r="114" spans="1:4">
      <c r="A114" t="s">
        <v>331</v>
      </c>
      <c r="B114" t="s">
        <v>31</v>
      </c>
      <c r="C114">
        <v>2020</v>
      </c>
      <c r="D114">
        <v>0.033</v>
      </c>
    </row>
    <row r="115" spans="1:4">
      <c r="A115" t="s">
        <v>331</v>
      </c>
      <c r="B115" t="s">
        <v>31</v>
      </c>
      <c r="C115">
        <v>2021</v>
      </c>
      <c r="D115">
        <v>0.121</v>
      </c>
    </row>
    <row r="116" spans="1:4">
      <c r="A116" t="s">
        <v>331</v>
      </c>
      <c r="B116" t="s">
        <v>31</v>
      </c>
      <c r="C116">
        <v>2022</v>
      </c>
      <c r="D116">
        <v>0.157</v>
      </c>
    </row>
    <row r="117" spans="1:4">
      <c r="A117" t="s">
        <v>331</v>
      </c>
      <c r="B117" t="s">
        <v>31</v>
      </c>
      <c r="C117">
        <v>2023</v>
      </c>
      <c r="D117">
        <v>0.1743</v>
      </c>
    </row>
    <row r="118" spans="1:4">
      <c r="A118" t="s">
        <v>331</v>
      </c>
      <c r="B118" t="s">
        <v>34</v>
      </c>
      <c r="C118">
        <v>2019</v>
      </c>
      <c r="D118">
        <v>0.0001</v>
      </c>
    </row>
    <row r="119" spans="1:4">
      <c r="A119" t="s">
        <v>331</v>
      </c>
      <c r="B119" t="s">
        <v>34</v>
      </c>
      <c r="C119">
        <v>2020</v>
      </c>
      <c r="D119">
        <v>0.0002</v>
      </c>
    </row>
    <row r="120" spans="1:4">
      <c r="A120" t="s">
        <v>331</v>
      </c>
      <c r="B120" t="s">
        <v>34</v>
      </c>
      <c r="C120">
        <v>2021</v>
      </c>
      <c r="D120">
        <v>0.0004</v>
      </c>
    </row>
    <row r="121" spans="1:4">
      <c r="A121" t="s">
        <v>331</v>
      </c>
      <c r="B121" t="s">
        <v>34</v>
      </c>
      <c r="C121">
        <v>2022</v>
      </c>
      <c r="D121">
        <v>0.0008</v>
      </c>
    </row>
    <row r="122" spans="1:4">
      <c r="A122" t="s">
        <v>331</v>
      </c>
      <c r="B122" t="s">
        <v>34</v>
      </c>
      <c r="C122">
        <v>2023</v>
      </c>
      <c r="D122">
        <v>0.00108</v>
      </c>
    </row>
    <row r="123" spans="1:4">
      <c r="A123" t="s">
        <v>331</v>
      </c>
      <c r="B123" t="s">
        <v>35</v>
      </c>
      <c r="C123">
        <v>2019</v>
      </c>
      <c r="D123">
        <v>0.0085</v>
      </c>
    </row>
    <row r="124" spans="1:4">
      <c r="A124" t="s">
        <v>331</v>
      </c>
      <c r="B124" t="s">
        <v>35</v>
      </c>
      <c r="C124">
        <v>2020</v>
      </c>
      <c r="D124">
        <v>0.033</v>
      </c>
    </row>
    <row r="125" spans="1:4">
      <c r="A125" t="s">
        <v>331</v>
      </c>
      <c r="B125" t="s">
        <v>35</v>
      </c>
      <c r="C125">
        <v>2021</v>
      </c>
      <c r="D125">
        <v>0.073</v>
      </c>
    </row>
    <row r="126" spans="1:4">
      <c r="A126" t="s">
        <v>331</v>
      </c>
      <c r="B126" t="s">
        <v>35</v>
      </c>
      <c r="C126">
        <v>2022</v>
      </c>
      <c r="D126">
        <v>0.13</v>
      </c>
    </row>
    <row r="127" spans="1:4">
      <c r="A127" t="s">
        <v>331</v>
      </c>
      <c r="B127" t="s">
        <v>35</v>
      </c>
      <c r="C127">
        <v>2023</v>
      </c>
      <c r="D127">
        <v>0.185</v>
      </c>
    </row>
    <row r="128" spans="1:4">
      <c r="A128" t="s">
        <v>331</v>
      </c>
      <c r="B128" t="s">
        <v>36</v>
      </c>
      <c r="C128">
        <v>2019</v>
      </c>
      <c r="D128">
        <v>0.04</v>
      </c>
    </row>
    <row r="129" spans="1:4">
      <c r="A129" t="s">
        <v>331</v>
      </c>
      <c r="B129" t="s">
        <v>36</v>
      </c>
      <c r="C129">
        <v>2020</v>
      </c>
      <c r="D129">
        <v>0.122</v>
      </c>
    </row>
    <row r="130" spans="1:4">
      <c r="A130" t="s">
        <v>331</v>
      </c>
      <c r="B130" t="s">
        <v>36</v>
      </c>
      <c r="C130">
        <v>2021</v>
      </c>
      <c r="D130">
        <v>0.194</v>
      </c>
    </row>
    <row r="131" spans="1:4">
      <c r="A131" t="s">
        <v>331</v>
      </c>
      <c r="B131" t="s">
        <v>36</v>
      </c>
      <c r="C131">
        <v>2022</v>
      </c>
      <c r="D131">
        <v>0.262</v>
      </c>
    </row>
    <row r="132" spans="1:4">
      <c r="A132" t="s">
        <v>331</v>
      </c>
      <c r="B132" t="s">
        <v>36</v>
      </c>
      <c r="C132">
        <v>2023</v>
      </c>
      <c r="D132">
        <v>0.299</v>
      </c>
    </row>
    <row r="133" spans="1:4">
      <c r="A133" t="s">
        <v>331</v>
      </c>
      <c r="B133" t="s">
        <v>36</v>
      </c>
      <c r="C133">
        <v>2024</v>
      </c>
      <c r="D133">
        <v>0.094332</v>
      </c>
    </row>
    <row r="134" spans="1:4">
      <c r="A134" t="s">
        <v>331</v>
      </c>
      <c r="B134" t="s">
        <v>37</v>
      </c>
      <c r="C134">
        <v>2019</v>
      </c>
      <c r="D134">
        <v>0.0085</v>
      </c>
    </row>
    <row r="135" spans="1:4">
      <c r="A135" t="s">
        <v>331</v>
      </c>
      <c r="B135" t="s">
        <v>37</v>
      </c>
      <c r="C135">
        <v>2020</v>
      </c>
      <c r="D135">
        <v>0.028</v>
      </c>
    </row>
    <row r="136" spans="1:4">
      <c r="A136" t="s">
        <v>331</v>
      </c>
      <c r="B136" t="s">
        <v>37</v>
      </c>
      <c r="C136">
        <v>2021</v>
      </c>
      <c r="D136">
        <v>0.048</v>
      </c>
    </row>
    <row r="137" spans="1:4">
      <c r="A137" t="s">
        <v>331</v>
      </c>
      <c r="B137" t="s">
        <v>37</v>
      </c>
      <c r="C137">
        <v>2022</v>
      </c>
      <c r="D137">
        <v>0.062</v>
      </c>
    </row>
    <row r="138" spans="1:4">
      <c r="A138" t="s">
        <v>331</v>
      </c>
      <c r="B138" t="s">
        <v>37</v>
      </c>
      <c r="C138">
        <v>2023</v>
      </c>
      <c r="D138">
        <v>0.076</v>
      </c>
    </row>
    <row r="139" spans="1:4">
      <c r="A139" t="s">
        <v>331</v>
      </c>
      <c r="B139" t="s">
        <v>38</v>
      </c>
      <c r="C139">
        <v>2019</v>
      </c>
      <c r="D139">
        <v>0.001</v>
      </c>
    </row>
    <row r="140" spans="1:4">
      <c r="A140" t="s">
        <v>331</v>
      </c>
      <c r="B140" t="s">
        <v>38</v>
      </c>
      <c r="C140">
        <v>2020</v>
      </c>
      <c r="D140">
        <v>0.002</v>
      </c>
    </row>
    <row r="141" spans="1:4">
      <c r="A141" t="s">
        <v>331</v>
      </c>
      <c r="B141" t="s">
        <v>38</v>
      </c>
      <c r="C141">
        <v>2021</v>
      </c>
      <c r="D141">
        <v>0.005</v>
      </c>
    </row>
    <row r="142" spans="1:4">
      <c r="A142" t="s">
        <v>331</v>
      </c>
      <c r="B142" t="s">
        <v>38</v>
      </c>
      <c r="C142">
        <v>2022</v>
      </c>
      <c r="D142">
        <v>0.035</v>
      </c>
    </row>
    <row r="143" spans="1:4">
      <c r="A143" t="s">
        <v>331</v>
      </c>
      <c r="B143" t="s">
        <v>38</v>
      </c>
      <c r="C143">
        <v>2023</v>
      </c>
      <c r="D143">
        <v>0.0687</v>
      </c>
    </row>
    <row r="144" spans="1:4">
      <c r="A144" t="s">
        <v>331</v>
      </c>
      <c r="B144" t="s">
        <v>39</v>
      </c>
      <c r="C144">
        <v>2019</v>
      </c>
      <c r="D144">
        <v>0.038</v>
      </c>
    </row>
    <row r="145" spans="1:4">
      <c r="A145" t="s">
        <v>331</v>
      </c>
      <c r="B145" t="s">
        <v>39</v>
      </c>
      <c r="C145">
        <v>2020</v>
      </c>
      <c r="D145">
        <v>0.176</v>
      </c>
    </row>
    <row r="146" spans="1:4">
      <c r="A146" t="s">
        <v>331</v>
      </c>
      <c r="B146" t="s">
        <v>39</v>
      </c>
      <c r="C146">
        <v>2021</v>
      </c>
      <c r="D146">
        <v>0.191</v>
      </c>
    </row>
    <row r="147" spans="1:4">
      <c r="A147" t="s">
        <v>331</v>
      </c>
      <c r="B147" t="s">
        <v>39</v>
      </c>
      <c r="C147">
        <v>2022</v>
      </c>
      <c r="D147">
        <v>0.37</v>
      </c>
    </row>
    <row r="148" spans="1:4">
      <c r="A148" t="s">
        <v>331</v>
      </c>
      <c r="B148" t="s">
        <v>39</v>
      </c>
      <c r="C148">
        <v>2023</v>
      </c>
      <c r="D148">
        <v>0.45</v>
      </c>
    </row>
    <row r="149" spans="1:4">
      <c r="A149" t="s">
        <v>331</v>
      </c>
      <c r="B149" t="s">
        <v>39</v>
      </c>
      <c r="C149">
        <v>2024</v>
      </c>
      <c r="D149">
        <v>0.38197</v>
      </c>
    </row>
    <row r="150" spans="1:4">
      <c r="A150" t="s">
        <v>332</v>
      </c>
      <c r="B150" t="s">
        <v>9</v>
      </c>
      <c r="C150">
        <v>2018</v>
      </c>
      <c r="D150">
        <v>0.015</v>
      </c>
    </row>
    <row r="151" spans="1:4">
      <c r="A151" t="s">
        <v>332</v>
      </c>
      <c r="B151" t="s">
        <v>10</v>
      </c>
      <c r="C151">
        <v>2018</v>
      </c>
      <c r="D151">
        <v>0.03</v>
      </c>
    </row>
    <row r="152" spans="1:4">
      <c r="A152" t="s">
        <v>332</v>
      </c>
      <c r="B152" t="s">
        <v>12</v>
      </c>
      <c r="C152">
        <v>2018</v>
      </c>
      <c r="D152">
        <v>0.16</v>
      </c>
    </row>
    <row r="153" spans="1:4">
      <c r="A153" t="s">
        <v>332</v>
      </c>
      <c r="B153" t="s">
        <v>13</v>
      </c>
      <c r="C153">
        <v>2018</v>
      </c>
      <c r="D153">
        <v>0.008</v>
      </c>
    </row>
    <row r="154" spans="1:4">
      <c r="A154" t="s">
        <v>332</v>
      </c>
      <c r="B154" t="s">
        <v>14</v>
      </c>
      <c r="C154">
        <v>2018</v>
      </c>
      <c r="D154">
        <v>2.6</v>
      </c>
    </row>
    <row r="155" spans="1:4">
      <c r="A155" t="s">
        <v>332</v>
      </c>
      <c r="B155" t="s">
        <v>17</v>
      </c>
      <c r="C155">
        <v>2018</v>
      </c>
      <c r="D155">
        <v>0.15</v>
      </c>
    </row>
    <row r="156" spans="1:4">
      <c r="A156" t="s">
        <v>332</v>
      </c>
      <c r="B156" t="s">
        <v>18</v>
      </c>
      <c r="C156">
        <v>2018</v>
      </c>
      <c r="D156">
        <v>0.2</v>
      </c>
    </row>
    <row r="157" spans="1:4">
      <c r="A157" t="s">
        <v>332</v>
      </c>
      <c r="B157" t="s">
        <v>19</v>
      </c>
      <c r="C157">
        <v>2018</v>
      </c>
      <c r="D157">
        <v>0.003</v>
      </c>
    </row>
    <row r="158" spans="1:4">
      <c r="A158" t="s">
        <v>332</v>
      </c>
      <c r="B158" t="s">
        <v>21</v>
      </c>
      <c r="C158">
        <v>2018</v>
      </c>
      <c r="D158">
        <v>0.008</v>
      </c>
    </row>
    <row r="159" spans="1:4">
      <c r="A159" t="s">
        <v>332</v>
      </c>
      <c r="B159" t="s">
        <v>22</v>
      </c>
      <c r="C159">
        <v>2018</v>
      </c>
      <c r="D159">
        <v>0.008</v>
      </c>
    </row>
    <row r="160" spans="1:4">
      <c r="A160" t="s">
        <v>332</v>
      </c>
      <c r="B160" t="s">
        <v>24</v>
      </c>
      <c r="C160">
        <v>2018</v>
      </c>
      <c r="D160">
        <v>0.025</v>
      </c>
    </row>
    <row r="161" spans="1:4">
      <c r="A161" t="s">
        <v>332</v>
      </c>
      <c r="B161" t="s">
        <v>25</v>
      </c>
      <c r="C161">
        <v>2018</v>
      </c>
      <c r="D161">
        <v>0.06</v>
      </c>
    </row>
    <row r="162" spans="1:4">
      <c r="A162" t="s">
        <v>332</v>
      </c>
      <c r="B162" t="s">
        <v>26</v>
      </c>
      <c r="C162">
        <v>2018</v>
      </c>
      <c r="D162">
        <v>0.0003</v>
      </c>
    </row>
    <row r="163" spans="1:4">
      <c r="A163" t="s">
        <v>332</v>
      </c>
      <c r="B163" t="s">
        <v>27</v>
      </c>
      <c r="C163">
        <v>2018</v>
      </c>
      <c r="D163">
        <v>0.008</v>
      </c>
    </row>
    <row r="164" spans="1:4">
      <c r="A164" t="s">
        <v>332</v>
      </c>
      <c r="B164" t="s">
        <v>28</v>
      </c>
      <c r="C164">
        <v>2018</v>
      </c>
      <c r="D164">
        <v>1.0715</v>
      </c>
    </row>
    <row r="165" spans="1:4">
      <c r="A165" t="s">
        <v>332</v>
      </c>
      <c r="B165" t="s">
        <v>29</v>
      </c>
      <c r="C165">
        <v>2018</v>
      </c>
      <c r="D165">
        <v>0.2</v>
      </c>
    </row>
    <row r="166" spans="1:4">
      <c r="A166" t="s">
        <v>332</v>
      </c>
      <c r="B166" t="s">
        <v>30</v>
      </c>
      <c r="C166">
        <v>2018</v>
      </c>
      <c r="D166">
        <v>0.008</v>
      </c>
    </row>
    <row r="167" spans="1:4">
      <c r="A167" t="s">
        <v>332</v>
      </c>
      <c r="B167" t="s">
        <v>31</v>
      </c>
      <c r="C167">
        <v>2018</v>
      </c>
      <c r="D167">
        <v>0.058</v>
      </c>
    </row>
    <row r="168" spans="1:4">
      <c r="A168" t="s">
        <v>332</v>
      </c>
      <c r="B168" t="s">
        <v>34</v>
      </c>
      <c r="C168">
        <v>2018</v>
      </c>
      <c r="D168">
        <v>0.0005</v>
      </c>
    </row>
    <row r="169" spans="1:4">
      <c r="A169" t="s">
        <v>332</v>
      </c>
      <c r="B169" t="s">
        <v>35</v>
      </c>
      <c r="C169">
        <v>2018</v>
      </c>
      <c r="D169">
        <v>0.035</v>
      </c>
    </row>
    <row r="170" spans="1:4">
      <c r="A170" t="s">
        <v>332</v>
      </c>
      <c r="B170" t="s">
        <v>36</v>
      </c>
      <c r="C170">
        <v>2018</v>
      </c>
      <c r="D170">
        <v>0.117</v>
      </c>
    </row>
    <row r="171" spans="1:4">
      <c r="A171" t="s">
        <v>332</v>
      </c>
      <c r="B171" t="s">
        <v>37</v>
      </c>
      <c r="C171">
        <v>2018</v>
      </c>
      <c r="D171">
        <v>0.035</v>
      </c>
    </row>
    <row r="172" spans="1:4">
      <c r="A172" t="s">
        <v>332</v>
      </c>
      <c r="B172" t="s">
        <v>38</v>
      </c>
      <c r="C172">
        <v>2018</v>
      </c>
      <c r="D172">
        <v>0.003</v>
      </c>
    </row>
    <row r="173" spans="1:4">
      <c r="A173" t="s">
        <v>332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56" zoomScaleNormal="56" workbookViewId="0">
      <selection activeCell="N21" sqref="N21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333</v>
      </c>
      <c r="N1" t="s">
        <v>334</v>
      </c>
      <c r="O1" t="s">
        <v>335</v>
      </c>
    </row>
    <row r="2" ht="34.05" customHeight="1" spans="2:15">
      <c r="M2" t="s">
        <v>336</v>
      </c>
      <c r="N2" s="9" t="s">
        <v>337</v>
      </c>
      <c r="O2" s="9" t="s">
        <v>338</v>
      </c>
    </row>
    <row r="3" ht="58" spans="2:15">
      <c r="M3" t="s">
        <v>339</v>
      </c>
      <c r="N3" s="9" t="s">
        <v>340</v>
      </c>
      <c r="O3" s="37" t="s">
        <v>341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342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343</v>
      </c>
      <c r="D13" t="s">
        <v>344</v>
      </c>
      <c r="E13">
        <v>0.02</v>
      </c>
      <c r="G13" t="s">
        <v>345</v>
      </c>
      <c r="H13" t="s">
        <v>346</v>
      </c>
      <c r="I13" t="s">
        <v>347</v>
      </c>
      <c r="K13">
        <v>2020</v>
      </c>
    </row>
    <row r="14" spans="2:15">
      <c r="C14" t="s">
        <v>343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348</v>
      </c>
    </row>
    <row r="6" spans="1:19">
      <c r="A6" t="s">
        <v>349</v>
      </c>
      <c r="B6" t="s">
        <v>4</v>
      </c>
      <c r="C6" t="s">
        <v>64</v>
      </c>
      <c r="D6" t="s">
        <v>350</v>
      </c>
      <c r="E6" t="s">
        <v>55</v>
      </c>
      <c r="F6">
        <v>2030</v>
      </c>
      <c r="G6">
        <v>2035</v>
      </c>
      <c r="H6" t="s">
        <v>351</v>
      </c>
      <c r="I6" t="s">
        <v>42</v>
      </c>
      <c r="J6" t="s">
        <v>77</v>
      </c>
      <c r="K6" t="s">
        <v>352</v>
      </c>
    </row>
    <row r="7" spans="1:19">
      <c r="A7" t="s">
        <v>353</v>
      </c>
      <c r="B7" t="s">
        <v>354</v>
      </c>
      <c r="C7" t="s">
        <v>355</v>
      </c>
      <c r="D7" t="s">
        <v>355</v>
      </c>
      <c r="E7" t="s">
        <v>151</v>
      </c>
      <c r="F7">
        <v>1.05</v>
      </c>
      <c r="H7">
        <v>1</v>
      </c>
      <c r="I7">
        <v>2</v>
      </c>
      <c r="J7" t="s">
        <v>356</v>
      </c>
      <c r="K7" t="s">
        <v>357</v>
      </c>
    </row>
    <row r="8" spans="1:19">
      <c r="A8" t="s">
        <v>353</v>
      </c>
      <c r="B8" t="s">
        <v>358</v>
      </c>
      <c r="C8" t="s">
        <v>355</v>
      </c>
      <c r="D8" t="s">
        <v>355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356</v>
      </c>
      <c r="K8" t="s">
        <v>359</v>
      </c>
      <c r="P8" s="22">
        <f>F8^15</f>
        <v>0.463291230159753</v>
      </c>
      <c r="Q8" s="22">
        <f>G8^15</f>
        <v>0.205891132094649</v>
      </c>
      <c r="S8" s="36">
        <f>PRODUCT(P8:R8)</f>
        <v>0.0953875558671143</v>
      </c>
    </row>
    <row r="11" spans="1:19">
      <c r="A11" t="s">
        <v>360</v>
      </c>
    </row>
    <row r="13" spans="1:19">
      <c r="D13" t="s">
        <v>361</v>
      </c>
    </row>
    <row r="14" spans="1:19">
      <c r="A14" t="s">
        <v>349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351</v>
      </c>
      <c r="I14" t="s">
        <v>362</v>
      </c>
      <c r="J14" t="s">
        <v>42</v>
      </c>
      <c r="K14" t="s">
        <v>352</v>
      </c>
    </row>
    <row r="15" spans="1:19">
      <c r="A15" t="s">
        <v>363</v>
      </c>
      <c r="B15" t="str">
        <f>"UC_ELCcap_decay - "&amp;MID(D15,4,3)</f>
        <v>UC_ELCcap_decay - OIL</v>
      </c>
      <c r="C15" t="s">
        <v>364</v>
      </c>
      <c r="D15" t="s">
        <v>365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2">
        <f>E15^10</f>
        <v>0.817072806887547</v>
      </c>
      <c r="P15" s="22">
        <f>F15^10</f>
        <v>0.598736939238379</v>
      </c>
      <c r="Q15" s="22">
        <f>G15^10</f>
        <v>0.1073741824</v>
      </c>
      <c r="R15" s="36">
        <f>PRODUCT(O15:Q15)</f>
        <v>0.0525287032511528</v>
      </c>
    </row>
    <row r="16" spans="1:19">
      <c r="A16" t="s">
        <v>363</v>
      </c>
      <c r="B16" t="str">
        <f t="shared" ref="B16:B17" si="0">"UC_ELCcap_decay - "&amp;MID(D16,4,3)</f>
        <v>UC_ELCcap_decay - CO?</v>
      </c>
      <c r="C16" t="s">
        <v>364</v>
      </c>
      <c r="D16" t="s">
        <v>366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2">
        <f t="shared" ref="O16:O17" si="1">E16^10</f>
        <v>0.817072806887547</v>
      </c>
      <c r="P16" s="22">
        <f t="shared" ref="P16:P17" si="2">F16^10</f>
        <v>0.3486784401</v>
      </c>
      <c r="Q16" s="22">
        <f t="shared" ref="Q16:Q17" si="3">G16^10</f>
        <v>0.1073741824</v>
      </c>
      <c r="R16" s="36">
        <f t="shared" ref="R16:R17" si="4">PRODUCT(O16:Q16)</f>
        <v>0.03059043982385</v>
      </c>
    </row>
    <row r="17" spans="1:18">
      <c r="A17" t="s">
        <v>363</v>
      </c>
      <c r="B17" t="str">
        <f t="shared" si="0"/>
        <v>UC_ELCcap_decay - NGA</v>
      </c>
      <c r="C17" t="s">
        <v>364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2">
        <f t="shared" si="1"/>
        <v>0.817072806887547</v>
      </c>
      <c r="P17" s="22">
        <f t="shared" si="2"/>
        <v>0.598736939238379</v>
      </c>
      <c r="Q17" s="22">
        <f t="shared" si="3"/>
        <v>0.1073741824</v>
      </c>
      <c r="R17" s="36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84" zoomScaleNormal="84" workbookViewId="0">
      <selection activeCell="H6" sqref="H6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367</v>
      </c>
      <c r="L2" t="s">
        <v>368</v>
      </c>
    </row>
    <row r="3" spans="2:15">
      <c r="B3" t="s">
        <v>73</v>
      </c>
      <c r="C3" t="s">
        <v>369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370</v>
      </c>
      <c r="N3" t="s">
        <v>371</v>
      </c>
      <c r="O3" t="s">
        <v>372</v>
      </c>
    </row>
    <row r="4" spans="2:15">
      <c r="B4" t="s">
        <v>373</v>
      </c>
      <c r="C4" t="s">
        <v>374</v>
      </c>
      <c r="D4">
        <v>-0.3</v>
      </c>
      <c r="K4" t="s">
        <v>375</v>
      </c>
      <c r="L4" t="s">
        <v>376</v>
      </c>
      <c r="M4">
        <v>1</v>
      </c>
      <c r="O4">
        <v>2</v>
      </c>
    </row>
    <row r="5" spans="2:15">
      <c r="B5" t="s">
        <v>377</v>
      </c>
      <c r="C5" t="s">
        <v>374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378</v>
      </c>
      <c r="L5" t="s">
        <v>379</v>
      </c>
      <c r="M5">
        <v>1</v>
      </c>
      <c r="O5">
        <v>2</v>
      </c>
    </row>
    <row r="6" spans="2:15">
      <c r="B6" t="s">
        <v>380</v>
      </c>
      <c r="C6" t="s">
        <v>374</v>
      </c>
      <c r="D6">
        <v>10</v>
      </c>
      <c r="K6" t="s">
        <v>381</v>
      </c>
      <c r="L6" t="s">
        <v>382</v>
      </c>
      <c r="N6" s="35">
        <v>1</v>
      </c>
      <c r="O6">
        <v>2</v>
      </c>
    </row>
    <row r="7" spans="2:15">
      <c r="K7" t="s">
        <v>299</v>
      </c>
    </row>
    <row r="8" spans="2:15">
      <c r="K8" t="s">
        <v>383</v>
      </c>
      <c r="L8" t="s">
        <v>384</v>
      </c>
      <c r="M8">
        <v>1</v>
      </c>
      <c r="O8">
        <v>2</v>
      </c>
    </row>
    <row r="9" spans="2:15">
      <c r="K9" t="s">
        <v>383</v>
      </c>
      <c r="L9" t="s">
        <v>385</v>
      </c>
      <c r="M9">
        <v>1</v>
      </c>
      <c r="O9">
        <v>2</v>
      </c>
    </row>
    <row r="10" spans="2:15">
      <c r="B10" t="s">
        <v>367</v>
      </c>
      <c r="K10" t="s">
        <v>386</v>
      </c>
      <c r="L10" t="s">
        <v>387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386</v>
      </c>
      <c r="L11" t="s">
        <v>388</v>
      </c>
      <c r="M11">
        <v>1</v>
      </c>
      <c r="O11">
        <v>2</v>
      </c>
    </row>
    <row r="12" spans="2:15">
      <c r="B12" t="s">
        <v>373</v>
      </c>
      <c r="D12">
        <v>-0.3</v>
      </c>
      <c r="G12" t="s">
        <v>389</v>
      </c>
      <c r="K12" t="s">
        <v>390</v>
      </c>
      <c r="L12" t="s">
        <v>391</v>
      </c>
      <c r="M12">
        <v>1</v>
      </c>
      <c r="O12">
        <v>2</v>
      </c>
    </row>
    <row r="13" spans="2:15">
      <c r="B13" t="s">
        <v>377</v>
      </c>
      <c r="D13">
        <v>0</v>
      </c>
      <c r="E13">
        <v>0.3</v>
      </c>
      <c r="F13">
        <v>0.5</v>
      </c>
      <c r="G13" t="s">
        <v>389</v>
      </c>
      <c r="K13" t="s">
        <v>392</v>
      </c>
      <c r="L13" t="s">
        <v>393</v>
      </c>
      <c r="M13">
        <v>1</v>
      </c>
      <c r="O13">
        <v>2</v>
      </c>
    </row>
    <row r="14" spans="2:15">
      <c r="B14" t="s">
        <v>380</v>
      </c>
      <c r="D14">
        <v>10</v>
      </c>
      <c r="G14" t="s">
        <v>389</v>
      </c>
      <c r="K14" t="s">
        <v>299</v>
      </c>
    </row>
    <row r="15" spans="2:15">
      <c r="K15" t="s">
        <v>394</v>
      </c>
      <c r="L15" t="s">
        <v>395</v>
      </c>
      <c r="M15">
        <v>1</v>
      </c>
      <c r="O15">
        <v>2</v>
      </c>
    </row>
    <row r="16" spans="2:15">
      <c r="K16" t="s">
        <v>394</v>
      </c>
      <c r="L16" t="s">
        <v>396</v>
      </c>
      <c r="M16">
        <v>1</v>
      </c>
      <c r="O16">
        <v>2</v>
      </c>
    </row>
    <row r="17" spans="2:15">
      <c r="K17" t="s">
        <v>397</v>
      </c>
      <c r="L17" t="s">
        <v>398</v>
      </c>
      <c r="M17">
        <v>1</v>
      </c>
      <c r="O17">
        <v>2</v>
      </c>
    </row>
    <row r="18" spans="2:15">
      <c r="K18" t="s">
        <v>397</v>
      </c>
      <c r="L18" t="s">
        <v>399</v>
      </c>
      <c r="M18">
        <v>1</v>
      </c>
      <c r="O18">
        <v>2</v>
      </c>
    </row>
    <row r="19" spans="2:15">
      <c r="K19" t="s">
        <v>400</v>
      </c>
      <c r="L19" t="s">
        <v>401</v>
      </c>
      <c r="M19">
        <v>1</v>
      </c>
      <c r="O19">
        <v>2</v>
      </c>
    </row>
    <row r="20" spans="2:15">
      <c r="K20" t="s">
        <v>402</v>
      </c>
      <c r="L20" t="s">
        <v>403</v>
      </c>
      <c r="M20">
        <v>1</v>
      </c>
      <c r="O20">
        <v>2</v>
      </c>
    </row>
    <row r="23" spans="2:15">
      <c r="B23" t="s">
        <v>404</v>
      </c>
      <c r="L23" t="s">
        <v>368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405</v>
      </c>
      <c r="N24" t="s">
        <v>406</v>
      </c>
      <c r="O24" t="s">
        <v>243</v>
      </c>
    </row>
    <row r="25" spans="2:15">
      <c r="B25" t="s">
        <v>407</v>
      </c>
      <c r="C25" t="s">
        <v>408</v>
      </c>
      <c r="D25" t="s">
        <v>409</v>
      </c>
      <c r="K25" t="s">
        <v>410</v>
      </c>
      <c r="N25">
        <v>1</v>
      </c>
    </row>
    <row r="26" spans="2:15">
      <c r="L26" t="s">
        <v>411</v>
      </c>
      <c r="M26">
        <v>1</v>
      </c>
      <c r="O26" t="s">
        <v>412</v>
      </c>
    </row>
    <row r="27" spans="2:15">
      <c r="L27" t="s">
        <v>411</v>
      </c>
      <c r="M27">
        <v>1</v>
      </c>
      <c r="O27" t="s">
        <v>413</v>
      </c>
    </row>
    <row r="28" spans="2:15">
      <c r="B28" t="s">
        <v>414</v>
      </c>
      <c r="L28" t="s">
        <v>411</v>
      </c>
      <c r="M28">
        <v>1</v>
      </c>
      <c r="O28" t="s">
        <v>415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411</v>
      </c>
      <c r="M29">
        <v>1</v>
      </c>
      <c r="O29" t="s">
        <v>416</v>
      </c>
    </row>
    <row r="30" spans="2:15">
      <c r="B30" t="s">
        <v>417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1" zoomScaleNormal="51" workbookViewId="0">
      <selection activeCell="K48" sqref="K48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2" t="s">
        <v>418</v>
      </c>
      <c r="AC1" s="33" t="s">
        <v>419</v>
      </c>
    </row>
    <row r="2" ht="16" spans="1:49">
      <c r="A2" t="s">
        <v>420</v>
      </c>
      <c r="B2" t="s">
        <v>421</v>
      </c>
      <c r="C2" t="s">
        <v>422</v>
      </c>
      <c r="D2" t="s">
        <v>423</v>
      </c>
      <c r="E2" t="s">
        <v>424</v>
      </c>
      <c r="F2" t="s">
        <v>425</v>
      </c>
      <c r="G2" t="s">
        <v>426</v>
      </c>
      <c r="H2" t="s">
        <v>427</v>
      </c>
      <c r="I2" t="s">
        <v>428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4" t="s">
        <v>429</v>
      </c>
      <c r="AD2" s="34">
        <f t="shared" ref="AD2:AR3" si="0">J2</f>
        <v>1</v>
      </c>
      <c r="AE2" s="34">
        <f t="shared" si="0"/>
        <v>39</v>
      </c>
      <c r="AF2" s="34">
        <f t="shared" si="0"/>
        <v>40</v>
      </c>
      <c r="AG2" s="34">
        <f t="shared" si="0"/>
        <v>41</v>
      </c>
      <c r="AH2" s="34">
        <f t="shared" si="0"/>
        <v>79</v>
      </c>
      <c r="AI2" s="34">
        <f t="shared" si="0"/>
        <v>80</v>
      </c>
      <c r="AJ2" s="34">
        <f t="shared" si="0"/>
        <v>81</v>
      </c>
      <c r="AK2" s="34">
        <f t="shared" si="0"/>
        <v>119</v>
      </c>
      <c r="AL2" s="34">
        <f t="shared" si="0"/>
        <v>120</v>
      </c>
      <c r="AM2" s="34">
        <f t="shared" si="0"/>
        <v>121</v>
      </c>
      <c r="AN2" s="34">
        <f t="shared" si="0"/>
        <v>159</v>
      </c>
      <c r="AO2" s="34">
        <f t="shared" si="0"/>
        <v>160</v>
      </c>
      <c r="AP2" s="34">
        <f t="shared" si="0"/>
        <v>161</v>
      </c>
      <c r="AQ2" s="34">
        <f t="shared" si="0"/>
        <v>199</v>
      </c>
      <c r="AR2" s="34">
        <f t="shared" si="0"/>
        <v>200</v>
      </c>
    </row>
    <row r="3" spans="1:49">
      <c r="A3" t="s">
        <v>430</v>
      </c>
      <c r="B3" t="s">
        <v>431</v>
      </c>
      <c r="C3" t="s">
        <v>432</v>
      </c>
      <c r="D3" t="s">
        <v>432</v>
      </c>
      <c r="E3" t="s">
        <v>433</v>
      </c>
      <c r="F3" s="22">
        <v>39.18</v>
      </c>
      <c r="G3" s="22" t="s">
        <v>434</v>
      </c>
      <c r="H3" s="22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435</v>
      </c>
      <c r="B4" t="s">
        <v>432</v>
      </c>
      <c r="C4" t="s">
        <v>436</v>
      </c>
      <c r="D4" t="s">
        <v>432</v>
      </c>
      <c r="E4" t="s">
        <v>433</v>
      </c>
      <c r="F4" s="22">
        <v>19.34</v>
      </c>
      <c r="G4" s="22" t="s">
        <v>434</v>
      </c>
      <c r="H4" s="22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3" t="s">
        <v>419</v>
      </c>
    </row>
    <row r="7" ht="16" spans="1:49">
      <c r="A7" t="s">
        <v>420</v>
      </c>
      <c r="B7" t="s">
        <v>421</v>
      </c>
      <c r="C7" t="s">
        <v>422</v>
      </c>
      <c r="D7" t="s">
        <v>423</v>
      </c>
      <c r="E7" t="s">
        <v>424</v>
      </c>
      <c r="F7" t="s">
        <v>425</v>
      </c>
      <c r="G7" t="s">
        <v>428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4" t="s">
        <v>429</v>
      </c>
      <c r="AD7" s="34">
        <f t="shared" ref="AD7:AS9" si="2">H7</f>
        <v>1</v>
      </c>
      <c r="AE7" s="34">
        <f t="shared" si="2"/>
        <v>29</v>
      </c>
      <c r="AF7" s="34">
        <f t="shared" si="2"/>
        <v>30</v>
      </c>
      <c r="AG7" s="34">
        <f t="shared" si="2"/>
        <v>31</v>
      </c>
      <c r="AH7" s="34">
        <f t="shared" si="2"/>
        <v>59</v>
      </c>
      <c r="AI7" s="34">
        <f t="shared" si="2"/>
        <v>60</v>
      </c>
      <c r="AJ7" s="34">
        <f t="shared" si="2"/>
        <v>61</v>
      </c>
      <c r="AK7" s="34">
        <f t="shared" si="2"/>
        <v>89</v>
      </c>
      <c r="AL7" s="34">
        <f t="shared" si="2"/>
        <v>90</v>
      </c>
      <c r="AM7" s="34">
        <f t="shared" si="2"/>
        <v>91</v>
      </c>
      <c r="AN7" s="34">
        <f t="shared" si="2"/>
        <v>119</v>
      </c>
      <c r="AO7" s="34">
        <f t="shared" si="2"/>
        <v>120</v>
      </c>
      <c r="AP7" s="34">
        <f t="shared" si="2"/>
        <v>121</v>
      </c>
      <c r="AQ7" s="34">
        <f t="shared" si="2"/>
        <v>149</v>
      </c>
      <c r="AR7" s="34">
        <f t="shared" si="2"/>
        <v>150</v>
      </c>
      <c r="AS7" s="34">
        <f t="shared" si="2"/>
        <v>151</v>
      </c>
      <c r="AT7" s="34">
        <f t="shared" ref="AN7:AW9" si="3">X7</f>
        <v>179</v>
      </c>
      <c r="AU7" s="34">
        <f t="shared" si="3"/>
        <v>180</v>
      </c>
      <c r="AV7" s="34">
        <f t="shared" si="3"/>
        <v>181</v>
      </c>
      <c r="AW7" s="34">
        <f t="shared" si="3"/>
        <v>200</v>
      </c>
    </row>
    <row r="8" spans="1:49">
      <c r="A8" t="s">
        <v>437</v>
      </c>
      <c r="B8" t="s">
        <v>432</v>
      </c>
      <c r="C8" t="s">
        <v>432</v>
      </c>
      <c r="D8" t="s">
        <v>432</v>
      </c>
      <c r="E8" t="s">
        <v>438</v>
      </c>
      <c r="F8" s="22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439</v>
      </c>
      <c r="B9" t="s">
        <v>432</v>
      </c>
      <c r="C9" t="s">
        <v>432</v>
      </c>
      <c r="D9" t="s">
        <v>432</v>
      </c>
      <c r="E9" t="s">
        <v>438</v>
      </c>
      <c r="F9" s="22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2" t="s">
        <v>440</v>
      </c>
    </row>
    <row r="13" spans="1:49">
      <c r="A13" s="25" t="s">
        <v>441</v>
      </c>
      <c r="B13" s="25"/>
      <c r="C13" s="25"/>
    </row>
    <row r="14" spans="1:49">
      <c r="A14" s="25" t="s">
        <v>442</v>
      </c>
      <c r="B14" s="25"/>
      <c r="C14" s="25"/>
    </row>
    <row r="15" spans="1:49">
      <c r="A15" s="25" t="s">
        <v>443</v>
      </c>
      <c r="B15" s="25"/>
      <c r="C15" s="25"/>
    </row>
    <row r="17" spans="1:13">
      <c r="A17" s="25" t="s">
        <v>444</v>
      </c>
      <c r="B17" s="25" t="s">
        <v>445</v>
      </c>
      <c r="C17" s="25" t="s">
        <v>446</v>
      </c>
    </row>
    <row r="18" spans="1:13">
      <c r="A18" s="25" t="s">
        <v>447</v>
      </c>
      <c r="B18" s="25" t="s">
        <v>448</v>
      </c>
      <c r="C18" s="25">
        <v>253</v>
      </c>
    </row>
    <row r="19" spans="1:13">
      <c r="A19" s="25" t="s">
        <v>449</v>
      </c>
      <c r="B19" s="25" t="s">
        <v>448</v>
      </c>
      <c r="C19" s="25">
        <v>203</v>
      </c>
      <c r="G19" t="s">
        <v>89</v>
      </c>
    </row>
    <row r="20" spans="1:13">
      <c r="A20" s="25" t="s">
        <v>450</v>
      </c>
      <c r="B20" s="25" t="s">
        <v>451</v>
      </c>
      <c r="C20" s="25">
        <v>82</v>
      </c>
      <c r="G20" t="s">
        <v>73</v>
      </c>
      <c r="H20" t="s">
        <v>92</v>
      </c>
      <c r="I20" t="s">
        <v>429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25" t="s">
        <v>452</v>
      </c>
      <c r="B21" s="25" t="s">
        <v>451</v>
      </c>
      <c r="C21" s="25">
        <v>242</v>
      </c>
      <c r="G21" t="s">
        <v>453</v>
      </c>
      <c r="H21" t="s">
        <v>454</v>
      </c>
      <c r="K21" t="s">
        <v>455</v>
      </c>
      <c r="L21">
        <f>AC3</f>
        <v>81</v>
      </c>
      <c r="M21">
        <v>2</v>
      </c>
    </row>
    <row r="22" spans="1:13">
      <c r="A22" s="25" t="s">
        <v>456</v>
      </c>
      <c r="B22" s="25" t="s">
        <v>451</v>
      </c>
      <c r="C22" s="25">
        <v>226</v>
      </c>
      <c r="G22" t="s">
        <v>453</v>
      </c>
      <c r="H22" t="s">
        <v>457</v>
      </c>
      <c r="L22">
        <f>AC4</f>
        <v>82</v>
      </c>
      <c r="M22">
        <v>2</v>
      </c>
    </row>
    <row r="23" spans="1:13">
      <c r="A23" s="25" t="s">
        <v>458</v>
      </c>
      <c r="B23" s="25" t="s">
        <v>448</v>
      </c>
      <c r="C23" s="25">
        <v>174</v>
      </c>
      <c r="G23" t="s">
        <v>453</v>
      </c>
      <c r="H23" t="s">
        <v>459</v>
      </c>
      <c r="L23">
        <f>AC8</f>
        <v>83</v>
      </c>
      <c r="M23">
        <v>2</v>
      </c>
    </row>
    <row r="24" spans="1:13">
      <c r="A24" s="25" t="s">
        <v>460</v>
      </c>
      <c r="B24" s="25" t="s">
        <v>448</v>
      </c>
      <c r="C24" s="25">
        <v>258</v>
      </c>
      <c r="G24" t="s">
        <v>453</v>
      </c>
      <c r="H24" t="s">
        <v>461</v>
      </c>
      <c r="L24">
        <f>AC9</f>
        <v>84</v>
      </c>
      <c r="M24">
        <v>2</v>
      </c>
    </row>
    <row r="25" spans="1:13">
      <c r="A25" s="25" t="s">
        <v>462</v>
      </c>
      <c r="B25" s="25" t="s">
        <v>463</v>
      </c>
      <c r="C25" s="25">
        <v>135</v>
      </c>
    </row>
    <row r="30" spans="1:13">
      <c r="A30" t="s">
        <v>53</v>
      </c>
    </row>
    <row r="31" spans="1:13">
      <c r="A31" t="s">
        <v>56</v>
      </c>
      <c r="B31" t="s">
        <v>464</v>
      </c>
      <c r="C31" t="s">
        <v>57</v>
      </c>
      <c r="D31" t="s">
        <v>60</v>
      </c>
    </row>
    <row r="32" spans="1:13">
      <c r="A32" t="s">
        <v>428</v>
      </c>
      <c r="B32">
        <v>85</v>
      </c>
      <c r="C32">
        <v>1</v>
      </c>
      <c r="D32">
        <v>1</v>
      </c>
      <c r="F32" t="s">
        <v>465</v>
      </c>
    </row>
    <row r="33" spans="1:6">
      <c r="A33" t="s">
        <v>428</v>
      </c>
      <c r="B33">
        <f>B32</f>
        <v>85</v>
      </c>
      <c r="C33">
        <v>100</v>
      </c>
      <c r="D33">
        <v>1.5</v>
      </c>
    </row>
    <row r="34" spans="1:6">
      <c r="A34" t="s">
        <v>428</v>
      </c>
      <c r="B34">
        <v>86</v>
      </c>
      <c r="C34">
        <v>1</v>
      </c>
      <c r="D34">
        <v>1</v>
      </c>
      <c r="F34" t="s">
        <v>466</v>
      </c>
    </row>
    <row r="35" spans="1:6">
      <c r="A35" t="s">
        <v>428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71" zoomScaleNormal="71" topLeftCell="R33" workbookViewId="0">
      <selection activeCell="A1" sqref="A1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3" t="s">
        <v>467</v>
      </c>
      <c r="E1" s="23" t="s">
        <v>468</v>
      </c>
      <c r="F1" s="23" t="s">
        <v>469</v>
      </c>
      <c r="R1" t="s">
        <v>470</v>
      </c>
      <c r="X1" t="s">
        <v>53</v>
      </c>
      <c r="AF1" t="s">
        <v>286</v>
      </c>
    </row>
    <row r="2" spans="1:35">
      <c r="A2" t="s">
        <v>471</v>
      </c>
      <c r="B2" t="str">
        <f>MID(A2,4,7)</f>
        <v>COA</v>
      </c>
      <c r="D2" s="24" t="s">
        <v>472</v>
      </c>
      <c r="E2" s="24">
        <f>N12</f>
        <v>55.99</v>
      </c>
      <c r="F2" s="24" t="s">
        <v>473</v>
      </c>
      <c r="G2" s="25" t="s">
        <v>474</v>
      </c>
      <c r="H2" s="25"/>
      <c r="I2" s="25"/>
      <c r="J2" s="25"/>
      <c r="K2" s="25"/>
      <c r="L2" s="25"/>
      <c r="M2" s="25"/>
      <c r="N2" s="25"/>
      <c r="R2" t="s">
        <v>73</v>
      </c>
      <c r="S2" t="s">
        <v>253</v>
      </c>
      <c r="T2" t="s">
        <v>429</v>
      </c>
      <c r="U2" t="s">
        <v>75</v>
      </c>
      <c r="X2" t="s">
        <v>73</v>
      </c>
      <c r="Y2" t="s">
        <v>5</v>
      </c>
      <c r="Z2" t="s">
        <v>253</v>
      </c>
      <c r="AA2" t="s">
        <v>429</v>
      </c>
      <c r="AB2" t="s">
        <v>75</v>
      </c>
      <c r="AF2" t="s">
        <v>74</v>
      </c>
      <c r="AG2" t="s">
        <v>475</v>
      </c>
      <c r="AH2" t="s">
        <v>253</v>
      </c>
    </row>
    <row r="3" spans="1:35">
      <c r="A3" t="s">
        <v>476</v>
      </c>
      <c r="B3" t="str">
        <f t="shared" ref="B3:B54" si="0">MID(A3,4,7)</f>
        <v>KER</v>
      </c>
      <c r="D3" s="24" t="s">
        <v>477</v>
      </c>
      <c r="E3" s="24">
        <f>E5</f>
        <v>98.43</v>
      </c>
      <c r="F3" s="24" t="s">
        <v>478</v>
      </c>
      <c r="G3" s="25"/>
      <c r="H3" s="25" t="s">
        <v>479</v>
      </c>
      <c r="I3" s="25"/>
      <c r="J3" s="25" t="s">
        <v>480</v>
      </c>
      <c r="K3" s="25"/>
      <c r="L3" s="25" t="s">
        <v>481</v>
      </c>
      <c r="M3" s="25" t="s">
        <v>480</v>
      </c>
      <c r="N3" s="25" t="s">
        <v>480</v>
      </c>
      <c r="R3" t="s">
        <v>482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483</v>
      </c>
      <c r="Z3" s="26" t="s">
        <v>484</v>
      </c>
      <c r="AA3" t="s">
        <v>382</v>
      </c>
      <c r="AB3">
        <v>1</v>
      </c>
      <c r="AF3" t="s">
        <v>485</v>
      </c>
      <c r="AG3" t="s">
        <v>99</v>
      </c>
      <c r="AH3" t="s">
        <v>486</v>
      </c>
    </row>
    <row r="4" spans="1:35">
      <c r="A4" t="s">
        <v>487</v>
      </c>
      <c r="B4" t="str">
        <f t="shared" si="0"/>
        <v>LPG</v>
      </c>
      <c r="D4" s="24" t="s">
        <v>488</v>
      </c>
      <c r="E4" s="24">
        <f>E3</f>
        <v>98.43</v>
      </c>
      <c r="F4" s="24" t="str">
        <f>F3</f>
        <v>b</v>
      </c>
      <c r="G4" s="25" t="s">
        <v>489</v>
      </c>
      <c r="H4" s="25" t="s">
        <v>490</v>
      </c>
      <c r="I4" s="25"/>
      <c r="J4" s="25" t="s">
        <v>490</v>
      </c>
      <c r="K4" s="25"/>
      <c r="L4" s="25" t="s">
        <v>491</v>
      </c>
      <c r="M4" s="25" t="s">
        <v>491</v>
      </c>
      <c r="N4" s="25" t="s">
        <v>492</v>
      </c>
      <c r="R4" t="s">
        <v>482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493</v>
      </c>
      <c r="B5" t="str">
        <f t="shared" si="0"/>
        <v>NGA</v>
      </c>
      <c r="D5" s="24" t="s">
        <v>494</v>
      </c>
      <c r="E5" s="24">
        <f>N30</f>
        <v>98.43</v>
      </c>
      <c r="F5" s="24" t="s">
        <v>473</v>
      </c>
      <c r="G5" s="25" t="s">
        <v>495</v>
      </c>
      <c r="H5" s="25"/>
      <c r="I5" s="25"/>
      <c r="J5" s="25"/>
      <c r="K5" s="25"/>
      <c r="L5" s="25"/>
      <c r="M5" s="25"/>
      <c r="N5" s="25"/>
      <c r="R5" t="s">
        <v>482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496</v>
      </c>
      <c r="B6" t="str">
        <f t="shared" si="0"/>
        <v>OIL</v>
      </c>
      <c r="D6" s="24" t="s">
        <v>497</v>
      </c>
      <c r="E6" s="24">
        <f>E5</f>
        <v>98.43</v>
      </c>
      <c r="F6" s="24" t="s">
        <v>473</v>
      </c>
      <c r="G6" s="25" t="s">
        <v>498</v>
      </c>
      <c r="H6" s="25">
        <v>12.7</v>
      </c>
      <c r="I6" s="25" t="s">
        <v>499</v>
      </c>
      <c r="J6" s="25">
        <v>5.76</v>
      </c>
      <c r="K6" s="25" t="s">
        <v>499</v>
      </c>
      <c r="L6" s="25">
        <v>139.05</v>
      </c>
      <c r="M6" s="25">
        <v>63.07</v>
      </c>
      <c r="N6" s="25">
        <v>66.54</v>
      </c>
      <c r="R6" t="s">
        <v>482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27" t="s">
        <v>483</v>
      </c>
      <c r="Y6" s="27"/>
      <c r="Z6" s="27" t="s">
        <v>500</v>
      </c>
      <c r="AA6" s="27" t="s">
        <v>382</v>
      </c>
      <c r="AB6" s="28">
        <v>-0.001</v>
      </c>
    </row>
    <row r="7" spans="1:35">
      <c r="A7" t="s">
        <v>501</v>
      </c>
      <c r="B7" t="str">
        <f t="shared" si="0"/>
        <v>COA</v>
      </c>
      <c r="D7" s="24" t="s">
        <v>502</v>
      </c>
      <c r="E7" s="24">
        <f>N32</f>
        <v>103.08</v>
      </c>
      <c r="F7" s="24" t="s">
        <v>473</v>
      </c>
      <c r="G7" s="25" t="s">
        <v>503</v>
      </c>
      <c r="H7" s="25">
        <v>14.8</v>
      </c>
      <c r="I7" s="25" t="s">
        <v>499</v>
      </c>
      <c r="J7" s="25">
        <v>6.71</v>
      </c>
      <c r="K7" s="25" t="s">
        <v>499</v>
      </c>
      <c r="L7" s="25">
        <v>143.2</v>
      </c>
      <c r="M7" s="25">
        <v>64.95</v>
      </c>
      <c r="N7" s="25">
        <v>68.53</v>
      </c>
      <c r="R7" t="s">
        <v>482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504</v>
      </c>
      <c r="B8" t="str">
        <f t="shared" si="0"/>
        <v>HFO</v>
      </c>
      <c r="D8" s="24" t="s">
        <v>505</v>
      </c>
      <c r="E8" s="24">
        <f>E2</f>
        <v>55.99</v>
      </c>
      <c r="F8" s="24" t="s">
        <v>473</v>
      </c>
      <c r="G8" s="25" t="s">
        <v>506</v>
      </c>
      <c r="H8" s="25">
        <v>13.7</v>
      </c>
      <c r="I8" s="25" t="s">
        <v>499</v>
      </c>
      <c r="J8" s="25">
        <v>6.21</v>
      </c>
      <c r="K8" s="25" t="s">
        <v>499</v>
      </c>
      <c r="L8" s="25">
        <v>141.12</v>
      </c>
      <c r="M8" s="25">
        <v>64.01</v>
      </c>
      <c r="N8" s="25">
        <v>67.53</v>
      </c>
      <c r="R8" t="s">
        <v>482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507</v>
      </c>
    </row>
    <row r="9" spans="1:35">
      <c r="A9" t="s">
        <v>508</v>
      </c>
      <c r="B9" t="str">
        <f t="shared" si="0"/>
        <v>KER</v>
      </c>
      <c r="D9" s="24" t="s">
        <v>509</v>
      </c>
      <c r="E9" s="24">
        <f>N33</f>
        <v>120.4</v>
      </c>
      <c r="F9" s="24" t="s">
        <v>473</v>
      </c>
      <c r="G9" s="25" t="s">
        <v>510</v>
      </c>
      <c r="H9" s="25">
        <v>22.4</v>
      </c>
      <c r="I9" s="25" t="s">
        <v>499</v>
      </c>
      <c r="J9" s="25">
        <v>10.16</v>
      </c>
      <c r="K9" s="25" t="s">
        <v>499</v>
      </c>
      <c r="L9" s="25">
        <v>161.3</v>
      </c>
      <c r="M9" s="25">
        <v>73.16</v>
      </c>
      <c r="N9" s="25">
        <v>77.19</v>
      </c>
      <c r="R9" t="s">
        <v>482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511</v>
      </c>
      <c r="B10" t="str">
        <f t="shared" si="0"/>
        <v>LPG</v>
      </c>
      <c r="D10" s="24" t="s">
        <v>512</v>
      </c>
      <c r="E10" s="24">
        <f>N9</f>
        <v>77.19</v>
      </c>
      <c r="F10" s="24" t="s">
        <v>513</v>
      </c>
      <c r="G10" s="25" t="s">
        <v>514</v>
      </c>
      <c r="H10" s="25">
        <v>21.5</v>
      </c>
      <c r="I10" s="25" t="s">
        <v>499</v>
      </c>
      <c r="J10" s="25">
        <v>9.75</v>
      </c>
      <c r="K10" s="25" t="s">
        <v>499</v>
      </c>
      <c r="L10" s="25">
        <v>159.4</v>
      </c>
      <c r="M10" s="25">
        <v>72.3</v>
      </c>
      <c r="N10" s="25">
        <v>76.28</v>
      </c>
      <c r="R10" t="s">
        <v>482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429</v>
      </c>
      <c r="AB10" t="s">
        <v>75</v>
      </c>
      <c r="AF10" t="s">
        <v>77</v>
      </c>
      <c r="AG10" t="s">
        <v>475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24" t="s">
        <v>515</v>
      </c>
      <c r="E11" s="24">
        <f>N6</f>
        <v>66.54</v>
      </c>
      <c r="F11" s="24" t="s">
        <v>516</v>
      </c>
      <c r="G11" s="25" t="s">
        <v>517</v>
      </c>
      <c r="H11" s="29">
        <v>4631.5</v>
      </c>
      <c r="I11" s="25" t="s">
        <v>518</v>
      </c>
      <c r="J11" s="29">
        <v>2100.82</v>
      </c>
      <c r="K11" s="25" t="s">
        <v>518</v>
      </c>
      <c r="L11" s="25">
        <v>210.2</v>
      </c>
      <c r="M11" s="25">
        <v>95.35</v>
      </c>
      <c r="N11" s="25">
        <v>100.59</v>
      </c>
      <c r="R11" t="s">
        <v>482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519</v>
      </c>
      <c r="Y11" t="s">
        <v>520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30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521</v>
      </c>
      <c r="B12" t="str">
        <f t="shared" si="0"/>
        <v>OIL</v>
      </c>
      <c r="D12" s="24" t="s">
        <v>522</v>
      </c>
      <c r="E12" s="24">
        <f>N12</f>
        <v>55.99</v>
      </c>
      <c r="F12" s="24" t="s">
        <v>516</v>
      </c>
      <c r="G12" s="25" t="s">
        <v>523</v>
      </c>
      <c r="H12" s="25">
        <v>117.1</v>
      </c>
      <c r="I12" s="25" t="s">
        <v>524</v>
      </c>
      <c r="J12" s="25">
        <v>53.12</v>
      </c>
      <c r="K12" s="25" t="s">
        <v>524</v>
      </c>
      <c r="L12" s="25">
        <v>117</v>
      </c>
      <c r="M12" s="25">
        <v>53.07</v>
      </c>
      <c r="N12" s="25">
        <v>55.99</v>
      </c>
      <c r="R12" t="s">
        <v>482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519</v>
      </c>
      <c r="Y12" t="s">
        <v>520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30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525</v>
      </c>
      <c r="B13" t="str">
        <f t="shared" si="0"/>
        <v>COA</v>
      </c>
      <c r="D13" s="24" t="s">
        <v>526</v>
      </c>
      <c r="E13" s="24">
        <f>N13</f>
        <v>75.22</v>
      </c>
      <c r="F13" s="24" t="s">
        <v>513</v>
      </c>
      <c r="G13" s="25" t="s">
        <v>527</v>
      </c>
      <c r="H13" s="25">
        <v>19.6</v>
      </c>
      <c r="I13" s="25" t="s">
        <v>499</v>
      </c>
      <c r="J13" s="25">
        <v>8.89</v>
      </c>
      <c r="K13" s="25" t="s">
        <v>499</v>
      </c>
      <c r="L13" s="25">
        <v>157.2</v>
      </c>
      <c r="M13" s="25">
        <v>71.3</v>
      </c>
      <c r="N13" s="25">
        <v>75.22</v>
      </c>
      <c r="R13" t="s">
        <v>482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519</v>
      </c>
      <c r="Y13" t="s">
        <v>520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30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528</v>
      </c>
      <c r="B14" t="str">
        <f t="shared" si="0"/>
        <v>CoaG</v>
      </c>
      <c r="D14" s="24" t="s">
        <v>529</v>
      </c>
      <c r="E14" s="24">
        <f>N26</f>
        <v>76.81</v>
      </c>
      <c r="F14" s="24" t="s">
        <v>513</v>
      </c>
      <c r="G14" s="25" t="s">
        <v>530</v>
      </c>
      <c r="H14" s="25">
        <v>26</v>
      </c>
      <c r="I14" s="25" t="s">
        <v>499</v>
      </c>
      <c r="J14" s="25">
        <v>11.79</v>
      </c>
      <c r="K14" s="25" t="s">
        <v>499</v>
      </c>
      <c r="L14" s="25">
        <v>173.7</v>
      </c>
      <c r="M14" s="25">
        <v>78.79</v>
      </c>
      <c r="N14" s="25">
        <v>83.12</v>
      </c>
      <c r="R14" t="s">
        <v>482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519</v>
      </c>
      <c r="Y14" t="s">
        <v>520</v>
      </c>
      <c r="Z14" t="str">
        <f>"INDCO2N"&amp;VLOOKUP(MID(AA14,1,3),$D$2:$F$27,3,FALSE)</f>
        <v>INDCO2Ng</v>
      </c>
      <c r="AA14" t="s">
        <v>531</v>
      </c>
      <c r="AB14">
        <f>VLOOKUP(MID(AA14,4,7),$D$2:$F$27,2,FALSE)*AD14</f>
        <v>5.3232</v>
      </c>
      <c r="AD14" s="30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532</v>
      </c>
      <c r="B15" t="str">
        <f t="shared" si="0"/>
        <v>COB</v>
      </c>
      <c r="D15" s="24" t="s">
        <v>533</v>
      </c>
      <c r="E15" s="24">
        <f>N14</f>
        <v>83.12</v>
      </c>
      <c r="F15" s="24" t="s">
        <v>513</v>
      </c>
      <c r="G15" s="25" t="s">
        <v>534</v>
      </c>
      <c r="H15" s="25"/>
      <c r="I15" s="25"/>
      <c r="J15" s="25"/>
      <c r="K15" s="25"/>
      <c r="L15" s="25"/>
      <c r="M15" s="25"/>
      <c r="N15" s="25">
        <v>0</v>
      </c>
      <c r="R15" t="s">
        <v>482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535</v>
      </c>
      <c r="B16" t="str">
        <f t="shared" si="0"/>
        <v>GAS</v>
      </c>
      <c r="D16" s="24" t="s">
        <v>536</v>
      </c>
      <c r="E16" s="24">
        <f>N16</f>
        <v>74.8</v>
      </c>
      <c r="F16" s="24" t="s">
        <v>513</v>
      </c>
      <c r="G16" s="25" t="s">
        <v>537</v>
      </c>
      <c r="H16" s="25">
        <v>21.1</v>
      </c>
      <c r="I16" s="25" t="s">
        <v>499</v>
      </c>
      <c r="J16" s="25">
        <v>9.57</v>
      </c>
      <c r="K16" s="25" t="s">
        <v>499</v>
      </c>
      <c r="L16" s="25">
        <v>156.3</v>
      </c>
      <c r="M16" s="25">
        <v>70.9</v>
      </c>
      <c r="N16" s="25">
        <v>74.8</v>
      </c>
      <c r="R16" t="s">
        <v>482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24" t="s">
        <v>538</v>
      </c>
      <c r="E17" s="24">
        <f>N10</f>
        <v>76.28</v>
      </c>
      <c r="F17" s="24" t="s">
        <v>513</v>
      </c>
      <c r="G17" s="25" t="s">
        <v>539</v>
      </c>
      <c r="H17" s="25">
        <v>18.4</v>
      </c>
      <c r="I17" s="25" t="s">
        <v>499</v>
      </c>
      <c r="J17" s="25">
        <v>8.35</v>
      </c>
      <c r="K17" s="25" t="s">
        <v>499</v>
      </c>
      <c r="L17" s="25">
        <v>152.6</v>
      </c>
      <c r="M17" s="25">
        <v>69.2</v>
      </c>
      <c r="N17" s="25">
        <v>73.01</v>
      </c>
      <c r="R17" t="s">
        <v>482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540</v>
      </c>
      <c r="B18" t="str">
        <f t="shared" si="0"/>
        <v>OIL</v>
      </c>
      <c r="D18" s="24" t="s">
        <v>541</v>
      </c>
      <c r="E18" s="24">
        <f>N8</f>
        <v>67.53</v>
      </c>
      <c r="F18" s="24" t="s">
        <v>513</v>
      </c>
      <c r="G18" s="25" t="s">
        <v>542</v>
      </c>
      <c r="H18" s="25"/>
      <c r="I18" s="25"/>
      <c r="J18" s="25"/>
      <c r="K18" s="25"/>
      <c r="L18" s="25"/>
      <c r="M18" s="25"/>
      <c r="N18" s="25">
        <v>0</v>
      </c>
      <c r="R18" t="s">
        <v>482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543</v>
      </c>
      <c r="B19" t="str">
        <f t="shared" si="0"/>
        <v>OIL_CRD</v>
      </c>
      <c r="D19" s="24" t="s">
        <v>544</v>
      </c>
      <c r="E19" s="24">
        <f>N12</f>
        <v>55.99</v>
      </c>
      <c r="F19" s="24" t="s">
        <v>516</v>
      </c>
      <c r="G19" s="25" t="s">
        <v>545</v>
      </c>
      <c r="H19" s="25">
        <v>120.7</v>
      </c>
      <c r="I19" s="25" t="s">
        <v>524</v>
      </c>
      <c r="J19" s="25">
        <v>54.75</v>
      </c>
      <c r="K19" s="25" t="s">
        <v>524</v>
      </c>
      <c r="L19" s="25">
        <v>120.6</v>
      </c>
      <c r="M19" s="25">
        <v>54.7</v>
      </c>
      <c r="N19" s="25">
        <v>57.71</v>
      </c>
      <c r="R19" t="s">
        <v>482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429</v>
      </c>
      <c r="AB19" t="s">
        <v>75</v>
      </c>
      <c r="AC19" t="s">
        <v>77</v>
      </c>
    </row>
    <row r="20" spans="1:36">
      <c r="A20" t="s">
        <v>546</v>
      </c>
      <c r="B20" t="str">
        <f t="shared" si="0"/>
        <v>OIL_DST</v>
      </c>
      <c r="D20" s="24" t="s">
        <v>547</v>
      </c>
      <c r="E20" s="24">
        <f>N14</f>
        <v>83.12</v>
      </c>
      <c r="F20" s="24" t="s">
        <v>513</v>
      </c>
      <c r="G20" s="25" t="s">
        <v>548</v>
      </c>
      <c r="H20" s="25">
        <v>32.4</v>
      </c>
      <c r="I20" s="25" t="s">
        <v>499</v>
      </c>
      <c r="J20" s="25">
        <v>14.7</v>
      </c>
      <c r="K20" s="25" t="s">
        <v>499</v>
      </c>
      <c r="L20" s="25">
        <v>225.1</v>
      </c>
      <c r="M20" s="25">
        <v>102.1</v>
      </c>
      <c r="N20" s="25">
        <v>107.72</v>
      </c>
      <c r="R20" t="s">
        <v>482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519</v>
      </c>
      <c r="Y20" t="s">
        <v>549</v>
      </c>
      <c r="Z20" t="s">
        <v>550</v>
      </c>
      <c r="AA20" t="s">
        <v>549</v>
      </c>
      <c r="AB20">
        <f>VLOOKUP(MID(AA20,1,3),$D$2:$F$27,2,FALSE)</f>
        <v>98.43</v>
      </c>
      <c r="AC20" t="s">
        <v>127</v>
      </c>
    </row>
    <row r="21" spans="1:36">
      <c r="A21" t="s">
        <v>551</v>
      </c>
      <c r="B21" t="str">
        <f t="shared" si="0"/>
        <v>WAS</v>
      </c>
      <c r="D21" s="24" t="s">
        <v>552</v>
      </c>
      <c r="E21" s="24">
        <f>N14</f>
        <v>83.12</v>
      </c>
      <c r="F21" s="24" t="s">
        <v>513</v>
      </c>
      <c r="G21" s="25" t="s">
        <v>553</v>
      </c>
      <c r="H21" s="25">
        <v>22.09</v>
      </c>
      <c r="I21" s="25" t="s">
        <v>499</v>
      </c>
      <c r="J21" s="25">
        <v>10.02</v>
      </c>
      <c r="K21" s="25" t="s">
        <v>499</v>
      </c>
      <c r="L21" s="25">
        <v>160.1</v>
      </c>
      <c r="M21" s="25">
        <v>72.62</v>
      </c>
      <c r="N21" s="25">
        <v>76.61</v>
      </c>
      <c r="R21" t="s">
        <v>482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519</v>
      </c>
      <c r="Y21" t="s">
        <v>554</v>
      </c>
      <c r="Z21" t="s">
        <v>555</v>
      </c>
      <c r="AA21" t="s">
        <v>554</v>
      </c>
      <c r="AB21">
        <f>VLOOKUP(MID(AA21,1,3),$D$2:$F$27,2,FALSE)</f>
        <v>98.43</v>
      </c>
      <c r="AC21" t="s">
        <v>127</v>
      </c>
    </row>
    <row r="22" spans="1:36">
      <c r="A22" t="s">
        <v>556</v>
      </c>
      <c r="B22" t="str">
        <f t="shared" si="0"/>
        <v>BFG</v>
      </c>
      <c r="D22" s="24" t="s">
        <v>557</v>
      </c>
      <c r="E22" s="24">
        <f>E10</f>
        <v>77.19</v>
      </c>
      <c r="F22" s="24" t="s">
        <v>513</v>
      </c>
      <c r="G22" s="25" t="s">
        <v>558</v>
      </c>
      <c r="H22" s="25"/>
      <c r="I22" s="25"/>
      <c r="J22" s="25"/>
      <c r="K22" s="25"/>
      <c r="L22" s="25"/>
      <c r="M22" s="25"/>
      <c r="N22" s="25">
        <v>0</v>
      </c>
      <c r="R22" t="s">
        <v>482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519</v>
      </c>
      <c r="Y22" t="s">
        <v>102</v>
      </c>
      <c r="Z22" t="s">
        <v>559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560</v>
      </c>
      <c r="B23" t="str">
        <f t="shared" si="0"/>
        <v>BSL</v>
      </c>
      <c r="D23" s="24" t="s">
        <v>561</v>
      </c>
      <c r="E23" s="24">
        <f>N33</f>
        <v>120.4</v>
      </c>
      <c r="F23" s="24" t="s">
        <v>473</v>
      </c>
      <c r="G23" s="25" t="s">
        <v>562</v>
      </c>
      <c r="H23" s="25">
        <v>26.34</v>
      </c>
      <c r="I23" s="25" t="s">
        <v>499</v>
      </c>
      <c r="J23" s="25">
        <v>11.95</v>
      </c>
      <c r="K23" s="25" t="s">
        <v>499</v>
      </c>
      <c r="L23" s="25">
        <v>166.7</v>
      </c>
      <c r="M23" s="25">
        <v>75.61</v>
      </c>
      <c r="N23" s="25">
        <v>79.77</v>
      </c>
      <c r="R23" t="s">
        <v>482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6" t="s">
        <v>563</v>
      </c>
      <c r="Y23" t="s">
        <v>564</v>
      </c>
      <c r="Z23" t="s">
        <v>565</v>
      </c>
      <c r="AA23" t="s">
        <v>564</v>
      </c>
      <c r="AB23">
        <v>1</v>
      </c>
      <c r="AC23" t="s">
        <v>566</v>
      </c>
    </row>
    <row r="24" spans="1:36">
      <c r="A24" t="s">
        <v>567</v>
      </c>
      <c r="B24" t="str">
        <f t="shared" si="0"/>
        <v>COA</v>
      </c>
      <c r="D24" s="24" t="s">
        <v>568</v>
      </c>
      <c r="E24" s="24">
        <f>N20</f>
        <v>107.72</v>
      </c>
      <c r="F24" s="24" t="s">
        <v>513</v>
      </c>
      <c r="G24" s="25" t="s">
        <v>569</v>
      </c>
      <c r="H24" s="25">
        <v>23.62</v>
      </c>
      <c r="I24" s="25" t="s">
        <v>499</v>
      </c>
      <c r="J24" s="25">
        <v>10.72</v>
      </c>
      <c r="K24" s="25" t="s">
        <v>499</v>
      </c>
      <c r="L24" s="25">
        <v>163.6</v>
      </c>
      <c r="M24" s="25">
        <v>74.21</v>
      </c>
      <c r="N24" s="25">
        <v>78.29</v>
      </c>
      <c r="R24" t="s">
        <v>482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570</v>
      </c>
      <c r="B25" t="str">
        <f t="shared" si="0"/>
        <v>COG</v>
      </c>
      <c r="D25" s="24" t="s">
        <v>571</v>
      </c>
      <c r="E25" s="24">
        <f>E2</f>
        <v>55.99</v>
      </c>
      <c r="F25" s="24" t="s">
        <v>513</v>
      </c>
      <c r="G25" s="25" t="s">
        <v>572</v>
      </c>
      <c r="H25" s="25">
        <v>24.74</v>
      </c>
      <c r="I25" s="25" t="s">
        <v>499</v>
      </c>
      <c r="J25" s="25">
        <v>11.22</v>
      </c>
      <c r="K25" s="25" t="s">
        <v>499</v>
      </c>
      <c r="L25" s="25">
        <v>156.6</v>
      </c>
      <c r="M25" s="25">
        <v>71.03</v>
      </c>
      <c r="N25" s="25">
        <v>74.94</v>
      </c>
      <c r="R25" t="s">
        <v>482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573</v>
      </c>
      <c r="B26" t="str">
        <f t="shared" si="0"/>
        <v>COK</v>
      </c>
      <c r="D26" s="24" t="s">
        <v>574</v>
      </c>
      <c r="E26" s="24">
        <f>N9</f>
        <v>77.19</v>
      </c>
      <c r="F26" s="24" t="s">
        <v>513</v>
      </c>
      <c r="G26" s="25" t="s">
        <v>575</v>
      </c>
      <c r="H26" s="25">
        <v>20.05</v>
      </c>
      <c r="I26" s="25" t="s">
        <v>499</v>
      </c>
      <c r="J26" s="25">
        <v>9.1</v>
      </c>
      <c r="K26" s="25" t="s">
        <v>499</v>
      </c>
      <c r="L26" s="25">
        <v>160.5</v>
      </c>
      <c r="M26" s="25">
        <v>72.8</v>
      </c>
      <c r="N26" s="25">
        <v>76.81</v>
      </c>
      <c r="R26" t="s">
        <v>482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576</v>
      </c>
      <c r="B27" t="str">
        <f t="shared" si="0"/>
        <v>HFO</v>
      </c>
      <c r="D27" s="24" t="s">
        <v>577</v>
      </c>
      <c r="E27" s="24">
        <f>N36</f>
        <v>43.98</v>
      </c>
      <c r="F27" s="24" t="s">
        <v>578</v>
      </c>
      <c r="G27" s="25" t="s">
        <v>579</v>
      </c>
      <c r="H27" s="25">
        <v>21.11</v>
      </c>
      <c r="I27" s="25" t="s">
        <v>499</v>
      </c>
      <c r="J27" s="25">
        <v>9.57</v>
      </c>
      <c r="K27" s="25" t="s">
        <v>499</v>
      </c>
      <c r="L27" s="25">
        <v>160.1</v>
      </c>
      <c r="M27" s="25">
        <v>72.62</v>
      </c>
      <c r="N27" s="25">
        <v>76.61</v>
      </c>
      <c r="R27" t="s">
        <v>482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580</v>
      </c>
      <c r="B28" t="str">
        <f t="shared" si="0"/>
        <v>LPG</v>
      </c>
      <c r="G28" s="25" t="s">
        <v>581</v>
      </c>
      <c r="H28" s="25"/>
      <c r="I28" s="25"/>
      <c r="J28" s="25"/>
      <c r="K28" s="25"/>
      <c r="L28" s="25"/>
      <c r="M28" s="25"/>
      <c r="N28" s="25"/>
      <c r="R28" t="s">
        <v>482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429</v>
      </c>
      <c r="AA28" t="s">
        <v>75</v>
      </c>
    </row>
    <row r="29" spans="1:36">
      <c r="A29" t="s">
        <v>106</v>
      </c>
      <c r="B29" t="str">
        <f t="shared" si="0"/>
        <v>NGA</v>
      </c>
      <c r="G29" s="25" t="s">
        <v>582</v>
      </c>
      <c r="H29" s="29">
        <v>5685</v>
      </c>
      <c r="I29" s="25" t="s">
        <v>518</v>
      </c>
      <c r="J29" s="29">
        <v>2578.68</v>
      </c>
      <c r="K29" s="25" t="s">
        <v>518</v>
      </c>
      <c r="L29" s="25">
        <v>228.6</v>
      </c>
      <c r="M29" s="25">
        <v>103.7</v>
      </c>
      <c r="N29" s="25">
        <v>109.4</v>
      </c>
      <c r="R29" t="s">
        <v>482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483</v>
      </c>
      <c r="Y29" t="s">
        <v>583</v>
      </c>
      <c r="Z29" t="s">
        <v>584</v>
      </c>
      <c r="AA29">
        <v>0.001</v>
      </c>
    </row>
    <row r="30" spans="1:36">
      <c r="A30" t="s">
        <v>355</v>
      </c>
      <c r="B30" t="str">
        <f t="shared" si="0"/>
        <v>OIL</v>
      </c>
      <c r="G30" s="25" t="s">
        <v>585</v>
      </c>
      <c r="H30" s="29">
        <v>4931.3</v>
      </c>
      <c r="I30" s="25" t="s">
        <v>518</v>
      </c>
      <c r="J30" s="29">
        <v>2236.8</v>
      </c>
      <c r="K30" s="25" t="s">
        <v>518</v>
      </c>
      <c r="L30" s="25">
        <v>205.7</v>
      </c>
      <c r="M30" s="25">
        <v>93.3</v>
      </c>
      <c r="N30" s="25">
        <v>98.43</v>
      </c>
      <c r="R30" t="s">
        <v>482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483</v>
      </c>
      <c r="Y30" t="s">
        <v>586</v>
      </c>
      <c r="Z30" t="s">
        <v>584</v>
      </c>
      <c r="AA30">
        <v>-0.001</v>
      </c>
      <c r="AG30" s="31" t="s">
        <v>483</v>
      </c>
      <c r="AH30" s="31" t="s">
        <v>586</v>
      </c>
      <c r="AI30" s="31" t="s">
        <v>584</v>
      </c>
      <c r="AJ30" s="31">
        <v>-0.001</v>
      </c>
    </row>
    <row r="31" spans="1:36">
      <c r="A31" t="s">
        <v>587</v>
      </c>
      <c r="B31" t="str">
        <f t="shared" si="0"/>
        <v>OVC</v>
      </c>
      <c r="G31" s="25" t="s">
        <v>588</v>
      </c>
      <c r="H31" s="29">
        <v>3715.9</v>
      </c>
      <c r="I31" s="25" t="s">
        <v>518</v>
      </c>
      <c r="J31" s="29">
        <v>1685.51</v>
      </c>
      <c r="K31" s="25" t="s">
        <v>518</v>
      </c>
      <c r="L31" s="25">
        <v>214.3</v>
      </c>
      <c r="M31" s="25">
        <v>97.2</v>
      </c>
      <c r="N31" s="25">
        <v>102.55</v>
      </c>
      <c r="R31" t="s">
        <v>482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589</v>
      </c>
      <c r="B32" t="str">
        <f t="shared" si="0"/>
        <v>PTC</v>
      </c>
      <c r="G32" s="25" t="s">
        <v>590</v>
      </c>
      <c r="H32" s="29">
        <v>2791.6</v>
      </c>
      <c r="I32" s="25" t="s">
        <v>518</v>
      </c>
      <c r="J32" s="29">
        <v>1266.25</v>
      </c>
      <c r="K32" s="25" t="s">
        <v>518</v>
      </c>
      <c r="L32" s="25">
        <v>215.4</v>
      </c>
      <c r="M32" s="25">
        <v>97.7</v>
      </c>
      <c r="N32" s="25">
        <v>103.08</v>
      </c>
      <c r="R32" t="s">
        <v>482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483</v>
      </c>
      <c r="Y32" t="s">
        <v>591</v>
      </c>
      <c r="Z32" t="s">
        <v>592</v>
      </c>
      <c r="AA32">
        <v>0.001</v>
      </c>
    </row>
    <row r="33" spans="1:30">
      <c r="A33" t="s">
        <v>593</v>
      </c>
      <c r="B33" t="str">
        <f t="shared" si="0"/>
        <v>COA</v>
      </c>
      <c r="G33" s="25" t="s">
        <v>594</v>
      </c>
      <c r="H33" s="29">
        <v>6239.68</v>
      </c>
      <c r="I33" s="25" t="s">
        <v>518</v>
      </c>
      <c r="J33" s="29">
        <v>2830.27</v>
      </c>
      <c r="K33" s="25" t="s">
        <v>518</v>
      </c>
      <c r="L33" s="25">
        <v>251.6</v>
      </c>
      <c r="M33" s="25">
        <v>114.12</v>
      </c>
      <c r="N33" s="25">
        <v>120.4</v>
      </c>
      <c r="R33" t="s">
        <v>482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483</v>
      </c>
      <c r="Y33" t="s">
        <v>595</v>
      </c>
      <c r="Z33" t="s">
        <v>592</v>
      </c>
      <c r="AA33">
        <v>-0.001</v>
      </c>
    </row>
    <row r="34" spans="1:30">
      <c r="A34" t="s">
        <v>596</v>
      </c>
      <c r="B34" t="str">
        <f t="shared" si="0"/>
        <v>HFO</v>
      </c>
      <c r="G34" s="25" t="s">
        <v>597</v>
      </c>
      <c r="H34" s="25"/>
      <c r="I34" s="25"/>
      <c r="J34" s="25"/>
      <c r="K34" s="25"/>
      <c r="L34" s="25"/>
      <c r="M34" s="25"/>
      <c r="N34" s="25"/>
      <c r="R34" t="s">
        <v>482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598</v>
      </c>
      <c r="B35" t="str">
        <f t="shared" si="0"/>
        <v>KER</v>
      </c>
      <c r="G35" s="25" t="s">
        <v>599</v>
      </c>
      <c r="H35" s="25" t="s">
        <v>600</v>
      </c>
      <c r="I35" s="25"/>
      <c r="J35" s="25" t="s">
        <v>600</v>
      </c>
      <c r="K35" s="25"/>
      <c r="L35" s="25">
        <v>16.99</v>
      </c>
      <c r="M35" s="25">
        <v>7.71</v>
      </c>
      <c r="N35" s="25">
        <v>8.13</v>
      </c>
      <c r="R35" t="s">
        <v>482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483</v>
      </c>
      <c r="Y35" t="s">
        <v>601</v>
      </c>
      <c r="Z35" t="s">
        <v>602</v>
      </c>
      <c r="AA35">
        <v>0.001</v>
      </c>
    </row>
    <row r="36" spans="1:30">
      <c r="A36" t="s">
        <v>603</v>
      </c>
      <c r="B36" t="str">
        <f t="shared" si="0"/>
        <v>LPG</v>
      </c>
      <c r="G36" s="25" t="s">
        <v>604</v>
      </c>
      <c r="H36" s="29">
        <v>5771</v>
      </c>
      <c r="I36" s="25" t="s">
        <v>518</v>
      </c>
      <c r="J36" s="29">
        <v>2617.68</v>
      </c>
      <c r="K36" s="25" t="s">
        <v>518</v>
      </c>
      <c r="L36" s="25">
        <v>91.9</v>
      </c>
      <c r="M36" s="25">
        <v>41.69</v>
      </c>
      <c r="N36" s="25">
        <v>43.98</v>
      </c>
      <c r="R36" t="s">
        <v>482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6" t="s">
        <v>605</v>
      </c>
      <c r="Y36" t="s">
        <v>565</v>
      </c>
      <c r="Z36" t="s">
        <v>602</v>
      </c>
      <c r="AA36">
        <v>0.001</v>
      </c>
    </row>
    <row r="37" spans="1:30">
      <c r="A37" t="s">
        <v>297</v>
      </c>
      <c r="B37" t="str">
        <f t="shared" si="0"/>
        <v>NGA</v>
      </c>
      <c r="G37" s="25" t="s">
        <v>606</v>
      </c>
      <c r="H37" s="29">
        <v>6160</v>
      </c>
      <c r="I37" s="25" t="s">
        <v>518</v>
      </c>
      <c r="J37" s="29">
        <v>2794.13</v>
      </c>
      <c r="K37" s="25" t="s">
        <v>518</v>
      </c>
      <c r="L37" s="25">
        <v>189.54</v>
      </c>
      <c r="M37" s="25">
        <v>85.97</v>
      </c>
      <c r="N37" s="25">
        <v>90.7</v>
      </c>
      <c r="R37" t="s">
        <v>482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483</v>
      </c>
      <c r="Y37" t="s">
        <v>607</v>
      </c>
      <c r="Z37" t="s">
        <v>602</v>
      </c>
      <c r="AA37">
        <v>-0.001</v>
      </c>
    </row>
    <row r="38" spans="1:30">
      <c r="A38" t="s">
        <v>608</v>
      </c>
      <c r="B38" t="str">
        <f t="shared" si="0"/>
        <v>OIL</v>
      </c>
      <c r="G38" s="25" t="s">
        <v>609</v>
      </c>
      <c r="H38" s="25">
        <v>924</v>
      </c>
      <c r="I38" s="25" t="s">
        <v>610</v>
      </c>
      <c r="J38" s="25">
        <v>419.12</v>
      </c>
      <c r="K38" s="25" t="s">
        <v>610</v>
      </c>
      <c r="L38" s="25">
        <v>210</v>
      </c>
      <c r="M38" s="25">
        <v>95.25</v>
      </c>
      <c r="N38" s="25">
        <v>100.49</v>
      </c>
      <c r="R38" t="s">
        <v>482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483</v>
      </c>
      <c r="Y38" t="s">
        <v>564</v>
      </c>
      <c r="Z38" t="s">
        <v>602</v>
      </c>
      <c r="AA38">
        <v>-0.001</v>
      </c>
    </row>
    <row r="39" spans="1:30">
      <c r="A39" t="s">
        <v>611</v>
      </c>
      <c r="B39" t="str">
        <f t="shared" si="0"/>
        <v>BFG</v>
      </c>
      <c r="G39" s="25" t="s">
        <v>612</v>
      </c>
      <c r="H39" s="25"/>
      <c r="I39" s="25"/>
      <c r="J39" s="25"/>
      <c r="K39" s="25"/>
      <c r="L39" s="25"/>
      <c r="M39" s="25"/>
      <c r="N39" s="25"/>
      <c r="R39" t="s">
        <v>482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613</v>
      </c>
      <c r="B40" t="str">
        <f t="shared" si="0"/>
        <v>BIO</v>
      </c>
      <c r="G40" s="25" t="s">
        <v>614</v>
      </c>
      <c r="H40" s="25"/>
      <c r="I40" s="25"/>
      <c r="J40" s="25"/>
      <c r="K40" s="25"/>
      <c r="L40" s="25"/>
      <c r="M40" s="25"/>
      <c r="N40" s="25"/>
      <c r="R40" t="s">
        <v>482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483</v>
      </c>
      <c r="Y40" t="s">
        <v>615</v>
      </c>
      <c r="Z40" t="s">
        <v>616</v>
      </c>
      <c r="AA40">
        <v>0.001</v>
      </c>
    </row>
    <row r="41" spans="1:30">
      <c r="A41" t="s">
        <v>617</v>
      </c>
      <c r="B41" t="str">
        <f t="shared" si="0"/>
        <v>COA</v>
      </c>
      <c r="G41" s="25" t="s">
        <v>618</v>
      </c>
      <c r="H41" s="25"/>
      <c r="I41" s="25"/>
      <c r="J41" s="25"/>
      <c r="K41" s="25"/>
      <c r="L41" s="25"/>
      <c r="M41" s="25"/>
      <c r="N41" s="25"/>
      <c r="R41" t="s">
        <v>482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483</v>
      </c>
      <c r="Y41" t="s">
        <v>619</v>
      </c>
      <c r="Z41" t="s">
        <v>620</v>
      </c>
      <c r="AA41">
        <v>0.001</v>
      </c>
    </row>
    <row r="42" spans="1:30">
      <c r="A42" t="s">
        <v>621</v>
      </c>
      <c r="B42" t="str">
        <f t="shared" si="0"/>
        <v>COG</v>
      </c>
      <c r="R42" t="s">
        <v>482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622</v>
      </c>
      <c r="B43" t="str">
        <f t="shared" si="0"/>
        <v>NGA</v>
      </c>
      <c r="R43" t="s">
        <v>482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623</v>
      </c>
      <c r="B44" t="str">
        <f t="shared" si="0"/>
        <v>OIL</v>
      </c>
      <c r="R44" t="s">
        <v>482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624</v>
      </c>
      <c r="B45" t="str">
        <f t="shared" si="0"/>
        <v>RFG</v>
      </c>
      <c r="R45" t="s">
        <v>482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625</v>
      </c>
      <c r="B46" t="str">
        <f t="shared" si="0"/>
        <v>RPP</v>
      </c>
      <c r="R46" t="s">
        <v>482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464</v>
      </c>
      <c r="Z46" t="s">
        <v>287</v>
      </c>
      <c r="AA46" t="s">
        <v>125</v>
      </c>
      <c r="AB46">
        <v>2020</v>
      </c>
      <c r="AC46">
        <v>2050</v>
      </c>
      <c r="AD46" t="s">
        <v>309</v>
      </c>
    </row>
    <row r="47" spans="1:30">
      <c r="A47" t="s">
        <v>626</v>
      </c>
      <c r="B47" t="str">
        <f t="shared" si="0"/>
        <v>COA</v>
      </c>
      <c r="R47" t="s">
        <v>482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519</v>
      </c>
      <c r="Y47" t="s">
        <v>627</v>
      </c>
      <c r="Z47" t="s">
        <v>525</v>
      </c>
      <c r="AA47" t="s">
        <v>586</v>
      </c>
      <c r="AB47">
        <v>0.9</v>
      </c>
      <c r="AD47" t="str">
        <f>AA47</f>
        <v>CO2Captured_elc</v>
      </c>
    </row>
    <row r="48" spans="1:30">
      <c r="A48" t="s">
        <v>323</v>
      </c>
      <c r="B48" t="str">
        <f t="shared" si="0"/>
        <v>DST</v>
      </c>
      <c r="R48" t="s">
        <v>482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519</v>
      </c>
      <c r="Y48" t="s">
        <v>628</v>
      </c>
      <c r="Z48" t="s">
        <v>560</v>
      </c>
      <c r="AA48" t="s">
        <v>586</v>
      </c>
      <c r="AB48">
        <v>0.8</v>
      </c>
      <c r="AD48" t="str">
        <f>AA48</f>
        <v>CO2Captured_elc</v>
      </c>
    </row>
    <row r="49" spans="1:31">
      <c r="A49" t="s">
        <v>321</v>
      </c>
      <c r="B49" t="str">
        <f t="shared" si="0"/>
        <v>GSL</v>
      </c>
      <c r="R49" t="s">
        <v>482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519</v>
      </c>
      <c r="Y49" t="s">
        <v>629</v>
      </c>
      <c r="Z49" t="s">
        <v>304</v>
      </c>
      <c r="AA49" t="s">
        <v>586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630</v>
      </c>
      <c r="B50" t="str">
        <f t="shared" si="0"/>
        <v>HFO</v>
      </c>
      <c r="R50" t="s">
        <v>482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482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631</v>
      </c>
      <c r="B52" t="str">
        <f t="shared" si="0"/>
        <v>LPG</v>
      </c>
      <c r="R52" t="s">
        <v>482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482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632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633</v>
      </c>
      <c r="B54" t="str">
        <f t="shared" si="0"/>
        <v>BIO</v>
      </c>
      <c r="R54" t="s">
        <v>482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559</v>
      </c>
      <c r="Z54" t="s">
        <v>634</v>
      </c>
      <c r="AA54" t="s">
        <v>519</v>
      </c>
      <c r="AB54" t="s">
        <v>127</v>
      </c>
      <c r="AC54">
        <v>0.9</v>
      </c>
      <c r="AD54">
        <v>0.95</v>
      </c>
      <c r="AE54" t="s">
        <v>607</v>
      </c>
    </row>
    <row r="55" spans="1:31">
      <c r="R55" t="s">
        <v>482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549</v>
      </c>
      <c r="Y55" t="s">
        <v>550</v>
      </c>
      <c r="Z55" t="s">
        <v>634</v>
      </c>
      <c r="AA55" t="s">
        <v>519</v>
      </c>
      <c r="AB55" t="s">
        <v>127</v>
      </c>
      <c r="AC55">
        <v>0.9</v>
      </c>
      <c r="AD55">
        <v>0.95</v>
      </c>
      <c r="AE55" t="s">
        <v>607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635</v>
      </c>
      <c r="L2" t="s">
        <v>636</v>
      </c>
      <c r="R2" t="s">
        <v>636</v>
      </c>
    </row>
    <row r="3" spans="2:22">
      <c r="B3" t="s">
        <v>637</v>
      </c>
      <c r="C3" t="s">
        <v>638</v>
      </c>
      <c r="D3" t="s">
        <v>343</v>
      </c>
      <c r="E3" t="s">
        <v>58</v>
      </c>
      <c r="H3" t="s">
        <v>57</v>
      </c>
      <c r="I3" t="s">
        <v>637</v>
      </c>
      <c r="J3" t="s">
        <v>639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485</v>
      </c>
      <c r="D4">
        <v>0.08</v>
      </c>
      <c r="E4" t="s">
        <v>640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2">
        <f>-J4/1000/3</f>
        <v>-192.768433333333</v>
      </c>
      <c r="O4">
        <v>3</v>
      </c>
      <c r="P4" t="s">
        <v>382</v>
      </c>
      <c r="R4" t="str">
        <f>$I4</f>
        <v>Africa_North</v>
      </c>
      <c r="S4" t="s">
        <v>254</v>
      </c>
      <c r="T4" s="22">
        <f>-J4/1000/3</f>
        <v>-192.768433333333</v>
      </c>
      <c r="U4">
        <v>3</v>
      </c>
      <c r="V4" t="s">
        <v>584</v>
      </c>
    </row>
    <row r="5" spans="2:22">
      <c r="B5" t="s">
        <v>8</v>
      </c>
      <c r="C5" t="s">
        <v>485</v>
      </c>
      <c r="D5">
        <v>0.08</v>
      </c>
      <c r="E5" t="s">
        <v>640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2">
        <f t="shared" ref="N5:N38" si="1">-J5/1000/3</f>
        <v>-139.263366666667</v>
      </c>
      <c r="O5">
        <v>3</v>
      </c>
      <c r="P5" t="s">
        <v>382</v>
      </c>
      <c r="R5" t="str">
        <f t="shared" ref="R5:R38" si="2">$I5</f>
        <v>Africa_Other</v>
      </c>
      <c r="S5" t="s">
        <v>254</v>
      </c>
      <c r="T5" s="22">
        <f t="shared" ref="T5:T38" si="3">-J5/1000/3</f>
        <v>-139.263366666667</v>
      </c>
      <c r="U5">
        <v>3</v>
      </c>
      <c r="V5" t="s">
        <v>584</v>
      </c>
    </row>
    <row r="6" spans="2:22">
      <c r="B6" t="s">
        <v>9</v>
      </c>
      <c r="C6" t="s">
        <v>485</v>
      </c>
      <c r="D6">
        <v>0.1</v>
      </c>
      <c r="E6" t="s">
        <v>640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2">
        <f t="shared" si="1"/>
        <v>-135.969533333333</v>
      </c>
      <c r="O6">
        <v>3</v>
      </c>
      <c r="P6" t="s">
        <v>382</v>
      </c>
      <c r="R6" t="str">
        <f t="shared" si="2"/>
        <v>Australia</v>
      </c>
      <c r="S6" t="s">
        <v>254</v>
      </c>
      <c r="T6" s="22">
        <f t="shared" si="3"/>
        <v>-135.969533333333</v>
      </c>
      <c r="U6">
        <v>3</v>
      </c>
      <c r="V6" t="s">
        <v>584</v>
      </c>
    </row>
    <row r="7" spans="2:22">
      <c r="B7" t="s">
        <v>10</v>
      </c>
      <c r="C7" t="s">
        <v>485</v>
      </c>
      <c r="D7">
        <v>0.08</v>
      </c>
      <c r="E7" t="s">
        <v>640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2">
        <f t="shared" si="1"/>
        <v>-22.9255666666667</v>
      </c>
      <c r="O7">
        <v>3</v>
      </c>
      <c r="P7" t="s">
        <v>382</v>
      </c>
      <c r="R7" t="str">
        <f t="shared" si="2"/>
        <v>Austria</v>
      </c>
      <c r="S7" t="s">
        <v>254</v>
      </c>
      <c r="T7" s="22">
        <f t="shared" si="3"/>
        <v>-22.9255666666667</v>
      </c>
      <c r="U7">
        <v>3</v>
      </c>
      <c r="V7" t="s">
        <v>584</v>
      </c>
    </row>
    <row r="8" spans="2:22">
      <c r="B8" t="s">
        <v>11</v>
      </c>
      <c r="C8" t="s">
        <v>485</v>
      </c>
      <c r="D8">
        <v>0.08</v>
      </c>
      <c r="E8" t="s">
        <v>640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2">
        <f t="shared" si="1"/>
        <v>-12.5557333333333</v>
      </c>
      <c r="O8">
        <v>3</v>
      </c>
      <c r="P8" t="s">
        <v>382</v>
      </c>
      <c r="R8" t="str">
        <f t="shared" si="2"/>
        <v>Baltics</v>
      </c>
      <c r="S8" t="s">
        <v>254</v>
      </c>
      <c r="T8" s="22">
        <f t="shared" si="3"/>
        <v>-12.5557333333333</v>
      </c>
      <c r="U8">
        <v>3</v>
      </c>
      <c r="V8" t="s">
        <v>584</v>
      </c>
    </row>
    <row r="9" spans="2:22">
      <c r="B9" t="s">
        <v>12</v>
      </c>
      <c r="C9" t="s">
        <v>485</v>
      </c>
      <c r="D9">
        <v>0.08</v>
      </c>
      <c r="E9" t="s">
        <v>640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2">
        <f t="shared" si="1"/>
        <v>-89.3265333333333</v>
      </c>
      <c r="O9">
        <v>3</v>
      </c>
      <c r="P9" t="s">
        <v>382</v>
      </c>
      <c r="R9" t="str">
        <f t="shared" si="2"/>
        <v>BeNeLux</v>
      </c>
      <c r="S9" t="s">
        <v>254</v>
      </c>
      <c r="T9" s="22">
        <f t="shared" si="3"/>
        <v>-89.3265333333333</v>
      </c>
      <c r="U9">
        <v>3</v>
      </c>
      <c r="V9" t="s">
        <v>584</v>
      </c>
    </row>
    <row r="10" spans="2:22">
      <c r="B10" t="s">
        <v>13</v>
      </c>
      <c r="C10" t="s">
        <v>485</v>
      </c>
      <c r="D10">
        <v>0.0375</v>
      </c>
      <c r="E10" t="s">
        <v>640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2">
        <f t="shared" si="1"/>
        <v>-156.193133333333</v>
      </c>
      <c r="O10">
        <v>3</v>
      </c>
      <c r="P10" t="s">
        <v>382</v>
      </c>
      <c r="R10" t="str">
        <f t="shared" si="2"/>
        <v>Brazil</v>
      </c>
      <c r="S10" t="s">
        <v>254</v>
      </c>
      <c r="T10" s="22">
        <f t="shared" si="3"/>
        <v>-156.193133333333</v>
      </c>
      <c r="U10">
        <v>3</v>
      </c>
      <c r="V10" t="s">
        <v>584</v>
      </c>
    </row>
    <row r="11" spans="2:22">
      <c r="B11" t="s">
        <v>14</v>
      </c>
      <c r="C11" t="s">
        <v>485</v>
      </c>
      <c r="D11">
        <v>0.04</v>
      </c>
      <c r="E11" t="s">
        <v>640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2">
        <f t="shared" si="1"/>
        <v>-3937.68606666667</v>
      </c>
      <c r="O11">
        <v>3</v>
      </c>
      <c r="P11" t="s">
        <v>382</v>
      </c>
      <c r="R11" t="str">
        <f t="shared" si="2"/>
        <v>China</v>
      </c>
      <c r="S11" t="s">
        <v>254</v>
      </c>
      <c r="T11" s="22">
        <f t="shared" si="3"/>
        <v>-3937.68606666667</v>
      </c>
      <c r="U11">
        <v>3</v>
      </c>
      <c r="V11" t="s">
        <v>584</v>
      </c>
    </row>
    <row r="12" spans="2:22">
      <c r="B12" t="s">
        <v>15</v>
      </c>
      <c r="C12" t="s">
        <v>485</v>
      </c>
      <c r="D12">
        <v>0.08</v>
      </c>
      <c r="E12" t="s">
        <v>640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2">
        <f t="shared" si="1"/>
        <v>-10.9327666666667</v>
      </c>
      <c r="O12">
        <v>3</v>
      </c>
      <c r="P12" t="s">
        <v>382</v>
      </c>
      <c r="R12" t="str">
        <f t="shared" si="2"/>
        <v>CroSloven</v>
      </c>
      <c r="S12" t="s">
        <v>254</v>
      </c>
      <c r="T12" s="22">
        <f t="shared" si="3"/>
        <v>-10.9327666666667</v>
      </c>
      <c r="U12">
        <v>3</v>
      </c>
      <c r="V12" t="s">
        <v>584</v>
      </c>
    </row>
    <row r="13" spans="2:22">
      <c r="B13" t="s">
        <v>16</v>
      </c>
      <c r="C13" t="s">
        <v>485</v>
      </c>
      <c r="D13">
        <v>0.08</v>
      </c>
      <c r="E13" t="s">
        <v>640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2">
        <f t="shared" si="1"/>
        <v>-46.1955666666667</v>
      </c>
      <c r="O13">
        <v>3</v>
      </c>
      <c r="P13" t="s">
        <v>382</v>
      </c>
      <c r="R13" t="str">
        <f t="shared" si="2"/>
        <v>CzechSlovak</v>
      </c>
      <c r="S13" t="s">
        <v>254</v>
      </c>
      <c r="T13" s="22">
        <f t="shared" si="3"/>
        <v>-46.1955666666667</v>
      </c>
      <c r="U13">
        <v>3</v>
      </c>
      <c r="V13" t="s">
        <v>584</v>
      </c>
    </row>
    <row r="14" spans="2:22">
      <c r="B14" t="s">
        <v>17</v>
      </c>
      <c r="C14" t="s">
        <v>485</v>
      </c>
      <c r="D14">
        <v>0.08</v>
      </c>
      <c r="E14" t="s">
        <v>640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2">
        <f t="shared" si="1"/>
        <v>-107.634766666667</v>
      </c>
      <c r="O14">
        <v>3</v>
      </c>
      <c r="P14" t="s">
        <v>382</v>
      </c>
      <c r="R14" t="str">
        <f t="shared" si="2"/>
        <v>France</v>
      </c>
      <c r="S14" t="s">
        <v>254</v>
      </c>
      <c r="T14" s="22">
        <f t="shared" si="3"/>
        <v>-107.634766666667</v>
      </c>
      <c r="U14">
        <v>3</v>
      </c>
      <c r="V14" t="s">
        <v>584</v>
      </c>
    </row>
    <row r="15" spans="2:22">
      <c r="B15" t="s">
        <v>18</v>
      </c>
      <c r="C15" t="s">
        <v>485</v>
      </c>
      <c r="D15">
        <v>0.08</v>
      </c>
      <c r="E15" t="s">
        <v>640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2">
        <f t="shared" si="1"/>
        <v>-232.166733333333</v>
      </c>
      <c r="O15">
        <v>3</v>
      </c>
      <c r="P15" t="s">
        <v>382</v>
      </c>
      <c r="R15" t="str">
        <f t="shared" si="2"/>
        <v>Germany</v>
      </c>
      <c r="S15" t="s">
        <v>254</v>
      </c>
      <c r="T15" s="22">
        <f t="shared" si="3"/>
        <v>-232.166733333333</v>
      </c>
      <c r="U15">
        <v>3</v>
      </c>
      <c r="V15" t="s">
        <v>584</v>
      </c>
    </row>
    <row r="16" spans="2:22">
      <c r="B16" t="s">
        <v>19</v>
      </c>
      <c r="C16" t="s">
        <v>485</v>
      </c>
      <c r="D16">
        <v>0.08</v>
      </c>
      <c r="E16" t="s">
        <v>640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2">
        <f t="shared" si="1"/>
        <v>-22.9031666666667</v>
      </c>
      <c r="O16">
        <v>3</v>
      </c>
      <c r="P16" t="s">
        <v>382</v>
      </c>
      <c r="R16" t="str">
        <f t="shared" si="2"/>
        <v>GreeceCyp</v>
      </c>
      <c r="S16" t="s">
        <v>254</v>
      </c>
      <c r="T16" s="22">
        <f t="shared" si="3"/>
        <v>-22.9031666666667</v>
      </c>
      <c r="U16">
        <v>3</v>
      </c>
      <c r="V16" t="s">
        <v>584</v>
      </c>
    </row>
    <row r="17" spans="2:22">
      <c r="B17" t="s">
        <v>20</v>
      </c>
      <c r="C17" t="s">
        <v>485</v>
      </c>
      <c r="D17">
        <v>0.08</v>
      </c>
      <c r="E17" t="s">
        <v>640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2">
        <f t="shared" si="1"/>
        <v>-59.0969333333333</v>
      </c>
      <c r="O17">
        <v>3</v>
      </c>
      <c r="P17" t="s">
        <v>382</v>
      </c>
      <c r="R17" t="str">
        <f t="shared" si="2"/>
        <v>HunRomBul</v>
      </c>
      <c r="S17" t="s">
        <v>254</v>
      </c>
      <c r="T17" s="22">
        <f t="shared" si="3"/>
        <v>-59.0969333333333</v>
      </c>
      <c r="U17">
        <v>3</v>
      </c>
      <c r="V17" t="s">
        <v>584</v>
      </c>
    </row>
    <row r="18" spans="2:22">
      <c r="B18" t="s">
        <v>21</v>
      </c>
      <c r="C18" t="s">
        <v>485</v>
      </c>
      <c r="D18">
        <v>0.08</v>
      </c>
      <c r="E18" t="s">
        <v>640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2">
        <f t="shared" si="1"/>
        <v>-1.05893333333333</v>
      </c>
      <c r="O18">
        <v>3</v>
      </c>
      <c r="P18" t="s">
        <v>382</v>
      </c>
      <c r="R18" t="str">
        <f t="shared" si="2"/>
        <v>Iceland</v>
      </c>
      <c r="S18" t="s">
        <v>254</v>
      </c>
      <c r="T18" s="22">
        <f t="shared" si="3"/>
        <v>-1.05893333333333</v>
      </c>
      <c r="U18">
        <v>3</v>
      </c>
      <c r="V18" t="s">
        <v>584</v>
      </c>
    </row>
    <row r="19" spans="2:22">
      <c r="B19" t="s">
        <v>22</v>
      </c>
      <c r="C19" t="s">
        <v>485</v>
      </c>
      <c r="D19">
        <v>0.08</v>
      </c>
      <c r="E19" t="s">
        <v>640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2">
        <f t="shared" si="1"/>
        <v>-850.495033333333</v>
      </c>
      <c r="O19">
        <v>3</v>
      </c>
      <c r="P19" t="s">
        <v>382</v>
      </c>
      <c r="R19" t="str">
        <f t="shared" si="2"/>
        <v>India</v>
      </c>
      <c r="S19" t="s">
        <v>254</v>
      </c>
      <c r="T19" s="22">
        <f t="shared" si="3"/>
        <v>-850.495033333333</v>
      </c>
      <c r="U19">
        <v>3</v>
      </c>
      <c r="V19" t="s">
        <v>584</v>
      </c>
    </row>
    <row r="20" spans="2:22">
      <c r="B20" t="s">
        <v>23</v>
      </c>
      <c r="C20" t="s">
        <v>485</v>
      </c>
      <c r="D20">
        <v>0.08</v>
      </c>
      <c r="E20" t="s">
        <v>640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2">
        <f t="shared" si="1"/>
        <v>-12.123</v>
      </c>
      <c r="O20">
        <v>3</v>
      </c>
      <c r="P20" t="s">
        <v>382</v>
      </c>
      <c r="R20" t="str">
        <f t="shared" si="2"/>
        <v>Ireland</v>
      </c>
      <c r="S20" t="s">
        <v>254</v>
      </c>
      <c r="T20" s="22">
        <f t="shared" si="3"/>
        <v>-12.123</v>
      </c>
      <c r="U20">
        <v>3</v>
      </c>
      <c r="V20" t="s">
        <v>584</v>
      </c>
    </row>
    <row r="21" spans="2:22">
      <c r="B21" t="s">
        <v>24</v>
      </c>
      <c r="C21" t="s">
        <v>485</v>
      </c>
      <c r="D21">
        <v>0.08</v>
      </c>
      <c r="E21" t="s">
        <v>640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2">
        <f t="shared" si="1"/>
        <v>-111.411666666667</v>
      </c>
      <c r="O21">
        <v>3</v>
      </c>
      <c r="P21" t="s">
        <v>382</v>
      </c>
      <c r="R21" t="str">
        <f t="shared" si="2"/>
        <v>ItalyMal</v>
      </c>
      <c r="S21" t="s">
        <v>254</v>
      </c>
      <c r="T21" s="22">
        <f t="shared" si="3"/>
        <v>-111.411666666667</v>
      </c>
      <c r="U21">
        <v>3</v>
      </c>
      <c r="V21" t="s">
        <v>584</v>
      </c>
    </row>
    <row r="22" spans="2:22">
      <c r="B22" t="s">
        <v>25</v>
      </c>
      <c r="C22" t="s">
        <v>485</v>
      </c>
      <c r="D22">
        <v>0.1</v>
      </c>
      <c r="E22" t="s">
        <v>640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2">
        <f t="shared" si="1"/>
        <v>-374.604333333333</v>
      </c>
      <c r="O22">
        <v>3</v>
      </c>
      <c r="P22" t="s">
        <v>382</v>
      </c>
      <c r="R22" t="str">
        <f t="shared" si="2"/>
        <v>Japan</v>
      </c>
      <c r="S22" t="s">
        <v>254</v>
      </c>
      <c r="T22" s="22">
        <f t="shared" si="3"/>
        <v>-374.604333333333</v>
      </c>
      <c r="U22">
        <v>3</v>
      </c>
      <c r="V22" t="s">
        <v>584</v>
      </c>
    </row>
    <row r="23" spans="2:22">
      <c r="B23" t="s">
        <v>26</v>
      </c>
      <c r="C23" t="s">
        <v>485</v>
      </c>
      <c r="D23">
        <v>0.0375</v>
      </c>
      <c r="E23" t="s">
        <v>640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2">
        <f t="shared" si="1"/>
        <v>-268.9337</v>
      </c>
      <c r="O23">
        <v>3</v>
      </c>
      <c r="P23" t="s">
        <v>382</v>
      </c>
      <c r="R23" t="str">
        <f t="shared" si="2"/>
        <v>LatAm</v>
      </c>
      <c r="S23" t="s">
        <v>254</v>
      </c>
      <c r="T23" s="22">
        <f t="shared" si="3"/>
        <v>-268.9337</v>
      </c>
      <c r="U23">
        <v>3</v>
      </c>
      <c r="V23" t="s">
        <v>584</v>
      </c>
    </row>
    <row r="24" spans="2:22">
      <c r="B24" t="s">
        <v>27</v>
      </c>
      <c r="C24" t="s">
        <v>485</v>
      </c>
      <c r="D24">
        <v>0.01</v>
      </c>
      <c r="E24" t="s">
        <v>640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2">
        <f t="shared" si="1"/>
        <v>-534.037133333333</v>
      </c>
      <c r="O24">
        <v>3</v>
      </c>
      <c r="P24" t="s">
        <v>382</v>
      </c>
      <c r="R24" t="str">
        <f t="shared" si="2"/>
        <v>MidEast</v>
      </c>
      <c r="S24" t="s">
        <v>254</v>
      </c>
      <c r="T24" s="22">
        <f t="shared" si="3"/>
        <v>-534.037133333333</v>
      </c>
      <c r="U24">
        <v>3</v>
      </c>
      <c r="V24" t="s">
        <v>584</v>
      </c>
    </row>
    <row r="25" spans="2:22">
      <c r="B25" t="s">
        <v>28</v>
      </c>
      <c r="C25" t="s">
        <v>485</v>
      </c>
      <c r="D25">
        <v>0.025</v>
      </c>
      <c r="E25" t="s">
        <v>640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2">
        <f t="shared" si="1"/>
        <v>-2023.55366666667</v>
      </c>
      <c r="O25">
        <v>3</v>
      </c>
      <c r="P25" t="s">
        <v>382</v>
      </c>
      <c r="R25" t="str">
        <f t="shared" si="2"/>
        <v>NorthAm</v>
      </c>
      <c r="S25" t="s">
        <v>254</v>
      </c>
      <c r="T25" s="22">
        <f t="shared" si="3"/>
        <v>-2023.55366666667</v>
      </c>
      <c r="U25">
        <v>3</v>
      </c>
      <c r="V25" t="s">
        <v>584</v>
      </c>
    </row>
    <row r="26" spans="2:22">
      <c r="B26" t="s">
        <v>29</v>
      </c>
      <c r="C26" t="s">
        <v>485</v>
      </c>
      <c r="D26">
        <v>0.08</v>
      </c>
      <c r="E26" t="s">
        <v>640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2">
        <f t="shared" si="1"/>
        <v>-15.1155333333333</v>
      </c>
      <c r="O26">
        <v>3</v>
      </c>
      <c r="P26" t="s">
        <v>382</v>
      </c>
      <c r="R26" t="str">
        <f t="shared" si="2"/>
        <v>Norway</v>
      </c>
      <c r="S26" t="s">
        <v>254</v>
      </c>
      <c r="T26" s="22">
        <f t="shared" si="3"/>
        <v>-15.1155333333333</v>
      </c>
      <c r="U26">
        <v>3</v>
      </c>
      <c r="V26" t="s">
        <v>584</v>
      </c>
    </row>
    <row r="27" spans="2:22">
      <c r="B27" t="s">
        <v>30</v>
      </c>
      <c r="C27" t="s">
        <v>485</v>
      </c>
      <c r="D27">
        <v>0.08</v>
      </c>
      <c r="E27" t="s">
        <v>640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2">
        <f t="shared" si="1"/>
        <v>-104.023566666667</v>
      </c>
      <c r="O27">
        <v>3</v>
      </c>
      <c r="P27" t="s">
        <v>382</v>
      </c>
      <c r="R27" t="str">
        <f t="shared" si="2"/>
        <v>Poland</v>
      </c>
      <c r="S27" t="s">
        <v>254</v>
      </c>
      <c r="T27" s="22">
        <f t="shared" si="3"/>
        <v>-104.023566666667</v>
      </c>
      <c r="U27">
        <v>3</v>
      </c>
      <c r="V27" t="s">
        <v>584</v>
      </c>
    </row>
    <row r="28" spans="2:22">
      <c r="B28" t="s">
        <v>31</v>
      </c>
      <c r="C28" t="s">
        <v>485</v>
      </c>
      <c r="D28">
        <v>0.05</v>
      </c>
      <c r="E28" t="s">
        <v>640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2">
        <f t="shared" si="1"/>
        <v>-1163.8111</v>
      </c>
      <c r="O28">
        <v>3</v>
      </c>
      <c r="P28" t="s">
        <v>382</v>
      </c>
      <c r="R28" t="str">
        <f t="shared" si="2"/>
        <v>ROW</v>
      </c>
      <c r="S28" t="s">
        <v>254</v>
      </c>
      <c r="T28" s="22">
        <f t="shared" si="3"/>
        <v>-1163.8111</v>
      </c>
      <c r="U28">
        <v>3</v>
      </c>
      <c r="V28" t="s">
        <v>584</v>
      </c>
    </row>
    <row r="29" spans="2:22">
      <c r="B29" t="s">
        <v>32</v>
      </c>
      <c r="C29" t="s">
        <v>485</v>
      </c>
      <c r="D29">
        <v>0.05</v>
      </c>
      <c r="E29" t="s">
        <v>640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2">
        <f t="shared" si="1"/>
        <v>-639.749833333333</v>
      </c>
      <c r="O29">
        <v>3</v>
      </c>
      <c r="P29" t="s">
        <v>382</v>
      </c>
      <c r="R29" t="str">
        <f t="shared" si="2"/>
        <v>Russia</v>
      </c>
      <c r="S29" t="s">
        <v>254</v>
      </c>
      <c r="T29" s="22">
        <f t="shared" si="3"/>
        <v>-639.749833333333</v>
      </c>
      <c r="U29">
        <v>3</v>
      </c>
      <c r="V29" t="s">
        <v>584</v>
      </c>
    </row>
    <row r="30" spans="2:22">
      <c r="B30" t="s">
        <v>33</v>
      </c>
      <c r="C30" t="s">
        <v>485</v>
      </c>
      <c r="D30">
        <v>0.01</v>
      </c>
      <c r="E30" t="s">
        <v>640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2">
        <f t="shared" si="1"/>
        <v>-193.2696</v>
      </c>
      <c r="O30">
        <v>3</v>
      </c>
      <c r="P30" t="s">
        <v>382</v>
      </c>
      <c r="R30" t="str">
        <f t="shared" si="2"/>
        <v>SaudiArabia</v>
      </c>
      <c r="S30" t="s">
        <v>254</v>
      </c>
      <c r="T30" s="22">
        <f t="shared" si="3"/>
        <v>-193.2696</v>
      </c>
      <c r="U30">
        <v>3</v>
      </c>
      <c r="V30" t="s">
        <v>584</v>
      </c>
    </row>
    <row r="31" spans="2:22">
      <c r="B31" t="s">
        <v>34</v>
      </c>
      <c r="C31" t="s">
        <v>485</v>
      </c>
      <c r="D31">
        <v>0.08</v>
      </c>
      <c r="E31" t="s">
        <v>640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2">
        <f t="shared" si="1"/>
        <v>-159.181533333333</v>
      </c>
      <c r="O31">
        <v>3</v>
      </c>
      <c r="P31" t="s">
        <v>382</v>
      </c>
      <c r="R31" t="str">
        <f t="shared" si="2"/>
        <v>SouthAfrica</v>
      </c>
      <c r="S31" t="s">
        <v>254</v>
      </c>
      <c r="T31" s="22">
        <f t="shared" si="3"/>
        <v>-159.181533333333</v>
      </c>
      <c r="U31">
        <v>3</v>
      </c>
      <c r="V31" t="s">
        <v>584</v>
      </c>
    </row>
    <row r="32" spans="2:22">
      <c r="B32" t="s">
        <v>35</v>
      </c>
      <c r="C32" t="s">
        <v>485</v>
      </c>
      <c r="D32">
        <v>0.08</v>
      </c>
      <c r="E32" t="s">
        <v>640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2">
        <f t="shared" si="1"/>
        <v>-100.259766666667</v>
      </c>
      <c r="O32">
        <v>3</v>
      </c>
      <c r="P32" t="s">
        <v>382</v>
      </c>
      <c r="R32" t="str">
        <f t="shared" si="2"/>
        <v>SpainPor</v>
      </c>
      <c r="S32" t="s">
        <v>254</v>
      </c>
      <c r="T32" s="22">
        <f t="shared" si="3"/>
        <v>-100.259766666667</v>
      </c>
      <c r="U32">
        <v>3</v>
      </c>
      <c r="V32" t="s">
        <v>584</v>
      </c>
    </row>
    <row r="33" spans="2:22">
      <c r="B33" t="s">
        <v>36</v>
      </c>
      <c r="C33" t="s">
        <v>485</v>
      </c>
      <c r="D33">
        <v>0.08</v>
      </c>
      <c r="E33" t="s">
        <v>640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2">
        <f t="shared" si="1"/>
        <v>-37.9052333333333</v>
      </c>
      <c r="O33">
        <v>3</v>
      </c>
      <c r="P33" t="s">
        <v>382</v>
      </c>
      <c r="R33" t="str">
        <f t="shared" si="2"/>
        <v>SweFinDen</v>
      </c>
      <c r="S33" t="s">
        <v>254</v>
      </c>
      <c r="T33" s="22">
        <f t="shared" si="3"/>
        <v>-37.9052333333333</v>
      </c>
      <c r="U33">
        <v>3</v>
      </c>
      <c r="V33" t="s">
        <v>584</v>
      </c>
    </row>
    <row r="34" spans="2:22">
      <c r="B34" t="s">
        <v>37</v>
      </c>
      <c r="C34" t="s">
        <v>485</v>
      </c>
      <c r="D34">
        <v>0.08</v>
      </c>
      <c r="E34" t="s">
        <v>640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2">
        <f t="shared" si="1"/>
        <v>-12.7984666666667</v>
      </c>
      <c r="O34">
        <v>3</v>
      </c>
      <c r="P34" t="s">
        <v>382</v>
      </c>
      <c r="R34" t="str">
        <f t="shared" si="2"/>
        <v>Switzerland</v>
      </c>
      <c r="S34" t="s">
        <v>254</v>
      </c>
      <c r="T34" s="22">
        <f t="shared" si="3"/>
        <v>-12.7984666666667</v>
      </c>
      <c r="U34">
        <v>3</v>
      </c>
      <c r="V34" t="s">
        <v>584</v>
      </c>
    </row>
    <row r="35" spans="2:22">
      <c r="B35" t="s">
        <v>38</v>
      </c>
      <c r="C35" t="s">
        <v>485</v>
      </c>
      <c r="D35">
        <v>0.0375</v>
      </c>
      <c r="E35" t="s">
        <v>640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2">
        <f t="shared" si="1"/>
        <v>-138.159166666667</v>
      </c>
      <c r="O35">
        <v>3</v>
      </c>
      <c r="P35" t="s">
        <v>382</v>
      </c>
      <c r="R35" t="str">
        <f t="shared" si="2"/>
        <v>Turkey</v>
      </c>
      <c r="S35" t="s">
        <v>254</v>
      </c>
      <c r="T35" s="22">
        <f t="shared" si="3"/>
        <v>-138.159166666667</v>
      </c>
      <c r="U35">
        <v>3</v>
      </c>
      <c r="V35" t="s">
        <v>584</v>
      </c>
    </row>
    <row r="36" spans="2:22">
      <c r="B36" t="s">
        <v>39</v>
      </c>
      <c r="C36" t="s">
        <v>485</v>
      </c>
      <c r="D36">
        <v>0.08</v>
      </c>
      <c r="E36" t="s">
        <v>640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2">
        <f t="shared" si="1"/>
        <v>-119.671033333333</v>
      </c>
      <c r="O36">
        <v>3</v>
      </c>
      <c r="P36" t="s">
        <v>382</v>
      </c>
      <c r="R36" t="str">
        <f t="shared" si="2"/>
        <v>UK</v>
      </c>
      <c r="S36" t="s">
        <v>254</v>
      </c>
      <c r="T36" s="22">
        <f t="shared" si="3"/>
        <v>-119.671033333333</v>
      </c>
      <c r="U36">
        <v>3</v>
      </c>
      <c r="V36" t="s">
        <v>584</v>
      </c>
    </row>
    <row r="37" spans="2:22">
      <c r="B37" t="s">
        <v>40</v>
      </c>
      <c r="C37" t="s">
        <v>485</v>
      </c>
      <c r="D37">
        <v>0.0375</v>
      </c>
      <c r="E37" t="s">
        <v>640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2">
        <f t="shared" si="1"/>
        <v>-72.3399333333333</v>
      </c>
      <c r="O37">
        <v>3</v>
      </c>
      <c r="P37" t="s">
        <v>382</v>
      </c>
      <c r="R37" t="str">
        <f t="shared" si="2"/>
        <v>Ukraine</v>
      </c>
      <c r="S37" t="s">
        <v>254</v>
      </c>
      <c r="T37" s="22">
        <f t="shared" si="3"/>
        <v>-72.3399333333333</v>
      </c>
      <c r="U37">
        <v>3</v>
      </c>
      <c r="V37" t="s">
        <v>584</v>
      </c>
    </row>
    <row r="38" spans="2:22">
      <c r="B38" t="s">
        <v>41</v>
      </c>
      <c r="C38" t="s">
        <v>485</v>
      </c>
      <c r="D38">
        <v>0.0375</v>
      </c>
      <c r="E38" t="s">
        <v>640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2">
        <f t="shared" si="1"/>
        <v>-9.19383333333333</v>
      </c>
      <c r="O38">
        <v>3</v>
      </c>
      <c r="P38" t="s">
        <v>382</v>
      </c>
      <c r="R38" t="str">
        <f t="shared" si="2"/>
        <v>WestBalkans</v>
      </c>
      <c r="S38" t="s">
        <v>254</v>
      </c>
      <c r="T38" s="22">
        <f t="shared" si="3"/>
        <v>-9.19383333333333</v>
      </c>
      <c r="U38">
        <v>3</v>
      </c>
      <c r="V38" t="s">
        <v>584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tabSelected="1" zoomScale="60" zoomScaleNormal="60" topLeftCell="I1" workbookViewId="0">
      <selection activeCell="Q12" sqref="Q12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7"/>
    <col min="26" max="26" width="21.2545454545455" customWidth="1"/>
    <col min="33" max="33" width="15.1454545454545" customWidth="1"/>
  </cols>
  <sheetData>
    <row r="1" spans="1:34">
      <c r="Z1" s="8" t="s">
        <v>638</v>
      </c>
      <c r="AA1" s="8" t="s">
        <v>641</v>
      </c>
      <c r="AF1" s="8" t="s">
        <v>638</v>
      </c>
      <c r="AG1" s="8" t="s">
        <v>642</v>
      </c>
      <c r="AH1" s="8"/>
    </row>
    <row r="2" ht="29" spans="1:34">
      <c r="Z2" s="9" t="s">
        <v>643</v>
      </c>
      <c r="AA2" s="9">
        <v>21.6</v>
      </c>
      <c r="AB2">
        <f>-AA2</f>
        <v>-21.6</v>
      </c>
      <c r="AF2" s="9" t="s">
        <v>644</v>
      </c>
      <c r="AG2" s="9">
        <v>120</v>
      </c>
      <c r="AH2" s="9">
        <f>-AG2</f>
        <v>-120</v>
      </c>
    </row>
    <row r="3" ht="29" spans="1:34">
      <c r="B3" t="s">
        <v>1</v>
      </c>
      <c r="Z3" s="9" t="s">
        <v>645</v>
      </c>
      <c r="AA3" s="9">
        <v>28.8</v>
      </c>
      <c r="AB3">
        <f t="shared" ref="AB3:AB34" si="0">-AA3</f>
        <v>-28.8</v>
      </c>
      <c r="AF3" s="9" t="s">
        <v>646</v>
      </c>
      <c r="AG3" s="9">
        <v>134</v>
      </c>
      <c r="AH3" s="9">
        <f t="shared" ref="AH3:AH19" si="1">-AG3</f>
        <v>-134</v>
      </c>
    </row>
    <row r="4" ht="29" spans="1:3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1"/>
      <c r="V4" s="11"/>
      <c r="W4" s="11"/>
      <c r="X4" s="11"/>
      <c r="Y4" s="11"/>
      <c r="Z4" s="12" t="s">
        <v>647</v>
      </c>
      <c r="AA4" s="9">
        <v>36</v>
      </c>
      <c r="AB4">
        <f t="shared" si="0"/>
        <v>-36</v>
      </c>
      <c r="AF4" s="9" t="s">
        <v>648</v>
      </c>
      <c r="AG4" s="9">
        <v>149</v>
      </c>
      <c r="AH4" s="9">
        <f t="shared" si="1"/>
        <v>-149</v>
      </c>
    </row>
    <row r="5" ht="29" spans="1:34">
      <c r="A5" s="10"/>
      <c r="B5" s="13"/>
      <c r="C5" s="13" t="s">
        <v>649</v>
      </c>
      <c r="D5" s="13"/>
      <c r="E5" s="13"/>
      <c r="F5" s="13"/>
      <c r="G5" s="13"/>
      <c r="H5" s="13"/>
      <c r="I5" s="13"/>
      <c r="J5" s="10"/>
      <c r="K5" s="10"/>
      <c r="L5" s="10"/>
      <c r="M5" s="13"/>
      <c r="N5" s="13" t="s">
        <v>650</v>
      </c>
      <c r="O5" s="13"/>
      <c r="P5" s="13"/>
      <c r="Q5" s="13"/>
      <c r="R5" s="13"/>
      <c r="S5" s="13"/>
      <c r="T5" s="13"/>
      <c r="U5" s="11"/>
      <c r="V5" s="11"/>
      <c r="W5" s="11"/>
      <c r="X5" s="11"/>
      <c r="Y5" s="11"/>
      <c r="Z5" s="12" t="s">
        <v>651</v>
      </c>
      <c r="AA5" s="9">
        <v>45</v>
      </c>
      <c r="AB5">
        <f t="shared" si="0"/>
        <v>-45</v>
      </c>
      <c r="AF5" s="9" t="s">
        <v>652</v>
      </c>
      <c r="AG5" s="9">
        <v>163</v>
      </c>
      <c r="AH5" s="9">
        <f t="shared" si="1"/>
        <v>-163</v>
      </c>
    </row>
    <row r="6" ht="29" spans="1:34">
      <c r="A6" s="10"/>
      <c r="B6" s="13" t="s">
        <v>4</v>
      </c>
      <c r="C6" s="13" t="s">
        <v>5</v>
      </c>
      <c r="D6" s="13" t="s">
        <v>77</v>
      </c>
      <c r="E6" s="13" t="s">
        <v>6</v>
      </c>
      <c r="F6" s="13">
        <v>2020</v>
      </c>
      <c r="G6" s="13">
        <v>0</v>
      </c>
      <c r="H6" s="13" t="s">
        <v>76</v>
      </c>
      <c r="I6" s="13" t="s">
        <v>91</v>
      </c>
      <c r="J6" s="10"/>
      <c r="K6" s="10"/>
      <c r="L6" s="10"/>
      <c r="M6" s="13" t="s">
        <v>4</v>
      </c>
      <c r="N6" s="13" t="s">
        <v>5</v>
      </c>
      <c r="O6" s="13" t="s">
        <v>77</v>
      </c>
      <c r="P6" s="13" t="s">
        <v>6</v>
      </c>
      <c r="Q6" s="13">
        <v>2020</v>
      </c>
      <c r="R6" s="13">
        <v>0</v>
      </c>
      <c r="S6" s="13" t="s">
        <v>76</v>
      </c>
      <c r="T6" s="13" t="s">
        <v>91</v>
      </c>
      <c r="U6" s="11"/>
      <c r="V6" s="11"/>
      <c r="W6" s="11"/>
      <c r="X6" s="11"/>
      <c r="Y6" s="11"/>
      <c r="Z6" s="12" t="s">
        <v>653</v>
      </c>
      <c r="AA6" s="9">
        <v>54</v>
      </c>
      <c r="AB6">
        <f t="shared" si="0"/>
        <v>-54</v>
      </c>
      <c r="AF6" s="9" t="s">
        <v>654</v>
      </c>
      <c r="AG6" s="9">
        <v>177</v>
      </c>
      <c r="AH6" s="9">
        <f t="shared" si="1"/>
        <v>-177</v>
      </c>
    </row>
    <row r="7" s="5" customFormat="1" ht="29" spans="1:34">
      <c r="A7" s="10"/>
      <c r="B7" s="13" t="s">
        <v>655</v>
      </c>
      <c r="C7" s="13" t="s">
        <v>303</v>
      </c>
      <c r="D7" s="13" t="s">
        <v>97</v>
      </c>
      <c r="E7" s="13">
        <f>1/0.05</f>
        <v>20</v>
      </c>
      <c r="F7" s="13">
        <v>0</v>
      </c>
      <c r="G7" s="13">
        <v>3</v>
      </c>
      <c r="H7" s="13" t="s">
        <v>656</v>
      </c>
      <c r="I7" s="13" t="s">
        <v>657</v>
      </c>
      <c r="J7" s="10"/>
      <c r="K7" s="10"/>
      <c r="L7" s="10"/>
      <c r="M7" s="13" t="s">
        <v>658</v>
      </c>
      <c r="N7" s="13" t="s">
        <v>659</v>
      </c>
      <c r="O7" s="13" t="s">
        <v>656</v>
      </c>
      <c r="P7" s="14">
        <v>1</v>
      </c>
      <c r="Q7" s="13">
        <v>0</v>
      </c>
      <c r="R7" s="13">
        <v>3</v>
      </c>
      <c r="S7" s="13"/>
      <c r="T7" s="13" t="s">
        <v>660</v>
      </c>
      <c r="U7" s="11"/>
      <c r="V7" s="11"/>
      <c r="W7" s="11"/>
      <c r="X7" s="11"/>
      <c r="Y7" s="11"/>
      <c r="Z7" s="12" t="s">
        <v>661</v>
      </c>
      <c r="AA7" s="9">
        <v>63</v>
      </c>
      <c r="AB7">
        <f t="shared" si="0"/>
        <v>-63</v>
      </c>
      <c r="AC7"/>
      <c r="AD7"/>
      <c r="AE7"/>
      <c r="AF7" s="9" t="s">
        <v>662</v>
      </c>
      <c r="AG7" s="9">
        <v>191</v>
      </c>
      <c r="AH7" s="9">
        <f t="shared" si="1"/>
        <v>-191</v>
      </c>
    </row>
    <row r="8" ht="29" spans="1:34">
      <c r="A8" s="10"/>
      <c r="B8" s="13"/>
      <c r="C8" s="13" t="s">
        <v>112</v>
      </c>
      <c r="D8" s="15"/>
      <c r="E8" s="16">
        <v>-120</v>
      </c>
      <c r="F8" s="15"/>
      <c r="G8" s="15"/>
      <c r="H8" s="15"/>
      <c r="I8" s="16" t="s">
        <v>644</v>
      </c>
      <c r="J8" s="10"/>
      <c r="K8" s="10"/>
      <c r="L8" s="10"/>
      <c r="M8" s="13"/>
      <c r="N8" s="13" t="s">
        <v>112</v>
      </c>
      <c r="O8" s="13"/>
      <c r="P8" s="17">
        <v>-21.6</v>
      </c>
      <c r="Q8" s="13"/>
      <c r="R8" s="13"/>
      <c r="S8" s="13"/>
      <c r="T8" s="16" t="s">
        <v>643</v>
      </c>
      <c r="U8" s="11"/>
      <c r="V8" s="11"/>
      <c r="W8" s="11"/>
      <c r="X8" s="11"/>
      <c r="Y8" s="11"/>
      <c r="Z8" s="12" t="s">
        <v>663</v>
      </c>
      <c r="AA8" s="9">
        <v>72</v>
      </c>
      <c r="AB8">
        <f t="shared" si="0"/>
        <v>-72</v>
      </c>
      <c r="AF8" s="9" t="s">
        <v>664</v>
      </c>
      <c r="AG8" s="9">
        <v>206</v>
      </c>
      <c r="AH8" s="9">
        <f t="shared" si="1"/>
        <v>-206</v>
      </c>
    </row>
    <row r="9" ht="29" spans="1:34">
      <c r="A9" s="10"/>
      <c r="B9" s="13"/>
      <c r="C9" s="13" t="s">
        <v>112</v>
      </c>
      <c r="D9" s="15"/>
      <c r="E9" s="16">
        <v>-134</v>
      </c>
      <c r="F9" s="15"/>
      <c r="G9" s="15"/>
      <c r="H9" s="15"/>
      <c r="I9" s="16" t="s">
        <v>646</v>
      </c>
      <c r="J9" s="10"/>
      <c r="K9" s="10"/>
      <c r="L9" s="10"/>
      <c r="M9" s="13"/>
      <c r="N9" s="13" t="s">
        <v>112</v>
      </c>
      <c r="O9" s="13"/>
      <c r="P9" s="17">
        <v>-28.8</v>
      </c>
      <c r="Q9" s="13"/>
      <c r="R9" s="13"/>
      <c r="S9" s="13"/>
      <c r="T9" s="16" t="s">
        <v>645</v>
      </c>
      <c r="U9" s="11"/>
      <c r="V9" s="11"/>
      <c r="W9" s="11"/>
      <c r="X9" s="11"/>
      <c r="Y9" s="11"/>
      <c r="Z9" s="12" t="s">
        <v>665</v>
      </c>
      <c r="AA9" s="9">
        <v>90</v>
      </c>
      <c r="AB9">
        <f t="shared" si="0"/>
        <v>-90</v>
      </c>
      <c r="AF9" s="9" t="s">
        <v>666</v>
      </c>
      <c r="AG9" s="9">
        <v>220</v>
      </c>
      <c r="AH9" s="9">
        <f t="shared" si="1"/>
        <v>-220</v>
      </c>
    </row>
    <row r="10" ht="29" spans="1:34">
      <c r="A10" s="10"/>
      <c r="B10" s="13"/>
      <c r="C10" s="13" t="s">
        <v>112</v>
      </c>
      <c r="D10" s="13"/>
      <c r="E10" s="16">
        <v>-149</v>
      </c>
      <c r="F10" s="13"/>
      <c r="G10" s="13"/>
      <c r="H10" s="13"/>
      <c r="I10" s="16" t="s">
        <v>648</v>
      </c>
      <c r="J10" s="10"/>
      <c r="K10" s="10"/>
      <c r="L10" s="10"/>
      <c r="M10" s="13"/>
      <c r="N10" s="13" t="s">
        <v>112</v>
      </c>
      <c r="O10" s="13"/>
      <c r="P10" s="17">
        <v>-36</v>
      </c>
      <c r="Q10" s="13"/>
      <c r="R10" s="13"/>
      <c r="S10" s="13"/>
      <c r="T10" s="16" t="s">
        <v>647</v>
      </c>
      <c r="U10" s="11"/>
      <c r="V10" s="11"/>
      <c r="W10" s="11"/>
      <c r="X10" s="11"/>
      <c r="Y10" s="11"/>
      <c r="Z10" s="12" t="s">
        <v>667</v>
      </c>
      <c r="AA10" s="9">
        <v>36</v>
      </c>
      <c r="AB10">
        <f t="shared" si="0"/>
        <v>-36</v>
      </c>
      <c r="AF10" s="9" t="s">
        <v>651</v>
      </c>
      <c r="AG10" s="9">
        <v>45</v>
      </c>
      <c r="AH10" s="9">
        <f t="shared" si="1"/>
        <v>-45</v>
      </c>
    </row>
    <row r="11" ht="29" spans="1:34">
      <c r="A11" s="10"/>
      <c r="B11" s="13"/>
      <c r="C11" s="13" t="s">
        <v>112</v>
      </c>
      <c r="D11" s="13"/>
      <c r="E11" s="16">
        <v>-163</v>
      </c>
      <c r="F11" s="13"/>
      <c r="G11" s="13"/>
      <c r="H11" s="13"/>
      <c r="I11" s="16" t="s">
        <v>652</v>
      </c>
      <c r="J11" s="10"/>
      <c r="K11" s="10"/>
      <c r="L11" s="10"/>
      <c r="M11" s="13"/>
      <c r="N11" s="13" t="s">
        <v>112</v>
      </c>
      <c r="O11" s="13"/>
      <c r="P11" s="17">
        <v>-45</v>
      </c>
      <c r="Q11" s="13"/>
      <c r="R11" s="13"/>
      <c r="S11" s="13"/>
      <c r="T11" s="16" t="s">
        <v>651</v>
      </c>
      <c r="U11" s="11"/>
      <c r="V11" s="11"/>
      <c r="W11" s="11"/>
      <c r="X11" s="11"/>
      <c r="Y11" s="11"/>
      <c r="Z11" s="12" t="s">
        <v>668</v>
      </c>
      <c r="AA11" s="9">
        <v>48</v>
      </c>
      <c r="AB11">
        <f t="shared" si="0"/>
        <v>-48</v>
      </c>
      <c r="AF11" s="9" t="s">
        <v>653</v>
      </c>
      <c r="AG11" s="9">
        <v>54</v>
      </c>
      <c r="AH11" s="9">
        <f t="shared" si="1"/>
        <v>-54</v>
      </c>
    </row>
    <row r="12" s="6" customFormat="1" ht="29" spans="1:34">
      <c r="A12" s="10"/>
      <c r="B12" s="13"/>
      <c r="C12" s="13" t="s">
        <v>112</v>
      </c>
      <c r="D12" s="13"/>
      <c r="E12" s="16">
        <v>-177</v>
      </c>
      <c r="F12" s="13"/>
      <c r="G12" s="13"/>
      <c r="H12" s="13"/>
      <c r="I12" s="16" t="s">
        <v>654</v>
      </c>
      <c r="J12" s="10"/>
      <c r="K12" s="10"/>
      <c r="L12" s="10"/>
      <c r="M12" s="13"/>
      <c r="N12" s="13" t="s">
        <v>112</v>
      </c>
      <c r="O12" s="13"/>
      <c r="P12" s="17">
        <v>-54</v>
      </c>
      <c r="Q12" s="13"/>
      <c r="R12" s="13"/>
      <c r="S12" s="13"/>
      <c r="T12" s="16" t="s">
        <v>653</v>
      </c>
      <c r="U12" s="11"/>
      <c r="V12" s="11"/>
      <c r="W12" s="11"/>
      <c r="X12" s="11"/>
      <c r="Y12" s="11"/>
      <c r="Z12" s="12" t="s">
        <v>669</v>
      </c>
      <c r="AA12" s="9">
        <v>60</v>
      </c>
      <c r="AB12">
        <f t="shared" si="0"/>
        <v>-60</v>
      </c>
      <c r="AC12"/>
      <c r="AD12"/>
      <c r="AE12"/>
      <c r="AF12" s="9" t="s">
        <v>661</v>
      </c>
      <c r="AG12" s="9">
        <v>63</v>
      </c>
      <c r="AH12" s="9">
        <f t="shared" si="1"/>
        <v>-63</v>
      </c>
    </row>
    <row r="13" s="6" customFormat="1" ht="29" spans="1:34">
      <c r="A13" s="10"/>
      <c r="B13" s="13"/>
      <c r="C13" s="13" t="s">
        <v>112</v>
      </c>
      <c r="D13" s="13"/>
      <c r="E13" s="16">
        <v>-191</v>
      </c>
      <c r="F13" s="13"/>
      <c r="G13" s="13"/>
      <c r="H13" s="13"/>
      <c r="I13" s="16" t="s">
        <v>662</v>
      </c>
      <c r="J13" s="10"/>
      <c r="K13" s="10"/>
      <c r="L13" s="10"/>
      <c r="M13" s="13"/>
      <c r="N13" s="13" t="s">
        <v>112</v>
      </c>
      <c r="O13" s="13"/>
      <c r="P13" s="17">
        <v>-63</v>
      </c>
      <c r="Q13" s="13"/>
      <c r="R13" s="13"/>
      <c r="S13" s="13"/>
      <c r="T13" s="16" t="s">
        <v>661</v>
      </c>
      <c r="U13" s="11"/>
      <c r="V13" s="11"/>
      <c r="W13" s="11"/>
      <c r="X13" s="11"/>
      <c r="Y13" s="11"/>
      <c r="Z13" s="12" t="s">
        <v>670</v>
      </c>
      <c r="AA13" s="9">
        <v>75</v>
      </c>
      <c r="AB13">
        <f t="shared" si="0"/>
        <v>-75</v>
      </c>
      <c r="AC13"/>
      <c r="AD13"/>
      <c r="AE13"/>
      <c r="AF13" s="9" t="s">
        <v>663</v>
      </c>
      <c r="AG13" s="9">
        <v>72</v>
      </c>
      <c r="AH13" s="9">
        <f t="shared" si="1"/>
        <v>-72</v>
      </c>
    </row>
    <row r="14" s="6" customFormat="1" ht="29" spans="1:34">
      <c r="A14" s="10"/>
      <c r="B14" s="13"/>
      <c r="C14" s="13" t="s">
        <v>112</v>
      </c>
      <c r="D14" s="13"/>
      <c r="E14" s="16">
        <v>-206</v>
      </c>
      <c r="F14" s="13"/>
      <c r="G14" s="13"/>
      <c r="H14" s="13"/>
      <c r="I14" s="16" t="s">
        <v>664</v>
      </c>
      <c r="J14" s="10"/>
      <c r="K14" s="10"/>
      <c r="L14" s="10"/>
      <c r="M14" s="13"/>
      <c r="N14" s="13" t="s">
        <v>112</v>
      </c>
      <c r="O14" s="13"/>
      <c r="P14" s="17">
        <v>-72</v>
      </c>
      <c r="Q14" s="13"/>
      <c r="R14" s="13"/>
      <c r="S14" s="13"/>
      <c r="T14" s="16" t="s">
        <v>663</v>
      </c>
      <c r="U14" s="11"/>
      <c r="V14" s="11"/>
      <c r="W14" s="11"/>
      <c r="X14" s="11"/>
      <c r="Y14" s="11"/>
      <c r="Z14" s="12" t="s">
        <v>671</v>
      </c>
      <c r="AA14" s="9">
        <v>90</v>
      </c>
      <c r="AB14">
        <f t="shared" si="0"/>
        <v>-90</v>
      </c>
      <c r="AC14"/>
      <c r="AD14"/>
      <c r="AE14"/>
      <c r="AF14" s="9" t="s">
        <v>665</v>
      </c>
      <c r="AG14" s="9">
        <v>90</v>
      </c>
      <c r="AH14" s="9">
        <f t="shared" si="1"/>
        <v>-90</v>
      </c>
    </row>
    <row r="15" s="6" customFormat="1" ht="29" spans="1:34">
      <c r="A15" s="10"/>
      <c r="B15" s="13"/>
      <c r="C15" s="13" t="s">
        <v>112</v>
      </c>
      <c r="D15" s="13"/>
      <c r="E15" s="16">
        <v>-220</v>
      </c>
      <c r="F15" s="13"/>
      <c r="G15" s="13"/>
      <c r="H15" s="13"/>
      <c r="I15" s="16" t="s">
        <v>666</v>
      </c>
      <c r="J15" s="10"/>
      <c r="K15" s="10"/>
      <c r="L15" s="10"/>
      <c r="M15" s="13"/>
      <c r="N15" s="13" t="s">
        <v>112</v>
      </c>
      <c r="O15" s="13"/>
      <c r="P15" s="17">
        <v>-90</v>
      </c>
      <c r="Q15" s="13"/>
      <c r="R15" s="13"/>
      <c r="S15" s="13"/>
      <c r="T15" s="16" t="s">
        <v>665</v>
      </c>
      <c r="U15" s="11"/>
      <c r="V15" s="11"/>
      <c r="W15" s="11"/>
      <c r="X15" s="11"/>
      <c r="Y15" s="11"/>
      <c r="Z15" s="12" t="s">
        <v>672</v>
      </c>
      <c r="AA15" s="9">
        <v>105</v>
      </c>
      <c r="AB15">
        <f t="shared" si="0"/>
        <v>-105</v>
      </c>
      <c r="AC15"/>
      <c r="AD15"/>
      <c r="AE15"/>
      <c r="AF15" s="9" t="s">
        <v>670</v>
      </c>
      <c r="AG15" s="9">
        <v>75</v>
      </c>
      <c r="AH15" s="9">
        <f t="shared" si="1"/>
        <v>-75</v>
      </c>
    </row>
    <row r="16" ht="29" spans="1:34">
      <c r="A16" s="10"/>
      <c r="B16" s="13"/>
      <c r="C16" s="13" t="s">
        <v>112</v>
      </c>
      <c r="D16" s="13"/>
      <c r="E16" s="16">
        <v>-45</v>
      </c>
      <c r="F16" s="13"/>
      <c r="G16" s="13"/>
      <c r="H16" s="13"/>
      <c r="I16" s="16" t="s">
        <v>651</v>
      </c>
      <c r="J16" s="10"/>
      <c r="K16" s="10"/>
      <c r="L16" s="10"/>
      <c r="M16" s="13"/>
      <c r="N16" s="13" t="s">
        <v>112</v>
      </c>
      <c r="O16" s="13"/>
      <c r="P16" s="17">
        <v>-36</v>
      </c>
      <c r="Q16" s="13"/>
      <c r="R16" s="13"/>
      <c r="S16" s="13"/>
      <c r="T16" s="16" t="s">
        <v>667</v>
      </c>
      <c r="U16" s="11"/>
      <c r="V16" s="11"/>
      <c r="W16" s="11"/>
      <c r="X16" s="11"/>
      <c r="Y16" s="11"/>
      <c r="Z16" s="12" t="s">
        <v>673</v>
      </c>
      <c r="AA16" s="9">
        <v>120</v>
      </c>
      <c r="AB16">
        <f t="shared" si="0"/>
        <v>-120</v>
      </c>
      <c r="AF16" s="9" t="s">
        <v>671</v>
      </c>
      <c r="AG16" s="9">
        <v>90</v>
      </c>
      <c r="AH16" s="9">
        <f t="shared" si="1"/>
        <v>-90</v>
      </c>
    </row>
    <row r="17" ht="29" spans="1:34">
      <c r="A17" s="10"/>
      <c r="B17" s="13"/>
      <c r="C17" s="13" t="s">
        <v>112</v>
      </c>
      <c r="D17" s="13"/>
      <c r="E17" s="16">
        <v>-54</v>
      </c>
      <c r="F17" s="13"/>
      <c r="G17" s="13"/>
      <c r="H17" s="13"/>
      <c r="I17" s="16" t="s">
        <v>653</v>
      </c>
      <c r="J17" s="10"/>
      <c r="K17" s="10"/>
      <c r="L17" s="10"/>
      <c r="M17" s="13"/>
      <c r="N17" s="13" t="s">
        <v>112</v>
      </c>
      <c r="O17" s="13"/>
      <c r="P17" s="17">
        <v>-48</v>
      </c>
      <c r="Q17" s="13"/>
      <c r="R17" s="13"/>
      <c r="S17" s="13"/>
      <c r="T17" s="16" t="s">
        <v>668</v>
      </c>
      <c r="U17" s="11"/>
      <c r="V17" s="11"/>
      <c r="W17" s="11"/>
      <c r="X17" s="11"/>
      <c r="Y17" s="11"/>
      <c r="Z17" s="12" t="s">
        <v>674</v>
      </c>
      <c r="AA17" s="9">
        <v>150</v>
      </c>
      <c r="AB17">
        <f t="shared" si="0"/>
        <v>-150</v>
      </c>
      <c r="AF17" s="9" t="s">
        <v>672</v>
      </c>
      <c r="AG17" s="9">
        <v>105</v>
      </c>
      <c r="AH17" s="9">
        <f t="shared" si="1"/>
        <v>-105</v>
      </c>
    </row>
    <row r="18" ht="29" spans="1:34">
      <c r="A18" s="10"/>
      <c r="B18" s="13"/>
      <c r="C18" s="13" t="s">
        <v>112</v>
      </c>
      <c r="D18" s="13"/>
      <c r="E18" s="16">
        <v>-63</v>
      </c>
      <c r="F18" s="13"/>
      <c r="G18" s="13"/>
      <c r="H18" s="13"/>
      <c r="I18" s="16" t="s">
        <v>661</v>
      </c>
      <c r="J18" s="10"/>
      <c r="K18" s="10"/>
      <c r="L18" s="10"/>
      <c r="M18" s="13"/>
      <c r="N18" s="13" t="s">
        <v>112</v>
      </c>
      <c r="O18" s="13"/>
      <c r="P18" s="17">
        <v>-60</v>
      </c>
      <c r="Q18" s="13"/>
      <c r="R18" s="13"/>
      <c r="S18" s="13"/>
      <c r="T18" s="16" t="s">
        <v>669</v>
      </c>
      <c r="U18" s="11"/>
      <c r="V18" s="11"/>
      <c r="W18" s="11"/>
      <c r="X18" s="11"/>
      <c r="Y18" s="11"/>
      <c r="Z18" s="12" t="s">
        <v>675</v>
      </c>
      <c r="AA18" s="9">
        <v>180</v>
      </c>
      <c r="AB18">
        <f t="shared" si="0"/>
        <v>-180</v>
      </c>
      <c r="AF18" s="9" t="s">
        <v>673</v>
      </c>
      <c r="AG18" s="9">
        <v>120</v>
      </c>
      <c r="AH18" s="9">
        <f t="shared" si="1"/>
        <v>-120</v>
      </c>
    </row>
    <row r="19" s="5" customFormat="1" ht="29" spans="1:34">
      <c r="A19" s="10"/>
      <c r="B19" s="13"/>
      <c r="C19" s="13" t="s">
        <v>112</v>
      </c>
      <c r="D19" s="13"/>
      <c r="E19" s="16">
        <v>-72</v>
      </c>
      <c r="F19" s="13"/>
      <c r="G19" s="13"/>
      <c r="H19" s="13"/>
      <c r="I19" s="16" t="s">
        <v>663</v>
      </c>
      <c r="J19" s="10"/>
      <c r="K19" s="10"/>
      <c r="L19" s="10"/>
      <c r="M19" s="13"/>
      <c r="N19" s="13" t="s">
        <v>112</v>
      </c>
      <c r="O19" s="13"/>
      <c r="P19" s="17">
        <v>-75</v>
      </c>
      <c r="Q19" s="13"/>
      <c r="R19" s="13"/>
      <c r="S19" s="13"/>
      <c r="T19" s="16" t="s">
        <v>670</v>
      </c>
      <c r="U19" s="11"/>
      <c r="V19" s="11"/>
      <c r="W19" s="11"/>
      <c r="X19" s="11"/>
      <c r="Y19" s="11"/>
      <c r="Z19" s="12" t="s">
        <v>676</v>
      </c>
      <c r="AA19" s="9">
        <v>214.8</v>
      </c>
      <c r="AB19">
        <f t="shared" si="0"/>
        <v>-214.8</v>
      </c>
      <c r="AC19"/>
      <c r="AD19"/>
      <c r="AE19"/>
      <c r="AF19" s="9" t="s">
        <v>674</v>
      </c>
      <c r="AG19" s="9">
        <v>150</v>
      </c>
      <c r="AH19" s="9">
        <f t="shared" si="1"/>
        <v>-150</v>
      </c>
    </row>
    <row r="20" spans="1:34">
      <c r="A20" s="10"/>
      <c r="B20" s="13"/>
      <c r="C20" s="13" t="s">
        <v>112</v>
      </c>
      <c r="D20" s="13"/>
      <c r="E20" s="16">
        <v>-90</v>
      </c>
      <c r="F20" s="13"/>
      <c r="G20" s="13"/>
      <c r="H20" s="13"/>
      <c r="I20" s="16" t="s">
        <v>665</v>
      </c>
      <c r="J20" s="10"/>
      <c r="K20" s="10"/>
      <c r="L20" s="10"/>
      <c r="M20" s="13"/>
      <c r="N20" s="13" t="s">
        <v>112</v>
      </c>
      <c r="O20" s="13"/>
      <c r="P20" s="17">
        <v>-90</v>
      </c>
      <c r="Q20" s="13"/>
      <c r="R20" s="13"/>
      <c r="S20" s="13"/>
      <c r="T20" s="16" t="s">
        <v>671</v>
      </c>
      <c r="U20" s="11"/>
      <c r="V20" s="11"/>
      <c r="W20" s="11"/>
      <c r="X20" s="11"/>
      <c r="Y20" s="11"/>
      <c r="Z20" s="12" t="s">
        <v>677</v>
      </c>
      <c r="AA20" s="9">
        <v>248.4</v>
      </c>
      <c r="AB20">
        <f t="shared" si="0"/>
        <v>-248.4</v>
      </c>
    </row>
    <row r="21" spans="1:34">
      <c r="A21" s="10"/>
      <c r="B21" s="13"/>
      <c r="C21" s="13" t="s">
        <v>112</v>
      </c>
      <c r="D21" s="13"/>
      <c r="E21" s="16">
        <v>-75</v>
      </c>
      <c r="F21" s="13"/>
      <c r="G21" s="13"/>
      <c r="H21" s="13"/>
      <c r="I21" s="16" t="s">
        <v>670</v>
      </c>
      <c r="J21" s="10"/>
      <c r="K21" s="10"/>
      <c r="L21" s="10"/>
      <c r="M21" s="13"/>
      <c r="N21" s="13" t="s">
        <v>112</v>
      </c>
      <c r="O21" s="13"/>
      <c r="P21" s="17">
        <v>-105</v>
      </c>
      <c r="Q21" s="13"/>
      <c r="R21" s="13"/>
      <c r="S21" s="13"/>
      <c r="T21" s="16" t="s">
        <v>672</v>
      </c>
      <c r="U21" s="11"/>
      <c r="V21" s="11"/>
      <c r="W21" s="11"/>
      <c r="X21" s="11"/>
      <c r="Y21" s="11"/>
      <c r="Z21" s="12" t="s">
        <v>678</v>
      </c>
      <c r="AA21" s="9">
        <v>283.2</v>
      </c>
      <c r="AB21">
        <f t="shared" si="0"/>
        <v>-283.2</v>
      </c>
    </row>
    <row r="22" spans="1:34">
      <c r="A22" s="10"/>
      <c r="B22" s="13"/>
      <c r="C22" s="13" t="s">
        <v>112</v>
      </c>
      <c r="D22" s="13"/>
      <c r="E22" s="16">
        <v>-90</v>
      </c>
      <c r="F22" s="13"/>
      <c r="G22" s="13"/>
      <c r="H22" s="13"/>
      <c r="I22" s="16" t="s">
        <v>671</v>
      </c>
      <c r="J22" s="10"/>
      <c r="K22" s="10"/>
      <c r="L22" s="10"/>
      <c r="M22" s="13"/>
      <c r="N22" s="13" t="s">
        <v>112</v>
      </c>
      <c r="O22" s="13"/>
      <c r="P22" s="17">
        <v>-120</v>
      </c>
      <c r="Q22" s="13"/>
      <c r="R22" s="13"/>
      <c r="S22" s="13"/>
      <c r="T22" s="16" t="s">
        <v>673</v>
      </c>
      <c r="U22" s="11"/>
      <c r="V22" s="11"/>
      <c r="W22" s="11"/>
      <c r="X22" s="11"/>
      <c r="Y22" s="11"/>
      <c r="Z22" s="12" t="s">
        <v>679</v>
      </c>
      <c r="AA22" s="9">
        <v>316.8</v>
      </c>
      <c r="AB22">
        <f t="shared" si="0"/>
        <v>-316.8</v>
      </c>
    </row>
    <row r="23" spans="1:34">
      <c r="A23" s="10"/>
      <c r="B23" s="13"/>
      <c r="C23" s="13" t="s">
        <v>112</v>
      </c>
      <c r="D23" s="13"/>
      <c r="E23" s="16">
        <v>-105</v>
      </c>
      <c r="F23" s="13"/>
      <c r="G23" s="13"/>
      <c r="H23" s="13"/>
      <c r="I23" s="16" t="s">
        <v>672</v>
      </c>
      <c r="J23" s="10"/>
      <c r="K23" s="10"/>
      <c r="L23" s="10"/>
      <c r="M23" s="13"/>
      <c r="N23" s="13" t="s">
        <v>112</v>
      </c>
      <c r="O23" s="13"/>
      <c r="P23" s="17">
        <v>-150</v>
      </c>
      <c r="Q23" s="13"/>
      <c r="R23" s="13"/>
      <c r="S23" s="13"/>
      <c r="T23" s="16" t="s">
        <v>674</v>
      </c>
      <c r="U23" s="11"/>
      <c r="V23" s="11"/>
      <c r="W23" s="11"/>
      <c r="X23" s="11"/>
      <c r="Y23" s="11"/>
      <c r="Z23" s="12" t="s">
        <v>680</v>
      </c>
      <c r="AA23" s="9">
        <v>420</v>
      </c>
      <c r="AB23">
        <f t="shared" si="0"/>
        <v>-420</v>
      </c>
    </row>
    <row r="24" spans="1:34">
      <c r="A24" s="10"/>
      <c r="B24" s="13"/>
      <c r="C24" s="13" t="s">
        <v>112</v>
      </c>
      <c r="D24" s="13"/>
      <c r="E24" s="16">
        <v>-120</v>
      </c>
      <c r="F24" s="13"/>
      <c r="G24" s="13"/>
      <c r="H24" s="13"/>
      <c r="I24" s="16" t="s">
        <v>673</v>
      </c>
      <c r="J24" s="10"/>
      <c r="K24" s="10"/>
      <c r="L24" s="10"/>
      <c r="M24" s="13"/>
      <c r="N24" s="13" t="s">
        <v>112</v>
      </c>
      <c r="O24" s="13"/>
      <c r="P24" s="17">
        <v>-180</v>
      </c>
      <c r="Q24" s="13"/>
      <c r="R24" s="13"/>
      <c r="S24" s="13"/>
      <c r="T24" s="16" t="s">
        <v>675</v>
      </c>
      <c r="U24" s="11"/>
      <c r="V24" s="11"/>
      <c r="W24" s="11"/>
      <c r="X24" s="11"/>
      <c r="Y24" s="11"/>
      <c r="Z24" s="12" t="s">
        <v>681</v>
      </c>
      <c r="AA24" s="9">
        <v>600</v>
      </c>
      <c r="AB24">
        <f t="shared" si="0"/>
        <v>-600</v>
      </c>
    </row>
    <row r="25" spans="1:34">
      <c r="A25" s="10"/>
      <c r="B25" s="13"/>
      <c r="C25" s="13" t="s">
        <v>112</v>
      </c>
      <c r="D25" s="13"/>
      <c r="E25" s="16">
        <v>-150</v>
      </c>
      <c r="F25" s="13"/>
      <c r="G25" s="13"/>
      <c r="H25" s="13"/>
      <c r="I25" s="16" t="s">
        <v>674</v>
      </c>
      <c r="J25" s="10"/>
      <c r="K25" s="10"/>
      <c r="L25" s="10"/>
      <c r="M25" s="13"/>
      <c r="N25" s="13" t="s">
        <v>112</v>
      </c>
      <c r="O25" s="13"/>
      <c r="P25" s="17">
        <v>-214.8</v>
      </c>
      <c r="Q25" s="13"/>
      <c r="R25" s="13"/>
      <c r="S25" s="13"/>
      <c r="T25" s="16" t="s">
        <v>676</v>
      </c>
      <c r="U25" s="11"/>
      <c r="V25" s="11"/>
      <c r="W25" s="11"/>
      <c r="X25" s="11"/>
      <c r="Y25" s="11"/>
      <c r="Z25" s="12" t="s">
        <v>682</v>
      </c>
      <c r="AA25" s="9">
        <v>720</v>
      </c>
      <c r="AB25">
        <f t="shared" si="0"/>
        <v>-720</v>
      </c>
    </row>
    <row r="26" spans="1:34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3"/>
      <c r="N26" s="13" t="s">
        <v>112</v>
      </c>
      <c r="O26" s="13"/>
      <c r="P26" s="17">
        <v>-248.4</v>
      </c>
      <c r="Q26" s="13"/>
      <c r="R26" s="13"/>
      <c r="S26" s="13"/>
      <c r="T26" s="16" t="s">
        <v>677</v>
      </c>
      <c r="U26" s="11"/>
      <c r="V26" s="11"/>
      <c r="W26" s="11"/>
      <c r="X26" s="11"/>
      <c r="Y26" s="11"/>
      <c r="Z26" s="12" t="s">
        <v>644</v>
      </c>
      <c r="AA26" s="9">
        <v>120</v>
      </c>
      <c r="AB26">
        <f t="shared" si="0"/>
        <v>-120</v>
      </c>
    </row>
    <row r="27" spans="1:34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3"/>
      <c r="N27" s="13" t="s">
        <v>112</v>
      </c>
      <c r="O27" s="13"/>
      <c r="P27" s="17">
        <v>-283.2</v>
      </c>
      <c r="Q27" s="13"/>
      <c r="R27" s="13"/>
      <c r="S27" s="13"/>
      <c r="T27" s="16" t="s">
        <v>678</v>
      </c>
      <c r="U27" s="11"/>
      <c r="V27" s="11"/>
      <c r="W27" s="11"/>
      <c r="X27" s="11"/>
      <c r="Y27" s="11"/>
      <c r="Z27" s="12" t="s">
        <v>646</v>
      </c>
      <c r="AA27" s="9">
        <v>134</v>
      </c>
      <c r="AB27">
        <f t="shared" si="0"/>
        <v>-134</v>
      </c>
    </row>
    <row r="28" spans="1:34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3"/>
      <c r="N28" s="13" t="s">
        <v>112</v>
      </c>
      <c r="O28" s="13"/>
      <c r="P28" s="17">
        <v>-316.8</v>
      </c>
      <c r="Q28" s="13"/>
      <c r="R28" s="13"/>
      <c r="S28" s="13"/>
      <c r="T28" s="16" t="s">
        <v>679</v>
      </c>
      <c r="U28" s="11"/>
      <c r="V28" s="11"/>
      <c r="W28" s="11"/>
      <c r="X28" s="11"/>
      <c r="Y28" s="11"/>
      <c r="Z28" s="12" t="s">
        <v>648</v>
      </c>
      <c r="AA28" s="9">
        <v>149</v>
      </c>
      <c r="AB28">
        <f t="shared" si="0"/>
        <v>-149</v>
      </c>
    </row>
    <row r="29" spans="1:34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3"/>
      <c r="N29" s="13" t="s">
        <v>112</v>
      </c>
      <c r="O29" s="13"/>
      <c r="P29" s="17">
        <v>-420</v>
      </c>
      <c r="Q29" s="13"/>
      <c r="R29" s="13"/>
      <c r="S29" s="13"/>
      <c r="T29" s="16" t="s">
        <v>680</v>
      </c>
      <c r="U29" s="11"/>
      <c r="V29" s="11"/>
      <c r="W29" s="11"/>
      <c r="X29" s="11"/>
      <c r="Y29" s="11"/>
      <c r="Z29" s="12" t="s">
        <v>652</v>
      </c>
      <c r="AA29" s="9">
        <v>163</v>
      </c>
      <c r="AB29">
        <f t="shared" si="0"/>
        <v>-163</v>
      </c>
    </row>
    <row r="30" spans="1:34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3"/>
      <c r="N30" s="13" t="s">
        <v>112</v>
      </c>
      <c r="O30" s="13"/>
      <c r="P30" s="17">
        <v>-600</v>
      </c>
      <c r="Q30" s="13"/>
      <c r="R30" s="13"/>
      <c r="S30" s="13"/>
      <c r="T30" s="16" t="s">
        <v>681</v>
      </c>
      <c r="U30" s="11"/>
      <c r="V30" s="11"/>
      <c r="W30" s="11"/>
      <c r="X30" s="11"/>
      <c r="Y30" s="11"/>
      <c r="Z30" s="12" t="s">
        <v>654</v>
      </c>
      <c r="AA30" s="9">
        <v>177</v>
      </c>
      <c r="AB30">
        <f t="shared" si="0"/>
        <v>-177</v>
      </c>
    </row>
    <row r="31" spans="1:34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3"/>
      <c r="N31" s="13" t="s">
        <v>112</v>
      </c>
      <c r="O31" s="13"/>
      <c r="P31" s="17">
        <v>-720</v>
      </c>
      <c r="Q31" s="13"/>
      <c r="R31" s="13"/>
      <c r="S31" s="13"/>
      <c r="T31" s="16" t="s">
        <v>682</v>
      </c>
      <c r="U31" s="11"/>
      <c r="V31" s="11"/>
      <c r="W31" s="11"/>
      <c r="X31" s="11"/>
      <c r="Y31" s="11"/>
      <c r="Z31" s="12" t="s">
        <v>662</v>
      </c>
      <c r="AA31" s="9">
        <v>191</v>
      </c>
      <c r="AB31">
        <f t="shared" si="0"/>
        <v>-191</v>
      </c>
    </row>
    <row r="32" spans="1:34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3"/>
      <c r="N32" s="13" t="s">
        <v>112</v>
      </c>
      <c r="O32" s="13"/>
      <c r="P32" s="17">
        <v>-120</v>
      </c>
      <c r="Q32" s="13"/>
      <c r="R32" s="13"/>
      <c r="S32" s="13"/>
      <c r="T32" s="16" t="s">
        <v>644</v>
      </c>
      <c r="U32" s="11"/>
      <c r="V32" s="11"/>
      <c r="W32" s="11"/>
      <c r="X32" s="11"/>
      <c r="Y32" s="11"/>
      <c r="Z32" s="12" t="s">
        <v>664</v>
      </c>
      <c r="AA32" s="9">
        <v>206</v>
      </c>
      <c r="AB32">
        <f t="shared" si="0"/>
        <v>-206</v>
      </c>
    </row>
    <row r="33" spans="1:28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3"/>
      <c r="N33" s="13" t="s">
        <v>112</v>
      </c>
      <c r="O33" s="13"/>
      <c r="P33" s="17">
        <v>-134</v>
      </c>
      <c r="Q33" s="13"/>
      <c r="R33" s="13"/>
      <c r="S33" s="13"/>
      <c r="T33" s="16" t="s">
        <v>646</v>
      </c>
      <c r="U33" s="11"/>
      <c r="V33" s="11"/>
      <c r="W33" s="11"/>
      <c r="X33" s="11"/>
      <c r="Y33" s="11"/>
      <c r="Z33" s="12" t="s">
        <v>666</v>
      </c>
      <c r="AA33" s="9">
        <v>220</v>
      </c>
      <c r="AB33">
        <f t="shared" si="0"/>
        <v>-220</v>
      </c>
    </row>
    <row r="34" spans="1:28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3"/>
      <c r="N34" s="13" t="s">
        <v>112</v>
      </c>
      <c r="O34" s="13"/>
      <c r="P34" s="17">
        <v>-149</v>
      </c>
      <c r="Q34" s="13"/>
      <c r="R34" s="13"/>
      <c r="S34" s="13"/>
      <c r="T34" s="16" t="s">
        <v>648</v>
      </c>
      <c r="U34" s="11"/>
      <c r="V34" s="11"/>
      <c r="W34" s="11"/>
      <c r="X34" s="11"/>
      <c r="Y34" s="11"/>
      <c r="Z34" s="12" t="s">
        <v>683</v>
      </c>
      <c r="AA34" s="9">
        <v>6</v>
      </c>
      <c r="AB34">
        <f t="shared" si="0"/>
        <v>-6</v>
      </c>
    </row>
    <row r="35" spans="1:28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3"/>
      <c r="N35" s="13" t="s">
        <v>112</v>
      </c>
      <c r="O35" s="13"/>
      <c r="P35" s="17">
        <v>-163</v>
      </c>
      <c r="Q35" s="13"/>
      <c r="R35" s="13"/>
      <c r="S35" s="13"/>
      <c r="T35" s="16" t="s">
        <v>652</v>
      </c>
      <c r="U35" s="11"/>
      <c r="V35" s="11"/>
      <c r="W35" s="11"/>
      <c r="X35" s="11"/>
      <c r="Y35" s="11"/>
      <c r="Z35" s="12" t="s">
        <v>684</v>
      </c>
      <c r="AA35" s="9">
        <v>6.55</v>
      </c>
      <c r="AB35">
        <f t="shared" ref="AB35:AB66" si="2">-AA35</f>
        <v>-6.55</v>
      </c>
    </row>
    <row r="36" spans="1:28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3"/>
      <c r="N36" s="13" t="s">
        <v>112</v>
      </c>
      <c r="O36" s="13"/>
      <c r="P36" s="17">
        <v>-177</v>
      </c>
      <c r="Q36" s="13"/>
      <c r="R36" s="13"/>
      <c r="S36" s="13"/>
      <c r="T36" s="16" t="s">
        <v>654</v>
      </c>
      <c r="U36" s="11"/>
      <c r="V36" s="11"/>
      <c r="W36" s="11"/>
      <c r="X36" s="11"/>
      <c r="Y36" s="11"/>
      <c r="Z36" s="12" t="s">
        <v>685</v>
      </c>
      <c r="AA36" s="9">
        <v>7.15</v>
      </c>
      <c r="AB36">
        <f t="shared" si="2"/>
        <v>-7.15</v>
      </c>
    </row>
    <row r="37" spans="1:28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3"/>
      <c r="N37" s="13" t="s">
        <v>112</v>
      </c>
      <c r="O37" s="13"/>
      <c r="P37" s="17">
        <v>-191</v>
      </c>
      <c r="Q37" s="13"/>
      <c r="R37" s="13"/>
      <c r="S37" s="13"/>
      <c r="T37" s="16" t="s">
        <v>662</v>
      </c>
      <c r="U37" s="11"/>
      <c r="V37" s="11"/>
      <c r="W37" s="11"/>
      <c r="X37" s="11"/>
      <c r="Y37" s="11"/>
      <c r="Z37" s="12" t="s">
        <v>686</v>
      </c>
      <c r="AA37" s="9">
        <v>7.7</v>
      </c>
      <c r="AB37">
        <f t="shared" si="2"/>
        <v>-7.7</v>
      </c>
    </row>
    <row r="38" spans="1:2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3"/>
      <c r="N38" s="13" t="s">
        <v>112</v>
      </c>
      <c r="O38" s="13"/>
      <c r="P38" s="17">
        <v>-206</v>
      </c>
      <c r="Q38" s="13"/>
      <c r="R38" s="13"/>
      <c r="S38" s="13"/>
      <c r="T38" s="16" t="s">
        <v>664</v>
      </c>
      <c r="U38" s="11"/>
      <c r="V38" s="11"/>
      <c r="W38" s="11"/>
      <c r="X38" s="11"/>
      <c r="Y38" s="11"/>
      <c r="Z38" s="12" t="s">
        <v>687</v>
      </c>
      <c r="AA38" s="9">
        <v>8.3</v>
      </c>
      <c r="AB38">
        <f t="shared" si="2"/>
        <v>-8.3</v>
      </c>
    </row>
    <row r="39" spans="1:28">
      <c r="M39" s="18"/>
      <c r="N39" s="18" t="s">
        <v>112</v>
      </c>
      <c r="O39" s="18"/>
      <c r="P39" s="19">
        <v>-220</v>
      </c>
      <c r="Q39" s="18"/>
      <c r="R39" s="18"/>
      <c r="S39" s="18"/>
      <c r="T39" s="20" t="s">
        <v>666</v>
      </c>
      <c r="Z39" s="9" t="s">
        <v>688</v>
      </c>
      <c r="AA39" s="9">
        <v>8.85</v>
      </c>
      <c r="AB39">
        <f t="shared" si="2"/>
        <v>-8.85</v>
      </c>
    </row>
    <row r="40" spans="1:28">
      <c r="M40" s="18"/>
      <c r="N40" s="21" t="s">
        <v>112</v>
      </c>
      <c r="O40" s="18"/>
      <c r="P40" s="19">
        <v>-6</v>
      </c>
      <c r="Q40" s="18"/>
      <c r="R40" s="18"/>
      <c r="S40" s="18"/>
      <c r="T40" s="20" t="s">
        <v>683</v>
      </c>
      <c r="Z40" s="9" t="s">
        <v>689</v>
      </c>
      <c r="AA40" s="9">
        <v>9.45</v>
      </c>
      <c r="AB40">
        <f t="shared" si="2"/>
        <v>-9.45</v>
      </c>
    </row>
    <row r="41" spans="1:28">
      <c r="M41" s="18"/>
      <c r="N41" s="18" t="s">
        <v>112</v>
      </c>
      <c r="O41" s="18"/>
      <c r="P41" s="19">
        <v>-6.55</v>
      </c>
      <c r="Q41" s="18"/>
      <c r="R41" s="18"/>
      <c r="S41" s="18"/>
      <c r="T41" s="20" t="s">
        <v>684</v>
      </c>
      <c r="Z41" s="9" t="s">
        <v>690</v>
      </c>
      <c r="AA41" s="9">
        <v>10</v>
      </c>
      <c r="AB41">
        <f t="shared" si="2"/>
        <v>-10</v>
      </c>
    </row>
    <row r="42" spans="1:28">
      <c r="M42" s="18"/>
      <c r="N42" s="18" t="s">
        <v>112</v>
      </c>
      <c r="O42" s="18"/>
      <c r="P42" s="19">
        <v>-7.15</v>
      </c>
      <c r="Q42" s="18"/>
      <c r="R42" s="18"/>
      <c r="S42" s="18"/>
      <c r="T42" s="20" t="s">
        <v>685</v>
      </c>
      <c r="Z42" s="9" t="s">
        <v>691</v>
      </c>
      <c r="AA42" s="9">
        <v>2</v>
      </c>
      <c r="AB42">
        <f t="shared" si="2"/>
        <v>-2</v>
      </c>
    </row>
    <row r="43" spans="1:28">
      <c r="M43" s="18"/>
      <c r="N43" s="18" t="s">
        <v>112</v>
      </c>
      <c r="O43" s="18"/>
      <c r="P43" s="19">
        <v>-7.7</v>
      </c>
      <c r="Q43" s="18"/>
      <c r="R43" s="18"/>
      <c r="S43" s="18"/>
      <c r="T43" s="20" t="s">
        <v>686</v>
      </c>
      <c r="Z43" s="9" t="s">
        <v>692</v>
      </c>
      <c r="AA43" s="9">
        <v>2.18</v>
      </c>
      <c r="AB43">
        <f t="shared" si="2"/>
        <v>-2.18</v>
      </c>
    </row>
    <row r="44" spans="1:28">
      <c r="M44" s="18"/>
      <c r="N44" s="18" t="s">
        <v>112</v>
      </c>
      <c r="O44" s="18"/>
      <c r="P44" s="19">
        <v>-8.3</v>
      </c>
      <c r="Q44" s="18"/>
      <c r="R44" s="18"/>
      <c r="S44" s="18"/>
      <c r="T44" s="20" t="s">
        <v>687</v>
      </c>
      <c r="Z44" s="9" t="s">
        <v>693</v>
      </c>
      <c r="AA44" s="9">
        <v>2.34</v>
      </c>
      <c r="AB44">
        <f t="shared" si="2"/>
        <v>-2.34</v>
      </c>
    </row>
    <row r="45" spans="1:28">
      <c r="M45" s="18"/>
      <c r="N45" s="18" t="s">
        <v>112</v>
      </c>
      <c r="O45" s="18"/>
      <c r="P45" s="19">
        <v>-8.85</v>
      </c>
      <c r="Q45" s="18"/>
      <c r="R45" s="18"/>
      <c r="S45" s="18"/>
      <c r="T45" s="20" t="s">
        <v>688</v>
      </c>
      <c r="Z45" s="9" t="s">
        <v>694</v>
      </c>
      <c r="AA45" s="9">
        <v>2.52</v>
      </c>
      <c r="AB45">
        <f t="shared" si="2"/>
        <v>-2.52</v>
      </c>
    </row>
    <row r="46" spans="1:28">
      <c r="M46" s="18"/>
      <c r="N46" s="18" t="s">
        <v>112</v>
      </c>
      <c r="O46" s="18"/>
      <c r="P46" s="19">
        <v>-9.45</v>
      </c>
      <c r="Q46" s="18"/>
      <c r="R46" s="18"/>
      <c r="S46" s="18"/>
      <c r="T46" s="20" t="s">
        <v>689</v>
      </c>
      <c r="Z46" s="9" t="s">
        <v>695</v>
      </c>
      <c r="AA46" s="9">
        <v>2.68</v>
      </c>
      <c r="AB46">
        <f t="shared" si="2"/>
        <v>-2.68</v>
      </c>
    </row>
    <row r="47" spans="1:28">
      <c r="M47" s="18"/>
      <c r="N47" s="18" t="s">
        <v>112</v>
      </c>
      <c r="O47" s="18"/>
      <c r="P47" s="19">
        <v>-10</v>
      </c>
      <c r="Q47" s="18"/>
      <c r="R47" s="18"/>
      <c r="S47" s="18"/>
      <c r="T47" s="20" t="s">
        <v>690</v>
      </c>
      <c r="Z47" s="9" t="s">
        <v>696</v>
      </c>
      <c r="AA47" s="9">
        <v>2.86</v>
      </c>
      <c r="AB47">
        <f t="shared" si="2"/>
        <v>-2.86</v>
      </c>
    </row>
    <row r="48" spans="1:28">
      <c r="M48" s="18"/>
      <c r="N48" s="18" t="s">
        <v>112</v>
      </c>
      <c r="O48" s="18"/>
      <c r="P48" s="19">
        <v>-2</v>
      </c>
      <c r="Q48" s="18"/>
      <c r="R48" s="18"/>
      <c r="S48" s="18"/>
      <c r="T48" s="20" t="s">
        <v>691</v>
      </c>
      <c r="Z48" s="9" t="s">
        <v>697</v>
      </c>
      <c r="AA48" s="9">
        <v>3.02</v>
      </c>
      <c r="AB48">
        <f t="shared" si="2"/>
        <v>-3.02</v>
      </c>
    </row>
    <row r="49" spans="13:28">
      <c r="M49" s="18"/>
      <c r="N49" s="18" t="s">
        <v>112</v>
      </c>
      <c r="O49" s="18"/>
      <c r="P49" s="19">
        <v>-2.18</v>
      </c>
      <c r="Q49" s="18"/>
      <c r="R49" s="18"/>
      <c r="S49" s="18"/>
      <c r="T49" s="20" t="s">
        <v>692</v>
      </c>
      <c r="Z49" s="9" t="s">
        <v>698</v>
      </c>
      <c r="AA49" s="9">
        <v>3.2</v>
      </c>
      <c r="AB49">
        <f t="shared" si="2"/>
        <v>-3.2</v>
      </c>
    </row>
    <row r="50" spans="13:28">
      <c r="M50" s="18"/>
      <c r="N50" s="18" t="s">
        <v>112</v>
      </c>
      <c r="O50" s="18"/>
      <c r="P50" s="19">
        <v>-2.34</v>
      </c>
      <c r="Q50" s="18"/>
      <c r="R50" s="18"/>
      <c r="S50" s="18"/>
      <c r="T50" s="20" t="s">
        <v>693</v>
      </c>
      <c r="Z50" s="9" t="s">
        <v>699</v>
      </c>
      <c r="AA50" s="9">
        <v>3.6</v>
      </c>
      <c r="AB50">
        <f t="shared" si="2"/>
        <v>-3.6</v>
      </c>
    </row>
    <row r="51" spans="13:28">
      <c r="M51" s="18"/>
      <c r="N51" s="18" t="s">
        <v>112</v>
      </c>
      <c r="O51" s="18"/>
      <c r="P51" s="19">
        <v>-2.52</v>
      </c>
      <c r="Q51" s="18"/>
      <c r="R51" s="18"/>
      <c r="S51" s="18"/>
      <c r="T51" s="20" t="s">
        <v>694</v>
      </c>
      <c r="Z51" s="9" t="s">
        <v>700</v>
      </c>
      <c r="AA51" s="9">
        <v>3.93</v>
      </c>
      <c r="AB51">
        <f t="shared" si="2"/>
        <v>-3.93</v>
      </c>
    </row>
    <row r="52" spans="13:28">
      <c r="M52" s="18"/>
      <c r="N52" s="18" t="s">
        <v>112</v>
      </c>
      <c r="O52" s="18"/>
      <c r="P52" s="19">
        <v>-2.68</v>
      </c>
      <c r="Q52" s="18"/>
      <c r="R52" s="18"/>
      <c r="S52" s="18"/>
      <c r="T52" s="20" t="s">
        <v>695</v>
      </c>
      <c r="Z52" s="9" t="s">
        <v>701</v>
      </c>
      <c r="AA52" s="9">
        <v>4.29</v>
      </c>
      <c r="AB52">
        <f t="shared" si="2"/>
        <v>-4.29</v>
      </c>
    </row>
    <row r="53" spans="13:28">
      <c r="M53" s="18"/>
      <c r="N53" s="18" t="s">
        <v>112</v>
      </c>
      <c r="O53" s="18"/>
      <c r="P53" s="19">
        <v>-2.86</v>
      </c>
      <c r="Q53" s="18"/>
      <c r="R53" s="18"/>
      <c r="S53" s="18"/>
      <c r="T53" s="20" t="s">
        <v>696</v>
      </c>
      <c r="Z53" s="9" t="s">
        <v>702</v>
      </c>
      <c r="AA53" s="9">
        <v>4.62</v>
      </c>
      <c r="AB53">
        <f t="shared" si="2"/>
        <v>-4.62</v>
      </c>
    </row>
    <row r="54" spans="13:28">
      <c r="M54" s="18"/>
      <c r="N54" s="18" t="s">
        <v>112</v>
      </c>
      <c r="O54" s="18"/>
      <c r="P54" s="19">
        <v>-3.02</v>
      </c>
      <c r="Q54" s="18"/>
      <c r="R54" s="18"/>
      <c r="S54" s="18"/>
      <c r="T54" s="20" t="s">
        <v>697</v>
      </c>
      <c r="Z54" s="9" t="s">
        <v>703</v>
      </c>
      <c r="AA54" s="9">
        <v>4.98</v>
      </c>
      <c r="AB54">
        <f t="shared" si="2"/>
        <v>-4.98</v>
      </c>
    </row>
    <row r="55" spans="13:28">
      <c r="M55" s="18"/>
      <c r="N55" s="18" t="s">
        <v>112</v>
      </c>
      <c r="O55" s="18"/>
      <c r="P55" s="19">
        <v>-3.2</v>
      </c>
      <c r="Q55" s="18"/>
      <c r="R55" s="18"/>
      <c r="S55" s="18"/>
      <c r="T55" s="20" t="s">
        <v>698</v>
      </c>
      <c r="Z55" s="9" t="s">
        <v>704</v>
      </c>
      <c r="AA55" s="9">
        <v>5.31</v>
      </c>
      <c r="AB55">
        <f t="shared" si="2"/>
        <v>-5.31</v>
      </c>
    </row>
    <row r="56" spans="13:28">
      <c r="M56" s="18"/>
      <c r="N56" s="18" t="s">
        <v>112</v>
      </c>
      <c r="O56" s="18"/>
      <c r="P56" s="19">
        <v>-3.6</v>
      </c>
      <c r="Q56" s="18"/>
      <c r="R56" s="18"/>
      <c r="S56" s="18"/>
      <c r="T56" s="20" t="s">
        <v>699</v>
      </c>
      <c r="Z56" s="9" t="s">
        <v>705</v>
      </c>
      <c r="AA56" s="9">
        <v>5.67</v>
      </c>
      <c r="AB56">
        <f t="shared" si="2"/>
        <v>-5.67</v>
      </c>
    </row>
    <row r="57" spans="13:28">
      <c r="M57" s="18"/>
      <c r="N57" s="18" t="s">
        <v>112</v>
      </c>
      <c r="O57" s="18"/>
      <c r="P57" s="19">
        <v>-3.93</v>
      </c>
      <c r="Q57" s="18"/>
      <c r="R57" s="18"/>
      <c r="S57" s="18"/>
      <c r="T57" s="20" t="s">
        <v>700</v>
      </c>
      <c r="Z57" s="9" t="s">
        <v>706</v>
      </c>
      <c r="AA57" s="9">
        <v>6</v>
      </c>
      <c r="AB57">
        <f t="shared" si="2"/>
        <v>-6</v>
      </c>
    </row>
    <row r="58" spans="13:28">
      <c r="M58" s="18"/>
      <c r="N58" s="18" t="s">
        <v>112</v>
      </c>
      <c r="O58" s="18"/>
      <c r="P58" s="19">
        <v>-4.29</v>
      </c>
      <c r="Q58" s="18"/>
      <c r="R58" s="18"/>
      <c r="S58" s="18"/>
      <c r="T58" s="20" t="s">
        <v>701</v>
      </c>
      <c r="Z58" s="9" t="s">
        <v>707</v>
      </c>
      <c r="AA58" s="9">
        <v>4.8</v>
      </c>
      <c r="AB58">
        <f t="shared" si="2"/>
        <v>-4.8</v>
      </c>
    </row>
    <row r="59" spans="13:28">
      <c r="M59" s="18"/>
      <c r="N59" s="18" t="s">
        <v>112</v>
      </c>
      <c r="O59" s="18"/>
      <c r="P59" s="19">
        <v>-4.62</v>
      </c>
      <c r="Q59" s="18"/>
      <c r="R59" s="18"/>
      <c r="S59" s="18"/>
      <c r="T59" s="20" t="s">
        <v>702</v>
      </c>
      <c r="Z59" s="9" t="s">
        <v>708</v>
      </c>
      <c r="AA59" s="9">
        <v>5.24</v>
      </c>
      <c r="AB59">
        <f t="shared" si="2"/>
        <v>-5.24</v>
      </c>
    </row>
    <row r="60" spans="13:28">
      <c r="M60" s="18"/>
      <c r="N60" s="18" t="s">
        <v>112</v>
      </c>
      <c r="O60" s="18"/>
      <c r="P60" s="19">
        <v>-4.98</v>
      </c>
      <c r="Q60" s="18"/>
      <c r="R60" s="18"/>
      <c r="S60" s="18"/>
      <c r="T60" s="20" t="s">
        <v>703</v>
      </c>
      <c r="Z60" s="9" t="s">
        <v>709</v>
      </c>
      <c r="AA60" s="9">
        <v>5.72</v>
      </c>
      <c r="AB60">
        <f t="shared" si="2"/>
        <v>-5.72</v>
      </c>
    </row>
    <row r="61" spans="13:28">
      <c r="M61" s="18"/>
      <c r="N61" s="18" t="s">
        <v>112</v>
      </c>
      <c r="O61" s="18"/>
      <c r="P61" s="19">
        <v>-5.31</v>
      </c>
      <c r="Q61" s="18"/>
      <c r="R61" s="18"/>
      <c r="S61" s="18"/>
      <c r="T61" s="20" t="s">
        <v>704</v>
      </c>
      <c r="Z61" s="9" t="s">
        <v>710</v>
      </c>
      <c r="AA61" s="9">
        <v>6.16</v>
      </c>
      <c r="AB61">
        <f t="shared" si="2"/>
        <v>-6.16</v>
      </c>
    </row>
    <row r="62" spans="13:28">
      <c r="M62" s="18"/>
      <c r="N62" s="18" t="s">
        <v>112</v>
      </c>
      <c r="O62" s="18"/>
      <c r="P62" s="19">
        <v>-5.67</v>
      </c>
      <c r="Q62" s="18"/>
      <c r="R62" s="18"/>
      <c r="S62" s="18"/>
      <c r="T62" s="20" t="s">
        <v>705</v>
      </c>
      <c r="Z62" s="9" t="s">
        <v>711</v>
      </c>
      <c r="AA62" s="9">
        <v>6.64</v>
      </c>
      <c r="AB62">
        <f t="shared" si="2"/>
        <v>-6.64</v>
      </c>
    </row>
    <row r="63" spans="13:28">
      <c r="M63" s="18"/>
      <c r="N63" s="18" t="s">
        <v>112</v>
      </c>
      <c r="O63" s="18"/>
      <c r="P63" s="19">
        <v>-6</v>
      </c>
      <c r="Q63" s="18"/>
      <c r="R63" s="18"/>
      <c r="S63" s="18"/>
      <c r="T63" s="20" t="s">
        <v>706</v>
      </c>
      <c r="Z63" s="9" t="s">
        <v>712</v>
      </c>
      <c r="AA63" s="9">
        <v>7.08</v>
      </c>
      <c r="AB63">
        <f t="shared" si="2"/>
        <v>-7.08</v>
      </c>
    </row>
    <row r="64" spans="13:28">
      <c r="M64" s="18"/>
      <c r="N64" s="18" t="s">
        <v>112</v>
      </c>
      <c r="O64" s="18"/>
      <c r="P64" s="19">
        <v>-4.8</v>
      </c>
      <c r="Q64" s="18"/>
      <c r="R64" s="18"/>
      <c r="S64" s="18"/>
      <c r="T64" s="20" t="s">
        <v>707</v>
      </c>
      <c r="Z64" s="9" t="s">
        <v>713</v>
      </c>
      <c r="AA64" s="9">
        <v>7.56</v>
      </c>
      <c r="AB64">
        <f t="shared" si="2"/>
        <v>-7.56</v>
      </c>
    </row>
    <row r="65" spans="13:28">
      <c r="M65" s="18"/>
      <c r="N65" s="18" t="s">
        <v>112</v>
      </c>
      <c r="O65" s="18"/>
      <c r="P65" s="19">
        <v>-5.24</v>
      </c>
      <c r="Q65" s="18"/>
      <c r="R65" s="18"/>
      <c r="S65" s="18"/>
      <c r="T65" s="20" t="s">
        <v>708</v>
      </c>
      <c r="Z65" s="9" t="s">
        <v>714</v>
      </c>
      <c r="AA65" s="9">
        <v>8</v>
      </c>
      <c r="AB65">
        <f t="shared" si="2"/>
        <v>-8</v>
      </c>
    </row>
    <row r="66" spans="13:28">
      <c r="M66" s="18"/>
      <c r="N66" s="18" t="s">
        <v>112</v>
      </c>
      <c r="O66" s="18"/>
      <c r="P66" s="19">
        <v>-5.72</v>
      </c>
      <c r="Q66" s="18"/>
      <c r="R66" s="18"/>
      <c r="S66" s="18"/>
      <c r="T66" s="20" t="s">
        <v>709</v>
      </c>
      <c r="Z66" s="9" t="s">
        <v>715</v>
      </c>
      <c r="AA66" s="9">
        <v>11</v>
      </c>
      <c r="AB66">
        <f t="shared" si="2"/>
        <v>-11</v>
      </c>
    </row>
    <row r="67" spans="13:28">
      <c r="M67" s="18"/>
      <c r="N67" s="18" t="s">
        <v>112</v>
      </c>
      <c r="O67" s="18"/>
      <c r="P67" s="19">
        <v>-6.16</v>
      </c>
      <c r="Q67" s="18"/>
      <c r="R67" s="18"/>
      <c r="S67" s="18"/>
      <c r="T67" s="20" t="s">
        <v>710</v>
      </c>
      <c r="Z67" s="9" t="s">
        <v>716</v>
      </c>
      <c r="AA67" s="9">
        <v>11</v>
      </c>
      <c r="AB67">
        <f t="shared" ref="AB67:AB92" si="3">-AA67</f>
        <v>-11</v>
      </c>
    </row>
    <row r="68" spans="13:28">
      <c r="M68" s="18"/>
      <c r="N68" s="18" t="s">
        <v>112</v>
      </c>
      <c r="O68" s="18"/>
      <c r="P68" s="19">
        <v>-6.64</v>
      </c>
      <c r="Q68" s="18"/>
      <c r="R68" s="18"/>
      <c r="S68" s="18"/>
      <c r="T68" s="20" t="s">
        <v>711</v>
      </c>
      <c r="Z68" s="9" t="s">
        <v>717</v>
      </c>
      <c r="AA68" s="9">
        <v>11</v>
      </c>
      <c r="AB68">
        <f t="shared" si="3"/>
        <v>-11</v>
      </c>
    </row>
    <row r="69" spans="13:28">
      <c r="M69" s="18"/>
      <c r="N69" s="18" t="s">
        <v>112</v>
      </c>
      <c r="O69" s="18"/>
      <c r="P69" s="19">
        <v>-7.08</v>
      </c>
      <c r="Q69" s="18"/>
      <c r="R69" s="18"/>
      <c r="S69" s="18"/>
      <c r="T69" s="20" t="s">
        <v>712</v>
      </c>
      <c r="Z69" s="9" t="s">
        <v>718</v>
      </c>
      <c r="AA69" s="9">
        <v>11</v>
      </c>
      <c r="AB69">
        <f t="shared" si="3"/>
        <v>-11</v>
      </c>
    </row>
    <row r="70" spans="13:28">
      <c r="M70" s="18"/>
      <c r="N70" s="18" t="s">
        <v>112</v>
      </c>
      <c r="O70" s="18"/>
      <c r="P70" s="19">
        <v>-7.56</v>
      </c>
      <c r="Q70" s="18"/>
      <c r="R70" s="18"/>
      <c r="S70" s="18"/>
      <c r="T70" s="20" t="s">
        <v>713</v>
      </c>
      <c r="Z70" s="9" t="s">
        <v>719</v>
      </c>
      <c r="AA70" s="9">
        <v>11</v>
      </c>
      <c r="AB70">
        <f t="shared" si="3"/>
        <v>-11</v>
      </c>
    </row>
    <row r="71" spans="13:28">
      <c r="M71" s="18"/>
      <c r="N71" s="18" t="s">
        <v>112</v>
      </c>
      <c r="O71" s="18"/>
      <c r="P71" s="19">
        <v>-8</v>
      </c>
      <c r="Q71" s="18"/>
      <c r="R71" s="18"/>
      <c r="S71" s="18"/>
      <c r="T71" s="20" t="s">
        <v>714</v>
      </c>
      <c r="Z71" s="9" t="s">
        <v>720</v>
      </c>
      <c r="AA71" s="9">
        <v>11</v>
      </c>
      <c r="AB71">
        <f t="shared" si="3"/>
        <v>-11</v>
      </c>
    </row>
    <row r="72" spans="13:28">
      <c r="M72" s="18"/>
      <c r="N72" s="18" t="s">
        <v>112</v>
      </c>
      <c r="O72" s="18"/>
      <c r="P72" s="19">
        <v>-11</v>
      </c>
      <c r="Q72" s="18"/>
      <c r="R72" s="18"/>
      <c r="S72" s="18"/>
      <c r="T72" s="20" t="s">
        <v>715</v>
      </c>
      <c r="Z72" s="9" t="s">
        <v>721</v>
      </c>
      <c r="AA72" s="9">
        <v>11</v>
      </c>
      <c r="AB72">
        <f t="shared" si="3"/>
        <v>-11</v>
      </c>
    </row>
    <row r="73" spans="13:28">
      <c r="M73" s="18"/>
      <c r="N73" s="18" t="s">
        <v>112</v>
      </c>
      <c r="O73" s="18"/>
      <c r="P73" s="19">
        <v>-11</v>
      </c>
      <c r="Q73" s="18"/>
      <c r="R73" s="18"/>
      <c r="S73" s="18"/>
      <c r="T73" s="20" t="s">
        <v>716</v>
      </c>
      <c r="Z73" s="9" t="s">
        <v>722</v>
      </c>
      <c r="AA73" s="9">
        <v>11</v>
      </c>
      <c r="AB73">
        <f t="shared" si="3"/>
        <v>-11</v>
      </c>
    </row>
    <row r="74" spans="13:28">
      <c r="M74" s="18"/>
      <c r="N74" s="18" t="s">
        <v>112</v>
      </c>
      <c r="O74" s="18"/>
      <c r="P74" s="19">
        <v>-11</v>
      </c>
      <c r="Q74" s="18"/>
      <c r="R74" s="18"/>
      <c r="S74" s="18"/>
      <c r="T74" s="20" t="s">
        <v>717</v>
      </c>
      <c r="Z74" s="9" t="s">
        <v>723</v>
      </c>
      <c r="AA74" s="9">
        <v>11</v>
      </c>
      <c r="AB74">
        <f t="shared" si="3"/>
        <v>-11</v>
      </c>
    </row>
    <row r="75" spans="13:28">
      <c r="M75" s="18"/>
      <c r="N75" s="18" t="s">
        <v>112</v>
      </c>
      <c r="O75" s="18"/>
      <c r="P75" s="19">
        <v>-11</v>
      </c>
      <c r="Q75" s="18"/>
      <c r="R75" s="18"/>
      <c r="S75" s="18"/>
      <c r="T75" s="20" t="s">
        <v>718</v>
      </c>
      <c r="Z75" s="9" t="s">
        <v>724</v>
      </c>
      <c r="AA75" s="9">
        <v>11</v>
      </c>
      <c r="AB75">
        <f t="shared" si="3"/>
        <v>-11</v>
      </c>
    </row>
    <row r="76" spans="13:28">
      <c r="M76" s="18"/>
      <c r="N76" s="18" t="s">
        <v>112</v>
      </c>
      <c r="O76" s="18"/>
      <c r="P76" s="19">
        <v>-11</v>
      </c>
      <c r="Q76" s="18"/>
      <c r="R76" s="18"/>
      <c r="S76" s="18"/>
      <c r="T76" s="20" t="s">
        <v>719</v>
      </c>
      <c r="Z76" s="9" t="s">
        <v>725</v>
      </c>
      <c r="AA76" s="9">
        <v>11</v>
      </c>
      <c r="AB76">
        <f t="shared" si="3"/>
        <v>-11</v>
      </c>
    </row>
    <row r="77" spans="13:28">
      <c r="M77" s="18"/>
      <c r="N77" s="18" t="s">
        <v>112</v>
      </c>
      <c r="O77" s="18"/>
      <c r="P77" s="19">
        <v>-11</v>
      </c>
      <c r="Q77" s="18"/>
      <c r="R77" s="18"/>
      <c r="S77" s="18"/>
      <c r="T77" s="20" t="s">
        <v>720</v>
      </c>
      <c r="Z77" s="9" t="s">
        <v>726</v>
      </c>
      <c r="AA77" s="9">
        <v>11</v>
      </c>
      <c r="AB77">
        <f t="shared" si="3"/>
        <v>-11</v>
      </c>
    </row>
    <row r="78" spans="13:28">
      <c r="M78" s="18"/>
      <c r="N78" s="18" t="s">
        <v>112</v>
      </c>
      <c r="O78" s="18"/>
      <c r="P78" s="19">
        <v>-11</v>
      </c>
      <c r="Q78" s="18"/>
      <c r="R78" s="18"/>
      <c r="S78" s="18"/>
      <c r="T78" s="20" t="s">
        <v>721</v>
      </c>
      <c r="Z78" s="9" t="s">
        <v>727</v>
      </c>
      <c r="AA78" s="9">
        <v>11</v>
      </c>
      <c r="AB78">
        <f t="shared" si="3"/>
        <v>-11</v>
      </c>
    </row>
    <row r="79" spans="13:28">
      <c r="M79" s="18"/>
      <c r="N79" s="18" t="s">
        <v>112</v>
      </c>
      <c r="O79" s="18"/>
      <c r="P79" s="19">
        <v>-11</v>
      </c>
      <c r="Q79" s="18"/>
      <c r="R79" s="18"/>
      <c r="S79" s="18"/>
      <c r="T79" s="20" t="s">
        <v>722</v>
      </c>
      <c r="Z79" s="9" t="s">
        <v>728</v>
      </c>
      <c r="AA79" s="9">
        <v>11</v>
      </c>
      <c r="AB79">
        <f t="shared" si="3"/>
        <v>-11</v>
      </c>
    </row>
    <row r="80" spans="13:28">
      <c r="M80" s="18"/>
      <c r="N80" s="18" t="s">
        <v>112</v>
      </c>
      <c r="O80" s="18"/>
      <c r="P80" s="19">
        <v>-11</v>
      </c>
      <c r="Q80" s="18"/>
      <c r="R80" s="18"/>
      <c r="S80" s="18"/>
      <c r="T80" s="20" t="s">
        <v>723</v>
      </c>
      <c r="Z80" s="9" t="s">
        <v>729</v>
      </c>
      <c r="AA80" s="9">
        <v>18</v>
      </c>
      <c r="AB80">
        <f t="shared" si="3"/>
        <v>-18</v>
      </c>
    </row>
    <row r="81" spans="13:28">
      <c r="M81" s="18"/>
      <c r="N81" s="18" t="s">
        <v>112</v>
      </c>
      <c r="O81" s="18"/>
      <c r="P81" s="19">
        <v>-11</v>
      </c>
      <c r="Q81" s="18"/>
      <c r="R81" s="18"/>
      <c r="S81" s="18"/>
      <c r="T81" s="20" t="s">
        <v>724</v>
      </c>
      <c r="Z81" s="9" t="s">
        <v>730</v>
      </c>
      <c r="AA81" s="9">
        <v>18</v>
      </c>
      <c r="AB81">
        <f t="shared" si="3"/>
        <v>-18</v>
      </c>
    </row>
    <row r="82" spans="13:28">
      <c r="M82" s="18"/>
      <c r="N82" s="18" t="s">
        <v>112</v>
      </c>
      <c r="O82" s="18"/>
      <c r="P82" s="19">
        <v>-11</v>
      </c>
      <c r="Q82" s="18"/>
      <c r="R82" s="18"/>
      <c r="S82" s="18"/>
      <c r="T82" s="20" t="s">
        <v>725</v>
      </c>
      <c r="Z82" s="9" t="s">
        <v>731</v>
      </c>
      <c r="AA82" s="9">
        <v>18</v>
      </c>
      <c r="AB82">
        <f t="shared" si="3"/>
        <v>-18</v>
      </c>
    </row>
    <row r="83" spans="13:28">
      <c r="M83" s="18"/>
      <c r="N83" s="18" t="s">
        <v>112</v>
      </c>
      <c r="O83" s="18"/>
      <c r="P83" s="19">
        <v>-11</v>
      </c>
      <c r="Q83" s="18"/>
      <c r="R83" s="18"/>
      <c r="S83" s="18"/>
      <c r="T83" s="20" t="s">
        <v>726</v>
      </c>
      <c r="Z83" s="9" t="s">
        <v>732</v>
      </c>
      <c r="AA83" s="9">
        <v>18</v>
      </c>
      <c r="AB83">
        <f t="shared" si="3"/>
        <v>-18</v>
      </c>
    </row>
    <row r="84" spans="13:28">
      <c r="M84" s="18"/>
      <c r="N84" s="18" t="s">
        <v>112</v>
      </c>
      <c r="O84" s="18"/>
      <c r="P84" s="19">
        <v>-11</v>
      </c>
      <c r="Q84" s="18"/>
      <c r="R84" s="18"/>
      <c r="S84" s="18"/>
      <c r="T84" s="20" t="s">
        <v>727</v>
      </c>
      <c r="Z84" s="9" t="s">
        <v>733</v>
      </c>
      <c r="AA84" s="9">
        <v>18</v>
      </c>
      <c r="AB84">
        <f t="shared" si="3"/>
        <v>-18</v>
      </c>
    </row>
    <row r="85" spans="13:28">
      <c r="M85" s="18"/>
      <c r="N85" s="18" t="s">
        <v>112</v>
      </c>
      <c r="O85" s="18"/>
      <c r="P85" s="19">
        <v>-11</v>
      </c>
      <c r="Q85" s="18"/>
      <c r="R85" s="18"/>
      <c r="S85" s="18"/>
      <c r="T85" s="20" t="s">
        <v>728</v>
      </c>
      <c r="Z85" s="9" t="s">
        <v>734</v>
      </c>
      <c r="AA85" s="9">
        <v>18</v>
      </c>
      <c r="AB85">
        <f t="shared" si="3"/>
        <v>-18</v>
      </c>
    </row>
    <row r="86" spans="13:28">
      <c r="M86" s="18"/>
      <c r="N86" s="18" t="s">
        <v>112</v>
      </c>
      <c r="O86" s="18"/>
      <c r="P86" s="19">
        <v>-18</v>
      </c>
      <c r="Q86" s="18"/>
      <c r="R86" s="18"/>
      <c r="S86" s="18"/>
      <c r="T86" s="20" t="s">
        <v>729</v>
      </c>
      <c r="Z86" s="9" t="s">
        <v>735</v>
      </c>
      <c r="AA86" s="9">
        <v>18</v>
      </c>
      <c r="AB86">
        <f t="shared" si="3"/>
        <v>-18</v>
      </c>
    </row>
    <row r="87" spans="13:28">
      <c r="M87" s="18"/>
      <c r="N87" s="18" t="s">
        <v>112</v>
      </c>
      <c r="O87" s="18"/>
      <c r="P87" s="19">
        <v>-18</v>
      </c>
      <c r="Q87" s="18"/>
      <c r="R87" s="18"/>
      <c r="S87" s="18"/>
      <c r="T87" s="20" t="s">
        <v>730</v>
      </c>
      <c r="Z87" s="9" t="s">
        <v>736</v>
      </c>
      <c r="AA87" s="9">
        <v>18</v>
      </c>
      <c r="AB87">
        <f t="shared" si="3"/>
        <v>-18</v>
      </c>
    </row>
    <row r="88" spans="13:28">
      <c r="M88" s="18"/>
      <c r="N88" s="18" t="s">
        <v>112</v>
      </c>
      <c r="O88" s="18"/>
      <c r="P88" s="19">
        <v>-18</v>
      </c>
      <c r="Q88" s="18"/>
      <c r="R88" s="18"/>
      <c r="S88" s="18"/>
      <c r="T88" s="20" t="s">
        <v>731</v>
      </c>
      <c r="Z88" s="9" t="s">
        <v>737</v>
      </c>
      <c r="AA88" s="9">
        <v>18</v>
      </c>
      <c r="AB88">
        <f t="shared" si="3"/>
        <v>-18</v>
      </c>
    </row>
    <row r="89" spans="13:28">
      <c r="M89" s="18"/>
      <c r="N89" s="18" t="s">
        <v>112</v>
      </c>
      <c r="O89" s="18"/>
      <c r="P89" s="19">
        <v>-18</v>
      </c>
      <c r="Q89" s="18"/>
      <c r="R89" s="18"/>
      <c r="S89" s="18"/>
      <c r="T89" s="20" t="s">
        <v>732</v>
      </c>
      <c r="Z89" s="9" t="s">
        <v>738</v>
      </c>
      <c r="AA89" s="9">
        <v>18</v>
      </c>
      <c r="AB89">
        <f t="shared" si="3"/>
        <v>-18</v>
      </c>
    </row>
    <row r="90" spans="13:28">
      <c r="M90" s="18"/>
      <c r="N90" s="18" t="s">
        <v>112</v>
      </c>
      <c r="O90" s="18"/>
      <c r="P90" s="19">
        <v>-18</v>
      </c>
      <c r="Q90" s="18"/>
      <c r="R90" s="18"/>
      <c r="S90" s="18"/>
      <c r="T90" s="20" t="s">
        <v>733</v>
      </c>
      <c r="Z90" s="9" t="s">
        <v>739</v>
      </c>
      <c r="AA90" s="9">
        <v>18</v>
      </c>
      <c r="AB90">
        <f t="shared" si="3"/>
        <v>-18</v>
      </c>
    </row>
    <row r="91" spans="13:28">
      <c r="M91" s="18"/>
      <c r="N91" s="18" t="s">
        <v>112</v>
      </c>
      <c r="O91" s="18"/>
      <c r="P91" s="19">
        <v>-18</v>
      </c>
      <c r="Q91" s="18"/>
      <c r="R91" s="18"/>
      <c r="S91" s="18"/>
      <c r="T91" s="20" t="s">
        <v>734</v>
      </c>
      <c r="Z91" s="9" t="s">
        <v>740</v>
      </c>
      <c r="AA91" s="9">
        <v>18</v>
      </c>
      <c r="AB91">
        <f t="shared" si="3"/>
        <v>-18</v>
      </c>
    </row>
    <row r="92" spans="13:28">
      <c r="M92" s="18"/>
      <c r="N92" s="18" t="s">
        <v>112</v>
      </c>
      <c r="O92" s="18"/>
      <c r="P92" s="19">
        <v>-18</v>
      </c>
      <c r="Q92" s="18"/>
      <c r="R92" s="18"/>
      <c r="S92" s="18"/>
      <c r="T92" s="20" t="s">
        <v>735</v>
      </c>
      <c r="Z92" s="9" t="s">
        <v>741</v>
      </c>
      <c r="AA92" s="9">
        <v>18</v>
      </c>
      <c r="AB92">
        <f t="shared" si="3"/>
        <v>-18</v>
      </c>
    </row>
    <row r="93" spans="13:28">
      <c r="M93" s="18"/>
      <c r="N93" s="18" t="s">
        <v>112</v>
      </c>
      <c r="O93" s="18"/>
      <c r="P93" s="19">
        <v>-18</v>
      </c>
      <c r="Q93" s="18"/>
      <c r="R93" s="18"/>
      <c r="S93" s="18"/>
      <c r="T93" s="20" t="s">
        <v>736</v>
      </c>
    </row>
    <row r="94" spans="13:28">
      <c r="M94" s="18"/>
      <c r="N94" s="18" t="s">
        <v>112</v>
      </c>
      <c r="O94" s="18"/>
      <c r="P94" s="19">
        <v>-18</v>
      </c>
      <c r="Q94" s="18"/>
      <c r="R94" s="18"/>
      <c r="S94" s="18"/>
      <c r="T94" s="20" t="s">
        <v>737</v>
      </c>
    </row>
    <row r="95" spans="13:28">
      <c r="M95" s="18"/>
      <c r="N95" s="18" t="s">
        <v>112</v>
      </c>
      <c r="O95" s="18"/>
      <c r="P95" s="19">
        <v>-18</v>
      </c>
      <c r="Q95" s="18"/>
      <c r="R95" s="18"/>
      <c r="S95" s="18"/>
      <c r="T95" s="20" t="s">
        <v>738</v>
      </c>
    </row>
    <row r="96" spans="13:28">
      <c r="M96" s="18"/>
      <c r="N96" s="18" t="s">
        <v>112</v>
      </c>
      <c r="O96" s="18"/>
      <c r="P96" s="19">
        <v>-18</v>
      </c>
      <c r="Q96" s="18"/>
      <c r="R96" s="18"/>
      <c r="S96" s="18"/>
      <c r="T96" s="20" t="s">
        <v>739</v>
      </c>
    </row>
    <row r="97" spans="13:20">
      <c r="M97" s="18"/>
      <c r="N97" s="18" t="s">
        <v>112</v>
      </c>
      <c r="O97" s="18"/>
      <c r="P97" s="19">
        <v>-18</v>
      </c>
      <c r="Q97" s="18"/>
      <c r="R97" s="18"/>
      <c r="S97" s="18"/>
      <c r="T97" s="20" t="s">
        <v>740</v>
      </c>
    </row>
    <row r="98" spans="13:20">
      <c r="M98" s="18"/>
      <c r="N98" s="18" t="s">
        <v>112</v>
      </c>
      <c r="O98" s="18"/>
      <c r="P98" s="19">
        <v>-18</v>
      </c>
      <c r="Q98" s="18"/>
      <c r="R98" s="18"/>
      <c r="S98" s="18"/>
      <c r="T98" s="20" t="s">
        <v>741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7"/>
  <sheetViews>
    <sheetView workbookViewId="0">
      <selection activeCell="D5" sqref="D5"/>
    </sheetView>
  </sheetViews>
  <sheetFormatPr defaultColWidth="8.72727272727273" defaultRowHeight="14.5"/>
  <cols>
    <col min="1" max="1" width="8.72727272727273" style="1"/>
    <col min="2" max="2" width="30.4545454545455" style="1" customWidth="1"/>
    <col min="3" max="3" width="8.72727272727273" style="1"/>
    <col min="4" max="4" width="17.5454545454545" style="1" customWidth="1"/>
    <col min="5" max="9" width="8.72727272727273" style="1"/>
    <col min="10" max="10" width="12.7272727272727" style="1" customWidth="1"/>
    <col min="11" max="11" width="10.1818181818182" style="1" customWidth="1"/>
    <col min="12" max="14" width="8.72727272727273" style="1"/>
  </cols>
  <sheetData>
    <row r="1" spans="1:13">
      <c r="A1" s="2" t="s">
        <v>742</v>
      </c>
      <c r="B1" s="2"/>
      <c r="C1" s="2"/>
      <c r="D1" s="2"/>
      <c r="E1" s="2"/>
      <c r="F1" s="2"/>
      <c r="G1" s="2"/>
      <c r="H1" s="2"/>
      <c r="I1" s="2"/>
      <c r="J1" s="2"/>
      <c r="K1" s="2" t="s">
        <v>743</v>
      </c>
      <c r="L1" s="2"/>
    </row>
    <row r="2" spans="1:1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3">
      <c r="A3" s="2"/>
      <c r="B3" s="2"/>
      <c r="C3" s="2"/>
      <c r="D3" s="2"/>
      <c r="E3" s="3" t="s">
        <v>744</v>
      </c>
      <c r="F3" s="2"/>
      <c r="G3" s="2"/>
      <c r="H3" s="2"/>
      <c r="I3" s="2"/>
      <c r="J3" s="2"/>
      <c r="K3" s="2"/>
      <c r="L3" s="2"/>
    </row>
    <row r="4" spans="1:1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3">
      <c r="A5" s="2"/>
      <c r="B5" s="2"/>
      <c r="C5" s="2"/>
      <c r="D5" s="2"/>
      <c r="F5" s="2"/>
      <c r="G5" s="2"/>
      <c r="H5" s="2"/>
      <c r="I5" s="2"/>
      <c r="J5" s="2"/>
      <c r="K5" s="2"/>
      <c r="L5" s="2"/>
    </row>
    <row r="6" ht="16" spans="1:13">
      <c r="A6" s="2"/>
      <c r="B6" s="2" t="s">
        <v>4</v>
      </c>
      <c r="C6" s="2" t="s">
        <v>61</v>
      </c>
      <c r="D6" s="2" t="s">
        <v>62</v>
      </c>
      <c r="E6" s="2" t="s">
        <v>64</v>
      </c>
      <c r="F6" s="2" t="s">
        <v>65</v>
      </c>
      <c r="G6" s="2" t="s">
        <v>66</v>
      </c>
      <c r="H6" s="2" t="s">
        <v>67</v>
      </c>
      <c r="I6" s="2" t="s">
        <v>57</v>
      </c>
      <c r="J6" s="2" t="s">
        <v>6</v>
      </c>
      <c r="K6" s="4" t="s">
        <v>745</v>
      </c>
      <c r="L6" s="2" t="s">
        <v>60</v>
      </c>
      <c r="M6" s="2" t="s">
        <v>55</v>
      </c>
    </row>
    <row r="7" spans="1:13">
      <c r="A7" s="2"/>
      <c r="B7" s="2" t="s">
        <v>746</v>
      </c>
      <c r="C7" s="2"/>
      <c r="D7" s="2" t="s">
        <v>747</v>
      </c>
      <c r="E7" s="2"/>
      <c r="F7" s="2"/>
      <c r="G7" s="2"/>
      <c r="H7" s="2"/>
      <c r="I7" s="2">
        <v>2020</v>
      </c>
      <c r="J7" s="2">
        <v>0.1</v>
      </c>
      <c r="L7" s="2">
        <v>0</v>
      </c>
      <c r="M7" s="2" t="s">
        <v>151</v>
      </c>
    </row>
    <row r="8" spans="1:13">
      <c r="A8" s="2"/>
      <c r="B8" s="2"/>
      <c r="C8" s="2"/>
      <c r="D8" s="2" t="s">
        <v>747</v>
      </c>
      <c r="E8" s="2"/>
      <c r="F8" s="2"/>
      <c r="G8" s="2"/>
      <c r="H8" s="2"/>
      <c r="I8" s="1">
        <v>2020</v>
      </c>
      <c r="K8" s="1">
        <v>-1</v>
      </c>
      <c r="L8" s="1">
        <v>0</v>
      </c>
      <c r="M8" s="1" t="s">
        <v>151</v>
      </c>
    </row>
    <row r="9" spans="1:13">
      <c r="A9" s="2"/>
      <c r="B9" s="2"/>
      <c r="C9" s="2"/>
      <c r="D9" s="2" t="s">
        <v>747</v>
      </c>
      <c r="E9" s="2"/>
      <c r="F9" s="2"/>
      <c r="G9" s="2"/>
      <c r="H9" s="2"/>
      <c r="I9" s="2">
        <v>0</v>
      </c>
      <c r="J9" s="2"/>
      <c r="L9" s="2">
        <v>3</v>
      </c>
      <c r="M9" s="2" t="s">
        <v>151</v>
      </c>
    </row>
    <row r="10" spans="1:13">
      <c r="A10" s="2"/>
      <c r="B10" s="2" t="s">
        <v>748</v>
      </c>
      <c r="C10" s="2"/>
      <c r="D10" s="2" t="s">
        <v>749</v>
      </c>
      <c r="E10" s="2"/>
      <c r="F10" s="2"/>
      <c r="G10" s="2"/>
      <c r="H10" s="2"/>
      <c r="I10" s="2">
        <v>2020</v>
      </c>
      <c r="J10" s="2">
        <v>0.1</v>
      </c>
      <c r="L10" s="2">
        <v>0</v>
      </c>
      <c r="M10" s="2" t="s">
        <v>151</v>
      </c>
    </row>
    <row r="11" spans="1:13">
      <c r="A11" s="2"/>
      <c r="B11" s="2"/>
      <c r="C11" s="2"/>
      <c r="D11" s="2" t="s">
        <v>749</v>
      </c>
      <c r="E11" s="2"/>
      <c r="F11" s="2"/>
      <c r="G11" s="2"/>
      <c r="H11" s="2"/>
      <c r="I11" s="1">
        <v>2020</v>
      </c>
      <c r="K11" s="1">
        <v>-1</v>
      </c>
      <c r="L11" s="1">
        <v>0</v>
      </c>
      <c r="M11" s="1" t="s">
        <v>151</v>
      </c>
    </row>
    <row r="12" spans="1:13">
      <c r="A12" s="2"/>
      <c r="B12" s="2"/>
      <c r="C12" s="2"/>
      <c r="D12" s="2" t="s">
        <v>749</v>
      </c>
      <c r="E12" s="2"/>
      <c r="F12" s="2"/>
      <c r="G12" s="2"/>
      <c r="H12" s="2"/>
      <c r="I12" s="2">
        <v>0</v>
      </c>
      <c r="J12" s="2"/>
      <c r="L12" s="2">
        <v>3</v>
      </c>
      <c r="M12" s="2" t="s">
        <v>151</v>
      </c>
    </row>
    <row r="13" spans="1:13">
      <c r="A13" s="2"/>
      <c r="B13" s="2" t="s">
        <v>750</v>
      </c>
      <c r="C13" s="2"/>
      <c r="D13" s="2" t="s">
        <v>751</v>
      </c>
      <c r="E13" s="2"/>
      <c r="F13" s="2"/>
      <c r="G13" s="2"/>
      <c r="H13" s="2"/>
      <c r="I13" s="2">
        <v>2020</v>
      </c>
      <c r="J13" s="2">
        <v>0.1</v>
      </c>
      <c r="L13" s="2">
        <v>0</v>
      </c>
      <c r="M13" s="2" t="s">
        <v>151</v>
      </c>
    </row>
    <row r="14" spans="1:13">
      <c r="A14" s="2"/>
      <c r="B14" s="2"/>
      <c r="C14" s="2"/>
      <c r="D14" s="2" t="s">
        <v>751</v>
      </c>
      <c r="E14" s="2"/>
      <c r="F14" s="2"/>
      <c r="G14" s="2"/>
      <c r="H14" s="2"/>
      <c r="I14" s="1">
        <v>2020</v>
      </c>
      <c r="K14" s="1">
        <v>-1</v>
      </c>
      <c r="L14" s="1">
        <v>0</v>
      </c>
      <c r="M14" s="1" t="s">
        <v>151</v>
      </c>
    </row>
    <row r="15" spans="1:13">
      <c r="A15" s="2"/>
      <c r="B15" s="2"/>
      <c r="C15" s="2"/>
      <c r="D15" s="2" t="s">
        <v>751</v>
      </c>
      <c r="E15" s="2"/>
      <c r="F15" s="2"/>
      <c r="G15" s="2"/>
      <c r="H15" s="2"/>
      <c r="I15" s="2">
        <v>0</v>
      </c>
      <c r="J15" s="2"/>
      <c r="L15" s="2">
        <v>3</v>
      </c>
      <c r="M15" s="2" t="s">
        <v>151</v>
      </c>
    </row>
    <row r="16" spans="1:13">
      <c r="A16" s="2"/>
      <c r="B16" s="2" t="s">
        <v>752</v>
      </c>
      <c r="C16" s="2"/>
      <c r="D16" s="2" t="s">
        <v>753</v>
      </c>
      <c r="E16" s="2"/>
      <c r="F16" s="2"/>
      <c r="G16" s="2"/>
      <c r="H16" s="2"/>
      <c r="I16" s="2">
        <v>2020</v>
      </c>
      <c r="J16" s="2">
        <v>0.1</v>
      </c>
      <c r="L16" s="2">
        <v>0</v>
      </c>
      <c r="M16" s="2" t="s">
        <v>151</v>
      </c>
    </row>
    <row r="17" spans="1:13">
      <c r="A17" s="2"/>
      <c r="B17" s="2"/>
      <c r="C17" s="2"/>
      <c r="D17" s="2" t="s">
        <v>753</v>
      </c>
      <c r="E17" s="2"/>
      <c r="F17" s="2"/>
      <c r="G17" s="2"/>
      <c r="H17" s="2"/>
      <c r="I17" s="1">
        <v>2020</v>
      </c>
      <c r="K17" s="1">
        <v>-1</v>
      </c>
      <c r="L17" s="1">
        <v>0</v>
      </c>
      <c r="M17" s="1" t="s">
        <v>151</v>
      </c>
    </row>
    <row r="18" spans="1:13">
      <c r="A18" s="2"/>
      <c r="B18" s="2"/>
      <c r="C18" s="2"/>
      <c r="D18" s="2" t="s">
        <v>753</v>
      </c>
      <c r="E18" s="2"/>
      <c r="F18" s="2"/>
      <c r="G18" s="2"/>
      <c r="H18" s="2"/>
      <c r="I18" s="2">
        <v>0</v>
      </c>
      <c r="J18" s="2"/>
      <c r="L18" s="2">
        <v>3</v>
      </c>
      <c r="M18" s="2" t="s">
        <v>151</v>
      </c>
    </row>
    <row r="19" spans="1:13">
      <c r="A19" s="2"/>
      <c r="B19" s="2" t="s">
        <v>754</v>
      </c>
      <c r="C19" s="2"/>
      <c r="D19" s="2" t="s">
        <v>755</v>
      </c>
      <c r="E19" s="2"/>
      <c r="F19" s="2"/>
      <c r="G19" s="2"/>
      <c r="H19" s="2"/>
      <c r="I19" s="2">
        <v>2020</v>
      </c>
      <c r="J19" s="2">
        <v>0.1</v>
      </c>
      <c r="L19" s="2">
        <v>0</v>
      </c>
      <c r="M19" s="2" t="s">
        <v>151</v>
      </c>
    </row>
    <row r="20" spans="1:13">
      <c r="A20" s="2"/>
      <c r="B20" s="2"/>
      <c r="C20" s="2"/>
      <c r="D20" s="2" t="s">
        <v>755</v>
      </c>
      <c r="E20" s="2"/>
      <c r="F20" s="2"/>
      <c r="G20" s="2"/>
      <c r="H20" s="2"/>
      <c r="I20" s="1">
        <v>2020</v>
      </c>
      <c r="K20" s="1">
        <v>-1</v>
      </c>
      <c r="L20" s="1">
        <v>0</v>
      </c>
      <c r="M20" s="1" t="s">
        <v>151</v>
      </c>
    </row>
    <row r="21" spans="1:13">
      <c r="A21" s="2"/>
      <c r="B21" s="2"/>
      <c r="C21" s="2"/>
      <c r="D21" s="2" t="s">
        <v>755</v>
      </c>
      <c r="E21" s="2"/>
      <c r="F21" s="2"/>
      <c r="G21" s="2"/>
      <c r="H21" s="2"/>
      <c r="I21" s="2">
        <v>0</v>
      </c>
      <c r="J21" s="2"/>
      <c r="L21" s="2">
        <v>3</v>
      </c>
      <c r="M21" s="2" t="s">
        <v>151</v>
      </c>
    </row>
    <row r="22" spans="1:13">
      <c r="B22" s="2" t="s">
        <v>756</v>
      </c>
      <c r="C22" s="2"/>
      <c r="D22" s="2" t="s">
        <v>757</v>
      </c>
      <c r="E22" s="2"/>
      <c r="F22" s="2"/>
      <c r="G22" s="2"/>
      <c r="H22" s="2"/>
      <c r="I22" s="2">
        <v>2020</v>
      </c>
      <c r="J22" s="2">
        <v>0.1</v>
      </c>
      <c r="L22" s="2">
        <v>0</v>
      </c>
      <c r="M22" s="2" t="s">
        <v>151</v>
      </c>
    </row>
    <row r="23" spans="1:13">
      <c r="B23" s="2"/>
      <c r="C23" s="2"/>
      <c r="D23" s="2" t="s">
        <v>757</v>
      </c>
      <c r="E23" s="2"/>
      <c r="F23" s="2"/>
      <c r="G23" s="2"/>
      <c r="H23" s="2"/>
      <c r="I23" s="1">
        <v>2020</v>
      </c>
      <c r="K23" s="1">
        <v>-1</v>
      </c>
      <c r="L23" s="1">
        <v>0</v>
      </c>
      <c r="M23" s="1" t="s">
        <v>151</v>
      </c>
    </row>
    <row r="24" spans="1:13">
      <c r="B24" s="2"/>
      <c r="C24" s="2"/>
      <c r="D24" s="2" t="s">
        <v>757</v>
      </c>
      <c r="E24" s="2"/>
      <c r="F24" s="2"/>
      <c r="G24" s="2"/>
      <c r="H24" s="2"/>
      <c r="I24" s="2">
        <v>0</v>
      </c>
      <c r="J24" s="2"/>
      <c r="L24" s="2">
        <v>3</v>
      </c>
      <c r="M24" s="2" t="s">
        <v>151</v>
      </c>
    </row>
    <row r="25" spans="1:13">
      <c r="B25" s="2" t="s">
        <v>758</v>
      </c>
      <c r="C25" s="2"/>
      <c r="D25" s="2" t="s">
        <v>759</v>
      </c>
      <c r="E25" s="2"/>
      <c r="F25" s="2"/>
      <c r="G25" s="2"/>
      <c r="H25" s="2"/>
      <c r="I25" s="2">
        <v>2020</v>
      </c>
      <c r="J25" s="2">
        <v>0.1</v>
      </c>
      <c r="L25" s="2">
        <v>0</v>
      </c>
      <c r="M25" s="2" t="s">
        <v>151</v>
      </c>
    </row>
    <row r="26" spans="1:13">
      <c r="B26" s="2"/>
      <c r="C26" s="2"/>
      <c r="D26" s="2" t="s">
        <v>759</v>
      </c>
      <c r="E26" s="2"/>
      <c r="F26" s="2"/>
      <c r="G26" s="2"/>
      <c r="H26" s="2"/>
      <c r="I26" s="1">
        <v>2020</v>
      </c>
      <c r="K26" s="1">
        <v>-1</v>
      </c>
      <c r="L26" s="1">
        <v>0</v>
      </c>
      <c r="M26" s="1" t="s">
        <v>151</v>
      </c>
    </row>
    <row r="27" spans="1:13">
      <c r="B27" s="2"/>
      <c r="C27" s="2"/>
      <c r="D27" s="2" t="s">
        <v>759</v>
      </c>
      <c r="E27" s="2"/>
      <c r="F27" s="2"/>
      <c r="G27" s="2"/>
      <c r="H27" s="2"/>
      <c r="I27" s="2">
        <v>0</v>
      </c>
      <c r="J27" s="2"/>
      <c r="L27" s="2">
        <v>3</v>
      </c>
      <c r="M27" s="2" t="s">
        <v>151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growth_rate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2026-08-03T15:51:22Z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