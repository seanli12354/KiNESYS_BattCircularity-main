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activeTab="5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 electrification rate" sheetId="35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<sst xmlns="http://schemas.openxmlformats.org/spreadsheetml/2006/main" count="2363" uniqueCount="743">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</sst>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8"/>
      <name val="Tahoma"/>
      <charset val="134"/>
    </font>
    <font>
      <sz val="9"/>
      <name val="Tahoma"/>
      <charset val="1"/>
    </font>
    <font>
      <sz val="9"/>
      <name val="Times New Roman"/>
      <charset val="0"/>
    </font>
    <font>
      <sz val="8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1" fillId="49" borderId="14">
      <alignment vertical="top" wrapText="1"/>
    </xf>
    <xf numFmtId="49" fontId="1" fillId="49" borderId="14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185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6" fontId="1" fillId="0" borderId="0" applyFont="0" applyFill="0" applyBorder="0" applyAlignment="0" applyProtection="0"/>
    <xf numFmtId="182" fontId="1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1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59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91" fontId="59" fillId="0" borderId="0">
      <alignment vertical="center"/>
    </xf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29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1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29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0" fontId="1" fillId="46" borderId="25" applyNumberFormat="0" applyFont="0" applyAlignment="0" applyProtection="0"/>
    <xf numFmtId="192" fontId="62" fillId="0" borderId="0">
      <alignment horizontal="right"/>
    </xf>
    <xf numFmtId="193" fontId="1" fillId="0" borderId="0" applyFont="0" applyFill="0" applyBorder="0" applyAlignment="0" applyProtection="0"/>
    <xf numFmtId="193" fontId="1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1" fillId="0" borderId="0"/>
    <xf numFmtId="0" fontId="1" fillId="0" borderId="1" applyNumberFormat="0" applyFill="0" applyProtection="0">
      <alignment horizontal="right"/>
    </xf>
    <xf numFmtId="0" fontId="1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1" fillId="0" borderId="1" applyNumberFormat="0" applyFill="0" applyProtection="0">
      <alignment horizontal="right"/>
    </xf>
    <xf numFmtId="0" fontId="1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196" fontId="1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1" fillId="68" borderId="28" applyBorder="0">
      <alignment horizontal="left" vertical="center"/>
    </xf>
    <xf numFmtId="0" fontId="1" fillId="68" borderId="28" applyBorder="0">
      <alignment horizontal="left" vertical="center"/>
    </xf>
    <xf numFmtId="49" fontId="1" fillId="69" borderId="1">
      <alignment vertical="center" wrapText="1"/>
    </xf>
    <xf numFmtId="49" fontId="1" fillId="69" borderId="1">
      <alignment vertical="center" wrapText="1"/>
    </xf>
    <xf numFmtId="0" fontId="1" fillId="70" borderId="29">
      <alignment horizontal="left" vertical="center" wrapText="1"/>
    </xf>
    <xf numFmtId="0" fontId="1" fillId="70" borderId="29">
      <alignment horizontal="left" vertical="center" wrapText="1"/>
    </xf>
    <xf numFmtId="0" fontId="70" fillId="71" borderId="1">
      <alignment horizontal="left" vertical="center" wrapText="1"/>
    </xf>
    <xf numFmtId="0" fontId="1" fillId="56" borderId="1">
      <alignment horizontal="left" vertical="center" wrapText="1"/>
    </xf>
    <xf numFmtId="0" fontId="1" fillId="56" borderId="1">
      <alignment horizontal="left" vertical="center" wrapText="1"/>
    </xf>
    <xf numFmtId="0" fontId="1" fillId="72" borderId="1">
      <alignment horizontal="left" vertical="center" wrapText="1"/>
    </xf>
    <xf numFmtId="0" fontId="1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2" fillId="0" borderId="0" xfId="0" applyFont="1" applyFill="1" applyAlignment="1"/>
    <xf numFmtId="0" fontId="3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3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1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3" fillId="0" borderId="0" xfId="0" applyNumberFormat="1" applyFont="1"/>
    <xf numFmtId="0" fontId="0" fillId="14" borderId="0" xfId="0" applyFill="1"/>
    <xf numFmtId="0" fontId="12" fillId="14" borderId="0" xfId="15" applyFill="1"/>
    <xf numFmtId="0" fontId="4" fillId="14" borderId="0" xfId="0" applyFont="1" applyFill="1"/>
    <xf numFmtId="0" fontId="0" fillId="15" borderId="0" xfId="0" applyFill="1"/>
    <xf numFmtId="0" fontId="4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M1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59" zoomScaleNormal="59" workbookViewId="0">
      <selection activeCell="K34" sqref="K34"/>
    </sheetView>
  </sheetViews>
  <sheetFormatPr defaultColWidth="9" defaultRowHeight="14.5"/>
  <cols>
    <col min="9" max="9" width="10.2727272727273" customWidth="1"/>
    <col min="10" max="10" width="7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2021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6" spans="2:36">
      <c r="K16" t="s">
        <v>328</v>
      </c>
      <c r="L16">
        <v>2020</v>
      </c>
      <c r="M16" s="21">
        <f t="shared" ref="M16:AJ16" si="1">SUMIFS($D$19:$D$199,$C$19:$C$199,$L16,$B$19:$B$199,M$14)/5</f>
        <v>0.00138</v>
      </c>
      <c r="N16" s="21">
        <f t="shared" si="1"/>
        <v>0.0052</v>
      </c>
      <c r="O16" s="21">
        <f t="shared" si="1"/>
        <v>0.0238</v>
      </c>
      <c r="P16" s="21">
        <f t="shared" si="1"/>
        <v>0.003949</v>
      </c>
      <c r="Q16" s="21">
        <f t="shared" si="1"/>
        <v>0.266</v>
      </c>
      <c r="R16" s="21">
        <f t="shared" si="1"/>
        <v>0.037</v>
      </c>
      <c r="S16" s="21">
        <f t="shared" si="1"/>
        <v>0.0796</v>
      </c>
      <c r="T16" s="21">
        <f t="shared" si="1"/>
        <v>0.0004</v>
      </c>
      <c r="U16" s="21">
        <f t="shared" si="1"/>
        <v>0.0008</v>
      </c>
      <c r="V16" s="21">
        <f t="shared" si="1"/>
        <v>0.001</v>
      </c>
      <c r="W16" s="21">
        <f t="shared" si="1"/>
        <v>0.0064</v>
      </c>
      <c r="X16" s="21">
        <f t="shared" si="1"/>
        <v>0.0058</v>
      </c>
      <c r="Y16" s="21">
        <f t="shared" si="1"/>
        <v>2e-5</v>
      </c>
      <c r="Z16" s="21">
        <f t="shared" si="1"/>
        <v>0.0016</v>
      </c>
      <c r="AA16" s="21">
        <f t="shared" si="1"/>
        <v>0.076</v>
      </c>
      <c r="AB16" s="21">
        <f t="shared" si="1"/>
        <v>0.0212</v>
      </c>
      <c r="AC16" s="21">
        <f t="shared" si="1"/>
        <v>0.0016</v>
      </c>
      <c r="AD16" s="21">
        <f t="shared" si="1"/>
        <v>0.0066</v>
      </c>
      <c r="AE16" s="21">
        <f t="shared" si="1"/>
        <v>4e-5</v>
      </c>
      <c r="AF16" s="21">
        <f t="shared" si="1"/>
        <v>0.0066</v>
      </c>
      <c r="AG16" s="21">
        <f t="shared" si="1"/>
        <v>0.0244</v>
      </c>
      <c r="AH16" s="21">
        <f t="shared" si="1"/>
        <v>0.0056</v>
      </c>
      <c r="AI16" s="21">
        <f t="shared" si="1"/>
        <v>0.0004</v>
      </c>
      <c r="AJ16" s="21">
        <f t="shared" si="1"/>
        <v>0.0352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24"/>
  <sheetViews>
    <sheetView tabSelected="1" zoomScale="74" zoomScaleNormal="74" topLeftCell="A3" workbookViewId="0">
      <selection activeCell="E24" sqref="E24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12" t="s">
        <v>338</v>
      </c>
      <c r="O2" s="12" t="s">
        <v>339</v>
      </c>
    </row>
    <row r="3" ht="58" spans="2:15">
      <c r="M3" t="s">
        <v>340</v>
      </c>
      <c r="N3" s="1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200000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  <row r="24" spans="5:5">
      <c r="E24" s="34">
        <v>0.02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topLeftCell="B4" workbookViewId="0">
      <selection activeCell="R15" sqref="R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0"/>
    <col min="26" max="26" width="21.2545454545455" customWidth="1"/>
    <col min="33" max="33" width="15.1454545454545" customWidth="1"/>
  </cols>
  <sheetData>
    <row r="1" spans="1:34">
      <c r="Z1" s="11" t="s">
        <v>639</v>
      </c>
      <c r="AA1" s="11" t="s">
        <v>642</v>
      </c>
      <c r="AF1" s="11" t="s">
        <v>639</v>
      </c>
      <c r="AG1" s="11" t="s">
        <v>643</v>
      </c>
      <c r="AH1" s="11"/>
    </row>
    <row r="2" ht="29" spans="1:34">
      <c r="Z2" s="12" t="s">
        <v>644</v>
      </c>
      <c r="AA2" s="12">
        <v>21.6</v>
      </c>
      <c r="AB2">
        <f>-AA2</f>
        <v>-21.6</v>
      </c>
      <c r="AF2" s="12" t="s">
        <v>645</v>
      </c>
      <c r="AG2" s="12">
        <v>120</v>
      </c>
      <c r="AH2" s="12">
        <f>-AG2</f>
        <v>-120</v>
      </c>
    </row>
    <row r="3" ht="29" spans="1:34">
      <c r="B3" t="s">
        <v>1</v>
      </c>
      <c r="Z3" s="12" t="s">
        <v>646</v>
      </c>
      <c r="AA3" s="12">
        <v>28.8</v>
      </c>
      <c r="AB3">
        <f t="shared" ref="AB3:AB34" si="0">-AA3</f>
        <v>-28.8</v>
      </c>
      <c r="AF3" s="12" t="s">
        <v>647</v>
      </c>
      <c r="AG3" s="12">
        <v>134</v>
      </c>
      <c r="AH3" s="12">
        <f t="shared" ref="AH3:AH19" si="1">-AG3</f>
        <v>-134</v>
      </c>
    </row>
    <row r="4" ht="29" spans="1:3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13"/>
      <c r="V4" s="13"/>
      <c r="W4" s="13"/>
      <c r="X4" s="13"/>
      <c r="Y4" s="13"/>
      <c r="Z4" s="14" t="s">
        <v>648</v>
      </c>
      <c r="AA4" s="12">
        <v>36</v>
      </c>
      <c r="AB4">
        <f t="shared" si="0"/>
        <v>-36</v>
      </c>
      <c r="AF4" s="12" t="s">
        <v>649</v>
      </c>
      <c r="AG4" s="12">
        <v>149</v>
      </c>
      <c r="AH4" s="12">
        <f t="shared" si="1"/>
        <v>-149</v>
      </c>
    </row>
    <row r="5" ht="29" spans="1:34">
      <c r="A5" s="3"/>
      <c r="B5" s="4"/>
      <c r="C5" s="4" t="s">
        <v>650</v>
      </c>
      <c r="D5" s="4"/>
      <c r="E5" s="4"/>
      <c r="F5" s="4"/>
      <c r="G5" s="4"/>
      <c r="H5" s="4"/>
      <c r="I5" s="4"/>
      <c r="J5" s="3"/>
      <c r="K5" s="3"/>
      <c r="L5" s="3"/>
      <c r="M5" s="4"/>
      <c r="N5" s="4" t="s">
        <v>651</v>
      </c>
      <c r="O5" s="4"/>
      <c r="P5" s="4"/>
      <c r="Q5" s="4"/>
      <c r="R5" s="4"/>
      <c r="S5" s="4"/>
      <c r="T5" s="4"/>
      <c r="U5" s="13"/>
      <c r="V5" s="13"/>
      <c r="W5" s="13"/>
      <c r="X5" s="13"/>
      <c r="Y5" s="13"/>
      <c r="Z5" s="14" t="s">
        <v>652</v>
      </c>
      <c r="AA5" s="12">
        <v>45</v>
      </c>
      <c r="AB5">
        <f t="shared" si="0"/>
        <v>-45</v>
      </c>
      <c r="AF5" s="12" t="s">
        <v>653</v>
      </c>
      <c r="AG5" s="12">
        <v>163</v>
      </c>
      <c r="AH5" s="12">
        <f t="shared" si="1"/>
        <v>-163</v>
      </c>
    </row>
    <row r="6" ht="29" spans="1:34">
      <c r="A6" s="3"/>
      <c r="B6" s="4" t="s">
        <v>4</v>
      </c>
      <c r="C6" s="4" t="s">
        <v>5</v>
      </c>
      <c r="D6" s="4" t="s">
        <v>77</v>
      </c>
      <c r="E6" s="4" t="s">
        <v>6</v>
      </c>
      <c r="F6" s="4">
        <v>2021</v>
      </c>
      <c r="G6" s="4">
        <v>0</v>
      </c>
      <c r="H6" s="4" t="s">
        <v>76</v>
      </c>
      <c r="I6" s="4" t="s">
        <v>91</v>
      </c>
      <c r="J6" s="3"/>
      <c r="K6" s="3"/>
      <c r="L6" s="3"/>
      <c r="M6" s="4" t="s">
        <v>4</v>
      </c>
      <c r="N6" s="4" t="s">
        <v>5</v>
      </c>
      <c r="O6" s="4" t="s">
        <v>77</v>
      </c>
      <c r="P6" s="4" t="s">
        <v>6</v>
      </c>
      <c r="Q6" s="4">
        <v>2021</v>
      </c>
      <c r="R6" s="4">
        <v>0</v>
      </c>
      <c r="S6" s="4" t="s">
        <v>76</v>
      </c>
      <c r="T6" s="4" t="s">
        <v>91</v>
      </c>
      <c r="U6" s="13"/>
      <c r="V6" s="13"/>
      <c r="W6" s="13"/>
      <c r="X6" s="13"/>
      <c r="Y6" s="13"/>
      <c r="Z6" s="14" t="s">
        <v>654</v>
      </c>
      <c r="AA6" s="12">
        <v>54</v>
      </c>
      <c r="AB6">
        <f t="shared" si="0"/>
        <v>-54</v>
      </c>
      <c r="AF6" s="12" t="s">
        <v>655</v>
      </c>
      <c r="AG6" s="12">
        <v>177</v>
      </c>
      <c r="AH6" s="12">
        <f t="shared" si="1"/>
        <v>-177</v>
      </c>
    </row>
    <row r="7" s="8" customFormat="1" ht="29" spans="1:34">
      <c r="A7" s="3"/>
      <c r="B7" s="4" t="s">
        <v>656</v>
      </c>
      <c r="C7" s="4" t="s">
        <v>303</v>
      </c>
      <c r="D7" s="4" t="s">
        <v>97</v>
      </c>
      <c r="E7" s="4">
        <f>1/0.05</f>
        <v>20</v>
      </c>
      <c r="F7" s="4">
        <v>0</v>
      </c>
      <c r="G7" s="4">
        <v>5</v>
      </c>
      <c r="H7" s="4" t="s">
        <v>657</v>
      </c>
      <c r="I7" s="4" t="s">
        <v>658</v>
      </c>
      <c r="J7" s="3"/>
      <c r="K7" s="3"/>
      <c r="L7" s="3"/>
      <c r="M7" s="4" t="s">
        <v>659</v>
      </c>
      <c r="N7" s="4" t="s">
        <v>660</v>
      </c>
      <c r="O7" s="4" t="s">
        <v>657</v>
      </c>
      <c r="P7" s="15">
        <v>1</v>
      </c>
      <c r="Q7" s="4">
        <v>0</v>
      </c>
      <c r="R7" s="4">
        <v>5</v>
      </c>
      <c r="S7" s="4"/>
      <c r="T7" s="4" t="s">
        <v>661</v>
      </c>
      <c r="U7" s="13"/>
      <c r="V7" s="13"/>
      <c r="W7" s="13"/>
      <c r="X7" s="13"/>
      <c r="Y7" s="13"/>
      <c r="Z7" s="14" t="s">
        <v>662</v>
      </c>
      <c r="AA7" s="12">
        <v>63</v>
      </c>
      <c r="AB7">
        <f t="shared" si="0"/>
        <v>-63</v>
      </c>
      <c r="AC7"/>
      <c r="AD7"/>
      <c r="AE7"/>
      <c r="AF7" s="12" t="s">
        <v>663</v>
      </c>
      <c r="AG7" s="12">
        <v>191</v>
      </c>
      <c r="AH7" s="12">
        <f t="shared" si="1"/>
        <v>-191</v>
      </c>
    </row>
    <row r="8" ht="29" spans="1:34">
      <c r="A8" s="3"/>
      <c r="B8" s="4"/>
      <c r="C8" s="4" t="s">
        <v>112</v>
      </c>
      <c r="D8" s="6"/>
      <c r="E8" s="7">
        <v>-120</v>
      </c>
      <c r="F8" s="6"/>
      <c r="G8" s="6"/>
      <c r="H8" s="6"/>
      <c r="I8" s="7" t="s">
        <v>645</v>
      </c>
      <c r="J8" s="3"/>
      <c r="K8" s="3"/>
      <c r="L8" s="3"/>
      <c r="M8" s="4"/>
      <c r="N8" s="4" t="s">
        <v>112</v>
      </c>
      <c r="O8" s="4"/>
      <c r="P8" s="16">
        <v>-21.6</v>
      </c>
      <c r="Q8" s="4"/>
      <c r="R8" s="4"/>
      <c r="S8" s="4"/>
      <c r="T8" s="7" t="s">
        <v>644</v>
      </c>
      <c r="U8" s="13"/>
      <c r="V8" s="13"/>
      <c r="W8" s="13"/>
      <c r="X8" s="13"/>
      <c r="Y8" s="13"/>
      <c r="Z8" s="14" t="s">
        <v>664</v>
      </c>
      <c r="AA8" s="12">
        <v>72</v>
      </c>
      <c r="AB8">
        <f t="shared" si="0"/>
        <v>-72</v>
      </c>
      <c r="AF8" s="12" t="s">
        <v>665</v>
      </c>
      <c r="AG8" s="12">
        <v>206</v>
      </c>
      <c r="AH8" s="12">
        <f t="shared" si="1"/>
        <v>-206</v>
      </c>
    </row>
    <row r="9" ht="29" spans="1:34">
      <c r="A9" s="3"/>
      <c r="B9" s="4"/>
      <c r="C9" s="4" t="s">
        <v>112</v>
      </c>
      <c r="D9" s="6"/>
      <c r="E9" s="7">
        <v>-134</v>
      </c>
      <c r="F9" s="6"/>
      <c r="G9" s="6"/>
      <c r="H9" s="6"/>
      <c r="I9" s="7" t="s">
        <v>647</v>
      </c>
      <c r="J9" s="3"/>
      <c r="K9" s="3"/>
      <c r="L9" s="3"/>
      <c r="M9" s="4"/>
      <c r="N9" s="4" t="s">
        <v>112</v>
      </c>
      <c r="O9" s="4"/>
      <c r="P9" s="16">
        <v>-28.8</v>
      </c>
      <c r="Q9" s="4"/>
      <c r="R9" s="4"/>
      <c r="S9" s="4"/>
      <c r="T9" s="7" t="s">
        <v>646</v>
      </c>
      <c r="U9" s="13"/>
      <c r="V9" s="13"/>
      <c r="W9" s="13"/>
      <c r="X9" s="13"/>
      <c r="Y9" s="13"/>
      <c r="Z9" s="14" t="s">
        <v>666</v>
      </c>
      <c r="AA9" s="12">
        <v>90</v>
      </c>
      <c r="AB9">
        <f t="shared" si="0"/>
        <v>-90</v>
      </c>
      <c r="AF9" s="12" t="s">
        <v>667</v>
      </c>
      <c r="AG9" s="12">
        <v>220</v>
      </c>
      <c r="AH9" s="12">
        <f t="shared" si="1"/>
        <v>-220</v>
      </c>
    </row>
    <row r="10" ht="29" spans="1:34">
      <c r="A10" s="3"/>
      <c r="B10" s="4"/>
      <c r="C10" s="4" t="s">
        <v>112</v>
      </c>
      <c r="D10" s="4"/>
      <c r="E10" s="7">
        <v>-149</v>
      </c>
      <c r="F10" s="4"/>
      <c r="G10" s="4"/>
      <c r="H10" s="4"/>
      <c r="I10" s="7" t="s">
        <v>649</v>
      </c>
      <c r="J10" s="3"/>
      <c r="K10" s="3"/>
      <c r="L10" s="3"/>
      <c r="M10" s="4"/>
      <c r="N10" s="4" t="s">
        <v>112</v>
      </c>
      <c r="O10" s="4"/>
      <c r="P10" s="16">
        <v>-36</v>
      </c>
      <c r="Q10" s="4"/>
      <c r="R10" s="4"/>
      <c r="S10" s="4"/>
      <c r="T10" s="7" t="s">
        <v>648</v>
      </c>
      <c r="U10" s="13"/>
      <c r="V10" s="13"/>
      <c r="W10" s="13"/>
      <c r="X10" s="13"/>
      <c r="Y10" s="13"/>
      <c r="Z10" s="14" t="s">
        <v>668</v>
      </c>
      <c r="AA10" s="12">
        <v>36</v>
      </c>
      <c r="AB10">
        <f t="shared" si="0"/>
        <v>-36</v>
      </c>
      <c r="AF10" s="12" t="s">
        <v>652</v>
      </c>
      <c r="AG10" s="12">
        <v>45</v>
      </c>
      <c r="AH10" s="12">
        <f t="shared" si="1"/>
        <v>-45</v>
      </c>
    </row>
    <row r="11" ht="29" spans="1:34">
      <c r="A11" s="3"/>
      <c r="B11" s="4"/>
      <c r="C11" s="4" t="s">
        <v>112</v>
      </c>
      <c r="D11" s="4"/>
      <c r="E11" s="7">
        <v>-163</v>
      </c>
      <c r="F11" s="4"/>
      <c r="G11" s="4"/>
      <c r="H11" s="4"/>
      <c r="I11" s="7" t="s">
        <v>653</v>
      </c>
      <c r="J11" s="3"/>
      <c r="K11" s="3"/>
      <c r="L11" s="3"/>
      <c r="M11" s="4"/>
      <c r="N11" s="4" t="s">
        <v>112</v>
      </c>
      <c r="O11" s="4"/>
      <c r="P11" s="16">
        <v>-45</v>
      </c>
      <c r="Q11" s="4"/>
      <c r="R11" s="4"/>
      <c r="S11" s="4"/>
      <c r="T11" s="7" t="s">
        <v>652</v>
      </c>
      <c r="U11" s="13"/>
      <c r="V11" s="13"/>
      <c r="W11" s="13"/>
      <c r="X11" s="13"/>
      <c r="Y11" s="13"/>
      <c r="Z11" s="14" t="s">
        <v>669</v>
      </c>
      <c r="AA11" s="12">
        <v>48</v>
      </c>
      <c r="AB11">
        <f t="shared" si="0"/>
        <v>-48</v>
      </c>
      <c r="AF11" s="12" t="s">
        <v>654</v>
      </c>
      <c r="AG11" s="12">
        <v>54</v>
      </c>
      <c r="AH11" s="12">
        <f t="shared" si="1"/>
        <v>-54</v>
      </c>
    </row>
    <row r="12" s="9" customFormat="1" ht="29" spans="1:34">
      <c r="A12" s="3"/>
      <c r="B12" s="4"/>
      <c r="C12" s="4" t="s">
        <v>112</v>
      </c>
      <c r="D12" s="4"/>
      <c r="E12" s="7">
        <v>-177</v>
      </c>
      <c r="F12" s="4"/>
      <c r="G12" s="4"/>
      <c r="H12" s="4"/>
      <c r="I12" s="7" t="s">
        <v>655</v>
      </c>
      <c r="J12" s="3"/>
      <c r="K12" s="3"/>
      <c r="L12" s="3"/>
      <c r="M12" s="4"/>
      <c r="N12" s="4" t="s">
        <v>112</v>
      </c>
      <c r="O12" s="4"/>
      <c r="P12" s="16">
        <v>-54</v>
      </c>
      <c r="Q12" s="4"/>
      <c r="R12" s="4"/>
      <c r="S12" s="4"/>
      <c r="T12" s="7" t="s">
        <v>654</v>
      </c>
      <c r="U12" s="13"/>
      <c r="V12" s="13"/>
      <c r="W12" s="13"/>
      <c r="X12" s="13"/>
      <c r="Y12" s="13"/>
      <c r="Z12" s="14" t="s">
        <v>670</v>
      </c>
      <c r="AA12" s="12">
        <v>60</v>
      </c>
      <c r="AB12">
        <f t="shared" si="0"/>
        <v>-60</v>
      </c>
      <c r="AC12"/>
      <c r="AD12"/>
      <c r="AE12"/>
      <c r="AF12" s="12" t="s">
        <v>662</v>
      </c>
      <c r="AG12" s="12">
        <v>63</v>
      </c>
      <c r="AH12" s="12">
        <f t="shared" si="1"/>
        <v>-63</v>
      </c>
    </row>
    <row r="13" s="9" customFormat="1" ht="29" spans="1:34">
      <c r="A13" s="3"/>
      <c r="B13" s="4"/>
      <c r="C13" s="4" t="s">
        <v>112</v>
      </c>
      <c r="D13" s="4"/>
      <c r="E13" s="7">
        <v>-191</v>
      </c>
      <c r="F13" s="4"/>
      <c r="G13" s="4"/>
      <c r="H13" s="4"/>
      <c r="I13" s="7" t="s">
        <v>663</v>
      </c>
      <c r="J13" s="3"/>
      <c r="K13" s="3"/>
      <c r="L13" s="3"/>
      <c r="M13" s="4"/>
      <c r="N13" s="4" t="s">
        <v>112</v>
      </c>
      <c r="O13" s="4"/>
      <c r="P13" s="16">
        <v>-63</v>
      </c>
      <c r="Q13" s="4"/>
      <c r="R13" s="4"/>
      <c r="S13" s="4"/>
      <c r="T13" s="7" t="s">
        <v>662</v>
      </c>
      <c r="U13" s="13"/>
      <c r="V13" s="13"/>
      <c r="W13" s="13"/>
      <c r="X13" s="13"/>
      <c r="Y13" s="13"/>
      <c r="Z13" s="14" t="s">
        <v>671</v>
      </c>
      <c r="AA13" s="12">
        <v>75</v>
      </c>
      <c r="AB13">
        <f t="shared" si="0"/>
        <v>-75</v>
      </c>
      <c r="AC13"/>
      <c r="AD13"/>
      <c r="AE13"/>
      <c r="AF13" s="12" t="s">
        <v>664</v>
      </c>
      <c r="AG13" s="12">
        <v>72</v>
      </c>
      <c r="AH13" s="12">
        <f t="shared" si="1"/>
        <v>-72</v>
      </c>
    </row>
    <row r="14" s="9" customFormat="1" ht="29" spans="1:34">
      <c r="A14" s="3"/>
      <c r="B14" s="4"/>
      <c r="C14" s="4" t="s">
        <v>112</v>
      </c>
      <c r="D14" s="4"/>
      <c r="E14" s="7">
        <v>-206</v>
      </c>
      <c r="F14" s="4"/>
      <c r="G14" s="4"/>
      <c r="H14" s="4"/>
      <c r="I14" s="7" t="s">
        <v>665</v>
      </c>
      <c r="J14" s="3"/>
      <c r="K14" s="3"/>
      <c r="L14" s="3"/>
      <c r="M14" s="4"/>
      <c r="N14" s="4" t="s">
        <v>112</v>
      </c>
      <c r="O14" s="4"/>
      <c r="P14" s="16">
        <v>-72</v>
      </c>
      <c r="Q14" s="4"/>
      <c r="R14" s="4"/>
      <c r="S14" s="4"/>
      <c r="T14" s="7" t="s">
        <v>664</v>
      </c>
      <c r="U14" s="13"/>
      <c r="V14" s="13"/>
      <c r="W14" s="13"/>
      <c r="X14" s="13"/>
      <c r="Y14" s="13"/>
      <c r="Z14" s="14" t="s">
        <v>672</v>
      </c>
      <c r="AA14" s="12">
        <v>90</v>
      </c>
      <c r="AB14">
        <f t="shared" si="0"/>
        <v>-90</v>
      </c>
      <c r="AC14"/>
      <c r="AD14"/>
      <c r="AE14"/>
      <c r="AF14" s="12" t="s">
        <v>666</v>
      </c>
      <c r="AG14" s="12">
        <v>90</v>
      </c>
      <c r="AH14" s="12">
        <f t="shared" si="1"/>
        <v>-90</v>
      </c>
    </row>
    <row r="15" s="9" customFormat="1" ht="29" spans="1:34">
      <c r="A15" s="3"/>
      <c r="B15" s="4"/>
      <c r="C15" s="4" t="s">
        <v>112</v>
      </c>
      <c r="D15" s="4"/>
      <c r="E15" s="7">
        <v>-220</v>
      </c>
      <c r="F15" s="4"/>
      <c r="G15" s="4"/>
      <c r="H15" s="4"/>
      <c r="I15" s="7" t="s">
        <v>667</v>
      </c>
      <c r="J15" s="3"/>
      <c r="K15" s="3"/>
      <c r="L15" s="3"/>
      <c r="M15" s="4"/>
      <c r="N15" s="4" t="s">
        <v>112</v>
      </c>
      <c r="O15" s="4"/>
      <c r="P15" s="16">
        <v>-90</v>
      </c>
      <c r="Q15" s="4"/>
      <c r="R15" s="4"/>
      <c r="S15" s="4"/>
      <c r="T15" s="7" t="s">
        <v>666</v>
      </c>
      <c r="U15" s="13"/>
      <c r="V15" s="13"/>
      <c r="W15" s="13"/>
      <c r="X15" s="13"/>
      <c r="Y15" s="13"/>
      <c r="Z15" s="14" t="s">
        <v>673</v>
      </c>
      <c r="AA15" s="12">
        <v>105</v>
      </c>
      <c r="AB15">
        <f t="shared" si="0"/>
        <v>-105</v>
      </c>
      <c r="AC15"/>
      <c r="AD15"/>
      <c r="AE15"/>
      <c r="AF15" s="12" t="s">
        <v>671</v>
      </c>
      <c r="AG15" s="12">
        <v>75</v>
      </c>
      <c r="AH15" s="12">
        <f t="shared" si="1"/>
        <v>-75</v>
      </c>
    </row>
    <row r="16" ht="29" spans="1:34">
      <c r="A16" s="3"/>
      <c r="B16" s="4"/>
      <c r="C16" s="4" t="s">
        <v>112</v>
      </c>
      <c r="D16" s="4"/>
      <c r="E16" s="7">
        <v>-45</v>
      </c>
      <c r="F16" s="4"/>
      <c r="G16" s="4"/>
      <c r="H16" s="4"/>
      <c r="I16" s="7" t="s">
        <v>652</v>
      </c>
      <c r="J16" s="3"/>
      <c r="K16" s="3"/>
      <c r="L16" s="3"/>
      <c r="M16" s="4"/>
      <c r="N16" s="4" t="s">
        <v>112</v>
      </c>
      <c r="O16" s="4"/>
      <c r="P16" s="16">
        <v>-36</v>
      </c>
      <c r="Q16" s="4"/>
      <c r="R16" s="4"/>
      <c r="S16" s="4"/>
      <c r="T16" s="7" t="s">
        <v>668</v>
      </c>
      <c r="U16" s="13"/>
      <c r="V16" s="13"/>
      <c r="W16" s="13"/>
      <c r="X16" s="13"/>
      <c r="Y16" s="13"/>
      <c r="Z16" s="14" t="s">
        <v>674</v>
      </c>
      <c r="AA16" s="12">
        <v>120</v>
      </c>
      <c r="AB16">
        <f t="shared" si="0"/>
        <v>-120</v>
      </c>
      <c r="AF16" s="12" t="s">
        <v>672</v>
      </c>
      <c r="AG16" s="12">
        <v>90</v>
      </c>
      <c r="AH16" s="12">
        <f t="shared" si="1"/>
        <v>-90</v>
      </c>
    </row>
    <row r="17" ht="29" spans="1:34">
      <c r="A17" s="3"/>
      <c r="B17" s="4"/>
      <c r="C17" s="4" t="s">
        <v>112</v>
      </c>
      <c r="D17" s="4"/>
      <c r="E17" s="7">
        <v>-54</v>
      </c>
      <c r="F17" s="4"/>
      <c r="G17" s="4"/>
      <c r="H17" s="4"/>
      <c r="I17" s="7" t="s">
        <v>654</v>
      </c>
      <c r="J17" s="3"/>
      <c r="K17" s="3"/>
      <c r="L17" s="3"/>
      <c r="M17" s="4"/>
      <c r="N17" s="4" t="s">
        <v>112</v>
      </c>
      <c r="O17" s="4"/>
      <c r="P17" s="16">
        <v>-48</v>
      </c>
      <c r="Q17" s="4"/>
      <c r="R17" s="4"/>
      <c r="S17" s="4"/>
      <c r="T17" s="7" t="s">
        <v>669</v>
      </c>
      <c r="U17" s="13"/>
      <c r="V17" s="13"/>
      <c r="W17" s="13"/>
      <c r="X17" s="13"/>
      <c r="Y17" s="13"/>
      <c r="Z17" s="14" t="s">
        <v>675</v>
      </c>
      <c r="AA17" s="12">
        <v>150</v>
      </c>
      <c r="AB17">
        <f t="shared" si="0"/>
        <v>-150</v>
      </c>
      <c r="AF17" s="12" t="s">
        <v>673</v>
      </c>
      <c r="AG17" s="12">
        <v>105</v>
      </c>
      <c r="AH17" s="12">
        <f t="shared" si="1"/>
        <v>-105</v>
      </c>
    </row>
    <row r="18" ht="29" spans="1:34">
      <c r="A18" s="3"/>
      <c r="B18" s="4"/>
      <c r="C18" s="4" t="s">
        <v>112</v>
      </c>
      <c r="D18" s="4"/>
      <c r="E18" s="7">
        <v>-63</v>
      </c>
      <c r="F18" s="4"/>
      <c r="G18" s="4"/>
      <c r="H18" s="4"/>
      <c r="I18" s="7" t="s">
        <v>662</v>
      </c>
      <c r="J18" s="3"/>
      <c r="K18" s="3"/>
      <c r="L18" s="3"/>
      <c r="M18" s="4"/>
      <c r="N18" s="4" t="s">
        <v>112</v>
      </c>
      <c r="O18" s="4"/>
      <c r="P18" s="16">
        <v>-60</v>
      </c>
      <c r="Q18" s="4"/>
      <c r="R18" s="4"/>
      <c r="S18" s="4"/>
      <c r="T18" s="7" t="s">
        <v>670</v>
      </c>
      <c r="U18" s="13"/>
      <c r="V18" s="13"/>
      <c r="W18" s="13"/>
      <c r="X18" s="13"/>
      <c r="Y18" s="13"/>
      <c r="Z18" s="14" t="s">
        <v>676</v>
      </c>
      <c r="AA18" s="12">
        <v>180</v>
      </c>
      <c r="AB18">
        <f t="shared" si="0"/>
        <v>-180</v>
      </c>
      <c r="AF18" s="12" t="s">
        <v>674</v>
      </c>
      <c r="AG18" s="12">
        <v>120</v>
      </c>
      <c r="AH18" s="12">
        <f t="shared" si="1"/>
        <v>-120</v>
      </c>
    </row>
    <row r="19" s="8" customFormat="1" ht="29" spans="1:34">
      <c r="A19" s="3"/>
      <c r="B19" s="4"/>
      <c r="C19" s="4" t="s">
        <v>112</v>
      </c>
      <c r="D19" s="4"/>
      <c r="E19" s="7">
        <v>-72</v>
      </c>
      <c r="F19" s="4"/>
      <c r="G19" s="4"/>
      <c r="H19" s="4"/>
      <c r="I19" s="7" t="s">
        <v>664</v>
      </c>
      <c r="J19" s="3"/>
      <c r="K19" s="3"/>
      <c r="L19" s="3"/>
      <c r="M19" s="4"/>
      <c r="N19" s="4" t="s">
        <v>112</v>
      </c>
      <c r="O19" s="4"/>
      <c r="P19" s="16">
        <v>-75</v>
      </c>
      <c r="Q19" s="4"/>
      <c r="R19" s="4"/>
      <c r="S19" s="4"/>
      <c r="T19" s="7" t="s">
        <v>671</v>
      </c>
      <c r="U19" s="13"/>
      <c r="V19" s="13"/>
      <c r="W19" s="13"/>
      <c r="X19" s="13"/>
      <c r="Y19" s="13"/>
      <c r="Z19" s="14" t="s">
        <v>677</v>
      </c>
      <c r="AA19" s="12">
        <v>214.8</v>
      </c>
      <c r="AB19">
        <f t="shared" si="0"/>
        <v>-214.8</v>
      </c>
      <c r="AC19"/>
      <c r="AD19"/>
      <c r="AE19"/>
      <c r="AF19" s="12" t="s">
        <v>675</v>
      </c>
      <c r="AG19" s="12">
        <v>150</v>
      </c>
      <c r="AH19" s="12">
        <f t="shared" si="1"/>
        <v>-150</v>
      </c>
    </row>
    <row r="20" spans="1:34">
      <c r="A20" s="3"/>
      <c r="B20" s="4"/>
      <c r="C20" s="4" t="s">
        <v>112</v>
      </c>
      <c r="D20" s="4"/>
      <c r="E20" s="7">
        <v>-90</v>
      </c>
      <c r="F20" s="4"/>
      <c r="G20" s="4"/>
      <c r="H20" s="4"/>
      <c r="I20" s="7" t="s">
        <v>666</v>
      </c>
      <c r="J20" s="3"/>
      <c r="K20" s="3"/>
      <c r="L20" s="3"/>
      <c r="M20" s="4"/>
      <c r="N20" s="4" t="s">
        <v>112</v>
      </c>
      <c r="O20" s="4"/>
      <c r="P20" s="16">
        <v>-90</v>
      </c>
      <c r="Q20" s="4"/>
      <c r="R20" s="4"/>
      <c r="S20" s="4"/>
      <c r="T20" s="7" t="s">
        <v>672</v>
      </c>
      <c r="U20" s="13"/>
      <c r="V20" s="13"/>
      <c r="W20" s="13"/>
      <c r="X20" s="13"/>
      <c r="Y20" s="13"/>
      <c r="Z20" s="14" t="s">
        <v>678</v>
      </c>
      <c r="AA20" s="12">
        <v>248.4</v>
      </c>
      <c r="AB20">
        <f t="shared" si="0"/>
        <v>-248.4</v>
      </c>
    </row>
    <row r="21" spans="1:34">
      <c r="A21" s="3"/>
      <c r="B21" s="4"/>
      <c r="C21" s="4" t="s">
        <v>112</v>
      </c>
      <c r="D21" s="4"/>
      <c r="E21" s="7">
        <v>-75</v>
      </c>
      <c r="F21" s="4"/>
      <c r="G21" s="4"/>
      <c r="H21" s="4"/>
      <c r="I21" s="7" t="s">
        <v>671</v>
      </c>
      <c r="J21" s="3"/>
      <c r="K21" s="3"/>
      <c r="L21" s="3"/>
      <c r="M21" s="4"/>
      <c r="N21" s="4" t="s">
        <v>112</v>
      </c>
      <c r="O21" s="4"/>
      <c r="P21" s="16">
        <v>-105</v>
      </c>
      <c r="Q21" s="4"/>
      <c r="R21" s="4"/>
      <c r="S21" s="4"/>
      <c r="T21" s="7" t="s">
        <v>673</v>
      </c>
      <c r="U21" s="13"/>
      <c r="V21" s="13"/>
      <c r="W21" s="13"/>
      <c r="X21" s="13"/>
      <c r="Y21" s="13"/>
      <c r="Z21" s="14" t="s">
        <v>679</v>
      </c>
      <c r="AA21" s="12">
        <v>283.2</v>
      </c>
      <c r="AB21">
        <f t="shared" si="0"/>
        <v>-283.2</v>
      </c>
    </row>
    <row r="22" spans="1:34">
      <c r="A22" s="3"/>
      <c r="B22" s="4"/>
      <c r="C22" s="4" t="s">
        <v>112</v>
      </c>
      <c r="D22" s="4"/>
      <c r="E22" s="7">
        <v>-90</v>
      </c>
      <c r="F22" s="4"/>
      <c r="G22" s="4"/>
      <c r="H22" s="4"/>
      <c r="I22" s="7" t="s">
        <v>672</v>
      </c>
      <c r="J22" s="3"/>
      <c r="K22" s="3"/>
      <c r="L22" s="3"/>
      <c r="M22" s="4"/>
      <c r="N22" s="4" t="s">
        <v>112</v>
      </c>
      <c r="O22" s="4"/>
      <c r="P22" s="16">
        <v>-120</v>
      </c>
      <c r="Q22" s="4"/>
      <c r="R22" s="4"/>
      <c r="S22" s="4"/>
      <c r="T22" s="7" t="s">
        <v>674</v>
      </c>
      <c r="U22" s="13"/>
      <c r="V22" s="13"/>
      <c r="W22" s="13"/>
      <c r="X22" s="13"/>
      <c r="Y22" s="13"/>
      <c r="Z22" s="14" t="s">
        <v>680</v>
      </c>
      <c r="AA22" s="12">
        <v>316.8</v>
      </c>
      <c r="AB22">
        <f t="shared" si="0"/>
        <v>-316.8</v>
      </c>
    </row>
    <row r="23" spans="1:34">
      <c r="A23" s="3"/>
      <c r="B23" s="4"/>
      <c r="C23" s="4" t="s">
        <v>112</v>
      </c>
      <c r="D23" s="4"/>
      <c r="E23" s="7">
        <v>-105</v>
      </c>
      <c r="F23" s="4"/>
      <c r="G23" s="4"/>
      <c r="H23" s="4"/>
      <c r="I23" s="7" t="s">
        <v>673</v>
      </c>
      <c r="J23" s="3"/>
      <c r="K23" s="3"/>
      <c r="L23" s="3"/>
      <c r="M23" s="4"/>
      <c r="N23" s="4" t="s">
        <v>112</v>
      </c>
      <c r="O23" s="4"/>
      <c r="P23" s="16">
        <v>-150</v>
      </c>
      <c r="Q23" s="4"/>
      <c r="R23" s="4"/>
      <c r="S23" s="4"/>
      <c r="T23" s="7" t="s">
        <v>675</v>
      </c>
      <c r="U23" s="13"/>
      <c r="V23" s="13"/>
      <c r="W23" s="13"/>
      <c r="X23" s="13"/>
      <c r="Y23" s="13"/>
      <c r="Z23" s="14" t="s">
        <v>681</v>
      </c>
      <c r="AA23" s="12">
        <v>420</v>
      </c>
      <c r="AB23">
        <f t="shared" si="0"/>
        <v>-420</v>
      </c>
    </row>
    <row r="24" spans="1:34">
      <c r="A24" s="3"/>
      <c r="B24" s="4"/>
      <c r="C24" s="4" t="s">
        <v>112</v>
      </c>
      <c r="D24" s="4"/>
      <c r="E24" s="7">
        <v>-120</v>
      </c>
      <c r="F24" s="4"/>
      <c r="G24" s="4"/>
      <c r="H24" s="4"/>
      <c r="I24" s="7" t="s">
        <v>674</v>
      </c>
      <c r="J24" s="3"/>
      <c r="K24" s="3"/>
      <c r="L24" s="3"/>
      <c r="M24" s="4"/>
      <c r="N24" s="4" t="s">
        <v>112</v>
      </c>
      <c r="O24" s="4"/>
      <c r="P24" s="16">
        <v>-180</v>
      </c>
      <c r="Q24" s="4"/>
      <c r="R24" s="4"/>
      <c r="S24" s="4"/>
      <c r="T24" s="7" t="s">
        <v>676</v>
      </c>
      <c r="U24" s="13"/>
      <c r="V24" s="13"/>
      <c r="W24" s="13"/>
      <c r="X24" s="13"/>
      <c r="Y24" s="13"/>
      <c r="Z24" s="14" t="s">
        <v>682</v>
      </c>
      <c r="AA24" s="12">
        <v>600</v>
      </c>
      <c r="AB24">
        <f t="shared" si="0"/>
        <v>-600</v>
      </c>
    </row>
    <row r="25" spans="1:34">
      <c r="A25" s="3"/>
      <c r="B25" s="4"/>
      <c r="C25" s="4" t="s">
        <v>112</v>
      </c>
      <c r="D25" s="4"/>
      <c r="E25" s="7">
        <v>-150</v>
      </c>
      <c r="F25" s="4"/>
      <c r="G25" s="4"/>
      <c r="H25" s="4"/>
      <c r="I25" s="7" t="s">
        <v>675</v>
      </c>
      <c r="J25" s="3"/>
      <c r="K25" s="3"/>
      <c r="L25" s="3"/>
      <c r="M25" s="4"/>
      <c r="N25" s="4" t="s">
        <v>112</v>
      </c>
      <c r="O25" s="4"/>
      <c r="P25" s="16">
        <v>-214.8</v>
      </c>
      <c r="Q25" s="4"/>
      <c r="R25" s="4"/>
      <c r="S25" s="4"/>
      <c r="T25" s="7" t="s">
        <v>677</v>
      </c>
      <c r="U25" s="13"/>
      <c r="V25" s="13"/>
      <c r="W25" s="13"/>
      <c r="X25" s="13"/>
      <c r="Y25" s="13"/>
      <c r="Z25" s="14" t="s">
        <v>683</v>
      </c>
      <c r="AA25" s="12">
        <v>720</v>
      </c>
      <c r="AB25">
        <f t="shared" si="0"/>
        <v>-720</v>
      </c>
    </row>
    <row r="26" spans="1:3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4" t="s">
        <v>112</v>
      </c>
      <c r="O26" s="4"/>
      <c r="P26" s="16">
        <v>-248.4</v>
      </c>
      <c r="Q26" s="4"/>
      <c r="R26" s="4"/>
      <c r="S26" s="4"/>
      <c r="T26" s="7" t="s">
        <v>678</v>
      </c>
      <c r="U26" s="13"/>
      <c r="V26" s="13"/>
      <c r="W26" s="13"/>
      <c r="X26" s="13"/>
      <c r="Y26" s="13"/>
      <c r="Z26" s="14" t="s">
        <v>645</v>
      </c>
      <c r="AA26" s="12">
        <v>120</v>
      </c>
      <c r="AB26">
        <f t="shared" si="0"/>
        <v>-120</v>
      </c>
    </row>
    <row r="27" spans="1:3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4" t="s">
        <v>112</v>
      </c>
      <c r="O27" s="4"/>
      <c r="P27" s="16">
        <v>-283.2</v>
      </c>
      <c r="Q27" s="4"/>
      <c r="R27" s="4"/>
      <c r="S27" s="4"/>
      <c r="T27" s="7" t="s">
        <v>679</v>
      </c>
      <c r="U27" s="13"/>
      <c r="V27" s="13"/>
      <c r="W27" s="13"/>
      <c r="X27" s="13"/>
      <c r="Y27" s="13"/>
      <c r="Z27" s="14" t="s">
        <v>647</v>
      </c>
      <c r="AA27" s="12">
        <v>134</v>
      </c>
      <c r="AB27">
        <f t="shared" si="0"/>
        <v>-134</v>
      </c>
    </row>
    <row r="28" spans="1:3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4" t="s">
        <v>112</v>
      </c>
      <c r="O28" s="4"/>
      <c r="P28" s="16">
        <v>-316.8</v>
      </c>
      <c r="Q28" s="4"/>
      <c r="R28" s="4"/>
      <c r="S28" s="4"/>
      <c r="T28" s="7" t="s">
        <v>680</v>
      </c>
      <c r="U28" s="13"/>
      <c r="V28" s="13"/>
      <c r="W28" s="13"/>
      <c r="X28" s="13"/>
      <c r="Y28" s="13"/>
      <c r="Z28" s="14" t="s">
        <v>649</v>
      </c>
      <c r="AA28" s="12">
        <v>149</v>
      </c>
      <c r="AB28">
        <f t="shared" si="0"/>
        <v>-149</v>
      </c>
    </row>
    <row r="29" spans="1:3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4" t="s">
        <v>112</v>
      </c>
      <c r="O29" s="4"/>
      <c r="P29" s="16">
        <v>-420</v>
      </c>
      <c r="Q29" s="4"/>
      <c r="R29" s="4"/>
      <c r="S29" s="4"/>
      <c r="T29" s="7" t="s">
        <v>681</v>
      </c>
      <c r="U29" s="13"/>
      <c r="V29" s="13"/>
      <c r="W29" s="13"/>
      <c r="X29" s="13"/>
      <c r="Y29" s="13"/>
      <c r="Z29" s="14" t="s">
        <v>653</v>
      </c>
      <c r="AA29" s="12">
        <v>163</v>
      </c>
      <c r="AB29">
        <f t="shared" si="0"/>
        <v>-163</v>
      </c>
    </row>
    <row r="30" spans="1:3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4" t="s">
        <v>112</v>
      </c>
      <c r="O30" s="4"/>
      <c r="P30" s="16">
        <v>-600</v>
      </c>
      <c r="Q30" s="4"/>
      <c r="R30" s="4"/>
      <c r="S30" s="4"/>
      <c r="T30" s="7" t="s">
        <v>682</v>
      </c>
      <c r="U30" s="13"/>
      <c r="V30" s="13"/>
      <c r="W30" s="13"/>
      <c r="X30" s="13"/>
      <c r="Y30" s="13"/>
      <c r="Z30" s="14" t="s">
        <v>655</v>
      </c>
      <c r="AA30" s="12">
        <v>177</v>
      </c>
      <c r="AB30">
        <f t="shared" si="0"/>
        <v>-177</v>
      </c>
    </row>
    <row r="31" spans="1:3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4" t="s">
        <v>112</v>
      </c>
      <c r="O31" s="4"/>
      <c r="P31" s="16">
        <v>-720</v>
      </c>
      <c r="Q31" s="4"/>
      <c r="R31" s="4"/>
      <c r="S31" s="4"/>
      <c r="T31" s="7" t="s">
        <v>683</v>
      </c>
      <c r="U31" s="13"/>
      <c r="V31" s="13"/>
      <c r="W31" s="13"/>
      <c r="X31" s="13"/>
      <c r="Y31" s="13"/>
      <c r="Z31" s="14" t="s">
        <v>663</v>
      </c>
      <c r="AA31" s="12">
        <v>191</v>
      </c>
      <c r="AB31">
        <f t="shared" si="0"/>
        <v>-191</v>
      </c>
    </row>
    <row r="32" spans="1:3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4" t="s">
        <v>112</v>
      </c>
      <c r="O32" s="4"/>
      <c r="P32" s="16">
        <v>-120</v>
      </c>
      <c r="Q32" s="4"/>
      <c r="R32" s="4"/>
      <c r="S32" s="4"/>
      <c r="T32" s="7" t="s">
        <v>645</v>
      </c>
      <c r="U32" s="13"/>
      <c r="V32" s="13"/>
      <c r="W32" s="13"/>
      <c r="X32" s="13"/>
      <c r="Y32" s="13"/>
      <c r="Z32" s="14" t="s">
        <v>665</v>
      </c>
      <c r="AA32" s="12">
        <v>206</v>
      </c>
      <c r="AB32">
        <f t="shared" si="0"/>
        <v>-206</v>
      </c>
    </row>
    <row r="33" spans="1:28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4" t="s">
        <v>112</v>
      </c>
      <c r="O33" s="4"/>
      <c r="P33" s="16">
        <v>-134</v>
      </c>
      <c r="Q33" s="4"/>
      <c r="R33" s="4"/>
      <c r="S33" s="4"/>
      <c r="T33" s="7" t="s">
        <v>647</v>
      </c>
      <c r="U33" s="13"/>
      <c r="V33" s="13"/>
      <c r="W33" s="13"/>
      <c r="X33" s="13"/>
      <c r="Y33" s="13"/>
      <c r="Z33" s="14" t="s">
        <v>667</v>
      </c>
      <c r="AA33" s="12">
        <v>220</v>
      </c>
      <c r="AB33">
        <f t="shared" si="0"/>
        <v>-220</v>
      </c>
    </row>
    <row r="34" spans="1:28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4" t="s">
        <v>112</v>
      </c>
      <c r="O34" s="4"/>
      <c r="P34" s="16">
        <v>-149</v>
      </c>
      <c r="Q34" s="4"/>
      <c r="R34" s="4"/>
      <c r="S34" s="4"/>
      <c r="T34" s="7" t="s">
        <v>649</v>
      </c>
      <c r="U34" s="13"/>
      <c r="V34" s="13"/>
      <c r="W34" s="13"/>
      <c r="X34" s="13"/>
      <c r="Y34" s="13"/>
      <c r="Z34" s="14" t="s">
        <v>684</v>
      </c>
      <c r="AA34" s="12">
        <v>6</v>
      </c>
      <c r="AB34">
        <f t="shared" si="0"/>
        <v>-6</v>
      </c>
    </row>
    <row r="35" spans="1:28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4" t="s">
        <v>112</v>
      </c>
      <c r="O35" s="4"/>
      <c r="P35" s="16">
        <v>-163</v>
      </c>
      <c r="Q35" s="4"/>
      <c r="R35" s="4"/>
      <c r="S35" s="4"/>
      <c r="T35" s="7" t="s">
        <v>653</v>
      </c>
      <c r="U35" s="13"/>
      <c r="V35" s="13"/>
      <c r="W35" s="13"/>
      <c r="X35" s="13"/>
      <c r="Y35" s="13"/>
      <c r="Z35" s="14" t="s">
        <v>685</v>
      </c>
      <c r="AA35" s="12">
        <v>6.55</v>
      </c>
      <c r="AB35">
        <f t="shared" ref="AB35:AB66" si="2">-AA35</f>
        <v>-6.55</v>
      </c>
    </row>
    <row r="36" spans="1:28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4" t="s">
        <v>112</v>
      </c>
      <c r="O36" s="4"/>
      <c r="P36" s="16">
        <v>-177</v>
      </c>
      <c r="Q36" s="4"/>
      <c r="R36" s="4"/>
      <c r="S36" s="4"/>
      <c r="T36" s="7" t="s">
        <v>655</v>
      </c>
      <c r="U36" s="13"/>
      <c r="V36" s="13"/>
      <c r="W36" s="13"/>
      <c r="X36" s="13"/>
      <c r="Y36" s="13"/>
      <c r="Z36" s="14" t="s">
        <v>686</v>
      </c>
      <c r="AA36" s="12">
        <v>7.15</v>
      </c>
      <c r="AB36">
        <f t="shared" si="2"/>
        <v>-7.15</v>
      </c>
    </row>
    <row r="37" spans="1:28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4" t="s">
        <v>112</v>
      </c>
      <c r="O37" s="4"/>
      <c r="P37" s="16">
        <v>-191</v>
      </c>
      <c r="Q37" s="4"/>
      <c r="R37" s="4"/>
      <c r="S37" s="4"/>
      <c r="T37" s="7" t="s">
        <v>663</v>
      </c>
      <c r="U37" s="13"/>
      <c r="V37" s="13"/>
      <c r="W37" s="13"/>
      <c r="X37" s="13"/>
      <c r="Y37" s="13"/>
      <c r="Z37" s="14" t="s">
        <v>687</v>
      </c>
      <c r="AA37" s="12">
        <v>7.7</v>
      </c>
      <c r="AB37">
        <f t="shared" si="2"/>
        <v>-7.7</v>
      </c>
    </row>
    <row r="38" spans="1:2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4" t="s">
        <v>112</v>
      </c>
      <c r="O38" s="4"/>
      <c r="P38" s="16">
        <v>-206</v>
      </c>
      <c r="Q38" s="4"/>
      <c r="R38" s="4"/>
      <c r="S38" s="4"/>
      <c r="T38" s="7" t="s">
        <v>665</v>
      </c>
      <c r="U38" s="13"/>
      <c r="V38" s="13"/>
      <c r="W38" s="13"/>
      <c r="X38" s="13"/>
      <c r="Y38" s="13"/>
      <c r="Z38" s="14" t="s">
        <v>688</v>
      </c>
      <c r="AA38" s="1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12" t="s">
        <v>689</v>
      </c>
      <c r="AA39" s="1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12" t="s">
        <v>690</v>
      </c>
      <c r="AA40" s="1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12" t="s">
        <v>691</v>
      </c>
      <c r="AA41" s="1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12" t="s">
        <v>692</v>
      </c>
      <c r="AA42" s="1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12" t="s">
        <v>693</v>
      </c>
      <c r="AA43" s="1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12" t="s">
        <v>694</v>
      </c>
      <c r="AA44" s="1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12" t="s">
        <v>695</v>
      </c>
      <c r="AA45" s="1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12" t="s">
        <v>696</v>
      </c>
      <c r="AA46" s="1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12" t="s">
        <v>697</v>
      </c>
      <c r="AA47" s="1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12" t="s">
        <v>698</v>
      </c>
      <c r="AA48" s="1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12" t="s">
        <v>699</v>
      </c>
      <c r="AA49" s="1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12" t="s">
        <v>700</v>
      </c>
      <c r="AA50" s="1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12" t="s">
        <v>701</v>
      </c>
      <c r="AA51" s="1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12" t="s">
        <v>702</v>
      </c>
      <c r="AA52" s="1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12" t="s">
        <v>703</v>
      </c>
      <c r="AA53" s="1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12" t="s">
        <v>704</v>
      </c>
      <c r="AA54" s="1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12" t="s">
        <v>705</v>
      </c>
      <c r="AA55" s="1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12" t="s">
        <v>706</v>
      </c>
      <c r="AA56" s="1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12" t="s">
        <v>707</v>
      </c>
      <c r="AA57" s="1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12" t="s">
        <v>708</v>
      </c>
      <c r="AA58" s="1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12" t="s">
        <v>709</v>
      </c>
      <c r="AA59" s="1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12" t="s">
        <v>710</v>
      </c>
      <c r="AA60" s="1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12" t="s">
        <v>711</v>
      </c>
      <c r="AA61" s="1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12" t="s">
        <v>712</v>
      </c>
      <c r="AA62" s="1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12" t="s">
        <v>713</v>
      </c>
      <c r="AA63" s="1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12" t="s">
        <v>714</v>
      </c>
      <c r="AA64" s="1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12" t="s">
        <v>715</v>
      </c>
      <c r="AA65" s="1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12" t="s">
        <v>716</v>
      </c>
      <c r="AA66" s="1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12" t="s">
        <v>717</v>
      </c>
      <c r="AA67" s="1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12" t="s">
        <v>718</v>
      </c>
      <c r="AA68" s="1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12" t="s">
        <v>719</v>
      </c>
      <c r="AA69" s="1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12" t="s">
        <v>720</v>
      </c>
      <c r="AA70" s="1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12" t="s">
        <v>721</v>
      </c>
      <c r="AA71" s="1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12" t="s">
        <v>722</v>
      </c>
      <c r="AA72" s="1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12" t="s">
        <v>723</v>
      </c>
      <c r="AA73" s="1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12" t="s">
        <v>724</v>
      </c>
      <c r="AA74" s="1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12" t="s">
        <v>725</v>
      </c>
      <c r="AA75" s="1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12" t="s">
        <v>726</v>
      </c>
      <c r="AA76" s="1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12" t="s">
        <v>727</v>
      </c>
      <c r="AA77" s="1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12" t="s">
        <v>728</v>
      </c>
      <c r="AA78" s="1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12" t="s">
        <v>729</v>
      </c>
      <c r="AA79" s="1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12" t="s">
        <v>730</v>
      </c>
      <c r="AA80" s="1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12" t="s">
        <v>731</v>
      </c>
      <c r="AA81" s="1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12" t="s">
        <v>732</v>
      </c>
      <c r="AA82" s="1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12" t="s">
        <v>733</v>
      </c>
      <c r="AA83" s="1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12" t="s">
        <v>734</v>
      </c>
      <c r="AA84" s="1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12" t="s">
        <v>735</v>
      </c>
      <c r="AA85" s="1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12" t="s">
        <v>736</v>
      </c>
      <c r="AA86" s="1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12" t="s">
        <v>737</v>
      </c>
      <c r="AA87" s="1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12" t="s">
        <v>738</v>
      </c>
      <c r="AA88" s="1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12" t="s">
        <v>739</v>
      </c>
      <c r="AA89" s="1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12" t="s">
        <v>740</v>
      </c>
      <c r="AA90" s="1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12" t="s">
        <v>741</v>
      </c>
      <c r="AA91" s="1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12" t="s">
        <v>742</v>
      </c>
      <c r="AA92" s="1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82" zoomScaleNormal="82" workbookViewId="0">
      <selection activeCell="K5" sqref="K5"/>
    </sheetView>
  </sheetViews>
  <sheetFormatPr defaultColWidth="8.72727272727273" defaultRowHeight="14.5"/>
  <cols>
    <col min="1" max="1" width="8.72727272727273" style="1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1" customWidth="1"/>
    <col min="11" max="11" width="10.1818181818182" style="1" customWidth="1"/>
    <col min="12" max="14" width="8.72727272727273" style="1"/>
  </cols>
  <sheetData>
    <row r="1" spans="1:13">
      <c r="A1" s="2"/>
      <c r="J1" s="2"/>
      <c r="K1" s="2"/>
      <c r="L1" s="2"/>
    </row>
    <row r="2" spans="1:13">
      <c r="A2" s="2"/>
      <c r="B2" t="s">
        <v>1</v>
      </c>
      <c r="J2" s="2"/>
      <c r="K2" s="2"/>
      <c r="L2" s="2"/>
    </row>
    <row r="3" spans="1:13">
      <c r="A3" s="2"/>
      <c r="B3" s="3"/>
      <c r="C3" s="4" t="s">
        <v>650</v>
      </c>
      <c r="J3" s="2"/>
      <c r="K3" s="2"/>
      <c r="L3" s="2"/>
    </row>
    <row r="4" spans="1:13">
      <c r="A4" s="2"/>
      <c r="D4" s="3"/>
      <c r="E4" s="3"/>
      <c r="F4" s="3"/>
      <c r="G4" s="3"/>
      <c r="H4" s="3"/>
      <c r="I4" s="3"/>
      <c r="J4" s="2"/>
      <c r="K4" s="2"/>
      <c r="L4" s="2"/>
    </row>
    <row r="5" spans="1:13">
      <c r="A5" s="2"/>
      <c r="B5" s="4"/>
      <c r="D5" s="4"/>
      <c r="E5" s="4"/>
      <c r="F5" s="4"/>
      <c r="G5" s="4"/>
      <c r="H5" s="4"/>
      <c r="I5" s="4"/>
      <c r="J5" s="2"/>
      <c r="K5" s="2"/>
      <c r="L5" s="2"/>
    </row>
    <row r="6" ht="16" spans="1:13">
      <c r="A6" s="2"/>
      <c r="B6" s="4" t="s">
        <v>4</v>
      </c>
      <c r="C6" s="4" t="s">
        <v>5</v>
      </c>
      <c r="D6" s="4" t="s">
        <v>77</v>
      </c>
      <c r="E6" s="4" t="s">
        <v>6</v>
      </c>
      <c r="F6" s="4">
        <v>2020</v>
      </c>
      <c r="G6" s="4">
        <v>0</v>
      </c>
      <c r="H6" s="4" t="s">
        <v>76</v>
      </c>
      <c r="I6" s="4" t="s">
        <v>91</v>
      </c>
      <c r="J6" s="2"/>
      <c r="K6" s="5"/>
      <c r="L6" s="2"/>
      <c r="M6" s="2"/>
    </row>
    <row r="7" spans="1:13">
      <c r="A7" s="2"/>
      <c r="B7" s="4" t="s">
        <v>656</v>
      </c>
      <c r="C7" s="4" t="s">
        <v>303</v>
      </c>
      <c r="D7" s="4" t="s">
        <v>97</v>
      </c>
      <c r="E7" s="4">
        <f>1/0.05</f>
        <v>20</v>
      </c>
      <c r="F7" s="4">
        <v>0</v>
      </c>
      <c r="G7" s="4">
        <v>3</v>
      </c>
      <c r="H7" s="4" t="s">
        <v>657</v>
      </c>
      <c r="I7" s="4" t="s">
        <v>658</v>
      </c>
      <c r="J7" s="2"/>
      <c r="L7" s="2"/>
      <c r="M7" s="2"/>
    </row>
    <row r="8" spans="1:13">
      <c r="A8" s="2"/>
      <c r="B8" s="4"/>
      <c r="C8" s="4" t="s">
        <v>112</v>
      </c>
      <c r="D8" s="6"/>
      <c r="E8" s="7">
        <v>-120</v>
      </c>
      <c r="F8" s="6"/>
      <c r="G8" s="6"/>
      <c r="H8" s="6"/>
      <c r="I8" s="7" t="s">
        <v>645</v>
      </c>
    </row>
    <row r="9" spans="1:13">
      <c r="A9" s="2"/>
      <c r="B9" s="4"/>
      <c r="C9" s="4" t="s">
        <v>112</v>
      </c>
      <c r="D9" s="6"/>
      <c r="E9" s="7">
        <v>-134</v>
      </c>
      <c r="F9" s="6"/>
      <c r="G9" s="6"/>
      <c r="H9" s="6"/>
      <c r="I9" s="7" t="s">
        <v>647</v>
      </c>
      <c r="J9" s="2"/>
      <c r="L9" s="2"/>
      <c r="M9" s="2"/>
    </row>
    <row r="10" spans="1:13">
      <c r="A10" s="2"/>
      <c r="B10" s="4"/>
      <c r="C10" s="4" t="s">
        <v>112</v>
      </c>
      <c r="D10" s="4"/>
      <c r="E10" s="7">
        <v>-149</v>
      </c>
      <c r="F10" s="4"/>
      <c r="G10" s="4"/>
      <c r="H10" s="4"/>
      <c r="I10" s="7" t="s">
        <v>649</v>
      </c>
      <c r="J10" s="2"/>
      <c r="L10" s="2"/>
      <c r="M10" s="2"/>
    </row>
    <row r="11" spans="1:13">
      <c r="A11" s="2"/>
      <c r="B11" s="4"/>
      <c r="C11" s="4" t="s">
        <v>112</v>
      </c>
      <c r="D11" s="4"/>
      <c r="E11" s="7">
        <v>-163</v>
      </c>
      <c r="F11" s="4"/>
      <c r="G11" s="4"/>
      <c r="H11" s="4"/>
      <c r="I11" s="7" t="s">
        <v>653</v>
      </c>
    </row>
    <row r="12" spans="1:13">
      <c r="A12" s="2"/>
      <c r="B12" s="4"/>
      <c r="C12" s="4" t="s">
        <v>112</v>
      </c>
      <c r="D12" s="4"/>
      <c r="E12" s="7">
        <v>-177</v>
      </c>
      <c r="F12" s="4"/>
      <c r="G12" s="4"/>
      <c r="H12" s="4"/>
      <c r="I12" s="7" t="s">
        <v>655</v>
      </c>
      <c r="J12" s="2"/>
      <c r="L12" s="2"/>
      <c r="M12" s="2"/>
    </row>
    <row r="13" spans="1:13">
      <c r="A13" s="2"/>
      <c r="B13" s="4"/>
      <c r="C13" s="4" t="s">
        <v>112</v>
      </c>
      <c r="D13" s="4"/>
      <c r="E13" s="7">
        <v>-191</v>
      </c>
      <c r="F13" s="4"/>
      <c r="G13" s="4"/>
      <c r="H13" s="4"/>
      <c r="I13" s="7" t="s">
        <v>663</v>
      </c>
      <c r="J13" s="2"/>
      <c r="L13" s="2"/>
      <c r="M13" s="2"/>
    </row>
    <row r="14" spans="1:13">
      <c r="A14" s="2"/>
      <c r="B14" s="4"/>
      <c r="C14" s="4" t="s">
        <v>112</v>
      </c>
      <c r="D14" s="4"/>
      <c r="E14" s="7">
        <v>-206</v>
      </c>
      <c r="F14" s="4"/>
      <c r="G14" s="4"/>
      <c r="H14" s="4"/>
      <c r="I14" s="7" t="s">
        <v>665</v>
      </c>
    </row>
    <row r="15" spans="1:13">
      <c r="A15" s="2"/>
      <c r="B15" s="4"/>
      <c r="C15" s="4" t="s">
        <v>112</v>
      </c>
      <c r="D15" s="4"/>
      <c r="E15" s="7">
        <v>-220</v>
      </c>
      <c r="F15" s="4"/>
      <c r="G15" s="4"/>
      <c r="H15" s="4"/>
      <c r="I15" s="7" t="s">
        <v>667</v>
      </c>
      <c r="J15" s="2"/>
      <c r="L15" s="2"/>
      <c r="M15" s="2"/>
    </row>
    <row r="16" spans="1:13">
      <c r="A16" s="2"/>
      <c r="B16" s="4"/>
      <c r="C16" s="4" t="s">
        <v>112</v>
      </c>
      <c r="D16" s="4"/>
      <c r="E16" s="7">
        <v>-45</v>
      </c>
      <c r="F16" s="4"/>
      <c r="G16" s="4"/>
      <c r="H16" s="4"/>
      <c r="I16" s="7" t="s">
        <v>652</v>
      </c>
      <c r="J16" s="2"/>
      <c r="L16" s="2"/>
      <c r="M16" s="2"/>
    </row>
    <row r="17" spans="1:13">
      <c r="A17" s="2"/>
      <c r="B17" s="4"/>
      <c r="C17" s="4" t="s">
        <v>112</v>
      </c>
      <c r="D17" s="4"/>
      <c r="E17" s="7">
        <v>-54</v>
      </c>
      <c r="F17" s="4"/>
      <c r="G17" s="4"/>
      <c r="H17" s="4"/>
      <c r="I17" s="7" t="s">
        <v>654</v>
      </c>
    </row>
    <row r="18" spans="1:13">
      <c r="A18" s="2"/>
      <c r="B18" s="4"/>
      <c r="C18" s="4" t="s">
        <v>112</v>
      </c>
      <c r="D18" s="4"/>
      <c r="E18" s="7">
        <v>-63</v>
      </c>
      <c r="F18" s="4"/>
      <c r="G18" s="4"/>
      <c r="H18" s="4"/>
      <c r="I18" s="7" t="s">
        <v>662</v>
      </c>
      <c r="J18" s="2"/>
      <c r="L18" s="2"/>
      <c r="M18" s="2"/>
    </row>
    <row r="19" spans="1:13">
      <c r="A19" s="2"/>
      <c r="B19" s="4"/>
      <c r="C19" s="4" t="s">
        <v>112</v>
      </c>
      <c r="D19" s="4"/>
      <c r="E19" s="7">
        <v>-72</v>
      </c>
      <c r="F19" s="4"/>
      <c r="G19" s="4"/>
      <c r="H19" s="4"/>
      <c r="I19" s="7" t="s">
        <v>664</v>
      </c>
      <c r="J19" s="2"/>
      <c r="L19" s="2"/>
      <c r="M19" s="2"/>
    </row>
    <row r="20" spans="1:13">
      <c r="A20" s="2"/>
      <c r="B20" s="4"/>
      <c r="C20" s="4" t="s">
        <v>112</v>
      </c>
      <c r="D20" s="4"/>
      <c r="E20" s="7">
        <v>-90</v>
      </c>
      <c r="F20" s="4"/>
      <c r="G20" s="4"/>
      <c r="H20" s="4"/>
      <c r="I20" s="7" t="s">
        <v>666</v>
      </c>
    </row>
    <row r="21" spans="1:13">
      <c r="A21" s="2"/>
      <c r="B21" s="4"/>
      <c r="C21" s="4" t="s">
        <v>112</v>
      </c>
      <c r="D21" s="4"/>
      <c r="E21" s="7">
        <v>-75</v>
      </c>
      <c r="F21" s="4"/>
      <c r="G21" s="4"/>
      <c r="H21" s="4"/>
      <c r="I21" s="7" t="s">
        <v>671</v>
      </c>
      <c r="J21" s="2"/>
      <c r="L21" s="2"/>
      <c r="M21" s="2"/>
    </row>
    <row r="22" spans="1:13">
      <c r="B22" s="4"/>
      <c r="C22" s="4" t="s">
        <v>112</v>
      </c>
      <c r="D22" s="4"/>
      <c r="E22" s="7">
        <v>-90</v>
      </c>
      <c r="F22" s="4"/>
      <c r="G22" s="4"/>
      <c r="H22" s="4"/>
      <c r="I22" s="7" t="s">
        <v>672</v>
      </c>
      <c r="J22" s="2"/>
      <c r="L22" s="2"/>
      <c r="M22" s="2"/>
    </row>
    <row r="23" spans="1:13">
      <c r="B23" s="4"/>
      <c r="C23" s="4" t="s">
        <v>112</v>
      </c>
      <c r="D23" s="4"/>
      <c r="E23" s="7">
        <v>-105</v>
      </c>
      <c r="F23" s="4"/>
      <c r="G23" s="4"/>
      <c r="H23" s="4"/>
      <c r="I23" s="7" t="s">
        <v>673</v>
      </c>
    </row>
    <row r="24" spans="1:13">
      <c r="B24" s="4"/>
      <c r="C24" s="4" t="s">
        <v>112</v>
      </c>
      <c r="D24" s="4"/>
      <c r="E24" s="7">
        <v>-120</v>
      </c>
      <c r="F24" s="4"/>
      <c r="G24" s="4"/>
      <c r="H24" s="4"/>
      <c r="I24" s="7" t="s">
        <v>674</v>
      </c>
      <c r="J24" s="2"/>
      <c r="L24" s="2"/>
      <c r="M24" s="2"/>
    </row>
    <row r="25" spans="1:13">
      <c r="B25" s="4"/>
      <c r="C25" s="4" t="s">
        <v>112</v>
      </c>
      <c r="D25" s="4"/>
      <c r="E25" s="7">
        <v>-150</v>
      </c>
      <c r="F25" s="4"/>
      <c r="G25" s="4"/>
      <c r="H25" s="4"/>
      <c r="I25" s="7" t="s">
        <v>675</v>
      </c>
      <c r="J25" s="2"/>
      <c r="L25" s="2"/>
      <c r="M25" s="2"/>
    </row>
    <row r="26" spans="1:13">
      <c r="B26" s="3"/>
      <c r="C26" s="3"/>
      <c r="D26" s="3"/>
      <c r="E26" s="3"/>
      <c r="F26" s="3"/>
      <c r="G26" s="3"/>
      <c r="H26" s="3"/>
      <c r="I26" s="3"/>
    </row>
    <row r="27" spans="1:13">
      <c r="B27" s="3"/>
      <c r="C27" s="3"/>
      <c r="D27" s="3"/>
      <c r="E27" s="3"/>
      <c r="F27" s="3"/>
      <c r="G27" s="3"/>
      <c r="H27" s="3"/>
      <c r="I27" s="3"/>
      <c r="J27" s="2"/>
      <c r="L27" s="2"/>
      <c r="M27" s="2"/>
    </row>
    <row r="28" spans="1:13">
      <c r="B28" s="3"/>
      <c r="C28" s="3"/>
      <c r="D28" s="3"/>
      <c r="E28" s="3"/>
      <c r="F28" s="3"/>
      <c r="G28" s="3"/>
      <c r="H28" s="3"/>
      <c r="I28" s="3"/>
    </row>
    <row r="29" spans="1:13">
      <c r="B29" s="3"/>
      <c r="C29" s="3"/>
      <c r="D29" s="3"/>
      <c r="E29" s="3"/>
      <c r="F29" s="3"/>
      <c r="G29" s="3"/>
      <c r="H29" s="3"/>
      <c r="I29" s="3"/>
    </row>
    <row r="30" spans="1:13">
      <c r="B30" s="3"/>
      <c r="C30" s="3"/>
      <c r="D30" s="3"/>
      <c r="E30" s="3"/>
      <c r="F30" s="3"/>
      <c r="G30" s="3"/>
      <c r="H30" s="3"/>
      <c r="I30" s="3"/>
    </row>
    <row r="31" spans="1:13">
      <c r="B31" s="3"/>
      <c r="C31" s="3"/>
      <c r="D31" s="3"/>
      <c r="E31" s="3"/>
      <c r="F31" s="3"/>
      <c r="G31" s="3"/>
      <c r="H31" s="3"/>
      <c r="I31" s="3"/>
    </row>
    <row r="32" spans="1:13">
      <c r="B32" s="3"/>
      <c r="C32" s="3"/>
      <c r="D32" s="3"/>
      <c r="E32" s="3"/>
      <c r="F32" s="3"/>
      <c r="G32" s="3"/>
      <c r="H32" s="3"/>
      <c r="I32" s="3"/>
    </row>
    <row r="33" spans="2:9">
      <c r="B33" s="3"/>
      <c r="C33" s="3"/>
      <c r="D33" s="3"/>
      <c r="E33" s="3"/>
      <c r="F33" s="3"/>
      <c r="G33" s="3"/>
      <c r="H33" s="3"/>
      <c r="I33" s="3"/>
    </row>
    <row r="34" spans="2:9">
      <c r="B34" s="3"/>
      <c r="C34" s="3"/>
      <c r="D34" s="3"/>
      <c r="E34" s="3"/>
      <c r="F34" s="3"/>
      <c r="G34" s="3"/>
      <c r="H34" s="3"/>
      <c r="I34" s="3"/>
    </row>
    <row r="35" spans="2:9">
      <c r="B35" s="3"/>
      <c r="C35" s="3"/>
      <c r="D35" s="3"/>
      <c r="E35" s="3"/>
      <c r="F35" s="3"/>
      <c r="G35" s="3"/>
      <c r="H35" s="3"/>
      <c r="I35" s="3"/>
    </row>
    <row r="36" spans="2:9">
      <c r="B36" s="3"/>
      <c r="C36" s="3"/>
      <c r="D36" s="3"/>
      <c r="E36" s="3"/>
      <c r="F36" s="3"/>
      <c r="G36" s="3"/>
      <c r="H36" s="3"/>
      <c r="I36" s="3"/>
    </row>
    <row r="37" spans="2:9">
      <c r="B37" s="3"/>
      <c r="C37" s="3"/>
      <c r="D37" s="3"/>
      <c r="E37" s="3"/>
      <c r="F37" s="3"/>
      <c r="G37" s="3"/>
      <c r="H37" s="3"/>
      <c r="I37" s="3"/>
    </row>
    <row r="38" spans="2:9">
      <c r="B38" s="3"/>
      <c r="C38" s="3"/>
      <c r="D38" s="3"/>
      <c r="E38" s="3"/>
      <c r="F38" s="3"/>
      <c r="G38" s="3"/>
      <c r="H38" s="3"/>
      <c r="I38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 electrification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2026-08-04T16:57:58Z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