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<sst xmlns="http://schemas.openxmlformats.org/spreadsheetml/2006/main" count="2449" uniqueCount="759">
  <si>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</si>
  <si>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</si>
  <si>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</si>
  <si>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</si>
  <si>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</si>
  <si>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</si>
  <si>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</si>
  <si>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</si>
  <si>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</si>
  <si>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</si>
  <si>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</si>
  <si>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</si>
  <si>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</si>
  <si>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</si>
  <si>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</si>
  <si>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</si>
  <si>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</si>
  <si>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</si>
  <si>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</si>
  <si>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</si>
  <si>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</si>
  <si>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</si>
  <si>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</si>
  <si>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</si>
  <si>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</si>
  <si>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</si>
  <si>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</si>
  <si>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</si>
  <si>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</si>
  <si>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</si>
  <si>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</si>
  <si>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</si>
  <si>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</si>
  <si>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</si>
  <si>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</si>
  <si>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</si>
  <si>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</si>
  <si>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</si>
  <si>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</si>
  <si>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</si>
  <si>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</si>
  <si>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</si>
  <si>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</si>
  <si>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</si>
  <si>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</si>
  <si>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</si>
  <si>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</si>
  <si>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</si>
  <si>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</si>
  <si>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</si>
  <si>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</si>
  <si>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</si>
  <si>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</si>
  <si>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</si>
  <si>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</si>
  <si>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</si>
  <si>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</si>
  <si>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</si>
  <si>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</si>
  <si>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</si>
  <si>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</si>
  <si>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</si>
  <si>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</si>
  <si>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</si>
  <si>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</si>
  <si>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</si>
  <si>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</si>
  <si>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</si>
  <si>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</si>
  <si>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</si>
  <si>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</si>
  <si>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</si>
  <si>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</si>
  <si>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</si>
  <si>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</si>
  <si>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</si>
  <si>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</si>
  <si>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</si>
  <si>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</si>
  <si>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</si>
  <si>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</si>
  <si>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</si>
  <si>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</si>
  <si>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</si>
  <si>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</si>
  <si>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</si>
  <si>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</si>
  <si>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</si>
  <si>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</si>
  <si>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</si>
  <si>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</si>
  <si>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</si>
  <si>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</si>
  <si>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</si>
  <si>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</si>
  <si>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</si>
  <si>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</si>
  <si>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</si>
  <si>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</si>
  <si>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</si>
  <si>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</si>
  <si>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</si>
  <si>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</si>
  <si>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</si>
  <si>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</si>
  <si>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</si>
  <si>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</si>
  <si>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</si>
  <si>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</si>
  <si>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</si>
  <si>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</si>
  <si>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</si>
  <si>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</si>
  <si>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</si>
  <si>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</si>
  <si>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</si>
  <si>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</si>
  <si>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</si>
  <si>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</si>
  <si>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</si>
  <si>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</si>
  <si>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</si>
  <si>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</si>
  <si>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</si>
  <si>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</si>
  <si>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</si>
  <si>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</si>
  <si>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</si>
  <si>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</si>
  <si>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</si>
  <si>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</si>
  <si>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</si>
  <si>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</si>
  <si>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</si>
  <si>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</si>
  <si>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</si>
  <si>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</si>
  <si>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</si>
  <si>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</si>
  <si>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</si>
  <si>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</si>
  <si>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</si>
  <si>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</si>
  <si>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</si>
  <si>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</si>
  <si>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</si>
  <si>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</si>
  <si>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</si>
  <si>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</si>
  <si>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</si>
  <si>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</si>
  <si>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</si>
  <si>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</si>
  <si>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</si>
  <si>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</si>
  <si>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</si>
  <si>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</si>
  <si>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</si>
  <si>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</si>
  <si>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</si>
  <si>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</si>
  <si>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</si>
  <si>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</si>
  <si>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</si>
  <si>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</si>
  <si>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</si>
  <si>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</si>
  <si>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</si>
  <si>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</si>
  <si>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</si>
  <si>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</si>
  <si>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</si>
  <si>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</si>
  <si>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</si>
  <si>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</si>
  <si>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</si>
  <si>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</si>
  <si>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</si>
  <si>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</si>
  <si>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</si>
  <si>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</si>
  <si>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</si>
  <si>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</si>
  <si>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</si>
  <si>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</si>
  <si>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</si>
  <si>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</si>
  <si>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</si>
  <si>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</si>
  <si>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</si>
  <si>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</si>
  <si>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</si>
  <si>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</si>
  <si>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</si>
  <si>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</si>
  <si>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</si>
  <si>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</si>
  <si>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</si>
  <si>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</si>
  <si>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</si>
  <si>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</si>
  <si>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</si>
  <si>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</si>
  <si>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</si>
  <si>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</si>
  <si>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</si>
  <si>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</si>
  <si>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</si>
  <si>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</si>
  <si>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</si>
  <si>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</si>
  <si>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</si>
  <si>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</si>
  <si>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</si>
  <si>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</si>
  <si>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</si>
  <si>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</si>
  <si>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</si>
  <si>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</si>
  <si>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</si>
  <si>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</si>
  <si>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</si>
  <si>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</si>
  <si>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</si>
  <si>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</si>
  <si>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</si>
  <si>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</si>
  <si>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</si>
  <si>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</si>
  <si>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</si>
  <si>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</si>
  <si>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</si>
  <si>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</si>
  <si>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</si>
  <si>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</si>
  <si>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</si>
  <si>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</si>
  <si>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</si>
  <si>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</si>
  <si>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</si>
  <si>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</si>
  <si>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</si>
  <si>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</si>
  <si>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</si>
  <si>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</si>
  <si>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</si>
  <si>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</si>
  <si>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</si>
  <si>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</si>
  <si>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</si>
  <si>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</si>
  <si>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</si>
  <si>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</si>
  <si>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</si>
  <si>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</si>
  <si>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</si>
  <si>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</si>
  <si>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</si>
  <si>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</si>
  <si>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</si>
  <si>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</si>
  <si>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</si>
  <si>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</si>
  <si>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</si>
  <si>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</si>
  <si>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</si>
  <si>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</si>
  <si>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</si>
  <si>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</si>
  <si>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</si>
  <si>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</si>
  <si>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</si>
  <si>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</si>
  <si>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</si>
  <si>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</si>
  <si>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</si>
  <si>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</si>
  <si>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</si>
  <si>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</si>
  <si>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</si>
  <si>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</si>
  <si>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</si>
  <si>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</si>
  <si>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</si>
  <si>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</si>
  <si>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</si>
  <si>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</si>
  <si>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</si>
  <si>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</si>
  <si>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</si>
  <si>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</si>
  <si>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</si>
  <si>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</si>
  <si>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</si>
  <si>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</si>
  <si>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</si>
  <si>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</si>
  <si>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</si>
  <si>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</si>
  <si>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</si>
  <si>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</si>
  <si>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</si>
  <si>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</si>
  <si>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</si>
  <si>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</si>
  <si>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</si>
  <si>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</si>
  <si>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</si>
  <si>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</si>
  <si>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</si>
  <si>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</si>
  <si>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</si>
  <si>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</si>
  <si>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</si>
  <si>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</si>
  <si>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</si>
  <si>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</si>
  <si>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</si>
  <si>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</si>
  <si>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</si>
  <si>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</si>
  <si>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</si>
  <si>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</si>
  <si>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</si>
  <si>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</si>
  <si>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</si>
  <si>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</si>
  <si>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</si>
  <si>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</si>
  <si>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</si>
  <si>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</si>
  <si>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</si>
  <si>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</si>
  <si>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</si>
  <si>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</si>
  <si>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</si>
  <si>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</si>
  <si>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</si>
  <si>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</si>
  <si>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</si>
  <si>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</si>
  <si>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</si>
  <si>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</si>
  <si>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</si>
  <si>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</si>
  <si>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</si>
  <si>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</si>
  <si>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</si>
  <si>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</si>
  <si>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</si>
  <si>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</si>
  <si>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</si>
  <si>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</si>
  <si>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</si>
  <si>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</si>
  <si>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</si>
  <si>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</si>
  <si>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</si>
  <si>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</si>
  <si>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</si>
  <si>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</si>
  <si>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</si>
  <si>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</si>
  <si>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</si>
  <si>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</si>
  <si>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</si>
  <si>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</si>
  <si>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</si>
  <si>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</si>
  <si>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</si>
  <si>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</si>
  <si>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</si>
  <si>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</si>
  <si>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</si>
  <si>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</si>
  <si>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</si>
  <si>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</si>
  <si>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</si>
  <si>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</si>
  <si>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</si>
  <si>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</si>
  <si>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</si>
  <si>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</si>
  <si>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</si>
  <si>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</si>
  <si>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</si>
  <si>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</si>
  <si>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</si>
  <si>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</si>
  <si>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</si>
  <si>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</si>
  <si>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</si>
  <si>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</si>
  <si>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</si>
  <si>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</si>
  <si>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</si>
  <si>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</si>
  <si>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</si>
  <si>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</si>
  <si>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</si>
  <si>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</si>
  <si>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</si>
  <si>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</si>
  <si>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</si>
  <si>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</si>
  <si>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</si>
  <si>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</si>
  <si>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</si>
  <si>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</si>
  <si>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</si>
  <si>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</si>
  <si>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</si>
  <si>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</si>
  <si>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</si>
  <si>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</si>
  <si>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</si>
  <si>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</si>
  <si>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</si>
  <si>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</si>
  <si>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</si>
  <si>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</si>
  <si>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</si>
  <si>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</si>
  <si>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</si>
  <si>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</si>
  <si>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</si>
  <si>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</si>
  <si>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</si>
  <si>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</si>
  <si>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</si>
  <si>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</si>
  <si>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</si>
  <si>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</si>
  <si>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</si>
  <si>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</si>
  <si>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</si>
  <si>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</si>
  <si>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</si>
  <si>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</si>
  <si>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</si>
  <si>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</si>
  <si>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</si>
  <si>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</si>
  <si>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</si>
  <si>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</si>
  <si>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</si>
  <si>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</si>
  <si>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</si>
  <si>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</si>
  <si>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</si>
  <si>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</si>
  <si>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</si>
  <si>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</si>
  <si>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</si>
  <si>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</si>
  <si>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</si>
  <si>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</si>
  <si>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</si>
  <si>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</si>
  <si>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</si>
  <si>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</si>
  <si>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</si>
  <si>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</si>
  <si>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</si>
  <si>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</si>
  <si>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</si>
  <si>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</si>
  <si>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</si>
  <si>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</si>
  <si>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</si>
  <si>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</si>
  <si>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</si>
  <si>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</si>
  <si>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</si>
  <si>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</si>
  <si>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</si>
  <si>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</si>
  <si>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</si>
  <si>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</si>
  <si>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</si>
  <si>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</si>
  <si>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</si>
  <si>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</si>
  <si>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</si>
  <si>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</si>
  <si>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</si>
  <si>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</si>
  <si>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</si>
  <si>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</si>
  <si>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</si>
  <si>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</si>
  <si>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</si>
  <si>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</si>
  <si>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</si>
  <si>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</si>
  <si>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</si>
  <si>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</si>
  <si>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</si>
  <si>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</si>
  <si>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</si>
  <si>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</si>
  <si>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</si>
  <si>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</si>
  <si>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</si>
  <si>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</si>
  <si>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</si>
  <si>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</si>
  <si>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</si>
  <si>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</si>
  <si>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</si>
  <si>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</si>
  <si>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</si>
  <si>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</si>
  <si>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</si>
  <si>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</si>
  <si>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</si>
  <si>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</si>
  <si>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</si>
  <si>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</si>
  <si>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</si>
  <si>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</si>
  <si>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</si>
  <si>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</si>
  <si>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</si>
  <si>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</si>
  <si>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</si>
  <si>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</si>
  <si>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</si>
  <si>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</si>
  <si>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</si>
  <si>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</si>
  <si>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</si>
  <si>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</si>
  <si>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</si>
  <si>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</si>
  <si>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</si>
  <si>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</si>
  <si>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</si>
  <si>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</si>
  <si>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</si>
  <si>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</si>
  <si>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</si>
  <si>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</si>
  <si>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</si>
  <si>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</si>
  <si>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</si>
  <si>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</si>
  <si>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</si>
  <si>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</si>
  <si>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</si>
  <si>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</si>
  <si>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</si>
  <si>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</si>
  <si>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</si>
  <si>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</si>
  <si>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</si>
  <si>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</si>
  <si>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</si>
  <si>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</si>
  <si>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</si>
  <si>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</si>
  <si>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</si>
  <si>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</si>
  <si>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</si>
  <si>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</si>
  <si>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</si>
  <si>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</si>
  <si>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</si>
  <si>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</si>
  <si>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</si>
  <si>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</si>
  <si>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</si>
  <si>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</si>
  <si>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</si>
  <si>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</si>
  <si>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</si>
  <si>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</si>
  <si>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</si>
  <si>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</si>
  <si>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</si>
  <si>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</si>
  <si>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</si>
  <si>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</si>
  <si>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</si>
  <si>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</si>
  <si>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</si>
  <si>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</si>
  <si>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</si>
  <si>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</si>
  <si>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</si>
  <si>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</si>
  <si>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</si>
  <si>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</si>
  <si>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</si>
  <si>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</si>
  <si>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</si>
  <si>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</si>
  <si>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</si>
  <si>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</si>
  <si>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</si>
  <si>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</si>
  <si>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</si>
  <si>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</si>
  <si>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</si>
  <si>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</si>
  <si>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</si>
  <si>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</si>
  <si>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</si>
  <si>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</si>
  <si>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</si>
  <si>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</si>
  <si>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</si>
  <si>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</si>
  <si>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</si>
  <si>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</si>
  <si>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</si>
  <si>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</si>
  <si>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</si>
  <si>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</si>
  <si>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</si>
  <si>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</si>
  <si>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</si>
  <si>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</si>
  <si>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</si>
  <si>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</si>
  <si>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</si>
  <si>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</si>
  <si>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</si>
  <si>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</si>
  <si>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</si>
  <si>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</si>
  <si>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</si>
  <si>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</si>
  <si>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</si>
  <si>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</si>
  <si>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</si>
  <si>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</si>
  <si>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</si>
  <si>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</si>
  <si>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</si>
  <si>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</si>
  <si>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</si>
  <si>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</si>
  <si>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</si>
  <si>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</si>
  <si>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</si>
  <si>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</si>
  <si>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</si>
  <si>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</si>
  <si>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</si>
  <si>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</si>
  <si>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</si>
  <si>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</si>
  <si>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</si>
  <si>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</si>
  <si>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</si>
  <si>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</si>
  <si>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</si>
  <si>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~UC_T: UC_RHSRT~UP</t>
  </si>
  <si>
    <t>Trd_car_elc_200</t>
  </si>
  <si>
    <t>Trd_bus_elc_149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</si>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</sst>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60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3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1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4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2" fillId="13" borderId="5" xfId="0" applyFont="1" applyFill="1" applyBorder="1"/>
    <xf numFmtId="1" fontId="0" fillId="0" borderId="0" xfId="0" applyNumberFormat="1"/>
    <xf numFmtId="200" fontId="4" fillId="0" borderId="0" xfId="0" applyNumberFormat="1" applyFont="1"/>
    <xf numFmtId="0" fontId="0" fillId="15" borderId="0" xfId="0" applyFill="1"/>
    <xf numFmtId="0" fontId="13" fillId="15" borderId="0" xfId="15" applyFill="1"/>
    <xf numFmtId="0" fontId="5" fillId="15" borderId="0" xfId="0" applyFont="1" applyFill="1"/>
    <xf numFmtId="0" fontId="5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40">
        <v>0.5</v>
      </c>
      <c r="Y30" s="40">
        <v>0.5</v>
      </c>
      <c r="Z30" s="40">
        <v>0.5</v>
      </c>
      <c r="AA30" s="40">
        <v>0.5</v>
      </c>
      <c r="AB30" s="40">
        <v>0.880330129689671</v>
      </c>
      <c r="AC30" s="40">
        <v>0.5</v>
      </c>
      <c r="AD30" s="40">
        <v>1.43635426584992</v>
      </c>
      <c r="AE30" s="40">
        <v>0.28640020473296</v>
      </c>
      <c r="AF30" s="40">
        <v>0.5</v>
      </c>
      <c r="AG30" s="40">
        <v>1.89681589551844</v>
      </c>
      <c r="AH30" s="40">
        <v>0.529561709177279</v>
      </c>
      <c r="AI30" s="40">
        <v>2.23280493333333</v>
      </c>
      <c r="AJ30" s="40">
        <v>0.5</v>
      </c>
      <c r="AK30" s="40">
        <v>1.537054107788</v>
      </c>
      <c r="AL30" s="40">
        <v>0.5</v>
      </c>
      <c r="AM30" s="40">
        <v>0.517841558664547</v>
      </c>
      <c r="AN30" s="40">
        <v>0.5</v>
      </c>
      <c r="AO30" s="40">
        <v>0.68859433785327</v>
      </c>
      <c r="AP30" s="40">
        <v>0.5</v>
      </c>
      <c r="AQ30" s="40">
        <v>0.909913973797886</v>
      </c>
      <c r="AR30" s="40">
        <v>0.246856388121547</v>
      </c>
      <c r="AS30" s="40">
        <v>1.53715037026844</v>
      </c>
      <c r="AT30" s="40">
        <v>2.00954461975029</v>
      </c>
      <c r="AU30" s="40">
        <v>0.5</v>
      </c>
      <c r="AV30" s="40">
        <v>0.5</v>
      </c>
      <c r="AW30" s="40">
        <v>2.53614386666485</v>
      </c>
      <c r="AX30" s="40">
        <v>0.5</v>
      </c>
      <c r="AY30" s="40">
        <v>1.31959168743754</v>
      </c>
      <c r="AZ30" s="40">
        <v>1.26333562748337</v>
      </c>
      <c r="BA30" s="40">
        <v>0.5</v>
      </c>
      <c r="BB30" s="40">
        <v>0.811463508464399</v>
      </c>
      <c r="BC30" s="40">
        <v>0.5</v>
      </c>
      <c r="BD30" s="40">
        <v>0.070924584645638</v>
      </c>
      <c r="BE30" s="40">
        <v>0.538886154380813</v>
      </c>
      <c r="BF30" s="40">
        <v>0.772108172627653</v>
      </c>
      <c r="BG30" s="40">
        <v>0.5</v>
      </c>
      <c r="BH30" s="40">
        <v>0.5</v>
      </c>
      <c r="BI30" s="40">
        <v>0.5</v>
      </c>
      <c r="BJ30" s="40">
        <v>0.5</v>
      </c>
      <c r="BK30" s="40">
        <v>0.5</v>
      </c>
      <c r="BL30" s="40">
        <v>0.5</v>
      </c>
      <c r="BM30" s="40">
        <v>0.561679665057759</v>
      </c>
      <c r="BN30" s="40">
        <v>0.5</v>
      </c>
      <c r="BO30" s="40">
        <v>0.5</v>
      </c>
      <c r="BP30" s="40">
        <v>1.01202692206269</v>
      </c>
      <c r="BQ30" s="40">
        <v>0.5</v>
      </c>
      <c r="BR30" s="40">
        <v>0.5</v>
      </c>
      <c r="BS30" s="40">
        <v>0.5</v>
      </c>
      <c r="BT30" s="40">
        <v>1.95745180124224</v>
      </c>
      <c r="BU30" s="40">
        <v>0.888576032268769</v>
      </c>
      <c r="BV30" s="40">
        <v>0.5</v>
      </c>
      <c r="BW30" s="40">
        <v>3.52832406934561</v>
      </c>
      <c r="BX30" s="40">
        <v>2.40276262425447</v>
      </c>
      <c r="BY30" s="40">
        <v>0.272378558393112</v>
      </c>
      <c r="BZ30" s="40">
        <v>0.5</v>
      </c>
      <c r="CA30" s="40">
        <v>0.0381549757850336</v>
      </c>
      <c r="CB30" s="40">
        <v>0.5</v>
      </c>
      <c r="CC30" s="40">
        <v>2.14285661050061</v>
      </c>
      <c r="CD30" s="40">
        <v>0.5</v>
      </c>
      <c r="CE30" s="40">
        <v>0.5</v>
      </c>
      <c r="CF30" s="40">
        <v>0.5</v>
      </c>
      <c r="CG30" s="40">
        <v>0.5</v>
      </c>
      <c r="CH30" s="40">
        <v>0.5</v>
      </c>
      <c r="CI30" s="40">
        <v>0.501708699005855</v>
      </c>
      <c r="CJ30" s="40">
        <v>0.140262611393448</v>
      </c>
      <c r="CK30" s="40">
        <v>0.5</v>
      </c>
      <c r="CL30" s="40">
        <v>0.5</v>
      </c>
      <c r="CM30" s="40">
        <v>0.802398418234181</v>
      </c>
      <c r="CN30" s="40">
        <v>0.5</v>
      </c>
      <c r="CO30" s="40">
        <v>0.5</v>
      </c>
      <c r="CP30" s="40">
        <v>2.62476848951937</v>
      </c>
      <c r="CQ30" s="40">
        <v>0.5</v>
      </c>
      <c r="CR30" s="40">
        <v>0.5</v>
      </c>
      <c r="CS30" s="40">
        <v>0.5</v>
      </c>
      <c r="CT30" s="40">
        <v>0.5</v>
      </c>
      <c r="CU30" s="40">
        <v>0.5</v>
      </c>
      <c r="CV30" s="40">
        <v>0.5</v>
      </c>
      <c r="CW30" s="40">
        <v>0.373873615902288</v>
      </c>
      <c r="CX30" s="40">
        <v>0.803610304903818</v>
      </c>
      <c r="CY30" s="40">
        <v>0.5</v>
      </c>
      <c r="CZ30" s="40">
        <v>1.55182037907902</v>
      </c>
      <c r="DA30" s="40">
        <v>1.16378960402365</v>
      </c>
      <c r="DB30" s="40">
        <v>0.5</v>
      </c>
      <c r="DC30" s="40">
        <v>0.561445981739307</v>
      </c>
      <c r="DD30" s="40">
        <v>0.5</v>
      </c>
      <c r="DE30" s="40">
        <v>0.897015103002906</v>
      </c>
      <c r="DF30" s="40">
        <v>1.66556152209298</v>
      </c>
      <c r="DG30" s="40">
        <v>0.5</v>
      </c>
      <c r="DH30" s="40">
        <v>0.885985126939045</v>
      </c>
      <c r="DI30" s="40">
        <v>0.5</v>
      </c>
      <c r="DJ30" s="40">
        <v>0.5</v>
      </c>
      <c r="DK30" s="40">
        <v>2.63778652576313</v>
      </c>
      <c r="DL30" s="40">
        <v>1.49857000783021</v>
      </c>
      <c r="DM30" s="40">
        <v>0.675302561450318</v>
      </c>
      <c r="DN30" s="40">
        <v>0.546933177198058</v>
      </c>
      <c r="DO30" s="40">
        <v>0.5</v>
      </c>
      <c r="DP30" s="40">
        <v>0.5</v>
      </c>
      <c r="DQ30" s="40">
        <v>0.5</v>
      </c>
      <c r="DR30" s="40">
        <v>0.908669382059128</v>
      </c>
      <c r="DS30" s="40">
        <v>0.134099188596824</v>
      </c>
      <c r="DT30" s="40">
        <v>0.5</v>
      </c>
      <c r="DU30" s="40">
        <v>0.5</v>
      </c>
      <c r="DV30" s="40">
        <v>2.62534518744376</v>
      </c>
      <c r="DW30" s="40">
        <v>0.418643251337677</v>
      </c>
      <c r="DX30" s="40">
        <v>0.626320758771659</v>
      </c>
      <c r="DY30" s="40">
        <v>0.5</v>
      </c>
      <c r="DZ30" s="40">
        <v>0.5</v>
      </c>
      <c r="EA30" s="40">
        <v>0.5</v>
      </c>
      <c r="EB30" s="4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59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59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59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59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59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59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0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14" t="s">
        <v>345</v>
      </c>
      <c r="O2" s="14" t="s">
        <v>346</v>
      </c>
    </row>
    <row r="3" ht="58" spans="2:15">
      <c r="M3" t="s">
        <v>347</v>
      </c>
      <c r="N3" s="14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3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0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4">
        <f>F8^15</f>
        <v>0.463291230159753</v>
      </c>
      <c r="Q8" s="24">
        <f>G8^15</f>
        <v>0.205891132094649</v>
      </c>
      <c r="S8" s="38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8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429</v>
      </c>
      <c r="AC1" s="36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440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4">
        <v>39.18</v>
      </c>
      <c r="G3" s="24" t="s">
        <v>445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4">
        <v>19.34</v>
      </c>
      <c r="G4" s="24" t="s">
        <v>445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440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451</v>
      </c>
    </row>
    <row r="13" spans="1:49">
      <c r="A13" s="27" t="s">
        <v>452</v>
      </c>
      <c r="B13" s="27"/>
      <c r="C13" s="27"/>
    </row>
    <row r="14" spans="1:49">
      <c r="A14" s="27" t="s">
        <v>453</v>
      </c>
      <c r="B14" s="27"/>
      <c r="C14" s="27"/>
    </row>
    <row r="15" spans="1:49">
      <c r="A15" s="27" t="s">
        <v>454</v>
      </c>
      <c r="B15" s="27"/>
      <c r="C15" s="27"/>
    </row>
    <row r="17" spans="1:13">
      <c r="A17" s="27" t="s">
        <v>455</v>
      </c>
      <c r="B17" s="27" t="s">
        <v>456</v>
      </c>
      <c r="C17" s="27" t="s">
        <v>457</v>
      </c>
    </row>
    <row r="18" spans="1:13">
      <c r="A18" s="27" t="s">
        <v>458</v>
      </c>
      <c r="B18" s="27" t="s">
        <v>459</v>
      </c>
      <c r="C18" s="27">
        <v>253</v>
      </c>
    </row>
    <row r="19" spans="1:13">
      <c r="A19" s="27" t="s">
        <v>460</v>
      </c>
      <c r="B19" s="27" t="s">
        <v>459</v>
      </c>
      <c r="C19" s="27">
        <v>203</v>
      </c>
      <c r="G19" t="s">
        <v>89</v>
      </c>
    </row>
    <row r="20" spans="1:13">
      <c r="A20" s="27" t="s">
        <v>461</v>
      </c>
      <c r="B20" s="27" t="s">
        <v>462</v>
      </c>
      <c r="C20" s="27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7" t="s">
        <v>463</v>
      </c>
      <c r="B21" s="27" t="s">
        <v>462</v>
      </c>
      <c r="C21" s="27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7" t="s">
        <v>467</v>
      </c>
      <c r="B22" s="27" t="s">
        <v>462</v>
      </c>
      <c r="C22" s="27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7" t="s">
        <v>469</v>
      </c>
      <c r="B23" s="27" t="s">
        <v>459</v>
      </c>
      <c r="C23" s="27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7" t="s">
        <v>471</v>
      </c>
      <c r="B24" s="27" t="s">
        <v>459</v>
      </c>
      <c r="C24" s="27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7" t="s">
        <v>473</v>
      </c>
      <c r="B25" s="27" t="s">
        <v>474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478</v>
      </c>
      <c r="E1" s="25" t="s">
        <v>479</v>
      </c>
      <c r="F1" s="25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6" t="s">
        <v>483</v>
      </c>
      <c r="E2" s="26">
        <f>N12</f>
        <v>55.99</v>
      </c>
      <c r="F2" s="26" t="s">
        <v>484</v>
      </c>
      <c r="G2" s="27" t="s">
        <v>485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6" t="s">
        <v>488</v>
      </c>
      <c r="E3" s="26">
        <f>E5</f>
        <v>98.43</v>
      </c>
      <c r="F3" s="26" t="s">
        <v>489</v>
      </c>
      <c r="G3" s="27"/>
      <c r="H3" s="27" t="s">
        <v>490</v>
      </c>
      <c r="I3" s="27"/>
      <c r="J3" s="27" t="s">
        <v>491</v>
      </c>
      <c r="K3" s="27"/>
      <c r="L3" s="27" t="s">
        <v>492</v>
      </c>
      <c r="M3" s="27" t="s">
        <v>491</v>
      </c>
      <c r="N3" s="27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8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6" t="s">
        <v>499</v>
      </c>
      <c r="E4" s="26">
        <f>E3</f>
        <v>98.43</v>
      </c>
      <c r="F4" s="26" t="str">
        <f>F3</f>
        <v>b</v>
      </c>
      <c r="G4" s="27" t="s">
        <v>500</v>
      </c>
      <c r="H4" s="27" t="s">
        <v>501</v>
      </c>
      <c r="I4" s="27"/>
      <c r="J4" s="27" t="s">
        <v>501</v>
      </c>
      <c r="K4" s="27"/>
      <c r="L4" s="27" t="s">
        <v>502</v>
      </c>
      <c r="M4" s="27" t="s">
        <v>502</v>
      </c>
      <c r="N4" s="27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6" t="s">
        <v>505</v>
      </c>
      <c r="E5" s="26">
        <f>N30</f>
        <v>98.43</v>
      </c>
      <c r="F5" s="26" t="s">
        <v>484</v>
      </c>
      <c r="G5" s="27" t="s">
        <v>506</v>
      </c>
      <c r="H5" s="27"/>
      <c r="I5" s="27"/>
      <c r="J5" s="27"/>
      <c r="K5" s="27"/>
      <c r="L5" s="27"/>
      <c r="M5" s="27"/>
      <c r="N5" s="27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6" t="s">
        <v>508</v>
      </c>
      <c r="E6" s="26">
        <f>E5</f>
        <v>98.43</v>
      </c>
      <c r="F6" s="26" t="s">
        <v>484</v>
      </c>
      <c r="G6" s="27" t="s">
        <v>509</v>
      </c>
      <c r="H6" s="27">
        <v>12.7</v>
      </c>
      <c r="I6" s="27" t="s">
        <v>510</v>
      </c>
      <c r="J6" s="27">
        <v>5.76</v>
      </c>
      <c r="K6" s="27" t="s">
        <v>510</v>
      </c>
      <c r="L6" s="27">
        <v>139.05</v>
      </c>
      <c r="M6" s="27">
        <v>63.07</v>
      </c>
      <c r="N6" s="27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494</v>
      </c>
      <c r="Y6" s="29"/>
      <c r="Z6" s="29" t="s">
        <v>511</v>
      </c>
      <c r="AA6" s="29" t="s">
        <v>393</v>
      </c>
      <c r="AB6" s="30">
        <v>-0.001</v>
      </c>
    </row>
    <row r="7" spans="1:35">
      <c r="A7" t="s">
        <v>512</v>
      </c>
      <c r="B7" t="str">
        <f t="shared" si="0"/>
        <v>COA</v>
      </c>
      <c r="D7" s="26" t="s">
        <v>513</v>
      </c>
      <c r="E7" s="26">
        <f>N32</f>
        <v>103.08</v>
      </c>
      <c r="F7" s="26" t="s">
        <v>484</v>
      </c>
      <c r="G7" s="27" t="s">
        <v>514</v>
      </c>
      <c r="H7" s="27">
        <v>14.8</v>
      </c>
      <c r="I7" s="27" t="s">
        <v>510</v>
      </c>
      <c r="J7" s="27">
        <v>6.71</v>
      </c>
      <c r="K7" s="27" t="s">
        <v>510</v>
      </c>
      <c r="L7" s="27">
        <v>143.2</v>
      </c>
      <c r="M7" s="27">
        <v>64.95</v>
      </c>
      <c r="N7" s="27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6" t="s">
        <v>516</v>
      </c>
      <c r="E8" s="26">
        <f>E2</f>
        <v>55.99</v>
      </c>
      <c r="F8" s="26" t="s">
        <v>484</v>
      </c>
      <c r="G8" s="27" t="s">
        <v>517</v>
      </c>
      <c r="H8" s="27">
        <v>13.7</v>
      </c>
      <c r="I8" s="27" t="s">
        <v>510</v>
      </c>
      <c r="J8" s="27">
        <v>6.21</v>
      </c>
      <c r="K8" s="27" t="s">
        <v>510</v>
      </c>
      <c r="L8" s="27">
        <v>141.12</v>
      </c>
      <c r="M8" s="27">
        <v>64.01</v>
      </c>
      <c r="N8" s="27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6" t="s">
        <v>520</v>
      </c>
      <c r="E9" s="26">
        <f>N33</f>
        <v>120.4</v>
      </c>
      <c r="F9" s="26" t="s">
        <v>484</v>
      </c>
      <c r="G9" s="27" t="s">
        <v>521</v>
      </c>
      <c r="H9" s="27">
        <v>22.4</v>
      </c>
      <c r="I9" s="27" t="s">
        <v>510</v>
      </c>
      <c r="J9" s="27">
        <v>10.16</v>
      </c>
      <c r="K9" s="27" t="s">
        <v>510</v>
      </c>
      <c r="L9" s="27">
        <v>161.3</v>
      </c>
      <c r="M9" s="27">
        <v>73.16</v>
      </c>
      <c r="N9" s="27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6" t="s">
        <v>523</v>
      </c>
      <c r="E10" s="26">
        <f>N9</f>
        <v>77.19</v>
      </c>
      <c r="F10" s="26" t="s">
        <v>524</v>
      </c>
      <c r="G10" s="27" t="s">
        <v>525</v>
      </c>
      <c r="H10" s="27">
        <v>21.5</v>
      </c>
      <c r="I10" s="27" t="s">
        <v>510</v>
      </c>
      <c r="J10" s="27">
        <v>9.75</v>
      </c>
      <c r="K10" s="27" t="s">
        <v>510</v>
      </c>
      <c r="L10" s="27">
        <v>159.4</v>
      </c>
      <c r="M10" s="27">
        <v>72.3</v>
      </c>
      <c r="N10" s="27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6" t="s">
        <v>526</v>
      </c>
      <c r="E11" s="26">
        <f>N6</f>
        <v>66.54</v>
      </c>
      <c r="F11" s="26" t="s">
        <v>527</v>
      </c>
      <c r="G11" s="27" t="s">
        <v>528</v>
      </c>
      <c r="H11" s="31">
        <v>4631.5</v>
      </c>
      <c r="I11" s="27" t="s">
        <v>529</v>
      </c>
      <c r="J11" s="31">
        <v>2100.82</v>
      </c>
      <c r="K11" s="27" t="s">
        <v>529</v>
      </c>
      <c r="L11" s="27">
        <v>210.2</v>
      </c>
      <c r="M11" s="27">
        <v>95.35</v>
      </c>
      <c r="N11" s="27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6" t="s">
        <v>533</v>
      </c>
      <c r="E12" s="26">
        <f>N12</f>
        <v>55.99</v>
      </c>
      <c r="F12" s="26" t="s">
        <v>527</v>
      </c>
      <c r="G12" s="27" t="s">
        <v>534</v>
      </c>
      <c r="H12" s="27">
        <v>117.1</v>
      </c>
      <c r="I12" s="27" t="s">
        <v>535</v>
      </c>
      <c r="J12" s="27">
        <v>53.12</v>
      </c>
      <c r="K12" s="27" t="s">
        <v>535</v>
      </c>
      <c r="L12" s="27">
        <v>117</v>
      </c>
      <c r="M12" s="27">
        <v>53.07</v>
      </c>
      <c r="N12" s="27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6" t="s">
        <v>537</v>
      </c>
      <c r="E13" s="26">
        <f>N13</f>
        <v>75.22</v>
      </c>
      <c r="F13" s="26" t="s">
        <v>524</v>
      </c>
      <c r="G13" s="27" t="s">
        <v>538</v>
      </c>
      <c r="H13" s="27">
        <v>19.6</v>
      </c>
      <c r="I13" s="27" t="s">
        <v>510</v>
      </c>
      <c r="J13" s="27">
        <v>8.89</v>
      </c>
      <c r="K13" s="27" t="s">
        <v>510</v>
      </c>
      <c r="L13" s="27">
        <v>157.2</v>
      </c>
      <c r="M13" s="27">
        <v>71.3</v>
      </c>
      <c r="N13" s="27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6" t="s">
        <v>540</v>
      </c>
      <c r="E14" s="26">
        <f>N26</f>
        <v>76.81</v>
      </c>
      <c r="F14" s="26" t="s">
        <v>524</v>
      </c>
      <c r="G14" s="27" t="s">
        <v>541</v>
      </c>
      <c r="H14" s="27">
        <v>26</v>
      </c>
      <c r="I14" s="27" t="s">
        <v>510</v>
      </c>
      <c r="J14" s="27">
        <v>11.79</v>
      </c>
      <c r="K14" s="27" t="s">
        <v>510</v>
      </c>
      <c r="L14" s="27">
        <v>173.7</v>
      </c>
      <c r="M14" s="27">
        <v>78.79</v>
      </c>
      <c r="N14" s="27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6" t="s">
        <v>544</v>
      </c>
      <c r="E15" s="26">
        <f>N14</f>
        <v>83.12</v>
      </c>
      <c r="F15" s="26" t="s">
        <v>524</v>
      </c>
      <c r="G15" s="27" t="s">
        <v>545</v>
      </c>
      <c r="H15" s="27"/>
      <c r="I15" s="27"/>
      <c r="J15" s="27"/>
      <c r="K15" s="27"/>
      <c r="L15" s="27"/>
      <c r="M15" s="27"/>
      <c r="N15" s="27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6" t="s">
        <v>547</v>
      </c>
      <c r="E16" s="26">
        <f>N16</f>
        <v>74.8</v>
      </c>
      <c r="F16" s="26" t="s">
        <v>524</v>
      </c>
      <c r="G16" s="27" t="s">
        <v>548</v>
      </c>
      <c r="H16" s="27">
        <v>21.1</v>
      </c>
      <c r="I16" s="27" t="s">
        <v>510</v>
      </c>
      <c r="J16" s="27">
        <v>9.57</v>
      </c>
      <c r="K16" s="27" t="s">
        <v>510</v>
      </c>
      <c r="L16" s="27">
        <v>156.3</v>
      </c>
      <c r="M16" s="27">
        <v>70.9</v>
      </c>
      <c r="N16" s="27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6" t="s">
        <v>549</v>
      </c>
      <c r="E17" s="26">
        <f>N10</f>
        <v>76.28</v>
      </c>
      <c r="F17" s="26" t="s">
        <v>524</v>
      </c>
      <c r="G17" s="27" t="s">
        <v>550</v>
      </c>
      <c r="H17" s="27">
        <v>18.4</v>
      </c>
      <c r="I17" s="27" t="s">
        <v>510</v>
      </c>
      <c r="J17" s="27">
        <v>8.35</v>
      </c>
      <c r="K17" s="27" t="s">
        <v>510</v>
      </c>
      <c r="L17" s="27">
        <v>152.6</v>
      </c>
      <c r="M17" s="27">
        <v>69.2</v>
      </c>
      <c r="N17" s="27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6" t="s">
        <v>552</v>
      </c>
      <c r="E18" s="26">
        <f>N8</f>
        <v>67.53</v>
      </c>
      <c r="F18" s="26" t="s">
        <v>524</v>
      </c>
      <c r="G18" s="27" t="s">
        <v>553</v>
      </c>
      <c r="H18" s="27"/>
      <c r="I18" s="27"/>
      <c r="J18" s="27"/>
      <c r="K18" s="27"/>
      <c r="L18" s="27"/>
      <c r="M18" s="27"/>
      <c r="N18" s="27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6" t="s">
        <v>555</v>
      </c>
      <c r="E19" s="26">
        <f>N12</f>
        <v>55.99</v>
      </c>
      <c r="F19" s="26" t="s">
        <v>527</v>
      </c>
      <c r="G19" s="27" t="s">
        <v>556</v>
      </c>
      <c r="H19" s="27">
        <v>120.7</v>
      </c>
      <c r="I19" s="27" t="s">
        <v>535</v>
      </c>
      <c r="J19" s="27">
        <v>54.75</v>
      </c>
      <c r="K19" s="27" t="s">
        <v>535</v>
      </c>
      <c r="L19" s="27">
        <v>120.6</v>
      </c>
      <c r="M19" s="27">
        <v>54.7</v>
      </c>
      <c r="N19" s="27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6" t="s">
        <v>558</v>
      </c>
      <c r="E20" s="26">
        <f>N14</f>
        <v>83.12</v>
      </c>
      <c r="F20" s="26" t="s">
        <v>524</v>
      </c>
      <c r="G20" s="27" t="s">
        <v>559</v>
      </c>
      <c r="H20" s="27">
        <v>32.4</v>
      </c>
      <c r="I20" s="27" t="s">
        <v>510</v>
      </c>
      <c r="J20" s="27">
        <v>14.7</v>
      </c>
      <c r="K20" s="27" t="s">
        <v>510</v>
      </c>
      <c r="L20" s="27">
        <v>225.1</v>
      </c>
      <c r="M20" s="27">
        <v>102.1</v>
      </c>
      <c r="N20" s="27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6" t="s">
        <v>563</v>
      </c>
      <c r="E21" s="26">
        <f>N14</f>
        <v>83.12</v>
      </c>
      <c r="F21" s="26" t="s">
        <v>524</v>
      </c>
      <c r="G21" s="27" t="s">
        <v>564</v>
      </c>
      <c r="H21" s="27">
        <v>22.09</v>
      </c>
      <c r="I21" s="27" t="s">
        <v>510</v>
      </c>
      <c r="J21" s="27">
        <v>10.02</v>
      </c>
      <c r="K21" s="27" t="s">
        <v>510</v>
      </c>
      <c r="L21" s="27">
        <v>160.1</v>
      </c>
      <c r="M21" s="27">
        <v>72.62</v>
      </c>
      <c r="N21" s="27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6" t="s">
        <v>568</v>
      </c>
      <c r="E22" s="26">
        <f>E10</f>
        <v>77.19</v>
      </c>
      <c r="F22" s="26" t="s">
        <v>524</v>
      </c>
      <c r="G22" s="27" t="s">
        <v>569</v>
      </c>
      <c r="H22" s="27"/>
      <c r="I22" s="27"/>
      <c r="J22" s="27"/>
      <c r="K22" s="27"/>
      <c r="L22" s="27"/>
      <c r="M22" s="27"/>
      <c r="N22" s="27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6" t="s">
        <v>572</v>
      </c>
      <c r="E23" s="26">
        <f>N33</f>
        <v>120.4</v>
      </c>
      <c r="F23" s="26" t="s">
        <v>484</v>
      </c>
      <c r="G23" s="27" t="s">
        <v>573</v>
      </c>
      <c r="H23" s="27">
        <v>26.34</v>
      </c>
      <c r="I23" s="27" t="s">
        <v>510</v>
      </c>
      <c r="J23" s="27">
        <v>11.95</v>
      </c>
      <c r="K23" s="27" t="s">
        <v>510</v>
      </c>
      <c r="L23" s="27">
        <v>166.7</v>
      </c>
      <c r="M23" s="27">
        <v>75.61</v>
      </c>
      <c r="N23" s="27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6" t="s">
        <v>579</v>
      </c>
      <c r="E24" s="26">
        <f>N20</f>
        <v>107.72</v>
      </c>
      <c r="F24" s="26" t="s">
        <v>524</v>
      </c>
      <c r="G24" s="27" t="s">
        <v>580</v>
      </c>
      <c r="H24" s="27">
        <v>23.62</v>
      </c>
      <c r="I24" s="27" t="s">
        <v>510</v>
      </c>
      <c r="J24" s="27">
        <v>10.72</v>
      </c>
      <c r="K24" s="27" t="s">
        <v>510</v>
      </c>
      <c r="L24" s="27">
        <v>163.6</v>
      </c>
      <c r="M24" s="27">
        <v>74.21</v>
      </c>
      <c r="N24" s="27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6" t="s">
        <v>582</v>
      </c>
      <c r="E25" s="26">
        <f>E2</f>
        <v>55.99</v>
      </c>
      <c r="F25" s="26" t="s">
        <v>524</v>
      </c>
      <c r="G25" s="27" t="s">
        <v>583</v>
      </c>
      <c r="H25" s="27">
        <v>24.74</v>
      </c>
      <c r="I25" s="27" t="s">
        <v>510</v>
      </c>
      <c r="J25" s="27">
        <v>11.22</v>
      </c>
      <c r="K25" s="27" t="s">
        <v>510</v>
      </c>
      <c r="L25" s="27">
        <v>156.6</v>
      </c>
      <c r="M25" s="27">
        <v>71.03</v>
      </c>
      <c r="N25" s="27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6" t="s">
        <v>585</v>
      </c>
      <c r="E26" s="26">
        <f>N9</f>
        <v>77.19</v>
      </c>
      <c r="F26" s="26" t="s">
        <v>524</v>
      </c>
      <c r="G26" s="27" t="s">
        <v>586</v>
      </c>
      <c r="H26" s="27">
        <v>20.05</v>
      </c>
      <c r="I26" s="27" t="s">
        <v>510</v>
      </c>
      <c r="J26" s="27">
        <v>9.1</v>
      </c>
      <c r="K26" s="27" t="s">
        <v>510</v>
      </c>
      <c r="L26" s="27">
        <v>160.5</v>
      </c>
      <c r="M26" s="27">
        <v>72.8</v>
      </c>
      <c r="N26" s="27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6" t="s">
        <v>588</v>
      </c>
      <c r="E27" s="26">
        <f>N36</f>
        <v>43.98</v>
      </c>
      <c r="F27" s="26" t="s">
        <v>589</v>
      </c>
      <c r="G27" s="27" t="s">
        <v>590</v>
      </c>
      <c r="H27" s="27">
        <v>21.11</v>
      </c>
      <c r="I27" s="27" t="s">
        <v>510</v>
      </c>
      <c r="J27" s="27">
        <v>9.57</v>
      </c>
      <c r="K27" s="27" t="s">
        <v>510</v>
      </c>
      <c r="L27" s="27">
        <v>160.1</v>
      </c>
      <c r="M27" s="27">
        <v>72.62</v>
      </c>
      <c r="N27" s="27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7" t="s">
        <v>592</v>
      </c>
      <c r="H28" s="27"/>
      <c r="I28" s="27"/>
      <c r="J28" s="27"/>
      <c r="K28" s="27"/>
      <c r="L28" s="27"/>
      <c r="M28" s="27"/>
      <c r="N28" s="27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593</v>
      </c>
      <c r="H29" s="31">
        <v>5685</v>
      </c>
      <c r="I29" s="27" t="s">
        <v>529</v>
      </c>
      <c r="J29" s="31">
        <v>2578.68</v>
      </c>
      <c r="K29" s="27" t="s">
        <v>529</v>
      </c>
      <c r="L29" s="27">
        <v>228.6</v>
      </c>
      <c r="M29" s="27">
        <v>103.7</v>
      </c>
      <c r="N29" s="27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3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7" t="s">
        <v>596</v>
      </c>
      <c r="H30" s="31">
        <v>4931.3</v>
      </c>
      <c r="I30" s="27" t="s">
        <v>529</v>
      </c>
      <c r="J30" s="31">
        <v>2236.8</v>
      </c>
      <c r="K30" s="27" t="s">
        <v>529</v>
      </c>
      <c r="L30" s="27">
        <v>205.7</v>
      </c>
      <c r="M30" s="27">
        <v>93.3</v>
      </c>
      <c r="N30" s="27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4" t="s">
        <v>494</v>
      </c>
      <c r="AH30" s="34" t="s">
        <v>597</v>
      </c>
      <c r="AI30" s="34" t="s">
        <v>595</v>
      </c>
      <c r="AJ30" s="34">
        <v>-0.001</v>
      </c>
    </row>
    <row r="31" spans="1:36">
      <c r="A31" t="s">
        <v>598</v>
      </c>
      <c r="B31" t="str">
        <f t="shared" si="0"/>
        <v>OVC</v>
      </c>
      <c r="G31" s="27" t="s">
        <v>599</v>
      </c>
      <c r="H31" s="31">
        <v>3715.9</v>
      </c>
      <c r="I31" s="27" t="s">
        <v>529</v>
      </c>
      <c r="J31" s="31">
        <v>1685.51</v>
      </c>
      <c r="K31" s="27" t="s">
        <v>529</v>
      </c>
      <c r="L31" s="27">
        <v>214.3</v>
      </c>
      <c r="M31" s="27">
        <v>97.2</v>
      </c>
      <c r="N31" s="27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7" t="s">
        <v>601</v>
      </c>
      <c r="H32" s="31">
        <v>2791.6</v>
      </c>
      <c r="I32" s="27" t="s">
        <v>529</v>
      </c>
      <c r="J32" s="31">
        <v>1266.25</v>
      </c>
      <c r="K32" s="27" t="s">
        <v>529</v>
      </c>
      <c r="L32" s="27">
        <v>215.4</v>
      </c>
      <c r="M32" s="27">
        <v>97.7</v>
      </c>
      <c r="N32" s="27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7" t="s">
        <v>605</v>
      </c>
      <c r="H33" s="31">
        <v>6239.68</v>
      </c>
      <c r="I33" s="27" t="s">
        <v>529</v>
      </c>
      <c r="J33" s="31">
        <v>2830.27</v>
      </c>
      <c r="K33" s="27" t="s">
        <v>529</v>
      </c>
      <c r="L33" s="27">
        <v>251.6</v>
      </c>
      <c r="M33" s="27">
        <v>114.12</v>
      </c>
      <c r="N33" s="27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7" t="s">
        <v>608</v>
      </c>
      <c r="H34" s="27"/>
      <c r="I34" s="27"/>
      <c r="J34" s="27"/>
      <c r="K34" s="27"/>
      <c r="L34" s="27"/>
      <c r="M34" s="27"/>
      <c r="N34" s="27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7" t="s">
        <v>610</v>
      </c>
      <c r="H35" s="27" t="s">
        <v>611</v>
      </c>
      <c r="I35" s="27"/>
      <c r="J35" s="27" t="s">
        <v>611</v>
      </c>
      <c r="K35" s="27"/>
      <c r="L35" s="27">
        <v>16.99</v>
      </c>
      <c r="M35" s="27">
        <v>7.71</v>
      </c>
      <c r="N35" s="27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7" t="s">
        <v>615</v>
      </c>
      <c r="H36" s="31">
        <v>5771</v>
      </c>
      <c r="I36" s="27" t="s">
        <v>529</v>
      </c>
      <c r="J36" s="31">
        <v>2617.68</v>
      </c>
      <c r="K36" s="27" t="s">
        <v>529</v>
      </c>
      <c r="L36" s="27">
        <v>91.9</v>
      </c>
      <c r="M36" s="27">
        <v>41.69</v>
      </c>
      <c r="N36" s="27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7" t="s">
        <v>617</v>
      </c>
      <c r="H37" s="31">
        <v>6160</v>
      </c>
      <c r="I37" s="27" t="s">
        <v>529</v>
      </c>
      <c r="J37" s="31">
        <v>2794.13</v>
      </c>
      <c r="K37" s="27" t="s">
        <v>529</v>
      </c>
      <c r="L37" s="27">
        <v>189.54</v>
      </c>
      <c r="M37" s="27">
        <v>85.97</v>
      </c>
      <c r="N37" s="27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7" t="s">
        <v>620</v>
      </c>
      <c r="H38" s="27">
        <v>924</v>
      </c>
      <c r="I38" s="27" t="s">
        <v>621</v>
      </c>
      <c r="J38" s="27">
        <v>419.12</v>
      </c>
      <c r="K38" s="27" t="s">
        <v>621</v>
      </c>
      <c r="L38" s="27">
        <v>210</v>
      </c>
      <c r="M38" s="27">
        <v>95.25</v>
      </c>
      <c r="N38" s="27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7" t="s">
        <v>623</v>
      </c>
      <c r="H39" s="27"/>
      <c r="I39" s="27"/>
      <c r="J39" s="27"/>
      <c r="K39" s="27"/>
      <c r="L39" s="27"/>
      <c r="M39" s="27"/>
      <c r="N39" s="27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7" t="s">
        <v>625</v>
      </c>
      <c r="H40" s="27"/>
      <c r="I40" s="27"/>
      <c r="J40" s="27"/>
      <c r="K40" s="27"/>
      <c r="L40" s="27"/>
      <c r="M40" s="27"/>
      <c r="N40" s="27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7" t="s">
        <v>629</v>
      </c>
      <c r="H41" s="27"/>
      <c r="I41" s="27"/>
      <c r="J41" s="27"/>
      <c r="K41" s="27"/>
      <c r="L41" s="27"/>
      <c r="M41" s="27"/>
      <c r="N41" s="27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3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3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79" zoomScaleNormal="79" workbookViewId="0">
      <selection activeCell="B4" sqref="B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649</v>
      </c>
      <c r="AA1" s="13" t="s">
        <v>652</v>
      </c>
      <c r="AF1" s="13" t="s">
        <v>649</v>
      </c>
      <c r="AG1" s="13" t="s">
        <v>653</v>
      </c>
      <c r="AH1" s="13"/>
    </row>
    <row r="2" ht="29" spans="1:34">
      <c r="Z2" s="14" t="s">
        <v>654</v>
      </c>
      <c r="AA2" s="14">
        <v>21.6</v>
      </c>
      <c r="AB2">
        <f>-AA2</f>
        <v>-21.6</v>
      </c>
      <c r="AF2" s="14" t="s">
        <v>655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656</v>
      </c>
      <c r="AA3" s="14">
        <v>28.8</v>
      </c>
      <c r="AB3">
        <f t="shared" ref="AB3:AB34" si="0">-AA3</f>
        <v>-28.8</v>
      </c>
      <c r="AF3" s="14" t="s">
        <v>657</v>
      </c>
      <c r="AG3" s="14">
        <v>134</v>
      </c>
      <c r="AH3" s="14">
        <f t="shared" ref="AH3:AH19" si="1">-AG3</f>
        <v>-134</v>
      </c>
    </row>
    <row r="4" ht="29" spans="1:34">
      <c r="A4" s="6"/>
      <c r="B4" s="6"/>
      <c r="C4" s="7" t="s">
        <v>658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5"/>
      <c r="V4" s="15"/>
      <c r="W4" s="15"/>
      <c r="X4" s="15"/>
      <c r="Y4" s="15"/>
      <c r="Z4" s="16" t="s">
        <v>659</v>
      </c>
      <c r="AA4" s="14">
        <v>36</v>
      </c>
      <c r="AB4">
        <f t="shared" si="0"/>
        <v>-36</v>
      </c>
      <c r="AF4" s="14" t="s">
        <v>660</v>
      </c>
      <c r="AG4" s="14">
        <v>149</v>
      </c>
      <c r="AH4" s="14">
        <f t="shared" si="1"/>
        <v>-149</v>
      </c>
    </row>
    <row r="5" ht="29" spans="1:34">
      <c r="A5" s="6"/>
      <c r="B5" s="7"/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661</v>
      </c>
      <c r="O5" s="7"/>
      <c r="P5" s="7"/>
      <c r="Q5" s="7"/>
      <c r="R5" s="7"/>
      <c r="S5" s="7"/>
      <c r="T5" s="7"/>
      <c r="U5" s="15"/>
      <c r="V5" s="15"/>
      <c r="W5" s="15"/>
      <c r="X5" s="15"/>
      <c r="Y5" s="15"/>
      <c r="Z5" s="16" t="s">
        <v>662</v>
      </c>
      <c r="AA5" s="14">
        <v>45</v>
      </c>
      <c r="AB5">
        <f t="shared" si="0"/>
        <v>-45</v>
      </c>
      <c r="AF5" s="14" t="s">
        <v>663</v>
      </c>
      <c r="AG5" s="14">
        <v>163</v>
      </c>
      <c r="AH5" s="14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5"/>
      <c r="V6" s="15"/>
      <c r="W6" s="15"/>
      <c r="X6" s="15"/>
      <c r="Y6" s="15"/>
      <c r="Z6" s="16" t="s">
        <v>664</v>
      </c>
      <c r="AA6" s="14">
        <v>54</v>
      </c>
      <c r="AB6">
        <f t="shared" si="0"/>
        <v>-54</v>
      </c>
      <c r="AF6" s="14" t="s">
        <v>665</v>
      </c>
      <c r="AG6" s="14">
        <v>177</v>
      </c>
      <c r="AH6" s="14">
        <f t="shared" si="1"/>
        <v>-177</v>
      </c>
    </row>
    <row r="7" s="2" customFormat="1" ht="29" spans="1:34">
      <c r="A7" s="6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667</v>
      </c>
      <c r="I7" s="7" t="s">
        <v>668</v>
      </c>
      <c r="J7" s="6"/>
      <c r="K7" s="6"/>
      <c r="L7" s="6"/>
      <c r="M7" s="7" t="s">
        <v>669</v>
      </c>
      <c r="N7" s="7" t="s">
        <v>670</v>
      </c>
      <c r="O7" s="7" t="s">
        <v>667</v>
      </c>
      <c r="P7" s="17">
        <v>1</v>
      </c>
      <c r="Q7" s="7">
        <v>0</v>
      </c>
      <c r="R7" s="7">
        <v>3</v>
      </c>
      <c r="S7" s="7"/>
      <c r="T7" s="7" t="s">
        <v>671</v>
      </c>
      <c r="U7" s="15"/>
      <c r="V7" s="15"/>
      <c r="W7" s="15"/>
      <c r="X7" s="15"/>
      <c r="Y7" s="15"/>
      <c r="Z7" s="16" t="s">
        <v>672</v>
      </c>
      <c r="AA7" s="14">
        <v>63</v>
      </c>
      <c r="AB7">
        <f t="shared" si="0"/>
        <v>-63</v>
      </c>
      <c r="AC7"/>
      <c r="AD7"/>
      <c r="AE7"/>
      <c r="AF7" s="14" t="s">
        <v>673</v>
      </c>
      <c r="AG7" s="14">
        <v>191</v>
      </c>
      <c r="AH7" s="14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  <c r="J8" s="6"/>
      <c r="K8" s="6"/>
      <c r="L8" s="6"/>
      <c r="M8" s="7"/>
      <c r="N8" s="7" t="s">
        <v>112</v>
      </c>
      <c r="O8" s="7"/>
      <c r="P8" s="18">
        <v>-21.6</v>
      </c>
      <c r="Q8" s="7"/>
      <c r="R8" s="7"/>
      <c r="S8" s="7"/>
      <c r="T8" s="10" t="s">
        <v>654</v>
      </c>
      <c r="U8" s="15"/>
      <c r="V8" s="15"/>
      <c r="W8" s="15"/>
      <c r="X8" s="15"/>
      <c r="Y8" s="15"/>
      <c r="Z8" s="16" t="s">
        <v>674</v>
      </c>
      <c r="AA8" s="14">
        <v>72</v>
      </c>
      <c r="AB8">
        <f t="shared" si="0"/>
        <v>-72</v>
      </c>
      <c r="AF8" s="14" t="s">
        <v>675</v>
      </c>
      <c r="AG8" s="14">
        <v>206</v>
      </c>
      <c r="AH8" s="14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6"/>
      <c r="K9" s="6"/>
      <c r="L9" s="6"/>
      <c r="M9" s="7"/>
      <c r="N9" s="7" t="s">
        <v>112</v>
      </c>
      <c r="O9" s="7"/>
      <c r="P9" s="18">
        <v>-28.8</v>
      </c>
      <c r="Q9" s="7"/>
      <c r="R9" s="7"/>
      <c r="S9" s="7"/>
      <c r="T9" s="10" t="s">
        <v>656</v>
      </c>
      <c r="U9" s="15"/>
      <c r="V9" s="15"/>
      <c r="W9" s="15"/>
      <c r="X9" s="15"/>
      <c r="Y9" s="15"/>
      <c r="Z9" s="16" t="s">
        <v>676</v>
      </c>
      <c r="AA9" s="14">
        <v>90</v>
      </c>
      <c r="AB9">
        <f t="shared" si="0"/>
        <v>-90</v>
      </c>
      <c r="AF9" s="14" t="s">
        <v>677</v>
      </c>
      <c r="AG9" s="14">
        <v>220</v>
      </c>
      <c r="AH9" s="14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660</v>
      </c>
      <c r="J10" s="6"/>
      <c r="K10" s="6"/>
      <c r="L10" s="6"/>
      <c r="M10" s="7"/>
      <c r="N10" s="7" t="s">
        <v>112</v>
      </c>
      <c r="O10" s="7"/>
      <c r="P10" s="18">
        <v>-36</v>
      </c>
      <c r="Q10" s="7"/>
      <c r="R10" s="7"/>
      <c r="S10" s="7"/>
      <c r="T10" s="10" t="s">
        <v>659</v>
      </c>
      <c r="U10" s="15"/>
      <c r="V10" s="15"/>
      <c r="W10" s="15"/>
      <c r="X10" s="15"/>
      <c r="Y10" s="15"/>
      <c r="Z10" s="16" t="s">
        <v>678</v>
      </c>
      <c r="AA10" s="14">
        <v>36</v>
      </c>
      <c r="AB10">
        <f t="shared" si="0"/>
        <v>-36</v>
      </c>
      <c r="AF10" s="14" t="s">
        <v>662</v>
      </c>
      <c r="AG10" s="14">
        <v>45</v>
      </c>
      <c r="AH10" s="14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  <c r="J11" s="6"/>
      <c r="K11" s="6"/>
      <c r="L11" s="6"/>
      <c r="M11" s="7"/>
      <c r="N11" s="7" t="s">
        <v>112</v>
      </c>
      <c r="O11" s="7"/>
      <c r="P11" s="18">
        <v>-45</v>
      </c>
      <c r="Q11" s="7"/>
      <c r="R11" s="7"/>
      <c r="S11" s="7"/>
      <c r="T11" s="10" t="s">
        <v>662</v>
      </c>
      <c r="U11" s="15"/>
      <c r="V11" s="15"/>
      <c r="W11" s="15"/>
      <c r="X11" s="15"/>
      <c r="Y11" s="15"/>
      <c r="Z11" s="16" t="s">
        <v>679</v>
      </c>
      <c r="AA11" s="14">
        <v>48</v>
      </c>
      <c r="AB11">
        <f t="shared" si="0"/>
        <v>-48</v>
      </c>
      <c r="AF11" s="14" t="s">
        <v>664</v>
      </c>
      <c r="AG11" s="14">
        <v>54</v>
      </c>
      <c r="AH11" s="14">
        <f t="shared" si="1"/>
        <v>-54</v>
      </c>
    </row>
    <row r="12" s="11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6"/>
      <c r="K12" s="6"/>
      <c r="L12" s="6"/>
      <c r="M12" s="7"/>
      <c r="N12" s="7" t="s">
        <v>112</v>
      </c>
      <c r="O12" s="7"/>
      <c r="P12" s="18">
        <v>-54</v>
      </c>
      <c r="Q12" s="7"/>
      <c r="R12" s="7"/>
      <c r="S12" s="7"/>
      <c r="T12" s="10" t="s">
        <v>664</v>
      </c>
      <c r="U12" s="15"/>
      <c r="V12" s="15"/>
      <c r="W12" s="15"/>
      <c r="X12" s="15"/>
      <c r="Y12" s="15"/>
      <c r="Z12" s="16" t="s">
        <v>680</v>
      </c>
      <c r="AA12" s="14">
        <v>60</v>
      </c>
      <c r="AB12">
        <f t="shared" si="0"/>
        <v>-60</v>
      </c>
      <c r="AC12"/>
      <c r="AD12"/>
      <c r="AE12"/>
      <c r="AF12" s="14" t="s">
        <v>672</v>
      </c>
      <c r="AG12" s="14">
        <v>63</v>
      </c>
      <c r="AH12" s="14">
        <f t="shared" si="1"/>
        <v>-63</v>
      </c>
    </row>
    <row r="13" s="11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6"/>
      <c r="K13" s="6"/>
      <c r="L13" s="6"/>
      <c r="M13" s="7"/>
      <c r="N13" s="7" t="s">
        <v>112</v>
      </c>
      <c r="O13" s="7"/>
      <c r="P13" s="18">
        <v>-63</v>
      </c>
      <c r="Q13" s="7"/>
      <c r="R13" s="7"/>
      <c r="S13" s="7"/>
      <c r="T13" s="10" t="s">
        <v>672</v>
      </c>
      <c r="U13" s="15"/>
      <c r="V13" s="15"/>
      <c r="W13" s="15"/>
      <c r="X13" s="15"/>
      <c r="Y13" s="15"/>
      <c r="Z13" s="16" t="s">
        <v>681</v>
      </c>
      <c r="AA13" s="14">
        <v>75</v>
      </c>
      <c r="AB13">
        <f t="shared" si="0"/>
        <v>-75</v>
      </c>
      <c r="AC13"/>
      <c r="AD13"/>
      <c r="AE13"/>
      <c r="AF13" s="14" t="s">
        <v>674</v>
      </c>
      <c r="AG13" s="14">
        <v>72</v>
      </c>
      <c r="AH13" s="14">
        <f t="shared" si="1"/>
        <v>-72</v>
      </c>
    </row>
    <row r="14" s="11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  <c r="J14" s="6"/>
      <c r="K14" s="6"/>
      <c r="L14" s="6"/>
      <c r="M14" s="7"/>
      <c r="N14" s="7" t="s">
        <v>112</v>
      </c>
      <c r="O14" s="7"/>
      <c r="P14" s="18">
        <v>-72</v>
      </c>
      <c r="Q14" s="7"/>
      <c r="R14" s="7"/>
      <c r="S14" s="7"/>
      <c r="T14" s="10" t="s">
        <v>674</v>
      </c>
      <c r="U14" s="15"/>
      <c r="V14" s="15"/>
      <c r="W14" s="15"/>
      <c r="X14" s="15"/>
      <c r="Y14" s="15"/>
      <c r="Z14" s="16" t="s">
        <v>682</v>
      </c>
      <c r="AA14" s="14">
        <v>90</v>
      </c>
      <c r="AB14">
        <f t="shared" si="0"/>
        <v>-90</v>
      </c>
      <c r="AC14"/>
      <c r="AD14"/>
      <c r="AE14"/>
      <c r="AF14" s="14" t="s">
        <v>676</v>
      </c>
      <c r="AG14" s="14">
        <v>90</v>
      </c>
      <c r="AH14" s="14">
        <f t="shared" si="1"/>
        <v>-90</v>
      </c>
    </row>
    <row r="15" s="11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6"/>
      <c r="K15" s="6"/>
      <c r="L15" s="6"/>
      <c r="M15" s="7"/>
      <c r="N15" s="7" t="s">
        <v>112</v>
      </c>
      <c r="O15" s="7"/>
      <c r="P15" s="18">
        <v>-90</v>
      </c>
      <c r="Q15" s="7"/>
      <c r="R15" s="7"/>
      <c r="S15" s="7"/>
      <c r="T15" s="10" t="s">
        <v>676</v>
      </c>
      <c r="U15" s="15"/>
      <c r="V15" s="15"/>
      <c r="W15" s="15"/>
      <c r="X15" s="15"/>
      <c r="Y15" s="15"/>
      <c r="Z15" s="16" t="s">
        <v>683</v>
      </c>
      <c r="AA15" s="14">
        <v>105</v>
      </c>
      <c r="AB15">
        <f t="shared" si="0"/>
        <v>-105</v>
      </c>
      <c r="AC15"/>
      <c r="AD15"/>
      <c r="AE15"/>
      <c r="AF15" s="14" t="s">
        <v>681</v>
      </c>
      <c r="AG15" s="14">
        <v>75</v>
      </c>
      <c r="AH15" s="14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6"/>
      <c r="K16" s="6"/>
      <c r="L16" s="6"/>
      <c r="M16" s="7"/>
      <c r="N16" s="7" t="s">
        <v>112</v>
      </c>
      <c r="O16" s="7"/>
      <c r="P16" s="18">
        <v>-36</v>
      </c>
      <c r="Q16" s="7"/>
      <c r="R16" s="7"/>
      <c r="S16" s="7"/>
      <c r="T16" s="10" t="s">
        <v>678</v>
      </c>
      <c r="U16" s="15"/>
      <c r="V16" s="15"/>
      <c r="W16" s="15"/>
      <c r="X16" s="15"/>
      <c r="Y16" s="15"/>
      <c r="Z16" s="16" t="s">
        <v>684</v>
      </c>
      <c r="AA16" s="14">
        <v>120</v>
      </c>
      <c r="AB16">
        <f t="shared" si="0"/>
        <v>-120</v>
      </c>
      <c r="AF16" s="14" t="s">
        <v>682</v>
      </c>
      <c r="AG16" s="14">
        <v>90</v>
      </c>
      <c r="AH16" s="14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  <c r="J17" s="6"/>
      <c r="K17" s="6"/>
      <c r="L17" s="6"/>
      <c r="M17" s="7"/>
      <c r="N17" s="7" t="s">
        <v>112</v>
      </c>
      <c r="O17" s="7"/>
      <c r="P17" s="18">
        <v>-48</v>
      </c>
      <c r="Q17" s="7"/>
      <c r="R17" s="7"/>
      <c r="S17" s="7"/>
      <c r="T17" s="10" t="s">
        <v>679</v>
      </c>
      <c r="U17" s="15"/>
      <c r="V17" s="15"/>
      <c r="W17" s="15"/>
      <c r="X17" s="15"/>
      <c r="Y17" s="15"/>
      <c r="Z17" s="16" t="s">
        <v>685</v>
      </c>
      <c r="AA17" s="14">
        <v>150</v>
      </c>
      <c r="AB17">
        <f t="shared" si="0"/>
        <v>-150</v>
      </c>
      <c r="AF17" s="14" t="s">
        <v>683</v>
      </c>
      <c r="AG17" s="14">
        <v>105</v>
      </c>
      <c r="AH17" s="14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6"/>
      <c r="K18" s="6"/>
      <c r="L18" s="6"/>
      <c r="M18" s="7"/>
      <c r="N18" s="7" t="s">
        <v>112</v>
      </c>
      <c r="O18" s="7"/>
      <c r="P18" s="18">
        <v>-60</v>
      </c>
      <c r="Q18" s="7"/>
      <c r="R18" s="7"/>
      <c r="S18" s="7"/>
      <c r="T18" s="10" t="s">
        <v>680</v>
      </c>
      <c r="U18" s="15"/>
      <c r="V18" s="15"/>
      <c r="W18" s="15"/>
      <c r="X18" s="15"/>
      <c r="Y18" s="15"/>
      <c r="Z18" s="16" t="s">
        <v>686</v>
      </c>
      <c r="AA18" s="14">
        <v>180</v>
      </c>
      <c r="AB18">
        <f t="shared" si="0"/>
        <v>-180</v>
      </c>
      <c r="AF18" s="14" t="s">
        <v>684</v>
      </c>
      <c r="AG18" s="14">
        <v>120</v>
      </c>
      <c r="AH18" s="14">
        <f t="shared" si="1"/>
        <v>-120</v>
      </c>
    </row>
    <row r="19" s="2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6"/>
      <c r="K19" s="6"/>
      <c r="L19" s="6"/>
      <c r="M19" s="7"/>
      <c r="N19" s="7" t="s">
        <v>112</v>
      </c>
      <c r="O19" s="7"/>
      <c r="P19" s="18">
        <v>-75</v>
      </c>
      <c r="Q19" s="7"/>
      <c r="R19" s="7"/>
      <c r="S19" s="7"/>
      <c r="T19" s="10" t="s">
        <v>681</v>
      </c>
      <c r="U19" s="15"/>
      <c r="V19" s="15"/>
      <c r="W19" s="15"/>
      <c r="X19" s="15"/>
      <c r="Y19" s="15"/>
      <c r="Z19" s="16" t="s">
        <v>687</v>
      </c>
      <c r="AA19" s="14">
        <v>214.8</v>
      </c>
      <c r="AB19">
        <f t="shared" si="0"/>
        <v>-214.8</v>
      </c>
      <c r="AC19"/>
      <c r="AD19"/>
      <c r="AE19"/>
      <c r="AF19" s="14" t="s">
        <v>685</v>
      </c>
      <c r="AG19" s="14">
        <v>150</v>
      </c>
      <c r="AH19" s="14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  <c r="J20" s="6"/>
      <c r="K20" s="6"/>
      <c r="L20" s="6"/>
      <c r="M20" s="7"/>
      <c r="N20" s="7" t="s">
        <v>112</v>
      </c>
      <c r="O20" s="7"/>
      <c r="P20" s="18">
        <v>-90</v>
      </c>
      <c r="Q20" s="7"/>
      <c r="R20" s="7"/>
      <c r="S20" s="7"/>
      <c r="T20" s="10" t="s">
        <v>682</v>
      </c>
      <c r="U20" s="15"/>
      <c r="V20" s="15"/>
      <c r="W20" s="15"/>
      <c r="X20" s="15"/>
      <c r="Y20" s="15"/>
      <c r="Z20" s="16" t="s">
        <v>688</v>
      </c>
      <c r="AA20" s="14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6"/>
      <c r="K21" s="6"/>
      <c r="L21" s="6"/>
      <c r="M21" s="7"/>
      <c r="N21" s="7" t="s">
        <v>112</v>
      </c>
      <c r="O21" s="7"/>
      <c r="P21" s="18">
        <v>-105</v>
      </c>
      <c r="Q21" s="7"/>
      <c r="R21" s="7"/>
      <c r="S21" s="7"/>
      <c r="T21" s="10" t="s">
        <v>683</v>
      </c>
      <c r="U21" s="15"/>
      <c r="V21" s="15"/>
      <c r="W21" s="15"/>
      <c r="X21" s="15"/>
      <c r="Y21" s="15"/>
      <c r="Z21" s="16" t="s">
        <v>689</v>
      </c>
      <c r="AA21" s="14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6"/>
      <c r="K22" s="6"/>
      <c r="L22" s="6"/>
      <c r="M22" s="7"/>
      <c r="N22" s="7" t="s">
        <v>112</v>
      </c>
      <c r="O22" s="7"/>
      <c r="P22" s="18">
        <v>-120</v>
      </c>
      <c r="Q22" s="7"/>
      <c r="R22" s="7"/>
      <c r="S22" s="7"/>
      <c r="T22" s="10" t="s">
        <v>684</v>
      </c>
      <c r="U22" s="15"/>
      <c r="V22" s="15"/>
      <c r="W22" s="15"/>
      <c r="X22" s="15"/>
      <c r="Y22" s="15"/>
      <c r="Z22" s="16" t="s">
        <v>690</v>
      </c>
      <c r="AA22" s="14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  <c r="J23" s="6"/>
      <c r="K23" s="6"/>
      <c r="L23" s="6"/>
      <c r="M23" s="7"/>
      <c r="N23" s="7" t="s">
        <v>112</v>
      </c>
      <c r="O23" s="7"/>
      <c r="P23" s="18">
        <v>-150</v>
      </c>
      <c r="Q23" s="7"/>
      <c r="R23" s="7"/>
      <c r="S23" s="7"/>
      <c r="T23" s="10" t="s">
        <v>685</v>
      </c>
      <c r="U23" s="15"/>
      <c r="V23" s="15"/>
      <c r="W23" s="15"/>
      <c r="X23" s="15"/>
      <c r="Y23" s="15"/>
      <c r="Z23" s="16" t="s">
        <v>691</v>
      </c>
      <c r="AA23" s="14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6"/>
      <c r="K24" s="6"/>
      <c r="L24" s="6"/>
      <c r="M24" s="7"/>
      <c r="N24" s="7" t="s">
        <v>112</v>
      </c>
      <c r="O24" s="7"/>
      <c r="P24" s="19">
        <v>-180</v>
      </c>
      <c r="Q24" s="7"/>
      <c r="R24" s="7"/>
      <c r="S24" s="7"/>
      <c r="T24" s="10" t="s">
        <v>686</v>
      </c>
      <c r="U24" s="15"/>
      <c r="V24" s="15"/>
      <c r="W24" s="15"/>
      <c r="X24" s="15"/>
      <c r="Y24" s="15"/>
      <c r="Z24" s="16" t="s">
        <v>692</v>
      </c>
      <c r="AA24" s="14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6"/>
      <c r="K25" s="6"/>
      <c r="L25" s="6"/>
      <c r="M25" s="7"/>
      <c r="N25" s="7" t="s">
        <v>112</v>
      </c>
      <c r="O25" s="7"/>
      <c r="P25" s="18">
        <v>-214.8</v>
      </c>
      <c r="Q25" s="7"/>
      <c r="R25" s="7"/>
      <c r="S25" s="7"/>
      <c r="T25" s="10" t="s">
        <v>687</v>
      </c>
      <c r="U25" s="15"/>
      <c r="V25" s="15"/>
      <c r="W25" s="15"/>
      <c r="X25" s="15"/>
      <c r="Y25" s="15"/>
      <c r="Z25" s="16" t="s">
        <v>693</v>
      </c>
      <c r="AA25" s="14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8">
        <v>-248.4</v>
      </c>
      <c r="Q26" s="7"/>
      <c r="R26" s="7"/>
      <c r="S26" s="7"/>
      <c r="T26" s="10" t="s">
        <v>688</v>
      </c>
      <c r="U26" s="15"/>
      <c r="V26" s="15"/>
      <c r="W26" s="15"/>
      <c r="X26" s="15"/>
      <c r="Y26" s="15"/>
      <c r="Z26" s="16" t="s">
        <v>655</v>
      </c>
      <c r="AA26" s="14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8">
        <v>-283.2</v>
      </c>
      <c r="Q27" s="7"/>
      <c r="R27" s="7"/>
      <c r="S27" s="7"/>
      <c r="T27" s="10" t="s">
        <v>689</v>
      </c>
      <c r="U27" s="15"/>
      <c r="V27" s="15"/>
      <c r="W27" s="15"/>
      <c r="X27" s="15"/>
      <c r="Y27" s="15"/>
      <c r="Z27" s="16" t="s">
        <v>657</v>
      </c>
      <c r="AA27" s="14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8">
        <v>-316.8</v>
      </c>
      <c r="Q28" s="7"/>
      <c r="R28" s="7"/>
      <c r="S28" s="7"/>
      <c r="T28" s="10" t="s">
        <v>690</v>
      </c>
      <c r="U28" s="15"/>
      <c r="V28" s="15"/>
      <c r="W28" s="15"/>
      <c r="X28" s="15"/>
      <c r="Y28" s="15"/>
      <c r="Z28" s="16" t="s">
        <v>660</v>
      </c>
      <c r="AA28" s="14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8">
        <v>-420</v>
      </c>
      <c r="Q29" s="7"/>
      <c r="R29" s="7"/>
      <c r="S29" s="7"/>
      <c r="T29" s="10" t="s">
        <v>691</v>
      </c>
      <c r="U29" s="15"/>
      <c r="V29" s="15"/>
      <c r="W29" s="15"/>
      <c r="X29" s="15"/>
      <c r="Y29" s="15"/>
      <c r="Z29" s="16" t="s">
        <v>663</v>
      </c>
      <c r="AA29" s="14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8">
        <v>-600</v>
      </c>
      <c r="Q30" s="7"/>
      <c r="R30" s="7"/>
      <c r="S30" s="7"/>
      <c r="T30" s="10" t="s">
        <v>692</v>
      </c>
      <c r="U30" s="15"/>
      <c r="V30" s="15"/>
      <c r="W30" s="15"/>
      <c r="X30" s="15"/>
      <c r="Y30" s="15"/>
      <c r="Z30" s="16" t="s">
        <v>665</v>
      </c>
      <c r="AA30" s="14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8">
        <v>-720</v>
      </c>
      <c r="Q31" s="7"/>
      <c r="R31" s="7"/>
      <c r="S31" s="7"/>
      <c r="T31" s="10" t="s">
        <v>693</v>
      </c>
      <c r="U31" s="15"/>
      <c r="V31" s="15"/>
      <c r="W31" s="15"/>
      <c r="X31" s="15"/>
      <c r="Y31" s="15"/>
      <c r="Z31" s="16" t="s">
        <v>673</v>
      </c>
      <c r="AA31" s="14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8">
        <v>-120</v>
      </c>
      <c r="Q32" s="7"/>
      <c r="R32" s="7"/>
      <c r="S32" s="7"/>
      <c r="T32" s="10" t="s">
        <v>655</v>
      </c>
      <c r="U32" s="15"/>
      <c r="V32" s="15"/>
      <c r="W32" s="15"/>
      <c r="X32" s="15"/>
      <c r="Y32" s="15"/>
      <c r="Z32" s="16" t="s">
        <v>675</v>
      </c>
      <c r="AA32" s="14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8">
        <v>-134</v>
      </c>
      <c r="Q33" s="7"/>
      <c r="R33" s="7"/>
      <c r="S33" s="7"/>
      <c r="T33" s="10" t="s">
        <v>657</v>
      </c>
      <c r="U33" s="15"/>
      <c r="V33" s="15"/>
      <c r="W33" s="15"/>
      <c r="X33" s="15"/>
      <c r="Y33" s="15"/>
      <c r="Z33" s="16" t="s">
        <v>677</v>
      </c>
      <c r="AA33" s="14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8">
        <v>-149</v>
      </c>
      <c r="Q34" s="7"/>
      <c r="R34" s="7"/>
      <c r="S34" s="7"/>
      <c r="T34" s="10" t="s">
        <v>660</v>
      </c>
      <c r="U34" s="15"/>
      <c r="V34" s="15"/>
      <c r="W34" s="15"/>
      <c r="X34" s="15"/>
      <c r="Y34" s="15"/>
      <c r="Z34" s="16" t="s">
        <v>694</v>
      </c>
      <c r="AA34" s="14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8">
        <v>-163</v>
      </c>
      <c r="Q35" s="7"/>
      <c r="R35" s="7"/>
      <c r="S35" s="7"/>
      <c r="T35" s="10" t="s">
        <v>663</v>
      </c>
      <c r="U35" s="15"/>
      <c r="V35" s="15"/>
      <c r="W35" s="15"/>
      <c r="X35" s="15"/>
      <c r="Y35" s="15"/>
      <c r="Z35" s="16" t="s">
        <v>695</v>
      </c>
      <c r="AA35" s="14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8">
        <v>-177</v>
      </c>
      <c r="Q36" s="7"/>
      <c r="R36" s="7"/>
      <c r="S36" s="7"/>
      <c r="T36" s="10" t="s">
        <v>665</v>
      </c>
      <c r="U36" s="15"/>
      <c r="V36" s="15"/>
      <c r="W36" s="15"/>
      <c r="X36" s="15"/>
      <c r="Y36" s="15"/>
      <c r="Z36" s="16" t="s">
        <v>696</v>
      </c>
      <c r="AA36" s="14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8">
        <v>-191</v>
      </c>
      <c r="Q37" s="7"/>
      <c r="R37" s="7"/>
      <c r="S37" s="7"/>
      <c r="T37" s="10" t="s">
        <v>673</v>
      </c>
      <c r="U37" s="15"/>
      <c r="V37" s="15"/>
      <c r="W37" s="15"/>
      <c r="X37" s="15"/>
      <c r="Y37" s="15"/>
      <c r="Z37" s="16" t="s">
        <v>697</v>
      </c>
      <c r="AA37" s="14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8">
        <v>-206</v>
      </c>
      <c r="Q38" s="7"/>
      <c r="R38" s="7"/>
      <c r="S38" s="7"/>
      <c r="T38" s="10" t="s">
        <v>675</v>
      </c>
      <c r="U38" s="15"/>
      <c r="V38" s="15"/>
      <c r="W38" s="15"/>
      <c r="X38" s="15"/>
      <c r="Y38" s="15"/>
      <c r="Z38" s="16" t="s">
        <v>698</v>
      </c>
      <c r="AA38" s="1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677</v>
      </c>
      <c r="Z39" s="14" t="s">
        <v>699</v>
      </c>
      <c r="AA39" s="1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694</v>
      </c>
      <c r="Z40" s="14" t="s">
        <v>700</v>
      </c>
      <c r="AA40" s="1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695</v>
      </c>
      <c r="Z41" s="14" t="s">
        <v>701</v>
      </c>
      <c r="AA41" s="1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696</v>
      </c>
      <c r="Z42" s="14" t="s">
        <v>702</v>
      </c>
      <c r="AA42" s="1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697</v>
      </c>
      <c r="Z43" s="14" t="s">
        <v>703</v>
      </c>
      <c r="AA43" s="1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698</v>
      </c>
      <c r="Z44" s="14" t="s">
        <v>704</v>
      </c>
      <c r="AA44" s="1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699</v>
      </c>
      <c r="Z45" s="14" t="s">
        <v>705</v>
      </c>
      <c r="AA45" s="1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700</v>
      </c>
      <c r="Z46" s="14" t="s">
        <v>706</v>
      </c>
      <c r="AA46" s="1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701</v>
      </c>
      <c r="Z47" s="14" t="s">
        <v>707</v>
      </c>
      <c r="AA47" s="1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702</v>
      </c>
      <c r="Z48" s="14" t="s">
        <v>708</v>
      </c>
      <c r="AA48" s="1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703</v>
      </c>
      <c r="Z49" s="14" t="s">
        <v>709</v>
      </c>
      <c r="AA49" s="1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704</v>
      </c>
      <c r="Z50" s="14" t="s">
        <v>710</v>
      </c>
      <c r="AA50" s="1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705</v>
      </c>
      <c r="Z51" s="14" t="s">
        <v>711</v>
      </c>
      <c r="AA51" s="1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706</v>
      </c>
      <c r="Z52" s="14" t="s">
        <v>712</v>
      </c>
      <c r="AA52" s="1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707</v>
      </c>
      <c r="Z53" s="14" t="s">
        <v>713</v>
      </c>
      <c r="AA53" s="1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708</v>
      </c>
      <c r="Z54" s="14" t="s">
        <v>714</v>
      </c>
      <c r="AA54" s="1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709</v>
      </c>
      <c r="Z55" s="14" t="s">
        <v>715</v>
      </c>
      <c r="AA55" s="1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710</v>
      </c>
      <c r="Z56" s="14" t="s">
        <v>716</v>
      </c>
      <c r="AA56" s="1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711</v>
      </c>
      <c r="Z57" s="14" t="s">
        <v>717</v>
      </c>
      <c r="AA57" s="1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712</v>
      </c>
      <c r="Z58" s="14" t="s">
        <v>718</v>
      </c>
      <c r="AA58" s="1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713</v>
      </c>
      <c r="Z59" s="14" t="s">
        <v>719</v>
      </c>
      <c r="AA59" s="1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714</v>
      </c>
      <c r="Z60" s="14" t="s">
        <v>720</v>
      </c>
      <c r="AA60" s="1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715</v>
      </c>
      <c r="Z61" s="14" t="s">
        <v>721</v>
      </c>
      <c r="AA61" s="1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716</v>
      </c>
      <c r="Z62" s="14" t="s">
        <v>722</v>
      </c>
      <c r="AA62" s="1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717</v>
      </c>
      <c r="Z63" s="14" t="s">
        <v>723</v>
      </c>
      <c r="AA63" s="1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718</v>
      </c>
      <c r="Z64" s="14" t="s">
        <v>724</v>
      </c>
      <c r="AA64" s="1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719</v>
      </c>
      <c r="Z65" s="14" t="s">
        <v>725</v>
      </c>
      <c r="AA65" s="1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720</v>
      </c>
      <c r="Z66" s="14" t="s">
        <v>726</v>
      </c>
      <c r="AA66" s="1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721</v>
      </c>
      <c r="Z67" s="14" t="s">
        <v>727</v>
      </c>
      <c r="AA67" s="1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722</v>
      </c>
      <c r="Z68" s="14" t="s">
        <v>728</v>
      </c>
      <c r="AA68" s="1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723</v>
      </c>
      <c r="Z69" s="14" t="s">
        <v>729</v>
      </c>
      <c r="AA69" s="1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724</v>
      </c>
      <c r="Z70" s="14" t="s">
        <v>730</v>
      </c>
      <c r="AA70" s="1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725</v>
      </c>
      <c r="Z71" s="14" t="s">
        <v>731</v>
      </c>
      <c r="AA71" s="1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726</v>
      </c>
      <c r="Z72" s="14" t="s">
        <v>732</v>
      </c>
      <c r="AA72" s="1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727</v>
      </c>
      <c r="Z73" s="14" t="s">
        <v>733</v>
      </c>
      <c r="AA73" s="1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728</v>
      </c>
      <c r="Z74" s="14" t="s">
        <v>734</v>
      </c>
      <c r="AA74" s="1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729</v>
      </c>
      <c r="Z75" s="14" t="s">
        <v>735</v>
      </c>
      <c r="AA75" s="1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730</v>
      </c>
      <c r="Z76" s="14" t="s">
        <v>736</v>
      </c>
      <c r="AA76" s="1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731</v>
      </c>
      <c r="Z77" s="14" t="s">
        <v>737</v>
      </c>
      <c r="AA77" s="1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732</v>
      </c>
      <c r="Z78" s="14" t="s">
        <v>738</v>
      </c>
      <c r="AA78" s="1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733</v>
      </c>
      <c r="Z79" s="14" t="s">
        <v>739</v>
      </c>
      <c r="AA79" s="1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734</v>
      </c>
      <c r="Z80" s="14" t="s">
        <v>740</v>
      </c>
      <c r="AA80" s="1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735</v>
      </c>
      <c r="Z81" s="14" t="s">
        <v>741</v>
      </c>
      <c r="AA81" s="1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736</v>
      </c>
      <c r="Z82" s="14" t="s">
        <v>742</v>
      </c>
      <c r="AA82" s="1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737</v>
      </c>
      <c r="Z83" s="14" t="s">
        <v>743</v>
      </c>
      <c r="AA83" s="1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738</v>
      </c>
      <c r="Z84" s="14" t="s">
        <v>744</v>
      </c>
      <c r="AA84" s="1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739</v>
      </c>
      <c r="Z85" s="14" t="s">
        <v>745</v>
      </c>
      <c r="AA85" s="1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740</v>
      </c>
      <c r="Z86" s="14" t="s">
        <v>746</v>
      </c>
      <c r="AA86" s="1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741</v>
      </c>
      <c r="Z87" s="14" t="s">
        <v>747</v>
      </c>
      <c r="AA87" s="1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742</v>
      </c>
      <c r="Z88" s="14" t="s">
        <v>748</v>
      </c>
      <c r="AA88" s="1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743</v>
      </c>
      <c r="Z89" s="14" t="s">
        <v>749</v>
      </c>
      <c r="AA89" s="1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744</v>
      </c>
      <c r="Z90" s="14" t="s">
        <v>750</v>
      </c>
      <c r="AA90" s="1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745</v>
      </c>
      <c r="Z91" s="14" t="s">
        <v>751</v>
      </c>
      <c r="AA91" s="1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746</v>
      </c>
      <c r="Z92" s="14" t="s">
        <v>752</v>
      </c>
      <c r="AA92" s="1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747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748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749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750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751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658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660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T31" sqref="T3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753</v>
      </c>
    </row>
    <row r="7" spans="6:19">
      <c r="L7" t="s">
        <v>754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755</v>
      </c>
      <c r="R8" t="s">
        <v>60</v>
      </c>
      <c r="S8" t="s">
        <v>55</v>
      </c>
    </row>
    <row r="9" spans="6:19">
      <c r="I9" t="s">
        <v>756</v>
      </c>
      <c r="O9" t="s">
        <v>757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758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2026-09-19T02:00:25Z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