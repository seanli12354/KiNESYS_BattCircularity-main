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8" activeTab="9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B4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from 0.8 to 0.9 because 0.8 seems to be outdated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<sst xmlns="http://schemas.openxmlformats.org/spreadsheetml/2006/main" count="2495" uniqueCount="784">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</sst>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ahoma"/>
      <charset val="1"/>
    </font>
    <font>
      <sz val="9"/>
      <name val="Times New Roman"/>
      <charset val="134"/>
    </font>
    <font>
      <b/>
      <sz val="9"/>
      <name val="Tahoma"/>
      <charset val="134"/>
    </font>
    <font>
      <b/>
      <sz val="8"/>
      <name val="Tahoma"/>
      <charset val="134"/>
    </font>
    <font>
      <b/>
      <sz val="9"/>
      <name val="Tahoma"/>
      <charset val="1"/>
    </font>
    <font>
      <sz val="8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4" fillId="49" borderId="14">
      <alignment vertical="top" wrapText="1"/>
    </xf>
    <xf numFmtId="49" fontId="4" fillId="49" borderId="14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48" borderId="12" applyNumberFormat="0" applyAlignment="0" applyProtection="0"/>
    <xf numFmtId="0" fontId="53" fillId="12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4" fillId="0" borderId="0" applyFont="0" applyFill="0" applyBorder="0" applyAlignment="0" applyProtection="0"/>
    <xf numFmtId="0" fontId="57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9" fillId="12" borderId="0" applyNumberFormat="0" applyBorder="0" applyAlignment="0" applyProtection="0"/>
    <xf numFmtId="0" fontId="58" fillId="12" borderId="0" applyNumberFormat="0" applyBorder="0" applyAlignment="0" applyProtection="0"/>
    <xf numFmtId="0" fontId="57" fillId="12" borderId="0" applyNumberFormat="0" applyBorder="0" applyAlignment="0" applyProtection="0"/>
    <xf numFmtId="0" fontId="7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1" fontId="60" fillId="0" borderId="0">
      <alignment vertical="center"/>
    </xf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192" fontId="63" fillId="0" borderId="0">
      <alignment horizontal="right"/>
    </xf>
    <xf numFmtId="193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4" fillId="0" borderId="0"/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4" fillId="68" borderId="28" applyBorder="0">
      <alignment horizontal="left" vertical="center"/>
    </xf>
    <xf numFmtId="0" fontId="4" fillId="68" borderId="28" applyBorder="0">
      <alignment horizontal="left" vertical="center"/>
    </xf>
    <xf numFmtId="49" fontId="4" fillId="69" borderId="1">
      <alignment vertical="center" wrapText="1"/>
    </xf>
    <xf numFmtId="49" fontId="4" fillId="69" borderId="1">
      <alignment vertical="center" wrapText="1"/>
    </xf>
    <xf numFmtId="0" fontId="4" fillId="70" borderId="29">
      <alignment horizontal="left" vertical="center" wrapText="1"/>
    </xf>
    <xf numFmtId="0" fontId="4" fillId="70" borderId="29">
      <alignment horizontal="left" vertical="center" wrapText="1"/>
    </xf>
    <xf numFmtId="0" fontId="71" fillId="71" borderId="1">
      <alignment horizontal="left" vertical="center" wrapText="1"/>
    </xf>
    <xf numFmtId="0" fontId="4" fillId="56" borderId="1">
      <alignment horizontal="left" vertical="center" wrapText="1"/>
    </xf>
    <xf numFmtId="0" fontId="4" fillId="56" borderId="1">
      <alignment horizontal="left" vertical="center" wrapText="1"/>
    </xf>
    <xf numFmtId="0" fontId="4" fillId="72" borderId="1">
      <alignment horizontal="left" vertical="center" wrapText="1"/>
    </xf>
    <xf numFmtId="0" fontId="4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5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5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9" borderId="0" xfId="0" applyFill="1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11" fontId="0" fillId="0" borderId="0" xfId="0" applyNumberFormat="1"/>
    <xf numFmtId="0" fontId="0" fillId="0" borderId="0" xfId="1737"/>
    <xf numFmtId="0" fontId="0" fillId="9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2" borderId="5" xfId="0" applyFont="1" applyFill="1" applyBorder="1"/>
    <xf numFmtId="0" fontId="16" fillId="13" borderId="5" xfId="0" applyFont="1" applyFill="1" applyBorder="1"/>
    <xf numFmtId="0" fontId="4" fillId="12" borderId="5" xfId="0" applyFont="1" applyFill="1" applyBorder="1"/>
    <xf numFmtId="1" fontId="0" fillId="0" borderId="0" xfId="0" applyNumberFormat="1"/>
    <xf numFmtId="200" fontId="5" fillId="0" borderId="0" xfId="0" applyNumberFormat="1" applyFont="1"/>
    <xf numFmtId="0" fontId="0" fillId="14" borderId="0" xfId="0" applyFill="1"/>
    <xf numFmtId="0" fontId="13" fillId="14" borderId="0" xfId="15" applyFill="1"/>
    <xf numFmtId="0" fontId="2" fillId="14" borderId="0" xfId="0" applyFont="1" applyFill="1"/>
    <xf numFmtId="0" fontId="0" fillId="15" borderId="0" xfId="0" applyFill="1"/>
    <xf numFmtId="0" fontId="2" fillId="0" borderId="0" xfId="0" applyFont="1"/>
    <xf numFmtId="0" fontId="0" fillId="0" borderId="0" xfId="0" quotePrefix="1"/>
    <xf numFmtId="0" fontId="0" fillId="10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6" t="s">
        <v>0</v>
      </c>
      <c r="M1" t="s">
        <v>1</v>
      </c>
    </row>
    <row r="3" spans="1:41">
      <c r="D3" s="35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J1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7" t="s">
        <v>53</v>
      </c>
      <c r="I2" s="48"/>
      <c r="J2" s="49"/>
      <c r="K2" s="49"/>
      <c r="L2" s="49"/>
      <c r="M2" s="49"/>
      <c r="N2" s="49"/>
      <c r="O2" s="49"/>
      <c r="P2" s="49"/>
    </row>
    <row r="3" ht="15.25" spans="1:30">
      <c r="B3" s="50" t="s">
        <v>54</v>
      </c>
      <c r="C3" s="50" t="s">
        <v>55</v>
      </c>
      <c r="D3" s="50" t="s">
        <v>56</v>
      </c>
      <c r="E3" s="50" t="s">
        <v>57</v>
      </c>
      <c r="F3" s="50" t="s">
        <v>58</v>
      </c>
      <c r="G3" s="50" t="s">
        <v>59</v>
      </c>
      <c r="H3" s="51" t="s">
        <v>60</v>
      </c>
      <c r="I3" s="52" t="s">
        <v>61</v>
      </c>
      <c r="J3" s="52" t="s">
        <v>62</v>
      </c>
      <c r="K3" s="52" t="s">
        <v>63</v>
      </c>
      <c r="L3" s="52" t="s">
        <v>64</v>
      </c>
      <c r="M3" s="52" t="s">
        <v>65</v>
      </c>
      <c r="N3" s="52" t="s">
        <v>66</v>
      </c>
      <c r="O3" s="52" t="s">
        <v>67</v>
      </c>
      <c r="P3" s="52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1" t="s">
        <v>79</v>
      </c>
      <c r="V5" s="41" t="s">
        <v>80</v>
      </c>
      <c r="W5" s="41">
        <v>2150</v>
      </c>
      <c r="X5" s="41"/>
      <c r="Y5" s="41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2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2">
        <v>3.5</v>
      </c>
      <c r="X14" t="s">
        <v>102</v>
      </c>
      <c r="Y14" s="42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3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34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60" t="s">
        <v>129</v>
      </c>
      <c r="AA21" t="str">
        <f t="shared" ref="AA21:AA26" si="0">X21</f>
        <v>HH2</v>
      </c>
      <c r="AB21" s="6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0" t="s">
        <v>141</v>
      </c>
      <c r="AC26" t="s">
        <v>99</v>
      </c>
    </row>
    <row r="27" spans="2:135">
      <c r="D27" t="s">
        <v>143</v>
      </c>
      <c r="E27">
        <v>2050</v>
      </c>
      <c r="H27" s="6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58">
        <v>0.5</v>
      </c>
      <c r="Y30" s="58">
        <v>0.5</v>
      </c>
      <c r="Z30" s="58">
        <v>0.5</v>
      </c>
      <c r="AA30" s="58">
        <v>0.5</v>
      </c>
      <c r="AB30" s="58">
        <v>0.880330129689671</v>
      </c>
      <c r="AC30" s="58">
        <v>0.5</v>
      </c>
      <c r="AD30" s="58">
        <v>1.43635426584992</v>
      </c>
      <c r="AE30" s="58">
        <v>0.28640020473296</v>
      </c>
      <c r="AF30" s="58">
        <v>0.5</v>
      </c>
      <c r="AG30" s="58">
        <v>1.89681589551844</v>
      </c>
      <c r="AH30" s="58">
        <v>0.529561709177279</v>
      </c>
      <c r="AI30" s="58">
        <v>2.23280493333333</v>
      </c>
      <c r="AJ30" s="58">
        <v>0.5</v>
      </c>
      <c r="AK30" s="58">
        <v>1.537054107788</v>
      </c>
      <c r="AL30" s="58">
        <v>0.5</v>
      </c>
      <c r="AM30" s="58">
        <v>0.517841558664547</v>
      </c>
      <c r="AN30" s="58">
        <v>0.5</v>
      </c>
      <c r="AO30" s="58">
        <v>0.68859433785327</v>
      </c>
      <c r="AP30" s="58">
        <v>0.5</v>
      </c>
      <c r="AQ30" s="58">
        <v>0.909913973797886</v>
      </c>
      <c r="AR30" s="58">
        <v>0.246856388121547</v>
      </c>
      <c r="AS30" s="58">
        <v>1.53715037026844</v>
      </c>
      <c r="AT30" s="58">
        <v>2.00954461975029</v>
      </c>
      <c r="AU30" s="58">
        <v>0.5</v>
      </c>
      <c r="AV30" s="58">
        <v>0.5</v>
      </c>
      <c r="AW30" s="58">
        <v>2.53614386666485</v>
      </c>
      <c r="AX30" s="58">
        <v>0.5</v>
      </c>
      <c r="AY30" s="58">
        <v>1.31959168743754</v>
      </c>
      <c r="AZ30" s="58">
        <v>1.26333562748337</v>
      </c>
      <c r="BA30" s="58">
        <v>0.5</v>
      </c>
      <c r="BB30" s="58">
        <v>0.811463508464399</v>
      </c>
      <c r="BC30" s="58">
        <v>0.5</v>
      </c>
      <c r="BD30" s="58">
        <v>0.070924584645638</v>
      </c>
      <c r="BE30" s="58">
        <v>0.538886154380813</v>
      </c>
      <c r="BF30" s="58">
        <v>0.772108172627653</v>
      </c>
      <c r="BG30" s="58">
        <v>0.5</v>
      </c>
      <c r="BH30" s="58">
        <v>0.5</v>
      </c>
      <c r="BI30" s="58">
        <v>0.5</v>
      </c>
      <c r="BJ30" s="58">
        <v>0.5</v>
      </c>
      <c r="BK30" s="58">
        <v>0.5</v>
      </c>
      <c r="BL30" s="58">
        <v>0.5</v>
      </c>
      <c r="BM30" s="58">
        <v>0.561679665057759</v>
      </c>
      <c r="BN30" s="58">
        <v>0.5</v>
      </c>
      <c r="BO30" s="58">
        <v>0.5</v>
      </c>
      <c r="BP30" s="58">
        <v>1.01202692206269</v>
      </c>
      <c r="BQ30" s="58">
        <v>0.5</v>
      </c>
      <c r="BR30" s="58">
        <v>0.5</v>
      </c>
      <c r="BS30" s="58">
        <v>0.5</v>
      </c>
      <c r="BT30" s="58">
        <v>1.95745180124224</v>
      </c>
      <c r="BU30" s="58">
        <v>0.888576032268769</v>
      </c>
      <c r="BV30" s="58">
        <v>0.5</v>
      </c>
      <c r="BW30" s="58">
        <v>3.52832406934561</v>
      </c>
      <c r="BX30" s="58">
        <v>2.40276262425447</v>
      </c>
      <c r="BY30" s="58">
        <v>0.272378558393112</v>
      </c>
      <c r="BZ30" s="58">
        <v>0.5</v>
      </c>
      <c r="CA30" s="58">
        <v>0.0381549757850336</v>
      </c>
      <c r="CB30" s="58">
        <v>0.5</v>
      </c>
      <c r="CC30" s="58">
        <v>2.14285661050061</v>
      </c>
      <c r="CD30" s="58">
        <v>0.5</v>
      </c>
      <c r="CE30" s="58">
        <v>0.5</v>
      </c>
      <c r="CF30" s="58">
        <v>0.5</v>
      </c>
      <c r="CG30" s="58">
        <v>0.5</v>
      </c>
      <c r="CH30" s="58">
        <v>0.5</v>
      </c>
      <c r="CI30" s="58">
        <v>0.501708699005855</v>
      </c>
      <c r="CJ30" s="58">
        <v>0.140262611393448</v>
      </c>
      <c r="CK30" s="58">
        <v>0.5</v>
      </c>
      <c r="CL30" s="58">
        <v>0.5</v>
      </c>
      <c r="CM30" s="58">
        <v>0.802398418234181</v>
      </c>
      <c r="CN30" s="58">
        <v>0.5</v>
      </c>
      <c r="CO30" s="58">
        <v>0.5</v>
      </c>
      <c r="CP30" s="58">
        <v>2.62476848951937</v>
      </c>
      <c r="CQ30" s="58">
        <v>0.5</v>
      </c>
      <c r="CR30" s="58">
        <v>0.5</v>
      </c>
      <c r="CS30" s="58">
        <v>0.5</v>
      </c>
      <c r="CT30" s="58">
        <v>0.5</v>
      </c>
      <c r="CU30" s="58">
        <v>0.5</v>
      </c>
      <c r="CV30" s="58">
        <v>0.5</v>
      </c>
      <c r="CW30" s="58">
        <v>0.373873615902288</v>
      </c>
      <c r="CX30" s="58">
        <v>0.803610304903818</v>
      </c>
      <c r="CY30" s="58">
        <v>0.5</v>
      </c>
      <c r="CZ30" s="58">
        <v>1.55182037907902</v>
      </c>
      <c r="DA30" s="58">
        <v>1.16378960402365</v>
      </c>
      <c r="DB30" s="58">
        <v>0.5</v>
      </c>
      <c r="DC30" s="58">
        <v>0.561445981739307</v>
      </c>
      <c r="DD30" s="58">
        <v>0.5</v>
      </c>
      <c r="DE30" s="58">
        <v>0.897015103002906</v>
      </c>
      <c r="DF30" s="58">
        <v>1.66556152209298</v>
      </c>
      <c r="DG30" s="58">
        <v>0.5</v>
      </c>
      <c r="DH30" s="58">
        <v>0.885985126939045</v>
      </c>
      <c r="DI30" s="58">
        <v>0.5</v>
      </c>
      <c r="DJ30" s="58">
        <v>0.5</v>
      </c>
      <c r="DK30" s="58">
        <v>2.63778652576313</v>
      </c>
      <c r="DL30" s="58">
        <v>1.49857000783021</v>
      </c>
      <c r="DM30" s="58">
        <v>0.675302561450318</v>
      </c>
      <c r="DN30" s="58">
        <v>0.546933177198058</v>
      </c>
      <c r="DO30" s="58">
        <v>0.5</v>
      </c>
      <c r="DP30" s="58">
        <v>0.5</v>
      </c>
      <c r="DQ30" s="58">
        <v>0.5</v>
      </c>
      <c r="DR30" s="58">
        <v>0.908669382059128</v>
      </c>
      <c r="DS30" s="58">
        <v>0.134099188596824</v>
      </c>
      <c r="DT30" s="58">
        <v>0.5</v>
      </c>
      <c r="DU30" s="58">
        <v>0.5</v>
      </c>
      <c r="DV30" s="58">
        <v>2.62534518744376</v>
      </c>
      <c r="DW30" s="58">
        <v>0.418643251337677</v>
      </c>
      <c r="DX30" s="58">
        <v>0.626320758771659</v>
      </c>
      <c r="DY30" s="58">
        <v>0.5</v>
      </c>
      <c r="DZ30" s="58">
        <v>0.5</v>
      </c>
      <c r="EA30" s="58">
        <v>0.5</v>
      </c>
      <c r="EB30" s="5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9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0" t="s">
        <v>75</v>
      </c>
    </row>
    <row r="41" spans="2:26">
      <c r="J41" t="s">
        <v>257</v>
      </c>
      <c r="K41" t="s">
        <v>258</v>
      </c>
      <c r="L41" t="s">
        <v>81</v>
      </c>
      <c r="M41" s="6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5"/>
    <col min="3" max="3" width="8.6" style="45" customWidth="1"/>
    <col min="4" max="4" width="9.06363636363636" style="45" customWidth="1"/>
    <col min="5" max="5" width="7.72727272727273" style="45" customWidth="1"/>
    <col min="6" max="6" width="5.54545454545455" style="45" customWidth="1"/>
    <col min="7" max="7" width="10.3363636363636" style="45" customWidth="1"/>
    <col min="8" max="8" width="11.8181818181818" style="45" customWidth="1"/>
    <col min="9" max="9" width="10.0636363636364" style="45" customWidth="1"/>
    <col min="10" max="10" width="9.8" style="45" customWidth="1"/>
    <col min="11" max="11" width="11.9090909090909" style="45" customWidth="1"/>
    <col min="12" max="12" width="10.4636363636364" style="45" customWidth="1"/>
    <col min="13" max="13" width="22.2727272727273" style="45" customWidth="1"/>
    <col min="14" max="14" width="19.3636363636364" style="45" customWidth="1"/>
    <col min="15" max="15" width="15.6" style="45" customWidth="1"/>
    <col min="16" max="17" width="9.06363636363636" style="45"/>
    <col min="18" max="18" width="32.4545454545455" style="45" customWidth="1"/>
    <col min="19" max="19" width="15.0909090909091" style="45" customWidth="1"/>
    <col min="20" max="20" width="19.2727272727273" style="45" customWidth="1"/>
    <col min="21" max="16384" width="9.06363636363636" style="45"/>
  </cols>
  <sheetData>
    <row r="3" spans="3:21">
      <c r="R3" s="45" t="s">
        <v>264</v>
      </c>
    </row>
    <row r="4" spans="3:21">
      <c r="C4" s="46" t="s">
        <v>76</v>
      </c>
      <c r="D4" s="46" t="s">
        <v>77</v>
      </c>
      <c r="E4" s="46" t="s">
        <v>73</v>
      </c>
      <c r="F4" s="46" t="s">
        <v>243</v>
      </c>
      <c r="G4" s="46" t="s">
        <v>265</v>
      </c>
      <c r="H4" s="46" t="s">
        <v>266</v>
      </c>
      <c r="I4" s="46" t="s">
        <v>267</v>
      </c>
      <c r="J4" s="46" t="s">
        <v>268</v>
      </c>
      <c r="K4" s="46" t="s">
        <v>269</v>
      </c>
      <c r="L4" s="46" t="s">
        <v>270</v>
      </c>
      <c r="M4" s="46" t="s">
        <v>271</v>
      </c>
      <c r="N4" s="46" t="s">
        <v>272</v>
      </c>
      <c r="O4" s="46" t="s">
        <v>273</v>
      </c>
      <c r="R4" s="45" t="s">
        <v>274</v>
      </c>
      <c r="S4" s="45" t="s">
        <v>275</v>
      </c>
      <c r="T4" s="45" t="s">
        <v>76</v>
      </c>
      <c r="U4" s="45" t="s">
        <v>75</v>
      </c>
    </row>
    <row r="5" spans="3:21">
      <c r="C5" s="46" t="s">
        <v>276</v>
      </c>
      <c r="D5" s="46"/>
      <c r="E5" s="46" t="s">
        <v>277</v>
      </c>
      <c r="F5" s="46">
        <v>2022</v>
      </c>
      <c r="G5" s="46">
        <v>1420</v>
      </c>
      <c r="H5" s="46">
        <v>750</v>
      </c>
      <c r="I5" s="46">
        <v>720</v>
      </c>
      <c r="J5" s="46">
        <v>640</v>
      </c>
      <c r="K5" s="46">
        <v>1910</v>
      </c>
      <c r="L5" s="46">
        <v>1710</v>
      </c>
      <c r="M5" s="46">
        <v>990</v>
      </c>
      <c r="N5" s="46">
        <v>1120</v>
      </c>
      <c r="O5" s="46">
        <v>620</v>
      </c>
      <c r="R5" s="45" t="s">
        <v>278</v>
      </c>
      <c r="S5" s="45">
        <v>2022</v>
      </c>
      <c r="T5" s="45" t="s">
        <v>276</v>
      </c>
      <c r="U5" s="45" t="s">
        <v>279</v>
      </c>
    </row>
    <row r="6" spans="3:21">
      <c r="C6" s="46" t="s">
        <v>276</v>
      </c>
      <c r="D6" s="46"/>
      <c r="E6" s="46" t="s">
        <v>280</v>
      </c>
      <c r="F6" s="46">
        <v>2022</v>
      </c>
      <c r="G6" s="46">
        <v>22</v>
      </c>
      <c r="H6" s="46">
        <v>12</v>
      </c>
      <c r="I6" s="46">
        <v>12</v>
      </c>
      <c r="J6" s="46">
        <v>10</v>
      </c>
      <c r="K6" s="46">
        <v>28</v>
      </c>
      <c r="L6" s="46">
        <v>26</v>
      </c>
      <c r="M6" s="46">
        <v>14</v>
      </c>
      <c r="N6" s="46">
        <v>16</v>
      </c>
      <c r="O6" s="46">
        <v>10</v>
      </c>
      <c r="S6" s="45">
        <v>2030</v>
      </c>
      <c r="T6" s="45" t="s">
        <v>276</v>
      </c>
      <c r="U6" s="45" t="s">
        <v>281</v>
      </c>
    </row>
    <row r="7" spans="3:21">
      <c r="C7" s="46"/>
      <c r="D7" s="46" t="s">
        <v>282</v>
      </c>
      <c r="E7" s="46" t="s">
        <v>277</v>
      </c>
      <c r="F7" s="46">
        <v>2022</v>
      </c>
      <c r="G7" s="46">
        <v>1950</v>
      </c>
      <c r="H7" s="46">
        <v>1050</v>
      </c>
      <c r="I7" s="46">
        <v>1100</v>
      </c>
      <c r="J7" s="46">
        <v>1120</v>
      </c>
      <c r="K7" s="46">
        <v>3520</v>
      </c>
      <c r="L7" s="46">
        <v>1640</v>
      </c>
      <c r="M7" s="46">
        <v>1750</v>
      </c>
      <c r="N7" s="46">
        <v>1220</v>
      </c>
      <c r="O7" s="46">
        <v>1950</v>
      </c>
      <c r="S7" s="45">
        <v>2050</v>
      </c>
      <c r="T7" s="45" t="s">
        <v>276</v>
      </c>
      <c r="U7" s="45" t="s">
        <v>283</v>
      </c>
    </row>
    <row r="8" spans="3:21">
      <c r="C8" s="46"/>
      <c r="D8" s="46" t="s">
        <v>282</v>
      </c>
      <c r="E8" s="46" t="s">
        <v>280</v>
      </c>
      <c r="F8" s="46">
        <v>2022</v>
      </c>
      <c r="G8" s="46">
        <v>48</v>
      </c>
      <c r="H8" s="46">
        <v>26</v>
      </c>
      <c r="I8" s="46">
        <v>28</v>
      </c>
      <c r="J8" s="46">
        <v>28</v>
      </c>
      <c r="K8" s="46">
        <v>88</v>
      </c>
      <c r="L8" s="46">
        <v>40</v>
      </c>
      <c r="M8" s="46">
        <v>46</v>
      </c>
      <c r="N8" s="46">
        <v>30</v>
      </c>
      <c r="O8" s="46">
        <v>48</v>
      </c>
      <c r="S8" s="45">
        <v>2070</v>
      </c>
      <c r="T8" s="45" t="s">
        <v>276</v>
      </c>
      <c r="U8" s="45" t="s">
        <v>284</v>
      </c>
    </row>
    <row r="9" spans="3:21">
      <c r="C9" s="46"/>
      <c r="D9" s="46" t="s">
        <v>285</v>
      </c>
      <c r="E9" s="46" t="s">
        <v>277</v>
      </c>
      <c r="F9" s="46">
        <v>2022</v>
      </c>
      <c r="G9" s="46">
        <v>4260</v>
      </c>
      <c r="H9" s="46">
        <v>4440</v>
      </c>
      <c r="I9" s="46">
        <v>2820</v>
      </c>
      <c r="J9" s="46">
        <v>3060</v>
      </c>
      <c r="K9" s="46">
        <v>6640</v>
      </c>
      <c r="L9" s="46">
        <v>4600</v>
      </c>
      <c r="M9" s="46">
        <v>3420</v>
      </c>
      <c r="N9" s="46">
        <v>4060</v>
      </c>
      <c r="O9" s="46">
        <v>4400</v>
      </c>
      <c r="S9" s="45">
        <v>2022</v>
      </c>
      <c r="T9" s="45" t="s">
        <v>286</v>
      </c>
      <c r="U9" s="45" t="s">
        <v>279</v>
      </c>
    </row>
    <row r="10" spans="3:21">
      <c r="C10" s="46"/>
      <c r="D10" s="46" t="s">
        <v>285</v>
      </c>
      <c r="E10" s="46" t="s">
        <v>280</v>
      </c>
      <c r="F10" s="46">
        <v>2022</v>
      </c>
      <c r="G10" s="46">
        <v>105</v>
      </c>
      <c r="H10" s="46">
        <v>110</v>
      </c>
      <c r="I10" s="46">
        <v>70</v>
      </c>
      <c r="J10" s="46">
        <v>75</v>
      </c>
      <c r="K10" s="46">
        <v>165</v>
      </c>
      <c r="L10" s="46">
        <v>115</v>
      </c>
      <c r="M10" s="46">
        <v>70</v>
      </c>
      <c r="N10" s="46">
        <v>120</v>
      </c>
      <c r="O10" s="46">
        <v>110</v>
      </c>
      <c r="S10" s="45">
        <v>2030</v>
      </c>
      <c r="T10" s="45" t="s">
        <v>286</v>
      </c>
      <c r="U10" s="45" t="s">
        <v>287</v>
      </c>
    </row>
    <row r="11" spans="3:21">
      <c r="C11" s="46" t="s">
        <v>288</v>
      </c>
      <c r="D11" s="46"/>
      <c r="E11" s="46" t="s">
        <v>277</v>
      </c>
      <c r="F11" s="46">
        <v>2022</v>
      </c>
      <c r="G11" s="46">
        <v>3300</v>
      </c>
      <c r="H11" s="46">
        <v>3350</v>
      </c>
      <c r="I11" s="46">
        <v>2000</v>
      </c>
      <c r="J11" s="46">
        <v>3050</v>
      </c>
      <c r="K11" s="46">
        <v>3550</v>
      </c>
      <c r="L11" s="46">
        <v>3500</v>
      </c>
      <c r="M11" s="46">
        <v>3900</v>
      </c>
      <c r="N11" s="46">
        <v>4050</v>
      </c>
      <c r="O11" s="46">
        <v>3400</v>
      </c>
      <c r="S11" s="45">
        <v>2050</v>
      </c>
      <c r="T11" s="45" t="s">
        <v>286</v>
      </c>
      <c r="U11" s="45" t="s">
        <v>289</v>
      </c>
    </row>
    <row r="12" spans="3:21">
      <c r="C12" s="46" t="s">
        <v>288</v>
      </c>
      <c r="D12" s="46"/>
      <c r="E12" s="46" t="s">
        <v>280</v>
      </c>
      <c r="F12" s="46">
        <v>2022</v>
      </c>
      <c r="G12" s="46">
        <v>65</v>
      </c>
      <c r="H12" s="46">
        <v>65</v>
      </c>
      <c r="I12" s="46">
        <v>40</v>
      </c>
      <c r="J12" s="46">
        <v>60</v>
      </c>
      <c r="K12" s="46">
        <v>70</v>
      </c>
      <c r="L12" s="46">
        <v>70</v>
      </c>
      <c r="M12" s="46">
        <v>80</v>
      </c>
      <c r="N12" s="46">
        <v>80</v>
      </c>
      <c r="O12" s="46">
        <v>70</v>
      </c>
      <c r="S12" s="45">
        <v>2070</v>
      </c>
      <c r="T12" s="45" t="s">
        <v>286</v>
      </c>
      <c r="U12" s="45" t="s">
        <v>281</v>
      </c>
    </row>
    <row r="13" spans="3:21">
      <c r="C13" s="46" t="s">
        <v>276</v>
      </c>
      <c r="D13" s="46"/>
      <c r="E13" s="46" t="s">
        <v>277</v>
      </c>
      <c r="F13" s="46">
        <v>2030</v>
      </c>
      <c r="G13" s="46">
        <v>850</v>
      </c>
      <c r="H13" s="46">
        <v>460</v>
      </c>
      <c r="I13" s="46">
        <v>430</v>
      </c>
      <c r="J13" s="46">
        <v>390</v>
      </c>
      <c r="K13" s="46">
        <v>1250</v>
      </c>
      <c r="L13" s="46">
        <v>1090</v>
      </c>
      <c r="M13" s="46">
        <v>620</v>
      </c>
      <c r="N13" s="46">
        <v>690</v>
      </c>
      <c r="O13" s="46">
        <v>360</v>
      </c>
      <c r="S13" s="45">
        <v>2022</v>
      </c>
      <c r="T13" s="45" t="s">
        <v>288</v>
      </c>
      <c r="U13" s="45" t="s">
        <v>133</v>
      </c>
    </row>
    <row r="14" spans="3:21">
      <c r="C14" s="46" t="s">
        <v>276</v>
      </c>
      <c r="D14" s="46"/>
      <c r="E14" s="46" t="s">
        <v>280</v>
      </c>
      <c r="F14" s="46">
        <v>2030</v>
      </c>
      <c r="G14" s="46">
        <v>20</v>
      </c>
      <c r="H14" s="46">
        <v>10</v>
      </c>
      <c r="I14" s="46">
        <v>10</v>
      </c>
      <c r="J14" s="46">
        <v>8</v>
      </c>
      <c r="K14" s="46">
        <v>26</v>
      </c>
      <c r="L14" s="46">
        <v>24</v>
      </c>
      <c r="M14" s="46">
        <v>14</v>
      </c>
      <c r="N14" s="46">
        <v>16</v>
      </c>
      <c r="O14" s="46">
        <v>8</v>
      </c>
      <c r="S14" s="45">
        <v>2030</v>
      </c>
      <c r="T14" s="45" t="s">
        <v>288</v>
      </c>
      <c r="U14" s="45" t="s">
        <v>290</v>
      </c>
    </row>
    <row r="15" spans="3:21">
      <c r="C15" s="46"/>
      <c r="D15" s="46" t="s">
        <v>282</v>
      </c>
      <c r="E15" s="46" t="s">
        <v>277</v>
      </c>
      <c r="F15" s="46">
        <v>2030</v>
      </c>
      <c r="G15" s="46">
        <v>1830</v>
      </c>
      <c r="H15" s="46">
        <v>1000</v>
      </c>
      <c r="I15" s="46">
        <v>1040</v>
      </c>
      <c r="J15" s="46">
        <v>1060</v>
      </c>
      <c r="K15" s="46">
        <v>3320</v>
      </c>
      <c r="L15" s="46">
        <v>1550</v>
      </c>
      <c r="M15" s="46">
        <v>1670</v>
      </c>
      <c r="N15" s="46">
        <v>1160</v>
      </c>
      <c r="O15" s="46">
        <v>1830</v>
      </c>
      <c r="S15" s="45">
        <v>2050</v>
      </c>
      <c r="T15" s="45" t="s">
        <v>288</v>
      </c>
      <c r="U15" s="45" t="s">
        <v>291</v>
      </c>
    </row>
    <row r="16" spans="3:21">
      <c r="C16" s="46"/>
      <c r="D16" s="46" t="s">
        <v>282</v>
      </c>
      <c r="E16" s="46" t="s">
        <v>280</v>
      </c>
      <c r="F16" s="46">
        <v>2030</v>
      </c>
      <c r="G16" s="46">
        <v>46</v>
      </c>
      <c r="H16" s="46">
        <v>26</v>
      </c>
      <c r="I16" s="46">
        <v>26</v>
      </c>
      <c r="J16" s="46">
        <v>26</v>
      </c>
      <c r="K16" s="46">
        <v>84</v>
      </c>
      <c r="L16" s="46">
        <v>40</v>
      </c>
      <c r="M16" s="46">
        <v>42</v>
      </c>
      <c r="N16" s="46">
        <v>30</v>
      </c>
      <c r="O16" s="46">
        <v>46</v>
      </c>
      <c r="S16" s="45">
        <v>2070</v>
      </c>
      <c r="T16" s="45" t="s">
        <v>288</v>
      </c>
      <c r="U16" s="45" t="s">
        <v>291</v>
      </c>
    </row>
    <row r="17" spans="3:21">
      <c r="C17" s="46"/>
      <c r="D17" s="46" t="s">
        <v>285</v>
      </c>
      <c r="E17" s="46" t="s">
        <v>277</v>
      </c>
      <c r="F17" s="46">
        <v>2030</v>
      </c>
      <c r="G17" s="46">
        <v>2880</v>
      </c>
      <c r="H17" s="46">
        <v>3000</v>
      </c>
      <c r="I17" s="46">
        <v>1880</v>
      </c>
      <c r="J17" s="46">
        <v>2060</v>
      </c>
      <c r="K17" s="46">
        <v>4180</v>
      </c>
      <c r="L17" s="46">
        <v>3120</v>
      </c>
      <c r="M17" s="46">
        <v>2280</v>
      </c>
      <c r="N17" s="46">
        <v>2520</v>
      </c>
      <c r="O17" s="46">
        <v>3000</v>
      </c>
    </row>
    <row r="18" spans="3:21">
      <c r="C18" s="46"/>
      <c r="D18" s="46" t="s">
        <v>285</v>
      </c>
      <c r="E18" s="46" t="s">
        <v>280</v>
      </c>
      <c r="F18" s="46">
        <v>2030</v>
      </c>
      <c r="G18" s="46">
        <v>80</v>
      </c>
      <c r="H18" s="46">
        <v>80</v>
      </c>
      <c r="I18" s="46">
        <v>50</v>
      </c>
      <c r="J18" s="46">
        <v>55</v>
      </c>
      <c r="K18" s="46">
        <v>115</v>
      </c>
      <c r="L18" s="46">
        <v>85</v>
      </c>
      <c r="M18" s="46">
        <v>50</v>
      </c>
      <c r="N18" s="46">
        <v>90</v>
      </c>
      <c r="O18" s="46">
        <v>80</v>
      </c>
    </row>
    <row r="19" spans="3:21">
      <c r="C19" s="46" t="s">
        <v>288</v>
      </c>
      <c r="D19" s="46"/>
      <c r="E19" s="46" t="s">
        <v>277</v>
      </c>
      <c r="F19" s="46">
        <v>2030</v>
      </c>
      <c r="G19" s="46">
        <v>3300</v>
      </c>
      <c r="H19" s="46">
        <v>3350</v>
      </c>
      <c r="I19" s="46">
        <v>2000</v>
      </c>
      <c r="J19" s="46">
        <v>3050</v>
      </c>
      <c r="K19" s="46">
        <v>3550</v>
      </c>
      <c r="L19" s="46">
        <v>3500</v>
      </c>
      <c r="M19" s="46">
        <v>3900</v>
      </c>
      <c r="N19" s="46">
        <v>4050</v>
      </c>
      <c r="O19" s="46">
        <v>3400</v>
      </c>
    </row>
    <row r="20" spans="3:21">
      <c r="C20" s="46" t="s">
        <v>288</v>
      </c>
      <c r="D20" s="46"/>
      <c r="E20" s="46" t="s">
        <v>280</v>
      </c>
      <c r="F20" s="46">
        <v>2030</v>
      </c>
      <c r="G20" s="46">
        <v>65</v>
      </c>
      <c r="H20" s="46">
        <v>65</v>
      </c>
      <c r="I20" s="46">
        <v>40</v>
      </c>
      <c r="J20" s="46">
        <v>60</v>
      </c>
      <c r="K20" s="46">
        <v>70</v>
      </c>
      <c r="L20" s="46">
        <v>70</v>
      </c>
      <c r="M20" s="46">
        <v>80</v>
      </c>
      <c r="N20" s="46">
        <v>80</v>
      </c>
      <c r="O20" s="46">
        <v>70</v>
      </c>
      <c r="R20" s="45" t="s">
        <v>292</v>
      </c>
    </row>
    <row r="21" spans="3:21">
      <c r="C21" s="46" t="s">
        <v>276</v>
      </c>
      <c r="D21" s="46"/>
      <c r="E21" s="46" t="s">
        <v>277</v>
      </c>
      <c r="F21" s="46">
        <v>2050</v>
      </c>
      <c r="G21" s="46">
        <v>580</v>
      </c>
      <c r="H21" s="46">
        <v>330</v>
      </c>
      <c r="I21" s="46">
        <v>300</v>
      </c>
      <c r="J21" s="46">
        <v>270</v>
      </c>
      <c r="K21" s="46">
        <v>940</v>
      </c>
      <c r="L21" s="46">
        <v>770</v>
      </c>
      <c r="M21" s="46">
        <v>450</v>
      </c>
      <c r="N21" s="46">
        <v>480</v>
      </c>
      <c r="O21" s="46">
        <v>250</v>
      </c>
      <c r="R21" s="45" t="s">
        <v>274</v>
      </c>
      <c r="S21" s="45" t="s">
        <v>275</v>
      </c>
      <c r="T21" s="45" t="s">
        <v>76</v>
      </c>
      <c r="U21" s="45" t="s">
        <v>75</v>
      </c>
    </row>
    <row r="22" spans="3:21">
      <c r="C22" s="46" t="s">
        <v>276</v>
      </c>
      <c r="D22" s="46"/>
      <c r="E22" s="46" t="s">
        <v>280</v>
      </c>
      <c r="F22" s="46">
        <v>2050</v>
      </c>
      <c r="G22" s="46">
        <v>18</v>
      </c>
      <c r="H22" s="46">
        <v>10</v>
      </c>
      <c r="I22" s="46">
        <v>10</v>
      </c>
      <c r="J22" s="46">
        <v>8</v>
      </c>
      <c r="K22" s="46">
        <v>24</v>
      </c>
      <c r="L22" s="46">
        <v>22</v>
      </c>
      <c r="M22" s="46">
        <v>12</v>
      </c>
      <c r="N22" s="46">
        <v>16</v>
      </c>
      <c r="O22" s="46">
        <v>8</v>
      </c>
      <c r="R22" s="45" t="s">
        <v>278</v>
      </c>
      <c r="S22" s="45">
        <v>2022</v>
      </c>
      <c r="T22" s="45" t="s">
        <v>276</v>
      </c>
      <c r="U22" s="45" t="s">
        <v>279</v>
      </c>
    </row>
    <row r="23" spans="3:21">
      <c r="C23" s="46"/>
      <c r="D23" s="46" t="s">
        <v>282</v>
      </c>
      <c r="E23" s="46" t="s">
        <v>277</v>
      </c>
      <c r="F23" s="46">
        <v>2050</v>
      </c>
      <c r="G23" s="46">
        <v>1740</v>
      </c>
      <c r="H23" s="46">
        <v>950</v>
      </c>
      <c r="I23" s="46">
        <v>1000</v>
      </c>
      <c r="J23" s="46">
        <v>1010</v>
      </c>
      <c r="K23" s="46">
        <v>3170</v>
      </c>
      <c r="L23" s="46">
        <v>1470</v>
      </c>
      <c r="M23" s="46">
        <v>1610</v>
      </c>
      <c r="N23" s="46">
        <v>1110</v>
      </c>
      <c r="O23" s="46">
        <v>1710</v>
      </c>
      <c r="S23" s="45">
        <v>2030</v>
      </c>
      <c r="T23" s="45" t="s">
        <v>276</v>
      </c>
      <c r="U23" s="45" t="s">
        <v>281</v>
      </c>
    </row>
    <row r="24" spans="3:21">
      <c r="C24" s="46"/>
      <c r="D24" s="46" t="s">
        <v>282</v>
      </c>
      <c r="E24" s="46" t="s">
        <v>280</v>
      </c>
      <c r="F24" s="46">
        <v>2050</v>
      </c>
      <c r="G24" s="46">
        <v>44</v>
      </c>
      <c r="H24" s="46">
        <v>24</v>
      </c>
      <c r="I24" s="46">
        <v>26</v>
      </c>
      <c r="J24" s="46">
        <v>26</v>
      </c>
      <c r="K24" s="46">
        <v>82</v>
      </c>
      <c r="L24" s="46">
        <v>38</v>
      </c>
      <c r="M24" s="46">
        <v>42</v>
      </c>
      <c r="N24" s="46">
        <v>30</v>
      </c>
      <c r="O24" s="46">
        <v>44</v>
      </c>
      <c r="S24" s="45">
        <v>2050</v>
      </c>
      <c r="T24" s="45" t="s">
        <v>276</v>
      </c>
      <c r="U24" s="45" t="s">
        <v>283</v>
      </c>
    </row>
    <row r="25" spans="3:21">
      <c r="C25" s="46"/>
      <c r="D25" s="46" t="s">
        <v>285</v>
      </c>
      <c r="E25" s="46" t="s">
        <v>277</v>
      </c>
      <c r="F25" s="46">
        <v>2050</v>
      </c>
      <c r="G25" s="46">
        <v>2080</v>
      </c>
      <c r="H25" s="46">
        <v>2160</v>
      </c>
      <c r="I25" s="46">
        <v>1420</v>
      </c>
      <c r="J25" s="46">
        <v>1500</v>
      </c>
      <c r="K25" s="46">
        <v>3160</v>
      </c>
      <c r="L25" s="46">
        <v>2280</v>
      </c>
      <c r="M25" s="46">
        <v>1740</v>
      </c>
      <c r="N25" s="46">
        <v>1900</v>
      </c>
      <c r="O25" s="46">
        <v>2180</v>
      </c>
      <c r="S25" s="45">
        <v>2070</v>
      </c>
      <c r="T25" s="45" t="s">
        <v>276</v>
      </c>
      <c r="U25" s="45" t="s">
        <v>284</v>
      </c>
    </row>
    <row r="26" spans="3:21">
      <c r="C26" s="46"/>
      <c r="D26" s="46" t="s">
        <v>285</v>
      </c>
      <c r="E26" s="46" t="s">
        <v>280</v>
      </c>
      <c r="F26" s="46">
        <v>2050</v>
      </c>
      <c r="G26" s="46">
        <v>65</v>
      </c>
      <c r="H26" s="46">
        <v>65</v>
      </c>
      <c r="I26" s="46">
        <v>45</v>
      </c>
      <c r="J26" s="46">
        <v>45</v>
      </c>
      <c r="K26" s="46">
        <v>95</v>
      </c>
      <c r="L26" s="46">
        <v>70</v>
      </c>
      <c r="M26" s="46">
        <v>45</v>
      </c>
      <c r="N26" s="46">
        <v>70</v>
      </c>
      <c r="O26" s="46">
        <v>65</v>
      </c>
      <c r="S26" s="45">
        <v>2022</v>
      </c>
      <c r="T26" s="45" t="s">
        <v>286</v>
      </c>
      <c r="U26" s="45" t="s">
        <v>279</v>
      </c>
    </row>
    <row r="27" spans="3:21">
      <c r="C27" s="46" t="s">
        <v>288</v>
      </c>
      <c r="D27" s="46"/>
      <c r="E27" s="46" t="s">
        <v>277</v>
      </c>
      <c r="F27" s="46">
        <v>2050</v>
      </c>
      <c r="G27" s="46">
        <v>3250</v>
      </c>
      <c r="H27" s="46">
        <v>3350</v>
      </c>
      <c r="I27" s="46">
        <v>2000</v>
      </c>
      <c r="J27" s="46">
        <v>3050</v>
      </c>
      <c r="K27" s="46">
        <v>3550</v>
      </c>
      <c r="L27" s="46">
        <v>3500</v>
      </c>
      <c r="M27" s="46">
        <v>3900</v>
      </c>
      <c r="N27" s="46">
        <v>4050</v>
      </c>
      <c r="O27" s="46">
        <v>3400</v>
      </c>
      <c r="S27" s="45">
        <v>2030</v>
      </c>
      <c r="T27" s="45" t="s">
        <v>286</v>
      </c>
      <c r="U27" s="45" t="s">
        <v>287</v>
      </c>
    </row>
    <row r="28" spans="3:21">
      <c r="C28" s="46" t="s">
        <v>288</v>
      </c>
      <c r="D28" s="46"/>
      <c r="E28" s="46" t="s">
        <v>280</v>
      </c>
      <c r="F28" s="46">
        <v>2050</v>
      </c>
      <c r="G28" s="46">
        <v>65</v>
      </c>
      <c r="H28" s="46">
        <v>65</v>
      </c>
      <c r="I28" s="46">
        <v>40</v>
      </c>
      <c r="J28" s="46">
        <v>60</v>
      </c>
      <c r="K28" s="46">
        <v>70</v>
      </c>
      <c r="L28" s="46">
        <v>70</v>
      </c>
      <c r="M28" s="46">
        <v>80</v>
      </c>
      <c r="N28" s="46">
        <v>80</v>
      </c>
      <c r="O28" s="46">
        <v>70</v>
      </c>
      <c r="S28" s="45">
        <v>2050</v>
      </c>
      <c r="T28" s="45" t="s">
        <v>286</v>
      </c>
      <c r="U28" s="45" t="s">
        <v>289</v>
      </c>
    </row>
    <row r="29" spans="3:21">
      <c r="S29" s="45">
        <v>2070</v>
      </c>
      <c r="T29" s="45" t="s">
        <v>286</v>
      </c>
      <c r="U29" s="45" t="s">
        <v>281</v>
      </c>
    </row>
    <row r="30" spans="3:21">
      <c r="S30" s="45">
        <v>2022</v>
      </c>
      <c r="T30" s="45" t="s">
        <v>288</v>
      </c>
      <c r="U30" s="45" t="s">
        <v>133</v>
      </c>
    </row>
    <row r="31" spans="3:21">
      <c r="S31" s="45">
        <v>2030</v>
      </c>
      <c r="T31" s="45" t="s">
        <v>288</v>
      </c>
      <c r="U31" s="45" t="s">
        <v>290</v>
      </c>
    </row>
    <row r="32" spans="3:21">
      <c r="S32" s="45">
        <v>2050</v>
      </c>
      <c r="T32" s="45" t="s">
        <v>288</v>
      </c>
      <c r="U32" s="45" t="s">
        <v>291</v>
      </c>
    </row>
    <row r="33" spans="19:21">
      <c r="S33" s="45">
        <v>2070</v>
      </c>
      <c r="T33" s="45" t="s">
        <v>288</v>
      </c>
      <c r="U33" s="45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60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60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60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60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60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60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5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V25" sqref="V25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1" t="s">
        <v>53</v>
      </c>
      <c r="C11" s="41"/>
      <c r="D11" s="41"/>
      <c r="E11" s="41"/>
      <c r="F11" s="41"/>
    </row>
    <row r="12" spans="2:36">
      <c r="B12" s="41"/>
      <c r="C12" s="41"/>
      <c r="D12" s="41"/>
      <c r="E12" s="41"/>
      <c r="F12" s="41"/>
    </row>
    <row r="13" spans="2:36">
      <c r="B13" s="41" t="s">
        <v>56</v>
      </c>
      <c r="C13" s="41" t="s">
        <v>5</v>
      </c>
      <c r="D13" s="41" t="s">
        <v>316</v>
      </c>
      <c r="E13" s="41" t="s">
        <v>295</v>
      </c>
      <c r="F13" s="61" t="s">
        <v>75</v>
      </c>
      <c r="K13" t="s">
        <v>333</v>
      </c>
    </row>
    <row r="14" spans="2:36">
      <c r="B14" s="41" t="s">
        <v>334</v>
      </c>
      <c r="C14" s="41" t="s">
        <v>112</v>
      </c>
      <c r="D14" s="41" t="s">
        <v>317</v>
      </c>
      <c r="E14" s="41" t="s">
        <v>114</v>
      </c>
      <c r="F14" s="41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2" t="s">
        <v>335</v>
      </c>
      <c r="L16" s="42">
        <v>2020</v>
      </c>
      <c r="M16" s="43">
        <f t="shared" ref="M16:AJ16" si="1">SUMIFS($D$19:$D$199,$C$19:$C$199,$L16,$B$19:$B$199,M$14)/5</f>
        <v>0.00138</v>
      </c>
      <c r="N16" s="43">
        <f t="shared" si="1"/>
        <v>0.0052</v>
      </c>
      <c r="O16" s="43">
        <f t="shared" si="1"/>
        <v>0.0238</v>
      </c>
      <c r="P16" s="43">
        <f t="shared" si="1"/>
        <v>0.003949</v>
      </c>
      <c r="Q16" s="43">
        <f t="shared" si="1"/>
        <v>0.266</v>
      </c>
      <c r="R16" s="43">
        <f t="shared" si="1"/>
        <v>0.037</v>
      </c>
      <c r="S16" s="43">
        <f t="shared" si="1"/>
        <v>0.0796</v>
      </c>
      <c r="T16" s="43">
        <f t="shared" si="1"/>
        <v>0.0004</v>
      </c>
      <c r="U16" s="43">
        <f t="shared" si="1"/>
        <v>0.0008</v>
      </c>
      <c r="V16" s="43">
        <f t="shared" si="1"/>
        <v>0.001</v>
      </c>
      <c r="W16" s="43">
        <f t="shared" si="1"/>
        <v>0.0064</v>
      </c>
      <c r="X16" s="43">
        <f t="shared" si="1"/>
        <v>0.0058</v>
      </c>
      <c r="Y16" s="43">
        <f t="shared" si="1"/>
        <v>2e-5</v>
      </c>
      <c r="Z16" s="43">
        <f t="shared" si="1"/>
        <v>0.0016</v>
      </c>
      <c r="AA16" s="43">
        <f t="shared" si="1"/>
        <v>0.076</v>
      </c>
      <c r="AB16" s="43">
        <f t="shared" si="1"/>
        <v>0.0212</v>
      </c>
      <c r="AC16" s="43">
        <f t="shared" si="1"/>
        <v>0.0016</v>
      </c>
      <c r="AD16" s="43">
        <f t="shared" si="1"/>
        <v>0.0066</v>
      </c>
      <c r="AE16" s="43">
        <f t="shared" si="1"/>
        <v>4e-5</v>
      </c>
      <c r="AF16" s="43">
        <f t="shared" si="1"/>
        <v>0.0066</v>
      </c>
      <c r="AG16" s="43">
        <f t="shared" si="1"/>
        <v>0.0244</v>
      </c>
      <c r="AH16" s="43">
        <f t="shared" si="1"/>
        <v>0.0056</v>
      </c>
      <c r="AI16" s="43">
        <f t="shared" si="1"/>
        <v>0.0004</v>
      </c>
      <c r="AJ16" s="43">
        <f t="shared" si="1"/>
        <v>0.0352</v>
      </c>
    </row>
    <row r="17" spans="1:36">
      <c r="K17" s="42" t="s">
        <v>335</v>
      </c>
      <c r="L17" s="42">
        <v>2021</v>
      </c>
      <c r="M17" s="43">
        <f t="shared" ref="M17:V20" si="2">SUMIFS($D$19:$D$199,$C$19:$C$199,$L17,$B$19:$B$199,M$14)/5</f>
        <v>0.0042</v>
      </c>
      <c r="N17" s="43">
        <f t="shared" si="2"/>
        <v>0.0082</v>
      </c>
      <c r="O17" s="43">
        <f t="shared" si="2"/>
        <v>0.0402</v>
      </c>
      <c r="P17" s="43">
        <f t="shared" si="2"/>
        <v>0.0065</v>
      </c>
      <c r="Q17" s="43">
        <f t="shared" si="2"/>
        <v>0.68</v>
      </c>
      <c r="R17" s="43">
        <f t="shared" si="2"/>
        <v>0.063</v>
      </c>
      <c r="S17" s="43">
        <f t="shared" si="2"/>
        <v>0.1362</v>
      </c>
      <c r="T17" s="43">
        <f t="shared" si="2"/>
        <v>0.001</v>
      </c>
      <c r="U17" s="43">
        <f t="shared" si="2"/>
        <v>0.0016</v>
      </c>
      <c r="V17" s="43">
        <f t="shared" si="2"/>
        <v>0.0032</v>
      </c>
      <c r="W17" s="43">
        <f t="shared" ref="W17:AJ20" si="3">SUMIFS($D$19:$D$199,$C$19:$C$199,$L17,$B$19:$B$199,W$14)/5</f>
        <v>0.0134</v>
      </c>
      <c r="X17" s="43">
        <f t="shared" si="3"/>
        <v>0.0088</v>
      </c>
      <c r="Y17" s="43">
        <f t="shared" si="3"/>
        <v>6e-5</v>
      </c>
      <c r="Z17" s="43">
        <f t="shared" si="3"/>
        <v>0.004</v>
      </c>
      <c r="AA17" s="43">
        <f t="shared" si="3"/>
        <v>0.1512</v>
      </c>
      <c r="AB17" s="43">
        <f t="shared" si="3"/>
        <v>0.0278</v>
      </c>
      <c r="AC17" s="43">
        <f t="shared" si="3"/>
        <v>0.0024</v>
      </c>
      <c r="AD17" s="43">
        <f t="shared" si="3"/>
        <v>0.0242</v>
      </c>
      <c r="AE17" s="43">
        <f t="shared" si="3"/>
        <v>8e-5</v>
      </c>
      <c r="AF17" s="43">
        <f t="shared" si="3"/>
        <v>0.0146</v>
      </c>
      <c r="AG17" s="43">
        <f t="shared" si="3"/>
        <v>0.0388</v>
      </c>
      <c r="AH17" s="43">
        <f t="shared" si="3"/>
        <v>0.0096</v>
      </c>
      <c r="AI17" s="43">
        <f t="shared" si="3"/>
        <v>0.001</v>
      </c>
      <c r="AJ17" s="43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2" t="s">
        <v>335</v>
      </c>
      <c r="L18" s="42">
        <v>2022</v>
      </c>
      <c r="M18" s="43">
        <f t="shared" si="2"/>
        <v>0.013</v>
      </c>
      <c r="N18" s="43">
        <f t="shared" si="2"/>
        <v>0.011</v>
      </c>
      <c r="O18" s="43">
        <f t="shared" si="2"/>
        <v>0.064</v>
      </c>
      <c r="P18" s="43">
        <f t="shared" si="2"/>
        <v>0.01</v>
      </c>
      <c r="Q18" s="43">
        <f t="shared" si="2"/>
        <v>1.24</v>
      </c>
      <c r="R18" s="43">
        <f t="shared" si="2"/>
        <v>0.08</v>
      </c>
      <c r="S18" s="43">
        <f t="shared" si="2"/>
        <v>0.166</v>
      </c>
      <c r="T18" s="43">
        <f t="shared" si="2"/>
        <v>0.0026</v>
      </c>
      <c r="U18" s="43">
        <f t="shared" si="2"/>
        <v>0.0022</v>
      </c>
      <c r="V18" s="43">
        <f t="shared" si="2"/>
        <v>0.0102</v>
      </c>
      <c r="W18" s="43">
        <f t="shared" si="3"/>
        <v>0.022</v>
      </c>
      <c r="X18" s="43">
        <f t="shared" si="3"/>
        <v>0.0184</v>
      </c>
      <c r="Y18" s="43">
        <f t="shared" si="3"/>
        <v>0.00012</v>
      </c>
      <c r="Z18" s="43">
        <f t="shared" si="3"/>
        <v>0.008</v>
      </c>
      <c r="AA18" s="43">
        <f t="shared" si="3"/>
        <v>0.2132</v>
      </c>
      <c r="AB18" s="43">
        <f t="shared" si="3"/>
        <v>0.027</v>
      </c>
      <c r="AC18" s="43">
        <f t="shared" si="3"/>
        <v>0.0048</v>
      </c>
      <c r="AD18" s="43">
        <f t="shared" si="3"/>
        <v>0.0314</v>
      </c>
      <c r="AE18" s="43">
        <f t="shared" si="3"/>
        <v>0.00016</v>
      </c>
      <c r="AF18" s="43">
        <f t="shared" si="3"/>
        <v>0.026</v>
      </c>
      <c r="AG18" s="43">
        <f t="shared" si="3"/>
        <v>0.0524</v>
      </c>
      <c r="AH18" s="43">
        <f t="shared" si="3"/>
        <v>0.0124</v>
      </c>
      <c r="AI18" s="43">
        <f t="shared" si="3"/>
        <v>0.007</v>
      </c>
      <c r="AJ18" s="43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2" t="s">
        <v>335</v>
      </c>
      <c r="L19" s="42">
        <v>2023</v>
      </c>
      <c r="M19" s="43">
        <f t="shared" si="2"/>
        <v>0.0196</v>
      </c>
      <c r="N19" s="43">
        <f t="shared" si="2"/>
        <v>0.013</v>
      </c>
      <c r="O19" s="43">
        <f t="shared" si="2"/>
        <v>0.0806</v>
      </c>
      <c r="P19" s="43">
        <f t="shared" si="2"/>
        <v>0.0104</v>
      </c>
      <c r="Q19" s="43">
        <f t="shared" si="2"/>
        <v>1.62</v>
      </c>
      <c r="R19" s="43">
        <f t="shared" si="2"/>
        <v>0.094</v>
      </c>
      <c r="S19" s="43">
        <f t="shared" si="2"/>
        <v>0.14</v>
      </c>
      <c r="T19" s="43">
        <f t="shared" si="2"/>
        <v>0.0034</v>
      </c>
      <c r="U19" s="43">
        <f t="shared" si="2"/>
        <v>0.00248</v>
      </c>
      <c r="V19" s="43">
        <f t="shared" si="2"/>
        <v>0.016454</v>
      </c>
      <c r="W19" s="43">
        <f t="shared" si="3"/>
        <v>0.0272</v>
      </c>
      <c r="X19" s="43">
        <f t="shared" si="3"/>
        <v>0.02806</v>
      </c>
      <c r="Y19" s="43">
        <f t="shared" si="3"/>
        <v>0.000184</v>
      </c>
      <c r="Z19" s="43">
        <f t="shared" si="3"/>
        <v>0.013</v>
      </c>
      <c r="AA19" s="43">
        <f t="shared" si="3"/>
        <v>0.31524</v>
      </c>
      <c r="AB19" s="43">
        <f t="shared" si="3"/>
        <v>0.022</v>
      </c>
      <c r="AC19" s="43">
        <f t="shared" si="3"/>
        <v>0.00602</v>
      </c>
      <c r="AD19" s="43">
        <f t="shared" si="3"/>
        <v>0.03486</v>
      </c>
      <c r="AE19" s="43">
        <f t="shared" si="3"/>
        <v>0.000216</v>
      </c>
      <c r="AF19" s="43">
        <f t="shared" si="3"/>
        <v>0.037</v>
      </c>
      <c r="AG19" s="43">
        <f t="shared" si="3"/>
        <v>0.0598</v>
      </c>
      <c r="AH19" s="43">
        <f t="shared" si="3"/>
        <v>0.0152</v>
      </c>
      <c r="AI19" s="43">
        <f t="shared" si="3"/>
        <v>0.01374</v>
      </c>
      <c r="AJ19" s="43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2" t="s">
        <v>335</v>
      </c>
      <c r="L20" s="42">
        <v>2024</v>
      </c>
      <c r="M20" s="43">
        <f t="shared" si="2"/>
        <v>0.0182</v>
      </c>
      <c r="N20" s="43">
        <f t="shared" si="2"/>
        <v>0</v>
      </c>
      <c r="O20" s="43">
        <f t="shared" si="2"/>
        <v>0.0264332</v>
      </c>
      <c r="P20" s="43">
        <f t="shared" si="2"/>
        <v>0.025</v>
      </c>
      <c r="Q20" s="43">
        <f t="shared" si="2"/>
        <v>2.24</v>
      </c>
      <c r="R20" s="43">
        <f t="shared" si="2"/>
        <v>0.0582286</v>
      </c>
      <c r="S20" s="43">
        <f t="shared" si="2"/>
        <v>0.0761218</v>
      </c>
      <c r="T20" s="43">
        <f t="shared" si="2"/>
        <v>0</v>
      </c>
      <c r="U20" s="43">
        <f t="shared" si="2"/>
        <v>0</v>
      </c>
      <c r="V20" s="43">
        <f t="shared" si="2"/>
        <v>0</v>
      </c>
      <c r="W20" s="43">
        <f t="shared" si="3"/>
        <v>0.0129966</v>
      </c>
      <c r="X20" s="43">
        <f t="shared" si="3"/>
        <v>0</v>
      </c>
      <c r="Y20" s="43">
        <f t="shared" si="3"/>
        <v>0</v>
      </c>
      <c r="Z20" s="43">
        <f t="shared" si="3"/>
        <v>0</v>
      </c>
      <c r="AA20" s="43">
        <f t="shared" si="3"/>
        <v>0.26</v>
      </c>
      <c r="AB20" s="43">
        <f t="shared" si="3"/>
        <v>0.0228818</v>
      </c>
      <c r="AC20" s="43">
        <f t="shared" si="3"/>
        <v>0</v>
      </c>
      <c r="AD20" s="43">
        <f t="shared" si="3"/>
        <v>0</v>
      </c>
      <c r="AE20" s="43">
        <f t="shared" si="3"/>
        <v>0</v>
      </c>
      <c r="AF20" s="43">
        <f t="shared" si="3"/>
        <v>0</v>
      </c>
      <c r="AG20" s="43">
        <f t="shared" si="3"/>
        <v>0.0188664</v>
      </c>
      <c r="AH20" s="43">
        <f t="shared" si="3"/>
        <v>0</v>
      </c>
      <c r="AI20" s="43">
        <f t="shared" si="3"/>
        <v>0</v>
      </c>
      <c r="AJ20" s="43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4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4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A6" workbookViewId="0">
      <selection activeCell="G18" sqref="G1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5" t="s">
        <v>345</v>
      </c>
      <c r="O2" s="5" t="s">
        <v>346</v>
      </c>
    </row>
    <row r="3" ht="58" spans="2:15">
      <c r="M3" t="s">
        <v>347</v>
      </c>
      <c r="N3" s="5" t="s">
        <v>348</v>
      </c>
      <c r="O3" s="40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356</v>
      </c>
    </row>
    <row r="6" spans="1:19">
      <c r="A6" t="s">
        <v>357</v>
      </c>
      <c r="B6" t="s">
        <v>4</v>
      </c>
      <c r="C6" t="s">
        <v>64</v>
      </c>
      <c r="D6" t="s">
        <v>358</v>
      </c>
      <c r="E6" t="s">
        <v>55</v>
      </c>
      <c r="F6">
        <v>2030</v>
      </c>
      <c r="G6">
        <v>2035</v>
      </c>
      <c r="H6" t="s">
        <v>359</v>
      </c>
      <c r="I6" t="s">
        <v>42</v>
      </c>
      <c r="J6" t="s">
        <v>77</v>
      </c>
      <c r="K6" t="s">
        <v>360</v>
      </c>
    </row>
    <row r="7" spans="1:19">
      <c r="A7" t="s">
        <v>361</v>
      </c>
      <c r="B7" t="s">
        <v>362</v>
      </c>
      <c r="C7" t="s">
        <v>363</v>
      </c>
      <c r="D7" t="s">
        <v>363</v>
      </c>
      <c r="E7" t="s">
        <v>151</v>
      </c>
      <c r="F7">
        <v>1.05</v>
      </c>
      <c r="H7">
        <v>1</v>
      </c>
      <c r="I7">
        <v>2</v>
      </c>
      <c r="J7" t="s">
        <v>364</v>
      </c>
      <c r="K7" t="s">
        <v>365</v>
      </c>
    </row>
    <row r="8" spans="1:19">
      <c r="A8" t="s">
        <v>361</v>
      </c>
      <c r="B8" t="s">
        <v>366</v>
      </c>
      <c r="C8" t="s">
        <v>363</v>
      </c>
      <c r="D8" t="s">
        <v>363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364</v>
      </c>
      <c r="K8" t="s">
        <v>367</v>
      </c>
      <c r="P8" s="25">
        <f>F8^15</f>
        <v>0.463291230159753</v>
      </c>
      <c r="Q8" s="25">
        <f>G8^15</f>
        <v>0.205891132094649</v>
      </c>
      <c r="S8" s="39">
        <f>PRODUCT(P8:R8)</f>
        <v>0.0953875558671143</v>
      </c>
    </row>
    <row r="11" spans="1:19">
      <c r="A11" t="s">
        <v>368</v>
      </c>
    </row>
    <row r="13" spans="1:19">
      <c r="D13" t="s">
        <v>369</v>
      </c>
    </row>
    <row r="14" spans="1:19">
      <c r="A14" t="s">
        <v>357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359</v>
      </c>
      <c r="I14" t="s">
        <v>370</v>
      </c>
      <c r="J14" t="s">
        <v>42</v>
      </c>
      <c r="K14" t="s">
        <v>360</v>
      </c>
    </row>
    <row r="15" spans="1:19">
      <c r="A15" t="s">
        <v>371</v>
      </c>
      <c r="B15" t="str">
        <f>"UC_ELCcap_decay - "&amp;MID(D15,4,3)</f>
        <v>UC_ELCcap_decay - OIL</v>
      </c>
      <c r="C15" t="s">
        <v>372</v>
      </c>
      <c r="D15" t="s">
        <v>373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9">
        <f>PRODUCT(O15:Q15)</f>
        <v>0.0525287032511528</v>
      </c>
    </row>
    <row r="16" spans="1:19">
      <c r="A16" t="s">
        <v>371</v>
      </c>
      <c r="B16" t="str">
        <f t="shared" ref="B16:B17" si="0">"UC_ELCcap_decay - "&amp;MID(D16,4,3)</f>
        <v>UC_ELCcap_decay - CO?</v>
      </c>
      <c r="C16" t="s">
        <v>372</v>
      </c>
      <c r="D16" t="s">
        <v>374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9">
        <f t="shared" ref="R16:R17" si="4">PRODUCT(O16:Q16)</f>
        <v>0.03059043982385</v>
      </c>
    </row>
    <row r="17" spans="1:18">
      <c r="A17" t="s">
        <v>371</v>
      </c>
      <c r="B17" t="str">
        <f t="shared" si="0"/>
        <v>UC_ELCcap_decay - NGA</v>
      </c>
      <c r="C17" t="s">
        <v>372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9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R35" sqref="R35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375</v>
      </c>
      <c r="L2" t="s">
        <v>376</v>
      </c>
    </row>
    <row r="3" spans="2:15">
      <c r="B3" t="s">
        <v>73</v>
      </c>
      <c r="C3" t="s">
        <v>377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378</v>
      </c>
      <c r="N3" t="s">
        <v>379</v>
      </c>
      <c r="O3" t="s">
        <v>380</v>
      </c>
    </row>
    <row r="4" spans="2:15">
      <c r="B4" t="s">
        <v>381</v>
      </c>
      <c r="C4" t="s">
        <v>382</v>
      </c>
      <c r="D4">
        <v>-0.3</v>
      </c>
      <c r="K4" t="s">
        <v>383</v>
      </c>
      <c r="L4" t="s">
        <v>384</v>
      </c>
      <c r="M4">
        <v>1</v>
      </c>
      <c r="O4">
        <v>2</v>
      </c>
    </row>
    <row r="5" spans="2:15">
      <c r="B5" t="s">
        <v>385</v>
      </c>
      <c r="C5" t="s">
        <v>382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386</v>
      </c>
      <c r="L5" t="s">
        <v>387</v>
      </c>
      <c r="M5">
        <v>1</v>
      </c>
      <c r="O5">
        <v>2</v>
      </c>
    </row>
    <row r="6" spans="2:15">
      <c r="B6" t="s">
        <v>388</v>
      </c>
      <c r="C6" t="s">
        <v>382</v>
      </c>
      <c r="D6">
        <v>10</v>
      </c>
      <c r="K6" t="s">
        <v>389</v>
      </c>
      <c r="L6" t="s">
        <v>390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391</v>
      </c>
      <c r="L8" t="s">
        <v>392</v>
      </c>
      <c r="M8">
        <v>1</v>
      </c>
      <c r="O8">
        <v>2</v>
      </c>
    </row>
    <row r="9" spans="2:15">
      <c r="K9" t="s">
        <v>391</v>
      </c>
      <c r="L9" t="s">
        <v>393</v>
      </c>
      <c r="M9">
        <v>1</v>
      </c>
      <c r="O9">
        <v>2</v>
      </c>
    </row>
    <row r="10" spans="2:15">
      <c r="B10" t="s">
        <v>375</v>
      </c>
      <c r="K10" t="s">
        <v>394</v>
      </c>
      <c r="L10" t="s">
        <v>395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394</v>
      </c>
      <c r="L11" t="s">
        <v>396</v>
      </c>
      <c r="M11">
        <v>1</v>
      </c>
      <c r="O11">
        <v>2</v>
      </c>
    </row>
    <row r="12" spans="2:15">
      <c r="B12" t="s">
        <v>381</v>
      </c>
      <c r="D12">
        <v>-0.3</v>
      </c>
      <c r="G12" t="s">
        <v>397</v>
      </c>
      <c r="K12" t="s">
        <v>398</v>
      </c>
      <c r="L12" t="s">
        <v>399</v>
      </c>
      <c r="M12">
        <v>1</v>
      </c>
      <c r="O12">
        <v>2</v>
      </c>
    </row>
    <row r="13" spans="2:15">
      <c r="B13" t="s">
        <v>385</v>
      </c>
      <c r="D13">
        <v>0</v>
      </c>
      <c r="E13">
        <v>0.3</v>
      </c>
      <c r="F13">
        <v>0.5</v>
      </c>
      <c r="G13" t="s">
        <v>397</v>
      </c>
      <c r="K13" t="s">
        <v>400</v>
      </c>
      <c r="L13" t="s">
        <v>401</v>
      </c>
      <c r="M13">
        <v>1</v>
      </c>
      <c r="O13">
        <v>2</v>
      </c>
    </row>
    <row r="14" spans="2:15">
      <c r="B14" t="s">
        <v>388</v>
      </c>
      <c r="D14">
        <v>10</v>
      </c>
      <c r="G14" t="s">
        <v>397</v>
      </c>
      <c r="K14" t="s">
        <v>306</v>
      </c>
    </row>
    <row r="15" spans="2:15">
      <c r="K15" t="s">
        <v>402</v>
      </c>
      <c r="L15" t="s">
        <v>403</v>
      </c>
      <c r="M15">
        <v>1</v>
      </c>
      <c r="O15">
        <v>2</v>
      </c>
    </row>
    <row r="16" spans="2:15">
      <c r="K16" t="s">
        <v>402</v>
      </c>
      <c r="L16" t="s">
        <v>404</v>
      </c>
      <c r="M16">
        <v>1</v>
      </c>
      <c r="O16">
        <v>2</v>
      </c>
    </row>
    <row r="17" spans="2:15">
      <c r="K17" t="s">
        <v>405</v>
      </c>
      <c r="L17" t="s">
        <v>406</v>
      </c>
      <c r="M17">
        <v>1</v>
      </c>
      <c r="O17">
        <v>2</v>
      </c>
    </row>
    <row r="18" spans="2:15">
      <c r="K18" t="s">
        <v>405</v>
      </c>
      <c r="L18" t="s">
        <v>407</v>
      </c>
      <c r="M18">
        <v>1</v>
      </c>
      <c r="O18">
        <v>2</v>
      </c>
    </row>
    <row r="19" spans="2:15">
      <c r="K19" t="s">
        <v>408</v>
      </c>
      <c r="L19" t="s">
        <v>409</v>
      </c>
      <c r="M19">
        <v>1</v>
      </c>
      <c r="O19">
        <v>2</v>
      </c>
    </row>
    <row r="20" spans="2:15">
      <c r="K20" t="s">
        <v>410</v>
      </c>
      <c r="L20" t="s">
        <v>411</v>
      </c>
      <c r="M20">
        <v>1</v>
      </c>
      <c r="O20">
        <v>2</v>
      </c>
    </row>
    <row r="23" spans="2:15">
      <c r="B23" t="s">
        <v>412</v>
      </c>
      <c r="L23" t="s">
        <v>376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413</v>
      </c>
      <c r="N24" t="s">
        <v>414</v>
      </c>
      <c r="O24" t="s">
        <v>243</v>
      </c>
    </row>
    <row r="25" spans="2:15">
      <c r="B25" t="s">
        <v>415</v>
      </c>
      <c r="C25" t="s">
        <v>416</v>
      </c>
      <c r="D25" t="s">
        <v>417</v>
      </c>
      <c r="K25" t="s">
        <v>418</v>
      </c>
      <c r="N25">
        <v>1</v>
      </c>
    </row>
    <row r="26" spans="2:15">
      <c r="L26" t="s">
        <v>419</v>
      </c>
      <c r="M26">
        <v>1</v>
      </c>
      <c r="O26" t="s">
        <v>420</v>
      </c>
    </row>
    <row r="27" spans="2:15">
      <c r="L27" t="s">
        <v>419</v>
      </c>
      <c r="M27">
        <v>1</v>
      </c>
      <c r="O27" t="s">
        <v>421</v>
      </c>
    </row>
    <row r="28" spans="2:15">
      <c r="B28" t="s">
        <v>422</v>
      </c>
      <c r="L28" t="s">
        <v>419</v>
      </c>
      <c r="M28">
        <v>1</v>
      </c>
      <c r="O28" t="s">
        <v>423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419</v>
      </c>
      <c r="M29">
        <v>1</v>
      </c>
      <c r="O29" t="s">
        <v>424</v>
      </c>
    </row>
    <row r="30" spans="2:15">
      <c r="B30" t="s">
        <v>425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6" t="s">
        <v>426</v>
      </c>
      <c r="AC1" s="37" t="s">
        <v>427</v>
      </c>
    </row>
    <row r="2" ht="16" spans="1:49">
      <c r="A2" t="s">
        <v>428</v>
      </c>
      <c r="B2" t="s">
        <v>429</v>
      </c>
      <c r="C2" t="s">
        <v>430</v>
      </c>
      <c r="D2" t="s">
        <v>431</v>
      </c>
      <c r="E2" t="s">
        <v>432</v>
      </c>
      <c r="F2" t="s">
        <v>433</v>
      </c>
      <c r="G2" t="s">
        <v>434</v>
      </c>
      <c r="H2" t="s">
        <v>435</v>
      </c>
      <c r="I2" t="s">
        <v>436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8" t="s">
        <v>437</v>
      </c>
      <c r="AD2" s="38">
        <f t="shared" ref="AD2:AR3" si="0">J2</f>
        <v>1</v>
      </c>
      <c r="AE2" s="38">
        <f t="shared" si="0"/>
        <v>39</v>
      </c>
      <c r="AF2" s="38">
        <f t="shared" si="0"/>
        <v>40</v>
      </c>
      <c r="AG2" s="38">
        <f t="shared" si="0"/>
        <v>41</v>
      </c>
      <c r="AH2" s="38">
        <f t="shared" si="0"/>
        <v>79</v>
      </c>
      <c r="AI2" s="38">
        <f t="shared" si="0"/>
        <v>80</v>
      </c>
      <c r="AJ2" s="38">
        <f t="shared" si="0"/>
        <v>81</v>
      </c>
      <c r="AK2" s="38">
        <f t="shared" si="0"/>
        <v>119</v>
      </c>
      <c r="AL2" s="38">
        <f t="shared" si="0"/>
        <v>120</v>
      </c>
      <c r="AM2" s="38">
        <f t="shared" si="0"/>
        <v>121</v>
      </c>
      <c r="AN2" s="38">
        <f t="shared" si="0"/>
        <v>159</v>
      </c>
      <c r="AO2" s="38">
        <f t="shared" si="0"/>
        <v>160</v>
      </c>
      <c r="AP2" s="38">
        <f t="shared" si="0"/>
        <v>161</v>
      </c>
      <c r="AQ2" s="38">
        <f t="shared" si="0"/>
        <v>199</v>
      </c>
      <c r="AR2" s="38">
        <f t="shared" si="0"/>
        <v>200</v>
      </c>
    </row>
    <row r="3" spans="1:49">
      <c r="A3" t="s">
        <v>438</v>
      </c>
      <c r="B3" t="s">
        <v>439</v>
      </c>
      <c r="C3" t="s">
        <v>440</v>
      </c>
      <c r="D3" t="s">
        <v>440</v>
      </c>
      <c r="E3" t="s">
        <v>441</v>
      </c>
      <c r="F3" s="25">
        <v>39.18</v>
      </c>
      <c r="G3" s="25" t="s">
        <v>442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443</v>
      </c>
      <c r="B4" t="s">
        <v>440</v>
      </c>
      <c r="C4" t="s">
        <v>444</v>
      </c>
      <c r="D4" t="s">
        <v>440</v>
      </c>
      <c r="E4" t="s">
        <v>441</v>
      </c>
      <c r="F4" s="25">
        <v>19.34</v>
      </c>
      <c r="G4" s="25" t="s">
        <v>442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7" t="s">
        <v>427</v>
      </c>
    </row>
    <row r="7" ht="16" spans="1:49">
      <c r="A7" t="s">
        <v>428</v>
      </c>
      <c r="B7" t="s">
        <v>429</v>
      </c>
      <c r="C7" t="s">
        <v>430</v>
      </c>
      <c r="D7" t="s">
        <v>431</v>
      </c>
      <c r="E7" t="s">
        <v>432</v>
      </c>
      <c r="F7" t="s">
        <v>433</v>
      </c>
      <c r="G7" t="s">
        <v>436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8" t="s">
        <v>437</v>
      </c>
      <c r="AD7" s="38">
        <f t="shared" ref="AD7:AS9" si="2">H7</f>
        <v>1</v>
      </c>
      <c r="AE7" s="38">
        <f t="shared" si="2"/>
        <v>29</v>
      </c>
      <c r="AF7" s="38">
        <f t="shared" si="2"/>
        <v>30</v>
      </c>
      <c r="AG7" s="38">
        <f t="shared" si="2"/>
        <v>31</v>
      </c>
      <c r="AH7" s="38">
        <f t="shared" si="2"/>
        <v>59</v>
      </c>
      <c r="AI7" s="38">
        <f t="shared" si="2"/>
        <v>60</v>
      </c>
      <c r="AJ7" s="38">
        <f t="shared" si="2"/>
        <v>61</v>
      </c>
      <c r="AK7" s="38">
        <f t="shared" si="2"/>
        <v>89</v>
      </c>
      <c r="AL7" s="38">
        <f t="shared" si="2"/>
        <v>90</v>
      </c>
      <c r="AM7" s="38">
        <f t="shared" si="2"/>
        <v>91</v>
      </c>
      <c r="AN7" s="38">
        <f t="shared" si="2"/>
        <v>119</v>
      </c>
      <c r="AO7" s="38">
        <f t="shared" si="2"/>
        <v>120</v>
      </c>
      <c r="AP7" s="38">
        <f t="shared" si="2"/>
        <v>121</v>
      </c>
      <c r="AQ7" s="38">
        <f t="shared" si="2"/>
        <v>149</v>
      </c>
      <c r="AR7" s="38">
        <f t="shared" si="2"/>
        <v>150</v>
      </c>
      <c r="AS7" s="38">
        <f t="shared" si="2"/>
        <v>151</v>
      </c>
      <c r="AT7" s="38">
        <f t="shared" ref="AN7:AW9" si="3">X7</f>
        <v>179</v>
      </c>
      <c r="AU7" s="38">
        <f t="shared" si="3"/>
        <v>180</v>
      </c>
      <c r="AV7" s="38">
        <f t="shared" si="3"/>
        <v>181</v>
      </c>
      <c r="AW7" s="38">
        <f t="shared" si="3"/>
        <v>200</v>
      </c>
    </row>
    <row r="8" spans="1:49">
      <c r="A8" t="s">
        <v>445</v>
      </c>
      <c r="B8" t="s">
        <v>440</v>
      </c>
      <c r="C8" t="s">
        <v>440</v>
      </c>
      <c r="D8" t="s">
        <v>440</v>
      </c>
      <c r="E8" t="s">
        <v>446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447</v>
      </c>
      <c r="B9" t="s">
        <v>440</v>
      </c>
      <c r="C9" t="s">
        <v>440</v>
      </c>
      <c r="D9" t="s">
        <v>440</v>
      </c>
      <c r="E9" t="s">
        <v>446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6" t="s">
        <v>448</v>
      </c>
    </row>
    <row r="13" spans="1:49">
      <c r="A13" s="28" t="s">
        <v>449</v>
      </c>
      <c r="B13" s="28"/>
      <c r="C13" s="28"/>
    </row>
    <row r="14" spans="1:49">
      <c r="A14" s="28" t="s">
        <v>450</v>
      </c>
      <c r="B14" s="28"/>
      <c r="C14" s="28"/>
    </row>
    <row r="15" spans="1:49">
      <c r="A15" s="28" t="s">
        <v>451</v>
      </c>
      <c r="B15" s="28"/>
      <c r="C15" s="28"/>
    </row>
    <row r="17" spans="1:13">
      <c r="A17" s="28" t="s">
        <v>452</v>
      </c>
      <c r="B17" s="28" t="s">
        <v>453</v>
      </c>
      <c r="C17" s="28" t="s">
        <v>454</v>
      </c>
    </row>
    <row r="18" spans="1:13">
      <c r="A18" s="28" t="s">
        <v>455</v>
      </c>
      <c r="B18" s="28" t="s">
        <v>456</v>
      </c>
      <c r="C18" s="28">
        <v>253</v>
      </c>
    </row>
    <row r="19" spans="1:13">
      <c r="A19" s="28" t="s">
        <v>457</v>
      </c>
      <c r="B19" s="28" t="s">
        <v>456</v>
      </c>
      <c r="C19" s="28">
        <v>203</v>
      </c>
      <c r="G19" t="s">
        <v>89</v>
      </c>
    </row>
    <row r="20" spans="1:13">
      <c r="A20" s="28" t="s">
        <v>458</v>
      </c>
      <c r="B20" s="28" t="s">
        <v>459</v>
      </c>
      <c r="C20" s="28">
        <v>82</v>
      </c>
      <c r="G20" t="s">
        <v>73</v>
      </c>
      <c r="H20" t="s">
        <v>92</v>
      </c>
      <c r="I20" t="s">
        <v>437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8" t="s">
        <v>460</v>
      </c>
      <c r="B21" s="28" t="s">
        <v>459</v>
      </c>
      <c r="C21" s="28">
        <v>242</v>
      </c>
      <c r="G21" t="s">
        <v>461</v>
      </c>
      <c r="H21" t="s">
        <v>462</v>
      </c>
      <c r="K21" t="s">
        <v>463</v>
      </c>
      <c r="L21">
        <f>AC3</f>
        <v>81</v>
      </c>
      <c r="M21">
        <v>2</v>
      </c>
    </row>
    <row r="22" spans="1:13">
      <c r="A22" s="28" t="s">
        <v>464</v>
      </c>
      <c r="B22" s="28" t="s">
        <v>459</v>
      </c>
      <c r="C22" s="28">
        <v>226</v>
      </c>
      <c r="G22" t="s">
        <v>461</v>
      </c>
      <c r="H22" t="s">
        <v>465</v>
      </c>
      <c r="L22">
        <f>AC4</f>
        <v>82</v>
      </c>
      <c r="M22">
        <v>2</v>
      </c>
    </row>
    <row r="23" spans="1:13">
      <c r="A23" s="28" t="s">
        <v>466</v>
      </c>
      <c r="B23" s="28" t="s">
        <v>456</v>
      </c>
      <c r="C23" s="28">
        <v>174</v>
      </c>
      <c r="G23" t="s">
        <v>461</v>
      </c>
      <c r="H23" t="s">
        <v>467</v>
      </c>
      <c r="L23">
        <f>AC8</f>
        <v>83</v>
      </c>
      <c r="M23">
        <v>2</v>
      </c>
    </row>
    <row r="24" spans="1:13">
      <c r="A24" s="28" t="s">
        <v>468</v>
      </c>
      <c r="B24" s="28" t="s">
        <v>456</v>
      </c>
      <c r="C24" s="28">
        <v>258</v>
      </c>
      <c r="G24" t="s">
        <v>461</v>
      </c>
      <c r="H24" t="s">
        <v>469</v>
      </c>
      <c r="L24">
        <f>AC9</f>
        <v>84</v>
      </c>
      <c r="M24">
        <v>2</v>
      </c>
    </row>
    <row r="25" spans="1:13">
      <c r="A25" s="28" t="s">
        <v>470</v>
      </c>
      <c r="B25" s="28" t="s">
        <v>471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472</v>
      </c>
      <c r="C31" t="s">
        <v>57</v>
      </c>
      <c r="D31" t="s">
        <v>60</v>
      </c>
    </row>
    <row r="32" spans="1:13">
      <c r="A32" t="s">
        <v>436</v>
      </c>
      <c r="B32">
        <v>85</v>
      </c>
      <c r="C32">
        <v>1</v>
      </c>
      <c r="D32">
        <v>1</v>
      </c>
      <c r="F32" t="s">
        <v>473</v>
      </c>
    </row>
    <row r="33" spans="1:6">
      <c r="A33" t="s">
        <v>436</v>
      </c>
      <c r="B33">
        <f>B32</f>
        <v>85</v>
      </c>
      <c r="C33">
        <v>100</v>
      </c>
      <c r="D33">
        <v>1.5</v>
      </c>
    </row>
    <row r="34" spans="1:6">
      <c r="A34" t="s">
        <v>436</v>
      </c>
      <c r="B34">
        <v>86</v>
      </c>
      <c r="C34">
        <v>1</v>
      </c>
      <c r="D34">
        <v>1</v>
      </c>
      <c r="F34" t="s">
        <v>474</v>
      </c>
    </row>
    <row r="35" spans="1:6">
      <c r="A35" t="s">
        <v>436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tabSelected="1" zoomScale="88" zoomScaleNormal="88" topLeftCell="W18" workbookViewId="0">
      <selection activeCell="AD32" sqref="AD32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475</v>
      </c>
      <c r="E1" s="26" t="s">
        <v>476</v>
      </c>
      <c r="F1" s="26" t="s">
        <v>477</v>
      </c>
      <c r="R1" t="s">
        <v>478</v>
      </c>
      <c r="X1" t="s">
        <v>53</v>
      </c>
      <c r="AF1" t="s">
        <v>293</v>
      </c>
    </row>
    <row r="2" spans="1:35">
      <c r="A2" t="s">
        <v>479</v>
      </c>
      <c r="B2" t="str">
        <f>MID(A2,4,7)</f>
        <v>COA</v>
      </c>
      <c r="D2" s="27" t="s">
        <v>480</v>
      </c>
      <c r="E2" s="27">
        <f>N12</f>
        <v>55.99</v>
      </c>
      <c r="F2" s="27" t="s">
        <v>481</v>
      </c>
      <c r="G2" s="28" t="s">
        <v>482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437</v>
      </c>
      <c r="U2" t="s">
        <v>75</v>
      </c>
      <c r="X2" t="s">
        <v>73</v>
      </c>
      <c r="Y2" t="s">
        <v>5</v>
      </c>
      <c r="Z2" t="s">
        <v>253</v>
      </c>
      <c r="AA2" t="s">
        <v>437</v>
      </c>
      <c r="AB2" t="s">
        <v>75</v>
      </c>
      <c r="AF2" t="s">
        <v>74</v>
      </c>
      <c r="AG2" t="s">
        <v>483</v>
      </c>
      <c r="AH2" t="s">
        <v>253</v>
      </c>
    </row>
    <row r="3" spans="1:35">
      <c r="A3" t="s">
        <v>484</v>
      </c>
      <c r="B3" t="str">
        <f t="shared" ref="B3:B54" si="0">MID(A3,4,7)</f>
        <v>KER</v>
      </c>
      <c r="D3" s="27" t="s">
        <v>485</v>
      </c>
      <c r="E3" s="27">
        <f>E5</f>
        <v>98.43</v>
      </c>
      <c r="F3" s="27" t="s">
        <v>486</v>
      </c>
      <c r="G3" s="28"/>
      <c r="H3" s="28" t="s">
        <v>487</v>
      </c>
      <c r="I3" s="28"/>
      <c r="J3" s="28" t="s">
        <v>488</v>
      </c>
      <c r="K3" s="28"/>
      <c r="L3" s="28" t="s">
        <v>489</v>
      </c>
      <c r="M3" s="28" t="s">
        <v>488</v>
      </c>
      <c r="N3" s="28" t="s">
        <v>488</v>
      </c>
      <c r="R3" t="s">
        <v>490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491</v>
      </c>
      <c r="Z3" s="29" t="s">
        <v>492</v>
      </c>
      <c r="AA3" t="s">
        <v>390</v>
      </c>
      <c r="AB3">
        <v>1</v>
      </c>
      <c r="AF3" t="s">
        <v>493</v>
      </c>
      <c r="AG3" t="s">
        <v>99</v>
      </c>
      <c r="AH3" t="s">
        <v>494</v>
      </c>
    </row>
    <row r="4" spans="1:35">
      <c r="A4" t="s">
        <v>495</v>
      </c>
      <c r="B4" t="str">
        <f t="shared" si="0"/>
        <v>LPG</v>
      </c>
      <c r="D4" s="27" t="s">
        <v>496</v>
      </c>
      <c r="E4" s="27">
        <f>E3</f>
        <v>98.43</v>
      </c>
      <c r="F4" s="27" t="str">
        <f>F3</f>
        <v>b</v>
      </c>
      <c r="G4" s="28" t="s">
        <v>497</v>
      </c>
      <c r="H4" s="28" t="s">
        <v>498</v>
      </c>
      <c r="I4" s="28"/>
      <c r="J4" s="28" t="s">
        <v>498</v>
      </c>
      <c r="K4" s="28"/>
      <c r="L4" s="28" t="s">
        <v>499</v>
      </c>
      <c r="M4" s="28" t="s">
        <v>499</v>
      </c>
      <c r="N4" s="28" t="s">
        <v>500</v>
      </c>
      <c r="R4" t="s">
        <v>490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501</v>
      </c>
      <c r="B5" t="str">
        <f t="shared" si="0"/>
        <v>NGA</v>
      </c>
      <c r="D5" s="27" t="s">
        <v>502</v>
      </c>
      <c r="E5" s="27">
        <f>N30</f>
        <v>98.43</v>
      </c>
      <c r="F5" s="27" t="s">
        <v>481</v>
      </c>
      <c r="G5" s="28" t="s">
        <v>503</v>
      </c>
      <c r="H5" s="28"/>
      <c r="I5" s="28"/>
      <c r="J5" s="28"/>
      <c r="K5" s="28"/>
      <c r="L5" s="28"/>
      <c r="M5" s="28"/>
      <c r="N5" s="28"/>
      <c r="R5" t="s">
        <v>490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504</v>
      </c>
      <c r="B6" t="str">
        <f t="shared" si="0"/>
        <v>OIL</v>
      </c>
      <c r="D6" s="27" t="s">
        <v>505</v>
      </c>
      <c r="E6" s="27">
        <f>E5</f>
        <v>98.43</v>
      </c>
      <c r="F6" s="27" t="s">
        <v>481</v>
      </c>
      <c r="G6" s="28" t="s">
        <v>506</v>
      </c>
      <c r="H6" s="28">
        <v>12.7</v>
      </c>
      <c r="I6" s="28" t="s">
        <v>507</v>
      </c>
      <c r="J6" s="28">
        <v>5.76</v>
      </c>
      <c r="K6" s="28" t="s">
        <v>507</v>
      </c>
      <c r="L6" s="28">
        <v>139.05</v>
      </c>
      <c r="M6" s="28">
        <v>63.07</v>
      </c>
      <c r="N6" s="28">
        <v>66.54</v>
      </c>
      <c r="R6" t="s">
        <v>490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491</v>
      </c>
      <c r="Y6" s="30"/>
      <c r="Z6" s="30" t="s">
        <v>508</v>
      </c>
      <c r="AA6" s="30" t="s">
        <v>390</v>
      </c>
      <c r="AB6" s="31">
        <v>-0.001</v>
      </c>
    </row>
    <row r="7" spans="1:35">
      <c r="A7" t="s">
        <v>509</v>
      </c>
      <c r="B7" t="str">
        <f t="shared" si="0"/>
        <v>COA</v>
      </c>
      <c r="D7" s="27" t="s">
        <v>510</v>
      </c>
      <c r="E7" s="27">
        <f>N32</f>
        <v>103.08</v>
      </c>
      <c r="F7" s="27" t="s">
        <v>481</v>
      </c>
      <c r="G7" s="28" t="s">
        <v>511</v>
      </c>
      <c r="H7" s="28">
        <v>14.8</v>
      </c>
      <c r="I7" s="28" t="s">
        <v>507</v>
      </c>
      <c r="J7" s="28">
        <v>6.71</v>
      </c>
      <c r="K7" s="28" t="s">
        <v>507</v>
      </c>
      <c r="L7" s="28">
        <v>143.2</v>
      </c>
      <c r="M7" s="28">
        <v>64.95</v>
      </c>
      <c r="N7" s="28">
        <v>68.53</v>
      </c>
      <c r="R7" t="s">
        <v>490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512</v>
      </c>
      <c r="B8" t="str">
        <f t="shared" si="0"/>
        <v>HFO</v>
      </c>
      <c r="D8" s="27" t="s">
        <v>513</v>
      </c>
      <c r="E8" s="27">
        <f>E2</f>
        <v>55.99</v>
      </c>
      <c r="F8" s="27" t="s">
        <v>481</v>
      </c>
      <c r="G8" s="28" t="s">
        <v>514</v>
      </c>
      <c r="H8" s="28">
        <v>13.7</v>
      </c>
      <c r="I8" s="28" t="s">
        <v>507</v>
      </c>
      <c r="J8" s="28">
        <v>6.21</v>
      </c>
      <c r="K8" s="28" t="s">
        <v>507</v>
      </c>
      <c r="L8" s="28">
        <v>141.12</v>
      </c>
      <c r="M8" s="28">
        <v>64.01</v>
      </c>
      <c r="N8" s="28">
        <v>67.53</v>
      </c>
      <c r="R8" t="s">
        <v>490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515</v>
      </c>
    </row>
    <row r="9" spans="1:35">
      <c r="A9" t="s">
        <v>516</v>
      </c>
      <c r="B9" t="str">
        <f t="shared" si="0"/>
        <v>KER</v>
      </c>
      <c r="D9" s="27" t="s">
        <v>517</v>
      </c>
      <c r="E9" s="27">
        <f>N33</f>
        <v>120.4</v>
      </c>
      <c r="F9" s="27" t="s">
        <v>481</v>
      </c>
      <c r="G9" s="28" t="s">
        <v>518</v>
      </c>
      <c r="H9" s="28">
        <v>22.4</v>
      </c>
      <c r="I9" s="28" t="s">
        <v>507</v>
      </c>
      <c r="J9" s="28">
        <v>10.16</v>
      </c>
      <c r="K9" s="28" t="s">
        <v>507</v>
      </c>
      <c r="L9" s="28">
        <v>161.3</v>
      </c>
      <c r="M9" s="28">
        <v>73.16</v>
      </c>
      <c r="N9" s="28">
        <v>77.19</v>
      </c>
      <c r="R9" t="s">
        <v>490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519</v>
      </c>
      <c r="B10" t="str">
        <f t="shared" si="0"/>
        <v>LPG</v>
      </c>
      <c r="D10" s="27" t="s">
        <v>520</v>
      </c>
      <c r="E10" s="27">
        <f>N9</f>
        <v>77.19</v>
      </c>
      <c r="F10" s="27" t="s">
        <v>521</v>
      </c>
      <c r="G10" s="28" t="s">
        <v>522</v>
      </c>
      <c r="H10" s="28">
        <v>21.5</v>
      </c>
      <c r="I10" s="28" t="s">
        <v>507</v>
      </c>
      <c r="J10" s="28">
        <v>9.75</v>
      </c>
      <c r="K10" s="28" t="s">
        <v>507</v>
      </c>
      <c r="L10" s="28">
        <v>159.4</v>
      </c>
      <c r="M10" s="28">
        <v>72.3</v>
      </c>
      <c r="N10" s="28">
        <v>76.28</v>
      </c>
      <c r="R10" t="s">
        <v>490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437</v>
      </c>
      <c r="AB10" t="s">
        <v>75</v>
      </c>
      <c r="AF10" t="s">
        <v>77</v>
      </c>
      <c r="AG10" t="s">
        <v>483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7" t="s">
        <v>523</v>
      </c>
      <c r="E11" s="27">
        <f>N6</f>
        <v>66.54</v>
      </c>
      <c r="F11" s="27" t="s">
        <v>524</v>
      </c>
      <c r="G11" s="28" t="s">
        <v>525</v>
      </c>
      <c r="H11" s="32">
        <v>4631.5</v>
      </c>
      <c r="I11" s="28" t="s">
        <v>526</v>
      </c>
      <c r="J11" s="32">
        <v>2100.82</v>
      </c>
      <c r="K11" s="28" t="s">
        <v>526</v>
      </c>
      <c r="L11" s="28">
        <v>210.2</v>
      </c>
      <c r="M11" s="28">
        <v>95.35</v>
      </c>
      <c r="N11" s="28">
        <v>100.59</v>
      </c>
      <c r="R11" t="s">
        <v>490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527</v>
      </c>
      <c r="Y11" t="s">
        <v>528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529</v>
      </c>
      <c r="B12" t="str">
        <f t="shared" si="0"/>
        <v>OIL</v>
      </c>
      <c r="D12" s="27" t="s">
        <v>530</v>
      </c>
      <c r="E12" s="27">
        <f>N12</f>
        <v>55.99</v>
      </c>
      <c r="F12" s="27" t="s">
        <v>524</v>
      </c>
      <c r="G12" s="28" t="s">
        <v>531</v>
      </c>
      <c r="H12" s="28">
        <v>117.1</v>
      </c>
      <c r="I12" s="28" t="s">
        <v>532</v>
      </c>
      <c r="J12" s="28">
        <v>53.12</v>
      </c>
      <c r="K12" s="28" t="s">
        <v>532</v>
      </c>
      <c r="L12" s="28">
        <v>117</v>
      </c>
      <c r="M12" s="28">
        <v>53.07</v>
      </c>
      <c r="N12" s="28">
        <v>55.99</v>
      </c>
      <c r="R12" t="s">
        <v>490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527</v>
      </c>
      <c r="Y12" t="s">
        <v>528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533</v>
      </c>
      <c r="B13" t="str">
        <f t="shared" si="0"/>
        <v>COA</v>
      </c>
      <c r="D13" s="27" t="s">
        <v>534</v>
      </c>
      <c r="E13" s="27">
        <f>N13</f>
        <v>75.22</v>
      </c>
      <c r="F13" s="27" t="s">
        <v>521</v>
      </c>
      <c r="G13" s="28" t="s">
        <v>535</v>
      </c>
      <c r="H13" s="28">
        <v>19.6</v>
      </c>
      <c r="I13" s="28" t="s">
        <v>507</v>
      </c>
      <c r="J13" s="28">
        <v>8.89</v>
      </c>
      <c r="K13" s="28" t="s">
        <v>507</v>
      </c>
      <c r="L13" s="28">
        <v>157.2</v>
      </c>
      <c r="M13" s="28">
        <v>71.3</v>
      </c>
      <c r="N13" s="28">
        <v>75.22</v>
      </c>
      <c r="R13" t="s">
        <v>490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527</v>
      </c>
      <c r="Y13" t="s">
        <v>528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536</v>
      </c>
      <c r="B14" t="str">
        <f t="shared" si="0"/>
        <v>CoaG</v>
      </c>
      <c r="D14" s="27" t="s">
        <v>537</v>
      </c>
      <c r="E14" s="27">
        <f>N26</f>
        <v>76.81</v>
      </c>
      <c r="F14" s="27" t="s">
        <v>521</v>
      </c>
      <c r="G14" s="28" t="s">
        <v>538</v>
      </c>
      <c r="H14" s="28">
        <v>26</v>
      </c>
      <c r="I14" s="28" t="s">
        <v>507</v>
      </c>
      <c r="J14" s="28">
        <v>11.79</v>
      </c>
      <c r="K14" s="28" t="s">
        <v>507</v>
      </c>
      <c r="L14" s="28">
        <v>173.7</v>
      </c>
      <c r="M14" s="28">
        <v>78.79</v>
      </c>
      <c r="N14" s="28">
        <v>83.12</v>
      </c>
      <c r="R14" t="s">
        <v>490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527</v>
      </c>
      <c r="Y14" t="s">
        <v>528</v>
      </c>
      <c r="Z14" t="str">
        <f>"INDCO2N"&amp;VLOOKUP(MID(AA14,1,3),$D$2:$F$27,3,FALSE)</f>
        <v>INDCO2Ng</v>
      </c>
      <c r="AA14" t="s">
        <v>539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540</v>
      </c>
      <c r="B15" t="str">
        <f t="shared" si="0"/>
        <v>COB</v>
      </c>
      <c r="D15" s="27" t="s">
        <v>541</v>
      </c>
      <c r="E15" s="27">
        <f>N14</f>
        <v>83.12</v>
      </c>
      <c r="F15" s="27" t="s">
        <v>521</v>
      </c>
      <c r="G15" s="28" t="s">
        <v>542</v>
      </c>
      <c r="H15" s="28"/>
      <c r="I15" s="28"/>
      <c r="J15" s="28"/>
      <c r="K15" s="28"/>
      <c r="L15" s="28"/>
      <c r="M15" s="28"/>
      <c r="N15" s="28">
        <v>0</v>
      </c>
      <c r="R15" t="s">
        <v>490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543</v>
      </c>
      <c r="B16" t="str">
        <f t="shared" si="0"/>
        <v>GAS</v>
      </c>
      <c r="D16" s="27" t="s">
        <v>544</v>
      </c>
      <c r="E16" s="27">
        <f>N16</f>
        <v>74.8</v>
      </c>
      <c r="F16" s="27" t="s">
        <v>521</v>
      </c>
      <c r="G16" s="28" t="s">
        <v>545</v>
      </c>
      <c r="H16" s="28">
        <v>21.1</v>
      </c>
      <c r="I16" s="28" t="s">
        <v>507</v>
      </c>
      <c r="J16" s="28">
        <v>9.57</v>
      </c>
      <c r="K16" s="28" t="s">
        <v>507</v>
      </c>
      <c r="L16" s="28">
        <v>156.3</v>
      </c>
      <c r="M16" s="28">
        <v>70.9</v>
      </c>
      <c r="N16" s="28">
        <v>74.8</v>
      </c>
      <c r="R16" t="s">
        <v>490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7" t="s">
        <v>546</v>
      </c>
      <c r="E17" s="27">
        <f>N10</f>
        <v>76.28</v>
      </c>
      <c r="F17" s="27" t="s">
        <v>521</v>
      </c>
      <c r="G17" s="28" t="s">
        <v>547</v>
      </c>
      <c r="H17" s="28">
        <v>18.4</v>
      </c>
      <c r="I17" s="28" t="s">
        <v>507</v>
      </c>
      <c r="J17" s="28">
        <v>8.35</v>
      </c>
      <c r="K17" s="28" t="s">
        <v>507</v>
      </c>
      <c r="L17" s="28">
        <v>152.6</v>
      </c>
      <c r="M17" s="28">
        <v>69.2</v>
      </c>
      <c r="N17" s="28">
        <v>73.01</v>
      </c>
      <c r="R17" t="s">
        <v>490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548</v>
      </c>
      <c r="B18" t="str">
        <f t="shared" si="0"/>
        <v>OIL</v>
      </c>
      <c r="D18" s="27" t="s">
        <v>549</v>
      </c>
      <c r="E18" s="27">
        <f>N8</f>
        <v>67.53</v>
      </c>
      <c r="F18" s="27" t="s">
        <v>521</v>
      </c>
      <c r="G18" s="28" t="s">
        <v>550</v>
      </c>
      <c r="H18" s="28"/>
      <c r="I18" s="28"/>
      <c r="J18" s="28"/>
      <c r="K18" s="28"/>
      <c r="L18" s="28"/>
      <c r="M18" s="28"/>
      <c r="N18" s="28">
        <v>0</v>
      </c>
      <c r="R18" t="s">
        <v>490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551</v>
      </c>
      <c r="B19" t="str">
        <f t="shared" si="0"/>
        <v>OIL_CRD</v>
      </c>
      <c r="D19" s="27" t="s">
        <v>552</v>
      </c>
      <c r="E19" s="27">
        <f>N12</f>
        <v>55.99</v>
      </c>
      <c r="F19" s="27" t="s">
        <v>524</v>
      </c>
      <c r="G19" s="28" t="s">
        <v>553</v>
      </c>
      <c r="H19" s="28">
        <v>120.7</v>
      </c>
      <c r="I19" s="28" t="s">
        <v>532</v>
      </c>
      <c r="J19" s="28">
        <v>54.75</v>
      </c>
      <c r="K19" s="28" t="s">
        <v>532</v>
      </c>
      <c r="L19" s="28">
        <v>120.6</v>
      </c>
      <c r="M19" s="28">
        <v>54.7</v>
      </c>
      <c r="N19" s="28">
        <v>57.71</v>
      </c>
      <c r="R19" t="s">
        <v>490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437</v>
      </c>
      <c r="AB19" t="s">
        <v>75</v>
      </c>
      <c r="AC19" t="s">
        <v>77</v>
      </c>
    </row>
    <row r="20" spans="1:36">
      <c r="A20" t="s">
        <v>554</v>
      </c>
      <c r="B20" t="str">
        <f t="shared" si="0"/>
        <v>OIL_DST</v>
      </c>
      <c r="D20" s="27" t="s">
        <v>555</v>
      </c>
      <c r="E20" s="27">
        <f>N14</f>
        <v>83.12</v>
      </c>
      <c r="F20" s="27" t="s">
        <v>521</v>
      </c>
      <c r="G20" s="28" t="s">
        <v>556</v>
      </c>
      <c r="H20" s="28">
        <v>32.4</v>
      </c>
      <c r="I20" s="28" t="s">
        <v>507</v>
      </c>
      <c r="J20" s="28">
        <v>14.7</v>
      </c>
      <c r="K20" s="28" t="s">
        <v>507</v>
      </c>
      <c r="L20" s="28">
        <v>225.1</v>
      </c>
      <c r="M20" s="28">
        <v>102.1</v>
      </c>
      <c r="N20" s="28">
        <v>107.72</v>
      </c>
      <c r="R20" t="s">
        <v>490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527</v>
      </c>
      <c r="Y20" t="s">
        <v>557</v>
      </c>
      <c r="Z20" t="s">
        <v>558</v>
      </c>
      <c r="AA20" t="s">
        <v>557</v>
      </c>
      <c r="AB20">
        <f>VLOOKUP(MID(AA20,1,3),$D$2:$F$27,2,FALSE)</f>
        <v>98.43</v>
      </c>
      <c r="AC20" t="s">
        <v>127</v>
      </c>
    </row>
    <row r="21" spans="1:36">
      <c r="A21" t="s">
        <v>559</v>
      </c>
      <c r="B21" t="str">
        <f t="shared" si="0"/>
        <v>WAS</v>
      </c>
      <c r="D21" s="27" t="s">
        <v>560</v>
      </c>
      <c r="E21" s="27">
        <f>N14</f>
        <v>83.12</v>
      </c>
      <c r="F21" s="27" t="s">
        <v>521</v>
      </c>
      <c r="G21" s="28" t="s">
        <v>561</v>
      </c>
      <c r="H21" s="28">
        <v>22.09</v>
      </c>
      <c r="I21" s="28" t="s">
        <v>507</v>
      </c>
      <c r="J21" s="28">
        <v>10.02</v>
      </c>
      <c r="K21" s="28" t="s">
        <v>507</v>
      </c>
      <c r="L21" s="28">
        <v>160.1</v>
      </c>
      <c r="M21" s="28">
        <v>72.62</v>
      </c>
      <c r="N21" s="28">
        <v>76.61</v>
      </c>
      <c r="R21" t="s">
        <v>490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527</v>
      </c>
      <c r="Y21" t="s">
        <v>562</v>
      </c>
      <c r="Z21" t="s">
        <v>563</v>
      </c>
      <c r="AA21" t="s">
        <v>562</v>
      </c>
      <c r="AB21">
        <f>VLOOKUP(MID(AA21,1,3),$D$2:$F$27,2,FALSE)</f>
        <v>98.43</v>
      </c>
      <c r="AC21" t="s">
        <v>127</v>
      </c>
    </row>
    <row r="22" spans="1:36">
      <c r="A22" t="s">
        <v>564</v>
      </c>
      <c r="B22" t="str">
        <f t="shared" si="0"/>
        <v>BFG</v>
      </c>
      <c r="D22" s="27" t="s">
        <v>565</v>
      </c>
      <c r="E22" s="27">
        <f>E10</f>
        <v>77.19</v>
      </c>
      <c r="F22" s="27" t="s">
        <v>521</v>
      </c>
      <c r="G22" s="28" t="s">
        <v>566</v>
      </c>
      <c r="H22" s="28"/>
      <c r="I22" s="28"/>
      <c r="J22" s="28"/>
      <c r="K22" s="28"/>
      <c r="L22" s="28"/>
      <c r="M22" s="28"/>
      <c r="N22" s="28">
        <v>0</v>
      </c>
      <c r="R22" t="s">
        <v>490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527</v>
      </c>
      <c r="Y22" t="s">
        <v>102</v>
      </c>
      <c r="Z22" t="s">
        <v>567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568</v>
      </c>
      <c r="B23" t="str">
        <f t="shared" si="0"/>
        <v>BSL</v>
      </c>
      <c r="D23" s="27" t="s">
        <v>569</v>
      </c>
      <c r="E23" s="27">
        <f>N33</f>
        <v>120.4</v>
      </c>
      <c r="F23" s="27" t="s">
        <v>481</v>
      </c>
      <c r="G23" s="28" t="s">
        <v>570</v>
      </c>
      <c r="H23" s="28">
        <v>26.34</v>
      </c>
      <c r="I23" s="28" t="s">
        <v>507</v>
      </c>
      <c r="J23" s="28">
        <v>11.95</v>
      </c>
      <c r="K23" s="28" t="s">
        <v>507</v>
      </c>
      <c r="L23" s="28">
        <v>166.7</v>
      </c>
      <c r="M23" s="28">
        <v>75.61</v>
      </c>
      <c r="N23" s="28">
        <v>79.77</v>
      </c>
      <c r="R23" t="s">
        <v>490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571</v>
      </c>
      <c r="Y23" t="s">
        <v>572</v>
      </c>
      <c r="Z23" t="s">
        <v>573</v>
      </c>
      <c r="AA23" t="s">
        <v>572</v>
      </c>
      <c r="AB23">
        <v>1</v>
      </c>
      <c r="AC23" t="s">
        <v>574</v>
      </c>
    </row>
    <row r="24" spans="1:36">
      <c r="A24" t="s">
        <v>575</v>
      </c>
      <c r="B24" t="str">
        <f t="shared" si="0"/>
        <v>COA</v>
      </c>
      <c r="D24" s="27" t="s">
        <v>576</v>
      </c>
      <c r="E24" s="27">
        <f>N20</f>
        <v>107.72</v>
      </c>
      <c r="F24" s="27" t="s">
        <v>521</v>
      </c>
      <c r="G24" s="28" t="s">
        <v>577</v>
      </c>
      <c r="H24" s="28">
        <v>23.62</v>
      </c>
      <c r="I24" s="28" t="s">
        <v>507</v>
      </c>
      <c r="J24" s="28">
        <v>10.72</v>
      </c>
      <c r="K24" s="28" t="s">
        <v>507</v>
      </c>
      <c r="L24" s="28">
        <v>163.6</v>
      </c>
      <c r="M24" s="28">
        <v>74.21</v>
      </c>
      <c r="N24" s="28">
        <v>78.29</v>
      </c>
      <c r="R24" t="s">
        <v>490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578</v>
      </c>
      <c r="B25" t="str">
        <f t="shared" si="0"/>
        <v>COG</v>
      </c>
      <c r="D25" s="27" t="s">
        <v>579</v>
      </c>
      <c r="E25" s="27">
        <f>E2</f>
        <v>55.99</v>
      </c>
      <c r="F25" s="27" t="s">
        <v>521</v>
      </c>
      <c r="G25" s="28" t="s">
        <v>580</v>
      </c>
      <c r="H25" s="28">
        <v>24.74</v>
      </c>
      <c r="I25" s="28" t="s">
        <v>507</v>
      </c>
      <c r="J25" s="28">
        <v>11.22</v>
      </c>
      <c r="K25" s="28" t="s">
        <v>507</v>
      </c>
      <c r="L25" s="28">
        <v>156.6</v>
      </c>
      <c r="M25" s="28">
        <v>71.03</v>
      </c>
      <c r="N25" s="28">
        <v>74.94</v>
      </c>
      <c r="R25" t="s">
        <v>490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581</v>
      </c>
      <c r="B26" t="str">
        <f t="shared" si="0"/>
        <v>COK</v>
      </c>
      <c r="D26" s="27" t="s">
        <v>582</v>
      </c>
      <c r="E26" s="27">
        <f>N9</f>
        <v>77.19</v>
      </c>
      <c r="F26" s="27" t="s">
        <v>521</v>
      </c>
      <c r="G26" s="28" t="s">
        <v>583</v>
      </c>
      <c r="H26" s="28">
        <v>20.05</v>
      </c>
      <c r="I26" s="28" t="s">
        <v>507</v>
      </c>
      <c r="J26" s="28">
        <v>9.1</v>
      </c>
      <c r="K26" s="28" t="s">
        <v>507</v>
      </c>
      <c r="L26" s="28">
        <v>160.5</v>
      </c>
      <c r="M26" s="28">
        <v>72.8</v>
      </c>
      <c r="N26" s="28">
        <v>76.81</v>
      </c>
      <c r="R26" t="s">
        <v>490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584</v>
      </c>
      <c r="B27" t="str">
        <f t="shared" si="0"/>
        <v>HFO</v>
      </c>
      <c r="D27" s="27" t="s">
        <v>585</v>
      </c>
      <c r="E27" s="27">
        <f>N36</f>
        <v>43.98</v>
      </c>
      <c r="F27" s="27" t="s">
        <v>586</v>
      </c>
      <c r="G27" s="28" t="s">
        <v>587</v>
      </c>
      <c r="H27" s="28">
        <v>21.11</v>
      </c>
      <c r="I27" s="28" t="s">
        <v>507</v>
      </c>
      <c r="J27" s="28">
        <v>9.57</v>
      </c>
      <c r="K27" s="28" t="s">
        <v>507</v>
      </c>
      <c r="L27" s="28">
        <v>160.1</v>
      </c>
      <c r="M27" s="28">
        <v>72.62</v>
      </c>
      <c r="N27" s="28">
        <v>76.61</v>
      </c>
      <c r="R27" t="s">
        <v>490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588</v>
      </c>
      <c r="B28" t="str">
        <f t="shared" si="0"/>
        <v>LPG</v>
      </c>
      <c r="G28" s="28" t="s">
        <v>589</v>
      </c>
      <c r="H28" s="28"/>
      <c r="I28" s="28"/>
      <c r="J28" s="28"/>
      <c r="K28" s="28"/>
      <c r="L28" s="28"/>
      <c r="M28" s="28"/>
      <c r="N28" s="28"/>
      <c r="R28" t="s">
        <v>490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437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590</v>
      </c>
      <c r="H29" s="32">
        <v>5685</v>
      </c>
      <c r="I29" s="28" t="s">
        <v>526</v>
      </c>
      <c r="J29" s="32">
        <v>2578.68</v>
      </c>
      <c r="K29" s="28" t="s">
        <v>526</v>
      </c>
      <c r="L29" s="28">
        <v>228.6</v>
      </c>
      <c r="M29" s="28">
        <v>103.7</v>
      </c>
      <c r="N29" s="28">
        <v>109.4</v>
      </c>
      <c r="R29" t="s">
        <v>490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491</v>
      </c>
      <c r="Y29" s="34" t="s">
        <v>591</v>
      </c>
      <c r="Z29" t="s">
        <v>592</v>
      </c>
      <c r="AA29">
        <v>0.001</v>
      </c>
    </row>
    <row r="30" spans="1:36">
      <c r="A30" t="s">
        <v>363</v>
      </c>
      <c r="B30" t="str">
        <f t="shared" si="0"/>
        <v>OIL</v>
      </c>
      <c r="G30" s="28" t="s">
        <v>593</v>
      </c>
      <c r="H30" s="32">
        <v>4931.3</v>
      </c>
      <c r="I30" s="28" t="s">
        <v>526</v>
      </c>
      <c r="J30" s="32">
        <v>2236.8</v>
      </c>
      <c r="K30" s="28" t="s">
        <v>526</v>
      </c>
      <c r="L30" s="28">
        <v>205.7</v>
      </c>
      <c r="M30" s="28">
        <v>93.3</v>
      </c>
      <c r="N30" s="28">
        <v>98.43</v>
      </c>
      <c r="R30" t="s">
        <v>490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491</v>
      </c>
      <c r="Y30" t="s">
        <v>594</v>
      </c>
      <c r="Z30" t="s">
        <v>592</v>
      </c>
      <c r="AA30">
        <v>-0.001</v>
      </c>
      <c r="AG30" s="35" t="s">
        <v>491</v>
      </c>
      <c r="AH30" s="35" t="s">
        <v>594</v>
      </c>
      <c r="AI30" s="35" t="s">
        <v>592</v>
      </c>
      <c r="AJ30" s="35">
        <v>-0.001</v>
      </c>
    </row>
    <row r="31" spans="1:36">
      <c r="A31" t="s">
        <v>595</v>
      </c>
      <c r="B31" t="str">
        <f t="shared" si="0"/>
        <v>OVC</v>
      </c>
      <c r="G31" s="28" t="s">
        <v>596</v>
      </c>
      <c r="H31" s="32">
        <v>3715.9</v>
      </c>
      <c r="I31" s="28" t="s">
        <v>526</v>
      </c>
      <c r="J31" s="32">
        <v>1685.51</v>
      </c>
      <c r="K31" s="28" t="s">
        <v>526</v>
      </c>
      <c r="L31" s="28">
        <v>214.3</v>
      </c>
      <c r="M31" s="28">
        <v>97.2</v>
      </c>
      <c r="N31" s="28">
        <v>102.55</v>
      </c>
      <c r="R31" t="s">
        <v>490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597</v>
      </c>
      <c r="B32" t="str">
        <f t="shared" si="0"/>
        <v>PTC</v>
      </c>
      <c r="G32" s="28" t="s">
        <v>598</v>
      </c>
      <c r="H32" s="32">
        <v>2791.6</v>
      </c>
      <c r="I32" s="28" t="s">
        <v>526</v>
      </c>
      <c r="J32" s="32">
        <v>1266.25</v>
      </c>
      <c r="K32" s="28" t="s">
        <v>526</v>
      </c>
      <c r="L32" s="28">
        <v>215.4</v>
      </c>
      <c r="M32" s="28">
        <v>97.7</v>
      </c>
      <c r="N32" s="28">
        <v>103.08</v>
      </c>
      <c r="R32" t="s">
        <v>490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491</v>
      </c>
      <c r="Y32" t="s">
        <v>599</v>
      </c>
      <c r="Z32" t="s">
        <v>600</v>
      </c>
      <c r="AA32">
        <v>0.001</v>
      </c>
    </row>
    <row r="33" spans="1:30">
      <c r="A33" t="s">
        <v>601</v>
      </c>
      <c r="B33" t="str">
        <f t="shared" si="0"/>
        <v>COA</v>
      </c>
      <c r="G33" s="28" t="s">
        <v>602</v>
      </c>
      <c r="H33" s="32">
        <v>6239.68</v>
      </c>
      <c r="I33" s="28" t="s">
        <v>526</v>
      </c>
      <c r="J33" s="32">
        <v>2830.27</v>
      </c>
      <c r="K33" s="28" t="s">
        <v>526</v>
      </c>
      <c r="L33" s="28">
        <v>251.6</v>
      </c>
      <c r="M33" s="28">
        <v>114.12</v>
      </c>
      <c r="N33" s="28">
        <v>120.4</v>
      </c>
      <c r="R33" t="s">
        <v>490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491</v>
      </c>
      <c r="Y33" t="s">
        <v>603</v>
      </c>
      <c r="Z33" t="s">
        <v>600</v>
      </c>
      <c r="AA33">
        <v>-0.001</v>
      </c>
    </row>
    <row r="34" spans="1:30">
      <c r="A34" t="s">
        <v>604</v>
      </c>
      <c r="B34" t="str">
        <f t="shared" si="0"/>
        <v>HFO</v>
      </c>
      <c r="G34" s="28" t="s">
        <v>605</v>
      </c>
      <c r="H34" s="28"/>
      <c r="I34" s="28"/>
      <c r="J34" s="28"/>
      <c r="K34" s="28"/>
      <c r="L34" s="28"/>
      <c r="M34" s="28"/>
      <c r="N34" s="28"/>
      <c r="R34" t="s">
        <v>490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606</v>
      </c>
      <c r="B35" t="str">
        <f t="shared" si="0"/>
        <v>KER</v>
      </c>
      <c r="G35" s="28" t="s">
        <v>607</v>
      </c>
      <c r="H35" s="28" t="s">
        <v>608</v>
      </c>
      <c r="I35" s="28"/>
      <c r="J35" s="28" t="s">
        <v>608</v>
      </c>
      <c r="K35" s="28"/>
      <c r="L35" s="28">
        <v>16.99</v>
      </c>
      <c r="M35" s="28">
        <v>7.71</v>
      </c>
      <c r="N35" s="28">
        <v>8.13</v>
      </c>
      <c r="R35" t="s">
        <v>490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491</v>
      </c>
      <c r="Y35" t="s">
        <v>609</v>
      </c>
      <c r="Z35" t="s">
        <v>610</v>
      </c>
      <c r="AA35">
        <v>0.001</v>
      </c>
    </row>
    <row r="36" spans="1:30">
      <c r="A36" t="s">
        <v>611</v>
      </c>
      <c r="B36" t="str">
        <f t="shared" si="0"/>
        <v>LPG</v>
      </c>
      <c r="G36" s="28" t="s">
        <v>612</v>
      </c>
      <c r="H36" s="32">
        <v>5771</v>
      </c>
      <c r="I36" s="28" t="s">
        <v>526</v>
      </c>
      <c r="J36" s="32">
        <v>2617.68</v>
      </c>
      <c r="K36" s="28" t="s">
        <v>526</v>
      </c>
      <c r="L36" s="28">
        <v>91.9</v>
      </c>
      <c r="M36" s="28">
        <v>41.69</v>
      </c>
      <c r="N36" s="28">
        <v>43.98</v>
      </c>
      <c r="R36" t="s">
        <v>490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613</v>
      </c>
      <c r="Y36" t="s">
        <v>573</v>
      </c>
      <c r="Z36" t="s">
        <v>610</v>
      </c>
      <c r="AA36">
        <v>0.001</v>
      </c>
    </row>
    <row r="37" spans="1:30">
      <c r="A37" t="s">
        <v>304</v>
      </c>
      <c r="B37" t="str">
        <f t="shared" si="0"/>
        <v>NGA</v>
      </c>
      <c r="G37" s="28" t="s">
        <v>614</v>
      </c>
      <c r="H37" s="32">
        <v>6160</v>
      </c>
      <c r="I37" s="28" t="s">
        <v>526</v>
      </c>
      <c r="J37" s="32">
        <v>2794.13</v>
      </c>
      <c r="K37" s="28" t="s">
        <v>526</v>
      </c>
      <c r="L37" s="28">
        <v>189.54</v>
      </c>
      <c r="M37" s="28">
        <v>85.97</v>
      </c>
      <c r="N37" s="28">
        <v>90.7</v>
      </c>
      <c r="R37" t="s">
        <v>490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491</v>
      </c>
      <c r="Y37" t="s">
        <v>615</v>
      </c>
      <c r="Z37" t="s">
        <v>610</v>
      </c>
      <c r="AA37">
        <v>-0.001</v>
      </c>
    </row>
    <row r="38" spans="1:30">
      <c r="A38" t="s">
        <v>616</v>
      </c>
      <c r="B38" t="str">
        <f t="shared" si="0"/>
        <v>OIL</v>
      </c>
      <c r="G38" s="28" t="s">
        <v>617</v>
      </c>
      <c r="H38" s="28">
        <v>924</v>
      </c>
      <c r="I38" s="28" t="s">
        <v>618</v>
      </c>
      <c r="J38" s="28">
        <v>419.12</v>
      </c>
      <c r="K38" s="28" t="s">
        <v>618</v>
      </c>
      <c r="L38" s="28">
        <v>210</v>
      </c>
      <c r="M38" s="28">
        <v>95.25</v>
      </c>
      <c r="N38" s="28">
        <v>100.49</v>
      </c>
      <c r="R38" t="s">
        <v>490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491</v>
      </c>
      <c r="Y38" t="s">
        <v>572</v>
      </c>
      <c r="Z38" t="s">
        <v>610</v>
      </c>
      <c r="AA38">
        <v>-0.001</v>
      </c>
    </row>
    <row r="39" spans="1:30">
      <c r="A39" t="s">
        <v>619</v>
      </c>
      <c r="B39" t="str">
        <f t="shared" si="0"/>
        <v>BFG</v>
      </c>
      <c r="G39" s="28" t="s">
        <v>620</v>
      </c>
      <c r="H39" s="28"/>
      <c r="I39" s="28"/>
      <c r="J39" s="28"/>
      <c r="K39" s="28"/>
      <c r="L39" s="28"/>
      <c r="M39" s="28"/>
      <c r="N39" s="28"/>
      <c r="R39" t="s">
        <v>490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621</v>
      </c>
      <c r="B40" t="str">
        <f t="shared" si="0"/>
        <v>BIO</v>
      </c>
      <c r="G40" s="28" t="s">
        <v>622</v>
      </c>
      <c r="H40" s="28"/>
      <c r="I40" s="28"/>
      <c r="J40" s="28"/>
      <c r="K40" s="28"/>
      <c r="L40" s="28"/>
      <c r="M40" s="28"/>
      <c r="N40" s="28"/>
      <c r="R40" t="s">
        <v>490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491</v>
      </c>
      <c r="Y40" t="s">
        <v>623</v>
      </c>
      <c r="Z40" t="s">
        <v>624</v>
      </c>
      <c r="AA40">
        <v>0.001</v>
      </c>
    </row>
    <row r="41" spans="1:30">
      <c r="A41" t="s">
        <v>625</v>
      </c>
      <c r="B41" t="str">
        <f t="shared" si="0"/>
        <v>COA</v>
      </c>
      <c r="G41" s="28" t="s">
        <v>626</v>
      </c>
      <c r="H41" s="28"/>
      <c r="I41" s="28"/>
      <c r="J41" s="28"/>
      <c r="K41" s="28"/>
      <c r="L41" s="28"/>
      <c r="M41" s="28"/>
      <c r="N41" s="28"/>
      <c r="R41" t="s">
        <v>490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491</v>
      </c>
      <c r="Y41" t="s">
        <v>627</v>
      </c>
      <c r="Z41" t="s">
        <v>628</v>
      </c>
      <c r="AA41">
        <v>0.001</v>
      </c>
    </row>
    <row r="42" spans="1:30">
      <c r="A42" t="s">
        <v>629</v>
      </c>
      <c r="B42" t="str">
        <f t="shared" si="0"/>
        <v>COG</v>
      </c>
      <c r="R42" t="s">
        <v>490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630</v>
      </c>
      <c r="B43" t="str">
        <f t="shared" si="0"/>
        <v>NGA</v>
      </c>
      <c r="R43" t="s">
        <v>490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631</v>
      </c>
      <c r="B44" t="str">
        <f t="shared" si="0"/>
        <v>OIL</v>
      </c>
      <c r="R44" t="s">
        <v>490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632</v>
      </c>
      <c r="B45" t="str">
        <f t="shared" si="0"/>
        <v>RFG</v>
      </c>
      <c r="R45" t="s">
        <v>490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633</v>
      </c>
      <c r="B46" t="str">
        <f t="shared" si="0"/>
        <v>RPP</v>
      </c>
      <c r="R46" t="s">
        <v>490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472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634</v>
      </c>
      <c r="B47" t="str">
        <f t="shared" si="0"/>
        <v>COA</v>
      </c>
      <c r="R47" t="s">
        <v>490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527</v>
      </c>
      <c r="Y47" t="s">
        <v>635</v>
      </c>
      <c r="Z47" t="s">
        <v>533</v>
      </c>
      <c r="AA47" t="s">
        <v>594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490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527</v>
      </c>
      <c r="Y48" t="s">
        <v>636</v>
      </c>
      <c r="Z48" t="s">
        <v>568</v>
      </c>
      <c r="AA48" t="s">
        <v>594</v>
      </c>
      <c r="AB48" s="34">
        <v>0.9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490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527</v>
      </c>
      <c r="Y49" t="s">
        <v>637</v>
      </c>
      <c r="Z49" t="s">
        <v>311</v>
      </c>
      <c r="AA49" t="s">
        <v>594</v>
      </c>
      <c r="AB49">
        <v>0.9</v>
      </c>
      <c r="AC49" s="34"/>
      <c r="AD49" t="str">
        <f>AA49</f>
        <v>CO2Captured_elc</v>
      </c>
    </row>
    <row r="50" spans="1:31">
      <c r="A50" t="s">
        <v>638</v>
      </c>
      <c r="B50" t="str">
        <f t="shared" si="0"/>
        <v>HFO</v>
      </c>
      <c r="R50" t="s">
        <v>490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490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639</v>
      </c>
      <c r="B52" t="str">
        <f t="shared" si="0"/>
        <v>LPG</v>
      </c>
      <c r="R52" t="s">
        <v>490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490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640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641</v>
      </c>
      <c r="B54" t="str">
        <f t="shared" si="0"/>
        <v>BIO</v>
      </c>
      <c r="R54" t="s">
        <v>490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567</v>
      </c>
      <c r="Z54" t="s">
        <v>642</v>
      </c>
      <c r="AA54" t="s">
        <v>527</v>
      </c>
      <c r="AB54" t="s">
        <v>127</v>
      </c>
      <c r="AC54">
        <v>0.9</v>
      </c>
      <c r="AD54">
        <v>0.95</v>
      </c>
      <c r="AE54" t="s">
        <v>615</v>
      </c>
    </row>
    <row r="55" spans="1:31">
      <c r="R55" t="s">
        <v>490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557</v>
      </c>
      <c r="Y55" t="s">
        <v>558</v>
      </c>
      <c r="Z55" t="s">
        <v>642</v>
      </c>
      <c r="AA55" t="s">
        <v>527</v>
      </c>
      <c r="AB55" t="s">
        <v>127</v>
      </c>
      <c r="AC55">
        <v>0.9</v>
      </c>
      <c r="AD55">
        <v>0.95</v>
      </c>
      <c r="AE55" t="s">
        <v>615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N1" workbookViewId="0">
      <selection activeCell="Q21" sqref="Q2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643</v>
      </c>
      <c r="L2" t="s">
        <v>644</v>
      </c>
      <c r="R2" t="s">
        <v>644</v>
      </c>
    </row>
    <row r="3" spans="2:22">
      <c r="B3" t="s">
        <v>645</v>
      </c>
      <c r="C3" t="s">
        <v>646</v>
      </c>
      <c r="D3" t="s">
        <v>351</v>
      </c>
      <c r="E3" t="s">
        <v>58</v>
      </c>
      <c r="H3" t="s">
        <v>57</v>
      </c>
      <c r="I3" t="s">
        <v>645</v>
      </c>
      <c r="J3" t="s">
        <v>647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493</v>
      </c>
      <c r="D4">
        <v>0.08</v>
      </c>
      <c r="E4" t="s">
        <v>648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390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592</v>
      </c>
    </row>
    <row r="5" spans="2:22">
      <c r="B5" t="s">
        <v>8</v>
      </c>
      <c r="C5" t="s">
        <v>493</v>
      </c>
      <c r="D5">
        <v>0.08</v>
      </c>
      <c r="E5" t="s">
        <v>648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390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592</v>
      </c>
    </row>
    <row r="6" spans="2:22">
      <c r="B6" t="s">
        <v>9</v>
      </c>
      <c r="C6" t="s">
        <v>493</v>
      </c>
      <c r="D6">
        <v>0.1</v>
      </c>
      <c r="E6" t="s">
        <v>648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390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592</v>
      </c>
    </row>
    <row r="7" spans="2:22">
      <c r="B7" t="s">
        <v>10</v>
      </c>
      <c r="C7" t="s">
        <v>493</v>
      </c>
      <c r="D7">
        <v>0.08</v>
      </c>
      <c r="E7" t="s">
        <v>648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390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592</v>
      </c>
    </row>
    <row r="8" spans="2:22">
      <c r="B8" t="s">
        <v>11</v>
      </c>
      <c r="C8" t="s">
        <v>493</v>
      </c>
      <c r="D8">
        <v>0.08</v>
      </c>
      <c r="E8" t="s">
        <v>648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390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592</v>
      </c>
    </row>
    <row r="9" spans="2:22">
      <c r="B9" t="s">
        <v>12</v>
      </c>
      <c r="C9" t="s">
        <v>493</v>
      </c>
      <c r="D9">
        <v>0.08</v>
      </c>
      <c r="E9" t="s">
        <v>648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390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592</v>
      </c>
    </row>
    <row r="10" spans="2:22">
      <c r="B10" t="s">
        <v>13</v>
      </c>
      <c r="C10" t="s">
        <v>493</v>
      </c>
      <c r="D10">
        <v>0.0375</v>
      </c>
      <c r="E10" t="s">
        <v>648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390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592</v>
      </c>
    </row>
    <row r="11" spans="2:22">
      <c r="B11" t="s">
        <v>14</v>
      </c>
      <c r="C11" t="s">
        <v>493</v>
      </c>
      <c r="D11">
        <v>0.04</v>
      </c>
      <c r="E11" t="s">
        <v>648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390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592</v>
      </c>
    </row>
    <row r="12" spans="2:22">
      <c r="B12" t="s">
        <v>15</v>
      </c>
      <c r="C12" t="s">
        <v>493</v>
      </c>
      <c r="D12">
        <v>0.08</v>
      </c>
      <c r="E12" t="s">
        <v>648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390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592</v>
      </c>
    </row>
    <row r="13" spans="2:22">
      <c r="B13" t="s">
        <v>16</v>
      </c>
      <c r="C13" t="s">
        <v>493</v>
      </c>
      <c r="D13">
        <v>0.08</v>
      </c>
      <c r="E13" t="s">
        <v>648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390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592</v>
      </c>
    </row>
    <row r="14" spans="2:22">
      <c r="B14" t="s">
        <v>17</v>
      </c>
      <c r="C14" t="s">
        <v>493</v>
      </c>
      <c r="D14">
        <v>0.08</v>
      </c>
      <c r="E14" t="s">
        <v>648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390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592</v>
      </c>
    </row>
    <row r="15" spans="2:22">
      <c r="B15" t="s">
        <v>18</v>
      </c>
      <c r="C15" t="s">
        <v>493</v>
      </c>
      <c r="D15">
        <v>0.08</v>
      </c>
      <c r="E15" t="s">
        <v>648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390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592</v>
      </c>
    </row>
    <row r="16" spans="2:22">
      <c r="B16" t="s">
        <v>19</v>
      </c>
      <c r="C16" t="s">
        <v>493</v>
      </c>
      <c r="D16">
        <v>0.08</v>
      </c>
      <c r="E16" t="s">
        <v>648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390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592</v>
      </c>
    </row>
    <row r="17" spans="2:22">
      <c r="B17" t="s">
        <v>20</v>
      </c>
      <c r="C17" t="s">
        <v>493</v>
      </c>
      <c r="D17">
        <v>0.08</v>
      </c>
      <c r="E17" t="s">
        <v>648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390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592</v>
      </c>
    </row>
    <row r="18" spans="2:22">
      <c r="B18" t="s">
        <v>21</v>
      </c>
      <c r="C18" t="s">
        <v>493</v>
      </c>
      <c r="D18">
        <v>0.08</v>
      </c>
      <c r="E18" t="s">
        <v>648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390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592</v>
      </c>
    </row>
    <row r="19" spans="2:22">
      <c r="B19" t="s">
        <v>22</v>
      </c>
      <c r="C19" t="s">
        <v>493</v>
      </c>
      <c r="D19">
        <v>0.08</v>
      </c>
      <c r="E19" t="s">
        <v>648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390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592</v>
      </c>
    </row>
    <row r="20" spans="2:22">
      <c r="B20" t="s">
        <v>23</v>
      </c>
      <c r="C20" t="s">
        <v>493</v>
      </c>
      <c r="D20">
        <v>0.08</v>
      </c>
      <c r="E20" t="s">
        <v>648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390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592</v>
      </c>
    </row>
    <row r="21" spans="2:22">
      <c r="B21" t="s">
        <v>24</v>
      </c>
      <c r="C21" t="s">
        <v>493</v>
      </c>
      <c r="D21">
        <v>0.08</v>
      </c>
      <c r="E21" t="s">
        <v>648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390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592</v>
      </c>
    </row>
    <row r="22" spans="2:22">
      <c r="B22" t="s">
        <v>25</v>
      </c>
      <c r="C22" t="s">
        <v>493</v>
      </c>
      <c r="D22">
        <v>0.1</v>
      </c>
      <c r="E22" t="s">
        <v>648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390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592</v>
      </c>
    </row>
    <row r="23" spans="2:22">
      <c r="B23" t="s">
        <v>26</v>
      </c>
      <c r="C23" t="s">
        <v>493</v>
      </c>
      <c r="D23">
        <v>0.0375</v>
      </c>
      <c r="E23" t="s">
        <v>648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390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592</v>
      </c>
    </row>
    <row r="24" spans="2:22">
      <c r="B24" t="s">
        <v>27</v>
      </c>
      <c r="C24" t="s">
        <v>493</v>
      </c>
      <c r="D24">
        <v>0.01</v>
      </c>
      <c r="E24" t="s">
        <v>648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390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592</v>
      </c>
    </row>
    <row r="25" spans="2:22">
      <c r="B25" t="s">
        <v>28</v>
      </c>
      <c r="C25" t="s">
        <v>493</v>
      </c>
      <c r="D25">
        <v>0.025</v>
      </c>
      <c r="E25" t="s">
        <v>648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390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592</v>
      </c>
    </row>
    <row r="26" spans="2:22">
      <c r="B26" t="s">
        <v>29</v>
      </c>
      <c r="C26" t="s">
        <v>493</v>
      </c>
      <c r="D26">
        <v>0.08</v>
      </c>
      <c r="E26" t="s">
        <v>648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390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592</v>
      </c>
    </row>
    <row r="27" spans="2:22">
      <c r="B27" t="s">
        <v>30</v>
      </c>
      <c r="C27" t="s">
        <v>493</v>
      </c>
      <c r="D27">
        <v>0.08</v>
      </c>
      <c r="E27" t="s">
        <v>648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390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592</v>
      </c>
    </row>
    <row r="28" spans="2:22">
      <c r="B28" t="s">
        <v>31</v>
      </c>
      <c r="C28" t="s">
        <v>493</v>
      </c>
      <c r="D28">
        <v>0.05</v>
      </c>
      <c r="E28" t="s">
        <v>648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390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592</v>
      </c>
    </row>
    <row r="29" spans="2:22">
      <c r="B29" t="s">
        <v>32</v>
      </c>
      <c r="C29" t="s">
        <v>493</v>
      </c>
      <c r="D29">
        <v>0.05</v>
      </c>
      <c r="E29" t="s">
        <v>648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390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592</v>
      </c>
    </row>
    <row r="30" spans="2:22">
      <c r="B30" t="s">
        <v>33</v>
      </c>
      <c r="C30" t="s">
        <v>493</v>
      </c>
      <c r="D30">
        <v>0.01</v>
      </c>
      <c r="E30" t="s">
        <v>648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390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592</v>
      </c>
    </row>
    <row r="31" spans="2:22">
      <c r="B31" t="s">
        <v>34</v>
      </c>
      <c r="C31" t="s">
        <v>493</v>
      </c>
      <c r="D31">
        <v>0.08</v>
      </c>
      <c r="E31" t="s">
        <v>648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390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592</v>
      </c>
    </row>
    <row r="32" spans="2:22">
      <c r="B32" t="s">
        <v>35</v>
      </c>
      <c r="C32" t="s">
        <v>493</v>
      </c>
      <c r="D32">
        <v>0.08</v>
      </c>
      <c r="E32" t="s">
        <v>648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390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592</v>
      </c>
    </row>
    <row r="33" spans="2:22">
      <c r="B33" t="s">
        <v>36</v>
      </c>
      <c r="C33" t="s">
        <v>493</v>
      </c>
      <c r="D33">
        <v>0.08</v>
      </c>
      <c r="E33" t="s">
        <v>648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390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592</v>
      </c>
    </row>
    <row r="34" spans="2:22">
      <c r="B34" t="s">
        <v>37</v>
      </c>
      <c r="C34" t="s">
        <v>493</v>
      </c>
      <c r="D34">
        <v>0.08</v>
      </c>
      <c r="E34" t="s">
        <v>648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390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592</v>
      </c>
    </row>
    <row r="35" spans="2:22">
      <c r="B35" t="s">
        <v>38</v>
      </c>
      <c r="C35" t="s">
        <v>493</v>
      </c>
      <c r="D35">
        <v>0.0375</v>
      </c>
      <c r="E35" t="s">
        <v>648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390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592</v>
      </c>
    </row>
    <row r="36" spans="2:22">
      <c r="B36" t="s">
        <v>39</v>
      </c>
      <c r="C36" t="s">
        <v>493</v>
      </c>
      <c r="D36">
        <v>0.08</v>
      </c>
      <c r="E36" t="s">
        <v>648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390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592</v>
      </c>
    </row>
    <row r="37" spans="2:22">
      <c r="B37" t="s">
        <v>40</v>
      </c>
      <c r="C37" t="s">
        <v>493</v>
      </c>
      <c r="D37">
        <v>0.0375</v>
      </c>
      <c r="E37" t="s">
        <v>648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390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592</v>
      </c>
    </row>
    <row r="38" spans="2:22">
      <c r="B38" t="s">
        <v>41</v>
      </c>
      <c r="C38" t="s">
        <v>493</v>
      </c>
      <c r="D38">
        <v>0.0375</v>
      </c>
      <c r="E38" t="s">
        <v>648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390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J56" sqref="J56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5"/>
    <col min="26" max="26" width="21.2545454545455" customWidth="1"/>
    <col min="33" max="33" width="15.1454545454545" customWidth="1"/>
  </cols>
  <sheetData>
    <row r="1" spans="1:34">
      <c r="Z1" s="4" t="s">
        <v>646</v>
      </c>
      <c r="AA1" s="4" t="s">
        <v>649</v>
      </c>
      <c r="AF1" s="4" t="s">
        <v>646</v>
      </c>
      <c r="AG1" s="4" t="s">
        <v>650</v>
      </c>
      <c r="AH1" s="4"/>
    </row>
    <row r="2" ht="29" spans="1:34">
      <c r="Z2" s="5" t="s">
        <v>651</v>
      </c>
      <c r="AA2" s="5">
        <v>21.6</v>
      </c>
      <c r="AB2">
        <f>-AA2</f>
        <v>-21.6</v>
      </c>
      <c r="AF2" s="5" t="s">
        <v>652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653</v>
      </c>
      <c r="AA3" s="5">
        <v>28.8</v>
      </c>
      <c r="AB3">
        <f t="shared" ref="AB3:AB34" si="0">-AA3</f>
        <v>-28.8</v>
      </c>
      <c r="AF3" s="5" t="s">
        <v>654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6"/>
      <c r="V4" s="16"/>
      <c r="W4" s="16"/>
      <c r="X4" s="16"/>
      <c r="Y4" s="16"/>
      <c r="Z4" s="17" t="s">
        <v>655</v>
      </c>
      <c r="AA4" s="5">
        <v>36</v>
      </c>
      <c r="AB4">
        <f t="shared" si="0"/>
        <v>-36</v>
      </c>
      <c r="AF4" s="5" t="s">
        <v>656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657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658</v>
      </c>
      <c r="O5" s="10"/>
      <c r="P5" s="10"/>
      <c r="Q5" s="10"/>
      <c r="R5" s="10"/>
      <c r="S5" s="10"/>
      <c r="T5" s="10"/>
      <c r="U5" s="16"/>
      <c r="V5" s="16"/>
      <c r="W5" s="16"/>
      <c r="X5" s="16"/>
      <c r="Y5" s="16"/>
      <c r="Z5" s="17" t="s">
        <v>659</v>
      </c>
      <c r="AA5" s="5">
        <v>45</v>
      </c>
      <c r="AB5">
        <f t="shared" si="0"/>
        <v>-45</v>
      </c>
      <c r="AF5" s="5" t="s">
        <v>660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6"/>
      <c r="V6" s="16"/>
      <c r="W6" s="16"/>
      <c r="X6" s="16"/>
      <c r="Y6" s="16"/>
      <c r="Z6" s="17" t="s">
        <v>661</v>
      </c>
      <c r="AA6" s="5">
        <v>54</v>
      </c>
      <c r="AB6">
        <f t="shared" si="0"/>
        <v>-54</v>
      </c>
      <c r="AF6" s="5" t="s">
        <v>662</v>
      </c>
      <c r="AG6" s="5">
        <v>177</v>
      </c>
      <c r="AH6" s="5">
        <f t="shared" si="1"/>
        <v>-177</v>
      </c>
    </row>
    <row r="7" s="2" customFormat="1" ht="29" spans="1:34">
      <c r="A7" s="9"/>
      <c r="B7" s="10" t="s">
        <v>663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664</v>
      </c>
      <c r="I7" s="10" t="s">
        <v>665</v>
      </c>
      <c r="J7" s="9"/>
      <c r="K7" s="9"/>
      <c r="L7" s="9"/>
      <c r="M7" s="10" t="s">
        <v>666</v>
      </c>
      <c r="N7" s="10" t="s">
        <v>667</v>
      </c>
      <c r="O7" s="10" t="s">
        <v>664</v>
      </c>
      <c r="P7" s="18">
        <v>1</v>
      </c>
      <c r="Q7" s="10">
        <v>0</v>
      </c>
      <c r="R7" s="10">
        <v>5</v>
      </c>
      <c r="S7" s="10"/>
      <c r="T7" s="10" t="s">
        <v>668</v>
      </c>
      <c r="U7" s="16"/>
      <c r="V7" s="16"/>
      <c r="W7" s="16"/>
      <c r="X7" s="16"/>
      <c r="Y7" s="16"/>
      <c r="Z7" s="17" t="s">
        <v>669</v>
      </c>
      <c r="AA7" s="5">
        <v>63</v>
      </c>
      <c r="AB7">
        <f t="shared" si="0"/>
        <v>-63</v>
      </c>
      <c r="AC7"/>
      <c r="AD7"/>
      <c r="AE7"/>
      <c r="AF7" s="5" t="s">
        <v>670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652</v>
      </c>
      <c r="J8" s="9"/>
      <c r="K8" s="9"/>
      <c r="L8" s="9"/>
      <c r="M8" s="10"/>
      <c r="N8" s="10" t="s">
        <v>112</v>
      </c>
      <c r="O8" s="10"/>
      <c r="P8" s="19">
        <v>-21.6</v>
      </c>
      <c r="Q8" s="10"/>
      <c r="R8" s="10"/>
      <c r="S8" s="10"/>
      <c r="T8" s="13" t="s">
        <v>651</v>
      </c>
      <c r="U8" s="16"/>
      <c r="V8" s="16"/>
      <c r="W8" s="16"/>
      <c r="X8" s="16"/>
      <c r="Y8" s="16"/>
      <c r="Z8" s="17" t="s">
        <v>671</v>
      </c>
      <c r="AA8" s="5">
        <v>72</v>
      </c>
      <c r="AB8">
        <f t="shared" si="0"/>
        <v>-72</v>
      </c>
      <c r="AF8" s="5" t="s">
        <v>672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654</v>
      </c>
      <c r="J9" s="9"/>
      <c r="K9" s="9"/>
      <c r="L9" s="9"/>
      <c r="M9" s="10"/>
      <c r="N9" s="10" t="s">
        <v>112</v>
      </c>
      <c r="O9" s="10"/>
      <c r="P9" s="19">
        <v>-28.8</v>
      </c>
      <c r="Q9" s="10"/>
      <c r="R9" s="10"/>
      <c r="S9" s="10"/>
      <c r="T9" s="13" t="s">
        <v>653</v>
      </c>
      <c r="U9" s="16"/>
      <c r="V9" s="16"/>
      <c r="W9" s="16"/>
      <c r="X9" s="16"/>
      <c r="Y9" s="16"/>
      <c r="Z9" s="17" t="s">
        <v>673</v>
      </c>
      <c r="AA9" s="5">
        <v>90</v>
      </c>
      <c r="AB9">
        <f t="shared" si="0"/>
        <v>-90</v>
      </c>
      <c r="AF9" s="5" t="s">
        <v>674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656</v>
      </c>
      <c r="J10" s="9"/>
      <c r="K10" s="9"/>
      <c r="L10" s="9"/>
      <c r="M10" s="10"/>
      <c r="N10" s="10" t="s">
        <v>112</v>
      </c>
      <c r="O10" s="10"/>
      <c r="P10" s="19">
        <v>-36</v>
      </c>
      <c r="Q10" s="10"/>
      <c r="R10" s="10"/>
      <c r="S10" s="10"/>
      <c r="T10" s="13" t="s">
        <v>655</v>
      </c>
      <c r="U10" s="16"/>
      <c r="V10" s="16"/>
      <c r="W10" s="16"/>
      <c r="X10" s="16"/>
      <c r="Y10" s="16"/>
      <c r="Z10" s="17" t="s">
        <v>675</v>
      </c>
      <c r="AA10" s="5">
        <v>36</v>
      </c>
      <c r="AB10">
        <f t="shared" si="0"/>
        <v>-36</v>
      </c>
      <c r="AF10" s="5" t="s">
        <v>659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660</v>
      </c>
      <c r="J11" s="9"/>
      <c r="K11" s="9"/>
      <c r="L11" s="9"/>
      <c r="M11" s="10"/>
      <c r="N11" s="10" t="s">
        <v>112</v>
      </c>
      <c r="O11" s="10"/>
      <c r="P11" s="19">
        <v>-45</v>
      </c>
      <c r="Q11" s="10"/>
      <c r="R11" s="10"/>
      <c r="S11" s="10"/>
      <c r="T11" s="13" t="s">
        <v>659</v>
      </c>
      <c r="U11" s="16"/>
      <c r="V11" s="16"/>
      <c r="W11" s="16"/>
      <c r="X11" s="16"/>
      <c r="Y11" s="16"/>
      <c r="Z11" s="17" t="s">
        <v>676</v>
      </c>
      <c r="AA11" s="5">
        <v>48</v>
      </c>
      <c r="AB11">
        <f t="shared" si="0"/>
        <v>-48</v>
      </c>
      <c r="AF11" s="5" t="s">
        <v>661</v>
      </c>
      <c r="AG11" s="5">
        <v>54</v>
      </c>
      <c r="AH11" s="5">
        <f t="shared" si="1"/>
        <v>-54</v>
      </c>
    </row>
    <row r="12" s="14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662</v>
      </c>
      <c r="J12" s="9"/>
      <c r="K12" s="9"/>
      <c r="L12" s="9"/>
      <c r="M12" s="10"/>
      <c r="N12" s="10" t="s">
        <v>112</v>
      </c>
      <c r="O12" s="10"/>
      <c r="P12" s="19">
        <v>-54</v>
      </c>
      <c r="Q12" s="10"/>
      <c r="R12" s="10"/>
      <c r="S12" s="10"/>
      <c r="T12" s="13" t="s">
        <v>661</v>
      </c>
      <c r="U12" s="16"/>
      <c r="V12" s="16"/>
      <c r="W12" s="16"/>
      <c r="X12" s="16"/>
      <c r="Y12" s="16"/>
      <c r="Z12" s="17" t="s">
        <v>677</v>
      </c>
      <c r="AA12" s="5">
        <v>60</v>
      </c>
      <c r="AB12">
        <f t="shared" si="0"/>
        <v>-60</v>
      </c>
      <c r="AC12"/>
      <c r="AD12"/>
      <c r="AE12"/>
      <c r="AF12" s="5" t="s">
        <v>669</v>
      </c>
      <c r="AG12" s="5">
        <v>63</v>
      </c>
      <c r="AH12" s="5">
        <f t="shared" si="1"/>
        <v>-63</v>
      </c>
    </row>
    <row r="13" s="14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670</v>
      </c>
      <c r="J13" s="9"/>
      <c r="K13" s="9"/>
      <c r="L13" s="9"/>
      <c r="M13" s="10"/>
      <c r="N13" s="10" t="s">
        <v>112</v>
      </c>
      <c r="O13" s="10"/>
      <c r="P13" s="19">
        <v>-63</v>
      </c>
      <c r="Q13" s="10"/>
      <c r="R13" s="10"/>
      <c r="S13" s="10"/>
      <c r="T13" s="13" t="s">
        <v>669</v>
      </c>
      <c r="U13" s="16"/>
      <c r="V13" s="16"/>
      <c r="W13" s="16"/>
      <c r="X13" s="16"/>
      <c r="Y13" s="16"/>
      <c r="Z13" s="17" t="s">
        <v>678</v>
      </c>
      <c r="AA13" s="5">
        <v>75</v>
      </c>
      <c r="AB13">
        <f t="shared" si="0"/>
        <v>-75</v>
      </c>
      <c r="AC13"/>
      <c r="AD13"/>
      <c r="AE13"/>
      <c r="AF13" s="5" t="s">
        <v>671</v>
      </c>
      <c r="AG13" s="5">
        <v>72</v>
      </c>
      <c r="AH13" s="5">
        <f t="shared" si="1"/>
        <v>-72</v>
      </c>
    </row>
    <row r="14" s="14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672</v>
      </c>
      <c r="J14" s="9"/>
      <c r="K14" s="9"/>
      <c r="L14" s="9"/>
      <c r="M14" s="10"/>
      <c r="N14" s="10" t="s">
        <v>112</v>
      </c>
      <c r="O14" s="10"/>
      <c r="P14" s="19">
        <v>-72</v>
      </c>
      <c r="Q14" s="10"/>
      <c r="R14" s="10"/>
      <c r="S14" s="10"/>
      <c r="T14" s="13" t="s">
        <v>671</v>
      </c>
      <c r="U14" s="16"/>
      <c r="V14" s="16"/>
      <c r="W14" s="16"/>
      <c r="X14" s="16"/>
      <c r="Y14" s="16"/>
      <c r="Z14" s="17" t="s">
        <v>679</v>
      </c>
      <c r="AA14" s="5">
        <v>90</v>
      </c>
      <c r="AB14">
        <f t="shared" si="0"/>
        <v>-90</v>
      </c>
      <c r="AC14"/>
      <c r="AD14"/>
      <c r="AE14"/>
      <c r="AF14" s="5" t="s">
        <v>673</v>
      </c>
      <c r="AG14" s="5">
        <v>90</v>
      </c>
      <c r="AH14" s="5">
        <f t="shared" si="1"/>
        <v>-90</v>
      </c>
    </row>
    <row r="15" s="14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674</v>
      </c>
      <c r="J15" s="9"/>
      <c r="K15" s="9"/>
      <c r="L15" s="9"/>
      <c r="M15" s="10"/>
      <c r="N15" s="10" t="s">
        <v>112</v>
      </c>
      <c r="O15" s="10"/>
      <c r="P15" s="19">
        <v>-90</v>
      </c>
      <c r="Q15" s="10"/>
      <c r="R15" s="10"/>
      <c r="S15" s="10"/>
      <c r="T15" s="13" t="s">
        <v>673</v>
      </c>
      <c r="U15" s="16"/>
      <c r="V15" s="16"/>
      <c r="W15" s="16"/>
      <c r="X15" s="16"/>
      <c r="Y15" s="16"/>
      <c r="Z15" s="17" t="s">
        <v>680</v>
      </c>
      <c r="AA15" s="5">
        <v>105</v>
      </c>
      <c r="AB15">
        <f t="shared" si="0"/>
        <v>-105</v>
      </c>
      <c r="AC15"/>
      <c r="AD15"/>
      <c r="AE15"/>
      <c r="AF15" s="5" t="s">
        <v>678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659</v>
      </c>
      <c r="J16" s="9"/>
      <c r="K16" s="9"/>
      <c r="L16" s="9"/>
      <c r="M16" s="10"/>
      <c r="N16" s="10" t="s">
        <v>112</v>
      </c>
      <c r="O16" s="10"/>
      <c r="P16" s="19">
        <v>-36</v>
      </c>
      <c r="Q16" s="10"/>
      <c r="R16" s="10"/>
      <c r="S16" s="10"/>
      <c r="T16" s="13" t="s">
        <v>675</v>
      </c>
      <c r="U16" s="16"/>
      <c r="V16" s="16"/>
      <c r="W16" s="16"/>
      <c r="X16" s="16"/>
      <c r="Y16" s="16"/>
      <c r="Z16" s="17" t="s">
        <v>681</v>
      </c>
      <c r="AA16" s="5">
        <v>120</v>
      </c>
      <c r="AB16">
        <f t="shared" si="0"/>
        <v>-120</v>
      </c>
      <c r="AF16" s="5" t="s">
        <v>679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661</v>
      </c>
      <c r="J17" s="9"/>
      <c r="K17" s="9"/>
      <c r="L17" s="9"/>
      <c r="M17" s="10"/>
      <c r="N17" s="10" t="s">
        <v>112</v>
      </c>
      <c r="O17" s="10"/>
      <c r="P17" s="19">
        <v>-48</v>
      </c>
      <c r="Q17" s="10"/>
      <c r="R17" s="10"/>
      <c r="S17" s="10"/>
      <c r="T17" s="13" t="s">
        <v>676</v>
      </c>
      <c r="U17" s="16"/>
      <c r="V17" s="16"/>
      <c r="W17" s="16"/>
      <c r="X17" s="16"/>
      <c r="Y17" s="16"/>
      <c r="Z17" s="17" t="s">
        <v>682</v>
      </c>
      <c r="AA17" s="5">
        <v>150</v>
      </c>
      <c r="AB17">
        <f t="shared" si="0"/>
        <v>-150</v>
      </c>
      <c r="AF17" s="5" t="s">
        <v>680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669</v>
      </c>
      <c r="J18" s="9"/>
      <c r="K18" s="9"/>
      <c r="L18" s="9"/>
      <c r="M18" s="10"/>
      <c r="N18" s="10" t="s">
        <v>112</v>
      </c>
      <c r="O18" s="10"/>
      <c r="P18" s="19">
        <v>-60</v>
      </c>
      <c r="Q18" s="10"/>
      <c r="R18" s="10"/>
      <c r="S18" s="10"/>
      <c r="T18" s="13" t="s">
        <v>677</v>
      </c>
      <c r="U18" s="16"/>
      <c r="V18" s="16"/>
      <c r="W18" s="16"/>
      <c r="X18" s="16"/>
      <c r="Y18" s="16"/>
      <c r="Z18" s="17" t="s">
        <v>683</v>
      </c>
      <c r="AA18" s="5">
        <v>180</v>
      </c>
      <c r="AB18">
        <f t="shared" si="0"/>
        <v>-180</v>
      </c>
      <c r="AF18" s="5" t="s">
        <v>681</v>
      </c>
      <c r="AG18" s="5">
        <v>120</v>
      </c>
      <c r="AH18" s="5">
        <f t="shared" si="1"/>
        <v>-120</v>
      </c>
    </row>
    <row r="19" s="2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671</v>
      </c>
      <c r="J19" s="9"/>
      <c r="K19" s="9"/>
      <c r="L19" s="9"/>
      <c r="M19" s="10"/>
      <c r="N19" s="10" t="s">
        <v>112</v>
      </c>
      <c r="O19" s="10"/>
      <c r="P19" s="19">
        <v>-75</v>
      </c>
      <c r="Q19" s="10"/>
      <c r="R19" s="10"/>
      <c r="S19" s="10"/>
      <c r="T19" s="13" t="s">
        <v>678</v>
      </c>
      <c r="U19" s="16"/>
      <c r="V19" s="16"/>
      <c r="W19" s="16"/>
      <c r="X19" s="16"/>
      <c r="Y19" s="16"/>
      <c r="Z19" s="17" t="s">
        <v>684</v>
      </c>
      <c r="AA19" s="5">
        <v>214.8</v>
      </c>
      <c r="AB19">
        <f t="shared" si="0"/>
        <v>-214.8</v>
      </c>
      <c r="AC19"/>
      <c r="AD19"/>
      <c r="AE19"/>
      <c r="AF19" s="5" t="s">
        <v>682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673</v>
      </c>
      <c r="J20" s="9"/>
      <c r="K20" s="9"/>
      <c r="L20" s="9"/>
      <c r="M20" s="10"/>
      <c r="N20" s="10" t="s">
        <v>112</v>
      </c>
      <c r="O20" s="10"/>
      <c r="P20" s="19">
        <v>-90</v>
      </c>
      <c r="Q20" s="10"/>
      <c r="R20" s="10"/>
      <c r="S20" s="10"/>
      <c r="T20" s="13" t="s">
        <v>679</v>
      </c>
      <c r="U20" s="16"/>
      <c r="V20" s="16"/>
      <c r="W20" s="16"/>
      <c r="X20" s="16"/>
      <c r="Y20" s="16"/>
      <c r="Z20" s="17" t="s">
        <v>685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678</v>
      </c>
      <c r="J21" s="9"/>
      <c r="K21" s="9"/>
      <c r="L21" s="9"/>
      <c r="M21" s="10"/>
      <c r="N21" s="10" t="s">
        <v>112</v>
      </c>
      <c r="O21" s="10"/>
      <c r="P21" s="19">
        <v>-105</v>
      </c>
      <c r="Q21" s="10"/>
      <c r="R21" s="10"/>
      <c r="S21" s="10"/>
      <c r="T21" s="13" t="s">
        <v>680</v>
      </c>
      <c r="U21" s="16"/>
      <c r="V21" s="16"/>
      <c r="W21" s="16"/>
      <c r="X21" s="16"/>
      <c r="Y21" s="16"/>
      <c r="Z21" s="17" t="s">
        <v>686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679</v>
      </c>
      <c r="J22" s="9"/>
      <c r="K22" s="9"/>
      <c r="L22" s="9"/>
      <c r="M22" s="10"/>
      <c r="N22" s="10" t="s">
        <v>112</v>
      </c>
      <c r="O22" s="10"/>
      <c r="P22" s="19">
        <v>-120</v>
      </c>
      <c r="Q22" s="10"/>
      <c r="R22" s="10"/>
      <c r="S22" s="10"/>
      <c r="T22" s="13" t="s">
        <v>681</v>
      </c>
      <c r="U22" s="16"/>
      <c r="V22" s="16"/>
      <c r="W22" s="16"/>
      <c r="X22" s="16"/>
      <c r="Y22" s="16"/>
      <c r="Z22" s="17" t="s">
        <v>687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680</v>
      </c>
      <c r="J23" s="9"/>
      <c r="K23" s="9"/>
      <c r="L23" s="9"/>
      <c r="M23" s="10"/>
      <c r="N23" s="10" t="s">
        <v>112</v>
      </c>
      <c r="O23" s="10"/>
      <c r="P23" s="19">
        <v>-150</v>
      </c>
      <c r="Q23" s="10"/>
      <c r="R23" s="10"/>
      <c r="S23" s="10"/>
      <c r="T23" s="13" t="s">
        <v>682</v>
      </c>
      <c r="U23" s="16"/>
      <c r="V23" s="16"/>
      <c r="W23" s="16"/>
      <c r="X23" s="16"/>
      <c r="Y23" s="16"/>
      <c r="Z23" s="17" t="s">
        <v>688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681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683</v>
      </c>
      <c r="U24" s="16"/>
      <c r="V24" s="16"/>
      <c r="W24" s="16"/>
      <c r="X24" s="16"/>
      <c r="Y24" s="16"/>
      <c r="Z24" s="17" t="s">
        <v>689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682</v>
      </c>
      <c r="J25" s="9"/>
      <c r="K25" s="9"/>
      <c r="L25" s="9"/>
      <c r="M25" s="10"/>
      <c r="N25" s="10" t="s">
        <v>112</v>
      </c>
      <c r="O25" s="10"/>
      <c r="P25" s="19">
        <v>-214.8</v>
      </c>
      <c r="Q25" s="10"/>
      <c r="R25" s="10"/>
      <c r="S25" s="10"/>
      <c r="T25" s="13" t="s">
        <v>684</v>
      </c>
      <c r="U25" s="16"/>
      <c r="V25" s="16"/>
      <c r="W25" s="16"/>
      <c r="X25" s="16"/>
      <c r="Y25" s="16"/>
      <c r="Z25" s="17" t="s">
        <v>690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19">
        <v>-248.4</v>
      </c>
      <c r="Q26" s="10"/>
      <c r="R26" s="10"/>
      <c r="S26" s="10"/>
      <c r="T26" s="13" t="s">
        <v>685</v>
      </c>
      <c r="U26" s="16"/>
      <c r="V26" s="16"/>
      <c r="W26" s="16"/>
      <c r="X26" s="16"/>
      <c r="Y26" s="16"/>
      <c r="Z26" s="17" t="s">
        <v>652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19">
        <v>-283.2</v>
      </c>
      <c r="Q27" s="10"/>
      <c r="R27" s="10"/>
      <c r="S27" s="10"/>
      <c r="T27" s="13" t="s">
        <v>686</v>
      </c>
      <c r="U27" s="16"/>
      <c r="V27" s="16"/>
      <c r="W27" s="16"/>
      <c r="X27" s="16"/>
      <c r="Y27" s="16"/>
      <c r="Z27" s="17" t="s">
        <v>654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19">
        <v>-316.8</v>
      </c>
      <c r="Q28" s="10"/>
      <c r="R28" s="10"/>
      <c r="S28" s="10"/>
      <c r="T28" s="13" t="s">
        <v>687</v>
      </c>
      <c r="U28" s="16"/>
      <c r="V28" s="16"/>
      <c r="W28" s="16"/>
      <c r="X28" s="16"/>
      <c r="Y28" s="16"/>
      <c r="Z28" s="17" t="s">
        <v>656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19">
        <v>-420</v>
      </c>
      <c r="Q29" s="10"/>
      <c r="R29" s="10"/>
      <c r="S29" s="10"/>
      <c r="T29" s="13" t="s">
        <v>688</v>
      </c>
      <c r="U29" s="16"/>
      <c r="V29" s="16"/>
      <c r="W29" s="16"/>
      <c r="X29" s="16"/>
      <c r="Y29" s="16"/>
      <c r="Z29" s="17" t="s">
        <v>660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19">
        <v>-600</v>
      </c>
      <c r="Q30" s="10"/>
      <c r="R30" s="10"/>
      <c r="S30" s="10"/>
      <c r="T30" s="13" t="s">
        <v>689</v>
      </c>
      <c r="U30" s="16"/>
      <c r="V30" s="16"/>
      <c r="W30" s="16"/>
      <c r="X30" s="16"/>
      <c r="Y30" s="16"/>
      <c r="Z30" s="17" t="s">
        <v>662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19">
        <v>-720</v>
      </c>
      <c r="Q31" s="10"/>
      <c r="R31" s="10"/>
      <c r="S31" s="10"/>
      <c r="T31" s="13" t="s">
        <v>690</v>
      </c>
      <c r="U31" s="16"/>
      <c r="V31" s="16"/>
      <c r="W31" s="16"/>
      <c r="X31" s="16"/>
      <c r="Y31" s="16"/>
      <c r="Z31" s="17" t="s">
        <v>670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19">
        <v>-120</v>
      </c>
      <c r="Q32" s="10"/>
      <c r="R32" s="10"/>
      <c r="S32" s="10"/>
      <c r="T32" s="13" t="s">
        <v>652</v>
      </c>
      <c r="U32" s="16"/>
      <c r="V32" s="16"/>
      <c r="W32" s="16"/>
      <c r="X32" s="16"/>
      <c r="Y32" s="16"/>
      <c r="Z32" s="17" t="s">
        <v>672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19">
        <v>-134</v>
      </c>
      <c r="Q33" s="10"/>
      <c r="R33" s="10"/>
      <c r="S33" s="10"/>
      <c r="T33" s="13" t="s">
        <v>654</v>
      </c>
      <c r="U33" s="16"/>
      <c r="V33" s="16"/>
      <c r="W33" s="16"/>
      <c r="X33" s="16"/>
      <c r="Y33" s="16"/>
      <c r="Z33" s="17" t="s">
        <v>674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19">
        <v>-149</v>
      </c>
      <c r="Q34" s="10"/>
      <c r="R34" s="10"/>
      <c r="S34" s="10"/>
      <c r="T34" s="13" t="s">
        <v>656</v>
      </c>
      <c r="U34" s="16"/>
      <c r="V34" s="16"/>
      <c r="W34" s="16"/>
      <c r="X34" s="16"/>
      <c r="Y34" s="16"/>
      <c r="Z34" s="17" t="s">
        <v>691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19">
        <v>-163</v>
      </c>
      <c r="Q35" s="10"/>
      <c r="R35" s="10"/>
      <c r="S35" s="10"/>
      <c r="T35" s="13" t="s">
        <v>660</v>
      </c>
      <c r="U35" s="16"/>
      <c r="V35" s="16"/>
      <c r="W35" s="16"/>
      <c r="X35" s="16"/>
      <c r="Y35" s="16"/>
      <c r="Z35" s="17" t="s">
        <v>692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19">
        <v>-177</v>
      </c>
      <c r="Q36" s="10"/>
      <c r="R36" s="10"/>
      <c r="S36" s="10"/>
      <c r="T36" s="13" t="s">
        <v>662</v>
      </c>
      <c r="U36" s="16"/>
      <c r="V36" s="16"/>
      <c r="W36" s="16"/>
      <c r="X36" s="16"/>
      <c r="Y36" s="16"/>
      <c r="Z36" s="17" t="s">
        <v>693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19">
        <v>-191</v>
      </c>
      <c r="Q37" s="10"/>
      <c r="R37" s="10"/>
      <c r="S37" s="10"/>
      <c r="T37" s="13" t="s">
        <v>670</v>
      </c>
      <c r="U37" s="16"/>
      <c r="V37" s="16"/>
      <c r="W37" s="16"/>
      <c r="X37" s="16"/>
      <c r="Y37" s="16"/>
      <c r="Z37" s="17" t="s">
        <v>694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19">
        <v>-206</v>
      </c>
      <c r="Q38" s="10"/>
      <c r="R38" s="10"/>
      <c r="S38" s="10"/>
      <c r="T38" s="13" t="s">
        <v>672</v>
      </c>
      <c r="U38" s="16"/>
      <c r="V38" s="16"/>
      <c r="W38" s="16"/>
      <c r="X38" s="16"/>
      <c r="Y38" s="16"/>
      <c r="Z38" s="17" t="s">
        <v>695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674</v>
      </c>
      <c r="Z39" s="5" t="s">
        <v>696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691</v>
      </c>
      <c r="Z40" s="5" t="s">
        <v>697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692</v>
      </c>
      <c r="Z41" s="5" t="s">
        <v>698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693</v>
      </c>
      <c r="Z42" s="5" t="s">
        <v>699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694</v>
      </c>
      <c r="Z43" s="5" t="s">
        <v>700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695</v>
      </c>
      <c r="Z44" s="5" t="s">
        <v>701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696</v>
      </c>
      <c r="Z45" s="5" t="s">
        <v>702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697</v>
      </c>
      <c r="Z46" s="5" t="s">
        <v>703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698</v>
      </c>
      <c r="Z47" s="5" t="s">
        <v>704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699</v>
      </c>
      <c r="Z48" s="5" t="s">
        <v>705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700</v>
      </c>
      <c r="Z49" s="5" t="s">
        <v>706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701</v>
      </c>
      <c r="Z50" s="5" t="s">
        <v>707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702</v>
      </c>
      <c r="Z51" s="5" t="s">
        <v>708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703</v>
      </c>
      <c r="Z52" s="5" t="s">
        <v>709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704</v>
      </c>
      <c r="Z53" s="5" t="s">
        <v>710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705</v>
      </c>
      <c r="Z54" s="5" t="s">
        <v>711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706</v>
      </c>
      <c r="Z55" s="5" t="s">
        <v>712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707</v>
      </c>
      <c r="Z56" s="5" t="s">
        <v>713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708</v>
      </c>
      <c r="Z57" s="5" t="s">
        <v>714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709</v>
      </c>
      <c r="Z58" s="5" t="s">
        <v>715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710</v>
      </c>
      <c r="Z59" s="5" t="s">
        <v>716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711</v>
      </c>
      <c r="Z60" s="5" t="s">
        <v>717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712</v>
      </c>
      <c r="Z61" s="5" t="s">
        <v>718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713</v>
      </c>
      <c r="Z62" s="5" t="s">
        <v>719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714</v>
      </c>
      <c r="Z63" s="5" t="s">
        <v>720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715</v>
      </c>
      <c r="Z64" s="5" t="s">
        <v>721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716</v>
      </c>
      <c r="Z65" s="5" t="s">
        <v>722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717</v>
      </c>
      <c r="Z66" s="5" t="s">
        <v>723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718</v>
      </c>
      <c r="Z67" s="5" t="s">
        <v>724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719</v>
      </c>
      <c r="Z68" s="5" t="s">
        <v>725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720</v>
      </c>
      <c r="Z69" s="5" t="s">
        <v>726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721</v>
      </c>
      <c r="Z70" s="5" t="s">
        <v>727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722</v>
      </c>
      <c r="Z71" s="5" t="s">
        <v>728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723</v>
      </c>
      <c r="Z72" s="5" t="s">
        <v>729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724</v>
      </c>
      <c r="Z73" s="5" t="s">
        <v>730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725</v>
      </c>
      <c r="Z74" s="5" t="s">
        <v>731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726</v>
      </c>
      <c r="Z75" s="5" t="s">
        <v>732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727</v>
      </c>
      <c r="Z76" s="5" t="s">
        <v>733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728</v>
      </c>
      <c r="Z77" s="5" t="s">
        <v>734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729</v>
      </c>
      <c r="Z78" s="5" t="s">
        <v>735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730</v>
      </c>
      <c r="Z79" s="5" t="s">
        <v>736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731</v>
      </c>
      <c r="Z80" s="5" t="s">
        <v>737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732</v>
      </c>
      <c r="Z81" s="5" t="s">
        <v>738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733</v>
      </c>
      <c r="Z82" s="5" t="s">
        <v>739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734</v>
      </c>
      <c r="Z83" s="5" t="s">
        <v>740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735</v>
      </c>
      <c r="Z84" s="5" t="s">
        <v>741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736</v>
      </c>
      <c r="Z85" s="5" t="s">
        <v>742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737</v>
      </c>
      <c r="Z86" s="5" t="s">
        <v>743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738</v>
      </c>
      <c r="Z87" s="5" t="s">
        <v>744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739</v>
      </c>
      <c r="Z88" s="5" t="s">
        <v>745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740</v>
      </c>
      <c r="Z89" s="5" t="s">
        <v>746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741</v>
      </c>
      <c r="Z90" s="5" t="s">
        <v>747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742</v>
      </c>
      <c r="Z91" s="5" t="s">
        <v>748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743</v>
      </c>
      <c r="Z92" s="5" t="s">
        <v>749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744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745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746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747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748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749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657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663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664</v>
      </c>
      <c r="I7" s="10" t="s">
        <v>665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652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654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656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660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662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670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672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674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659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661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669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671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673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678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679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680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681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682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750</v>
      </c>
    </row>
    <row r="3" spans="2:14">
      <c r="B3" t="s">
        <v>751</v>
      </c>
    </row>
    <row r="4" spans="2:14">
      <c r="H4" t="s">
        <v>752</v>
      </c>
    </row>
    <row r="8" ht="29" spans="2:14">
      <c r="D8" s="4" t="s">
        <v>4</v>
      </c>
      <c r="E8" s="4" t="s">
        <v>61</v>
      </c>
      <c r="F8" s="4" t="s">
        <v>62</v>
      </c>
      <c r="G8" s="4" t="s">
        <v>753</v>
      </c>
      <c r="H8" s="4" t="s">
        <v>57</v>
      </c>
      <c r="I8" s="4" t="s">
        <v>55</v>
      </c>
      <c r="J8" s="4" t="s">
        <v>6</v>
      </c>
      <c r="K8" s="4" t="s">
        <v>754</v>
      </c>
      <c r="L8" s="4" t="s">
        <v>755</v>
      </c>
      <c r="M8" s="4" t="s">
        <v>756</v>
      </c>
      <c r="N8" s="4" t="s">
        <v>360</v>
      </c>
    </row>
    <row r="9" spans="2:14">
      <c r="D9" s="5" t="s">
        <v>757</v>
      </c>
      <c r="F9" s="5" t="s">
        <v>758</v>
      </c>
      <c r="G9" s="5" t="s">
        <v>371</v>
      </c>
      <c r="H9" s="5" t="s">
        <v>759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760</v>
      </c>
      <c r="F10" s="5" t="s">
        <v>761</v>
      </c>
      <c r="G10" s="5" t="s">
        <v>371</v>
      </c>
      <c r="H10" s="5" t="s">
        <v>759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762</v>
      </c>
      <c r="F11" s="5" t="s">
        <v>763</v>
      </c>
      <c r="G11" s="5" t="s">
        <v>371</v>
      </c>
      <c r="H11" s="5" t="s">
        <v>759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764</v>
      </c>
      <c r="F12" s="6" t="s">
        <v>765</v>
      </c>
      <c r="G12" s="5" t="s">
        <v>371</v>
      </c>
      <c r="H12" s="5" t="s">
        <v>759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766</v>
      </c>
      <c r="F13" s="5" t="s">
        <v>767</v>
      </c>
      <c r="G13" s="5" t="s">
        <v>371</v>
      </c>
      <c r="H13" s="5" t="s">
        <v>759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768</v>
      </c>
      <c r="F14" s="5" t="s">
        <v>769</v>
      </c>
      <c r="G14" s="5" t="s">
        <v>371</v>
      </c>
      <c r="H14" s="5" t="s">
        <v>759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770</v>
      </c>
      <c r="F15" s="5" t="s">
        <v>771</v>
      </c>
      <c r="G15" s="5" t="s">
        <v>371</v>
      </c>
      <c r="H15" s="5" t="s">
        <v>759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772</v>
      </c>
      <c r="F16" s="6" t="s">
        <v>773</v>
      </c>
      <c r="G16" t="str">
        <f>G15</f>
        <v>CAP,GROWTH</v>
      </c>
      <c r="H16" t="str">
        <f>H15</f>
        <v>2025, 2150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774</v>
      </c>
      <c r="F17" s="6" t="s">
        <v>775</v>
      </c>
      <c r="G17" t="str">
        <f>G16</f>
        <v>CAP,GROWTH</v>
      </c>
      <c r="H17" t="str">
        <f>H16</f>
        <v>2025, 2150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776</v>
      </c>
      <c r="F18" s="6" t="s">
        <v>777</v>
      </c>
      <c r="G18" t="str">
        <f>G17</f>
        <v>CAP,GROWTH</v>
      </c>
      <c r="H18" t="str">
        <f>H17</f>
        <v>2025, 2150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778</v>
      </c>
    </row>
    <row r="7" spans="6:19">
      <c r="L7" t="s">
        <v>779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780</v>
      </c>
      <c r="R8" t="s">
        <v>60</v>
      </c>
      <c r="S8" t="s">
        <v>55</v>
      </c>
    </row>
    <row r="9" spans="6:19">
      <c r="I9" t="s">
        <v>781</v>
      </c>
      <c r="O9" t="s">
        <v>782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783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2026-08-21T03:18:00Z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